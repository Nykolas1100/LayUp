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282AD7C-E2E0-4D7E-88E5-AACDA3644876}" xr6:coauthVersionLast="45" xr6:coauthVersionMax="45" xr10:uidLastSave="{00000000-0000-0000-0000-000000000000}"/>
  <bookViews>
    <workbookView xWindow="1900" yWindow="1900" windowWidth="28800" windowHeight="15460" activeTab="1"/>
  </bookViews>
  <sheets>
    <sheet name="Productivity" sheetId="2" r:id="rId1"/>
    <sheet name="FP Summary" sheetId="1"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32" i="1" l="1"/>
  <c r="C35" i="1"/>
  <c r="C38" i="1"/>
  <c r="D30" i="2"/>
  <c r="G5" i="2"/>
  <c r="G6" i="2"/>
  <c r="G7" i="2"/>
  <c r="G8" i="2"/>
  <c r="G9" i="2"/>
  <c r="G10" i="2"/>
  <c r="G30" i="2" s="1"/>
  <c r="G11" i="2"/>
  <c r="G12" i="2"/>
  <c r="G13" i="2"/>
  <c r="G14" i="2"/>
  <c r="G15" i="2"/>
  <c r="G16" i="2"/>
  <c r="G17" i="2"/>
  <c r="C42" i="2" s="1"/>
  <c r="F56" i="1" s="1"/>
  <c r="G18" i="2"/>
  <c r="C40" i="2" s="1"/>
  <c r="F54" i="1" s="1"/>
  <c r="G19" i="2"/>
  <c r="G20" i="2"/>
  <c r="G21" i="2"/>
  <c r="G22" i="2"/>
  <c r="G23" i="2"/>
  <c r="G24" i="2"/>
  <c r="G25" i="2"/>
  <c r="G26" i="2"/>
  <c r="G27" i="2"/>
  <c r="C37" i="2" s="1"/>
  <c r="F51" i="1" s="1"/>
  <c r="G28" i="2"/>
  <c r="C39" i="2" s="1"/>
  <c r="F53" i="1" s="1"/>
  <c r="G29" i="2"/>
  <c r="B57" i="1"/>
  <c r="B56" i="1"/>
  <c r="B55" i="1"/>
  <c r="B54" i="1"/>
  <c r="B53" i="1"/>
  <c r="B52" i="1"/>
  <c r="B51" i="1"/>
  <c r="B50" i="1"/>
  <c r="B49" i="1"/>
  <c r="B48" i="1"/>
  <c r="E26" i="1"/>
  <c r="D26" i="1"/>
  <c r="C26" i="1"/>
  <c r="E25" i="1"/>
  <c r="C25" i="1"/>
  <c r="E29" i="1"/>
  <c r="D27" i="1"/>
  <c r="D28" i="1"/>
  <c r="C28" i="1"/>
  <c r="E28" i="1"/>
  <c r="D29" i="1"/>
  <c r="E27" i="1"/>
  <c r="C29" i="1"/>
  <c r="C27" i="1"/>
  <c r="F30" i="2"/>
  <c r="C41" i="1"/>
  <c r="D25" i="1"/>
  <c r="C35" i="2"/>
  <c r="F49" i="1"/>
  <c r="C36" i="2"/>
  <c r="F50" i="1" s="1"/>
  <c r="C41" i="2"/>
  <c r="F55" i="1" s="1"/>
  <c r="C34" i="2"/>
  <c r="F48" i="1"/>
  <c r="F42" i="2"/>
  <c r="G42" i="2" s="1"/>
  <c r="F41" i="2"/>
  <c r="G41" i="2" s="1"/>
  <c r="F40" i="2"/>
  <c r="F43" i="2" s="1"/>
  <c r="F38" i="2"/>
  <c r="E37" i="2"/>
  <c r="F37" i="2"/>
  <c r="F34" i="2"/>
  <c r="E43" i="2"/>
  <c r="C30" i="2"/>
  <c r="E30" i="2"/>
  <c r="G34" i="2"/>
  <c r="G35" i="2"/>
  <c r="G36" i="2"/>
  <c r="G37" i="2"/>
  <c r="G38" i="2"/>
  <c r="G39" i="2"/>
  <c r="G40" i="2" l="1"/>
  <c r="G43" i="2" s="1"/>
  <c r="C38" i="2"/>
  <c r="F52" i="1" s="1"/>
  <c r="F57" i="1" s="1"/>
  <c r="C44" i="1" s="1"/>
  <c r="C43" i="2" l="1"/>
</calcChain>
</file>

<file path=xl/sharedStrings.xml><?xml version="1.0" encoding="utf-8"?>
<sst xmlns="http://schemas.openxmlformats.org/spreadsheetml/2006/main" count="115" uniqueCount="102">
  <si>
    <t xml:space="preserve">New Development Project Function Point Count </t>
  </si>
  <si>
    <t>Project Name:</t>
  </si>
  <si>
    <t>Sample Project</t>
  </si>
  <si>
    <t>Client Name:</t>
  </si>
  <si>
    <t>Federal Republic of Elbonia</t>
  </si>
  <si>
    <t>Partner:</t>
  </si>
  <si>
    <t>Glenn Briskin</t>
  </si>
  <si>
    <t>Branch:</t>
  </si>
  <si>
    <t>Seattle - Olympia business unit</t>
  </si>
  <si>
    <t>Proj Start Date:</t>
  </si>
  <si>
    <t>Proj End Date:</t>
  </si>
  <si>
    <t xml:space="preserve">Project Status </t>
  </si>
  <si>
    <t>Entering Iterative Transition phase (finished iteration four, entering iteration five)</t>
  </si>
  <si>
    <t>(at time of count)</t>
  </si>
  <si>
    <t>FP Count Type:</t>
  </si>
  <si>
    <t>Application</t>
  </si>
  <si>
    <t>Date of Count:</t>
  </si>
  <si>
    <t>Counted by:</t>
  </si>
  <si>
    <t>Nick Malik</t>
  </si>
  <si>
    <t>Date of Review:</t>
  </si>
  <si>
    <t>Reviewed by:</t>
  </si>
  <si>
    <t>Daniel Condreay</t>
  </si>
  <si>
    <t>Count Version:</t>
  </si>
  <si>
    <t>Count Description:</t>
  </si>
  <si>
    <t>Application FP Count of Sample Project</t>
  </si>
  <si>
    <t>UFP</t>
  </si>
  <si>
    <t>Low</t>
  </si>
  <si>
    <t>Average</t>
  </si>
  <si>
    <t>High</t>
  </si>
  <si>
    <t>ILF's</t>
  </si>
  <si>
    <t>EIF's</t>
  </si>
  <si>
    <t>EI's</t>
  </si>
  <si>
    <t>EO's</t>
  </si>
  <si>
    <t>EQ's</t>
  </si>
  <si>
    <t>Total Unadjusted Function Points</t>
  </si>
  <si>
    <t>Value Adjustment Factor</t>
  </si>
  <si>
    <t>Adjusted Function Points</t>
  </si>
  <si>
    <t>Project Productivity Rate (hours per FP)</t>
  </si>
  <si>
    <t>Total Effort Estimate (in days)</t>
  </si>
  <si>
    <t>Hours by RUP Workflow (from productivity page)</t>
  </si>
  <si>
    <t>Est Hours</t>
  </si>
  <si>
    <t>This productivity grid was adapted from information in Capers Jones' book,  Estimating Software Costs</t>
  </si>
  <si>
    <t>Hours per FP</t>
  </si>
  <si>
    <t>Activity</t>
  </si>
  <si>
    <t>Minimum</t>
  </si>
  <si>
    <t>Mode</t>
  </si>
  <si>
    <t>Maximum</t>
  </si>
  <si>
    <t>Adjusted?</t>
  </si>
  <si>
    <t>Est. Hours</t>
  </si>
  <si>
    <t>Justification</t>
  </si>
  <si>
    <t>Requirements</t>
  </si>
  <si>
    <t>Prototyping</t>
  </si>
  <si>
    <t>Architecture</t>
  </si>
  <si>
    <t>Project Plans</t>
  </si>
  <si>
    <t>Initial Design</t>
  </si>
  <si>
    <t>Y</t>
  </si>
  <si>
    <t>Using existing design patterns</t>
  </si>
  <si>
    <t>Detailed Design</t>
  </si>
  <si>
    <t>Design Reviews</t>
  </si>
  <si>
    <t>Coding</t>
  </si>
  <si>
    <t>Reuse Acquisition</t>
  </si>
  <si>
    <t>not required for this project</t>
  </si>
  <si>
    <t>Package Purchase</t>
  </si>
  <si>
    <t>Code Inspections</t>
  </si>
  <si>
    <t>Independent verification and validation</t>
  </si>
  <si>
    <t>Configuration Management</t>
  </si>
  <si>
    <t>Integration</t>
  </si>
  <si>
    <t>User Documentation</t>
  </si>
  <si>
    <t>Unit Testing</t>
  </si>
  <si>
    <t>Function Testing</t>
  </si>
  <si>
    <t>Integration Testing</t>
  </si>
  <si>
    <t>System Testing</t>
  </si>
  <si>
    <t>Field Testing (Alpha/Beta testing)</t>
  </si>
  <si>
    <t>Acceptance Testing</t>
  </si>
  <si>
    <t>Independent Testing</t>
  </si>
  <si>
    <t>Quality Assurance</t>
  </si>
  <si>
    <t>Installation and Training</t>
  </si>
  <si>
    <t>Project Management</t>
  </si>
  <si>
    <t>Total hours/FP</t>
  </si>
  <si>
    <t>Defect Rate Estimation by RUP Workflow</t>
  </si>
  <si>
    <t>Rollup by RUP workflow (from above)</t>
  </si>
  <si>
    <t>Avg. Rate</t>
  </si>
  <si>
    <t>Adj. Defect Rate</t>
  </si>
  <si>
    <t>Est. Defects</t>
  </si>
  <si>
    <t>Business Modeling</t>
  </si>
  <si>
    <t>Due to stability of requirements in a known space, errors in requirements are kept to a minimum</t>
  </si>
  <si>
    <t>Analysis and Design</t>
  </si>
  <si>
    <t>Due to prototype nature, design defects are moot</t>
  </si>
  <si>
    <t>Implementation</t>
  </si>
  <si>
    <t>Unit testing and some functional testing defects not counted; Sierra assumes developers will unit test and perform preliminary functional testing using test harnesses.</t>
  </si>
  <si>
    <t>Test</t>
  </si>
  <si>
    <t>Bad fix defects</t>
  </si>
  <si>
    <t>Deployment</t>
  </si>
  <si>
    <t>Documentation defects (errors including online help screens, user documents, etc.) -- Adj down due to very limited UG requirements</t>
  </si>
  <si>
    <t>Configuration and Change Management</t>
  </si>
  <si>
    <t>Environment</t>
  </si>
  <si>
    <t>Total Hours</t>
  </si>
  <si>
    <t xml:space="preserve">To use FPA in the budgeting process, an organization needs to know its productivity rates. The productivity rate or project delivery rate is defined as follows: the number of development hours needed on an average to realize one function point. </t>
  </si>
  <si>
    <t>Functional size (number of function points) multiplied by the expected project productivity rate (expected hours required per function point) provides a basis for the project budget. One should add hours for activities that are not included in the standard productivity rate.</t>
  </si>
  <si>
    <t>The defect rates should be calibrated according to experiences in earlier, completed projects. This data is just beginning to be collected within Sierra. In the absence of our own data, we are using a US average defect rate per function point.</t>
  </si>
  <si>
    <t>Capers Jones has more than 25 years of experience with software cost estimation. He frequently leads workshops and seminars and is a featured speaker at industry conferences.</t>
  </si>
  <si>
    <t>The productivity rates are based upon experiences in earlier, completed projects. As data from Sierra Systems projects in our branch do not cover a large set, benchmark data and regression equations have been used from reliable companies and researchers.  In this case, we've used Capers Jones.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</si>
</sst>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8" formatCode="mmmm\ d\,\ yyyy"/>
  </numFmts>
  <fonts count="5" x14ac:knownFonts="1">
    <font>
      <sz val="10"/>
      <name val="Arial"/>
    </font>
    <font>
      <b/>
      <sz val="16"/>
      <name val="Arial"/>
      <family val="2"/>
    </font>
    <font>
      <b/>
      <sz val="10"/>
      <name val="Arial"/>
      <family val="2"/>
    </font>
    <font>
      <sz val="10"/>
      <name val="Arial"/>
      <family val="2"/>
    </font>
    <font>
      <sz val="12"/>
      <name val="Arial"/>
      <family val="2"/>
    </font>
  </fonts>
  <fills count="3">
    <fill>
      <patternFill patternType="none"/>
    </fill>
    <fill>
      <patternFill patternType="gray125"/>
    </fill>
    <fill>
      <patternFill patternType="solid">
        <fgColor indexed="44"/>
        <bgColor indexed="64"/>
      </patternFill>
    </fill>
  </fills>
  <borders count="72">
    <border>
      <left/>
      <right/>
      <top/>
      <bottom/>
      <diagonal/>
    </border>
    <border>
      <left style="double">
        <color indexed="64"/>
      </left>
      <right style="thin">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style="double">
        <color indexed="64"/>
      </right>
      <top style="double">
        <color indexed="64"/>
      </top>
      <bottom style="medium">
        <color indexed="64"/>
      </bottom>
      <diagonal/>
    </border>
    <border>
      <left style="double">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medium">
        <color indexed="64"/>
      </left>
      <right style="medium">
        <color indexed="64"/>
      </right>
      <top/>
      <bottom style="hair">
        <color indexed="64"/>
      </bottom>
      <diagonal/>
    </border>
    <border>
      <left/>
      <right style="medium">
        <color indexed="64"/>
      </right>
      <top/>
      <bottom style="hair">
        <color indexed="64"/>
      </bottom>
      <diagonal/>
    </border>
    <border>
      <left style="medium">
        <color indexed="64"/>
      </left>
      <right/>
      <top style="thin">
        <color indexed="64"/>
      </top>
      <bottom style="thin">
        <color indexed="64"/>
      </bottom>
      <diagonal/>
    </border>
    <border>
      <left/>
      <right style="medium">
        <color indexed="64"/>
      </right>
      <top style="hair">
        <color indexed="64"/>
      </top>
      <bottom style="hair">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diagonal/>
    </border>
    <border>
      <left style="medium">
        <color indexed="64"/>
      </left>
      <right style="thin">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s>
  <cellStyleXfs count="1">
    <xf numFmtId="0" fontId="0" fillId="0" borderId="0"/>
  </cellStyleXfs>
  <cellXfs count="123">
    <xf numFmtId="0" fontId="0" fillId="0" borderId="0" xfId="0"/>
    <xf numFmtId="0" fontId="1" fillId="0" borderId="0" xfId="0" applyFont="1"/>
    <xf numFmtId="0" fontId="2" fillId="0" borderId="0" xfId="0" applyFont="1"/>
    <xf numFmtId="0" fontId="0" fillId="0" borderId="0" xfId="0" applyProtection="1">
      <protection locked="0"/>
    </xf>
    <xf numFmtId="0" fontId="3" fillId="0" borderId="0" xfId="0" applyFont="1" applyAlignment="1">
      <alignment horizontal="left" indent="1"/>
    </xf>
    <xf numFmtId="0" fontId="0" fillId="0" borderId="0" xfId="0" quotePrefix="1" applyProtection="1">
      <protection locked="0"/>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right"/>
    </xf>
    <xf numFmtId="0" fontId="0" fillId="0" borderId="5" xfId="0" applyBorder="1"/>
    <xf numFmtId="0" fontId="0" fillId="0" borderId="6" xfId="0" applyBorder="1"/>
    <xf numFmtId="0" fontId="0" fillId="0" borderId="7" xfId="0" applyBorder="1"/>
    <xf numFmtId="0" fontId="2" fillId="0" borderId="8" xfId="0" applyFont="1" applyBorder="1" applyAlignment="1">
      <alignment horizontal="right"/>
    </xf>
    <xf numFmtId="0" fontId="0" fillId="0" borderId="9" xfId="0" applyBorder="1"/>
    <xf numFmtId="0" fontId="0" fillId="0" borderId="10" xfId="0" applyBorder="1"/>
    <xf numFmtId="0" fontId="0" fillId="0" borderId="11" xfId="0" applyBorder="1"/>
    <xf numFmtId="0" fontId="2" fillId="0" borderId="12" xfId="0" applyFont="1" applyBorder="1" applyAlignment="1">
      <alignment horizontal="right"/>
    </xf>
    <xf numFmtId="0" fontId="0" fillId="0" borderId="13" xfId="0" applyBorder="1"/>
    <xf numFmtId="0" fontId="0" fillId="0" borderId="14" xfId="0" applyBorder="1"/>
    <xf numFmtId="0" fontId="0" fillId="0" borderId="15" xfId="0" applyBorder="1"/>
    <xf numFmtId="0" fontId="4" fillId="0" borderId="0" xfId="0" applyFont="1"/>
    <xf numFmtId="4" fontId="0" fillId="0" borderId="0" xfId="0" applyNumberFormat="1" applyBorder="1" applyAlignment="1"/>
    <xf numFmtId="0" fontId="2" fillId="0" borderId="16" xfId="0" applyFont="1" applyBorder="1" applyAlignment="1">
      <alignment horizontal="right"/>
    </xf>
    <xf numFmtId="2" fontId="0" fillId="0" borderId="17" xfId="0" applyNumberFormat="1" applyBorder="1"/>
    <xf numFmtId="2" fontId="0" fillId="0" borderId="18" xfId="0" applyNumberFormat="1" applyBorder="1"/>
    <xf numFmtId="2" fontId="0" fillId="0" borderId="19" xfId="0" applyNumberFormat="1" applyBorder="1"/>
    <xf numFmtId="2" fontId="2" fillId="0" borderId="16" xfId="0" applyNumberFormat="1" applyFont="1" applyBorder="1"/>
    <xf numFmtId="0" fontId="0" fillId="0" borderId="0" xfId="0" applyAlignment="1"/>
    <xf numFmtId="0" fontId="0" fillId="0" borderId="0" xfId="0" applyAlignment="1">
      <alignment horizontal="right"/>
    </xf>
    <xf numFmtId="0" fontId="2" fillId="2" borderId="20" xfId="0" applyFont="1" applyFill="1" applyBorder="1" applyAlignment="1">
      <alignment horizontal="center"/>
    </xf>
    <xf numFmtId="0" fontId="2" fillId="2" borderId="21" xfId="0" applyFont="1" applyFill="1" applyBorder="1" applyAlignment="1" applyProtection="1">
      <alignment horizontal="center"/>
      <protection locked="0"/>
    </xf>
    <xf numFmtId="0" fontId="2" fillId="2" borderId="22" xfId="0" applyFont="1" applyFill="1" applyBorder="1" applyAlignment="1">
      <alignment horizontal="center"/>
    </xf>
    <xf numFmtId="0" fontId="2" fillId="2" borderId="23" xfId="0" applyFont="1" applyFill="1" applyBorder="1" applyAlignment="1" applyProtection="1">
      <alignment horizontal="center"/>
      <protection locked="0"/>
    </xf>
    <xf numFmtId="0" fontId="2" fillId="2" borderId="24" xfId="0" applyFont="1" applyFill="1" applyBorder="1" applyAlignment="1" applyProtection="1">
      <alignment horizontal="left"/>
      <protection locked="0"/>
    </xf>
    <xf numFmtId="0" fontId="2" fillId="2" borderId="25" xfId="0" applyFont="1" applyFill="1" applyBorder="1" applyAlignment="1">
      <alignment horizontal="center"/>
    </xf>
    <xf numFmtId="0" fontId="2" fillId="2" borderId="26" xfId="0" applyFont="1" applyFill="1" applyBorder="1" applyAlignment="1">
      <alignment horizontal="center"/>
    </xf>
    <xf numFmtId="0" fontId="2" fillId="2" borderId="27" xfId="0" applyFont="1" applyFill="1" applyBorder="1" applyAlignment="1">
      <alignment horizontal="center"/>
    </xf>
    <xf numFmtId="0" fontId="2" fillId="2" borderId="28" xfId="0" applyFont="1" applyFill="1" applyBorder="1" applyAlignment="1" applyProtection="1">
      <alignment horizontal="center"/>
      <protection locked="0"/>
    </xf>
    <xf numFmtId="0" fontId="2" fillId="2" borderId="29" xfId="0" applyFont="1" applyFill="1" applyBorder="1" applyAlignment="1">
      <alignment horizontal="center"/>
    </xf>
    <xf numFmtId="0" fontId="2" fillId="2" borderId="30" xfId="0" applyFont="1" applyFill="1" applyBorder="1" applyAlignment="1" applyProtection="1">
      <alignment horizontal="center"/>
      <protection locked="0"/>
    </xf>
    <xf numFmtId="0" fontId="2" fillId="2" borderId="31" xfId="0" applyFont="1" applyFill="1" applyBorder="1" applyAlignment="1" applyProtection="1">
      <alignment horizontal="left"/>
      <protection locked="0"/>
    </xf>
    <xf numFmtId="0" fontId="0" fillId="0" borderId="25" xfId="0" applyBorder="1" applyAlignment="1">
      <alignment horizontal="right" vertical="center"/>
    </xf>
    <xf numFmtId="2" fontId="0" fillId="0" borderId="6" xfId="0" applyNumberFormat="1" applyBorder="1" applyAlignment="1">
      <alignment vertical="center"/>
    </xf>
    <xf numFmtId="2" fontId="2" fillId="0" borderId="32" xfId="0" applyNumberFormat="1" applyFont="1" applyBorder="1" applyAlignment="1">
      <alignment vertical="center"/>
    </xf>
    <xf numFmtId="0" fontId="0" fillId="0" borderId="33" xfId="0" applyBorder="1" applyAlignment="1" applyProtection="1">
      <alignment horizontal="center" vertical="center"/>
      <protection locked="0"/>
    </xf>
    <xf numFmtId="0" fontId="0" fillId="0" borderId="34" xfId="0" applyBorder="1" applyAlignment="1" applyProtection="1">
      <alignment wrapText="1"/>
      <protection locked="0"/>
    </xf>
    <xf numFmtId="2" fontId="2" fillId="0" borderId="35" xfId="0" applyNumberFormat="1" applyFont="1" applyBorder="1" applyAlignment="1">
      <alignment vertical="center"/>
    </xf>
    <xf numFmtId="0" fontId="0" fillId="0" borderId="36" xfId="0" applyBorder="1" applyAlignment="1" applyProtection="1">
      <alignment wrapText="1"/>
      <protection locked="0"/>
    </xf>
    <xf numFmtId="0" fontId="0" fillId="0" borderId="37" xfId="0" applyBorder="1" applyAlignment="1">
      <alignment horizontal="right" vertical="center"/>
    </xf>
    <xf numFmtId="2" fontId="0" fillId="0" borderId="10" xfId="0" applyNumberFormat="1" applyBorder="1" applyAlignment="1">
      <alignment vertical="center"/>
    </xf>
    <xf numFmtId="0" fontId="0" fillId="0" borderId="38" xfId="0" applyBorder="1" applyAlignment="1">
      <alignment horizontal="right" vertical="center"/>
    </xf>
    <xf numFmtId="2" fontId="0" fillId="0" borderId="14" xfId="0" applyNumberFormat="1" applyBorder="1" applyAlignment="1">
      <alignment vertical="center"/>
    </xf>
    <xf numFmtId="0" fontId="0" fillId="0" borderId="39" xfId="0" applyBorder="1" applyAlignment="1" applyProtection="1">
      <alignment wrapText="1"/>
      <protection locked="0"/>
    </xf>
    <xf numFmtId="0" fontId="2" fillId="0" borderId="40" xfId="0" applyFont="1" applyBorder="1" applyAlignment="1">
      <alignment horizontal="right" vertical="center"/>
    </xf>
    <xf numFmtId="2" fontId="0" fillId="0" borderId="2" xfId="0" applyNumberFormat="1" applyBorder="1" applyAlignment="1">
      <alignment vertical="center"/>
    </xf>
    <xf numFmtId="2" fontId="2" fillId="0" borderId="41" xfId="0" applyNumberFormat="1" applyFont="1" applyBorder="1" applyAlignment="1">
      <alignment vertical="center"/>
    </xf>
    <xf numFmtId="2" fontId="2" fillId="0" borderId="42" xfId="0" applyNumberFormat="1" applyFont="1" applyBorder="1" applyAlignment="1">
      <alignment vertical="center"/>
    </xf>
    <xf numFmtId="0" fontId="0" fillId="0" borderId="42" xfId="0" applyBorder="1" applyAlignment="1">
      <alignment horizontal="center" vertical="center"/>
    </xf>
    <xf numFmtId="0" fontId="0" fillId="0" borderId="42" xfId="0" applyBorder="1" applyAlignment="1">
      <alignment wrapText="1"/>
    </xf>
    <xf numFmtId="0" fontId="2" fillId="0" borderId="0" xfId="0" applyFont="1" applyBorder="1" applyAlignment="1">
      <alignment horizontal="right"/>
    </xf>
    <xf numFmtId="2" fontId="0" fillId="0" borderId="0" xfId="0" applyNumberFormat="1" applyBorder="1"/>
    <xf numFmtId="2" fontId="2" fillId="0" borderId="0" xfId="0" applyNumberFormat="1" applyFont="1" applyBorder="1"/>
    <xf numFmtId="0" fontId="0" fillId="0" borderId="0" xfId="0" applyBorder="1" applyAlignment="1">
      <alignment horizontal="center"/>
    </xf>
    <xf numFmtId="0" fontId="0" fillId="2" borderId="20" xfId="0" applyFill="1" applyBorder="1"/>
    <xf numFmtId="0" fontId="0" fillId="2" borderId="24" xfId="0" applyFill="1" applyBorder="1"/>
    <xf numFmtId="0" fontId="2" fillId="0" borderId="43" xfId="0" applyFont="1" applyBorder="1" applyAlignment="1">
      <alignment horizontal="left"/>
    </xf>
    <xf numFmtId="0" fontId="2" fillId="0" borderId="16" xfId="0" applyFont="1" applyBorder="1" applyAlignment="1">
      <alignment horizontal="center"/>
    </xf>
    <xf numFmtId="0" fontId="2" fillId="2" borderId="44" xfId="0" applyFont="1" applyFill="1" applyBorder="1" applyAlignment="1">
      <alignment horizontal="center"/>
    </xf>
    <xf numFmtId="0" fontId="2" fillId="2" borderId="45" xfId="0" applyFont="1" applyFill="1" applyBorder="1" applyAlignment="1">
      <alignment horizontal="center"/>
    </xf>
    <xf numFmtId="0" fontId="2" fillId="2" borderId="46" xfId="0" applyFont="1" applyFill="1" applyBorder="1" applyAlignment="1">
      <alignment horizontal="center"/>
    </xf>
    <xf numFmtId="0" fontId="2" fillId="2" borderId="31" xfId="0" applyFont="1" applyFill="1" applyBorder="1" applyAlignment="1">
      <alignment horizontal="left"/>
    </xf>
    <xf numFmtId="0" fontId="3" fillId="0" borderId="25" xfId="0" applyFont="1" applyBorder="1" applyAlignment="1">
      <alignment horizontal="right" vertical="center" wrapText="1"/>
    </xf>
    <xf numFmtId="2" fontId="3" fillId="0" borderId="17" xfId="0" applyNumberFormat="1" applyFont="1" applyBorder="1" applyAlignment="1">
      <alignment horizontal="right" vertical="center" wrapText="1"/>
    </xf>
    <xf numFmtId="2" fontId="0" fillId="0" borderId="47" xfId="0" applyNumberFormat="1" applyBorder="1" applyAlignment="1">
      <alignment vertical="center"/>
    </xf>
    <xf numFmtId="2" fontId="0" fillId="0" borderId="48" xfId="0" applyNumberFormat="1" applyBorder="1" applyAlignment="1">
      <alignment vertical="center"/>
    </xf>
    <xf numFmtId="2" fontId="0" fillId="0" borderId="49" xfId="0" applyNumberFormat="1" applyBorder="1" applyAlignment="1">
      <alignment vertical="center"/>
    </xf>
    <xf numFmtId="0" fontId="2" fillId="0" borderId="25" xfId="0" applyFont="1" applyBorder="1" applyAlignment="1">
      <alignment horizontal="center" vertical="center"/>
    </xf>
    <xf numFmtId="0" fontId="0" fillId="0" borderId="50" xfId="0" applyBorder="1" applyAlignment="1">
      <alignment wrapText="1"/>
    </xf>
    <xf numFmtId="2" fontId="0" fillId="0" borderId="35" xfId="0" applyNumberFormat="1" applyBorder="1" applyAlignment="1">
      <alignment vertical="center"/>
    </xf>
    <xf numFmtId="2" fontId="0" fillId="0" borderId="18" xfId="0" applyNumberFormat="1" applyBorder="1" applyAlignment="1">
      <alignment vertical="center"/>
    </xf>
    <xf numFmtId="0" fontId="2" fillId="0" borderId="37" xfId="0" applyFont="1" applyBorder="1" applyAlignment="1">
      <alignment horizontal="center" vertical="center"/>
    </xf>
    <xf numFmtId="0" fontId="0" fillId="0" borderId="51" xfId="0" applyBorder="1" applyAlignment="1">
      <alignment wrapText="1"/>
    </xf>
    <xf numFmtId="0" fontId="3" fillId="0" borderId="37" xfId="0" applyFont="1" applyBorder="1" applyAlignment="1">
      <alignment horizontal="right" vertical="center" wrapText="1"/>
    </xf>
    <xf numFmtId="2" fontId="3" fillId="0" borderId="18" xfId="0" applyNumberFormat="1" applyFont="1" applyBorder="1" applyAlignment="1">
      <alignment vertical="center" wrapText="1"/>
    </xf>
    <xf numFmtId="0" fontId="3" fillId="0" borderId="52" xfId="0" applyFont="1" applyBorder="1" applyAlignment="1">
      <alignment horizontal="right" vertical="center" wrapText="1"/>
    </xf>
    <xf numFmtId="2" fontId="3" fillId="0" borderId="19" xfId="0" applyNumberFormat="1" applyFont="1" applyBorder="1" applyAlignment="1">
      <alignment vertical="center" wrapText="1"/>
    </xf>
    <xf numFmtId="2" fontId="0" fillId="0" borderId="53" xfId="0" applyNumberFormat="1" applyBorder="1" applyAlignment="1">
      <alignment vertical="center"/>
    </xf>
    <xf numFmtId="2" fontId="0" fillId="0" borderId="54" xfId="0" applyNumberFormat="1" applyBorder="1" applyAlignment="1">
      <alignment vertical="center"/>
    </xf>
    <xf numFmtId="0" fontId="2" fillId="0" borderId="55" xfId="0" applyFont="1" applyBorder="1" applyAlignment="1">
      <alignment horizontal="center" vertical="center"/>
    </xf>
    <xf numFmtId="0" fontId="0" fillId="0" borderId="56" xfId="0" applyBorder="1" applyAlignment="1">
      <alignment wrapText="1"/>
    </xf>
    <xf numFmtId="0" fontId="2" fillId="0" borderId="40" xfId="0" applyFont="1" applyBorder="1" applyAlignment="1">
      <alignment horizontal="right"/>
    </xf>
    <xf numFmtId="2" fontId="2" fillId="0" borderId="41" xfId="0" applyNumberFormat="1" applyFont="1" applyBorder="1"/>
    <xf numFmtId="2" fontId="2" fillId="0" borderId="57" xfId="0" applyNumberFormat="1" applyFont="1" applyBorder="1"/>
    <xf numFmtId="2" fontId="2" fillId="0" borderId="2" xfId="0" applyNumberFormat="1" applyFont="1" applyBorder="1"/>
    <xf numFmtId="2" fontId="2" fillId="0" borderId="58" xfId="0" applyNumberFormat="1" applyFont="1" applyBorder="1"/>
    <xf numFmtId="0" fontId="2" fillId="0" borderId="0" xfId="0" applyFont="1" applyAlignment="1">
      <alignment horizontal="center"/>
    </xf>
    <xf numFmtId="0" fontId="0" fillId="0" borderId="0" xfId="0" applyAlignment="1">
      <alignment horizontal="left" wrapText="1"/>
    </xf>
    <xf numFmtId="0" fontId="2" fillId="2" borderId="59" xfId="0" applyFont="1" applyFill="1" applyBorder="1" applyAlignment="1">
      <alignment horizontal="center"/>
    </xf>
    <xf numFmtId="0" fontId="2" fillId="2" borderId="60" xfId="0" applyFont="1" applyFill="1" applyBorder="1" applyAlignment="1">
      <alignment horizontal="center"/>
    </xf>
    <xf numFmtId="0" fontId="0" fillId="0" borderId="0" xfId="0" applyAlignment="1">
      <alignment horizontal="left" wrapText="1"/>
    </xf>
    <xf numFmtId="0" fontId="2" fillId="2" borderId="20" xfId="0" applyFont="1" applyFill="1" applyBorder="1" applyAlignment="1">
      <alignment horizontal="center" wrapText="1"/>
    </xf>
    <xf numFmtId="0" fontId="2" fillId="2" borderId="61" xfId="0" applyFont="1" applyFill="1" applyBorder="1" applyAlignment="1">
      <alignment horizontal="center" wrapText="1"/>
    </xf>
    <xf numFmtId="0" fontId="2" fillId="2" borderId="21" xfId="0" applyFont="1" applyFill="1" applyBorder="1" applyAlignment="1">
      <alignment horizontal="center" wrapText="1"/>
    </xf>
    <xf numFmtId="0" fontId="0" fillId="0" borderId="35" xfId="0" applyBorder="1" applyAlignment="1">
      <alignment horizontal="left"/>
    </xf>
    <xf numFmtId="0" fontId="0" fillId="0" borderId="63" xfId="0" applyBorder="1" applyAlignment="1"/>
    <xf numFmtId="0" fontId="0" fillId="0" borderId="9" xfId="0" applyBorder="1" applyAlignment="1"/>
    <xf numFmtId="0" fontId="0" fillId="0" borderId="66" xfId="0" applyBorder="1" applyAlignment="1">
      <alignment horizontal="left"/>
    </xf>
    <xf numFmtId="0" fontId="0" fillId="0" borderId="67" xfId="0" applyBorder="1" applyAlignment="1"/>
    <xf numFmtId="0" fontId="0" fillId="0" borderId="68" xfId="0" applyBorder="1" applyAlignment="1"/>
    <xf numFmtId="0" fontId="2" fillId="0" borderId="69" xfId="0" applyFont="1" applyBorder="1" applyAlignment="1">
      <alignment horizontal="right"/>
    </xf>
    <xf numFmtId="0" fontId="2" fillId="0" borderId="70" xfId="0" applyFont="1" applyBorder="1" applyAlignment="1">
      <alignment horizontal="right"/>
    </xf>
    <xf numFmtId="0" fontId="2" fillId="0" borderId="71" xfId="0" applyFont="1" applyBorder="1" applyAlignment="1">
      <alignment horizontal="right"/>
    </xf>
    <xf numFmtId="0" fontId="2" fillId="0" borderId="43" xfId="0" applyFont="1" applyBorder="1" applyAlignment="1">
      <alignment horizontal="center"/>
    </xf>
    <xf numFmtId="0" fontId="0" fillId="0" borderId="64" xfId="0" applyBorder="1" applyAlignment="1"/>
    <xf numFmtId="0" fontId="0" fillId="0" borderId="32" xfId="0" applyBorder="1" applyAlignment="1">
      <alignment horizontal="left"/>
    </xf>
    <xf numFmtId="0" fontId="0" fillId="0" borderId="65" xfId="0" applyBorder="1" applyAlignment="1"/>
    <xf numFmtId="0" fontId="0" fillId="0" borderId="5" xfId="0" applyBorder="1" applyAlignment="1"/>
    <xf numFmtId="4" fontId="0" fillId="0" borderId="62" xfId="0" applyNumberFormat="1" applyBorder="1" applyAlignment="1"/>
    <xf numFmtId="4" fontId="0" fillId="0" borderId="9" xfId="0" applyNumberFormat="1" applyBorder="1" applyAlignment="1"/>
    <xf numFmtId="0" fontId="0" fillId="0" borderId="62" xfId="0" applyBorder="1" applyAlignment="1"/>
    <xf numFmtId="2" fontId="0" fillId="0" borderId="62" xfId="0" applyNumberFormat="1" applyBorder="1" applyAlignment="1"/>
    <xf numFmtId="178" fontId="0" fillId="0" borderId="0" xfId="0" applyNumberFormat="1" applyAlignment="1" applyProtection="1">
      <alignment horizontal="left"/>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ample%20Application%20FP%20Coun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imate"/>
      <sheetName val="Boundary and Scope"/>
      <sheetName val="Formulations"/>
      <sheetName val="Internal Logical Files (ILF)"/>
      <sheetName val="External Interface Files (EIF)"/>
      <sheetName val="Transactions (EI-EO-EQ)"/>
      <sheetName val="General System Characteristics"/>
      <sheetName val="Counter Notes"/>
      <sheetName val="Requirements"/>
      <sheetName val="Use Cases"/>
      <sheetName val="Data Dictionary"/>
    </sheetNames>
    <sheetDataSet>
      <sheetData sheetId="0"/>
      <sheetData sheetId="1"/>
      <sheetData sheetId="2">
        <row r="4">
          <cell r="E4">
            <v>14</v>
          </cell>
          <cell r="I4">
            <v>20</v>
          </cell>
          <cell r="M4">
            <v>45</v>
          </cell>
        </row>
        <row r="5">
          <cell r="E5">
            <v>20</v>
          </cell>
          <cell r="I5">
            <v>7</v>
          </cell>
          <cell r="M5">
            <v>20</v>
          </cell>
        </row>
        <row r="7">
          <cell r="E7">
            <v>9</v>
          </cell>
          <cell r="I7">
            <v>0</v>
          </cell>
          <cell r="M7">
            <v>18</v>
          </cell>
        </row>
        <row r="8">
          <cell r="E8">
            <v>12</v>
          </cell>
          <cell r="I8">
            <v>0</v>
          </cell>
          <cell r="M8">
            <v>14</v>
          </cell>
        </row>
        <row r="9">
          <cell r="E9">
            <v>27</v>
          </cell>
          <cell r="I9">
            <v>16</v>
          </cell>
          <cell r="M9">
            <v>0</v>
          </cell>
        </row>
        <row r="10">
          <cell r="O10">
            <v>222</v>
          </cell>
        </row>
      </sheetData>
      <sheetData sheetId="3"/>
      <sheetData sheetId="4"/>
      <sheetData sheetId="5"/>
      <sheetData sheetId="6">
        <row r="18">
          <cell r="B18">
            <v>1.01</v>
          </cell>
        </row>
      </sheetData>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56"/>
  <sheetViews>
    <sheetView workbookViewId="0">
      <selection activeCell="D10" sqref="D10"/>
    </sheetView>
  </sheetViews>
  <sheetFormatPr defaultRowHeight="12.5" x14ac:dyDescent="0.25"/>
  <cols>
    <col min="1" max="1" width="4.36328125" customWidth="1"/>
    <col min="2" max="2" width="32.90625" style="29" customWidth="1"/>
    <col min="3" max="4" width="10.6328125" style="29" customWidth="1"/>
    <col min="5" max="8" width="10.6328125" customWidth="1"/>
    <col min="9" max="9" width="50.453125" customWidth="1"/>
  </cols>
  <sheetData>
    <row r="1" spans="2:9" x14ac:dyDescent="0.25">
      <c r="B1" s="28" t="s">
        <v>41</v>
      </c>
      <c r="C1" s="28"/>
      <c r="D1" s="28"/>
    </row>
    <row r="2" spans="2:9" ht="13" thickBot="1" x14ac:dyDescent="0.3"/>
    <row r="3" spans="2:9" ht="13" x14ac:dyDescent="0.3">
      <c r="B3" s="30"/>
      <c r="C3" s="98" t="s">
        <v>42</v>
      </c>
      <c r="D3" s="98"/>
      <c r="E3" s="99"/>
      <c r="F3" s="31"/>
      <c r="G3" s="32"/>
      <c r="H3" s="33"/>
      <c r="I3" s="34"/>
    </row>
    <row r="4" spans="2:9" ht="13.5" thickBot="1" x14ac:dyDescent="0.35">
      <c r="B4" s="35" t="s">
        <v>43</v>
      </c>
      <c r="C4" s="36" t="s">
        <v>44</v>
      </c>
      <c r="D4" s="37" t="s">
        <v>45</v>
      </c>
      <c r="E4" s="37" t="s">
        <v>46</v>
      </c>
      <c r="F4" s="38" t="s">
        <v>47</v>
      </c>
      <c r="G4" s="39" t="s">
        <v>48</v>
      </c>
      <c r="H4" s="40" t="s">
        <v>47</v>
      </c>
      <c r="I4" s="41" t="s">
        <v>49</v>
      </c>
    </row>
    <row r="5" spans="2:9" ht="13" x14ac:dyDescent="0.25">
      <c r="B5" s="42" t="s">
        <v>50</v>
      </c>
      <c r="C5" s="43">
        <v>0.38</v>
      </c>
      <c r="D5" s="43">
        <v>0.75</v>
      </c>
      <c r="E5" s="43">
        <v>2.64</v>
      </c>
      <c r="F5" s="43">
        <v>0.75</v>
      </c>
      <c r="G5" s="44">
        <f>F5*'FP Summary'!C38</f>
        <v>168.16499999999999</v>
      </c>
      <c r="H5" s="45"/>
      <c r="I5" s="46"/>
    </row>
    <row r="6" spans="2:9" ht="13" x14ac:dyDescent="0.25">
      <c r="B6" s="42" t="s">
        <v>51</v>
      </c>
      <c r="C6" s="43">
        <v>0.53</v>
      </c>
      <c r="D6" s="43">
        <v>0.88</v>
      </c>
      <c r="E6" s="43">
        <v>5.28</v>
      </c>
      <c r="F6" s="43">
        <v>0.88</v>
      </c>
      <c r="G6" s="47">
        <f>F6*'FP Summary'!$C$38</f>
        <v>197.31360000000001</v>
      </c>
      <c r="H6" s="45"/>
      <c r="I6" s="48"/>
    </row>
    <row r="7" spans="2:9" ht="13" x14ac:dyDescent="0.25">
      <c r="B7" s="42" t="s">
        <v>52</v>
      </c>
      <c r="C7" s="43">
        <v>0.26</v>
      </c>
      <c r="D7" s="43">
        <v>0.44</v>
      </c>
      <c r="E7" s="43">
        <v>1.32</v>
      </c>
      <c r="F7" s="43">
        <v>0.44</v>
      </c>
      <c r="G7" s="47">
        <f>F7*'FP Summary'!$C$38</f>
        <v>98.656800000000004</v>
      </c>
      <c r="H7" s="45"/>
      <c r="I7" s="48"/>
    </row>
    <row r="8" spans="2:9" ht="13" x14ac:dyDescent="0.25">
      <c r="B8" s="42" t="s">
        <v>53</v>
      </c>
      <c r="C8" s="43">
        <v>0.09</v>
      </c>
      <c r="D8" s="43">
        <v>0.26</v>
      </c>
      <c r="E8" s="43">
        <v>0.66</v>
      </c>
      <c r="F8" s="43">
        <v>0.26</v>
      </c>
      <c r="G8" s="47">
        <f>F8*'FP Summary'!$C$38</f>
        <v>58.297200000000004</v>
      </c>
      <c r="H8" s="45"/>
      <c r="I8" s="48"/>
    </row>
    <row r="9" spans="2:9" ht="13" x14ac:dyDescent="0.25">
      <c r="B9" s="42" t="s">
        <v>54</v>
      </c>
      <c r="C9" s="43">
        <v>0.33</v>
      </c>
      <c r="D9" s="43">
        <v>0.75</v>
      </c>
      <c r="E9" s="43">
        <v>2.64</v>
      </c>
      <c r="F9" s="43">
        <v>0.5</v>
      </c>
      <c r="G9" s="47">
        <f>F9*'FP Summary'!$C$38</f>
        <v>112.11</v>
      </c>
      <c r="H9" s="45" t="s">
        <v>55</v>
      </c>
      <c r="I9" s="48" t="s">
        <v>56</v>
      </c>
    </row>
    <row r="10" spans="2:9" ht="13" x14ac:dyDescent="0.25">
      <c r="B10" s="49" t="s">
        <v>57</v>
      </c>
      <c r="C10" s="50">
        <v>0.44</v>
      </c>
      <c r="D10" s="50">
        <v>0.88</v>
      </c>
      <c r="E10" s="50">
        <v>5.28</v>
      </c>
      <c r="F10" s="50">
        <v>0.88</v>
      </c>
      <c r="G10" s="47">
        <f>F10*'FP Summary'!$C$38</f>
        <v>197.31360000000001</v>
      </c>
      <c r="H10" s="45"/>
      <c r="I10" s="48"/>
    </row>
    <row r="11" spans="2:9" ht="13" x14ac:dyDescent="0.25">
      <c r="B11" s="49" t="s">
        <v>58</v>
      </c>
      <c r="C11" s="50">
        <v>0.33</v>
      </c>
      <c r="D11" s="50">
        <v>0.59</v>
      </c>
      <c r="E11" s="50">
        <v>1.76</v>
      </c>
      <c r="F11" s="50">
        <v>0.59</v>
      </c>
      <c r="G11" s="47">
        <f>F11*'FP Summary'!$C$38</f>
        <v>132.28979999999999</v>
      </c>
      <c r="H11" s="45"/>
      <c r="I11" s="48"/>
    </row>
    <row r="12" spans="2:9" ht="13" x14ac:dyDescent="0.25">
      <c r="B12" s="49" t="s">
        <v>59</v>
      </c>
      <c r="C12" s="50">
        <v>0.66</v>
      </c>
      <c r="D12" s="50">
        <v>2.64</v>
      </c>
      <c r="E12" s="50">
        <v>8.8000000000000007</v>
      </c>
      <c r="F12" s="50">
        <v>2.64</v>
      </c>
      <c r="G12" s="47">
        <f>F12*'FP Summary'!$C$38</f>
        <v>591.94080000000008</v>
      </c>
      <c r="H12" s="45"/>
      <c r="I12" s="48"/>
    </row>
    <row r="13" spans="2:9" ht="13" x14ac:dyDescent="0.25">
      <c r="B13" s="49" t="s">
        <v>60</v>
      </c>
      <c r="C13" s="50">
        <v>7.0000000000000007E-2</v>
      </c>
      <c r="D13" s="50">
        <v>0.22</v>
      </c>
      <c r="E13" s="50">
        <v>0.33</v>
      </c>
      <c r="F13" s="50">
        <v>0</v>
      </c>
      <c r="G13" s="47">
        <f>F13*'FP Summary'!$C$38</f>
        <v>0</v>
      </c>
      <c r="H13" s="45" t="s">
        <v>55</v>
      </c>
      <c r="I13" s="48" t="s">
        <v>61</v>
      </c>
    </row>
    <row r="14" spans="2:9" ht="13" x14ac:dyDescent="0.25">
      <c r="B14" s="49" t="s">
        <v>62</v>
      </c>
      <c r="C14" s="50">
        <v>0.09</v>
      </c>
      <c r="D14" s="50">
        <v>0.33</v>
      </c>
      <c r="E14" s="50">
        <v>0.38</v>
      </c>
      <c r="F14" s="50">
        <v>0.33</v>
      </c>
      <c r="G14" s="47">
        <f>F14*'FP Summary'!$C$38</f>
        <v>73.99260000000001</v>
      </c>
      <c r="H14" s="45"/>
      <c r="I14" s="48"/>
    </row>
    <row r="15" spans="2:9" ht="13" x14ac:dyDescent="0.25">
      <c r="B15" s="49" t="s">
        <v>63</v>
      </c>
      <c r="C15" s="50">
        <v>0.44</v>
      </c>
      <c r="D15" s="50">
        <v>0.88</v>
      </c>
      <c r="E15" s="50">
        <v>1.76</v>
      </c>
      <c r="F15" s="50">
        <v>0.88</v>
      </c>
      <c r="G15" s="47">
        <f>F15*'FP Summary'!$C$38</f>
        <v>197.31360000000001</v>
      </c>
      <c r="H15" s="45"/>
      <c r="I15" s="48"/>
    </row>
    <row r="16" spans="2:9" ht="13" x14ac:dyDescent="0.25">
      <c r="B16" s="49" t="s">
        <v>64</v>
      </c>
      <c r="C16" s="50">
        <v>0.66</v>
      </c>
      <c r="D16" s="50">
        <v>1.06</v>
      </c>
      <c r="E16" s="50">
        <v>1.76</v>
      </c>
      <c r="F16" s="50">
        <v>0</v>
      </c>
      <c r="G16" s="47">
        <f>F16*'FP Summary'!$C$38</f>
        <v>0</v>
      </c>
      <c r="H16" s="45" t="s">
        <v>55</v>
      </c>
      <c r="I16" s="48" t="s">
        <v>61</v>
      </c>
    </row>
    <row r="17" spans="2:9" ht="13" x14ac:dyDescent="0.25">
      <c r="B17" s="49" t="s">
        <v>65</v>
      </c>
      <c r="C17" s="50">
        <v>0.04</v>
      </c>
      <c r="D17" s="50">
        <v>0.08</v>
      </c>
      <c r="E17" s="50">
        <v>0.13</v>
      </c>
      <c r="F17" s="50">
        <v>0.08</v>
      </c>
      <c r="G17" s="47">
        <f>F17*'FP Summary'!$C$38</f>
        <v>17.9376</v>
      </c>
      <c r="H17" s="45"/>
      <c r="I17" s="48"/>
    </row>
    <row r="18" spans="2:9" ht="13" x14ac:dyDescent="0.25">
      <c r="B18" s="49" t="s">
        <v>66</v>
      </c>
      <c r="C18" s="50">
        <v>0.26</v>
      </c>
      <c r="D18" s="50">
        <v>0.53</v>
      </c>
      <c r="E18" s="50">
        <v>0.88</v>
      </c>
      <c r="F18" s="50">
        <v>0.53</v>
      </c>
      <c r="G18" s="47">
        <f>F18*'FP Summary'!$C$38</f>
        <v>118.8366</v>
      </c>
      <c r="H18" s="45"/>
      <c r="I18" s="48"/>
    </row>
    <row r="19" spans="2:9" ht="13" x14ac:dyDescent="0.25">
      <c r="B19" s="49" t="s">
        <v>67</v>
      </c>
      <c r="C19" s="50">
        <v>1.32</v>
      </c>
      <c r="D19" s="50">
        <v>1.89</v>
      </c>
      <c r="E19" s="50">
        <v>6.6</v>
      </c>
      <c r="F19" s="50">
        <v>1.89</v>
      </c>
      <c r="G19" s="47">
        <f>F19*'FP Summary'!$C$38</f>
        <v>423.7758</v>
      </c>
      <c r="H19" s="45"/>
      <c r="I19" s="48"/>
    </row>
    <row r="20" spans="2:9" ht="13" x14ac:dyDescent="0.25">
      <c r="B20" s="49" t="s">
        <v>68</v>
      </c>
      <c r="C20" s="50">
        <v>0.33</v>
      </c>
      <c r="D20" s="50">
        <v>0.88</v>
      </c>
      <c r="E20" s="50">
        <v>1.89</v>
      </c>
      <c r="F20" s="50">
        <v>0.88</v>
      </c>
      <c r="G20" s="47">
        <f>F20*'FP Summary'!$C$38</f>
        <v>197.31360000000001</v>
      </c>
      <c r="H20" s="45"/>
      <c r="I20" s="48"/>
    </row>
    <row r="21" spans="2:9" ht="13" x14ac:dyDescent="0.25">
      <c r="B21" s="49" t="s">
        <v>69</v>
      </c>
      <c r="C21" s="50">
        <v>0.44</v>
      </c>
      <c r="D21" s="50">
        <v>0.88</v>
      </c>
      <c r="E21" s="50">
        <v>5.28</v>
      </c>
      <c r="F21" s="50">
        <v>0.88</v>
      </c>
      <c r="G21" s="47">
        <f>F21*'FP Summary'!$C$38</f>
        <v>197.31360000000001</v>
      </c>
      <c r="H21" s="45"/>
      <c r="I21" s="48"/>
    </row>
    <row r="22" spans="2:9" ht="13" x14ac:dyDescent="0.25">
      <c r="B22" s="49" t="s">
        <v>70</v>
      </c>
      <c r="C22" s="50">
        <v>0.33</v>
      </c>
      <c r="D22" s="50">
        <v>0.75</v>
      </c>
      <c r="E22" s="50">
        <v>1.76</v>
      </c>
      <c r="F22" s="50">
        <v>0.75</v>
      </c>
      <c r="G22" s="47">
        <f>F22*'FP Summary'!$C$38</f>
        <v>168.16499999999999</v>
      </c>
      <c r="H22" s="45"/>
      <c r="I22" s="48"/>
    </row>
    <row r="23" spans="2:9" ht="13" x14ac:dyDescent="0.25">
      <c r="B23" s="49" t="s">
        <v>71</v>
      </c>
      <c r="C23" s="50">
        <v>0.26</v>
      </c>
      <c r="D23" s="50">
        <v>0.66</v>
      </c>
      <c r="E23" s="50">
        <v>1.32</v>
      </c>
      <c r="F23" s="50">
        <v>0.66</v>
      </c>
      <c r="G23" s="47">
        <f>F23*'FP Summary'!$C$38</f>
        <v>147.98520000000002</v>
      </c>
      <c r="H23" s="45"/>
      <c r="I23" s="48"/>
    </row>
    <row r="24" spans="2:9" ht="13" x14ac:dyDescent="0.25">
      <c r="B24" s="49" t="s">
        <v>72</v>
      </c>
      <c r="C24" s="50">
        <v>0.26</v>
      </c>
      <c r="D24" s="50">
        <v>0.59</v>
      </c>
      <c r="E24" s="50">
        <v>1.76</v>
      </c>
      <c r="F24" s="50">
        <v>0.59</v>
      </c>
      <c r="G24" s="47">
        <f>F24*'FP Summary'!$C$38</f>
        <v>132.28979999999999</v>
      </c>
      <c r="H24" s="45"/>
      <c r="I24" s="48"/>
    </row>
    <row r="25" spans="2:9" ht="13" x14ac:dyDescent="0.25">
      <c r="B25" s="49" t="s">
        <v>73</v>
      </c>
      <c r="C25" s="50">
        <v>0.22</v>
      </c>
      <c r="D25" s="50">
        <v>0.38</v>
      </c>
      <c r="E25" s="50">
        <v>1.76</v>
      </c>
      <c r="F25" s="50">
        <v>0.38</v>
      </c>
      <c r="G25" s="47">
        <f>F25*'FP Summary'!$C$38</f>
        <v>85.203599999999994</v>
      </c>
      <c r="H25" s="45"/>
      <c r="I25" s="48"/>
    </row>
    <row r="26" spans="2:9" ht="13" x14ac:dyDescent="0.25">
      <c r="B26" s="49" t="s">
        <v>74</v>
      </c>
      <c r="C26" s="50">
        <v>0.44</v>
      </c>
      <c r="D26" s="50">
        <v>0.66</v>
      </c>
      <c r="E26" s="50">
        <v>1.32</v>
      </c>
      <c r="F26" s="50">
        <v>0.66</v>
      </c>
      <c r="G26" s="47">
        <f>F26*'FP Summary'!$C$38</f>
        <v>147.98520000000002</v>
      </c>
      <c r="H26" s="45"/>
      <c r="I26" s="48"/>
    </row>
    <row r="27" spans="2:9" ht="13" x14ac:dyDescent="0.25">
      <c r="B27" s="49" t="s">
        <v>75</v>
      </c>
      <c r="C27" s="50">
        <v>0.44</v>
      </c>
      <c r="D27" s="50">
        <v>0.88</v>
      </c>
      <c r="E27" s="50">
        <v>4.4000000000000004</v>
      </c>
      <c r="F27" s="50">
        <v>0.88</v>
      </c>
      <c r="G27" s="47">
        <f>F27*'FP Summary'!$C$38</f>
        <v>197.31360000000001</v>
      </c>
      <c r="H27" s="45"/>
      <c r="I27" s="48"/>
    </row>
    <row r="28" spans="2:9" ht="13" x14ac:dyDescent="0.25">
      <c r="B28" s="49" t="s">
        <v>76</v>
      </c>
      <c r="C28" s="50">
        <v>0.22</v>
      </c>
      <c r="D28" s="50">
        <v>0.38</v>
      </c>
      <c r="E28" s="50">
        <v>0.88</v>
      </c>
      <c r="F28" s="50">
        <v>0.38</v>
      </c>
      <c r="G28" s="47">
        <f>F28*'FP Summary'!$C$38</f>
        <v>85.203599999999994</v>
      </c>
      <c r="H28" s="45"/>
      <c r="I28" s="48"/>
    </row>
    <row r="29" spans="2:9" ht="13.5" thickBot="1" x14ac:dyDescent="0.3">
      <c r="B29" s="51" t="s">
        <v>77</v>
      </c>
      <c r="C29" s="52">
        <v>0.66</v>
      </c>
      <c r="D29" s="52">
        <v>1.32</v>
      </c>
      <c r="E29" s="52">
        <v>8.8000000000000007</v>
      </c>
      <c r="F29" s="52">
        <v>1.32</v>
      </c>
      <c r="G29" s="47">
        <f>F29*'FP Summary'!$C$38</f>
        <v>295.97040000000004</v>
      </c>
      <c r="H29" s="45"/>
      <c r="I29" s="53"/>
    </row>
    <row r="30" spans="2:9" ht="14" thickTop="1" thickBot="1" x14ac:dyDescent="0.3">
      <c r="B30" s="54" t="s">
        <v>78</v>
      </c>
      <c r="C30" s="55">
        <f>SUM(C5:C29)</f>
        <v>9.5</v>
      </c>
      <c r="D30" s="55">
        <f>SUM(D5:D29)</f>
        <v>19.559999999999999</v>
      </c>
      <c r="E30" s="55">
        <f>SUM(E5:E29)</f>
        <v>69.39</v>
      </c>
      <c r="F30" s="56">
        <f>SUM(F5:F29)</f>
        <v>18.03</v>
      </c>
      <c r="G30" s="57">
        <f>SUM(G5:G29)</f>
        <v>4042.6866</v>
      </c>
      <c r="H30" s="58"/>
      <c r="I30" s="59"/>
    </row>
    <row r="31" spans="2:9" ht="13" x14ac:dyDescent="0.3">
      <c r="B31" s="60"/>
      <c r="C31" s="61"/>
      <c r="D31" s="61"/>
      <c r="E31" s="61"/>
      <c r="F31" s="62"/>
      <c r="G31" s="62"/>
      <c r="H31" s="63"/>
    </row>
    <row r="32" spans="2:9" ht="13.5" hidden="1" thickBot="1" x14ac:dyDescent="0.35">
      <c r="E32" s="101" t="s">
        <v>79</v>
      </c>
      <c r="F32" s="102"/>
      <c r="G32" s="103"/>
      <c r="H32" s="64"/>
      <c r="I32" s="65"/>
    </row>
    <row r="33" spans="2:9" ht="12.75" hidden="1" customHeight="1" thickBot="1" x14ac:dyDescent="0.35">
      <c r="B33" s="66" t="s">
        <v>80</v>
      </c>
      <c r="C33" s="67" t="s">
        <v>48</v>
      </c>
      <c r="E33" s="68" t="s">
        <v>81</v>
      </c>
      <c r="F33" s="37" t="s">
        <v>82</v>
      </c>
      <c r="G33" s="69" t="s">
        <v>83</v>
      </c>
      <c r="H33" s="70" t="s">
        <v>47</v>
      </c>
      <c r="I33" s="71" t="s">
        <v>49</v>
      </c>
    </row>
    <row r="34" spans="2:9" ht="13" hidden="1" x14ac:dyDescent="0.25">
      <c r="B34" s="72" t="s">
        <v>84</v>
      </c>
      <c r="C34" s="73">
        <f>G6+G7+G9</f>
        <v>408.08040000000005</v>
      </c>
      <c r="E34" s="74">
        <v>0</v>
      </c>
      <c r="F34" s="75">
        <f>E34</f>
        <v>0</v>
      </c>
      <c r="G34" s="76">
        <f>'FP Summary'!$C$38*F34</f>
        <v>0</v>
      </c>
      <c r="H34" s="77"/>
      <c r="I34" s="78"/>
    </row>
    <row r="35" spans="2:9" ht="25" hidden="1" x14ac:dyDescent="0.25">
      <c r="B35" s="72" t="s">
        <v>50</v>
      </c>
      <c r="C35" s="73">
        <f>G5</f>
        <v>168.16499999999999</v>
      </c>
      <c r="E35" s="79">
        <v>1</v>
      </c>
      <c r="F35" s="50">
        <v>0.2</v>
      </c>
      <c r="G35" s="80">
        <f>'FP Summary'!$C$38*F35</f>
        <v>44.844000000000001</v>
      </c>
      <c r="H35" s="81" t="s">
        <v>55</v>
      </c>
      <c r="I35" s="82" t="s">
        <v>85</v>
      </c>
    </row>
    <row r="36" spans="2:9" ht="13" hidden="1" x14ac:dyDescent="0.25">
      <c r="B36" s="72" t="s">
        <v>86</v>
      </c>
      <c r="C36" s="73">
        <f>SUM(G10:G11)+(0.3*G27)</f>
        <v>388.79747999999995</v>
      </c>
      <c r="E36" s="79">
        <v>1.25</v>
      </c>
      <c r="F36" s="50">
        <v>0.3</v>
      </c>
      <c r="G36" s="80">
        <f>'FP Summary'!$C$38*F36</f>
        <v>67.265999999999991</v>
      </c>
      <c r="H36" s="81" t="s">
        <v>55</v>
      </c>
      <c r="I36" s="82" t="s">
        <v>87</v>
      </c>
    </row>
    <row r="37" spans="2:9" ht="37.5" hidden="1" x14ac:dyDescent="0.25">
      <c r="B37" s="72" t="s">
        <v>88</v>
      </c>
      <c r="C37" s="73">
        <f>SUM(G12:G15)+(0.3*G27) + G20</f>
        <v>1119.75468</v>
      </c>
      <c r="E37" s="79">
        <f>1.75</f>
        <v>1.75</v>
      </c>
      <c r="F37" s="50">
        <f>E37*0.8*0.9</f>
        <v>1.2600000000000002</v>
      </c>
      <c r="G37" s="80">
        <f>'FP Summary'!$C$38*F37</f>
        <v>282.51720000000006</v>
      </c>
      <c r="H37" s="81" t="s">
        <v>55</v>
      </c>
      <c r="I37" s="82" t="s">
        <v>89</v>
      </c>
    </row>
    <row r="38" spans="2:9" ht="13" hidden="1" x14ac:dyDescent="0.25">
      <c r="B38" s="83" t="s">
        <v>90</v>
      </c>
      <c r="C38" s="84">
        <f>(0.9*SUM(G21:G26))+(0.4*G27) + G16</f>
        <v>869.97360000000015</v>
      </c>
      <c r="E38" s="79">
        <v>0.4</v>
      </c>
      <c r="F38" s="50">
        <f>E38</f>
        <v>0.4</v>
      </c>
      <c r="G38" s="80">
        <f>'FP Summary'!$C$38*F38</f>
        <v>89.688000000000002</v>
      </c>
      <c r="H38" s="81"/>
      <c r="I38" s="82" t="s">
        <v>91</v>
      </c>
    </row>
    <row r="39" spans="2:9" ht="37.5" hidden="1" x14ac:dyDescent="0.25">
      <c r="B39" s="83" t="s">
        <v>92</v>
      </c>
      <c r="C39" s="84">
        <f>G28+G19</f>
        <v>508.9794</v>
      </c>
      <c r="E39" s="79">
        <v>0.6</v>
      </c>
      <c r="F39" s="50">
        <v>0.02</v>
      </c>
      <c r="G39" s="80">
        <f>'FP Summary'!$C$38*F39</f>
        <v>4.4843999999999999</v>
      </c>
      <c r="H39" s="81" t="s">
        <v>55</v>
      </c>
      <c r="I39" s="82" t="s">
        <v>93</v>
      </c>
    </row>
    <row r="40" spans="2:9" ht="13" hidden="1" x14ac:dyDescent="0.25">
      <c r="B40" s="83" t="s">
        <v>94</v>
      </c>
      <c r="C40" s="84">
        <f>0.8*(G18+G17)</f>
        <v>109.41936000000001</v>
      </c>
      <c r="E40" s="79">
        <v>0</v>
      </c>
      <c r="F40" s="50">
        <f>E40</f>
        <v>0</v>
      </c>
      <c r="G40" s="80">
        <f>'FP Summary'!$C$38*F40</f>
        <v>0</v>
      </c>
      <c r="H40" s="81"/>
      <c r="I40" s="82"/>
    </row>
    <row r="41" spans="2:9" ht="13" hidden="1" x14ac:dyDescent="0.25">
      <c r="B41" s="83" t="s">
        <v>77</v>
      </c>
      <c r="C41" s="84">
        <f>(0.9*G29)+ (0.5*G8)</f>
        <v>295.52196000000004</v>
      </c>
      <c r="E41" s="79">
        <v>0</v>
      </c>
      <c r="F41" s="50">
        <f>E41</f>
        <v>0</v>
      </c>
      <c r="G41" s="80">
        <f>'FP Summary'!$C$38*F41</f>
        <v>0</v>
      </c>
      <c r="H41" s="81"/>
      <c r="I41" s="82"/>
    </row>
    <row r="42" spans="2:9" ht="13.5" hidden="1" thickBot="1" x14ac:dyDescent="0.3">
      <c r="B42" s="85" t="s">
        <v>95</v>
      </c>
      <c r="C42" s="86">
        <f>(0.5*G8)+ (0.2 *(G17+G18)) + (0.1*G29) + (0.1*SUM(G21:G26))</f>
        <v>173.99472000000003</v>
      </c>
      <c r="E42" s="87">
        <v>0</v>
      </c>
      <c r="F42" s="52">
        <f>E42</f>
        <v>0</v>
      </c>
      <c r="G42" s="88">
        <f>'FP Summary'!$C$38*F42</f>
        <v>0</v>
      </c>
      <c r="H42" s="89"/>
      <c r="I42" s="90"/>
    </row>
    <row r="43" spans="2:9" ht="14" hidden="1" thickTop="1" thickBot="1" x14ac:dyDescent="0.35">
      <c r="B43" s="91" t="s">
        <v>96</v>
      </c>
      <c r="C43" s="92">
        <f>SUM(C34:C42)</f>
        <v>4042.6866000000005</v>
      </c>
      <c r="E43" s="93">
        <f>SUM(E34:E42)</f>
        <v>5</v>
      </c>
      <c r="F43" s="94">
        <f>SUM(F34:F42)</f>
        <v>2.1800000000000002</v>
      </c>
      <c r="G43" s="95">
        <f>SUM(G34:G42)</f>
        <v>488.7996</v>
      </c>
      <c r="H43" s="96"/>
    </row>
    <row r="45" spans="2:9" ht="44.25" customHeight="1" x14ac:dyDescent="0.25">
      <c r="B45" s="100" t="s">
        <v>97</v>
      </c>
      <c r="C45" s="100"/>
      <c r="D45" s="100"/>
      <c r="E45" s="100"/>
      <c r="F45" s="100"/>
      <c r="G45" s="100"/>
      <c r="H45" s="100"/>
    </row>
    <row r="46" spans="2:9" ht="49.5" customHeight="1" x14ac:dyDescent="0.25">
      <c r="B46" s="100" t="s">
        <v>98</v>
      </c>
      <c r="C46" s="100"/>
      <c r="D46" s="100"/>
      <c r="E46" s="100"/>
      <c r="F46" s="100"/>
      <c r="G46" s="100"/>
      <c r="H46" s="100"/>
    </row>
    <row r="47" spans="2:9" ht="60.75" customHeight="1" x14ac:dyDescent="0.25">
      <c r="B47" s="100" t="s">
        <v>101</v>
      </c>
      <c r="C47" s="100"/>
      <c r="D47" s="100"/>
      <c r="E47" s="100"/>
      <c r="F47" s="100"/>
      <c r="G47" s="100"/>
      <c r="H47" s="100"/>
    </row>
    <row r="48" spans="2:9" ht="60.75" customHeight="1" x14ac:dyDescent="0.25">
      <c r="B48" s="100" t="s">
        <v>99</v>
      </c>
      <c r="C48" s="100"/>
      <c r="D48" s="100"/>
      <c r="E48" s="100"/>
      <c r="F48" s="100"/>
      <c r="G48" s="100"/>
      <c r="H48" s="100"/>
    </row>
    <row r="49" spans="2:8" ht="38.25" customHeight="1" x14ac:dyDescent="0.25">
      <c r="B49" s="100" t="s">
        <v>100</v>
      </c>
      <c r="C49" s="100"/>
      <c r="D49" s="100"/>
      <c r="E49" s="100"/>
      <c r="F49" s="100"/>
      <c r="G49" s="100"/>
      <c r="H49" s="100"/>
    </row>
    <row r="50" spans="2:8" x14ac:dyDescent="0.25">
      <c r="B50" s="100"/>
      <c r="C50" s="100"/>
      <c r="D50" s="100"/>
      <c r="E50" s="100"/>
      <c r="F50" s="100"/>
      <c r="G50" s="100"/>
      <c r="H50" s="100"/>
    </row>
    <row r="51" spans="2:8" x14ac:dyDescent="0.25">
      <c r="B51" s="100"/>
      <c r="C51" s="100"/>
      <c r="D51" s="100"/>
      <c r="E51" s="100"/>
      <c r="F51" s="100"/>
      <c r="G51" s="100"/>
      <c r="H51" s="100"/>
    </row>
    <row r="52" spans="2:8" x14ac:dyDescent="0.25">
      <c r="B52" s="100"/>
      <c r="C52" s="100"/>
      <c r="D52" s="100"/>
      <c r="E52" s="100"/>
      <c r="F52" s="100"/>
      <c r="G52" s="100"/>
      <c r="H52" s="100"/>
    </row>
    <row r="53" spans="2:8" x14ac:dyDescent="0.25">
      <c r="B53" s="97"/>
      <c r="C53" s="97"/>
      <c r="D53" s="97"/>
      <c r="E53" s="97"/>
      <c r="F53" s="97"/>
      <c r="G53" s="97"/>
      <c r="H53" s="97"/>
    </row>
    <row r="54" spans="2:8" x14ac:dyDescent="0.25">
      <c r="B54" s="97"/>
      <c r="C54" s="97"/>
      <c r="D54" s="97"/>
      <c r="E54" s="97"/>
      <c r="F54" s="97"/>
      <c r="G54" s="97"/>
      <c r="H54" s="97"/>
    </row>
    <row r="55" spans="2:8" x14ac:dyDescent="0.25">
      <c r="B55" s="97"/>
      <c r="C55" s="97"/>
      <c r="D55" s="97"/>
      <c r="E55" s="97"/>
      <c r="F55" s="97"/>
      <c r="G55" s="97"/>
      <c r="H55" s="97"/>
    </row>
    <row r="56" spans="2:8" x14ac:dyDescent="0.25">
      <c r="B56" s="97"/>
      <c r="C56" s="97"/>
      <c r="D56" s="97"/>
      <c r="E56" s="97"/>
      <c r="F56" s="97"/>
      <c r="G56" s="97"/>
      <c r="H56" s="97"/>
    </row>
  </sheetData>
  <mergeCells count="10">
    <mergeCell ref="C3:E3"/>
    <mergeCell ref="B48:H48"/>
    <mergeCell ref="E32:G32"/>
    <mergeCell ref="B50:H50"/>
    <mergeCell ref="B51:H51"/>
    <mergeCell ref="B52:H52"/>
    <mergeCell ref="B45:H45"/>
    <mergeCell ref="B46:H46"/>
    <mergeCell ref="B47:H47"/>
    <mergeCell ref="B49:H49"/>
  </mergeCells>
  <phoneticPr fontId="0" type="noConversion"/>
  <pageMargins left="0.75" right="0.75" top="0.5" bottom="0.5" header="0.25" footer="0.25"/>
  <pageSetup scale="80" fitToHeight="6" orientation="landscape" r:id="rId1"/>
  <headerFooter alignWithMargins="0">
    <oddHeader>&amp;LSierra Systems Group&amp;RFunction Point Count</oddHeader>
    <oddFooter>&amp;LBased on IFPUG 4.1 Counting Rules&amp;R&amp;F  &amp;A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7"/>
  <sheetViews>
    <sheetView tabSelected="1" workbookViewId="0">
      <selection activeCell="B14" sqref="B14"/>
    </sheetView>
  </sheetViews>
  <sheetFormatPr defaultRowHeight="12.5" x14ac:dyDescent="0.25"/>
  <cols>
    <col min="1" max="1" width="8.6328125" customWidth="1"/>
    <col min="2" max="2" width="18.36328125" customWidth="1"/>
    <col min="3" max="3" width="11.08984375" customWidth="1"/>
    <col min="4" max="4" width="12.36328125" customWidth="1"/>
    <col min="5" max="5" width="11.6328125" customWidth="1"/>
  </cols>
  <sheetData>
    <row r="1" spans="1:4" ht="20" x14ac:dyDescent="0.4">
      <c r="A1" s="1" t="s">
        <v>0</v>
      </c>
    </row>
    <row r="2" spans="1:4" ht="13" x14ac:dyDescent="0.3">
      <c r="B2" s="2" t="s">
        <v>1</v>
      </c>
      <c r="C2" s="3" t="s">
        <v>2</v>
      </c>
    </row>
    <row r="3" spans="1:4" ht="13" x14ac:dyDescent="0.3">
      <c r="B3" s="2" t="s">
        <v>3</v>
      </c>
      <c r="C3" s="3" t="s">
        <v>4</v>
      </c>
    </row>
    <row r="4" spans="1:4" x14ac:dyDescent="0.25">
      <c r="C4" s="3"/>
    </row>
    <row r="5" spans="1:4" ht="13" x14ac:dyDescent="0.3">
      <c r="B5" s="2"/>
      <c r="C5" s="3"/>
    </row>
    <row r="6" spans="1:4" ht="13" x14ac:dyDescent="0.3">
      <c r="B6" s="2" t="s">
        <v>5</v>
      </c>
      <c r="C6" s="3" t="s">
        <v>6</v>
      </c>
    </row>
    <row r="7" spans="1:4" ht="13" x14ac:dyDescent="0.3">
      <c r="B7" s="2" t="s">
        <v>7</v>
      </c>
      <c r="C7" s="3" t="s">
        <v>8</v>
      </c>
    </row>
    <row r="8" spans="1:4" ht="13" x14ac:dyDescent="0.3">
      <c r="B8" s="2"/>
      <c r="C8" s="3"/>
    </row>
    <row r="9" spans="1:4" ht="13" x14ac:dyDescent="0.3">
      <c r="B9" s="2" t="s">
        <v>9</v>
      </c>
      <c r="C9" s="122">
        <v>37469</v>
      </c>
      <c r="D9" s="122"/>
    </row>
    <row r="10" spans="1:4" ht="13" x14ac:dyDescent="0.3">
      <c r="B10" s="2" t="s">
        <v>10</v>
      </c>
      <c r="C10" s="122">
        <v>37726</v>
      </c>
      <c r="D10" s="122"/>
    </row>
    <row r="11" spans="1:4" ht="13" x14ac:dyDescent="0.3">
      <c r="B11" s="2" t="s">
        <v>11</v>
      </c>
      <c r="C11" s="3" t="s">
        <v>12</v>
      </c>
    </row>
    <row r="12" spans="1:4" x14ac:dyDescent="0.25">
      <c r="B12" s="4" t="s">
        <v>13</v>
      </c>
      <c r="C12" s="3"/>
    </row>
    <row r="13" spans="1:4" x14ac:dyDescent="0.25">
      <c r="B13" s="4"/>
      <c r="C13" s="3"/>
    </row>
    <row r="14" spans="1:4" ht="13" x14ac:dyDescent="0.3">
      <c r="B14" s="2" t="s">
        <v>14</v>
      </c>
      <c r="C14" s="3" t="s">
        <v>15</v>
      </c>
    </row>
    <row r="15" spans="1:4" ht="13" x14ac:dyDescent="0.3">
      <c r="B15" s="2" t="s">
        <v>16</v>
      </c>
      <c r="C15" s="122">
        <v>37697</v>
      </c>
      <c r="D15" s="122"/>
    </row>
    <row r="16" spans="1:4" ht="13" x14ac:dyDescent="0.3">
      <c r="B16" s="2" t="s">
        <v>17</v>
      </c>
      <c r="C16" s="3" t="s">
        <v>18</v>
      </c>
    </row>
    <row r="17" spans="2:5" ht="13" x14ac:dyDescent="0.3">
      <c r="B17" s="2"/>
      <c r="C17" s="3"/>
    </row>
    <row r="18" spans="2:5" ht="13" x14ac:dyDescent="0.3">
      <c r="B18" s="2" t="s">
        <v>19</v>
      </c>
      <c r="C18" s="122">
        <v>37701</v>
      </c>
      <c r="D18" s="122"/>
    </row>
    <row r="19" spans="2:5" ht="13" x14ac:dyDescent="0.3">
      <c r="B19" s="2" t="s">
        <v>20</v>
      </c>
      <c r="C19" s="3" t="s">
        <v>21</v>
      </c>
    </row>
    <row r="20" spans="2:5" ht="13" x14ac:dyDescent="0.3">
      <c r="B20" s="2" t="s">
        <v>22</v>
      </c>
      <c r="C20" s="5">
        <v>2</v>
      </c>
    </row>
    <row r="21" spans="2:5" ht="13" x14ac:dyDescent="0.3">
      <c r="B21" s="2" t="s">
        <v>23</v>
      </c>
      <c r="C21" s="3" t="s">
        <v>24</v>
      </c>
    </row>
    <row r="23" spans="2:5" ht="13" thickBot="1" x14ac:dyDescent="0.3"/>
    <row r="24" spans="2:5" ht="14" thickTop="1" thickBot="1" x14ac:dyDescent="0.35">
      <c r="B24" s="6" t="s">
        <v>25</v>
      </c>
      <c r="C24" s="7" t="s">
        <v>26</v>
      </c>
      <c r="D24" s="7" t="s">
        <v>27</v>
      </c>
      <c r="E24" s="8" t="s">
        <v>28</v>
      </c>
    </row>
    <row r="25" spans="2:5" ht="13" x14ac:dyDescent="0.3">
      <c r="B25" s="9" t="s">
        <v>29</v>
      </c>
      <c r="C25" s="10">
        <f>[1]Formulations!E4</f>
        <v>14</v>
      </c>
      <c r="D25" s="11">
        <f>[1]Formulations!I4</f>
        <v>20</v>
      </c>
      <c r="E25" s="12">
        <f>[1]Formulations!M4</f>
        <v>45</v>
      </c>
    </row>
    <row r="26" spans="2:5" ht="13" x14ac:dyDescent="0.3">
      <c r="B26" s="13" t="s">
        <v>30</v>
      </c>
      <c r="C26" s="14">
        <f>[1]Formulations!E5</f>
        <v>20</v>
      </c>
      <c r="D26" s="15">
        <f>[1]Formulations!I5</f>
        <v>7</v>
      </c>
      <c r="E26" s="16">
        <f>[1]Formulations!M5</f>
        <v>20</v>
      </c>
    </row>
    <row r="27" spans="2:5" ht="13" x14ac:dyDescent="0.3">
      <c r="B27" s="13" t="s">
        <v>31</v>
      </c>
      <c r="C27" s="14">
        <f>[1]Formulations!E7</f>
        <v>9</v>
      </c>
      <c r="D27" s="15">
        <f>[1]Formulations!I7</f>
        <v>0</v>
      </c>
      <c r="E27" s="16">
        <f>[1]Formulations!M7</f>
        <v>18</v>
      </c>
    </row>
    <row r="28" spans="2:5" ht="13" x14ac:dyDescent="0.3">
      <c r="B28" s="13" t="s">
        <v>32</v>
      </c>
      <c r="C28" s="14">
        <f>[1]Formulations!E8</f>
        <v>12</v>
      </c>
      <c r="D28" s="15">
        <f>[1]Formulations!I8</f>
        <v>0</v>
      </c>
      <c r="E28" s="16">
        <f>[1]Formulations!M8</f>
        <v>14</v>
      </c>
    </row>
    <row r="29" spans="2:5" ht="13.5" thickBot="1" x14ac:dyDescent="0.35">
      <c r="B29" s="17" t="s">
        <v>33</v>
      </c>
      <c r="C29" s="18">
        <f>[1]Formulations!E9</f>
        <v>27</v>
      </c>
      <c r="D29" s="19">
        <f>[1]Formulations!I9</f>
        <v>16</v>
      </c>
      <c r="E29" s="20">
        <f>[1]Formulations!M9</f>
        <v>0</v>
      </c>
    </row>
    <row r="30" spans="2:5" ht="13" thickTop="1" x14ac:dyDescent="0.25"/>
    <row r="31" spans="2:5" ht="15.5" x14ac:dyDescent="0.35">
      <c r="B31" s="21" t="s">
        <v>34</v>
      </c>
    </row>
    <row r="32" spans="2:5" x14ac:dyDescent="0.25">
      <c r="C32" s="120">
        <f>[1]Formulations!O10</f>
        <v>222</v>
      </c>
      <c r="D32" s="106"/>
    </row>
    <row r="34" spans="2:7" ht="15.5" x14ac:dyDescent="0.35">
      <c r="B34" s="21" t="s">
        <v>35</v>
      </c>
    </row>
    <row r="35" spans="2:7" x14ac:dyDescent="0.25">
      <c r="C35" s="120">
        <f>'[1]General System Characteristics'!B18</f>
        <v>1.01</v>
      </c>
      <c r="D35" s="106"/>
    </row>
    <row r="37" spans="2:7" ht="15.5" x14ac:dyDescent="0.35">
      <c r="B37" s="21" t="s">
        <v>36</v>
      </c>
    </row>
    <row r="38" spans="2:7" x14ac:dyDescent="0.25">
      <c r="C38" s="118">
        <f>C32*C35</f>
        <v>224.22</v>
      </c>
      <c r="D38" s="106"/>
    </row>
    <row r="40" spans="2:7" ht="15.5" x14ac:dyDescent="0.35">
      <c r="B40" s="21" t="s">
        <v>37</v>
      </c>
    </row>
    <row r="41" spans="2:7" x14ac:dyDescent="0.25">
      <c r="C41" s="121">
        <f>Productivity!F30</f>
        <v>18.03</v>
      </c>
      <c r="D41" s="106"/>
    </row>
    <row r="43" spans="2:7" ht="15.5" x14ac:dyDescent="0.35">
      <c r="B43" s="21" t="s">
        <v>38</v>
      </c>
      <c r="F43" s="21"/>
    </row>
    <row r="44" spans="2:7" x14ac:dyDescent="0.25">
      <c r="C44" s="118">
        <f>(F57)/8</f>
        <v>505.33582500000006</v>
      </c>
      <c r="D44" s="119"/>
      <c r="F44" s="22"/>
      <c r="G44" s="22"/>
    </row>
    <row r="46" spans="2:7" ht="13" thickBot="1" x14ac:dyDescent="0.3"/>
    <row r="47" spans="2:7" ht="13.5" thickBot="1" x14ac:dyDescent="0.35">
      <c r="B47" s="113" t="s">
        <v>39</v>
      </c>
      <c r="C47" s="114"/>
      <c r="D47" s="114"/>
      <c r="E47" s="114"/>
      <c r="F47" s="23" t="s">
        <v>40</v>
      </c>
    </row>
    <row r="48" spans="2:7" x14ac:dyDescent="0.25">
      <c r="B48" s="115" t="str">
        <f>Productivity!B34</f>
        <v>Business Modeling</v>
      </c>
      <c r="C48" s="116"/>
      <c r="D48" s="116"/>
      <c r="E48" s="117"/>
      <c r="F48" s="24">
        <f>Productivity!C34</f>
        <v>408.08040000000005</v>
      </c>
    </row>
    <row r="49" spans="2:6" x14ac:dyDescent="0.25">
      <c r="B49" s="104" t="str">
        <f>Productivity!B35</f>
        <v>Requirements</v>
      </c>
      <c r="C49" s="105"/>
      <c r="D49" s="105"/>
      <c r="E49" s="106"/>
      <c r="F49" s="25">
        <f>Productivity!C35</f>
        <v>168.16499999999999</v>
      </c>
    </row>
    <row r="50" spans="2:6" x14ac:dyDescent="0.25">
      <c r="B50" s="104" t="str">
        <f>Productivity!B36</f>
        <v>Analysis and Design</v>
      </c>
      <c r="C50" s="105"/>
      <c r="D50" s="105"/>
      <c r="E50" s="106"/>
      <c r="F50" s="25">
        <f>Productivity!C36</f>
        <v>388.79747999999995</v>
      </c>
    </row>
    <row r="51" spans="2:6" x14ac:dyDescent="0.25">
      <c r="B51" s="104" t="str">
        <f>Productivity!B37</f>
        <v>Implementation</v>
      </c>
      <c r="C51" s="105"/>
      <c r="D51" s="105"/>
      <c r="E51" s="106"/>
      <c r="F51" s="25">
        <f>Productivity!C37</f>
        <v>1119.75468</v>
      </c>
    </row>
    <row r="52" spans="2:6" x14ac:dyDescent="0.25">
      <c r="B52" s="104" t="str">
        <f>Productivity!B38</f>
        <v>Test</v>
      </c>
      <c r="C52" s="105"/>
      <c r="D52" s="105"/>
      <c r="E52" s="106"/>
      <c r="F52" s="25">
        <f>Productivity!C38</f>
        <v>869.97360000000015</v>
      </c>
    </row>
    <row r="53" spans="2:6" x14ac:dyDescent="0.25">
      <c r="B53" s="104" t="str">
        <f>Productivity!B39</f>
        <v>Deployment</v>
      </c>
      <c r="C53" s="105"/>
      <c r="D53" s="105"/>
      <c r="E53" s="106"/>
      <c r="F53" s="25">
        <f>Productivity!C39</f>
        <v>508.9794</v>
      </c>
    </row>
    <row r="54" spans="2:6" x14ac:dyDescent="0.25">
      <c r="B54" s="104" t="str">
        <f>Productivity!B40</f>
        <v>Configuration and Change Management</v>
      </c>
      <c r="C54" s="105"/>
      <c r="D54" s="105"/>
      <c r="E54" s="106"/>
      <c r="F54" s="25">
        <f>Productivity!C40</f>
        <v>109.41936000000001</v>
      </c>
    </row>
    <row r="55" spans="2:6" x14ac:dyDescent="0.25">
      <c r="B55" s="104" t="str">
        <f>Productivity!B41</f>
        <v>Project Management</v>
      </c>
      <c r="C55" s="105"/>
      <c r="D55" s="105"/>
      <c r="E55" s="106"/>
      <c r="F55" s="25">
        <f>Productivity!C41</f>
        <v>295.52196000000004</v>
      </c>
    </row>
    <row r="56" spans="2:6" ht="13" thickBot="1" x14ac:dyDescent="0.3">
      <c r="B56" s="107" t="str">
        <f>Productivity!B42</f>
        <v>Environment</v>
      </c>
      <c r="C56" s="108"/>
      <c r="D56" s="108"/>
      <c r="E56" s="109"/>
      <c r="F56" s="26">
        <f>Productivity!C42</f>
        <v>173.99472000000003</v>
      </c>
    </row>
    <row r="57" spans="2:6" ht="13.5" thickBot="1" x14ac:dyDescent="0.35">
      <c r="B57" s="110" t="str">
        <f>Productivity!B43</f>
        <v>Total Hours</v>
      </c>
      <c r="C57" s="111"/>
      <c r="D57" s="111"/>
      <c r="E57" s="112"/>
      <c r="F57" s="27">
        <f>SUM(F48:F56)</f>
        <v>4042.6866000000005</v>
      </c>
    </row>
  </sheetData>
  <mergeCells count="20">
    <mergeCell ref="C10:D10"/>
    <mergeCell ref="C9:D9"/>
    <mergeCell ref="C15:D15"/>
    <mergeCell ref="C18:D18"/>
    <mergeCell ref="B47:E47"/>
    <mergeCell ref="B48:E48"/>
    <mergeCell ref="B49:E49"/>
    <mergeCell ref="B50:E50"/>
    <mergeCell ref="C44:D44"/>
    <mergeCell ref="C32:D32"/>
    <mergeCell ref="C35:D35"/>
    <mergeCell ref="C38:D38"/>
    <mergeCell ref="C41:D41"/>
    <mergeCell ref="B54:E54"/>
    <mergeCell ref="B55:E55"/>
    <mergeCell ref="B56:E56"/>
    <mergeCell ref="B57:E57"/>
    <mergeCell ref="B51:E51"/>
    <mergeCell ref="B52:E52"/>
    <mergeCell ref="B53:E53"/>
  </mergeCells>
  <phoneticPr fontId="0" type="noConversion"/>
  <pageMargins left="0.75" right="0.75" top="1" bottom="1" header="0.5" footer="0.5"/>
  <pageSetup scale="88" orientation="portrait" r:id="rId1"/>
  <headerFooter alignWithMargins="0">
    <oddHeader>&amp;LSierra Systems Group&amp;RFunction Point Count</oddHeader>
    <oddFooter>&amp;LBased on IFPUG 4.1 Counting Rules&amp;R&amp;F   &amp;A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Productivity</vt:lpstr>
      <vt:lpstr>FP Summary</vt:lpstr>
    </vt:vector>
  </TitlesOfParts>
  <Company>Sierra Systems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Glenn Briskin</dc:creator>
  <cp:lastModifiedBy>Carina Negreanu</cp:lastModifiedBy>
  <dcterms:created xsi:type="dcterms:W3CDTF">2003-05-24T01:41:26Z</dcterms:created>
  <dcterms:modified xsi:type="dcterms:W3CDTF">2020-01-27T11:37:08Z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1199363678</vt:i4>
  </property>
  <property fmtid="{D5CDD505-2E9C-101B-9397-08002B2CF9AE}" pid="3" name="_EmailSubject">
    <vt:lpwstr>IPMA presentation materials</vt:lpwstr>
  </property>
  <property fmtid="{D5CDD505-2E9C-101B-9397-08002B2CF9AE}" pid="4" name="_AuthorEmail">
    <vt:lpwstr>glennbriskin@SierraSystems.com</vt:lpwstr>
  </property>
  <property fmtid="{D5CDD505-2E9C-101B-9397-08002B2CF9AE}" pid="5" name="_AuthorEmailDisplayName">
    <vt:lpwstr>Briskin, Glenn</vt:lpwstr>
  </property>
  <property fmtid="{D5CDD505-2E9C-101B-9397-08002B2CF9AE}" pid="6" name="_ReviewingToolsShownOnce">
    <vt:lpwstr/>
  </property>
</Properties>
</file>