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DieseArbeitsmappe"/>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F24A76D-EF2D-4249-B03D-6B528BA46D00}" xr6:coauthVersionLast="45" xr6:coauthVersionMax="45" xr10:uidLastSave="{00000000-0000-0000-0000-000000000000}"/>
  <bookViews>
    <workbookView xWindow="1900" yWindow="1900" windowWidth="28800" windowHeight="15460"/>
  </bookViews>
  <sheets>
    <sheet name="NatLang Formulas" sheetId="2" r:id="rId1"/>
    <sheet name="Cell Formatting I" sheetId="3" r:id="rId2"/>
    <sheet name="Cell Formatting II" sheetId="4" r:id="rId3"/>
  </sheets>
  <definedNames>
    <definedName name="h">'NatLang Formulas'!$C$34</definedName>
    <definedName name="List">'Cell Formatting I'!#REF!</definedName>
    <definedName name="Q">'NatLang Formulas'!$C$30</definedName>
    <definedName name="SIGx">'NatLang Formulas'!$F$30</definedName>
    <definedName name="SIGy">'NatLang Formulas'!$F$31</definedName>
    <definedName name="SIGz">'NatLang Formulas'!$F$32</definedName>
    <definedName name="SY">'NatLang Formulas'!$C$31</definedName>
    <definedName name="SZ">'NatLang Formulas'!$C$32</definedName>
    <definedName name="U">'NatLang Formulas'!$C$33</definedName>
    <definedName name="X">'NatLang Formulas'!$C$35</definedName>
    <definedName name="Y">'NatLang Formulas'!$C$36</definedName>
    <definedName name="Z_">'NatLang Formulas'!$C$37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8" i="4" l="1"/>
  <c r="B15" i="4"/>
  <c r="I15" i="4" s="1"/>
  <c r="C15" i="4"/>
  <c r="D15" i="4"/>
  <c r="E15" i="4"/>
  <c r="F15" i="4"/>
  <c r="G15" i="4"/>
  <c r="H15" i="4"/>
  <c r="B7" i="2"/>
  <c r="B11" i="2"/>
  <c r="N11" i="2" s="1"/>
  <c r="C11" i="2"/>
  <c r="D11" i="2"/>
  <c r="E11" i="2"/>
  <c r="F11" i="2"/>
  <c r="G11" i="2"/>
  <c r="H11" i="2"/>
  <c r="I11" i="2"/>
  <c r="J11" i="2"/>
  <c r="K11" i="2"/>
  <c r="L11" i="2"/>
  <c r="M11" i="2"/>
  <c r="B12" i="2"/>
  <c r="C12" i="2"/>
  <c r="D12" i="2"/>
  <c r="E12" i="2"/>
  <c r="F12" i="2"/>
  <c r="G12" i="2"/>
  <c r="H12" i="2"/>
  <c r="I12" i="2"/>
  <c r="J12" i="2"/>
  <c r="K12" i="2"/>
  <c r="L12" i="2"/>
  <c r="M12" i="2"/>
  <c r="B13" i="2"/>
  <c r="C13" i="2"/>
  <c r="D13" i="2"/>
  <c r="E13" i="2"/>
  <c r="F13" i="2"/>
  <c r="G13" i="2"/>
  <c r="H13" i="2"/>
  <c r="I13" i="2"/>
  <c r="J13" i="2"/>
  <c r="K13" i="2"/>
  <c r="L13" i="2"/>
  <c r="M13" i="2"/>
  <c r="F17" i="2"/>
  <c r="C39" i="2"/>
</calcChain>
</file>

<file path=xl/comments1.xml><?xml version="1.0" encoding="utf-8"?>
<comments xmlns="http://schemas.openxmlformats.org/spreadsheetml/2006/main">
  <authors>
    <author>Gordon Filby</author>
  </authors>
  <commentList>
    <comment ref="B7" authorId="0" shapeId="0">
      <text>
        <r>
          <rPr>
            <b/>
            <sz val="8"/>
            <color indexed="81"/>
            <rFont val="Tahoma"/>
            <family val="2"/>
          </rPr>
          <t>Gordon Filby:</t>
        </r>
        <r>
          <rPr>
            <sz val="8"/>
            <color indexed="81"/>
            <rFont val="Tahoma"/>
            <family val="2"/>
          </rPr>
          <t xml:space="preserve">
</t>
        </r>
        <r>
          <rPr>
            <sz val="12"/>
            <color indexed="81"/>
            <rFont val="Times New Roman"/>
            <family val="1"/>
          </rPr>
          <t>Conditionally formatted cell</t>
        </r>
        <r>
          <rPr>
            <sz val="12"/>
            <color indexed="53"/>
            <rFont val="Times New Roman"/>
            <family val="1"/>
          </rPr>
          <t xml:space="preserve">
Note: this box can be resized, have its standard format changed etc.
With the box open, click right mouse key and Format Comment. Cut and Paste, double click selection etc are active</t>
        </r>
      </text>
    </comment>
    <comment ref="B8" authorId="0" shapeId="0">
      <text>
        <r>
          <rPr>
            <b/>
            <sz val="8"/>
            <color indexed="81"/>
            <rFont val="Tahoma"/>
            <family val="2"/>
          </rPr>
          <t>Gordon Filby:</t>
        </r>
        <r>
          <rPr>
            <sz val="8"/>
            <color indexed="81"/>
            <rFont val="Tahoma"/>
            <family val="2"/>
          </rPr>
          <t xml:space="preserve">
</t>
        </r>
        <r>
          <rPr>
            <sz val="8"/>
            <color indexed="12"/>
            <rFont val="Tahoma"/>
            <family val="2"/>
          </rPr>
          <t>This is also a comment. But the background color, font have been altered. Also it is permanently on. Visit Help to see how.</t>
        </r>
      </text>
    </comment>
  </commentList>
</comments>
</file>

<file path=xl/sharedStrings.xml><?xml version="1.0" encoding="utf-8"?>
<sst xmlns="http://schemas.openxmlformats.org/spreadsheetml/2006/main" count="86" uniqueCount="82">
  <si>
    <t>Ozon</t>
  </si>
  <si>
    <t>Jan</t>
  </si>
  <si>
    <r>
      <t>NO</t>
    </r>
    <r>
      <rPr>
        <vertAlign val="subscript"/>
        <sz val="12"/>
        <rFont val="Times New Roman"/>
        <family val="1"/>
      </rPr>
      <t>x</t>
    </r>
  </si>
  <si>
    <r>
      <t>H</t>
    </r>
    <r>
      <rPr>
        <vertAlign val="subscript"/>
        <sz val="12"/>
        <rFont val="Times New Roman"/>
        <family val="1"/>
      </rPr>
      <t>2</t>
    </r>
    <r>
      <rPr>
        <sz val="12"/>
        <rFont val="Times New Roman"/>
      </rPr>
      <t>SO</t>
    </r>
    <r>
      <rPr>
        <vertAlign val="subscript"/>
        <sz val="12"/>
        <rFont val="Times New Roman"/>
        <family val="1"/>
      </rPr>
      <t>4</t>
    </r>
  </si>
  <si>
    <t>Feb</t>
  </si>
  <si>
    <t>Mar</t>
  </si>
  <si>
    <t>Apr</t>
  </si>
  <si>
    <t>May</t>
  </si>
  <si>
    <t>Jun</t>
  </si>
  <si>
    <t>Jul</t>
  </si>
  <si>
    <t>Aug</t>
  </si>
  <si>
    <t>Sep</t>
  </si>
  <si>
    <t>Oct</t>
  </si>
  <si>
    <t>Nov</t>
  </si>
  <si>
    <t>Dec</t>
  </si>
  <si>
    <t>Profit</t>
  </si>
  <si>
    <t>Out</t>
  </si>
  <si>
    <t>In</t>
  </si>
  <si>
    <t>Screws</t>
  </si>
  <si>
    <t>Nails</t>
  </si>
  <si>
    <t>Order</t>
  </si>
  <si>
    <t>Price</t>
  </si>
  <si>
    <t>Step 1</t>
  </si>
  <si>
    <t>Call Insert/Names/Labels</t>
  </si>
  <si>
    <t>Select row and column labels and press add</t>
  </si>
  <si>
    <t>Step 2</t>
  </si>
  <si>
    <t>To construct the first Price Column formula</t>
  </si>
  <si>
    <t>UnitPrice</t>
  </si>
  <si>
    <t>The Formula Result dropdown panel appears.</t>
  </si>
  <si>
    <t>The Edit Formula panel should contain the expression UnitPrice Screws*Order</t>
  </si>
  <si>
    <t>Work out the February profits!</t>
  </si>
  <si>
    <t>Do the same for Nails!</t>
  </si>
  <si>
    <t>Restricting Input</t>
  </si>
  <si>
    <t>1. To anything</t>
  </si>
  <si>
    <t>without title</t>
  </si>
  <si>
    <t>with title</t>
  </si>
  <si>
    <t>Click on B column cells to see markings.</t>
  </si>
  <si>
    <t>2. To Integers only</t>
  </si>
  <si>
    <t>Warning only</t>
  </si>
  <si>
    <t>Critical</t>
  </si>
  <si>
    <t>3. From a List</t>
  </si>
  <si>
    <t>Short list</t>
  </si>
  <si>
    <t>List on Worksheet</t>
  </si>
  <si>
    <t>!"123qwert</t>
  </si>
  <si>
    <t>4. Using String Length</t>
  </si>
  <si>
    <t>Less than 3 characters</t>
  </si>
  <si>
    <t>5. Via a user-def'd formula</t>
  </si>
  <si>
    <t>List for cell B18</t>
  </si>
  <si>
    <t>we</t>
  </si>
  <si>
    <t>Visit Data Validity to see settings for cell. For practice enter correct and incorrect data.</t>
  </si>
  <si>
    <t>Click on Auditor to expose incorrect input.</t>
  </si>
  <si>
    <t>Using Natural Language Formulas</t>
  </si>
  <si>
    <t>Place cursor on cell F17. Click on the Edit Formula symbol (=).</t>
  </si>
  <si>
    <t>Click on the cell B17 (=UnitPrice Screws appears in the Edit panel). Enter * and move to the next cell, D17. Click and Enter.</t>
  </si>
  <si>
    <t>The result (5) should appear in the cell F17 where we asked for it.</t>
  </si>
  <si>
    <t>Yearly</t>
  </si>
  <si>
    <t>Average</t>
  </si>
  <si>
    <t>Conc. KCl</t>
  </si>
  <si>
    <t>Mol. Cond.</t>
  </si>
  <si>
    <t>Conditional Formatting, New Commenting Features and the Improved Drawing Option</t>
  </si>
  <si>
    <t>Mon</t>
  </si>
  <si>
    <t>Tues</t>
  </si>
  <si>
    <t>Wed</t>
  </si>
  <si>
    <t>Thurs</t>
  </si>
  <si>
    <t>Fri</t>
  </si>
  <si>
    <t>Sat</t>
  </si>
  <si>
    <t>Sun</t>
  </si>
  <si>
    <t>Weekly</t>
  </si>
  <si>
    <t>Ozone</t>
  </si>
  <si>
    <t>Q</t>
  </si>
  <si>
    <t>SY</t>
  </si>
  <si>
    <t>SZ</t>
  </si>
  <si>
    <t>X</t>
  </si>
  <si>
    <t>Y</t>
  </si>
  <si>
    <t>Z</t>
  </si>
  <si>
    <t>Gaussian Dispersion of Air Pollutants</t>
  </si>
  <si>
    <t>SIGy</t>
  </si>
  <si>
    <t>SIGx</t>
  </si>
  <si>
    <t>SIGz</t>
  </si>
  <si>
    <t>U</t>
  </si>
  <si>
    <t>Conc (X,Y,Z)</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</si>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</sst>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mmm\ yy"/>
  </numFmts>
  <fonts count="16" x14ac:knownFonts="1">
    <font>
      <sz val="12"/>
      <name val="Times New Roman"/>
    </font>
    <font>
      <vertAlign val="subscript"/>
      <sz val="12"/>
      <name val="Times New Roman"/>
      <family val="1"/>
    </font>
    <font>
      <sz val="10"/>
      <name val="Roman"/>
      <family val="1"/>
      <charset val="255"/>
    </font>
    <font>
      <b/>
      <sz val="10"/>
      <name val="Letter Gothic"/>
      <family val="3"/>
    </font>
    <font>
      <b/>
      <sz val="12"/>
      <name val="Times New Roman"/>
      <family val="1"/>
    </font>
    <font>
      <b/>
      <i/>
      <sz val="12"/>
      <name val="Times New Roman"/>
      <family val="1"/>
    </font>
    <font>
      <b/>
      <sz val="14"/>
      <name val="Times New Roman"/>
      <family val="1"/>
    </font>
    <font>
      <sz val="12"/>
      <name val="Times New Roman"/>
      <family val="1"/>
    </font>
    <font>
      <sz val="8"/>
      <color indexed="81"/>
      <name val="Tahoma"/>
      <family val="2"/>
    </font>
    <font>
      <b/>
      <sz val="8"/>
      <color indexed="81"/>
      <name val="Tahoma"/>
      <family val="2"/>
    </font>
    <font>
      <sz val="12"/>
      <color indexed="81"/>
      <name val="Times New Roman"/>
      <family val="1"/>
    </font>
    <font>
      <sz val="12"/>
      <color indexed="53"/>
      <name val="Times New Roman"/>
      <family val="1"/>
    </font>
    <font>
      <sz val="8"/>
      <color indexed="12"/>
      <name val="Tahoma"/>
      <family val="2"/>
    </font>
    <font>
      <sz val="12"/>
      <color indexed="10"/>
      <name val="Times New Roman"/>
      <family val="1"/>
    </font>
    <font>
      <sz val="12"/>
      <color indexed="8"/>
      <name val="Times New Roman"/>
      <family val="1"/>
    </font>
    <font>
      <u/>
      <sz val="12"/>
      <name val="Times New Roman"/>
      <family val="1"/>
    </font>
  </fonts>
  <fills count="5">
    <fill>
      <patternFill patternType="none"/>
    </fill>
    <fill>
      <patternFill patternType="gray125"/>
    </fill>
    <fill>
      <patternFill patternType="solid">
        <fgColor indexed="13"/>
        <bgColor indexed="64"/>
      </patternFill>
    </fill>
    <fill>
      <patternFill patternType="solid">
        <fgColor indexed="10"/>
        <bgColor indexed="64"/>
      </patternFill>
    </fill>
    <fill>
      <patternFill patternType="solid">
        <fgColor indexed="43"/>
        <bgColor indexed="64"/>
      </patternFill>
    </fill>
  </fills>
  <borders count="10">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xf numFmtId="0" fontId="0" fillId="2" borderId="0" xfId="0" applyFill="1" applyAlignment="1">
      <alignment horizontal="center"/>
    </xf>
    <xf numFmtId="0" fontId="0" fillId="0" borderId="0" xfId="0" applyAlignment="1">
      <alignment horizontal="center"/>
    </xf>
    <xf numFmtId="0" fontId="0" fillId="0" borderId="0" xfId="0" applyNumberFormat="1" applyAlignment="1">
      <alignment horizontal="center"/>
    </xf>
    <xf numFmtId="0" fontId="4" fillId="0" borderId="0" xfId="0" applyFont="1"/>
    <xf numFmtId="0" fontId="6" fillId="0" borderId="1" xfId="0" applyFont="1" applyBorder="1" applyAlignment="1">
      <alignment horizontal="centerContinuous" vertical="center"/>
    </xf>
    <xf numFmtId="0" fontId="7" fillId="0" borderId="2" xfId="0" applyFont="1" applyBorder="1" applyAlignment="1">
      <alignment horizontal="centerContinuous" vertical="center"/>
    </xf>
    <xf numFmtId="0" fontId="7" fillId="0" borderId="3" xfId="0" applyFont="1" applyBorder="1" applyAlignment="1">
      <alignment horizontal="centerContinuous" vertical="center"/>
    </xf>
    <xf numFmtId="0" fontId="0" fillId="3" borderId="0" xfId="0" applyFill="1" applyAlignment="1">
      <alignment horizontal="centerContinuous"/>
    </xf>
    <xf numFmtId="0" fontId="4" fillId="3" borderId="0" xfId="0" applyFont="1" applyFill="1" applyAlignment="1">
      <alignment horizontal="centerContinuous"/>
    </xf>
    <xf numFmtId="0" fontId="6" fillId="3" borderId="0" xfId="0" applyFont="1" applyFill="1" applyAlignment="1">
      <alignment horizontal="centerContinuous"/>
    </xf>
    <xf numFmtId="0" fontId="6" fillId="0" borderId="1" xfId="0" applyFont="1" applyBorder="1" applyAlignment="1">
      <alignment horizontal="centerContinuous"/>
    </xf>
    <xf numFmtId="0" fontId="6" fillId="0" borderId="2" xfId="0" applyFont="1" applyBorder="1" applyAlignment="1">
      <alignment horizontal="centerContinuous"/>
    </xf>
    <xf numFmtId="0" fontId="6" fillId="0" borderId="3" xfId="0" applyFont="1" applyBorder="1" applyAlignment="1">
      <alignment horizontal="centerContinuous"/>
    </xf>
    <xf numFmtId="0" fontId="5" fillId="2" borderId="0" xfId="0" applyFont="1" applyFill="1" applyAlignment="1">
      <alignment horizontal="centerContinuous"/>
    </xf>
    <xf numFmtId="0" fontId="0" fillId="2" borderId="0" xfId="0" applyFill="1" applyAlignment="1">
      <alignment horizontal="centerContinuous"/>
    </xf>
    <xf numFmtId="0" fontId="3" fillId="0" borderId="0" xfId="0" applyFont="1" applyAlignment="1">
      <alignment horizontal="centerContinuous"/>
    </xf>
    <xf numFmtId="0" fontId="6" fillId="0" borderId="0" xfId="0" applyFont="1" applyBorder="1" applyAlignment="1">
      <alignment horizontal="centerContinuous"/>
    </xf>
    <xf numFmtId="0" fontId="6" fillId="0" borderId="0" xfId="0" applyFont="1" applyAlignment="1">
      <alignment horizontal="centerContinuous"/>
    </xf>
    <xf numFmtId="0" fontId="0" fillId="0" borderId="0" xfId="0" applyAlignment="1">
      <alignment horizontal="centerContinuous"/>
    </xf>
    <xf numFmtId="2" fontId="0" fillId="0" borderId="0" xfId="0" applyNumberFormat="1" applyAlignment="1">
      <alignment horizontal="center"/>
    </xf>
    <xf numFmtId="0" fontId="4" fillId="0" borderId="0" xfId="0" applyFont="1" applyAlignment="1">
      <alignment horizontal="center"/>
    </xf>
    <xf numFmtId="0" fontId="4" fillId="0" borderId="0" xfId="0" applyFont="1" applyAlignment="1">
      <alignment horizontal="center" vertical="center"/>
    </xf>
    <xf numFmtId="2" fontId="0" fillId="0" borderId="0" xfId="0" applyNumberFormat="1" applyAlignment="1">
      <alignment horizontal="center" vertical="center"/>
    </xf>
    <xf numFmtId="173" fontId="3" fillId="0" borderId="0" xfId="0" applyNumberFormat="1" applyFont="1" applyAlignment="1">
      <alignment horizontal="center" textRotation="45"/>
    </xf>
    <xf numFmtId="0" fontId="13" fillId="0" borderId="0" xfId="0" applyFont="1"/>
    <xf numFmtId="0" fontId="0" fillId="0" borderId="0" xfId="0" applyAlignment="1">
      <alignment horizontal="left" inden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4" fillId="4" borderId="9" xfId="0" applyFont="1" applyFill="1" applyBorder="1"/>
    <xf numFmtId="11" fontId="0" fillId="0" borderId="0" xfId="0" applyNumberFormat="1"/>
    <xf numFmtId="0" fontId="0" fillId="0" borderId="0" xfId="0" applyAlignment="1">
      <alignment shrinkToFit="1"/>
    </xf>
    <xf numFmtId="0" fontId="15" fillId="0" borderId="0" xfId="0" applyFont="1"/>
  </cellXfs>
  <cellStyles count="1">
    <cellStyle name="Normal" xfId="0" builtinId="0"/>
  </cellStyles>
  <dxfs count="4">
    <dxf>
      <font>
        <strike val="0"/>
        <condense val="0"/>
        <extend val="0"/>
        <color indexed="10"/>
      </font>
    </dxf>
    <dxf>
      <font>
        <strike val="0"/>
        <condense val="0"/>
        <extend val="0"/>
        <color indexed="11"/>
      </font>
    </dxf>
    <dxf>
      <font>
        <b/>
        <i val="0"/>
        <strike val="0"/>
        <condense val="0"/>
        <extend val="0"/>
        <color indexed="11"/>
      </font>
    </dxf>
    <dxf>
      <font>
        <b/>
        <i val="0"/>
        <strike/>
        <condense val="0"/>
        <extend val="0"/>
        <color indexed="53"/>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406400</xdr:colOff>
      <xdr:row>3</xdr:row>
      <xdr:rowOff>38100</xdr:rowOff>
    </xdr:from>
    <xdr:to>
      <xdr:col>7</xdr:col>
      <xdr:colOff>254000</xdr:colOff>
      <xdr:row>7</xdr:row>
      <xdr:rowOff>50800</xdr:rowOff>
    </xdr:to>
    <xdr:sp macro="" textlink="">
      <xdr:nvSpPr>
        <xdr:cNvPr id="5124" name="AutoShape 4">
          <a:extLst>
            <a:ext uri="{FF2B5EF4-FFF2-40B4-BE49-F238E27FC236}">
              <a16:creationId xmlns:a16="http://schemas.microsoft.com/office/drawing/2014/main" id="{3263813E-3C9E-405C-825A-66828E16894C}"/>
            </a:ext>
          </a:extLst>
        </xdr:cNvPr>
        <xdr:cNvSpPr>
          <a:spLocks noChangeArrowheads="1"/>
        </xdr:cNvSpPr>
      </xdr:nvSpPr>
      <xdr:spPr bwMode="auto">
        <a:xfrm>
          <a:off x="3657600" y="679450"/>
          <a:ext cx="2286000" cy="800100"/>
        </a:xfrm>
        <a:prstGeom prst="wedgeEllipseCallout">
          <a:avLst>
            <a:gd name="adj1" fmla="val -51588"/>
            <a:gd name="adj2" fmla="val 8925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GB" sz="1200" b="0" i="0" u="none" strike="noStrike" baseline="0">
              <a:solidFill>
                <a:srgbClr val="000000"/>
              </a:solidFill>
              <a:latin typeface="Times New Roman"/>
              <a:cs typeface="Times New Roman"/>
            </a:rPr>
            <a:t>Use Format Cells Direction to "turn" text within cells</a:t>
          </a:r>
        </a:p>
      </xdr:txBody>
    </xdr:sp>
    <xdr:clientData/>
  </xdr:twoCellAnchor>
  <xdr:twoCellAnchor>
    <xdr:from>
      <xdr:col>13</xdr:col>
      <xdr:colOff>114300</xdr:colOff>
      <xdr:row>1</xdr:row>
      <xdr:rowOff>190500</xdr:rowOff>
    </xdr:from>
    <xdr:to>
      <xdr:col>14</xdr:col>
      <xdr:colOff>50800</xdr:colOff>
      <xdr:row>6</xdr:row>
      <xdr:rowOff>190500</xdr:rowOff>
    </xdr:to>
    <xdr:sp macro="" textlink="">
      <xdr:nvSpPr>
        <xdr:cNvPr id="5125" name="AutoShape 5">
          <a:extLst>
            <a:ext uri="{FF2B5EF4-FFF2-40B4-BE49-F238E27FC236}">
              <a16:creationId xmlns:a16="http://schemas.microsoft.com/office/drawing/2014/main" id="{B6CB25E6-6C65-4888-B649-1D04E43A3F48}"/>
            </a:ext>
          </a:extLst>
        </xdr:cNvPr>
        <xdr:cNvSpPr>
          <a:spLocks/>
        </xdr:cNvSpPr>
      </xdr:nvSpPr>
      <xdr:spPr bwMode="auto">
        <a:xfrm>
          <a:off x="10680700" y="393700"/>
          <a:ext cx="749300" cy="1028700"/>
        </a:xfrm>
        <a:prstGeom prst="borderCallout3">
          <a:avLst>
            <a:gd name="adj1" fmla="val 10949"/>
            <a:gd name="adj2" fmla="val 109708"/>
            <a:gd name="adj3" fmla="val 10949"/>
            <a:gd name="adj4" fmla="val 148542"/>
            <a:gd name="adj5" fmla="val 91972"/>
            <a:gd name="adj6" fmla="val 148542"/>
            <a:gd name="adj7" fmla="val 174454"/>
            <a:gd name="adj8" fmla="val 8931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t" upright="1"/>
        <a:lstStyle/>
        <a:p>
          <a:pPr algn="ctr" rtl="0">
            <a:defRPr sz="1000"/>
          </a:pPr>
          <a:r>
            <a:rPr lang="en-GB" sz="1200" b="0" i="0" u="none" strike="noStrike" baseline="0">
              <a:solidFill>
                <a:srgbClr val="000000"/>
              </a:solidFill>
              <a:latin typeface="Times New Roman"/>
              <a:cs typeface="Times New Roman"/>
            </a:rPr>
            <a:t>Select cell to view Nat.Lang. Formula</a:t>
          </a:r>
        </a:p>
      </xdr:txBody>
    </xdr:sp>
    <xdr:clientData/>
  </xdr:twoCellAnchor>
  <xdr:twoCellAnchor>
    <xdr:from>
      <xdr:col>3</xdr:col>
      <xdr:colOff>406400</xdr:colOff>
      <xdr:row>33</xdr:row>
      <xdr:rowOff>31750</xdr:rowOff>
    </xdr:from>
    <xdr:to>
      <xdr:col>7</xdr:col>
      <xdr:colOff>254000</xdr:colOff>
      <xdr:row>36</xdr:row>
      <xdr:rowOff>82550</xdr:rowOff>
    </xdr:to>
    <xdr:sp macro="" textlink="">
      <xdr:nvSpPr>
        <xdr:cNvPr id="5126" name="Text Box 6">
          <a:extLst>
            <a:ext uri="{FF2B5EF4-FFF2-40B4-BE49-F238E27FC236}">
              <a16:creationId xmlns:a16="http://schemas.microsoft.com/office/drawing/2014/main" id="{3B603162-8851-42F6-AD10-5A51661BDDBF}"/>
            </a:ext>
          </a:extLst>
        </xdr:cNvPr>
        <xdr:cNvSpPr txBox="1">
          <a:spLocks noChangeArrowheads="1"/>
        </xdr:cNvSpPr>
      </xdr:nvSpPr>
      <xdr:spPr bwMode="auto">
        <a:xfrm>
          <a:off x="2844800" y="6750050"/>
          <a:ext cx="3098800" cy="6413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Times New Roman"/>
              <a:cs typeface="Times New Roman"/>
            </a:rPr>
            <a:t>All input cells have been named after the labels to their right. Use the Insert Name option for this.</a:t>
          </a:r>
        </a:p>
      </xdr:txBody>
    </xdr:sp>
    <xdr:clientData/>
  </xdr:twoCellAnchor>
  <xdr:twoCellAnchor editAs="oneCell">
    <xdr:from>
      <xdr:col>2</xdr:col>
      <xdr:colOff>596900</xdr:colOff>
      <xdr:row>42</xdr:row>
      <xdr:rowOff>69850</xdr:rowOff>
    </xdr:from>
    <xdr:to>
      <xdr:col>4</xdr:col>
      <xdr:colOff>596900</xdr:colOff>
      <xdr:row>47</xdr:row>
      <xdr:rowOff>114300</xdr:rowOff>
    </xdr:to>
    <xdr:sp macro="" textlink="">
      <xdr:nvSpPr>
        <xdr:cNvPr id="5127" name="AutoShape 7">
          <a:extLst>
            <a:ext uri="{FF2B5EF4-FFF2-40B4-BE49-F238E27FC236}">
              <a16:creationId xmlns:a16="http://schemas.microsoft.com/office/drawing/2014/main" id="{862A663A-FA5E-4E73-A7C3-0258952C06F3}"/>
            </a:ext>
          </a:extLst>
        </xdr:cNvPr>
        <xdr:cNvSpPr>
          <a:spLocks noChangeArrowheads="1"/>
        </xdr:cNvSpPr>
      </xdr:nvSpPr>
      <xdr:spPr bwMode="auto">
        <a:xfrm>
          <a:off x="2222500" y="8559800"/>
          <a:ext cx="1625600" cy="1028700"/>
        </a:xfrm>
        <a:prstGeom prst="cloudCallout">
          <a:avLst>
            <a:gd name="adj1" fmla="val -88838"/>
            <a:gd name="adj2" fmla="val -122796"/>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6576" rIns="0" bIns="0" anchor="t" upright="1"/>
        <a:lstStyle/>
        <a:p>
          <a:pPr algn="l" rtl="0">
            <a:defRPr sz="1000"/>
          </a:pPr>
          <a:r>
            <a:rPr lang="en-GB" sz="1200" b="0" i="0" u="none" strike="noStrike" baseline="0">
              <a:solidFill>
                <a:srgbClr val="FFCC00"/>
              </a:solidFill>
              <a:latin typeface="Times New Roman"/>
              <a:cs typeface="Times New Roman"/>
            </a:rPr>
            <a:t>Conc. Term: := </a:t>
          </a:r>
          <a:r>
            <a:rPr lang="en-GB" sz="1200" b="0" i="0" u="none" strike="noStrike" baseline="0">
              <a:solidFill>
                <a:srgbClr val="FF0000"/>
              </a:solidFill>
              <a:latin typeface="Times New Roman"/>
              <a:cs typeface="Times New Roman"/>
            </a:rPr>
            <a:t>Formatted Fit to Cell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698500</xdr:colOff>
      <xdr:row>33</xdr:row>
      <xdr:rowOff>44450</xdr:rowOff>
    </xdr:from>
    <xdr:to>
      <xdr:col>0</xdr:col>
      <xdr:colOff>1631950</xdr:colOff>
      <xdr:row>35</xdr:row>
      <xdr:rowOff>107950</xdr:rowOff>
    </xdr:to>
    <xdr:pic>
      <xdr:nvPicPr>
        <xdr:cNvPr id="4101" name="Picture 5">
          <a:extLst>
            <a:ext uri="{FF2B5EF4-FFF2-40B4-BE49-F238E27FC236}">
              <a16:creationId xmlns:a16="http://schemas.microsoft.com/office/drawing/2014/main" id="{925002F1-90EE-4612-AEC7-CE3945772A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0" y="6667500"/>
          <a:ext cx="93345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273050</xdr:colOff>
      <xdr:row>26</xdr:row>
      <xdr:rowOff>76200</xdr:rowOff>
    </xdr:from>
    <xdr:to>
      <xdr:col>1</xdr:col>
      <xdr:colOff>406400</xdr:colOff>
      <xdr:row>30</xdr:row>
      <xdr:rowOff>44450</xdr:rowOff>
    </xdr:to>
    <xdr:sp macro="" textlink="">
      <xdr:nvSpPr>
        <xdr:cNvPr id="4107" name="AutoShape 11">
          <a:extLst>
            <a:ext uri="{FF2B5EF4-FFF2-40B4-BE49-F238E27FC236}">
              <a16:creationId xmlns:a16="http://schemas.microsoft.com/office/drawing/2014/main" id="{C5E8FA16-A87D-4BD3-ABC0-ED1F21F5106B}"/>
            </a:ext>
          </a:extLst>
        </xdr:cNvPr>
        <xdr:cNvSpPr>
          <a:spLocks noChangeArrowheads="1"/>
        </xdr:cNvSpPr>
      </xdr:nvSpPr>
      <xdr:spPr bwMode="auto">
        <a:xfrm>
          <a:off x="273050" y="5270500"/>
          <a:ext cx="1809750" cy="806450"/>
        </a:xfrm>
        <a:prstGeom prst="wedgeRectCallout">
          <a:avLst>
            <a:gd name="adj1" fmla="val -3333"/>
            <a:gd name="adj2" fmla="val 11111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GB" sz="1200" b="0" i="0" u="none" strike="noStrike" baseline="0">
              <a:solidFill>
                <a:srgbClr val="000000"/>
              </a:solidFill>
              <a:latin typeface="Times New Roman"/>
              <a:cs typeface="Times New Roman"/>
            </a:rPr>
            <a:t>Cell text has been indented using this icon on the main formatting bar.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285750</xdr:colOff>
      <xdr:row>2</xdr:row>
      <xdr:rowOff>0</xdr:rowOff>
    </xdr:from>
    <xdr:to>
      <xdr:col>4</xdr:col>
      <xdr:colOff>806450</xdr:colOff>
      <xdr:row>4</xdr:row>
      <xdr:rowOff>101600</xdr:rowOff>
    </xdr:to>
    <xdr:sp macro="" textlink="">
      <xdr:nvSpPr>
        <xdr:cNvPr id="1029" name="AutoShape 5">
          <a:extLst>
            <a:ext uri="{FF2B5EF4-FFF2-40B4-BE49-F238E27FC236}">
              <a16:creationId xmlns:a16="http://schemas.microsoft.com/office/drawing/2014/main" id="{63A7C05A-B99E-4B38-8C4F-1FDA458DCC39}"/>
            </a:ext>
          </a:extLst>
        </xdr:cNvPr>
        <xdr:cNvSpPr>
          <a:spLocks noChangeArrowheads="1"/>
        </xdr:cNvSpPr>
      </xdr:nvSpPr>
      <xdr:spPr bwMode="auto">
        <a:xfrm>
          <a:off x="1098550" y="419100"/>
          <a:ext cx="2959100" cy="495300"/>
        </a:xfrm>
        <a:prstGeom prst="wedgeRectCallout">
          <a:avLst>
            <a:gd name="adj1" fmla="val -32352"/>
            <a:gd name="adj2" fmla="val 11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7432" rIns="27432" bIns="0" anchor="t" upright="1"/>
        <a:lstStyle/>
        <a:p>
          <a:pPr algn="ctr" rtl="0">
            <a:defRPr sz="1000"/>
          </a:pPr>
          <a:r>
            <a:rPr lang="en-GB" sz="800" b="0" i="0" u="sng" strike="noStrike" baseline="0">
              <a:solidFill>
                <a:srgbClr val="000000"/>
              </a:solidFill>
              <a:latin typeface="Times New Roman"/>
              <a:cs typeface="Times New Roman"/>
            </a:rPr>
            <a:t>Cell Formatted with two conditions:</a:t>
          </a:r>
          <a:endParaRPr lang="en-GB" sz="800" b="0" i="0" u="none" strike="noStrike" baseline="0">
            <a:solidFill>
              <a:srgbClr val="000000"/>
            </a:solidFill>
            <a:latin typeface="Times New Roman"/>
            <a:cs typeface="Times New Roman"/>
          </a:endParaRPr>
        </a:p>
        <a:p>
          <a:pPr algn="ctr" rtl="0">
            <a:defRPr sz="1000"/>
          </a:pPr>
          <a:r>
            <a:rPr lang="en-GB" sz="800" b="0" i="0" u="none" strike="noStrike" baseline="0">
              <a:solidFill>
                <a:srgbClr val="000000"/>
              </a:solidFill>
              <a:latin typeface="Times New Roman"/>
              <a:cs typeface="Times New Roman"/>
            </a:rPr>
            <a:t>1. Value not between 0.01 and 0.1= red, crossed-out text</a:t>
          </a:r>
        </a:p>
        <a:p>
          <a:pPr algn="ctr" rtl="0">
            <a:defRPr sz="1000"/>
          </a:pPr>
          <a:r>
            <a:rPr lang="en-GB" sz="800" b="0" i="0" u="none" strike="noStrike" baseline="0">
              <a:solidFill>
                <a:srgbClr val="000000"/>
              </a:solidFill>
              <a:latin typeface="Times New Roman"/>
              <a:cs typeface="Times New Roman"/>
            </a:rPr>
            <a:t>2.Value  between 0.01 and 0.1= green  text</a:t>
          </a:r>
        </a:p>
      </xdr:txBody>
    </xdr:sp>
    <xdr:clientData/>
  </xdr:twoCellAnchor>
  <xdr:twoCellAnchor>
    <xdr:from>
      <xdr:col>3</xdr:col>
      <xdr:colOff>603250</xdr:colOff>
      <xdr:row>15</xdr:row>
      <xdr:rowOff>114300</xdr:rowOff>
    </xdr:from>
    <xdr:to>
      <xdr:col>5</xdr:col>
      <xdr:colOff>184150</xdr:colOff>
      <xdr:row>23</xdr:row>
      <xdr:rowOff>127000</xdr:rowOff>
    </xdr:to>
    <xdr:sp macro="" textlink="">
      <xdr:nvSpPr>
        <xdr:cNvPr id="1034" name="AutoShape 10">
          <a:extLst>
            <a:ext uri="{FF2B5EF4-FFF2-40B4-BE49-F238E27FC236}">
              <a16:creationId xmlns:a16="http://schemas.microsoft.com/office/drawing/2014/main" id="{8F2AD43E-0838-4B63-9629-6FBA0F4A598A}"/>
            </a:ext>
          </a:extLst>
        </xdr:cNvPr>
        <xdr:cNvSpPr>
          <a:spLocks noChangeArrowheads="1"/>
        </xdr:cNvSpPr>
      </xdr:nvSpPr>
      <xdr:spPr bwMode="auto">
        <a:xfrm>
          <a:off x="3041650" y="3092450"/>
          <a:ext cx="1206500" cy="1587500"/>
        </a:xfrm>
        <a:prstGeom prst="upArrowCallout">
          <a:avLst>
            <a:gd name="adj1" fmla="val 25000"/>
            <a:gd name="adj2" fmla="val 25000"/>
            <a:gd name="adj3" fmla="val 21930"/>
            <a:gd name="adj4" fmla="val 6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7432" rIns="27432" bIns="0" anchor="t" upright="1"/>
        <a:lstStyle/>
        <a:p>
          <a:pPr algn="ctr" rtl="0">
            <a:defRPr sz="1000"/>
          </a:pPr>
          <a:r>
            <a:rPr lang="en-GB" sz="800" b="1" i="0" u="none" strike="noStrike" baseline="0">
              <a:solidFill>
                <a:srgbClr val="000000"/>
              </a:solidFill>
              <a:latin typeface="Times New Roman"/>
              <a:cs typeface="Times New Roman"/>
            </a:rPr>
            <a:t>Cells B15:H15 contain =RND. I15 calculates the weekly average. If any daily average is &gt; the weekly average it is marked </a:t>
          </a:r>
          <a:r>
            <a:rPr lang="en-GB" sz="800" b="1" i="0" u="none" strike="noStrike" baseline="0">
              <a:solidFill>
                <a:srgbClr val="FF0000"/>
              </a:solidFill>
              <a:latin typeface="Times New Roman"/>
              <a:cs typeface="Times New Roman"/>
            </a:rPr>
            <a:t>red</a:t>
          </a:r>
          <a:r>
            <a:rPr lang="en-GB" sz="800" b="1" i="0" u="none" strike="noStrike" baseline="0">
              <a:solidFill>
                <a:srgbClr val="000000"/>
              </a:solidFill>
              <a:latin typeface="Times New Roman"/>
              <a:cs typeface="Times New Roman"/>
            </a:rPr>
            <a:t>, otherwise </a:t>
          </a:r>
          <a:r>
            <a:rPr lang="en-GB" sz="800" b="1" i="0" u="none" strike="noStrike" baseline="0">
              <a:solidFill>
                <a:srgbClr val="00FF00"/>
              </a:solidFill>
              <a:latin typeface="Times New Roman"/>
              <a:cs typeface="Times New Roman"/>
            </a:rPr>
            <a:t>green</a:t>
          </a:r>
          <a:r>
            <a:rPr lang="en-GB" sz="800" b="1" i="0" u="none" strike="noStrike" baseline="0">
              <a:solidFill>
                <a:srgbClr val="000000"/>
              </a:solidFill>
              <a:latin typeface="Times New Roman"/>
              <a:cs typeface="Times New Roman"/>
            </a:rPr>
            <a:t>.</a:t>
          </a:r>
        </a:p>
      </xdr:txBody>
    </xdr:sp>
    <xdr:clientData/>
  </xdr:twoCellAnchor>
  <xdr:twoCellAnchor>
    <xdr:from>
      <xdr:col>4</xdr:col>
      <xdr:colOff>755650</xdr:colOff>
      <xdr:row>5</xdr:row>
      <xdr:rowOff>158750</xdr:rowOff>
    </xdr:from>
    <xdr:to>
      <xdr:col>7</xdr:col>
      <xdr:colOff>457200</xdr:colOff>
      <xdr:row>8</xdr:row>
      <xdr:rowOff>25400</xdr:rowOff>
    </xdr:to>
    <xdr:sp macro="" textlink="">
      <xdr:nvSpPr>
        <xdr:cNvPr id="1035" name="Text Box 11">
          <a:extLst>
            <a:ext uri="{FF2B5EF4-FFF2-40B4-BE49-F238E27FC236}">
              <a16:creationId xmlns:a16="http://schemas.microsoft.com/office/drawing/2014/main" id="{F21EA9C9-0AE7-49B2-B24A-EDB7AF1A34DC}"/>
            </a:ext>
          </a:extLst>
        </xdr:cNvPr>
        <xdr:cNvSpPr txBox="1">
          <a:spLocks noChangeArrowheads="1"/>
        </xdr:cNvSpPr>
      </xdr:nvSpPr>
      <xdr:spPr bwMode="auto">
        <a:xfrm>
          <a:off x="4006850" y="1168400"/>
          <a:ext cx="2139950" cy="457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n-GB" sz="800" b="1" i="0" u="none" strike="noStrike" baseline="0">
              <a:solidFill>
                <a:srgbClr val="000000"/>
              </a:solidFill>
              <a:latin typeface="Times New Roman"/>
              <a:cs typeface="Times New Roman"/>
            </a:rPr>
            <a:t>Formula in B8 calculates the molar conductivity of a KCl solution from  the concentration.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N39"/>
  <sheetViews>
    <sheetView tabSelected="1" zoomScale="55" workbookViewId="0">
      <selection activeCell="H46" sqref="H46"/>
    </sheetView>
  </sheetViews>
  <sheetFormatPr defaultRowHeight="15.5" x14ac:dyDescent="0.35"/>
  <cols>
    <col min="1" max="256" width="10.6640625" customWidth="1"/>
  </cols>
  <sheetData>
    <row r="1" spans="1:14" ht="16" thickBot="1" x14ac:dyDescent="0.4"/>
    <row r="2" spans="1:14" ht="18.5" thickTop="1" thickBot="1" x14ac:dyDescent="0.4">
      <c r="A2" s="18" t="s">
        <v>51</v>
      </c>
      <c r="B2" s="18"/>
      <c r="C2" s="18"/>
      <c r="D2" s="18"/>
      <c r="E2" s="18"/>
      <c r="F2" s="12"/>
      <c r="G2" s="13"/>
      <c r="H2" s="13"/>
      <c r="I2" s="14"/>
      <c r="J2" s="18"/>
      <c r="K2" s="18"/>
      <c r="L2" s="18"/>
      <c r="M2" s="18"/>
      <c r="N2" s="18"/>
    </row>
    <row r="3" spans="1:14" ht="16" thickTop="1" x14ac:dyDescent="0.35">
      <c r="A3" s="22">
        <v>1</v>
      </c>
    </row>
    <row r="4" spans="1:14" x14ac:dyDescent="0.35">
      <c r="A4" s="3"/>
      <c r="B4" s="4" t="s">
        <v>1</v>
      </c>
      <c r="C4" s="3" t="s">
        <v>4</v>
      </c>
    </row>
    <row r="5" spans="1:14" x14ac:dyDescent="0.35">
      <c r="A5" s="3" t="s">
        <v>16</v>
      </c>
      <c r="B5" s="3">
        <v>1000</v>
      </c>
      <c r="C5" s="3">
        <v>2000</v>
      </c>
    </row>
    <row r="6" spans="1:14" x14ac:dyDescent="0.35">
      <c r="A6" s="3" t="s">
        <v>17</v>
      </c>
      <c r="B6" s="3">
        <v>100</v>
      </c>
      <c r="C6" s="3">
        <v>1888</v>
      </c>
    </row>
    <row r="7" spans="1:14" x14ac:dyDescent="0.35">
      <c r="A7" s="3" t="s">
        <v>15</v>
      </c>
      <c r="B7" s="3">
        <f>B5-B6</f>
        <v>900</v>
      </c>
      <c r="C7" s="3"/>
      <c r="J7" s="15" t="s">
        <v>30</v>
      </c>
      <c r="K7" s="15"/>
      <c r="L7" s="16"/>
      <c r="M7" s="16"/>
    </row>
    <row r="9" spans="1:14" x14ac:dyDescent="0.35">
      <c r="A9" s="22">
        <v>2</v>
      </c>
      <c r="N9" s="17" t="s">
        <v>55</v>
      </c>
    </row>
    <row r="10" spans="1:14" ht="25" x14ac:dyDescent="0.35">
      <c r="A10" s="1"/>
      <c r="B10" s="25" t="s">
        <v>1</v>
      </c>
      <c r="C10" s="25" t="s">
        <v>4</v>
      </c>
      <c r="D10" s="25" t="s">
        <v>5</v>
      </c>
      <c r="E10" s="25" t="s">
        <v>6</v>
      </c>
      <c r="F10" s="25" t="s">
        <v>7</v>
      </c>
      <c r="G10" s="25" t="s">
        <v>8</v>
      </c>
      <c r="H10" s="25" t="s">
        <v>9</v>
      </c>
      <c r="I10" s="25" t="s">
        <v>10</v>
      </c>
      <c r="J10" s="25" t="s">
        <v>11</v>
      </c>
      <c r="K10" s="25" t="s">
        <v>12</v>
      </c>
      <c r="L10" s="25" t="s">
        <v>13</v>
      </c>
      <c r="M10" s="25" t="s">
        <v>14</v>
      </c>
      <c r="N10" s="17" t="s">
        <v>56</v>
      </c>
    </row>
    <row r="11" spans="1:14" x14ac:dyDescent="0.35">
      <c r="A11" s="2" t="s">
        <v>0</v>
      </c>
      <c r="B11">
        <f t="shared" ref="B11:M13" ca="1" si="0">RAND()</f>
        <v>0.81695690670375865</v>
      </c>
      <c r="C11">
        <f t="shared" ca="1" si="0"/>
        <v>0.96402975297754157</v>
      </c>
      <c r="D11">
        <f t="shared" ca="1" si="0"/>
        <v>0.94465133266688051</v>
      </c>
      <c r="E11">
        <f t="shared" ca="1" si="0"/>
        <v>0.12401145546479309</v>
      </c>
      <c r="F11">
        <f t="shared" ca="1" si="0"/>
        <v>0.81482561372241968</v>
      </c>
      <c r="G11">
        <f t="shared" ca="1" si="0"/>
        <v>0.80324646535183453</v>
      </c>
      <c r="H11">
        <f t="shared" ca="1" si="0"/>
        <v>0.82871142315979118</v>
      </c>
      <c r="I11">
        <f t="shared" ca="1" si="0"/>
        <v>0.59163647474842285</v>
      </c>
      <c r="J11">
        <f t="shared" ca="1" si="0"/>
        <v>0.92828579813386214</v>
      </c>
      <c r="K11">
        <f t="shared" ca="1" si="0"/>
        <v>0.44972241593156836</v>
      </c>
      <c r="L11">
        <f t="shared" ca="1" si="0"/>
        <v>0.24716107641560714</v>
      </c>
      <c r="M11">
        <f t="shared" ca="1" si="0"/>
        <v>0.62653803377660899</v>
      </c>
      <c r="N11">
        <f ca="1">AVERAGE(B11,C11,D11,E11,F11,G11,H11,I11,J11,K11,L11,M11)</f>
        <v>0.67831472908775747</v>
      </c>
    </row>
    <row r="12" spans="1:14" ht="17.5" x14ac:dyDescent="0.45">
      <c r="A12" s="2" t="s">
        <v>2</v>
      </c>
      <c r="B12">
        <f t="shared" ca="1" si="0"/>
        <v>9.0875303308099675E-2</v>
      </c>
      <c r="C12">
        <f t="shared" ca="1" si="0"/>
        <v>0.93494557573268999</v>
      </c>
      <c r="D12">
        <f t="shared" ca="1" si="0"/>
        <v>0.62369364893335932</v>
      </c>
      <c r="E12">
        <f t="shared" ca="1" si="0"/>
        <v>0.22029663115039155</v>
      </c>
      <c r="F12">
        <f t="shared" ca="1" si="0"/>
        <v>0.86574772454263282</v>
      </c>
      <c r="G12">
        <f t="shared" ca="1" si="0"/>
        <v>0.38977635690720047</v>
      </c>
      <c r="H12">
        <f t="shared" ca="1" si="0"/>
        <v>0.31695636115218884</v>
      </c>
      <c r="I12">
        <f t="shared" ca="1" si="0"/>
        <v>0.51717157326238616</v>
      </c>
      <c r="J12">
        <f t="shared" ca="1" si="0"/>
        <v>9.6356986263863798E-2</v>
      </c>
      <c r="K12">
        <f t="shared" ca="1" si="0"/>
        <v>0.58360521350519101</v>
      </c>
      <c r="L12">
        <f t="shared" ca="1" si="0"/>
        <v>0.29155726876610366</v>
      </c>
      <c r="M12">
        <f t="shared" ca="1" si="0"/>
        <v>0.53755916631522349</v>
      </c>
    </row>
    <row r="13" spans="1:14" ht="17.5" x14ac:dyDescent="0.45">
      <c r="A13" s="2" t="s">
        <v>3</v>
      </c>
      <c r="B13">
        <f t="shared" ca="1" si="0"/>
        <v>7.501942568706399E-2</v>
      </c>
      <c r="C13">
        <f t="shared" ca="1" si="0"/>
        <v>0.94257274493045862</v>
      </c>
      <c r="D13">
        <f t="shared" ca="1" si="0"/>
        <v>0.77444339035859655</v>
      </c>
      <c r="E13">
        <f ca="1">RAND()</f>
        <v>0.1201898355562111</v>
      </c>
      <c r="F13">
        <f t="shared" ca="1" si="0"/>
        <v>0.35829619013183323</v>
      </c>
      <c r="G13">
        <f t="shared" ca="1" si="0"/>
        <v>0.80805943891966137</v>
      </c>
      <c r="H13">
        <f t="shared" ca="1" si="0"/>
        <v>0.5747199390904697</v>
      </c>
      <c r="I13">
        <f t="shared" ca="1" si="0"/>
        <v>9.6122831524972363E-2</v>
      </c>
      <c r="J13">
        <f t="shared" ca="1" si="0"/>
        <v>0.75924163380489429</v>
      </c>
      <c r="K13">
        <f t="shared" ca="1" si="0"/>
        <v>0.14404545145333381</v>
      </c>
      <c r="L13">
        <f t="shared" ca="1" si="0"/>
        <v>0.81868201252798389</v>
      </c>
      <c r="M13">
        <f t="shared" ca="1" si="0"/>
        <v>0.83071329115157944</v>
      </c>
    </row>
    <row r="15" spans="1:14" x14ac:dyDescent="0.35">
      <c r="A15" s="22">
        <v>3</v>
      </c>
    </row>
    <row r="16" spans="1:14" x14ac:dyDescent="0.35">
      <c r="B16" t="s">
        <v>27</v>
      </c>
      <c r="D16" t="s">
        <v>20</v>
      </c>
      <c r="F16" t="s">
        <v>21</v>
      </c>
      <c r="I16" s="5" t="s">
        <v>26</v>
      </c>
      <c r="J16" s="5"/>
      <c r="K16" s="5"/>
      <c r="L16" s="5"/>
    </row>
    <row r="17" spans="1:12" x14ac:dyDescent="0.35">
      <c r="A17" t="s">
        <v>18</v>
      </c>
      <c r="B17">
        <v>0.5</v>
      </c>
      <c r="D17">
        <v>10</v>
      </c>
      <c r="F17">
        <f>B17*D17</f>
        <v>5</v>
      </c>
    </row>
    <row r="18" spans="1:12" x14ac:dyDescent="0.35">
      <c r="A18" t="s">
        <v>19</v>
      </c>
      <c r="B18">
        <v>0.25</v>
      </c>
      <c r="D18">
        <v>100</v>
      </c>
      <c r="I18" t="s">
        <v>22</v>
      </c>
      <c r="J18" t="s">
        <v>23</v>
      </c>
    </row>
    <row r="19" spans="1:12" x14ac:dyDescent="0.35">
      <c r="J19" t="s">
        <v>24</v>
      </c>
    </row>
    <row r="21" spans="1:12" x14ac:dyDescent="0.35">
      <c r="I21" t="s">
        <v>25</v>
      </c>
      <c r="J21" t="s">
        <v>52</v>
      </c>
    </row>
    <row r="22" spans="1:12" x14ac:dyDescent="0.35">
      <c r="J22" t="s">
        <v>28</v>
      </c>
    </row>
    <row r="23" spans="1:12" x14ac:dyDescent="0.35">
      <c r="J23" t="s">
        <v>53</v>
      </c>
    </row>
    <row r="24" spans="1:12" x14ac:dyDescent="0.35">
      <c r="J24" t="s">
        <v>54</v>
      </c>
    </row>
    <row r="25" spans="1:12" x14ac:dyDescent="0.35">
      <c r="J25" t="s">
        <v>29</v>
      </c>
    </row>
    <row r="27" spans="1:12" x14ac:dyDescent="0.35">
      <c r="J27" s="15" t="s">
        <v>31</v>
      </c>
      <c r="K27" s="16"/>
      <c r="L27" s="16"/>
    </row>
    <row r="28" spans="1:12" x14ac:dyDescent="0.35">
      <c r="A28" s="22">
        <v>4</v>
      </c>
      <c r="B28" s="36" t="s">
        <v>75</v>
      </c>
      <c r="C28" s="36"/>
      <c r="D28" s="36"/>
      <c r="E28" s="36"/>
    </row>
    <row r="30" spans="1:12" x14ac:dyDescent="0.35">
      <c r="B30" t="s">
        <v>69</v>
      </c>
      <c r="C30">
        <v>1000</v>
      </c>
      <c r="E30" t="s">
        <v>77</v>
      </c>
      <c r="F30">
        <v>0.2</v>
      </c>
    </row>
    <row r="31" spans="1:12" x14ac:dyDescent="0.35">
      <c r="B31" t="s">
        <v>70</v>
      </c>
      <c r="C31" s="34">
        <v>52.24</v>
      </c>
      <c r="E31" t="s">
        <v>76</v>
      </c>
      <c r="F31">
        <v>0.34</v>
      </c>
    </row>
    <row r="32" spans="1:12" x14ac:dyDescent="0.35">
      <c r="B32" t="s">
        <v>71</v>
      </c>
      <c r="C32" s="34">
        <v>31.53</v>
      </c>
      <c r="E32" t="s">
        <v>78</v>
      </c>
      <c r="F32">
        <v>0.43</v>
      </c>
    </row>
    <row r="33" spans="2:3" x14ac:dyDescent="0.35">
      <c r="B33" t="s">
        <v>79</v>
      </c>
      <c r="C33">
        <v>6</v>
      </c>
    </row>
    <row r="34" spans="2:3" x14ac:dyDescent="0.35">
      <c r="B34" t="s">
        <v>81</v>
      </c>
      <c r="C34">
        <v>6</v>
      </c>
    </row>
    <row r="35" spans="2:3" x14ac:dyDescent="0.35">
      <c r="B35" t="s">
        <v>72</v>
      </c>
      <c r="C35">
        <v>1</v>
      </c>
    </row>
    <row r="36" spans="2:3" x14ac:dyDescent="0.35">
      <c r="B36" t="s">
        <v>73</v>
      </c>
      <c r="C36">
        <v>0</v>
      </c>
    </row>
    <row r="37" spans="2:3" x14ac:dyDescent="0.35">
      <c r="B37" t="s">
        <v>74</v>
      </c>
      <c r="C37">
        <v>0</v>
      </c>
    </row>
    <row r="39" spans="2:3" x14ac:dyDescent="0.35">
      <c r="B39" s="35" t="s">
        <v>80</v>
      </c>
      <c r="C39">
        <f>((Q/(2*PI()*SY*SZ*U))*EXP((-Y^2)/2*SIGy^2))*(EXP(-(Z_-h^2)/2*SIGz^2)+EXP(-(Z_+h^2)/2*SIGz^2))</f>
        <v>0.44969564285257985</v>
      </c>
    </row>
  </sheetData>
  <pageMargins left="0.75" right="0.75" top="1" bottom="1" header="0.4921259845" footer="0.492125984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M30"/>
  <sheetViews>
    <sheetView zoomScale="50" workbookViewId="0">
      <selection activeCell="H36" sqref="H36"/>
    </sheetView>
  </sheetViews>
  <sheetFormatPr defaultRowHeight="15.5" x14ac:dyDescent="0.35"/>
  <cols>
    <col min="1" max="1" width="22" customWidth="1"/>
    <col min="2" max="4" width="10.6640625" customWidth="1"/>
    <col min="5" max="5" width="16.1640625" customWidth="1"/>
    <col min="6" max="256" width="10.6640625" customWidth="1"/>
  </cols>
  <sheetData>
    <row r="1" spans="1:6" ht="16" thickBot="1" x14ac:dyDescent="0.4"/>
    <row r="2" spans="1:6" ht="18.5" thickTop="1" thickBot="1" x14ac:dyDescent="0.4">
      <c r="A2" s="6" t="s">
        <v>32</v>
      </c>
      <c r="B2" s="7"/>
      <c r="C2" s="7"/>
      <c r="D2" s="7"/>
      <c r="E2" s="7"/>
      <c r="F2" s="8"/>
    </row>
    <row r="3" spans="1:6" ht="16" thickTop="1" x14ac:dyDescent="0.35"/>
    <row r="5" spans="1:6" x14ac:dyDescent="0.35">
      <c r="E5" s="33" t="s">
        <v>47</v>
      </c>
      <c r="F5" s="28">
        <v>1</v>
      </c>
    </row>
    <row r="6" spans="1:6" x14ac:dyDescent="0.35">
      <c r="A6" t="s">
        <v>33</v>
      </c>
      <c r="E6" s="29"/>
      <c r="F6" s="30">
        <v>3</v>
      </c>
    </row>
    <row r="7" spans="1:6" x14ac:dyDescent="0.35">
      <c r="A7" s="27" t="s">
        <v>34</v>
      </c>
      <c r="B7" t="s">
        <v>43</v>
      </c>
      <c r="E7" s="29"/>
      <c r="F7" s="30">
        <v>5</v>
      </c>
    </row>
    <row r="8" spans="1:6" x14ac:dyDescent="0.35">
      <c r="A8" s="27" t="s">
        <v>35</v>
      </c>
      <c r="B8" t="s">
        <v>43</v>
      </c>
      <c r="E8" s="29"/>
      <c r="F8" s="30">
        <v>7</v>
      </c>
    </row>
    <row r="9" spans="1:6" x14ac:dyDescent="0.35">
      <c r="E9" s="29"/>
      <c r="F9" s="30">
        <v>9</v>
      </c>
    </row>
    <row r="10" spans="1:6" x14ac:dyDescent="0.35">
      <c r="E10" s="29"/>
      <c r="F10" s="30">
        <v>11</v>
      </c>
    </row>
    <row r="11" spans="1:6" x14ac:dyDescent="0.35">
      <c r="A11" t="s">
        <v>37</v>
      </c>
      <c r="E11" s="29"/>
      <c r="F11" s="30">
        <v>13</v>
      </c>
    </row>
    <row r="12" spans="1:6" x14ac:dyDescent="0.35">
      <c r="A12" s="27" t="s">
        <v>38</v>
      </c>
      <c r="B12">
        <v>345</v>
      </c>
      <c r="E12" s="29"/>
      <c r="F12" s="30">
        <v>15</v>
      </c>
    </row>
    <row r="13" spans="1:6" x14ac:dyDescent="0.35">
      <c r="A13" s="27" t="s">
        <v>39</v>
      </c>
      <c r="B13">
        <v>234</v>
      </c>
      <c r="E13" s="29"/>
      <c r="F13" s="30">
        <v>17</v>
      </c>
    </row>
    <row r="14" spans="1:6" x14ac:dyDescent="0.35">
      <c r="E14" s="29"/>
      <c r="F14" s="30">
        <v>19</v>
      </c>
    </row>
    <row r="15" spans="1:6" x14ac:dyDescent="0.35">
      <c r="E15" s="31"/>
      <c r="F15" s="32">
        <v>21</v>
      </c>
    </row>
    <row r="16" spans="1:6" x14ac:dyDescent="0.35">
      <c r="A16" t="s">
        <v>40</v>
      </c>
    </row>
    <row r="17" spans="1:13" x14ac:dyDescent="0.35">
      <c r="A17" s="27" t="s">
        <v>41</v>
      </c>
      <c r="B17">
        <v>5</v>
      </c>
    </row>
    <row r="18" spans="1:13" x14ac:dyDescent="0.35">
      <c r="A18" s="27" t="s">
        <v>42</v>
      </c>
      <c r="B18">
        <v>7</v>
      </c>
    </row>
    <row r="21" spans="1:13" x14ac:dyDescent="0.35">
      <c r="A21" t="s">
        <v>44</v>
      </c>
    </row>
    <row r="22" spans="1:13" x14ac:dyDescent="0.35">
      <c r="A22" s="27" t="s">
        <v>45</v>
      </c>
      <c r="B22" t="s">
        <v>48</v>
      </c>
    </row>
    <row r="25" spans="1:13" x14ac:dyDescent="0.35">
      <c r="A25" t="s">
        <v>46</v>
      </c>
    </row>
    <row r="26" spans="1:13" ht="17.5" x14ac:dyDescent="0.35">
      <c r="B26">
        <v>45</v>
      </c>
      <c r="E26" s="11" t="s">
        <v>36</v>
      </c>
      <c r="F26" s="10"/>
      <c r="G26" s="10"/>
      <c r="H26" s="10"/>
      <c r="I26" s="10"/>
      <c r="J26" s="10"/>
      <c r="K26" s="9"/>
      <c r="L26" s="9"/>
    </row>
    <row r="28" spans="1:13" ht="17.5" x14ac:dyDescent="0.35">
      <c r="D28" s="9"/>
      <c r="E28" s="11" t="s">
        <v>49</v>
      </c>
      <c r="F28" s="10"/>
      <c r="G28" s="10"/>
      <c r="H28" s="10"/>
      <c r="I28" s="10"/>
      <c r="J28" s="10"/>
      <c r="K28" s="9"/>
      <c r="L28" s="10"/>
      <c r="M28" s="9"/>
    </row>
    <row r="30" spans="1:13" ht="17.5" x14ac:dyDescent="0.35">
      <c r="E30" s="11" t="s">
        <v>50</v>
      </c>
      <c r="F30" s="10"/>
      <c r="G30" s="10"/>
      <c r="H30" s="10"/>
      <c r="I30" s="10"/>
      <c r="J30" s="10"/>
      <c r="K30" s="10"/>
      <c r="L30" s="9"/>
    </row>
  </sheetData>
  <dataValidations xWindow="167" yWindow="364" count="9">
    <dataValidation allowBlank="1" showInputMessage="1" showErrorMessage="1" prompt="Enter a Value" sqref="B7"/>
    <dataValidation allowBlank="1" showInputMessage="1" showErrorMessage="1" promptTitle="AnyEntry" prompt="Enter a Value" sqref="B8"/>
    <dataValidation type="whole" errorStyle="warning" allowBlank="1" showInputMessage="1" showErrorMessage="1" errorTitle="Invalid Entry !!" error="Value 0 -100" promptTitle="Integer Input" prompt="Enter an Integer 0 - 100_x000a_" sqref="B12">
      <formula1>0</formula1>
      <formula2>100</formula2>
    </dataValidation>
    <dataValidation type="whole" allowBlank="1" showInputMessage="1" showErrorMessage="1" errorTitle="Invalid Entry !!" error="Value 0 -100" promptTitle="Integer Input" prompt="Enter an Integer 0 - 100_x000a_" sqref="B13">
      <formula1>0</formula1>
      <formula2>100</formula2>
    </dataValidation>
    <dataValidation type="list" allowBlank="1" showInputMessage="1" showErrorMessage="1" prompt="List Entry" sqref="B17">
      <formula1>"1,3,5,7,9"</formula1>
    </dataValidation>
    <dataValidation type="list" allowBlank="1" showInputMessage="1" showErrorMessage="1" promptTitle="List Entry" prompt="Click a Nr._x000a_" sqref="B18">
      <formula1>$F$5:$F$15</formula1>
    </dataValidation>
    <dataValidation errorStyle="information" operator="lessThan" allowBlank="1" showInputMessage="1" showErrorMessage="1" error="Warning ! String too long !" sqref="B23"/>
    <dataValidation type="custom" allowBlank="1" showInputMessage="1" showErrorMessage="1" error="Input Error !!_x000a_" promptTitle="Enter Integer" prompt="Valid when B17&gt;B18_x000a_" sqref="B26">
      <formula1>B17&gt;B18</formula1>
    </dataValidation>
    <dataValidation type="textLength" errorStyle="information" operator="lessThan" allowBlank="1" showInputMessage="1" showErrorMessage="1" error="Warning ! String too long !" prompt="Enter text &lt; 3 chars" sqref="B22">
      <formula1>3</formula1>
    </dataValidation>
  </dataValidations>
  <pageMargins left="0.75" right="0.75" top="1" bottom="1" header="0.4921259845" footer="0.492125984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4"/>
  <dimension ref="A1:I15"/>
  <sheetViews>
    <sheetView zoomScale="75" workbookViewId="0">
      <selection activeCell="I11" sqref="I11"/>
    </sheetView>
  </sheetViews>
  <sheetFormatPr defaultRowHeight="15.5" x14ac:dyDescent="0.35"/>
  <cols>
    <col min="1" max="256" width="10.6640625" customWidth="1"/>
  </cols>
  <sheetData>
    <row r="1" spans="1:9" ht="17.5" x14ac:dyDescent="0.35">
      <c r="A1" s="19" t="s">
        <v>59</v>
      </c>
      <c r="B1" s="20"/>
      <c r="C1" s="20"/>
      <c r="D1" s="20"/>
      <c r="E1" s="20"/>
      <c r="F1" s="20"/>
      <c r="G1" s="20"/>
      <c r="H1" s="20"/>
      <c r="I1" s="20"/>
    </row>
    <row r="7" spans="1:9" x14ac:dyDescent="0.35">
      <c r="A7" t="s">
        <v>57</v>
      </c>
      <c r="B7">
        <v>999</v>
      </c>
      <c r="E7" s="26"/>
    </row>
    <row r="8" spans="1:9" x14ac:dyDescent="0.35">
      <c r="A8" t="s">
        <v>58</v>
      </c>
      <c r="B8">
        <f>149.86-94.83*B7+25.47*B7*LN(B7)+220.9*B7-229*B3^3/2</f>
        <v>301832.91916796647</v>
      </c>
    </row>
    <row r="13" spans="1:9" x14ac:dyDescent="0.35">
      <c r="I13" s="23" t="s">
        <v>67</v>
      </c>
    </row>
    <row r="14" spans="1:9" x14ac:dyDescent="0.35">
      <c r="B14" s="22" t="s">
        <v>60</v>
      </c>
      <c r="C14" s="22" t="s">
        <v>61</v>
      </c>
      <c r="D14" s="22" t="s">
        <v>62</v>
      </c>
      <c r="E14" s="22" t="s">
        <v>63</v>
      </c>
      <c r="F14" s="22" t="s">
        <v>64</v>
      </c>
      <c r="G14" s="22" t="s">
        <v>65</v>
      </c>
      <c r="H14" s="22" t="s">
        <v>66</v>
      </c>
      <c r="I14" s="23" t="s">
        <v>56</v>
      </c>
    </row>
    <row r="15" spans="1:9" x14ac:dyDescent="0.35">
      <c r="A15" t="s">
        <v>68</v>
      </c>
      <c r="B15" s="21">
        <f t="shared" ref="B15:H15" ca="1" si="0">RAND()</f>
        <v>0.89512886766517941</v>
      </c>
      <c r="C15" s="21">
        <f t="shared" ca="1" si="0"/>
        <v>0.27344594046693826</v>
      </c>
      <c r="D15" s="21">
        <f t="shared" ca="1" si="0"/>
        <v>0.82629410377206358</v>
      </c>
      <c r="E15" s="21">
        <f t="shared" ca="1" si="0"/>
        <v>0.24116524735931488</v>
      </c>
      <c r="F15" s="21">
        <f t="shared" ca="1" si="0"/>
        <v>0.30455451600410333</v>
      </c>
      <c r="G15" s="21">
        <f t="shared" ca="1" si="0"/>
        <v>0.63006514988447793</v>
      </c>
      <c r="H15" s="21">
        <f t="shared" ca="1" si="0"/>
        <v>0.55882860960121628</v>
      </c>
      <c r="I15" s="24">
        <f ca="1">AVERAGE(B15:H15)</f>
        <v>0.53278320496475629</v>
      </c>
    </row>
  </sheetData>
  <conditionalFormatting sqref="B7">
    <cfRule type="cellIs" dxfId="3" priority="1" stopIfTrue="1" operator="notBetween">
      <formula>0.01</formula>
      <formula>0.1</formula>
    </cfRule>
    <cfRule type="cellIs" dxfId="2" priority="2" stopIfTrue="1" operator="between">
      <formula>0.01</formula>
      <formula>0.1</formula>
    </cfRule>
  </conditionalFormatting>
  <conditionalFormatting sqref="B15:H15">
    <cfRule type="cellIs" dxfId="1" priority="3" stopIfTrue="1" operator="lessThan">
      <formula>$I$15</formula>
    </cfRule>
    <cfRule type="cellIs" dxfId="0" priority="4" stopIfTrue="1" operator="greaterThanOrEqual">
      <formula>$I$15</formula>
    </cfRule>
  </conditionalFormatting>
  <pageMargins left="0.75" right="0.75" top="1" bottom="1" header="0.4921259845" footer="0.4921259845"/>
  <pageSetup paperSize="9"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NatLang Formulas</vt:lpstr>
      <vt:lpstr>Cell Formatting I</vt:lpstr>
      <vt:lpstr>Cell Formatting II</vt:lpstr>
      <vt:lpstr>h</vt:lpstr>
      <vt:lpstr>Q</vt:lpstr>
      <vt:lpstr>SIGx</vt:lpstr>
      <vt:lpstr>SIGy</vt:lpstr>
      <vt:lpstr>SIGz</vt:lpstr>
      <vt:lpstr>SY</vt:lpstr>
      <vt:lpstr>SZ</vt:lpstr>
      <vt:lpstr>U</vt:lpstr>
      <vt:lpstr>X</vt:lpstr>
      <vt:lpstr>Y</vt:lpstr>
      <vt:lpstr>Z_</vt:lpstr>
    </vt:vector>
  </TitlesOfParts>
  <Company>Research Centre, Karlsruhe, Germany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Gordon Filby</dc:creator>
  <cp:lastModifiedBy>Carina Negreanu</cp:lastModifiedBy>
  <dcterms:created xsi:type="dcterms:W3CDTF">1997-04-25T15:59:49Z</dcterms:created>
  <dcterms:modified xsi:type="dcterms:W3CDTF">2020-01-27T11:33:33Z</dcterms:modified>
</cp:coreProperties>
</file>