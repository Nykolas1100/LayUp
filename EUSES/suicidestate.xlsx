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F337BED-F338-40F3-AAA6-C4C13DBCFC96}" xr6:coauthVersionLast="45" xr6:coauthVersionMax="45" xr10:uidLastSave="{00000000-0000-0000-0000-000000000000}"/>
  <bookViews>
    <workbookView xWindow="1900" yWindow="1900" windowWidth="28800" windowHeight="15460"/>
  </bookViews>
  <sheets>
    <sheet name="suicidestate" sheetId="1" r:id="rId1"/>
  </sheets>
  <definedNames>
    <definedName name="_A0193906" localSheetId="0">suicidestate!$A$106:$A$106</definedName>
    <definedName name="_A0193912" localSheetId="0">suicidestate!$A$106:$A$106</definedName>
    <definedName name="_A0198356" localSheetId="0">suicidestate!$A$34:$A$34</definedName>
    <definedName name="_A0200063" localSheetId="0">suicidestate!$A$39:$A$39</definedName>
    <definedName name="TABLE" localSheetId="0">suicidestate!$A$1:$H$1</definedName>
    <definedName name="TABLE_10" localSheetId="0">suicidestate!$D$25:$E$29</definedName>
    <definedName name="TABLE_11" localSheetId="0">suicidestate!$D$30:$E$30</definedName>
    <definedName name="TABLE_12" localSheetId="0">suicidestate!$D$32:$E$33</definedName>
    <definedName name="TABLE_13" localSheetId="0">suicidestate!$D$35:$E$42</definedName>
    <definedName name="TABLE_14" localSheetId="0">suicidestate!$D$48:$E$49</definedName>
    <definedName name="TABLE_15" localSheetId="0">suicidestate!$A$24:$E$113</definedName>
    <definedName name="TABLE_16" localSheetId="0">suicidestate!$A$115:$E$116</definedName>
    <definedName name="TABLE_17" localSheetId="0">suicidestate!$A$117:$H$135</definedName>
    <definedName name="TABLE_18" localSheetId="0">suicidestate!$A$137:$E$173</definedName>
    <definedName name="TABLE_19" localSheetId="0">suicidestate!$A$23:$H$173</definedName>
    <definedName name="TABLE_2" localSheetId="0">suicidestate!$I$4:$M$5</definedName>
    <definedName name="TABLE_20" localSheetId="0">suicidestate!$A$174:$H$175</definedName>
    <definedName name="TABLE_3" localSheetId="0">suicidestate!$A$6:$M$14</definedName>
    <definedName name="TABLE_4" localSheetId="0">suicidestate!$A$15:$M$22</definedName>
    <definedName name="TABLE_5" localSheetId="0">suicidestate!$A$3:$M$22</definedName>
    <definedName name="TABLE_6" localSheetId="0">suicidestate!$A$41:$B$102</definedName>
    <definedName name="TABLE_7" localSheetId="0">suicidestate!$A$106:$A$109</definedName>
    <definedName name="TABLE_8" localSheetId="0">suicidestate!$A$112:$C$113</definedName>
    <definedName name="TABLE_9" localSheetId="0">suicidestate!$D$29:$E$29</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79" i="1" l="1"/>
  <c r="H179" i="1"/>
  <c r="E180" i="1"/>
  <c r="H180" i="1"/>
  <c r="E181" i="1"/>
  <c r="H181" i="1"/>
  <c r="E182" i="1"/>
  <c r="H182" i="1"/>
  <c r="E183" i="1"/>
  <c r="H183" i="1"/>
  <c r="E184" i="1"/>
  <c r="H184" i="1"/>
  <c r="E185" i="1"/>
  <c r="H185" i="1"/>
  <c r="E186" i="1"/>
  <c r="H186" i="1"/>
  <c r="E187" i="1"/>
  <c r="H187" i="1"/>
  <c r="E188" i="1"/>
  <c r="H188" i="1"/>
  <c r="E189" i="1"/>
  <c r="H189" i="1"/>
  <c r="E190" i="1"/>
  <c r="H190" i="1"/>
  <c r="E191" i="1"/>
  <c r="H191" i="1"/>
  <c r="E192" i="1"/>
  <c r="H192" i="1"/>
  <c r="E193" i="1"/>
  <c r="H193" i="1"/>
  <c r="E194" i="1"/>
  <c r="H194" i="1"/>
  <c r="E195" i="1"/>
  <c r="H195" i="1"/>
  <c r="E196" i="1"/>
  <c r="H196" i="1"/>
  <c r="E197" i="1"/>
  <c r="H197" i="1"/>
  <c r="E198" i="1"/>
  <c r="H198" i="1"/>
  <c r="E199" i="1"/>
  <c r="H199" i="1"/>
  <c r="E200" i="1"/>
  <c r="H200" i="1"/>
  <c r="E201" i="1"/>
  <c r="H201" i="1"/>
  <c r="E202" i="1"/>
  <c r="H202" i="1"/>
  <c r="E203" i="1"/>
  <c r="H203" i="1"/>
  <c r="E204" i="1"/>
  <c r="H204" i="1"/>
  <c r="E205" i="1"/>
  <c r="H205" i="1"/>
  <c r="E206" i="1"/>
  <c r="H206" i="1"/>
  <c r="E207" i="1"/>
  <c r="H207" i="1"/>
  <c r="E208" i="1"/>
  <c r="H208" i="1"/>
  <c r="E209" i="1"/>
  <c r="H209" i="1"/>
  <c r="E210" i="1"/>
  <c r="H210" i="1"/>
  <c r="E211" i="1"/>
  <c r="H211" i="1"/>
  <c r="E212" i="1"/>
  <c r="H212" i="1"/>
  <c r="E213" i="1"/>
  <c r="H213" i="1"/>
  <c r="E214" i="1"/>
  <c r="H214" i="1"/>
  <c r="E215" i="1"/>
  <c r="H215" i="1"/>
  <c r="E216" i="1"/>
  <c r="H216" i="1"/>
  <c r="E217" i="1"/>
  <c r="H217" i="1"/>
  <c r="E218" i="1"/>
  <c r="H218" i="1"/>
  <c r="E219" i="1"/>
  <c r="H219" i="1"/>
  <c r="E220" i="1"/>
  <c r="H220" i="1"/>
  <c r="E221" i="1"/>
  <c r="H221" i="1"/>
  <c r="E222" i="1"/>
  <c r="H222" i="1"/>
  <c r="E223" i="1"/>
  <c r="H223" i="1"/>
  <c r="E224" i="1"/>
  <c r="H224" i="1"/>
  <c r="E225" i="1"/>
  <c r="H225" i="1"/>
  <c r="E226" i="1"/>
  <c r="H226" i="1"/>
  <c r="E227" i="1"/>
  <c r="H227" i="1"/>
  <c r="E228" i="1"/>
  <c r="H228" i="1"/>
  <c r="E229" i="1"/>
  <c r="H229" i="1"/>
</calcChain>
</file>

<file path=xl/sharedStrings.xml><?xml version="1.0" encoding="utf-8"?>
<sst xmlns="http://schemas.openxmlformats.org/spreadsheetml/2006/main" count="353" uniqueCount="254">
  <si>
    <t>Click here to see more!</t>
  </si>
  <si>
    <t>All the knowledge you need</t>
  </si>
  <si>
    <t>www.infoplease.com</t>
  </si>
  <si>
    <r>
      <t xml:space="preserve"> </t>
    </r>
    <r>
      <rPr>
        <b/>
        <sz val="8"/>
        <rFont val="Arial"/>
        <family val="2"/>
      </rPr>
      <t>in</t>
    </r>
    <r>
      <rPr>
        <sz val="8"/>
        <rFont val="Arial"/>
        <family val="2"/>
      </rPr>
      <t xml:space="preserve"> </t>
    </r>
  </si>
  <si>
    <t>All Sources All Almanacs General Entertainment Sports Biographies Dictionary Encyclopedia</t>
  </si>
  <si>
    <t>Get answers from our encyclopedia, almanacs &amp; dictionary.</t>
  </si>
  <si>
    <t xml:space="preserve"> </t>
  </si>
  <si>
    <t>Home</t>
  </si>
  <si>
    <t>Almanacs</t>
  </si>
  <si>
    <t>Encyclopedia</t>
  </si>
  <si>
    <t>Dictionary</t>
  </si>
  <si>
    <t>Daily Almanac</t>
  </si>
  <si>
    <t>World</t>
  </si>
  <si>
    <t>People</t>
  </si>
  <si>
    <t>U.S.</t>
  </si>
  <si>
    <t>Sports</t>
  </si>
  <si>
    <t>Entertainment</t>
  </si>
  <si>
    <t>Business</t>
  </si>
  <si>
    <t>Society</t>
  </si>
  <si>
    <t>Living</t>
  </si>
  <si>
    <t>Science</t>
  </si>
  <si>
    <t>Homework</t>
  </si>
  <si>
    <t>Kids' Almanac</t>
  </si>
  <si>
    <t>Send this page to a friend</t>
  </si>
  <si>
    <t>•</t>
  </si>
  <si>
    <t>FREE Email!</t>
  </si>
  <si>
    <r>
      <t xml:space="preserve">• </t>
    </r>
    <r>
      <rPr>
        <sz val="7"/>
        <rFont val="Verdana"/>
        <family val="2"/>
      </rPr>
      <t>Highlight any word and click</t>
    </r>
  </si>
  <si>
    <t>infoplease HotWords</t>
  </si>
  <si>
    <t>for more info</t>
  </si>
  <si>
    <t>Almanac</t>
  </si>
  <si>
    <t>—</t>
  </si>
  <si>
    <t>US</t>
  </si>
  <si>
    <t>U.S. Statistics</t>
  </si>
  <si>
    <t>Mortality</t>
  </si>
  <si>
    <t>Regional Variations in Suicide Rates, 1990–1994</t>
  </si>
  <si>
    <t>A recent study by the Centers for Disease Control reports distinct regional variations in the suicide rate in the United States, but fails to elucidate the cause for this difference. The study tracked deaths by suicide in the U.S. from 1990–1994, then manipulated the data to determine whether certain demographic characteristics might explain the reason for the higher suicide rate in the South and the lower rate in the Northeast. Experts in suicide studies are well aware that certain sub-populations (e.g., the elderly, males, non-Hispanic whites, Native Americans) exhibit higher suicide rates than the population at large. Theoretically, regions of the country with higher concentrations of these demographics would be more likely to have higher suicide rates. To test this hypothesis, the researchers controlled the data for certain demographic variables, but, surprisingly, the regional differences persist. For now, their cause remains a mystery.</t>
  </si>
  <si>
    <t>Rate of Suicide in the United States, 1990–1994</t>
  </si>
  <si>
    <t>Region/State</t>
  </si>
  <si>
    <t>Number</t>
  </si>
  <si>
    <t>of suicides</t>
  </si>
  <si>
    <t>Northeast</t>
  </si>
  <si>
    <t> Connecticut</t>
  </si>
  <si>
    <t> Maine</t>
  </si>
  <si>
    <t> Massachusetts</t>
  </si>
  <si>
    <t> New Hampshire</t>
  </si>
  <si>
    <t> New Jersey</t>
  </si>
  <si>
    <t> New York</t>
  </si>
  <si>
    <t> Pennsylvania</t>
  </si>
  <si>
    <t> Rhode Island</t>
  </si>
  <si>
    <t> Vermont</t>
  </si>
  <si>
    <r>
      <t> </t>
    </r>
    <r>
      <rPr>
        <b/>
        <sz val="10"/>
        <rFont val="Arial"/>
        <family val="2"/>
      </rPr>
      <t>Total</t>
    </r>
  </si>
  <si>
    <t>Midwest</t>
  </si>
  <si>
    <t> Illinois</t>
  </si>
  <si>
    <t> Indiana</t>
  </si>
  <si>
    <t> Iowa</t>
  </si>
  <si>
    <t> Kansas</t>
  </si>
  <si>
    <t> Michigan</t>
  </si>
  <si>
    <t> Minnesota</t>
  </si>
  <si>
    <t> Missouri</t>
  </si>
  <si>
    <t> Nebraska</t>
  </si>
  <si>
    <t> North Dakota</t>
  </si>
  <si>
    <t> Ohio</t>
  </si>
  <si>
    <t> South Dakota</t>
  </si>
  <si>
    <t> Wisconsin</t>
  </si>
  <si>
    <t>South</t>
  </si>
  <si>
    <t> Alabama</t>
  </si>
  <si>
    <t> Arkansas</t>
  </si>
  <si>
    <t> Delaware</t>
  </si>
  <si>
    <t> District of Columbia</t>
  </si>
  <si>
    <t> Florida</t>
  </si>
  <si>
    <t> Georgia</t>
  </si>
  <si>
    <t> Kentucky</t>
  </si>
  <si>
    <t> Louisiana</t>
  </si>
  <si>
    <t> Maryland</t>
  </si>
  <si>
    <t> Mississippi</t>
  </si>
  <si>
    <t> North Carolina</t>
  </si>
  <si>
    <t> Oklahoma</t>
  </si>
  <si>
    <t> South Carolina</t>
  </si>
  <si>
    <t> Tennessee</t>
  </si>
  <si>
    <t> Texas</t>
  </si>
  <si>
    <t> Virginia</t>
  </si>
  <si>
    <t> West Virginia</t>
  </si>
  <si>
    <t>Total</t>
  </si>
  <si>
    <t>West</t>
  </si>
  <si>
    <t> Alaska</t>
  </si>
  <si>
    <t> Arizona</t>
  </si>
  <si>
    <t> California</t>
  </si>
  <si>
    <t> Colorado</t>
  </si>
  <si>
    <t> Hawaii</t>
  </si>
  <si>
    <t> Idaho</t>
  </si>
  <si>
    <t> Montana</t>
  </si>
  <si>
    <t> Nevada</t>
  </si>
  <si>
    <t> New Mexico</t>
  </si>
  <si>
    <t> Oregon</t>
  </si>
  <si>
    <t> Utah</t>
  </si>
  <si>
    <t> Washington</t>
  </si>
  <si>
    <t> Wyoming</t>
  </si>
  <si>
    <r>
      <t>Source:</t>
    </r>
    <r>
      <rPr>
        <sz val="8"/>
        <color indexed="17"/>
        <rFont val="Arial"/>
        <family val="2"/>
      </rPr>
      <t xml:space="preserve"> U.S. Department of Health and Human Services, Centers for Disease Control, </t>
    </r>
    <r>
      <rPr>
        <i/>
        <sz val="8"/>
        <color indexed="17"/>
        <rFont val="Arial"/>
        <family val="2"/>
      </rPr>
      <t>Morbidity and Mortality Weekly Report,</t>
    </r>
    <r>
      <rPr>
        <sz val="8"/>
        <color indexed="17"/>
        <rFont val="Arial"/>
        <family val="2"/>
      </rPr>
      <t xml:space="preserve"> Aug. 29, 1997.</t>
    </r>
  </si>
  <si>
    <t>Rate of Suicide in the United States, 1990–94</t>
  </si>
  <si>
    <t>NOTE: Per 100,000 population. Adjusted to the age, sex, and race/ethnicity distribution of the 1980 U.S. population.</t>
  </si>
  <si>
    <t>Previous</t>
  </si>
  <si>
    <t>Alcohol-Related Fatalities (by Holiday), 1997</t>
  </si>
  <si>
    <t>Top of section</t>
  </si>
  <si>
    <t>Next</t>
  </si>
  <si>
    <t>Accident Rates, 1995</t>
  </si>
  <si>
    <t>hoovers online</t>
  </si>
  <si>
    <t>Search by:</t>
  </si>
  <si>
    <t>Company</t>
  </si>
  <si>
    <t>Ticker symbol</t>
  </si>
  <si>
    <t>Info on 14,000+ companies.</t>
  </si>
  <si>
    <t>Autoaccessory.com - great selection, great prices</t>
  </si>
  <si>
    <t>All the knowledge you need to buy your next car.</t>
  </si>
  <si>
    <t>Auto Guide</t>
  </si>
  <si>
    <t>Click here for</t>
  </si>
  <si>
    <t>MapQuest Travel Guide</t>
  </si>
  <si>
    <t>Online Maps</t>
  </si>
  <si>
    <t>Driving Directions</t>
  </si>
  <si>
    <t>Travel Guides</t>
  </si>
  <si>
    <t>Local City Guides</t>
  </si>
  <si>
    <t>and more!</t>
  </si>
  <si>
    <t>Next Card</t>
  </si>
  <si>
    <t>Infoplease users! Apply for NextCard, the Visa card for Internet users</t>
  </si>
  <si>
    <t>Be Your Own Detective!</t>
  </si>
  <si>
    <r>
      <t xml:space="preserve">Search Business &amp; Property Records, Find People, and more with </t>
    </r>
    <r>
      <rPr>
        <b/>
        <sz val="7"/>
        <rFont val="Verdana"/>
        <family val="2"/>
      </rPr>
      <t>KnowX.com!</t>
    </r>
  </si>
  <si>
    <t>Find your Ancestry Fast!</t>
  </si>
  <si>
    <t>msn GamingZONE</t>
  </si>
  <si>
    <t xml:space="preserve"> tools</t>
  </si>
  <si>
    <t>Search Infoplease</t>
  </si>
  <si>
    <t>Search Biographies</t>
  </si>
  <si>
    <t>Biography search tips</t>
  </si>
  <si>
    <t>Add infoplease search to your site</t>
  </si>
  <si>
    <t>Infoplease Hotwords</t>
  </si>
  <si>
    <t>Highlight any word on this page, then click the Hotwords button to get more information.</t>
  </si>
  <si>
    <t>Email this page to a friend</t>
  </si>
  <si>
    <t>Can't find what you're looking for?</t>
  </si>
  <si>
    <t>Ask the Editors</t>
  </si>
  <si>
    <t>!</t>
  </si>
  <si>
    <t>Download</t>
  </si>
  <si>
    <r>
      <t xml:space="preserve">Actioneer's </t>
    </r>
    <r>
      <rPr>
        <b/>
        <sz val="7"/>
        <rFont val="Verdana"/>
        <family val="2"/>
      </rPr>
      <t>free</t>
    </r>
    <r>
      <rPr>
        <sz val="7"/>
        <rFont val="Verdana"/>
        <family val="2"/>
      </rPr>
      <t xml:space="preserve"> Smart Portal service.</t>
    </r>
  </si>
  <si>
    <t>Find people in our phone and email directory</t>
  </si>
  <si>
    <t>Get Fact Finder!</t>
  </si>
  <si>
    <t>Add our free reference center to your desktop.</t>
  </si>
  <si>
    <t>Sign Up For Our Newsletter</t>
  </si>
  <si>
    <t>Link to Infoplease</t>
  </si>
  <si>
    <t xml:space="preserve"> links</t>
  </si>
  <si>
    <t>|</t>
  </si>
  <si>
    <t>Daily</t>
  </si>
  <si>
    <t>Kids</t>
  </si>
  <si>
    <t>Help</t>
  </si>
  <si>
    <t>Contact us</t>
  </si>
  <si>
    <t>Advertise on infoplease.com</t>
  </si>
  <si>
    <t>© and terms of use</t>
  </si>
  <si>
    <t>© Copyright Information Please LLC. All rights reserved worldwide.</t>
  </si>
  <si>
    <t>Alabama.............</t>
  </si>
  <si>
    <t>Alaska..............</t>
  </si>
  <si>
    <t>Arizona.............</t>
  </si>
  <si>
    <t>Arkansas............</t>
  </si>
  <si>
    <t>California..........</t>
  </si>
  <si>
    <t>Colorado............</t>
  </si>
  <si>
    <t>Connecticut.........</t>
  </si>
  <si>
    <t>Delaware............</t>
  </si>
  <si>
    <t>DistrictCol</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</si>
  <si>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</si>
  <si>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</si>
  <si>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</si>
  <si>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</si>
  <si>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</si>
  <si>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</si>
  <si>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</si>
  <si>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</si>
  <si>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</si>
  <si>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</si>
  <si>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</si>
  <si>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</si>
  <si>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</si>
  <si>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</si>
  <si>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</si>
  <si>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</si>
  <si>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</si>
  <si>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</si>
  <si>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</si>
  <si>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</si>
  <si>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</si>
  <si>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</si>
  <si>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</si>
  <si>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</si>
  <si>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</si>
  <si>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</si>
  <si>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</si>
  <si>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</si>
  <si>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</si>
  <si>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</si>
  <si>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RhodeIsland</t>
  </si>
  <si>
    <t>SouthCarolina</t>
  </si>
  <si>
    <t>South Dakota</t>
  </si>
  <si>
    <t>Tennessee...........</t>
  </si>
  <si>
    <t>Texas...............</t>
  </si>
  <si>
    <t>Utah................</t>
  </si>
  <si>
    <t>Vermont.............</t>
  </si>
  <si>
    <t>Virginia............</t>
  </si>
  <si>
    <t>Washington..........</t>
  </si>
  <si>
    <t>West Virginia</t>
  </si>
  <si>
    <t>Wisconsin...........</t>
  </si>
  <si>
    <t>Wyoming.............</t>
  </si>
  <si>
    <t>Suicide Rate Per 100k pop</t>
  </si>
  <si>
    <t>Population (1,000)</t>
  </si>
  <si>
    <t>State</t>
  </si>
  <si>
    <t>Suicides Four Years</t>
  </si>
  <si>
    <t>Alabama</t>
  </si>
  <si>
    <t>Alaska</t>
  </si>
  <si>
    <t>Arizona.........</t>
  </si>
  <si>
    <t>Arkansas</t>
  </si>
  <si>
    <t>California</t>
  </si>
  <si>
    <t>Colorado........</t>
  </si>
  <si>
    <t>Connecticut</t>
  </si>
  <si>
    <t>DC</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</si>
  <si>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</si>
  <si>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</si>
  <si>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</si>
  <si>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</si>
  <si>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</si>
  <si>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</si>
  <si>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</si>
  <si>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</si>
  <si>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</si>
  <si>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</si>
  <si>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</si>
  <si>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</si>
  <si>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</si>
  <si>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</si>
  <si>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</si>
  <si>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</si>
  <si>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</si>
  <si>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</si>
  <si>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</si>
  <si>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</si>
  <si>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</si>
  <si>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Hanpshire</t>
  </si>
  <si>
    <t>NewYork.......</t>
  </si>
  <si>
    <t>Ohio</t>
  </si>
  <si>
    <t>Oklahoma</t>
  </si>
  <si>
    <t>Oregon.........</t>
  </si>
  <si>
    <t>Pennsylvania</t>
  </si>
  <si>
    <t>Rhode Island</t>
  </si>
  <si>
    <t>South Carolina</t>
  </si>
  <si>
    <t>Tennessee</t>
  </si>
  <si>
    <t>Texas</t>
  </si>
  <si>
    <t>Utah</t>
  </si>
  <si>
    <t>Vermont</t>
  </si>
  <si>
    <t>Virginia</t>
  </si>
  <si>
    <t>Washington</t>
  </si>
  <si>
    <t>Wisconsin</t>
  </si>
  <si>
    <t>Wyoming</t>
  </si>
  <si>
    <t>Divorce Rate Per 1,000 Pop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</si>
</sst>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22" x14ac:knownFonts="1">
    <font>
      <sz val="10"/>
      <name val="Arial"/>
    </font>
    <font>
      <sz val="8"/>
      <name val="Arial"/>
      <family val="2"/>
    </font>
    <font>
      <b/>
      <sz val="8"/>
      <name val="Arial"/>
      <family val="2"/>
    </font>
    <font>
      <b/>
      <sz val="7"/>
      <color indexed="18"/>
      <name val="Verdana"/>
      <family val="2"/>
    </font>
    <font>
      <sz val="7"/>
      <name val="Verdana"/>
      <family val="2"/>
    </font>
    <font>
      <b/>
      <sz val="7"/>
      <name val="Verdana"/>
      <family val="2"/>
    </font>
    <font>
      <b/>
      <sz val="16"/>
      <name val="Arial"/>
      <family val="2"/>
    </font>
    <font>
      <b/>
      <sz val="12"/>
      <name val="Arial"/>
      <family val="2"/>
    </font>
    <font>
      <b/>
      <sz val="10"/>
      <name val="Arial"/>
      <family val="2"/>
    </font>
    <font>
      <sz val="8"/>
      <color indexed="17"/>
      <name val="Arial"/>
      <family val="2"/>
    </font>
    <font>
      <i/>
      <sz val="8"/>
      <color indexed="17"/>
      <name val="Arial"/>
      <family val="2"/>
    </font>
    <font>
      <sz val="7"/>
      <name val="Arial"/>
      <family val="2"/>
    </font>
    <font>
      <b/>
      <sz val="7"/>
      <name val="Arial"/>
      <family val="2"/>
    </font>
    <font>
      <b/>
      <sz val="7"/>
      <color indexed="9"/>
      <name val="Verdana"/>
      <family val="2"/>
    </font>
    <font>
      <b/>
      <sz val="7"/>
      <color indexed="56"/>
      <name val="Verdana"/>
      <family val="2"/>
    </font>
    <font>
      <b/>
      <sz val="7"/>
      <color indexed="60"/>
      <name val="Verdana"/>
      <family val="2"/>
    </font>
    <font>
      <b/>
      <sz val="10"/>
      <color indexed="56"/>
      <name val="Arial"/>
      <family val="2"/>
    </font>
    <font>
      <sz val="7"/>
      <color indexed="62"/>
      <name val="Verdana"/>
      <family val="2"/>
    </font>
    <font>
      <sz val="7"/>
      <color indexed="0"/>
      <name val="Arial"/>
      <family val="2"/>
    </font>
    <font>
      <u/>
      <sz val="10"/>
      <color indexed="12"/>
      <name val="Arial"/>
      <family val="2"/>
    </font>
    <font>
      <sz val="10"/>
      <color indexed="10"/>
      <name val="Arial"/>
      <family val="2"/>
    </font>
    <font>
      <sz val="10"/>
      <color indexed="48"/>
      <name val="Arial"/>
      <family val="2"/>
    </font>
  </fonts>
  <fills count="11">
    <fill>
      <patternFill patternType="none"/>
    </fill>
    <fill>
      <patternFill patternType="gray125"/>
    </fill>
    <fill>
      <patternFill patternType="solid">
        <fgColor indexed="9"/>
      </patternFill>
    </fill>
    <fill>
      <patternFill patternType="solid">
        <fgColor indexed="30"/>
      </patternFill>
    </fill>
    <fill>
      <patternFill patternType="solid">
        <fgColor indexed="26"/>
      </patternFill>
    </fill>
    <fill>
      <patternFill patternType="solid">
        <fgColor indexed="54"/>
      </patternFill>
    </fill>
    <fill>
      <patternFill patternType="solid">
        <fgColor indexed="43"/>
      </patternFill>
    </fill>
    <fill>
      <patternFill patternType="solid">
        <fgColor indexed="47"/>
      </patternFill>
    </fill>
    <fill>
      <patternFill patternType="solid">
        <fgColor indexed="55"/>
      </patternFill>
    </fill>
    <fill>
      <patternFill patternType="solid">
        <fgColor indexed="56"/>
      </patternFill>
    </fill>
    <fill>
      <patternFill patternType="solid">
        <fgColor indexed="8"/>
      </patternFill>
    </fill>
  </fills>
  <borders count="9">
    <border>
      <left/>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2">
    <xf numFmtId="0" fontId="0" fillId="0" borderId="0"/>
    <xf numFmtId="0" fontId="19" fillId="0" borderId="0" applyNumberFormat="0" applyFill="0" applyBorder="0" applyAlignment="0" applyProtection="0">
      <alignment vertical="top"/>
      <protection locked="0"/>
    </xf>
  </cellStyleXfs>
  <cellXfs count="75">
    <xf numFmtId="0" fontId="0" fillId="0" borderId="0" xfId="0"/>
    <xf numFmtId="3" fontId="0" fillId="0" borderId="0" xfId="0" applyNumberFormat="1"/>
    <xf numFmtId="0" fontId="0" fillId="2" borderId="0" xfId="0" applyFill="1" applyAlignment="1">
      <alignment wrapText="1"/>
    </xf>
    <xf numFmtId="0" fontId="0" fillId="2" borderId="0" xfId="0" applyFill="1" applyAlignment="1">
      <alignment horizontal="center" vertical="center" wrapText="1"/>
    </xf>
    <xf numFmtId="0" fontId="1" fillId="2" borderId="0" xfId="0" applyFont="1" applyFill="1" applyAlignment="1">
      <alignment horizontal="center" vertical="center" wrapText="1"/>
    </xf>
    <xf numFmtId="0" fontId="19" fillId="2" borderId="0" xfId="1" applyFill="1" applyAlignment="1" applyProtection="1">
      <alignment wrapText="1"/>
    </xf>
    <xf numFmtId="0" fontId="0" fillId="2" borderId="1" xfId="0" applyFill="1" applyBorder="1" applyAlignment="1">
      <alignment horizontal="left" vertical="top" wrapText="1"/>
    </xf>
    <xf numFmtId="0" fontId="8" fillId="2" borderId="2" xfId="0" applyFont="1" applyFill="1" applyBorder="1" applyAlignment="1">
      <alignment horizontal="center" wrapText="1"/>
    </xf>
    <xf numFmtId="0" fontId="8" fillId="2" borderId="1" xfId="0" applyFont="1" applyFill="1" applyBorder="1" applyAlignment="1">
      <alignment horizontal="center" wrapText="1"/>
    </xf>
    <xf numFmtId="0" fontId="8" fillId="2" borderId="3" xfId="0" applyFont="1" applyFill="1" applyBorder="1" applyAlignment="1">
      <alignment horizontal="left" vertical="top" wrapText="1"/>
    </xf>
    <xf numFmtId="0" fontId="0" fillId="2" borderId="3" xfId="0" applyFill="1" applyBorder="1" applyAlignment="1">
      <alignment horizontal="left" vertical="top" wrapText="1"/>
    </xf>
    <xf numFmtId="3" fontId="0" fillId="2" borderId="1" xfId="0" applyNumberFormat="1" applyFill="1" applyBorder="1" applyAlignment="1">
      <alignment horizontal="left" vertical="top" wrapText="1"/>
    </xf>
    <xf numFmtId="3" fontId="8" fillId="2" borderId="1" xfId="0" applyNumberFormat="1" applyFont="1" applyFill="1" applyBorder="1" applyAlignment="1">
      <alignment horizontal="left" vertical="top" wrapText="1"/>
    </xf>
    <xf numFmtId="0" fontId="9" fillId="2" borderId="0" xfId="0" applyFont="1" applyFill="1" applyAlignment="1">
      <alignment wrapText="1"/>
    </xf>
    <xf numFmtId="0" fontId="19" fillId="2" borderId="0" xfId="1" applyFill="1" applyAlignment="1" applyProtection="1">
      <alignment horizontal="center" vertical="top" wrapText="1"/>
    </xf>
    <xf numFmtId="0" fontId="19" fillId="2" borderId="0" xfId="1" applyFill="1" applyAlignment="1" applyProtection="1">
      <alignment horizontal="left" vertical="center" wrapText="1"/>
    </xf>
    <xf numFmtId="0" fontId="4" fillId="2" borderId="0" xfId="0" applyFont="1" applyFill="1" applyAlignment="1">
      <alignment horizontal="left" vertical="center" wrapText="1"/>
    </xf>
    <xf numFmtId="0" fontId="0" fillId="2" borderId="0" xfId="0" applyFill="1" applyAlignment="1">
      <alignment horizontal="left" vertical="center" wrapText="1"/>
    </xf>
    <xf numFmtId="172" fontId="0" fillId="0" borderId="0" xfId="0" applyNumberFormat="1"/>
    <xf numFmtId="0" fontId="20" fillId="0" borderId="0" xfId="0" applyFont="1"/>
    <xf numFmtId="0" fontId="21" fillId="0" borderId="0" xfId="0" applyFont="1"/>
    <xf numFmtId="0" fontId="0" fillId="0" borderId="0" xfId="0" applyAlignment="1">
      <alignment horizontal="center" wrapText="1"/>
    </xf>
    <xf numFmtId="0" fontId="0" fillId="0" borderId="0" xfId="0"/>
    <xf numFmtId="0" fontId="18" fillId="0" borderId="0" xfId="0" applyFont="1" applyAlignment="1">
      <alignment horizontal="center" wrapText="1"/>
    </xf>
    <xf numFmtId="0" fontId="19" fillId="0" borderId="0" xfId="1" applyAlignment="1" applyProtection="1">
      <alignment wrapText="1"/>
    </xf>
    <xf numFmtId="0" fontId="4" fillId="2" borderId="0" xfId="0" applyFont="1" applyFill="1" applyAlignment="1">
      <alignment horizontal="center" wrapText="1"/>
    </xf>
    <xf numFmtId="0" fontId="19" fillId="2" borderId="0" xfId="1" applyFill="1" applyAlignment="1" applyProtection="1">
      <alignment horizontal="center" wrapText="1"/>
    </xf>
    <xf numFmtId="0" fontId="19" fillId="2" borderId="0" xfId="1" applyFill="1" applyAlignment="1" applyProtection="1">
      <alignment horizontal="center" vertical="top" wrapText="1"/>
    </xf>
    <xf numFmtId="0" fontId="0" fillId="2" borderId="0" xfId="0" applyFill="1" applyAlignment="1">
      <alignment horizontal="center" wrapText="1"/>
    </xf>
    <xf numFmtId="0" fontId="0" fillId="9" borderId="0" xfId="0" applyFill="1" applyAlignment="1">
      <alignment wrapText="1"/>
    </xf>
    <xf numFmtId="0" fontId="0" fillId="10" borderId="0" xfId="0" applyFill="1" applyAlignment="1">
      <alignment wrapText="1"/>
    </xf>
    <xf numFmtId="0" fontId="0" fillId="2" borderId="0" xfId="0" applyFill="1" applyAlignment="1">
      <alignment wrapText="1"/>
    </xf>
    <xf numFmtId="0" fontId="0" fillId="2" borderId="0" xfId="0" applyFill="1" applyAlignment="1">
      <alignment vertical="top" wrapText="1"/>
    </xf>
    <xf numFmtId="0" fontId="16" fillId="2" borderId="0" xfId="0" applyFont="1" applyFill="1" applyAlignment="1">
      <alignment horizontal="left" wrapText="1"/>
    </xf>
    <xf numFmtId="0" fontId="0" fillId="2" borderId="0" xfId="0" applyFill="1" applyAlignment="1">
      <alignment vertical="center" wrapText="1"/>
    </xf>
    <xf numFmtId="0" fontId="17" fillId="2" borderId="0" xfId="0" applyFont="1" applyFill="1" applyAlignment="1">
      <alignment vertical="center" wrapText="1"/>
    </xf>
    <xf numFmtId="0" fontId="19" fillId="2" borderId="0" xfId="1" applyFill="1" applyAlignment="1" applyProtection="1">
      <alignment vertical="center" wrapText="1"/>
    </xf>
    <xf numFmtId="0" fontId="0" fillId="6" borderId="0" xfId="0" applyFill="1" applyAlignment="1">
      <alignment horizontal="center" vertical="top" wrapText="1"/>
    </xf>
    <xf numFmtId="0" fontId="19" fillId="6" borderId="0" xfId="1" applyFill="1" applyAlignment="1" applyProtection="1">
      <alignment horizontal="center" vertical="top" wrapText="1"/>
    </xf>
    <xf numFmtId="0" fontId="19" fillId="8" borderId="5" xfId="1" applyFill="1" applyBorder="1" applyAlignment="1" applyProtection="1">
      <alignment wrapText="1"/>
    </xf>
    <xf numFmtId="0" fontId="0" fillId="0" borderId="2" xfId="0" applyBorder="1"/>
    <xf numFmtId="0" fontId="4" fillId="8" borderId="8" xfId="0" applyFont="1" applyFill="1" applyBorder="1" applyAlignment="1">
      <alignment wrapText="1"/>
    </xf>
    <xf numFmtId="0" fontId="0" fillId="0" borderId="1" xfId="0" applyBorder="1"/>
    <xf numFmtId="0" fontId="15" fillId="4" borderId="6" xfId="0" applyFont="1" applyFill="1" applyBorder="1" applyAlignment="1">
      <alignment horizontal="center" wrapText="1"/>
    </xf>
    <xf numFmtId="0" fontId="0" fillId="0" borderId="7" xfId="0" applyBorder="1"/>
    <xf numFmtId="0" fontId="14" fillId="4" borderId="6" xfId="0" applyFont="1" applyFill="1" applyBorder="1" applyAlignment="1">
      <alignment horizontal="center" wrapText="1"/>
    </xf>
    <xf numFmtId="0" fontId="19" fillId="4" borderId="8" xfId="1" applyFill="1" applyBorder="1" applyAlignment="1" applyProtection="1">
      <alignment horizontal="center" wrapText="1"/>
    </xf>
    <xf numFmtId="0" fontId="0" fillId="4" borderId="6" xfId="0" applyFill="1" applyBorder="1" applyAlignment="1">
      <alignment horizontal="center" wrapText="1"/>
    </xf>
    <xf numFmtId="0" fontId="19" fillId="4" borderId="6" xfId="1" applyFill="1" applyBorder="1" applyAlignment="1" applyProtection="1">
      <alignment horizontal="center" wrapText="1"/>
    </xf>
    <xf numFmtId="0" fontId="13" fillId="5" borderId="0" xfId="0" applyFont="1" applyFill="1" applyAlignment="1">
      <alignment horizontal="center" wrapText="1"/>
    </xf>
    <xf numFmtId="0" fontId="19" fillId="5" borderId="0" xfId="1" applyFill="1" applyAlignment="1" applyProtection="1">
      <alignment horizontal="center" wrapText="1"/>
    </xf>
    <xf numFmtId="0" fontId="19" fillId="4" borderId="5" xfId="1" applyFill="1" applyBorder="1" applyAlignment="1" applyProtection="1">
      <alignment horizontal="center" wrapText="1"/>
    </xf>
    <xf numFmtId="0" fontId="11" fillId="7" borderId="6" xfId="0" applyFont="1" applyFill="1" applyBorder="1" applyAlignment="1">
      <alignment vertical="top" wrapText="1"/>
    </xf>
    <xf numFmtId="0" fontId="11" fillId="7" borderId="8" xfId="0" applyFont="1" applyFill="1" applyBorder="1" applyAlignment="1">
      <alignment vertical="top" wrapText="1"/>
    </xf>
    <xf numFmtId="0" fontId="19" fillId="6" borderId="0" xfId="1" applyFill="1" applyAlignment="1" applyProtection="1">
      <alignment wrapText="1"/>
    </xf>
    <xf numFmtId="0" fontId="19" fillId="7" borderId="5" xfId="1" applyFill="1" applyBorder="1" applyAlignment="1" applyProtection="1">
      <alignment vertical="top" wrapText="1"/>
    </xf>
    <xf numFmtId="0" fontId="12" fillId="7" borderId="6" xfId="0" applyFont="1" applyFill="1" applyBorder="1" applyAlignment="1">
      <alignment vertical="top" wrapText="1"/>
    </xf>
    <xf numFmtId="0" fontId="8" fillId="2" borderId="0" xfId="0" applyFont="1" applyFill="1" applyAlignment="1">
      <alignment wrapText="1"/>
    </xf>
    <xf numFmtId="0" fontId="8" fillId="2" borderId="4" xfId="0" applyFont="1" applyFill="1" applyBorder="1" applyAlignment="1">
      <alignment horizontal="left" wrapText="1"/>
    </xf>
    <xf numFmtId="0" fontId="0" fillId="2" borderId="3" xfId="0" applyFill="1" applyBorder="1" applyAlignment="1">
      <alignment horizontal="left" wrapText="1"/>
    </xf>
    <xf numFmtId="0" fontId="10" fillId="2" borderId="0" xfId="0" applyFont="1" applyFill="1" applyAlignment="1">
      <alignment vertical="top" wrapText="1"/>
    </xf>
    <xf numFmtId="0" fontId="7" fillId="2" borderId="0" xfId="0" applyFont="1" applyFill="1" applyAlignment="1">
      <alignment vertical="top" wrapText="1"/>
    </xf>
    <xf numFmtId="0" fontId="19" fillId="2" borderId="0" xfId="1" applyFill="1" applyAlignment="1" applyProtection="1">
      <alignment vertical="top" wrapText="1"/>
    </xf>
    <xf numFmtId="0" fontId="6" fillId="2" borderId="0" xfId="0" applyFont="1" applyFill="1" applyAlignment="1">
      <alignment vertical="top" wrapText="1"/>
    </xf>
    <xf numFmtId="0" fontId="4" fillId="2" borderId="0" xfId="0" applyFont="1" applyFill="1" applyAlignment="1">
      <alignment horizontal="center" vertical="center" wrapText="1"/>
    </xf>
    <xf numFmtId="0" fontId="0" fillId="3" borderId="0" xfId="0" applyFill="1" applyAlignment="1">
      <alignment wrapText="1"/>
    </xf>
    <xf numFmtId="0" fontId="0" fillId="2" borderId="0" xfId="0" applyFill="1" applyAlignment="1">
      <alignment horizontal="center" vertical="center" wrapText="1"/>
    </xf>
    <xf numFmtId="0" fontId="19" fillId="2" borderId="0" xfId="1" applyFill="1" applyAlignment="1" applyProtection="1">
      <alignment horizontal="center" vertical="center" wrapText="1"/>
    </xf>
    <xf numFmtId="0" fontId="0" fillId="5" borderId="0" xfId="0" applyFill="1" applyAlignment="1">
      <alignment wrapText="1"/>
    </xf>
    <xf numFmtId="0" fontId="0" fillId="4" borderId="0" xfId="0" applyFill="1" applyAlignment="1">
      <alignment wrapText="1"/>
    </xf>
    <xf numFmtId="0" fontId="19" fillId="2" borderId="0" xfId="1" applyFill="1" applyAlignment="1" applyProtection="1">
      <alignment wrapText="1"/>
    </xf>
    <xf numFmtId="0" fontId="19" fillId="0" borderId="0" xfId="1" applyAlignment="1" applyProtection="1">
      <alignment horizontal="left" wrapText="1"/>
    </xf>
    <xf numFmtId="0" fontId="19" fillId="2" borderId="0" xfId="1" applyFill="1" applyAlignment="1" applyProtection="1">
      <alignment horizontal="left" wrapText="1"/>
    </xf>
    <xf numFmtId="0" fontId="0" fillId="2" borderId="0" xfId="0" applyFill="1" applyAlignment="1">
      <alignment horizontal="left" wrapText="1"/>
    </xf>
    <xf numFmtId="0" fontId="3" fillId="2"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1" i="0" u="none" strike="noStrike" baseline="0">
                <a:solidFill>
                  <a:srgbClr val="FF0000"/>
                </a:solidFill>
                <a:latin typeface="Arial"/>
                <a:ea typeface="Arial"/>
                <a:cs typeface="Arial"/>
              </a:defRPr>
            </a:pPr>
            <a:r>
              <a:rPr lang="en-GB"/>
              <a:t>Each Additional Divorce/1k Causes 5 Additional Suicides/100k</a:t>
            </a:r>
          </a:p>
        </c:rich>
      </c:tx>
      <c:layout>
        <c:manualLayout>
          <c:xMode val="edge"/>
          <c:yMode val="edge"/>
          <c:x val="0.14927678169939568"/>
          <c:y val="3.7446152199743642E-2"/>
        </c:manualLayout>
      </c:layout>
      <c:overlay val="0"/>
      <c:spPr>
        <a:noFill/>
        <a:ln w="25400">
          <a:noFill/>
        </a:ln>
      </c:spPr>
    </c:title>
    <c:autoTitleDeleted val="0"/>
    <c:plotArea>
      <c:layout>
        <c:manualLayout>
          <c:layoutTarget val="inner"/>
          <c:xMode val="edge"/>
          <c:yMode val="edge"/>
          <c:x val="0.14806314932785589"/>
          <c:y val="0.19824433517511342"/>
          <c:w val="0.79857010047318999"/>
          <c:h val="0.57050314233727084"/>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dispRSqr val="1"/>
            <c:dispEq val="0"/>
            <c:trendlineLbl>
              <c:layout>
                <c:manualLayout>
                  <c:xMode val="edge"/>
                  <c:yMode val="edge"/>
                  <c:x val="0.76337476169853569"/>
                  <c:y val="0.62997644288980481"/>
                </c:manualLayout>
              </c:layout>
              <c:numFmt formatCode="General" sourceLinked="0"/>
              <c:spPr>
                <a:noFill/>
                <a:ln w="25400">
                  <a:noFill/>
                </a:ln>
              </c:spPr>
              <c:txPr>
                <a:bodyPr/>
                <a:lstStyle/>
                <a:p>
                  <a:pPr>
                    <a:defRPr sz="1075" b="0" i="0" u="none" strike="noStrike" baseline="0">
                      <a:solidFill>
                        <a:srgbClr val="FF0000"/>
                      </a:solidFill>
                      <a:latin typeface="Arial"/>
                      <a:ea typeface="Arial"/>
                      <a:cs typeface="Arial"/>
                    </a:defRPr>
                  </a:pPr>
                  <a:endParaRPr lang="en-US"/>
                </a:p>
              </c:txPr>
            </c:trendlineLbl>
          </c:trendline>
          <c:xVal>
            <c:numRef>
              <c:f>suicidestate!$E$179:$E$229</c:f>
              <c:numCache>
                <c:formatCode>0.0</c:formatCode>
                <c:ptCount val="51"/>
                <c:pt idx="0">
                  <c:v>15.630143428168351</c:v>
                </c:pt>
                <c:pt idx="1">
                  <c:v>18.667218543046356</c:v>
                </c:pt>
                <c:pt idx="2">
                  <c:v>20.714793741109531</c:v>
                </c:pt>
                <c:pt idx="3">
                  <c:v>15.599838969404187</c:v>
                </c:pt>
                <c:pt idx="4">
                  <c:v>14.826363607584918</c:v>
                </c:pt>
                <c:pt idx="5">
                  <c:v>19.589004536962904</c:v>
                </c:pt>
                <c:pt idx="6">
                  <c:v>11.854961832061068</c:v>
                </c:pt>
                <c:pt idx="7">
                  <c:v>14.679218967921896</c:v>
                </c:pt>
                <c:pt idx="8">
                  <c:v>7.987364620938628</c:v>
                </c:pt>
                <c:pt idx="9">
                  <c:v>18.376747141041932</c:v>
                </c:pt>
                <c:pt idx="10">
                  <c:v>14.841688654353563</c:v>
                </c:pt>
                <c:pt idx="11">
                  <c:v>13.037068239258636</c:v>
                </c:pt>
                <c:pt idx="12">
                  <c:v>19.668959587274291</c:v>
                </c:pt>
                <c:pt idx="13">
                  <c:v>12.081572273879965</c:v>
                </c:pt>
                <c:pt idx="14">
                  <c:v>15.401516457004998</c:v>
                </c:pt>
                <c:pt idx="15">
                  <c:v>14.057002111189304</c:v>
                </c:pt>
                <c:pt idx="16">
                  <c:v>15.0682261208577</c:v>
                </c:pt>
                <c:pt idx="17">
                  <c:v>16.6580310880829</c:v>
                </c:pt>
                <c:pt idx="18">
                  <c:v>15.701289728235835</c:v>
                </c:pt>
                <c:pt idx="19">
                  <c:v>16.881547139403708</c:v>
                </c:pt>
                <c:pt idx="20">
                  <c:v>12.063665212217375</c:v>
                </c:pt>
                <c:pt idx="21">
                  <c:v>10.413236746789595</c:v>
                </c:pt>
                <c:pt idx="22">
                  <c:v>14.145460257618598</c:v>
                </c:pt>
                <c:pt idx="23">
                  <c:v>13.893709327548807</c:v>
                </c:pt>
                <c:pt idx="24">
                  <c:v>14.729328883945124</c:v>
                </c:pt>
                <c:pt idx="25">
                  <c:v>16.190833959429</c:v>
                </c:pt>
                <c:pt idx="26">
                  <c:v>22.816091954022987</c:v>
                </c:pt>
                <c:pt idx="27">
                  <c:v>14.630421502748931</c:v>
                </c:pt>
                <c:pt idx="28">
                  <c:v>26.241830065359476</c:v>
                </c:pt>
                <c:pt idx="29">
                  <c:v>15.178571428571429</c:v>
                </c:pt>
                <c:pt idx="30">
                  <c:v>8.5871617369414732</c:v>
                </c:pt>
                <c:pt idx="31">
                  <c:v>21.646884272997031</c:v>
                </c:pt>
                <c:pt idx="32">
                  <c:v>10.408855315394796</c:v>
                </c:pt>
                <c:pt idx="33">
                  <c:v>15.006949270326615</c:v>
                </c:pt>
                <c:pt idx="34">
                  <c:v>14.469578783151325</c:v>
                </c:pt>
                <c:pt idx="35">
                  <c:v>13.171464442650883</c:v>
                </c:pt>
                <c:pt idx="36">
                  <c:v>17.144600366076876</c:v>
                </c:pt>
                <c:pt idx="37">
                  <c:v>18.839541547277936</c:v>
                </c:pt>
                <c:pt idx="38">
                  <c:v>14.446653412856197</c:v>
                </c:pt>
                <c:pt idx="39">
                  <c:v>11.464646464646465</c:v>
                </c:pt>
                <c:pt idx="40">
                  <c:v>15.505036754696434</c:v>
                </c:pt>
                <c:pt idx="41">
                  <c:v>16.426611796982169</c:v>
                </c:pt>
                <c:pt idx="42">
                  <c:v>15.686834094368342</c:v>
                </c:pt>
                <c:pt idx="43">
                  <c:v>15.10895107882931</c:v>
                </c:pt>
                <c:pt idx="44">
                  <c:v>17.388518708354688</c:v>
                </c:pt>
                <c:pt idx="45">
                  <c:v>17.350427350427349</c:v>
                </c:pt>
                <c:pt idx="46">
                  <c:v>15.14052583862194</c:v>
                </c:pt>
                <c:pt idx="47">
                  <c:v>16.166451850487938</c:v>
                </c:pt>
                <c:pt idx="48">
                  <c:v>16.76695842450766</c:v>
                </c:pt>
                <c:pt idx="49">
                  <c:v>14.44466133125122</c:v>
                </c:pt>
                <c:pt idx="50">
                  <c:v>24.166666666666668</c:v>
                </c:pt>
              </c:numCache>
            </c:numRef>
          </c:xVal>
          <c:yVal>
            <c:numRef>
              <c:f>suicidestate!$F$179:$F$229</c:f>
              <c:numCache>
                <c:formatCode>General</c:formatCode>
                <c:ptCount val="51"/>
                <c:pt idx="0">
                  <c:v>6.2</c:v>
                </c:pt>
                <c:pt idx="1">
                  <c:v>5.5</c:v>
                </c:pt>
                <c:pt idx="2">
                  <c:v>5.8</c:v>
                </c:pt>
                <c:pt idx="3">
                  <c:v>7.1</c:v>
                </c:pt>
                <c:pt idx="4">
                  <c:v>6</c:v>
                </c:pt>
                <c:pt idx="5">
                  <c:v>5.0999999999999996</c:v>
                </c:pt>
                <c:pt idx="6">
                  <c:v>2.8</c:v>
                </c:pt>
                <c:pt idx="7">
                  <c:v>3.9</c:v>
                </c:pt>
                <c:pt idx="8">
                  <c:v>4.8</c:v>
                </c:pt>
                <c:pt idx="9">
                  <c:v>5.9</c:v>
                </c:pt>
                <c:pt idx="10">
                  <c:v>5.2</c:v>
                </c:pt>
                <c:pt idx="11">
                  <c:v>4.2</c:v>
                </c:pt>
                <c:pt idx="12">
                  <c:v>6.2</c:v>
                </c:pt>
                <c:pt idx="13">
                  <c:v>3.7</c:v>
                </c:pt>
                <c:pt idx="14">
                  <c:v>8</c:v>
                </c:pt>
                <c:pt idx="15">
                  <c:v>3.9</c:v>
                </c:pt>
                <c:pt idx="16">
                  <c:v>4.7</c:v>
                </c:pt>
                <c:pt idx="17">
                  <c:v>5.8</c:v>
                </c:pt>
                <c:pt idx="18">
                  <c:v>6</c:v>
                </c:pt>
                <c:pt idx="19">
                  <c:v>4.4000000000000004</c:v>
                </c:pt>
                <c:pt idx="20">
                  <c:v>3.5</c:v>
                </c:pt>
                <c:pt idx="21">
                  <c:v>2.4</c:v>
                </c:pt>
                <c:pt idx="22">
                  <c:v>4.0999999999999996</c:v>
                </c:pt>
                <c:pt idx="23">
                  <c:v>3.6</c:v>
                </c:pt>
                <c:pt idx="24">
                  <c:v>5.7</c:v>
                </c:pt>
                <c:pt idx="25">
                  <c:v>5</c:v>
                </c:pt>
                <c:pt idx="26">
                  <c:v>4.9000000000000004</c:v>
                </c:pt>
                <c:pt idx="27">
                  <c:v>4</c:v>
                </c:pt>
                <c:pt idx="28">
                  <c:v>9</c:v>
                </c:pt>
                <c:pt idx="29">
                  <c:v>4.4000000000000004</c:v>
                </c:pt>
                <c:pt idx="30">
                  <c:v>3</c:v>
                </c:pt>
                <c:pt idx="31">
                  <c:v>6</c:v>
                </c:pt>
                <c:pt idx="32">
                  <c:v>3.3</c:v>
                </c:pt>
                <c:pt idx="33">
                  <c:v>5.0999999999999996</c:v>
                </c:pt>
                <c:pt idx="34">
                  <c:v>3.4</c:v>
                </c:pt>
                <c:pt idx="35">
                  <c:v>4.5</c:v>
                </c:pt>
                <c:pt idx="36">
                  <c:v>6.7</c:v>
                </c:pt>
                <c:pt idx="37">
                  <c:v>5.3</c:v>
                </c:pt>
                <c:pt idx="38">
                  <c:v>3.3</c:v>
                </c:pt>
                <c:pt idx="39">
                  <c:v>3.2</c:v>
                </c:pt>
                <c:pt idx="40">
                  <c:v>4.2</c:v>
                </c:pt>
                <c:pt idx="41">
                  <c:v>4.2</c:v>
                </c:pt>
                <c:pt idx="42">
                  <c:v>6.6</c:v>
                </c:pt>
                <c:pt idx="43">
                  <c:v>5.4</c:v>
                </c:pt>
                <c:pt idx="44">
                  <c:v>4.7</c:v>
                </c:pt>
                <c:pt idx="45">
                  <c:v>4</c:v>
                </c:pt>
                <c:pt idx="46">
                  <c:v>4.5999999999999996</c:v>
                </c:pt>
                <c:pt idx="47">
                  <c:v>5.6</c:v>
                </c:pt>
                <c:pt idx="48">
                  <c:v>5</c:v>
                </c:pt>
                <c:pt idx="49">
                  <c:v>3.4</c:v>
                </c:pt>
                <c:pt idx="50">
                  <c:v>6.5</c:v>
                </c:pt>
              </c:numCache>
            </c:numRef>
          </c:yVal>
          <c:smooth val="0"/>
          <c:extLst>
            <c:ext xmlns:c16="http://schemas.microsoft.com/office/drawing/2014/chart" uri="{C3380CC4-5D6E-409C-BE32-E72D297353CC}">
              <c16:uniqueId val="{00000001-F5F1-44A5-AAC4-EB7725376430}"/>
            </c:ext>
          </c:extLst>
        </c:ser>
        <c:dLbls>
          <c:showLegendKey val="0"/>
          <c:showVal val="0"/>
          <c:showCatName val="0"/>
          <c:showSerName val="0"/>
          <c:showPercent val="0"/>
          <c:showBubbleSize val="0"/>
        </c:dLbls>
        <c:axId val="1233911343"/>
        <c:axId val="1"/>
      </c:scatterChart>
      <c:valAx>
        <c:axId val="1233911343"/>
        <c:scaling>
          <c:orientation val="minMax"/>
          <c:min val="5"/>
        </c:scaling>
        <c:delete val="0"/>
        <c:axPos val="b"/>
        <c:title>
          <c:tx>
            <c:rich>
              <a:bodyPr/>
              <a:lstStyle/>
              <a:p>
                <a:pPr>
                  <a:defRPr sz="950" b="1" i="0" u="none" strike="noStrike" baseline="0">
                    <a:solidFill>
                      <a:srgbClr val="FF0000"/>
                    </a:solidFill>
                    <a:latin typeface="Arial"/>
                    <a:ea typeface="Arial"/>
                    <a:cs typeface="Arial"/>
                  </a:defRPr>
                </a:pPr>
                <a:r>
                  <a:rPr lang="en-GB"/>
                  <a:t>Suicide Rate per 100,000 Population, by State</a:t>
                </a:r>
              </a:p>
            </c:rich>
          </c:tx>
          <c:layout>
            <c:manualLayout>
              <c:xMode val="edge"/>
              <c:yMode val="edge"/>
              <c:x val="0.29127176916955255"/>
              <c:y val="0.88328864894689418"/>
            </c:manualLayout>
          </c:layout>
          <c:overlay val="0"/>
          <c:spPr>
            <a:noFill/>
            <a:ln w="25400">
              <a:noFill/>
            </a:ln>
          </c:spPr>
        </c:title>
        <c:numFmt formatCode="0.0" sourceLinked="1"/>
        <c:majorTickMark val="out"/>
        <c:minorTickMark val="none"/>
        <c:tickLblPos val="nextTo"/>
        <c:spPr>
          <a:ln w="3175">
            <a:solidFill>
              <a:srgbClr val="000000"/>
            </a:solidFill>
            <a:prstDash val="solid"/>
          </a:ln>
        </c:spPr>
        <c:txPr>
          <a:bodyPr rot="0" vert="horz"/>
          <a:lstStyle/>
          <a:p>
            <a:pPr>
              <a:defRPr sz="1075"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title>
          <c:tx>
            <c:rich>
              <a:bodyPr/>
              <a:lstStyle/>
              <a:p>
                <a:pPr>
                  <a:defRPr sz="950" b="1" i="0" u="none" strike="noStrike" baseline="0">
                    <a:solidFill>
                      <a:srgbClr val="FF0000"/>
                    </a:solidFill>
                    <a:latin typeface="Arial"/>
                    <a:ea typeface="Arial"/>
                    <a:cs typeface="Arial"/>
                  </a:defRPr>
                </a:pPr>
                <a:r>
                  <a:rPr lang="en-GB"/>
                  <a:t>Divorce Rate per 1,000 Population</a:t>
                </a:r>
              </a:p>
            </c:rich>
          </c:tx>
          <c:layout>
            <c:manualLayout>
              <c:xMode val="edge"/>
              <c:yMode val="edge"/>
              <c:x val="2.6699912173875653E-2"/>
              <c:y val="0.2422986318806941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75" b="0" i="0" u="none" strike="noStrike" baseline="0">
                <a:solidFill>
                  <a:srgbClr val="000000"/>
                </a:solidFill>
                <a:latin typeface="Arial"/>
                <a:ea typeface="Arial"/>
                <a:cs typeface="Arial"/>
              </a:defRPr>
            </a:pPr>
            <a:endParaRPr lang="en-US"/>
          </a:p>
        </c:txPr>
        <c:crossAx val="1233911343"/>
        <c:crosses val="autoZero"/>
        <c:crossBetween val="midCat"/>
      </c:valAx>
      <c:spPr>
        <a:gradFill rotWithShape="0">
          <a:gsLst>
            <a:gs pos="0">
              <a:srgbClr xmlns:mc="http://schemas.openxmlformats.org/markup-compatibility/2006" xmlns:a14="http://schemas.microsoft.com/office/drawing/2010/main" val="5E7676" mc:Ignorable="a14" a14:legacySpreadsheetColorIndex="27">
                <a:gamma/>
                <a:shade val="46275"/>
                <a:invGamma/>
              </a:srgbClr>
            </a:gs>
            <a:gs pos="100000">
              <a:srgbClr xmlns:mc="http://schemas.openxmlformats.org/markup-compatibility/2006" xmlns:a14="http://schemas.microsoft.com/office/drawing/2010/main" val="CCFFFF" mc:Ignorable="a14" a14:legacySpreadsheetColorIndex="27"/>
            </a:gs>
          </a:gsLst>
          <a:lin ang="5400000" scaled="1"/>
        </a:gra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300"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1" i="0" u="none" strike="noStrike" baseline="0">
                <a:solidFill>
                  <a:srgbClr val="FF0000"/>
                </a:solidFill>
                <a:latin typeface="Arial"/>
                <a:ea typeface="Arial"/>
                <a:cs typeface="Arial"/>
              </a:defRPr>
            </a:pPr>
            <a:r>
              <a:rPr lang="en-GB"/>
              <a:t>Each 25 Additional Divorces Parallel One Additional Suicide</a:t>
            </a:r>
          </a:p>
        </c:rich>
      </c:tx>
      <c:layout>
        <c:manualLayout>
          <c:xMode val="edge"/>
          <c:yMode val="edge"/>
          <c:x val="0.16807275014217885"/>
          <c:y val="3.5566088813067595E-2"/>
        </c:manualLayout>
      </c:layout>
      <c:overlay val="0"/>
      <c:spPr>
        <a:noFill/>
        <a:ln w="25400">
          <a:noFill/>
        </a:ln>
      </c:spPr>
    </c:title>
    <c:autoTitleDeleted val="0"/>
    <c:plotArea>
      <c:layout>
        <c:manualLayout>
          <c:layoutTarget val="inner"/>
          <c:xMode val="edge"/>
          <c:yMode val="edge"/>
          <c:x val="0.15726807334732448"/>
          <c:y val="0.17573832119398106"/>
          <c:w val="0.78513984709274975"/>
          <c:h val="0.63391323002114597"/>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dispRSqr val="1"/>
            <c:dispEq val="0"/>
            <c:trendlineLbl>
              <c:layout>
                <c:manualLayout>
                  <c:xMode val="edge"/>
                  <c:yMode val="edge"/>
                  <c:x val="0.75152529706431404"/>
                  <c:y val="0.66320295022014286"/>
                </c:manualLayout>
              </c:layout>
              <c:numFmt formatCode="General" sourceLinked="0"/>
              <c:spPr>
                <a:noFill/>
                <a:ln w="25400">
                  <a:noFill/>
                </a:ln>
              </c:spPr>
              <c:txPr>
                <a:bodyPr/>
                <a:lstStyle/>
                <a:p>
                  <a:pPr algn="ctr" rtl="1">
                    <a:defRPr sz="1125" b="0" i="0" u="none" strike="noStrike" baseline="0">
                      <a:solidFill>
                        <a:srgbClr val="FF0000"/>
                      </a:solidFill>
                      <a:latin typeface="Arial"/>
                      <a:ea typeface="Arial"/>
                      <a:cs typeface="Arial"/>
                    </a:defRPr>
                  </a:pPr>
                  <a:endParaRPr lang="en-US"/>
                </a:p>
              </c:txPr>
            </c:trendlineLbl>
          </c:trendline>
          <c:xVal>
            <c:numRef>
              <c:f>suicidestate!$E$179:$E$229</c:f>
              <c:numCache>
                <c:formatCode>0.0</c:formatCode>
                <c:ptCount val="51"/>
                <c:pt idx="0">
                  <c:v>15.630143428168351</c:v>
                </c:pt>
                <c:pt idx="1">
                  <c:v>18.667218543046356</c:v>
                </c:pt>
                <c:pt idx="2">
                  <c:v>20.714793741109531</c:v>
                </c:pt>
                <c:pt idx="3">
                  <c:v>15.599838969404187</c:v>
                </c:pt>
                <c:pt idx="4">
                  <c:v>14.826363607584918</c:v>
                </c:pt>
                <c:pt idx="5">
                  <c:v>19.589004536962904</c:v>
                </c:pt>
                <c:pt idx="6">
                  <c:v>11.854961832061068</c:v>
                </c:pt>
                <c:pt idx="7">
                  <c:v>14.679218967921896</c:v>
                </c:pt>
                <c:pt idx="8">
                  <c:v>7.987364620938628</c:v>
                </c:pt>
                <c:pt idx="9">
                  <c:v>18.376747141041932</c:v>
                </c:pt>
                <c:pt idx="10">
                  <c:v>14.841688654353563</c:v>
                </c:pt>
                <c:pt idx="11">
                  <c:v>13.037068239258636</c:v>
                </c:pt>
                <c:pt idx="12">
                  <c:v>19.668959587274291</c:v>
                </c:pt>
                <c:pt idx="13">
                  <c:v>12.081572273879965</c:v>
                </c:pt>
                <c:pt idx="14">
                  <c:v>15.401516457004998</c:v>
                </c:pt>
                <c:pt idx="15">
                  <c:v>14.057002111189304</c:v>
                </c:pt>
                <c:pt idx="16">
                  <c:v>15.0682261208577</c:v>
                </c:pt>
                <c:pt idx="17">
                  <c:v>16.6580310880829</c:v>
                </c:pt>
                <c:pt idx="18">
                  <c:v>15.701289728235835</c:v>
                </c:pt>
                <c:pt idx="19">
                  <c:v>16.881547139403708</c:v>
                </c:pt>
                <c:pt idx="20">
                  <c:v>12.063665212217375</c:v>
                </c:pt>
                <c:pt idx="21">
                  <c:v>10.413236746789595</c:v>
                </c:pt>
                <c:pt idx="22">
                  <c:v>14.145460257618598</c:v>
                </c:pt>
                <c:pt idx="23">
                  <c:v>13.893709327548807</c:v>
                </c:pt>
                <c:pt idx="24">
                  <c:v>14.729328883945124</c:v>
                </c:pt>
                <c:pt idx="25">
                  <c:v>16.190833959429</c:v>
                </c:pt>
                <c:pt idx="26">
                  <c:v>22.816091954022987</c:v>
                </c:pt>
                <c:pt idx="27">
                  <c:v>14.630421502748931</c:v>
                </c:pt>
                <c:pt idx="28">
                  <c:v>26.241830065359476</c:v>
                </c:pt>
                <c:pt idx="29">
                  <c:v>15.178571428571429</c:v>
                </c:pt>
                <c:pt idx="30">
                  <c:v>8.5871617369414732</c:v>
                </c:pt>
                <c:pt idx="31">
                  <c:v>21.646884272997031</c:v>
                </c:pt>
                <c:pt idx="32">
                  <c:v>10.408855315394796</c:v>
                </c:pt>
                <c:pt idx="33">
                  <c:v>15.006949270326615</c:v>
                </c:pt>
                <c:pt idx="34">
                  <c:v>14.469578783151325</c:v>
                </c:pt>
                <c:pt idx="35">
                  <c:v>13.171464442650883</c:v>
                </c:pt>
                <c:pt idx="36">
                  <c:v>17.144600366076876</c:v>
                </c:pt>
                <c:pt idx="37">
                  <c:v>18.839541547277936</c:v>
                </c:pt>
                <c:pt idx="38">
                  <c:v>14.446653412856197</c:v>
                </c:pt>
                <c:pt idx="39">
                  <c:v>11.464646464646465</c:v>
                </c:pt>
                <c:pt idx="40">
                  <c:v>15.505036754696434</c:v>
                </c:pt>
                <c:pt idx="41">
                  <c:v>16.426611796982169</c:v>
                </c:pt>
                <c:pt idx="42">
                  <c:v>15.686834094368342</c:v>
                </c:pt>
                <c:pt idx="43">
                  <c:v>15.10895107882931</c:v>
                </c:pt>
                <c:pt idx="44">
                  <c:v>17.388518708354688</c:v>
                </c:pt>
                <c:pt idx="45">
                  <c:v>17.350427350427349</c:v>
                </c:pt>
                <c:pt idx="46">
                  <c:v>15.14052583862194</c:v>
                </c:pt>
                <c:pt idx="47">
                  <c:v>16.166451850487938</c:v>
                </c:pt>
                <c:pt idx="48">
                  <c:v>16.76695842450766</c:v>
                </c:pt>
                <c:pt idx="49">
                  <c:v>14.44466133125122</c:v>
                </c:pt>
                <c:pt idx="50">
                  <c:v>24.166666666666668</c:v>
                </c:pt>
              </c:numCache>
            </c:numRef>
          </c:xVal>
          <c:yVal>
            <c:numRef>
              <c:f>suicidestate!$H$179:$H$229</c:f>
              <c:numCache>
                <c:formatCode>General</c:formatCode>
                <c:ptCount val="51"/>
                <c:pt idx="0">
                  <c:v>620</c:v>
                </c:pt>
                <c:pt idx="1">
                  <c:v>550</c:v>
                </c:pt>
                <c:pt idx="2">
                  <c:v>580</c:v>
                </c:pt>
                <c:pt idx="3">
                  <c:v>710</c:v>
                </c:pt>
                <c:pt idx="4">
                  <c:v>600</c:v>
                </c:pt>
                <c:pt idx="5">
                  <c:v>509.99999999999994</c:v>
                </c:pt>
                <c:pt idx="6">
                  <c:v>280</c:v>
                </c:pt>
                <c:pt idx="7">
                  <c:v>390</c:v>
                </c:pt>
                <c:pt idx="8">
                  <c:v>480</c:v>
                </c:pt>
                <c:pt idx="9">
                  <c:v>590</c:v>
                </c:pt>
                <c:pt idx="10">
                  <c:v>520</c:v>
                </c:pt>
                <c:pt idx="11">
                  <c:v>420</c:v>
                </c:pt>
                <c:pt idx="12">
                  <c:v>620</c:v>
                </c:pt>
                <c:pt idx="13">
                  <c:v>370</c:v>
                </c:pt>
                <c:pt idx="14">
                  <c:v>800</c:v>
                </c:pt>
                <c:pt idx="15">
                  <c:v>390</c:v>
                </c:pt>
                <c:pt idx="16">
                  <c:v>470</c:v>
                </c:pt>
                <c:pt idx="17">
                  <c:v>580</c:v>
                </c:pt>
                <c:pt idx="18">
                  <c:v>600</c:v>
                </c:pt>
                <c:pt idx="19">
                  <c:v>440.00000000000006</c:v>
                </c:pt>
                <c:pt idx="20">
                  <c:v>350</c:v>
                </c:pt>
                <c:pt idx="21">
                  <c:v>240</c:v>
                </c:pt>
                <c:pt idx="22">
                  <c:v>409.99999999999994</c:v>
                </c:pt>
                <c:pt idx="23">
                  <c:v>360</c:v>
                </c:pt>
                <c:pt idx="24">
                  <c:v>570</c:v>
                </c:pt>
                <c:pt idx="25">
                  <c:v>500</c:v>
                </c:pt>
                <c:pt idx="26">
                  <c:v>490.00000000000006</c:v>
                </c:pt>
                <c:pt idx="27">
                  <c:v>400</c:v>
                </c:pt>
                <c:pt idx="28">
                  <c:v>900</c:v>
                </c:pt>
                <c:pt idx="29">
                  <c:v>440.00000000000006</c:v>
                </c:pt>
                <c:pt idx="30">
                  <c:v>300</c:v>
                </c:pt>
                <c:pt idx="31">
                  <c:v>600</c:v>
                </c:pt>
                <c:pt idx="32">
                  <c:v>330</c:v>
                </c:pt>
                <c:pt idx="33">
                  <c:v>509.99999999999994</c:v>
                </c:pt>
                <c:pt idx="34">
                  <c:v>340</c:v>
                </c:pt>
                <c:pt idx="35">
                  <c:v>450</c:v>
                </c:pt>
                <c:pt idx="36">
                  <c:v>670</c:v>
                </c:pt>
                <c:pt idx="37">
                  <c:v>530</c:v>
                </c:pt>
                <c:pt idx="38">
                  <c:v>330</c:v>
                </c:pt>
                <c:pt idx="39">
                  <c:v>320</c:v>
                </c:pt>
                <c:pt idx="40">
                  <c:v>420</c:v>
                </c:pt>
                <c:pt idx="41">
                  <c:v>420</c:v>
                </c:pt>
                <c:pt idx="42">
                  <c:v>660</c:v>
                </c:pt>
                <c:pt idx="43">
                  <c:v>540</c:v>
                </c:pt>
                <c:pt idx="44">
                  <c:v>470</c:v>
                </c:pt>
                <c:pt idx="45">
                  <c:v>400</c:v>
                </c:pt>
                <c:pt idx="46">
                  <c:v>459.99999999999994</c:v>
                </c:pt>
                <c:pt idx="47">
                  <c:v>560</c:v>
                </c:pt>
                <c:pt idx="48">
                  <c:v>500</c:v>
                </c:pt>
                <c:pt idx="49">
                  <c:v>340</c:v>
                </c:pt>
                <c:pt idx="50">
                  <c:v>650</c:v>
                </c:pt>
              </c:numCache>
            </c:numRef>
          </c:yVal>
          <c:smooth val="0"/>
          <c:extLst>
            <c:ext xmlns:c16="http://schemas.microsoft.com/office/drawing/2014/chart" uri="{C3380CC4-5D6E-409C-BE32-E72D297353CC}">
              <c16:uniqueId val="{00000001-74A6-47B9-BA41-532414E084F4}"/>
            </c:ext>
          </c:extLst>
        </c:ser>
        <c:dLbls>
          <c:showLegendKey val="0"/>
          <c:showVal val="0"/>
          <c:showCatName val="0"/>
          <c:showSerName val="0"/>
          <c:showPercent val="0"/>
          <c:showBubbleSize val="0"/>
        </c:dLbls>
        <c:axId val="1233910095"/>
        <c:axId val="1"/>
      </c:scatterChart>
      <c:valAx>
        <c:axId val="1233910095"/>
        <c:scaling>
          <c:orientation val="minMax"/>
          <c:min val="5"/>
        </c:scaling>
        <c:delete val="0"/>
        <c:axPos val="b"/>
        <c:title>
          <c:tx>
            <c:rich>
              <a:bodyPr/>
              <a:lstStyle/>
              <a:p>
                <a:pPr>
                  <a:defRPr sz="950" b="1" i="0" u="none" strike="noStrike" baseline="0">
                    <a:solidFill>
                      <a:srgbClr val="FF0000"/>
                    </a:solidFill>
                    <a:latin typeface="Arial"/>
                    <a:ea typeface="Arial"/>
                    <a:cs typeface="Arial"/>
                  </a:defRPr>
                </a:pPr>
                <a:r>
                  <a:rPr lang="en-GB"/>
                  <a:t>Suicide Rate per 100,000 Population, by State</a:t>
                </a:r>
              </a:p>
            </c:rich>
          </c:tx>
          <c:layout>
            <c:manualLayout>
              <c:xMode val="edge"/>
              <c:yMode val="edge"/>
              <c:x val="0.29652835203655842"/>
              <c:y val="0.91844194052568673"/>
            </c:manualLayout>
          </c:layout>
          <c:overlay val="0"/>
          <c:spPr>
            <a:noFill/>
            <a:ln w="25400">
              <a:noFill/>
            </a:ln>
          </c:spPr>
        </c:title>
        <c:numFmt formatCode="0.0" sourceLinked="1"/>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title>
          <c:tx>
            <c:rich>
              <a:bodyPr/>
              <a:lstStyle/>
              <a:p>
                <a:pPr>
                  <a:defRPr sz="950" b="1" i="0" u="none" strike="noStrike" baseline="0">
                    <a:solidFill>
                      <a:srgbClr val="FF0000"/>
                    </a:solidFill>
                    <a:latin typeface="Arial"/>
                    <a:ea typeface="Arial"/>
                    <a:cs typeface="Arial"/>
                  </a:defRPr>
                </a:pPr>
                <a:r>
                  <a:rPr lang="en-GB"/>
                  <a:t>Divorce Rate per 100,000 Population</a:t>
                </a:r>
              </a:p>
            </c:rich>
          </c:tx>
          <c:layout>
            <c:manualLayout>
              <c:xMode val="edge"/>
              <c:yMode val="edge"/>
              <c:x val="9.6041571509816494E-3"/>
              <c:y val="0.240594130206045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1233910095"/>
        <c:crosses val="autoZero"/>
        <c:crossBetween val="midCat"/>
      </c:valAx>
      <c:spPr>
        <a:gradFill rotWithShape="0">
          <a:gsLst>
            <a:gs pos="0">
              <a:srgbClr xmlns:mc="http://schemas.openxmlformats.org/markup-compatibility/2006" xmlns:a14="http://schemas.microsoft.com/office/drawing/2010/main" val="5E7676" mc:Ignorable="a14" a14:legacySpreadsheetColorIndex="27">
                <a:gamma/>
                <a:shade val="46275"/>
                <a:invGamma/>
              </a:srgbClr>
            </a:gs>
            <a:gs pos="100000">
              <a:srgbClr xmlns:mc="http://schemas.openxmlformats.org/markup-compatibility/2006" xmlns:a14="http://schemas.microsoft.com/office/drawing/2010/main" val="CCFFFF" mc:Ignorable="a14" a14:legacySpreadsheetColorIndex="27"/>
            </a:gs>
          </a:gsLst>
          <a:lin ang="5400000" scaled="1"/>
        </a:gra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1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0" verticalDpi="0" copies="0"/>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539750</xdr:colOff>
      <xdr:row>45</xdr:row>
      <xdr:rowOff>266700</xdr:rowOff>
    </xdr:from>
    <xdr:to>
      <xdr:col>14</xdr:col>
      <xdr:colOff>533400</xdr:colOff>
      <xdr:row>62</xdr:row>
      <xdr:rowOff>95250</xdr:rowOff>
    </xdr:to>
    <xdr:pic>
      <xdr:nvPicPr>
        <xdr:cNvPr id="1025" name="Picture 1">
          <a:extLst>
            <a:ext uri="{FF2B5EF4-FFF2-40B4-BE49-F238E27FC236}">
              <a16:creationId xmlns:a16="http://schemas.microsoft.com/office/drawing/2014/main" id="{FC7E5594-10B5-4F2E-9824-87FF043B98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05450" y="12268200"/>
          <a:ext cx="5264150" cy="35369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19050</xdr:colOff>
      <xdr:row>230</xdr:row>
      <xdr:rowOff>0</xdr:rowOff>
    </xdr:from>
    <xdr:to>
      <xdr:col>6</xdr:col>
      <xdr:colOff>285750</xdr:colOff>
      <xdr:row>248</xdr:row>
      <xdr:rowOff>25400</xdr:rowOff>
    </xdr:to>
    <xdr:graphicFrame macro="">
      <xdr:nvGraphicFramePr>
        <xdr:cNvPr id="1027" name="Chart 3">
          <a:extLst>
            <a:ext uri="{FF2B5EF4-FFF2-40B4-BE49-F238E27FC236}">
              <a16:creationId xmlns:a16="http://schemas.microsoft.com/office/drawing/2014/main" id="{248D935A-3F13-43BF-8ADC-6952CE557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571500</xdr:colOff>
      <xdr:row>199</xdr:row>
      <xdr:rowOff>57150</xdr:rowOff>
    </xdr:from>
    <xdr:to>
      <xdr:col>11</xdr:col>
      <xdr:colOff>330200</xdr:colOff>
      <xdr:row>218</xdr:row>
      <xdr:rowOff>76200</xdr:rowOff>
    </xdr:to>
    <xdr:graphicFrame macro="">
      <xdr:nvGraphicFramePr>
        <xdr:cNvPr id="1028" name="Chart 4">
          <a:extLst>
            <a:ext uri="{FF2B5EF4-FFF2-40B4-BE49-F238E27FC236}">
              <a16:creationId xmlns:a16="http://schemas.microsoft.com/office/drawing/2014/main" id="{62777372-630B-4257-A384-527B278C3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A0110390.html" TargetMode="External"/><Relationship Id="rId21" Type="http://schemas.openxmlformats.org/officeDocument/2006/relationships/hyperlink" Target="search.php3" TargetMode="External"/><Relationship Id="rId42" Type="http://schemas.openxmlformats.org/officeDocument/2006/relationships/hyperlink" Target="/search.php3" TargetMode="External"/><Relationship Id="rId47" Type="http://schemas.openxmlformats.org/officeDocument/2006/relationships/hyperlink" Target="/appletregistration.html" TargetMode="External"/><Relationship Id="rId63" Type="http://schemas.openxmlformats.org/officeDocument/2006/relationships/hyperlink" Target="/help.html" TargetMode="External"/><Relationship Id="rId68" Type="http://schemas.openxmlformats.org/officeDocument/2006/relationships/hyperlink" Target="http://ad.doubleclick.net/jump/infoplease.us/infoplease;kw=infoplease;!category=xmain;site=main;pos=bot;sz=468x60;tile=2;ord=35202303?" TargetMode="External"/><Relationship Id="rId7" Type="http://schemas.openxmlformats.org/officeDocument/2006/relationships/hyperlink" Target="/cgi-bin/daily" TargetMode="External"/><Relationship Id="rId2" Type="http://schemas.openxmlformats.org/officeDocument/2006/relationships/hyperlink" Target="/index.html" TargetMode="External"/><Relationship Id="rId16" Type="http://schemas.openxmlformats.org/officeDocument/2006/relationships/hyperlink" Target="/sci.html" TargetMode="External"/><Relationship Id="rId29" Type="http://schemas.openxmlformats.org/officeDocument/2006/relationships/hyperlink" Target="A0005116.html" TargetMode="External"/><Relationship Id="rId11" Type="http://schemas.openxmlformats.org/officeDocument/2006/relationships/hyperlink" Target="/sports.html" TargetMode="External"/><Relationship Id="rId24" Type="http://schemas.openxmlformats.org/officeDocument/2006/relationships/hyperlink" Target="/us.html" TargetMode="External"/><Relationship Id="rId32" Type="http://schemas.openxmlformats.org/officeDocument/2006/relationships/hyperlink" Target="http://infoplease.carprices.com/" TargetMode="External"/><Relationship Id="rId37" Type="http://schemas.openxmlformats.org/officeDocument/2006/relationships/hyperlink" Target="http://www.search3.knowx.com/bridge/bridge.exe?form=ip-toolbox.htm&amp;userid=guest&amp;password=welcome&amp;clientid=Not+Chosen&amp;FirstName=&amp;ReasonID=1010&amp;ReasonDescription=WebAd+IPLEASE+BOX+FRONT" TargetMode="External"/><Relationship Id="rId40" Type="http://schemas.openxmlformats.org/officeDocument/2006/relationships/hyperlink" Target="/biosearch.html" TargetMode="External"/><Relationship Id="rId45" Type="http://schemas.openxmlformats.org/officeDocument/2006/relationships/hyperlink" Target="http://www.actioneer.com/" TargetMode="External"/><Relationship Id="rId53" Type="http://schemas.openxmlformats.org/officeDocument/2006/relationships/hyperlink" Target="/sports.html" TargetMode="External"/><Relationship Id="rId58" Type="http://schemas.openxmlformats.org/officeDocument/2006/relationships/hyperlink" Target="/living.html" TargetMode="External"/><Relationship Id="rId66" Type="http://schemas.openxmlformats.org/officeDocument/2006/relationships/hyperlink" Target="/mediakit.html" TargetMode="External"/><Relationship Id="rId5" Type="http://schemas.openxmlformats.org/officeDocument/2006/relationships/hyperlink" Target="/encyclopdict.html" TargetMode="External"/><Relationship Id="rId61" Type="http://schemas.openxmlformats.org/officeDocument/2006/relationships/hyperlink" Target="/homework/index.html" TargetMode="External"/><Relationship Id="rId19" Type="http://schemas.openxmlformats.org/officeDocument/2006/relationships/hyperlink" Target="http://query.infoplease.com/cgi-bin/emailbutton" TargetMode="External"/><Relationship Id="rId14" Type="http://schemas.openxmlformats.org/officeDocument/2006/relationships/hyperlink" Target="/society.html" TargetMode="External"/><Relationship Id="rId22" Type="http://schemas.openxmlformats.org/officeDocument/2006/relationships/hyperlink" Target="/us.html" TargetMode="External"/><Relationship Id="rId27" Type="http://schemas.openxmlformats.org/officeDocument/2006/relationships/hyperlink" Target="A0777960.html" TargetMode="External"/><Relationship Id="rId30" Type="http://schemas.openxmlformats.org/officeDocument/2006/relationships/hyperlink" Target="/redir.php3/hoovers/" TargetMode="External"/><Relationship Id="rId35" Type="http://schemas.openxmlformats.org/officeDocument/2006/relationships/hyperlink" Target="/redir.php3/mapquest" TargetMode="External"/><Relationship Id="rId43" Type="http://schemas.openxmlformats.org/officeDocument/2006/relationships/hyperlink" Target="/cgi-bin/emailbutton" TargetMode="External"/><Relationship Id="rId48" Type="http://schemas.openxmlformats.org/officeDocument/2006/relationships/hyperlink" Target="/registration.php3" TargetMode="External"/><Relationship Id="rId56" Type="http://schemas.openxmlformats.org/officeDocument/2006/relationships/hyperlink" Target="/people.html" TargetMode="External"/><Relationship Id="rId64" Type="http://schemas.openxmlformats.org/officeDocument/2006/relationships/hyperlink" Target="/aboutip.html" TargetMode="External"/><Relationship Id="rId69" Type="http://schemas.openxmlformats.org/officeDocument/2006/relationships/printerSettings" Target="../printerSettings/printerSettings1.bin"/><Relationship Id="rId8" Type="http://schemas.openxmlformats.org/officeDocument/2006/relationships/hyperlink" Target="/world.html" TargetMode="External"/><Relationship Id="rId51" Type="http://schemas.openxmlformats.org/officeDocument/2006/relationships/hyperlink" Target="/cgi-bin/daily" TargetMode="External"/><Relationship Id="rId3" Type="http://schemas.openxmlformats.org/officeDocument/2006/relationships/hyperlink" Target="/index.html" TargetMode="External"/><Relationship Id="rId12" Type="http://schemas.openxmlformats.org/officeDocument/2006/relationships/hyperlink" Target="/ent.html" TargetMode="External"/><Relationship Id="rId17" Type="http://schemas.openxmlformats.org/officeDocument/2006/relationships/hyperlink" Target="/homework/index.html" TargetMode="External"/><Relationship Id="rId25" Type="http://schemas.openxmlformats.org/officeDocument/2006/relationships/hyperlink" Target="A0004920.html" TargetMode="External"/><Relationship Id="rId33" Type="http://schemas.openxmlformats.org/officeDocument/2006/relationships/hyperlink" Target="/redir.php3/mapquest" TargetMode="External"/><Relationship Id="rId38" Type="http://schemas.openxmlformats.org/officeDocument/2006/relationships/hyperlink" Target="/ancestry.html" TargetMode="External"/><Relationship Id="rId46" Type="http://schemas.openxmlformats.org/officeDocument/2006/relationships/hyperlink" Target="http://www.bigfoot.com/RUN?FN=searchform&amp;locale=infoplease" TargetMode="External"/><Relationship Id="rId59" Type="http://schemas.openxmlformats.org/officeDocument/2006/relationships/hyperlink" Target="/society.html" TargetMode="External"/><Relationship Id="rId67" Type="http://schemas.openxmlformats.org/officeDocument/2006/relationships/hyperlink" Target="/copy.html" TargetMode="External"/><Relationship Id="rId20" Type="http://schemas.openxmlformats.org/officeDocument/2006/relationships/hyperlink" Target="http://mail.chek.com/templates/infoplease/" TargetMode="External"/><Relationship Id="rId41" Type="http://schemas.openxmlformats.org/officeDocument/2006/relationships/hyperlink" Target="/tools.html" TargetMode="External"/><Relationship Id="rId54" Type="http://schemas.openxmlformats.org/officeDocument/2006/relationships/hyperlink" Target="/ent.html" TargetMode="External"/><Relationship Id="rId62" Type="http://schemas.openxmlformats.org/officeDocument/2006/relationships/hyperlink" Target="http://kids.infoplease.com/" TargetMode="External"/><Relationship Id="rId70" Type="http://schemas.openxmlformats.org/officeDocument/2006/relationships/drawing" Target="../drawings/drawing1.xml"/><Relationship Id="rId1" Type="http://schemas.openxmlformats.org/officeDocument/2006/relationships/hyperlink" Target="http://ad.doubleclick.net/jump/infoplease.us/infoplease;kw=infoplease;!category=xmain;site=main;pos=top;sz=468x60;tile=1;ord=35202303?" TargetMode="External"/><Relationship Id="rId6" Type="http://schemas.openxmlformats.org/officeDocument/2006/relationships/hyperlink" Target="/encyclopdict.html" TargetMode="External"/><Relationship Id="rId15" Type="http://schemas.openxmlformats.org/officeDocument/2006/relationships/hyperlink" Target="/living.html" TargetMode="External"/><Relationship Id="rId23" Type="http://schemas.openxmlformats.org/officeDocument/2006/relationships/hyperlink" Target="/index.html" TargetMode="External"/><Relationship Id="rId28" Type="http://schemas.openxmlformats.org/officeDocument/2006/relationships/hyperlink" Target="A0110390.html" TargetMode="External"/><Relationship Id="rId36" Type="http://schemas.openxmlformats.org/officeDocument/2006/relationships/hyperlink" Target="http://www.nextcard.com/index6.html?ref=aff0000706" TargetMode="External"/><Relationship Id="rId49" Type="http://schemas.openxmlformats.org/officeDocument/2006/relationships/hyperlink" Target="/linkagreement.html" TargetMode="External"/><Relationship Id="rId57" Type="http://schemas.openxmlformats.org/officeDocument/2006/relationships/hyperlink" Target="/bus.html" TargetMode="External"/><Relationship Id="rId10" Type="http://schemas.openxmlformats.org/officeDocument/2006/relationships/hyperlink" Target="/us.html" TargetMode="External"/><Relationship Id="rId31" Type="http://schemas.openxmlformats.org/officeDocument/2006/relationships/hyperlink" Target="/redir.php3/autoaccessory" TargetMode="External"/><Relationship Id="rId44" Type="http://schemas.openxmlformats.org/officeDocument/2006/relationships/hyperlink" Target="/cgi-bin/askeds" TargetMode="External"/><Relationship Id="rId52" Type="http://schemas.openxmlformats.org/officeDocument/2006/relationships/hyperlink" Target="/world.html" TargetMode="External"/><Relationship Id="rId60" Type="http://schemas.openxmlformats.org/officeDocument/2006/relationships/hyperlink" Target="/sci.html" TargetMode="External"/><Relationship Id="rId65" Type="http://schemas.openxmlformats.org/officeDocument/2006/relationships/hyperlink" Target="/contact.html" TargetMode="External"/><Relationship Id="rId4" Type="http://schemas.openxmlformats.org/officeDocument/2006/relationships/hyperlink" Target="/almanacs.html" TargetMode="External"/><Relationship Id="rId9" Type="http://schemas.openxmlformats.org/officeDocument/2006/relationships/hyperlink" Target="/people.html" TargetMode="External"/><Relationship Id="rId13" Type="http://schemas.openxmlformats.org/officeDocument/2006/relationships/hyperlink" Target="/bus.html" TargetMode="External"/><Relationship Id="rId18" Type="http://schemas.openxmlformats.org/officeDocument/2006/relationships/hyperlink" Target="http://kids.infoplease.com/" TargetMode="External"/><Relationship Id="rId39" Type="http://schemas.openxmlformats.org/officeDocument/2006/relationships/hyperlink" Target="http://tracker.clicktrade.com/tracker/tracker.dll?to='http://zone.msn.com/'&amp;ad=108824.9&amp;lp=121989" TargetMode="External"/><Relationship Id="rId34" Type="http://schemas.openxmlformats.org/officeDocument/2006/relationships/hyperlink" Target="/redir.php3/mapquest" TargetMode="External"/><Relationship Id="rId50" Type="http://schemas.openxmlformats.org/officeDocument/2006/relationships/hyperlink" Target="/index.html" TargetMode="External"/><Relationship Id="rId55" Type="http://schemas.openxmlformats.org/officeDocument/2006/relationships/hyperlink" Target="/u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9"/>
  <sheetViews>
    <sheetView showGridLines="0" tabSelected="1" workbookViewId="0">
      <selection activeCell="H179" sqref="H179:H229"/>
    </sheetView>
  </sheetViews>
  <sheetFormatPr defaultRowHeight="12.5" x14ac:dyDescent="0.25"/>
  <cols>
    <col min="1" max="1" width="26.1796875" customWidth="1"/>
    <col min="2" max="2" width="9" customWidth="1"/>
    <col min="3" max="3" width="10.1796875" customWidth="1"/>
    <col min="6" max="6" width="8.26953125" customWidth="1"/>
    <col min="7" max="7" width="12.54296875" customWidth="1"/>
    <col min="8" max="8" width="10.453125" customWidth="1"/>
    <col min="9" max="10" width="3.7265625" customWidth="1"/>
    <col min="11" max="11" width="3.81640625" customWidth="1"/>
    <col min="12" max="12" width="28.7265625" customWidth="1"/>
    <col min="13" max="13" width="3.7265625" customWidth="1"/>
  </cols>
  <sheetData>
    <row r="1" spans="1:13" ht="12.75" customHeight="1" x14ac:dyDescent="0.25">
      <c r="A1" s="71" t="s">
        <v>0</v>
      </c>
      <c r="B1" s="22"/>
      <c r="C1" s="22"/>
      <c r="D1" s="22"/>
      <c r="E1" s="22"/>
      <c r="F1" s="22"/>
      <c r="G1" s="22"/>
      <c r="H1" s="22"/>
    </row>
    <row r="3" spans="1:13" ht="12.75" customHeight="1" x14ac:dyDescent="0.25">
      <c r="A3" s="31" t="s">
        <v>1</v>
      </c>
      <c r="B3" s="22"/>
      <c r="C3" s="22"/>
      <c r="D3" s="22"/>
      <c r="E3" s="22"/>
      <c r="F3" s="22"/>
      <c r="G3" s="22"/>
      <c r="H3" s="22"/>
      <c r="I3" s="22"/>
      <c r="J3" s="22"/>
      <c r="K3" s="22"/>
      <c r="L3" s="22"/>
      <c r="M3" s="22"/>
    </row>
    <row r="4" spans="1:13" ht="37.5" x14ac:dyDescent="0.25">
      <c r="A4" s="72" t="s">
        <v>2</v>
      </c>
      <c r="B4" s="22"/>
      <c r="C4" s="22"/>
      <c r="D4" s="22"/>
      <c r="E4" s="22"/>
      <c r="F4" s="22"/>
      <c r="G4" s="22"/>
      <c r="H4" s="22"/>
      <c r="I4" s="3"/>
      <c r="J4" s="3"/>
      <c r="K4" s="4" t="s">
        <v>3</v>
      </c>
      <c r="L4" s="3" t="s">
        <v>4</v>
      </c>
      <c r="M4" s="3"/>
    </row>
    <row r="5" spans="1:13" x14ac:dyDescent="0.25">
      <c r="A5" s="73"/>
      <c r="B5" s="22"/>
      <c r="C5" s="22"/>
      <c r="D5" s="22"/>
      <c r="E5" s="22"/>
      <c r="F5" s="22"/>
      <c r="G5" s="22"/>
      <c r="H5" s="22"/>
      <c r="I5" s="74" t="s">
        <v>5</v>
      </c>
      <c r="J5" s="22"/>
      <c r="K5" s="22"/>
      <c r="L5" s="22"/>
      <c r="M5" s="22"/>
    </row>
    <row r="6" spans="1:13" x14ac:dyDescent="0.25">
      <c r="A6" s="65"/>
      <c r="B6" s="22"/>
      <c r="C6" s="22"/>
      <c r="D6" s="22"/>
      <c r="E6" s="22"/>
      <c r="F6" s="22"/>
      <c r="G6" s="22"/>
      <c r="H6" s="22"/>
      <c r="I6" s="22"/>
      <c r="J6" s="22"/>
      <c r="K6" s="22"/>
      <c r="L6" s="22"/>
      <c r="M6" s="22"/>
    </row>
    <row r="7" spans="1:13" x14ac:dyDescent="0.25">
      <c r="A7" s="69"/>
      <c r="B7" s="22"/>
      <c r="C7" s="22"/>
      <c r="D7" s="22"/>
      <c r="E7" s="22"/>
      <c r="F7" s="22"/>
      <c r="G7" s="22"/>
      <c r="H7" s="22"/>
      <c r="I7" s="22"/>
      <c r="J7" s="22"/>
      <c r="K7" s="22"/>
      <c r="L7" s="22"/>
      <c r="M7" s="22"/>
    </row>
    <row r="8" spans="1:13" ht="12.75" customHeight="1" x14ac:dyDescent="0.25">
      <c r="A8" s="31" t="s">
        <v>6</v>
      </c>
      <c r="B8" s="22"/>
      <c r="C8" s="22"/>
      <c r="D8" s="22"/>
      <c r="E8" s="22"/>
      <c r="F8" s="22"/>
      <c r="G8" s="22"/>
      <c r="H8" s="22"/>
      <c r="I8" s="70" t="s">
        <v>7</v>
      </c>
      <c r="J8" s="22"/>
      <c r="K8" s="5" t="s">
        <v>11</v>
      </c>
      <c r="L8" s="5" t="s">
        <v>15</v>
      </c>
      <c r="M8" s="5" t="s">
        <v>19</v>
      </c>
    </row>
    <row r="9" spans="1:13" ht="25.5" customHeight="1" x14ac:dyDescent="0.25">
      <c r="A9" s="31"/>
      <c r="B9" s="22"/>
      <c r="C9" s="22"/>
      <c r="D9" s="22"/>
      <c r="E9" s="22"/>
      <c r="F9" s="22"/>
      <c r="G9" s="22"/>
      <c r="H9" s="22"/>
      <c r="I9" s="70" t="s">
        <v>8</v>
      </c>
      <c r="J9" s="22"/>
      <c r="K9" s="5" t="s">
        <v>12</v>
      </c>
      <c r="L9" s="5" t="s">
        <v>16</v>
      </c>
      <c r="M9" s="5" t="s">
        <v>20</v>
      </c>
    </row>
    <row r="10" spans="1:13" ht="25.5" customHeight="1" x14ac:dyDescent="0.25">
      <c r="A10" s="31"/>
      <c r="B10" s="22"/>
      <c r="C10" s="22"/>
      <c r="D10" s="22"/>
      <c r="E10" s="22"/>
      <c r="F10" s="22"/>
      <c r="G10" s="22"/>
      <c r="H10" s="22"/>
      <c r="I10" s="70" t="s">
        <v>9</v>
      </c>
      <c r="J10" s="22"/>
      <c r="K10" s="5" t="s">
        <v>13</v>
      </c>
      <c r="L10" s="5" t="s">
        <v>17</v>
      </c>
      <c r="M10" s="5" t="s">
        <v>21</v>
      </c>
    </row>
    <row r="11" spans="1:13" ht="25.5" customHeight="1" x14ac:dyDescent="0.25">
      <c r="A11" s="31"/>
      <c r="B11" s="22"/>
      <c r="C11" s="22"/>
      <c r="D11" s="22"/>
      <c r="E11" s="22"/>
      <c r="F11" s="22"/>
      <c r="G11" s="22"/>
      <c r="H11" s="22"/>
      <c r="I11" s="70" t="s">
        <v>10</v>
      </c>
      <c r="J11" s="22"/>
      <c r="K11" s="5" t="s">
        <v>14</v>
      </c>
      <c r="L11" s="5" t="s">
        <v>18</v>
      </c>
      <c r="M11" s="5" t="s">
        <v>22</v>
      </c>
    </row>
    <row r="12" spans="1:13" x14ac:dyDescent="0.25">
      <c r="A12" s="31"/>
      <c r="B12" s="22"/>
      <c r="C12" s="22"/>
      <c r="D12" s="22"/>
      <c r="E12" s="22"/>
      <c r="F12" s="22"/>
      <c r="G12" s="22"/>
      <c r="H12" s="22"/>
      <c r="I12" s="22"/>
      <c r="J12" s="22"/>
      <c r="K12" s="22"/>
      <c r="L12" s="22"/>
      <c r="M12" s="22"/>
    </row>
    <row r="13" spans="1:13" x14ac:dyDescent="0.25">
      <c r="A13" s="68"/>
      <c r="B13" s="22"/>
      <c r="C13" s="22"/>
      <c r="D13" s="22"/>
      <c r="E13" s="22"/>
      <c r="F13" s="22"/>
      <c r="G13" s="22"/>
      <c r="H13" s="22"/>
      <c r="I13" s="22"/>
      <c r="J13" s="22"/>
      <c r="K13" s="22"/>
      <c r="L13" s="22"/>
      <c r="M13" s="22"/>
    </row>
    <row r="14" spans="1:13" x14ac:dyDescent="0.25">
      <c r="A14" s="31"/>
      <c r="B14" s="22"/>
      <c r="C14" s="22"/>
      <c r="D14" s="22"/>
      <c r="E14" s="22"/>
      <c r="F14" s="22"/>
      <c r="G14" s="22"/>
      <c r="H14" s="22"/>
      <c r="I14" s="22"/>
      <c r="J14" s="22"/>
      <c r="K14" s="22"/>
      <c r="L14" s="22"/>
      <c r="M14" s="22"/>
    </row>
    <row r="15" spans="1:13" ht="12.75" customHeight="1" x14ac:dyDescent="0.25">
      <c r="A15" s="67" t="s">
        <v>23</v>
      </c>
      <c r="B15" s="22"/>
      <c r="C15" s="22"/>
      <c r="D15" s="22"/>
      <c r="E15" s="22"/>
      <c r="F15" s="22"/>
      <c r="G15" s="22"/>
      <c r="H15" s="22"/>
    </row>
    <row r="16" spans="1:13" ht="12.75" customHeight="1" x14ac:dyDescent="0.25">
      <c r="A16" s="66" t="s">
        <v>24</v>
      </c>
      <c r="B16" s="22"/>
      <c r="C16" s="22"/>
      <c r="D16" s="22"/>
      <c r="E16" s="22"/>
      <c r="F16" s="22"/>
      <c r="G16" s="22"/>
      <c r="H16" s="22"/>
    </row>
    <row r="17" spans="1:13" ht="12.75" customHeight="1" x14ac:dyDescent="0.25">
      <c r="A17" s="67" t="s">
        <v>25</v>
      </c>
      <c r="B17" s="22"/>
      <c r="C17" s="22"/>
      <c r="D17" s="22"/>
      <c r="E17" s="22"/>
      <c r="F17" s="22"/>
      <c r="G17" s="22"/>
      <c r="H17" s="22"/>
    </row>
    <row r="18" spans="1:13" ht="12.75" customHeight="1" x14ac:dyDescent="0.25">
      <c r="A18" s="66" t="s">
        <v>26</v>
      </c>
      <c r="B18" s="22"/>
      <c r="C18" s="22"/>
      <c r="D18" s="22"/>
      <c r="E18" s="22"/>
      <c r="F18" s="22"/>
      <c r="G18" s="22"/>
      <c r="H18" s="22"/>
    </row>
    <row r="19" spans="1:13" ht="12.75" customHeight="1" x14ac:dyDescent="0.25">
      <c r="A19" s="67" t="s">
        <v>27</v>
      </c>
      <c r="B19" s="22"/>
      <c r="C19" s="22"/>
      <c r="D19" s="22"/>
      <c r="E19" s="22"/>
      <c r="F19" s="22"/>
      <c r="G19" s="22"/>
      <c r="H19" s="22"/>
    </row>
    <row r="20" spans="1:13" x14ac:dyDescent="0.25">
      <c r="A20" s="64" t="s">
        <v>28</v>
      </c>
      <c r="B20" s="22"/>
      <c r="C20" s="22"/>
      <c r="D20" s="22"/>
      <c r="E20" s="22"/>
      <c r="F20" s="22"/>
      <c r="G20" s="22"/>
      <c r="H20" s="22"/>
    </row>
    <row r="21" spans="1:13" x14ac:dyDescent="0.25">
      <c r="A21" s="65"/>
      <c r="B21" s="22"/>
      <c r="C21" s="22"/>
      <c r="D21" s="22"/>
      <c r="E21" s="22"/>
      <c r="F21" s="22"/>
      <c r="G21" s="22"/>
      <c r="H21" s="22"/>
      <c r="I21" s="22"/>
      <c r="J21" s="22"/>
      <c r="K21" s="22"/>
      <c r="L21" s="22"/>
      <c r="M21" s="22"/>
    </row>
    <row r="22" spans="1:13" x14ac:dyDescent="0.25">
      <c r="A22" s="28"/>
      <c r="B22" s="22"/>
      <c r="C22" s="22"/>
      <c r="D22" s="22"/>
      <c r="E22" s="22"/>
      <c r="F22" s="22"/>
      <c r="G22" s="22"/>
      <c r="H22" s="22"/>
      <c r="I22" s="22"/>
      <c r="J22" s="22"/>
      <c r="K22" s="22"/>
      <c r="L22" s="22"/>
      <c r="M22" s="22"/>
    </row>
    <row r="23" spans="1:13" x14ac:dyDescent="0.25">
      <c r="A23" s="32"/>
      <c r="B23" s="22"/>
      <c r="C23" s="22"/>
      <c r="D23" s="22"/>
      <c r="E23" s="22"/>
      <c r="F23" s="22"/>
      <c r="G23" s="22"/>
      <c r="H23" s="22"/>
    </row>
    <row r="24" spans="1:13" ht="12.75" customHeight="1" x14ac:dyDescent="0.25">
      <c r="A24" s="62" t="s">
        <v>14</v>
      </c>
      <c r="B24" s="22"/>
      <c r="C24" s="22"/>
      <c r="D24" s="37"/>
      <c r="E24" s="22"/>
    </row>
    <row r="25" spans="1:13" ht="12.75" customHeight="1" x14ac:dyDescent="0.25">
      <c r="A25" s="32"/>
      <c r="B25" s="22"/>
      <c r="C25" s="22"/>
      <c r="D25" s="55" t="s">
        <v>105</v>
      </c>
      <c r="E25" s="40"/>
    </row>
    <row r="26" spans="1:13" ht="12.75" customHeight="1" x14ac:dyDescent="0.25">
      <c r="A26" s="62" t="s">
        <v>29</v>
      </c>
      <c r="B26" s="22"/>
      <c r="C26" s="22"/>
      <c r="D26" s="56" t="s">
        <v>106</v>
      </c>
      <c r="E26" s="44"/>
    </row>
    <row r="27" spans="1:13" ht="12.75" customHeight="1" x14ac:dyDescent="0.25">
      <c r="A27" s="32" t="s">
        <v>30</v>
      </c>
      <c r="B27" s="22"/>
      <c r="C27" s="22"/>
      <c r="D27" s="52" t="s">
        <v>107</v>
      </c>
      <c r="E27" s="44"/>
    </row>
    <row r="28" spans="1:13" ht="12.75" customHeight="1" x14ac:dyDescent="0.25">
      <c r="A28" s="62" t="s">
        <v>31</v>
      </c>
      <c r="B28" s="22"/>
      <c r="C28" s="22"/>
      <c r="D28" s="52" t="s">
        <v>108</v>
      </c>
      <c r="E28" s="44"/>
    </row>
    <row r="29" spans="1:13" ht="12.75" customHeight="1" x14ac:dyDescent="0.25">
      <c r="A29" s="32" t="s">
        <v>30</v>
      </c>
      <c r="B29" s="22"/>
      <c r="C29" s="22"/>
      <c r="D29" s="53" t="s">
        <v>109</v>
      </c>
      <c r="E29" s="42"/>
    </row>
    <row r="30" spans="1:13" ht="38.25" customHeight="1" x14ac:dyDescent="0.25">
      <c r="A30" s="62" t="s">
        <v>32</v>
      </c>
      <c r="B30" s="22"/>
      <c r="C30" s="22"/>
      <c r="D30" s="54" t="s">
        <v>110</v>
      </c>
      <c r="E30" s="22"/>
    </row>
    <row r="31" spans="1:13" ht="12.75" customHeight="1" x14ac:dyDescent="0.25">
      <c r="A31" s="32" t="s">
        <v>30</v>
      </c>
      <c r="B31" s="22"/>
      <c r="C31" s="22"/>
      <c r="D31" s="37"/>
      <c r="E31" s="22"/>
    </row>
    <row r="32" spans="1:13" ht="27" customHeight="1" x14ac:dyDescent="0.25">
      <c r="A32" s="62" t="s">
        <v>33</v>
      </c>
      <c r="B32" s="22"/>
      <c r="C32" s="22"/>
      <c r="D32" s="49" t="s">
        <v>111</v>
      </c>
      <c r="E32" s="22"/>
    </row>
    <row r="33" spans="1:5" ht="12.75" customHeight="1" x14ac:dyDescent="0.25">
      <c r="A33" s="32"/>
      <c r="B33" s="22"/>
      <c r="C33" s="22"/>
      <c r="D33" s="50" t="s">
        <v>112</v>
      </c>
      <c r="E33" s="22"/>
    </row>
    <row r="34" spans="1:5" ht="40.5" customHeight="1" x14ac:dyDescent="0.25">
      <c r="A34" s="63" t="s">
        <v>34</v>
      </c>
      <c r="B34" s="22"/>
      <c r="C34" s="22"/>
      <c r="D34" s="37"/>
      <c r="E34" s="22"/>
    </row>
    <row r="35" spans="1:5" ht="12.75" customHeight="1" x14ac:dyDescent="0.25">
      <c r="A35" s="32"/>
      <c r="B35" s="22"/>
      <c r="C35" s="22"/>
      <c r="D35" s="51" t="s">
        <v>113</v>
      </c>
      <c r="E35" s="40"/>
    </row>
    <row r="36" spans="1:5" x14ac:dyDescent="0.25">
      <c r="A36" s="32"/>
      <c r="B36" s="22"/>
      <c r="C36" s="22"/>
      <c r="D36" s="47"/>
      <c r="E36" s="44"/>
    </row>
    <row r="37" spans="1:5" ht="242.25" customHeight="1" x14ac:dyDescent="0.25">
      <c r="A37" s="32" t="s">
        <v>35</v>
      </c>
      <c r="B37" s="22"/>
      <c r="C37" s="22"/>
      <c r="D37" s="48" t="s">
        <v>114</v>
      </c>
      <c r="E37" s="44"/>
    </row>
    <row r="38" spans="1:5" ht="13" x14ac:dyDescent="0.25">
      <c r="A38" s="32"/>
      <c r="B38" s="22"/>
      <c r="C38" s="22"/>
      <c r="D38" s="43" t="s">
        <v>115</v>
      </c>
      <c r="E38" s="44"/>
    </row>
    <row r="39" spans="1:5" ht="31.5" customHeight="1" x14ac:dyDescent="0.25">
      <c r="A39" s="61" t="s">
        <v>36</v>
      </c>
      <c r="B39" s="22"/>
      <c r="C39" s="22"/>
      <c r="D39" s="45" t="s">
        <v>116</v>
      </c>
      <c r="E39" s="44"/>
    </row>
    <row r="40" spans="1:5" ht="13" x14ac:dyDescent="0.25">
      <c r="A40" s="32"/>
      <c r="B40" s="22"/>
      <c r="C40" s="22"/>
      <c r="D40" s="43" t="s">
        <v>117</v>
      </c>
      <c r="E40" s="44"/>
    </row>
    <row r="41" spans="1:5" ht="13" x14ac:dyDescent="0.3">
      <c r="A41" s="58" t="s">
        <v>37</v>
      </c>
      <c r="B41" s="7" t="s">
        <v>38</v>
      </c>
      <c r="D41" s="45" t="s">
        <v>118</v>
      </c>
      <c r="E41" s="44"/>
    </row>
    <row r="42" spans="1:5" ht="12.75" customHeight="1" x14ac:dyDescent="0.3">
      <c r="A42" s="59"/>
      <c r="B42" s="8" t="s">
        <v>39</v>
      </c>
      <c r="D42" s="46" t="s">
        <v>119</v>
      </c>
      <c r="E42" s="42"/>
    </row>
    <row r="43" spans="1:5" ht="13" x14ac:dyDescent="0.25">
      <c r="A43" s="9" t="s">
        <v>40</v>
      </c>
      <c r="B43" s="6" t="s">
        <v>6</v>
      </c>
      <c r="D43" s="37"/>
      <c r="E43" s="22"/>
    </row>
    <row r="44" spans="1:5" x14ac:dyDescent="0.25">
      <c r="A44" s="10" t="s">
        <v>41</v>
      </c>
      <c r="B44" s="11">
        <v>1553</v>
      </c>
      <c r="D44" s="37"/>
      <c r="E44" s="22"/>
    </row>
    <row r="45" spans="1:5" ht="12.75" customHeight="1" x14ac:dyDescent="0.25">
      <c r="A45" s="10" t="s">
        <v>42</v>
      </c>
      <c r="B45" s="6">
        <v>838</v>
      </c>
      <c r="D45" s="38" t="s">
        <v>120</v>
      </c>
      <c r="E45" s="22"/>
    </row>
    <row r="46" spans="1:5" ht="51" customHeight="1" x14ac:dyDescent="0.25">
      <c r="A46" s="10" t="s">
        <v>43</v>
      </c>
      <c r="B46" s="11">
        <v>2530</v>
      </c>
      <c r="D46" s="38" t="s">
        <v>121</v>
      </c>
      <c r="E46" s="22"/>
    </row>
    <row r="47" spans="1:5" x14ac:dyDescent="0.25">
      <c r="A47" s="10" t="s">
        <v>44</v>
      </c>
      <c r="B47" s="6">
        <v>697</v>
      </c>
      <c r="D47" s="37"/>
      <c r="E47" s="22"/>
    </row>
    <row r="48" spans="1:5" ht="25.5" customHeight="1" x14ac:dyDescent="0.25">
      <c r="A48" s="10" t="s">
        <v>45</v>
      </c>
      <c r="B48" s="11">
        <v>2729</v>
      </c>
      <c r="D48" s="39" t="s">
        <v>122</v>
      </c>
      <c r="E48" s="40"/>
    </row>
    <row r="49" spans="1:5" ht="27" customHeight="1" x14ac:dyDescent="0.25">
      <c r="A49" s="10" t="s">
        <v>46</v>
      </c>
      <c r="B49" s="11">
        <v>7551</v>
      </c>
      <c r="D49" s="41" t="s">
        <v>123</v>
      </c>
      <c r="E49" s="42"/>
    </row>
    <row r="50" spans="1:5" x14ac:dyDescent="0.25">
      <c r="A50" s="10" t="s">
        <v>47</v>
      </c>
      <c r="B50" s="11">
        <v>6976</v>
      </c>
      <c r="D50" s="37"/>
      <c r="E50" s="22"/>
    </row>
    <row r="51" spans="1:5" ht="25.5" customHeight="1" x14ac:dyDescent="0.25">
      <c r="A51" s="10" t="s">
        <v>48</v>
      </c>
      <c r="B51" s="6">
        <v>454</v>
      </c>
      <c r="D51" s="38" t="s">
        <v>124</v>
      </c>
      <c r="E51" s="22"/>
    </row>
    <row r="52" spans="1:5" x14ac:dyDescent="0.25">
      <c r="A52" s="10" t="s">
        <v>49</v>
      </c>
      <c r="B52" s="6">
        <v>406</v>
      </c>
      <c r="D52" s="37"/>
      <c r="E52" s="22"/>
    </row>
    <row r="53" spans="1:5" ht="13" x14ac:dyDescent="0.25">
      <c r="A53" s="10" t="s">
        <v>50</v>
      </c>
      <c r="B53" s="12">
        <v>23734</v>
      </c>
      <c r="D53" s="37"/>
      <c r="E53" s="22"/>
    </row>
    <row r="54" spans="1:5" ht="12.75" customHeight="1" x14ac:dyDescent="0.25">
      <c r="A54" s="9" t="s">
        <v>51</v>
      </c>
      <c r="B54" s="6" t="s">
        <v>6</v>
      </c>
      <c r="D54" s="38" t="s">
        <v>125</v>
      </c>
      <c r="E54" s="22"/>
    </row>
    <row r="55" spans="1:5" x14ac:dyDescent="0.25">
      <c r="A55" s="10" t="s">
        <v>52</v>
      </c>
      <c r="B55" s="11">
        <v>5717</v>
      </c>
      <c r="D55" s="37"/>
      <c r="E55" s="22"/>
    </row>
    <row r="56" spans="1:5" x14ac:dyDescent="0.25">
      <c r="A56" s="10" t="s">
        <v>53</v>
      </c>
      <c r="B56" s="11">
        <v>3575</v>
      </c>
      <c r="D56" s="37"/>
      <c r="E56" s="22"/>
    </row>
    <row r="57" spans="1:5" x14ac:dyDescent="0.25">
      <c r="A57" s="10" t="s">
        <v>54</v>
      </c>
      <c r="B57" s="11">
        <v>1598</v>
      </c>
      <c r="D57" s="37"/>
      <c r="E57" s="22"/>
    </row>
    <row r="58" spans="1:5" x14ac:dyDescent="0.25">
      <c r="A58" s="10" t="s">
        <v>55</v>
      </c>
      <c r="B58" s="11">
        <v>1546</v>
      </c>
      <c r="D58" s="37"/>
      <c r="E58" s="22"/>
    </row>
    <row r="59" spans="1:5" x14ac:dyDescent="0.25">
      <c r="A59" s="10" t="s">
        <v>56</v>
      </c>
      <c r="B59" s="11">
        <v>5403</v>
      </c>
      <c r="D59" s="37"/>
      <c r="E59" s="22"/>
    </row>
    <row r="60" spans="1:5" x14ac:dyDescent="0.25">
      <c r="A60" s="10" t="s">
        <v>57</v>
      </c>
      <c r="B60" s="11">
        <v>2562</v>
      </c>
      <c r="D60" s="37"/>
      <c r="E60" s="22"/>
    </row>
    <row r="61" spans="1:5" x14ac:dyDescent="0.25">
      <c r="A61" s="10" t="s">
        <v>58</v>
      </c>
      <c r="B61" s="11">
        <v>3448</v>
      </c>
      <c r="D61" s="37"/>
      <c r="E61" s="22"/>
    </row>
    <row r="62" spans="1:5" x14ac:dyDescent="0.25">
      <c r="A62" s="10" t="s">
        <v>59</v>
      </c>
      <c r="B62" s="6">
        <v>958</v>
      </c>
      <c r="D62" s="37"/>
      <c r="E62" s="22"/>
    </row>
    <row r="63" spans="1:5" x14ac:dyDescent="0.25">
      <c r="A63" s="10" t="s">
        <v>60</v>
      </c>
      <c r="B63" s="6">
        <v>371</v>
      </c>
      <c r="D63" s="37"/>
      <c r="E63" s="22"/>
    </row>
    <row r="64" spans="1:5" x14ac:dyDescent="0.25">
      <c r="A64" s="10" t="s">
        <v>61</v>
      </c>
      <c r="B64" s="11">
        <v>5875</v>
      </c>
      <c r="D64" s="37"/>
      <c r="E64" s="22"/>
    </row>
    <row r="65" spans="1:5" x14ac:dyDescent="0.25">
      <c r="A65" s="10" t="s">
        <v>62</v>
      </c>
      <c r="B65" s="6">
        <v>479</v>
      </c>
      <c r="D65" s="37"/>
      <c r="E65" s="22"/>
    </row>
    <row r="66" spans="1:5" x14ac:dyDescent="0.25">
      <c r="A66" s="10" t="s">
        <v>63</v>
      </c>
      <c r="B66" s="11">
        <v>2960</v>
      </c>
      <c r="D66" s="37"/>
      <c r="E66" s="22"/>
    </row>
    <row r="67" spans="1:5" ht="13" x14ac:dyDescent="0.25">
      <c r="A67" s="10" t="s">
        <v>50</v>
      </c>
      <c r="B67" s="12">
        <v>34492</v>
      </c>
      <c r="D67" s="37"/>
      <c r="E67" s="22"/>
    </row>
    <row r="68" spans="1:5" ht="13" x14ac:dyDescent="0.25">
      <c r="A68" s="9" t="s">
        <v>64</v>
      </c>
      <c r="B68" s="6" t="s">
        <v>6</v>
      </c>
      <c r="D68" s="37"/>
      <c r="E68" s="22"/>
    </row>
    <row r="69" spans="1:5" x14ac:dyDescent="0.25">
      <c r="A69" s="10" t="s">
        <v>65</v>
      </c>
      <c r="B69" s="11">
        <v>2659</v>
      </c>
      <c r="D69" s="37"/>
      <c r="E69" s="22"/>
    </row>
    <row r="70" spans="1:5" x14ac:dyDescent="0.25">
      <c r="A70" s="10" t="s">
        <v>66</v>
      </c>
      <c r="B70" s="11">
        <v>1550</v>
      </c>
      <c r="D70" s="37"/>
      <c r="E70" s="22"/>
    </row>
    <row r="71" spans="1:5" x14ac:dyDescent="0.25">
      <c r="A71" s="10" t="s">
        <v>67</v>
      </c>
      <c r="B71" s="6">
        <v>421</v>
      </c>
      <c r="D71" s="37"/>
      <c r="E71" s="22"/>
    </row>
    <row r="72" spans="1:5" x14ac:dyDescent="0.25">
      <c r="A72" s="10" t="s">
        <v>68</v>
      </c>
      <c r="B72" s="6">
        <v>177</v>
      </c>
      <c r="D72" s="37"/>
      <c r="E72" s="22"/>
    </row>
    <row r="73" spans="1:5" x14ac:dyDescent="0.25">
      <c r="A73" s="10" t="s">
        <v>69</v>
      </c>
      <c r="B73" s="11">
        <v>10413</v>
      </c>
      <c r="D73" s="37"/>
      <c r="E73" s="22"/>
    </row>
    <row r="74" spans="1:5" x14ac:dyDescent="0.25">
      <c r="A74" s="10" t="s">
        <v>70</v>
      </c>
      <c r="B74" s="11">
        <v>4275</v>
      </c>
      <c r="D74" s="37"/>
      <c r="E74" s="22"/>
    </row>
    <row r="75" spans="1:5" x14ac:dyDescent="0.25">
      <c r="A75" s="10" t="s">
        <v>71</v>
      </c>
      <c r="B75" s="11">
        <v>2572</v>
      </c>
      <c r="D75" s="37"/>
      <c r="E75" s="22"/>
    </row>
    <row r="76" spans="1:5" x14ac:dyDescent="0.25">
      <c r="A76" s="10" t="s">
        <v>72</v>
      </c>
      <c r="B76" s="11">
        <v>2727</v>
      </c>
      <c r="D76" s="37"/>
      <c r="E76" s="22"/>
    </row>
    <row r="77" spans="1:5" x14ac:dyDescent="0.25">
      <c r="A77" s="10" t="s">
        <v>73</v>
      </c>
      <c r="B77" s="11">
        <v>2433</v>
      </c>
      <c r="D77" s="37"/>
      <c r="E77" s="22"/>
    </row>
    <row r="78" spans="1:5" x14ac:dyDescent="0.25">
      <c r="A78" s="10" t="s">
        <v>74</v>
      </c>
      <c r="B78" s="11">
        <v>1589</v>
      </c>
      <c r="D78" s="37"/>
      <c r="E78" s="22"/>
    </row>
    <row r="79" spans="1:5" x14ac:dyDescent="0.25">
      <c r="A79" s="10" t="s">
        <v>75</v>
      </c>
      <c r="B79" s="11">
        <v>4319</v>
      </c>
      <c r="D79" s="37"/>
      <c r="E79" s="22"/>
    </row>
    <row r="80" spans="1:5" x14ac:dyDescent="0.25">
      <c r="A80" s="10" t="s">
        <v>76</v>
      </c>
      <c r="B80" s="11">
        <v>2248</v>
      </c>
      <c r="D80" s="37"/>
      <c r="E80" s="22"/>
    </row>
    <row r="81" spans="1:5" x14ac:dyDescent="0.25">
      <c r="A81" s="10" t="s">
        <v>77</v>
      </c>
      <c r="B81" s="11">
        <v>2278</v>
      </c>
      <c r="D81" s="37"/>
      <c r="E81" s="22"/>
    </row>
    <row r="82" spans="1:5" x14ac:dyDescent="0.25">
      <c r="A82" s="10" t="s">
        <v>78</v>
      </c>
      <c r="B82" s="11">
        <v>3298</v>
      </c>
      <c r="D82" s="37"/>
      <c r="E82" s="22"/>
    </row>
    <row r="83" spans="1:5" x14ac:dyDescent="0.25">
      <c r="A83" s="10" t="s">
        <v>79</v>
      </c>
      <c r="B83" s="11">
        <v>11316</v>
      </c>
      <c r="D83" s="37"/>
      <c r="E83" s="22"/>
    </row>
    <row r="84" spans="1:5" x14ac:dyDescent="0.25">
      <c r="A84" s="10" t="s">
        <v>80</v>
      </c>
      <c r="B84" s="11">
        <v>4008</v>
      </c>
      <c r="D84" s="37"/>
      <c r="E84" s="22"/>
    </row>
    <row r="85" spans="1:5" x14ac:dyDescent="0.25">
      <c r="A85" s="10" t="s">
        <v>81</v>
      </c>
      <c r="B85" s="11">
        <v>1226</v>
      </c>
      <c r="D85" s="37"/>
      <c r="E85" s="22"/>
    </row>
    <row r="86" spans="1:5" ht="13" x14ac:dyDescent="0.25">
      <c r="A86" s="9" t="s">
        <v>82</v>
      </c>
      <c r="B86" s="12">
        <v>57509</v>
      </c>
      <c r="D86" s="37"/>
      <c r="E86" s="22"/>
    </row>
    <row r="87" spans="1:5" ht="13" x14ac:dyDescent="0.25">
      <c r="A87" s="9" t="s">
        <v>83</v>
      </c>
      <c r="B87" s="6" t="s">
        <v>6</v>
      </c>
      <c r="D87" s="37"/>
      <c r="E87" s="22"/>
    </row>
    <row r="88" spans="1:5" x14ac:dyDescent="0.25">
      <c r="A88" s="10" t="s">
        <v>84</v>
      </c>
      <c r="B88" s="6">
        <v>451</v>
      </c>
      <c r="D88" s="37"/>
      <c r="E88" s="22"/>
    </row>
    <row r="89" spans="1:5" x14ac:dyDescent="0.25">
      <c r="A89" s="10" t="s">
        <v>85</v>
      </c>
      <c r="B89" s="11">
        <v>3495</v>
      </c>
      <c r="D89" s="37"/>
      <c r="E89" s="22"/>
    </row>
    <row r="90" spans="1:5" x14ac:dyDescent="0.25">
      <c r="A90" s="10" t="s">
        <v>86</v>
      </c>
      <c r="B90" s="11">
        <v>18734</v>
      </c>
      <c r="D90" s="37"/>
      <c r="E90" s="22"/>
    </row>
    <row r="91" spans="1:5" x14ac:dyDescent="0.25">
      <c r="A91" s="10" t="s">
        <v>87</v>
      </c>
      <c r="B91" s="11">
        <v>2936</v>
      </c>
      <c r="D91" s="37"/>
      <c r="E91" s="22"/>
    </row>
    <row r="92" spans="1:5" x14ac:dyDescent="0.25">
      <c r="A92" s="10" t="s">
        <v>88</v>
      </c>
      <c r="B92" s="6">
        <v>619</v>
      </c>
      <c r="D92" s="37"/>
      <c r="E92" s="22"/>
    </row>
    <row r="93" spans="1:5" x14ac:dyDescent="0.25">
      <c r="A93" s="10" t="s">
        <v>89</v>
      </c>
      <c r="B93" s="6">
        <v>915</v>
      </c>
      <c r="D93" s="37"/>
      <c r="E93" s="22"/>
    </row>
    <row r="94" spans="1:5" x14ac:dyDescent="0.25">
      <c r="A94" s="10" t="s">
        <v>90</v>
      </c>
      <c r="B94" s="6">
        <v>794</v>
      </c>
      <c r="D94" s="37"/>
      <c r="E94" s="22"/>
    </row>
    <row r="95" spans="1:5" x14ac:dyDescent="0.25">
      <c r="A95" s="10" t="s">
        <v>91</v>
      </c>
      <c r="B95" s="11">
        <v>1606</v>
      </c>
      <c r="D95" s="37"/>
      <c r="E95" s="22"/>
    </row>
    <row r="96" spans="1:5" x14ac:dyDescent="0.25">
      <c r="A96" s="10" t="s">
        <v>92</v>
      </c>
      <c r="B96" s="11">
        <v>1459</v>
      </c>
      <c r="D96" s="37"/>
      <c r="E96" s="22"/>
    </row>
    <row r="97" spans="1:5" x14ac:dyDescent="0.25">
      <c r="A97" s="10" t="s">
        <v>93</v>
      </c>
      <c r="B97" s="11">
        <v>2367</v>
      </c>
      <c r="D97" s="37"/>
      <c r="E97" s="22"/>
    </row>
    <row r="98" spans="1:5" x14ac:dyDescent="0.25">
      <c r="A98" s="10" t="s">
        <v>94</v>
      </c>
      <c r="B98" s="11">
        <v>1357</v>
      </c>
      <c r="D98" s="37"/>
      <c r="E98" s="22"/>
    </row>
    <row r="99" spans="1:5" x14ac:dyDescent="0.25">
      <c r="A99" s="10" t="s">
        <v>95</v>
      </c>
      <c r="B99" s="11">
        <v>3512</v>
      </c>
      <c r="D99" s="37"/>
      <c r="E99" s="22"/>
    </row>
    <row r="100" spans="1:5" x14ac:dyDescent="0.25">
      <c r="A100" s="10" t="s">
        <v>96</v>
      </c>
      <c r="B100" s="6">
        <v>464</v>
      </c>
      <c r="D100" s="37"/>
      <c r="E100" s="22"/>
    </row>
    <row r="101" spans="1:5" ht="13" x14ac:dyDescent="0.25">
      <c r="A101" s="10" t="s">
        <v>50</v>
      </c>
      <c r="B101" s="12">
        <v>38709</v>
      </c>
      <c r="D101" s="37"/>
      <c r="E101" s="22"/>
    </row>
    <row r="102" spans="1:5" ht="13" x14ac:dyDescent="0.25">
      <c r="A102" s="9" t="s">
        <v>82</v>
      </c>
      <c r="B102" s="12">
        <v>154444</v>
      </c>
      <c r="D102" s="37"/>
      <c r="E102" s="22"/>
    </row>
    <row r="103" spans="1:5" ht="33.75" customHeight="1" x14ac:dyDescent="0.25">
      <c r="A103" s="60" t="s">
        <v>97</v>
      </c>
      <c r="B103" s="22"/>
      <c r="C103" s="22"/>
      <c r="D103" s="37"/>
      <c r="E103" s="22"/>
    </row>
    <row r="104" spans="1:5" x14ac:dyDescent="0.25">
      <c r="A104" s="32"/>
      <c r="B104" s="22"/>
      <c r="C104" s="22"/>
      <c r="D104" s="37"/>
      <c r="E104" s="22"/>
    </row>
    <row r="105" spans="1:5" x14ac:dyDescent="0.25">
      <c r="A105" s="32"/>
      <c r="B105" s="22"/>
      <c r="C105" s="22"/>
      <c r="D105" s="37"/>
      <c r="E105" s="22"/>
    </row>
    <row r="106" spans="1:5" ht="25.5" customHeight="1" x14ac:dyDescent="0.25">
      <c r="A106" s="57" t="s">
        <v>98</v>
      </c>
      <c r="D106" s="37"/>
      <c r="E106" s="22"/>
    </row>
    <row r="107" spans="1:5" x14ac:dyDescent="0.25">
      <c r="A107" s="31"/>
      <c r="D107" s="37"/>
      <c r="E107" s="22"/>
    </row>
    <row r="108" spans="1:5" ht="40.5" x14ac:dyDescent="0.25">
      <c r="A108" s="13" t="s">
        <v>99</v>
      </c>
      <c r="D108" s="37"/>
      <c r="E108" s="22"/>
    </row>
    <row r="109" spans="1:5" x14ac:dyDescent="0.25">
      <c r="A109" s="2"/>
      <c r="D109" s="37"/>
      <c r="E109" s="22"/>
    </row>
    <row r="110" spans="1:5" x14ac:dyDescent="0.25">
      <c r="A110" s="32"/>
      <c r="B110" s="22"/>
      <c r="C110" s="22"/>
      <c r="D110" s="37"/>
      <c r="E110" s="22"/>
    </row>
    <row r="111" spans="1:5" x14ac:dyDescent="0.25">
      <c r="A111" s="32"/>
      <c r="B111" s="22"/>
      <c r="C111" s="22"/>
      <c r="D111" s="37"/>
      <c r="E111" s="22"/>
    </row>
    <row r="112" spans="1:5" ht="25" x14ac:dyDescent="0.25">
      <c r="A112" s="14" t="s">
        <v>100</v>
      </c>
      <c r="B112" s="14" t="s">
        <v>102</v>
      </c>
      <c r="C112" s="14" t="s">
        <v>103</v>
      </c>
      <c r="D112" s="37"/>
      <c r="E112" s="22"/>
    </row>
    <row r="113" spans="1:8" ht="37.5" x14ac:dyDescent="0.25">
      <c r="A113" s="14" t="s">
        <v>101</v>
      </c>
      <c r="B113" s="14" t="s">
        <v>33</v>
      </c>
      <c r="C113" s="14" t="s">
        <v>104</v>
      </c>
      <c r="D113" s="37"/>
      <c r="E113" s="22"/>
    </row>
    <row r="114" spans="1:8" x14ac:dyDescent="0.25">
      <c r="A114" s="32"/>
      <c r="B114" s="22"/>
      <c r="C114" s="22"/>
      <c r="D114" s="22"/>
      <c r="E114" s="22"/>
      <c r="F114" s="22"/>
      <c r="G114" s="22"/>
      <c r="H114" s="22"/>
    </row>
    <row r="115" spans="1:8" ht="12.75" customHeight="1" x14ac:dyDescent="0.3">
      <c r="A115" s="29"/>
      <c r="B115" s="22"/>
      <c r="C115" s="22"/>
      <c r="D115" s="33" t="s">
        <v>126</v>
      </c>
      <c r="E115" s="22"/>
    </row>
    <row r="116" spans="1:8" x14ac:dyDescent="0.25">
      <c r="A116" s="29"/>
      <c r="B116" s="22"/>
      <c r="C116" s="22"/>
      <c r="D116" s="22"/>
      <c r="E116" s="22"/>
    </row>
    <row r="117" spans="1:8" ht="25" x14ac:dyDescent="0.25">
      <c r="A117" s="35" t="s">
        <v>127</v>
      </c>
      <c r="B117" s="22"/>
      <c r="C117" s="22"/>
      <c r="D117" s="31"/>
      <c r="E117" s="22"/>
      <c r="F117" s="30"/>
      <c r="G117" s="31"/>
      <c r="H117" s="15" t="s">
        <v>131</v>
      </c>
    </row>
    <row r="118" spans="1:8" ht="72" x14ac:dyDescent="0.25">
      <c r="A118" s="35" t="s">
        <v>128</v>
      </c>
      <c r="B118" s="22"/>
      <c r="C118" s="22"/>
      <c r="D118" s="31"/>
      <c r="E118" s="22"/>
      <c r="F118" s="30"/>
      <c r="G118" s="31"/>
      <c r="H118" s="16" t="s">
        <v>132</v>
      </c>
    </row>
    <row r="119" spans="1:8" ht="12.75" customHeight="1" x14ac:dyDescent="0.25">
      <c r="A119" s="34" t="s">
        <v>6</v>
      </c>
      <c r="B119" s="22"/>
      <c r="C119" s="22"/>
      <c r="D119" s="31"/>
      <c r="E119" s="22"/>
      <c r="F119" s="30"/>
      <c r="G119" s="31"/>
      <c r="H119" s="15" t="s">
        <v>133</v>
      </c>
    </row>
    <row r="120" spans="1:8" ht="12.75" customHeight="1" x14ac:dyDescent="0.25">
      <c r="A120" s="36" t="s">
        <v>129</v>
      </c>
      <c r="B120" s="22"/>
      <c r="C120" s="22"/>
      <c r="D120" s="31"/>
      <c r="E120" s="22"/>
      <c r="F120" s="30"/>
      <c r="G120" s="31"/>
      <c r="H120" s="17"/>
    </row>
    <row r="121" spans="1:8" ht="12.75" customHeight="1" x14ac:dyDescent="0.25">
      <c r="A121" s="36" t="s">
        <v>130</v>
      </c>
      <c r="B121" s="22"/>
      <c r="C121" s="22"/>
      <c r="D121" s="31"/>
      <c r="E121" s="22"/>
      <c r="F121" s="30"/>
      <c r="G121" s="31"/>
      <c r="H121" s="16" t="s">
        <v>134</v>
      </c>
    </row>
    <row r="122" spans="1:8" ht="25" x14ac:dyDescent="0.25">
      <c r="A122" s="34"/>
      <c r="B122" s="22"/>
      <c r="C122" s="22"/>
      <c r="D122" s="31"/>
      <c r="E122" s="22"/>
      <c r="F122" s="30"/>
      <c r="G122" s="31"/>
      <c r="H122" s="15" t="s">
        <v>135</v>
      </c>
    </row>
    <row r="123" spans="1:8" x14ac:dyDescent="0.25">
      <c r="A123" s="34"/>
      <c r="B123" s="22"/>
      <c r="C123" s="22"/>
      <c r="D123" s="31"/>
      <c r="E123" s="22"/>
      <c r="F123" s="30"/>
      <c r="G123" s="31"/>
      <c r="H123" s="16" t="s">
        <v>136</v>
      </c>
    </row>
    <row r="124" spans="1:8" x14ac:dyDescent="0.25">
      <c r="A124" s="34"/>
      <c r="B124" s="22"/>
      <c r="C124" s="22"/>
      <c r="D124" s="31"/>
      <c r="E124" s="22"/>
      <c r="F124" s="30"/>
      <c r="G124" s="31"/>
      <c r="H124" s="17"/>
    </row>
    <row r="125" spans="1:8" x14ac:dyDescent="0.25">
      <c r="A125" s="34"/>
      <c r="B125" s="22"/>
      <c r="C125" s="22"/>
      <c r="D125" s="31"/>
      <c r="E125" s="22"/>
      <c r="F125" s="30"/>
      <c r="G125" s="31"/>
      <c r="H125" s="15" t="s">
        <v>137</v>
      </c>
    </row>
    <row r="126" spans="1:8" ht="27" x14ac:dyDescent="0.25">
      <c r="A126" s="34"/>
      <c r="B126" s="22"/>
      <c r="C126" s="22"/>
      <c r="D126" s="31"/>
      <c r="E126" s="22"/>
      <c r="F126" s="30"/>
      <c r="G126" s="31"/>
      <c r="H126" s="16" t="s">
        <v>138</v>
      </c>
    </row>
    <row r="127" spans="1:8" x14ac:dyDescent="0.25">
      <c r="A127" s="34"/>
      <c r="B127" s="22"/>
      <c r="C127" s="22"/>
      <c r="D127" s="31"/>
      <c r="E127" s="22"/>
      <c r="F127" s="30"/>
      <c r="G127" s="31"/>
      <c r="H127" s="17"/>
    </row>
    <row r="128" spans="1:8" ht="62.5" x14ac:dyDescent="0.25">
      <c r="A128" s="34"/>
      <c r="B128" s="22"/>
      <c r="C128" s="22"/>
      <c r="D128" s="31"/>
      <c r="E128" s="22"/>
      <c r="F128" s="30"/>
      <c r="G128" s="31"/>
      <c r="H128" s="15" t="s">
        <v>139</v>
      </c>
    </row>
    <row r="129" spans="1:8" x14ac:dyDescent="0.25">
      <c r="A129" s="34"/>
      <c r="B129" s="22"/>
      <c r="C129" s="22"/>
      <c r="D129" s="31"/>
      <c r="E129" s="22"/>
      <c r="F129" s="30"/>
      <c r="G129" s="31"/>
      <c r="H129" s="17"/>
    </row>
    <row r="130" spans="1:8" ht="25" x14ac:dyDescent="0.25">
      <c r="A130" s="34"/>
      <c r="B130" s="22"/>
      <c r="C130" s="22"/>
      <c r="D130" s="31"/>
      <c r="E130" s="22"/>
      <c r="F130" s="30"/>
      <c r="G130" s="31"/>
      <c r="H130" s="15" t="s">
        <v>140</v>
      </c>
    </row>
    <row r="131" spans="1:8" ht="36" x14ac:dyDescent="0.25">
      <c r="A131" s="34"/>
      <c r="B131" s="22"/>
      <c r="C131" s="22"/>
      <c r="D131" s="31"/>
      <c r="E131" s="22"/>
      <c r="F131" s="30"/>
      <c r="G131" s="31"/>
      <c r="H131" s="16" t="s">
        <v>141</v>
      </c>
    </row>
    <row r="132" spans="1:8" x14ac:dyDescent="0.25">
      <c r="A132" s="34"/>
      <c r="B132" s="22"/>
      <c r="C132" s="22"/>
      <c r="D132" s="31"/>
      <c r="E132" s="22"/>
      <c r="F132" s="30"/>
      <c r="G132" s="31"/>
      <c r="H132" s="17"/>
    </row>
    <row r="133" spans="1:8" ht="37.5" x14ac:dyDescent="0.25">
      <c r="A133" s="34"/>
      <c r="B133" s="22"/>
      <c r="C133" s="22"/>
      <c r="D133" s="31"/>
      <c r="E133" s="22"/>
      <c r="F133" s="30"/>
      <c r="G133" s="31"/>
      <c r="H133" s="15" t="s">
        <v>142</v>
      </c>
    </row>
    <row r="134" spans="1:8" x14ac:dyDescent="0.25">
      <c r="A134" s="34"/>
      <c r="B134" s="22"/>
      <c r="C134" s="22"/>
      <c r="D134" s="31"/>
      <c r="E134" s="22"/>
      <c r="F134" s="30"/>
      <c r="G134" s="31"/>
      <c r="H134" s="17"/>
    </row>
    <row r="135" spans="1:8" ht="25" x14ac:dyDescent="0.25">
      <c r="A135" s="34"/>
      <c r="B135" s="22"/>
      <c r="C135" s="22"/>
      <c r="D135" s="31"/>
      <c r="E135" s="22"/>
      <c r="F135" s="30"/>
      <c r="G135" s="31"/>
      <c r="H135" s="15" t="s">
        <v>143</v>
      </c>
    </row>
    <row r="136" spans="1:8" x14ac:dyDescent="0.25">
      <c r="A136" s="32"/>
      <c r="B136" s="22"/>
      <c r="C136" s="22"/>
      <c r="D136" s="22"/>
      <c r="E136" s="22"/>
      <c r="F136" s="22"/>
      <c r="G136" s="22"/>
      <c r="H136" s="22"/>
    </row>
    <row r="137" spans="1:8" ht="12.75" customHeight="1" x14ac:dyDescent="0.3">
      <c r="A137" s="29"/>
      <c r="B137" s="22"/>
      <c r="C137" s="22"/>
      <c r="D137" s="33" t="s">
        <v>144</v>
      </c>
      <c r="E137" s="22"/>
    </row>
    <row r="138" spans="1:8" x14ac:dyDescent="0.25">
      <c r="A138" s="29"/>
      <c r="B138" s="22"/>
      <c r="C138" s="22"/>
      <c r="D138" s="22"/>
      <c r="E138" s="22"/>
    </row>
    <row r="139" spans="1:8" ht="12.75" customHeight="1" x14ac:dyDescent="0.25">
      <c r="A139" s="26" t="s">
        <v>7</v>
      </c>
      <c r="B139" s="22"/>
      <c r="C139" s="22"/>
      <c r="D139" s="22"/>
      <c r="E139" s="22"/>
    </row>
    <row r="140" spans="1:8" x14ac:dyDescent="0.25">
      <c r="A140" s="25" t="s">
        <v>145</v>
      </c>
      <c r="B140" s="22"/>
      <c r="C140" s="22"/>
      <c r="D140" s="22"/>
      <c r="E140" s="22"/>
    </row>
    <row r="141" spans="1:8" ht="12.75" customHeight="1" x14ac:dyDescent="0.25">
      <c r="A141" s="26" t="s">
        <v>146</v>
      </c>
      <c r="B141" s="22"/>
      <c r="C141" s="22"/>
      <c r="D141" s="22"/>
      <c r="E141" s="22"/>
    </row>
    <row r="142" spans="1:8" x14ac:dyDescent="0.25">
      <c r="A142" s="25" t="s">
        <v>145</v>
      </c>
      <c r="B142" s="22"/>
      <c r="C142" s="22"/>
      <c r="D142" s="22"/>
      <c r="E142" s="22"/>
    </row>
    <row r="143" spans="1:8" ht="12.75" customHeight="1" x14ac:dyDescent="0.25">
      <c r="A143" s="26" t="s">
        <v>12</v>
      </c>
      <c r="B143" s="22"/>
      <c r="C143" s="22"/>
      <c r="D143" s="22"/>
      <c r="E143" s="22"/>
    </row>
    <row r="144" spans="1:8" x14ac:dyDescent="0.25">
      <c r="A144" s="25" t="s">
        <v>145</v>
      </c>
      <c r="B144" s="22"/>
      <c r="C144" s="22"/>
      <c r="D144" s="22"/>
      <c r="E144" s="22"/>
    </row>
    <row r="145" spans="1:5" ht="12.75" customHeight="1" x14ac:dyDescent="0.25">
      <c r="A145" s="26" t="s">
        <v>15</v>
      </c>
      <c r="B145" s="22"/>
      <c r="C145" s="22"/>
      <c r="D145" s="22"/>
      <c r="E145" s="22"/>
    </row>
    <row r="146" spans="1:5" x14ac:dyDescent="0.25">
      <c r="A146" s="25" t="s">
        <v>145</v>
      </c>
      <c r="B146" s="22"/>
      <c r="C146" s="22"/>
      <c r="D146" s="22"/>
      <c r="E146" s="22"/>
    </row>
    <row r="147" spans="1:5" ht="12.75" customHeight="1" x14ac:dyDescent="0.25">
      <c r="A147" s="26" t="s">
        <v>16</v>
      </c>
      <c r="B147" s="22"/>
      <c r="C147" s="22"/>
      <c r="D147" s="22"/>
      <c r="E147" s="22"/>
    </row>
    <row r="148" spans="1:5" x14ac:dyDescent="0.25">
      <c r="A148" s="25" t="s">
        <v>145</v>
      </c>
      <c r="B148" s="22"/>
      <c r="C148" s="22"/>
      <c r="D148" s="22"/>
      <c r="E148" s="22"/>
    </row>
    <row r="149" spans="1:5" ht="12.75" customHeight="1" x14ac:dyDescent="0.25">
      <c r="A149" s="26" t="s">
        <v>14</v>
      </c>
      <c r="B149" s="22"/>
      <c r="C149" s="22"/>
      <c r="D149" s="22"/>
      <c r="E149" s="22"/>
    </row>
    <row r="150" spans="1:5" x14ac:dyDescent="0.25">
      <c r="A150" s="25" t="s">
        <v>145</v>
      </c>
      <c r="B150" s="22"/>
      <c r="C150" s="22"/>
      <c r="D150" s="22"/>
      <c r="E150" s="22"/>
    </row>
    <row r="151" spans="1:5" ht="12.75" customHeight="1" x14ac:dyDescent="0.25">
      <c r="A151" s="26" t="s">
        <v>13</v>
      </c>
      <c r="B151" s="22"/>
      <c r="C151" s="22"/>
      <c r="D151" s="22"/>
      <c r="E151" s="22"/>
    </row>
    <row r="152" spans="1:5" x14ac:dyDescent="0.25">
      <c r="A152" s="25" t="s">
        <v>145</v>
      </c>
      <c r="B152" s="22"/>
      <c r="C152" s="22"/>
      <c r="D152" s="22"/>
      <c r="E152" s="22"/>
    </row>
    <row r="153" spans="1:5" ht="12.75" customHeight="1" x14ac:dyDescent="0.25">
      <c r="A153" s="26" t="s">
        <v>17</v>
      </c>
      <c r="B153" s="22"/>
      <c r="C153" s="22"/>
      <c r="D153" s="22"/>
      <c r="E153" s="22"/>
    </row>
    <row r="154" spans="1:5" x14ac:dyDescent="0.25">
      <c r="A154" s="25" t="s">
        <v>145</v>
      </c>
      <c r="B154" s="22"/>
      <c r="C154" s="22"/>
      <c r="D154" s="22"/>
      <c r="E154" s="22"/>
    </row>
    <row r="155" spans="1:5" ht="12.75" customHeight="1" x14ac:dyDescent="0.25">
      <c r="A155" s="26" t="s">
        <v>19</v>
      </c>
      <c r="B155" s="22"/>
      <c r="C155" s="22"/>
      <c r="D155" s="22"/>
      <c r="E155" s="22"/>
    </row>
    <row r="156" spans="1:5" x14ac:dyDescent="0.25">
      <c r="A156" s="25" t="s">
        <v>145</v>
      </c>
      <c r="B156" s="22"/>
      <c r="C156" s="22"/>
      <c r="D156" s="22"/>
      <c r="E156" s="22"/>
    </row>
    <row r="157" spans="1:5" ht="12.75" customHeight="1" x14ac:dyDescent="0.25">
      <c r="A157" s="26" t="s">
        <v>18</v>
      </c>
      <c r="B157" s="22"/>
      <c r="C157" s="22"/>
      <c r="D157" s="22"/>
      <c r="E157" s="22"/>
    </row>
    <row r="158" spans="1:5" x14ac:dyDescent="0.25">
      <c r="A158" s="25" t="s">
        <v>145</v>
      </c>
      <c r="B158" s="22"/>
      <c r="C158" s="22"/>
      <c r="D158" s="22"/>
      <c r="E158" s="22"/>
    </row>
    <row r="159" spans="1:5" ht="12.75" customHeight="1" x14ac:dyDescent="0.25">
      <c r="A159" s="26" t="s">
        <v>20</v>
      </c>
      <c r="B159" s="22"/>
      <c r="C159" s="22"/>
      <c r="D159" s="22"/>
      <c r="E159" s="22"/>
    </row>
    <row r="160" spans="1:5" x14ac:dyDescent="0.25">
      <c r="A160" s="25" t="s">
        <v>145</v>
      </c>
      <c r="B160" s="22"/>
      <c r="C160" s="22"/>
      <c r="D160" s="22"/>
      <c r="E160" s="22"/>
    </row>
    <row r="161" spans="1:8" ht="12.75" customHeight="1" x14ac:dyDescent="0.25">
      <c r="A161" s="26" t="s">
        <v>21</v>
      </c>
      <c r="B161" s="22"/>
      <c r="C161" s="22"/>
      <c r="D161" s="22"/>
      <c r="E161" s="22"/>
    </row>
    <row r="162" spans="1:8" x14ac:dyDescent="0.25">
      <c r="A162" s="25" t="s">
        <v>145</v>
      </c>
      <c r="B162" s="22"/>
      <c r="C162" s="22"/>
      <c r="D162" s="22"/>
      <c r="E162" s="22"/>
    </row>
    <row r="163" spans="1:8" ht="12.75" customHeight="1" x14ac:dyDescent="0.25">
      <c r="A163" s="26" t="s">
        <v>147</v>
      </c>
      <c r="B163" s="22"/>
      <c r="C163" s="22"/>
      <c r="D163" s="22"/>
      <c r="E163" s="22"/>
    </row>
    <row r="164" spans="1:8" x14ac:dyDescent="0.25">
      <c r="A164" s="25" t="s">
        <v>145</v>
      </c>
      <c r="B164" s="22"/>
      <c r="C164" s="22"/>
      <c r="D164" s="22"/>
      <c r="E164" s="22"/>
    </row>
    <row r="165" spans="1:8" ht="12.75" customHeight="1" x14ac:dyDescent="0.25">
      <c r="A165" s="26" t="s">
        <v>148</v>
      </c>
      <c r="B165" s="22"/>
      <c r="C165" s="22"/>
      <c r="D165" s="22"/>
      <c r="E165" s="22"/>
    </row>
    <row r="166" spans="1:8" x14ac:dyDescent="0.25">
      <c r="A166" s="28"/>
      <c r="B166" s="22"/>
      <c r="C166" s="22"/>
      <c r="D166" s="22"/>
      <c r="E166" s="22"/>
    </row>
    <row r="167" spans="1:8" ht="12.75" customHeight="1" x14ac:dyDescent="0.25">
      <c r="A167" s="26" t="s">
        <v>107</v>
      </c>
      <c r="B167" s="22"/>
      <c r="C167" s="22"/>
      <c r="D167" s="22"/>
      <c r="E167" s="22"/>
    </row>
    <row r="168" spans="1:8" x14ac:dyDescent="0.25">
      <c r="A168" s="25" t="s">
        <v>145</v>
      </c>
      <c r="B168" s="22"/>
      <c r="C168" s="22"/>
      <c r="D168" s="22"/>
      <c r="E168" s="22"/>
    </row>
    <row r="169" spans="1:8" ht="12.75" customHeight="1" x14ac:dyDescent="0.25">
      <c r="A169" s="26" t="s">
        <v>149</v>
      </c>
      <c r="B169" s="22"/>
      <c r="C169" s="22"/>
      <c r="D169" s="22"/>
      <c r="E169" s="22"/>
    </row>
    <row r="170" spans="1:8" x14ac:dyDescent="0.25">
      <c r="A170" s="25" t="s">
        <v>145</v>
      </c>
      <c r="B170" s="22"/>
      <c r="C170" s="22"/>
      <c r="D170" s="22"/>
      <c r="E170" s="22"/>
    </row>
    <row r="171" spans="1:8" ht="12.75" customHeight="1" x14ac:dyDescent="0.25">
      <c r="A171" s="26" t="s">
        <v>150</v>
      </c>
      <c r="B171" s="22"/>
      <c r="C171" s="22"/>
      <c r="D171" s="22"/>
      <c r="E171" s="22"/>
    </row>
    <row r="172" spans="1:8" x14ac:dyDescent="0.25">
      <c r="A172" s="25" t="s">
        <v>145</v>
      </c>
      <c r="B172" s="22"/>
      <c r="C172" s="22"/>
      <c r="D172" s="22"/>
      <c r="E172" s="22"/>
    </row>
    <row r="173" spans="1:8" ht="12.75" customHeight="1" x14ac:dyDescent="0.25">
      <c r="A173" s="27" t="s">
        <v>151</v>
      </c>
      <c r="B173" s="22"/>
      <c r="C173" s="22"/>
      <c r="D173" s="22"/>
      <c r="E173" s="22"/>
    </row>
    <row r="174" spans="1:8" x14ac:dyDescent="0.25">
      <c r="A174" s="21"/>
      <c r="B174" s="22"/>
      <c r="C174" s="22"/>
      <c r="D174" s="22"/>
      <c r="E174" s="22"/>
      <c r="F174" s="22"/>
      <c r="G174" s="22"/>
      <c r="H174" s="22"/>
    </row>
    <row r="175" spans="1:8" x14ac:dyDescent="0.25">
      <c r="A175" s="23" t="s">
        <v>152</v>
      </c>
      <c r="B175" s="22"/>
      <c r="C175" s="22"/>
      <c r="D175" s="22"/>
      <c r="E175" s="22"/>
      <c r="F175" s="22"/>
      <c r="G175" s="22"/>
      <c r="H175" s="22"/>
    </row>
    <row r="177" spans="1:13" ht="12.75" customHeight="1" x14ac:dyDescent="0.25">
      <c r="A177" s="24" t="s">
        <v>0</v>
      </c>
      <c r="B177" s="22"/>
      <c r="C177" s="22"/>
      <c r="D177" s="22"/>
      <c r="E177" s="22"/>
      <c r="F177" s="22"/>
      <c r="G177" s="22"/>
      <c r="H177" s="22"/>
      <c r="I177" s="22"/>
      <c r="J177" s="22"/>
      <c r="K177" s="22"/>
      <c r="L177" s="22"/>
      <c r="M177" s="22"/>
    </row>
    <row r="178" spans="1:13" x14ac:dyDescent="0.25">
      <c r="A178" t="s">
        <v>206</v>
      </c>
      <c r="B178" t="s">
        <v>207</v>
      </c>
      <c r="C178" t="s">
        <v>206</v>
      </c>
      <c r="D178" t="s">
        <v>205</v>
      </c>
      <c r="E178" t="s">
        <v>204</v>
      </c>
      <c r="F178" t="s">
        <v>253</v>
      </c>
      <c r="G178" t="s">
        <v>206</v>
      </c>
    </row>
    <row r="179" spans="1:13" x14ac:dyDescent="0.25">
      <c r="A179" s="10" t="s">
        <v>65</v>
      </c>
      <c r="B179" s="11">
        <v>2659</v>
      </c>
      <c r="C179" t="s">
        <v>153</v>
      </c>
      <c r="D179" s="1">
        <v>4253</v>
      </c>
      <c r="E179" s="18">
        <f>100*B179/D179/4</f>
        <v>15.630143428168351</v>
      </c>
      <c r="F179" s="19">
        <v>6.2</v>
      </c>
      <c r="G179" t="s">
        <v>208</v>
      </c>
      <c r="H179">
        <f>+F179*100</f>
        <v>620</v>
      </c>
    </row>
    <row r="180" spans="1:13" x14ac:dyDescent="0.25">
      <c r="A180" s="10" t="s">
        <v>84</v>
      </c>
      <c r="B180" s="6">
        <v>451</v>
      </c>
      <c r="C180" t="s">
        <v>154</v>
      </c>
      <c r="D180">
        <v>604</v>
      </c>
      <c r="E180" s="18">
        <f t="shared" ref="E180:E229" si="0">100*B180/D180/4</f>
        <v>18.667218543046356</v>
      </c>
      <c r="F180" s="19">
        <v>5.5</v>
      </c>
      <c r="G180" t="s">
        <v>209</v>
      </c>
      <c r="H180">
        <f t="shared" ref="H180:H229" si="1">+F180*100</f>
        <v>550</v>
      </c>
    </row>
    <row r="181" spans="1:13" x14ac:dyDescent="0.25">
      <c r="A181" s="10" t="s">
        <v>85</v>
      </c>
      <c r="B181" s="11">
        <v>3495</v>
      </c>
      <c r="C181" t="s">
        <v>155</v>
      </c>
      <c r="D181" s="1">
        <v>4218</v>
      </c>
      <c r="E181" s="18">
        <f t="shared" si="0"/>
        <v>20.714793741109531</v>
      </c>
      <c r="F181" s="19">
        <v>5.8</v>
      </c>
      <c r="G181" t="s">
        <v>210</v>
      </c>
      <c r="H181">
        <f t="shared" si="1"/>
        <v>580</v>
      </c>
    </row>
    <row r="182" spans="1:13" x14ac:dyDescent="0.25">
      <c r="A182" s="10" t="s">
        <v>66</v>
      </c>
      <c r="B182" s="11">
        <v>1550</v>
      </c>
      <c r="C182" t="s">
        <v>156</v>
      </c>
      <c r="D182" s="1">
        <v>2484</v>
      </c>
      <c r="E182" s="18">
        <f t="shared" si="0"/>
        <v>15.599838969404187</v>
      </c>
      <c r="F182">
        <v>7.1</v>
      </c>
      <c r="G182" t="s">
        <v>211</v>
      </c>
      <c r="H182">
        <f t="shared" si="1"/>
        <v>710</v>
      </c>
    </row>
    <row r="183" spans="1:13" x14ac:dyDescent="0.25">
      <c r="A183" s="10" t="s">
        <v>86</v>
      </c>
      <c r="B183" s="11">
        <v>18734</v>
      </c>
      <c r="C183" t="s">
        <v>157</v>
      </c>
      <c r="D183" s="1">
        <v>31589</v>
      </c>
      <c r="E183" s="18">
        <f t="shared" si="0"/>
        <v>14.826363607584918</v>
      </c>
      <c r="F183" s="20">
        <v>6</v>
      </c>
      <c r="G183" t="s">
        <v>212</v>
      </c>
      <c r="H183">
        <f t="shared" si="1"/>
        <v>600</v>
      </c>
    </row>
    <row r="184" spans="1:13" x14ac:dyDescent="0.25">
      <c r="A184" s="10" t="s">
        <v>87</v>
      </c>
      <c r="B184" s="11">
        <v>2936</v>
      </c>
      <c r="C184" t="s">
        <v>158</v>
      </c>
      <c r="D184" s="1">
        <v>3747</v>
      </c>
      <c r="E184" s="18">
        <f t="shared" si="0"/>
        <v>19.589004536962904</v>
      </c>
      <c r="F184" s="19">
        <v>5.0999999999999996</v>
      </c>
      <c r="G184" t="s">
        <v>213</v>
      </c>
      <c r="H184">
        <f t="shared" si="1"/>
        <v>509.99999999999994</v>
      </c>
    </row>
    <row r="185" spans="1:13" x14ac:dyDescent="0.25">
      <c r="A185" s="10" t="s">
        <v>41</v>
      </c>
      <c r="B185" s="11">
        <v>1553</v>
      </c>
      <c r="C185" t="s">
        <v>159</v>
      </c>
      <c r="D185" s="1">
        <v>3275</v>
      </c>
      <c r="E185" s="18">
        <f t="shared" si="0"/>
        <v>11.854961832061068</v>
      </c>
      <c r="F185" s="19">
        <v>2.8</v>
      </c>
      <c r="G185" t="s">
        <v>214</v>
      </c>
      <c r="H185">
        <f t="shared" si="1"/>
        <v>280</v>
      </c>
    </row>
    <row r="186" spans="1:13" x14ac:dyDescent="0.25">
      <c r="A186" s="10" t="s">
        <v>67</v>
      </c>
      <c r="B186" s="6">
        <v>421</v>
      </c>
      <c r="C186" t="s">
        <v>160</v>
      </c>
      <c r="D186">
        <v>717</v>
      </c>
      <c r="E186" s="18">
        <f t="shared" si="0"/>
        <v>14.679218967921896</v>
      </c>
      <c r="F186" s="19">
        <v>3.9</v>
      </c>
      <c r="G186" t="s">
        <v>215</v>
      </c>
      <c r="H186">
        <f t="shared" si="1"/>
        <v>390</v>
      </c>
    </row>
    <row r="187" spans="1:13" x14ac:dyDescent="0.25">
      <c r="A187" s="10" t="s">
        <v>68</v>
      </c>
      <c r="B187" s="6">
        <v>177</v>
      </c>
      <c r="C187" t="s">
        <v>161</v>
      </c>
      <c r="D187">
        <v>554</v>
      </c>
      <c r="E187" s="18">
        <f t="shared" si="0"/>
        <v>7.987364620938628</v>
      </c>
      <c r="F187" s="19">
        <v>4.8</v>
      </c>
      <c r="G187" t="s">
        <v>216</v>
      </c>
      <c r="H187">
        <f t="shared" si="1"/>
        <v>480</v>
      </c>
    </row>
    <row r="188" spans="1:13" x14ac:dyDescent="0.25">
      <c r="A188" s="10" t="s">
        <v>69</v>
      </c>
      <c r="B188" s="11">
        <v>10413</v>
      </c>
      <c r="C188" t="s">
        <v>162</v>
      </c>
      <c r="D188" s="1">
        <v>14166</v>
      </c>
      <c r="E188" s="18">
        <f t="shared" si="0"/>
        <v>18.376747141041932</v>
      </c>
      <c r="F188" s="19">
        <v>5.9</v>
      </c>
      <c r="G188" t="s">
        <v>217</v>
      </c>
      <c r="H188">
        <f t="shared" si="1"/>
        <v>590</v>
      </c>
    </row>
    <row r="189" spans="1:13" x14ac:dyDescent="0.25">
      <c r="A189" s="10" t="s">
        <v>70</v>
      </c>
      <c r="B189" s="11">
        <v>4275</v>
      </c>
      <c r="C189" t="s">
        <v>163</v>
      </c>
      <c r="D189" s="1">
        <v>7201</v>
      </c>
      <c r="E189" s="18">
        <f t="shared" si="0"/>
        <v>14.841688654353563</v>
      </c>
      <c r="F189" s="19">
        <v>5.2</v>
      </c>
      <c r="G189" t="s">
        <v>218</v>
      </c>
      <c r="H189">
        <f t="shared" si="1"/>
        <v>520</v>
      </c>
    </row>
    <row r="190" spans="1:13" x14ac:dyDescent="0.25">
      <c r="A190" s="10" t="s">
        <v>88</v>
      </c>
      <c r="B190" s="6">
        <v>619</v>
      </c>
      <c r="C190" t="s">
        <v>164</v>
      </c>
      <c r="D190" s="1">
        <v>1187</v>
      </c>
      <c r="E190" s="18">
        <f t="shared" si="0"/>
        <v>13.037068239258636</v>
      </c>
      <c r="F190" s="19">
        <v>4.2</v>
      </c>
      <c r="G190" t="s">
        <v>219</v>
      </c>
      <c r="H190">
        <f t="shared" si="1"/>
        <v>420</v>
      </c>
    </row>
    <row r="191" spans="1:13" x14ac:dyDescent="0.25">
      <c r="A191" s="10" t="s">
        <v>89</v>
      </c>
      <c r="B191" s="6">
        <v>915</v>
      </c>
      <c r="C191" t="s">
        <v>165</v>
      </c>
      <c r="D191" s="1">
        <v>1163</v>
      </c>
      <c r="E191" s="18">
        <f t="shared" si="0"/>
        <v>19.668959587274291</v>
      </c>
      <c r="F191" s="19">
        <v>6.2</v>
      </c>
      <c r="G191" t="s">
        <v>220</v>
      </c>
      <c r="H191">
        <f t="shared" si="1"/>
        <v>620</v>
      </c>
    </row>
    <row r="192" spans="1:13" x14ac:dyDescent="0.25">
      <c r="A192" s="10" t="s">
        <v>52</v>
      </c>
      <c r="B192" s="11">
        <v>5717</v>
      </c>
      <c r="C192" t="s">
        <v>166</v>
      </c>
      <c r="D192" s="1">
        <v>11830</v>
      </c>
      <c r="E192" s="18">
        <f t="shared" si="0"/>
        <v>12.081572273879965</v>
      </c>
      <c r="F192" s="19">
        <v>3.7</v>
      </c>
      <c r="G192" t="s">
        <v>221</v>
      </c>
      <c r="H192">
        <f t="shared" si="1"/>
        <v>370</v>
      </c>
    </row>
    <row r="193" spans="1:8" x14ac:dyDescent="0.25">
      <c r="A193" s="10" t="s">
        <v>53</v>
      </c>
      <c r="B193" s="11">
        <v>3575</v>
      </c>
      <c r="C193" t="s">
        <v>167</v>
      </c>
      <c r="D193" s="1">
        <v>5803</v>
      </c>
      <c r="E193" s="18">
        <f t="shared" si="0"/>
        <v>15.401516457004998</v>
      </c>
      <c r="F193" s="20">
        <v>8</v>
      </c>
      <c r="G193" t="s">
        <v>222</v>
      </c>
      <c r="H193">
        <f t="shared" si="1"/>
        <v>800</v>
      </c>
    </row>
    <row r="194" spans="1:8" x14ac:dyDescent="0.25">
      <c r="A194" s="10" t="s">
        <v>54</v>
      </c>
      <c r="B194" s="11">
        <v>1598</v>
      </c>
      <c r="C194" t="s">
        <v>168</v>
      </c>
      <c r="D194" s="1">
        <v>2842</v>
      </c>
      <c r="E194" s="18">
        <f t="shared" si="0"/>
        <v>14.057002111189304</v>
      </c>
      <c r="F194" s="19">
        <v>3.9</v>
      </c>
      <c r="G194" t="s">
        <v>223</v>
      </c>
      <c r="H194">
        <f t="shared" si="1"/>
        <v>390</v>
      </c>
    </row>
    <row r="195" spans="1:8" x14ac:dyDescent="0.25">
      <c r="A195" s="10" t="s">
        <v>55</v>
      </c>
      <c r="B195" s="11">
        <v>1546</v>
      </c>
      <c r="C195" t="s">
        <v>169</v>
      </c>
      <c r="D195" s="1">
        <v>2565</v>
      </c>
      <c r="E195" s="18">
        <f t="shared" si="0"/>
        <v>15.0682261208577</v>
      </c>
      <c r="F195" s="19">
        <v>4.7</v>
      </c>
      <c r="G195" t="s">
        <v>224</v>
      </c>
      <c r="H195">
        <f t="shared" si="1"/>
        <v>470</v>
      </c>
    </row>
    <row r="196" spans="1:8" x14ac:dyDescent="0.25">
      <c r="A196" s="10" t="s">
        <v>71</v>
      </c>
      <c r="B196" s="11">
        <v>2572</v>
      </c>
      <c r="C196" t="s">
        <v>170</v>
      </c>
      <c r="D196" s="1">
        <v>3860</v>
      </c>
      <c r="E196" s="18">
        <f t="shared" si="0"/>
        <v>16.6580310880829</v>
      </c>
      <c r="F196">
        <v>5.8</v>
      </c>
      <c r="G196" t="s">
        <v>225</v>
      </c>
      <c r="H196">
        <f t="shared" si="1"/>
        <v>580</v>
      </c>
    </row>
    <row r="197" spans="1:8" x14ac:dyDescent="0.25">
      <c r="A197" s="10" t="s">
        <v>72</v>
      </c>
      <c r="B197" s="11">
        <v>2727</v>
      </c>
      <c r="C197" t="s">
        <v>171</v>
      </c>
      <c r="D197" s="1">
        <v>4342</v>
      </c>
      <c r="E197" s="18">
        <f t="shared" si="0"/>
        <v>15.701289728235835</v>
      </c>
      <c r="F197" s="20">
        <v>6</v>
      </c>
      <c r="G197" t="s">
        <v>226</v>
      </c>
      <c r="H197">
        <f t="shared" si="1"/>
        <v>600</v>
      </c>
    </row>
    <row r="198" spans="1:8" x14ac:dyDescent="0.25">
      <c r="A198" s="10" t="s">
        <v>42</v>
      </c>
      <c r="B198" s="6">
        <v>838</v>
      </c>
      <c r="C198" t="s">
        <v>172</v>
      </c>
      <c r="D198" s="1">
        <v>1241</v>
      </c>
      <c r="E198" s="18">
        <f t="shared" si="0"/>
        <v>16.881547139403708</v>
      </c>
      <c r="F198" s="19">
        <v>4.4000000000000004</v>
      </c>
      <c r="G198" t="s">
        <v>227</v>
      </c>
      <c r="H198">
        <f t="shared" si="1"/>
        <v>440.00000000000006</v>
      </c>
    </row>
    <row r="199" spans="1:8" x14ac:dyDescent="0.25">
      <c r="A199" s="10" t="s">
        <v>73</v>
      </c>
      <c r="B199" s="11">
        <v>2433</v>
      </c>
      <c r="C199" t="s">
        <v>173</v>
      </c>
      <c r="D199" s="1">
        <v>5042</v>
      </c>
      <c r="E199" s="18">
        <f t="shared" si="0"/>
        <v>12.063665212217375</v>
      </c>
      <c r="F199" s="19">
        <v>3.5</v>
      </c>
      <c r="G199" t="s">
        <v>228</v>
      </c>
      <c r="H199">
        <f t="shared" si="1"/>
        <v>350</v>
      </c>
    </row>
    <row r="200" spans="1:8" x14ac:dyDescent="0.25">
      <c r="A200" s="10" t="s">
        <v>43</v>
      </c>
      <c r="B200" s="11">
        <v>2530</v>
      </c>
      <c r="C200" t="s">
        <v>174</v>
      </c>
      <c r="D200" s="1">
        <v>6074</v>
      </c>
      <c r="E200" s="18">
        <f t="shared" si="0"/>
        <v>10.413236746789595</v>
      </c>
      <c r="F200" s="19">
        <v>2.4</v>
      </c>
      <c r="G200" t="s">
        <v>229</v>
      </c>
      <c r="H200">
        <f t="shared" si="1"/>
        <v>240</v>
      </c>
    </row>
    <row r="201" spans="1:8" x14ac:dyDescent="0.25">
      <c r="A201" s="10" t="s">
        <v>56</v>
      </c>
      <c r="B201" s="11">
        <v>5403</v>
      </c>
      <c r="C201" t="s">
        <v>175</v>
      </c>
      <c r="D201" s="1">
        <v>9549</v>
      </c>
      <c r="E201" s="18">
        <f t="shared" si="0"/>
        <v>14.145460257618598</v>
      </c>
      <c r="F201" s="19">
        <v>4.0999999999999996</v>
      </c>
      <c r="G201" t="s">
        <v>230</v>
      </c>
      <c r="H201">
        <f t="shared" si="1"/>
        <v>409.99999999999994</v>
      </c>
    </row>
    <row r="202" spans="1:8" x14ac:dyDescent="0.25">
      <c r="A202" s="10" t="s">
        <v>57</v>
      </c>
      <c r="B202" s="11">
        <v>2562</v>
      </c>
      <c r="C202" t="s">
        <v>176</v>
      </c>
      <c r="D202" s="1">
        <v>4610</v>
      </c>
      <c r="E202" s="18">
        <f t="shared" si="0"/>
        <v>13.893709327548807</v>
      </c>
      <c r="F202" s="19">
        <v>3.6</v>
      </c>
      <c r="G202" t="s">
        <v>231</v>
      </c>
      <c r="H202">
        <f t="shared" si="1"/>
        <v>360</v>
      </c>
    </row>
    <row r="203" spans="1:8" x14ac:dyDescent="0.25">
      <c r="A203" s="10" t="s">
        <v>74</v>
      </c>
      <c r="B203" s="11">
        <v>1589</v>
      </c>
      <c r="C203" t="s">
        <v>177</v>
      </c>
      <c r="D203" s="1">
        <v>2697</v>
      </c>
      <c r="E203" s="18">
        <f t="shared" si="0"/>
        <v>14.729328883945124</v>
      </c>
      <c r="F203">
        <v>5.7</v>
      </c>
      <c r="G203" t="s">
        <v>232</v>
      </c>
      <c r="H203">
        <f t="shared" si="1"/>
        <v>570</v>
      </c>
    </row>
    <row r="204" spans="1:8" x14ac:dyDescent="0.25">
      <c r="A204" s="10" t="s">
        <v>58</v>
      </c>
      <c r="B204" s="11">
        <v>3448</v>
      </c>
      <c r="C204" t="s">
        <v>178</v>
      </c>
      <c r="D204" s="1">
        <v>5324</v>
      </c>
      <c r="E204" s="18">
        <f t="shared" si="0"/>
        <v>16.190833959429</v>
      </c>
      <c r="F204" s="19">
        <v>5</v>
      </c>
      <c r="G204" t="s">
        <v>233</v>
      </c>
      <c r="H204">
        <f t="shared" si="1"/>
        <v>500</v>
      </c>
    </row>
    <row r="205" spans="1:8" x14ac:dyDescent="0.25">
      <c r="A205" s="10" t="s">
        <v>90</v>
      </c>
      <c r="B205" s="6">
        <v>794</v>
      </c>
      <c r="C205" t="s">
        <v>179</v>
      </c>
      <c r="D205">
        <v>870</v>
      </c>
      <c r="E205" s="18">
        <f t="shared" si="0"/>
        <v>22.816091954022987</v>
      </c>
      <c r="F205" s="19">
        <v>4.9000000000000004</v>
      </c>
      <c r="G205" t="s">
        <v>234</v>
      </c>
      <c r="H205">
        <f t="shared" si="1"/>
        <v>490.00000000000006</v>
      </c>
    </row>
    <row r="206" spans="1:8" x14ac:dyDescent="0.25">
      <c r="A206" s="10" t="s">
        <v>59</v>
      </c>
      <c r="B206" s="6">
        <v>958</v>
      </c>
      <c r="C206" t="s">
        <v>180</v>
      </c>
      <c r="D206" s="1">
        <v>1637</v>
      </c>
      <c r="E206" s="18">
        <f t="shared" si="0"/>
        <v>14.630421502748931</v>
      </c>
      <c r="F206" s="19">
        <v>4</v>
      </c>
      <c r="G206" t="s">
        <v>235</v>
      </c>
      <c r="H206">
        <f t="shared" si="1"/>
        <v>400</v>
      </c>
    </row>
    <row r="207" spans="1:8" x14ac:dyDescent="0.25">
      <c r="A207" s="10" t="s">
        <v>91</v>
      </c>
      <c r="B207" s="11">
        <v>1606</v>
      </c>
      <c r="C207" t="s">
        <v>181</v>
      </c>
      <c r="D207" s="1">
        <v>1530</v>
      </c>
      <c r="E207" s="18">
        <f t="shared" si="0"/>
        <v>26.241830065359476</v>
      </c>
      <c r="F207" s="19">
        <v>9</v>
      </c>
      <c r="G207" t="s">
        <v>236</v>
      </c>
      <c r="H207">
        <f t="shared" si="1"/>
        <v>900</v>
      </c>
    </row>
    <row r="208" spans="1:8" x14ac:dyDescent="0.25">
      <c r="A208" s="10" t="s">
        <v>44</v>
      </c>
      <c r="B208" s="6">
        <v>697</v>
      </c>
      <c r="C208" t="s">
        <v>182</v>
      </c>
      <c r="D208" s="1">
        <v>1148</v>
      </c>
      <c r="E208" s="18">
        <f t="shared" si="0"/>
        <v>15.178571428571429</v>
      </c>
      <c r="F208" s="19">
        <v>4.4000000000000004</v>
      </c>
      <c r="G208" t="s">
        <v>237</v>
      </c>
      <c r="H208">
        <f t="shared" si="1"/>
        <v>440.00000000000006</v>
      </c>
    </row>
    <row r="209" spans="1:8" x14ac:dyDescent="0.25">
      <c r="A209" s="10" t="s">
        <v>45</v>
      </c>
      <c r="B209" s="11">
        <v>2729</v>
      </c>
      <c r="C209" t="s">
        <v>183</v>
      </c>
      <c r="D209" s="1">
        <v>7945</v>
      </c>
      <c r="E209" s="18">
        <f t="shared" si="0"/>
        <v>8.5871617369414732</v>
      </c>
      <c r="F209" s="19">
        <v>3</v>
      </c>
      <c r="G209" t="s">
        <v>183</v>
      </c>
      <c r="H209">
        <f t="shared" si="1"/>
        <v>300</v>
      </c>
    </row>
    <row r="210" spans="1:8" x14ac:dyDescent="0.25">
      <c r="A210" s="10" t="s">
        <v>92</v>
      </c>
      <c r="B210" s="11">
        <v>1459</v>
      </c>
      <c r="C210" t="s">
        <v>184</v>
      </c>
      <c r="D210" s="1">
        <v>1685</v>
      </c>
      <c r="E210" s="18">
        <f t="shared" si="0"/>
        <v>21.646884272997031</v>
      </c>
      <c r="F210">
        <v>6</v>
      </c>
      <c r="G210" t="s">
        <v>184</v>
      </c>
      <c r="H210">
        <f t="shared" si="1"/>
        <v>600</v>
      </c>
    </row>
    <row r="211" spans="1:8" x14ac:dyDescent="0.25">
      <c r="A211" s="10" t="s">
        <v>46</v>
      </c>
      <c r="B211" s="11">
        <v>7551</v>
      </c>
      <c r="C211" t="s">
        <v>185</v>
      </c>
      <c r="D211" s="1">
        <v>18136</v>
      </c>
      <c r="E211" s="18">
        <f t="shared" si="0"/>
        <v>10.408855315394796</v>
      </c>
      <c r="F211" s="19">
        <v>3.3</v>
      </c>
      <c r="G211" t="s">
        <v>238</v>
      </c>
      <c r="H211">
        <f t="shared" si="1"/>
        <v>330</v>
      </c>
    </row>
    <row r="212" spans="1:8" x14ac:dyDescent="0.25">
      <c r="A212" s="10" t="s">
        <v>75</v>
      </c>
      <c r="B212" s="11">
        <v>4319</v>
      </c>
      <c r="C212" t="s">
        <v>186</v>
      </c>
      <c r="D212" s="1">
        <v>7195</v>
      </c>
      <c r="E212" s="18">
        <f t="shared" si="0"/>
        <v>15.006949270326615</v>
      </c>
      <c r="F212" s="19">
        <v>5.0999999999999996</v>
      </c>
      <c r="G212" t="s">
        <v>186</v>
      </c>
      <c r="H212">
        <f t="shared" si="1"/>
        <v>509.99999999999994</v>
      </c>
    </row>
    <row r="213" spans="1:8" x14ac:dyDescent="0.25">
      <c r="A213" s="10" t="s">
        <v>60</v>
      </c>
      <c r="B213" s="6">
        <v>371</v>
      </c>
      <c r="C213" t="s">
        <v>187</v>
      </c>
      <c r="D213">
        <v>641</v>
      </c>
      <c r="E213" s="18">
        <f t="shared" si="0"/>
        <v>14.469578783151325</v>
      </c>
      <c r="F213" s="19">
        <v>3.4</v>
      </c>
      <c r="G213" t="s">
        <v>187</v>
      </c>
      <c r="H213">
        <f t="shared" si="1"/>
        <v>340</v>
      </c>
    </row>
    <row r="214" spans="1:8" x14ac:dyDescent="0.25">
      <c r="A214" s="10" t="s">
        <v>61</v>
      </c>
      <c r="B214" s="11">
        <v>5875</v>
      </c>
      <c r="C214" t="s">
        <v>188</v>
      </c>
      <c r="D214" s="1">
        <v>11151</v>
      </c>
      <c r="E214" s="18">
        <f t="shared" si="0"/>
        <v>13.171464442650883</v>
      </c>
      <c r="F214">
        <v>4.5</v>
      </c>
      <c r="G214" t="s">
        <v>239</v>
      </c>
      <c r="H214">
        <f t="shared" si="1"/>
        <v>450</v>
      </c>
    </row>
    <row r="215" spans="1:8" x14ac:dyDescent="0.25">
      <c r="A215" s="10" t="s">
        <v>76</v>
      </c>
      <c r="B215" s="11">
        <v>2248</v>
      </c>
      <c r="C215" t="s">
        <v>189</v>
      </c>
      <c r="D215" s="1">
        <v>3278</v>
      </c>
      <c r="E215" s="18">
        <f t="shared" si="0"/>
        <v>17.144600366076876</v>
      </c>
      <c r="F215" s="19">
        <v>6.7</v>
      </c>
      <c r="G215" t="s">
        <v>240</v>
      </c>
      <c r="H215">
        <f t="shared" si="1"/>
        <v>670</v>
      </c>
    </row>
    <row r="216" spans="1:8" x14ac:dyDescent="0.25">
      <c r="A216" s="10" t="s">
        <v>93</v>
      </c>
      <c r="B216" s="11">
        <v>2367</v>
      </c>
      <c r="C216" t="s">
        <v>190</v>
      </c>
      <c r="D216" s="1">
        <v>3141</v>
      </c>
      <c r="E216" s="18">
        <f t="shared" si="0"/>
        <v>18.839541547277936</v>
      </c>
      <c r="F216" s="19">
        <v>5.3</v>
      </c>
      <c r="G216" t="s">
        <v>241</v>
      </c>
      <c r="H216">
        <f t="shared" si="1"/>
        <v>530</v>
      </c>
    </row>
    <row r="217" spans="1:8" x14ac:dyDescent="0.25">
      <c r="A217" s="10" t="s">
        <v>47</v>
      </c>
      <c r="B217" s="11">
        <v>6976</v>
      </c>
      <c r="C217" t="s">
        <v>191</v>
      </c>
      <c r="D217" s="1">
        <v>12072</v>
      </c>
      <c r="E217" s="18">
        <f t="shared" si="0"/>
        <v>14.446653412856197</v>
      </c>
      <c r="F217" s="19">
        <v>3.3</v>
      </c>
      <c r="G217" t="s">
        <v>242</v>
      </c>
      <c r="H217">
        <f t="shared" si="1"/>
        <v>330</v>
      </c>
    </row>
    <row r="218" spans="1:8" x14ac:dyDescent="0.25">
      <c r="A218" s="10" t="s">
        <v>48</v>
      </c>
      <c r="B218" s="6">
        <v>454</v>
      </c>
      <c r="C218" t="s">
        <v>192</v>
      </c>
      <c r="D218">
        <v>990</v>
      </c>
      <c r="E218" s="18">
        <f t="shared" si="0"/>
        <v>11.464646464646465</v>
      </c>
      <c r="F218" s="19">
        <v>3.2</v>
      </c>
      <c r="G218" t="s">
        <v>243</v>
      </c>
      <c r="H218">
        <f t="shared" si="1"/>
        <v>320</v>
      </c>
    </row>
    <row r="219" spans="1:8" x14ac:dyDescent="0.25">
      <c r="A219" s="10" t="s">
        <v>77</v>
      </c>
      <c r="B219" s="11">
        <v>2278</v>
      </c>
      <c r="C219" t="s">
        <v>193</v>
      </c>
      <c r="D219" s="1">
        <v>3673</v>
      </c>
      <c r="E219" s="18">
        <f t="shared" si="0"/>
        <v>15.505036754696434</v>
      </c>
      <c r="F219" s="19">
        <v>4.2</v>
      </c>
      <c r="G219" t="s">
        <v>244</v>
      </c>
      <c r="H219">
        <f t="shared" si="1"/>
        <v>420</v>
      </c>
    </row>
    <row r="220" spans="1:8" x14ac:dyDescent="0.25">
      <c r="A220" s="10" t="s">
        <v>62</v>
      </c>
      <c r="B220" s="6">
        <v>479</v>
      </c>
      <c r="C220" t="s">
        <v>194</v>
      </c>
      <c r="D220">
        <v>729</v>
      </c>
      <c r="E220" s="18">
        <f t="shared" si="0"/>
        <v>16.426611796982169</v>
      </c>
      <c r="F220" s="19">
        <v>4.2</v>
      </c>
      <c r="G220" t="s">
        <v>194</v>
      </c>
      <c r="H220">
        <f t="shared" si="1"/>
        <v>420</v>
      </c>
    </row>
    <row r="221" spans="1:8" x14ac:dyDescent="0.25">
      <c r="A221" s="10" t="s">
        <v>78</v>
      </c>
      <c r="B221" s="11">
        <v>3298</v>
      </c>
      <c r="C221" t="s">
        <v>195</v>
      </c>
      <c r="D221" s="1">
        <v>5256</v>
      </c>
      <c r="E221" s="18">
        <f t="shared" si="0"/>
        <v>15.686834094368342</v>
      </c>
      <c r="F221" s="19">
        <v>6.6</v>
      </c>
      <c r="G221" t="s">
        <v>245</v>
      </c>
      <c r="H221">
        <f t="shared" si="1"/>
        <v>660</v>
      </c>
    </row>
    <row r="222" spans="1:8" x14ac:dyDescent="0.25">
      <c r="A222" s="10" t="s">
        <v>79</v>
      </c>
      <c r="B222" s="11">
        <v>11316</v>
      </c>
      <c r="C222" t="s">
        <v>196</v>
      </c>
      <c r="D222" s="1">
        <v>18724</v>
      </c>
      <c r="E222" s="18">
        <f t="shared" si="0"/>
        <v>15.10895107882931</v>
      </c>
      <c r="F222" s="19">
        <v>5.4</v>
      </c>
      <c r="G222" t="s">
        <v>246</v>
      </c>
      <c r="H222">
        <f t="shared" si="1"/>
        <v>540</v>
      </c>
    </row>
    <row r="223" spans="1:8" x14ac:dyDescent="0.25">
      <c r="A223" s="10" t="s">
        <v>94</v>
      </c>
      <c r="B223" s="11">
        <v>1357</v>
      </c>
      <c r="C223" t="s">
        <v>197</v>
      </c>
      <c r="D223" s="1">
        <v>1951</v>
      </c>
      <c r="E223" s="18">
        <f t="shared" si="0"/>
        <v>17.388518708354688</v>
      </c>
      <c r="F223" s="19">
        <v>4.7</v>
      </c>
      <c r="G223" t="s">
        <v>247</v>
      </c>
      <c r="H223">
        <f t="shared" si="1"/>
        <v>470</v>
      </c>
    </row>
    <row r="224" spans="1:8" x14ac:dyDescent="0.25">
      <c r="A224" s="10" t="s">
        <v>49</v>
      </c>
      <c r="B224" s="6">
        <v>406</v>
      </c>
      <c r="C224" t="s">
        <v>198</v>
      </c>
      <c r="D224">
        <v>585</v>
      </c>
      <c r="E224" s="18">
        <f t="shared" si="0"/>
        <v>17.350427350427349</v>
      </c>
      <c r="F224" s="19">
        <v>4</v>
      </c>
      <c r="G224" t="s">
        <v>248</v>
      </c>
      <c r="H224">
        <f t="shared" si="1"/>
        <v>400</v>
      </c>
    </row>
    <row r="225" spans="1:8" x14ac:dyDescent="0.25">
      <c r="A225" s="10" t="s">
        <v>80</v>
      </c>
      <c r="B225" s="11">
        <v>4008</v>
      </c>
      <c r="C225" t="s">
        <v>199</v>
      </c>
      <c r="D225" s="1">
        <v>6618</v>
      </c>
      <c r="E225" s="18">
        <f t="shared" si="0"/>
        <v>15.14052583862194</v>
      </c>
      <c r="F225" s="19">
        <v>4.5999999999999996</v>
      </c>
      <c r="G225" t="s">
        <v>249</v>
      </c>
      <c r="H225">
        <f t="shared" si="1"/>
        <v>459.99999999999994</v>
      </c>
    </row>
    <row r="226" spans="1:8" x14ac:dyDescent="0.25">
      <c r="A226" s="10" t="s">
        <v>95</v>
      </c>
      <c r="B226" s="11">
        <v>3512</v>
      </c>
      <c r="C226" t="s">
        <v>200</v>
      </c>
      <c r="D226" s="1">
        <v>5431</v>
      </c>
      <c r="E226" s="18">
        <f t="shared" si="0"/>
        <v>16.166451850487938</v>
      </c>
      <c r="F226" s="19">
        <v>5.6</v>
      </c>
      <c r="G226" t="s">
        <v>250</v>
      </c>
      <c r="H226">
        <f t="shared" si="1"/>
        <v>560</v>
      </c>
    </row>
    <row r="227" spans="1:8" x14ac:dyDescent="0.25">
      <c r="A227" s="10" t="s">
        <v>81</v>
      </c>
      <c r="B227" s="11">
        <v>1226</v>
      </c>
      <c r="C227" t="s">
        <v>201</v>
      </c>
      <c r="D227" s="1">
        <v>1828</v>
      </c>
      <c r="E227" s="18">
        <f t="shared" si="0"/>
        <v>16.76695842450766</v>
      </c>
      <c r="F227" s="19">
        <v>5</v>
      </c>
      <c r="G227" t="s">
        <v>201</v>
      </c>
      <c r="H227">
        <f t="shared" si="1"/>
        <v>500</v>
      </c>
    </row>
    <row r="228" spans="1:8" x14ac:dyDescent="0.25">
      <c r="A228" s="10" t="s">
        <v>63</v>
      </c>
      <c r="B228" s="11">
        <v>2960</v>
      </c>
      <c r="C228" t="s">
        <v>202</v>
      </c>
      <c r="D228" s="1">
        <v>5123</v>
      </c>
      <c r="E228" s="18">
        <f t="shared" si="0"/>
        <v>14.44466133125122</v>
      </c>
      <c r="F228" s="19">
        <v>3.4</v>
      </c>
      <c r="G228" t="s">
        <v>251</v>
      </c>
      <c r="H228">
        <f t="shared" si="1"/>
        <v>340</v>
      </c>
    </row>
    <row r="229" spans="1:8" x14ac:dyDescent="0.25">
      <c r="A229" s="10" t="s">
        <v>96</v>
      </c>
      <c r="B229" s="6">
        <v>464</v>
      </c>
      <c r="C229" t="s">
        <v>203</v>
      </c>
      <c r="D229">
        <v>480</v>
      </c>
      <c r="E229" s="18">
        <f t="shared" si="0"/>
        <v>24.166666666666668</v>
      </c>
      <c r="F229" s="19">
        <v>6.5</v>
      </c>
      <c r="G229" t="s">
        <v>252</v>
      </c>
      <c r="H229">
        <f t="shared" si="1"/>
        <v>650</v>
      </c>
    </row>
  </sheetData>
  <mergeCells count="205">
    <mergeCell ref="I11:J11"/>
    <mergeCell ref="A1:H1"/>
    <mergeCell ref="A3:M3"/>
    <mergeCell ref="A4:H5"/>
    <mergeCell ref="I5:M5"/>
    <mergeCell ref="A12:M12"/>
    <mergeCell ref="A13:M13"/>
    <mergeCell ref="A14:M14"/>
    <mergeCell ref="A15:H15"/>
    <mergeCell ref="A6:M6"/>
    <mergeCell ref="A7:M7"/>
    <mergeCell ref="A8:H11"/>
    <mergeCell ref="I8:J8"/>
    <mergeCell ref="I9:J9"/>
    <mergeCell ref="I10:J10"/>
    <mergeCell ref="A20:H20"/>
    <mergeCell ref="A21:M21"/>
    <mergeCell ref="A22:M22"/>
    <mergeCell ref="A23:H23"/>
    <mergeCell ref="A16:H16"/>
    <mergeCell ref="A17:H17"/>
    <mergeCell ref="A18:H18"/>
    <mergeCell ref="A19:H19"/>
    <mergeCell ref="A28:C28"/>
    <mergeCell ref="A29:C29"/>
    <mergeCell ref="A30:C30"/>
    <mergeCell ref="A31:C31"/>
    <mergeCell ref="A24:C24"/>
    <mergeCell ref="A25:C25"/>
    <mergeCell ref="A26:C26"/>
    <mergeCell ref="A27:C27"/>
    <mergeCell ref="A111:C111"/>
    <mergeCell ref="A40:C40"/>
    <mergeCell ref="A41:A42"/>
    <mergeCell ref="A103:C103"/>
    <mergeCell ref="A104:C104"/>
    <mergeCell ref="A36:C36"/>
    <mergeCell ref="A37:C37"/>
    <mergeCell ref="A38:C38"/>
    <mergeCell ref="A39:C39"/>
    <mergeCell ref="D24:E24"/>
    <mergeCell ref="D25:E25"/>
    <mergeCell ref="D26:E26"/>
    <mergeCell ref="D27:E27"/>
    <mergeCell ref="A105:C105"/>
    <mergeCell ref="A106:A107"/>
    <mergeCell ref="A32:C32"/>
    <mergeCell ref="A33:C33"/>
    <mergeCell ref="A34:C34"/>
    <mergeCell ref="A35:C35"/>
    <mergeCell ref="D32:E32"/>
    <mergeCell ref="D33:E33"/>
    <mergeCell ref="D34:E34"/>
    <mergeCell ref="D35:E35"/>
    <mergeCell ref="D28:E28"/>
    <mergeCell ref="D29:E29"/>
    <mergeCell ref="D30:E30"/>
    <mergeCell ref="D31:E31"/>
    <mergeCell ref="D40:E40"/>
    <mergeCell ref="D41:E41"/>
    <mergeCell ref="D42:E42"/>
    <mergeCell ref="D43:E43"/>
    <mergeCell ref="D36:E36"/>
    <mergeCell ref="D37:E37"/>
    <mergeCell ref="D38:E38"/>
    <mergeCell ref="D39:E39"/>
    <mergeCell ref="D48:E48"/>
    <mergeCell ref="D49:E49"/>
    <mergeCell ref="D50:E50"/>
    <mergeCell ref="D51:E51"/>
    <mergeCell ref="D44:E44"/>
    <mergeCell ref="D45:E45"/>
    <mergeCell ref="D46:E46"/>
    <mergeCell ref="D47:E47"/>
    <mergeCell ref="D56:E56"/>
    <mergeCell ref="D57:E57"/>
    <mergeCell ref="D58:E58"/>
    <mergeCell ref="D59:E59"/>
    <mergeCell ref="D52:E52"/>
    <mergeCell ref="D53:E53"/>
    <mergeCell ref="D54:E54"/>
    <mergeCell ref="D55:E55"/>
    <mergeCell ref="D64:E64"/>
    <mergeCell ref="D65:E65"/>
    <mergeCell ref="D66:E66"/>
    <mergeCell ref="D67:E67"/>
    <mergeCell ref="D60:E60"/>
    <mergeCell ref="D61:E61"/>
    <mergeCell ref="D62:E62"/>
    <mergeCell ref="D63:E63"/>
    <mergeCell ref="D72:E72"/>
    <mergeCell ref="D73:E73"/>
    <mergeCell ref="D74:E74"/>
    <mergeCell ref="D75:E75"/>
    <mergeCell ref="D68:E68"/>
    <mergeCell ref="D69:E69"/>
    <mergeCell ref="D70:E70"/>
    <mergeCell ref="D71:E71"/>
    <mergeCell ref="D80:E80"/>
    <mergeCell ref="D81:E81"/>
    <mergeCell ref="D82:E82"/>
    <mergeCell ref="D83:E83"/>
    <mergeCell ref="D76:E76"/>
    <mergeCell ref="D77:E77"/>
    <mergeCell ref="D78:E78"/>
    <mergeCell ref="D79:E79"/>
    <mergeCell ref="D88:E88"/>
    <mergeCell ref="D89:E89"/>
    <mergeCell ref="D90:E90"/>
    <mergeCell ref="D91:E91"/>
    <mergeCell ref="D84:E84"/>
    <mergeCell ref="D85:E85"/>
    <mergeCell ref="D86:E86"/>
    <mergeCell ref="D87:E87"/>
    <mergeCell ref="D96:E96"/>
    <mergeCell ref="D97:E97"/>
    <mergeCell ref="D98:E98"/>
    <mergeCell ref="D99:E99"/>
    <mergeCell ref="D92:E92"/>
    <mergeCell ref="D93:E93"/>
    <mergeCell ref="D94:E94"/>
    <mergeCell ref="D95:E95"/>
    <mergeCell ref="D104:E104"/>
    <mergeCell ref="D105:E105"/>
    <mergeCell ref="D106:E106"/>
    <mergeCell ref="D107:E107"/>
    <mergeCell ref="D100:E100"/>
    <mergeCell ref="D101:E101"/>
    <mergeCell ref="D102:E102"/>
    <mergeCell ref="D103:E103"/>
    <mergeCell ref="D112:E112"/>
    <mergeCell ref="D113:E113"/>
    <mergeCell ref="A114:H114"/>
    <mergeCell ref="A115:C115"/>
    <mergeCell ref="D115:E115"/>
    <mergeCell ref="D108:E108"/>
    <mergeCell ref="D109:E109"/>
    <mergeCell ref="D110:E110"/>
    <mergeCell ref="D111:E111"/>
    <mergeCell ref="A110:C110"/>
    <mergeCell ref="A116:E116"/>
    <mergeCell ref="A117:C117"/>
    <mergeCell ref="A118:C118"/>
    <mergeCell ref="A119:C119"/>
    <mergeCell ref="D117:E135"/>
    <mergeCell ref="A120:C120"/>
    <mergeCell ref="A121:C121"/>
    <mergeCell ref="A122:C122"/>
    <mergeCell ref="A123:C123"/>
    <mergeCell ref="A129:C129"/>
    <mergeCell ref="A130:C130"/>
    <mergeCell ref="A131:C131"/>
    <mergeCell ref="A124:C124"/>
    <mergeCell ref="A125:C125"/>
    <mergeCell ref="A126:C126"/>
    <mergeCell ref="A127:C127"/>
    <mergeCell ref="F117:F135"/>
    <mergeCell ref="G117:G135"/>
    <mergeCell ref="A136:H136"/>
    <mergeCell ref="A137:C137"/>
    <mergeCell ref="D137:E137"/>
    <mergeCell ref="A132:C132"/>
    <mergeCell ref="A133:C133"/>
    <mergeCell ref="A134:C134"/>
    <mergeCell ref="A135:C135"/>
    <mergeCell ref="A128:C128"/>
    <mergeCell ref="A142:E142"/>
    <mergeCell ref="A143:E143"/>
    <mergeCell ref="A144:E144"/>
    <mergeCell ref="A145:E145"/>
    <mergeCell ref="A138:E138"/>
    <mergeCell ref="A139:E139"/>
    <mergeCell ref="A140:E140"/>
    <mergeCell ref="A141:E141"/>
    <mergeCell ref="A150:E150"/>
    <mergeCell ref="A151:E151"/>
    <mergeCell ref="A152:E152"/>
    <mergeCell ref="A153:E153"/>
    <mergeCell ref="A146:E146"/>
    <mergeCell ref="A147:E147"/>
    <mergeCell ref="A148:E148"/>
    <mergeCell ref="A149:E149"/>
    <mergeCell ref="A158:E158"/>
    <mergeCell ref="A159:E159"/>
    <mergeCell ref="A160:E160"/>
    <mergeCell ref="A161:E161"/>
    <mergeCell ref="A154:E154"/>
    <mergeCell ref="A155:E155"/>
    <mergeCell ref="A156:E156"/>
    <mergeCell ref="A157:E157"/>
    <mergeCell ref="A166:E166"/>
    <mergeCell ref="A167:E167"/>
    <mergeCell ref="A168:E168"/>
    <mergeCell ref="A169:E169"/>
    <mergeCell ref="A162:E162"/>
    <mergeCell ref="A163:E163"/>
    <mergeCell ref="A164:E164"/>
    <mergeCell ref="A165:E165"/>
    <mergeCell ref="A174:H174"/>
    <mergeCell ref="A175:H175"/>
    <mergeCell ref="A177:M177"/>
    <mergeCell ref="A170:E170"/>
    <mergeCell ref="A171:E171"/>
    <mergeCell ref="A172:E172"/>
    <mergeCell ref="A173:E173"/>
  </mergeCells>
  <hyperlinks>
    <hyperlink ref="A1" r:id="rId1" display="http://ad.doubleclick.net/jump/infoplease.us/infoplease;kw=infoplease;!category=xmain;site=main;pos=top;sz=468x60;tile=1;ord=35202303?"/>
    <hyperlink ref="A4" r:id="rId2" display="/index.html"/>
    <hyperlink ref="I8" r:id="rId3" display="/index.html"/>
    <hyperlink ref="I9" r:id="rId4" display="/almanacs.html"/>
    <hyperlink ref="I10" r:id="rId5" display="/encyclopdict.html"/>
    <hyperlink ref="I11" r:id="rId6" display="/encyclopdict.html"/>
    <hyperlink ref="K8" r:id="rId7" display="/cgi-bin/daily"/>
    <hyperlink ref="K9" r:id="rId8" display="/world.html"/>
    <hyperlink ref="K10" r:id="rId9" display="/people.html"/>
    <hyperlink ref="K11" r:id="rId10" display="/us.html"/>
    <hyperlink ref="L8" r:id="rId11" display="/sports.html"/>
    <hyperlink ref="L9" r:id="rId12" display="/ent.html"/>
    <hyperlink ref="L10" r:id="rId13" display="/bus.html"/>
    <hyperlink ref="L11" r:id="rId14" display="/society.html"/>
    <hyperlink ref="M8" r:id="rId15" display="/living.html"/>
    <hyperlink ref="M9" r:id="rId16" display="/sci.html"/>
    <hyperlink ref="M10" r:id="rId17" display="/homework/index.html"/>
    <hyperlink ref="M11" r:id="rId18" display="http://kids.infoplease.com/"/>
    <hyperlink ref="A15" r:id="rId19" display="http://query.infoplease.com/cgi-bin/emailbutton"/>
    <hyperlink ref="A17" r:id="rId20" display="http://mail.chek.com/templates/infoplease/"/>
    <hyperlink ref="A19" r:id="rId21" display="search.php3"/>
    <hyperlink ref="A24" r:id="rId22" display="/us.html"/>
    <hyperlink ref="A26" r:id="rId23" display="/index.html"/>
    <hyperlink ref="A28" r:id="rId24" display="/us.html"/>
    <hyperlink ref="A30" r:id="rId25" display="A0004920.html"/>
    <hyperlink ref="A32" r:id="rId26" display="A0110390.html"/>
    <hyperlink ref="A112:A113" r:id="rId27" display="A0777960.html"/>
    <hyperlink ref="B112:B113" r:id="rId28" display="A0110390.html"/>
    <hyperlink ref="C112:C113" r:id="rId29" display="A0005116.html"/>
    <hyperlink ref="D25" r:id="rId30" display="/redir.php3/hoovers/"/>
    <hyperlink ref="D30" r:id="rId31" display="/redir.php3/autoaccessory"/>
    <hyperlink ref="D33" r:id="rId32" display="http://infoplease.carprices.com/"/>
    <hyperlink ref="D35" r:id="rId33" display="/redir.php3/mapquest"/>
    <hyperlink ref="D37" r:id="rId34" display="/redir.php3/mapquest"/>
    <hyperlink ref="D42" r:id="rId35" display="/redir.php3/mapquest"/>
    <hyperlink ref="D45:D46" r:id="rId36" display="http://www.nextcard.com/index6.html?ref=aff0000706"/>
    <hyperlink ref="D48" r:id="rId37" display="http://www.search3.knowx.com/bridge/bridge.exe?form=ip-toolbox.htm&amp;userid=guest&amp;password=welcome&amp;clientid=Not+Chosen&amp;FirstName=&amp;ReasonID=1010&amp;ReasonDescription=WebAd+IPLEASE+BOX+FRONT"/>
    <hyperlink ref="D51" r:id="rId38" display="/ancestry.html"/>
    <hyperlink ref="D54" r:id="rId39" display="http://tracker.clicktrade.com/tracker/tracker.dll?to='http://zone.msn.com/'&amp;ad=108824.9&amp;lp=121989"/>
    <hyperlink ref="A120" r:id="rId40" display="/biosearch.html"/>
    <hyperlink ref="A121" r:id="rId41" display="/tools.html"/>
    <hyperlink ref="H117" r:id="rId42" display="/search.php3"/>
    <hyperlink ref="H119" r:id="rId43" display="/cgi-bin/emailbutton"/>
    <hyperlink ref="H122" r:id="rId44" display="/cgi-bin/askeds"/>
    <hyperlink ref="H125" r:id="rId45" display="http://www.actioneer.com/"/>
    <hyperlink ref="H128" r:id="rId46" display="http://www.bigfoot.com/RUN?FN=searchform&amp;locale=infoplease"/>
    <hyperlink ref="H130" r:id="rId47" display="/appletregistration.html"/>
    <hyperlink ref="H133" r:id="rId48" display="/registration.php3"/>
    <hyperlink ref="H135" r:id="rId49" display="/linkagreement.html"/>
    <hyperlink ref="A139" r:id="rId50" display="/index.html"/>
    <hyperlink ref="A141" r:id="rId51" display="/cgi-bin/daily"/>
    <hyperlink ref="A143" r:id="rId52" display="/world.html"/>
    <hyperlink ref="A145" r:id="rId53" display="/sports.html"/>
    <hyperlink ref="A147" r:id="rId54" display="/ent.html"/>
    <hyperlink ref="A149" r:id="rId55" display="/us.html"/>
    <hyperlink ref="A151" r:id="rId56" display="/people.html"/>
    <hyperlink ref="A153" r:id="rId57" display="/bus.html"/>
    <hyperlink ref="A155" r:id="rId58" display="/living.html"/>
    <hyperlink ref="A157" r:id="rId59" display="/society.html"/>
    <hyperlink ref="A159" r:id="rId60" display="/sci.html"/>
    <hyperlink ref="A161" r:id="rId61" display="/homework/index.html"/>
    <hyperlink ref="A163" r:id="rId62" display="http://kids.infoplease.com/"/>
    <hyperlink ref="A165" r:id="rId63" display="/help.html"/>
    <hyperlink ref="A167" r:id="rId64" display="/aboutip.html"/>
    <hyperlink ref="A169" r:id="rId65" display="/contact.html"/>
    <hyperlink ref="A171" r:id="rId66" display="/mediakit.html"/>
    <hyperlink ref="A173" r:id="rId67" display="/copy.html"/>
    <hyperlink ref="A177" r:id="rId68" display="http://ad.doubleclick.net/jump/infoplease.us/infoplease;kw=infoplease;!category=xmain;site=main;pos=bot;sz=468x60;tile=2;ord=35202303?"/>
  </hyperlinks>
  <pageMargins left="0.75" right="0.75" top="1" bottom="1" header="0.5" footer="0.5"/>
  <pageSetup orientation="portrait" horizontalDpi="300" verticalDpi="300" r:id="rId69"/>
  <headerFooter alignWithMargins="0"/>
  <drawing r:id="rId7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24</vt:i4>
      </vt:variant>
    </vt:vector>
  </HeadingPairs>
  <TitlesOfParts>
    <vt:vector size="25" baseType="lpstr">
      <vt:lpstr>suicidestate</vt:lpstr>
      <vt:lpstr>suicidestate!A0193906</vt:lpstr>
      <vt:lpstr>suicidestate!A0193912</vt:lpstr>
      <vt:lpstr>suicidestate!A0198356</vt:lpstr>
      <vt:lpstr>suicidestate!A0200063</vt:lpstr>
      <vt:lpstr>suicidestate!TABLE</vt:lpstr>
      <vt:lpstr>suicidestate!TABLE_10</vt:lpstr>
      <vt:lpstr>suicidestate!TABLE_11</vt:lpstr>
      <vt:lpstr>suicidestate!TABLE_12</vt:lpstr>
      <vt:lpstr>suicidestate!TABLE_13</vt:lpstr>
      <vt:lpstr>suicidestate!TABLE_14</vt:lpstr>
      <vt:lpstr>suicidestate!TABLE_15</vt:lpstr>
      <vt:lpstr>suicidestate!TABLE_16</vt:lpstr>
      <vt:lpstr>suicidestate!TABLE_17</vt:lpstr>
      <vt:lpstr>suicidestate!TABLE_18</vt:lpstr>
      <vt:lpstr>suicidestate!TABLE_19</vt:lpstr>
      <vt:lpstr>suicidestate!TABLE_2</vt:lpstr>
      <vt:lpstr>suicidestate!TABLE_20</vt:lpstr>
      <vt:lpstr>suicidestate!TABLE_3</vt:lpstr>
      <vt:lpstr>suicidestate!TABLE_4</vt:lpstr>
      <vt:lpstr>suicidestate!TABLE_5</vt:lpstr>
      <vt:lpstr>suicidestate!TABLE_6</vt:lpstr>
      <vt:lpstr>suicidestate!TABLE_7</vt:lpstr>
      <vt:lpstr>suicidestate!TABLE_8</vt:lpstr>
      <vt:lpstr>suicidestate!TABLE_9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Variations in Suicide Rates, 1990–1994</dc:title>
  <cp:lastModifiedBy>Carina Negreanu</cp:lastModifiedBy>
  <cp:lastPrinted>1999-08-23T08:31:32Z</cp:lastPrinted>
  <dcterms:created xsi:type="dcterms:W3CDTF">1999-08-23T08:00:12Z</dcterms:created>
  <dcterms:modified xsi:type="dcterms:W3CDTF">2020-01-27T12:43:28Z</dcterms:modified>
</cp:coreProperties>
</file>