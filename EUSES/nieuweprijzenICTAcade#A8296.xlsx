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043E83-6902-4098-994D-E81D89F4D896}" xr6:coauthVersionLast="45" xr6:coauthVersionMax="45" xr10:uidLastSave="{00000000-0000-0000-0000-000000000000}"/>
  <bookViews>
    <workbookView xWindow="2280" yWindow="2280" windowWidth="28800" windowHeight="15460"/>
  </bookViews>
  <sheets>
    <sheet name="Blad1" sheetId="1" r:id="rId1"/>
    <sheet name="Blad2" sheetId="2" r:id="rId2"/>
    <sheet name="Blad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19" i="1" l="1"/>
  <c r="F318" i="1"/>
  <c r="F317" i="1"/>
  <c r="F316" i="1"/>
  <c r="F315" i="1"/>
  <c r="F314" i="1"/>
  <c r="F313" i="1"/>
  <c r="C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C300" i="1"/>
  <c r="F299" i="1"/>
  <c r="C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C276" i="1"/>
  <c r="F275" i="1"/>
  <c r="C275" i="1"/>
  <c r="F274" i="1"/>
  <c r="C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C251" i="1"/>
  <c r="F250" i="1"/>
  <c r="F249" i="1"/>
  <c r="F248" i="1"/>
  <c r="F247" i="1"/>
  <c r="C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C234" i="1"/>
  <c r="F233" i="1"/>
  <c r="F232" i="1"/>
  <c r="F231" i="1"/>
  <c r="F230" i="1"/>
  <c r="F229" i="1"/>
  <c r="F228" i="1"/>
  <c r="F227" i="1"/>
  <c r="F226" i="1"/>
  <c r="F225" i="1"/>
  <c r="D225" i="1"/>
  <c r="F224" i="1"/>
  <c r="D224" i="1"/>
  <c r="F223" i="1"/>
  <c r="D223" i="1"/>
  <c r="F222" i="1"/>
  <c r="F221" i="1"/>
  <c r="F220" i="1"/>
  <c r="C220" i="1"/>
  <c r="F219" i="1"/>
  <c r="F218" i="1"/>
  <c r="F217" i="1"/>
  <c r="F216" i="1"/>
  <c r="F215" i="1"/>
  <c r="F214" i="1"/>
  <c r="F213" i="1"/>
  <c r="F212" i="1"/>
  <c r="F211" i="1"/>
  <c r="F210" i="1"/>
  <c r="F209" i="1"/>
  <c r="C209" i="1"/>
  <c r="F208" i="1"/>
  <c r="F207" i="1"/>
  <c r="F206" i="1"/>
  <c r="F205" i="1"/>
  <c r="F204" i="1"/>
  <c r="F203" i="1"/>
  <c r="F202" i="1"/>
  <c r="C202" i="1"/>
  <c r="F201" i="1"/>
  <c r="F200" i="1"/>
  <c r="C200" i="1"/>
  <c r="F199" i="1"/>
  <c r="F198" i="1"/>
  <c r="F197" i="1"/>
  <c r="F196" i="1"/>
  <c r="F195" i="1"/>
  <c r="F194" i="1"/>
  <c r="F193" i="1"/>
  <c r="F192" i="1"/>
  <c r="F191" i="1"/>
  <c r="F190" i="1"/>
  <c r="F189" i="1"/>
  <c r="C189" i="1"/>
  <c r="F188" i="1"/>
  <c r="F187" i="1"/>
  <c r="F186" i="1"/>
  <c r="F185" i="1"/>
  <c r="C185" i="1"/>
  <c r="F184" i="1"/>
  <c r="C184" i="1"/>
  <c r="F183" i="1"/>
  <c r="C183" i="1"/>
  <c r="F182" i="1"/>
  <c r="C182" i="1"/>
  <c r="F181" i="1"/>
  <c r="C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D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C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C94" i="1"/>
  <c r="F93" i="1"/>
  <c r="F92" i="1"/>
  <c r="F91" i="1"/>
  <c r="F90" i="1"/>
  <c r="F89" i="1"/>
  <c r="F88" i="1"/>
  <c r="F87" i="1"/>
  <c r="F86" i="1"/>
  <c r="F85" i="1"/>
  <c r="F84" i="1"/>
  <c r="F83" i="1"/>
  <c r="C83" i="1"/>
  <c r="F82" i="1"/>
  <c r="C82" i="1"/>
  <c r="F81" i="1"/>
  <c r="F80" i="1"/>
  <c r="F79" i="1"/>
  <c r="F78" i="1"/>
  <c r="F77" i="1"/>
  <c r="F76" i="1"/>
  <c r="C76" i="1"/>
  <c r="F75" i="1"/>
  <c r="C75" i="1"/>
  <c r="F74" i="1"/>
  <c r="F73" i="1"/>
  <c r="F72" i="1"/>
  <c r="F71" i="1"/>
  <c r="F70" i="1"/>
  <c r="F69" i="1"/>
  <c r="C69" i="1"/>
  <c r="F68" i="1"/>
  <c r="F67" i="1"/>
  <c r="C67" i="1"/>
  <c r="F66" i="1"/>
  <c r="F65" i="1"/>
  <c r="F64" i="1"/>
  <c r="F63" i="1"/>
  <c r="C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C39" i="1"/>
  <c r="F38" i="1"/>
  <c r="C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C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<sst xmlns="http://schemas.openxmlformats.org/spreadsheetml/2006/main" count="637" uniqueCount="626">
  <si>
    <t>ICT</t>
  </si>
  <si>
    <t>nieuwe</t>
  </si>
  <si>
    <t>nieuw</t>
  </si>
  <si>
    <t>prijs</t>
  </si>
  <si>
    <t>incl</t>
  </si>
  <si>
    <t>excl</t>
  </si>
  <si>
    <t>isbn</t>
  </si>
  <si>
    <t>BTW</t>
  </si>
  <si>
    <t>9039519471</t>
  </si>
  <si>
    <t>ASP.NET 1.0 voor profs</t>
  </si>
  <si>
    <t>9039520046</t>
  </si>
  <si>
    <t>Content Management hcHB</t>
  </si>
  <si>
    <t>9039518459</t>
  </si>
  <si>
    <t>ASP.NET hcHB</t>
  </si>
  <si>
    <t>9039517800</t>
  </si>
  <si>
    <t>Het Samba Boek</t>
  </si>
  <si>
    <t>9039517649</t>
  </si>
  <si>
    <t>Director 8/8.5 &amp; Lingo hcHB</t>
  </si>
  <si>
    <t>9039519765</t>
  </si>
  <si>
    <t>PHP voor Flash V en d ontw.</t>
  </si>
  <si>
    <t>903952002X</t>
  </si>
  <si>
    <t>Streaming Media hcHB</t>
  </si>
  <si>
    <t>9039520445</t>
  </si>
  <si>
    <t>3D-games progr.met DirectX8</t>
  </si>
  <si>
    <t>9039519455</t>
  </si>
  <si>
    <t>3ds Max 4 hcHB</t>
  </si>
  <si>
    <t>9039519404</t>
  </si>
  <si>
    <t>MS Windows program. met C#</t>
  </si>
  <si>
    <t>9039519625</t>
  </si>
  <si>
    <t>C# voor professionals</t>
  </si>
  <si>
    <t>9039516057</t>
  </si>
  <si>
    <t>Java 2 Het complete handboek</t>
  </si>
  <si>
    <t>9039518440</t>
  </si>
  <si>
    <t>Foundation Flash 5</t>
  </si>
  <si>
    <t>9039519153</t>
  </si>
  <si>
    <t>Flash XML Voor en door prof</t>
  </si>
  <si>
    <t>9039505217</t>
  </si>
  <si>
    <t>MS Wind.NT Adm.Tr.kit 4.0</t>
  </si>
  <si>
    <t>9039519803</t>
  </si>
  <si>
    <t>Codeertechn. voor MS VB.NET</t>
  </si>
  <si>
    <t>9039511136</t>
  </si>
  <si>
    <t>Compl.hb. MS FrontPage 2000</t>
  </si>
  <si>
    <t>9039520801</t>
  </si>
  <si>
    <t>Beheers de inform.vloedgolf</t>
  </si>
  <si>
    <t>9039521239</t>
  </si>
  <si>
    <t>Battle Bots Compleet</t>
  </si>
  <si>
    <t>9039519498</t>
  </si>
  <si>
    <t>Webservices en.NET-appl.bouwen</t>
  </si>
  <si>
    <t>9039519099</t>
  </si>
  <si>
    <t>MCSE Training Kit WindowsXP</t>
  </si>
  <si>
    <t>9039520550</t>
  </si>
  <si>
    <t>A+ Certification Training Kit</t>
  </si>
  <si>
    <t>9039516340</t>
  </si>
  <si>
    <t>Weekend Snelcursus ASP 3</t>
  </si>
  <si>
    <t>9039519463</t>
  </si>
  <si>
    <t>Ontwerpen met JavaScript</t>
  </si>
  <si>
    <t>9039519587</t>
  </si>
  <si>
    <t>VB .NET Gids voor beginners</t>
  </si>
  <si>
    <t>9039520488</t>
  </si>
  <si>
    <t>PKI Implementatie en ontw</t>
  </si>
  <si>
    <t>9039514712</t>
  </si>
  <si>
    <t>MCSE Train.kit MS Win 2000 Prof</t>
  </si>
  <si>
    <t>9039514720</t>
  </si>
  <si>
    <t>MCSE Train.kit MS Win 2000 Serv</t>
  </si>
  <si>
    <t>9039518661</t>
  </si>
  <si>
    <t>Visual Basic .NET hcHB</t>
  </si>
  <si>
    <t>9039519382</t>
  </si>
  <si>
    <t>Het compl.nasl.w. Netwerken</t>
  </si>
  <si>
    <t>903952050X</t>
  </si>
  <si>
    <t>Microsoft .NET programmeren</t>
  </si>
  <si>
    <t>903951724X</t>
  </si>
  <si>
    <t>MS SQL Server 2000 Prog.SBS</t>
  </si>
  <si>
    <t>9039518785</t>
  </si>
  <si>
    <t>Hacking Linux Exposed</t>
  </si>
  <si>
    <t>9039518653</t>
  </si>
  <si>
    <t>Netwerkbeveiliging</t>
  </si>
  <si>
    <t>9039519420</t>
  </si>
  <si>
    <t>Rich Media Voor en door prof.</t>
  </si>
  <si>
    <t>9039519749</t>
  </si>
  <si>
    <t>DreamwUD4 Voor en door ontw</t>
  </si>
  <si>
    <t>9039518467</t>
  </si>
  <si>
    <t>Het compl. naslagwerk AutoCAD</t>
  </si>
  <si>
    <t>9039514739</t>
  </si>
  <si>
    <t>MS Windows 2000 NL R.kit</t>
  </si>
  <si>
    <t>9039515417</t>
  </si>
  <si>
    <t>MCSE Tr. Kit Netw. Ess. Plus</t>
  </si>
  <si>
    <t>9039515581</t>
  </si>
  <si>
    <t>Win 2000 ADS Train. Kit</t>
  </si>
  <si>
    <t>9039519609</t>
  </si>
  <si>
    <t>OOP met VB.NET&amp;VisualC#SBS</t>
  </si>
  <si>
    <t>9039520496</t>
  </si>
  <si>
    <t>MS.NET server opl. voor bedrijven</t>
  </si>
  <si>
    <t>9039516065</t>
  </si>
  <si>
    <t>JavaScript 1.5 het compl.HB</t>
  </si>
  <si>
    <t>9039521336</t>
  </si>
  <si>
    <t>Bewust beveiligen</t>
  </si>
  <si>
    <t>9039514364</t>
  </si>
  <si>
    <t>Datastruct. en alg. in 24 u.</t>
  </si>
  <si>
    <t>9039511810</t>
  </si>
  <si>
    <t>MS Office 2000 VB Progr.gids</t>
  </si>
  <si>
    <t>9039520011</t>
  </si>
  <si>
    <t>MS Project 2002 hcHB</t>
  </si>
  <si>
    <t>9039520054</t>
  </si>
  <si>
    <t>TCP/IP hcHB</t>
  </si>
  <si>
    <t>9039520909</t>
  </si>
  <si>
    <t>Illustrator 10 hcHB</t>
  </si>
  <si>
    <t>9039520461</t>
  </si>
  <si>
    <t>Veilig internetten</t>
  </si>
  <si>
    <t>9039509743</t>
  </si>
  <si>
    <t>Ms Visual B.6.0 SBS</t>
  </si>
  <si>
    <t>9039519447</t>
  </si>
  <si>
    <t>Genealogie Een gids voor 50+</t>
  </si>
  <si>
    <t>9039520704</t>
  </si>
  <si>
    <t>Windows XP Gids voor 50+</t>
  </si>
  <si>
    <t>9039518157</t>
  </si>
  <si>
    <t>HTML &amp; XHTML Het Ult.Handb</t>
  </si>
  <si>
    <t>9039518114</t>
  </si>
  <si>
    <t>MS FrontPage 2002 hcHB</t>
  </si>
  <si>
    <t>903951951X</t>
  </si>
  <si>
    <t>Programmeren met VB.NET</t>
  </si>
  <si>
    <t>9039518033</t>
  </si>
  <si>
    <t>Progr.curs. Access2002 VBA</t>
  </si>
  <si>
    <t>9039518041</t>
  </si>
  <si>
    <t>Progr.cursus Excel 2002VBA</t>
  </si>
  <si>
    <t>9039519714</t>
  </si>
  <si>
    <t>Dreamweaver 4 Lesl.in 'n bk.</t>
  </si>
  <si>
    <t>903951948X</t>
  </si>
  <si>
    <t>WinMedPlayer voor Win XP Hb</t>
  </si>
  <si>
    <t>9039520798</t>
  </si>
  <si>
    <t>Optimaal kenniswerken</t>
  </si>
  <si>
    <t>903951979X</t>
  </si>
  <si>
    <t>Internet op slot</t>
  </si>
  <si>
    <t>9039519323</t>
  </si>
  <si>
    <t>Adobe Acrobat 5 PDF hcHB</t>
  </si>
  <si>
    <t>9039519390</t>
  </si>
  <si>
    <t>Unix het compl. HANDBoek</t>
  </si>
  <si>
    <t>9039519986</t>
  </si>
  <si>
    <t>Flash MX hcHB</t>
  </si>
  <si>
    <t>9039520518</t>
  </si>
  <si>
    <t>Dreamweaver MX hcHB</t>
  </si>
  <si>
    <t>9039520887</t>
  </si>
  <si>
    <t>Photoshop 7 hcHB</t>
  </si>
  <si>
    <t>903952100X</t>
  </si>
  <si>
    <t>Op weg met i-mode</t>
  </si>
  <si>
    <t>9039511632</t>
  </si>
  <si>
    <t>MS Hb. Office 2000 NL Pro</t>
  </si>
  <si>
    <t>9039514763</t>
  </si>
  <si>
    <t>MCSE Train.kit MS Win 2000 NIA</t>
  </si>
  <si>
    <t>9039520542</t>
  </si>
  <si>
    <t>Windows Server 2003 hcHB</t>
  </si>
  <si>
    <t>9039520143</t>
  </si>
  <si>
    <t>Internet Gids v.50+ 2e dr</t>
  </si>
  <si>
    <t>9039517428</t>
  </si>
  <si>
    <t>Websites maken - 50+ gids</t>
  </si>
  <si>
    <t>9039516111</t>
  </si>
  <si>
    <t>Win 2000 Pro Het compl. HB</t>
  </si>
  <si>
    <t>903951156X</t>
  </si>
  <si>
    <t>MS Hb. Access 2000 NL</t>
  </si>
  <si>
    <t>903951612X</t>
  </si>
  <si>
    <t>Win 2000 Server compl hb</t>
  </si>
  <si>
    <t>9039519277</t>
  </si>
  <si>
    <t>Programmeren met C#, 2e ed.</t>
  </si>
  <si>
    <t>9039519102</t>
  </si>
  <si>
    <t>MS Handboek Windows XP</t>
  </si>
  <si>
    <t>9039519536</t>
  </si>
  <si>
    <t>.NET Framework Gids</t>
  </si>
  <si>
    <t>9039520062</t>
  </si>
  <si>
    <t>Thuisnetwerk met Win XP SBS</t>
  </si>
  <si>
    <t>9039515719</t>
  </si>
  <si>
    <t>Behend.gokken in&amp;rond cas.</t>
  </si>
  <si>
    <t>9039517657</t>
  </si>
  <si>
    <t>Premiere 6 het compl. HANDB</t>
  </si>
  <si>
    <t>9039517886</t>
  </si>
  <si>
    <t>MS Handboek Access 2002</t>
  </si>
  <si>
    <t>9039519978</t>
  </si>
  <si>
    <t>Sax 2</t>
  </si>
  <si>
    <t>9039521042</t>
  </si>
  <si>
    <t>Office voor de secretar.</t>
  </si>
  <si>
    <t>9039521468</t>
  </si>
  <si>
    <t>Computergebruik WinXP 50+</t>
  </si>
  <si>
    <t>903952078X</t>
  </si>
  <si>
    <t>Business Intelligence</t>
  </si>
  <si>
    <t>9039517932</t>
  </si>
  <si>
    <t>MS Word 2002 SBS</t>
  </si>
  <si>
    <t>9039517940</t>
  </si>
  <si>
    <t>MS Excel 2002 SBS</t>
  </si>
  <si>
    <t>9039517959</t>
  </si>
  <si>
    <t>MS Access 2002 SBS</t>
  </si>
  <si>
    <t>9039517967</t>
  </si>
  <si>
    <t>MS Frontpage 2002 SBS</t>
  </si>
  <si>
    <t>9039517975</t>
  </si>
  <si>
    <t>MS Visio 2002 SBS</t>
  </si>
  <si>
    <t>9039517983</t>
  </si>
  <si>
    <t>MS Outlook 2002 SBS</t>
  </si>
  <si>
    <t>9039517991</t>
  </si>
  <si>
    <t>MS PowerPoint 2002 SBS</t>
  </si>
  <si>
    <t>9039519595</t>
  </si>
  <si>
    <t>Upgr.MS VB6 naar MS VB.NET</t>
  </si>
  <si>
    <t>9039509646</t>
  </si>
  <si>
    <t>Compl.Hb.Visual Basic 6</t>
  </si>
  <si>
    <t>9039509689</t>
  </si>
  <si>
    <t>MS Visual B.6.0 Progr.g.</t>
  </si>
  <si>
    <t>9039509751</t>
  </si>
  <si>
    <t>MS VB 6.0 Tips, tools en tech</t>
  </si>
  <si>
    <t>9039510733</t>
  </si>
  <si>
    <t>Database Pr. Vis.Bas.6</t>
  </si>
  <si>
    <t>9039519994</t>
  </si>
  <si>
    <t>Mac OS X hcHB</t>
  </si>
  <si>
    <t>9039520895</t>
  </si>
  <si>
    <t>Progr.c. Webdatab.ontw. .NET</t>
  </si>
  <si>
    <t>9039517681</t>
  </si>
  <si>
    <t>Dreamweaver Ultradev 4 hcH</t>
  </si>
  <si>
    <t>9039518092</t>
  </si>
  <si>
    <t>Dreamweaver 4 het compl. HB</t>
  </si>
  <si>
    <t>9039520097</t>
  </si>
  <si>
    <t>QuarkXPress 5 hcHB</t>
  </si>
  <si>
    <t>9039517215</t>
  </si>
  <si>
    <t>XML Step by Step</t>
  </si>
  <si>
    <t>9039511101</t>
  </si>
  <si>
    <t>Compl. Hb. MS Excel 2000 NL</t>
  </si>
  <si>
    <t>9039518106</t>
  </si>
  <si>
    <t>Webpag. maken het compl.HB</t>
  </si>
  <si>
    <t>9039520585</t>
  </si>
  <si>
    <t>Hacking Exposed 4e editie</t>
  </si>
  <si>
    <t>9039510628</t>
  </si>
  <si>
    <t>10 Min.gids Lotus N.5</t>
  </si>
  <si>
    <t>9039519110</t>
  </si>
  <si>
    <t>MS Windows XP SBS</t>
  </si>
  <si>
    <t>9039516154</t>
  </si>
  <si>
    <t>Het opz. v.e. Linux Intern. S</t>
  </si>
  <si>
    <t>9039516634</t>
  </si>
  <si>
    <t>Praktisch webdesign</t>
  </si>
  <si>
    <t>9039511586</t>
  </si>
  <si>
    <t>MS Hb. FrontPage 2000</t>
  </si>
  <si>
    <t>9039519641</t>
  </si>
  <si>
    <t>Windows XP het compl. HANDB</t>
  </si>
  <si>
    <t>903951478X</t>
  </si>
  <si>
    <t>MS HB Win 2000 NL Prof.</t>
  </si>
  <si>
    <t>9039517878</t>
  </si>
  <si>
    <t>MS Handboek Excel 2002</t>
  </si>
  <si>
    <t>9039517894</t>
  </si>
  <si>
    <t>MS Handboek Frontpage 2002</t>
  </si>
  <si>
    <t>9039517908</t>
  </si>
  <si>
    <t>MS Handboek Visio 2002</t>
  </si>
  <si>
    <t>9039519722</t>
  </si>
  <si>
    <t>Formules in Excel 2002</t>
  </si>
  <si>
    <t>9039520569</t>
  </si>
  <si>
    <t>MS Handboek Win XP/2000 sec.</t>
  </si>
  <si>
    <t>9039521980</t>
  </si>
  <si>
    <t>Computerwoordenboek voor senioren</t>
  </si>
  <si>
    <t>9039511489</t>
  </si>
  <si>
    <t>MSExcel2000NLSt by St</t>
  </si>
  <si>
    <t>9039518777</t>
  </si>
  <si>
    <t>Het Compl.Nasl.Exch2000 Ser</t>
  </si>
  <si>
    <t>9039521816</t>
  </si>
  <si>
    <t>Internet Gids voor 50+ 3e herz.druk</t>
  </si>
  <si>
    <t>9039515409</t>
  </si>
  <si>
    <t>Verder met Access 2000</t>
  </si>
  <si>
    <t>9039511594</t>
  </si>
  <si>
    <t>MS Handboek Outlook 2000NL</t>
  </si>
  <si>
    <t>9039517207</t>
  </si>
  <si>
    <t>Webdatabase-ontwik.SBS</t>
  </si>
  <si>
    <t>Seniorengids CD's branden Easy cd 6 en Nero 6</t>
  </si>
  <si>
    <t>9039507082</t>
  </si>
  <si>
    <t>MS Acc.97 VB st.by st</t>
  </si>
  <si>
    <t>9039507554</t>
  </si>
  <si>
    <t>SQL Leerboek 5e herz.druk</t>
  </si>
  <si>
    <t>9039508658</t>
  </si>
  <si>
    <t>MS Project 98 UK step</t>
  </si>
  <si>
    <t>9039509034</t>
  </si>
  <si>
    <t>Effectief GUI-ontwerp</t>
  </si>
  <si>
    <t>9039511802</t>
  </si>
  <si>
    <t>MS Excel 2000 VB Fund.</t>
  </si>
  <si>
    <t>9039514771</t>
  </si>
  <si>
    <t>MS Project 2000 NL SBS</t>
  </si>
  <si>
    <t>9039515913</t>
  </si>
  <si>
    <t>ASP 3.0 Visuele Leidraad</t>
  </si>
  <si>
    <t>9039516103</t>
  </si>
  <si>
    <t>PHP 4 Het complete handb</t>
  </si>
  <si>
    <t>9039516324</t>
  </si>
  <si>
    <t>Weekend Snelcursus VB6</t>
  </si>
  <si>
    <t>9039517339</t>
  </si>
  <si>
    <t>HTML &amp; XML voor beginners</t>
  </si>
  <si>
    <t>9039517614</t>
  </si>
  <si>
    <t>Hacking Exposed  NL editie</t>
  </si>
  <si>
    <t>9039517819</t>
  </si>
  <si>
    <t>Basiscursus Webdesign</t>
  </si>
  <si>
    <t>9039517924</t>
  </si>
  <si>
    <t>MS Office XP SBS</t>
  </si>
  <si>
    <t>9039518149</t>
  </si>
  <si>
    <t>MySQL/PHP Database Appl.</t>
  </si>
  <si>
    <t>9039518920</t>
  </si>
  <si>
    <t>Tips&amp;Trucs Beeld geluid</t>
  </si>
  <si>
    <t>9039518947</t>
  </si>
  <si>
    <t>Tips &amp; Trucs Windows</t>
  </si>
  <si>
    <t>9039518955</t>
  </si>
  <si>
    <t>Tips &amp; Trucs Office</t>
  </si>
  <si>
    <t>9039518963</t>
  </si>
  <si>
    <t>Tips &amp; Trucs Beveiliging</t>
  </si>
  <si>
    <t>9039518971</t>
  </si>
  <si>
    <t>Tips &amp; Trucs Hardware</t>
  </si>
  <si>
    <t>9039518998</t>
  </si>
  <si>
    <t>Word 2002 een snelle st.</t>
  </si>
  <si>
    <t>9039519005</t>
  </si>
  <si>
    <t>Word 2002 v.start tot fin</t>
  </si>
  <si>
    <t>9039519013</t>
  </si>
  <si>
    <t>Excel2002 een snelle start</t>
  </si>
  <si>
    <t>9039519021</t>
  </si>
  <si>
    <t>Excel 2002 v.start tot fin</t>
  </si>
  <si>
    <t>9039519048</t>
  </si>
  <si>
    <t>Access2002 v.start tot finish</t>
  </si>
  <si>
    <t>9039519080</t>
  </si>
  <si>
    <t>Programmeercursus VB .NET</t>
  </si>
  <si>
    <t>9039519137</t>
  </si>
  <si>
    <t>ASP.NET program.curs.</t>
  </si>
  <si>
    <t>9039519307</t>
  </si>
  <si>
    <t>Windows XP een snelle st.</t>
  </si>
  <si>
    <t>9039519315</t>
  </si>
  <si>
    <t>Win.XP v.start tot finish</t>
  </si>
  <si>
    <t>9039519528</t>
  </si>
  <si>
    <t>101 Macro's in Word en Excel</t>
  </si>
  <si>
    <t>9039519617</t>
  </si>
  <si>
    <t>Program.cursus Visual C# .NET</t>
  </si>
  <si>
    <t>9039519692</t>
  </si>
  <si>
    <t>CSS Kort en Krachtig</t>
  </si>
  <si>
    <t>9039519706</t>
  </si>
  <si>
    <t>MS ASP.NET applicatieontwerp</t>
  </si>
  <si>
    <t>9039519846</t>
  </si>
  <si>
    <t>Webdesign met freeware</t>
  </si>
  <si>
    <t>9039520070</t>
  </si>
  <si>
    <t>Progr.cursus MS ADO.NET</t>
  </si>
  <si>
    <t>9039520119</t>
  </si>
  <si>
    <t>Bouw je eigen games</t>
  </si>
  <si>
    <t>9039520186</t>
  </si>
  <si>
    <t>Databaseontwerp Excel/Acc.</t>
  </si>
  <si>
    <t>9039520437</t>
  </si>
  <si>
    <t>PowerPoint 2002 snelle start</t>
  </si>
  <si>
    <t>9039520674</t>
  </si>
  <si>
    <t>Outlook 2002 v.st. tot fin</t>
  </si>
  <si>
    <t>9039520712</t>
  </si>
  <si>
    <t>PowerPoint 2002 v.st.tot f</t>
  </si>
  <si>
    <t>9039520828</t>
  </si>
  <si>
    <t>Praktijkgids Muziek op pc</t>
  </si>
  <si>
    <t>9039520836</t>
  </si>
  <si>
    <t>Praktijkg. Hoe maak ik mijn pc snel</t>
  </si>
  <si>
    <t>9039520917</t>
  </si>
  <si>
    <t>Windows XP zonder zorgen</t>
  </si>
  <si>
    <t>9039521425</t>
  </si>
  <si>
    <t>Opslagnetwerken</t>
  </si>
  <si>
    <t>9039521743</t>
  </si>
  <si>
    <t>Windows Server 2003 syst.beh</t>
  </si>
  <si>
    <t>9039521964</t>
  </si>
  <si>
    <t>Woordenboek voor computer 2003/2004</t>
  </si>
  <si>
    <t>903950640X</t>
  </si>
  <si>
    <t>MS Handb.Access 97 NL</t>
  </si>
  <si>
    <t>903951609X</t>
  </si>
  <si>
    <t>Photoshop 6 NL het cHB</t>
  </si>
  <si>
    <t>903951898X</t>
  </si>
  <si>
    <t>Tips &amp; Trucs Internet</t>
  </si>
  <si>
    <t>903951903X</t>
  </si>
  <si>
    <t>Access 2002 een snelle start</t>
  </si>
  <si>
    <t>903952047X</t>
  </si>
  <si>
    <t>Outlook 2002 snelle start</t>
  </si>
  <si>
    <t>9039519838</t>
  </si>
  <si>
    <t>Digitale fotografie</t>
  </si>
  <si>
    <t>9039521565</t>
  </si>
  <si>
    <t>903951786X</t>
  </si>
  <si>
    <t>MS Handboek Word 2002</t>
  </si>
  <si>
    <t>9039518912</t>
  </si>
  <si>
    <t>MS Office XP Resource Kit</t>
  </si>
  <si>
    <t>9039521360</t>
  </si>
  <si>
    <t>Combicursus Office XP Prof</t>
  </si>
  <si>
    <t>9039518734</t>
  </si>
  <si>
    <t>Digitale Sounddesign</t>
  </si>
  <si>
    <t>9039516006</t>
  </si>
  <si>
    <t>Kijk en Leer Photoshop 6</t>
  </si>
  <si>
    <t>9039513171</t>
  </si>
  <si>
    <t>Work-groups Soft Skills</t>
  </si>
  <si>
    <t>9039514402</t>
  </si>
  <si>
    <t>Op weg naar volw. ICT-dienstv</t>
  </si>
  <si>
    <t>9039511616</t>
  </si>
  <si>
    <t>MS Handboek Word 2000 NL</t>
  </si>
  <si>
    <t>9039516049</t>
  </si>
  <si>
    <t>HTML 4 Het compl. hb</t>
  </si>
  <si>
    <t>9039516405</t>
  </si>
  <si>
    <t>Computergebruik, 50+</t>
  </si>
  <si>
    <t>9039511799</t>
  </si>
  <si>
    <t>MS Access 2000 VB Fund.</t>
  </si>
  <si>
    <t>903950976X</t>
  </si>
  <si>
    <t>Het Compl. HB Visual C++ 6</t>
  </si>
  <si>
    <t>9039510148</t>
  </si>
  <si>
    <t>Datawarehousing</t>
  </si>
  <si>
    <t>903951335X</t>
  </si>
  <si>
    <t>Leerboek Linux</t>
  </si>
  <si>
    <t>9039520615</t>
  </si>
  <si>
    <t>Computerwoordenb. voor senior</t>
  </si>
  <si>
    <t>9039521069</t>
  </si>
  <si>
    <t>Snelc.Photoshop Element</t>
  </si>
  <si>
    <t>9039511470</t>
  </si>
  <si>
    <t>MS Access NL St by St</t>
  </si>
  <si>
    <t>9039511497</t>
  </si>
  <si>
    <t>MSFrontPage2000St</t>
  </si>
  <si>
    <t>9039511519</t>
  </si>
  <si>
    <t>MS PowerP.2000NL StbySt</t>
  </si>
  <si>
    <t>9039511535</t>
  </si>
  <si>
    <t>MS Word 2000 NLStbySt</t>
  </si>
  <si>
    <t>9039504008</t>
  </si>
  <si>
    <t>LAD-Lineair ontw.inf.</t>
  </si>
  <si>
    <t>9039510164</t>
  </si>
  <si>
    <t>SAP R/3</t>
  </si>
  <si>
    <t>9039509697</t>
  </si>
  <si>
    <t>MS.Visual C++ 6.0 Progr.</t>
  </si>
  <si>
    <t>9039513325</t>
  </si>
  <si>
    <t>C++ in 24 uur</t>
  </si>
  <si>
    <t>9039520933</t>
  </si>
  <si>
    <t>Praktijkgids Dvd's branden</t>
  </si>
  <si>
    <t>9039515573</t>
  </si>
  <si>
    <t>MySQL</t>
  </si>
  <si>
    <t>9039518289</t>
  </si>
  <si>
    <t>Cubase</t>
  </si>
  <si>
    <t>9039512485</t>
  </si>
  <si>
    <t>10 Min.gids Vis.Basic 6</t>
  </si>
  <si>
    <t>9039518327</t>
  </si>
  <si>
    <t>Zakw.boek Comp Intern&amp;Telec</t>
  </si>
  <si>
    <t>9039521018</t>
  </si>
  <si>
    <t>Hb Website usability</t>
  </si>
  <si>
    <t>9039521379</t>
  </si>
  <si>
    <t>Webdesign v. concept tot realisatie</t>
  </si>
  <si>
    <t>903952114X</t>
  </si>
  <si>
    <t>Bronnenboek voor grafisch ontwerp</t>
  </si>
  <si>
    <t>9039520593</t>
  </si>
  <si>
    <t>Bc Lotus Notes 6</t>
  </si>
  <si>
    <t>9039520208</t>
  </si>
  <si>
    <t>Windows XP Prof voor systbeh</t>
  </si>
  <si>
    <t>Seniorengids Digitale videaobewerking met Pinnacle Studio</t>
  </si>
  <si>
    <t>Seniorengids foto's bewerken Paint Shop Pro 8</t>
  </si>
  <si>
    <t>Seniorengids financiele planning</t>
  </si>
  <si>
    <t>9039520879</t>
  </si>
  <si>
    <t>Snelcursus iMovie</t>
  </si>
  <si>
    <t>9039521034</t>
  </si>
  <si>
    <t>Snelcursus Cool Edit</t>
  </si>
  <si>
    <t>9039521115</t>
  </si>
  <si>
    <t>Snelcursus Cd's branden Nero</t>
  </si>
  <si>
    <t>9039521883</t>
  </si>
  <si>
    <t>Snelcursus DVD MovieFactory</t>
  </si>
  <si>
    <t>9039518688</t>
  </si>
  <si>
    <t>Sen.gids Afbeeldingen public</t>
  </si>
  <si>
    <t>9039518696</t>
  </si>
  <si>
    <t>Sen.gids Cd's brand.&amp;samenst</t>
  </si>
  <si>
    <t>9039519633</t>
  </si>
  <si>
    <t>Seniorengids Videobewerking</t>
  </si>
  <si>
    <t>9039520739</t>
  </si>
  <si>
    <t>Senioreng. Bestanden beheren</t>
  </si>
  <si>
    <t>903951870X</t>
  </si>
  <si>
    <t>Sen.gids Oude foto's bewerk.</t>
  </si>
  <si>
    <t>9039504016</t>
  </si>
  <si>
    <t>IAD ev.ontw.info. syst.</t>
  </si>
  <si>
    <t>9039515271</t>
  </si>
  <si>
    <t>Windows 2000 Server in 24u</t>
  </si>
  <si>
    <t>9039510156</t>
  </si>
  <si>
    <t>De UML toolkit</t>
  </si>
  <si>
    <t>9039513694</t>
  </si>
  <si>
    <t>Kwaliteit in druk</t>
  </si>
  <si>
    <t>9039510911</t>
  </si>
  <si>
    <t>DSDM</t>
  </si>
  <si>
    <t>9039515867</t>
  </si>
  <si>
    <t>Bc XML</t>
  </si>
  <si>
    <t>9039519544</t>
  </si>
  <si>
    <t>Bc PHP 4.2</t>
  </si>
  <si>
    <t>9039519560</t>
  </si>
  <si>
    <t>Basiscursus VB.NET</t>
  </si>
  <si>
    <t>9039520607</t>
  </si>
  <si>
    <t>Bc Premiere 6.5</t>
  </si>
  <si>
    <t>9039520925</t>
  </si>
  <si>
    <t>Bc Dreamweaver MX</t>
  </si>
  <si>
    <t>9039509131</t>
  </si>
  <si>
    <t>SQL in 24 uur</t>
  </si>
  <si>
    <t>9039513449</t>
  </si>
  <si>
    <t>UML in 24 uur</t>
  </si>
  <si>
    <t>903951433X</t>
  </si>
  <si>
    <t>Progr. in Excel 2000 in 24 u</t>
  </si>
  <si>
    <t>9039516367</t>
  </si>
  <si>
    <t>PHP Kort en Krachtig</t>
  </si>
  <si>
    <t>9039516456</t>
  </si>
  <si>
    <t>JavaScript Kort &amp; Krachtig</t>
  </si>
  <si>
    <t>9039520038</t>
  </si>
  <si>
    <t>JavaServer Pages K&amp;K</t>
  </si>
  <si>
    <t>903951819X</t>
  </si>
  <si>
    <t>VBScript Kort&amp;Krachtig</t>
  </si>
  <si>
    <t>9039509670</t>
  </si>
  <si>
    <t>Visual Basic 6 voor gevord</t>
  </si>
  <si>
    <t>9039514070</t>
  </si>
  <si>
    <t>Excel 2000 voor gevorderd.</t>
  </si>
  <si>
    <t>9039515670</t>
  </si>
  <si>
    <t>Basiscursus Java  2e herz.</t>
  </si>
  <si>
    <t>9039517711</t>
  </si>
  <si>
    <t>Basiscursus PaintShop Pro 7</t>
  </si>
  <si>
    <t>9039517746</t>
  </si>
  <si>
    <t>Bc. Flash Action Script</t>
  </si>
  <si>
    <t>9039517843</t>
  </si>
  <si>
    <t>Bc Internet, 3e herz. druk</t>
  </si>
  <si>
    <t>9039518246</t>
  </si>
  <si>
    <t>Bc Word 2002</t>
  </si>
  <si>
    <t>9039518254</t>
  </si>
  <si>
    <t>Bc Windows XP</t>
  </si>
  <si>
    <t>9039518378</t>
  </si>
  <si>
    <t>Bc Access 2002</t>
  </si>
  <si>
    <t>9039518386</t>
  </si>
  <si>
    <t>Bc Outlook 2002</t>
  </si>
  <si>
    <t>9039518394</t>
  </si>
  <si>
    <t>Bc Frontpage 2002</t>
  </si>
  <si>
    <t>9039518408</t>
  </si>
  <si>
    <t>Basiscursus PowerPoint 2002</t>
  </si>
  <si>
    <t>9039518424</t>
  </si>
  <si>
    <t>Bc Visio 2002</t>
  </si>
  <si>
    <t>9039518742</t>
  </si>
  <si>
    <t>Bc Internet Explorer 6</t>
  </si>
  <si>
    <t>9039519056</t>
  </si>
  <si>
    <t>Basiscursus Delphi 6</t>
  </si>
  <si>
    <t>9039519552</t>
  </si>
  <si>
    <t>Basiscursus C#</t>
  </si>
  <si>
    <t>9039519668</t>
  </si>
  <si>
    <t>Basiscursus JavaScript1.5</t>
  </si>
  <si>
    <t>9039520658</t>
  </si>
  <si>
    <t>Bc Flash MX</t>
  </si>
  <si>
    <t>9039521026</t>
  </si>
  <si>
    <t>Bc QuarkXPress</t>
  </si>
  <si>
    <t>9039521387</t>
  </si>
  <si>
    <t>Bc InDesign 2.0</t>
  </si>
  <si>
    <t>9039521433</t>
  </si>
  <si>
    <t>BC Mac OS X.2 (Jaguar)</t>
  </si>
  <si>
    <t>9039521794</t>
  </si>
  <si>
    <t>Bc SQL 2e herziene druk</t>
  </si>
  <si>
    <t>903951836X</t>
  </si>
  <si>
    <t>Basiscursus Excel 2002</t>
  </si>
  <si>
    <t>903951965X</t>
  </si>
  <si>
    <t>Basiscursus HTML 4.01</t>
  </si>
  <si>
    <t>903952081X</t>
  </si>
  <si>
    <t>Bc. PhotoShop 7</t>
  </si>
  <si>
    <t>9039506752</t>
  </si>
  <si>
    <t>Basisc.Excel 97 NL</t>
  </si>
  <si>
    <t>9039506760</t>
  </si>
  <si>
    <t>Bc.Access 97 NL</t>
  </si>
  <si>
    <t>9039508984</t>
  </si>
  <si>
    <t>Bc. Windows 98 NL</t>
  </si>
  <si>
    <t>9039509654</t>
  </si>
  <si>
    <t>Bc.Visual Basic 6.0</t>
  </si>
  <si>
    <t>9039510644</t>
  </si>
  <si>
    <t>HTML 4 voor gev.</t>
  </si>
  <si>
    <t>9039511918</t>
  </si>
  <si>
    <t>Basiscursus Word 2000 NL</t>
  </si>
  <si>
    <t>9039511926</t>
  </si>
  <si>
    <t>Basiscursus Excel 2000 NL</t>
  </si>
  <si>
    <t>9039511942</t>
  </si>
  <si>
    <t>Basiscursus Outl. 2000 NL</t>
  </si>
  <si>
    <t>9039511950</t>
  </si>
  <si>
    <t>Basiscursus FrontPage2000</t>
  </si>
  <si>
    <t>9039511969</t>
  </si>
  <si>
    <t>Basiscursus Access 2000NL</t>
  </si>
  <si>
    <t>9039512264</t>
  </si>
  <si>
    <t>Basiscursus C++, 3e herz.</t>
  </si>
  <si>
    <t>9039512612</t>
  </si>
  <si>
    <t>Basisc. AutoCAD 2000</t>
  </si>
  <si>
    <t>9039513961</t>
  </si>
  <si>
    <t>BC. AutoCAD LT 2000</t>
  </si>
  <si>
    <t>9039513996</t>
  </si>
  <si>
    <t>Word 2000 voor gev.</t>
  </si>
  <si>
    <t>9039514860</t>
  </si>
  <si>
    <t>Bc Windows 2000 NL Profes</t>
  </si>
  <si>
    <t>9039515689</t>
  </si>
  <si>
    <t>Bc Word 97 NL</t>
  </si>
  <si>
    <t>9039515786</t>
  </si>
  <si>
    <t>Bc Photoshop 6 NL versie</t>
  </si>
  <si>
    <t>9039516618</t>
  </si>
  <si>
    <t>Basiscursus Project 2000</t>
  </si>
  <si>
    <t>9039517703</t>
  </si>
  <si>
    <t>Basiscursus Dreamweaver 4</t>
  </si>
  <si>
    <t>9039518238</t>
  </si>
  <si>
    <t>Basiscursus Groupwise 6</t>
  </si>
  <si>
    <t>9039520852</t>
  </si>
  <si>
    <t>Bc PhotoImpact 7</t>
  </si>
  <si>
    <t>9039521131</t>
  </si>
  <si>
    <t>Bc Pinnacle Studio 8</t>
  </si>
  <si>
    <t>903951660X</t>
  </si>
  <si>
    <t>Bc Windows Me</t>
  </si>
  <si>
    <t>903951772X</t>
  </si>
  <si>
    <t>Basiscursus Premiere 6</t>
  </si>
  <si>
    <t>9039519285</t>
  </si>
  <si>
    <t>Bc AutoCAD 2002</t>
  </si>
  <si>
    <t>9039519293</t>
  </si>
  <si>
    <t>Bc AutoCAD LT 2002</t>
  </si>
  <si>
    <t>9039521824</t>
  </si>
  <si>
    <t>Basiscursus AutoCAD 2004</t>
  </si>
  <si>
    <t>9039521891</t>
  </si>
  <si>
    <t>Basiscursus AutoCAD LT 2004</t>
  </si>
  <si>
    <t>9039521832</t>
  </si>
  <si>
    <t>Handboek Cubase SX</t>
  </si>
  <si>
    <t>9039509662</t>
  </si>
  <si>
    <t>Visual Basic 6 in 24 uur</t>
  </si>
  <si>
    <t>9039521123</t>
  </si>
  <si>
    <t>Snelcursus Easy CD &amp; DVD Creator 6</t>
  </si>
  <si>
    <t>9039511578</t>
  </si>
  <si>
    <t>MS Handboek Excel 2000 NL</t>
  </si>
  <si>
    <t>9039521077</t>
  </si>
  <si>
    <t>Tips &amp; Trucs virussen</t>
  </si>
  <si>
    <t>9039521085</t>
  </si>
  <si>
    <t>Tips &amp; Trucs Webdesign</t>
  </si>
  <si>
    <t>9039521093</t>
  </si>
  <si>
    <t>Tips&amp;Trucs Digitale fotogr.</t>
  </si>
  <si>
    <t>9039521107</t>
  </si>
  <si>
    <t>Tips&amp;TrucsVideobewerking</t>
  </si>
  <si>
    <t>903952064X</t>
  </si>
  <si>
    <t>Tips &amp; Trucs Lezerstips</t>
  </si>
  <si>
    <t>9039520682</t>
  </si>
  <si>
    <t>Seniorengids Dig. fotografie</t>
  </si>
  <si>
    <t>9039520720</t>
  </si>
  <si>
    <t>Seniorengids Muziek op pc</t>
  </si>
  <si>
    <t>9039520089</t>
  </si>
  <si>
    <t>Progr.curs.Visual C++.NET</t>
  </si>
  <si>
    <t>9039513759</t>
  </si>
  <si>
    <t>Het Linux Programmeerboek</t>
  </si>
  <si>
    <t>9039516073</t>
  </si>
  <si>
    <t>Linux Progr. Het compl. HB</t>
  </si>
  <si>
    <t>Wind.NT Techn.Tr.kit</t>
  </si>
  <si>
    <t>oude</t>
  </si>
  <si>
    <t>titel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</si>
</sst>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9"/>
      <name val="Helv"/>
    </font>
    <font>
      <b/>
      <sz val="9"/>
      <name val="Helv"/>
    </font>
    <font>
      <i/>
      <sz val="9"/>
      <name val="Helv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Fill="1"/>
    <xf numFmtId="0" fontId="2" fillId="0" borderId="0" xfId="0" applyFont="1" applyFill="1"/>
    <xf numFmtId="2" fontId="1" fillId="0" borderId="0" xfId="0" applyNumberFormat="1" applyFont="1" applyFill="1" applyAlignment="1"/>
    <xf numFmtId="4" fontId="1" fillId="0" borderId="0" xfId="0" applyNumberFormat="1" applyFont="1" applyFill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2" fontId="1" fillId="0" borderId="0" xfId="0" applyNumberFormat="1" applyFont="1" applyFill="1" applyAlignment="1" applyProtection="1"/>
    <xf numFmtId="4" fontId="1" fillId="0" borderId="1" xfId="0" applyNumberFormat="1" applyFont="1" applyFill="1" applyBorder="1" applyAlignment="1" applyProtection="1">
      <alignment horizontal="right"/>
    </xf>
    <xf numFmtId="22" fontId="1" fillId="0" borderId="2" xfId="0" applyNumberFormat="1" applyFont="1" applyFill="1" applyBorder="1" applyAlignment="1" applyProtection="1">
      <alignment horizontal="left"/>
    </xf>
    <xf numFmtId="2" fontId="1" fillId="0" borderId="3" xfId="0" applyNumberFormat="1" applyFont="1" applyFill="1" applyBorder="1" applyAlignment="1" applyProtection="1"/>
    <xf numFmtId="4" fontId="1" fillId="0" borderId="2" xfId="0" applyNumberFormat="1" applyFont="1" applyFill="1" applyBorder="1" applyAlignment="1" applyProtection="1">
      <alignment horizontal="right"/>
    </xf>
    <xf numFmtId="22" fontId="1" fillId="0" borderId="1" xfId="0" applyNumberFormat="1" applyFont="1" applyFill="1" applyBorder="1" applyAlignment="1" applyProtection="1">
      <alignment horizontal="left"/>
    </xf>
    <xf numFmtId="2" fontId="1" fillId="0" borderId="0" xfId="0" applyNumberFormat="1" applyFont="1" applyFill="1" applyBorder="1" applyAlignment="1" applyProtection="1"/>
    <xf numFmtId="49" fontId="1" fillId="0" borderId="0" xfId="0" applyNumberFormat="1" applyFont="1"/>
    <xf numFmtId="0" fontId="1" fillId="0" borderId="1" xfId="0" applyFont="1" applyBorder="1"/>
    <xf numFmtId="2" fontId="1" fillId="0" borderId="0" xfId="0" applyNumberFormat="1" applyFont="1"/>
    <xf numFmtId="4" fontId="1" fillId="0" borderId="1" xfId="0" applyNumberFormat="1" applyFont="1" applyFill="1" applyBorder="1"/>
    <xf numFmtId="0" fontId="1" fillId="0" borderId="0" xfId="0" applyFont="1"/>
    <xf numFmtId="0" fontId="3" fillId="0" borderId="0" xfId="0" applyFont="1" applyFill="1"/>
    <xf numFmtId="0" fontId="3" fillId="0" borderId="0" xfId="0" applyFont="1"/>
    <xf numFmtId="0" fontId="1" fillId="0" borderId="0" xfId="0" applyFont="1" applyBorder="1"/>
    <xf numFmtId="4" fontId="2" fillId="0" borderId="0" xfId="0" applyNumberFormat="1" applyFont="1" applyFill="1" applyAlignment="1"/>
    <xf numFmtId="4" fontId="2" fillId="0" borderId="0" xfId="0" applyNumberFormat="1" applyFont="1" applyFill="1" applyAlignment="1">
      <alignment horizontal="right"/>
    </xf>
    <xf numFmtId="4" fontId="2" fillId="0" borderId="0" xfId="0" applyNumberFormat="1" applyFont="1" applyFill="1" applyAlignment="1" applyProtection="1">
      <alignment horizontal="right"/>
    </xf>
    <xf numFmtId="4" fontId="2" fillId="0" borderId="3" xfId="0" applyNumberFormat="1" applyFont="1" applyFill="1" applyBorder="1" applyAlignment="1" applyProtection="1">
      <alignment horizontal="right"/>
    </xf>
    <xf numFmtId="4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9"/>
  <sheetViews>
    <sheetView tabSelected="1" topLeftCell="A220" workbookViewId="0">
      <selection activeCell="H251" sqref="H251"/>
    </sheetView>
  </sheetViews>
  <sheetFormatPr defaultRowHeight="13.5" x14ac:dyDescent="0.35"/>
  <cols>
    <col min="1" max="1" width="11.81640625" style="1" customWidth="1"/>
    <col min="2" max="2" width="43.81640625" style="6" bestFit="1" customWidth="1"/>
    <col min="3" max="4" width="10" style="3" customWidth="1"/>
    <col min="5" max="5" width="10" style="23" customWidth="1"/>
    <col min="6" max="6" width="10" style="4" customWidth="1"/>
  </cols>
  <sheetData>
    <row r="1" spans="1:6" x14ac:dyDescent="0.35">
      <c r="B1" s="2"/>
    </row>
    <row r="2" spans="1:6" x14ac:dyDescent="0.35">
      <c r="B2" s="5" t="s">
        <v>0</v>
      </c>
    </row>
    <row r="3" spans="1:6" x14ac:dyDescent="0.35">
      <c r="C3" s="3" t="s">
        <v>624</v>
      </c>
      <c r="D3" s="3" t="s">
        <v>624</v>
      </c>
      <c r="E3" s="24" t="s">
        <v>1</v>
      </c>
      <c r="F3" s="4" t="s">
        <v>2</v>
      </c>
    </row>
    <row r="4" spans="1:6" x14ac:dyDescent="0.35">
      <c r="B4" s="7"/>
      <c r="C4" s="8" t="s">
        <v>3</v>
      </c>
      <c r="D4" s="8" t="s">
        <v>3</v>
      </c>
      <c r="E4" s="25" t="s">
        <v>3</v>
      </c>
      <c r="F4" s="9" t="s">
        <v>3</v>
      </c>
    </row>
    <row r="5" spans="1:6" x14ac:dyDescent="0.35">
      <c r="B5" s="7"/>
      <c r="C5" s="8" t="s">
        <v>4</v>
      </c>
      <c r="D5" s="8" t="s">
        <v>5</v>
      </c>
      <c r="E5" s="25" t="s">
        <v>4</v>
      </c>
      <c r="F5" s="9" t="s">
        <v>5</v>
      </c>
    </row>
    <row r="6" spans="1:6" x14ac:dyDescent="0.35">
      <c r="A6" s="1" t="s">
        <v>6</v>
      </c>
      <c r="B6" s="10" t="s">
        <v>625</v>
      </c>
      <c r="C6" s="11" t="s">
        <v>7</v>
      </c>
      <c r="D6" s="11" t="s">
        <v>7</v>
      </c>
      <c r="E6" s="26" t="s">
        <v>7</v>
      </c>
      <c r="F6" s="12" t="s">
        <v>7</v>
      </c>
    </row>
    <row r="7" spans="1:6" x14ac:dyDescent="0.35">
      <c r="B7" s="13"/>
      <c r="C7" s="14"/>
      <c r="D7" s="14"/>
      <c r="E7" s="27"/>
      <c r="F7" s="9"/>
    </row>
    <row r="8" spans="1:6" x14ac:dyDescent="0.35">
      <c r="A8" s="15" t="s">
        <v>8</v>
      </c>
      <c r="B8" s="16" t="s">
        <v>9</v>
      </c>
      <c r="C8" s="17">
        <v>84.5</v>
      </c>
      <c r="D8" s="17">
        <v>79.72</v>
      </c>
      <c r="E8" s="23">
        <v>34.5</v>
      </c>
      <c r="F8" s="18">
        <f t="shared" ref="F8:F71" si="0">ROUND(E8/1.06,2)</f>
        <v>32.549999999999997</v>
      </c>
    </row>
    <row r="9" spans="1:6" x14ac:dyDescent="0.35">
      <c r="A9" s="15" t="s">
        <v>10</v>
      </c>
      <c r="B9" s="19" t="s">
        <v>11</v>
      </c>
      <c r="C9" s="17">
        <v>74.5</v>
      </c>
      <c r="D9" s="17">
        <v>70.28</v>
      </c>
      <c r="E9" s="23">
        <v>34.5</v>
      </c>
      <c r="F9" s="18">
        <f t="shared" si="0"/>
        <v>32.549999999999997</v>
      </c>
    </row>
    <row r="10" spans="1:6" x14ac:dyDescent="0.35">
      <c r="A10" s="15" t="s">
        <v>12</v>
      </c>
      <c r="B10" s="19" t="s">
        <v>13</v>
      </c>
      <c r="C10" s="17">
        <v>69.5</v>
      </c>
      <c r="D10" s="17">
        <v>65.569999999999993</v>
      </c>
      <c r="E10" s="23">
        <v>34.5</v>
      </c>
      <c r="F10" s="18">
        <f t="shared" si="0"/>
        <v>32.549999999999997</v>
      </c>
    </row>
    <row r="11" spans="1:6" x14ac:dyDescent="0.35">
      <c r="A11" s="15" t="s">
        <v>14</v>
      </c>
      <c r="B11" s="19" t="s">
        <v>15</v>
      </c>
      <c r="C11" s="17">
        <v>59.5</v>
      </c>
      <c r="D11" s="17">
        <v>56.13</v>
      </c>
      <c r="E11" s="23">
        <v>29.95</v>
      </c>
      <c r="F11" s="18">
        <f t="shared" si="0"/>
        <v>28.25</v>
      </c>
    </row>
    <row r="12" spans="1:6" x14ac:dyDescent="0.35">
      <c r="A12" s="15" t="s">
        <v>16</v>
      </c>
      <c r="B12" s="19" t="s">
        <v>17</v>
      </c>
      <c r="C12" s="17">
        <v>67.5</v>
      </c>
      <c r="D12" s="17">
        <v>63.68</v>
      </c>
      <c r="E12" s="23">
        <v>34.5</v>
      </c>
      <c r="F12" s="18">
        <f t="shared" si="0"/>
        <v>32.549999999999997</v>
      </c>
    </row>
    <row r="13" spans="1:6" x14ac:dyDescent="0.35">
      <c r="A13" s="15" t="s">
        <v>18</v>
      </c>
      <c r="B13" s="19" t="s">
        <v>19</v>
      </c>
      <c r="C13" s="17">
        <v>52.5</v>
      </c>
      <c r="D13" s="17">
        <v>49.53</v>
      </c>
      <c r="E13" s="23">
        <v>29.95</v>
      </c>
      <c r="F13" s="18">
        <f t="shared" si="0"/>
        <v>28.25</v>
      </c>
    </row>
    <row r="14" spans="1:6" x14ac:dyDescent="0.35">
      <c r="A14" s="15" t="s">
        <v>20</v>
      </c>
      <c r="B14" s="19" t="s">
        <v>21</v>
      </c>
      <c r="C14" s="17">
        <f>+D14*1.06</f>
        <v>74.496800000000007</v>
      </c>
      <c r="D14" s="17">
        <v>70.28</v>
      </c>
      <c r="E14" s="23">
        <v>42.5</v>
      </c>
      <c r="F14" s="18">
        <f t="shared" si="0"/>
        <v>40.090000000000003</v>
      </c>
    </row>
    <row r="15" spans="1:6" x14ac:dyDescent="0.35">
      <c r="A15" s="15" t="s">
        <v>22</v>
      </c>
      <c r="B15" s="19" t="s">
        <v>23</v>
      </c>
      <c r="C15" s="17">
        <v>42.5</v>
      </c>
      <c r="D15" s="17">
        <v>40.090000000000003</v>
      </c>
      <c r="E15" s="23">
        <v>24.5</v>
      </c>
      <c r="F15" s="18">
        <f t="shared" si="0"/>
        <v>23.11</v>
      </c>
    </row>
    <row r="16" spans="1:6" x14ac:dyDescent="0.35">
      <c r="A16" s="15" t="s">
        <v>24</v>
      </c>
      <c r="B16" s="19" t="s">
        <v>25</v>
      </c>
      <c r="C16" s="17">
        <v>72.5</v>
      </c>
      <c r="D16" s="17">
        <v>68.400000000000006</v>
      </c>
      <c r="E16" s="23">
        <v>42.5</v>
      </c>
      <c r="F16" s="18">
        <f t="shared" si="0"/>
        <v>40.090000000000003</v>
      </c>
    </row>
    <row r="17" spans="1:6" x14ac:dyDescent="0.35">
      <c r="A17" s="15" t="s">
        <v>26</v>
      </c>
      <c r="B17" s="19" t="s">
        <v>27</v>
      </c>
      <c r="C17" s="17">
        <v>74.5</v>
      </c>
      <c r="D17" s="17">
        <v>70.28</v>
      </c>
      <c r="E17" s="23">
        <v>44.5</v>
      </c>
      <c r="F17" s="18">
        <f t="shared" si="0"/>
        <v>41.98</v>
      </c>
    </row>
    <row r="18" spans="1:6" x14ac:dyDescent="0.35">
      <c r="A18" s="15" t="s">
        <v>28</v>
      </c>
      <c r="B18" s="19" t="s">
        <v>29</v>
      </c>
      <c r="C18" s="17">
        <v>74.5</v>
      </c>
      <c r="D18" s="17">
        <v>70.28</v>
      </c>
      <c r="E18" s="23">
        <v>44.5</v>
      </c>
      <c r="F18" s="18">
        <f t="shared" si="0"/>
        <v>41.98</v>
      </c>
    </row>
    <row r="19" spans="1:6" x14ac:dyDescent="0.35">
      <c r="A19" s="15" t="s">
        <v>30</v>
      </c>
      <c r="B19" s="19" t="s">
        <v>31</v>
      </c>
      <c r="C19" s="17">
        <v>57.75</v>
      </c>
      <c r="D19" s="17">
        <v>54.48</v>
      </c>
      <c r="E19" s="23">
        <v>34.5</v>
      </c>
      <c r="F19" s="18">
        <f t="shared" si="0"/>
        <v>32.549999999999997</v>
      </c>
    </row>
    <row r="20" spans="1:6" x14ac:dyDescent="0.35">
      <c r="A20" s="15" t="s">
        <v>32</v>
      </c>
      <c r="B20" s="19" t="s">
        <v>33</v>
      </c>
      <c r="C20" s="17">
        <v>49.82</v>
      </c>
      <c r="D20" s="17">
        <v>47</v>
      </c>
      <c r="E20" s="23">
        <v>29.95</v>
      </c>
      <c r="F20" s="18">
        <f t="shared" si="0"/>
        <v>28.25</v>
      </c>
    </row>
    <row r="21" spans="1:6" x14ac:dyDescent="0.35">
      <c r="A21" s="15" t="s">
        <v>34</v>
      </c>
      <c r="B21" s="19" t="s">
        <v>35</v>
      </c>
      <c r="C21" s="17">
        <v>49.5</v>
      </c>
      <c r="D21" s="17">
        <v>46.7</v>
      </c>
      <c r="E21" s="23">
        <v>29.95</v>
      </c>
      <c r="F21" s="18">
        <f t="shared" si="0"/>
        <v>28.25</v>
      </c>
    </row>
    <row r="22" spans="1:6" x14ac:dyDescent="0.35">
      <c r="A22" s="15" t="s">
        <v>36</v>
      </c>
      <c r="B22" s="19" t="s">
        <v>37</v>
      </c>
      <c r="C22" s="17">
        <v>79</v>
      </c>
      <c r="D22" s="17">
        <v>74.53</v>
      </c>
      <c r="E22" s="23">
        <v>49.95</v>
      </c>
      <c r="F22" s="18">
        <f t="shared" si="0"/>
        <v>47.12</v>
      </c>
    </row>
    <row r="23" spans="1:6" x14ac:dyDescent="0.35">
      <c r="A23" s="15" t="s">
        <v>38</v>
      </c>
      <c r="B23" s="19" t="s">
        <v>39</v>
      </c>
      <c r="C23" s="17">
        <v>69.95</v>
      </c>
      <c r="D23" s="17">
        <v>65.989999999999995</v>
      </c>
      <c r="E23" s="23">
        <v>44.5</v>
      </c>
      <c r="F23" s="18">
        <f t="shared" si="0"/>
        <v>41.98</v>
      </c>
    </row>
    <row r="24" spans="1:6" x14ac:dyDescent="0.35">
      <c r="A24" s="15" t="s">
        <v>40</v>
      </c>
      <c r="B24" s="16" t="s">
        <v>41</v>
      </c>
      <c r="C24" s="17">
        <v>62.5</v>
      </c>
      <c r="D24" s="17">
        <v>58.96</v>
      </c>
      <c r="E24" s="23">
        <v>39.950000000000003</v>
      </c>
      <c r="F24" s="18">
        <f t="shared" si="0"/>
        <v>37.69</v>
      </c>
    </row>
    <row r="25" spans="1:6" x14ac:dyDescent="0.35">
      <c r="A25" s="15" t="s">
        <v>42</v>
      </c>
      <c r="B25" s="19" t="s">
        <v>43</v>
      </c>
      <c r="C25" s="17">
        <v>37.5</v>
      </c>
      <c r="D25" s="17">
        <v>35.380000000000003</v>
      </c>
      <c r="E25" s="23">
        <v>24.5</v>
      </c>
      <c r="F25" s="18">
        <f t="shared" si="0"/>
        <v>23.11</v>
      </c>
    </row>
    <row r="26" spans="1:6" x14ac:dyDescent="0.35">
      <c r="A26" s="15" t="s">
        <v>44</v>
      </c>
      <c r="B26" s="19" t="s">
        <v>45</v>
      </c>
      <c r="C26" s="17">
        <v>37.5</v>
      </c>
      <c r="D26" s="17">
        <v>35.380000000000003</v>
      </c>
      <c r="E26" s="23">
        <v>24.5</v>
      </c>
      <c r="F26" s="18">
        <f t="shared" si="0"/>
        <v>23.11</v>
      </c>
    </row>
    <row r="27" spans="1:6" x14ac:dyDescent="0.35">
      <c r="A27" s="15" t="s">
        <v>46</v>
      </c>
      <c r="B27" s="19" t="s">
        <v>47</v>
      </c>
      <c r="C27" s="17">
        <v>51.95</v>
      </c>
      <c r="D27" s="17">
        <v>49.01</v>
      </c>
      <c r="E27" s="23">
        <v>34.5</v>
      </c>
      <c r="F27" s="18">
        <f t="shared" si="0"/>
        <v>32.549999999999997</v>
      </c>
    </row>
    <row r="28" spans="1:6" x14ac:dyDescent="0.35">
      <c r="A28" s="15" t="s">
        <v>48</v>
      </c>
      <c r="B28" s="19" t="s">
        <v>49</v>
      </c>
      <c r="C28" s="17">
        <v>74.5</v>
      </c>
      <c r="D28" s="17">
        <v>70.28</v>
      </c>
      <c r="E28" s="23">
        <v>49.95</v>
      </c>
      <c r="F28" s="18">
        <f t="shared" si="0"/>
        <v>47.12</v>
      </c>
    </row>
    <row r="29" spans="1:6" x14ac:dyDescent="0.35">
      <c r="A29" s="15" t="s">
        <v>50</v>
      </c>
      <c r="B29" s="19" t="s">
        <v>51</v>
      </c>
      <c r="C29" s="17">
        <v>74.5</v>
      </c>
      <c r="D29" s="17">
        <v>70.28</v>
      </c>
      <c r="E29" s="23">
        <v>49.95</v>
      </c>
      <c r="F29" s="18">
        <f t="shared" si="0"/>
        <v>47.12</v>
      </c>
    </row>
    <row r="30" spans="1:6" x14ac:dyDescent="0.35">
      <c r="A30" s="15" t="s">
        <v>52</v>
      </c>
      <c r="B30" s="19" t="s">
        <v>53</v>
      </c>
      <c r="C30" s="17">
        <v>36.5</v>
      </c>
      <c r="D30" s="17">
        <v>34.43</v>
      </c>
      <c r="E30" s="23">
        <v>24.5</v>
      </c>
      <c r="F30" s="18">
        <f t="shared" si="0"/>
        <v>23.11</v>
      </c>
    </row>
    <row r="31" spans="1:6" x14ac:dyDescent="0.35">
      <c r="A31" s="15" t="s">
        <v>54</v>
      </c>
      <c r="B31" s="19" t="s">
        <v>55</v>
      </c>
      <c r="C31" s="17">
        <v>36.5</v>
      </c>
      <c r="D31" s="17">
        <v>34.43</v>
      </c>
      <c r="E31" s="23">
        <v>24.5</v>
      </c>
      <c r="F31" s="18">
        <f t="shared" si="0"/>
        <v>23.11</v>
      </c>
    </row>
    <row r="32" spans="1:6" x14ac:dyDescent="0.35">
      <c r="A32" s="15" t="s">
        <v>56</v>
      </c>
      <c r="B32" s="19" t="s">
        <v>57</v>
      </c>
      <c r="C32" s="17">
        <v>36.5</v>
      </c>
      <c r="D32" s="17">
        <v>34.43</v>
      </c>
      <c r="E32" s="23">
        <v>24.5</v>
      </c>
      <c r="F32" s="18">
        <f t="shared" si="0"/>
        <v>23.11</v>
      </c>
    </row>
    <row r="33" spans="1:6" x14ac:dyDescent="0.35">
      <c r="A33" s="15" t="s">
        <v>58</v>
      </c>
      <c r="B33" s="19" t="s">
        <v>59</v>
      </c>
      <c r="C33" s="17">
        <v>44.5</v>
      </c>
      <c r="D33" s="17">
        <v>41.98</v>
      </c>
      <c r="E33" s="23">
        <v>29.95</v>
      </c>
      <c r="F33" s="18">
        <f t="shared" si="0"/>
        <v>28.25</v>
      </c>
    </row>
    <row r="34" spans="1:6" x14ac:dyDescent="0.35">
      <c r="A34" s="15" t="s">
        <v>60</v>
      </c>
      <c r="B34" s="19" t="s">
        <v>61</v>
      </c>
      <c r="C34" s="17">
        <v>72.5</v>
      </c>
      <c r="D34" s="17">
        <v>68.400000000000006</v>
      </c>
      <c r="E34" s="23">
        <v>49.95</v>
      </c>
      <c r="F34" s="18">
        <f t="shared" si="0"/>
        <v>47.12</v>
      </c>
    </row>
    <row r="35" spans="1:6" x14ac:dyDescent="0.35">
      <c r="A35" s="15" t="s">
        <v>62</v>
      </c>
      <c r="B35" s="19" t="s">
        <v>63</v>
      </c>
      <c r="C35" s="17">
        <v>72.5</v>
      </c>
      <c r="D35" s="17">
        <v>68.400000000000006</v>
      </c>
      <c r="E35" s="23">
        <v>49.95</v>
      </c>
      <c r="F35" s="18">
        <f t="shared" si="0"/>
        <v>47.12</v>
      </c>
    </row>
    <row r="36" spans="1:6" x14ac:dyDescent="0.35">
      <c r="A36" s="15" t="s">
        <v>64</v>
      </c>
      <c r="B36" s="19" t="s">
        <v>65</v>
      </c>
      <c r="C36" s="17">
        <v>72.5</v>
      </c>
      <c r="D36" s="17">
        <v>68.400000000000006</v>
      </c>
      <c r="E36" s="23">
        <v>49.95</v>
      </c>
      <c r="F36" s="18">
        <f t="shared" si="0"/>
        <v>47.12</v>
      </c>
    </row>
    <row r="37" spans="1:6" x14ac:dyDescent="0.35">
      <c r="A37" s="15" t="s">
        <v>66</v>
      </c>
      <c r="B37" s="19" t="s">
        <v>67</v>
      </c>
      <c r="C37" s="17">
        <v>72.5</v>
      </c>
      <c r="D37" s="17">
        <v>68.400000000000006</v>
      </c>
      <c r="E37" s="23">
        <v>49.95</v>
      </c>
      <c r="F37" s="18">
        <f t="shared" si="0"/>
        <v>47.12</v>
      </c>
    </row>
    <row r="38" spans="1:6" x14ac:dyDescent="0.35">
      <c r="A38" s="15" t="s">
        <v>68</v>
      </c>
      <c r="B38" s="19" t="s">
        <v>69</v>
      </c>
      <c r="C38" s="17">
        <f>+D38*1.06</f>
        <v>72.504000000000005</v>
      </c>
      <c r="D38" s="17">
        <v>68.400000000000006</v>
      </c>
      <c r="E38" s="23">
        <v>49.95</v>
      </c>
      <c r="F38" s="18">
        <f t="shared" si="0"/>
        <v>47.12</v>
      </c>
    </row>
    <row r="39" spans="1:6" x14ac:dyDescent="0.35">
      <c r="A39" s="15" t="s">
        <v>70</v>
      </c>
      <c r="B39" s="19" t="s">
        <v>71</v>
      </c>
      <c r="C39" s="17">
        <f>+D39*1.06</f>
        <v>50.000200000000007</v>
      </c>
      <c r="D39" s="17">
        <v>47.17</v>
      </c>
      <c r="E39" s="23">
        <v>34.5</v>
      </c>
      <c r="F39" s="18">
        <f t="shared" si="0"/>
        <v>32.549999999999997</v>
      </c>
    </row>
    <row r="40" spans="1:6" x14ac:dyDescent="0.35">
      <c r="A40" s="15" t="s">
        <v>72</v>
      </c>
      <c r="B40" s="19" t="s">
        <v>73</v>
      </c>
      <c r="C40" s="17">
        <v>49.5</v>
      </c>
      <c r="D40" s="17">
        <v>46.7</v>
      </c>
      <c r="E40" s="23">
        <v>34.5</v>
      </c>
      <c r="F40" s="18">
        <f t="shared" si="0"/>
        <v>32.549999999999997</v>
      </c>
    </row>
    <row r="41" spans="1:6" x14ac:dyDescent="0.35">
      <c r="A41" s="15" t="s">
        <v>74</v>
      </c>
      <c r="B41" s="19" t="s">
        <v>75</v>
      </c>
      <c r="C41" s="17">
        <v>42.5</v>
      </c>
      <c r="D41" s="17">
        <v>40.090000000000003</v>
      </c>
      <c r="E41" s="23">
        <v>29.95</v>
      </c>
      <c r="F41" s="18">
        <f t="shared" si="0"/>
        <v>28.25</v>
      </c>
    </row>
    <row r="42" spans="1:6" x14ac:dyDescent="0.35">
      <c r="A42" s="15" t="s">
        <v>76</v>
      </c>
      <c r="B42" s="19" t="s">
        <v>77</v>
      </c>
      <c r="C42" s="17">
        <v>42.5</v>
      </c>
      <c r="D42" s="17">
        <v>40.090000000000003</v>
      </c>
      <c r="E42" s="23">
        <v>29.95</v>
      </c>
      <c r="F42" s="18">
        <f t="shared" si="0"/>
        <v>28.25</v>
      </c>
    </row>
    <row r="43" spans="1:6" x14ac:dyDescent="0.35">
      <c r="A43" s="15" t="s">
        <v>78</v>
      </c>
      <c r="B43" s="19" t="s">
        <v>79</v>
      </c>
      <c r="C43" s="17">
        <v>42.5</v>
      </c>
      <c r="D43" s="17">
        <v>40.090000000000003</v>
      </c>
      <c r="E43" s="23">
        <v>29.95</v>
      </c>
      <c r="F43" s="18">
        <f t="shared" si="0"/>
        <v>28.25</v>
      </c>
    </row>
    <row r="44" spans="1:6" x14ac:dyDescent="0.35">
      <c r="A44" s="15" t="s">
        <v>80</v>
      </c>
      <c r="B44" s="19" t="s">
        <v>81</v>
      </c>
      <c r="C44" s="17">
        <v>69.95</v>
      </c>
      <c r="D44" s="17">
        <v>65.989999999999995</v>
      </c>
      <c r="E44" s="23">
        <v>49.95</v>
      </c>
      <c r="F44" s="18">
        <f t="shared" si="0"/>
        <v>47.12</v>
      </c>
    </row>
    <row r="45" spans="1:6" x14ac:dyDescent="0.35">
      <c r="A45" s="15" t="s">
        <v>82</v>
      </c>
      <c r="B45" s="16" t="s">
        <v>83</v>
      </c>
      <c r="C45" s="17">
        <v>69</v>
      </c>
      <c r="D45" s="17">
        <v>65.09</v>
      </c>
      <c r="E45" s="23">
        <v>49.95</v>
      </c>
      <c r="F45" s="18">
        <f t="shared" si="0"/>
        <v>47.12</v>
      </c>
    </row>
    <row r="46" spans="1:6" x14ac:dyDescent="0.35">
      <c r="A46" s="15" t="s">
        <v>84</v>
      </c>
      <c r="B46" s="19" t="s">
        <v>85</v>
      </c>
      <c r="C46" s="17">
        <v>69</v>
      </c>
      <c r="D46" s="17">
        <v>65.09</v>
      </c>
      <c r="E46" s="23">
        <v>49.95</v>
      </c>
      <c r="F46" s="18">
        <f t="shared" si="0"/>
        <v>47.12</v>
      </c>
    </row>
    <row r="47" spans="1:6" x14ac:dyDescent="0.35">
      <c r="A47" s="15" t="s">
        <v>86</v>
      </c>
      <c r="B47" s="19" t="s">
        <v>87</v>
      </c>
      <c r="C47" s="17">
        <v>69</v>
      </c>
      <c r="D47" s="17">
        <v>65.09</v>
      </c>
      <c r="E47" s="23">
        <v>49.95</v>
      </c>
      <c r="F47" s="18">
        <f t="shared" si="0"/>
        <v>47.12</v>
      </c>
    </row>
    <row r="48" spans="1:6" x14ac:dyDescent="0.35">
      <c r="A48" s="15" t="s">
        <v>88</v>
      </c>
      <c r="B48" s="19" t="s">
        <v>89</v>
      </c>
      <c r="C48" s="17">
        <v>40.950000000000003</v>
      </c>
      <c r="D48" s="17">
        <v>38.630000000000003</v>
      </c>
      <c r="E48" s="23">
        <v>29.95</v>
      </c>
      <c r="F48" s="18">
        <f t="shared" si="0"/>
        <v>28.25</v>
      </c>
    </row>
    <row r="49" spans="1:6" x14ac:dyDescent="0.35">
      <c r="A49" s="15" t="s">
        <v>90</v>
      </c>
      <c r="B49" s="19" t="s">
        <v>91</v>
      </c>
      <c r="C49" s="17">
        <v>54.51</v>
      </c>
      <c r="D49" s="17">
        <v>51.42</v>
      </c>
      <c r="E49" s="23">
        <v>39.950000000000003</v>
      </c>
      <c r="F49" s="18">
        <f t="shared" si="0"/>
        <v>37.69</v>
      </c>
    </row>
    <row r="50" spans="1:6" x14ac:dyDescent="0.35">
      <c r="A50" s="15" t="s">
        <v>92</v>
      </c>
      <c r="B50" s="19" t="s">
        <v>93</v>
      </c>
      <c r="C50" s="17">
        <v>67.5</v>
      </c>
      <c r="D50" s="17">
        <v>63.68</v>
      </c>
      <c r="E50" s="23">
        <v>49.95</v>
      </c>
      <c r="F50" s="18">
        <f t="shared" si="0"/>
        <v>47.12</v>
      </c>
    </row>
    <row r="51" spans="1:6" x14ac:dyDescent="0.35">
      <c r="A51" s="15" t="s">
        <v>94</v>
      </c>
      <c r="B51" s="19" t="s">
        <v>95</v>
      </c>
      <c r="C51" s="17">
        <v>19.5</v>
      </c>
      <c r="D51" s="17">
        <v>18.399999999999999</v>
      </c>
      <c r="E51" s="23">
        <v>14.5</v>
      </c>
      <c r="F51" s="18">
        <f t="shared" si="0"/>
        <v>13.68</v>
      </c>
    </row>
    <row r="52" spans="1:6" x14ac:dyDescent="0.35">
      <c r="A52" s="15" t="s">
        <v>96</v>
      </c>
      <c r="B52" s="19" t="s">
        <v>97</v>
      </c>
      <c r="C52" s="17">
        <v>32.9</v>
      </c>
      <c r="D52" s="17">
        <v>31.04</v>
      </c>
      <c r="E52" s="23">
        <v>24.5</v>
      </c>
      <c r="F52" s="18">
        <f t="shared" si="0"/>
        <v>23.11</v>
      </c>
    </row>
    <row r="53" spans="1:6" x14ac:dyDescent="0.35">
      <c r="A53" s="15" t="s">
        <v>98</v>
      </c>
      <c r="B53" s="19" t="s">
        <v>99</v>
      </c>
      <c r="C53" s="17">
        <v>59.5</v>
      </c>
      <c r="D53" s="17">
        <v>56.13</v>
      </c>
      <c r="E53" s="23">
        <v>44.5</v>
      </c>
      <c r="F53" s="18">
        <f t="shared" si="0"/>
        <v>41.98</v>
      </c>
    </row>
    <row r="54" spans="1:6" x14ac:dyDescent="0.35">
      <c r="A54" s="15" t="s">
        <v>100</v>
      </c>
      <c r="B54" s="19" t="s">
        <v>101</v>
      </c>
      <c r="C54" s="17">
        <v>64.5</v>
      </c>
      <c r="D54" s="17">
        <v>60.85</v>
      </c>
      <c r="E54" s="23">
        <v>49.95</v>
      </c>
      <c r="F54" s="18">
        <f t="shared" si="0"/>
        <v>47.12</v>
      </c>
    </row>
    <row r="55" spans="1:6" x14ac:dyDescent="0.35">
      <c r="A55" s="15" t="s">
        <v>102</v>
      </c>
      <c r="B55" s="19" t="s">
        <v>103</v>
      </c>
      <c r="C55" s="17">
        <v>44.5</v>
      </c>
      <c r="D55" s="17">
        <v>41.98</v>
      </c>
      <c r="E55" s="23">
        <v>34.5</v>
      </c>
      <c r="F55" s="18">
        <f t="shared" si="0"/>
        <v>32.549999999999997</v>
      </c>
    </row>
    <row r="56" spans="1:6" x14ac:dyDescent="0.35">
      <c r="A56" s="15" t="s">
        <v>104</v>
      </c>
      <c r="B56" s="19" t="s">
        <v>105</v>
      </c>
      <c r="C56" s="17">
        <v>44.5</v>
      </c>
      <c r="D56" s="17">
        <v>41.98</v>
      </c>
      <c r="E56" s="23">
        <v>34.5</v>
      </c>
      <c r="F56" s="18">
        <f t="shared" si="0"/>
        <v>32.549999999999997</v>
      </c>
    </row>
    <row r="57" spans="1:6" x14ac:dyDescent="0.35">
      <c r="A57" s="15" t="s">
        <v>106</v>
      </c>
      <c r="B57" s="19" t="s">
        <v>107</v>
      </c>
      <c r="C57" s="17">
        <v>31.5</v>
      </c>
      <c r="D57" s="17">
        <v>29.72</v>
      </c>
      <c r="E57" s="23">
        <v>24.5</v>
      </c>
      <c r="F57" s="18">
        <f t="shared" si="0"/>
        <v>23.11</v>
      </c>
    </row>
    <row r="58" spans="1:6" x14ac:dyDescent="0.35">
      <c r="A58" s="15" t="s">
        <v>108</v>
      </c>
      <c r="B58" s="19" t="s">
        <v>109</v>
      </c>
      <c r="C58" s="17">
        <v>38.5</v>
      </c>
      <c r="D58" s="17">
        <v>36.32</v>
      </c>
      <c r="E58" s="23">
        <v>29.95</v>
      </c>
      <c r="F58" s="18">
        <f t="shared" si="0"/>
        <v>28.25</v>
      </c>
    </row>
    <row r="59" spans="1:6" x14ac:dyDescent="0.35">
      <c r="A59" s="15" t="s">
        <v>110</v>
      </c>
      <c r="B59" s="16" t="s">
        <v>111</v>
      </c>
      <c r="C59" s="17">
        <v>31.01</v>
      </c>
      <c r="D59" s="17">
        <v>29.25</v>
      </c>
      <c r="E59" s="23">
        <v>24.5</v>
      </c>
      <c r="F59" s="18">
        <f t="shared" si="0"/>
        <v>23.11</v>
      </c>
    </row>
    <row r="60" spans="1:6" x14ac:dyDescent="0.35">
      <c r="A60" s="15" t="s">
        <v>112</v>
      </c>
      <c r="B60" s="19" t="s">
        <v>113</v>
      </c>
      <c r="C60" s="17">
        <v>31.01</v>
      </c>
      <c r="D60" s="17">
        <v>29.25</v>
      </c>
      <c r="E60" s="23">
        <v>24.5</v>
      </c>
      <c r="F60" s="18">
        <f t="shared" si="0"/>
        <v>23.11</v>
      </c>
    </row>
    <row r="61" spans="1:6" x14ac:dyDescent="0.35">
      <c r="A61" s="15" t="s">
        <v>114</v>
      </c>
      <c r="B61" s="19" t="s">
        <v>115</v>
      </c>
      <c r="C61" s="17">
        <v>50</v>
      </c>
      <c r="D61" s="17">
        <v>47.17</v>
      </c>
      <c r="E61" s="23">
        <v>39.950000000000003</v>
      </c>
      <c r="F61" s="18">
        <f t="shared" si="0"/>
        <v>37.69</v>
      </c>
    </row>
    <row r="62" spans="1:6" x14ac:dyDescent="0.35">
      <c r="A62" s="15" t="s">
        <v>116</v>
      </c>
      <c r="B62" s="19" t="s">
        <v>117</v>
      </c>
      <c r="C62" s="17">
        <v>62.5</v>
      </c>
      <c r="D62" s="17">
        <v>58.96</v>
      </c>
      <c r="E62" s="23">
        <v>49.95</v>
      </c>
      <c r="F62" s="18">
        <f t="shared" si="0"/>
        <v>47.12</v>
      </c>
    </row>
    <row r="63" spans="1:6" x14ac:dyDescent="0.35">
      <c r="A63" s="15" t="s">
        <v>118</v>
      </c>
      <c r="B63" s="19" t="s">
        <v>119</v>
      </c>
      <c r="C63" s="17">
        <f>+D63*1.06</f>
        <v>54.505200000000002</v>
      </c>
      <c r="D63" s="17">
        <v>51.42</v>
      </c>
      <c r="E63" s="23">
        <v>44.5</v>
      </c>
      <c r="F63" s="18">
        <f t="shared" si="0"/>
        <v>41.98</v>
      </c>
    </row>
    <row r="64" spans="1:6" x14ac:dyDescent="0.35">
      <c r="A64" s="15" t="s">
        <v>120</v>
      </c>
      <c r="B64" s="19" t="s">
        <v>121</v>
      </c>
      <c r="C64" s="17">
        <v>36.5</v>
      </c>
      <c r="D64" s="17">
        <v>34.43</v>
      </c>
      <c r="E64" s="23">
        <v>29.95</v>
      </c>
      <c r="F64" s="18">
        <f t="shared" si="0"/>
        <v>28.25</v>
      </c>
    </row>
    <row r="65" spans="1:6" x14ac:dyDescent="0.35">
      <c r="A65" s="15" t="s">
        <v>122</v>
      </c>
      <c r="B65" s="19" t="s">
        <v>123</v>
      </c>
      <c r="C65" s="17">
        <v>36.5</v>
      </c>
      <c r="D65" s="17">
        <v>34.43</v>
      </c>
      <c r="E65" s="23">
        <v>29.95</v>
      </c>
      <c r="F65" s="18">
        <f t="shared" si="0"/>
        <v>28.25</v>
      </c>
    </row>
    <row r="66" spans="1:6" x14ac:dyDescent="0.35">
      <c r="A66" s="15" t="s">
        <v>124</v>
      </c>
      <c r="B66" s="19" t="s">
        <v>125</v>
      </c>
      <c r="C66" s="17">
        <v>36.5</v>
      </c>
      <c r="D66" s="17">
        <v>34.43</v>
      </c>
      <c r="E66" s="23">
        <v>29.95</v>
      </c>
      <c r="F66" s="18">
        <f t="shared" si="0"/>
        <v>28.25</v>
      </c>
    </row>
    <row r="67" spans="1:6" x14ac:dyDescent="0.35">
      <c r="A67" s="15" t="s">
        <v>126</v>
      </c>
      <c r="B67" s="19" t="s">
        <v>127</v>
      </c>
      <c r="C67" s="17">
        <f>+D67*1.06</f>
        <v>36.495800000000003</v>
      </c>
      <c r="D67" s="17">
        <v>34.43</v>
      </c>
      <c r="E67" s="23">
        <v>29.95</v>
      </c>
      <c r="F67" s="18">
        <f t="shared" si="0"/>
        <v>28.25</v>
      </c>
    </row>
    <row r="68" spans="1:6" x14ac:dyDescent="0.35">
      <c r="A68" s="15" t="s">
        <v>128</v>
      </c>
      <c r="B68" s="19" t="s">
        <v>129</v>
      </c>
      <c r="C68" s="17">
        <v>29.5</v>
      </c>
      <c r="D68" s="17">
        <v>27.83</v>
      </c>
      <c r="E68" s="23">
        <v>24.5</v>
      </c>
      <c r="F68" s="18">
        <f t="shared" si="0"/>
        <v>23.11</v>
      </c>
    </row>
    <row r="69" spans="1:6" x14ac:dyDescent="0.35">
      <c r="A69" s="15" t="s">
        <v>130</v>
      </c>
      <c r="B69" s="19" t="s">
        <v>131</v>
      </c>
      <c r="C69" s="17">
        <f>+D69*1.06</f>
        <v>29.4998</v>
      </c>
      <c r="D69" s="17">
        <v>27.83</v>
      </c>
      <c r="E69" s="23">
        <v>24.5</v>
      </c>
      <c r="F69" s="18">
        <f t="shared" si="0"/>
        <v>23.11</v>
      </c>
    </row>
    <row r="70" spans="1:6" x14ac:dyDescent="0.35">
      <c r="A70" s="15" t="s">
        <v>132</v>
      </c>
      <c r="B70" s="16" t="s">
        <v>133</v>
      </c>
      <c r="C70" s="17">
        <v>59.95</v>
      </c>
      <c r="D70" s="17">
        <v>56.56</v>
      </c>
      <c r="E70" s="23">
        <v>49.95</v>
      </c>
      <c r="F70" s="18">
        <f t="shared" si="0"/>
        <v>47.12</v>
      </c>
    </row>
    <row r="71" spans="1:6" x14ac:dyDescent="0.35">
      <c r="A71" s="15" t="s">
        <v>134</v>
      </c>
      <c r="B71" s="19" t="s">
        <v>135</v>
      </c>
      <c r="C71" s="17">
        <v>59.95</v>
      </c>
      <c r="D71" s="17">
        <v>56.56</v>
      </c>
      <c r="E71" s="23">
        <v>49.95</v>
      </c>
      <c r="F71" s="18">
        <f t="shared" si="0"/>
        <v>47.12</v>
      </c>
    </row>
    <row r="72" spans="1:6" x14ac:dyDescent="0.35">
      <c r="A72" s="15" t="s">
        <v>136</v>
      </c>
      <c r="B72" s="19" t="s">
        <v>137</v>
      </c>
      <c r="C72" s="17">
        <v>59.95</v>
      </c>
      <c r="D72" s="17">
        <v>56.56</v>
      </c>
      <c r="E72" s="23">
        <v>49.95</v>
      </c>
      <c r="F72" s="18">
        <f t="shared" ref="F72:F134" si="1">ROUND(E72/1.06,2)</f>
        <v>47.12</v>
      </c>
    </row>
    <row r="73" spans="1:6" x14ac:dyDescent="0.35">
      <c r="A73" s="15" t="s">
        <v>138</v>
      </c>
      <c r="B73" s="19" t="s">
        <v>139</v>
      </c>
      <c r="C73" s="17">
        <v>59.95</v>
      </c>
      <c r="D73" s="17">
        <v>56.56</v>
      </c>
      <c r="E73" s="23">
        <v>49.95</v>
      </c>
      <c r="F73" s="18">
        <f t="shared" si="1"/>
        <v>47.12</v>
      </c>
    </row>
    <row r="74" spans="1:6" x14ac:dyDescent="0.35">
      <c r="A74" s="15" t="s">
        <v>140</v>
      </c>
      <c r="B74" s="19" t="s">
        <v>141</v>
      </c>
      <c r="C74" s="17">
        <v>59.95</v>
      </c>
      <c r="D74" s="17">
        <v>56.56</v>
      </c>
      <c r="E74" s="23">
        <v>49.95</v>
      </c>
      <c r="F74" s="18">
        <f t="shared" si="1"/>
        <v>47.12</v>
      </c>
    </row>
    <row r="75" spans="1:6" x14ac:dyDescent="0.35">
      <c r="A75" s="15" t="s">
        <v>142</v>
      </c>
      <c r="B75" s="19" t="s">
        <v>143</v>
      </c>
      <c r="C75" s="17">
        <f>+D75*1.06</f>
        <v>11.946199999999999</v>
      </c>
      <c r="D75" s="17">
        <v>11.27</v>
      </c>
      <c r="E75" s="23">
        <v>9.9499999999999993</v>
      </c>
      <c r="F75" s="18">
        <f t="shared" si="1"/>
        <v>9.39</v>
      </c>
    </row>
    <row r="76" spans="1:6" x14ac:dyDescent="0.35">
      <c r="A76" s="15" t="s">
        <v>144</v>
      </c>
      <c r="B76" s="19" t="s">
        <v>145</v>
      </c>
      <c r="C76" s="17">
        <f>+D76*1.06</f>
        <v>59.497800000000005</v>
      </c>
      <c r="D76" s="17">
        <v>56.13</v>
      </c>
      <c r="E76" s="23">
        <v>49.95</v>
      </c>
      <c r="F76" s="18">
        <f t="shared" si="1"/>
        <v>47.12</v>
      </c>
    </row>
    <row r="77" spans="1:6" x14ac:dyDescent="0.35">
      <c r="A77" s="15" t="s">
        <v>146</v>
      </c>
      <c r="B77" s="19" t="s">
        <v>147</v>
      </c>
      <c r="C77" s="17">
        <v>59.5</v>
      </c>
      <c r="D77" s="17">
        <v>56.13</v>
      </c>
      <c r="E77" s="23">
        <v>49.95</v>
      </c>
      <c r="F77" s="18">
        <f t="shared" si="1"/>
        <v>47.12</v>
      </c>
    </row>
    <row r="78" spans="1:6" x14ac:dyDescent="0.35">
      <c r="A78" s="15" t="s">
        <v>148</v>
      </c>
      <c r="B78" s="19" t="s">
        <v>149</v>
      </c>
      <c r="C78" s="17">
        <v>64.5</v>
      </c>
      <c r="D78" s="17">
        <v>60.85</v>
      </c>
      <c r="E78" s="23">
        <v>54.5</v>
      </c>
      <c r="F78" s="18">
        <f t="shared" si="1"/>
        <v>51.42</v>
      </c>
    </row>
    <row r="79" spans="1:6" x14ac:dyDescent="0.35">
      <c r="A79" s="15" t="s">
        <v>150</v>
      </c>
      <c r="B79" s="19" t="s">
        <v>151</v>
      </c>
      <c r="C79" s="17">
        <v>28.95</v>
      </c>
      <c r="D79" s="17">
        <v>27.31</v>
      </c>
      <c r="E79" s="23">
        <v>24.5</v>
      </c>
      <c r="F79" s="18">
        <f t="shared" si="1"/>
        <v>23.11</v>
      </c>
    </row>
    <row r="80" spans="1:6" x14ac:dyDescent="0.35">
      <c r="A80" s="15" t="s">
        <v>152</v>
      </c>
      <c r="B80" s="19" t="s">
        <v>153</v>
      </c>
      <c r="C80" s="17">
        <v>28.5</v>
      </c>
      <c r="D80" s="17">
        <v>26.89</v>
      </c>
      <c r="E80" s="23">
        <v>24.5</v>
      </c>
      <c r="F80" s="18">
        <f t="shared" si="1"/>
        <v>23.11</v>
      </c>
    </row>
    <row r="81" spans="1:6" x14ac:dyDescent="0.35">
      <c r="A81" s="15" t="s">
        <v>154</v>
      </c>
      <c r="B81" s="19" t="s">
        <v>155</v>
      </c>
      <c r="C81" s="17">
        <v>57.75</v>
      </c>
      <c r="D81" s="17">
        <v>54.48</v>
      </c>
      <c r="E81" s="23">
        <v>49.95</v>
      </c>
      <c r="F81" s="18">
        <f t="shared" si="1"/>
        <v>47.12</v>
      </c>
    </row>
    <row r="82" spans="1:6" x14ac:dyDescent="0.35">
      <c r="A82" s="15" t="s">
        <v>156</v>
      </c>
      <c r="B82" s="19" t="s">
        <v>157</v>
      </c>
      <c r="C82" s="17">
        <f>+D82*1.06</f>
        <v>57.748800000000003</v>
      </c>
      <c r="D82" s="17">
        <v>54.48</v>
      </c>
      <c r="E82" s="23">
        <v>49.95</v>
      </c>
      <c r="F82" s="18">
        <f t="shared" si="1"/>
        <v>47.12</v>
      </c>
    </row>
    <row r="83" spans="1:6" x14ac:dyDescent="0.35">
      <c r="A83" s="15" t="s">
        <v>158</v>
      </c>
      <c r="B83" s="19" t="s">
        <v>159</v>
      </c>
      <c r="C83" s="17">
        <f>+D83*1.06</f>
        <v>57.748800000000003</v>
      </c>
      <c r="D83" s="17">
        <v>54.48</v>
      </c>
      <c r="E83" s="23">
        <v>49.95</v>
      </c>
      <c r="F83" s="18">
        <f t="shared" si="1"/>
        <v>47.12</v>
      </c>
    </row>
    <row r="84" spans="1:6" x14ac:dyDescent="0.35">
      <c r="A84" s="15" t="s">
        <v>160</v>
      </c>
      <c r="B84" s="19" t="s">
        <v>161</v>
      </c>
      <c r="C84" s="17">
        <v>57.51</v>
      </c>
      <c r="D84" s="17">
        <v>54.25</v>
      </c>
      <c r="E84" s="23">
        <v>49.95</v>
      </c>
      <c r="F84" s="18">
        <f t="shared" si="1"/>
        <v>47.12</v>
      </c>
    </row>
    <row r="85" spans="1:6" x14ac:dyDescent="0.35">
      <c r="A85" s="15" t="s">
        <v>162</v>
      </c>
      <c r="B85" s="19" t="s">
        <v>163</v>
      </c>
      <c r="C85" s="17">
        <v>68.5</v>
      </c>
      <c r="D85" s="17">
        <v>64.62</v>
      </c>
      <c r="E85" s="23">
        <v>59.95</v>
      </c>
      <c r="F85" s="18">
        <f t="shared" si="1"/>
        <v>56.56</v>
      </c>
    </row>
    <row r="86" spans="1:6" x14ac:dyDescent="0.35">
      <c r="A86" s="15" t="s">
        <v>164</v>
      </c>
      <c r="B86" s="19" t="s">
        <v>165</v>
      </c>
      <c r="C86" s="17">
        <v>27.95</v>
      </c>
      <c r="D86" s="17">
        <v>26.37</v>
      </c>
      <c r="E86" s="23">
        <v>24.5</v>
      </c>
      <c r="F86" s="18">
        <f t="shared" si="1"/>
        <v>23.11</v>
      </c>
    </row>
    <row r="87" spans="1:6" x14ac:dyDescent="0.35">
      <c r="A87" s="15" t="s">
        <v>166</v>
      </c>
      <c r="B87" s="19" t="s">
        <v>167</v>
      </c>
      <c r="C87" s="17">
        <v>19.95</v>
      </c>
      <c r="D87" s="17">
        <v>18.82</v>
      </c>
      <c r="E87" s="23">
        <v>17.5</v>
      </c>
      <c r="F87" s="18">
        <f t="shared" si="1"/>
        <v>16.510000000000002</v>
      </c>
    </row>
    <row r="88" spans="1:6" x14ac:dyDescent="0.35">
      <c r="A88" s="15" t="s">
        <v>168</v>
      </c>
      <c r="B88" s="19" t="s">
        <v>169</v>
      </c>
      <c r="C88" s="17">
        <v>22.5</v>
      </c>
      <c r="D88" s="17">
        <v>21.23</v>
      </c>
      <c r="E88" s="23">
        <v>19.95</v>
      </c>
      <c r="F88" s="18">
        <f t="shared" si="1"/>
        <v>18.82</v>
      </c>
    </row>
    <row r="89" spans="1:6" x14ac:dyDescent="0.35">
      <c r="A89" s="15" t="s">
        <v>170</v>
      </c>
      <c r="B89" s="19" t="s">
        <v>171</v>
      </c>
      <c r="C89" s="17">
        <v>45</v>
      </c>
      <c r="D89" s="17">
        <v>42.45</v>
      </c>
      <c r="E89" s="23">
        <v>39.950000000000003</v>
      </c>
      <c r="F89" s="18">
        <f t="shared" si="1"/>
        <v>37.69</v>
      </c>
    </row>
    <row r="90" spans="1:6" x14ac:dyDescent="0.35">
      <c r="A90" s="15" t="s">
        <v>172</v>
      </c>
      <c r="B90" s="19" t="s">
        <v>173</v>
      </c>
      <c r="C90" s="17">
        <v>67.5</v>
      </c>
      <c r="D90" s="17">
        <v>63.68</v>
      </c>
      <c r="E90" s="23">
        <v>59.95</v>
      </c>
      <c r="F90" s="18">
        <f t="shared" si="1"/>
        <v>56.56</v>
      </c>
    </row>
    <row r="91" spans="1:6" x14ac:dyDescent="0.35">
      <c r="A91" s="15" t="s">
        <v>174</v>
      </c>
      <c r="B91" s="19" t="s">
        <v>175</v>
      </c>
      <c r="C91" s="17">
        <v>27.5</v>
      </c>
      <c r="D91" s="17">
        <v>25.94</v>
      </c>
      <c r="E91" s="23">
        <v>24.5</v>
      </c>
      <c r="F91" s="18">
        <f t="shared" si="1"/>
        <v>23.11</v>
      </c>
    </row>
    <row r="92" spans="1:6" x14ac:dyDescent="0.35">
      <c r="A92" s="15" t="s">
        <v>176</v>
      </c>
      <c r="B92" s="19" t="s">
        <v>177</v>
      </c>
      <c r="C92" s="17">
        <v>27.5</v>
      </c>
      <c r="D92" s="17">
        <v>25.94</v>
      </c>
      <c r="E92" s="23">
        <v>24.5</v>
      </c>
      <c r="F92" s="18">
        <f t="shared" si="1"/>
        <v>23.11</v>
      </c>
    </row>
    <row r="93" spans="1:6" x14ac:dyDescent="0.35">
      <c r="A93" s="15" t="s">
        <v>178</v>
      </c>
      <c r="B93" s="19" t="s">
        <v>179</v>
      </c>
      <c r="C93" s="17">
        <v>27.5</v>
      </c>
      <c r="D93" s="17">
        <v>25.94</v>
      </c>
      <c r="E93" s="23">
        <v>24.5</v>
      </c>
      <c r="F93" s="18">
        <f t="shared" si="1"/>
        <v>23.11</v>
      </c>
    </row>
    <row r="94" spans="1:6" x14ac:dyDescent="0.35">
      <c r="A94" s="15" t="s">
        <v>180</v>
      </c>
      <c r="B94" s="19" t="s">
        <v>181</v>
      </c>
      <c r="C94" s="17">
        <f>+D94*1.06</f>
        <v>27.496400000000001</v>
      </c>
      <c r="D94" s="17">
        <v>25.94</v>
      </c>
      <c r="E94" s="23">
        <v>24.5</v>
      </c>
      <c r="F94" s="18">
        <f t="shared" si="1"/>
        <v>23.11</v>
      </c>
    </row>
    <row r="95" spans="1:6" x14ac:dyDescent="0.35">
      <c r="A95" s="15" t="s">
        <v>182</v>
      </c>
      <c r="B95" s="19" t="s">
        <v>183</v>
      </c>
      <c r="C95" s="17">
        <v>33.5</v>
      </c>
      <c r="D95" s="17">
        <v>31.6</v>
      </c>
      <c r="E95" s="23">
        <v>29.95</v>
      </c>
      <c r="F95" s="18">
        <f t="shared" si="1"/>
        <v>28.25</v>
      </c>
    </row>
    <row r="96" spans="1:6" x14ac:dyDescent="0.35">
      <c r="A96" s="15" t="s">
        <v>184</v>
      </c>
      <c r="B96" s="19" t="s">
        <v>185</v>
      </c>
      <c r="C96" s="17">
        <v>33.5</v>
      </c>
      <c r="D96" s="17">
        <v>31.6</v>
      </c>
      <c r="E96" s="23">
        <v>29.95</v>
      </c>
      <c r="F96" s="18">
        <f t="shared" si="1"/>
        <v>28.25</v>
      </c>
    </row>
    <row r="97" spans="1:6" x14ac:dyDescent="0.35">
      <c r="A97" s="15" t="s">
        <v>186</v>
      </c>
      <c r="B97" s="19" t="s">
        <v>187</v>
      </c>
      <c r="C97" s="17">
        <v>33.5</v>
      </c>
      <c r="D97" s="17">
        <v>31.6</v>
      </c>
      <c r="E97" s="23">
        <v>29.95</v>
      </c>
      <c r="F97" s="18">
        <f t="shared" si="1"/>
        <v>28.25</v>
      </c>
    </row>
    <row r="98" spans="1:6" x14ac:dyDescent="0.35">
      <c r="A98" s="15" t="s">
        <v>188</v>
      </c>
      <c r="B98" s="19" t="s">
        <v>189</v>
      </c>
      <c r="C98" s="17">
        <v>33.5</v>
      </c>
      <c r="D98" s="17">
        <v>31.6</v>
      </c>
      <c r="E98" s="23">
        <v>29.95</v>
      </c>
      <c r="F98" s="18">
        <f t="shared" si="1"/>
        <v>28.25</v>
      </c>
    </row>
    <row r="99" spans="1:6" x14ac:dyDescent="0.35">
      <c r="A99" s="15" t="s">
        <v>190</v>
      </c>
      <c r="B99" s="19" t="s">
        <v>191</v>
      </c>
      <c r="C99" s="17">
        <v>33.5</v>
      </c>
      <c r="D99" s="17">
        <v>31.6</v>
      </c>
      <c r="E99" s="23">
        <v>29.95</v>
      </c>
      <c r="F99" s="18">
        <f t="shared" si="1"/>
        <v>28.25</v>
      </c>
    </row>
    <row r="100" spans="1:6" x14ac:dyDescent="0.35">
      <c r="A100" s="15" t="s">
        <v>192</v>
      </c>
      <c r="B100" s="19" t="s">
        <v>193</v>
      </c>
      <c r="C100" s="17">
        <v>33.5</v>
      </c>
      <c r="D100" s="17">
        <v>31.6</v>
      </c>
      <c r="E100" s="23">
        <v>29.95</v>
      </c>
      <c r="F100" s="18">
        <f t="shared" si="1"/>
        <v>28.25</v>
      </c>
    </row>
    <row r="101" spans="1:6" x14ac:dyDescent="0.35">
      <c r="A101" s="15" t="s">
        <v>194</v>
      </c>
      <c r="B101" s="19" t="s">
        <v>195</v>
      </c>
      <c r="C101" s="17">
        <v>33.5</v>
      </c>
      <c r="D101" s="17">
        <v>31.6</v>
      </c>
      <c r="E101" s="23">
        <v>29.95</v>
      </c>
      <c r="F101" s="18">
        <f t="shared" si="1"/>
        <v>28.25</v>
      </c>
    </row>
    <row r="102" spans="1:6" x14ac:dyDescent="0.35">
      <c r="A102" s="15" t="s">
        <v>196</v>
      </c>
      <c r="B102" s="19" t="s">
        <v>197</v>
      </c>
      <c r="C102" s="17">
        <v>49.5</v>
      </c>
      <c r="D102" s="17">
        <v>46.7</v>
      </c>
      <c r="E102" s="23">
        <v>44.5</v>
      </c>
      <c r="F102" s="18">
        <f t="shared" si="1"/>
        <v>41.98</v>
      </c>
    </row>
    <row r="103" spans="1:6" x14ac:dyDescent="0.35">
      <c r="A103" s="15" t="s">
        <v>198</v>
      </c>
      <c r="B103" s="19" t="s">
        <v>199</v>
      </c>
      <c r="C103" s="17">
        <v>54.51</v>
      </c>
      <c r="D103" s="17">
        <v>51.42</v>
      </c>
      <c r="E103" s="23">
        <v>49.95</v>
      </c>
      <c r="F103" s="18">
        <f t="shared" si="1"/>
        <v>47.12</v>
      </c>
    </row>
    <row r="104" spans="1:6" x14ac:dyDescent="0.35">
      <c r="A104" s="15" t="s">
        <v>200</v>
      </c>
      <c r="B104" s="19" t="s">
        <v>201</v>
      </c>
      <c r="C104" s="17">
        <v>54.51</v>
      </c>
      <c r="D104" s="17">
        <v>51.42</v>
      </c>
      <c r="E104" s="23">
        <v>49.95</v>
      </c>
      <c r="F104" s="18">
        <f t="shared" si="1"/>
        <v>47.12</v>
      </c>
    </row>
    <row r="105" spans="1:6" x14ac:dyDescent="0.35">
      <c r="A105" s="15" t="s">
        <v>202</v>
      </c>
      <c r="B105" s="19" t="s">
        <v>203</v>
      </c>
      <c r="C105" s="17">
        <v>54.51</v>
      </c>
      <c r="D105" s="17">
        <v>51.42</v>
      </c>
      <c r="E105" s="23">
        <v>49.95</v>
      </c>
      <c r="F105" s="18">
        <f t="shared" si="1"/>
        <v>47.12</v>
      </c>
    </row>
    <row r="106" spans="1:6" x14ac:dyDescent="0.35">
      <c r="A106" s="15" t="s">
        <v>204</v>
      </c>
      <c r="B106" s="19" t="s">
        <v>205</v>
      </c>
      <c r="C106" s="17">
        <v>54.51</v>
      </c>
      <c r="D106" s="17">
        <v>51.42</v>
      </c>
      <c r="E106" s="23">
        <v>49.95</v>
      </c>
      <c r="F106" s="18">
        <f t="shared" si="1"/>
        <v>47.12</v>
      </c>
    </row>
    <row r="107" spans="1:6" x14ac:dyDescent="0.35">
      <c r="A107" s="15" t="s">
        <v>206</v>
      </c>
      <c r="B107" s="19" t="s">
        <v>207</v>
      </c>
      <c r="C107" s="17">
        <v>54.51</v>
      </c>
      <c r="D107" s="17">
        <v>51.42</v>
      </c>
      <c r="E107" s="23">
        <v>49.95</v>
      </c>
      <c r="F107" s="18">
        <f t="shared" si="1"/>
        <v>47.12</v>
      </c>
    </row>
    <row r="108" spans="1:6" x14ac:dyDescent="0.35">
      <c r="A108" s="15" t="s">
        <v>208</v>
      </c>
      <c r="B108" s="19" t="s">
        <v>209</v>
      </c>
      <c r="C108" s="17">
        <v>54.51</v>
      </c>
      <c r="D108" s="17">
        <v>51.42</v>
      </c>
      <c r="E108" s="23">
        <v>49.95</v>
      </c>
      <c r="F108" s="18">
        <f t="shared" si="1"/>
        <v>47.12</v>
      </c>
    </row>
    <row r="109" spans="1:6" x14ac:dyDescent="0.35">
      <c r="A109" s="15" t="s">
        <v>210</v>
      </c>
      <c r="B109" s="19" t="s">
        <v>211</v>
      </c>
      <c r="C109" s="17">
        <v>37.5</v>
      </c>
      <c r="D109" s="17">
        <v>35.380000000000003</v>
      </c>
      <c r="E109" s="23">
        <v>34.5</v>
      </c>
      <c r="F109" s="18">
        <f t="shared" si="1"/>
        <v>32.549999999999997</v>
      </c>
    </row>
    <row r="110" spans="1:6" x14ac:dyDescent="0.35">
      <c r="A110" s="15" t="s">
        <v>212</v>
      </c>
      <c r="B110" s="19" t="s">
        <v>213</v>
      </c>
      <c r="C110" s="17">
        <v>37.5</v>
      </c>
      <c r="D110" s="17">
        <v>35.380000000000003</v>
      </c>
      <c r="E110" s="23">
        <v>34.5</v>
      </c>
      <c r="F110" s="18">
        <f t="shared" si="1"/>
        <v>32.549999999999997</v>
      </c>
    </row>
    <row r="111" spans="1:6" x14ac:dyDescent="0.35">
      <c r="A111" s="15" t="s">
        <v>214</v>
      </c>
      <c r="B111" s="19" t="s">
        <v>215</v>
      </c>
      <c r="C111" s="17">
        <v>37.5</v>
      </c>
      <c r="D111" s="17">
        <v>35.380000000000003</v>
      </c>
      <c r="E111" s="23">
        <v>34.5</v>
      </c>
      <c r="F111" s="18">
        <f t="shared" si="1"/>
        <v>32.549999999999997</v>
      </c>
    </row>
    <row r="112" spans="1:6" x14ac:dyDescent="0.35">
      <c r="A112" s="15" t="s">
        <v>216</v>
      </c>
      <c r="B112" s="19" t="s">
        <v>217</v>
      </c>
      <c r="C112" s="17">
        <v>32.5</v>
      </c>
      <c r="D112" s="17">
        <v>30.66</v>
      </c>
      <c r="E112" s="23">
        <v>29.95</v>
      </c>
      <c r="F112" s="18">
        <f t="shared" si="1"/>
        <v>28.25</v>
      </c>
    </row>
    <row r="113" spans="1:6" x14ac:dyDescent="0.35">
      <c r="A113" s="15" t="s">
        <v>218</v>
      </c>
      <c r="B113" s="19" t="s">
        <v>219</v>
      </c>
      <c r="C113" s="17">
        <v>54</v>
      </c>
      <c r="D113" s="17">
        <v>50.94</v>
      </c>
      <c r="E113" s="23">
        <v>49.95</v>
      </c>
      <c r="F113" s="18">
        <f t="shared" si="1"/>
        <v>47.12</v>
      </c>
    </row>
    <row r="114" spans="1:6" x14ac:dyDescent="0.35">
      <c r="A114" s="15" t="s">
        <v>220</v>
      </c>
      <c r="B114" s="19" t="s">
        <v>221</v>
      </c>
      <c r="C114" s="17">
        <v>54</v>
      </c>
      <c r="D114" s="17">
        <v>50.94</v>
      </c>
      <c r="E114" s="23">
        <v>49.95</v>
      </c>
      <c r="F114" s="18">
        <f t="shared" si="1"/>
        <v>47.12</v>
      </c>
    </row>
    <row r="115" spans="1:6" x14ac:dyDescent="0.35">
      <c r="A115" s="15" t="s">
        <v>222</v>
      </c>
      <c r="B115" s="19" t="s">
        <v>223</v>
      </c>
      <c r="C115" s="17">
        <v>64.5</v>
      </c>
      <c r="D115" s="17">
        <v>60.85</v>
      </c>
      <c r="E115" s="23">
        <v>59.95</v>
      </c>
      <c r="F115" s="18">
        <f t="shared" si="1"/>
        <v>56.56</v>
      </c>
    </row>
    <row r="116" spans="1:6" x14ac:dyDescent="0.35">
      <c r="A116" s="15" t="s">
        <v>224</v>
      </c>
      <c r="B116" s="19" t="s">
        <v>225</v>
      </c>
      <c r="C116" s="17">
        <v>15.95</v>
      </c>
      <c r="D116" s="17">
        <v>15.05</v>
      </c>
      <c r="E116" s="23">
        <v>14.95</v>
      </c>
      <c r="F116" s="18">
        <f t="shared" si="1"/>
        <v>14.1</v>
      </c>
    </row>
    <row r="117" spans="1:6" x14ac:dyDescent="0.35">
      <c r="A117" s="15" t="s">
        <v>226</v>
      </c>
      <c r="B117" s="19" t="s">
        <v>227</v>
      </c>
      <c r="C117" s="17">
        <v>31.95</v>
      </c>
      <c r="D117" s="17">
        <v>30.14</v>
      </c>
      <c r="E117" s="23">
        <v>29.95</v>
      </c>
      <c r="F117" s="18">
        <f t="shared" si="1"/>
        <v>28.25</v>
      </c>
    </row>
    <row r="118" spans="1:6" x14ac:dyDescent="0.35">
      <c r="A118" s="15" t="s">
        <v>228</v>
      </c>
      <c r="B118" s="19" t="s">
        <v>229</v>
      </c>
      <c r="C118" s="17">
        <v>26</v>
      </c>
      <c r="D118" s="17">
        <v>24.53</v>
      </c>
      <c r="E118" s="23">
        <v>24.5</v>
      </c>
      <c r="F118" s="18">
        <f t="shared" si="1"/>
        <v>23.11</v>
      </c>
    </row>
    <row r="119" spans="1:6" x14ac:dyDescent="0.35">
      <c r="A119" s="15" t="s">
        <v>230</v>
      </c>
      <c r="B119" s="19" t="s">
        <v>231</v>
      </c>
      <c r="C119" s="17">
        <v>57.51</v>
      </c>
      <c r="D119" s="17">
        <v>54.25</v>
      </c>
      <c r="E119" s="23">
        <v>54.5</v>
      </c>
      <c r="F119" s="18">
        <f t="shared" si="1"/>
        <v>51.42</v>
      </c>
    </row>
    <row r="120" spans="1:6" x14ac:dyDescent="0.35">
      <c r="A120" s="15" t="s">
        <v>232</v>
      </c>
      <c r="B120" s="19" t="s">
        <v>233</v>
      </c>
      <c r="C120" s="17">
        <v>52.5</v>
      </c>
      <c r="D120" s="17">
        <v>49.53</v>
      </c>
      <c r="E120" s="23">
        <v>49.95</v>
      </c>
      <c r="F120" s="18">
        <f t="shared" si="1"/>
        <v>47.12</v>
      </c>
    </row>
    <row r="121" spans="1:6" x14ac:dyDescent="0.35">
      <c r="A121" s="15" t="s">
        <v>234</v>
      </c>
      <c r="B121" s="19" t="s">
        <v>235</v>
      </c>
      <c r="C121" s="17">
        <v>52.5</v>
      </c>
      <c r="D121" s="17">
        <v>49.53</v>
      </c>
      <c r="E121" s="23">
        <v>49.95</v>
      </c>
      <c r="F121" s="18">
        <f t="shared" si="1"/>
        <v>47.12</v>
      </c>
    </row>
    <row r="122" spans="1:6" x14ac:dyDescent="0.35">
      <c r="A122" s="15" t="s">
        <v>236</v>
      </c>
      <c r="B122" s="19" t="s">
        <v>237</v>
      </c>
      <c r="C122" s="17">
        <f>+D122*1.06</f>
        <v>52.501800000000003</v>
      </c>
      <c r="D122" s="17">
        <v>49.53</v>
      </c>
      <c r="E122" s="23">
        <v>49.95</v>
      </c>
      <c r="F122" s="18">
        <f t="shared" si="1"/>
        <v>47.12</v>
      </c>
    </row>
    <row r="123" spans="1:6" x14ac:dyDescent="0.35">
      <c r="A123" s="15" t="s">
        <v>238</v>
      </c>
      <c r="B123" s="19" t="s">
        <v>239</v>
      </c>
      <c r="C123" s="17">
        <v>62.5</v>
      </c>
      <c r="D123" s="17">
        <v>58.96</v>
      </c>
      <c r="E123" s="23">
        <v>59.95</v>
      </c>
      <c r="F123" s="18">
        <f t="shared" si="1"/>
        <v>56.56</v>
      </c>
    </row>
    <row r="124" spans="1:6" x14ac:dyDescent="0.35">
      <c r="A124" s="15" t="s">
        <v>240</v>
      </c>
      <c r="B124" s="19" t="s">
        <v>241</v>
      </c>
      <c r="C124" s="17">
        <v>62.5</v>
      </c>
      <c r="D124" s="17">
        <v>58.96</v>
      </c>
      <c r="E124" s="23">
        <v>59.95</v>
      </c>
      <c r="F124" s="18">
        <f t="shared" si="1"/>
        <v>56.56</v>
      </c>
    </row>
    <row r="125" spans="1:6" x14ac:dyDescent="0.35">
      <c r="A125" s="15" t="s">
        <v>242</v>
      </c>
      <c r="B125" s="19" t="s">
        <v>243</v>
      </c>
      <c r="C125" s="17">
        <v>62.5</v>
      </c>
      <c r="D125" s="17">
        <v>58.96</v>
      </c>
      <c r="E125" s="23">
        <v>59.95</v>
      </c>
      <c r="F125" s="18">
        <f t="shared" si="1"/>
        <v>56.56</v>
      </c>
    </row>
    <row r="126" spans="1:6" x14ac:dyDescent="0.35">
      <c r="A126" s="15" t="s">
        <v>244</v>
      </c>
      <c r="B126" s="19" t="s">
        <v>245</v>
      </c>
      <c r="C126" s="17">
        <v>62.5</v>
      </c>
      <c r="D126" s="17">
        <v>58.96</v>
      </c>
      <c r="E126" s="23">
        <v>59.95</v>
      </c>
      <c r="F126" s="18">
        <f t="shared" si="1"/>
        <v>56.56</v>
      </c>
    </row>
    <row r="127" spans="1:6" x14ac:dyDescent="0.35">
      <c r="A127" s="15" t="s">
        <v>246</v>
      </c>
      <c r="B127" s="19" t="s">
        <v>247</v>
      </c>
      <c r="C127" s="17">
        <v>62.5</v>
      </c>
      <c r="D127" s="17">
        <v>58.96</v>
      </c>
      <c r="E127" s="23">
        <v>59.95</v>
      </c>
      <c r="F127" s="18">
        <f t="shared" si="1"/>
        <v>56.56</v>
      </c>
    </row>
    <row r="128" spans="1:6" x14ac:dyDescent="0.35">
      <c r="A128" s="15" t="s">
        <v>248</v>
      </c>
      <c r="B128" s="19" t="s">
        <v>249</v>
      </c>
      <c r="C128" s="17">
        <v>14.5</v>
      </c>
      <c r="D128" s="17">
        <v>13.68</v>
      </c>
      <c r="E128" s="23">
        <v>13.95</v>
      </c>
      <c r="F128" s="18">
        <f t="shared" si="1"/>
        <v>13.16</v>
      </c>
    </row>
    <row r="129" spans="1:6" x14ac:dyDescent="0.35">
      <c r="A129" s="15" t="s">
        <v>250</v>
      </c>
      <c r="B129" s="19" t="s">
        <v>251</v>
      </c>
      <c r="C129" s="17">
        <v>31.01</v>
      </c>
      <c r="D129" s="17">
        <v>29.25</v>
      </c>
      <c r="E129" s="23">
        <v>29.95</v>
      </c>
      <c r="F129" s="18">
        <f t="shared" si="1"/>
        <v>28.25</v>
      </c>
    </row>
    <row r="130" spans="1:6" x14ac:dyDescent="0.35">
      <c r="A130" s="15" t="s">
        <v>252</v>
      </c>
      <c r="B130" s="19" t="s">
        <v>253</v>
      </c>
      <c r="C130" s="17">
        <v>61.5</v>
      </c>
      <c r="D130" s="17">
        <v>58.02</v>
      </c>
      <c r="E130" s="23">
        <v>59.95</v>
      </c>
      <c r="F130" s="18">
        <f t="shared" si="1"/>
        <v>56.56</v>
      </c>
    </row>
    <row r="131" spans="1:6" x14ac:dyDescent="0.35">
      <c r="A131" s="15" t="s">
        <v>254</v>
      </c>
      <c r="B131" s="19" t="s">
        <v>255</v>
      </c>
      <c r="C131" s="17">
        <v>24.95</v>
      </c>
      <c r="D131" s="17">
        <v>23.54</v>
      </c>
      <c r="E131" s="23">
        <v>24.5</v>
      </c>
      <c r="F131" s="18">
        <f t="shared" si="1"/>
        <v>23.11</v>
      </c>
    </row>
    <row r="132" spans="1:6" x14ac:dyDescent="0.35">
      <c r="A132" s="15" t="s">
        <v>256</v>
      </c>
      <c r="B132" s="19" t="s">
        <v>257</v>
      </c>
      <c r="C132" s="17">
        <v>30.5</v>
      </c>
      <c r="D132" s="17">
        <v>28.77</v>
      </c>
      <c r="E132" s="23">
        <v>29.95</v>
      </c>
      <c r="F132" s="18">
        <f t="shared" si="1"/>
        <v>28.25</v>
      </c>
    </row>
    <row r="133" spans="1:6" x14ac:dyDescent="0.35">
      <c r="A133" s="15" t="s">
        <v>258</v>
      </c>
      <c r="B133" s="19" t="s">
        <v>259</v>
      </c>
      <c r="C133" s="17">
        <v>40.5</v>
      </c>
      <c r="D133" s="17">
        <v>38.21</v>
      </c>
      <c r="E133" s="23">
        <v>39.950000000000003</v>
      </c>
      <c r="F133" s="18">
        <f t="shared" si="1"/>
        <v>37.69</v>
      </c>
    </row>
    <row r="134" spans="1:6" x14ac:dyDescent="0.35">
      <c r="A134" s="15" t="s">
        <v>260</v>
      </c>
      <c r="B134" s="19" t="s">
        <v>261</v>
      </c>
      <c r="C134" s="17">
        <v>40.5</v>
      </c>
      <c r="D134" s="17">
        <v>38.21</v>
      </c>
      <c r="E134" s="23">
        <v>39.950000000000003</v>
      </c>
      <c r="F134" s="18">
        <f t="shared" si="1"/>
        <v>37.69</v>
      </c>
    </row>
    <row r="135" spans="1:6" x14ac:dyDescent="0.35">
      <c r="A135" s="20">
        <v>9039522022</v>
      </c>
      <c r="B135" s="21" t="s">
        <v>262</v>
      </c>
      <c r="C135" s="17">
        <v>14.5</v>
      </c>
      <c r="D135" s="17">
        <f>+C135*0.943396226415094</f>
        <v>13.679245283018869</v>
      </c>
      <c r="E135" s="23">
        <v>14.5</v>
      </c>
      <c r="F135" s="18">
        <f>+E135*0.943396226415094</f>
        <v>13.679245283018863</v>
      </c>
    </row>
    <row r="136" spans="1:6" x14ac:dyDescent="0.35">
      <c r="A136" s="15" t="s">
        <v>263</v>
      </c>
      <c r="B136" s="19" t="s">
        <v>264</v>
      </c>
      <c r="C136" s="17">
        <v>29.95</v>
      </c>
      <c r="D136" s="17">
        <v>28.25</v>
      </c>
      <c r="E136" s="23">
        <v>29.95</v>
      </c>
      <c r="F136" s="18">
        <f t="shared" ref="F136:F199" si="2">ROUND(E136/1.06,2)</f>
        <v>28.25</v>
      </c>
    </row>
    <row r="137" spans="1:6" x14ac:dyDescent="0.35">
      <c r="A137" s="15" t="s">
        <v>265</v>
      </c>
      <c r="B137" s="19" t="s">
        <v>266</v>
      </c>
      <c r="C137" s="17">
        <v>42.5</v>
      </c>
      <c r="D137" s="17">
        <v>40.090000000000003</v>
      </c>
      <c r="E137" s="23">
        <v>42.5</v>
      </c>
      <c r="F137" s="18">
        <f t="shared" si="2"/>
        <v>40.090000000000003</v>
      </c>
    </row>
    <row r="138" spans="1:6" x14ac:dyDescent="0.35">
      <c r="A138" s="15" t="s">
        <v>267</v>
      </c>
      <c r="B138" s="19" t="s">
        <v>268</v>
      </c>
      <c r="C138" s="17">
        <v>28.95</v>
      </c>
      <c r="D138" s="17">
        <v>27.31</v>
      </c>
      <c r="E138" s="23">
        <v>28.95</v>
      </c>
      <c r="F138" s="18">
        <f t="shared" si="2"/>
        <v>27.31</v>
      </c>
    </row>
    <row r="139" spans="1:6" x14ac:dyDescent="0.35">
      <c r="A139" s="15" t="s">
        <v>269</v>
      </c>
      <c r="B139" s="19" t="s">
        <v>270</v>
      </c>
      <c r="C139" s="17">
        <v>27.5</v>
      </c>
      <c r="D139" s="17">
        <v>25.94</v>
      </c>
      <c r="E139" s="23">
        <v>27.5</v>
      </c>
      <c r="F139" s="18">
        <f t="shared" si="2"/>
        <v>25.94</v>
      </c>
    </row>
    <row r="140" spans="1:6" x14ac:dyDescent="0.35">
      <c r="A140" s="15" t="s">
        <v>271</v>
      </c>
      <c r="B140" s="19" t="s">
        <v>272</v>
      </c>
      <c r="C140" s="17">
        <v>42.5</v>
      </c>
      <c r="D140" s="17">
        <v>40.090000000000003</v>
      </c>
      <c r="E140" s="23">
        <v>42.5</v>
      </c>
      <c r="F140" s="18">
        <f t="shared" si="2"/>
        <v>40.090000000000003</v>
      </c>
    </row>
    <row r="141" spans="1:6" x14ac:dyDescent="0.35">
      <c r="A141" s="15" t="s">
        <v>273</v>
      </c>
      <c r="B141" s="19" t="s">
        <v>274</v>
      </c>
      <c r="C141" s="17">
        <v>47.5</v>
      </c>
      <c r="D141" s="17">
        <v>44.81</v>
      </c>
      <c r="E141" s="23">
        <v>47.5</v>
      </c>
      <c r="F141" s="18">
        <f t="shared" si="2"/>
        <v>44.81</v>
      </c>
    </row>
    <row r="142" spans="1:6" x14ac:dyDescent="0.35">
      <c r="A142" s="15" t="s">
        <v>275</v>
      </c>
      <c r="B142" s="19" t="s">
        <v>276</v>
      </c>
      <c r="C142" s="17">
        <v>32.94</v>
      </c>
      <c r="D142" s="17">
        <v>31.08</v>
      </c>
      <c r="E142" s="23">
        <v>32.950000000000003</v>
      </c>
      <c r="F142" s="18">
        <f t="shared" si="2"/>
        <v>31.08</v>
      </c>
    </row>
    <row r="143" spans="1:6" x14ac:dyDescent="0.35">
      <c r="A143" s="15" t="s">
        <v>277</v>
      </c>
      <c r="B143" s="19" t="s">
        <v>278</v>
      </c>
      <c r="C143" s="17">
        <v>44.5</v>
      </c>
      <c r="D143" s="17">
        <v>41.98</v>
      </c>
      <c r="E143" s="23">
        <v>44.5</v>
      </c>
      <c r="F143" s="18">
        <f t="shared" si="2"/>
        <v>41.98</v>
      </c>
    </row>
    <row r="144" spans="1:6" x14ac:dyDescent="0.35">
      <c r="A144" s="15" t="s">
        <v>279</v>
      </c>
      <c r="B144" s="19" t="s">
        <v>280</v>
      </c>
      <c r="C144" s="17">
        <v>26.5</v>
      </c>
      <c r="D144" s="17">
        <v>25</v>
      </c>
      <c r="E144" s="23">
        <v>26.5</v>
      </c>
      <c r="F144" s="18">
        <f t="shared" si="2"/>
        <v>25</v>
      </c>
    </row>
    <row r="145" spans="1:6" x14ac:dyDescent="0.35">
      <c r="A145" s="15" t="s">
        <v>281</v>
      </c>
      <c r="B145" s="19" t="s">
        <v>282</v>
      </c>
      <c r="C145" s="17">
        <v>24.5</v>
      </c>
      <c r="D145" s="17">
        <v>23.11</v>
      </c>
      <c r="E145" s="23">
        <v>24.5</v>
      </c>
      <c r="F145" s="18">
        <f t="shared" si="2"/>
        <v>23.11</v>
      </c>
    </row>
    <row r="146" spans="1:6" x14ac:dyDescent="0.35">
      <c r="A146" s="15" t="s">
        <v>283</v>
      </c>
      <c r="B146" s="19" t="s">
        <v>284</v>
      </c>
      <c r="C146" s="17">
        <v>19.95</v>
      </c>
      <c r="D146" s="17">
        <v>18.82</v>
      </c>
      <c r="E146" s="23">
        <v>19.95</v>
      </c>
      <c r="F146" s="18">
        <f t="shared" si="2"/>
        <v>18.82</v>
      </c>
    </row>
    <row r="147" spans="1:6" x14ac:dyDescent="0.35">
      <c r="A147" s="15" t="s">
        <v>285</v>
      </c>
      <c r="B147" s="19" t="s">
        <v>286</v>
      </c>
      <c r="C147" s="17">
        <v>19.95</v>
      </c>
      <c r="D147" s="17">
        <v>18.82</v>
      </c>
      <c r="E147" s="23">
        <v>19.95</v>
      </c>
      <c r="F147" s="18">
        <f t="shared" si="2"/>
        <v>18.82</v>
      </c>
    </row>
    <row r="148" spans="1:6" x14ac:dyDescent="0.35">
      <c r="A148" s="15" t="s">
        <v>287</v>
      </c>
      <c r="B148" s="19" t="s">
        <v>288</v>
      </c>
      <c r="C148" s="17">
        <v>59.95</v>
      </c>
      <c r="D148" s="17">
        <v>56.56</v>
      </c>
      <c r="E148" s="23">
        <v>59.95</v>
      </c>
      <c r="F148" s="18">
        <f t="shared" si="2"/>
        <v>56.56</v>
      </c>
    </row>
    <row r="149" spans="1:6" x14ac:dyDescent="0.35">
      <c r="A149" s="15" t="s">
        <v>289</v>
      </c>
      <c r="B149" s="19" t="s">
        <v>290</v>
      </c>
      <c r="C149" s="17">
        <v>52.5</v>
      </c>
      <c r="D149" s="17">
        <v>49.53</v>
      </c>
      <c r="E149" s="23">
        <v>52.5</v>
      </c>
      <c r="F149" s="18">
        <f t="shared" si="2"/>
        <v>49.53</v>
      </c>
    </row>
    <row r="150" spans="1:6" x14ac:dyDescent="0.35">
      <c r="A150" s="15" t="s">
        <v>291</v>
      </c>
      <c r="B150" s="16" t="s">
        <v>292</v>
      </c>
      <c r="C150" s="17">
        <v>8.9499999999999993</v>
      </c>
      <c r="D150" s="17">
        <v>8.44</v>
      </c>
      <c r="E150" s="23">
        <v>8.9499999999999993</v>
      </c>
      <c r="F150" s="18">
        <f t="shared" si="2"/>
        <v>8.44</v>
      </c>
    </row>
    <row r="151" spans="1:6" x14ac:dyDescent="0.35">
      <c r="A151" s="15" t="s">
        <v>293</v>
      </c>
      <c r="B151" s="19" t="s">
        <v>294</v>
      </c>
      <c r="C151" s="17">
        <v>8.9499999999999993</v>
      </c>
      <c r="D151" s="17">
        <v>8.44</v>
      </c>
      <c r="E151" s="23">
        <v>8.9499999999999993</v>
      </c>
      <c r="F151" s="18">
        <f t="shared" si="2"/>
        <v>8.44</v>
      </c>
    </row>
    <row r="152" spans="1:6" x14ac:dyDescent="0.35">
      <c r="A152" s="15" t="s">
        <v>295</v>
      </c>
      <c r="B152" s="19" t="s">
        <v>296</v>
      </c>
      <c r="C152" s="17">
        <v>8.9499999999999993</v>
      </c>
      <c r="D152" s="17">
        <v>8.44</v>
      </c>
      <c r="E152" s="23">
        <v>8.9499999999999993</v>
      </c>
      <c r="F152" s="18">
        <f t="shared" si="2"/>
        <v>8.44</v>
      </c>
    </row>
    <row r="153" spans="1:6" x14ac:dyDescent="0.35">
      <c r="A153" s="15" t="s">
        <v>297</v>
      </c>
      <c r="B153" s="19" t="s">
        <v>298</v>
      </c>
      <c r="C153" s="17">
        <v>8.9499999999999993</v>
      </c>
      <c r="D153" s="17">
        <v>8.44</v>
      </c>
      <c r="E153" s="23">
        <v>8.9499999999999993</v>
      </c>
      <c r="F153" s="18">
        <f t="shared" si="2"/>
        <v>8.44</v>
      </c>
    </row>
    <row r="154" spans="1:6" x14ac:dyDescent="0.35">
      <c r="A154" s="15" t="s">
        <v>299</v>
      </c>
      <c r="B154" s="19" t="s">
        <v>300</v>
      </c>
      <c r="C154" s="17">
        <v>8.9499999999999993</v>
      </c>
      <c r="D154" s="17">
        <v>8.44</v>
      </c>
      <c r="E154" s="23">
        <v>8.9499999999999993</v>
      </c>
      <c r="F154" s="18">
        <f t="shared" si="2"/>
        <v>8.44</v>
      </c>
    </row>
    <row r="155" spans="1:6" x14ac:dyDescent="0.35">
      <c r="A155" s="15" t="s">
        <v>301</v>
      </c>
      <c r="B155" s="19" t="s">
        <v>302</v>
      </c>
      <c r="C155" s="17">
        <v>9.9499999999999993</v>
      </c>
      <c r="D155" s="17">
        <v>9.39</v>
      </c>
      <c r="E155" s="23">
        <v>9.9499999999999993</v>
      </c>
      <c r="F155" s="18">
        <f t="shared" si="2"/>
        <v>9.39</v>
      </c>
    </row>
    <row r="156" spans="1:6" x14ac:dyDescent="0.35">
      <c r="A156" s="15" t="s">
        <v>303</v>
      </c>
      <c r="B156" s="19" t="s">
        <v>304</v>
      </c>
      <c r="C156" s="17">
        <v>9.9499999999999993</v>
      </c>
      <c r="D156" s="17">
        <v>9.39</v>
      </c>
      <c r="E156" s="23">
        <v>9.9499999999999993</v>
      </c>
      <c r="F156" s="18">
        <f t="shared" si="2"/>
        <v>9.39</v>
      </c>
    </row>
    <row r="157" spans="1:6" x14ac:dyDescent="0.35">
      <c r="A157" s="15" t="s">
        <v>305</v>
      </c>
      <c r="B157" s="19" t="s">
        <v>306</v>
      </c>
      <c r="C157" s="17">
        <v>9.9499999999999993</v>
      </c>
      <c r="D157" s="17">
        <v>9.39</v>
      </c>
      <c r="E157" s="23">
        <v>9.9499999999999993</v>
      </c>
      <c r="F157" s="18">
        <f t="shared" si="2"/>
        <v>9.39</v>
      </c>
    </row>
    <row r="158" spans="1:6" x14ac:dyDescent="0.35">
      <c r="A158" s="15" t="s">
        <v>307</v>
      </c>
      <c r="B158" s="19" t="s">
        <v>308</v>
      </c>
      <c r="C158" s="17">
        <v>9.9499999999999993</v>
      </c>
      <c r="D158" s="17">
        <v>9.39</v>
      </c>
      <c r="E158" s="23">
        <v>9.9499999999999993</v>
      </c>
      <c r="F158" s="18">
        <f t="shared" si="2"/>
        <v>9.39</v>
      </c>
    </row>
    <row r="159" spans="1:6" x14ac:dyDescent="0.35">
      <c r="A159" s="15" t="s">
        <v>309</v>
      </c>
      <c r="B159" s="19" t="s">
        <v>310</v>
      </c>
      <c r="C159" s="17">
        <v>9.9499999999999993</v>
      </c>
      <c r="D159" s="17">
        <v>9.39</v>
      </c>
      <c r="E159" s="23">
        <v>9.9499999999999993</v>
      </c>
      <c r="F159" s="18">
        <f t="shared" si="2"/>
        <v>9.39</v>
      </c>
    </row>
    <row r="160" spans="1:6" x14ac:dyDescent="0.35">
      <c r="A160" s="15" t="s">
        <v>311</v>
      </c>
      <c r="B160" s="19" t="s">
        <v>312</v>
      </c>
      <c r="C160" s="17">
        <v>24.99</v>
      </c>
      <c r="D160" s="17">
        <v>23.58</v>
      </c>
      <c r="E160" s="23">
        <v>25</v>
      </c>
      <c r="F160" s="18">
        <f t="shared" si="2"/>
        <v>23.58</v>
      </c>
    </row>
    <row r="161" spans="1:6" x14ac:dyDescent="0.35">
      <c r="A161" s="15" t="s">
        <v>313</v>
      </c>
      <c r="B161" s="19" t="s">
        <v>314</v>
      </c>
      <c r="C161" s="17">
        <v>24.99</v>
      </c>
      <c r="D161" s="17">
        <v>23.58</v>
      </c>
      <c r="E161" s="23">
        <v>25</v>
      </c>
      <c r="F161" s="18">
        <f t="shared" si="2"/>
        <v>23.58</v>
      </c>
    </row>
    <row r="162" spans="1:6" x14ac:dyDescent="0.35">
      <c r="A162" s="15" t="s">
        <v>315</v>
      </c>
      <c r="B162" s="19" t="s">
        <v>316</v>
      </c>
      <c r="C162" s="17">
        <v>9.9499999999999993</v>
      </c>
      <c r="D162" s="17">
        <v>9.39</v>
      </c>
      <c r="E162" s="23">
        <v>9.9499999999999993</v>
      </c>
      <c r="F162" s="18">
        <f t="shared" si="2"/>
        <v>9.39</v>
      </c>
    </row>
    <row r="163" spans="1:6" x14ac:dyDescent="0.35">
      <c r="A163" s="15" t="s">
        <v>317</v>
      </c>
      <c r="B163" s="19" t="s">
        <v>318</v>
      </c>
      <c r="C163" s="17">
        <v>9.9499999999999993</v>
      </c>
      <c r="D163" s="17">
        <v>9.39</v>
      </c>
      <c r="E163" s="23">
        <v>9.9499999999999993</v>
      </c>
      <c r="F163" s="18">
        <f t="shared" si="2"/>
        <v>9.39</v>
      </c>
    </row>
    <row r="164" spans="1:6" x14ac:dyDescent="0.35">
      <c r="A164" s="15" t="s">
        <v>319</v>
      </c>
      <c r="B164" s="19" t="s">
        <v>320</v>
      </c>
      <c r="C164" s="17">
        <v>24.5</v>
      </c>
      <c r="D164" s="17">
        <v>23.11</v>
      </c>
      <c r="E164" s="23">
        <v>24.5</v>
      </c>
      <c r="F164" s="18">
        <f t="shared" si="2"/>
        <v>23.11</v>
      </c>
    </row>
    <row r="165" spans="1:6" x14ac:dyDescent="0.35">
      <c r="A165" s="15" t="s">
        <v>321</v>
      </c>
      <c r="B165" s="22" t="s">
        <v>322</v>
      </c>
      <c r="C165" s="17">
        <v>24.99</v>
      </c>
      <c r="D165" s="17">
        <v>23.58</v>
      </c>
      <c r="E165" s="23">
        <v>25</v>
      </c>
      <c r="F165" s="18">
        <f t="shared" si="2"/>
        <v>23.58</v>
      </c>
    </row>
    <row r="166" spans="1:6" x14ac:dyDescent="0.35">
      <c r="A166" s="15" t="s">
        <v>323</v>
      </c>
      <c r="B166" s="19" t="s">
        <v>324</v>
      </c>
      <c r="C166" s="17">
        <v>8.9499999999999993</v>
      </c>
      <c r="D166" s="17">
        <v>8.44</v>
      </c>
      <c r="E166" s="23">
        <v>8.9499999999999993</v>
      </c>
      <c r="F166" s="18">
        <f t="shared" si="2"/>
        <v>8.44</v>
      </c>
    </row>
    <row r="167" spans="1:6" x14ac:dyDescent="0.35">
      <c r="A167" s="15" t="s">
        <v>325</v>
      </c>
      <c r="B167" s="19" t="s">
        <v>326</v>
      </c>
      <c r="C167" s="17">
        <v>47.5</v>
      </c>
      <c r="D167" s="17">
        <v>44.81</v>
      </c>
      <c r="E167" s="23">
        <v>47.5</v>
      </c>
      <c r="F167" s="18">
        <f t="shared" si="2"/>
        <v>44.81</v>
      </c>
    </row>
    <row r="168" spans="1:6" x14ac:dyDescent="0.35">
      <c r="A168" s="15" t="s">
        <v>327</v>
      </c>
      <c r="B168" s="19" t="s">
        <v>328</v>
      </c>
      <c r="C168" s="17">
        <v>29.95</v>
      </c>
      <c r="D168" s="17">
        <v>28.25</v>
      </c>
      <c r="E168" s="23">
        <v>29.95</v>
      </c>
      <c r="F168" s="18">
        <f t="shared" si="2"/>
        <v>28.25</v>
      </c>
    </row>
    <row r="169" spans="1:6" x14ac:dyDescent="0.35">
      <c r="A169" s="15" t="s">
        <v>329</v>
      </c>
      <c r="B169" s="19" t="s">
        <v>330</v>
      </c>
      <c r="C169" s="17">
        <v>24.99</v>
      </c>
      <c r="D169" s="17">
        <v>23.58</v>
      </c>
      <c r="E169" s="23">
        <v>25</v>
      </c>
      <c r="F169" s="18">
        <f t="shared" si="2"/>
        <v>23.58</v>
      </c>
    </row>
    <row r="170" spans="1:6" x14ac:dyDescent="0.35">
      <c r="A170" s="15" t="s">
        <v>331</v>
      </c>
      <c r="B170" s="19" t="s">
        <v>332</v>
      </c>
      <c r="C170" s="17">
        <v>27.5</v>
      </c>
      <c r="D170" s="17">
        <v>25.94</v>
      </c>
      <c r="E170" s="23">
        <v>27.5</v>
      </c>
      <c r="F170" s="18">
        <f t="shared" si="2"/>
        <v>25.94</v>
      </c>
    </row>
    <row r="171" spans="1:6" x14ac:dyDescent="0.35">
      <c r="A171" s="15" t="s">
        <v>333</v>
      </c>
      <c r="B171" s="19" t="s">
        <v>334</v>
      </c>
      <c r="C171" s="17">
        <v>15.95</v>
      </c>
      <c r="D171" s="17">
        <v>15.05</v>
      </c>
      <c r="E171" s="23">
        <v>15.95</v>
      </c>
      <c r="F171" s="18">
        <f t="shared" si="2"/>
        <v>15.05</v>
      </c>
    </row>
    <row r="172" spans="1:6" x14ac:dyDescent="0.35">
      <c r="A172" s="15" t="s">
        <v>335</v>
      </c>
      <c r="B172" s="19" t="s">
        <v>336</v>
      </c>
      <c r="C172" s="17">
        <v>9.9499999999999993</v>
      </c>
      <c r="D172" s="17">
        <v>9.39</v>
      </c>
      <c r="E172" s="23">
        <v>9.9499999999999993</v>
      </c>
      <c r="F172" s="18">
        <f t="shared" si="2"/>
        <v>9.39</v>
      </c>
    </row>
    <row r="173" spans="1:6" x14ac:dyDescent="0.35">
      <c r="A173" s="15" t="s">
        <v>337</v>
      </c>
      <c r="B173" s="19" t="s">
        <v>338</v>
      </c>
      <c r="C173" s="17">
        <v>9.9499999999999993</v>
      </c>
      <c r="D173" s="17">
        <v>9.39</v>
      </c>
      <c r="E173" s="23">
        <v>9.9499999999999993</v>
      </c>
      <c r="F173" s="18">
        <f t="shared" si="2"/>
        <v>9.39</v>
      </c>
    </row>
    <row r="174" spans="1:6" x14ac:dyDescent="0.35">
      <c r="A174" s="15" t="s">
        <v>339</v>
      </c>
      <c r="B174" s="19" t="s">
        <v>340</v>
      </c>
      <c r="C174" s="17">
        <v>9.9499999999999993</v>
      </c>
      <c r="D174" s="17">
        <v>9.39</v>
      </c>
      <c r="E174" s="23">
        <v>9.9499999999999993</v>
      </c>
      <c r="F174" s="18">
        <f t="shared" si="2"/>
        <v>9.39</v>
      </c>
    </row>
    <row r="175" spans="1:6" x14ac:dyDescent="0.35">
      <c r="A175" s="15" t="s">
        <v>341</v>
      </c>
      <c r="B175" s="19" t="s">
        <v>342</v>
      </c>
      <c r="C175" s="17">
        <v>27.5</v>
      </c>
      <c r="D175" s="17">
        <v>25.94</v>
      </c>
      <c r="E175" s="23">
        <v>27.5</v>
      </c>
      <c r="F175" s="18">
        <f t="shared" si="2"/>
        <v>25.94</v>
      </c>
    </row>
    <row r="176" spans="1:6" x14ac:dyDescent="0.35">
      <c r="A176" s="15" t="s">
        <v>343</v>
      </c>
      <c r="B176" s="19" t="s">
        <v>344</v>
      </c>
      <c r="C176" s="17">
        <v>24.5</v>
      </c>
      <c r="D176" s="17">
        <v>23.11</v>
      </c>
      <c r="E176" s="23">
        <v>24.5</v>
      </c>
      <c r="F176" s="18">
        <f t="shared" si="2"/>
        <v>23.11</v>
      </c>
    </row>
    <row r="177" spans="1:6" x14ac:dyDescent="0.35">
      <c r="A177" s="15" t="s">
        <v>345</v>
      </c>
      <c r="B177" s="19" t="s">
        <v>346</v>
      </c>
      <c r="C177" s="17">
        <v>39.5</v>
      </c>
      <c r="D177" s="17">
        <v>37.26</v>
      </c>
      <c r="E177" s="23">
        <v>39.5</v>
      </c>
      <c r="F177" s="18">
        <f t="shared" si="2"/>
        <v>37.26</v>
      </c>
    </row>
    <row r="178" spans="1:6" x14ac:dyDescent="0.35">
      <c r="A178" s="15" t="s">
        <v>347</v>
      </c>
      <c r="B178" s="19" t="s">
        <v>348</v>
      </c>
      <c r="C178" s="17">
        <v>44.5</v>
      </c>
      <c r="D178" s="17">
        <v>41.98</v>
      </c>
      <c r="E178" s="23">
        <v>44.5</v>
      </c>
      <c r="F178" s="18">
        <f t="shared" si="2"/>
        <v>41.98</v>
      </c>
    </row>
    <row r="179" spans="1:6" x14ac:dyDescent="0.35">
      <c r="A179" s="15" t="s">
        <v>349</v>
      </c>
      <c r="B179" s="19" t="s">
        <v>350</v>
      </c>
      <c r="C179" s="17">
        <v>49.95</v>
      </c>
      <c r="D179" s="17">
        <v>47.12</v>
      </c>
      <c r="E179" s="23">
        <v>49.95</v>
      </c>
      <c r="F179" s="18">
        <f t="shared" si="2"/>
        <v>47.12</v>
      </c>
    </row>
    <row r="180" spans="1:6" x14ac:dyDescent="0.35">
      <c r="A180" s="15" t="s">
        <v>351</v>
      </c>
      <c r="B180" s="19" t="s">
        <v>352</v>
      </c>
      <c r="C180" s="17">
        <v>24.5</v>
      </c>
      <c r="D180" s="17">
        <v>23.11</v>
      </c>
      <c r="E180" s="23">
        <v>24.5</v>
      </c>
      <c r="F180" s="18">
        <f t="shared" si="2"/>
        <v>23.11</v>
      </c>
    </row>
    <row r="181" spans="1:6" x14ac:dyDescent="0.35">
      <c r="A181" s="15" t="s">
        <v>353</v>
      </c>
      <c r="B181" s="19" t="s">
        <v>354</v>
      </c>
      <c r="C181" s="17">
        <f>+D181*1.06</f>
        <v>49.947200000000002</v>
      </c>
      <c r="D181" s="17">
        <v>47.12</v>
      </c>
      <c r="E181" s="23">
        <v>49.95</v>
      </c>
      <c r="F181" s="18">
        <f t="shared" si="2"/>
        <v>47.12</v>
      </c>
    </row>
    <row r="182" spans="1:6" x14ac:dyDescent="0.35">
      <c r="A182" s="15" t="s">
        <v>355</v>
      </c>
      <c r="B182" s="19" t="s">
        <v>356</v>
      </c>
      <c r="C182" s="17">
        <f>+D182*1.06</f>
        <v>29.4998</v>
      </c>
      <c r="D182" s="17">
        <v>27.83</v>
      </c>
      <c r="E182" s="23">
        <v>29.5</v>
      </c>
      <c r="F182" s="18">
        <f t="shared" si="2"/>
        <v>27.83</v>
      </c>
    </row>
    <row r="183" spans="1:6" x14ac:dyDescent="0.35">
      <c r="A183" s="15" t="s">
        <v>357</v>
      </c>
      <c r="B183" s="19" t="s">
        <v>358</v>
      </c>
      <c r="C183" s="17">
        <f>+D183*1.06</f>
        <v>8.9464000000000006</v>
      </c>
      <c r="D183" s="17">
        <v>8.44</v>
      </c>
      <c r="E183" s="23">
        <v>8.9499999999999993</v>
      </c>
      <c r="F183" s="18">
        <f t="shared" si="2"/>
        <v>8.44</v>
      </c>
    </row>
    <row r="184" spans="1:6" x14ac:dyDescent="0.35">
      <c r="A184" s="15" t="s">
        <v>359</v>
      </c>
      <c r="B184" s="19" t="s">
        <v>360</v>
      </c>
      <c r="C184" s="17">
        <f>+D184*1.06</f>
        <v>9.9534000000000002</v>
      </c>
      <c r="D184" s="17">
        <v>9.39</v>
      </c>
      <c r="E184" s="23">
        <v>9.9499999999999993</v>
      </c>
      <c r="F184" s="18">
        <f t="shared" si="2"/>
        <v>9.39</v>
      </c>
    </row>
    <row r="185" spans="1:6" x14ac:dyDescent="0.35">
      <c r="A185" s="15" t="s">
        <v>361</v>
      </c>
      <c r="B185" s="19" t="s">
        <v>362</v>
      </c>
      <c r="C185" s="17">
        <f>+D185*1.06</f>
        <v>9.9534000000000002</v>
      </c>
      <c r="D185" s="17">
        <v>9.39</v>
      </c>
      <c r="E185" s="23">
        <v>9.9499999999999993</v>
      </c>
      <c r="F185" s="18">
        <f t="shared" si="2"/>
        <v>9.39</v>
      </c>
    </row>
    <row r="186" spans="1:6" x14ac:dyDescent="0.35">
      <c r="A186" s="15"/>
      <c r="B186" s="19" t="s">
        <v>290</v>
      </c>
      <c r="C186" s="17">
        <v>52.5</v>
      </c>
      <c r="D186" s="17">
        <v>49.53</v>
      </c>
      <c r="E186" s="23">
        <v>52.5</v>
      </c>
      <c r="F186" s="18">
        <f t="shared" si="2"/>
        <v>49.53</v>
      </c>
    </row>
    <row r="187" spans="1:6" x14ac:dyDescent="0.35">
      <c r="A187" s="15" t="s">
        <v>363</v>
      </c>
      <c r="B187" s="19" t="s">
        <v>364</v>
      </c>
      <c r="C187" s="17">
        <v>54.49</v>
      </c>
      <c r="D187" s="17">
        <v>51.41</v>
      </c>
      <c r="E187" s="23">
        <v>54.5</v>
      </c>
      <c r="F187" s="18">
        <f t="shared" si="2"/>
        <v>51.42</v>
      </c>
    </row>
    <row r="188" spans="1:6" x14ac:dyDescent="0.35">
      <c r="A188" s="15" t="s">
        <v>365</v>
      </c>
      <c r="B188" s="19" t="s">
        <v>231</v>
      </c>
      <c r="C188" s="17">
        <v>54.49</v>
      </c>
      <c r="D188" s="17">
        <v>51.41</v>
      </c>
      <c r="E188" s="23">
        <v>54.5</v>
      </c>
      <c r="F188" s="18">
        <f t="shared" si="2"/>
        <v>51.42</v>
      </c>
    </row>
    <row r="189" spans="1:6" x14ac:dyDescent="0.35">
      <c r="A189" s="15" t="s">
        <v>366</v>
      </c>
      <c r="B189" s="19" t="s">
        <v>367</v>
      </c>
      <c r="C189" s="17">
        <f>+D189*1.06</f>
        <v>59.497800000000005</v>
      </c>
      <c r="D189" s="17">
        <v>56.13</v>
      </c>
      <c r="E189" s="23">
        <v>59.95</v>
      </c>
      <c r="F189" s="18">
        <f t="shared" si="2"/>
        <v>56.56</v>
      </c>
    </row>
    <row r="190" spans="1:6" x14ac:dyDescent="0.35">
      <c r="A190" s="15" t="s">
        <v>368</v>
      </c>
      <c r="B190" s="19" t="s">
        <v>369</v>
      </c>
      <c r="C190" s="17">
        <v>49.5</v>
      </c>
      <c r="D190" s="17">
        <v>46.7</v>
      </c>
      <c r="E190" s="23">
        <v>49.95</v>
      </c>
      <c r="F190" s="18">
        <f t="shared" si="2"/>
        <v>47.12</v>
      </c>
    </row>
    <row r="191" spans="1:6" x14ac:dyDescent="0.35">
      <c r="A191" s="15" t="s">
        <v>370</v>
      </c>
      <c r="B191" s="19" t="s">
        <v>371</v>
      </c>
      <c r="C191" s="17">
        <v>39.5</v>
      </c>
      <c r="D191" s="17">
        <v>37.26</v>
      </c>
      <c r="E191" s="23">
        <v>39.950000000000003</v>
      </c>
      <c r="F191" s="18">
        <f t="shared" si="2"/>
        <v>37.69</v>
      </c>
    </row>
    <row r="192" spans="1:6" x14ac:dyDescent="0.35">
      <c r="A192" s="15" t="s">
        <v>372</v>
      </c>
      <c r="B192" s="19" t="s">
        <v>373</v>
      </c>
      <c r="C192" s="17">
        <v>32.5</v>
      </c>
      <c r="D192" s="17">
        <v>30.66</v>
      </c>
      <c r="E192" s="23">
        <v>32.950000000000003</v>
      </c>
      <c r="F192" s="18">
        <f t="shared" si="2"/>
        <v>31.08</v>
      </c>
    </row>
    <row r="193" spans="1:6" x14ac:dyDescent="0.35">
      <c r="A193" s="15" t="s">
        <v>374</v>
      </c>
      <c r="B193" s="19" t="s">
        <v>375</v>
      </c>
      <c r="C193" s="17">
        <v>24.5</v>
      </c>
      <c r="D193" s="17">
        <v>23.11</v>
      </c>
      <c r="E193" s="23">
        <v>24.95</v>
      </c>
      <c r="F193" s="18">
        <f t="shared" si="2"/>
        <v>23.54</v>
      </c>
    </row>
    <row r="194" spans="1:6" x14ac:dyDescent="0.35">
      <c r="A194" s="15" t="s">
        <v>376</v>
      </c>
      <c r="B194" s="19" t="s">
        <v>377</v>
      </c>
      <c r="C194" s="17">
        <v>24.5</v>
      </c>
      <c r="D194" s="17">
        <v>23.11</v>
      </c>
      <c r="E194" s="23">
        <v>25</v>
      </c>
      <c r="F194" s="18">
        <f t="shared" si="2"/>
        <v>23.58</v>
      </c>
    </row>
    <row r="195" spans="1:6" x14ac:dyDescent="0.35">
      <c r="A195" s="15" t="s">
        <v>378</v>
      </c>
      <c r="B195" s="19" t="s">
        <v>379</v>
      </c>
      <c r="C195" s="17">
        <v>24.5</v>
      </c>
      <c r="D195" s="17">
        <v>23.11</v>
      </c>
      <c r="E195" s="23">
        <v>25</v>
      </c>
      <c r="F195" s="18">
        <f t="shared" si="2"/>
        <v>23.58</v>
      </c>
    </row>
    <row r="196" spans="1:6" x14ac:dyDescent="0.35">
      <c r="A196" s="15" t="s">
        <v>380</v>
      </c>
      <c r="B196" s="16" t="s">
        <v>381</v>
      </c>
      <c r="C196" s="17">
        <v>48.95</v>
      </c>
      <c r="D196" s="17">
        <v>46.18</v>
      </c>
      <c r="E196" s="23">
        <v>49.95</v>
      </c>
      <c r="F196" s="18">
        <f t="shared" si="2"/>
        <v>47.12</v>
      </c>
    </row>
    <row r="197" spans="1:6" x14ac:dyDescent="0.35">
      <c r="A197" s="15" t="s">
        <v>382</v>
      </c>
      <c r="B197" s="19" t="s">
        <v>383</v>
      </c>
      <c r="C197" s="17">
        <v>48.95</v>
      </c>
      <c r="D197" s="17">
        <v>46.18</v>
      </c>
      <c r="E197" s="23">
        <v>49.95</v>
      </c>
      <c r="F197" s="18">
        <f t="shared" si="2"/>
        <v>47.12</v>
      </c>
    </row>
    <row r="198" spans="1:6" x14ac:dyDescent="0.35">
      <c r="A198" s="15" t="s">
        <v>384</v>
      </c>
      <c r="B198" s="19" t="s">
        <v>385</v>
      </c>
      <c r="C198" s="17">
        <v>23.95</v>
      </c>
      <c r="D198" s="17">
        <v>22.59</v>
      </c>
      <c r="E198" s="23">
        <v>24.5</v>
      </c>
      <c r="F198" s="18">
        <f t="shared" si="2"/>
        <v>23.11</v>
      </c>
    </row>
    <row r="199" spans="1:6" x14ac:dyDescent="0.35">
      <c r="A199" s="15" t="s">
        <v>386</v>
      </c>
      <c r="B199" s="19" t="s">
        <v>387</v>
      </c>
      <c r="C199" s="17">
        <v>36.5</v>
      </c>
      <c r="D199" s="17">
        <v>34.43</v>
      </c>
      <c r="E199" s="23">
        <v>37.5</v>
      </c>
      <c r="F199" s="18">
        <f t="shared" si="2"/>
        <v>35.380000000000003</v>
      </c>
    </row>
    <row r="200" spans="1:6" x14ac:dyDescent="0.35">
      <c r="A200" s="15" t="s">
        <v>388</v>
      </c>
      <c r="B200" s="19" t="s">
        <v>389</v>
      </c>
      <c r="C200" s="17">
        <f>+D200*1.06</f>
        <v>48.495000000000005</v>
      </c>
      <c r="D200" s="17">
        <v>45.75</v>
      </c>
      <c r="E200" s="23">
        <v>49.95</v>
      </c>
      <c r="F200" s="18">
        <f t="shared" ref="F200:F222" si="3">ROUND(E200/1.06,2)</f>
        <v>47.12</v>
      </c>
    </row>
    <row r="201" spans="1:6" x14ac:dyDescent="0.35">
      <c r="A201" s="15" t="s">
        <v>390</v>
      </c>
      <c r="B201" s="19" t="s">
        <v>391</v>
      </c>
      <c r="C201" s="17">
        <v>41.26</v>
      </c>
      <c r="D201" s="17">
        <v>38.92</v>
      </c>
      <c r="E201" s="23">
        <v>42.5</v>
      </c>
      <c r="F201" s="18">
        <f t="shared" si="3"/>
        <v>40.090000000000003</v>
      </c>
    </row>
    <row r="202" spans="1:6" x14ac:dyDescent="0.35">
      <c r="A202" s="15" t="s">
        <v>392</v>
      </c>
      <c r="B202" s="19" t="s">
        <v>393</v>
      </c>
      <c r="C202" s="17">
        <f>+D202*1.06</f>
        <v>33.496000000000002</v>
      </c>
      <c r="D202" s="17">
        <v>31.6</v>
      </c>
      <c r="E202" s="23">
        <v>34.5</v>
      </c>
      <c r="F202" s="18">
        <f t="shared" si="3"/>
        <v>32.549999999999997</v>
      </c>
    </row>
    <row r="203" spans="1:6" x14ac:dyDescent="0.35">
      <c r="A203" s="15" t="s">
        <v>394</v>
      </c>
      <c r="B203" s="19" t="s">
        <v>395</v>
      </c>
      <c r="C203" s="17">
        <v>14.5</v>
      </c>
      <c r="D203" s="17">
        <v>13.68</v>
      </c>
      <c r="E203" s="23">
        <v>14.95</v>
      </c>
      <c r="F203" s="18">
        <f t="shared" si="3"/>
        <v>14.1</v>
      </c>
    </row>
    <row r="204" spans="1:6" x14ac:dyDescent="0.35">
      <c r="A204" s="15" t="s">
        <v>396</v>
      </c>
      <c r="B204" s="19" t="s">
        <v>397</v>
      </c>
      <c r="C204" s="17">
        <v>14.5</v>
      </c>
      <c r="D204" s="17">
        <v>13.68</v>
      </c>
      <c r="E204" s="23">
        <v>14.95</v>
      </c>
      <c r="F204" s="18">
        <f t="shared" si="3"/>
        <v>14.1</v>
      </c>
    </row>
    <row r="205" spans="1:6" x14ac:dyDescent="0.35">
      <c r="A205" s="15" t="s">
        <v>398</v>
      </c>
      <c r="B205" s="19" t="s">
        <v>399</v>
      </c>
      <c r="C205" s="17">
        <v>28.95</v>
      </c>
      <c r="D205" s="17">
        <v>27.31</v>
      </c>
      <c r="E205" s="23">
        <v>29.95</v>
      </c>
      <c r="F205" s="18">
        <f t="shared" si="3"/>
        <v>28.25</v>
      </c>
    </row>
    <row r="206" spans="1:6" x14ac:dyDescent="0.35">
      <c r="A206" s="15" t="s">
        <v>400</v>
      </c>
      <c r="B206" s="19" t="s">
        <v>401</v>
      </c>
      <c r="C206" s="17">
        <v>28.95</v>
      </c>
      <c r="D206" s="17">
        <v>27.31</v>
      </c>
      <c r="E206" s="23">
        <v>29.95</v>
      </c>
      <c r="F206" s="18">
        <f t="shared" si="3"/>
        <v>28.25</v>
      </c>
    </row>
    <row r="207" spans="1:6" x14ac:dyDescent="0.35">
      <c r="A207" s="15" t="s">
        <v>402</v>
      </c>
      <c r="B207" s="19" t="s">
        <v>403</v>
      </c>
      <c r="C207" s="17">
        <v>28.95</v>
      </c>
      <c r="D207" s="17">
        <v>27.31</v>
      </c>
      <c r="E207" s="23">
        <v>29.95</v>
      </c>
      <c r="F207" s="18">
        <f t="shared" si="3"/>
        <v>28.25</v>
      </c>
    </row>
    <row r="208" spans="1:6" x14ac:dyDescent="0.35">
      <c r="A208" s="15" t="s">
        <v>404</v>
      </c>
      <c r="B208" s="19" t="s">
        <v>405</v>
      </c>
      <c r="C208" s="17">
        <v>28.95</v>
      </c>
      <c r="D208" s="17">
        <v>27.31</v>
      </c>
      <c r="E208" s="23">
        <v>29.95</v>
      </c>
      <c r="F208" s="18">
        <f t="shared" si="3"/>
        <v>28.25</v>
      </c>
    </row>
    <row r="209" spans="1:6" x14ac:dyDescent="0.35">
      <c r="A209" s="15" t="s">
        <v>406</v>
      </c>
      <c r="B209" s="19" t="s">
        <v>407</v>
      </c>
      <c r="C209" s="17">
        <f>+D209*1.06</f>
        <v>54.505200000000002</v>
      </c>
      <c r="D209" s="17">
        <v>51.42</v>
      </c>
      <c r="E209" s="23">
        <v>56.5</v>
      </c>
      <c r="F209" s="18">
        <f t="shared" si="3"/>
        <v>53.3</v>
      </c>
    </row>
    <row r="210" spans="1:6" x14ac:dyDescent="0.35">
      <c r="A210" s="15" t="s">
        <v>408</v>
      </c>
      <c r="B210" s="19" t="s">
        <v>409</v>
      </c>
      <c r="C210" s="17">
        <v>26.5</v>
      </c>
      <c r="D210" s="17">
        <v>25</v>
      </c>
      <c r="E210" s="23">
        <v>27.5</v>
      </c>
      <c r="F210" s="18">
        <f t="shared" si="3"/>
        <v>25.94</v>
      </c>
    </row>
    <row r="211" spans="1:6" x14ac:dyDescent="0.35">
      <c r="A211" s="15" t="s">
        <v>410</v>
      </c>
      <c r="B211" s="19" t="s">
        <v>411</v>
      </c>
      <c r="C211" s="17">
        <v>38.5</v>
      </c>
      <c r="D211" s="17">
        <v>36.32</v>
      </c>
      <c r="E211" s="23">
        <v>39.950000000000003</v>
      </c>
      <c r="F211" s="18">
        <f t="shared" si="3"/>
        <v>37.69</v>
      </c>
    </row>
    <row r="212" spans="1:6" x14ac:dyDescent="0.35">
      <c r="A212" s="15" t="s">
        <v>412</v>
      </c>
      <c r="B212" s="19" t="s">
        <v>413</v>
      </c>
      <c r="C212" s="17">
        <v>38.5</v>
      </c>
      <c r="D212" s="17">
        <v>36.32</v>
      </c>
      <c r="E212" s="23">
        <v>39.950000000000003</v>
      </c>
      <c r="F212" s="18">
        <f t="shared" si="3"/>
        <v>37.69</v>
      </c>
    </row>
    <row r="213" spans="1:6" x14ac:dyDescent="0.35">
      <c r="A213" s="15" t="s">
        <v>414</v>
      </c>
      <c r="B213" s="19" t="s">
        <v>415</v>
      </c>
      <c r="C213" s="17">
        <v>13.95</v>
      </c>
      <c r="D213" s="17">
        <v>13.16</v>
      </c>
      <c r="E213" s="23">
        <v>14.5</v>
      </c>
      <c r="F213" s="18">
        <f t="shared" si="3"/>
        <v>13.68</v>
      </c>
    </row>
    <row r="214" spans="1:6" x14ac:dyDescent="0.35">
      <c r="A214" s="15" t="s">
        <v>416</v>
      </c>
      <c r="B214" s="19" t="s">
        <v>417</v>
      </c>
      <c r="C214" s="17">
        <v>49.5</v>
      </c>
      <c r="D214" s="17">
        <v>46.7</v>
      </c>
      <c r="E214" s="23">
        <v>51.5</v>
      </c>
      <c r="F214" s="18">
        <f t="shared" si="3"/>
        <v>48.58</v>
      </c>
    </row>
    <row r="215" spans="1:6" x14ac:dyDescent="0.35">
      <c r="A215" s="15" t="s">
        <v>418</v>
      </c>
      <c r="B215" s="19" t="s">
        <v>419</v>
      </c>
      <c r="C215" s="17">
        <v>23.5</v>
      </c>
      <c r="D215" s="17">
        <v>22.17</v>
      </c>
      <c r="E215" s="23">
        <v>24.5</v>
      </c>
      <c r="F215" s="18">
        <f t="shared" si="3"/>
        <v>23.11</v>
      </c>
    </row>
    <row r="216" spans="1:6" x14ac:dyDescent="0.35">
      <c r="A216" s="15" t="s">
        <v>420</v>
      </c>
      <c r="B216" s="19" t="s">
        <v>421</v>
      </c>
      <c r="C216" s="17">
        <v>12.95</v>
      </c>
      <c r="D216" s="17">
        <v>12.22</v>
      </c>
      <c r="E216" s="23">
        <v>13.5</v>
      </c>
      <c r="F216" s="18">
        <f t="shared" si="3"/>
        <v>12.74</v>
      </c>
    </row>
    <row r="217" spans="1:6" x14ac:dyDescent="0.35">
      <c r="A217" s="15" t="s">
        <v>422</v>
      </c>
      <c r="B217" s="19" t="s">
        <v>423</v>
      </c>
      <c r="C217" s="17">
        <v>22.5</v>
      </c>
      <c r="D217" s="17">
        <v>21.23</v>
      </c>
      <c r="E217" s="23">
        <v>23.5</v>
      </c>
      <c r="F217" s="18">
        <f t="shared" si="3"/>
        <v>22.17</v>
      </c>
    </row>
    <row r="218" spans="1:6" x14ac:dyDescent="0.35">
      <c r="A218" s="15" t="s">
        <v>424</v>
      </c>
      <c r="B218" s="19" t="s">
        <v>425</v>
      </c>
      <c r="C218" s="17">
        <v>44.5</v>
      </c>
      <c r="D218" s="17">
        <v>41.98</v>
      </c>
      <c r="E218" s="23">
        <v>46.5</v>
      </c>
      <c r="F218" s="18">
        <f t="shared" si="3"/>
        <v>43.87</v>
      </c>
    </row>
    <row r="219" spans="1:6" x14ac:dyDescent="0.35">
      <c r="A219" s="15" t="s">
        <v>426</v>
      </c>
      <c r="B219" s="19" t="s">
        <v>427</v>
      </c>
      <c r="C219" s="17">
        <v>44.5</v>
      </c>
      <c r="D219" s="17">
        <v>41.98</v>
      </c>
      <c r="E219" s="23">
        <v>46.5</v>
      </c>
      <c r="F219" s="18">
        <f t="shared" si="3"/>
        <v>43.87</v>
      </c>
    </row>
    <row r="220" spans="1:6" x14ac:dyDescent="0.35">
      <c r="A220" s="15" t="s">
        <v>428</v>
      </c>
      <c r="B220" s="19" t="s">
        <v>429</v>
      </c>
      <c r="C220" s="17">
        <f>+D220*1.06</f>
        <v>44.498799999999996</v>
      </c>
      <c r="D220" s="17">
        <v>41.98</v>
      </c>
      <c r="E220" s="23">
        <v>46.5</v>
      </c>
      <c r="F220" s="18">
        <f t="shared" si="3"/>
        <v>43.87</v>
      </c>
    </row>
    <row r="221" spans="1:6" x14ac:dyDescent="0.35">
      <c r="A221" s="15" t="s">
        <v>430</v>
      </c>
      <c r="B221" s="19" t="s">
        <v>431</v>
      </c>
      <c r="C221" s="17">
        <v>21</v>
      </c>
      <c r="D221" s="17">
        <v>19.809999999999999</v>
      </c>
      <c r="E221" s="23">
        <v>21.95</v>
      </c>
      <c r="F221" s="18">
        <f t="shared" si="3"/>
        <v>20.71</v>
      </c>
    </row>
    <row r="222" spans="1:6" x14ac:dyDescent="0.35">
      <c r="A222" s="15" t="s">
        <v>432</v>
      </c>
      <c r="B222" s="19" t="s">
        <v>433</v>
      </c>
      <c r="C222" s="17">
        <v>31.5</v>
      </c>
      <c r="D222" s="17">
        <v>29.72</v>
      </c>
      <c r="E222" s="23">
        <v>32.950000000000003</v>
      </c>
      <c r="F222" s="18">
        <f t="shared" si="3"/>
        <v>31.08</v>
      </c>
    </row>
    <row r="223" spans="1:6" x14ac:dyDescent="0.35">
      <c r="A223" s="20">
        <v>9039522014</v>
      </c>
      <c r="B223" s="21" t="s">
        <v>434</v>
      </c>
      <c r="C223" s="17">
        <v>11.95</v>
      </c>
      <c r="D223" s="17">
        <f>+C223*0.943396226415094</f>
        <v>11.273584905660377</v>
      </c>
      <c r="E223" s="23">
        <v>12.5</v>
      </c>
      <c r="F223" s="18">
        <f>+E223*0.943396226415094</f>
        <v>11.792452830188676</v>
      </c>
    </row>
    <row r="224" spans="1:6" x14ac:dyDescent="0.35">
      <c r="A224" s="20">
        <v>9039522030</v>
      </c>
      <c r="B224" s="21" t="s">
        <v>435</v>
      </c>
      <c r="C224" s="17">
        <v>11.95</v>
      </c>
      <c r="D224" s="17">
        <f>+C224*0.943396226415094</f>
        <v>11.273584905660377</v>
      </c>
      <c r="E224" s="23">
        <v>12.5</v>
      </c>
      <c r="F224" s="18">
        <f>+E224*0.943396226415094</f>
        <v>11.792452830188676</v>
      </c>
    </row>
    <row r="225" spans="1:6" x14ac:dyDescent="0.35">
      <c r="A225" s="20">
        <v>9039522073</v>
      </c>
      <c r="B225" s="21" t="s">
        <v>436</v>
      </c>
      <c r="C225" s="17">
        <v>11.95</v>
      </c>
      <c r="D225" s="17">
        <f>+C225*0.943396226415094</f>
        <v>11.273584905660377</v>
      </c>
      <c r="E225" s="23">
        <v>12.5</v>
      </c>
      <c r="F225" s="18">
        <f>+E225*0.943396226415094</f>
        <v>11.792452830188676</v>
      </c>
    </row>
    <row r="226" spans="1:6" x14ac:dyDescent="0.35">
      <c r="A226" s="15" t="s">
        <v>437</v>
      </c>
      <c r="B226" s="19" t="s">
        <v>438</v>
      </c>
      <c r="C226" s="17">
        <v>11.95</v>
      </c>
      <c r="D226" s="17">
        <v>11.27</v>
      </c>
      <c r="E226" s="23">
        <v>12.5</v>
      </c>
      <c r="F226" s="18">
        <f>ROUND(E226/1.06,2)</f>
        <v>11.79</v>
      </c>
    </row>
    <row r="227" spans="1:6" x14ac:dyDescent="0.35">
      <c r="A227" s="15" t="s">
        <v>439</v>
      </c>
      <c r="B227" s="19" t="s">
        <v>440</v>
      </c>
      <c r="C227" s="17">
        <v>11.95</v>
      </c>
      <c r="D227" s="17">
        <v>11.27</v>
      </c>
      <c r="E227" s="23">
        <v>12.5</v>
      </c>
      <c r="F227" s="18">
        <f>ROUND(E227/1.06,2)</f>
        <v>11.79</v>
      </c>
    </row>
    <row r="228" spans="1:6" x14ac:dyDescent="0.35">
      <c r="A228" s="15" t="s">
        <v>441</v>
      </c>
      <c r="B228" s="19" t="s">
        <v>442</v>
      </c>
      <c r="C228" s="17">
        <v>11.95</v>
      </c>
      <c r="D228" s="17">
        <v>11.27</v>
      </c>
      <c r="E228" s="23">
        <v>12.5</v>
      </c>
      <c r="F228" s="18">
        <f>ROUND(E228/1.06,2)</f>
        <v>11.79</v>
      </c>
    </row>
    <row r="229" spans="1:6" x14ac:dyDescent="0.35">
      <c r="A229" s="15" t="s">
        <v>443</v>
      </c>
      <c r="B229" s="19" t="s">
        <v>444</v>
      </c>
      <c r="C229" s="17">
        <v>11.95</v>
      </c>
      <c r="D229" s="17">
        <v>11.27</v>
      </c>
      <c r="E229" s="23">
        <v>12.5</v>
      </c>
      <c r="F229" s="18">
        <f>ROUND(E229/1.06,2)</f>
        <v>11.79</v>
      </c>
    </row>
    <row r="230" spans="1:6" x14ac:dyDescent="0.35">
      <c r="A230" s="15" t="s">
        <v>445</v>
      </c>
      <c r="B230" s="19" t="s">
        <v>446</v>
      </c>
      <c r="C230" s="17">
        <v>11.95</v>
      </c>
      <c r="D230" s="17">
        <v>11.27</v>
      </c>
      <c r="E230" s="23">
        <v>12.5</v>
      </c>
      <c r="F230" s="18">
        <f>+E230*0.943396226415094</f>
        <v>11.792452830188676</v>
      </c>
    </row>
    <row r="231" spans="1:6" x14ac:dyDescent="0.35">
      <c r="A231" s="15" t="s">
        <v>447</v>
      </c>
      <c r="B231" s="19" t="s">
        <v>448</v>
      </c>
      <c r="C231" s="17">
        <v>11.95</v>
      </c>
      <c r="D231" s="17">
        <v>11.27</v>
      </c>
      <c r="E231" s="23">
        <v>12.5</v>
      </c>
      <c r="F231" s="18">
        <f>+E231*0.943396226415094</f>
        <v>11.792452830188676</v>
      </c>
    </row>
    <row r="232" spans="1:6" x14ac:dyDescent="0.35">
      <c r="A232" s="15" t="s">
        <v>449</v>
      </c>
      <c r="B232" s="19" t="s">
        <v>450</v>
      </c>
      <c r="C232" s="17">
        <v>11.95</v>
      </c>
      <c r="D232" s="17">
        <v>11.27</v>
      </c>
      <c r="E232" s="23">
        <v>12.5</v>
      </c>
      <c r="F232" s="18">
        <f>+E232*0.943396226415094</f>
        <v>11.792452830188676</v>
      </c>
    </row>
    <row r="233" spans="1:6" x14ac:dyDescent="0.35">
      <c r="A233" s="15" t="s">
        <v>451</v>
      </c>
      <c r="B233" s="19" t="s">
        <v>452</v>
      </c>
      <c r="C233" s="17">
        <v>11.95</v>
      </c>
      <c r="D233" s="17">
        <v>11.27</v>
      </c>
      <c r="E233" s="23">
        <v>12.5</v>
      </c>
      <c r="F233" s="18">
        <f>+E233*0.943396226415094</f>
        <v>11.792452830188676</v>
      </c>
    </row>
    <row r="234" spans="1:6" x14ac:dyDescent="0.35">
      <c r="A234" s="15" t="s">
        <v>453</v>
      </c>
      <c r="B234" s="19" t="s">
        <v>454</v>
      </c>
      <c r="C234" s="17">
        <f>+D234*1.06</f>
        <v>11.946199999999999</v>
      </c>
      <c r="D234" s="17">
        <v>11.27</v>
      </c>
      <c r="E234" s="23">
        <v>12.5</v>
      </c>
      <c r="F234" s="18">
        <f>+E234*0.943396226415094</f>
        <v>11.792452830188676</v>
      </c>
    </row>
    <row r="235" spans="1:6" x14ac:dyDescent="0.35">
      <c r="A235" s="15" t="s">
        <v>455</v>
      </c>
      <c r="B235" s="22" t="s">
        <v>456</v>
      </c>
      <c r="C235" s="17">
        <v>42.5</v>
      </c>
      <c r="D235" s="17">
        <v>40.090000000000003</v>
      </c>
      <c r="E235" s="23">
        <v>44.5</v>
      </c>
      <c r="F235" s="18">
        <f t="shared" ref="F235:F298" si="4">ROUND(E235/1.06,2)</f>
        <v>41.98</v>
      </c>
    </row>
    <row r="236" spans="1:6" x14ac:dyDescent="0.35">
      <c r="A236" s="15" t="s">
        <v>457</v>
      </c>
      <c r="B236" s="19" t="s">
        <v>458</v>
      </c>
      <c r="C236" s="17">
        <v>42.5</v>
      </c>
      <c r="D236" s="17">
        <v>40.090000000000003</v>
      </c>
      <c r="E236" s="23">
        <v>44.5</v>
      </c>
      <c r="F236" s="18">
        <f t="shared" si="4"/>
        <v>41.98</v>
      </c>
    </row>
    <row r="237" spans="1:6" x14ac:dyDescent="0.35">
      <c r="A237" s="15" t="s">
        <v>459</v>
      </c>
      <c r="B237" s="19" t="s">
        <v>460</v>
      </c>
      <c r="C237" s="17">
        <v>32.94</v>
      </c>
      <c r="D237" s="17">
        <v>31.08</v>
      </c>
      <c r="E237" s="23">
        <v>34.5</v>
      </c>
      <c r="F237" s="18">
        <f t="shared" si="4"/>
        <v>32.549999999999997</v>
      </c>
    </row>
    <row r="238" spans="1:6" x14ac:dyDescent="0.35">
      <c r="A238" s="15" t="s">
        <v>461</v>
      </c>
      <c r="B238" s="19" t="s">
        <v>462</v>
      </c>
      <c r="C238" s="17">
        <v>32.94</v>
      </c>
      <c r="D238" s="17">
        <v>31.08</v>
      </c>
      <c r="E238" s="23">
        <v>34.5</v>
      </c>
      <c r="F238" s="18">
        <f t="shared" si="4"/>
        <v>32.549999999999997</v>
      </c>
    </row>
    <row r="239" spans="1:6" x14ac:dyDescent="0.35">
      <c r="A239" s="15" t="s">
        <v>463</v>
      </c>
      <c r="B239" s="19" t="s">
        <v>464</v>
      </c>
      <c r="C239" s="17">
        <v>19.95</v>
      </c>
      <c r="D239" s="17">
        <v>18.82</v>
      </c>
      <c r="E239" s="23">
        <v>20.95</v>
      </c>
      <c r="F239" s="18">
        <f t="shared" si="4"/>
        <v>19.760000000000002</v>
      </c>
    </row>
    <row r="240" spans="1:6" x14ac:dyDescent="0.35">
      <c r="A240" s="15" t="s">
        <v>465</v>
      </c>
      <c r="B240" s="19" t="s">
        <v>466</v>
      </c>
      <c r="C240" s="17">
        <v>19.95</v>
      </c>
      <c r="D240" s="17">
        <v>18.82</v>
      </c>
      <c r="E240" s="23">
        <v>20.95</v>
      </c>
      <c r="F240" s="18">
        <f t="shared" si="4"/>
        <v>19.760000000000002</v>
      </c>
    </row>
    <row r="241" spans="1:6" x14ac:dyDescent="0.35">
      <c r="A241" s="15" t="s">
        <v>467</v>
      </c>
      <c r="B241" s="19" t="s">
        <v>468</v>
      </c>
      <c r="C241" s="17">
        <v>19.95</v>
      </c>
      <c r="D241" s="17">
        <v>18.82</v>
      </c>
      <c r="E241" s="23">
        <v>20.95</v>
      </c>
      <c r="F241" s="18">
        <f t="shared" si="4"/>
        <v>19.760000000000002</v>
      </c>
    </row>
    <row r="242" spans="1:6" x14ac:dyDescent="0.35">
      <c r="A242" s="15" t="s">
        <v>469</v>
      </c>
      <c r="B242" s="16" t="s">
        <v>470</v>
      </c>
      <c r="C242" s="17">
        <v>19.95</v>
      </c>
      <c r="D242" s="17">
        <v>18.82</v>
      </c>
      <c r="E242" s="23">
        <v>20.95</v>
      </c>
      <c r="F242" s="18">
        <f t="shared" si="4"/>
        <v>19.760000000000002</v>
      </c>
    </row>
    <row r="243" spans="1:6" x14ac:dyDescent="0.35">
      <c r="A243" s="15" t="s">
        <v>471</v>
      </c>
      <c r="B243" s="19" t="s">
        <v>472</v>
      </c>
      <c r="C243" s="17">
        <v>19.95</v>
      </c>
      <c r="D243" s="17">
        <v>18.82</v>
      </c>
      <c r="E243" s="23">
        <v>20.95</v>
      </c>
      <c r="F243" s="18">
        <f t="shared" si="4"/>
        <v>19.760000000000002</v>
      </c>
    </row>
    <row r="244" spans="1:6" x14ac:dyDescent="0.35">
      <c r="A244" s="15" t="s">
        <v>473</v>
      </c>
      <c r="B244" s="19" t="s">
        <v>474</v>
      </c>
      <c r="C244" s="17">
        <v>19.95</v>
      </c>
      <c r="D244" s="17">
        <v>18.82</v>
      </c>
      <c r="E244" s="23">
        <v>20.95</v>
      </c>
      <c r="F244" s="18">
        <f t="shared" si="4"/>
        <v>19.760000000000002</v>
      </c>
    </row>
    <row r="245" spans="1:6" x14ac:dyDescent="0.35">
      <c r="A245" s="15" t="s">
        <v>475</v>
      </c>
      <c r="B245" s="19" t="s">
        <v>476</v>
      </c>
      <c r="C245" s="17">
        <v>28.5</v>
      </c>
      <c r="D245" s="17">
        <v>26.89</v>
      </c>
      <c r="E245" s="23">
        <v>29.95</v>
      </c>
      <c r="F245" s="18">
        <f t="shared" si="4"/>
        <v>28.25</v>
      </c>
    </row>
    <row r="246" spans="1:6" x14ac:dyDescent="0.35">
      <c r="A246" s="15" t="s">
        <v>477</v>
      </c>
      <c r="B246" s="19" t="s">
        <v>478</v>
      </c>
      <c r="C246" s="17">
        <v>28.5</v>
      </c>
      <c r="D246" s="17">
        <v>26.89</v>
      </c>
      <c r="E246" s="23">
        <v>29.95</v>
      </c>
      <c r="F246" s="18">
        <f t="shared" si="4"/>
        <v>28.25</v>
      </c>
    </row>
    <row r="247" spans="1:6" x14ac:dyDescent="0.35">
      <c r="A247" s="15" t="s">
        <v>479</v>
      </c>
      <c r="B247" s="16" t="s">
        <v>480</v>
      </c>
      <c r="C247" s="17">
        <f>+D247*1.06</f>
        <v>28.503400000000003</v>
      </c>
      <c r="D247" s="17">
        <v>26.89</v>
      </c>
      <c r="E247" s="23">
        <v>29.95</v>
      </c>
      <c r="F247" s="18">
        <f t="shared" si="4"/>
        <v>28.25</v>
      </c>
    </row>
    <row r="248" spans="1:6" x14ac:dyDescent="0.35">
      <c r="A248" s="15" t="s">
        <v>481</v>
      </c>
      <c r="B248" s="19" t="s">
        <v>482</v>
      </c>
      <c r="C248" s="17">
        <v>8.5</v>
      </c>
      <c r="D248" s="17">
        <v>8.02</v>
      </c>
      <c r="E248" s="23">
        <v>8.9499999999999993</v>
      </c>
      <c r="F248" s="18">
        <f t="shared" si="4"/>
        <v>8.44</v>
      </c>
    </row>
    <row r="249" spans="1:6" x14ac:dyDescent="0.35">
      <c r="A249" s="15" t="s">
        <v>483</v>
      </c>
      <c r="B249" s="19" t="s">
        <v>484</v>
      </c>
      <c r="C249" s="17">
        <v>8.5</v>
      </c>
      <c r="D249" s="17">
        <v>8.02</v>
      </c>
      <c r="E249" s="23">
        <v>8.9499999999999993</v>
      </c>
      <c r="F249" s="18">
        <f t="shared" si="4"/>
        <v>8.44</v>
      </c>
    </row>
    <row r="250" spans="1:6" x14ac:dyDescent="0.35">
      <c r="A250" s="15" t="s">
        <v>485</v>
      </c>
      <c r="B250" s="19" t="s">
        <v>486</v>
      </c>
      <c r="C250" s="17">
        <v>8.5</v>
      </c>
      <c r="D250" s="17">
        <v>8.02</v>
      </c>
      <c r="E250" s="23">
        <v>8.9499999999999993</v>
      </c>
      <c r="F250" s="18">
        <f t="shared" si="4"/>
        <v>8.44</v>
      </c>
    </row>
    <row r="251" spans="1:6" x14ac:dyDescent="0.35">
      <c r="A251" s="15" t="s">
        <v>487</v>
      </c>
      <c r="B251" s="19" t="s">
        <v>488</v>
      </c>
      <c r="C251" s="17">
        <f>+D251*1.06</f>
        <v>8.5012000000000008</v>
      </c>
      <c r="D251" s="17">
        <v>8.02</v>
      </c>
      <c r="E251" s="23">
        <v>8.9499999999999993</v>
      </c>
      <c r="F251" s="18">
        <f t="shared" si="4"/>
        <v>8.44</v>
      </c>
    </row>
    <row r="252" spans="1:6" x14ac:dyDescent="0.35">
      <c r="A252" s="15" t="s">
        <v>489</v>
      </c>
      <c r="B252" s="19" t="s">
        <v>490</v>
      </c>
      <c r="C252" s="17">
        <v>18.95</v>
      </c>
      <c r="D252" s="17">
        <v>17.88</v>
      </c>
      <c r="E252" s="23">
        <v>19.95</v>
      </c>
      <c r="F252" s="18">
        <f t="shared" si="4"/>
        <v>18.82</v>
      </c>
    </row>
    <row r="253" spans="1:6" x14ac:dyDescent="0.35">
      <c r="A253" s="15" t="s">
        <v>491</v>
      </c>
      <c r="B253" s="16" t="s">
        <v>492</v>
      </c>
      <c r="C253" s="17">
        <v>18.95</v>
      </c>
      <c r="D253" s="17">
        <v>17.88</v>
      </c>
      <c r="E253" s="23">
        <v>19.95</v>
      </c>
      <c r="F253" s="18">
        <f t="shared" si="4"/>
        <v>18.82</v>
      </c>
    </row>
    <row r="254" spans="1:6" x14ac:dyDescent="0.35">
      <c r="A254" s="15" t="s">
        <v>493</v>
      </c>
      <c r="B254" s="19" t="s">
        <v>494</v>
      </c>
      <c r="C254" s="17">
        <v>18.95</v>
      </c>
      <c r="D254" s="17">
        <v>17.88</v>
      </c>
      <c r="E254" s="23">
        <v>19.95</v>
      </c>
      <c r="F254" s="18">
        <f t="shared" si="4"/>
        <v>18.82</v>
      </c>
    </row>
    <row r="255" spans="1:6" x14ac:dyDescent="0.35">
      <c r="A255" s="15" t="s">
        <v>495</v>
      </c>
      <c r="B255" s="19" t="s">
        <v>496</v>
      </c>
      <c r="C255" s="17">
        <v>18.95</v>
      </c>
      <c r="D255" s="17">
        <v>17.88</v>
      </c>
      <c r="E255" s="23">
        <v>19.95</v>
      </c>
      <c r="F255" s="18">
        <f t="shared" si="4"/>
        <v>18.82</v>
      </c>
    </row>
    <row r="256" spans="1:6" x14ac:dyDescent="0.35">
      <c r="A256" s="15" t="s">
        <v>497</v>
      </c>
      <c r="B256" s="19" t="s">
        <v>498</v>
      </c>
      <c r="C256" s="17">
        <v>18.95</v>
      </c>
      <c r="D256" s="17">
        <v>17.88</v>
      </c>
      <c r="E256" s="23">
        <v>19.95</v>
      </c>
      <c r="F256" s="18">
        <f t="shared" si="4"/>
        <v>18.82</v>
      </c>
    </row>
    <row r="257" spans="1:6" x14ac:dyDescent="0.35">
      <c r="A257" s="15" t="s">
        <v>499</v>
      </c>
      <c r="B257" s="19" t="s">
        <v>500</v>
      </c>
      <c r="C257" s="17">
        <v>18.95</v>
      </c>
      <c r="D257" s="17">
        <v>17.88</v>
      </c>
      <c r="E257" s="23">
        <v>19.95</v>
      </c>
      <c r="F257" s="18">
        <f t="shared" si="4"/>
        <v>18.82</v>
      </c>
    </row>
    <row r="258" spans="1:6" x14ac:dyDescent="0.35">
      <c r="A258" s="15" t="s">
        <v>501</v>
      </c>
      <c r="B258" s="19" t="s">
        <v>502</v>
      </c>
      <c r="C258" s="17">
        <v>18.95</v>
      </c>
      <c r="D258" s="17">
        <v>17.88</v>
      </c>
      <c r="E258" s="23">
        <v>19.95</v>
      </c>
      <c r="F258" s="18">
        <f t="shared" si="4"/>
        <v>18.82</v>
      </c>
    </row>
    <row r="259" spans="1:6" x14ac:dyDescent="0.35">
      <c r="A259" s="15" t="s">
        <v>503</v>
      </c>
      <c r="B259" s="19" t="s">
        <v>504</v>
      </c>
      <c r="C259" s="17">
        <v>18.95</v>
      </c>
      <c r="D259" s="17">
        <v>17.88</v>
      </c>
      <c r="E259" s="23">
        <v>19.95</v>
      </c>
      <c r="F259" s="18">
        <f t="shared" si="4"/>
        <v>18.82</v>
      </c>
    </row>
    <row r="260" spans="1:6" x14ac:dyDescent="0.35">
      <c r="A260" s="15" t="s">
        <v>505</v>
      </c>
      <c r="B260" s="19" t="s">
        <v>506</v>
      </c>
      <c r="C260" s="17">
        <v>18.95</v>
      </c>
      <c r="D260" s="17">
        <v>17.88</v>
      </c>
      <c r="E260" s="23">
        <v>19.95</v>
      </c>
      <c r="F260" s="18">
        <f t="shared" si="4"/>
        <v>18.82</v>
      </c>
    </row>
    <row r="261" spans="1:6" x14ac:dyDescent="0.35">
      <c r="A261" s="15" t="s">
        <v>507</v>
      </c>
      <c r="B261" s="19" t="s">
        <v>508</v>
      </c>
      <c r="C261" s="17">
        <v>18.95</v>
      </c>
      <c r="D261" s="17">
        <v>17.88</v>
      </c>
      <c r="E261" s="23">
        <v>19.95</v>
      </c>
      <c r="F261" s="18">
        <f t="shared" si="4"/>
        <v>18.82</v>
      </c>
    </row>
    <row r="262" spans="1:6" x14ac:dyDescent="0.35">
      <c r="A262" s="15" t="s">
        <v>509</v>
      </c>
      <c r="B262" s="19" t="s">
        <v>510</v>
      </c>
      <c r="C262" s="17">
        <v>18.95</v>
      </c>
      <c r="D262" s="17">
        <v>17.88</v>
      </c>
      <c r="E262" s="23">
        <v>19.95</v>
      </c>
      <c r="F262" s="18">
        <f t="shared" si="4"/>
        <v>18.82</v>
      </c>
    </row>
    <row r="263" spans="1:6" x14ac:dyDescent="0.35">
      <c r="A263" s="15" t="s">
        <v>511</v>
      </c>
      <c r="B263" s="19" t="s">
        <v>512</v>
      </c>
      <c r="C263" s="17">
        <v>18.95</v>
      </c>
      <c r="D263" s="17">
        <v>17.88</v>
      </c>
      <c r="E263" s="23">
        <v>19.95</v>
      </c>
      <c r="F263" s="18">
        <f t="shared" si="4"/>
        <v>18.82</v>
      </c>
    </row>
    <row r="264" spans="1:6" x14ac:dyDescent="0.35">
      <c r="A264" s="15" t="s">
        <v>513</v>
      </c>
      <c r="B264" s="16" t="s">
        <v>514</v>
      </c>
      <c r="C264" s="17">
        <v>18.95</v>
      </c>
      <c r="D264" s="17">
        <v>17.88</v>
      </c>
      <c r="E264" s="23">
        <v>19.95</v>
      </c>
      <c r="F264" s="18">
        <f t="shared" si="4"/>
        <v>18.82</v>
      </c>
    </row>
    <row r="265" spans="1:6" x14ac:dyDescent="0.35">
      <c r="A265" s="15" t="s">
        <v>515</v>
      </c>
      <c r="B265" s="19" t="s">
        <v>516</v>
      </c>
      <c r="C265" s="17">
        <v>18.95</v>
      </c>
      <c r="D265" s="17">
        <v>17.88</v>
      </c>
      <c r="E265" s="23">
        <v>19.95</v>
      </c>
      <c r="F265" s="18">
        <f t="shared" si="4"/>
        <v>18.82</v>
      </c>
    </row>
    <row r="266" spans="1:6" x14ac:dyDescent="0.35">
      <c r="A266" s="15" t="s">
        <v>517</v>
      </c>
      <c r="B266" s="19" t="s">
        <v>518</v>
      </c>
      <c r="C266" s="17">
        <v>18.95</v>
      </c>
      <c r="D266" s="17">
        <v>17.88</v>
      </c>
      <c r="E266" s="23">
        <v>19.95</v>
      </c>
      <c r="F266" s="18">
        <f t="shared" si="4"/>
        <v>18.82</v>
      </c>
    </row>
    <row r="267" spans="1:6" x14ac:dyDescent="0.35">
      <c r="A267" s="15" t="s">
        <v>519</v>
      </c>
      <c r="B267" s="19" t="s">
        <v>520</v>
      </c>
      <c r="C267" s="17">
        <v>18.95</v>
      </c>
      <c r="D267" s="17">
        <v>17.88</v>
      </c>
      <c r="E267" s="23">
        <v>19.95</v>
      </c>
      <c r="F267" s="18">
        <f t="shared" si="4"/>
        <v>18.82</v>
      </c>
    </row>
    <row r="268" spans="1:6" x14ac:dyDescent="0.35">
      <c r="A268" s="15" t="s">
        <v>521</v>
      </c>
      <c r="B268" s="19" t="s">
        <v>522</v>
      </c>
      <c r="C268" s="17">
        <v>18.95</v>
      </c>
      <c r="D268" s="17">
        <v>17.88</v>
      </c>
      <c r="E268" s="23">
        <v>19.95</v>
      </c>
      <c r="F268" s="18">
        <f t="shared" si="4"/>
        <v>18.82</v>
      </c>
    </row>
    <row r="269" spans="1:6" x14ac:dyDescent="0.35">
      <c r="A269" s="15" t="s">
        <v>523</v>
      </c>
      <c r="B269" s="19" t="s">
        <v>524</v>
      </c>
      <c r="C269" s="17">
        <v>18.95</v>
      </c>
      <c r="D269" s="17">
        <v>17.88</v>
      </c>
      <c r="E269" s="23">
        <v>19.95</v>
      </c>
      <c r="F269" s="18">
        <f t="shared" si="4"/>
        <v>18.82</v>
      </c>
    </row>
    <row r="270" spans="1:6" x14ac:dyDescent="0.35">
      <c r="A270" s="15" t="s">
        <v>525</v>
      </c>
      <c r="B270" s="19" t="s">
        <v>526</v>
      </c>
      <c r="C270" s="17">
        <v>18.95</v>
      </c>
      <c r="D270" s="17">
        <v>17.88</v>
      </c>
      <c r="E270" s="23">
        <v>19.95</v>
      </c>
      <c r="F270" s="18">
        <f t="shared" si="4"/>
        <v>18.82</v>
      </c>
    </row>
    <row r="271" spans="1:6" x14ac:dyDescent="0.35">
      <c r="A271" s="15" t="s">
        <v>527</v>
      </c>
      <c r="B271" s="19" t="s">
        <v>528</v>
      </c>
      <c r="C271" s="17">
        <v>18.95</v>
      </c>
      <c r="D271" s="17">
        <v>17.88</v>
      </c>
      <c r="E271" s="23">
        <v>19.95</v>
      </c>
      <c r="F271" s="18">
        <f t="shared" si="4"/>
        <v>18.82</v>
      </c>
    </row>
    <row r="272" spans="1:6" x14ac:dyDescent="0.35">
      <c r="A272" s="15" t="s">
        <v>529</v>
      </c>
      <c r="B272" s="19" t="s">
        <v>530</v>
      </c>
      <c r="C272" s="17">
        <v>18.95</v>
      </c>
      <c r="D272" s="17">
        <v>17.88</v>
      </c>
      <c r="E272" s="23">
        <v>19.95</v>
      </c>
      <c r="F272" s="18">
        <f t="shared" si="4"/>
        <v>18.82</v>
      </c>
    </row>
    <row r="273" spans="1:6" x14ac:dyDescent="0.35">
      <c r="A273" s="15" t="s">
        <v>531</v>
      </c>
      <c r="B273" s="16" t="s">
        <v>532</v>
      </c>
      <c r="C273" s="17">
        <v>18.95</v>
      </c>
      <c r="D273" s="17">
        <v>17.88</v>
      </c>
      <c r="E273" s="23">
        <v>19.95</v>
      </c>
      <c r="F273" s="18">
        <f t="shared" si="4"/>
        <v>18.82</v>
      </c>
    </row>
    <row r="274" spans="1:6" x14ac:dyDescent="0.35">
      <c r="A274" s="15" t="s">
        <v>533</v>
      </c>
      <c r="B274" s="19" t="s">
        <v>534</v>
      </c>
      <c r="C274" s="17">
        <f>+D274*1.06</f>
        <v>18.9528</v>
      </c>
      <c r="D274" s="17">
        <v>17.88</v>
      </c>
      <c r="E274" s="23">
        <v>19.95</v>
      </c>
      <c r="F274" s="18">
        <f t="shared" si="4"/>
        <v>18.82</v>
      </c>
    </row>
    <row r="275" spans="1:6" x14ac:dyDescent="0.35">
      <c r="A275" s="15" t="s">
        <v>535</v>
      </c>
      <c r="B275" s="19" t="s">
        <v>536</v>
      </c>
      <c r="C275" s="17">
        <f>+D275*1.06</f>
        <v>18.9528</v>
      </c>
      <c r="D275" s="17">
        <v>17.88</v>
      </c>
      <c r="E275" s="23">
        <v>19.95</v>
      </c>
      <c r="F275" s="18">
        <f t="shared" si="4"/>
        <v>18.82</v>
      </c>
    </row>
    <row r="276" spans="1:6" x14ac:dyDescent="0.35">
      <c r="A276" s="15" t="s">
        <v>537</v>
      </c>
      <c r="B276" s="19" t="s">
        <v>538</v>
      </c>
      <c r="C276" s="17">
        <f>+D276*1.06</f>
        <v>18.9528</v>
      </c>
      <c r="D276" s="17">
        <v>17.88</v>
      </c>
      <c r="E276" s="23">
        <v>19.95</v>
      </c>
      <c r="F276" s="18">
        <f t="shared" si="4"/>
        <v>18.82</v>
      </c>
    </row>
    <row r="277" spans="1:6" x14ac:dyDescent="0.35">
      <c r="A277" s="15" t="s">
        <v>539</v>
      </c>
      <c r="B277" s="19" t="s">
        <v>540</v>
      </c>
      <c r="C277" s="17">
        <v>17.95</v>
      </c>
      <c r="D277" s="17">
        <v>16.93</v>
      </c>
      <c r="E277" s="23">
        <v>18.95</v>
      </c>
      <c r="F277" s="18">
        <f t="shared" si="4"/>
        <v>17.88</v>
      </c>
    </row>
    <row r="278" spans="1:6" x14ac:dyDescent="0.35">
      <c r="A278" s="15" t="s">
        <v>541</v>
      </c>
      <c r="B278" s="19" t="s">
        <v>542</v>
      </c>
      <c r="C278" s="17">
        <v>17.95</v>
      </c>
      <c r="D278" s="17">
        <v>16.93</v>
      </c>
      <c r="E278" s="23">
        <v>18.95</v>
      </c>
      <c r="F278" s="18">
        <f t="shared" si="4"/>
        <v>17.88</v>
      </c>
    </row>
    <row r="279" spans="1:6" x14ac:dyDescent="0.35">
      <c r="A279" s="15" t="s">
        <v>543</v>
      </c>
      <c r="B279" s="19" t="s">
        <v>544</v>
      </c>
      <c r="C279" s="17">
        <v>17.95</v>
      </c>
      <c r="D279" s="17">
        <v>16.93</v>
      </c>
      <c r="E279" s="23">
        <v>18.95</v>
      </c>
      <c r="F279" s="18">
        <f t="shared" si="4"/>
        <v>17.88</v>
      </c>
    </row>
    <row r="280" spans="1:6" x14ac:dyDescent="0.35">
      <c r="A280" s="15" t="s">
        <v>545</v>
      </c>
      <c r="B280" s="19" t="s">
        <v>546</v>
      </c>
      <c r="C280" s="17">
        <v>17.95</v>
      </c>
      <c r="D280" s="17">
        <v>16.93</v>
      </c>
      <c r="E280" s="23">
        <v>18.95</v>
      </c>
      <c r="F280" s="18">
        <f t="shared" si="4"/>
        <v>17.88</v>
      </c>
    </row>
    <row r="281" spans="1:6" x14ac:dyDescent="0.35">
      <c r="A281" s="15" t="s">
        <v>547</v>
      </c>
      <c r="B281" s="19" t="s">
        <v>548</v>
      </c>
      <c r="C281" s="17">
        <v>17.95</v>
      </c>
      <c r="D281" s="17">
        <v>16.93</v>
      </c>
      <c r="E281" s="23">
        <v>18.95</v>
      </c>
      <c r="F281" s="18">
        <f t="shared" si="4"/>
        <v>17.88</v>
      </c>
    </row>
    <row r="282" spans="1:6" x14ac:dyDescent="0.35">
      <c r="A282" s="15" t="s">
        <v>549</v>
      </c>
      <c r="B282" s="19" t="s">
        <v>550</v>
      </c>
      <c r="C282" s="17">
        <v>17.95</v>
      </c>
      <c r="D282" s="17">
        <v>16.93</v>
      </c>
      <c r="E282" s="23">
        <v>18.95</v>
      </c>
      <c r="F282" s="18">
        <f t="shared" si="4"/>
        <v>17.88</v>
      </c>
    </row>
    <row r="283" spans="1:6" x14ac:dyDescent="0.35">
      <c r="A283" s="15" t="s">
        <v>551</v>
      </c>
      <c r="B283" s="16" t="s">
        <v>552</v>
      </c>
      <c r="C283" s="17">
        <v>17.95</v>
      </c>
      <c r="D283" s="17">
        <v>16.93</v>
      </c>
      <c r="E283" s="23">
        <v>18.95</v>
      </c>
      <c r="F283" s="18">
        <f t="shared" si="4"/>
        <v>17.88</v>
      </c>
    </row>
    <row r="284" spans="1:6" x14ac:dyDescent="0.35">
      <c r="A284" s="15" t="s">
        <v>553</v>
      </c>
      <c r="B284" s="19" t="s">
        <v>554</v>
      </c>
      <c r="C284" s="17">
        <v>17.95</v>
      </c>
      <c r="D284" s="17">
        <v>16.93</v>
      </c>
      <c r="E284" s="23">
        <v>18.95</v>
      </c>
      <c r="F284" s="18">
        <f t="shared" si="4"/>
        <v>17.88</v>
      </c>
    </row>
    <row r="285" spans="1:6" x14ac:dyDescent="0.35">
      <c r="A285" s="15" t="s">
        <v>555</v>
      </c>
      <c r="B285" s="19" t="s">
        <v>556</v>
      </c>
      <c r="C285" s="17">
        <v>17.95</v>
      </c>
      <c r="D285" s="17">
        <v>16.93</v>
      </c>
      <c r="E285" s="23">
        <v>18.95</v>
      </c>
      <c r="F285" s="18">
        <f t="shared" si="4"/>
        <v>17.88</v>
      </c>
    </row>
    <row r="286" spans="1:6" x14ac:dyDescent="0.35">
      <c r="A286" s="15" t="s">
        <v>557</v>
      </c>
      <c r="B286" s="19" t="s">
        <v>558</v>
      </c>
      <c r="C286" s="17">
        <v>17.95</v>
      </c>
      <c r="D286" s="17">
        <v>16.93</v>
      </c>
      <c r="E286" s="23">
        <v>18.95</v>
      </c>
      <c r="F286" s="18">
        <f t="shared" si="4"/>
        <v>17.88</v>
      </c>
    </row>
    <row r="287" spans="1:6" x14ac:dyDescent="0.35">
      <c r="A287" s="15" t="s">
        <v>559</v>
      </c>
      <c r="B287" s="19" t="s">
        <v>560</v>
      </c>
      <c r="C287" s="17">
        <v>17.95</v>
      </c>
      <c r="D287" s="17">
        <v>16.93</v>
      </c>
      <c r="E287" s="23">
        <v>18.95</v>
      </c>
      <c r="F287" s="18">
        <f t="shared" si="4"/>
        <v>17.88</v>
      </c>
    </row>
    <row r="288" spans="1:6" x14ac:dyDescent="0.35">
      <c r="A288" s="15" t="s">
        <v>561</v>
      </c>
      <c r="B288" s="19" t="s">
        <v>562</v>
      </c>
      <c r="C288" s="17">
        <v>17.95</v>
      </c>
      <c r="D288" s="17">
        <v>16.93</v>
      </c>
      <c r="E288" s="23">
        <v>18.95</v>
      </c>
      <c r="F288" s="18">
        <f t="shared" si="4"/>
        <v>17.88</v>
      </c>
    </row>
    <row r="289" spans="1:6" x14ac:dyDescent="0.35">
      <c r="A289" s="15" t="s">
        <v>563</v>
      </c>
      <c r="B289" s="19" t="s">
        <v>564</v>
      </c>
      <c r="C289" s="17">
        <v>17.95</v>
      </c>
      <c r="D289" s="17">
        <v>16.93</v>
      </c>
      <c r="E289" s="23">
        <v>18.95</v>
      </c>
      <c r="F289" s="18">
        <f t="shared" si="4"/>
        <v>17.88</v>
      </c>
    </row>
    <row r="290" spans="1:6" x14ac:dyDescent="0.35">
      <c r="A290" s="15" t="s">
        <v>565</v>
      </c>
      <c r="B290" s="19" t="s">
        <v>566</v>
      </c>
      <c r="C290" s="17">
        <v>17.95</v>
      </c>
      <c r="D290" s="17">
        <v>16.93</v>
      </c>
      <c r="E290" s="23">
        <v>18.95</v>
      </c>
      <c r="F290" s="18">
        <f t="shared" si="4"/>
        <v>17.88</v>
      </c>
    </row>
    <row r="291" spans="1:6" x14ac:dyDescent="0.35">
      <c r="A291" s="15" t="s">
        <v>567</v>
      </c>
      <c r="B291" s="16" t="s">
        <v>568</v>
      </c>
      <c r="C291" s="17">
        <v>17.95</v>
      </c>
      <c r="D291" s="17">
        <v>16.93</v>
      </c>
      <c r="E291" s="23">
        <v>18.95</v>
      </c>
      <c r="F291" s="18">
        <f t="shared" si="4"/>
        <v>17.88</v>
      </c>
    </row>
    <row r="292" spans="1:6" x14ac:dyDescent="0.35">
      <c r="A292" s="15" t="s">
        <v>569</v>
      </c>
      <c r="B292" s="19" t="s">
        <v>570</v>
      </c>
      <c r="C292" s="17">
        <v>17.95</v>
      </c>
      <c r="D292" s="17">
        <v>16.93</v>
      </c>
      <c r="E292" s="23">
        <v>18.95</v>
      </c>
      <c r="F292" s="18">
        <f t="shared" si="4"/>
        <v>17.88</v>
      </c>
    </row>
    <row r="293" spans="1:6" x14ac:dyDescent="0.35">
      <c r="A293" s="15" t="s">
        <v>571</v>
      </c>
      <c r="B293" s="19" t="s">
        <v>572</v>
      </c>
      <c r="C293" s="17">
        <v>17.95</v>
      </c>
      <c r="D293" s="17">
        <v>16.93</v>
      </c>
      <c r="E293" s="23">
        <v>18.95</v>
      </c>
      <c r="F293" s="18">
        <f t="shared" si="4"/>
        <v>17.88</v>
      </c>
    </row>
    <row r="294" spans="1:6" x14ac:dyDescent="0.35">
      <c r="A294" s="15" t="s">
        <v>573</v>
      </c>
      <c r="B294" s="19" t="s">
        <v>574</v>
      </c>
      <c r="C294" s="17">
        <v>17.95</v>
      </c>
      <c r="D294" s="17">
        <v>16.93</v>
      </c>
      <c r="E294" s="23">
        <v>18.95</v>
      </c>
      <c r="F294" s="18">
        <f t="shared" si="4"/>
        <v>17.88</v>
      </c>
    </row>
    <row r="295" spans="1:6" x14ac:dyDescent="0.35">
      <c r="A295" s="15" t="s">
        <v>575</v>
      </c>
      <c r="B295" s="19" t="s">
        <v>576</v>
      </c>
      <c r="C295" s="17">
        <v>17.95</v>
      </c>
      <c r="D295" s="17">
        <v>16.93</v>
      </c>
      <c r="E295" s="23">
        <v>18.95</v>
      </c>
      <c r="F295" s="18">
        <f t="shared" si="4"/>
        <v>17.88</v>
      </c>
    </row>
    <row r="296" spans="1:6" x14ac:dyDescent="0.35">
      <c r="A296" s="15" t="s">
        <v>577</v>
      </c>
      <c r="B296" s="19" t="s">
        <v>578</v>
      </c>
      <c r="C296" s="17">
        <v>17.95</v>
      </c>
      <c r="D296" s="17">
        <v>16.93</v>
      </c>
      <c r="E296" s="23">
        <v>18.95</v>
      </c>
      <c r="F296" s="18">
        <f t="shared" si="4"/>
        <v>17.88</v>
      </c>
    </row>
    <row r="297" spans="1:6" x14ac:dyDescent="0.35">
      <c r="A297" s="15" t="s">
        <v>579</v>
      </c>
      <c r="B297" s="19" t="s">
        <v>580</v>
      </c>
      <c r="C297" s="17">
        <v>17.95</v>
      </c>
      <c r="D297" s="17">
        <v>16.93</v>
      </c>
      <c r="E297" s="23">
        <v>18.95</v>
      </c>
      <c r="F297" s="18">
        <f t="shared" si="4"/>
        <v>17.88</v>
      </c>
    </row>
    <row r="298" spans="1:6" x14ac:dyDescent="0.35">
      <c r="A298" s="15" t="s">
        <v>581</v>
      </c>
      <c r="B298" s="19" t="s">
        <v>582</v>
      </c>
      <c r="C298" s="17">
        <v>17.95</v>
      </c>
      <c r="D298" s="17">
        <v>16.93</v>
      </c>
      <c r="E298" s="23">
        <v>18.95</v>
      </c>
      <c r="F298" s="18">
        <f t="shared" si="4"/>
        <v>17.88</v>
      </c>
    </row>
    <row r="299" spans="1:6" x14ac:dyDescent="0.35">
      <c r="A299" s="15" t="s">
        <v>583</v>
      </c>
      <c r="B299" s="19" t="s">
        <v>584</v>
      </c>
      <c r="C299" s="17">
        <f>+D299*1.06</f>
        <v>17.945800000000002</v>
      </c>
      <c r="D299" s="17">
        <v>16.93</v>
      </c>
      <c r="E299" s="23">
        <v>18.95</v>
      </c>
      <c r="F299" s="18">
        <f t="shared" ref="F299:F313" si="5">ROUND(E299/1.06,2)</f>
        <v>17.88</v>
      </c>
    </row>
    <row r="300" spans="1:6" x14ac:dyDescent="0.35">
      <c r="A300" s="15" t="s">
        <v>585</v>
      </c>
      <c r="B300" s="19" t="s">
        <v>586</v>
      </c>
      <c r="C300" s="17">
        <f>+D300*1.06</f>
        <v>17.945800000000002</v>
      </c>
      <c r="D300" s="17">
        <v>16.93</v>
      </c>
      <c r="E300" s="23">
        <v>18.95</v>
      </c>
      <c r="F300" s="18">
        <f t="shared" si="5"/>
        <v>17.88</v>
      </c>
    </row>
    <row r="301" spans="1:6" x14ac:dyDescent="0.35">
      <c r="A301" s="15" t="s">
        <v>587</v>
      </c>
      <c r="B301" s="19" t="s">
        <v>588</v>
      </c>
      <c r="C301" s="17">
        <v>24.5</v>
      </c>
      <c r="D301" s="17">
        <v>23.11</v>
      </c>
      <c r="E301" s="23">
        <v>25.95</v>
      </c>
      <c r="F301" s="18">
        <f t="shared" si="5"/>
        <v>24.48</v>
      </c>
    </row>
    <row r="302" spans="1:6" x14ac:dyDescent="0.35">
      <c r="A302" s="15" t="s">
        <v>589</v>
      </c>
      <c r="B302" s="19" t="s">
        <v>590</v>
      </c>
      <c r="C302" s="17">
        <v>24.5</v>
      </c>
      <c r="D302" s="17">
        <v>23.11</v>
      </c>
      <c r="E302" s="23">
        <v>25.95</v>
      </c>
      <c r="F302" s="18">
        <f t="shared" si="5"/>
        <v>24.48</v>
      </c>
    </row>
    <row r="303" spans="1:6" x14ac:dyDescent="0.35">
      <c r="A303" s="15" t="s">
        <v>591</v>
      </c>
      <c r="B303" s="19" t="s">
        <v>592</v>
      </c>
      <c r="C303" s="17">
        <v>24.5</v>
      </c>
      <c r="D303" s="17">
        <v>23.11</v>
      </c>
      <c r="E303" s="23">
        <v>25.95</v>
      </c>
      <c r="F303" s="18">
        <f t="shared" si="5"/>
        <v>24.48</v>
      </c>
    </row>
    <row r="304" spans="1:6" x14ac:dyDescent="0.35">
      <c r="A304" s="15" t="s">
        <v>593</v>
      </c>
      <c r="B304" s="19" t="s">
        <v>594</v>
      </c>
      <c r="C304" s="17">
        <v>24.5</v>
      </c>
      <c r="D304" s="17">
        <v>23.11</v>
      </c>
      <c r="E304" s="23">
        <v>25.95</v>
      </c>
      <c r="F304" s="18">
        <f t="shared" si="5"/>
        <v>24.48</v>
      </c>
    </row>
    <row r="305" spans="1:6" x14ac:dyDescent="0.35">
      <c r="A305" s="15" t="s">
        <v>595</v>
      </c>
      <c r="B305" s="19" t="s">
        <v>596</v>
      </c>
      <c r="C305" s="17">
        <v>37.5</v>
      </c>
      <c r="D305" s="17">
        <v>35.380000000000003</v>
      </c>
      <c r="E305" s="23">
        <v>39.950000000000003</v>
      </c>
      <c r="F305" s="18">
        <f t="shared" si="5"/>
        <v>37.69</v>
      </c>
    </row>
    <row r="306" spans="1:6" x14ac:dyDescent="0.35">
      <c r="A306" s="15" t="s">
        <v>597</v>
      </c>
      <c r="B306" s="19" t="s">
        <v>598</v>
      </c>
      <c r="C306" s="17">
        <v>27.95</v>
      </c>
      <c r="D306" s="17">
        <v>26.37</v>
      </c>
      <c r="E306" s="23">
        <v>29.95</v>
      </c>
      <c r="F306" s="18">
        <f t="shared" si="5"/>
        <v>28.25</v>
      </c>
    </row>
    <row r="307" spans="1:6" x14ac:dyDescent="0.35">
      <c r="A307" s="15" t="s">
        <v>599</v>
      </c>
      <c r="B307" s="16" t="s">
        <v>600</v>
      </c>
      <c r="C307" s="17">
        <v>12.95</v>
      </c>
      <c r="D307" s="17">
        <v>12.22</v>
      </c>
      <c r="E307" s="23">
        <v>13.95</v>
      </c>
      <c r="F307" s="18">
        <f t="shared" si="5"/>
        <v>13.16</v>
      </c>
    </row>
    <row r="308" spans="1:6" x14ac:dyDescent="0.35">
      <c r="A308" s="15" t="s">
        <v>601</v>
      </c>
      <c r="B308" s="19" t="s">
        <v>602</v>
      </c>
      <c r="C308" s="17">
        <v>55</v>
      </c>
      <c r="D308" s="17">
        <v>51.89</v>
      </c>
      <c r="E308" s="23">
        <v>59.95</v>
      </c>
      <c r="F308" s="18">
        <f t="shared" si="5"/>
        <v>56.56</v>
      </c>
    </row>
    <row r="309" spans="1:6" x14ac:dyDescent="0.35">
      <c r="A309" s="15" t="s">
        <v>603</v>
      </c>
      <c r="B309" s="19" t="s">
        <v>604</v>
      </c>
      <c r="C309" s="17">
        <v>7.95</v>
      </c>
      <c r="D309" s="17">
        <v>7.5</v>
      </c>
      <c r="E309" s="23">
        <v>8.9499999999999993</v>
      </c>
      <c r="F309" s="18">
        <f t="shared" si="5"/>
        <v>8.44</v>
      </c>
    </row>
    <row r="310" spans="1:6" x14ac:dyDescent="0.35">
      <c r="A310" s="15" t="s">
        <v>605</v>
      </c>
      <c r="B310" s="19" t="s">
        <v>606</v>
      </c>
      <c r="C310" s="17">
        <v>7.95</v>
      </c>
      <c r="D310" s="17">
        <v>7.5</v>
      </c>
      <c r="E310" s="23">
        <v>8.9499999999999993</v>
      </c>
      <c r="F310" s="18">
        <f t="shared" si="5"/>
        <v>8.44</v>
      </c>
    </row>
    <row r="311" spans="1:6" x14ac:dyDescent="0.35">
      <c r="A311" s="15" t="s">
        <v>607</v>
      </c>
      <c r="B311" s="19" t="s">
        <v>608</v>
      </c>
      <c r="C311" s="17">
        <v>7.95</v>
      </c>
      <c r="D311" s="17">
        <v>7.5</v>
      </c>
      <c r="E311" s="23">
        <v>8.9499999999999993</v>
      </c>
      <c r="F311" s="18">
        <f t="shared" si="5"/>
        <v>8.44</v>
      </c>
    </row>
    <row r="312" spans="1:6" x14ac:dyDescent="0.35">
      <c r="A312" s="15" t="s">
        <v>609</v>
      </c>
      <c r="B312" s="19" t="s">
        <v>610</v>
      </c>
      <c r="C312" s="17">
        <v>7.95</v>
      </c>
      <c r="D312" s="17">
        <v>7.5</v>
      </c>
      <c r="E312" s="23">
        <v>8.9499999999999993</v>
      </c>
      <c r="F312" s="18">
        <f t="shared" si="5"/>
        <v>8.44</v>
      </c>
    </row>
    <row r="313" spans="1:6" x14ac:dyDescent="0.35">
      <c r="A313" s="15" t="s">
        <v>611</v>
      </c>
      <c r="B313" s="19" t="s">
        <v>612</v>
      </c>
      <c r="C313" s="17">
        <f>+D313*1.06</f>
        <v>7.95</v>
      </c>
      <c r="D313" s="17">
        <v>7.5</v>
      </c>
      <c r="E313" s="23">
        <v>8.9499999999999993</v>
      </c>
      <c r="F313" s="18">
        <f t="shared" si="5"/>
        <v>8.44</v>
      </c>
    </row>
    <row r="314" spans="1:6" x14ac:dyDescent="0.35">
      <c r="A314" s="15" t="s">
        <v>613</v>
      </c>
      <c r="B314" s="19" t="s">
        <v>614</v>
      </c>
      <c r="C314" s="17">
        <v>11</v>
      </c>
      <c r="D314" s="17">
        <v>10.38</v>
      </c>
      <c r="E314" s="23">
        <v>12.5</v>
      </c>
      <c r="F314" s="18">
        <f>+E314*0.943396226415094</f>
        <v>11.792452830188676</v>
      </c>
    </row>
    <row r="315" spans="1:6" x14ac:dyDescent="0.35">
      <c r="A315" s="15" t="s">
        <v>615</v>
      </c>
      <c r="B315" s="19" t="s">
        <v>616</v>
      </c>
      <c r="C315" s="17">
        <v>11</v>
      </c>
      <c r="D315" s="17">
        <v>10.38</v>
      </c>
      <c r="E315" s="23">
        <v>12.5</v>
      </c>
      <c r="F315" s="18">
        <f>+E315*0.943396226415094</f>
        <v>11.792452830188676</v>
      </c>
    </row>
    <row r="316" spans="1:6" x14ac:dyDescent="0.35">
      <c r="A316" s="15" t="s">
        <v>617</v>
      </c>
      <c r="B316" s="19" t="s">
        <v>618</v>
      </c>
      <c r="C316" s="17">
        <v>24.99</v>
      </c>
      <c r="D316" s="17">
        <v>23.58</v>
      </c>
      <c r="E316" s="23">
        <v>29.95</v>
      </c>
      <c r="F316" s="18">
        <f>ROUND(E316/1.06,2)</f>
        <v>28.25</v>
      </c>
    </row>
    <row r="317" spans="1:6" x14ac:dyDescent="0.35">
      <c r="A317" s="15" t="s">
        <v>619</v>
      </c>
      <c r="B317" s="19" t="s">
        <v>620</v>
      </c>
      <c r="C317" s="17">
        <v>52.5</v>
      </c>
      <c r="D317" s="17">
        <v>14.1</v>
      </c>
      <c r="E317" s="23">
        <v>44.5</v>
      </c>
      <c r="F317" s="18">
        <f>ROUND(E317/1.06,2)</f>
        <v>41.98</v>
      </c>
    </row>
    <row r="318" spans="1:6" x14ac:dyDescent="0.35">
      <c r="A318" s="15" t="s">
        <v>621</v>
      </c>
      <c r="B318" s="19" t="s">
        <v>622</v>
      </c>
      <c r="C318" s="17">
        <v>46.5</v>
      </c>
      <c r="D318" s="17">
        <v>14.1</v>
      </c>
      <c r="E318" s="23">
        <v>44.5</v>
      </c>
      <c r="F318" s="18">
        <f>ROUND(E318/1.06,2)</f>
        <v>41.98</v>
      </c>
    </row>
    <row r="319" spans="1:6" x14ac:dyDescent="0.35">
      <c r="A319" s="19">
        <v>9039506426</v>
      </c>
      <c r="B319" s="16" t="s">
        <v>623</v>
      </c>
      <c r="C319" s="17">
        <v>93.5</v>
      </c>
      <c r="D319" s="17"/>
      <c r="E319" s="23">
        <v>49.95</v>
      </c>
      <c r="F319" s="18">
        <f>ROUND(E319/1.06,2)</f>
        <v>47.12</v>
      </c>
    </row>
  </sheetData>
  <phoneticPr fontId="4" type="noConversion"/>
  <pageMargins left="0.25" right="0.24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Sdu Uitgevers BV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 AIDA</dc:creator>
  <cp:lastModifiedBy>Carina Negreanu</cp:lastModifiedBy>
  <cp:lastPrinted>2004-01-13T09:29:34Z</cp:lastPrinted>
  <dcterms:created xsi:type="dcterms:W3CDTF">2004-01-05T09:33:01Z</dcterms:created>
  <dcterms:modified xsi:type="dcterms:W3CDTF">2020-01-27T11:55:28Z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1233474598</vt:i4>
  </property>
  <property fmtid="{D5CDD505-2E9C-101B-9397-08002B2CF9AE}" pid="3" name="_EmailSubject">
    <vt:lpwstr>prijzen 2004 + IPO</vt:lpwstr>
  </property>
  <property fmtid="{D5CDD505-2E9C-101B-9397-08002B2CF9AE}" pid="4" name="_AuthorEmail">
    <vt:lpwstr>R.v.Rijk@academicservice.sdu.nl</vt:lpwstr>
  </property>
  <property fmtid="{D5CDD505-2E9C-101B-9397-08002B2CF9AE}" pid="5" name="_AuthorEmailDisplayName">
    <vt:lpwstr>Rijk, Roel van</vt:lpwstr>
  </property>
  <property fmtid="{D5CDD505-2E9C-101B-9397-08002B2CF9AE}" pid="6" name="_ReviewingToolsShownOnce">
    <vt:lpwstr/>
  </property>
</Properties>
</file>