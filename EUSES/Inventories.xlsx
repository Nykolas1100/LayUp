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CC845C-E05E-4308-8F84-8456559270B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Exh6-1A" sheetId="2" r:id="rId2"/>
    <sheet name="Exh6-1B,C" sheetId="3" r:id="rId3"/>
    <sheet name="Exh6-3" sheetId="4" r:id="rId4"/>
    <sheet name="Exh6-4" sheetId="5" r:id="rId5"/>
    <sheet name="Exh6-7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7" i="6" l="1"/>
  <c r="H18" i="6" s="1"/>
  <c r="F17" i="6"/>
  <c r="F18" i="6" s="1"/>
  <c r="D17" i="6"/>
  <c r="D18" i="6" s="1"/>
  <c r="D13" i="6"/>
  <c r="H12" i="6"/>
  <c r="H13" i="6" s="1"/>
  <c r="F12" i="6"/>
  <c r="F13" i="6" s="1"/>
  <c r="D12" i="6"/>
  <c r="G18" i="4"/>
  <c r="H18" i="4" s="1"/>
  <c r="D18" i="4"/>
  <c r="E18" i="4" s="1"/>
  <c r="H13" i="4"/>
  <c r="H14" i="4" s="1"/>
  <c r="G19" i="4" s="1"/>
  <c r="H19" i="4" s="1"/>
  <c r="G13" i="4"/>
  <c r="G14" i="4" s="1"/>
  <c r="D19" i="4" s="1"/>
  <c r="E19" i="4" s="1"/>
  <c r="F13" i="4"/>
  <c r="F14" i="4" s="1"/>
  <c r="I6" i="5"/>
  <c r="H6" i="5"/>
  <c r="G6" i="5"/>
  <c r="F6" i="5"/>
  <c r="E6" i="5"/>
  <c r="H10" i="4"/>
  <c r="G10" i="4"/>
  <c r="G20" i="4" s="1"/>
  <c r="H20" i="4" s="1"/>
  <c r="F10" i="4"/>
  <c r="D20" i="4" s="1"/>
  <c r="E20" i="4" s="1"/>
  <c r="E10" i="4"/>
  <c r="E10" i="3"/>
  <c r="E12" i="3" s="1"/>
  <c r="C7" i="3"/>
  <c r="G7" i="3"/>
  <c r="G8" i="3"/>
  <c r="A7" i="3"/>
  <c r="C7" i="2"/>
  <c r="G7" i="2"/>
  <c r="G8" i="2"/>
  <c r="A7" i="2"/>
  <c r="G5" i="1"/>
  <c r="G9" i="1" s="1"/>
  <c r="G10" i="1" s="1"/>
  <c r="G8" i="1"/>
  <c r="G7" i="1"/>
  <c r="G6" i="1"/>
  <c r="E11" i="3" l="1"/>
</calcChain>
</file>

<file path=xl/sharedStrings.xml><?xml version="1.0" encoding="utf-8"?>
<sst xmlns="http://schemas.openxmlformats.org/spreadsheetml/2006/main" count="73" uniqueCount="60">
  <si>
    <t>Quarter</t>
  </si>
  <si>
    <t>Unit cost</t>
  </si>
  <si>
    <t>Total</t>
  </si>
  <si>
    <t>Units sold: 100 units per quarter</t>
  </si>
  <si>
    <t>Ending inventory: 300 units</t>
  </si>
  <si>
    <t>COGS</t>
  </si>
  <si>
    <t>EI</t>
  </si>
  <si>
    <t>Purchases</t>
  </si>
  <si>
    <t>Units</t>
  </si>
  <si>
    <t>Dollars</t>
  </si>
  <si>
    <t>BI + P =</t>
  </si>
  <si>
    <t>@ $10 =</t>
  </si>
  <si>
    <t>@ $11 =</t>
  </si>
  <si>
    <t>@ $12 =</t>
  </si>
  <si>
    <t>@ $14 =</t>
  </si>
  <si>
    <t>@ $13 =</t>
  </si>
  <si>
    <t>COGS + EI =</t>
  </si>
  <si>
    <r>
      <t xml:space="preserve">COGS = 400 </t>
    </r>
    <r>
      <rPr>
        <sz val="10"/>
        <rFont val="Symbol"/>
        <family val="1"/>
        <charset val="2"/>
      </rPr>
      <t>´</t>
    </r>
    <r>
      <rPr>
        <sz val="10"/>
        <rFont val="Arial"/>
      </rPr>
      <t xml:space="preserve"> $11.79</t>
    </r>
  </si>
  <si>
    <r>
      <t xml:space="preserve">EI = 300 </t>
    </r>
    <r>
      <rPr>
        <sz val="10"/>
        <rFont val="Symbol"/>
        <family val="1"/>
        <charset val="2"/>
      </rPr>
      <t>´</t>
    </r>
    <r>
      <rPr>
        <sz val="10"/>
        <rFont val="Arial"/>
      </rPr>
      <t xml:space="preserve"> $11.79</t>
    </r>
  </si>
  <si>
    <t>Beginning inventory: 200 units @ $10/unit =</t>
  </si>
  <si>
    <t>Weighted-average cost = $8,250/700 =</t>
  </si>
  <si>
    <t>Inventories carried at LIFO</t>
  </si>
  <si>
    <t>LIFO reserve</t>
  </si>
  <si>
    <t>Inventories adjusted to FIFO</t>
  </si>
  <si>
    <t>Exhibit 6-4. Caltex Australia</t>
  </si>
  <si>
    <t>Historical cost operating profit</t>
  </si>
  <si>
    <t>Add/(deduct) inventory losses/(gain)*</t>
  </si>
  <si>
    <t>Exhibit 6-3. Sunoco</t>
  </si>
  <si>
    <t>Exhibit 6-1B,C. LIFO and Weighted-Average Cost</t>
  </si>
  <si>
    <t>Exhibit 6-1A. FIFO</t>
  </si>
  <si>
    <t>*In 1999, historical cost result includes $141.7 million net inventory gain from</t>
  </si>
  <si>
    <t>an unfavorable exchange impact of $3.2 million.</t>
  </si>
  <si>
    <r>
      <t xml:space="preserve">the increase in crude oil prices, made up of </t>
    </r>
    <r>
      <rPr>
        <b/>
        <sz val="10"/>
        <rFont val="Arial"/>
        <family val="2"/>
      </rPr>
      <t>$144.9</t>
    </r>
    <r>
      <rPr>
        <sz val="10"/>
        <rFont val="Arial"/>
      </rPr>
      <t xml:space="preserve"> million inventory gains net of</t>
    </r>
  </si>
  <si>
    <t>The current replacement cost of all inventories valued at LIFO exceeded</t>
  </si>
  <si>
    <t>their carrying cost by $780, $492, $205, and $763 million at</t>
  </si>
  <si>
    <t>December 31, 1996 through 1999, respectively.</t>
  </si>
  <si>
    <t>Less: LIFO effect</t>
  </si>
  <si>
    <t>COGS at LIFO</t>
  </si>
  <si>
    <t>COGS at FIFO</t>
  </si>
  <si>
    <t>Replacement cost operating profit</t>
  </si>
  <si>
    <t>Method</t>
  </si>
  <si>
    <t>LIFO</t>
  </si>
  <si>
    <t>FIFO</t>
  </si>
  <si>
    <t>Current cost</t>
  </si>
  <si>
    <t># Days</t>
  </si>
  <si>
    <t>Turnover</t>
  </si>
  <si>
    <t>Exhibit 6-7. Oilgear</t>
  </si>
  <si>
    <t>Gross margin</t>
  </si>
  <si>
    <t xml:space="preserve">LIFO liquidation </t>
  </si>
  <si>
    <t xml:space="preserve">Adjusted gross margin </t>
  </si>
  <si>
    <t xml:space="preserve"> </t>
  </si>
  <si>
    <t xml:space="preserve">Gross margin inflated by </t>
  </si>
  <si>
    <t xml:space="preserve">Pretax income </t>
  </si>
  <si>
    <t xml:space="preserve">Adjusted pretax income </t>
  </si>
  <si>
    <t>Pretax income inflated by</t>
  </si>
  <si>
    <t>During 1999, 1998, and 1997, LIFO inventory layers were reduced. These reductions</t>
  </si>
  <si>
    <t xml:space="preserve">resulted in charging lower inventory costs prevailing in previous years to cost of sales, </t>
  </si>
  <si>
    <t>December 31, 1999, 1998, and 1997, respectively.</t>
  </si>
  <si>
    <t xml:space="preserve">below the amount that would have resulted form liquidating inventory recorded at </t>
  </si>
  <si>
    <t>thus reducing cost of sales by approximately $850,000, $740,000, and $750,000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</si>
</sst>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&quot;$&quot;#,##0_);[Red]\(&quot;$&quot;#,##0\)"/>
    <numFmt numFmtId="167" formatCode="&quot;$&quot;#,##0.00_);[Red]\(&quot;$&quot;#,##0.00\)"/>
    <numFmt numFmtId="172" formatCode="&quot;$&quot;#,##0"/>
    <numFmt numFmtId="173" formatCode="&quot;$&quot;#,##0.00"/>
    <numFmt numFmtId="174" formatCode="&quot;$&quot;#,##0.0_);[Red]\(&quot;$&quot;#,##0.0\)"/>
  </numFmts>
  <fonts count="6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Symbol"/>
      <family val="1"/>
      <charset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5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0" xfId="0" quotePrefix="1"/>
    <xf numFmtId="0" fontId="0" fillId="0" borderId="0" xfId="0" applyAlignment="1">
      <alignment horizontal="right"/>
    </xf>
    <xf numFmtId="172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0" fontId="1" fillId="0" borderId="0" xfId="0" applyFont="1"/>
    <xf numFmtId="173" fontId="0" fillId="0" borderId="0" xfId="0" applyNumberFormat="1"/>
    <xf numFmtId="0" fontId="1" fillId="0" borderId="1" xfId="0" applyFont="1" applyBorder="1"/>
    <xf numFmtId="174" fontId="0" fillId="0" borderId="0" xfId="0" applyNumberFormat="1"/>
    <xf numFmtId="0" fontId="4" fillId="0" borderId="0" xfId="0" applyFont="1"/>
    <xf numFmtId="167" fontId="0" fillId="0" borderId="0" xfId="0" applyNumberFormat="1"/>
    <xf numFmtId="1" fontId="0" fillId="0" borderId="0" xfId="0" applyNumberFormat="1"/>
    <xf numFmtId="0" fontId="5" fillId="0" borderId="0" xfId="0" applyFont="1"/>
    <xf numFmtId="165" fontId="5" fillId="0" borderId="0" xfId="0" applyNumberFormat="1" applyFont="1"/>
    <xf numFmtId="9" fontId="5" fillId="0" borderId="0" xfId="0" applyNumberFormat="1" applyFont="1"/>
    <xf numFmtId="0" fontId="5" fillId="0" borderId="1" xfId="0" applyFont="1" applyBorder="1"/>
    <xf numFmtId="0" fontId="5" fillId="0" borderId="0" xfId="0" applyFont="1" applyBorder="1"/>
    <xf numFmtId="0" fontId="5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="211" workbookViewId="0">
      <selection activeCell="G16" sqref="G16"/>
    </sheetView>
  </sheetViews>
  <sheetFormatPr defaultRowHeight="12.5" x14ac:dyDescent="0.25"/>
  <sheetData>
    <row r="1" spans="1:8" x14ac:dyDescent="0.25">
      <c r="A1" t="s">
        <v>19</v>
      </c>
      <c r="F1" s="1">
        <v>2000</v>
      </c>
    </row>
    <row r="3" spans="1:8" x14ac:dyDescent="0.25">
      <c r="C3" t="s">
        <v>7</v>
      </c>
      <c r="G3" t="s">
        <v>7</v>
      </c>
    </row>
    <row r="4" spans="1:8" x14ac:dyDescent="0.25">
      <c r="A4" s="2" t="s">
        <v>0</v>
      </c>
      <c r="B4" s="2"/>
      <c r="C4" s="2" t="s">
        <v>8</v>
      </c>
      <c r="D4" s="2"/>
      <c r="E4" s="2" t="s">
        <v>1</v>
      </c>
      <c r="F4" s="2"/>
      <c r="G4" s="2" t="s">
        <v>9</v>
      </c>
      <c r="H4" s="3"/>
    </row>
    <row r="5" spans="1:8" x14ac:dyDescent="0.25">
      <c r="A5">
        <v>1</v>
      </c>
      <c r="C5">
        <v>100</v>
      </c>
      <c r="E5" s="1">
        <v>11</v>
      </c>
      <c r="F5" s="1"/>
      <c r="G5" s="1">
        <f>C5*E5</f>
        <v>1100</v>
      </c>
    </row>
    <row r="6" spans="1:8" x14ac:dyDescent="0.25">
      <c r="A6">
        <v>2</v>
      </c>
      <c r="C6">
        <v>150</v>
      </c>
      <c r="E6">
        <v>12</v>
      </c>
      <c r="G6" s="7">
        <f>C6*E6</f>
        <v>1800</v>
      </c>
    </row>
    <row r="7" spans="1:8" x14ac:dyDescent="0.25">
      <c r="A7">
        <v>3</v>
      </c>
      <c r="C7">
        <v>150</v>
      </c>
      <c r="E7">
        <v>13</v>
      </c>
      <c r="G7" s="7">
        <f>C7*E7</f>
        <v>1950</v>
      </c>
    </row>
    <row r="8" spans="1:8" x14ac:dyDescent="0.25">
      <c r="A8">
        <v>4</v>
      </c>
      <c r="C8" s="2">
        <v>100</v>
      </c>
      <c r="E8">
        <v>14</v>
      </c>
      <c r="G8" s="8">
        <f>C8*E8</f>
        <v>1400</v>
      </c>
    </row>
    <row r="9" spans="1:8" x14ac:dyDescent="0.25">
      <c r="A9" t="s">
        <v>2</v>
      </c>
      <c r="C9">
        <v>500</v>
      </c>
      <c r="G9" s="1">
        <f>SUM(G5:G8)</f>
        <v>6250</v>
      </c>
    </row>
    <row r="10" spans="1:8" x14ac:dyDescent="0.25">
      <c r="F10" t="s">
        <v>10</v>
      </c>
      <c r="G10" s="1">
        <f>F1+G9</f>
        <v>8250</v>
      </c>
    </row>
    <row r="11" spans="1:8" x14ac:dyDescent="0.25">
      <c r="A11" t="s">
        <v>3</v>
      </c>
    </row>
    <row r="12" spans="1:8" x14ac:dyDescent="0.25">
      <c r="A12" t="s">
        <v>4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211" workbookViewId="0">
      <selection activeCell="G16" sqref="G16"/>
    </sheetView>
  </sheetViews>
  <sheetFormatPr defaultRowHeight="12.5" x14ac:dyDescent="0.25"/>
  <sheetData>
    <row r="1" spans="1:7" ht="13" x14ac:dyDescent="0.3">
      <c r="A1" s="13" t="s">
        <v>29</v>
      </c>
    </row>
    <row r="3" spans="1:7" x14ac:dyDescent="0.25">
      <c r="A3" s="2"/>
      <c r="B3" s="2" t="s">
        <v>5</v>
      </c>
      <c r="C3" s="2"/>
      <c r="D3" s="2"/>
      <c r="E3" s="2"/>
      <c r="F3" s="2" t="s">
        <v>6</v>
      </c>
      <c r="G3" s="2"/>
    </row>
    <row r="4" spans="1:7" x14ac:dyDescent="0.25">
      <c r="A4">
        <v>200</v>
      </c>
      <c r="B4" s="4" t="s">
        <v>11</v>
      </c>
      <c r="C4" s="1">
        <v>2000</v>
      </c>
      <c r="D4" s="1"/>
      <c r="E4">
        <v>100</v>
      </c>
      <c r="F4" s="4" t="s">
        <v>14</v>
      </c>
      <c r="G4" s="1">
        <v>1400</v>
      </c>
    </row>
    <row r="5" spans="1:7" x14ac:dyDescent="0.25">
      <c r="A5">
        <v>100</v>
      </c>
      <c r="B5" s="4" t="s">
        <v>12</v>
      </c>
      <c r="C5" s="7">
        <v>1100</v>
      </c>
      <c r="E5">
        <v>150</v>
      </c>
      <c r="F5" s="4" t="s">
        <v>15</v>
      </c>
      <c r="G5" s="7">
        <v>1950</v>
      </c>
    </row>
    <row r="6" spans="1:7" x14ac:dyDescent="0.25">
      <c r="A6" s="2">
        <v>100</v>
      </c>
      <c r="B6" s="4" t="s">
        <v>13</v>
      </c>
      <c r="C6" s="8">
        <v>1200</v>
      </c>
      <c r="D6" s="3"/>
      <c r="E6" s="2">
        <v>50</v>
      </c>
      <c r="F6" s="4" t="s">
        <v>13</v>
      </c>
      <c r="G6" s="8">
        <v>600</v>
      </c>
    </row>
    <row r="7" spans="1:7" x14ac:dyDescent="0.25">
      <c r="A7" s="5">
        <f>SUM(A4:A6)</f>
        <v>400</v>
      </c>
      <c r="B7" s="1"/>
      <c r="C7" s="1">
        <f>SUM(C4:C6)</f>
        <v>4300</v>
      </c>
      <c r="D7" s="1"/>
      <c r="E7" s="5">
        <v>300</v>
      </c>
      <c r="F7" s="1"/>
      <c r="G7" s="1">
        <f>SUM(G4:G6)</f>
        <v>3950</v>
      </c>
    </row>
    <row r="8" spans="1:7" x14ac:dyDescent="0.25">
      <c r="E8" t="s">
        <v>16</v>
      </c>
      <c r="G8" s="1">
        <f>C7+G7</f>
        <v>8250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zoomScale="211" workbookViewId="0">
      <selection activeCell="G16" sqref="G16"/>
    </sheetView>
  </sheetViews>
  <sheetFormatPr defaultRowHeight="12.5" x14ac:dyDescent="0.25"/>
  <sheetData>
    <row r="1" spans="1:7" ht="13" x14ac:dyDescent="0.3">
      <c r="A1" s="13" t="s">
        <v>28</v>
      </c>
    </row>
    <row r="3" spans="1:7" x14ac:dyDescent="0.25">
      <c r="A3" s="2"/>
      <c r="B3" s="2" t="s">
        <v>5</v>
      </c>
      <c r="C3" s="2"/>
      <c r="D3" s="2"/>
      <c r="E3" s="2"/>
      <c r="F3" s="2" t="s">
        <v>6</v>
      </c>
      <c r="G3" s="2"/>
    </row>
    <row r="4" spans="1:7" x14ac:dyDescent="0.25">
      <c r="A4">
        <v>100</v>
      </c>
      <c r="B4" s="4" t="s">
        <v>14</v>
      </c>
      <c r="C4" s="1">
        <v>1400</v>
      </c>
      <c r="D4" s="1"/>
      <c r="E4">
        <v>200</v>
      </c>
      <c r="F4" s="4" t="s">
        <v>11</v>
      </c>
      <c r="G4" s="1">
        <v>2000</v>
      </c>
    </row>
    <row r="5" spans="1:7" x14ac:dyDescent="0.25">
      <c r="A5">
        <v>150</v>
      </c>
      <c r="B5" s="4" t="s">
        <v>15</v>
      </c>
      <c r="C5" s="7">
        <v>1950</v>
      </c>
      <c r="E5">
        <v>100</v>
      </c>
      <c r="F5" s="4" t="s">
        <v>12</v>
      </c>
      <c r="G5" s="7">
        <v>1100</v>
      </c>
    </row>
    <row r="6" spans="1:7" x14ac:dyDescent="0.25">
      <c r="A6" s="2">
        <v>150</v>
      </c>
      <c r="B6" s="4" t="s">
        <v>13</v>
      </c>
      <c r="C6" s="8">
        <v>1800</v>
      </c>
      <c r="D6" s="3"/>
      <c r="E6" s="2"/>
      <c r="F6" s="4"/>
      <c r="G6" s="2"/>
    </row>
    <row r="7" spans="1:7" x14ac:dyDescent="0.25">
      <c r="A7" s="5">
        <f>SUM(A4:A6)</f>
        <v>400</v>
      </c>
      <c r="B7" s="1"/>
      <c r="C7" s="1">
        <f>SUM(C4:C6)</f>
        <v>5150</v>
      </c>
      <c r="D7" s="1"/>
      <c r="E7" s="5">
        <v>300</v>
      </c>
      <c r="F7" s="1"/>
      <c r="G7" s="1">
        <f>SUM(G4:G6)</f>
        <v>3100</v>
      </c>
    </row>
    <row r="8" spans="1:7" x14ac:dyDescent="0.25">
      <c r="E8" t="s">
        <v>16</v>
      </c>
      <c r="G8" s="1">
        <f>C7+G7</f>
        <v>8250</v>
      </c>
    </row>
    <row r="10" spans="1:7" x14ac:dyDescent="0.25">
      <c r="A10" t="s">
        <v>20</v>
      </c>
      <c r="E10" s="10">
        <f>G8/700</f>
        <v>11.785714285714286</v>
      </c>
    </row>
    <row r="11" spans="1:7" x14ac:dyDescent="0.25">
      <c r="A11" s="9" t="s">
        <v>17</v>
      </c>
      <c r="E11" s="6">
        <f>400*$E$10</f>
        <v>4714.2857142857147</v>
      </c>
    </row>
    <row r="12" spans="1:7" x14ac:dyDescent="0.25">
      <c r="A12" s="9" t="s">
        <v>18</v>
      </c>
      <c r="E12" s="6">
        <f>300*$E$10</f>
        <v>3535.7142857142858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zoomScale="173" workbookViewId="0">
      <selection activeCell="I20" sqref="I20"/>
    </sheetView>
  </sheetViews>
  <sheetFormatPr defaultRowHeight="12.5" x14ac:dyDescent="0.25"/>
  <sheetData>
    <row r="1" spans="1:8" ht="13" x14ac:dyDescent="0.3">
      <c r="A1" s="13" t="s">
        <v>27</v>
      </c>
    </row>
    <row r="3" spans="1:8" x14ac:dyDescent="0.25">
      <c r="A3" t="s">
        <v>33</v>
      </c>
    </row>
    <row r="4" spans="1:8" x14ac:dyDescent="0.25">
      <c r="A4" t="s">
        <v>34</v>
      </c>
    </row>
    <row r="5" spans="1:8" x14ac:dyDescent="0.25">
      <c r="A5" t="s">
        <v>35</v>
      </c>
    </row>
    <row r="7" spans="1:8" x14ac:dyDescent="0.25">
      <c r="A7" s="2"/>
      <c r="B7" s="2"/>
      <c r="C7" s="2"/>
      <c r="D7" s="2"/>
      <c r="E7" s="2">
        <v>1996</v>
      </c>
      <c r="F7" s="2">
        <v>1997</v>
      </c>
      <c r="G7" s="2">
        <v>1998</v>
      </c>
      <c r="H7" s="2">
        <v>1999</v>
      </c>
    </row>
    <row r="8" spans="1:8" x14ac:dyDescent="0.25">
      <c r="A8" t="s">
        <v>21</v>
      </c>
      <c r="E8" s="1">
        <v>409</v>
      </c>
      <c r="F8" s="1">
        <v>364</v>
      </c>
      <c r="G8" s="1">
        <v>403</v>
      </c>
      <c r="H8" s="1">
        <v>321</v>
      </c>
    </row>
    <row r="9" spans="1:8" x14ac:dyDescent="0.25">
      <c r="A9" t="s">
        <v>22</v>
      </c>
      <c r="E9" s="11">
        <v>780</v>
      </c>
      <c r="F9" s="2">
        <v>492</v>
      </c>
      <c r="G9" s="2">
        <v>205</v>
      </c>
      <c r="H9" s="2">
        <v>763</v>
      </c>
    </row>
    <row r="10" spans="1:8" x14ac:dyDescent="0.25">
      <c r="A10" t="s">
        <v>23</v>
      </c>
      <c r="E10" s="1">
        <f>SUM(E8:E9)</f>
        <v>1189</v>
      </c>
      <c r="F10" s="1">
        <f>SUM(F8:F9)</f>
        <v>856</v>
      </c>
      <c r="G10" s="1">
        <f>SUM(G8:G9)</f>
        <v>608</v>
      </c>
      <c r="H10" s="1">
        <f>SUM(H8:H9)</f>
        <v>1084</v>
      </c>
    </row>
    <row r="12" spans="1:8" x14ac:dyDescent="0.25">
      <c r="A12" t="s">
        <v>37</v>
      </c>
      <c r="F12" s="1">
        <v>7610</v>
      </c>
      <c r="G12" s="1">
        <v>5646</v>
      </c>
      <c r="H12" s="1">
        <v>7365</v>
      </c>
    </row>
    <row r="13" spans="1:8" x14ac:dyDescent="0.25">
      <c r="A13" t="s">
        <v>36</v>
      </c>
      <c r="F13" s="2">
        <f>F9-E9</f>
        <v>-288</v>
      </c>
      <c r="G13" s="2">
        <f>G9-F9</f>
        <v>-287</v>
      </c>
      <c r="H13" s="2">
        <f>H9-G9</f>
        <v>558</v>
      </c>
    </row>
    <row r="14" spans="1:8" x14ac:dyDescent="0.25">
      <c r="A14" t="s">
        <v>38</v>
      </c>
      <c r="F14" s="1">
        <f>F12-F13</f>
        <v>7898</v>
      </c>
      <c r="G14" s="1">
        <f>G12-G13</f>
        <v>5933</v>
      </c>
      <c r="H14" s="1">
        <f>H12-H13</f>
        <v>6807</v>
      </c>
    </row>
    <row r="15" spans="1:8" x14ac:dyDescent="0.25">
      <c r="F15" s="1"/>
      <c r="G15" s="1"/>
      <c r="H15" s="1"/>
    </row>
    <row r="16" spans="1:8" x14ac:dyDescent="0.25">
      <c r="A16" s="2"/>
      <c r="B16" s="2"/>
      <c r="C16" s="2"/>
      <c r="D16" s="2">
        <v>1998</v>
      </c>
      <c r="E16" s="2"/>
      <c r="F16" s="2"/>
      <c r="G16" s="2">
        <v>1999</v>
      </c>
      <c r="H16" s="2"/>
    </row>
    <row r="17" spans="1:8" x14ac:dyDescent="0.25">
      <c r="A17" s="2" t="s">
        <v>40</v>
      </c>
      <c r="B17" s="2"/>
      <c r="C17" s="2"/>
      <c r="D17" s="2" t="s">
        <v>45</v>
      </c>
      <c r="E17" s="2" t="s">
        <v>44</v>
      </c>
      <c r="F17" s="2"/>
      <c r="G17" s="2" t="s">
        <v>45</v>
      </c>
      <c r="H17" s="2" t="s">
        <v>44</v>
      </c>
    </row>
    <row r="18" spans="1:8" x14ac:dyDescent="0.25">
      <c r="A18" t="s">
        <v>41</v>
      </c>
      <c r="D18" s="14">
        <f>G12/AVERAGE(F8:G8)</f>
        <v>14.722294654498045</v>
      </c>
      <c r="E18" s="15">
        <f>(1/D18)*365</f>
        <v>24.792330853701731</v>
      </c>
      <c r="G18" s="14">
        <f>H12/AVERAGE(G8:H8)</f>
        <v>20.345303867403317</v>
      </c>
      <c r="H18" s="15">
        <f>(1/G18)*365</f>
        <v>17.940257976917856</v>
      </c>
    </row>
    <row r="19" spans="1:8" x14ac:dyDescent="0.25">
      <c r="A19" t="s">
        <v>42</v>
      </c>
      <c r="D19" s="22">
        <f>G14/AVERAGE(F10:G10)</f>
        <v>8.1051912568306008</v>
      </c>
      <c r="E19" s="15">
        <f>(1/D19)*365</f>
        <v>45.032867015000846</v>
      </c>
      <c r="G19" s="22">
        <f>H14/AVERAGE(G10:H10)</f>
        <v>8.0460992907801412</v>
      </c>
      <c r="H19" s="15">
        <f>(1/G19)*365</f>
        <v>45.363596297928609</v>
      </c>
    </row>
    <row r="20" spans="1:8" x14ac:dyDescent="0.25">
      <c r="A20" t="s">
        <v>43</v>
      </c>
      <c r="D20" s="22">
        <f>G12/AVERAGE(F10:G10)</f>
        <v>7.7131147540983607</v>
      </c>
      <c r="E20" s="15">
        <f>(1/D20)*365</f>
        <v>47.321997874601493</v>
      </c>
      <c r="G20" s="22">
        <f>H12/AVERAGE(G10:H10)</f>
        <v>8.7056737588652489</v>
      </c>
      <c r="H20" s="15">
        <f>(1/G20)*365</f>
        <v>41.926680244399179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166" workbookViewId="0">
      <selection activeCell="I21" sqref="I21"/>
    </sheetView>
  </sheetViews>
  <sheetFormatPr defaultRowHeight="12.5" x14ac:dyDescent="0.25"/>
  <sheetData>
    <row r="1" spans="1:9" ht="13" x14ac:dyDescent="0.3">
      <c r="A1" s="13" t="s">
        <v>24</v>
      </c>
    </row>
    <row r="3" spans="1:9" x14ac:dyDescent="0.25">
      <c r="A3" s="2"/>
      <c r="B3" s="2"/>
      <c r="C3" s="2"/>
      <c r="D3" s="2"/>
      <c r="E3" s="2">
        <v>1995</v>
      </c>
      <c r="F3" s="2">
        <v>1996</v>
      </c>
      <c r="G3" s="2">
        <v>1997</v>
      </c>
      <c r="H3" s="2">
        <v>1998</v>
      </c>
      <c r="I3" s="2">
        <v>1999</v>
      </c>
    </row>
    <row r="4" spans="1:9" x14ac:dyDescent="0.25">
      <c r="A4" t="s">
        <v>25</v>
      </c>
      <c r="E4" s="12">
        <v>263.7</v>
      </c>
      <c r="F4" s="12">
        <v>272.60000000000002</v>
      </c>
      <c r="G4" s="12">
        <v>200.6</v>
      </c>
      <c r="H4" s="12">
        <v>198.2</v>
      </c>
      <c r="I4" s="12">
        <v>216.7</v>
      </c>
    </row>
    <row r="5" spans="1:9" x14ac:dyDescent="0.25">
      <c r="A5" t="s">
        <v>26</v>
      </c>
      <c r="E5" s="2">
        <v>-15.5</v>
      </c>
      <c r="F5" s="2">
        <v>-27.9</v>
      </c>
      <c r="G5" s="2">
        <v>53.4</v>
      </c>
      <c r="H5" s="2">
        <v>98.6</v>
      </c>
      <c r="I5" s="2">
        <v>-141.69999999999999</v>
      </c>
    </row>
    <row r="6" spans="1:9" x14ac:dyDescent="0.25">
      <c r="A6" t="s">
        <v>39</v>
      </c>
      <c r="E6" s="12">
        <f>SUM(E4:E5)</f>
        <v>248.2</v>
      </c>
      <c r="F6" s="12">
        <f>SUM(F4:F5)</f>
        <v>244.70000000000002</v>
      </c>
      <c r="G6" s="12">
        <f>SUM(G4:G5)</f>
        <v>254</v>
      </c>
      <c r="H6" s="12">
        <f>SUM(H4:H5)</f>
        <v>296.79999999999995</v>
      </c>
      <c r="I6" s="12">
        <f>SUM(I4:I5)</f>
        <v>75</v>
      </c>
    </row>
    <row r="8" spans="1:9" x14ac:dyDescent="0.25">
      <c r="A8" t="s">
        <v>30</v>
      </c>
    </row>
    <row r="9" spans="1:9" ht="13" x14ac:dyDescent="0.3">
      <c r="A9" t="s">
        <v>32</v>
      </c>
    </row>
    <row r="10" spans="1:9" x14ac:dyDescent="0.25">
      <c r="A10" t="s">
        <v>31</v>
      </c>
    </row>
  </sheetData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="186" workbookViewId="0">
      <selection activeCell="H1" sqref="H1"/>
    </sheetView>
  </sheetViews>
  <sheetFormatPr defaultRowHeight="12.5" x14ac:dyDescent="0.25"/>
  <sheetData>
    <row r="1" spans="1:13" ht="13" x14ac:dyDescent="0.3">
      <c r="A1" s="13" t="s">
        <v>46</v>
      </c>
    </row>
    <row r="3" spans="1:13" x14ac:dyDescent="0.25">
      <c r="A3" s="16" t="s">
        <v>55</v>
      </c>
    </row>
    <row r="4" spans="1:13" x14ac:dyDescent="0.25">
      <c r="A4" s="21" t="s">
        <v>56</v>
      </c>
    </row>
    <row r="5" spans="1:13" x14ac:dyDescent="0.25">
      <c r="A5" s="16" t="s">
        <v>59</v>
      </c>
    </row>
    <row r="6" spans="1:13" x14ac:dyDescent="0.25">
      <c r="A6" s="16" t="s">
        <v>58</v>
      </c>
    </row>
    <row r="7" spans="1:13" x14ac:dyDescent="0.25">
      <c r="A7" s="16" t="s">
        <v>57</v>
      </c>
    </row>
    <row r="8" spans="1:13" x14ac:dyDescent="0.25">
      <c r="I8" s="9"/>
      <c r="J8" s="9"/>
      <c r="K8" s="9"/>
      <c r="L8" s="9"/>
      <c r="M8" s="9"/>
    </row>
    <row r="9" spans="1:13" x14ac:dyDescent="0.25">
      <c r="A9" s="19"/>
      <c r="B9" s="19"/>
      <c r="C9" s="19"/>
      <c r="D9" s="11">
        <v>1997</v>
      </c>
      <c r="E9" s="11"/>
      <c r="F9" s="11">
        <v>1998</v>
      </c>
      <c r="G9" s="11"/>
      <c r="H9" s="11">
        <v>1999</v>
      </c>
    </row>
    <row r="10" spans="1:13" x14ac:dyDescent="0.25">
      <c r="A10" s="16" t="s">
        <v>47</v>
      </c>
      <c r="B10" s="16"/>
      <c r="C10" s="16"/>
      <c r="D10" s="17">
        <v>28397</v>
      </c>
      <c r="E10" s="16"/>
      <c r="F10" s="17">
        <v>25821</v>
      </c>
      <c r="G10" s="16"/>
      <c r="H10" s="17">
        <v>25188</v>
      </c>
      <c r="L10" s="16"/>
      <c r="M10" s="16"/>
    </row>
    <row r="11" spans="1:13" x14ac:dyDescent="0.25">
      <c r="A11" s="16" t="s">
        <v>48</v>
      </c>
      <c r="B11" s="16"/>
      <c r="C11" s="16"/>
      <c r="D11" s="19">
        <v>750</v>
      </c>
      <c r="E11" s="16"/>
      <c r="F11" s="19">
        <v>740</v>
      </c>
      <c r="G11" s="16"/>
      <c r="H11" s="19">
        <v>850</v>
      </c>
      <c r="K11" s="16"/>
    </row>
    <row r="12" spans="1:13" x14ac:dyDescent="0.25">
      <c r="A12" s="16" t="s">
        <v>49</v>
      </c>
      <c r="B12" s="16"/>
      <c r="C12" s="16" t="s">
        <v>50</v>
      </c>
      <c r="D12" s="17">
        <f>D10-D11</f>
        <v>27647</v>
      </c>
      <c r="E12" s="16"/>
      <c r="F12" s="17">
        <f>F10-F11</f>
        <v>25081</v>
      </c>
      <c r="G12" s="16"/>
      <c r="H12" s="17">
        <f>H10-H11</f>
        <v>24338</v>
      </c>
      <c r="J12" s="16"/>
      <c r="K12" s="16"/>
      <c r="L12" s="16"/>
      <c r="M12" s="16"/>
    </row>
    <row r="13" spans="1:13" x14ac:dyDescent="0.25">
      <c r="A13" s="16" t="s">
        <v>51</v>
      </c>
      <c r="B13" s="16"/>
      <c r="C13" s="16"/>
      <c r="D13" s="18">
        <f>(D10-D12)/D12</f>
        <v>2.7127717293015517E-2</v>
      </c>
      <c r="E13" s="16"/>
      <c r="F13" s="18">
        <f>(F10-F12)/F12</f>
        <v>2.9504405725449545E-2</v>
      </c>
      <c r="G13" s="16"/>
      <c r="H13" s="18">
        <f>(H10-H12)/H12</f>
        <v>3.492480894075109E-2</v>
      </c>
      <c r="K13" s="16"/>
      <c r="L13" s="16"/>
      <c r="M13" s="16"/>
    </row>
    <row r="14" spans="1:13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x14ac:dyDescent="0.25">
      <c r="A15" s="16" t="s">
        <v>52</v>
      </c>
      <c r="B15" s="16"/>
      <c r="C15" s="16"/>
      <c r="D15" s="17">
        <v>3363</v>
      </c>
      <c r="E15" s="16"/>
      <c r="F15" s="17">
        <v>1284</v>
      </c>
      <c r="G15" s="16"/>
      <c r="H15" s="17">
        <v>1864</v>
      </c>
      <c r="I15" s="16"/>
      <c r="M15" s="16"/>
    </row>
    <row r="16" spans="1:13" x14ac:dyDescent="0.25">
      <c r="A16" s="16" t="s">
        <v>48</v>
      </c>
      <c r="B16" s="16"/>
      <c r="C16" s="16"/>
      <c r="D16" s="19">
        <v>750</v>
      </c>
      <c r="E16" s="20"/>
      <c r="F16" s="19">
        <v>740</v>
      </c>
      <c r="G16" s="20"/>
      <c r="H16" s="19">
        <v>850</v>
      </c>
      <c r="J16" s="16"/>
      <c r="K16" s="16"/>
      <c r="M16" s="16"/>
    </row>
    <row r="17" spans="1:13" x14ac:dyDescent="0.25">
      <c r="A17" s="16" t="s">
        <v>53</v>
      </c>
      <c r="B17" s="16"/>
      <c r="C17" s="16"/>
      <c r="D17" s="17">
        <f>D15-D16</f>
        <v>2613</v>
      </c>
      <c r="E17" s="16"/>
      <c r="F17" s="17">
        <f>F15-F16</f>
        <v>544</v>
      </c>
      <c r="G17" s="16"/>
      <c r="H17" s="17">
        <f>H15-H16</f>
        <v>1014</v>
      </c>
      <c r="J17" s="16"/>
      <c r="K17" s="16"/>
      <c r="L17" s="16"/>
      <c r="M17" s="16"/>
    </row>
    <row r="18" spans="1:13" x14ac:dyDescent="0.25">
      <c r="A18" s="16" t="s">
        <v>54</v>
      </c>
      <c r="B18" s="16"/>
      <c r="C18" s="16"/>
      <c r="D18" s="18">
        <f>(D15-D17)/D17</f>
        <v>0.28702640642939148</v>
      </c>
      <c r="E18" s="16"/>
      <c r="F18" s="18">
        <f>(F15-F17)/F17</f>
        <v>1.3602941176470589</v>
      </c>
      <c r="G18" s="16"/>
      <c r="H18" s="18">
        <f>(H15-H17)/H17</f>
        <v>0.83826429980276129</v>
      </c>
      <c r="I18" s="16"/>
      <c r="J18" s="16"/>
      <c r="K18" s="16"/>
      <c r="L18" s="16"/>
      <c r="M18" s="16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Exh6-1A</vt:lpstr>
      <vt:lpstr>Exh6-1B,C</vt:lpstr>
      <vt:lpstr>Exh6-3</vt:lpstr>
      <vt:lpstr>Exh6-4</vt:lpstr>
      <vt:lpstr>Exh6-7</vt:lpstr>
    </vt:vector>
  </TitlesOfParts>
  <Company>University of Hong Kong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steve.ching</dc:creator>
  <cp:lastModifiedBy>Carina Negreanu</cp:lastModifiedBy>
  <dcterms:created xsi:type="dcterms:W3CDTF">2004-01-16T01:45:13Z</dcterms:created>
  <dcterms:modified xsi:type="dcterms:W3CDTF">2020-01-27T10:31:08Z</dcterms:modified>
</cp:coreProperties>
</file>