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9C494A8-038A-447F-91EE-3CB1A1441AA5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1" i="1" l="1"/>
  <c r="F11" i="1"/>
  <c r="H11" i="1"/>
  <c r="J11" i="1"/>
  <c r="L11" i="1"/>
  <c r="D13" i="1"/>
  <c r="F13" i="1"/>
  <c r="H13" i="1"/>
  <c r="J13" i="1"/>
  <c r="L13" i="1"/>
  <c r="D14" i="1"/>
  <c r="F14" i="1"/>
  <c r="H14" i="1"/>
  <c r="J14" i="1"/>
  <c r="L14" i="1"/>
  <c r="D15" i="1"/>
  <c r="F15" i="1"/>
  <c r="H15" i="1"/>
  <c r="J15" i="1"/>
  <c r="L15" i="1"/>
  <c r="D16" i="1"/>
  <c r="F16" i="1"/>
  <c r="H16" i="1"/>
  <c r="J16" i="1"/>
  <c r="L16" i="1"/>
  <c r="D17" i="1"/>
  <c r="F17" i="1"/>
  <c r="H17" i="1"/>
  <c r="J17" i="1"/>
  <c r="L17" i="1"/>
  <c r="D18" i="1"/>
  <c r="F18" i="1"/>
  <c r="H18" i="1"/>
  <c r="J18" i="1"/>
  <c r="L18" i="1"/>
  <c r="D19" i="1"/>
  <c r="F19" i="1"/>
  <c r="H19" i="1"/>
  <c r="J19" i="1"/>
  <c r="L19" i="1"/>
  <c r="D20" i="1"/>
  <c r="F20" i="1"/>
  <c r="H20" i="1"/>
  <c r="J20" i="1"/>
  <c r="L20" i="1"/>
</calcChain>
</file>

<file path=xl/sharedStrings.xml><?xml version="1.0" encoding="utf-8"?>
<sst xmlns="http://schemas.openxmlformats.org/spreadsheetml/2006/main" count="39" uniqueCount="31">
  <si>
    <t>Blackfeet Reservation and Off-Reservation Trust Land, MT</t>
  </si>
  <si>
    <t>Crow Reservation and Off-Reservation Trust Land, MT</t>
  </si>
  <si>
    <t>Flathead Reservation, MT</t>
  </si>
  <si>
    <t>Fort Belknap Reservation and Off-Reservation Trust Land, MT</t>
  </si>
  <si>
    <t>Fort Peck Reservation and Off-Reservation Trust Land, MT</t>
  </si>
  <si>
    <t>Northern Cheyenne Reservation and Off-Reservation Trust Land, MT--SD (MT part)</t>
  </si>
  <si>
    <t>Rocky Boy's Reservation and Off-Reservation Trust Land, MT</t>
  </si>
  <si>
    <t>*Some Indian Reservations in Montana possess off-Reservation trust lands, but others do not. One Reservation, Turtle Mountain, is not</t>
  </si>
  <si>
    <t xml:space="preserve">situated in Montana but has off-Reservation trust lands located in 13 Montana counties. </t>
  </si>
  <si>
    <t>Turtle Mountain Reservation and Off-Reservation Trust Land, MT--ND--SD (MT part)*</t>
  </si>
  <si>
    <t>Percent</t>
  </si>
  <si>
    <t>Kindergarten</t>
  </si>
  <si>
    <t>Source:  U.S. Census Bureau, Census 2000  Released May 14, 2002</t>
  </si>
  <si>
    <t>CENSUS 2000: MONTANA</t>
  </si>
  <si>
    <t>SCHOOL ENROLLMENT</t>
  </si>
  <si>
    <t>RESERVATIONS</t>
  </si>
  <si>
    <t xml:space="preserve">Population  3 </t>
  </si>
  <si>
    <t>years and over</t>
  </si>
  <si>
    <t>enrolled in</t>
  </si>
  <si>
    <t>school</t>
  </si>
  <si>
    <t>Preschool</t>
  </si>
  <si>
    <t>Number</t>
  </si>
  <si>
    <t xml:space="preserve">Elementary School </t>
  </si>
  <si>
    <t>Grades 1-8</t>
  </si>
  <si>
    <t>High School</t>
  </si>
  <si>
    <t>Grades 9-12</t>
  </si>
  <si>
    <t>College or</t>
  </si>
  <si>
    <t>Graduate School</t>
  </si>
  <si>
    <t>Nursery School</t>
  </si>
  <si>
    <t>--------------------------------------Population 3 years and over enrolled in school--------------------------------------</t>
  </si>
  <si>
    <t>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</si>
</sst>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3" fontId="0" fillId="0" borderId="0" xfId="0" applyNumberFormat="1"/>
    <xf numFmtId="172" fontId="0" fillId="0" borderId="0" xfId="0" applyNumberFormat="1"/>
    <xf numFmtId="0" fontId="1" fillId="0" borderId="1" xfId="0" applyFont="1" applyBorder="1"/>
    <xf numFmtId="0" fontId="0" fillId="0" borderId="1" xfId="0" applyBorder="1"/>
    <xf numFmtId="3" fontId="1" fillId="0" borderId="2" xfId="0" applyNumberFormat="1" applyFont="1" applyBorder="1" applyAlignment="1">
      <alignment horizontal="right"/>
    </xf>
    <xf numFmtId="3" fontId="1" fillId="0" borderId="3" xfId="0" applyNumberFormat="1" applyFont="1" applyBorder="1" applyAlignment="1">
      <alignment horizontal="right"/>
    </xf>
    <xf numFmtId="3" fontId="0" fillId="0" borderId="2" xfId="0" applyNumberFormat="1" applyBorder="1" applyAlignment="1">
      <alignment horizontal="center"/>
    </xf>
    <xf numFmtId="3" fontId="0" fillId="0" borderId="4" xfId="0" applyNumberFormat="1" applyBorder="1"/>
    <xf numFmtId="3" fontId="1" fillId="0" borderId="5" xfId="0" applyNumberFormat="1" applyFont="1" applyBorder="1"/>
    <xf numFmtId="172" fontId="1" fillId="0" borderId="6" xfId="0" applyNumberFormat="1" applyFont="1" applyBorder="1"/>
    <xf numFmtId="3" fontId="1" fillId="0" borderId="7" xfId="0" applyNumberFormat="1" applyFont="1" applyBorder="1" applyAlignment="1">
      <alignment horizontal="right"/>
    </xf>
    <xf numFmtId="172" fontId="1" fillId="0" borderId="3" xfId="0" applyNumberFormat="1" applyFont="1" applyFill="1" applyBorder="1" applyAlignment="1">
      <alignment horizontal="right"/>
    </xf>
    <xf numFmtId="3" fontId="0" fillId="0" borderId="8" xfId="0" applyNumberFormat="1" applyBorder="1" applyAlignment="1">
      <alignment horizontal="center"/>
    </xf>
    <xf numFmtId="172" fontId="0" fillId="0" borderId="2" xfId="0" applyNumberFormat="1" applyFill="1" applyBorder="1" applyAlignment="1">
      <alignment horizontal="center"/>
    </xf>
    <xf numFmtId="3" fontId="0" fillId="0" borderId="9" xfId="0" applyNumberFormat="1" applyBorder="1"/>
    <xf numFmtId="172" fontId="0" fillId="0" borderId="4" xfId="0" applyNumberFormat="1" applyBorder="1"/>
    <xf numFmtId="3" fontId="1" fillId="0" borderId="8" xfId="0" applyNumberFormat="1" applyFont="1" applyBorder="1"/>
    <xf numFmtId="172" fontId="1" fillId="0" borderId="2" xfId="0" applyNumberFormat="1" applyFont="1" applyBorder="1"/>
    <xf numFmtId="3" fontId="0" fillId="0" borderId="8" xfId="0" applyNumberFormat="1" applyFill="1" applyBorder="1" applyAlignment="1">
      <alignment horizontal="center"/>
    </xf>
    <xf numFmtId="3" fontId="1" fillId="0" borderId="7" xfId="0" applyNumberFormat="1" applyFont="1" applyFill="1" applyBorder="1" applyAlignment="1">
      <alignment horizontal="right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3" fontId="1" fillId="0" borderId="13" xfId="0" applyNumberFormat="1" applyFont="1" applyBorder="1"/>
    <xf numFmtId="172" fontId="1" fillId="0" borderId="13" xfId="0" applyNumberFormat="1" applyFont="1" applyBorder="1"/>
    <xf numFmtId="172" fontId="1" fillId="0" borderId="0" xfId="0" applyNumberFormat="1" applyFont="1" applyBorder="1"/>
    <xf numFmtId="3" fontId="1" fillId="0" borderId="0" xfId="0" applyNumberFormat="1" applyFont="1" applyBorder="1"/>
    <xf numFmtId="3" fontId="0" fillId="0" borderId="14" xfId="0" applyNumberFormat="1" applyBorder="1"/>
    <xf numFmtId="3" fontId="1" fillId="0" borderId="8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3" fontId="1" fillId="0" borderId="8" xfId="0" applyNumberFormat="1" applyFont="1" applyFill="1" applyBorder="1" applyAlignment="1">
      <alignment horizontal="center"/>
    </xf>
    <xf numFmtId="3" fontId="1" fillId="0" borderId="2" xfId="0" applyNumberFormat="1" applyFont="1" applyFill="1" applyBorder="1" applyAlignment="1">
      <alignment horizontal="center"/>
    </xf>
    <xf numFmtId="172" fontId="1" fillId="0" borderId="2" xfId="0" applyNumberFormat="1" applyFont="1" applyFill="1" applyBorder="1" applyAlignment="1">
      <alignment horizontal="center"/>
    </xf>
    <xf numFmtId="172" fontId="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zoomScaleNormal="100" workbookViewId="0"/>
  </sheetViews>
  <sheetFormatPr defaultRowHeight="12.5" x14ac:dyDescent="0.25"/>
  <cols>
    <col min="1" max="1" width="70.81640625" bestFit="1" customWidth="1"/>
    <col min="2" max="2" width="14.54296875" style="2" bestFit="1" customWidth="1"/>
    <col min="3" max="3" width="8.7265625" style="2" customWidth="1"/>
    <col min="4" max="4" width="8.7265625" style="3" customWidth="1"/>
    <col min="5" max="5" width="8.7265625" style="2" customWidth="1"/>
    <col min="6" max="6" width="8.7265625" style="3" customWidth="1"/>
    <col min="7" max="7" width="8.7265625" style="2" customWidth="1"/>
    <col min="8" max="8" width="8.7265625" style="3" customWidth="1"/>
    <col min="9" max="9" width="8.7265625" style="2" customWidth="1"/>
    <col min="10" max="10" width="8.7265625" style="3" customWidth="1"/>
    <col min="11" max="11" width="8.7265625" style="2" customWidth="1"/>
    <col min="12" max="12" width="8.7265625" style="3" customWidth="1"/>
  </cols>
  <sheetData>
    <row r="1" spans="1:12" ht="13" x14ac:dyDescent="0.3">
      <c r="A1" s="1" t="s">
        <v>13</v>
      </c>
    </row>
    <row r="2" spans="1:12" ht="13" x14ac:dyDescent="0.3">
      <c r="A2" s="1" t="s">
        <v>14</v>
      </c>
    </row>
    <row r="3" spans="1:12" ht="13" x14ac:dyDescent="0.3">
      <c r="A3" s="1"/>
    </row>
    <row r="4" spans="1:12" ht="13" x14ac:dyDescent="0.3">
      <c r="A4" s="1"/>
    </row>
    <row r="5" spans="1:12" ht="13" x14ac:dyDescent="0.3">
      <c r="A5" s="22"/>
      <c r="B5" s="29"/>
      <c r="C5" s="10" t="s">
        <v>29</v>
      </c>
      <c r="D5" s="26"/>
      <c r="E5" s="25"/>
      <c r="F5" s="26"/>
      <c r="G5" s="25"/>
      <c r="H5" s="26"/>
      <c r="I5" s="25"/>
      <c r="J5" s="26"/>
      <c r="K5" s="25"/>
      <c r="L5" s="11"/>
    </row>
    <row r="6" spans="1:12" ht="13" x14ac:dyDescent="0.3">
      <c r="A6" s="23"/>
      <c r="B6" s="6" t="s">
        <v>16</v>
      </c>
      <c r="C6" s="18"/>
      <c r="D6" s="27"/>
      <c r="E6" s="28"/>
      <c r="F6" s="27"/>
      <c r="G6" s="28"/>
      <c r="H6" s="27"/>
      <c r="I6" s="28"/>
      <c r="J6" s="27"/>
      <c r="K6" s="28"/>
      <c r="L6" s="19"/>
    </row>
    <row r="7" spans="1:12" ht="13" x14ac:dyDescent="0.3">
      <c r="A7" s="23"/>
      <c r="B7" s="6" t="s">
        <v>17</v>
      </c>
      <c r="C7" s="30" t="s">
        <v>28</v>
      </c>
      <c r="D7" s="31"/>
      <c r="E7" s="18"/>
      <c r="F7" s="19"/>
      <c r="G7" s="32" t="s">
        <v>22</v>
      </c>
      <c r="H7" s="34"/>
      <c r="I7" s="30" t="s">
        <v>24</v>
      </c>
      <c r="J7" s="35"/>
      <c r="K7" s="30" t="s">
        <v>26</v>
      </c>
      <c r="L7" s="31"/>
    </row>
    <row r="8" spans="1:12" ht="13" x14ac:dyDescent="0.3">
      <c r="A8" s="23"/>
      <c r="B8" s="6" t="s">
        <v>18</v>
      </c>
      <c r="C8" s="30" t="s">
        <v>20</v>
      </c>
      <c r="D8" s="31"/>
      <c r="E8" s="32" t="s">
        <v>11</v>
      </c>
      <c r="F8" s="34"/>
      <c r="G8" s="30" t="s">
        <v>23</v>
      </c>
      <c r="H8" s="35"/>
      <c r="I8" s="30" t="s">
        <v>25</v>
      </c>
      <c r="J8" s="35"/>
      <c r="K8" s="32" t="s">
        <v>27</v>
      </c>
      <c r="L8" s="33"/>
    </row>
    <row r="9" spans="1:12" ht="13" x14ac:dyDescent="0.3">
      <c r="A9" s="24" t="s">
        <v>15</v>
      </c>
      <c r="B9" s="7" t="s">
        <v>19</v>
      </c>
      <c r="C9" s="12" t="s">
        <v>21</v>
      </c>
      <c r="D9" s="13" t="s">
        <v>10</v>
      </c>
      <c r="E9" s="12" t="s">
        <v>21</v>
      </c>
      <c r="F9" s="13" t="s">
        <v>10</v>
      </c>
      <c r="G9" s="12" t="s">
        <v>21</v>
      </c>
      <c r="H9" s="13" t="s">
        <v>10</v>
      </c>
      <c r="I9" s="21" t="s">
        <v>21</v>
      </c>
      <c r="J9" s="13" t="s">
        <v>10</v>
      </c>
      <c r="K9" s="21" t="s">
        <v>21</v>
      </c>
      <c r="L9" s="13" t="s">
        <v>10</v>
      </c>
    </row>
    <row r="10" spans="1:12" x14ac:dyDescent="0.25">
      <c r="A10" s="5"/>
      <c r="B10" s="8"/>
      <c r="C10" s="14"/>
      <c r="D10" s="15"/>
      <c r="E10" s="20"/>
      <c r="F10" s="15"/>
      <c r="G10" s="20"/>
      <c r="H10" s="15"/>
      <c r="I10" s="20"/>
      <c r="J10" s="15"/>
      <c r="K10" s="20"/>
      <c r="L10" s="15"/>
    </row>
    <row r="11" spans="1:12" ht="13" x14ac:dyDescent="0.3">
      <c r="A11" s="4" t="s">
        <v>30</v>
      </c>
      <c r="B11" s="9">
        <v>241754</v>
      </c>
      <c r="C11" s="16">
        <v>13694</v>
      </c>
      <c r="D11" s="17">
        <f>(C11/B11)*100</f>
        <v>5.6644357487363193</v>
      </c>
      <c r="E11" s="16">
        <v>12033</v>
      </c>
      <c r="F11" s="17">
        <f>(E11/B11)*100</f>
        <v>4.9773736939202662</v>
      </c>
      <c r="G11" s="16">
        <v>108571</v>
      </c>
      <c r="H11" s="17">
        <f>(G11/B11)*100</f>
        <v>44.909701597491662</v>
      </c>
      <c r="I11" s="16">
        <v>56201</v>
      </c>
      <c r="J11" s="17">
        <f>(I11/B11)*100</f>
        <v>23.247185155157723</v>
      </c>
      <c r="K11" s="16">
        <v>51255</v>
      </c>
      <c r="L11" s="17">
        <f>(K11/B11)*100</f>
        <v>21.201303804694028</v>
      </c>
    </row>
    <row r="12" spans="1:12" x14ac:dyDescent="0.25">
      <c r="A12" s="5"/>
      <c r="B12" s="9"/>
      <c r="C12" s="16"/>
      <c r="D12" s="17"/>
      <c r="E12" s="16"/>
      <c r="F12" s="17"/>
      <c r="G12" s="16"/>
      <c r="H12" s="17"/>
      <c r="I12" s="16"/>
      <c r="J12" s="17"/>
      <c r="K12" s="16"/>
      <c r="L12" s="17"/>
    </row>
    <row r="13" spans="1:12" x14ac:dyDescent="0.25">
      <c r="A13" s="5" t="s">
        <v>0</v>
      </c>
      <c r="B13" s="9">
        <v>3655</v>
      </c>
      <c r="C13" s="16">
        <v>292</v>
      </c>
      <c r="D13" s="17">
        <f t="shared" ref="D13:D20" si="0">(C13/B13)*100</f>
        <v>7.9890560875512993</v>
      </c>
      <c r="E13" s="16">
        <v>191</v>
      </c>
      <c r="F13" s="17">
        <f t="shared" ref="F13:F20" si="1">(E13/B13)*100</f>
        <v>5.2257181942544459</v>
      </c>
      <c r="G13" s="16">
        <v>1855</v>
      </c>
      <c r="H13" s="17">
        <f t="shared" ref="H13:H20" si="2">(G13/B13)*100</f>
        <v>50.752393980848154</v>
      </c>
      <c r="I13" s="16">
        <v>858</v>
      </c>
      <c r="J13" s="17">
        <f t="shared" ref="J13:J20" si="3">(I13/B13)*100</f>
        <v>23.474692202462379</v>
      </c>
      <c r="K13" s="16">
        <v>459</v>
      </c>
      <c r="L13" s="17">
        <f t="shared" ref="L13:L20" si="4">(K13/B13)*100</f>
        <v>12.558139534883722</v>
      </c>
    </row>
    <row r="14" spans="1:12" x14ac:dyDescent="0.25">
      <c r="A14" s="5" t="s">
        <v>1</v>
      </c>
      <c r="B14" s="9">
        <v>2357</v>
      </c>
      <c r="C14" s="16">
        <v>184</v>
      </c>
      <c r="D14" s="17">
        <f t="shared" si="0"/>
        <v>7.8065337293169277</v>
      </c>
      <c r="E14" s="16">
        <v>149</v>
      </c>
      <c r="F14" s="17">
        <f t="shared" si="1"/>
        <v>6.3215952481968607</v>
      </c>
      <c r="G14" s="16">
        <v>1253</v>
      </c>
      <c r="H14" s="17">
        <f t="shared" si="2"/>
        <v>53.160797624098436</v>
      </c>
      <c r="I14" s="16">
        <v>574</v>
      </c>
      <c r="J14" s="17">
        <f t="shared" si="3"/>
        <v>24.352991090369112</v>
      </c>
      <c r="K14" s="16">
        <v>197</v>
      </c>
      <c r="L14" s="17">
        <f t="shared" si="4"/>
        <v>8.3580823080186679</v>
      </c>
    </row>
    <row r="15" spans="1:12" x14ac:dyDescent="0.25">
      <c r="A15" s="5" t="s">
        <v>2</v>
      </c>
      <c r="B15" s="9">
        <v>7165</v>
      </c>
      <c r="C15" s="16">
        <v>486</v>
      </c>
      <c r="D15" s="17">
        <f t="shared" si="0"/>
        <v>6.7829727843684573</v>
      </c>
      <c r="E15" s="16">
        <v>322</v>
      </c>
      <c r="F15" s="17">
        <f t="shared" si="1"/>
        <v>4.4940683879972081</v>
      </c>
      <c r="G15" s="16">
        <v>3538</v>
      </c>
      <c r="H15" s="17">
        <f t="shared" si="2"/>
        <v>49.378925331472431</v>
      </c>
      <c r="I15" s="16">
        <v>1728</v>
      </c>
      <c r="J15" s="17">
        <f t="shared" si="3"/>
        <v>24.117236566643406</v>
      </c>
      <c r="K15" s="16">
        <v>1091</v>
      </c>
      <c r="L15" s="17">
        <f t="shared" si="4"/>
        <v>15.226796929518493</v>
      </c>
    </row>
    <row r="16" spans="1:12" x14ac:dyDescent="0.25">
      <c r="A16" s="5" t="s">
        <v>3</v>
      </c>
      <c r="B16" s="9">
        <v>1136</v>
      </c>
      <c r="C16" s="16">
        <v>111</v>
      </c>
      <c r="D16" s="17">
        <f t="shared" si="0"/>
        <v>9.77112676056338</v>
      </c>
      <c r="E16" s="16">
        <v>71</v>
      </c>
      <c r="F16" s="17">
        <f t="shared" si="1"/>
        <v>6.25</v>
      </c>
      <c r="G16" s="16">
        <v>583</v>
      </c>
      <c r="H16" s="17">
        <f t="shared" si="2"/>
        <v>51.320422535211264</v>
      </c>
      <c r="I16" s="16">
        <v>262</v>
      </c>
      <c r="J16" s="17">
        <f t="shared" si="3"/>
        <v>23.06338028169014</v>
      </c>
      <c r="K16" s="16">
        <v>109</v>
      </c>
      <c r="L16" s="17">
        <f t="shared" si="4"/>
        <v>9.5950704225352101</v>
      </c>
    </row>
    <row r="17" spans="1:12" x14ac:dyDescent="0.25">
      <c r="A17" s="5" t="s">
        <v>4</v>
      </c>
      <c r="B17" s="9">
        <v>3704</v>
      </c>
      <c r="C17" s="16">
        <v>289</v>
      </c>
      <c r="D17" s="17">
        <f t="shared" si="0"/>
        <v>7.8023758099352056</v>
      </c>
      <c r="E17" s="16">
        <v>177</v>
      </c>
      <c r="F17" s="17">
        <f t="shared" si="1"/>
        <v>4.7786177105831529</v>
      </c>
      <c r="G17" s="16">
        <v>1859</v>
      </c>
      <c r="H17" s="17">
        <f t="shared" si="2"/>
        <v>50.188984881209507</v>
      </c>
      <c r="I17" s="16">
        <v>851</v>
      </c>
      <c r="J17" s="17">
        <f t="shared" si="3"/>
        <v>22.975161987041037</v>
      </c>
      <c r="K17" s="16">
        <v>528</v>
      </c>
      <c r="L17" s="17">
        <f t="shared" si="4"/>
        <v>14.254859611231103</v>
      </c>
    </row>
    <row r="18" spans="1:12" x14ac:dyDescent="0.25">
      <c r="A18" s="5" t="s">
        <v>5</v>
      </c>
      <c r="B18" s="9">
        <v>1669</v>
      </c>
      <c r="C18" s="16">
        <v>95</v>
      </c>
      <c r="D18" s="17">
        <f t="shared" si="0"/>
        <v>5.6920311563810664</v>
      </c>
      <c r="E18" s="16">
        <v>66</v>
      </c>
      <c r="F18" s="17">
        <f t="shared" si="1"/>
        <v>3.9544637507489515</v>
      </c>
      <c r="G18" s="16">
        <v>916</v>
      </c>
      <c r="H18" s="17">
        <f t="shared" si="2"/>
        <v>54.883163571000601</v>
      </c>
      <c r="I18" s="16">
        <v>398</v>
      </c>
      <c r="J18" s="17">
        <f t="shared" si="3"/>
        <v>23.846614739364888</v>
      </c>
      <c r="K18" s="16">
        <v>194</v>
      </c>
      <c r="L18" s="17">
        <f t="shared" si="4"/>
        <v>11.623726782504495</v>
      </c>
    </row>
    <row r="19" spans="1:12" x14ac:dyDescent="0.25">
      <c r="A19" s="5" t="s">
        <v>6</v>
      </c>
      <c r="B19" s="9">
        <v>1179</v>
      </c>
      <c r="C19" s="16">
        <v>144</v>
      </c>
      <c r="D19" s="17">
        <f t="shared" si="0"/>
        <v>12.213740458015266</v>
      </c>
      <c r="E19" s="16">
        <v>37</v>
      </c>
      <c r="F19" s="17">
        <f t="shared" si="1"/>
        <v>3.1382527565733676</v>
      </c>
      <c r="G19" s="16">
        <v>582</v>
      </c>
      <c r="H19" s="17">
        <f t="shared" si="2"/>
        <v>49.363867684478372</v>
      </c>
      <c r="I19" s="16">
        <v>192</v>
      </c>
      <c r="J19" s="17">
        <f t="shared" si="3"/>
        <v>16.284987277353689</v>
      </c>
      <c r="K19" s="16">
        <v>224</v>
      </c>
      <c r="L19" s="17">
        <f t="shared" si="4"/>
        <v>18.999151823579304</v>
      </c>
    </row>
    <row r="20" spans="1:12" x14ac:dyDescent="0.25">
      <c r="A20" s="5" t="s">
        <v>9</v>
      </c>
      <c r="B20" s="9">
        <v>9</v>
      </c>
      <c r="C20" s="16">
        <v>3</v>
      </c>
      <c r="D20" s="17">
        <f t="shared" si="0"/>
        <v>33.333333333333329</v>
      </c>
      <c r="E20" s="16">
        <v>0</v>
      </c>
      <c r="F20" s="17">
        <f t="shared" si="1"/>
        <v>0</v>
      </c>
      <c r="G20" s="16">
        <v>2</v>
      </c>
      <c r="H20" s="17">
        <f t="shared" si="2"/>
        <v>22.222222222222221</v>
      </c>
      <c r="I20" s="16">
        <v>4</v>
      </c>
      <c r="J20" s="17">
        <f t="shared" si="3"/>
        <v>44.444444444444443</v>
      </c>
      <c r="K20" s="16">
        <v>0</v>
      </c>
      <c r="L20" s="17">
        <f t="shared" si="4"/>
        <v>0</v>
      </c>
    </row>
    <row r="22" spans="1:12" x14ac:dyDescent="0.25">
      <c r="A22" t="s">
        <v>7</v>
      </c>
    </row>
    <row r="23" spans="1:12" x14ac:dyDescent="0.25">
      <c r="A23" t="s">
        <v>8</v>
      </c>
    </row>
    <row r="25" spans="1:12" x14ac:dyDescent="0.25">
      <c r="A25" t="s">
        <v>12</v>
      </c>
    </row>
  </sheetData>
  <mergeCells count="9">
    <mergeCell ref="C8:D8"/>
    <mergeCell ref="K7:L7"/>
    <mergeCell ref="K8:L8"/>
    <mergeCell ref="C7:D7"/>
    <mergeCell ref="E8:F8"/>
    <mergeCell ref="G7:H7"/>
    <mergeCell ref="G8:H8"/>
    <mergeCell ref="I7:J7"/>
    <mergeCell ref="I8:J8"/>
  </mergeCells>
  <phoneticPr fontId="0" type="noConversion"/>
  <pageMargins left="0.25" right="0.25" top="1" bottom="1" header="0.5" footer="0.5"/>
  <pageSetup scale="77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Montana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cc5153</dc:creator>
  <cp:lastModifiedBy>Carina Negreanu</cp:lastModifiedBy>
  <cp:lastPrinted>2002-05-15T19:02:00Z</cp:lastPrinted>
  <dcterms:created xsi:type="dcterms:W3CDTF">2002-05-10T19:44:10Z</dcterms:created>
  <dcterms:modified xsi:type="dcterms:W3CDTF">2020-01-27T11:10:39Z</dcterms:modified>
</cp:coreProperties>
</file>