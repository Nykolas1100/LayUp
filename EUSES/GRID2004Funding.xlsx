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A99AC7-C16D-42C4-8B8F-356EE2F441E7}" xr6:coauthVersionLast="45" xr6:coauthVersionMax="45" xr10:uidLastSave="{00000000-0000-0000-0000-000000000000}"/>
  <bookViews>
    <workbookView xWindow="380" yWindow="380" windowWidth="28800" windowHeight="15460"/>
  </bookViews>
  <sheets>
    <sheet name="Funding List 2004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6" i="4" l="1"/>
  <c r="G27" i="4"/>
  <c r="F26" i="4"/>
  <c r="F27" i="4" s="1"/>
  <c r="F29" i="4" s="1"/>
</calcChain>
</file>

<file path=xl/sharedStrings.xml><?xml version="1.0" encoding="utf-8"?>
<sst xmlns="http://schemas.openxmlformats.org/spreadsheetml/2006/main" count="87" uniqueCount="78">
  <si>
    <t>Name</t>
  </si>
  <si>
    <t>Department</t>
  </si>
  <si>
    <t>Follow-up Call</t>
  </si>
  <si>
    <t>Dr. William Destler</t>
  </si>
  <si>
    <t>2002 Donation</t>
  </si>
  <si>
    <t>2003 Donation</t>
  </si>
  <si>
    <t>Dr. Dennis O'Connor</t>
  </si>
  <si>
    <t>Graduate School</t>
  </si>
  <si>
    <t>Administrative Affairs</t>
  </si>
  <si>
    <t>Dr. Sylvia Stewart</t>
  </si>
  <si>
    <t>matching up to $20,000</t>
  </si>
  <si>
    <t>Continuing Education</t>
  </si>
  <si>
    <t>Dr. Judith Broida</t>
  </si>
  <si>
    <t>Student Affairs</t>
  </si>
  <si>
    <t>Dr. Phyllis Peres</t>
  </si>
  <si>
    <t>Undergraduate Studies</t>
  </si>
  <si>
    <t>Robert H. Smith School of Business</t>
  </si>
  <si>
    <t>Dr. Robert Gold</t>
  </si>
  <si>
    <t>College of Health &amp; Human Performance</t>
  </si>
  <si>
    <t>Dr. Linda Clement</t>
  </si>
  <si>
    <t>College of Agriculture &amp; Natural Resources</t>
  </si>
  <si>
    <t>Dr. Edna Mora Szymanski</t>
  </si>
  <si>
    <t>College of Education</t>
  </si>
  <si>
    <t>College of Behavioral &amp; Social Sciences</t>
  </si>
  <si>
    <t>Dr. James Harris</t>
  </si>
  <si>
    <t>College of Arts &amp; Humanities</t>
  </si>
  <si>
    <t>College of Computer, Mathematical and Physical Sciences</t>
  </si>
  <si>
    <t>Dr. Stephen Halperin</t>
  </si>
  <si>
    <t>Dr. Nariman Farvardin</t>
  </si>
  <si>
    <t>A. James Clark School of Engineering</t>
  </si>
  <si>
    <t>Dr. Bruce Dearstyne</t>
  </si>
  <si>
    <t>College of Information Studies</t>
  </si>
  <si>
    <t>College of Life Sciences</t>
  </si>
  <si>
    <t>Sigma Xi</t>
  </si>
  <si>
    <t>Dr. Tim Ng</t>
  </si>
  <si>
    <t>Dr. Steven Hurtt</t>
  </si>
  <si>
    <t>School of Architecture</t>
  </si>
  <si>
    <t>Dr. Susan Schwab</t>
  </si>
  <si>
    <t>Dr. Thomas Kunkel</t>
  </si>
  <si>
    <t>School of Public Affairs</t>
  </si>
  <si>
    <t>Philip Merrill College of Journalism</t>
  </si>
  <si>
    <t>Mr. Frank Allnutt</t>
  </si>
  <si>
    <t>Western Maryland Research &amp; Education Center</t>
  </si>
  <si>
    <t>Dr. Russell Brinsfield</t>
  </si>
  <si>
    <t>Wye Research &amp; Education Center</t>
  </si>
  <si>
    <t>Dr. Faye Taxman</t>
  </si>
  <si>
    <t>Bureau of Governmental Research</t>
  </si>
  <si>
    <t>Date</t>
  </si>
  <si>
    <t>Pepsi</t>
  </si>
  <si>
    <t>TOTAL</t>
  </si>
  <si>
    <t>Subtotal</t>
  </si>
  <si>
    <t>Remaining balance from 2002</t>
  </si>
  <si>
    <t>Plus matching</t>
  </si>
  <si>
    <t>Office of the Provost</t>
  </si>
  <si>
    <t>Luncheon?</t>
  </si>
  <si>
    <t>Contact</t>
    <phoneticPr fontId="1" type="noConversion"/>
  </si>
  <si>
    <t>2004 Donation</t>
    <phoneticPr fontId="1" type="noConversion"/>
  </si>
  <si>
    <t xml:space="preserve">Kathleen A. Gibson </t>
  </si>
  <si>
    <t xml:space="preserve">(301)405-3865 </t>
  </si>
  <si>
    <t>Phone</t>
    <phoneticPr fontId="1" type="noConversion"/>
  </si>
  <si>
    <t>Janet H. Robertson</t>
  </si>
  <si>
    <t>301-405-2101</t>
  </si>
  <si>
    <t>Carolyn Schupbach</t>
  </si>
  <si>
    <t>CSCHUPBA@bsos.umd.edu</t>
  </si>
  <si>
    <t>Leon Slaughter</t>
  </si>
  <si>
    <t xml:space="preserve">LS24@umail.umd.edu </t>
  </si>
  <si>
    <t>Matching Fund</t>
    <phoneticPr fontId="1" type="noConversion"/>
  </si>
  <si>
    <t>Lisa Kiely</t>
  </si>
  <si>
    <t>lkiely@Glue.umd.edu</t>
  </si>
  <si>
    <t xml:space="preserve">Dr. Bruce Gardner </t>
    <phoneticPr fontId="1" type="noConversion"/>
  </si>
  <si>
    <t>Dr. Edward Montgomery</t>
    <phoneticPr fontId="1" type="noConversion"/>
  </si>
  <si>
    <t>Dr. Norma Allewell</t>
    <phoneticPr fontId="1" type="noConversion"/>
  </si>
  <si>
    <t>Norma Allewell</t>
  </si>
  <si>
    <r>
      <t>301-405-2071</t>
    </r>
    <r>
      <rPr>
        <sz val="10"/>
        <rFont val="Arial"/>
        <family val="2"/>
      </rPr>
      <t xml:space="preserve"> </t>
    </r>
  </si>
  <si>
    <r>
      <t>L</t>
    </r>
    <r>
      <rPr>
        <sz val="10"/>
        <rFont val="Arial"/>
        <family val="2"/>
      </rPr>
      <t>inda Clement</t>
    </r>
    <phoneticPr fontId="1" type="noConversion"/>
  </si>
  <si>
    <r>
      <t>J</t>
    </r>
    <r>
      <rPr>
        <sz val="10"/>
        <rFont val="Arial"/>
        <family val="2"/>
      </rPr>
      <t>udith Broida</t>
    </r>
    <phoneticPr fontId="1" type="noConversion"/>
  </si>
  <si>
    <r>
      <t>D</t>
    </r>
    <r>
      <rPr>
        <sz val="10"/>
        <rFont val="Arial"/>
        <family val="2"/>
      </rPr>
      <t xml:space="preserve">r. </t>
    </r>
    <r>
      <rPr>
        <sz val="10"/>
        <rFont val="Arial"/>
        <family val="2"/>
      </rPr>
      <t>Howard Frank</t>
    </r>
    <phoneticPr fontId="1" type="noConversion"/>
  </si>
  <si>
    <r>
      <t>W</t>
    </r>
    <r>
      <rPr>
        <sz val="10"/>
        <rFont val="Arial"/>
        <family val="2"/>
      </rPr>
      <t>aiting for Reply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</si>
</sst>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_(&quot;$&quot;* #,##0.00_);_(&quot;$&quot;* \(#,##0.00\);_(&quot;$&quot;* &quot;-&quot;??_);_(@_)"/>
    <numFmt numFmtId="187" formatCode="m/d;@"/>
  </numFmts>
  <fonts count="6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187" fontId="2" fillId="0" borderId="0" xfId="0" applyNumberFormat="1" applyFont="1" applyAlignment="1">
      <alignment horizontal="center"/>
    </xf>
    <xf numFmtId="0" fontId="4" fillId="2" borderId="0" xfId="0" applyFont="1" applyFill="1"/>
    <xf numFmtId="180" fontId="4" fillId="2" borderId="0" xfId="0" applyNumberFormat="1" applyFont="1" applyFill="1" applyBorder="1"/>
    <xf numFmtId="187" fontId="4" fillId="2" borderId="0" xfId="0" applyNumberFormat="1" applyFont="1" applyFill="1" applyAlignment="1">
      <alignment horizontal="center"/>
    </xf>
    <xf numFmtId="0" fontId="4" fillId="0" borderId="0" xfId="0" applyFont="1"/>
    <xf numFmtId="180" fontId="4" fillId="0" borderId="0" xfId="0" applyNumberFormat="1" applyFont="1"/>
    <xf numFmtId="180" fontId="4" fillId="0" borderId="0" xfId="0" applyNumberFormat="1" applyFont="1" applyFill="1" applyBorder="1"/>
    <xf numFmtId="180" fontId="4" fillId="3" borderId="0" xfId="0" applyNumberFormat="1" applyFont="1" applyFill="1" applyBorder="1"/>
    <xf numFmtId="18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87" fontId="4" fillId="0" borderId="0" xfId="0" applyNumberFormat="1" applyFont="1" applyAlignment="1">
      <alignment horizontal="center" wrapText="1"/>
    </xf>
    <xf numFmtId="180" fontId="4" fillId="3" borderId="0" xfId="0" applyNumberFormat="1" applyFon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80" fontId="2" fillId="0" borderId="2" xfId="0" applyNumberFormat="1" applyFont="1" applyBorder="1" applyAlignment="1">
      <alignment horizontal="center"/>
    </xf>
    <xf numFmtId="180" fontId="2" fillId="3" borderId="2" xfId="0" applyNumberFormat="1" applyFont="1" applyFill="1" applyBorder="1" applyAlignment="1">
      <alignment horizontal="center"/>
    </xf>
    <xf numFmtId="187" fontId="2" fillId="0" borderId="3" xfId="0" applyNumberFormat="1" applyFont="1" applyBorder="1" applyAlignment="1">
      <alignment horizontal="center" wrapText="1"/>
    </xf>
    <xf numFmtId="0" fontId="4" fillId="2" borderId="4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187" fontId="4" fillId="2" borderId="5" xfId="0" applyNumberFormat="1" applyFont="1" applyFill="1" applyBorder="1" applyAlignment="1">
      <alignment horizontal="center" wrapText="1"/>
    </xf>
    <xf numFmtId="0" fontId="4" fillId="0" borderId="4" xfId="0" applyFont="1" applyBorder="1"/>
    <xf numFmtId="0" fontId="4" fillId="0" borderId="0" xfId="0" applyFont="1" applyBorder="1"/>
    <xf numFmtId="180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187" fontId="4" fillId="0" borderId="5" xfId="0" applyNumberFormat="1" applyFont="1" applyFill="1" applyBorder="1" applyAlignment="1">
      <alignment horizontal="center" wrapText="1"/>
    </xf>
    <xf numFmtId="0" fontId="3" fillId="0" borderId="0" xfId="1" applyFont="1" applyBorder="1" applyAlignment="1" applyProtection="1"/>
    <xf numFmtId="187" fontId="4" fillId="0" borderId="5" xfId="0" applyNumberFormat="1" applyFont="1" applyFill="1" applyBorder="1" applyAlignment="1">
      <alignment horizontal="left" wrapText="1"/>
    </xf>
    <xf numFmtId="0" fontId="3" fillId="2" borderId="0" xfId="1" applyFont="1" applyFill="1" applyBorder="1" applyAlignment="1" applyProtection="1"/>
    <xf numFmtId="0" fontId="5" fillId="2" borderId="0" xfId="0" applyFont="1" applyFill="1" applyBorder="1"/>
    <xf numFmtId="0" fontId="4" fillId="0" borderId="6" xfId="0" applyFont="1" applyBorder="1"/>
    <xf numFmtId="0" fontId="4" fillId="0" borderId="7" xfId="0" applyFont="1" applyBorder="1"/>
    <xf numFmtId="180" fontId="4" fillId="0" borderId="7" xfId="0" applyNumberFormat="1" applyFont="1" applyBorder="1"/>
    <xf numFmtId="180" fontId="4" fillId="0" borderId="7" xfId="0" applyNumberFormat="1" applyFont="1" applyFill="1" applyBorder="1"/>
    <xf numFmtId="180" fontId="4" fillId="3" borderId="7" xfId="0" applyNumberFormat="1" applyFont="1" applyFill="1" applyBorder="1"/>
    <xf numFmtId="187" fontId="4" fillId="0" borderId="8" xfId="0" applyNumberFormat="1" applyFont="1" applyBorder="1" applyAlignment="1">
      <alignment horizontal="center" wrapText="1"/>
    </xf>
    <xf numFmtId="0" fontId="4" fillId="0" borderId="1" xfId="0" applyFont="1" applyBorder="1"/>
    <xf numFmtId="0" fontId="4" fillId="0" borderId="2" xfId="0" applyFont="1" applyBorder="1"/>
    <xf numFmtId="180" fontId="4" fillId="0" borderId="2" xfId="0" applyNumberFormat="1" applyFont="1" applyBorder="1"/>
    <xf numFmtId="180" fontId="4" fillId="0" borderId="2" xfId="0" applyNumberFormat="1" applyFont="1" applyFill="1" applyBorder="1"/>
    <xf numFmtId="180" fontId="4" fillId="3" borderId="2" xfId="0" applyNumberFormat="1" applyFont="1" applyFill="1" applyBorder="1"/>
    <xf numFmtId="187" fontId="4" fillId="0" borderId="3" xfId="0" applyNumberFormat="1" applyFont="1" applyBorder="1" applyAlignment="1">
      <alignment horizontal="center" wrapText="1"/>
    </xf>
    <xf numFmtId="187" fontId="4" fillId="0" borderId="5" xfId="0" applyNumberFormat="1" applyFont="1" applyBorder="1" applyAlignment="1">
      <alignment horizontal="center" wrapText="1"/>
    </xf>
    <xf numFmtId="187" fontId="2" fillId="0" borderId="3" xfId="0" applyNumberFormat="1" applyFont="1" applyBorder="1" applyAlignment="1">
      <alignment horizontal="center"/>
    </xf>
    <xf numFmtId="187" fontId="4" fillId="2" borderId="5" xfId="0" applyNumberFormat="1" applyFont="1" applyFill="1" applyBorder="1" applyAlignment="1">
      <alignment horizontal="center"/>
    </xf>
    <xf numFmtId="187" fontId="4" fillId="0" borderId="5" xfId="0" applyNumberFormat="1" applyFont="1" applyBorder="1" applyAlignment="1">
      <alignment horizontal="center"/>
    </xf>
    <xf numFmtId="187" fontId="4" fillId="0" borderId="8" xfId="0" applyNumberFormat="1" applyFont="1" applyBorder="1" applyAlignment="1">
      <alignment horizontal="center"/>
    </xf>
    <xf numFmtId="187" fontId="4" fillId="0" borderId="3" xfId="0" applyNumberFormat="1" applyFont="1" applyBorder="1" applyAlignment="1">
      <alignment horizontal="center"/>
    </xf>
    <xf numFmtId="187" fontId="4" fillId="0" borderId="0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kiely@Glue.umd.edu" TargetMode="External"/><Relationship Id="rId1" Type="http://schemas.openxmlformats.org/officeDocument/2006/relationships/hyperlink" Target="mailto:LS24@umail.um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zoomScale="8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796875" defaultRowHeight="12.5" x14ac:dyDescent="0.25"/>
  <cols>
    <col min="1" max="1" width="28.7265625" style="6" bestFit="1" customWidth="1"/>
    <col min="2" max="2" width="40.26953125" style="6" customWidth="1"/>
    <col min="3" max="3" width="19.7265625" style="6" hidden="1" customWidth="1"/>
    <col min="4" max="4" width="29.7265625" style="6" hidden="1" customWidth="1"/>
    <col min="5" max="5" width="14" style="7" bestFit="1" customWidth="1"/>
    <col min="6" max="6" width="16.26953125" style="7" customWidth="1"/>
    <col min="7" max="7" width="16.453125" style="13" customWidth="1"/>
    <col min="8" max="8" width="17.54296875" style="10" bestFit="1" customWidth="1"/>
    <col min="9" max="9" width="9.26953125" style="11" bestFit="1" customWidth="1"/>
    <col min="10" max="10" width="49" style="12" hidden="1" customWidth="1"/>
    <col min="11" max="11" width="11.26953125" style="10" hidden="1" customWidth="1"/>
    <col min="12" max="16384" width="9.1796875" style="6"/>
  </cols>
  <sheetData>
    <row r="1" spans="1:11" s="1" customFormat="1" ht="13" x14ac:dyDescent="0.3">
      <c r="A1" s="14" t="s">
        <v>0</v>
      </c>
      <c r="B1" s="15" t="s">
        <v>1</v>
      </c>
      <c r="C1" s="15" t="s">
        <v>55</v>
      </c>
      <c r="D1" s="15" t="s">
        <v>59</v>
      </c>
      <c r="E1" s="16" t="s">
        <v>4</v>
      </c>
      <c r="F1" s="16" t="s">
        <v>5</v>
      </c>
      <c r="G1" s="17" t="s">
        <v>56</v>
      </c>
      <c r="H1" s="45" t="s">
        <v>47</v>
      </c>
      <c r="I1" s="15"/>
      <c r="J1" s="18" t="s">
        <v>2</v>
      </c>
      <c r="K1" s="2" t="s">
        <v>54</v>
      </c>
    </row>
    <row r="2" spans="1:11" s="3" customFormat="1" x14ac:dyDescent="0.25">
      <c r="A2" s="19" t="s">
        <v>3</v>
      </c>
      <c r="B2" s="20" t="s">
        <v>53</v>
      </c>
      <c r="C2" s="20"/>
      <c r="D2" s="20"/>
      <c r="E2" s="4">
        <v>3000</v>
      </c>
      <c r="F2" s="4" t="s">
        <v>10</v>
      </c>
      <c r="G2" s="4" t="s">
        <v>66</v>
      </c>
      <c r="H2" s="46"/>
      <c r="I2" s="21"/>
      <c r="J2" s="22"/>
      <c r="K2" s="5"/>
    </row>
    <row r="3" spans="1:11" x14ac:dyDescent="0.25">
      <c r="A3" s="23" t="s">
        <v>6</v>
      </c>
      <c r="B3" s="24" t="s">
        <v>7</v>
      </c>
      <c r="C3" s="24"/>
      <c r="D3" s="24"/>
      <c r="E3" s="25">
        <v>3000</v>
      </c>
      <c r="F3" s="8">
        <v>3000</v>
      </c>
      <c r="G3" s="9"/>
      <c r="H3" s="47" t="s">
        <v>77</v>
      </c>
      <c r="I3" s="26"/>
      <c r="J3" s="27"/>
    </row>
    <row r="4" spans="1:11" x14ac:dyDescent="0.25">
      <c r="A4" s="23" t="s">
        <v>9</v>
      </c>
      <c r="B4" s="24" t="s">
        <v>8</v>
      </c>
      <c r="C4" s="24"/>
      <c r="D4" s="24"/>
      <c r="E4" s="25">
        <v>1500</v>
      </c>
      <c r="F4" s="8">
        <v>1000</v>
      </c>
      <c r="G4" s="9"/>
      <c r="H4" s="47" t="s">
        <v>77</v>
      </c>
      <c r="I4" s="26"/>
      <c r="J4" s="27"/>
    </row>
    <row r="5" spans="1:11" s="3" customFormat="1" x14ac:dyDescent="0.25">
      <c r="A5" s="19" t="s">
        <v>12</v>
      </c>
      <c r="B5" s="20" t="s">
        <v>11</v>
      </c>
      <c r="C5" s="20" t="s">
        <v>75</v>
      </c>
      <c r="D5" s="20"/>
      <c r="E5" s="4">
        <v>500</v>
      </c>
      <c r="F5" s="4">
        <v>250</v>
      </c>
      <c r="G5" s="4">
        <v>500</v>
      </c>
      <c r="H5" s="46">
        <v>37960</v>
      </c>
      <c r="I5" s="21"/>
      <c r="J5" s="22"/>
      <c r="K5" s="5"/>
    </row>
    <row r="6" spans="1:11" s="3" customFormat="1" x14ac:dyDescent="0.25">
      <c r="A6" s="19" t="s">
        <v>19</v>
      </c>
      <c r="B6" s="20" t="s">
        <v>13</v>
      </c>
      <c r="C6" s="20" t="s">
        <v>74</v>
      </c>
      <c r="D6" s="20"/>
      <c r="E6" s="4">
        <v>1000</v>
      </c>
      <c r="F6" s="4">
        <v>500</v>
      </c>
      <c r="G6" s="4">
        <v>500</v>
      </c>
      <c r="H6" s="46">
        <v>37959</v>
      </c>
      <c r="I6" s="21"/>
      <c r="J6" s="22"/>
      <c r="K6" s="5"/>
    </row>
    <row r="7" spans="1:11" x14ac:dyDescent="0.25">
      <c r="A7" s="23" t="s">
        <v>14</v>
      </c>
      <c r="B7" s="24" t="s">
        <v>15</v>
      </c>
      <c r="C7" s="24" t="s">
        <v>67</v>
      </c>
      <c r="D7" s="28" t="s">
        <v>68</v>
      </c>
      <c r="E7" s="25">
        <v>3000</v>
      </c>
      <c r="F7" s="8">
        <v>3000</v>
      </c>
      <c r="G7" s="9"/>
      <c r="H7" s="47" t="s">
        <v>77</v>
      </c>
      <c r="I7" s="26"/>
      <c r="J7" s="29"/>
    </row>
    <row r="8" spans="1:11" x14ac:dyDescent="0.25">
      <c r="A8" s="23" t="s">
        <v>76</v>
      </c>
      <c r="B8" s="24" t="s">
        <v>16</v>
      </c>
      <c r="C8" s="24"/>
      <c r="D8" s="24"/>
      <c r="E8" s="25">
        <v>1000</v>
      </c>
      <c r="F8" s="8">
        <v>0</v>
      </c>
      <c r="G8" s="9"/>
      <c r="H8" s="47" t="s">
        <v>77</v>
      </c>
      <c r="I8" s="26"/>
      <c r="J8" s="27"/>
    </row>
    <row r="9" spans="1:11" x14ac:dyDescent="0.25">
      <c r="A9" s="23" t="s">
        <v>17</v>
      </c>
      <c r="B9" s="24" t="s">
        <v>18</v>
      </c>
      <c r="C9" s="24"/>
      <c r="D9" s="24"/>
      <c r="E9" s="25">
        <v>1000</v>
      </c>
      <c r="F9" s="8">
        <v>1000</v>
      </c>
      <c r="G9" s="9"/>
      <c r="H9" s="47" t="s">
        <v>77</v>
      </c>
      <c r="I9" s="26"/>
      <c r="J9" s="27"/>
    </row>
    <row r="10" spans="1:11" s="3" customFormat="1" x14ac:dyDescent="0.25">
      <c r="A10" s="19" t="s">
        <v>69</v>
      </c>
      <c r="B10" s="20" t="s">
        <v>20</v>
      </c>
      <c r="C10" s="20" t="s">
        <v>64</v>
      </c>
      <c r="D10" s="30" t="s">
        <v>65</v>
      </c>
      <c r="E10" s="4">
        <v>1000</v>
      </c>
      <c r="F10" s="4">
        <v>0</v>
      </c>
      <c r="G10" s="4">
        <v>250</v>
      </c>
      <c r="H10" s="46">
        <v>37956</v>
      </c>
      <c r="I10" s="21"/>
      <c r="J10" s="22"/>
      <c r="K10" s="5"/>
    </row>
    <row r="11" spans="1:11" x14ac:dyDescent="0.25">
      <c r="A11" s="23" t="s">
        <v>21</v>
      </c>
      <c r="B11" s="24" t="s">
        <v>22</v>
      </c>
      <c r="C11" s="24"/>
      <c r="D11" s="24"/>
      <c r="E11" s="25">
        <v>250</v>
      </c>
      <c r="F11" s="8">
        <v>1000</v>
      </c>
      <c r="G11" s="9"/>
      <c r="H11" s="47" t="s">
        <v>77</v>
      </c>
      <c r="I11" s="26"/>
      <c r="J11" s="27"/>
    </row>
    <row r="12" spans="1:11" s="3" customFormat="1" x14ac:dyDescent="0.25">
      <c r="A12" s="19" t="s">
        <v>70</v>
      </c>
      <c r="B12" s="20" t="s">
        <v>23</v>
      </c>
      <c r="C12" s="20" t="s">
        <v>62</v>
      </c>
      <c r="D12" s="20" t="s">
        <v>63</v>
      </c>
      <c r="E12" s="4">
        <v>500</v>
      </c>
      <c r="F12" s="4">
        <v>500</v>
      </c>
      <c r="G12" s="4">
        <v>500</v>
      </c>
      <c r="H12" s="46">
        <v>37956</v>
      </c>
      <c r="I12" s="21"/>
      <c r="J12" s="22"/>
      <c r="K12" s="5"/>
    </row>
    <row r="13" spans="1:11" s="3" customFormat="1" x14ac:dyDescent="0.25">
      <c r="A13" s="19" t="s">
        <v>24</v>
      </c>
      <c r="B13" s="20" t="s">
        <v>25</v>
      </c>
      <c r="C13" s="20" t="s">
        <v>60</v>
      </c>
      <c r="D13" s="20" t="s">
        <v>61</v>
      </c>
      <c r="E13" s="4">
        <v>500</v>
      </c>
      <c r="F13" s="4">
        <v>500</v>
      </c>
      <c r="G13" s="4">
        <v>500</v>
      </c>
      <c r="H13" s="46">
        <v>37956</v>
      </c>
      <c r="I13" s="21"/>
      <c r="J13" s="22"/>
      <c r="K13" s="5"/>
    </row>
    <row r="14" spans="1:11" x14ac:dyDescent="0.25">
      <c r="A14" s="23" t="s">
        <v>27</v>
      </c>
      <c r="B14" s="24" t="s">
        <v>26</v>
      </c>
      <c r="C14" s="24"/>
      <c r="D14" s="24"/>
      <c r="E14" s="25">
        <v>3000</v>
      </c>
      <c r="F14" s="8">
        <v>500</v>
      </c>
      <c r="G14" s="9"/>
      <c r="H14" s="47" t="s">
        <v>77</v>
      </c>
      <c r="I14" s="26"/>
      <c r="J14" s="27"/>
    </row>
    <row r="15" spans="1:11" s="3" customFormat="1" x14ac:dyDescent="0.25">
      <c r="A15" s="19" t="s">
        <v>28</v>
      </c>
      <c r="B15" s="20" t="s">
        <v>29</v>
      </c>
      <c r="C15" s="20" t="s">
        <v>57</v>
      </c>
      <c r="D15" s="20" t="s">
        <v>58</v>
      </c>
      <c r="E15" s="4">
        <v>3000</v>
      </c>
      <c r="F15" s="4">
        <v>500</v>
      </c>
      <c r="G15" s="4">
        <v>500</v>
      </c>
      <c r="H15" s="46">
        <v>37956</v>
      </c>
      <c r="I15" s="21"/>
      <c r="J15" s="22"/>
      <c r="K15" s="5"/>
    </row>
    <row r="16" spans="1:11" x14ac:dyDescent="0.25">
      <c r="A16" s="23" t="s">
        <v>30</v>
      </c>
      <c r="B16" s="24" t="s">
        <v>31</v>
      </c>
      <c r="C16" s="24"/>
      <c r="D16" s="24"/>
      <c r="E16" s="25">
        <v>400</v>
      </c>
      <c r="F16" s="8">
        <v>250</v>
      </c>
      <c r="G16" s="9"/>
      <c r="H16" s="47" t="s">
        <v>77</v>
      </c>
      <c r="I16" s="26"/>
      <c r="J16" s="27"/>
    </row>
    <row r="17" spans="1:11" s="3" customFormat="1" x14ac:dyDescent="0.25">
      <c r="A17" s="19" t="s">
        <v>71</v>
      </c>
      <c r="B17" s="20" t="s">
        <v>32</v>
      </c>
      <c r="C17" s="20" t="s">
        <v>72</v>
      </c>
      <c r="D17" s="31" t="s">
        <v>73</v>
      </c>
      <c r="E17" s="4">
        <v>3000</v>
      </c>
      <c r="F17" s="4">
        <v>500</v>
      </c>
      <c r="G17" s="4">
        <v>500</v>
      </c>
      <c r="H17" s="46">
        <v>37956</v>
      </c>
      <c r="I17" s="21"/>
      <c r="J17" s="22"/>
      <c r="K17" s="5"/>
    </row>
    <row r="18" spans="1:11" x14ac:dyDescent="0.25">
      <c r="A18" s="23" t="s">
        <v>34</v>
      </c>
      <c r="B18" s="24" t="s">
        <v>33</v>
      </c>
      <c r="C18" s="24"/>
      <c r="D18" s="24"/>
      <c r="E18" s="25">
        <v>500</v>
      </c>
      <c r="F18" s="8">
        <v>500</v>
      </c>
      <c r="G18" s="9"/>
      <c r="H18" s="47" t="s">
        <v>77</v>
      </c>
      <c r="I18" s="26"/>
      <c r="J18" s="27"/>
    </row>
    <row r="19" spans="1:11" x14ac:dyDescent="0.25">
      <c r="A19" s="23" t="s">
        <v>35</v>
      </c>
      <c r="B19" s="24" t="s">
        <v>36</v>
      </c>
      <c r="C19" s="24"/>
      <c r="D19" s="24"/>
      <c r="E19" s="25">
        <v>0</v>
      </c>
      <c r="F19" s="8">
        <v>500</v>
      </c>
      <c r="G19" s="9"/>
      <c r="H19" s="47" t="s">
        <v>77</v>
      </c>
      <c r="I19" s="26"/>
      <c r="J19" s="27"/>
    </row>
    <row r="20" spans="1:11" x14ac:dyDescent="0.25">
      <c r="A20" s="23" t="s">
        <v>37</v>
      </c>
      <c r="B20" s="24" t="s">
        <v>39</v>
      </c>
      <c r="C20" s="24"/>
      <c r="D20" s="24"/>
      <c r="E20" s="25">
        <v>0</v>
      </c>
      <c r="F20" s="8"/>
      <c r="G20" s="9"/>
      <c r="H20" s="47"/>
      <c r="I20" s="26"/>
      <c r="J20" s="27"/>
    </row>
    <row r="21" spans="1:11" x14ac:dyDescent="0.25">
      <c r="A21" s="23" t="s">
        <v>38</v>
      </c>
      <c r="B21" s="24" t="s">
        <v>40</v>
      </c>
      <c r="C21" s="24"/>
      <c r="D21" s="24"/>
      <c r="E21" s="25">
        <v>0</v>
      </c>
      <c r="F21" s="8"/>
      <c r="G21" s="9"/>
      <c r="H21" s="47"/>
      <c r="I21" s="26"/>
      <c r="J21" s="27"/>
    </row>
    <row r="22" spans="1:11" x14ac:dyDescent="0.25">
      <c r="A22" s="23" t="s">
        <v>41</v>
      </c>
      <c r="B22" s="24" t="s">
        <v>42</v>
      </c>
      <c r="C22" s="24"/>
      <c r="D22" s="24"/>
      <c r="E22" s="25">
        <v>0</v>
      </c>
      <c r="F22" s="8"/>
      <c r="G22" s="9"/>
      <c r="H22" s="47"/>
      <c r="I22" s="26"/>
      <c r="J22" s="27"/>
    </row>
    <row r="23" spans="1:11" x14ac:dyDescent="0.25">
      <c r="A23" s="23" t="s">
        <v>43</v>
      </c>
      <c r="B23" s="24" t="s">
        <v>44</v>
      </c>
      <c r="C23" s="24"/>
      <c r="D23" s="24"/>
      <c r="E23" s="25">
        <v>0</v>
      </c>
      <c r="F23" s="8"/>
      <c r="G23" s="9"/>
      <c r="H23" s="47"/>
      <c r="I23" s="26"/>
      <c r="J23" s="27"/>
    </row>
    <row r="24" spans="1:11" x14ac:dyDescent="0.25">
      <c r="A24" s="23" t="s">
        <v>45</v>
      </c>
      <c r="B24" s="24" t="s">
        <v>46</v>
      </c>
      <c r="C24" s="24"/>
      <c r="D24" s="24"/>
      <c r="E24" s="25">
        <v>0</v>
      </c>
      <c r="F24" s="8"/>
      <c r="G24" s="9"/>
      <c r="H24" s="47"/>
      <c r="I24" s="26"/>
      <c r="J24" s="27"/>
    </row>
    <row r="25" spans="1:11" ht="13" thickBot="1" x14ac:dyDescent="0.3">
      <c r="A25" s="32" t="s">
        <v>48</v>
      </c>
      <c r="B25" s="33"/>
      <c r="C25" s="33"/>
      <c r="D25" s="33"/>
      <c r="E25" s="34">
        <v>1000</v>
      </c>
      <c r="F25" s="35">
        <v>1000</v>
      </c>
      <c r="G25" s="36"/>
      <c r="H25" s="48"/>
      <c r="I25" s="26"/>
      <c r="J25" s="37"/>
    </row>
    <row r="26" spans="1:11" x14ac:dyDescent="0.25">
      <c r="A26" s="38" t="s">
        <v>50</v>
      </c>
      <c r="B26" s="39"/>
      <c r="C26" s="39"/>
      <c r="D26" s="39"/>
      <c r="E26" s="40"/>
      <c r="F26" s="41">
        <f>SUM(F2:F25)</f>
        <v>14500</v>
      </c>
      <c r="G26" s="42">
        <f>SUM(G3:G25)</f>
        <v>3250</v>
      </c>
      <c r="H26" s="49"/>
      <c r="I26" s="51"/>
      <c r="J26" s="43"/>
    </row>
    <row r="27" spans="1:11" x14ac:dyDescent="0.25">
      <c r="A27" s="23" t="s">
        <v>52</v>
      </c>
      <c r="B27" s="24"/>
      <c r="C27" s="24"/>
      <c r="D27" s="24"/>
      <c r="E27" s="25"/>
      <c r="F27" s="8">
        <f>F26*2</f>
        <v>29000</v>
      </c>
      <c r="G27" s="4">
        <f>G26*2</f>
        <v>6500</v>
      </c>
      <c r="H27" s="47"/>
      <c r="I27" s="26"/>
      <c r="J27" s="44"/>
    </row>
    <row r="28" spans="1:11" x14ac:dyDescent="0.25">
      <c r="A28" s="23" t="s">
        <v>51</v>
      </c>
      <c r="B28" s="24"/>
      <c r="C28" s="24"/>
      <c r="D28" s="24"/>
      <c r="E28" s="25"/>
      <c r="F28" s="8">
        <v>3633.9</v>
      </c>
      <c r="G28" s="9"/>
      <c r="H28" s="47"/>
      <c r="I28" s="26"/>
      <c r="J28" s="44"/>
    </row>
    <row r="29" spans="1:11" ht="13" thickBot="1" x14ac:dyDescent="0.3">
      <c r="A29" s="32" t="s">
        <v>49</v>
      </c>
      <c r="B29" s="33"/>
      <c r="C29" s="33"/>
      <c r="D29" s="33"/>
      <c r="E29" s="34"/>
      <c r="F29" s="35">
        <f>SUM(F27:F28)</f>
        <v>32633.9</v>
      </c>
      <c r="G29" s="36"/>
      <c r="H29" s="48"/>
      <c r="I29" s="26"/>
      <c r="J29" s="44"/>
    </row>
    <row r="30" spans="1:11" ht="13" thickBot="1" x14ac:dyDescent="0.3">
      <c r="A30" s="23"/>
      <c r="B30" s="24"/>
      <c r="C30" s="24"/>
      <c r="D30" s="24"/>
      <c r="E30" s="25"/>
      <c r="F30" s="25"/>
      <c r="G30" s="9"/>
      <c r="H30" s="50"/>
      <c r="I30" s="26"/>
      <c r="J30" s="37"/>
    </row>
    <row r="31" spans="1:11" x14ac:dyDescent="0.25">
      <c r="A31" s="24"/>
      <c r="B31" s="24"/>
      <c r="C31" s="24"/>
      <c r="D31" s="24"/>
      <c r="E31" s="25"/>
      <c r="F31" s="25"/>
      <c r="G31" s="9"/>
      <c r="H31" s="50"/>
      <c r="I31" s="26"/>
    </row>
  </sheetData>
  <phoneticPr fontId="1" type="noConversion"/>
  <hyperlinks>
    <hyperlink ref="D10" r:id="rId1" display="mailto:LS24@umail.umd.edu"/>
    <hyperlink ref="D7" r:id="rId2" display="mailto:lkiely@Glue.umd.edu"/>
  </hyperlinks>
  <pageMargins left="0.75" right="0.75" top="1" bottom="1" header="0.5" footer="0.5"/>
  <pageSetup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List 2004</vt:lpstr>
      <vt:lpstr>Sheet2</vt:lpstr>
      <vt:lpstr>Sheet3</vt:lpstr>
    </vt:vector>
  </TitlesOfParts>
  <Company>BSOS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gradstu</dc:creator>
  <cp:lastModifiedBy>Carina Negreanu</cp:lastModifiedBy>
  <dcterms:created xsi:type="dcterms:W3CDTF">2002-12-02T16:01:48Z</dcterms:created>
  <dcterms:modified xsi:type="dcterms:W3CDTF">2020-01-27T11:40:33Z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-1839059107</vt:i4>
  </property>
  <property fmtid="{D5CDD505-2E9C-101B-9397-08002B2CF9AE}" pid="3" name="_EmailSubject">
    <vt:lpwstr>files</vt:lpwstr>
  </property>
  <property fmtid="{D5CDD505-2E9C-101B-9397-08002B2CF9AE}" pid="4" name="_AuthorEmail">
    <vt:lpwstr>trnagle@comcast.net</vt:lpwstr>
  </property>
  <property fmtid="{D5CDD505-2E9C-101B-9397-08002B2CF9AE}" pid="5" name="_AuthorEmailDisplayName">
    <vt:lpwstr>Tanya Nagle</vt:lpwstr>
  </property>
  <property fmtid="{D5CDD505-2E9C-101B-9397-08002B2CF9AE}" pid="6" name="_ReviewingToolsShownOnce">
    <vt:lpwstr/>
  </property>
</Properties>
</file>