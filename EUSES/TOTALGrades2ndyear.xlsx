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1CA9FCB-9F14-4754-BBF9-B251A5B467F0}" xr6:coauthVersionLast="45" xr6:coauthVersionMax="45" xr10:uidLastSave="{00000000-0000-0000-0000-000000000000}"/>
  <bookViews>
    <workbookView xWindow="380" yWindow="380" windowWidth="28800" windowHeight="15460" tabRatio="576"/>
  </bookViews>
  <sheets>
    <sheet name="grades" sheetId="1" r:id="rId1"/>
    <sheet name="Exercises" sheetId="2" r:id="rId2"/>
    <sheet name="Compositions" sheetId="9" r:id="rId3"/>
    <sheet name="Exams" sheetId="8" r:id="rId4"/>
    <sheet name="Attendance" sheetId="7" r:id="rId5"/>
    <sheet name="PrepParticipation" sheetId="6" r:id="rId6"/>
  </sheets>
  <definedNames>
    <definedName name="abscence">Attendance!$BD$1:$BE$14</definedName>
    <definedName name="Grades">grades!$Y$2:$Z$14</definedName>
    <definedName name="Letters">grades!$Y$2:$Z$3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7" l="1"/>
  <c r="BA4" i="7"/>
  <c r="BB4" i="7"/>
  <c r="B5" i="7"/>
  <c r="BA5" i="7"/>
  <c r="BB5" i="7" s="1"/>
  <c r="J7" i="1" s="1"/>
  <c r="K7" i="1" s="1"/>
  <c r="B6" i="7"/>
  <c r="BA6" i="7"/>
  <c r="BB6" i="7"/>
  <c r="B7" i="7"/>
  <c r="BA7" i="7"/>
  <c r="BB7" i="7"/>
  <c r="B8" i="7"/>
  <c r="BA8" i="7"/>
  <c r="BB8" i="7" s="1"/>
  <c r="J10" i="1" s="1"/>
  <c r="K10" i="1" s="1"/>
  <c r="B9" i="7"/>
  <c r="BA9" i="7"/>
  <c r="BB9" i="7"/>
  <c r="J11" i="1" s="1"/>
  <c r="K11" i="1" s="1"/>
  <c r="B10" i="7"/>
  <c r="BA10" i="7"/>
  <c r="BB10" i="7" s="1"/>
  <c r="J12" i="1" s="1"/>
  <c r="K12" i="1" s="1"/>
  <c r="B11" i="7"/>
  <c r="BA11" i="7"/>
  <c r="BB11" i="7" s="1"/>
  <c r="J13" i="1" s="1"/>
  <c r="K13" i="1" s="1"/>
  <c r="B12" i="7"/>
  <c r="BA12" i="7"/>
  <c r="BB12" i="7"/>
  <c r="B13" i="7"/>
  <c r="BA13" i="7"/>
  <c r="BB13" i="7" s="1"/>
  <c r="J15" i="1" s="1"/>
  <c r="K15" i="1" s="1"/>
  <c r="B14" i="7"/>
  <c r="BA14" i="7"/>
  <c r="BB14" i="7"/>
  <c r="J16" i="1" s="1"/>
  <c r="K16" i="1" s="1"/>
  <c r="B15" i="7"/>
  <c r="BA15" i="7"/>
  <c r="BB15" i="7"/>
  <c r="J17" i="1" s="1"/>
  <c r="K17" i="1" s="1"/>
  <c r="B16" i="7"/>
  <c r="BA16" i="7"/>
  <c r="BB16" i="7" s="1"/>
  <c r="J18" i="1" s="1"/>
  <c r="K18" i="1" s="1"/>
  <c r="B17" i="7"/>
  <c r="BA17" i="7"/>
  <c r="BB17" i="7" s="1"/>
  <c r="J19" i="1" s="1"/>
  <c r="K19" i="1" s="1"/>
  <c r="B18" i="7"/>
  <c r="BA18" i="7"/>
  <c r="BB18" i="7"/>
  <c r="B19" i="7"/>
  <c r="BA19" i="7"/>
  <c r="BB19" i="7" s="1"/>
  <c r="J21" i="1" s="1"/>
  <c r="K21" i="1" s="1"/>
  <c r="B20" i="7"/>
  <c r="BA20" i="7"/>
  <c r="BB20" i="7"/>
  <c r="B21" i="7"/>
  <c r="BA21" i="7"/>
  <c r="BB21" i="7"/>
  <c r="J23" i="1" s="1"/>
  <c r="K23" i="1" s="1"/>
  <c r="B22" i="7"/>
  <c r="BA22" i="7"/>
  <c r="BB22" i="7" s="1"/>
  <c r="J24" i="1" s="1"/>
  <c r="K24" i="1" s="1"/>
  <c r="B23" i="7"/>
  <c r="BA23" i="7"/>
  <c r="BB23" i="7"/>
  <c r="J25" i="1" s="1"/>
  <c r="K25" i="1" s="1"/>
  <c r="B24" i="7"/>
  <c r="BA24" i="7"/>
  <c r="BB24" i="7"/>
  <c r="B25" i="7"/>
  <c r="BA25" i="7"/>
  <c r="BB25" i="7" s="1"/>
  <c r="J27" i="1" s="1"/>
  <c r="K27" i="1" s="1"/>
  <c r="B26" i="7"/>
  <c r="BA26" i="7"/>
  <c r="BB26" i="7"/>
  <c r="B27" i="7"/>
  <c r="BA27" i="7"/>
  <c r="BB27" i="7"/>
  <c r="B28" i="7"/>
  <c r="BA28" i="7"/>
  <c r="BB28" i="7" s="1"/>
  <c r="J30" i="1" s="1"/>
  <c r="K30" i="1" s="1"/>
  <c r="B29" i="7"/>
  <c r="BA29" i="7"/>
  <c r="BB29" i="7"/>
  <c r="J31" i="1" s="1"/>
  <c r="K31" i="1" s="1"/>
  <c r="B30" i="7"/>
  <c r="BA30" i="7"/>
  <c r="BB30" i="7" s="1"/>
  <c r="J32" i="1" s="1"/>
  <c r="K32" i="1" s="1"/>
  <c r="B31" i="7"/>
  <c r="BA31" i="7"/>
  <c r="BB31" i="7" s="1"/>
  <c r="J33" i="1" s="1"/>
  <c r="K33" i="1" s="1"/>
  <c r="B32" i="7"/>
  <c r="BA32" i="7"/>
  <c r="BB32" i="7"/>
  <c r="B33" i="7"/>
  <c r="BA33" i="7"/>
  <c r="BB33" i="7" s="1"/>
  <c r="J35" i="1" s="1"/>
  <c r="K35" i="1" s="1"/>
  <c r="B4" i="9"/>
  <c r="J4" i="9"/>
  <c r="P4" i="9"/>
  <c r="R4" i="9"/>
  <c r="B5" i="9"/>
  <c r="J5" i="9"/>
  <c r="R5" i="9" s="1"/>
  <c r="D7" i="1" s="1"/>
  <c r="E7" i="1" s="1"/>
  <c r="P5" i="9"/>
  <c r="B6" i="9"/>
  <c r="J6" i="9"/>
  <c r="R6" i="9" s="1"/>
  <c r="D8" i="1" s="1"/>
  <c r="E8" i="1" s="1"/>
  <c r="P6" i="9"/>
  <c r="B7" i="9"/>
  <c r="J7" i="9"/>
  <c r="R7" i="9" s="1"/>
  <c r="D9" i="1" s="1"/>
  <c r="E9" i="1" s="1"/>
  <c r="P7" i="9"/>
  <c r="B8" i="9"/>
  <c r="J8" i="9"/>
  <c r="P8" i="9"/>
  <c r="R8" i="9" s="1"/>
  <c r="D10" i="1" s="1"/>
  <c r="E10" i="1" s="1"/>
  <c r="B9" i="9"/>
  <c r="J9" i="9"/>
  <c r="P9" i="9"/>
  <c r="R9" i="9"/>
  <c r="B10" i="9"/>
  <c r="J10" i="9"/>
  <c r="R10" i="9" s="1"/>
  <c r="D12" i="1" s="1"/>
  <c r="E12" i="1" s="1"/>
  <c r="P10" i="9"/>
  <c r="B11" i="9"/>
  <c r="J11" i="9"/>
  <c r="R11" i="9" s="1"/>
  <c r="D13" i="1" s="1"/>
  <c r="E13" i="1" s="1"/>
  <c r="P11" i="9"/>
  <c r="B12" i="9"/>
  <c r="J12" i="9"/>
  <c r="R12" i="9" s="1"/>
  <c r="D14" i="1" s="1"/>
  <c r="E14" i="1" s="1"/>
  <c r="P12" i="9"/>
  <c r="B13" i="9"/>
  <c r="J13" i="9"/>
  <c r="R13" i="9" s="1"/>
  <c r="D15" i="1" s="1"/>
  <c r="E15" i="1" s="1"/>
  <c r="P13" i="9"/>
  <c r="B14" i="9"/>
  <c r="J14" i="9"/>
  <c r="P14" i="9"/>
  <c r="R14" i="9"/>
  <c r="B15" i="9"/>
  <c r="J15" i="9"/>
  <c r="R15" i="9" s="1"/>
  <c r="D17" i="1" s="1"/>
  <c r="E17" i="1" s="1"/>
  <c r="P15" i="9"/>
  <c r="B16" i="9"/>
  <c r="J16" i="9"/>
  <c r="R16" i="9" s="1"/>
  <c r="D18" i="1" s="1"/>
  <c r="E18" i="1" s="1"/>
  <c r="P16" i="9"/>
  <c r="B17" i="9"/>
  <c r="J17" i="9"/>
  <c r="R17" i="9" s="1"/>
  <c r="D19" i="1" s="1"/>
  <c r="E19" i="1" s="1"/>
  <c r="P17" i="9"/>
  <c r="B18" i="9"/>
  <c r="J18" i="9"/>
  <c r="R18" i="9" s="1"/>
  <c r="D20" i="1" s="1"/>
  <c r="E20" i="1" s="1"/>
  <c r="P18" i="9"/>
  <c r="B19" i="9"/>
  <c r="J19" i="9"/>
  <c r="P19" i="9"/>
  <c r="R19" i="9"/>
  <c r="B20" i="9"/>
  <c r="J20" i="9"/>
  <c r="R20" i="9" s="1"/>
  <c r="D22" i="1" s="1"/>
  <c r="E22" i="1" s="1"/>
  <c r="P20" i="9"/>
  <c r="B21" i="9"/>
  <c r="J21" i="9"/>
  <c r="R21" i="9" s="1"/>
  <c r="D23" i="1" s="1"/>
  <c r="E23" i="1" s="1"/>
  <c r="P21" i="9"/>
  <c r="B22" i="9"/>
  <c r="J22" i="9"/>
  <c r="R22" i="9" s="1"/>
  <c r="D24" i="1" s="1"/>
  <c r="E24" i="1" s="1"/>
  <c r="P22" i="9"/>
  <c r="B23" i="9"/>
  <c r="J23" i="9"/>
  <c r="R23" i="9" s="1"/>
  <c r="D25" i="1" s="1"/>
  <c r="E25" i="1" s="1"/>
  <c r="P23" i="9"/>
  <c r="B24" i="9"/>
  <c r="J24" i="9"/>
  <c r="P24" i="9"/>
  <c r="R24" i="9"/>
  <c r="B25" i="9"/>
  <c r="J25" i="9"/>
  <c r="R25" i="9" s="1"/>
  <c r="D27" i="1" s="1"/>
  <c r="E27" i="1" s="1"/>
  <c r="P25" i="9"/>
  <c r="B26" i="9"/>
  <c r="J26" i="9"/>
  <c r="R26" i="9" s="1"/>
  <c r="D28" i="1" s="1"/>
  <c r="E28" i="1" s="1"/>
  <c r="P26" i="9"/>
  <c r="B27" i="9"/>
  <c r="J27" i="9"/>
  <c r="R27" i="9" s="1"/>
  <c r="D29" i="1" s="1"/>
  <c r="E29" i="1" s="1"/>
  <c r="P27" i="9"/>
  <c r="B28" i="9"/>
  <c r="J28" i="9"/>
  <c r="R28" i="9" s="1"/>
  <c r="D30" i="1" s="1"/>
  <c r="E30" i="1" s="1"/>
  <c r="P28" i="9"/>
  <c r="B29" i="9"/>
  <c r="J29" i="9"/>
  <c r="P29" i="9"/>
  <c r="R29" i="9"/>
  <c r="B30" i="9"/>
  <c r="J30" i="9"/>
  <c r="R30" i="9" s="1"/>
  <c r="D32" i="1" s="1"/>
  <c r="E32" i="1" s="1"/>
  <c r="P30" i="9"/>
  <c r="B31" i="9"/>
  <c r="J31" i="9"/>
  <c r="R31" i="9" s="1"/>
  <c r="D33" i="1" s="1"/>
  <c r="E33" i="1" s="1"/>
  <c r="P31" i="9"/>
  <c r="B32" i="9"/>
  <c r="J32" i="9"/>
  <c r="R32" i="9" s="1"/>
  <c r="D34" i="1" s="1"/>
  <c r="E34" i="1" s="1"/>
  <c r="P32" i="9"/>
  <c r="B33" i="9"/>
  <c r="J33" i="9"/>
  <c r="R33" i="9" s="1"/>
  <c r="D35" i="1" s="1"/>
  <c r="E35" i="1" s="1"/>
  <c r="P33" i="9"/>
  <c r="A6" i="8"/>
  <c r="B7" i="8"/>
  <c r="G7" i="8"/>
  <c r="F6" i="1" s="1"/>
  <c r="G6" i="1" s="1"/>
  <c r="B8" i="8"/>
  <c r="G8" i="8"/>
  <c r="F7" i="1" s="1"/>
  <c r="G7" i="1" s="1"/>
  <c r="B9" i="8"/>
  <c r="G9" i="8"/>
  <c r="F8" i="1" s="1"/>
  <c r="G8" i="1" s="1"/>
  <c r="B10" i="8"/>
  <c r="G10" i="8"/>
  <c r="F9" i="1" s="1"/>
  <c r="G9" i="1" s="1"/>
  <c r="B11" i="8"/>
  <c r="G11" i="8"/>
  <c r="B12" i="8"/>
  <c r="G12" i="8"/>
  <c r="B13" i="8"/>
  <c r="G13" i="8"/>
  <c r="B14" i="8"/>
  <c r="G14" i="8"/>
  <c r="B15" i="8"/>
  <c r="G15" i="8"/>
  <c r="F14" i="1" s="1"/>
  <c r="G14" i="1" s="1"/>
  <c r="B16" i="8"/>
  <c r="G16" i="8"/>
  <c r="F15" i="1" s="1"/>
  <c r="G15" i="1" s="1"/>
  <c r="B17" i="8"/>
  <c r="G17" i="8"/>
  <c r="F16" i="1" s="1"/>
  <c r="G16" i="1" s="1"/>
  <c r="B18" i="8"/>
  <c r="G18" i="8"/>
  <c r="F17" i="1" s="1"/>
  <c r="G17" i="1" s="1"/>
  <c r="B19" i="8"/>
  <c r="G19" i="8"/>
  <c r="F18" i="1" s="1"/>
  <c r="G18" i="1" s="1"/>
  <c r="B20" i="8"/>
  <c r="G20" i="8"/>
  <c r="F19" i="1" s="1"/>
  <c r="G19" i="1" s="1"/>
  <c r="B21" i="8"/>
  <c r="G21" i="8"/>
  <c r="B22" i="8"/>
  <c r="G22" i="8"/>
  <c r="B23" i="8"/>
  <c r="G23" i="8"/>
  <c r="B24" i="8"/>
  <c r="G24" i="8"/>
  <c r="B25" i="8"/>
  <c r="G25" i="8"/>
  <c r="B26" i="8"/>
  <c r="G26" i="8"/>
  <c r="F25" i="1" s="1"/>
  <c r="G25" i="1" s="1"/>
  <c r="B27" i="8"/>
  <c r="G27" i="8"/>
  <c r="F26" i="1" s="1"/>
  <c r="G26" i="1" s="1"/>
  <c r="B28" i="8"/>
  <c r="G28" i="8"/>
  <c r="F27" i="1" s="1"/>
  <c r="G27" i="1" s="1"/>
  <c r="B29" i="8"/>
  <c r="G29" i="8"/>
  <c r="F28" i="1" s="1"/>
  <c r="G28" i="1" s="1"/>
  <c r="B30" i="8"/>
  <c r="G30" i="8"/>
  <c r="F29" i="1" s="1"/>
  <c r="G29" i="1" s="1"/>
  <c r="B31" i="8"/>
  <c r="G31" i="8"/>
  <c r="B32" i="8"/>
  <c r="G32" i="8"/>
  <c r="B33" i="8"/>
  <c r="G33" i="8"/>
  <c r="B34" i="8"/>
  <c r="G34" i="8"/>
  <c r="B35" i="8"/>
  <c r="G35" i="8"/>
  <c r="B36" i="8"/>
  <c r="G36" i="8"/>
  <c r="A6" i="2"/>
  <c r="B7" i="2"/>
  <c r="AB7" i="2"/>
  <c r="B6" i="1" s="1"/>
  <c r="C6" i="1" s="1"/>
  <c r="L6" i="1" s="1"/>
  <c r="B8" i="2"/>
  <c r="AB8" i="2"/>
  <c r="B7" i="1" s="1"/>
  <c r="C7" i="1" s="1"/>
  <c r="L7" i="1" s="1"/>
  <c r="B9" i="2"/>
  <c r="AB9" i="2"/>
  <c r="B8" i="1" s="1"/>
  <c r="C8" i="1" s="1"/>
  <c r="L8" i="1" s="1"/>
  <c r="B10" i="2"/>
  <c r="AB10" i="2"/>
  <c r="B9" i="1" s="1"/>
  <c r="C9" i="1" s="1"/>
  <c r="B11" i="2"/>
  <c r="AB11" i="2"/>
  <c r="B12" i="2"/>
  <c r="AB12" i="2"/>
  <c r="B13" i="2"/>
  <c r="AB13" i="2"/>
  <c r="B14" i="2"/>
  <c r="AB14" i="2"/>
  <c r="B15" i="2"/>
  <c r="AB15" i="2"/>
  <c r="B16" i="2"/>
  <c r="AB16" i="2"/>
  <c r="B17" i="2"/>
  <c r="AB17" i="2"/>
  <c r="B16" i="1" s="1"/>
  <c r="C16" i="1" s="1"/>
  <c r="L16" i="1" s="1"/>
  <c r="B18" i="2"/>
  <c r="AB18" i="2"/>
  <c r="B17" i="1" s="1"/>
  <c r="C17" i="1" s="1"/>
  <c r="L17" i="1" s="1"/>
  <c r="B19" i="2"/>
  <c r="AB19" i="2"/>
  <c r="B18" i="1" s="1"/>
  <c r="C18" i="1" s="1"/>
  <c r="L18" i="1" s="1"/>
  <c r="B20" i="2"/>
  <c r="AB20" i="2"/>
  <c r="B19" i="1" s="1"/>
  <c r="C19" i="1" s="1"/>
  <c r="B21" i="2"/>
  <c r="AB21" i="2"/>
  <c r="B22" i="2"/>
  <c r="AB22" i="2"/>
  <c r="B23" i="2"/>
  <c r="AB23" i="2"/>
  <c r="B24" i="2"/>
  <c r="AB24" i="2"/>
  <c r="B25" i="2"/>
  <c r="AB25" i="2"/>
  <c r="B26" i="2"/>
  <c r="AB26" i="2"/>
  <c r="B27" i="2"/>
  <c r="AB27" i="2"/>
  <c r="B26" i="1" s="1"/>
  <c r="C26" i="1" s="1"/>
  <c r="B28" i="2"/>
  <c r="AB28" i="2"/>
  <c r="B27" i="1" s="1"/>
  <c r="C27" i="1" s="1"/>
  <c r="L27" i="1" s="1"/>
  <c r="B29" i="2"/>
  <c r="AB29" i="2"/>
  <c r="B28" i="1" s="1"/>
  <c r="C28" i="1" s="1"/>
  <c r="L28" i="1" s="1"/>
  <c r="B30" i="2"/>
  <c r="AB30" i="2"/>
  <c r="B29" i="1" s="1"/>
  <c r="C29" i="1" s="1"/>
  <c r="B31" i="2"/>
  <c r="AB31" i="2"/>
  <c r="B32" i="2"/>
  <c r="AB32" i="2"/>
  <c r="B33" i="2"/>
  <c r="AB33" i="2"/>
  <c r="B34" i="2"/>
  <c r="AB34" i="2"/>
  <c r="B35" i="2"/>
  <c r="AB35" i="2"/>
  <c r="B36" i="2"/>
  <c r="AB36" i="2"/>
  <c r="D6" i="1"/>
  <c r="E6" i="1"/>
  <c r="J6" i="1"/>
  <c r="K6" i="1"/>
  <c r="N6" i="1"/>
  <c r="H7" i="1"/>
  <c r="I7" i="1"/>
  <c r="N7" i="1"/>
  <c r="J8" i="1"/>
  <c r="K8" i="1"/>
  <c r="N8" i="1"/>
  <c r="J9" i="1"/>
  <c r="K9" i="1" s="1"/>
  <c r="N9" i="1"/>
  <c r="B10" i="1"/>
  <c r="C10" i="1"/>
  <c r="F10" i="1"/>
  <c r="G10" i="1" s="1"/>
  <c r="N10" i="1"/>
  <c r="B11" i="1"/>
  <c r="C11" i="1"/>
  <c r="D11" i="1"/>
  <c r="E11" i="1"/>
  <c r="F11" i="1"/>
  <c r="G11" i="1"/>
  <c r="H11" i="1"/>
  <c r="I11" i="1"/>
  <c r="N11" i="1"/>
  <c r="B12" i="1"/>
  <c r="C12" i="1" s="1"/>
  <c r="F12" i="1"/>
  <c r="G12" i="1"/>
  <c r="H12" i="1"/>
  <c r="I12" i="1"/>
  <c r="N12" i="1"/>
  <c r="B13" i="1"/>
  <c r="C13" i="1" s="1"/>
  <c r="F13" i="1"/>
  <c r="G13" i="1" s="1"/>
  <c r="N13" i="1"/>
  <c r="B14" i="1"/>
  <c r="C14" i="1" s="1"/>
  <c r="J14" i="1"/>
  <c r="K14" i="1" s="1"/>
  <c r="N14" i="1"/>
  <c r="B15" i="1"/>
  <c r="C15" i="1"/>
  <c r="N15" i="1"/>
  <c r="D16" i="1"/>
  <c r="E16" i="1"/>
  <c r="N16" i="1"/>
  <c r="H17" i="1"/>
  <c r="I17" i="1"/>
  <c r="N17" i="1"/>
  <c r="N18" i="1"/>
  <c r="N19" i="1"/>
  <c r="B20" i="1"/>
  <c r="C20" i="1"/>
  <c r="F20" i="1"/>
  <c r="G20" i="1" s="1"/>
  <c r="J20" i="1"/>
  <c r="K20" i="1" s="1"/>
  <c r="N20" i="1"/>
  <c r="B21" i="1"/>
  <c r="C21" i="1"/>
  <c r="D21" i="1"/>
  <c r="E21" i="1"/>
  <c r="F21" i="1"/>
  <c r="G21" i="1"/>
  <c r="H21" i="1"/>
  <c r="I21" i="1"/>
  <c r="N21" i="1"/>
  <c r="B22" i="1"/>
  <c r="C22" i="1" s="1"/>
  <c r="L22" i="1" s="1"/>
  <c r="F22" i="1"/>
  <c r="G22" i="1"/>
  <c r="H22" i="1"/>
  <c r="I22" i="1"/>
  <c r="J22" i="1"/>
  <c r="K22" i="1"/>
  <c r="N22" i="1"/>
  <c r="B23" i="1"/>
  <c r="C23" i="1" s="1"/>
  <c r="F23" i="1"/>
  <c r="G23" i="1" s="1"/>
  <c r="N23" i="1"/>
  <c r="B24" i="1"/>
  <c r="C24" i="1" s="1"/>
  <c r="F24" i="1"/>
  <c r="G24" i="1" s="1"/>
  <c r="N24" i="1"/>
  <c r="B25" i="1"/>
  <c r="C25" i="1"/>
  <c r="N25" i="1"/>
  <c r="D26" i="1"/>
  <c r="E26" i="1"/>
  <c r="J26" i="1"/>
  <c r="K26" i="1" s="1"/>
  <c r="N26" i="1"/>
  <c r="H27" i="1"/>
  <c r="I27" i="1"/>
  <c r="N27" i="1"/>
  <c r="J28" i="1"/>
  <c r="K28" i="1"/>
  <c r="N28" i="1"/>
  <c r="H29" i="1"/>
  <c r="I29" i="1" s="1"/>
  <c r="J29" i="1"/>
  <c r="K29" i="1" s="1"/>
  <c r="N29" i="1"/>
  <c r="B30" i="1"/>
  <c r="C30" i="1"/>
  <c r="F30" i="1"/>
  <c r="G30" i="1" s="1"/>
  <c r="N30" i="1"/>
  <c r="B31" i="1"/>
  <c r="C31" i="1"/>
  <c r="L31" i="1" s="1"/>
  <c r="D31" i="1"/>
  <c r="E31" i="1"/>
  <c r="F31" i="1"/>
  <c r="G31" i="1"/>
  <c r="H31" i="1"/>
  <c r="I31" i="1"/>
  <c r="N31" i="1"/>
  <c r="B32" i="1"/>
  <c r="C32" i="1" s="1"/>
  <c r="F32" i="1"/>
  <c r="G32" i="1"/>
  <c r="H32" i="1"/>
  <c r="I32" i="1"/>
  <c r="N32" i="1"/>
  <c r="B33" i="1"/>
  <c r="C33" i="1" s="1"/>
  <c r="F33" i="1"/>
  <c r="G33" i="1" s="1"/>
  <c r="N33" i="1"/>
  <c r="B34" i="1"/>
  <c r="C34" i="1"/>
  <c r="F34" i="1"/>
  <c r="G34" i="1" s="1"/>
  <c r="J34" i="1"/>
  <c r="K34" i="1" s="1"/>
  <c r="N34" i="1"/>
  <c r="B35" i="1"/>
  <c r="C35" i="1"/>
  <c r="F35" i="1"/>
  <c r="G35" i="1"/>
  <c r="N35" i="1"/>
  <c r="A6" i="6"/>
  <c r="B7" i="6"/>
  <c r="M7" i="6"/>
  <c r="H6" i="1" s="1"/>
  <c r="I6" i="1" s="1"/>
  <c r="B8" i="6"/>
  <c r="M8" i="6"/>
  <c r="B9" i="6"/>
  <c r="M9" i="6"/>
  <c r="H8" i="1" s="1"/>
  <c r="I8" i="1" s="1"/>
  <c r="B10" i="6"/>
  <c r="M10" i="6"/>
  <c r="H9" i="1" s="1"/>
  <c r="I9" i="1" s="1"/>
  <c r="B11" i="6"/>
  <c r="M11" i="6"/>
  <c r="H10" i="1" s="1"/>
  <c r="I10" i="1" s="1"/>
  <c r="B12" i="6"/>
  <c r="M12" i="6"/>
  <c r="B13" i="6"/>
  <c r="M13" i="6"/>
  <c r="B14" i="6"/>
  <c r="M14" i="6"/>
  <c r="H13" i="1" s="1"/>
  <c r="I13" i="1" s="1"/>
  <c r="B15" i="6"/>
  <c r="M15" i="6"/>
  <c r="H14" i="1" s="1"/>
  <c r="I14" i="1" s="1"/>
  <c r="B16" i="6"/>
  <c r="M16" i="6"/>
  <c r="H15" i="1" s="1"/>
  <c r="I15" i="1" s="1"/>
  <c r="B17" i="6"/>
  <c r="M17" i="6"/>
  <c r="H16" i="1" s="1"/>
  <c r="I16" i="1" s="1"/>
  <c r="B18" i="6"/>
  <c r="M18" i="6"/>
  <c r="B19" i="6"/>
  <c r="M19" i="6"/>
  <c r="H18" i="1" s="1"/>
  <c r="I18" i="1" s="1"/>
  <c r="B20" i="6"/>
  <c r="M20" i="6"/>
  <c r="H19" i="1" s="1"/>
  <c r="I19" i="1" s="1"/>
  <c r="B21" i="6"/>
  <c r="M21" i="6"/>
  <c r="H20" i="1" s="1"/>
  <c r="I20" i="1" s="1"/>
  <c r="B22" i="6"/>
  <c r="M22" i="6"/>
  <c r="B23" i="6"/>
  <c r="M23" i="6"/>
  <c r="B24" i="6"/>
  <c r="M24" i="6"/>
  <c r="H23" i="1" s="1"/>
  <c r="I23" i="1" s="1"/>
  <c r="B25" i="6"/>
  <c r="M25" i="6"/>
  <c r="H24" i="1" s="1"/>
  <c r="I24" i="1" s="1"/>
  <c r="B26" i="6"/>
  <c r="M26" i="6"/>
  <c r="H25" i="1" s="1"/>
  <c r="I25" i="1" s="1"/>
  <c r="B27" i="6"/>
  <c r="M27" i="6"/>
  <c r="H26" i="1" s="1"/>
  <c r="I26" i="1" s="1"/>
  <c r="B28" i="6"/>
  <c r="M28" i="6"/>
  <c r="B29" i="6"/>
  <c r="M29" i="6"/>
  <c r="H28" i="1" s="1"/>
  <c r="I28" i="1" s="1"/>
  <c r="B30" i="6"/>
  <c r="M30" i="6"/>
  <c r="B31" i="6"/>
  <c r="M31" i="6"/>
  <c r="H30" i="1" s="1"/>
  <c r="I30" i="1" s="1"/>
  <c r="B32" i="6"/>
  <c r="M32" i="6"/>
  <c r="B33" i="6"/>
  <c r="M33" i="6"/>
  <c r="B34" i="6"/>
  <c r="M34" i="6"/>
  <c r="H33" i="1" s="1"/>
  <c r="I33" i="1" s="1"/>
  <c r="B35" i="6"/>
  <c r="M35" i="6"/>
  <c r="H34" i="1" s="1"/>
  <c r="I34" i="1" s="1"/>
  <c r="B36" i="6"/>
  <c r="M36" i="6"/>
  <c r="H35" i="1" s="1"/>
  <c r="I35" i="1" s="1"/>
  <c r="L35" i="1" l="1"/>
  <c r="L15" i="1"/>
  <c r="P8" i="1"/>
  <c r="Q8" i="1" s="1"/>
  <c r="S8" i="1"/>
  <c r="T8" i="1" s="1"/>
  <c r="P18" i="1"/>
  <c r="Q18" i="1" s="1"/>
  <c r="S18" i="1"/>
  <c r="T18" i="1" s="1"/>
  <c r="P22" i="1"/>
  <c r="Q22" i="1" s="1"/>
  <c r="S22" i="1"/>
  <c r="T22" i="1" s="1"/>
  <c r="L26" i="1"/>
  <c r="P16" i="1"/>
  <c r="Q16" i="1" s="1"/>
  <c r="S16" i="1"/>
  <c r="T16" i="1" s="1"/>
  <c r="L11" i="1"/>
  <c r="L21" i="1"/>
  <c r="L14" i="1"/>
  <c r="L25" i="1"/>
  <c r="L30" i="1"/>
  <c r="L24" i="1"/>
  <c r="L10" i="1"/>
  <c r="P6" i="1"/>
  <c r="Q6" i="1" s="1"/>
  <c r="S6" i="1"/>
  <c r="T6" i="1" s="1"/>
  <c r="L33" i="1"/>
  <c r="P27" i="1"/>
  <c r="Q27" i="1" s="1"/>
  <c r="S27" i="1"/>
  <c r="T27" i="1" s="1"/>
  <c r="L13" i="1"/>
  <c r="P7" i="1"/>
  <c r="Q7" i="1" s="1"/>
  <c r="S7" i="1"/>
  <c r="T7" i="1" s="1"/>
  <c r="S31" i="1"/>
  <c r="T31" i="1" s="1"/>
  <c r="P31" i="1"/>
  <c r="Q31" i="1" s="1"/>
  <c r="L23" i="1"/>
  <c r="L20" i="1"/>
  <c r="L29" i="1"/>
  <c r="L19" i="1"/>
  <c r="L9" i="1"/>
  <c r="P28" i="1"/>
  <c r="Q28" i="1" s="1"/>
  <c r="S28" i="1"/>
  <c r="T28" i="1" s="1"/>
  <c r="P17" i="1"/>
  <c r="Q17" i="1" s="1"/>
  <c r="S17" i="1"/>
  <c r="T17" i="1" s="1"/>
  <c r="L34" i="1"/>
  <c r="L32" i="1"/>
  <c r="L12" i="1"/>
  <c r="P10" i="1" l="1"/>
  <c r="Q10" i="1" s="1"/>
  <c r="S10" i="1"/>
  <c r="T10" i="1" s="1"/>
  <c r="P25" i="1"/>
  <c r="Q25" i="1" s="1"/>
  <c r="S25" i="1"/>
  <c r="T25" i="1" s="1"/>
  <c r="S19" i="1"/>
  <c r="T19" i="1" s="1"/>
  <c r="P19" i="1"/>
  <c r="Q19" i="1" s="1"/>
  <c r="P32" i="1"/>
  <c r="Q32" i="1" s="1"/>
  <c r="S32" i="1"/>
  <c r="T32" i="1" s="1"/>
  <c r="P14" i="1"/>
  <c r="Q14" i="1" s="1"/>
  <c r="S14" i="1"/>
  <c r="T14" i="1" s="1"/>
  <c r="P11" i="1"/>
  <c r="Q11" i="1" s="1"/>
  <c r="S11" i="1"/>
  <c r="T11" i="1" s="1"/>
  <c r="P20" i="1"/>
  <c r="Q20" i="1" s="1"/>
  <c r="S20" i="1"/>
  <c r="T20" i="1" s="1"/>
  <c r="P12" i="1"/>
  <c r="Q12" i="1" s="1"/>
  <c r="S12" i="1"/>
  <c r="T12" i="1" s="1"/>
  <c r="P24" i="1"/>
  <c r="Q24" i="1" s="1"/>
  <c r="S24" i="1"/>
  <c r="T24" i="1" s="1"/>
  <c r="P21" i="1"/>
  <c r="Q21" i="1" s="1"/>
  <c r="S21" i="1"/>
  <c r="T21" i="1" s="1"/>
  <c r="S29" i="1"/>
  <c r="T29" i="1" s="1"/>
  <c r="P29" i="1"/>
  <c r="Q29" i="1" s="1"/>
  <c r="P23" i="1"/>
  <c r="Q23" i="1" s="1"/>
  <c r="S23" i="1"/>
  <c r="T23" i="1" s="1"/>
  <c r="P13" i="1"/>
  <c r="Q13" i="1" s="1"/>
  <c r="S13" i="1"/>
  <c r="T13" i="1" s="1"/>
  <c r="P15" i="1"/>
  <c r="Q15" i="1" s="1"/>
  <c r="S15" i="1"/>
  <c r="T15" i="1" s="1"/>
  <c r="P34" i="1"/>
  <c r="Q34" i="1" s="1"/>
  <c r="S34" i="1"/>
  <c r="T34" i="1" s="1"/>
  <c r="P30" i="1"/>
  <c r="Q30" i="1" s="1"/>
  <c r="S30" i="1"/>
  <c r="T30" i="1" s="1"/>
  <c r="S9" i="1"/>
  <c r="T9" i="1" s="1"/>
  <c r="P9" i="1"/>
  <c r="Q9" i="1" s="1"/>
  <c r="P26" i="1"/>
  <c r="Q26" i="1" s="1"/>
  <c r="S26" i="1"/>
  <c r="T26" i="1" s="1"/>
  <c r="P33" i="1"/>
  <c r="Q33" i="1" s="1"/>
  <c r="S33" i="1"/>
  <c r="T33" i="1" s="1"/>
  <c r="P35" i="1"/>
  <c r="Q35" i="1" s="1"/>
  <c r="S35" i="1"/>
  <c r="T35" i="1" s="1"/>
</calcChain>
</file>

<file path=xl/sharedStrings.xml><?xml version="1.0" encoding="utf-8"?>
<sst xmlns="http://schemas.openxmlformats.org/spreadsheetml/2006/main" count="75" uniqueCount="61">
  <si>
    <t>Instructor's Name:</t>
  </si>
  <si>
    <t>French</t>
  </si>
  <si>
    <t>Section</t>
  </si>
  <si>
    <t>Quarter</t>
  </si>
  <si>
    <t>Year</t>
  </si>
  <si>
    <t>Excercises/Labs</t>
  </si>
  <si>
    <t>Composi-tions</t>
  </si>
  <si>
    <t>Exams</t>
  </si>
  <si>
    <t>Participa-tion</t>
  </si>
  <si>
    <t>Attendance</t>
  </si>
  <si>
    <t>GPA Subtotal</t>
  </si>
  <si>
    <t>Final Exam</t>
  </si>
  <si>
    <t>Course Grade</t>
  </si>
  <si>
    <t>Student</t>
  </si>
  <si>
    <t>Grade</t>
  </si>
  <si>
    <t>GRADE RECORDING SHEET A - EXERCISES &amp; LABS</t>
  </si>
  <si>
    <t>INSTRUCTOR:</t>
  </si>
  <si>
    <t>FRENCH</t>
  </si>
  <si>
    <t>Section:</t>
  </si>
  <si>
    <t>Quarter:</t>
  </si>
  <si>
    <t xml:space="preserve">Year          </t>
  </si>
  <si>
    <t xml:space="preserve">  Student’s Name</t>
  </si>
  <si>
    <t xml:space="preserve">  Lesson Number</t>
  </si>
  <si>
    <t>Qtr</t>
  </si>
  <si>
    <t>Avg</t>
  </si>
  <si>
    <t>letter grades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</si>
  <si>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</si>
  <si>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</si>
  <si>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</si>
  <si>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</si>
  <si>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</si>
  <si>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</si>
  <si>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</si>
  <si>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</si>
  <si>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</si>
  <si>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</si>
  <si>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</si>
  <si>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</si>
  <si>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F</t>
  </si>
  <si>
    <t>GRADE RECORDING SHEET B - EXAMS</t>
  </si>
  <si>
    <t>total</t>
  </si>
  <si>
    <t>score</t>
  </si>
  <si>
    <t>GRADE RECORDING SHEET B - Preparation / Participation</t>
  </si>
  <si>
    <t>Participation 10%</t>
  </si>
  <si>
    <t>ATTENDANCE RECORDING SHEET - enter a 1 for every absence</t>
  </si>
  <si>
    <t>student</t>
  </si>
  <si>
    <t>FINAL GRADE COMPUTATION SHEET: FRENCH 21, 22, 23</t>
  </si>
  <si>
    <t>Exercises &amp; Labs  15%</t>
  </si>
  <si>
    <t>EXAMS 30%</t>
  </si>
  <si>
    <t>(22 only)</t>
  </si>
  <si>
    <t>Running Grade         (before Final)</t>
  </si>
  <si>
    <t>Total</t>
  </si>
  <si>
    <t>Subtotal</t>
  </si>
  <si>
    <t>Take Home Compositions  10%</t>
  </si>
  <si>
    <t>1R</t>
  </si>
  <si>
    <t>2R</t>
  </si>
  <si>
    <t>3R</t>
  </si>
  <si>
    <t>Avg.</t>
  </si>
  <si>
    <t>In class Compositions   10%</t>
  </si>
  <si>
    <t>All Compositions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</si>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</sst>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0"/>
      <name val="Arial"/>
    </font>
    <font>
      <sz val="9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b/>
      <sz val="12"/>
      <name val="Palatino"/>
    </font>
    <font>
      <sz val="12"/>
      <name val="Avant Garde"/>
    </font>
    <font>
      <b/>
      <sz val="12"/>
      <name val="Avant Garde"/>
    </font>
    <font>
      <sz val="10"/>
      <name val="Palatino"/>
    </font>
    <font>
      <sz val="12"/>
      <name val="System"/>
    </font>
    <font>
      <sz val="12"/>
      <name val="Palatino"/>
    </font>
    <font>
      <b/>
      <sz val="10"/>
      <name val="Palatino"/>
    </font>
    <font>
      <sz val="12"/>
      <name val="Tms Rmn"/>
    </font>
    <font>
      <sz val="12"/>
      <name val="Arial"/>
      <family val="2"/>
    </font>
    <font>
      <sz val="10"/>
      <color indexed="5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lightGray"/>
    </fill>
    <fill>
      <patternFill patternType="gray0625"/>
    </fill>
    <fill>
      <patternFill patternType="solid">
        <fgColor indexed="22"/>
        <bgColor indexed="64"/>
      </patternFill>
    </fill>
    <fill>
      <patternFill patternType="gray125">
        <bgColor indexed="42"/>
      </patternFill>
    </fill>
    <fill>
      <patternFill patternType="gray0625">
        <bgColor indexed="42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1" xfId="0" applyFont="1" applyBorder="1"/>
    <xf numFmtId="0" fontId="1" fillId="2" borderId="2" xfId="0" applyFont="1" applyFill="1" applyBorder="1" applyAlignment="1">
      <alignment horizontal="center"/>
    </xf>
    <xf numFmtId="0" fontId="0" fillId="2" borderId="3" xfId="0" applyFill="1" applyBorder="1"/>
    <xf numFmtId="0" fontId="0" fillId="0" borderId="4" xfId="0" applyBorder="1"/>
    <xf numFmtId="0" fontId="3" fillId="0" borderId="0" xfId="0" applyFont="1"/>
    <xf numFmtId="0" fontId="0" fillId="3" borderId="2" xfId="0" applyFill="1" applyBorder="1"/>
    <xf numFmtId="0" fontId="1" fillId="3" borderId="5" xfId="0" applyFont="1" applyFill="1" applyBorder="1" applyAlignment="1">
      <alignment vertical="top"/>
    </xf>
    <xf numFmtId="0" fontId="0" fillId="0" borderId="6" xfId="0" applyBorder="1"/>
    <xf numFmtId="0" fontId="1" fillId="3" borderId="7" xfId="0" applyFont="1" applyFill="1" applyBorder="1" applyAlignment="1">
      <alignment horizontal="center" vertical="top" wrapText="1"/>
    </xf>
    <xf numFmtId="0" fontId="0" fillId="3" borderId="1" xfId="0" applyFill="1" applyBorder="1"/>
    <xf numFmtId="0" fontId="2" fillId="3" borderId="5" xfId="0" applyFont="1" applyFill="1" applyBorder="1"/>
    <xf numFmtId="0" fontId="4" fillId="3" borderId="8" xfId="0" applyFont="1" applyFill="1" applyBorder="1" applyAlignment="1">
      <alignment vertical="top"/>
    </xf>
    <xf numFmtId="0" fontId="5" fillId="3" borderId="9" xfId="0" applyFont="1" applyFill="1" applyBorder="1" applyAlignment="1">
      <alignment horizontal="center" vertical="top" wrapText="1"/>
    </xf>
    <xf numFmtId="0" fontId="6" fillId="0" borderId="0" xfId="0" applyFont="1" applyFill="1" applyAlignment="1" applyProtection="1">
      <alignment horizontal="centerContinuous"/>
    </xf>
    <xf numFmtId="0" fontId="7" fillId="0" borderId="0" xfId="0" applyFont="1" applyFill="1" applyBorder="1" applyAlignment="1" applyProtection="1">
      <alignment horizontal="centerContinuous"/>
    </xf>
    <xf numFmtId="0" fontId="8" fillId="0" borderId="0" xfId="0" applyFont="1" applyFill="1" applyBorder="1" applyAlignment="1" applyProtection="1">
      <alignment horizontal="centerContinuous"/>
    </xf>
    <xf numFmtId="0" fontId="0" fillId="0" borderId="0" xfId="0" applyFill="1" applyAlignment="1" applyProtection="1">
      <alignment horizontal="centerContinuous"/>
    </xf>
    <xf numFmtId="0" fontId="9" fillId="0" borderId="0" xfId="0" applyFont="1" applyFill="1" applyBorder="1" applyAlignment="1" applyProtection="1">
      <alignment horizontal="centerContinuous"/>
    </xf>
    <xf numFmtId="0" fontId="9" fillId="0" borderId="0" xfId="0" applyFont="1" applyFill="1" applyAlignment="1" applyProtection="1">
      <alignment horizontal="centerContinuous"/>
    </xf>
    <xf numFmtId="9" fontId="7" fillId="0" borderId="0" xfId="0" applyNumberFormat="1" applyFont="1" applyFill="1" applyBorder="1" applyAlignment="1" applyProtection="1">
      <alignment horizontal="centerContinuous"/>
    </xf>
    <xf numFmtId="0" fontId="0" fillId="0" borderId="0" xfId="0" applyFill="1" applyProtection="1"/>
    <xf numFmtId="0" fontId="0" fillId="0" borderId="0" xfId="0" applyProtection="1"/>
    <xf numFmtId="0" fontId="6" fillId="0" borderId="0" xfId="0" applyFont="1" applyFill="1" applyBorder="1" applyAlignment="1" applyProtection="1"/>
    <xf numFmtId="0" fontId="6" fillId="0" borderId="0" xfId="0" applyFont="1" applyFill="1" applyAlignment="1" applyProtection="1"/>
    <xf numFmtId="0" fontId="11" fillId="0" borderId="0" xfId="0" applyFont="1" applyFill="1" applyProtection="1">
      <protection locked="0"/>
    </xf>
    <xf numFmtId="0" fontId="11" fillId="0" borderId="0" xfId="0" applyFont="1" applyFill="1" applyBorder="1" applyProtection="1"/>
    <xf numFmtId="0" fontId="9" fillId="0" borderId="0" xfId="0" applyFont="1" applyFill="1" applyProtection="1">
      <protection locked="0"/>
    </xf>
    <xf numFmtId="0" fontId="9" fillId="0" borderId="0" xfId="0" applyFont="1" applyFill="1" applyProtection="1"/>
    <xf numFmtId="0" fontId="9" fillId="0" borderId="0" xfId="0" applyFont="1" applyFill="1" applyBorder="1" applyProtection="1"/>
    <xf numFmtId="0" fontId="6" fillId="4" borderId="10" xfId="0" applyFont="1" applyFill="1" applyBorder="1" applyProtection="1"/>
    <xf numFmtId="0" fontId="11" fillId="4" borderId="11" xfId="0" applyFont="1" applyFill="1" applyBorder="1" applyProtection="1"/>
    <xf numFmtId="0" fontId="6" fillId="4" borderId="12" xfId="0" applyFont="1" applyFill="1" applyBorder="1" applyAlignment="1" applyProtection="1">
      <alignment horizontal="centerContinuous"/>
    </xf>
    <xf numFmtId="0" fontId="12" fillId="4" borderId="13" xfId="0" applyFont="1" applyFill="1" applyBorder="1" applyAlignment="1" applyProtection="1">
      <alignment horizontal="centerContinuous"/>
    </xf>
    <xf numFmtId="0" fontId="6" fillId="5" borderId="14" xfId="0" applyFont="1" applyFill="1" applyBorder="1" applyProtection="1"/>
    <xf numFmtId="0" fontId="11" fillId="5" borderId="2" xfId="0" applyFont="1" applyFill="1" applyBorder="1" applyProtection="1"/>
    <xf numFmtId="0" fontId="12" fillId="5" borderId="1" xfId="0" applyFont="1" applyFill="1" applyBorder="1" applyAlignment="1" applyProtection="1">
      <alignment horizontal="center"/>
      <protection locked="0"/>
    </xf>
    <xf numFmtId="0" fontId="12" fillId="5" borderId="2" xfId="0" applyFont="1" applyFill="1" applyBorder="1" applyAlignment="1" applyProtection="1">
      <alignment horizontal="center"/>
      <protection locked="0"/>
    </xf>
    <xf numFmtId="14" fontId="12" fillId="5" borderId="15" xfId="0" applyNumberFormat="1" applyFont="1" applyFill="1" applyBorder="1" applyAlignment="1" applyProtection="1">
      <alignment horizontal="centerContinuous"/>
    </xf>
    <xf numFmtId="14" fontId="6" fillId="5" borderId="5" xfId="0" applyNumberFormat="1" applyFont="1" applyFill="1" applyBorder="1" applyAlignment="1" applyProtection="1">
      <alignment horizontal="centerContinuous"/>
    </xf>
    <xf numFmtId="0" fontId="12" fillId="5" borderId="9" xfId="0" applyFont="1" applyFill="1" applyBorder="1" applyAlignment="1" applyProtection="1">
      <alignment horizontal="center"/>
      <protection locked="0"/>
    </xf>
    <xf numFmtId="0" fontId="12" fillId="5" borderId="5" xfId="0" applyFont="1" applyFill="1" applyBorder="1" applyAlignment="1" applyProtection="1">
      <alignment horizontal="center"/>
      <protection locked="0"/>
    </xf>
    <xf numFmtId="0" fontId="6" fillId="0" borderId="0" xfId="0" applyNumberFormat="1" applyFont="1" applyFill="1" applyAlignment="1" applyProtection="1"/>
    <xf numFmtId="0" fontId="14" fillId="0" borderId="0" xfId="0" applyNumberFormat="1" applyFont="1" applyFill="1" applyAlignment="1" applyProtection="1">
      <alignment horizontal="centerContinuous"/>
    </xf>
    <xf numFmtId="0" fontId="6" fillId="4" borderId="16" xfId="0" applyNumberFormat="1" applyFont="1" applyFill="1" applyBorder="1" applyAlignment="1" applyProtection="1"/>
    <xf numFmtId="0" fontId="14" fillId="0" borderId="0" xfId="0" applyNumberFormat="1" applyFont="1" applyProtection="1"/>
    <xf numFmtId="0" fontId="0" fillId="0" borderId="0" xfId="0" applyFont="1" applyFill="1" applyBorder="1" applyProtection="1"/>
    <xf numFmtId="0" fontId="6" fillId="4" borderId="11" xfId="0" applyFont="1" applyFill="1" applyBorder="1" applyProtection="1"/>
    <xf numFmtId="0" fontId="6" fillId="4" borderId="13" xfId="0" applyFont="1" applyFill="1" applyBorder="1" applyAlignment="1" applyProtection="1">
      <alignment horizontal="centerContinuous"/>
    </xf>
    <xf numFmtId="0" fontId="6" fillId="5" borderId="2" xfId="0" applyFont="1" applyFill="1" applyBorder="1" applyProtection="1"/>
    <xf numFmtId="0" fontId="12" fillId="5" borderId="2" xfId="0" applyNumberFormat="1" applyFont="1" applyFill="1" applyBorder="1" applyAlignment="1" applyProtection="1">
      <alignment horizontal="center"/>
      <protection locked="0"/>
    </xf>
    <xf numFmtId="14" fontId="12" fillId="5" borderId="5" xfId="0" applyNumberFormat="1" applyFont="1" applyFill="1" applyBorder="1" applyAlignment="1" applyProtection="1">
      <alignment horizontal="centerContinuous"/>
    </xf>
    <xf numFmtId="0" fontId="12" fillId="5" borderId="5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Border="1" applyAlignment="1" applyProtection="1">
      <alignment horizontal="centerContinuous"/>
    </xf>
    <xf numFmtId="1" fontId="9" fillId="0" borderId="17" xfId="0" applyNumberFormat="1" applyFont="1" applyBorder="1" applyAlignment="1" applyProtection="1">
      <protection locked="0"/>
    </xf>
    <xf numFmtId="0" fontId="9" fillId="0" borderId="18" xfId="0" applyFont="1" applyBorder="1" applyAlignment="1" applyProtection="1">
      <alignment horizontal="left"/>
    </xf>
    <xf numFmtId="1" fontId="9" fillId="0" borderId="19" xfId="0" applyNumberFormat="1" applyFont="1" applyBorder="1" applyAlignment="1" applyProtection="1">
      <protection locked="0"/>
    </xf>
    <xf numFmtId="1" fontId="9" fillId="0" borderId="20" xfId="0" applyNumberFormat="1" applyFont="1" applyBorder="1" applyAlignment="1" applyProtection="1">
      <protection locked="0"/>
    </xf>
    <xf numFmtId="0" fontId="6" fillId="0" borderId="0" xfId="0" applyFont="1" applyFill="1" applyAlignment="1" applyProtection="1">
      <alignment horizontal="center"/>
    </xf>
    <xf numFmtId="0" fontId="0" fillId="0" borderId="0" xfId="0" applyBorder="1"/>
    <xf numFmtId="0" fontId="0" fillId="0" borderId="2" xfId="0" applyBorder="1"/>
    <xf numFmtId="1" fontId="9" fillId="0" borderId="20" xfId="0" applyNumberFormat="1" applyFont="1" applyBorder="1" applyAlignment="1" applyProtection="1"/>
    <xf numFmtId="0" fontId="0" fillId="0" borderId="3" xfId="0" applyBorder="1" applyProtection="1"/>
    <xf numFmtId="0" fontId="0" fillId="2" borderId="3" xfId="0" applyFill="1" applyBorder="1" applyProtection="1"/>
    <xf numFmtId="1" fontId="0" fillId="0" borderId="3" xfId="0" applyNumberFormat="1" applyBorder="1" applyProtection="1"/>
    <xf numFmtId="0" fontId="11" fillId="0" borderId="0" xfId="0" applyNumberFormat="1" applyFont="1" applyFill="1" applyAlignment="1" applyProtection="1">
      <alignment horizontal="right"/>
    </xf>
    <xf numFmtId="1" fontId="9" fillId="0" borderId="21" xfId="0" applyNumberFormat="1" applyFont="1" applyBorder="1" applyAlignment="1" applyProtection="1">
      <protection locked="0"/>
    </xf>
    <xf numFmtId="0" fontId="0" fillId="0" borderId="3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0" xfId="0" applyProtection="1">
      <protection locked="0"/>
    </xf>
    <xf numFmtId="0" fontId="0" fillId="0" borderId="8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2" fillId="0" borderId="4" xfId="0" applyFont="1" applyBorder="1" applyProtection="1">
      <protection locked="0"/>
    </xf>
    <xf numFmtId="0" fontId="0" fillId="0" borderId="22" xfId="0" applyBorder="1" applyProtection="1">
      <protection locked="0"/>
    </xf>
    <xf numFmtId="9" fontId="1" fillId="3" borderId="1" xfId="0" applyNumberFormat="1" applyFont="1" applyFill="1" applyBorder="1"/>
    <xf numFmtId="0" fontId="1" fillId="2" borderId="0" xfId="0" applyFont="1" applyFill="1" applyBorder="1" applyAlignment="1">
      <alignment wrapText="1"/>
    </xf>
    <xf numFmtId="0" fontId="15" fillId="0" borderId="3" xfId="0" applyFont="1" applyBorder="1"/>
    <xf numFmtId="0" fontId="15" fillId="0" borderId="3" xfId="0" applyFont="1" applyBorder="1" applyAlignment="1">
      <alignment horizontal="right"/>
    </xf>
    <xf numFmtId="0" fontId="0" fillId="2" borderId="0" xfId="0" applyFill="1"/>
    <xf numFmtId="0" fontId="14" fillId="0" borderId="0" xfId="0" applyFont="1"/>
    <xf numFmtId="0" fontId="14" fillId="6" borderId="0" xfId="0" applyFont="1" applyFill="1"/>
    <xf numFmtId="0" fontId="14" fillId="2" borderId="0" xfId="0" applyFont="1" applyFill="1"/>
    <xf numFmtId="0" fontId="14" fillId="0" borderId="3" xfId="0" applyFont="1" applyBorder="1"/>
    <xf numFmtId="0" fontId="0" fillId="0" borderId="17" xfId="0" applyBorder="1"/>
    <xf numFmtId="0" fontId="0" fillId="2" borderId="17" xfId="0" applyFill="1" applyBorder="1"/>
    <xf numFmtId="0" fontId="0" fillId="0" borderId="23" xfId="0" applyBorder="1"/>
    <xf numFmtId="0" fontId="0" fillId="2" borderId="23" xfId="0" applyFill="1" applyBorder="1"/>
    <xf numFmtId="0" fontId="14" fillId="0" borderId="4" xfId="0" applyFont="1" applyBorder="1"/>
    <xf numFmtId="0" fontId="14" fillId="2" borderId="4" xfId="0" applyFont="1" applyFill="1" applyBorder="1"/>
    <xf numFmtId="0" fontId="6" fillId="7" borderId="24" xfId="0" applyNumberFormat="1" applyFont="1" applyFill="1" applyBorder="1" applyAlignment="1" applyProtection="1">
      <alignment horizontal="center"/>
    </xf>
    <xf numFmtId="0" fontId="6" fillId="7" borderId="25" xfId="0" applyNumberFormat="1" applyFont="1" applyFill="1" applyBorder="1" applyAlignment="1" applyProtection="1">
      <alignment horizontal="center"/>
    </xf>
    <xf numFmtId="0" fontId="12" fillId="8" borderId="2" xfId="0" applyNumberFormat="1" applyFont="1" applyFill="1" applyBorder="1" applyAlignment="1" applyProtection="1">
      <alignment horizontal="center"/>
    </xf>
    <xf numFmtId="0" fontId="12" fillId="8" borderId="9" xfId="0" applyNumberFormat="1" applyFont="1" applyFill="1" applyBorder="1" applyAlignment="1" applyProtection="1">
      <alignment horizontal="center"/>
    </xf>
    <xf numFmtId="1" fontId="9" fillId="2" borderId="26" xfId="0" applyNumberFormat="1" applyFont="1" applyFill="1" applyBorder="1" applyAlignment="1" applyProtection="1"/>
    <xf numFmtId="1" fontId="9" fillId="2" borderId="27" xfId="0" applyNumberFormat="1" applyFont="1" applyFill="1" applyBorder="1" applyAlignment="1" applyProtection="1"/>
    <xf numFmtId="1" fontId="9" fillId="2" borderId="0" xfId="0" applyNumberFormat="1" applyFont="1" applyFill="1" applyBorder="1" applyAlignment="1" applyProtection="1"/>
    <xf numFmtId="0" fontId="9" fillId="0" borderId="29" xfId="0" applyFont="1" applyFill="1" applyBorder="1" applyAlignment="1" applyProtection="1">
      <alignment horizontal="center" shrinkToFit="1"/>
    </xf>
    <xf numFmtId="0" fontId="13" fillId="0" borderId="30" xfId="0" applyFont="1" applyFill="1" applyBorder="1" applyAlignment="1" applyProtection="1">
      <alignment shrinkToFit="1"/>
    </xf>
    <xf numFmtId="0" fontId="10" fillId="0" borderId="31" xfId="0" applyFont="1" applyBorder="1" applyAlignment="1" applyProtection="1">
      <alignment horizontal="center" shrinkToFit="1"/>
      <protection locked="0"/>
    </xf>
    <xf numFmtId="0" fontId="6" fillId="7" borderId="32" xfId="0" applyNumberFormat="1" applyFont="1" applyFill="1" applyBorder="1" applyAlignment="1" applyProtection="1">
      <alignment horizontal="left" shrinkToFit="1"/>
    </xf>
    <xf numFmtId="0" fontId="0" fillId="0" borderId="0" xfId="0" applyAlignment="1" applyProtection="1">
      <alignment shrinkToFit="1"/>
    </xf>
    <xf numFmtId="0" fontId="9" fillId="0" borderId="18" xfId="0" applyFont="1" applyFill="1" applyBorder="1" applyAlignment="1" applyProtection="1">
      <alignment horizontal="center" shrinkToFit="1"/>
    </xf>
    <xf numFmtId="0" fontId="9" fillId="0" borderId="33" xfId="0" applyFont="1" applyFill="1" applyBorder="1" applyAlignment="1" applyProtection="1">
      <alignment horizontal="center" shrinkToFit="1"/>
    </xf>
    <xf numFmtId="0" fontId="6" fillId="7" borderId="34" xfId="0" applyNumberFormat="1" applyFont="1" applyFill="1" applyBorder="1" applyAlignment="1" applyProtection="1">
      <alignment horizontal="left" shrinkToFit="1"/>
    </xf>
    <xf numFmtId="0" fontId="9" fillId="0" borderId="35" xfId="0" applyFont="1" applyFill="1" applyBorder="1" applyAlignment="1" applyProtection="1">
      <alignment horizontal="center" shrinkToFit="1"/>
    </xf>
    <xf numFmtId="0" fontId="10" fillId="0" borderId="36" xfId="0" applyFont="1" applyBorder="1" applyAlignment="1" applyProtection="1">
      <alignment horizontal="center" shrinkToFit="1"/>
      <protection locked="0"/>
    </xf>
    <xf numFmtId="0" fontId="6" fillId="7" borderId="37" xfId="0" applyNumberFormat="1" applyFont="1" applyFill="1" applyBorder="1" applyAlignment="1" applyProtection="1">
      <alignment horizontal="left" shrinkToFit="1"/>
    </xf>
    <xf numFmtId="0" fontId="0" fillId="0" borderId="0" xfId="0" applyBorder="1" applyAlignment="1" applyProtection="1">
      <alignment shrinkToFit="1"/>
    </xf>
    <xf numFmtId="0" fontId="5" fillId="3" borderId="28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center" vertical="top"/>
    </xf>
    <xf numFmtId="0" fontId="4" fillId="3" borderId="5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9" fontId="1" fillId="2" borderId="27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14" fillId="6" borderId="0" xfId="0" applyFont="1" applyFill="1" applyAlignment="1">
      <alignment horizontal="center"/>
    </xf>
    <xf numFmtId="0" fontId="6" fillId="0" borderId="0" xfId="0" applyFont="1" applyFill="1" applyAlignment="1" applyProtection="1">
      <alignment horizontal="center"/>
    </xf>
    <xf numFmtId="0" fontId="6" fillId="4" borderId="12" xfId="0" applyFont="1" applyFill="1" applyBorder="1" applyAlignment="1" applyProtection="1">
      <alignment horizontal="center"/>
    </xf>
    <xf numFmtId="0" fontId="6" fillId="4" borderId="13" xfId="0" applyFont="1" applyFill="1" applyBorder="1" applyAlignment="1" applyProtection="1">
      <alignment horizontal="center"/>
    </xf>
    <xf numFmtId="0" fontId="6" fillId="4" borderId="11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977900</xdr:colOff>
      <xdr:row>4</xdr:row>
      <xdr:rowOff>101600</xdr:rowOff>
    </xdr:from>
    <xdr:to>
      <xdr:col>1</xdr:col>
      <xdr:colOff>1327150</xdr:colOff>
      <xdr:row>4</xdr:row>
      <xdr:rowOff>177800</xdr:rowOff>
    </xdr:to>
    <xdr:pic>
      <xdr:nvPicPr>
        <xdr:cNvPr id="1025" name="Picture 8">
          <a:extLst>
            <a:ext uri="{FF2B5EF4-FFF2-40B4-BE49-F238E27FC236}">
              <a16:creationId xmlns:a16="http://schemas.microsoft.com/office/drawing/2014/main" id="{807F231B-88F9-428F-AC1F-DA2C54058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946150"/>
          <a:ext cx="349250" cy="76200"/>
        </a:xfrm>
        <a:prstGeom prst="rect">
          <a:avLst/>
        </a:prstGeom>
        <a:pattFill prst="pct10">
          <a:fgClr>
            <a:srgbClr xmlns:mc="http://schemas.openxmlformats.org/markup-compatibility/2006" xmlns:a14="http://schemas.microsoft.com/office/drawing/2010/main" val="000000" mc:Ignorable="a14" a14:legacySpreadsheetColorIndex="8"/>
          </a:fgClr>
          <a:bgClr>
            <a:srgbClr xmlns:mc="http://schemas.openxmlformats.org/markup-compatibility/2006" xmlns:a14="http://schemas.microsoft.com/office/drawing/2010/main" val="FFFFFF" mc:Ignorable="a14" a14:legacySpreadsheetColorIndex="9"/>
          </a:bgClr>
        </a:patt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"/>
  <sheetViews>
    <sheetView tabSelected="1" workbookViewId="0">
      <selection activeCell="A6" sqref="A6"/>
    </sheetView>
  </sheetViews>
  <sheetFormatPr defaultColWidth="8.81640625" defaultRowHeight="12.5"/>
  <cols>
    <col min="1" max="1" width="13.81640625" customWidth="1"/>
    <col min="2" max="2" width="10.1796875" customWidth="1"/>
    <col min="3" max="3" width="5" hidden="1" customWidth="1"/>
    <col min="4" max="4" width="10.1796875" customWidth="1"/>
    <col min="5" max="5" width="0.1796875" hidden="1" customWidth="1"/>
    <col min="6" max="6" width="9.81640625" customWidth="1"/>
    <col min="7" max="7" width="5" hidden="1" customWidth="1"/>
    <col min="8" max="8" width="9.81640625" customWidth="1"/>
    <col min="9" max="9" width="5" hidden="1" customWidth="1"/>
    <col min="10" max="10" width="9.81640625" customWidth="1"/>
    <col min="11" max="11" width="5" hidden="1" customWidth="1"/>
    <col min="12" max="12" width="0.1796875" hidden="1" customWidth="1"/>
    <col min="13" max="13" width="7.1796875" customWidth="1"/>
    <col min="14" max="14" width="6.1796875" hidden="1" customWidth="1"/>
    <col min="15" max="16" width="5.1796875" customWidth="1"/>
    <col min="17" max="17" width="6" customWidth="1"/>
    <col min="18" max="18" width="4" customWidth="1"/>
    <col min="19" max="20" width="6.453125" customWidth="1"/>
    <col min="21" max="22" width="8.81640625" customWidth="1"/>
    <col min="23" max="23" width="3.1796875" bestFit="1" customWidth="1"/>
    <col min="24" max="24" width="3.36328125" bestFit="1" customWidth="1"/>
    <col min="25" max="26" width="0.1796875" hidden="1" customWidth="1"/>
  </cols>
  <sheetData>
    <row r="1" spans="1:26" ht="13">
      <c r="A1" s="5" t="s">
        <v>46</v>
      </c>
      <c r="Y1" t="s">
        <v>25</v>
      </c>
    </row>
    <row r="2" spans="1:26" ht="13">
      <c r="A2" s="5"/>
      <c r="Y2">
        <v>0</v>
      </c>
      <c r="Z2" t="s">
        <v>38</v>
      </c>
    </row>
    <row r="3" spans="1:26" s="70" customFormat="1" ht="13">
      <c r="A3" s="74" t="s">
        <v>0</v>
      </c>
      <c r="B3" s="72"/>
      <c r="C3" s="72"/>
      <c r="D3" s="74" t="s">
        <v>1</v>
      </c>
      <c r="E3" s="72"/>
      <c r="F3" s="72"/>
      <c r="G3" s="72"/>
      <c r="H3" s="72" t="s">
        <v>2</v>
      </c>
      <c r="I3" s="72"/>
      <c r="J3" s="72"/>
      <c r="K3" s="74" t="s">
        <v>2</v>
      </c>
      <c r="L3" s="72"/>
      <c r="M3" s="72" t="s">
        <v>3</v>
      </c>
      <c r="N3" s="74" t="s">
        <v>3</v>
      </c>
      <c r="O3" s="72"/>
      <c r="P3" s="72"/>
      <c r="Q3" s="74" t="s">
        <v>4</v>
      </c>
      <c r="R3" s="72"/>
      <c r="S3" s="72"/>
      <c r="T3" s="72"/>
      <c r="Y3" s="70">
        <v>60</v>
      </c>
      <c r="Z3" s="70" t="s">
        <v>37</v>
      </c>
    </row>
    <row r="4" spans="1:26" ht="26.25" customHeight="1">
      <c r="A4" s="6"/>
      <c r="B4" s="120" t="s">
        <v>5</v>
      </c>
      <c r="C4" s="121"/>
      <c r="D4" s="112" t="s">
        <v>6</v>
      </c>
      <c r="E4" s="113"/>
      <c r="F4" s="114" t="s">
        <v>7</v>
      </c>
      <c r="G4" s="115"/>
      <c r="H4" s="112" t="s">
        <v>8</v>
      </c>
      <c r="I4" s="113"/>
      <c r="J4" s="12" t="s">
        <v>9</v>
      </c>
      <c r="K4" s="7"/>
      <c r="L4" s="13" t="s">
        <v>10</v>
      </c>
      <c r="M4" s="112" t="s">
        <v>11</v>
      </c>
      <c r="N4" s="113"/>
      <c r="O4" s="9"/>
      <c r="P4" s="116" t="s">
        <v>12</v>
      </c>
      <c r="Q4" s="117"/>
      <c r="S4" s="110" t="s">
        <v>50</v>
      </c>
      <c r="T4" s="111"/>
      <c r="Y4">
        <v>63</v>
      </c>
      <c r="Z4" t="s">
        <v>36</v>
      </c>
    </row>
    <row r="5" spans="1:26" ht="24" customHeight="1">
      <c r="A5" s="11" t="s">
        <v>13</v>
      </c>
      <c r="B5" s="118">
        <v>0.15</v>
      </c>
      <c r="C5" s="119"/>
      <c r="D5" s="118">
        <v>0.2</v>
      </c>
      <c r="E5" s="119"/>
      <c r="F5" s="118">
        <v>0.3</v>
      </c>
      <c r="G5" s="119"/>
      <c r="H5" s="118">
        <v>0.1</v>
      </c>
      <c r="I5" s="119"/>
      <c r="J5" s="118">
        <v>0.05</v>
      </c>
      <c r="K5" s="119"/>
      <c r="L5" s="1"/>
      <c r="M5" s="118">
        <v>0.2</v>
      </c>
      <c r="N5" s="119"/>
      <c r="O5" s="76"/>
      <c r="P5" s="77" t="s">
        <v>51</v>
      </c>
      <c r="Q5" s="2" t="s">
        <v>14</v>
      </c>
      <c r="S5" s="77" t="s">
        <v>52</v>
      </c>
      <c r="T5" s="2" t="s">
        <v>14</v>
      </c>
      <c r="Y5">
        <v>67</v>
      </c>
      <c r="Z5" t="s">
        <v>35</v>
      </c>
    </row>
    <row r="6" spans="1:26">
      <c r="A6" s="67"/>
      <c r="B6" s="62" t="e">
        <f>Exercises!AB7</f>
        <v>#DIV/0!</v>
      </c>
      <c r="C6" s="63" t="e">
        <f>(B6*0.15)</f>
        <v>#DIV/0!</v>
      </c>
      <c r="D6" s="62" t="e">
        <f>Compositions!R4</f>
        <v>#DIV/0!</v>
      </c>
      <c r="E6" s="63" t="e">
        <f>(D6*0.2)</f>
        <v>#DIV/0!</v>
      </c>
      <c r="F6" s="64" t="e">
        <f>Exams!G7</f>
        <v>#DIV/0!</v>
      </c>
      <c r="G6" s="63" t="e">
        <f>(F6*0.3)</f>
        <v>#DIV/0!</v>
      </c>
      <c r="H6" s="64" t="e">
        <f>PrepParticipation!M7</f>
        <v>#DIV/0!</v>
      </c>
      <c r="I6" s="63" t="e">
        <f>(H6*0.1)</f>
        <v>#DIV/0!</v>
      </c>
      <c r="J6" s="62">
        <f>Attendance!BB4</f>
        <v>100</v>
      </c>
      <c r="K6" s="63">
        <f>SUM(J6*0.05)</f>
        <v>5</v>
      </c>
      <c r="L6" s="62" t="e">
        <f>(C6+E6+G6+I6+K6)</f>
        <v>#DIV/0!</v>
      </c>
      <c r="M6" s="67"/>
      <c r="N6" s="3">
        <f>M6*0.2</f>
        <v>0</v>
      </c>
      <c r="O6" s="10"/>
      <c r="P6" s="8" t="e">
        <f>(L6+N6)</f>
        <v>#DIV/0!</v>
      </c>
      <c r="Q6" s="3" t="e">
        <f>VLOOKUP(P6,Letters,2,TRUE)</f>
        <v>#DIV/0!</v>
      </c>
      <c r="S6" s="78" t="e">
        <f>(L6*100)/80</f>
        <v>#DIV/0!</v>
      </c>
      <c r="T6" s="79" t="e">
        <f>VLOOKUP(S6,Grades,2,TRUE)</f>
        <v>#DIV/0!</v>
      </c>
      <c r="Y6">
        <v>70</v>
      </c>
      <c r="Z6" t="s">
        <v>34</v>
      </c>
    </row>
    <row r="7" spans="1:26">
      <c r="A7" s="67"/>
      <c r="B7" s="62" t="e">
        <f>Exercises!AB8</f>
        <v>#DIV/0!</v>
      </c>
      <c r="C7" s="63" t="e">
        <f t="shared" ref="C7:C35" si="0">(B7*0.15)</f>
        <v>#DIV/0!</v>
      </c>
      <c r="D7" s="62" t="e">
        <f>Compositions!R5</f>
        <v>#DIV/0!</v>
      </c>
      <c r="E7" s="63" t="e">
        <f t="shared" ref="E7:E35" si="1">(D7*0.2)</f>
        <v>#DIV/0!</v>
      </c>
      <c r="F7" s="64" t="e">
        <f>Exams!G8</f>
        <v>#DIV/0!</v>
      </c>
      <c r="G7" s="63" t="e">
        <f t="shared" ref="G7:G35" si="2">(F7*0.3)</f>
        <v>#DIV/0!</v>
      </c>
      <c r="H7" s="64" t="e">
        <f>PrepParticipation!M8</f>
        <v>#DIV/0!</v>
      </c>
      <c r="I7" s="63" t="e">
        <f t="shared" ref="I7:I35" si="3">(H7*0.1)</f>
        <v>#DIV/0!</v>
      </c>
      <c r="J7" s="62">
        <f>Attendance!BB5</f>
        <v>100</v>
      </c>
      <c r="K7" s="63">
        <f t="shared" ref="K7:K35" si="4">SUM(J7*0.05)</f>
        <v>5</v>
      </c>
      <c r="L7" s="62" t="e">
        <f t="shared" ref="L7:L35" si="5">(C7+E7+G7+I7+K7)</f>
        <v>#DIV/0!</v>
      </c>
      <c r="M7" s="67"/>
      <c r="N7" s="3">
        <f t="shared" ref="N7:N35" si="6">M7*0.2</f>
        <v>0</v>
      </c>
      <c r="O7" s="10"/>
      <c r="P7" s="8" t="e">
        <f t="shared" ref="P7:P35" si="7">(L7+N7)</f>
        <v>#DIV/0!</v>
      </c>
      <c r="Q7" s="3" t="e">
        <f t="shared" ref="Q7:Q35" si="8">VLOOKUP(P7,Letters,2,TRUE)</f>
        <v>#DIV/0!</v>
      </c>
      <c r="S7" s="78" t="e">
        <f t="shared" ref="S7:S35" si="9">(L7*100)/80</f>
        <v>#DIV/0!</v>
      </c>
      <c r="T7" s="79" t="e">
        <f t="shared" ref="T7:T35" si="10">VLOOKUP(S7,Grades,2,TRUE)</f>
        <v>#DIV/0!</v>
      </c>
      <c r="Y7">
        <v>73</v>
      </c>
      <c r="Z7" t="s">
        <v>33</v>
      </c>
    </row>
    <row r="8" spans="1:26">
      <c r="A8" s="67"/>
      <c r="B8" s="62" t="e">
        <f>Exercises!AB9</f>
        <v>#DIV/0!</v>
      </c>
      <c r="C8" s="63" t="e">
        <f t="shared" si="0"/>
        <v>#DIV/0!</v>
      </c>
      <c r="D8" s="62" t="e">
        <f>Compositions!R6</f>
        <v>#DIV/0!</v>
      </c>
      <c r="E8" s="63" t="e">
        <f t="shared" si="1"/>
        <v>#DIV/0!</v>
      </c>
      <c r="F8" s="64" t="e">
        <f>Exams!G9</f>
        <v>#DIV/0!</v>
      </c>
      <c r="G8" s="63" t="e">
        <f t="shared" si="2"/>
        <v>#DIV/0!</v>
      </c>
      <c r="H8" s="64" t="e">
        <f>PrepParticipation!M9</f>
        <v>#DIV/0!</v>
      </c>
      <c r="I8" s="63" t="e">
        <f t="shared" si="3"/>
        <v>#DIV/0!</v>
      </c>
      <c r="J8" s="62">
        <f>Attendance!BB6</f>
        <v>100</v>
      </c>
      <c r="K8" s="63">
        <f t="shared" si="4"/>
        <v>5</v>
      </c>
      <c r="L8" s="62" t="e">
        <f t="shared" si="5"/>
        <v>#DIV/0!</v>
      </c>
      <c r="M8" s="67"/>
      <c r="N8" s="3">
        <f t="shared" si="6"/>
        <v>0</v>
      </c>
      <c r="O8" s="10"/>
      <c r="P8" s="8" t="e">
        <f t="shared" si="7"/>
        <v>#DIV/0!</v>
      </c>
      <c r="Q8" s="3" t="e">
        <f t="shared" si="8"/>
        <v>#DIV/0!</v>
      </c>
      <c r="S8" s="78" t="e">
        <f t="shared" si="9"/>
        <v>#DIV/0!</v>
      </c>
      <c r="T8" s="79" t="e">
        <f t="shared" si="10"/>
        <v>#DIV/0!</v>
      </c>
      <c r="Y8">
        <v>77</v>
      </c>
      <c r="Z8" t="s">
        <v>32</v>
      </c>
    </row>
    <row r="9" spans="1:26">
      <c r="A9" s="67"/>
      <c r="B9" s="62" t="e">
        <f>Exercises!AB10</f>
        <v>#DIV/0!</v>
      </c>
      <c r="C9" s="63" t="e">
        <f t="shared" si="0"/>
        <v>#DIV/0!</v>
      </c>
      <c r="D9" s="62" t="e">
        <f>Compositions!R7</f>
        <v>#DIV/0!</v>
      </c>
      <c r="E9" s="63" t="e">
        <f t="shared" si="1"/>
        <v>#DIV/0!</v>
      </c>
      <c r="F9" s="64" t="e">
        <f>Exams!G10</f>
        <v>#DIV/0!</v>
      </c>
      <c r="G9" s="63" t="e">
        <f t="shared" si="2"/>
        <v>#DIV/0!</v>
      </c>
      <c r="H9" s="64" t="e">
        <f>PrepParticipation!M10</f>
        <v>#DIV/0!</v>
      </c>
      <c r="I9" s="63" t="e">
        <f t="shared" si="3"/>
        <v>#DIV/0!</v>
      </c>
      <c r="J9" s="62">
        <f>Attendance!BB7</f>
        <v>100</v>
      </c>
      <c r="K9" s="63">
        <f t="shared" si="4"/>
        <v>5</v>
      </c>
      <c r="L9" s="62" t="e">
        <f t="shared" si="5"/>
        <v>#DIV/0!</v>
      </c>
      <c r="M9" s="67"/>
      <c r="N9" s="3">
        <f t="shared" si="6"/>
        <v>0</v>
      </c>
      <c r="O9" s="10"/>
      <c r="P9" s="8" t="e">
        <f t="shared" si="7"/>
        <v>#DIV/0!</v>
      </c>
      <c r="Q9" s="3" t="e">
        <f t="shared" si="8"/>
        <v>#DIV/0!</v>
      </c>
      <c r="S9" s="78" t="e">
        <f t="shared" si="9"/>
        <v>#DIV/0!</v>
      </c>
      <c r="T9" s="79" t="e">
        <f t="shared" si="10"/>
        <v>#DIV/0!</v>
      </c>
      <c r="Y9">
        <v>80</v>
      </c>
      <c r="Z9" t="s">
        <v>31</v>
      </c>
    </row>
    <row r="10" spans="1:26">
      <c r="A10" s="67"/>
      <c r="B10" s="62" t="e">
        <f>Exercises!AB11</f>
        <v>#DIV/0!</v>
      </c>
      <c r="C10" s="63" t="e">
        <f t="shared" si="0"/>
        <v>#DIV/0!</v>
      </c>
      <c r="D10" s="62" t="e">
        <f>Compositions!R8</f>
        <v>#DIV/0!</v>
      </c>
      <c r="E10" s="63" t="e">
        <f t="shared" si="1"/>
        <v>#DIV/0!</v>
      </c>
      <c r="F10" s="64" t="e">
        <f>Exams!G11</f>
        <v>#DIV/0!</v>
      </c>
      <c r="G10" s="63" t="e">
        <f t="shared" si="2"/>
        <v>#DIV/0!</v>
      </c>
      <c r="H10" s="64" t="e">
        <f>PrepParticipation!M11</f>
        <v>#DIV/0!</v>
      </c>
      <c r="I10" s="63" t="e">
        <f t="shared" si="3"/>
        <v>#DIV/0!</v>
      </c>
      <c r="J10" s="62">
        <f>Attendance!BB8</f>
        <v>100</v>
      </c>
      <c r="K10" s="63">
        <f t="shared" si="4"/>
        <v>5</v>
      </c>
      <c r="L10" s="62" t="e">
        <f t="shared" si="5"/>
        <v>#DIV/0!</v>
      </c>
      <c r="M10" s="67"/>
      <c r="N10" s="3">
        <f t="shared" si="6"/>
        <v>0</v>
      </c>
      <c r="O10" s="10"/>
      <c r="P10" s="8" t="e">
        <f t="shared" si="7"/>
        <v>#DIV/0!</v>
      </c>
      <c r="Q10" s="3" t="e">
        <f t="shared" si="8"/>
        <v>#DIV/0!</v>
      </c>
      <c r="S10" s="78" t="e">
        <f t="shared" si="9"/>
        <v>#DIV/0!</v>
      </c>
      <c r="T10" s="79" t="e">
        <f t="shared" si="10"/>
        <v>#DIV/0!</v>
      </c>
      <c r="Y10">
        <v>83</v>
      </c>
      <c r="Z10" t="s">
        <v>30</v>
      </c>
    </row>
    <row r="11" spans="1:26">
      <c r="A11" s="67"/>
      <c r="B11" s="62" t="e">
        <f>Exercises!AB12</f>
        <v>#DIV/0!</v>
      </c>
      <c r="C11" s="63" t="e">
        <f t="shared" si="0"/>
        <v>#DIV/0!</v>
      </c>
      <c r="D11" s="62" t="e">
        <f>Compositions!R9</f>
        <v>#DIV/0!</v>
      </c>
      <c r="E11" s="63" t="e">
        <f t="shared" si="1"/>
        <v>#DIV/0!</v>
      </c>
      <c r="F11" s="64" t="e">
        <f>Exams!G12</f>
        <v>#DIV/0!</v>
      </c>
      <c r="G11" s="63" t="e">
        <f t="shared" si="2"/>
        <v>#DIV/0!</v>
      </c>
      <c r="H11" s="64" t="e">
        <f>PrepParticipation!M12</f>
        <v>#DIV/0!</v>
      </c>
      <c r="I11" s="63" t="e">
        <f t="shared" si="3"/>
        <v>#DIV/0!</v>
      </c>
      <c r="J11" s="62">
        <f>Attendance!BB9</f>
        <v>100</v>
      </c>
      <c r="K11" s="63">
        <f t="shared" si="4"/>
        <v>5</v>
      </c>
      <c r="L11" s="62" t="e">
        <f t="shared" si="5"/>
        <v>#DIV/0!</v>
      </c>
      <c r="M11" s="67"/>
      <c r="N11" s="3">
        <f t="shared" si="6"/>
        <v>0</v>
      </c>
      <c r="O11" s="10"/>
      <c r="P11" s="8" t="e">
        <f t="shared" si="7"/>
        <v>#DIV/0!</v>
      </c>
      <c r="Q11" s="3" t="e">
        <f t="shared" si="8"/>
        <v>#DIV/0!</v>
      </c>
      <c r="S11" s="78" t="e">
        <f t="shared" si="9"/>
        <v>#DIV/0!</v>
      </c>
      <c r="T11" s="79" t="e">
        <f t="shared" si="10"/>
        <v>#DIV/0!</v>
      </c>
      <c r="Y11">
        <v>87</v>
      </c>
      <c r="Z11" t="s">
        <v>29</v>
      </c>
    </row>
    <row r="12" spans="1:26">
      <c r="A12" s="67"/>
      <c r="B12" s="62" t="e">
        <f>Exercises!AB13</f>
        <v>#DIV/0!</v>
      </c>
      <c r="C12" s="63" t="e">
        <f t="shared" si="0"/>
        <v>#DIV/0!</v>
      </c>
      <c r="D12" s="62" t="e">
        <f>Compositions!R10</f>
        <v>#DIV/0!</v>
      </c>
      <c r="E12" s="63" t="e">
        <f t="shared" si="1"/>
        <v>#DIV/0!</v>
      </c>
      <c r="F12" s="64" t="e">
        <f>Exams!G13</f>
        <v>#DIV/0!</v>
      </c>
      <c r="G12" s="63" t="e">
        <f t="shared" si="2"/>
        <v>#DIV/0!</v>
      </c>
      <c r="H12" s="64" t="e">
        <f>PrepParticipation!M13</f>
        <v>#DIV/0!</v>
      </c>
      <c r="I12" s="63" t="e">
        <f t="shared" si="3"/>
        <v>#DIV/0!</v>
      </c>
      <c r="J12" s="62">
        <f>Attendance!BB10</f>
        <v>100</v>
      </c>
      <c r="K12" s="63">
        <f t="shared" si="4"/>
        <v>5</v>
      </c>
      <c r="L12" s="62" t="e">
        <f t="shared" si="5"/>
        <v>#DIV/0!</v>
      </c>
      <c r="M12" s="67"/>
      <c r="N12" s="3">
        <f t="shared" si="6"/>
        <v>0</v>
      </c>
      <c r="O12" s="10"/>
      <c r="P12" s="8" t="e">
        <f t="shared" si="7"/>
        <v>#DIV/0!</v>
      </c>
      <c r="Q12" s="3" t="e">
        <f t="shared" si="8"/>
        <v>#DIV/0!</v>
      </c>
      <c r="S12" s="78" t="e">
        <f t="shared" si="9"/>
        <v>#DIV/0!</v>
      </c>
      <c r="T12" s="79" t="e">
        <f t="shared" si="10"/>
        <v>#DIV/0!</v>
      </c>
      <c r="Y12">
        <v>90</v>
      </c>
      <c r="Z12" t="s">
        <v>28</v>
      </c>
    </row>
    <row r="13" spans="1:26">
      <c r="A13" s="67"/>
      <c r="B13" s="62" t="e">
        <f>Exercises!AB14</f>
        <v>#DIV/0!</v>
      </c>
      <c r="C13" s="63" t="e">
        <f t="shared" si="0"/>
        <v>#DIV/0!</v>
      </c>
      <c r="D13" s="62" t="e">
        <f>Compositions!R11</f>
        <v>#DIV/0!</v>
      </c>
      <c r="E13" s="63" t="e">
        <f t="shared" si="1"/>
        <v>#DIV/0!</v>
      </c>
      <c r="F13" s="64" t="e">
        <f>Exams!G14</f>
        <v>#DIV/0!</v>
      </c>
      <c r="G13" s="63" t="e">
        <f t="shared" si="2"/>
        <v>#DIV/0!</v>
      </c>
      <c r="H13" s="64" t="e">
        <f>PrepParticipation!M14</f>
        <v>#DIV/0!</v>
      </c>
      <c r="I13" s="63" t="e">
        <f t="shared" si="3"/>
        <v>#DIV/0!</v>
      </c>
      <c r="J13" s="62">
        <f>Attendance!BB11</f>
        <v>100</v>
      </c>
      <c r="K13" s="63">
        <f t="shared" si="4"/>
        <v>5</v>
      </c>
      <c r="L13" s="62" t="e">
        <f t="shared" si="5"/>
        <v>#DIV/0!</v>
      </c>
      <c r="M13" s="67"/>
      <c r="N13" s="3">
        <f t="shared" si="6"/>
        <v>0</v>
      </c>
      <c r="O13" s="10"/>
      <c r="P13" s="8" t="e">
        <f t="shared" si="7"/>
        <v>#DIV/0!</v>
      </c>
      <c r="Q13" s="3" t="e">
        <f t="shared" si="8"/>
        <v>#DIV/0!</v>
      </c>
      <c r="S13" s="78" t="e">
        <f t="shared" si="9"/>
        <v>#DIV/0!</v>
      </c>
      <c r="T13" s="79" t="e">
        <f t="shared" si="10"/>
        <v>#DIV/0!</v>
      </c>
      <c r="Y13">
        <v>93</v>
      </c>
      <c r="Z13" t="s">
        <v>27</v>
      </c>
    </row>
    <row r="14" spans="1:26">
      <c r="A14" s="67"/>
      <c r="B14" s="62" t="e">
        <f>Exercises!AB15</f>
        <v>#DIV/0!</v>
      </c>
      <c r="C14" s="63" t="e">
        <f t="shared" si="0"/>
        <v>#DIV/0!</v>
      </c>
      <c r="D14" s="62" t="e">
        <f>Compositions!R12</f>
        <v>#DIV/0!</v>
      </c>
      <c r="E14" s="63" t="e">
        <f t="shared" si="1"/>
        <v>#DIV/0!</v>
      </c>
      <c r="F14" s="64" t="e">
        <f>Exams!G15</f>
        <v>#DIV/0!</v>
      </c>
      <c r="G14" s="63" t="e">
        <f t="shared" si="2"/>
        <v>#DIV/0!</v>
      </c>
      <c r="H14" s="64" t="e">
        <f>PrepParticipation!M15</f>
        <v>#DIV/0!</v>
      </c>
      <c r="I14" s="63" t="e">
        <f t="shared" si="3"/>
        <v>#DIV/0!</v>
      </c>
      <c r="J14" s="62">
        <f>Attendance!BB12</f>
        <v>100</v>
      </c>
      <c r="K14" s="63">
        <f t="shared" si="4"/>
        <v>5</v>
      </c>
      <c r="L14" s="62" t="e">
        <f t="shared" si="5"/>
        <v>#DIV/0!</v>
      </c>
      <c r="M14" s="67"/>
      <c r="N14" s="3">
        <f t="shared" si="6"/>
        <v>0</v>
      </c>
      <c r="O14" s="10"/>
      <c r="P14" s="8" t="e">
        <f t="shared" si="7"/>
        <v>#DIV/0!</v>
      </c>
      <c r="Q14" s="3" t="e">
        <f t="shared" si="8"/>
        <v>#DIV/0!</v>
      </c>
      <c r="S14" s="78" t="e">
        <f t="shared" si="9"/>
        <v>#DIV/0!</v>
      </c>
      <c r="T14" s="79" t="e">
        <f t="shared" si="10"/>
        <v>#DIV/0!</v>
      </c>
      <c r="Y14">
        <v>99</v>
      </c>
      <c r="Z14" t="s">
        <v>26</v>
      </c>
    </row>
    <row r="15" spans="1:26">
      <c r="A15" s="67"/>
      <c r="B15" s="62" t="e">
        <f>Exercises!AB16</f>
        <v>#DIV/0!</v>
      </c>
      <c r="C15" s="63" t="e">
        <f t="shared" si="0"/>
        <v>#DIV/0!</v>
      </c>
      <c r="D15" s="62" t="e">
        <f>Compositions!R13</f>
        <v>#DIV/0!</v>
      </c>
      <c r="E15" s="63" t="e">
        <f t="shared" si="1"/>
        <v>#DIV/0!</v>
      </c>
      <c r="F15" s="64" t="e">
        <f>Exams!G16</f>
        <v>#DIV/0!</v>
      </c>
      <c r="G15" s="63" t="e">
        <f t="shared" si="2"/>
        <v>#DIV/0!</v>
      </c>
      <c r="H15" s="64" t="e">
        <f>PrepParticipation!M16</f>
        <v>#DIV/0!</v>
      </c>
      <c r="I15" s="63" t="e">
        <f t="shared" si="3"/>
        <v>#DIV/0!</v>
      </c>
      <c r="J15" s="62">
        <f>Attendance!BB13</f>
        <v>100</v>
      </c>
      <c r="K15" s="63">
        <f t="shared" si="4"/>
        <v>5</v>
      </c>
      <c r="L15" s="62" t="e">
        <f t="shared" si="5"/>
        <v>#DIV/0!</v>
      </c>
      <c r="M15" s="67"/>
      <c r="N15" s="3">
        <f t="shared" si="6"/>
        <v>0</v>
      </c>
      <c r="O15" s="10"/>
      <c r="P15" s="8" t="e">
        <f t="shared" si="7"/>
        <v>#DIV/0!</v>
      </c>
      <c r="Q15" s="3" t="e">
        <f t="shared" si="8"/>
        <v>#DIV/0!</v>
      </c>
      <c r="S15" s="78" t="e">
        <f t="shared" si="9"/>
        <v>#DIV/0!</v>
      </c>
      <c r="T15" s="79" t="e">
        <f t="shared" si="10"/>
        <v>#DIV/0!</v>
      </c>
    </row>
    <row r="16" spans="1:26">
      <c r="A16" s="67"/>
      <c r="B16" s="62" t="e">
        <f>Exercises!AB17</f>
        <v>#DIV/0!</v>
      </c>
      <c r="C16" s="63" t="e">
        <f t="shared" si="0"/>
        <v>#DIV/0!</v>
      </c>
      <c r="D16" s="62" t="e">
        <f>Compositions!R14</f>
        <v>#DIV/0!</v>
      </c>
      <c r="E16" s="63" t="e">
        <f t="shared" si="1"/>
        <v>#DIV/0!</v>
      </c>
      <c r="F16" s="64" t="e">
        <f>Exams!G17</f>
        <v>#DIV/0!</v>
      </c>
      <c r="G16" s="63" t="e">
        <f t="shared" si="2"/>
        <v>#DIV/0!</v>
      </c>
      <c r="H16" s="64" t="e">
        <f>PrepParticipation!M17</f>
        <v>#DIV/0!</v>
      </c>
      <c r="I16" s="63" t="e">
        <f t="shared" si="3"/>
        <v>#DIV/0!</v>
      </c>
      <c r="J16" s="62">
        <f>Attendance!BB14</f>
        <v>100</v>
      </c>
      <c r="K16" s="63">
        <f t="shared" si="4"/>
        <v>5</v>
      </c>
      <c r="L16" s="62" t="e">
        <f t="shared" si="5"/>
        <v>#DIV/0!</v>
      </c>
      <c r="M16" s="67"/>
      <c r="N16" s="3">
        <f t="shared" si="6"/>
        <v>0</v>
      </c>
      <c r="O16" s="10"/>
      <c r="P16" s="8" t="e">
        <f t="shared" si="7"/>
        <v>#DIV/0!</v>
      </c>
      <c r="Q16" s="3" t="e">
        <f t="shared" si="8"/>
        <v>#DIV/0!</v>
      </c>
      <c r="S16" s="78" t="e">
        <f t="shared" si="9"/>
        <v>#DIV/0!</v>
      </c>
      <c r="T16" s="79" t="e">
        <f t="shared" si="10"/>
        <v>#DIV/0!</v>
      </c>
    </row>
    <row r="17" spans="1:20">
      <c r="A17" s="67"/>
      <c r="B17" s="62" t="e">
        <f>Exercises!AB18</f>
        <v>#DIV/0!</v>
      </c>
      <c r="C17" s="63" t="e">
        <f t="shared" si="0"/>
        <v>#DIV/0!</v>
      </c>
      <c r="D17" s="62" t="e">
        <f>Compositions!R15</f>
        <v>#DIV/0!</v>
      </c>
      <c r="E17" s="63" t="e">
        <f t="shared" si="1"/>
        <v>#DIV/0!</v>
      </c>
      <c r="F17" s="64" t="e">
        <f>Exams!G18</f>
        <v>#DIV/0!</v>
      </c>
      <c r="G17" s="63" t="e">
        <f t="shared" si="2"/>
        <v>#DIV/0!</v>
      </c>
      <c r="H17" s="64" t="e">
        <f>PrepParticipation!M18</f>
        <v>#DIV/0!</v>
      </c>
      <c r="I17" s="63" t="e">
        <f t="shared" si="3"/>
        <v>#DIV/0!</v>
      </c>
      <c r="J17" s="62">
        <f>Attendance!BB15</f>
        <v>100</v>
      </c>
      <c r="K17" s="63">
        <f t="shared" si="4"/>
        <v>5</v>
      </c>
      <c r="L17" s="62" t="e">
        <f t="shared" si="5"/>
        <v>#DIV/0!</v>
      </c>
      <c r="M17" s="67"/>
      <c r="N17" s="3">
        <f t="shared" si="6"/>
        <v>0</v>
      </c>
      <c r="O17" s="10"/>
      <c r="P17" s="8" t="e">
        <f t="shared" si="7"/>
        <v>#DIV/0!</v>
      </c>
      <c r="Q17" s="3" t="e">
        <f t="shared" si="8"/>
        <v>#DIV/0!</v>
      </c>
      <c r="S17" s="78" t="e">
        <f t="shared" si="9"/>
        <v>#DIV/0!</v>
      </c>
      <c r="T17" s="79" t="e">
        <f t="shared" si="10"/>
        <v>#DIV/0!</v>
      </c>
    </row>
    <row r="18" spans="1:20">
      <c r="A18" s="67"/>
      <c r="B18" s="62" t="e">
        <f>Exercises!AB19</f>
        <v>#DIV/0!</v>
      </c>
      <c r="C18" s="63" t="e">
        <f t="shared" si="0"/>
        <v>#DIV/0!</v>
      </c>
      <c r="D18" s="62" t="e">
        <f>Compositions!R16</f>
        <v>#DIV/0!</v>
      </c>
      <c r="E18" s="63" t="e">
        <f t="shared" si="1"/>
        <v>#DIV/0!</v>
      </c>
      <c r="F18" s="64" t="e">
        <f>Exams!G19</f>
        <v>#DIV/0!</v>
      </c>
      <c r="G18" s="63" t="e">
        <f t="shared" si="2"/>
        <v>#DIV/0!</v>
      </c>
      <c r="H18" s="64" t="e">
        <f>PrepParticipation!M19</f>
        <v>#DIV/0!</v>
      </c>
      <c r="I18" s="63" t="e">
        <f t="shared" si="3"/>
        <v>#DIV/0!</v>
      </c>
      <c r="J18" s="62">
        <f>Attendance!BB16</f>
        <v>100</v>
      </c>
      <c r="K18" s="63">
        <f t="shared" si="4"/>
        <v>5</v>
      </c>
      <c r="L18" s="62" t="e">
        <f t="shared" si="5"/>
        <v>#DIV/0!</v>
      </c>
      <c r="M18" s="67"/>
      <c r="N18" s="3">
        <f t="shared" si="6"/>
        <v>0</v>
      </c>
      <c r="O18" s="10"/>
      <c r="P18" s="8" t="e">
        <f t="shared" si="7"/>
        <v>#DIV/0!</v>
      </c>
      <c r="Q18" s="3" t="e">
        <f t="shared" si="8"/>
        <v>#DIV/0!</v>
      </c>
      <c r="S18" s="78" t="e">
        <f t="shared" si="9"/>
        <v>#DIV/0!</v>
      </c>
      <c r="T18" s="79" t="e">
        <f t="shared" si="10"/>
        <v>#DIV/0!</v>
      </c>
    </row>
    <row r="19" spans="1:20">
      <c r="A19" s="67"/>
      <c r="B19" s="62" t="e">
        <f>Exercises!AB20</f>
        <v>#DIV/0!</v>
      </c>
      <c r="C19" s="63" t="e">
        <f t="shared" si="0"/>
        <v>#DIV/0!</v>
      </c>
      <c r="D19" s="62" t="e">
        <f>Compositions!R17</f>
        <v>#DIV/0!</v>
      </c>
      <c r="E19" s="63" t="e">
        <f t="shared" si="1"/>
        <v>#DIV/0!</v>
      </c>
      <c r="F19" s="64" t="e">
        <f>Exams!G20</f>
        <v>#DIV/0!</v>
      </c>
      <c r="G19" s="63" t="e">
        <f t="shared" si="2"/>
        <v>#DIV/0!</v>
      </c>
      <c r="H19" s="64" t="e">
        <f>PrepParticipation!M20</f>
        <v>#DIV/0!</v>
      </c>
      <c r="I19" s="63" t="e">
        <f t="shared" si="3"/>
        <v>#DIV/0!</v>
      </c>
      <c r="J19" s="62">
        <f>Attendance!BB17</f>
        <v>100</v>
      </c>
      <c r="K19" s="63">
        <f t="shared" si="4"/>
        <v>5</v>
      </c>
      <c r="L19" s="62" t="e">
        <f t="shared" si="5"/>
        <v>#DIV/0!</v>
      </c>
      <c r="M19" s="67"/>
      <c r="N19" s="3">
        <f t="shared" si="6"/>
        <v>0</v>
      </c>
      <c r="O19" s="10"/>
      <c r="P19" s="8" t="e">
        <f t="shared" si="7"/>
        <v>#DIV/0!</v>
      </c>
      <c r="Q19" s="3" t="e">
        <f t="shared" si="8"/>
        <v>#DIV/0!</v>
      </c>
      <c r="S19" s="78" t="e">
        <f t="shared" si="9"/>
        <v>#DIV/0!</v>
      </c>
      <c r="T19" s="79" t="e">
        <f t="shared" si="10"/>
        <v>#DIV/0!</v>
      </c>
    </row>
    <row r="20" spans="1:20">
      <c r="A20" s="67"/>
      <c r="B20" s="62" t="e">
        <f>Exercises!AB21</f>
        <v>#DIV/0!</v>
      </c>
      <c r="C20" s="63" t="e">
        <f t="shared" si="0"/>
        <v>#DIV/0!</v>
      </c>
      <c r="D20" s="62" t="e">
        <f>Compositions!R18</f>
        <v>#DIV/0!</v>
      </c>
      <c r="E20" s="63" t="e">
        <f t="shared" si="1"/>
        <v>#DIV/0!</v>
      </c>
      <c r="F20" s="64" t="e">
        <f>Exams!G21</f>
        <v>#DIV/0!</v>
      </c>
      <c r="G20" s="63" t="e">
        <f t="shared" si="2"/>
        <v>#DIV/0!</v>
      </c>
      <c r="H20" s="64" t="e">
        <f>PrepParticipation!M21</f>
        <v>#DIV/0!</v>
      </c>
      <c r="I20" s="63" t="e">
        <f t="shared" si="3"/>
        <v>#DIV/0!</v>
      </c>
      <c r="J20" s="62">
        <f>Attendance!BB18</f>
        <v>100</v>
      </c>
      <c r="K20" s="63">
        <f t="shared" si="4"/>
        <v>5</v>
      </c>
      <c r="L20" s="62" t="e">
        <f t="shared" si="5"/>
        <v>#DIV/0!</v>
      </c>
      <c r="M20" s="67"/>
      <c r="N20" s="3">
        <f t="shared" si="6"/>
        <v>0</v>
      </c>
      <c r="O20" s="10"/>
      <c r="P20" s="8" t="e">
        <f t="shared" si="7"/>
        <v>#DIV/0!</v>
      </c>
      <c r="Q20" s="3" t="e">
        <f t="shared" si="8"/>
        <v>#DIV/0!</v>
      </c>
      <c r="S20" s="78" t="e">
        <f t="shared" si="9"/>
        <v>#DIV/0!</v>
      </c>
      <c r="T20" s="79" t="e">
        <f t="shared" si="10"/>
        <v>#DIV/0!</v>
      </c>
    </row>
    <row r="21" spans="1:20">
      <c r="A21" s="67"/>
      <c r="B21" s="62" t="e">
        <f>Exercises!AB22</f>
        <v>#DIV/0!</v>
      </c>
      <c r="C21" s="63" t="e">
        <f t="shared" si="0"/>
        <v>#DIV/0!</v>
      </c>
      <c r="D21" s="62" t="e">
        <f>Compositions!R19</f>
        <v>#DIV/0!</v>
      </c>
      <c r="E21" s="63" t="e">
        <f t="shared" si="1"/>
        <v>#DIV/0!</v>
      </c>
      <c r="F21" s="64" t="e">
        <f>Exams!G22</f>
        <v>#DIV/0!</v>
      </c>
      <c r="G21" s="63" t="e">
        <f t="shared" si="2"/>
        <v>#DIV/0!</v>
      </c>
      <c r="H21" s="64" t="e">
        <f>PrepParticipation!M22</f>
        <v>#DIV/0!</v>
      </c>
      <c r="I21" s="63" t="e">
        <f t="shared" si="3"/>
        <v>#DIV/0!</v>
      </c>
      <c r="J21" s="62">
        <f>Attendance!BB19</f>
        <v>100</v>
      </c>
      <c r="K21" s="63">
        <f t="shared" si="4"/>
        <v>5</v>
      </c>
      <c r="L21" s="62" t="e">
        <f t="shared" si="5"/>
        <v>#DIV/0!</v>
      </c>
      <c r="M21" s="67"/>
      <c r="N21" s="3">
        <f t="shared" si="6"/>
        <v>0</v>
      </c>
      <c r="O21" s="10"/>
      <c r="P21" s="8" t="e">
        <f t="shared" si="7"/>
        <v>#DIV/0!</v>
      </c>
      <c r="Q21" s="3" t="e">
        <f t="shared" si="8"/>
        <v>#DIV/0!</v>
      </c>
      <c r="S21" s="78" t="e">
        <f t="shared" si="9"/>
        <v>#DIV/0!</v>
      </c>
      <c r="T21" s="79" t="e">
        <f t="shared" si="10"/>
        <v>#DIV/0!</v>
      </c>
    </row>
    <row r="22" spans="1:20">
      <c r="A22" s="67"/>
      <c r="B22" s="62" t="e">
        <f>Exercises!AB23</f>
        <v>#DIV/0!</v>
      </c>
      <c r="C22" s="63" t="e">
        <f t="shared" si="0"/>
        <v>#DIV/0!</v>
      </c>
      <c r="D22" s="62" t="e">
        <f>Compositions!R20</f>
        <v>#DIV/0!</v>
      </c>
      <c r="E22" s="63" t="e">
        <f t="shared" si="1"/>
        <v>#DIV/0!</v>
      </c>
      <c r="F22" s="64" t="e">
        <f>Exams!G23</f>
        <v>#DIV/0!</v>
      </c>
      <c r="G22" s="63" t="e">
        <f t="shared" si="2"/>
        <v>#DIV/0!</v>
      </c>
      <c r="H22" s="64" t="e">
        <f>PrepParticipation!M23</f>
        <v>#DIV/0!</v>
      </c>
      <c r="I22" s="63" t="e">
        <f t="shared" si="3"/>
        <v>#DIV/0!</v>
      </c>
      <c r="J22" s="62">
        <f>Attendance!BB20</f>
        <v>100</v>
      </c>
      <c r="K22" s="63">
        <f t="shared" si="4"/>
        <v>5</v>
      </c>
      <c r="L22" s="62" t="e">
        <f t="shared" si="5"/>
        <v>#DIV/0!</v>
      </c>
      <c r="M22" s="67"/>
      <c r="N22" s="3">
        <f t="shared" si="6"/>
        <v>0</v>
      </c>
      <c r="O22" s="10"/>
      <c r="P22" s="8" t="e">
        <f t="shared" si="7"/>
        <v>#DIV/0!</v>
      </c>
      <c r="Q22" s="3" t="e">
        <f t="shared" si="8"/>
        <v>#DIV/0!</v>
      </c>
      <c r="S22" s="78" t="e">
        <f t="shared" si="9"/>
        <v>#DIV/0!</v>
      </c>
      <c r="T22" s="79" t="e">
        <f t="shared" si="10"/>
        <v>#DIV/0!</v>
      </c>
    </row>
    <row r="23" spans="1:20">
      <c r="A23" s="67"/>
      <c r="B23" s="62" t="e">
        <f>Exercises!AB24</f>
        <v>#DIV/0!</v>
      </c>
      <c r="C23" s="63" t="e">
        <f t="shared" si="0"/>
        <v>#DIV/0!</v>
      </c>
      <c r="D23" s="62" t="e">
        <f>Compositions!R21</f>
        <v>#DIV/0!</v>
      </c>
      <c r="E23" s="63" t="e">
        <f t="shared" si="1"/>
        <v>#DIV/0!</v>
      </c>
      <c r="F23" s="64" t="e">
        <f>Exams!G24</f>
        <v>#DIV/0!</v>
      </c>
      <c r="G23" s="63" t="e">
        <f t="shared" si="2"/>
        <v>#DIV/0!</v>
      </c>
      <c r="H23" s="64" t="e">
        <f>PrepParticipation!M24</f>
        <v>#DIV/0!</v>
      </c>
      <c r="I23" s="63" t="e">
        <f t="shared" si="3"/>
        <v>#DIV/0!</v>
      </c>
      <c r="J23" s="62">
        <f>Attendance!BB21</f>
        <v>100</v>
      </c>
      <c r="K23" s="63">
        <f t="shared" si="4"/>
        <v>5</v>
      </c>
      <c r="L23" s="62" t="e">
        <f t="shared" si="5"/>
        <v>#DIV/0!</v>
      </c>
      <c r="M23" s="67"/>
      <c r="N23" s="3">
        <f t="shared" si="6"/>
        <v>0</v>
      </c>
      <c r="O23" s="10"/>
      <c r="P23" s="8" t="e">
        <f t="shared" si="7"/>
        <v>#DIV/0!</v>
      </c>
      <c r="Q23" s="3" t="e">
        <f t="shared" si="8"/>
        <v>#DIV/0!</v>
      </c>
      <c r="S23" s="78" t="e">
        <f t="shared" si="9"/>
        <v>#DIV/0!</v>
      </c>
      <c r="T23" s="79" t="e">
        <f t="shared" si="10"/>
        <v>#DIV/0!</v>
      </c>
    </row>
    <row r="24" spans="1:20">
      <c r="A24" s="67"/>
      <c r="B24" s="62" t="e">
        <f>Exercises!AB25</f>
        <v>#DIV/0!</v>
      </c>
      <c r="C24" s="63" t="e">
        <f t="shared" si="0"/>
        <v>#DIV/0!</v>
      </c>
      <c r="D24" s="62" t="e">
        <f>Compositions!R22</f>
        <v>#DIV/0!</v>
      </c>
      <c r="E24" s="63" t="e">
        <f t="shared" si="1"/>
        <v>#DIV/0!</v>
      </c>
      <c r="F24" s="64" t="e">
        <f>Exams!G25</f>
        <v>#DIV/0!</v>
      </c>
      <c r="G24" s="63" t="e">
        <f t="shared" si="2"/>
        <v>#DIV/0!</v>
      </c>
      <c r="H24" s="64" t="e">
        <f>PrepParticipation!M25</f>
        <v>#DIV/0!</v>
      </c>
      <c r="I24" s="63" t="e">
        <f t="shared" si="3"/>
        <v>#DIV/0!</v>
      </c>
      <c r="J24" s="62">
        <f>Attendance!BB22</f>
        <v>100</v>
      </c>
      <c r="K24" s="63">
        <f t="shared" si="4"/>
        <v>5</v>
      </c>
      <c r="L24" s="62" t="e">
        <f t="shared" si="5"/>
        <v>#DIV/0!</v>
      </c>
      <c r="M24" s="67"/>
      <c r="N24" s="3">
        <f t="shared" si="6"/>
        <v>0</v>
      </c>
      <c r="O24" s="10"/>
      <c r="P24" s="8" t="e">
        <f t="shared" si="7"/>
        <v>#DIV/0!</v>
      </c>
      <c r="Q24" s="3" t="e">
        <f t="shared" si="8"/>
        <v>#DIV/0!</v>
      </c>
      <c r="S24" s="78" t="e">
        <f t="shared" si="9"/>
        <v>#DIV/0!</v>
      </c>
      <c r="T24" s="79" t="e">
        <f t="shared" si="10"/>
        <v>#DIV/0!</v>
      </c>
    </row>
    <row r="25" spans="1:20">
      <c r="A25" s="67"/>
      <c r="B25" s="62" t="e">
        <f>Exercises!AB26</f>
        <v>#DIV/0!</v>
      </c>
      <c r="C25" s="63" t="e">
        <f t="shared" si="0"/>
        <v>#DIV/0!</v>
      </c>
      <c r="D25" s="62" t="e">
        <f>Compositions!R23</f>
        <v>#DIV/0!</v>
      </c>
      <c r="E25" s="63" t="e">
        <f t="shared" si="1"/>
        <v>#DIV/0!</v>
      </c>
      <c r="F25" s="64" t="e">
        <f>Exams!G26</f>
        <v>#DIV/0!</v>
      </c>
      <c r="G25" s="63" t="e">
        <f t="shared" si="2"/>
        <v>#DIV/0!</v>
      </c>
      <c r="H25" s="64" t="e">
        <f>PrepParticipation!M26</f>
        <v>#DIV/0!</v>
      </c>
      <c r="I25" s="63" t="e">
        <f t="shared" si="3"/>
        <v>#DIV/0!</v>
      </c>
      <c r="J25" s="62">
        <f>Attendance!BB23</f>
        <v>100</v>
      </c>
      <c r="K25" s="63">
        <f t="shared" si="4"/>
        <v>5</v>
      </c>
      <c r="L25" s="62" t="e">
        <f t="shared" si="5"/>
        <v>#DIV/0!</v>
      </c>
      <c r="M25" s="67"/>
      <c r="N25" s="3">
        <f t="shared" si="6"/>
        <v>0</v>
      </c>
      <c r="O25" s="10"/>
      <c r="P25" s="8" t="e">
        <f t="shared" si="7"/>
        <v>#DIV/0!</v>
      </c>
      <c r="Q25" s="3" t="e">
        <f t="shared" si="8"/>
        <v>#DIV/0!</v>
      </c>
      <c r="S25" s="78" t="e">
        <f t="shared" si="9"/>
        <v>#DIV/0!</v>
      </c>
      <c r="T25" s="79" t="e">
        <f t="shared" si="10"/>
        <v>#DIV/0!</v>
      </c>
    </row>
    <row r="26" spans="1:20">
      <c r="A26" s="67"/>
      <c r="B26" s="62" t="e">
        <f>Exercises!AB27</f>
        <v>#DIV/0!</v>
      </c>
      <c r="C26" s="63" t="e">
        <f t="shared" si="0"/>
        <v>#DIV/0!</v>
      </c>
      <c r="D26" s="62" t="e">
        <f>Compositions!R24</f>
        <v>#DIV/0!</v>
      </c>
      <c r="E26" s="63" t="e">
        <f t="shared" si="1"/>
        <v>#DIV/0!</v>
      </c>
      <c r="F26" s="64" t="e">
        <f>Exams!G27</f>
        <v>#DIV/0!</v>
      </c>
      <c r="G26" s="63" t="e">
        <f t="shared" si="2"/>
        <v>#DIV/0!</v>
      </c>
      <c r="H26" s="64" t="e">
        <f>PrepParticipation!M27</f>
        <v>#DIV/0!</v>
      </c>
      <c r="I26" s="63" t="e">
        <f t="shared" si="3"/>
        <v>#DIV/0!</v>
      </c>
      <c r="J26" s="62">
        <f>Attendance!BB24</f>
        <v>100</v>
      </c>
      <c r="K26" s="63">
        <f t="shared" si="4"/>
        <v>5</v>
      </c>
      <c r="L26" s="62" t="e">
        <f t="shared" si="5"/>
        <v>#DIV/0!</v>
      </c>
      <c r="M26" s="67"/>
      <c r="N26" s="3">
        <f t="shared" si="6"/>
        <v>0</v>
      </c>
      <c r="O26" s="10"/>
      <c r="P26" s="8" t="e">
        <f t="shared" si="7"/>
        <v>#DIV/0!</v>
      </c>
      <c r="Q26" s="3" t="e">
        <f t="shared" si="8"/>
        <v>#DIV/0!</v>
      </c>
      <c r="S26" s="78" t="e">
        <f t="shared" si="9"/>
        <v>#DIV/0!</v>
      </c>
      <c r="T26" s="79" t="e">
        <f t="shared" si="10"/>
        <v>#DIV/0!</v>
      </c>
    </row>
    <row r="27" spans="1:20">
      <c r="A27" s="67"/>
      <c r="B27" s="62" t="e">
        <f>Exercises!AB28</f>
        <v>#DIV/0!</v>
      </c>
      <c r="C27" s="63" t="e">
        <f t="shared" si="0"/>
        <v>#DIV/0!</v>
      </c>
      <c r="D27" s="62" t="e">
        <f>Compositions!R25</f>
        <v>#DIV/0!</v>
      </c>
      <c r="E27" s="63" t="e">
        <f t="shared" si="1"/>
        <v>#DIV/0!</v>
      </c>
      <c r="F27" s="64" t="e">
        <f>Exams!G28</f>
        <v>#DIV/0!</v>
      </c>
      <c r="G27" s="63" t="e">
        <f t="shared" si="2"/>
        <v>#DIV/0!</v>
      </c>
      <c r="H27" s="64" t="e">
        <f>PrepParticipation!M28</f>
        <v>#DIV/0!</v>
      </c>
      <c r="I27" s="63" t="e">
        <f t="shared" si="3"/>
        <v>#DIV/0!</v>
      </c>
      <c r="J27" s="62">
        <f>Attendance!BB25</f>
        <v>100</v>
      </c>
      <c r="K27" s="63">
        <f t="shared" si="4"/>
        <v>5</v>
      </c>
      <c r="L27" s="62" t="e">
        <f t="shared" si="5"/>
        <v>#DIV/0!</v>
      </c>
      <c r="M27" s="67"/>
      <c r="N27" s="3">
        <f t="shared" si="6"/>
        <v>0</v>
      </c>
      <c r="O27" s="10"/>
      <c r="P27" s="8" t="e">
        <f t="shared" si="7"/>
        <v>#DIV/0!</v>
      </c>
      <c r="Q27" s="3" t="e">
        <f t="shared" si="8"/>
        <v>#DIV/0!</v>
      </c>
      <c r="S27" s="78" t="e">
        <f t="shared" si="9"/>
        <v>#DIV/0!</v>
      </c>
      <c r="T27" s="79" t="e">
        <f t="shared" si="10"/>
        <v>#DIV/0!</v>
      </c>
    </row>
    <row r="28" spans="1:20">
      <c r="A28" s="67"/>
      <c r="B28" s="62" t="e">
        <f>Exercises!AB29</f>
        <v>#DIV/0!</v>
      </c>
      <c r="C28" s="63" t="e">
        <f t="shared" si="0"/>
        <v>#DIV/0!</v>
      </c>
      <c r="D28" s="62" t="e">
        <f>Compositions!R26</f>
        <v>#DIV/0!</v>
      </c>
      <c r="E28" s="63" t="e">
        <f t="shared" si="1"/>
        <v>#DIV/0!</v>
      </c>
      <c r="F28" s="64" t="e">
        <f>Exams!G29</f>
        <v>#DIV/0!</v>
      </c>
      <c r="G28" s="63" t="e">
        <f t="shared" si="2"/>
        <v>#DIV/0!</v>
      </c>
      <c r="H28" s="64" t="e">
        <f>PrepParticipation!M29</f>
        <v>#DIV/0!</v>
      </c>
      <c r="I28" s="63" t="e">
        <f t="shared" si="3"/>
        <v>#DIV/0!</v>
      </c>
      <c r="J28" s="62">
        <f>Attendance!BB26</f>
        <v>100</v>
      </c>
      <c r="K28" s="63">
        <f t="shared" si="4"/>
        <v>5</v>
      </c>
      <c r="L28" s="62" t="e">
        <f t="shared" si="5"/>
        <v>#DIV/0!</v>
      </c>
      <c r="M28" s="67"/>
      <c r="N28" s="3">
        <f t="shared" si="6"/>
        <v>0</v>
      </c>
      <c r="O28" s="10"/>
      <c r="P28" s="8" t="e">
        <f t="shared" si="7"/>
        <v>#DIV/0!</v>
      </c>
      <c r="Q28" s="3" t="e">
        <f t="shared" si="8"/>
        <v>#DIV/0!</v>
      </c>
      <c r="S28" s="78" t="e">
        <f t="shared" si="9"/>
        <v>#DIV/0!</v>
      </c>
      <c r="T28" s="79" t="e">
        <f t="shared" si="10"/>
        <v>#DIV/0!</v>
      </c>
    </row>
    <row r="29" spans="1:20">
      <c r="A29" s="67"/>
      <c r="B29" s="62" t="e">
        <f>Exercises!AB30</f>
        <v>#DIV/0!</v>
      </c>
      <c r="C29" s="63" t="e">
        <f t="shared" si="0"/>
        <v>#DIV/0!</v>
      </c>
      <c r="D29" s="62" t="e">
        <f>Compositions!R27</f>
        <v>#DIV/0!</v>
      </c>
      <c r="E29" s="63" t="e">
        <f t="shared" si="1"/>
        <v>#DIV/0!</v>
      </c>
      <c r="F29" s="64" t="e">
        <f>Exams!G30</f>
        <v>#DIV/0!</v>
      </c>
      <c r="G29" s="63" t="e">
        <f t="shared" si="2"/>
        <v>#DIV/0!</v>
      </c>
      <c r="H29" s="64" t="e">
        <f>PrepParticipation!M30</f>
        <v>#DIV/0!</v>
      </c>
      <c r="I29" s="63" t="e">
        <f t="shared" si="3"/>
        <v>#DIV/0!</v>
      </c>
      <c r="J29" s="62">
        <f>Attendance!BB27</f>
        <v>100</v>
      </c>
      <c r="K29" s="63">
        <f t="shared" si="4"/>
        <v>5</v>
      </c>
      <c r="L29" s="62" t="e">
        <f t="shared" si="5"/>
        <v>#DIV/0!</v>
      </c>
      <c r="M29" s="67"/>
      <c r="N29" s="3">
        <f t="shared" si="6"/>
        <v>0</v>
      </c>
      <c r="O29" s="10"/>
      <c r="P29" s="8" t="e">
        <f t="shared" si="7"/>
        <v>#DIV/0!</v>
      </c>
      <c r="Q29" s="3" t="e">
        <f t="shared" si="8"/>
        <v>#DIV/0!</v>
      </c>
      <c r="S29" s="78" t="e">
        <f t="shared" si="9"/>
        <v>#DIV/0!</v>
      </c>
      <c r="T29" s="79" t="e">
        <f t="shared" si="10"/>
        <v>#DIV/0!</v>
      </c>
    </row>
    <row r="30" spans="1:20">
      <c r="A30" s="67"/>
      <c r="B30" s="62" t="e">
        <f>Exercises!AB31</f>
        <v>#DIV/0!</v>
      </c>
      <c r="C30" s="63" t="e">
        <f t="shared" si="0"/>
        <v>#DIV/0!</v>
      </c>
      <c r="D30" s="62" t="e">
        <f>Compositions!R28</f>
        <v>#DIV/0!</v>
      </c>
      <c r="E30" s="63" t="e">
        <f t="shared" si="1"/>
        <v>#DIV/0!</v>
      </c>
      <c r="F30" s="64" t="e">
        <f>Exams!G31</f>
        <v>#DIV/0!</v>
      </c>
      <c r="G30" s="63" t="e">
        <f t="shared" si="2"/>
        <v>#DIV/0!</v>
      </c>
      <c r="H30" s="64" t="e">
        <f>PrepParticipation!M31</f>
        <v>#DIV/0!</v>
      </c>
      <c r="I30" s="63" t="e">
        <f t="shared" si="3"/>
        <v>#DIV/0!</v>
      </c>
      <c r="J30" s="62">
        <f>Attendance!BB28</f>
        <v>100</v>
      </c>
      <c r="K30" s="63">
        <f t="shared" si="4"/>
        <v>5</v>
      </c>
      <c r="L30" s="62" t="e">
        <f t="shared" si="5"/>
        <v>#DIV/0!</v>
      </c>
      <c r="M30" s="67"/>
      <c r="N30" s="3">
        <f t="shared" si="6"/>
        <v>0</v>
      </c>
      <c r="O30" s="10"/>
      <c r="P30" s="8" t="e">
        <f t="shared" si="7"/>
        <v>#DIV/0!</v>
      </c>
      <c r="Q30" s="3" t="e">
        <f t="shared" si="8"/>
        <v>#DIV/0!</v>
      </c>
      <c r="S30" s="78" t="e">
        <f t="shared" si="9"/>
        <v>#DIV/0!</v>
      </c>
      <c r="T30" s="79" t="e">
        <f t="shared" si="10"/>
        <v>#DIV/0!</v>
      </c>
    </row>
    <row r="31" spans="1:20">
      <c r="A31" s="67"/>
      <c r="B31" s="62" t="e">
        <f>Exercises!AB32</f>
        <v>#DIV/0!</v>
      </c>
      <c r="C31" s="63" t="e">
        <f t="shared" si="0"/>
        <v>#DIV/0!</v>
      </c>
      <c r="D31" s="62" t="e">
        <f>Compositions!R29</f>
        <v>#DIV/0!</v>
      </c>
      <c r="E31" s="63" t="e">
        <f t="shared" si="1"/>
        <v>#DIV/0!</v>
      </c>
      <c r="F31" s="64" t="e">
        <f>Exams!G32</f>
        <v>#DIV/0!</v>
      </c>
      <c r="G31" s="63" t="e">
        <f t="shared" si="2"/>
        <v>#DIV/0!</v>
      </c>
      <c r="H31" s="64" t="e">
        <f>PrepParticipation!M32</f>
        <v>#DIV/0!</v>
      </c>
      <c r="I31" s="63" t="e">
        <f t="shared" si="3"/>
        <v>#DIV/0!</v>
      </c>
      <c r="J31" s="62">
        <f>Attendance!BB29</f>
        <v>100</v>
      </c>
      <c r="K31" s="63">
        <f t="shared" si="4"/>
        <v>5</v>
      </c>
      <c r="L31" s="62" t="e">
        <f t="shared" si="5"/>
        <v>#DIV/0!</v>
      </c>
      <c r="M31" s="67"/>
      <c r="N31" s="3">
        <f t="shared" si="6"/>
        <v>0</v>
      </c>
      <c r="O31" s="10"/>
      <c r="P31" s="8" t="e">
        <f t="shared" si="7"/>
        <v>#DIV/0!</v>
      </c>
      <c r="Q31" s="3" t="e">
        <f t="shared" si="8"/>
        <v>#DIV/0!</v>
      </c>
      <c r="S31" s="78" t="e">
        <f t="shared" si="9"/>
        <v>#DIV/0!</v>
      </c>
      <c r="T31" s="79" t="e">
        <f t="shared" si="10"/>
        <v>#DIV/0!</v>
      </c>
    </row>
    <row r="32" spans="1:20">
      <c r="A32" s="67"/>
      <c r="B32" s="62" t="e">
        <f>Exercises!AB33</f>
        <v>#DIV/0!</v>
      </c>
      <c r="C32" s="63" t="e">
        <f t="shared" si="0"/>
        <v>#DIV/0!</v>
      </c>
      <c r="D32" s="62" t="e">
        <f>Compositions!R30</f>
        <v>#DIV/0!</v>
      </c>
      <c r="E32" s="63" t="e">
        <f t="shared" si="1"/>
        <v>#DIV/0!</v>
      </c>
      <c r="F32" s="64" t="e">
        <f>Exams!G33</f>
        <v>#DIV/0!</v>
      </c>
      <c r="G32" s="63" t="e">
        <f t="shared" si="2"/>
        <v>#DIV/0!</v>
      </c>
      <c r="H32" s="64" t="e">
        <f>PrepParticipation!M33</f>
        <v>#DIV/0!</v>
      </c>
      <c r="I32" s="63" t="e">
        <f t="shared" si="3"/>
        <v>#DIV/0!</v>
      </c>
      <c r="J32" s="62">
        <f>Attendance!BB30</f>
        <v>100</v>
      </c>
      <c r="K32" s="63">
        <f t="shared" si="4"/>
        <v>5</v>
      </c>
      <c r="L32" s="62" t="e">
        <f t="shared" si="5"/>
        <v>#DIV/0!</v>
      </c>
      <c r="M32" s="67"/>
      <c r="N32" s="3">
        <f t="shared" si="6"/>
        <v>0</v>
      </c>
      <c r="O32" s="10"/>
      <c r="P32" s="8" t="e">
        <f t="shared" si="7"/>
        <v>#DIV/0!</v>
      </c>
      <c r="Q32" s="3" t="e">
        <f t="shared" si="8"/>
        <v>#DIV/0!</v>
      </c>
      <c r="S32" s="78" t="e">
        <f t="shared" si="9"/>
        <v>#DIV/0!</v>
      </c>
      <c r="T32" s="79" t="e">
        <f t="shared" si="10"/>
        <v>#DIV/0!</v>
      </c>
    </row>
    <row r="33" spans="1:20">
      <c r="A33" s="67"/>
      <c r="B33" s="62" t="e">
        <f>Exercises!AB34</f>
        <v>#DIV/0!</v>
      </c>
      <c r="C33" s="63" t="e">
        <f t="shared" si="0"/>
        <v>#DIV/0!</v>
      </c>
      <c r="D33" s="62" t="e">
        <f>Compositions!R31</f>
        <v>#DIV/0!</v>
      </c>
      <c r="E33" s="63" t="e">
        <f t="shared" si="1"/>
        <v>#DIV/0!</v>
      </c>
      <c r="F33" s="64" t="e">
        <f>Exams!G34</f>
        <v>#DIV/0!</v>
      </c>
      <c r="G33" s="63" t="e">
        <f t="shared" si="2"/>
        <v>#DIV/0!</v>
      </c>
      <c r="H33" s="64" t="e">
        <f>PrepParticipation!M34</f>
        <v>#DIV/0!</v>
      </c>
      <c r="I33" s="63" t="e">
        <f t="shared" si="3"/>
        <v>#DIV/0!</v>
      </c>
      <c r="J33" s="62">
        <f>Attendance!BB31</f>
        <v>100</v>
      </c>
      <c r="K33" s="63">
        <f t="shared" si="4"/>
        <v>5</v>
      </c>
      <c r="L33" s="62" t="e">
        <f t="shared" si="5"/>
        <v>#DIV/0!</v>
      </c>
      <c r="M33" s="67"/>
      <c r="N33" s="3">
        <f t="shared" si="6"/>
        <v>0</v>
      </c>
      <c r="O33" s="10"/>
      <c r="P33" s="8" t="e">
        <f t="shared" si="7"/>
        <v>#DIV/0!</v>
      </c>
      <c r="Q33" s="3" t="e">
        <f t="shared" si="8"/>
        <v>#DIV/0!</v>
      </c>
      <c r="S33" s="78" t="e">
        <f t="shared" si="9"/>
        <v>#DIV/0!</v>
      </c>
      <c r="T33" s="79" t="e">
        <f t="shared" si="10"/>
        <v>#DIV/0!</v>
      </c>
    </row>
    <row r="34" spans="1:20">
      <c r="A34" s="67"/>
      <c r="B34" s="62" t="e">
        <f>Exercises!AB35</f>
        <v>#DIV/0!</v>
      </c>
      <c r="C34" s="63" t="e">
        <f t="shared" si="0"/>
        <v>#DIV/0!</v>
      </c>
      <c r="D34" s="62" t="e">
        <f>Compositions!R32</f>
        <v>#DIV/0!</v>
      </c>
      <c r="E34" s="63" t="e">
        <f t="shared" si="1"/>
        <v>#DIV/0!</v>
      </c>
      <c r="F34" s="64" t="e">
        <f>Exams!G35</f>
        <v>#DIV/0!</v>
      </c>
      <c r="G34" s="63" t="e">
        <f t="shared" si="2"/>
        <v>#DIV/0!</v>
      </c>
      <c r="H34" s="64" t="e">
        <f>PrepParticipation!M35</f>
        <v>#DIV/0!</v>
      </c>
      <c r="I34" s="63" t="e">
        <f t="shared" si="3"/>
        <v>#DIV/0!</v>
      </c>
      <c r="J34" s="62">
        <f>Attendance!BB32</f>
        <v>100</v>
      </c>
      <c r="K34" s="63">
        <f t="shared" si="4"/>
        <v>5</v>
      </c>
      <c r="L34" s="62" t="e">
        <f t="shared" si="5"/>
        <v>#DIV/0!</v>
      </c>
      <c r="M34" s="67"/>
      <c r="N34" s="3">
        <f t="shared" si="6"/>
        <v>0</v>
      </c>
      <c r="O34" s="10"/>
      <c r="P34" s="8" t="e">
        <f t="shared" si="7"/>
        <v>#DIV/0!</v>
      </c>
      <c r="Q34" s="3" t="e">
        <f t="shared" si="8"/>
        <v>#DIV/0!</v>
      </c>
      <c r="S34" s="78" t="e">
        <f t="shared" si="9"/>
        <v>#DIV/0!</v>
      </c>
      <c r="T34" s="79" t="e">
        <f t="shared" si="10"/>
        <v>#DIV/0!</v>
      </c>
    </row>
    <row r="35" spans="1:20" ht="13" thickBot="1">
      <c r="A35" s="75"/>
      <c r="B35" s="62" t="e">
        <f>Exercises!AB36</f>
        <v>#DIV/0!</v>
      </c>
      <c r="C35" s="63" t="e">
        <f t="shared" si="0"/>
        <v>#DIV/0!</v>
      </c>
      <c r="D35" s="62" t="e">
        <f>Compositions!R33</f>
        <v>#DIV/0!</v>
      </c>
      <c r="E35" s="63" t="e">
        <f t="shared" si="1"/>
        <v>#DIV/0!</v>
      </c>
      <c r="F35" s="64" t="e">
        <f>Exams!G36</f>
        <v>#DIV/0!</v>
      </c>
      <c r="G35" s="63" t="e">
        <f t="shared" si="2"/>
        <v>#DIV/0!</v>
      </c>
      <c r="H35" s="64" t="e">
        <f>PrepParticipation!M36</f>
        <v>#DIV/0!</v>
      </c>
      <c r="I35" s="63" t="e">
        <f t="shared" si="3"/>
        <v>#DIV/0!</v>
      </c>
      <c r="J35" s="62">
        <f>Attendance!BB33</f>
        <v>100</v>
      </c>
      <c r="K35" s="63">
        <f t="shared" si="4"/>
        <v>5</v>
      </c>
      <c r="L35" s="62" t="e">
        <f t="shared" si="5"/>
        <v>#DIV/0!</v>
      </c>
      <c r="M35" s="67"/>
      <c r="N35" s="3">
        <f t="shared" si="6"/>
        <v>0</v>
      </c>
      <c r="O35" s="10"/>
      <c r="P35" s="8" t="e">
        <f t="shared" si="7"/>
        <v>#DIV/0!</v>
      </c>
      <c r="Q35" s="3" t="e">
        <f t="shared" si="8"/>
        <v>#DIV/0!</v>
      </c>
      <c r="S35" s="78" t="e">
        <f t="shared" si="9"/>
        <v>#DIV/0!</v>
      </c>
      <c r="T35" s="79" t="e">
        <f t="shared" si="10"/>
        <v>#DIV/0!</v>
      </c>
    </row>
    <row r="36" spans="1:20" ht="13" thickTop="1"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</row>
  </sheetData>
  <sheetProtection sheet="1" objects="1" scenarios="1"/>
  <mergeCells count="13">
    <mergeCell ref="H5:I5"/>
    <mergeCell ref="J5:K5"/>
    <mergeCell ref="M5:N5"/>
    <mergeCell ref="B4:C4"/>
    <mergeCell ref="B5:C5"/>
    <mergeCell ref="D5:E5"/>
    <mergeCell ref="F5:G5"/>
    <mergeCell ref="S4:T4"/>
    <mergeCell ref="D4:E4"/>
    <mergeCell ref="F4:G4"/>
    <mergeCell ref="H4:I4"/>
    <mergeCell ref="P4:Q4"/>
    <mergeCell ref="M4:N4"/>
  </mergeCells>
  <pageMargins left="0.75" right="0.75" top="1" bottom="1" header="0.5" footer="0.5"/>
  <pageSetup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workbookViewId="0">
      <selection activeCell="C7" sqref="C7"/>
    </sheetView>
  </sheetViews>
  <sheetFormatPr defaultColWidth="10.81640625" defaultRowHeight="15.5"/>
  <cols>
    <col min="1" max="1" width="3.1796875" style="22" customWidth="1"/>
    <col min="2" max="2" width="19.81640625" style="22" customWidth="1"/>
    <col min="3" max="27" width="4.81640625" style="22" customWidth="1"/>
    <col min="28" max="28" width="5.453125" style="45" customWidth="1"/>
    <col min="29" max="16384" width="10.81640625" style="22"/>
  </cols>
  <sheetData>
    <row r="1" spans="1:28">
      <c r="A1" s="14" t="s">
        <v>15</v>
      </c>
      <c r="B1" s="15"/>
      <c r="C1" s="15"/>
      <c r="D1" s="15"/>
      <c r="E1" s="14"/>
      <c r="F1" s="15"/>
      <c r="G1" s="15"/>
      <c r="H1" s="15"/>
      <c r="I1" s="16"/>
      <c r="J1" s="15"/>
      <c r="K1" s="15"/>
      <c r="L1" s="15"/>
      <c r="M1" s="15"/>
      <c r="N1" s="17"/>
      <c r="O1" s="18"/>
      <c r="P1" s="19"/>
      <c r="Q1" s="19"/>
      <c r="R1" s="18"/>
      <c r="S1" s="18"/>
      <c r="T1" s="19"/>
      <c r="U1" s="17"/>
      <c r="V1" s="15"/>
      <c r="W1" s="15"/>
      <c r="X1" s="20"/>
      <c r="Y1" s="15"/>
      <c r="Z1" s="15"/>
      <c r="AA1" s="15"/>
      <c r="AB1" s="43"/>
    </row>
    <row r="2" spans="1:28" ht="17" customHeight="1">
      <c r="A2" s="23"/>
      <c r="B2" s="23"/>
      <c r="C2" s="23"/>
      <c r="D2" s="24"/>
      <c r="E2" s="24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B2" s="42"/>
    </row>
    <row r="3" spans="1:28" ht="16" customHeight="1" thickBot="1">
      <c r="A3" s="25" t="s">
        <v>16</v>
      </c>
      <c r="B3" s="26"/>
      <c r="C3" s="26"/>
      <c r="D3" s="26"/>
      <c r="E3" s="26"/>
      <c r="F3" s="26"/>
      <c r="G3" s="21"/>
      <c r="H3" s="26"/>
      <c r="I3" s="27" t="s">
        <v>17</v>
      </c>
      <c r="J3" s="28"/>
      <c r="K3" s="29"/>
      <c r="L3" s="29"/>
      <c r="M3" s="28"/>
      <c r="O3" s="27" t="s">
        <v>18</v>
      </c>
      <c r="P3" s="21"/>
      <c r="Q3" s="21"/>
      <c r="R3" s="21"/>
      <c r="S3" s="21"/>
      <c r="T3" s="27" t="s">
        <v>19</v>
      </c>
      <c r="V3" s="29"/>
      <c r="W3" s="29"/>
      <c r="X3" s="29"/>
      <c r="Y3" s="29"/>
      <c r="Z3" s="29"/>
      <c r="AA3" s="21"/>
      <c r="AB3" s="65" t="s">
        <v>20</v>
      </c>
    </row>
    <row r="4" spans="1:28" ht="18" customHeight="1">
      <c r="A4" s="30" t="s">
        <v>21</v>
      </c>
      <c r="B4" s="31"/>
      <c r="C4" s="32" t="s">
        <v>47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44"/>
    </row>
    <row r="5" spans="1:28" ht="18" customHeight="1">
      <c r="A5" s="34" t="s">
        <v>22</v>
      </c>
      <c r="B5" s="35"/>
      <c r="C5" s="36"/>
      <c r="D5" s="36"/>
      <c r="E5" s="36"/>
      <c r="F5" s="36"/>
      <c r="G5" s="36"/>
      <c r="H5" s="36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91" t="s">
        <v>23</v>
      </c>
    </row>
    <row r="6" spans="1:28" ht="18" customHeight="1">
      <c r="A6" s="38">
        <f ca="1">NOW()</f>
        <v>43857.532910069443</v>
      </c>
      <c r="B6" s="39"/>
      <c r="C6" s="40"/>
      <c r="D6" s="41"/>
      <c r="E6" s="40"/>
      <c r="F6" s="40"/>
      <c r="G6" s="40"/>
      <c r="H6" s="40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92" t="s">
        <v>24</v>
      </c>
    </row>
    <row r="7" spans="1:28" s="102" customFormat="1" ht="15" customHeight="1">
      <c r="A7" s="98">
        <v>1</v>
      </c>
      <c r="B7" s="99">
        <f>grades!A6</f>
        <v>0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1" t="e">
        <f>AVERAGE(C7:AA7)</f>
        <v>#DIV/0!</v>
      </c>
    </row>
    <row r="8" spans="1:28" s="102" customFormat="1" ht="15" customHeight="1">
      <c r="A8" s="103">
        <v>2</v>
      </c>
      <c r="B8" s="99">
        <f>grades!A7</f>
        <v>0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1" t="e">
        <f t="shared" ref="AB8:AB30" si="0">AVERAGE(C8:AA8)</f>
        <v>#DIV/0!</v>
      </c>
    </row>
    <row r="9" spans="1:28" s="102" customFormat="1" ht="15" customHeight="1">
      <c r="A9" s="103">
        <v>3</v>
      </c>
      <c r="B9" s="99">
        <f>grades!A8</f>
        <v>0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1" t="e">
        <f t="shared" si="0"/>
        <v>#DIV/0!</v>
      </c>
    </row>
    <row r="10" spans="1:28" s="102" customFormat="1" ht="15" customHeight="1">
      <c r="A10" s="103">
        <v>4</v>
      </c>
      <c r="B10" s="99">
        <f>grades!A9</f>
        <v>0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1" t="e">
        <f t="shared" si="0"/>
        <v>#DIV/0!</v>
      </c>
    </row>
    <row r="11" spans="1:28" s="102" customFormat="1" ht="15" customHeight="1">
      <c r="A11" s="103">
        <v>5</v>
      </c>
      <c r="B11" s="99">
        <f>grades!A10</f>
        <v>0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1" t="e">
        <f t="shared" si="0"/>
        <v>#DIV/0!</v>
      </c>
    </row>
    <row r="12" spans="1:28" s="102" customFormat="1" ht="15" customHeight="1">
      <c r="A12" s="103">
        <v>6</v>
      </c>
      <c r="B12" s="99">
        <f>grades!A11</f>
        <v>0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1" t="e">
        <f t="shared" si="0"/>
        <v>#DIV/0!</v>
      </c>
    </row>
    <row r="13" spans="1:28" s="102" customFormat="1" ht="15" customHeight="1">
      <c r="A13" s="103">
        <v>7</v>
      </c>
      <c r="B13" s="99">
        <f>grades!A12</f>
        <v>0</v>
      </c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1" t="e">
        <f t="shared" si="0"/>
        <v>#DIV/0!</v>
      </c>
    </row>
    <row r="14" spans="1:28" s="102" customFormat="1" ht="15" customHeight="1">
      <c r="A14" s="103">
        <v>8</v>
      </c>
      <c r="B14" s="99">
        <f>grades!A13</f>
        <v>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1" t="e">
        <f t="shared" si="0"/>
        <v>#DIV/0!</v>
      </c>
    </row>
    <row r="15" spans="1:28" s="102" customFormat="1" ht="15" customHeight="1">
      <c r="A15" s="103">
        <v>9</v>
      </c>
      <c r="B15" s="99">
        <f>grades!A14</f>
        <v>0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1" t="e">
        <f t="shared" si="0"/>
        <v>#DIV/0!</v>
      </c>
    </row>
    <row r="16" spans="1:28" s="102" customFormat="1" ht="15" customHeight="1">
      <c r="A16" s="103">
        <v>10</v>
      </c>
      <c r="B16" s="99">
        <f>grades!A15</f>
        <v>0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1" t="e">
        <f t="shared" si="0"/>
        <v>#DIV/0!</v>
      </c>
    </row>
    <row r="17" spans="1:28" s="102" customFormat="1" ht="15" customHeight="1">
      <c r="A17" s="103">
        <v>11</v>
      </c>
      <c r="B17" s="99">
        <f>grades!A16</f>
        <v>0</v>
      </c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1" t="e">
        <f t="shared" si="0"/>
        <v>#DIV/0!</v>
      </c>
    </row>
    <row r="18" spans="1:28" s="102" customFormat="1" ht="15" customHeight="1">
      <c r="A18" s="103">
        <v>12</v>
      </c>
      <c r="B18" s="99">
        <f>grades!A17</f>
        <v>0</v>
      </c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1" t="e">
        <f t="shared" si="0"/>
        <v>#DIV/0!</v>
      </c>
    </row>
    <row r="19" spans="1:28" s="102" customFormat="1" ht="15" customHeight="1">
      <c r="A19" s="103">
        <v>13</v>
      </c>
      <c r="B19" s="99">
        <f>grades!A18</f>
        <v>0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1" t="e">
        <f t="shared" si="0"/>
        <v>#DIV/0!</v>
      </c>
    </row>
    <row r="20" spans="1:28" s="102" customFormat="1" ht="15" customHeight="1">
      <c r="A20" s="103">
        <v>14</v>
      </c>
      <c r="B20" s="99">
        <f>grades!A19</f>
        <v>0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1" t="e">
        <f t="shared" si="0"/>
        <v>#DIV/0!</v>
      </c>
    </row>
    <row r="21" spans="1:28" s="102" customFormat="1" ht="15" customHeight="1">
      <c r="A21" s="103">
        <v>15</v>
      </c>
      <c r="B21" s="99">
        <f>grades!A20</f>
        <v>0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1" t="e">
        <f t="shared" si="0"/>
        <v>#DIV/0!</v>
      </c>
    </row>
    <row r="22" spans="1:28" s="102" customFormat="1" ht="15" customHeight="1">
      <c r="A22" s="103">
        <v>16</v>
      </c>
      <c r="B22" s="99">
        <f>grades!A21</f>
        <v>0</v>
      </c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1" t="e">
        <f t="shared" si="0"/>
        <v>#DIV/0!</v>
      </c>
    </row>
    <row r="23" spans="1:28" s="102" customFormat="1" ht="15" customHeight="1">
      <c r="A23" s="103">
        <v>17</v>
      </c>
      <c r="B23" s="99">
        <f>grades!A22</f>
        <v>0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1" t="e">
        <f t="shared" si="0"/>
        <v>#DIV/0!</v>
      </c>
    </row>
    <row r="24" spans="1:28" s="102" customFormat="1" ht="15" customHeight="1">
      <c r="A24" s="103">
        <v>18</v>
      </c>
      <c r="B24" s="99">
        <f>grades!A23</f>
        <v>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1" t="e">
        <f t="shared" si="0"/>
        <v>#DIV/0!</v>
      </c>
    </row>
    <row r="25" spans="1:28" s="102" customFormat="1" ht="15" customHeight="1">
      <c r="A25" s="103">
        <v>19</v>
      </c>
      <c r="B25" s="99">
        <f>grades!A24</f>
        <v>0</v>
      </c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1" t="e">
        <f t="shared" si="0"/>
        <v>#DIV/0!</v>
      </c>
    </row>
    <row r="26" spans="1:28" s="102" customFormat="1" ht="15" customHeight="1">
      <c r="A26" s="103">
        <v>20</v>
      </c>
      <c r="B26" s="99">
        <f>grades!A25</f>
        <v>0</v>
      </c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1" t="e">
        <f t="shared" si="0"/>
        <v>#DIV/0!</v>
      </c>
    </row>
    <row r="27" spans="1:28" s="102" customFormat="1" ht="15" customHeight="1">
      <c r="A27" s="103">
        <v>21</v>
      </c>
      <c r="B27" s="99">
        <f>grades!A26</f>
        <v>0</v>
      </c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1" t="e">
        <f t="shared" si="0"/>
        <v>#DIV/0!</v>
      </c>
    </row>
    <row r="28" spans="1:28" s="102" customFormat="1" ht="15" customHeight="1">
      <c r="A28" s="103">
        <v>22</v>
      </c>
      <c r="B28" s="99">
        <f>grades!A27</f>
        <v>0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1" t="e">
        <f t="shared" si="0"/>
        <v>#DIV/0!</v>
      </c>
    </row>
    <row r="29" spans="1:28" s="102" customFormat="1" ht="15" customHeight="1">
      <c r="A29" s="103">
        <v>23</v>
      </c>
      <c r="B29" s="99">
        <f>grades!A28</f>
        <v>0</v>
      </c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1" t="e">
        <f t="shared" si="0"/>
        <v>#DIV/0!</v>
      </c>
    </row>
    <row r="30" spans="1:28" s="102" customFormat="1" ht="15" customHeight="1">
      <c r="A30" s="103">
        <v>24</v>
      </c>
      <c r="B30" s="99">
        <f>grades!A29</f>
        <v>0</v>
      </c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1" t="e">
        <f t="shared" si="0"/>
        <v>#DIV/0!</v>
      </c>
    </row>
    <row r="31" spans="1:28" s="102" customFormat="1" ht="15" customHeight="1">
      <c r="A31" s="103">
        <v>25</v>
      </c>
      <c r="B31" s="99">
        <f>grades!A30</f>
        <v>0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1" t="e">
        <f t="shared" ref="AB31:AB36" si="1">AVERAGE(C31:AA31)</f>
        <v>#DIV/0!</v>
      </c>
    </row>
    <row r="32" spans="1:28" s="102" customFormat="1" ht="15" customHeight="1">
      <c r="A32" s="103">
        <v>26</v>
      </c>
      <c r="B32" s="99">
        <f>grades!A31</f>
        <v>0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1" t="e">
        <f t="shared" si="1"/>
        <v>#DIV/0!</v>
      </c>
    </row>
    <row r="33" spans="1:28" s="102" customFormat="1" ht="15" customHeight="1">
      <c r="A33" s="103">
        <v>27</v>
      </c>
      <c r="B33" s="99">
        <f>grades!A32</f>
        <v>0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1" t="e">
        <f t="shared" si="1"/>
        <v>#DIV/0!</v>
      </c>
    </row>
    <row r="34" spans="1:28" s="102" customFormat="1" ht="15" customHeight="1">
      <c r="A34" s="103">
        <v>28</v>
      </c>
      <c r="B34" s="99">
        <f>grades!A33</f>
        <v>0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1" t="e">
        <f t="shared" si="1"/>
        <v>#DIV/0!</v>
      </c>
    </row>
    <row r="35" spans="1:28" s="102" customFormat="1" ht="15" customHeight="1">
      <c r="A35" s="104">
        <v>29</v>
      </c>
      <c r="B35" s="99">
        <f>grades!A34</f>
        <v>0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5" t="e">
        <f t="shared" si="1"/>
        <v>#DIV/0!</v>
      </c>
    </row>
    <row r="36" spans="1:28" s="109" customFormat="1" ht="15" customHeight="1">
      <c r="A36" s="106">
        <v>30</v>
      </c>
      <c r="B36" s="99">
        <f>grades!A35</f>
        <v>0</v>
      </c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8" t="e">
        <f t="shared" si="1"/>
        <v>#DIV/0!</v>
      </c>
    </row>
  </sheetData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3"/>
  <sheetViews>
    <sheetView workbookViewId="0">
      <selection activeCell="A5" sqref="A5:IV5"/>
    </sheetView>
  </sheetViews>
  <sheetFormatPr defaultRowHeight="12.5"/>
  <cols>
    <col min="1" max="1" width="4.1796875" customWidth="1"/>
    <col min="2" max="2" width="15.1796875" customWidth="1"/>
    <col min="3" max="9" width="5" customWidth="1"/>
    <col min="10" max="10" width="7" customWidth="1"/>
    <col min="11" max="11" width="3.6328125" customWidth="1"/>
    <col min="12" max="15" width="6.36328125" customWidth="1"/>
    <col min="16" max="16" width="8.453125" customWidth="1"/>
    <col min="17" max="17" width="4.453125" customWidth="1"/>
    <col min="18" max="256" width="10.90625" customWidth="1"/>
  </cols>
  <sheetData>
    <row r="2" spans="1:18" s="81" customFormat="1" ht="15.5">
      <c r="C2" s="122" t="s">
        <v>53</v>
      </c>
      <c r="D2" s="122"/>
      <c r="E2" s="122"/>
      <c r="F2" s="122"/>
      <c r="G2" s="122"/>
      <c r="H2" s="122"/>
      <c r="I2" s="122"/>
      <c r="J2" s="82" t="s">
        <v>57</v>
      </c>
      <c r="L2" s="122" t="s">
        <v>58</v>
      </c>
      <c r="M2" s="122"/>
      <c r="N2" s="122"/>
      <c r="O2" s="122"/>
      <c r="P2" s="82" t="s">
        <v>57</v>
      </c>
      <c r="R2" s="83" t="s">
        <v>59</v>
      </c>
    </row>
    <row r="3" spans="1:18" s="81" customFormat="1" ht="15.5">
      <c r="A3" s="81" t="s">
        <v>13</v>
      </c>
      <c r="C3" s="84">
        <v>1</v>
      </c>
      <c r="D3" s="84">
        <v>2</v>
      </c>
      <c r="E3" s="84">
        <v>3</v>
      </c>
      <c r="F3" s="84" t="s">
        <v>54</v>
      </c>
      <c r="G3" s="84" t="s">
        <v>55</v>
      </c>
      <c r="H3" s="84" t="s">
        <v>56</v>
      </c>
      <c r="I3" s="84">
        <v>4</v>
      </c>
      <c r="J3" s="89"/>
      <c r="K3" s="89"/>
      <c r="L3" s="84">
        <v>1</v>
      </c>
      <c r="M3" s="84">
        <v>2</v>
      </c>
      <c r="N3" s="84">
        <v>3</v>
      </c>
      <c r="O3" s="84">
        <v>4</v>
      </c>
      <c r="P3" s="89"/>
      <c r="Q3" s="89"/>
      <c r="R3" s="90" t="s">
        <v>60</v>
      </c>
    </row>
    <row r="4" spans="1:18">
      <c r="A4" s="85">
        <v>1</v>
      </c>
      <c r="B4" s="85">
        <f>grades!A6</f>
        <v>0</v>
      </c>
      <c r="C4" s="87"/>
      <c r="D4" s="87"/>
      <c r="E4" s="87"/>
      <c r="F4" s="87"/>
      <c r="G4" s="87"/>
      <c r="H4" s="87"/>
      <c r="I4" s="87"/>
      <c r="J4" s="87" t="e">
        <f>AVERAGE(F4:I4)</f>
        <v>#DIV/0!</v>
      </c>
      <c r="K4" s="87"/>
      <c r="L4" s="87"/>
      <c r="M4" s="87"/>
      <c r="N4" s="87"/>
      <c r="O4" s="87"/>
      <c r="P4" s="87" t="e">
        <f>AVERAGE(L4:O4)</f>
        <v>#DIV/0!</v>
      </c>
      <c r="Q4" s="87"/>
      <c r="R4" s="88" t="e">
        <f>(J4+P4)/2</f>
        <v>#DIV/0!</v>
      </c>
    </row>
    <row r="5" spans="1:18">
      <c r="A5" s="85">
        <v>2</v>
      </c>
      <c r="B5" s="85">
        <f>grades!A7</f>
        <v>0</v>
      </c>
      <c r="C5" s="85"/>
      <c r="D5" s="85"/>
      <c r="E5" s="85"/>
      <c r="F5" s="85"/>
      <c r="G5" s="85"/>
      <c r="H5" s="85"/>
      <c r="I5" s="85"/>
      <c r="J5" s="85" t="e">
        <f t="shared" ref="J5:J33" si="0">AVERAGE(F5:I5)</f>
        <v>#DIV/0!</v>
      </c>
      <c r="K5" s="85"/>
      <c r="L5" s="85"/>
      <c r="M5" s="85"/>
      <c r="N5" s="85"/>
      <c r="O5" s="85"/>
      <c r="P5" s="85" t="e">
        <f t="shared" ref="P5:P33" si="1">AVERAGE(L5:O5)</f>
        <v>#DIV/0!</v>
      </c>
      <c r="Q5" s="85"/>
      <c r="R5" s="86" t="e">
        <f t="shared" ref="R5:R33" si="2">(J5+P5)/2</f>
        <v>#DIV/0!</v>
      </c>
    </row>
    <row r="6" spans="1:18">
      <c r="A6" s="85">
        <v>3</v>
      </c>
      <c r="B6" s="85">
        <f>grades!A8</f>
        <v>0</v>
      </c>
      <c r="C6" s="85"/>
      <c r="D6" s="85"/>
      <c r="E6" s="85"/>
      <c r="F6" s="85"/>
      <c r="G6" s="85"/>
      <c r="H6" s="85"/>
      <c r="I6" s="85"/>
      <c r="J6" s="85" t="e">
        <f t="shared" si="0"/>
        <v>#DIV/0!</v>
      </c>
      <c r="K6" s="85"/>
      <c r="L6" s="85"/>
      <c r="M6" s="85"/>
      <c r="N6" s="85"/>
      <c r="O6" s="85"/>
      <c r="P6" s="85" t="e">
        <f t="shared" si="1"/>
        <v>#DIV/0!</v>
      </c>
      <c r="Q6" s="85"/>
      <c r="R6" s="86" t="e">
        <f t="shared" si="2"/>
        <v>#DIV/0!</v>
      </c>
    </row>
    <row r="7" spans="1:18">
      <c r="A7" s="85">
        <v>4</v>
      </c>
      <c r="B7" s="85">
        <f>grades!A9</f>
        <v>0</v>
      </c>
      <c r="C7" s="85"/>
      <c r="D7" s="85"/>
      <c r="E7" s="85"/>
      <c r="F7" s="85"/>
      <c r="G7" s="85"/>
      <c r="H7" s="85"/>
      <c r="I7" s="85"/>
      <c r="J7" s="85" t="e">
        <f t="shared" si="0"/>
        <v>#DIV/0!</v>
      </c>
      <c r="K7" s="85"/>
      <c r="L7" s="85"/>
      <c r="M7" s="85"/>
      <c r="N7" s="85"/>
      <c r="O7" s="85"/>
      <c r="P7" s="85" t="e">
        <f t="shared" si="1"/>
        <v>#DIV/0!</v>
      </c>
      <c r="Q7" s="85"/>
      <c r="R7" s="86" t="e">
        <f t="shared" si="2"/>
        <v>#DIV/0!</v>
      </c>
    </row>
    <row r="8" spans="1:18">
      <c r="A8" s="85">
        <v>5</v>
      </c>
      <c r="B8" s="85">
        <f>grades!A10</f>
        <v>0</v>
      </c>
      <c r="C8" s="85"/>
      <c r="D8" s="85"/>
      <c r="E8" s="85"/>
      <c r="F8" s="85"/>
      <c r="G8" s="85"/>
      <c r="H8" s="85"/>
      <c r="I8" s="85"/>
      <c r="J8" s="85" t="e">
        <f t="shared" si="0"/>
        <v>#DIV/0!</v>
      </c>
      <c r="K8" s="85"/>
      <c r="L8" s="85"/>
      <c r="M8" s="85"/>
      <c r="N8" s="85"/>
      <c r="O8" s="85"/>
      <c r="P8" s="85" t="e">
        <f t="shared" si="1"/>
        <v>#DIV/0!</v>
      </c>
      <c r="Q8" s="85"/>
      <c r="R8" s="86" t="e">
        <f t="shared" si="2"/>
        <v>#DIV/0!</v>
      </c>
    </row>
    <row r="9" spans="1:18">
      <c r="A9" s="85">
        <v>6</v>
      </c>
      <c r="B9" s="85">
        <f>grades!A11</f>
        <v>0</v>
      </c>
      <c r="C9" s="85"/>
      <c r="D9" s="85"/>
      <c r="E9" s="85"/>
      <c r="F9" s="85"/>
      <c r="G9" s="85"/>
      <c r="H9" s="85"/>
      <c r="I9" s="85"/>
      <c r="J9" s="85" t="e">
        <f t="shared" si="0"/>
        <v>#DIV/0!</v>
      </c>
      <c r="K9" s="85"/>
      <c r="L9" s="85"/>
      <c r="M9" s="85"/>
      <c r="N9" s="85"/>
      <c r="O9" s="85"/>
      <c r="P9" s="85" t="e">
        <f t="shared" si="1"/>
        <v>#DIV/0!</v>
      </c>
      <c r="Q9" s="85"/>
      <c r="R9" s="86" t="e">
        <f t="shared" si="2"/>
        <v>#DIV/0!</v>
      </c>
    </row>
    <row r="10" spans="1:18">
      <c r="A10" s="85">
        <v>7</v>
      </c>
      <c r="B10" s="85">
        <f>grades!A12</f>
        <v>0</v>
      </c>
      <c r="C10" s="85"/>
      <c r="D10" s="85"/>
      <c r="E10" s="85"/>
      <c r="F10" s="85"/>
      <c r="G10" s="85"/>
      <c r="H10" s="85"/>
      <c r="I10" s="85"/>
      <c r="J10" s="85" t="e">
        <f t="shared" si="0"/>
        <v>#DIV/0!</v>
      </c>
      <c r="K10" s="85"/>
      <c r="L10" s="85"/>
      <c r="M10" s="85"/>
      <c r="N10" s="85"/>
      <c r="O10" s="85"/>
      <c r="P10" s="85" t="e">
        <f t="shared" si="1"/>
        <v>#DIV/0!</v>
      </c>
      <c r="Q10" s="85"/>
      <c r="R10" s="86" t="e">
        <f t="shared" si="2"/>
        <v>#DIV/0!</v>
      </c>
    </row>
    <row r="11" spans="1:18">
      <c r="A11" s="85">
        <v>8</v>
      </c>
      <c r="B11" s="85">
        <f>grades!A13</f>
        <v>0</v>
      </c>
      <c r="C11" s="85"/>
      <c r="D11" s="85"/>
      <c r="E11" s="85"/>
      <c r="F11" s="85"/>
      <c r="G11" s="85"/>
      <c r="H11" s="85"/>
      <c r="I11" s="85"/>
      <c r="J11" s="85" t="e">
        <f t="shared" si="0"/>
        <v>#DIV/0!</v>
      </c>
      <c r="K11" s="85"/>
      <c r="L11" s="85"/>
      <c r="M11" s="85"/>
      <c r="N11" s="85"/>
      <c r="O11" s="85"/>
      <c r="P11" s="85" t="e">
        <f t="shared" si="1"/>
        <v>#DIV/0!</v>
      </c>
      <c r="Q11" s="85"/>
      <c r="R11" s="86" t="e">
        <f t="shared" si="2"/>
        <v>#DIV/0!</v>
      </c>
    </row>
    <row r="12" spans="1:18">
      <c r="A12" s="85">
        <v>9</v>
      </c>
      <c r="B12" s="85">
        <f>grades!A14</f>
        <v>0</v>
      </c>
      <c r="C12" s="85"/>
      <c r="D12" s="85"/>
      <c r="E12" s="85"/>
      <c r="F12" s="85"/>
      <c r="G12" s="85"/>
      <c r="H12" s="85"/>
      <c r="I12" s="85"/>
      <c r="J12" s="85" t="e">
        <f t="shared" si="0"/>
        <v>#DIV/0!</v>
      </c>
      <c r="K12" s="85"/>
      <c r="L12" s="85"/>
      <c r="M12" s="85"/>
      <c r="N12" s="85"/>
      <c r="O12" s="85"/>
      <c r="P12" s="85" t="e">
        <f t="shared" si="1"/>
        <v>#DIV/0!</v>
      </c>
      <c r="Q12" s="85"/>
      <c r="R12" s="86" t="e">
        <f t="shared" si="2"/>
        <v>#DIV/0!</v>
      </c>
    </row>
    <row r="13" spans="1:18">
      <c r="A13" s="85">
        <v>10</v>
      </c>
      <c r="B13" s="85">
        <f>grades!A15</f>
        <v>0</v>
      </c>
      <c r="C13" s="85"/>
      <c r="D13" s="85"/>
      <c r="E13" s="85"/>
      <c r="F13" s="85"/>
      <c r="G13" s="85"/>
      <c r="H13" s="85"/>
      <c r="I13" s="85"/>
      <c r="J13" s="85" t="e">
        <f t="shared" si="0"/>
        <v>#DIV/0!</v>
      </c>
      <c r="K13" s="85"/>
      <c r="L13" s="85"/>
      <c r="M13" s="85"/>
      <c r="N13" s="85"/>
      <c r="O13" s="85"/>
      <c r="P13" s="85" t="e">
        <f t="shared" si="1"/>
        <v>#DIV/0!</v>
      </c>
      <c r="Q13" s="85"/>
      <c r="R13" s="86" t="e">
        <f t="shared" si="2"/>
        <v>#DIV/0!</v>
      </c>
    </row>
    <row r="14" spans="1:18">
      <c r="A14" s="85">
        <v>11</v>
      </c>
      <c r="B14" s="85">
        <f>grades!A16</f>
        <v>0</v>
      </c>
      <c r="C14" s="85"/>
      <c r="D14" s="85"/>
      <c r="E14" s="85"/>
      <c r="F14" s="85"/>
      <c r="G14" s="85"/>
      <c r="H14" s="85"/>
      <c r="I14" s="85"/>
      <c r="J14" s="85" t="e">
        <f t="shared" si="0"/>
        <v>#DIV/0!</v>
      </c>
      <c r="K14" s="85"/>
      <c r="L14" s="85"/>
      <c r="M14" s="85"/>
      <c r="N14" s="85"/>
      <c r="O14" s="85"/>
      <c r="P14" s="85" t="e">
        <f t="shared" si="1"/>
        <v>#DIV/0!</v>
      </c>
      <c r="Q14" s="85"/>
      <c r="R14" s="86" t="e">
        <f t="shared" si="2"/>
        <v>#DIV/0!</v>
      </c>
    </row>
    <row r="15" spans="1:18">
      <c r="A15" s="85">
        <v>12</v>
      </c>
      <c r="B15" s="85">
        <f>grades!A17</f>
        <v>0</v>
      </c>
      <c r="C15" s="85"/>
      <c r="D15" s="85"/>
      <c r="E15" s="85"/>
      <c r="F15" s="85"/>
      <c r="G15" s="85"/>
      <c r="H15" s="85"/>
      <c r="I15" s="85"/>
      <c r="J15" s="85" t="e">
        <f t="shared" si="0"/>
        <v>#DIV/0!</v>
      </c>
      <c r="K15" s="85"/>
      <c r="L15" s="85"/>
      <c r="M15" s="85"/>
      <c r="N15" s="85"/>
      <c r="O15" s="85"/>
      <c r="P15" s="85" t="e">
        <f t="shared" si="1"/>
        <v>#DIV/0!</v>
      </c>
      <c r="Q15" s="85"/>
      <c r="R15" s="86" t="e">
        <f t="shared" si="2"/>
        <v>#DIV/0!</v>
      </c>
    </row>
    <row r="16" spans="1:18">
      <c r="A16" s="85">
        <v>13</v>
      </c>
      <c r="B16" s="85">
        <f>grades!A18</f>
        <v>0</v>
      </c>
      <c r="C16" s="85"/>
      <c r="D16" s="85"/>
      <c r="E16" s="85"/>
      <c r="F16" s="85"/>
      <c r="G16" s="85"/>
      <c r="H16" s="85"/>
      <c r="I16" s="85"/>
      <c r="J16" s="85" t="e">
        <f t="shared" si="0"/>
        <v>#DIV/0!</v>
      </c>
      <c r="K16" s="85"/>
      <c r="L16" s="85"/>
      <c r="M16" s="85"/>
      <c r="N16" s="85"/>
      <c r="O16" s="85"/>
      <c r="P16" s="85" t="e">
        <f t="shared" si="1"/>
        <v>#DIV/0!</v>
      </c>
      <c r="Q16" s="85"/>
      <c r="R16" s="86" t="e">
        <f t="shared" si="2"/>
        <v>#DIV/0!</v>
      </c>
    </row>
    <row r="17" spans="1:18">
      <c r="A17" s="85">
        <v>14</v>
      </c>
      <c r="B17" s="85">
        <f>grades!A19</f>
        <v>0</v>
      </c>
      <c r="C17" s="85"/>
      <c r="D17" s="85"/>
      <c r="E17" s="85"/>
      <c r="F17" s="85"/>
      <c r="G17" s="85"/>
      <c r="H17" s="85"/>
      <c r="I17" s="85"/>
      <c r="J17" s="85" t="e">
        <f t="shared" si="0"/>
        <v>#DIV/0!</v>
      </c>
      <c r="K17" s="85"/>
      <c r="L17" s="85"/>
      <c r="M17" s="85"/>
      <c r="N17" s="85"/>
      <c r="O17" s="85"/>
      <c r="P17" s="85" t="e">
        <f t="shared" si="1"/>
        <v>#DIV/0!</v>
      </c>
      <c r="Q17" s="85"/>
      <c r="R17" s="86" t="e">
        <f t="shared" si="2"/>
        <v>#DIV/0!</v>
      </c>
    </row>
    <row r="18" spans="1:18">
      <c r="A18" s="85">
        <v>15</v>
      </c>
      <c r="B18" s="85">
        <f>grades!A20</f>
        <v>0</v>
      </c>
      <c r="C18" s="85"/>
      <c r="D18" s="85"/>
      <c r="E18" s="85"/>
      <c r="F18" s="85"/>
      <c r="G18" s="85"/>
      <c r="H18" s="85"/>
      <c r="I18" s="85"/>
      <c r="J18" s="85" t="e">
        <f t="shared" si="0"/>
        <v>#DIV/0!</v>
      </c>
      <c r="K18" s="85"/>
      <c r="L18" s="85"/>
      <c r="M18" s="85"/>
      <c r="N18" s="85"/>
      <c r="O18" s="85"/>
      <c r="P18" s="85" t="e">
        <f t="shared" si="1"/>
        <v>#DIV/0!</v>
      </c>
      <c r="Q18" s="85"/>
      <c r="R18" s="86" t="e">
        <f t="shared" si="2"/>
        <v>#DIV/0!</v>
      </c>
    </row>
    <row r="19" spans="1:18">
      <c r="A19" s="85">
        <v>16</v>
      </c>
      <c r="B19" s="85">
        <f>grades!A21</f>
        <v>0</v>
      </c>
      <c r="C19" s="85"/>
      <c r="D19" s="85"/>
      <c r="E19" s="85"/>
      <c r="F19" s="85"/>
      <c r="G19" s="85"/>
      <c r="H19" s="85"/>
      <c r="I19" s="85"/>
      <c r="J19" s="85" t="e">
        <f t="shared" si="0"/>
        <v>#DIV/0!</v>
      </c>
      <c r="K19" s="85"/>
      <c r="L19" s="85"/>
      <c r="M19" s="85"/>
      <c r="N19" s="85"/>
      <c r="O19" s="85"/>
      <c r="P19" s="85" t="e">
        <f t="shared" si="1"/>
        <v>#DIV/0!</v>
      </c>
      <c r="Q19" s="85"/>
      <c r="R19" s="86" t="e">
        <f t="shared" si="2"/>
        <v>#DIV/0!</v>
      </c>
    </row>
    <row r="20" spans="1:18">
      <c r="A20" s="85">
        <v>17</v>
      </c>
      <c r="B20" s="85">
        <f>grades!A22</f>
        <v>0</v>
      </c>
      <c r="C20" s="85"/>
      <c r="D20" s="85"/>
      <c r="E20" s="85"/>
      <c r="F20" s="85"/>
      <c r="G20" s="85"/>
      <c r="H20" s="85"/>
      <c r="I20" s="85"/>
      <c r="J20" s="85" t="e">
        <f t="shared" si="0"/>
        <v>#DIV/0!</v>
      </c>
      <c r="K20" s="85"/>
      <c r="L20" s="85"/>
      <c r="M20" s="85"/>
      <c r="N20" s="85"/>
      <c r="O20" s="85"/>
      <c r="P20" s="85" t="e">
        <f t="shared" si="1"/>
        <v>#DIV/0!</v>
      </c>
      <c r="Q20" s="85"/>
      <c r="R20" s="86" t="e">
        <f t="shared" si="2"/>
        <v>#DIV/0!</v>
      </c>
    </row>
    <row r="21" spans="1:18">
      <c r="A21" s="85">
        <v>18</v>
      </c>
      <c r="B21" s="85">
        <f>grades!A23</f>
        <v>0</v>
      </c>
      <c r="C21" s="85"/>
      <c r="D21" s="85"/>
      <c r="E21" s="85"/>
      <c r="F21" s="85"/>
      <c r="G21" s="85"/>
      <c r="H21" s="85"/>
      <c r="I21" s="85"/>
      <c r="J21" s="85" t="e">
        <f t="shared" si="0"/>
        <v>#DIV/0!</v>
      </c>
      <c r="K21" s="85"/>
      <c r="L21" s="85"/>
      <c r="M21" s="85"/>
      <c r="N21" s="85"/>
      <c r="O21" s="85"/>
      <c r="P21" s="85" t="e">
        <f t="shared" si="1"/>
        <v>#DIV/0!</v>
      </c>
      <c r="Q21" s="85"/>
      <c r="R21" s="86" t="e">
        <f t="shared" si="2"/>
        <v>#DIV/0!</v>
      </c>
    </row>
    <row r="22" spans="1:18">
      <c r="A22" s="85">
        <v>19</v>
      </c>
      <c r="B22" s="85">
        <f>grades!A24</f>
        <v>0</v>
      </c>
      <c r="C22" s="85"/>
      <c r="D22" s="85"/>
      <c r="E22" s="85"/>
      <c r="F22" s="85"/>
      <c r="G22" s="85"/>
      <c r="H22" s="85"/>
      <c r="I22" s="85"/>
      <c r="J22" s="85" t="e">
        <f t="shared" si="0"/>
        <v>#DIV/0!</v>
      </c>
      <c r="K22" s="85"/>
      <c r="L22" s="85"/>
      <c r="M22" s="85"/>
      <c r="N22" s="85"/>
      <c r="O22" s="85"/>
      <c r="P22" s="85" t="e">
        <f t="shared" si="1"/>
        <v>#DIV/0!</v>
      </c>
      <c r="Q22" s="85"/>
      <c r="R22" s="86" t="e">
        <f t="shared" si="2"/>
        <v>#DIV/0!</v>
      </c>
    </row>
    <row r="23" spans="1:18">
      <c r="A23" s="85">
        <v>20</v>
      </c>
      <c r="B23" s="85">
        <f>grades!A25</f>
        <v>0</v>
      </c>
      <c r="C23" s="85"/>
      <c r="D23" s="85"/>
      <c r="E23" s="85"/>
      <c r="F23" s="85"/>
      <c r="G23" s="85"/>
      <c r="H23" s="85"/>
      <c r="I23" s="85"/>
      <c r="J23" s="85" t="e">
        <f t="shared" si="0"/>
        <v>#DIV/0!</v>
      </c>
      <c r="K23" s="85"/>
      <c r="L23" s="85"/>
      <c r="M23" s="85"/>
      <c r="N23" s="85"/>
      <c r="O23" s="85"/>
      <c r="P23" s="85" t="e">
        <f t="shared" si="1"/>
        <v>#DIV/0!</v>
      </c>
      <c r="Q23" s="85"/>
      <c r="R23" s="86" t="e">
        <f t="shared" si="2"/>
        <v>#DIV/0!</v>
      </c>
    </row>
    <row r="24" spans="1:18">
      <c r="A24" s="85">
        <v>21</v>
      </c>
      <c r="B24" s="85">
        <f>grades!A26</f>
        <v>0</v>
      </c>
      <c r="C24" s="85"/>
      <c r="D24" s="85"/>
      <c r="E24" s="85"/>
      <c r="F24" s="85"/>
      <c r="G24" s="85"/>
      <c r="H24" s="85"/>
      <c r="I24" s="85"/>
      <c r="J24" s="85" t="e">
        <f t="shared" si="0"/>
        <v>#DIV/0!</v>
      </c>
      <c r="K24" s="85"/>
      <c r="L24" s="85"/>
      <c r="M24" s="85"/>
      <c r="N24" s="85"/>
      <c r="O24" s="85"/>
      <c r="P24" s="85" t="e">
        <f t="shared" si="1"/>
        <v>#DIV/0!</v>
      </c>
      <c r="Q24" s="85"/>
      <c r="R24" s="86" t="e">
        <f t="shared" si="2"/>
        <v>#DIV/0!</v>
      </c>
    </row>
    <row r="25" spans="1:18">
      <c r="A25" s="85">
        <v>22</v>
      </c>
      <c r="B25" s="85">
        <f>grades!A27</f>
        <v>0</v>
      </c>
      <c r="C25" s="85"/>
      <c r="D25" s="85"/>
      <c r="E25" s="85"/>
      <c r="F25" s="85"/>
      <c r="G25" s="85"/>
      <c r="H25" s="85"/>
      <c r="I25" s="85"/>
      <c r="J25" s="85" t="e">
        <f t="shared" si="0"/>
        <v>#DIV/0!</v>
      </c>
      <c r="K25" s="85"/>
      <c r="L25" s="85"/>
      <c r="M25" s="85"/>
      <c r="N25" s="85"/>
      <c r="O25" s="85"/>
      <c r="P25" s="85" t="e">
        <f t="shared" si="1"/>
        <v>#DIV/0!</v>
      </c>
      <c r="Q25" s="85"/>
      <c r="R25" s="86" t="e">
        <f t="shared" si="2"/>
        <v>#DIV/0!</v>
      </c>
    </row>
    <row r="26" spans="1:18">
      <c r="A26" s="85">
        <v>23</v>
      </c>
      <c r="B26" s="85">
        <f>grades!A28</f>
        <v>0</v>
      </c>
      <c r="C26" s="85"/>
      <c r="D26" s="85"/>
      <c r="E26" s="85"/>
      <c r="F26" s="85"/>
      <c r="G26" s="85"/>
      <c r="H26" s="85"/>
      <c r="I26" s="85"/>
      <c r="J26" s="85" t="e">
        <f t="shared" si="0"/>
        <v>#DIV/0!</v>
      </c>
      <c r="K26" s="85"/>
      <c r="L26" s="85"/>
      <c r="M26" s="85"/>
      <c r="N26" s="85"/>
      <c r="O26" s="85"/>
      <c r="P26" s="85" t="e">
        <f t="shared" si="1"/>
        <v>#DIV/0!</v>
      </c>
      <c r="Q26" s="85"/>
      <c r="R26" s="86" t="e">
        <f t="shared" si="2"/>
        <v>#DIV/0!</v>
      </c>
    </row>
    <row r="27" spans="1:18">
      <c r="A27" s="85">
        <v>24</v>
      </c>
      <c r="B27" s="85">
        <f>grades!A29</f>
        <v>0</v>
      </c>
      <c r="C27" s="85"/>
      <c r="D27" s="85"/>
      <c r="E27" s="85"/>
      <c r="F27" s="85"/>
      <c r="G27" s="85"/>
      <c r="H27" s="85"/>
      <c r="I27" s="85"/>
      <c r="J27" s="85" t="e">
        <f t="shared" si="0"/>
        <v>#DIV/0!</v>
      </c>
      <c r="K27" s="85"/>
      <c r="L27" s="85"/>
      <c r="M27" s="85"/>
      <c r="N27" s="85"/>
      <c r="O27" s="85"/>
      <c r="P27" s="85" t="e">
        <f t="shared" si="1"/>
        <v>#DIV/0!</v>
      </c>
      <c r="Q27" s="85"/>
      <c r="R27" s="86" t="e">
        <f t="shared" si="2"/>
        <v>#DIV/0!</v>
      </c>
    </row>
    <row r="28" spans="1:18">
      <c r="A28" s="85">
        <v>25</v>
      </c>
      <c r="B28" s="85">
        <f>grades!A30</f>
        <v>0</v>
      </c>
      <c r="C28" s="85"/>
      <c r="D28" s="85"/>
      <c r="E28" s="85"/>
      <c r="F28" s="85"/>
      <c r="G28" s="85"/>
      <c r="H28" s="85"/>
      <c r="I28" s="85"/>
      <c r="J28" s="85" t="e">
        <f t="shared" si="0"/>
        <v>#DIV/0!</v>
      </c>
      <c r="K28" s="85"/>
      <c r="L28" s="85"/>
      <c r="M28" s="85"/>
      <c r="N28" s="85"/>
      <c r="O28" s="85"/>
      <c r="P28" s="85" t="e">
        <f t="shared" si="1"/>
        <v>#DIV/0!</v>
      </c>
      <c r="Q28" s="85"/>
      <c r="R28" s="86" t="e">
        <f t="shared" si="2"/>
        <v>#DIV/0!</v>
      </c>
    </row>
    <row r="29" spans="1:18">
      <c r="A29" s="85">
        <v>26</v>
      </c>
      <c r="B29" s="85">
        <f>grades!A31</f>
        <v>0</v>
      </c>
      <c r="C29" s="85"/>
      <c r="D29" s="85"/>
      <c r="E29" s="85"/>
      <c r="F29" s="85"/>
      <c r="G29" s="85"/>
      <c r="H29" s="85"/>
      <c r="I29" s="85"/>
      <c r="J29" s="85" t="e">
        <f t="shared" si="0"/>
        <v>#DIV/0!</v>
      </c>
      <c r="K29" s="85"/>
      <c r="L29" s="85"/>
      <c r="M29" s="85"/>
      <c r="N29" s="85"/>
      <c r="O29" s="85"/>
      <c r="P29" s="85" t="e">
        <f t="shared" si="1"/>
        <v>#DIV/0!</v>
      </c>
      <c r="Q29" s="85"/>
      <c r="R29" s="86" t="e">
        <f t="shared" si="2"/>
        <v>#DIV/0!</v>
      </c>
    </row>
    <row r="30" spans="1:18">
      <c r="A30" s="85">
        <v>27</v>
      </c>
      <c r="B30" s="85">
        <f>grades!A32</f>
        <v>0</v>
      </c>
      <c r="C30" s="85"/>
      <c r="D30" s="85"/>
      <c r="E30" s="85"/>
      <c r="F30" s="85"/>
      <c r="G30" s="85"/>
      <c r="H30" s="85"/>
      <c r="I30" s="85"/>
      <c r="J30" s="85" t="e">
        <f t="shared" si="0"/>
        <v>#DIV/0!</v>
      </c>
      <c r="K30" s="85"/>
      <c r="L30" s="85"/>
      <c r="M30" s="85"/>
      <c r="N30" s="85"/>
      <c r="O30" s="85"/>
      <c r="P30" s="85" t="e">
        <f t="shared" si="1"/>
        <v>#DIV/0!</v>
      </c>
      <c r="Q30" s="85"/>
      <c r="R30" s="86" t="e">
        <f t="shared" si="2"/>
        <v>#DIV/0!</v>
      </c>
    </row>
    <row r="31" spans="1:18">
      <c r="A31" s="85">
        <v>28</v>
      </c>
      <c r="B31" s="85">
        <f>grades!A33</f>
        <v>0</v>
      </c>
      <c r="C31" s="85"/>
      <c r="D31" s="85"/>
      <c r="E31" s="85"/>
      <c r="F31" s="85"/>
      <c r="G31" s="85"/>
      <c r="H31" s="85"/>
      <c r="I31" s="85"/>
      <c r="J31" s="85" t="e">
        <f t="shared" si="0"/>
        <v>#DIV/0!</v>
      </c>
      <c r="K31" s="85"/>
      <c r="L31" s="85"/>
      <c r="M31" s="85"/>
      <c r="N31" s="85"/>
      <c r="O31" s="85"/>
      <c r="P31" s="85" t="e">
        <f t="shared" si="1"/>
        <v>#DIV/0!</v>
      </c>
      <c r="Q31" s="85"/>
      <c r="R31" s="86" t="e">
        <f t="shared" si="2"/>
        <v>#DIV/0!</v>
      </c>
    </row>
    <row r="32" spans="1:18">
      <c r="A32" s="85">
        <v>29</v>
      </c>
      <c r="B32" s="85">
        <f>grades!A34</f>
        <v>0</v>
      </c>
      <c r="C32" s="85"/>
      <c r="D32" s="85"/>
      <c r="E32" s="85"/>
      <c r="F32" s="85"/>
      <c r="G32" s="85"/>
      <c r="H32" s="85"/>
      <c r="I32" s="85"/>
      <c r="J32" s="85" t="e">
        <f t="shared" si="0"/>
        <v>#DIV/0!</v>
      </c>
      <c r="K32" s="85"/>
      <c r="L32" s="85"/>
      <c r="M32" s="85"/>
      <c r="N32" s="85"/>
      <c r="O32" s="85"/>
      <c r="P32" s="85" t="e">
        <f t="shared" si="1"/>
        <v>#DIV/0!</v>
      </c>
      <c r="Q32" s="85"/>
      <c r="R32" s="86" t="e">
        <f t="shared" si="2"/>
        <v>#DIV/0!</v>
      </c>
    </row>
    <row r="33" spans="1:18">
      <c r="A33" s="85">
        <v>30</v>
      </c>
      <c r="B33" s="85">
        <f>grades!A35</f>
        <v>0</v>
      </c>
      <c r="C33" s="85"/>
      <c r="D33" s="85"/>
      <c r="E33" s="85"/>
      <c r="F33" s="85"/>
      <c r="G33" s="85"/>
      <c r="H33" s="85"/>
      <c r="I33" s="85"/>
      <c r="J33" s="85" t="e">
        <f t="shared" si="0"/>
        <v>#DIV/0!</v>
      </c>
      <c r="K33" s="85"/>
      <c r="L33" s="85"/>
      <c r="M33" s="85"/>
      <c r="N33" s="85"/>
      <c r="O33" s="85"/>
      <c r="P33" s="85" t="e">
        <f t="shared" si="1"/>
        <v>#DIV/0!</v>
      </c>
      <c r="Q33" s="85"/>
      <c r="R33" s="86" t="e">
        <f t="shared" si="2"/>
        <v>#DIV/0!</v>
      </c>
    </row>
  </sheetData>
  <mergeCells count="2">
    <mergeCell ref="C2:I2"/>
    <mergeCell ref="L2:O2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selection activeCell="C7" sqref="C7"/>
    </sheetView>
  </sheetViews>
  <sheetFormatPr defaultRowHeight="12.5"/>
  <cols>
    <col min="1" max="1" width="6.81640625" customWidth="1"/>
    <col min="2" max="2" width="13.36328125" customWidth="1"/>
    <col min="3" max="7" width="6.81640625" customWidth="1"/>
    <col min="8" max="8" width="10.81640625" style="22" customWidth="1"/>
    <col min="9" max="256" width="10.90625" customWidth="1"/>
  </cols>
  <sheetData>
    <row r="1" spans="1:8" ht="15">
      <c r="A1" s="123" t="s">
        <v>39</v>
      </c>
      <c r="B1" s="123"/>
      <c r="C1" s="123"/>
      <c r="D1" s="123"/>
      <c r="E1" s="123"/>
    </row>
    <row r="2" spans="1:8">
      <c r="A2" s="46"/>
      <c r="B2" s="46"/>
    </row>
    <row r="3" spans="1:8" ht="16" thickBot="1">
      <c r="A3" s="25" t="s">
        <v>16</v>
      </c>
      <c r="B3" s="25"/>
    </row>
    <row r="4" spans="1:8" ht="15">
      <c r="A4" s="30" t="s">
        <v>21</v>
      </c>
      <c r="B4" s="47"/>
      <c r="C4" s="124" t="s">
        <v>48</v>
      </c>
      <c r="D4" s="125"/>
      <c r="E4" s="125"/>
      <c r="F4" s="125"/>
      <c r="G4" s="126"/>
      <c r="H4"/>
    </row>
    <row r="5" spans="1:8" ht="15">
      <c r="A5" s="34" t="s">
        <v>22</v>
      </c>
      <c r="B5" s="49"/>
      <c r="C5" s="50">
        <v>1</v>
      </c>
      <c r="D5" s="50">
        <v>2</v>
      </c>
      <c r="E5" s="50">
        <v>3</v>
      </c>
      <c r="F5" s="50">
        <v>4</v>
      </c>
      <c r="G5" s="93" t="s">
        <v>23</v>
      </c>
      <c r="H5"/>
    </row>
    <row r="6" spans="1:8" ht="13">
      <c r="A6" s="38">
        <f ca="1">NOW()</f>
        <v>43857.532910069443</v>
      </c>
      <c r="B6" s="51"/>
      <c r="C6" s="52"/>
      <c r="D6" s="52"/>
      <c r="E6" s="52"/>
      <c r="F6" s="52" t="s">
        <v>49</v>
      </c>
      <c r="G6" s="94" t="s">
        <v>24</v>
      </c>
      <c r="H6"/>
    </row>
    <row r="7" spans="1:8" ht="13">
      <c r="A7" s="55">
        <v>1</v>
      </c>
      <c r="B7" s="61">
        <f>grades!A6</f>
        <v>0</v>
      </c>
      <c r="C7" s="56"/>
      <c r="D7" s="54"/>
      <c r="E7" s="54"/>
      <c r="F7" s="66"/>
      <c r="G7" s="95" t="e">
        <f t="shared" ref="G7:G36" si="0">AVERAGE(C7:F7)</f>
        <v>#DIV/0!</v>
      </c>
      <c r="H7"/>
    </row>
    <row r="8" spans="1:8" ht="13">
      <c r="A8" s="55">
        <v>2</v>
      </c>
      <c r="B8" s="61">
        <f>grades!A7</f>
        <v>0</v>
      </c>
      <c r="C8" s="56"/>
      <c r="D8" s="54"/>
      <c r="E8" s="54"/>
      <c r="F8" s="66"/>
      <c r="G8" s="96" t="e">
        <f t="shared" si="0"/>
        <v>#DIV/0!</v>
      </c>
      <c r="H8"/>
    </row>
    <row r="9" spans="1:8" ht="13">
      <c r="A9" s="55">
        <v>3</v>
      </c>
      <c r="B9" s="61">
        <f>grades!A8</f>
        <v>0</v>
      </c>
      <c r="C9" s="56"/>
      <c r="D9" s="54"/>
      <c r="E9" s="54"/>
      <c r="F9" s="66"/>
      <c r="G9" s="96" t="e">
        <f t="shared" si="0"/>
        <v>#DIV/0!</v>
      </c>
      <c r="H9"/>
    </row>
    <row r="10" spans="1:8" ht="13">
      <c r="A10" s="55">
        <v>4</v>
      </c>
      <c r="B10" s="61">
        <f>grades!A9</f>
        <v>0</v>
      </c>
      <c r="C10" s="56"/>
      <c r="D10" s="54"/>
      <c r="E10" s="54"/>
      <c r="F10" s="66"/>
      <c r="G10" s="96" t="e">
        <f t="shared" si="0"/>
        <v>#DIV/0!</v>
      </c>
      <c r="H10"/>
    </row>
    <row r="11" spans="1:8" ht="13">
      <c r="A11" s="55">
        <v>5</v>
      </c>
      <c r="B11" s="61">
        <f>grades!A10</f>
        <v>0</v>
      </c>
      <c r="C11" s="56"/>
      <c r="D11" s="54"/>
      <c r="E11" s="54"/>
      <c r="F11" s="66"/>
      <c r="G11" s="96" t="e">
        <f t="shared" si="0"/>
        <v>#DIV/0!</v>
      </c>
      <c r="H11"/>
    </row>
    <row r="12" spans="1:8" ht="13">
      <c r="A12" s="55">
        <v>6</v>
      </c>
      <c r="B12" s="61">
        <f>grades!A11</f>
        <v>0</v>
      </c>
      <c r="C12" s="56"/>
      <c r="D12" s="54"/>
      <c r="E12" s="54"/>
      <c r="F12" s="66"/>
      <c r="G12" s="96" t="e">
        <f t="shared" si="0"/>
        <v>#DIV/0!</v>
      </c>
      <c r="H12"/>
    </row>
    <row r="13" spans="1:8" ht="13">
      <c r="A13" s="55">
        <v>7</v>
      </c>
      <c r="B13" s="61">
        <f>grades!A12</f>
        <v>0</v>
      </c>
      <c r="C13" s="56"/>
      <c r="D13" s="54"/>
      <c r="E13" s="54"/>
      <c r="F13" s="66"/>
      <c r="G13" s="96" t="e">
        <f t="shared" si="0"/>
        <v>#DIV/0!</v>
      </c>
      <c r="H13"/>
    </row>
    <row r="14" spans="1:8" ht="13">
      <c r="A14" s="55">
        <v>8</v>
      </c>
      <c r="B14" s="61">
        <f>grades!A13</f>
        <v>0</v>
      </c>
      <c r="C14" s="56"/>
      <c r="D14" s="54"/>
      <c r="E14" s="54"/>
      <c r="F14" s="66"/>
      <c r="G14" s="96" t="e">
        <f t="shared" si="0"/>
        <v>#DIV/0!</v>
      </c>
      <c r="H14"/>
    </row>
    <row r="15" spans="1:8" ht="13">
      <c r="A15" s="55">
        <v>9</v>
      </c>
      <c r="B15" s="61">
        <f>grades!A14</f>
        <v>0</v>
      </c>
      <c r="C15" s="56"/>
      <c r="D15" s="54"/>
      <c r="E15" s="54"/>
      <c r="F15" s="66"/>
      <c r="G15" s="96" t="e">
        <f t="shared" si="0"/>
        <v>#DIV/0!</v>
      </c>
      <c r="H15"/>
    </row>
    <row r="16" spans="1:8" ht="13">
      <c r="A16" s="55">
        <v>10</v>
      </c>
      <c r="B16" s="61">
        <f>grades!A15</f>
        <v>0</v>
      </c>
      <c r="C16" s="56"/>
      <c r="D16" s="54"/>
      <c r="E16" s="54"/>
      <c r="F16" s="66"/>
      <c r="G16" s="96" t="e">
        <f t="shared" si="0"/>
        <v>#DIV/0!</v>
      </c>
      <c r="H16"/>
    </row>
    <row r="17" spans="1:8" ht="13">
      <c r="A17" s="55">
        <v>11</v>
      </c>
      <c r="B17" s="61">
        <f>grades!A16</f>
        <v>0</v>
      </c>
      <c r="C17" s="56"/>
      <c r="D17" s="54"/>
      <c r="E17" s="54"/>
      <c r="F17" s="66"/>
      <c r="G17" s="96" t="e">
        <f t="shared" si="0"/>
        <v>#DIV/0!</v>
      </c>
      <c r="H17"/>
    </row>
    <row r="18" spans="1:8" ht="13">
      <c r="A18" s="55">
        <v>12</v>
      </c>
      <c r="B18" s="61">
        <f>grades!A17</f>
        <v>0</v>
      </c>
      <c r="C18" s="56"/>
      <c r="D18" s="54"/>
      <c r="E18" s="54"/>
      <c r="F18" s="66"/>
      <c r="G18" s="96" t="e">
        <f t="shared" si="0"/>
        <v>#DIV/0!</v>
      </c>
      <c r="H18"/>
    </row>
    <row r="19" spans="1:8" ht="13">
      <c r="A19" s="55">
        <v>13</v>
      </c>
      <c r="B19" s="61">
        <f>grades!A18</f>
        <v>0</v>
      </c>
      <c r="C19" s="56"/>
      <c r="D19" s="54"/>
      <c r="E19" s="54"/>
      <c r="F19" s="66"/>
      <c r="G19" s="96" t="e">
        <f t="shared" si="0"/>
        <v>#DIV/0!</v>
      </c>
      <c r="H19"/>
    </row>
    <row r="20" spans="1:8" ht="13">
      <c r="A20" s="55">
        <v>14</v>
      </c>
      <c r="B20" s="61">
        <f>grades!A19</f>
        <v>0</v>
      </c>
      <c r="C20" s="56"/>
      <c r="D20" s="54"/>
      <c r="E20" s="54"/>
      <c r="F20" s="66"/>
      <c r="G20" s="96" t="e">
        <f t="shared" si="0"/>
        <v>#DIV/0!</v>
      </c>
      <c r="H20"/>
    </row>
    <row r="21" spans="1:8" ht="13">
      <c r="A21" s="55">
        <v>15</v>
      </c>
      <c r="B21" s="61">
        <f>grades!A20</f>
        <v>0</v>
      </c>
      <c r="C21" s="56"/>
      <c r="D21" s="54"/>
      <c r="E21" s="54"/>
      <c r="F21" s="66"/>
      <c r="G21" s="96" t="e">
        <f t="shared" si="0"/>
        <v>#DIV/0!</v>
      </c>
      <c r="H21"/>
    </row>
    <row r="22" spans="1:8" ht="13">
      <c r="A22" s="55">
        <v>16</v>
      </c>
      <c r="B22" s="61">
        <f>grades!A21</f>
        <v>0</v>
      </c>
      <c r="C22" s="56"/>
      <c r="D22" s="54"/>
      <c r="E22" s="54"/>
      <c r="F22" s="66"/>
      <c r="G22" s="96" t="e">
        <f t="shared" si="0"/>
        <v>#DIV/0!</v>
      </c>
      <c r="H22"/>
    </row>
    <row r="23" spans="1:8" ht="13">
      <c r="A23" s="55">
        <v>17</v>
      </c>
      <c r="B23" s="61">
        <f>grades!A22</f>
        <v>0</v>
      </c>
      <c r="C23" s="56"/>
      <c r="D23" s="54"/>
      <c r="E23" s="54"/>
      <c r="F23" s="66"/>
      <c r="G23" s="96" t="e">
        <f t="shared" si="0"/>
        <v>#DIV/0!</v>
      </c>
      <c r="H23"/>
    </row>
    <row r="24" spans="1:8" ht="13">
      <c r="A24" s="55">
        <v>18</v>
      </c>
      <c r="B24" s="61">
        <f>grades!A23</f>
        <v>0</v>
      </c>
      <c r="C24" s="56"/>
      <c r="D24" s="54"/>
      <c r="E24" s="54"/>
      <c r="F24" s="66"/>
      <c r="G24" s="96" t="e">
        <f t="shared" si="0"/>
        <v>#DIV/0!</v>
      </c>
      <c r="H24"/>
    </row>
    <row r="25" spans="1:8" ht="13">
      <c r="A25" s="55">
        <v>19</v>
      </c>
      <c r="B25" s="61">
        <f>grades!A24</f>
        <v>0</v>
      </c>
      <c r="C25" s="56"/>
      <c r="D25" s="54"/>
      <c r="E25" s="54"/>
      <c r="F25" s="66"/>
      <c r="G25" s="96" t="e">
        <f t="shared" si="0"/>
        <v>#DIV/0!</v>
      </c>
      <c r="H25"/>
    </row>
    <row r="26" spans="1:8" ht="13">
      <c r="A26" s="55">
        <v>20</v>
      </c>
      <c r="B26" s="61">
        <f>grades!A25</f>
        <v>0</v>
      </c>
      <c r="C26" s="56"/>
      <c r="D26" s="54"/>
      <c r="E26" s="54"/>
      <c r="F26" s="66"/>
      <c r="G26" s="96" t="e">
        <f t="shared" si="0"/>
        <v>#DIV/0!</v>
      </c>
      <c r="H26"/>
    </row>
    <row r="27" spans="1:8" ht="13">
      <c r="A27" s="55">
        <v>21</v>
      </c>
      <c r="B27" s="61">
        <f>grades!A26</f>
        <v>0</v>
      </c>
      <c r="C27" s="56"/>
      <c r="D27" s="54"/>
      <c r="E27" s="54"/>
      <c r="F27" s="66"/>
      <c r="G27" s="96" t="e">
        <f t="shared" si="0"/>
        <v>#DIV/0!</v>
      </c>
      <c r="H27"/>
    </row>
    <row r="28" spans="1:8" ht="13">
      <c r="A28" s="55">
        <v>22</v>
      </c>
      <c r="B28" s="61">
        <f>grades!A27</f>
        <v>0</v>
      </c>
      <c r="C28" s="56"/>
      <c r="D28" s="54"/>
      <c r="E28" s="54"/>
      <c r="F28" s="66"/>
      <c r="G28" s="96" t="e">
        <f t="shared" si="0"/>
        <v>#DIV/0!</v>
      </c>
      <c r="H28"/>
    </row>
    <row r="29" spans="1:8" ht="13">
      <c r="A29" s="55">
        <v>23</v>
      </c>
      <c r="B29" s="61">
        <f>grades!A28</f>
        <v>0</v>
      </c>
      <c r="C29" s="56"/>
      <c r="D29" s="54"/>
      <c r="E29" s="54"/>
      <c r="F29" s="66"/>
      <c r="G29" s="96" t="e">
        <f t="shared" si="0"/>
        <v>#DIV/0!</v>
      </c>
      <c r="H29"/>
    </row>
    <row r="30" spans="1:8" ht="13">
      <c r="A30" s="55">
        <v>24</v>
      </c>
      <c r="B30" s="61">
        <f>grades!A29</f>
        <v>0</v>
      </c>
      <c r="C30" s="56"/>
      <c r="D30" s="54"/>
      <c r="E30" s="54"/>
      <c r="F30" s="66"/>
      <c r="G30" s="96" t="e">
        <f t="shared" si="0"/>
        <v>#DIV/0!</v>
      </c>
      <c r="H30"/>
    </row>
    <row r="31" spans="1:8" ht="13">
      <c r="A31" s="55">
        <v>25</v>
      </c>
      <c r="B31" s="61">
        <f>grades!A30</f>
        <v>0</v>
      </c>
      <c r="C31" s="56"/>
      <c r="D31" s="54"/>
      <c r="E31" s="54"/>
      <c r="F31" s="66"/>
      <c r="G31" s="96" t="e">
        <f t="shared" si="0"/>
        <v>#DIV/0!</v>
      </c>
      <c r="H31"/>
    </row>
    <row r="32" spans="1:8" ht="13">
      <c r="A32" s="55">
        <v>26</v>
      </c>
      <c r="B32" s="61">
        <f>grades!A31</f>
        <v>0</v>
      </c>
      <c r="C32" s="56"/>
      <c r="D32" s="54"/>
      <c r="E32" s="54"/>
      <c r="F32" s="66"/>
      <c r="G32" s="96" t="e">
        <f t="shared" si="0"/>
        <v>#DIV/0!</v>
      </c>
      <c r="H32"/>
    </row>
    <row r="33" spans="1:8" ht="13">
      <c r="A33" s="55">
        <v>27</v>
      </c>
      <c r="B33" s="61">
        <f>grades!A32</f>
        <v>0</v>
      </c>
      <c r="C33" s="56"/>
      <c r="D33" s="54"/>
      <c r="E33" s="54"/>
      <c r="F33" s="66"/>
      <c r="G33" s="96" t="e">
        <f t="shared" si="0"/>
        <v>#DIV/0!</v>
      </c>
      <c r="H33"/>
    </row>
    <row r="34" spans="1:8" ht="13">
      <c r="A34" s="55">
        <v>28</v>
      </c>
      <c r="B34" s="61">
        <f>grades!A33</f>
        <v>0</v>
      </c>
      <c r="C34" s="56"/>
      <c r="D34" s="54"/>
      <c r="E34" s="54"/>
      <c r="F34" s="66"/>
      <c r="G34" s="96" t="e">
        <f t="shared" si="0"/>
        <v>#DIV/0!</v>
      </c>
      <c r="H34"/>
    </row>
    <row r="35" spans="1:8" ht="13">
      <c r="A35" s="55">
        <v>29</v>
      </c>
      <c r="B35" s="61">
        <f>grades!A34</f>
        <v>0</v>
      </c>
      <c r="C35" s="56"/>
      <c r="D35" s="54"/>
      <c r="E35" s="54"/>
      <c r="F35" s="66"/>
      <c r="G35" s="96" t="e">
        <f t="shared" si="0"/>
        <v>#DIV/0!</v>
      </c>
      <c r="H35"/>
    </row>
    <row r="36" spans="1:8" ht="13">
      <c r="A36" s="55">
        <v>30</v>
      </c>
      <c r="B36" s="61">
        <f>grades!A35</f>
        <v>0</v>
      </c>
      <c r="C36" s="56"/>
      <c r="D36" s="54"/>
      <c r="E36" s="54"/>
      <c r="F36" s="66"/>
      <c r="G36" s="96" t="e">
        <f t="shared" si="0"/>
        <v>#DIV/0!</v>
      </c>
      <c r="H36"/>
    </row>
  </sheetData>
  <sheetProtection sheet="1" objects="1" scenarios="1"/>
  <mergeCells count="2">
    <mergeCell ref="A1:E1"/>
    <mergeCell ref="C4:G4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18"/>
  <sheetViews>
    <sheetView workbookViewId="0">
      <selection activeCell="C4" sqref="C4"/>
    </sheetView>
  </sheetViews>
  <sheetFormatPr defaultRowHeight="12.5"/>
  <cols>
    <col min="1" max="1" width="3.6328125" customWidth="1"/>
    <col min="2" max="2" width="14" style="60" customWidth="1"/>
    <col min="3" max="6" width="2.1796875" style="59" customWidth="1"/>
    <col min="7" max="7" width="2.1796875" style="60" customWidth="1"/>
    <col min="8" max="11" width="2.1796875" customWidth="1"/>
    <col min="12" max="12" width="2.1796875" style="60" customWidth="1"/>
    <col min="13" max="16" width="2.1796875" customWidth="1"/>
    <col min="17" max="17" width="2.1796875" style="60" customWidth="1"/>
    <col min="18" max="21" width="2.1796875" customWidth="1"/>
    <col min="22" max="22" width="2.1796875" style="60" customWidth="1"/>
    <col min="23" max="26" width="2.1796875" customWidth="1"/>
    <col min="27" max="27" width="2.1796875" style="60" customWidth="1"/>
    <col min="28" max="31" width="2.1796875" customWidth="1"/>
    <col min="32" max="32" width="2.1796875" style="60" customWidth="1"/>
    <col min="33" max="35" width="2.1796875" customWidth="1"/>
    <col min="36" max="36" width="2.36328125" customWidth="1"/>
    <col min="37" max="37" width="2.1796875" style="60" customWidth="1"/>
    <col min="38" max="41" width="2.1796875" customWidth="1"/>
    <col min="42" max="42" width="2.1796875" style="60" customWidth="1"/>
    <col min="43" max="46" width="2.1796875" customWidth="1"/>
    <col min="47" max="47" width="2.1796875" style="60" customWidth="1"/>
    <col min="48" max="51" width="2.1796875" customWidth="1"/>
    <col min="52" max="52" width="2.1796875" style="60" customWidth="1"/>
    <col min="53" max="55" width="10.90625" customWidth="1"/>
    <col min="56" max="57" width="10.81640625" hidden="1" customWidth="1"/>
    <col min="58" max="256" width="10.90625" customWidth="1"/>
  </cols>
  <sheetData>
    <row r="1" spans="1:57" s="59" customFormat="1" ht="15">
      <c r="B1" s="123" t="s">
        <v>44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BD1" s="59">
        <v>0</v>
      </c>
      <c r="BE1" s="59">
        <v>100</v>
      </c>
    </row>
    <row r="2" spans="1:57" s="59" customFormat="1" ht="15"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1:57" s="59" customFormat="1">
      <c r="B3" s="59" t="s">
        <v>45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59" t="s">
        <v>40</v>
      </c>
      <c r="BB3" s="59" t="s">
        <v>41</v>
      </c>
      <c r="BD3" s="59">
        <v>1</v>
      </c>
      <c r="BE3" s="59">
        <v>96</v>
      </c>
    </row>
    <row r="4" spans="1:57">
      <c r="A4">
        <v>1</v>
      </c>
      <c r="B4" s="60">
        <f>grades!A6</f>
        <v>0</v>
      </c>
      <c r="C4" s="68"/>
      <c r="D4" s="68"/>
      <c r="E4" s="68"/>
      <c r="F4" s="68"/>
      <c r="G4" s="69"/>
      <c r="H4" s="70"/>
      <c r="I4" s="70"/>
      <c r="J4" s="70"/>
      <c r="K4" s="70"/>
      <c r="L4" s="69"/>
      <c r="M4" s="70"/>
      <c r="N4" s="70"/>
      <c r="O4" s="70"/>
      <c r="P4" s="70"/>
      <c r="Q4" s="69"/>
      <c r="R4" s="70"/>
      <c r="S4" s="70"/>
      <c r="T4" s="70"/>
      <c r="U4" s="70"/>
      <c r="V4" s="69"/>
      <c r="W4" s="70"/>
      <c r="X4" s="70"/>
      <c r="Y4" s="70"/>
      <c r="Z4" s="70"/>
      <c r="AA4" s="69"/>
      <c r="AB4" s="70"/>
      <c r="AC4" s="70"/>
      <c r="AD4" s="70"/>
      <c r="AE4" s="70"/>
      <c r="AF4" s="69"/>
      <c r="AG4" s="70"/>
      <c r="AH4" s="70"/>
      <c r="AI4" s="70"/>
      <c r="AJ4" s="70"/>
      <c r="AK4" s="69"/>
      <c r="AL4" s="70"/>
      <c r="AM4" s="70"/>
      <c r="AN4" s="70"/>
      <c r="AO4" s="70"/>
      <c r="AP4" s="69"/>
      <c r="AQ4" s="70"/>
      <c r="AR4" s="70"/>
      <c r="AS4" s="70"/>
      <c r="AT4" s="70"/>
      <c r="AU4" s="69"/>
      <c r="AV4" s="70"/>
      <c r="AW4" s="70"/>
      <c r="AX4" s="70"/>
      <c r="AY4" s="70"/>
      <c r="AZ4" s="69"/>
      <c r="BA4">
        <f>SUM(C4:AZ4)</f>
        <v>0</v>
      </c>
      <c r="BB4" s="80">
        <f>VLOOKUP(BA4,abscence,2,TRUE)</f>
        <v>100</v>
      </c>
      <c r="BD4">
        <v>2</v>
      </c>
      <c r="BE4">
        <v>93</v>
      </c>
    </row>
    <row r="5" spans="1:57">
      <c r="A5">
        <v>2</v>
      </c>
      <c r="B5" s="60">
        <f>grades!A7</f>
        <v>0</v>
      </c>
      <c r="C5" s="68"/>
      <c r="D5" s="68"/>
      <c r="E5" s="68"/>
      <c r="F5" s="68"/>
      <c r="G5" s="69"/>
      <c r="H5" s="70"/>
      <c r="I5" s="70"/>
      <c r="J5" s="70"/>
      <c r="K5" s="70"/>
      <c r="L5" s="69"/>
      <c r="M5" s="70"/>
      <c r="N5" s="70"/>
      <c r="O5" s="70"/>
      <c r="P5" s="70"/>
      <c r="Q5" s="69"/>
      <c r="R5" s="70"/>
      <c r="S5" s="70"/>
      <c r="T5" s="70"/>
      <c r="U5" s="70"/>
      <c r="V5" s="69"/>
      <c r="W5" s="70"/>
      <c r="X5" s="70"/>
      <c r="Y5" s="70"/>
      <c r="Z5" s="70"/>
      <c r="AA5" s="69"/>
      <c r="AB5" s="70"/>
      <c r="AC5" s="70"/>
      <c r="AD5" s="70"/>
      <c r="AE5" s="70"/>
      <c r="AF5" s="69"/>
      <c r="AG5" s="70"/>
      <c r="AH5" s="70"/>
      <c r="AI5" s="70"/>
      <c r="AJ5" s="70"/>
      <c r="AK5" s="69"/>
      <c r="AL5" s="70"/>
      <c r="AM5" s="70"/>
      <c r="AN5" s="70"/>
      <c r="AO5" s="70"/>
      <c r="AP5" s="69"/>
      <c r="AQ5" s="70"/>
      <c r="AR5" s="70"/>
      <c r="AS5" s="70"/>
      <c r="AT5" s="70"/>
      <c r="AU5" s="69"/>
      <c r="AV5" s="70"/>
      <c r="AW5" s="70"/>
      <c r="AX5" s="70"/>
      <c r="AY5" s="70"/>
      <c r="AZ5" s="69"/>
      <c r="BA5">
        <f t="shared" ref="BA5:BA33" si="0">SUM(C5:AZ5)</f>
        <v>0</v>
      </c>
      <c r="BB5" s="80">
        <f t="shared" ref="BB5:BB33" si="1">VLOOKUP(BA5,abscence,2,TRUE)</f>
        <v>100</v>
      </c>
      <c r="BD5">
        <v>3</v>
      </c>
      <c r="BE5">
        <v>90</v>
      </c>
    </row>
    <row r="6" spans="1:57">
      <c r="A6">
        <v>3</v>
      </c>
      <c r="B6" s="60">
        <f>grades!A8</f>
        <v>0</v>
      </c>
      <c r="C6" s="68"/>
      <c r="D6" s="68"/>
      <c r="E6" s="68"/>
      <c r="F6" s="68"/>
      <c r="G6" s="69"/>
      <c r="H6" s="70"/>
      <c r="I6" s="70"/>
      <c r="J6" s="70"/>
      <c r="K6" s="70"/>
      <c r="L6" s="69"/>
      <c r="M6" s="70"/>
      <c r="N6" s="70"/>
      <c r="O6" s="70"/>
      <c r="P6" s="70"/>
      <c r="Q6" s="69"/>
      <c r="R6" s="70"/>
      <c r="S6" s="70"/>
      <c r="T6" s="70"/>
      <c r="U6" s="70"/>
      <c r="V6" s="69"/>
      <c r="W6" s="70"/>
      <c r="X6" s="70"/>
      <c r="Y6" s="70"/>
      <c r="Z6" s="70"/>
      <c r="AA6" s="69"/>
      <c r="AB6" s="70"/>
      <c r="AC6" s="70"/>
      <c r="AD6" s="70"/>
      <c r="AE6" s="70"/>
      <c r="AF6" s="69"/>
      <c r="AG6" s="70"/>
      <c r="AH6" s="70"/>
      <c r="AI6" s="70"/>
      <c r="AJ6" s="70"/>
      <c r="AK6" s="69"/>
      <c r="AL6" s="70"/>
      <c r="AM6" s="70"/>
      <c r="AN6" s="70"/>
      <c r="AO6" s="70"/>
      <c r="AP6" s="69"/>
      <c r="AQ6" s="70"/>
      <c r="AR6" s="70"/>
      <c r="AS6" s="70"/>
      <c r="AT6" s="70"/>
      <c r="AU6" s="69"/>
      <c r="AV6" s="70"/>
      <c r="AW6" s="70"/>
      <c r="AX6" s="70"/>
      <c r="AY6" s="70"/>
      <c r="AZ6" s="69"/>
      <c r="BA6">
        <f t="shared" si="0"/>
        <v>0</v>
      </c>
      <c r="BB6" s="80">
        <f t="shared" si="1"/>
        <v>100</v>
      </c>
      <c r="BD6">
        <v>4</v>
      </c>
      <c r="BE6">
        <v>85</v>
      </c>
    </row>
    <row r="7" spans="1:57">
      <c r="A7">
        <v>4</v>
      </c>
      <c r="B7" s="60">
        <f>grades!A9</f>
        <v>0</v>
      </c>
      <c r="C7" s="68"/>
      <c r="D7" s="68"/>
      <c r="E7" s="68"/>
      <c r="F7" s="68"/>
      <c r="G7" s="69"/>
      <c r="H7" s="70"/>
      <c r="I7" s="70"/>
      <c r="J7" s="70"/>
      <c r="K7" s="70"/>
      <c r="L7" s="69"/>
      <c r="M7" s="70"/>
      <c r="N7" s="70"/>
      <c r="O7" s="70"/>
      <c r="P7" s="70"/>
      <c r="Q7" s="69"/>
      <c r="R7" s="70"/>
      <c r="S7" s="70"/>
      <c r="T7" s="70"/>
      <c r="U7" s="70"/>
      <c r="V7" s="69"/>
      <c r="W7" s="70"/>
      <c r="X7" s="70"/>
      <c r="Y7" s="70"/>
      <c r="Z7" s="70"/>
      <c r="AA7" s="69"/>
      <c r="AB7" s="70"/>
      <c r="AC7" s="70"/>
      <c r="AD7" s="70"/>
      <c r="AE7" s="70"/>
      <c r="AF7" s="69"/>
      <c r="AG7" s="70"/>
      <c r="AH7" s="70"/>
      <c r="AI7" s="70"/>
      <c r="AJ7" s="70"/>
      <c r="AK7" s="69"/>
      <c r="AL7" s="70"/>
      <c r="AM7" s="70"/>
      <c r="AN7" s="70"/>
      <c r="AO7" s="70"/>
      <c r="AP7" s="69"/>
      <c r="AQ7" s="70"/>
      <c r="AR7" s="70"/>
      <c r="AS7" s="70"/>
      <c r="AT7" s="70"/>
      <c r="AU7" s="69"/>
      <c r="AV7" s="70"/>
      <c r="AW7" s="70"/>
      <c r="AX7" s="70"/>
      <c r="AY7" s="70"/>
      <c r="AZ7" s="69"/>
      <c r="BA7">
        <f t="shared" si="0"/>
        <v>0</v>
      </c>
      <c r="BB7" s="80">
        <f t="shared" si="1"/>
        <v>100</v>
      </c>
      <c r="BD7">
        <v>5</v>
      </c>
      <c r="BE7">
        <v>80</v>
      </c>
    </row>
    <row r="8" spans="1:57">
      <c r="A8">
        <v>5</v>
      </c>
      <c r="B8" s="60">
        <f>grades!A10</f>
        <v>0</v>
      </c>
      <c r="C8" s="68"/>
      <c r="D8" s="68"/>
      <c r="E8" s="68"/>
      <c r="F8" s="68"/>
      <c r="G8" s="69"/>
      <c r="H8" s="70"/>
      <c r="I8" s="70"/>
      <c r="J8" s="70"/>
      <c r="K8" s="70"/>
      <c r="L8" s="69"/>
      <c r="M8" s="70"/>
      <c r="N8" s="70"/>
      <c r="O8" s="70"/>
      <c r="P8" s="70"/>
      <c r="Q8" s="69"/>
      <c r="R8" s="70"/>
      <c r="S8" s="70"/>
      <c r="T8" s="70"/>
      <c r="U8" s="70"/>
      <c r="V8" s="69"/>
      <c r="W8" s="70"/>
      <c r="X8" s="70"/>
      <c r="Y8" s="70"/>
      <c r="Z8" s="70"/>
      <c r="AA8" s="69"/>
      <c r="AB8" s="70"/>
      <c r="AC8" s="70"/>
      <c r="AD8" s="70"/>
      <c r="AE8" s="70"/>
      <c r="AF8" s="69"/>
      <c r="AG8" s="70"/>
      <c r="AH8" s="70"/>
      <c r="AI8" s="70"/>
      <c r="AJ8" s="70"/>
      <c r="AK8" s="69"/>
      <c r="AL8" s="70"/>
      <c r="AM8" s="70"/>
      <c r="AN8" s="70"/>
      <c r="AO8" s="70"/>
      <c r="AP8" s="69"/>
      <c r="AQ8" s="70"/>
      <c r="AR8" s="70"/>
      <c r="AS8" s="70"/>
      <c r="AT8" s="70"/>
      <c r="AU8" s="69"/>
      <c r="AV8" s="70"/>
      <c r="AW8" s="70"/>
      <c r="AX8" s="70"/>
      <c r="AY8" s="70"/>
      <c r="AZ8" s="69"/>
      <c r="BA8">
        <f t="shared" si="0"/>
        <v>0</v>
      </c>
      <c r="BB8" s="80">
        <f t="shared" si="1"/>
        <v>100</v>
      </c>
      <c r="BD8">
        <v>6</v>
      </c>
      <c r="BE8">
        <v>75</v>
      </c>
    </row>
    <row r="9" spans="1:57">
      <c r="A9">
        <v>6</v>
      </c>
      <c r="B9" s="60">
        <f>grades!A11</f>
        <v>0</v>
      </c>
      <c r="C9" s="68"/>
      <c r="D9" s="68"/>
      <c r="E9" s="68"/>
      <c r="F9" s="68"/>
      <c r="G9" s="69"/>
      <c r="H9" s="70"/>
      <c r="I9" s="70"/>
      <c r="J9" s="70"/>
      <c r="K9" s="70"/>
      <c r="L9" s="69"/>
      <c r="M9" s="70"/>
      <c r="N9" s="70"/>
      <c r="O9" s="70"/>
      <c r="P9" s="70"/>
      <c r="Q9" s="69"/>
      <c r="R9" s="70"/>
      <c r="S9" s="70"/>
      <c r="T9" s="70"/>
      <c r="U9" s="70"/>
      <c r="V9" s="69"/>
      <c r="W9" s="70"/>
      <c r="X9" s="70"/>
      <c r="Y9" s="70"/>
      <c r="Z9" s="70"/>
      <c r="AA9" s="69"/>
      <c r="AB9" s="70"/>
      <c r="AC9" s="70"/>
      <c r="AD9" s="70"/>
      <c r="AE9" s="70"/>
      <c r="AF9" s="69"/>
      <c r="AG9" s="70"/>
      <c r="AH9" s="70"/>
      <c r="AI9" s="70"/>
      <c r="AJ9" s="70"/>
      <c r="AK9" s="69"/>
      <c r="AL9" s="70"/>
      <c r="AM9" s="70"/>
      <c r="AN9" s="70"/>
      <c r="AO9" s="70"/>
      <c r="AP9" s="69"/>
      <c r="AQ9" s="70"/>
      <c r="AR9" s="70"/>
      <c r="AS9" s="70"/>
      <c r="AT9" s="70"/>
      <c r="AU9" s="69"/>
      <c r="AV9" s="70"/>
      <c r="AW9" s="70"/>
      <c r="AX9" s="70"/>
      <c r="AY9" s="70"/>
      <c r="AZ9" s="69"/>
      <c r="BA9">
        <f t="shared" si="0"/>
        <v>0</v>
      </c>
      <c r="BB9" s="80">
        <f t="shared" si="1"/>
        <v>100</v>
      </c>
      <c r="BD9">
        <v>7</v>
      </c>
      <c r="BE9">
        <v>70</v>
      </c>
    </row>
    <row r="10" spans="1:57">
      <c r="A10">
        <v>7</v>
      </c>
      <c r="B10" s="60">
        <f>grades!A12</f>
        <v>0</v>
      </c>
      <c r="C10" s="68"/>
      <c r="D10" s="68"/>
      <c r="E10" s="68"/>
      <c r="F10" s="68"/>
      <c r="G10" s="69"/>
      <c r="H10" s="70"/>
      <c r="I10" s="70"/>
      <c r="J10" s="70"/>
      <c r="K10" s="70"/>
      <c r="L10" s="69"/>
      <c r="M10" s="70"/>
      <c r="N10" s="70"/>
      <c r="O10" s="70"/>
      <c r="P10" s="70"/>
      <c r="Q10" s="69"/>
      <c r="R10" s="70"/>
      <c r="S10" s="70"/>
      <c r="T10" s="70"/>
      <c r="U10" s="70"/>
      <c r="V10" s="69"/>
      <c r="W10" s="70"/>
      <c r="X10" s="70"/>
      <c r="Y10" s="70"/>
      <c r="Z10" s="70"/>
      <c r="AA10" s="69"/>
      <c r="AB10" s="70"/>
      <c r="AC10" s="70"/>
      <c r="AD10" s="70"/>
      <c r="AE10" s="70"/>
      <c r="AF10" s="69"/>
      <c r="AG10" s="70"/>
      <c r="AH10" s="70"/>
      <c r="AI10" s="70"/>
      <c r="AJ10" s="70"/>
      <c r="AK10" s="69"/>
      <c r="AL10" s="70"/>
      <c r="AM10" s="70"/>
      <c r="AN10" s="70"/>
      <c r="AO10" s="70"/>
      <c r="AP10" s="69"/>
      <c r="AQ10" s="70"/>
      <c r="AR10" s="70"/>
      <c r="AS10" s="70"/>
      <c r="AT10" s="70"/>
      <c r="AU10" s="69"/>
      <c r="AV10" s="70"/>
      <c r="AW10" s="70"/>
      <c r="AX10" s="70"/>
      <c r="AY10" s="70"/>
      <c r="AZ10" s="69"/>
      <c r="BA10">
        <f t="shared" si="0"/>
        <v>0</v>
      </c>
      <c r="BB10" s="80">
        <f t="shared" si="1"/>
        <v>100</v>
      </c>
      <c r="BD10">
        <v>8</v>
      </c>
      <c r="BE10">
        <v>65</v>
      </c>
    </row>
    <row r="11" spans="1:57">
      <c r="A11">
        <v>8</v>
      </c>
      <c r="B11" s="60">
        <f>grades!A13</f>
        <v>0</v>
      </c>
      <c r="C11" s="68"/>
      <c r="D11" s="68"/>
      <c r="E11" s="68"/>
      <c r="F11" s="68"/>
      <c r="G11" s="69"/>
      <c r="H11" s="70"/>
      <c r="I11" s="70"/>
      <c r="J11" s="70"/>
      <c r="K11" s="70"/>
      <c r="L11" s="69"/>
      <c r="M11" s="70"/>
      <c r="N11" s="70"/>
      <c r="O11" s="70"/>
      <c r="P11" s="70"/>
      <c r="Q11" s="69"/>
      <c r="R11" s="70"/>
      <c r="S11" s="70"/>
      <c r="T11" s="70"/>
      <c r="U11" s="70"/>
      <c r="V11" s="69"/>
      <c r="W11" s="70"/>
      <c r="X11" s="70"/>
      <c r="Y11" s="70"/>
      <c r="Z11" s="70"/>
      <c r="AA11" s="69"/>
      <c r="AB11" s="70"/>
      <c r="AC11" s="70"/>
      <c r="AD11" s="70"/>
      <c r="AE11" s="70"/>
      <c r="AF11" s="69"/>
      <c r="AG11" s="70"/>
      <c r="AH11" s="70"/>
      <c r="AI11" s="70"/>
      <c r="AJ11" s="70"/>
      <c r="AK11" s="69"/>
      <c r="AL11" s="70"/>
      <c r="AM11" s="70"/>
      <c r="AN11" s="70"/>
      <c r="AO11" s="70"/>
      <c r="AP11" s="69"/>
      <c r="AQ11" s="70"/>
      <c r="AR11" s="70"/>
      <c r="AS11" s="70"/>
      <c r="AT11" s="70"/>
      <c r="AU11" s="69"/>
      <c r="AV11" s="70"/>
      <c r="AW11" s="70"/>
      <c r="AX11" s="70"/>
      <c r="AY11" s="70"/>
      <c r="AZ11" s="69"/>
      <c r="BA11">
        <f t="shared" si="0"/>
        <v>0</v>
      </c>
      <c r="BB11" s="80">
        <f t="shared" si="1"/>
        <v>100</v>
      </c>
      <c r="BD11">
        <v>9</v>
      </c>
      <c r="BE11">
        <v>60</v>
      </c>
    </row>
    <row r="12" spans="1:57">
      <c r="A12">
        <v>9</v>
      </c>
      <c r="B12" s="60">
        <f>grades!A14</f>
        <v>0</v>
      </c>
      <c r="C12" s="68"/>
      <c r="D12" s="68"/>
      <c r="E12" s="68"/>
      <c r="F12" s="68"/>
      <c r="G12" s="69"/>
      <c r="H12" s="70"/>
      <c r="I12" s="70"/>
      <c r="J12" s="70"/>
      <c r="K12" s="70"/>
      <c r="L12" s="69"/>
      <c r="M12" s="70"/>
      <c r="N12" s="70"/>
      <c r="O12" s="70"/>
      <c r="P12" s="70"/>
      <c r="Q12" s="69"/>
      <c r="R12" s="70"/>
      <c r="S12" s="70"/>
      <c r="T12" s="70"/>
      <c r="U12" s="70"/>
      <c r="V12" s="69"/>
      <c r="W12" s="70"/>
      <c r="X12" s="70"/>
      <c r="Y12" s="70"/>
      <c r="Z12" s="70"/>
      <c r="AA12" s="69"/>
      <c r="AB12" s="70"/>
      <c r="AC12" s="70"/>
      <c r="AD12" s="70"/>
      <c r="AE12" s="70"/>
      <c r="AF12" s="69"/>
      <c r="AG12" s="70"/>
      <c r="AH12" s="70"/>
      <c r="AI12" s="70"/>
      <c r="AJ12" s="70"/>
      <c r="AK12" s="69"/>
      <c r="AL12" s="70"/>
      <c r="AM12" s="70"/>
      <c r="AN12" s="70"/>
      <c r="AO12" s="70"/>
      <c r="AP12" s="69"/>
      <c r="AQ12" s="70"/>
      <c r="AR12" s="70"/>
      <c r="AS12" s="70"/>
      <c r="AT12" s="70"/>
      <c r="AU12" s="69"/>
      <c r="AV12" s="70"/>
      <c r="AW12" s="70"/>
      <c r="AX12" s="70"/>
      <c r="AY12" s="70"/>
      <c r="AZ12" s="69"/>
      <c r="BA12">
        <f t="shared" si="0"/>
        <v>0</v>
      </c>
      <c r="BB12" s="80">
        <f t="shared" si="1"/>
        <v>100</v>
      </c>
      <c r="BD12">
        <v>10</v>
      </c>
      <c r="BE12">
        <v>55</v>
      </c>
    </row>
    <row r="13" spans="1:57">
      <c r="A13">
        <v>10</v>
      </c>
      <c r="B13" s="60">
        <f>grades!A15</f>
        <v>0</v>
      </c>
      <c r="C13" s="68"/>
      <c r="D13" s="68"/>
      <c r="E13" s="68"/>
      <c r="F13" s="68"/>
      <c r="G13" s="69"/>
      <c r="H13" s="70"/>
      <c r="I13" s="70"/>
      <c r="J13" s="70"/>
      <c r="K13" s="70"/>
      <c r="L13" s="69"/>
      <c r="M13" s="70"/>
      <c r="N13" s="70"/>
      <c r="O13" s="70"/>
      <c r="P13" s="70"/>
      <c r="Q13" s="69"/>
      <c r="R13" s="70"/>
      <c r="S13" s="70"/>
      <c r="T13" s="70"/>
      <c r="U13" s="70"/>
      <c r="V13" s="69"/>
      <c r="W13" s="70"/>
      <c r="X13" s="70"/>
      <c r="Y13" s="70"/>
      <c r="Z13" s="70"/>
      <c r="AA13" s="69"/>
      <c r="AB13" s="70"/>
      <c r="AC13" s="70"/>
      <c r="AD13" s="70"/>
      <c r="AE13" s="70"/>
      <c r="AF13" s="69"/>
      <c r="AG13" s="70"/>
      <c r="AH13" s="70"/>
      <c r="AI13" s="70"/>
      <c r="AJ13" s="70"/>
      <c r="AK13" s="69"/>
      <c r="AL13" s="70"/>
      <c r="AM13" s="70"/>
      <c r="AN13" s="70"/>
      <c r="AO13" s="70"/>
      <c r="AP13" s="69"/>
      <c r="AQ13" s="70"/>
      <c r="AR13" s="70"/>
      <c r="AS13" s="70"/>
      <c r="AT13" s="70"/>
      <c r="AU13" s="69"/>
      <c r="AV13" s="70"/>
      <c r="AW13" s="70"/>
      <c r="AX13" s="70"/>
      <c r="AY13" s="70"/>
      <c r="AZ13" s="69"/>
      <c r="BA13">
        <f t="shared" si="0"/>
        <v>0</v>
      </c>
      <c r="BB13" s="80">
        <f t="shared" si="1"/>
        <v>100</v>
      </c>
      <c r="BD13">
        <v>11</v>
      </c>
      <c r="BE13">
        <v>50</v>
      </c>
    </row>
    <row r="14" spans="1:57">
      <c r="A14">
        <v>11</v>
      </c>
      <c r="B14" s="60">
        <f>grades!A16</f>
        <v>0</v>
      </c>
      <c r="C14" s="68"/>
      <c r="D14" s="68"/>
      <c r="E14" s="68"/>
      <c r="F14" s="68"/>
      <c r="G14" s="69"/>
      <c r="H14" s="70"/>
      <c r="I14" s="70"/>
      <c r="J14" s="70"/>
      <c r="K14" s="70"/>
      <c r="L14" s="69"/>
      <c r="M14" s="70"/>
      <c r="N14" s="70"/>
      <c r="O14" s="70"/>
      <c r="P14" s="70"/>
      <c r="Q14" s="69"/>
      <c r="R14" s="70"/>
      <c r="S14" s="70"/>
      <c r="T14" s="70"/>
      <c r="U14" s="70"/>
      <c r="V14" s="69"/>
      <c r="W14" s="70"/>
      <c r="X14" s="70"/>
      <c r="Y14" s="70"/>
      <c r="Z14" s="70"/>
      <c r="AA14" s="69"/>
      <c r="AB14" s="70"/>
      <c r="AC14" s="70"/>
      <c r="AD14" s="70"/>
      <c r="AE14" s="70"/>
      <c r="AF14" s="69"/>
      <c r="AG14" s="70"/>
      <c r="AH14" s="70"/>
      <c r="AI14" s="70"/>
      <c r="AJ14" s="70"/>
      <c r="AK14" s="69"/>
      <c r="AL14" s="70"/>
      <c r="AM14" s="70"/>
      <c r="AN14" s="70"/>
      <c r="AO14" s="70"/>
      <c r="AP14" s="69"/>
      <c r="AQ14" s="70"/>
      <c r="AR14" s="70"/>
      <c r="AS14" s="70"/>
      <c r="AT14" s="70"/>
      <c r="AU14" s="69"/>
      <c r="AV14" s="70"/>
      <c r="AW14" s="70"/>
      <c r="AX14" s="70"/>
      <c r="AY14" s="70"/>
      <c r="AZ14" s="69"/>
      <c r="BA14">
        <f t="shared" si="0"/>
        <v>0</v>
      </c>
      <c r="BB14" s="80">
        <f t="shared" si="1"/>
        <v>100</v>
      </c>
      <c r="BD14">
        <v>12</v>
      </c>
      <c r="BE14">
        <v>0</v>
      </c>
    </row>
    <row r="15" spans="1:57">
      <c r="A15">
        <v>12</v>
      </c>
      <c r="B15" s="60">
        <f>grades!A17</f>
        <v>0</v>
      </c>
      <c r="C15" s="68"/>
      <c r="D15" s="68"/>
      <c r="E15" s="68"/>
      <c r="F15" s="68"/>
      <c r="G15" s="69"/>
      <c r="H15" s="70"/>
      <c r="I15" s="70"/>
      <c r="J15" s="70"/>
      <c r="K15" s="70"/>
      <c r="L15" s="69"/>
      <c r="M15" s="70"/>
      <c r="N15" s="70"/>
      <c r="O15" s="70"/>
      <c r="P15" s="70"/>
      <c r="Q15" s="69"/>
      <c r="R15" s="70"/>
      <c r="S15" s="70"/>
      <c r="T15" s="70"/>
      <c r="U15" s="70"/>
      <c r="V15" s="69"/>
      <c r="W15" s="70"/>
      <c r="X15" s="70"/>
      <c r="Y15" s="70"/>
      <c r="Z15" s="70"/>
      <c r="AA15" s="69"/>
      <c r="AB15" s="70"/>
      <c r="AC15" s="70"/>
      <c r="AD15" s="70"/>
      <c r="AE15" s="70"/>
      <c r="AF15" s="69"/>
      <c r="AG15" s="70"/>
      <c r="AH15" s="70"/>
      <c r="AI15" s="70"/>
      <c r="AJ15" s="70"/>
      <c r="AK15" s="69"/>
      <c r="AL15" s="70"/>
      <c r="AM15" s="70"/>
      <c r="AN15" s="70"/>
      <c r="AO15" s="70"/>
      <c r="AP15" s="69"/>
      <c r="AQ15" s="70"/>
      <c r="AR15" s="70"/>
      <c r="AS15" s="70"/>
      <c r="AT15" s="70"/>
      <c r="AU15" s="69"/>
      <c r="AV15" s="70"/>
      <c r="AW15" s="70"/>
      <c r="AX15" s="70"/>
      <c r="AY15" s="70"/>
      <c r="AZ15" s="69"/>
      <c r="BA15">
        <f t="shared" si="0"/>
        <v>0</v>
      </c>
      <c r="BB15" s="80">
        <f t="shared" si="1"/>
        <v>100</v>
      </c>
    </row>
    <row r="16" spans="1:57">
      <c r="A16">
        <v>13</v>
      </c>
      <c r="B16" s="60">
        <f>grades!A18</f>
        <v>0</v>
      </c>
      <c r="C16" s="68"/>
      <c r="D16" s="68"/>
      <c r="E16" s="68"/>
      <c r="F16" s="68"/>
      <c r="G16" s="69"/>
      <c r="H16" s="70"/>
      <c r="I16" s="70"/>
      <c r="J16" s="70"/>
      <c r="K16" s="70"/>
      <c r="L16" s="69"/>
      <c r="M16" s="70"/>
      <c r="N16" s="70"/>
      <c r="O16" s="70"/>
      <c r="P16" s="70"/>
      <c r="Q16" s="69"/>
      <c r="R16" s="70"/>
      <c r="S16" s="70"/>
      <c r="T16" s="70"/>
      <c r="U16" s="70"/>
      <c r="V16" s="69"/>
      <c r="W16" s="70"/>
      <c r="X16" s="70"/>
      <c r="Y16" s="70"/>
      <c r="Z16" s="70"/>
      <c r="AA16" s="69"/>
      <c r="AB16" s="70"/>
      <c r="AC16" s="70"/>
      <c r="AD16" s="70"/>
      <c r="AE16" s="70"/>
      <c r="AF16" s="69"/>
      <c r="AG16" s="70"/>
      <c r="AH16" s="70"/>
      <c r="AI16" s="70"/>
      <c r="AJ16" s="70"/>
      <c r="AK16" s="69"/>
      <c r="AL16" s="70"/>
      <c r="AM16" s="70"/>
      <c r="AN16" s="70"/>
      <c r="AO16" s="70"/>
      <c r="AP16" s="69"/>
      <c r="AQ16" s="70"/>
      <c r="AR16" s="70"/>
      <c r="AS16" s="70"/>
      <c r="AT16" s="70"/>
      <c r="AU16" s="69"/>
      <c r="AV16" s="70"/>
      <c r="AW16" s="70"/>
      <c r="AX16" s="70"/>
      <c r="AY16" s="70"/>
      <c r="AZ16" s="69"/>
      <c r="BA16">
        <f t="shared" si="0"/>
        <v>0</v>
      </c>
      <c r="BB16" s="80">
        <f t="shared" si="1"/>
        <v>100</v>
      </c>
    </row>
    <row r="17" spans="1:54">
      <c r="A17">
        <v>14</v>
      </c>
      <c r="B17" s="60">
        <f>grades!A19</f>
        <v>0</v>
      </c>
      <c r="C17" s="68"/>
      <c r="D17" s="68"/>
      <c r="E17" s="68"/>
      <c r="F17" s="68"/>
      <c r="G17" s="69"/>
      <c r="H17" s="70"/>
      <c r="I17" s="70"/>
      <c r="J17" s="70"/>
      <c r="K17" s="70"/>
      <c r="L17" s="69"/>
      <c r="M17" s="70"/>
      <c r="N17" s="70"/>
      <c r="O17" s="70"/>
      <c r="P17" s="70"/>
      <c r="Q17" s="69"/>
      <c r="R17" s="70"/>
      <c r="S17" s="70"/>
      <c r="T17" s="70"/>
      <c r="U17" s="70"/>
      <c r="V17" s="69"/>
      <c r="W17" s="70"/>
      <c r="X17" s="70"/>
      <c r="Y17" s="70"/>
      <c r="Z17" s="70"/>
      <c r="AA17" s="69"/>
      <c r="AB17" s="70"/>
      <c r="AC17" s="70"/>
      <c r="AD17" s="70"/>
      <c r="AE17" s="70"/>
      <c r="AF17" s="69"/>
      <c r="AG17" s="70"/>
      <c r="AH17" s="70"/>
      <c r="AI17" s="70"/>
      <c r="AJ17" s="70"/>
      <c r="AK17" s="69"/>
      <c r="AL17" s="70"/>
      <c r="AM17" s="70"/>
      <c r="AN17" s="70"/>
      <c r="AO17" s="70"/>
      <c r="AP17" s="69"/>
      <c r="AQ17" s="70"/>
      <c r="AR17" s="70"/>
      <c r="AS17" s="70"/>
      <c r="AT17" s="70"/>
      <c r="AU17" s="69"/>
      <c r="AV17" s="70"/>
      <c r="AW17" s="70"/>
      <c r="AX17" s="70"/>
      <c r="AY17" s="70"/>
      <c r="AZ17" s="69"/>
      <c r="BA17">
        <f t="shared" si="0"/>
        <v>0</v>
      </c>
      <c r="BB17" s="80">
        <f t="shared" si="1"/>
        <v>100</v>
      </c>
    </row>
    <row r="18" spans="1:54">
      <c r="A18">
        <v>15</v>
      </c>
      <c r="B18" s="60">
        <f>grades!A20</f>
        <v>0</v>
      </c>
      <c r="C18" s="68"/>
      <c r="D18" s="68"/>
      <c r="E18" s="68"/>
      <c r="F18" s="68"/>
      <c r="G18" s="69"/>
      <c r="H18" s="70"/>
      <c r="I18" s="70"/>
      <c r="J18" s="70"/>
      <c r="K18" s="70"/>
      <c r="L18" s="69"/>
      <c r="M18" s="70"/>
      <c r="N18" s="70"/>
      <c r="O18" s="70"/>
      <c r="P18" s="70"/>
      <c r="Q18" s="69"/>
      <c r="R18" s="70"/>
      <c r="S18" s="70"/>
      <c r="T18" s="70"/>
      <c r="U18" s="70"/>
      <c r="V18" s="69"/>
      <c r="W18" s="70"/>
      <c r="X18" s="70"/>
      <c r="Y18" s="70"/>
      <c r="Z18" s="70"/>
      <c r="AA18" s="69"/>
      <c r="AB18" s="70"/>
      <c r="AC18" s="70"/>
      <c r="AD18" s="70"/>
      <c r="AE18" s="70"/>
      <c r="AF18" s="69"/>
      <c r="AG18" s="70"/>
      <c r="AH18" s="70"/>
      <c r="AI18" s="70"/>
      <c r="AJ18" s="70"/>
      <c r="AK18" s="69"/>
      <c r="AL18" s="70"/>
      <c r="AM18" s="70"/>
      <c r="AN18" s="70"/>
      <c r="AO18" s="70"/>
      <c r="AP18" s="69"/>
      <c r="AQ18" s="70"/>
      <c r="AR18" s="70"/>
      <c r="AS18" s="70"/>
      <c r="AT18" s="70"/>
      <c r="AU18" s="69"/>
      <c r="AV18" s="70"/>
      <c r="AW18" s="70"/>
      <c r="AX18" s="70"/>
      <c r="AY18" s="70"/>
      <c r="AZ18" s="69"/>
      <c r="BA18">
        <f t="shared" si="0"/>
        <v>0</v>
      </c>
      <c r="BB18" s="80">
        <f t="shared" si="1"/>
        <v>100</v>
      </c>
    </row>
    <row r="19" spans="1:54">
      <c r="A19">
        <v>16</v>
      </c>
      <c r="B19" s="60">
        <f>grades!A21</f>
        <v>0</v>
      </c>
      <c r="C19" s="68"/>
      <c r="D19" s="68"/>
      <c r="E19" s="68"/>
      <c r="F19" s="68"/>
      <c r="G19" s="69"/>
      <c r="H19" s="70"/>
      <c r="I19" s="70"/>
      <c r="J19" s="70"/>
      <c r="K19" s="70"/>
      <c r="L19" s="69"/>
      <c r="M19" s="70"/>
      <c r="N19" s="70"/>
      <c r="O19" s="70"/>
      <c r="P19" s="70"/>
      <c r="Q19" s="69"/>
      <c r="R19" s="70"/>
      <c r="S19" s="70"/>
      <c r="T19" s="70"/>
      <c r="U19" s="70"/>
      <c r="V19" s="69"/>
      <c r="W19" s="70"/>
      <c r="X19" s="70"/>
      <c r="Y19" s="70"/>
      <c r="Z19" s="70"/>
      <c r="AA19" s="69"/>
      <c r="AB19" s="70"/>
      <c r="AC19" s="70"/>
      <c r="AD19" s="70"/>
      <c r="AE19" s="70"/>
      <c r="AF19" s="69"/>
      <c r="AG19" s="70"/>
      <c r="AH19" s="70"/>
      <c r="AI19" s="70"/>
      <c r="AJ19" s="70"/>
      <c r="AK19" s="69"/>
      <c r="AL19" s="70"/>
      <c r="AM19" s="70"/>
      <c r="AN19" s="70"/>
      <c r="AO19" s="70"/>
      <c r="AP19" s="69"/>
      <c r="AQ19" s="70"/>
      <c r="AR19" s="70"/>
      <c r="AS19" s="70"/>
      <c r="AT19" s="70"/>
      <c r="AU19" s="69"/>
      <c r="AV19" s="70"/>
      <c r="AW19" s="70"/>
      <c r="AX19" s="70"/>
      <c r="AY19" s="70"/>
      <c r="AZ19" s="69"/>
      <c r="BA19">
        <f t="shared" si="0"/>
        <v>0</v>
      </c>
      <c r="BB19" s="80">
        <f t="shared" si="1"/>
        <v>100</v>
      </c>
    </row>
    <row r="20" spans="1:54">
      <c r="A20">
        <v>17</v>
      </c>
      <c r="B20" s="60">
        <f>grades!A22</f>
        <v>0</v>
      </c>
      <c r="C20" s="68"/>
      <c r="D20" s="68"/>
      <c r="E20" s="68"/>
      <c r="F20" s="68"/>
      <c r="G20" s="69"/>
      <c r="H20" s="70"/>
      <c r="I20" s="70"/>
      <c r="J20" s="70"/>
      <c r="K20" s="70"/>
      <c r="L20" s="69"/>
      <c r="M20" s="70"/>
      <c r="N20" s="70"/>
      <c r="O20" s="70"/>
      <c r="P20" s="70"/>
      <c r="Q20" s="69"/>
      <c r="R20" s="70"/>
      <c r="S20" s="70"/>
      <c r="T20" s="70"/>
      <c r="U20" s="70"/>
      <c r="V20" s="69"/>
      <c r="W20" s="70"/>
      <c r="X20" s="70"/>
      <c r="Y20" s="70"/>
      <c r="Z20" s="70"/>
      <c r="AA20" s="69"/>
      <c r="AB20" s="70"/>
      <c r="AC20" s="70"/>
      <c r="AD20" s="70"/>
      <c r="AE20" s="70"/>
      <c r="AF20" s="69"/>
      <c r="AG20" s="70"/>
      <c r="AH20" s="70"/>
      <c r="AI20" s="70"/>
      <c r="AJ20" s="70"/>
      <c r="AK20" s="69"/>
      <c r="AL20" s="70"/>
      <c r="AM20" s="70"/>
      <c r="AN20" s="70"/>
      <c r="AO20" s="70"/>
      <c r="AP20" s="69"/>
      <c r="AQ20" s="70"/>
      <c r="AR20" s="70"/>
      <c r="AS20" s="70"/>
      <c r="AT20" s="70"/>
      <c r="AU20" s="69"/>
      <c r="AV20" s="70"/>
      <c r="AW20" s="70"/>
      <c r="AX20" s="70"/>
      <c r="AY20" s="70"/>
      <c r="AZ20" s="69"/>
      <c r="BA20">
        <f t="shared" si="0"/>
        <v>0</v>
      </c>
      <c r="BB20" s="80">
        <f t="shared" si="1"/>
        <v>100</v>
      </c>
    </row>
    <row r="21" spans="1:54">
      <c r="A21">
        <v>18</v>
      </c>
      <c r="B21" s="60">
        <f>grades!A23</f>
        <v>0</v>
      </c>
      <c r="C21" s="68"/>
      <c r="D21" s="68"/>
      <c r="E21" s="68"/>
      <c r="F21" s="68"/>
      <c r="G21" s="69"/>
      <c r="H21" s="70"/>
      <c r="I21" s="70"/>
      <c r="J21" s="70"/>
      <c r="K21" s="70"/>
      <c r="L21" s="69"/>
      <c r="M21" s="70"/>
      <c r="N21" s="70"/>
      <c r="O21" s="70"/>
      <c r="P21" s="70"/>
      <c r="Q21" s="69"/>
      <c r="R21" s="70"/>
      <c r="S21" s="70"/>
      <c r="T21" s="70"/>
      <c r="U21" s="70"/>
      <c r="V21" s="69"/>
      <c r="W21" s="70"/>
      <c r="X21" s="70"/>
      <c r="Y21" s="70"/>
      <c r="Z21" s="70"/>
      <c r="AA21" s="69"/>
      <c r="AB21" s="70"/>
      <c r="AC21" s="70"/>
      <c r="AD21" s="70"/>
      <c r="AE21" s="70"/>
      <c r="AF21" s="69"/>
      <c r="AG21" s="70"/>
      <c r="AH21" s="70"/>
      <c r="AI21" s="70"/>
      <c r="AJ21" s="70"/>
      <c r="AK21" s="69"/>
      <c r="AL21" s="70"/>
      <c r="AM21" s="70"/>
      <c r="AN21" s="70"/>
      <c r="AO21" s="70"/>
      <c r="AP21" s="69"/>
      <c r="AQ21" s="70"/>
      <c r="AR21" s="70"/>
      <c r="AS21" s="70"/>
      <c r="AT21" s="70"/>
      <c r="AU21" s="69"/>
      <c r="AV21" s="70"/>
      <c r="AW21" s="70"/>
      <c r="AX21" s="70"/>
      <c r="AY21" s="70"/>
      <c r="AZ21" s="69"/>
      <c r="BA21">
        <f t="shared" si="0"/>
        <v>0</v>
      </c>
      <c r="BB21" s="80">
        <f t="shared" si="1"/>
        <v>100</v>
      </c>
    </row>
    <row r="22" spans="1:54">
      <c r="A22">
        <v>19</v>
      </c>
      <c r="B22" s="60">
        <f>grades!A24</f>
        <v>0</v>
      </c>
      <c r="C22" s="68"/>
      <c r="D22" s="68"/>
      <c r="E22" s="68"/>
      <c r="F22" s="68"/>
      <c r="G22" s="69"/>
      <c r="H22" s="70"/>
      <c r="I22" s="70"/>
      <c r="J22" s="70"/>
      <c r="K22" s="70"/>
      <c r="L22" s="69"/>
      <c r="M22" s="70"/>
      <c r="N22" s="70"/>
      <c r="O22" s="70"/>
      <c r="P22" s="70"/>
      <c r="Q22" s="69"/>
      <c r="R22" s="70"/>
      <c r="S22" s="70"/>
      <c r="T22" s="70"/>
      <c r="U22" s="70"/>
      <c r="V22" s="69"/>
      <c r="W22" s="70"/>
      <c r="X22" s="70"/>
      <c r="Y22" s="70"/>
      <c r="Z22" s="70"/>
      <c r="AA22" s="69"/>
      <c r="AB22" s="70"/>
      <c r="AC22" s="70"/>
      <c r="AD22" s="70"/>
      <c r="AE22" s="70"/>
      <c r="AF22" s="69"/>
      <c r="AG22" s="70"/>
      <c r="AH22" s="70"/>
      <c r="AI22" s="70"/>
      <c r="AJ22" s="70"/>
      <c r="AK22" s="69"/>
      <c r="AL22" s="70"/>
      <c r="AM22" s="70"/>
      <c r="AN22" s="70"/>
      <c r="AO22" s="70"/>
      <c r="AP22" s="69"/>
      <c r="AQ22" s="70"/>
      <c r="AR22" s="70"/>
      <c r="AS22" s="70"/>
      <c r="AT22" s="70"/>
      <c r="AU22" s="69"/>
      <c r="AV22" s="70"/>
      <c r="AW22" s="70"/>
      <c r="AX22" s="70"/>
      <c r="AY22" s="70"/>
      <c r="AZ22" s="69"/>
      <c r="BA22">
        <f t="shared" si="0"/>
        <v>0</v>
      </c>
      <c r="BB22" s="80">
        <f t="shared" si="1"/>
        <v>100</v>
      </c>
    </row>
    <row r="23" spans="1:54">
      <c r="A23">
        <v>20</v>
      </c>
      <c r="B23" s="60">
        <f>grades!A25</f>
        <v>0</v>
      </c>
      <c r="C23" s="68"/>
      <c r="D23" s="68"/>
      <c r="E23" s="68"/>
      <c r="F23" s="68"/>
      <c r="G23" s="69"/>
      <c r="H23" s="70"/>
      <c r="I23" s="70"/>
      <c r="J23" s="70"/>
      <c r="K23" s="70"/>
      <c r="L23" s="69"/>
      <c r="M23" s="70"/>
      <c r="N23" s="70"/>
      <c r="O23" s="70"/>
      <c r="P23" s="70"/>
      <c r="Q23" s="69"/>
      <c r="R23" s="70"/>
      <c r="S23" s="70"/>
      <c r="T23" s="70"/>
      <c r="U23" s="70"/>
      <c r="V23" s="69"/>
      <c r="W23" s="70"/>
      <c r="X23" s="70"/>
      <c r="Y23" s="70"/>
      <c r="Z23" s="70"/>
      <c r="AA23" s="69"/>
      <c r="AB23" s="70"/>
      <c r="AC23" s="70"/>
      <c r="AD23" s="70"/>
      <c r="AE23" s="70"/>
      <c r="AF23" s="69"/>
      <c r="AG23" s="70"/>
      <c r="AH23" s="70"/>
      <c r="AI23" s="70"/>
      <c r="AJ23" s="70"/>
      <c r="AK23" s="69"/>
      <c r="AL23" s="70"/>
      <c r="AM23" s="70"/>
      <c r="AN23" s="70"/>
      <c r="AO23" s="70"/>
      <c r="AP23" s="69"/>
      <c r="AQ23" s="70"/>
      <c r="AR23" s="70"/>
      <c r="AS23" s="70"/>
      <c r="AT23" s="70"/>
      <c r="AU23" s="69"/>
      <c r="AV23" s="70"/>
      <c r="AW23" s="70"/>
      <c r="AX23" s="70"/>
      <c r="AY23" s="70"/>
      <c r="AZ23" s="69"/>
      <c r="BA23">
        <f t="shared" si="0"/>
        <v>0</v>
      </c>
      <c r="BB23" s="80">
        <f t="shared" si="1"/>
        <v>100</v>
      </c>
    </row>
    <row r="24" spans="1:54">
      <c r="A24">
        <v>21</v>
      </c>
      <c r="B24" s="60">
        <f>grades!A26</f>
        <v>0</v>
      </c>
      <c r="C24" s="68"/>
      <c r="D24" s="68"/>
      <c r="E24" s="68"/>
      <c r="F24" s="68"/>
      <c r="G24" s="69"/>
      <c r="H24" s="70"/>
      <c r="I24" s="70"/>
      <c r="J24" s="70"/>
      <c r="K24" s="70"/>
      <c r="L24" s="69"/>
      <c r="M24" s="70"/>
      <c r="N24" s="70"/>
      <c r="O24" s="70"/>
      <c r="P24" s="70"/>
      <c r="Q24" s="69"/>
      <c r="R24" s="70"/>
      <c r="S24" s="70"/>
      <c r="T24" s="70"/>
      <c r="U24" s="70"/>
      <c r="V24" s="69"/>
      <c r="W24" s="70"/>
      <c r="X24" s="70"/>
      <c r="Y24" s="70"/>
      <c r="Z24" s="70"/>
      <c r="AA24" s="69"/>
      <c r="AB24" s="70"/>
      <c r="AC24" s="70"/>
      <c r="AD24" s="70"/>
      <c r="AE24" s="70"/>
      <c r="AF24" s="69"/>
      <c r="AG24" s="70"/>
      <c r="AH24" s="70"/>
      <c r="AI24" s="70"/>
      <c r="AJ24" s="70"/>
      <c r="AK24" s="69"/>
      <c r="AL24" s="70"/>
      <c r="AM24" s="70"/>
      <c r="AN24" s="70"/>
      <c r="AO24" s="70"/>
      <c r="AP24" s="69"/>
      <c r="AQ24" s="70"/>
      <c r="AR24" s="70"/>
      <c r="AS24" s="70"/>
      <c r="AT24" s="70"/>
      <c r="AU24" s="69"/>
      <c r="AV24" s="70"/>
      <c r="AW24" s="70"/>
      <c r="AX24" s="70"/>
      <c r="AY24" s="70"/>
      <c r="AZ24" s="69"/>
      <c r="BA24">
        <f t="shared" si="0"/>
        <v>0</v>
      </c>
      <c r="BB24" s="80">
        <f t="shared" si="1"/>
        <v>100</v>
      </c>
    </row>
    <row r="25" spans="1:54">
      <c r="A25">
        <v>22</v>
      </c>
      <c r="B25" s="60">
        <f>grades!A27</f>
        <v>0</v>
      </c>
      <c r="C25" s="68"/>
      <c r="D25" s="68"/>
      <c r="E25" s="68"/>
      <c r="F25" s="68"/>
      <c r="G25" s="69"/>
      <c r="H25" s="70"/>
      <c r="I25" s="70"/>
      <c r="J25" s="70"/>
      <c r="K25" s="70"/>
      <c r="L25" s="69"/>
      <c r="M25" s="70"/>
      <c r="N25" s="70"/>
      <c r="O25" s="70"/>
      <c r="P25" s="70"/>
      <c r="Q25" s="69"/>
      <c r="R25" s="70"/>
      <c r="S25" s="70"/>
      <c r="T25" s="70"/>
      <c r="U25" s="70"/>
      <c r="V25" s="69"/>
      <c r="W25" s="70"/>
      <c r="X25" s="70"/>
      <c r="Y25" s="70"/>
      <c r="Z25" s="70"/>
      <c r="AA25" s="69"/>
      <c r="AB25" s="70"/>
      <c r="AC25" s="70"/>
      <c r="AD25" s="70"/>
      <c r="AE25" s="70"/>
      <c r="AF25" s="69"/>
      <c r="AG25" s="70"/>
      <c r="AH25" s="70"/>
      <c r="AI25" s="70"/>
      <c r="AJ25" s="70"/>
      <c r="AK25" s="69"/>
      <c r="AL25" s="70"/>
      <c r="AM25" s="70"/>
      <c r="AN25" s="70"/>
      <c r="AO25" s="70"/>
      <c r="AP25" s="69"/>
      <c r="AQ25" s="70"/>
      <c r="AR25" s="70"/>
      <c r="AS25" s="70"/>
      <c r="AT25" s="70"/>
      <c r="AU25" s="69"/>
      <c r="AV25" s="70"/>
      <c r="AW25" s="70"/>
      <c r="AX25" s="70"/>
      <c r="AY25" s="70"/>
      <c r="AZ25" s="69"/>
      <c r="BA25">
        <f t="shared" si="0"/>
        <v>0</v>
      </c>
      <c r="BB25" s="80">
        <f t="shared" si="1"/>
        <v>100</v>
      </c>
    </row>
    <row r="26" spans="1:54">
      <c r="A26">
        <v>23</v>
      </c>
      <c r="B26" s="60">
        <f>grades!A28</f>
        <v>0</v>
      </c>
      <c r="C26" s="68"/>
      <c r="D26" s="68"/>
      <c r="E26" s="68"/>
      <c r="F26" s="68"/>
      <c r="G26" s="69"/>
      <c r="H26" s="70"/>
      <c r="I26" s="70"/>
      <c r="J26" s="70"/>
      <c r="K26" s="70"/>
      <c r="L26" s="69"/>
      <c r="M26" s="70"/>
      <c r="N26" s="70"/>
      <c r="O26" s="70"/>
      <c r="P26" s="70"/>
      <c r="Q26" s="69"/>
      <c r="R26" s="70"/>
      <c r="S26" s="70"/>
      <c r="T26" s="70"/>
      <c r="U26" s="70"/>
      <c r="V26" s="69"/>
      <c r="W26" s="70"/>
      <c r="X26" s="70"/>
      <c r="Y26" s="70"/>
      <c r="Z26" s="70"/>
      <c r="AA26" s="69"/>
      <c r="AB26" s="70"/>
      <c r="AC26" s="70"/>
      <c r="AD26" s="70"/>
      <c r="AE26" s="70"/>
      <c r="AF26" s="69"/>
      <c r="AG26" s="70"/>
      <c r="AH26" s="70"/>
      <c r="AI26" s="70"/>
      <c r="AJ26" s="70"/>
      <c r="AK26" s="69"/>
      <c r="AL26" s="70"/>
      <c r="AM26" s="70"/>
      <c r="AN26" s="70"/>
      <c r="AO26" s="70"/>
      <c r="AP26" s="69"/>
      <c r="AQ26" s="70"/>
      <c r="AR26" s="70"/>
      <c r="AS26" s="70"/>
      <c r="AT26" s="70"/>
      <c r="AU26" s="69"/>
      <c r="AV26" s="70"/>
      <c r="AW26" s="70"/>
      <c r="AX26" s="70"/>
      <c r="AY26" s="70"/>
      <c r="AZ26" s="69"/>
      <c r="BA26">
        <f t="shared" si="0"/>
        <v>0</v>
      </c>
      <c r="BB26" s="80">
        <f t="shared" si="1"/>
        <v>100</v>
      </c>
    </row>
    <row r="27" spans="1:54">
      <c r="A27">
        <v>24</v>
      </c>
      <c r="B27" s="60">
        <f>grades!A29</f>
        <v>0</v>
      </c>
      <c r="C27" s="68"/>
      <c r="D27" s="68"/>
      <c r="E27" s="68"/>
      <c r="F27" s="68"/>
      <c r="G27" s="69"/>
      <c r="H27" s="70"/>
      <c r="I27" s="70"/>
      <c r="J27" s="70"/>
      <c r="K27" s="70"/>
      <c r="L27" s="69"/>
      <c r="M27" s="70"/>
      <c r="N27" s="70"/>
      <c r="O27" s="70"/>
      <c r="P27" s="70"/>
      <c r="Q27" s="69"/>
      <c r="R27" s="70"/>
      <c r="S27" s="70"/>
      <c r="T27" s="70"/>
      <c r="U27" s="70"/>
      <c r="V27" s="69"/>
      <c r="W27" s="70"/>
      <c r="X27" s="70"/>
      <c r="Y27" s="70"/>
      <c r="Z27" s="70"/>
      <c r="AA27" s="69"/>
      <c r="AB27" s="70"/>
      <c r="AC27" s="70"/>
      <c r="AD27" s="70"/>
      <c r="AE27" s="70"/>
      <c r="AF27" s="69"/>
      <c r="AG27" s="70"/>
      <c r="AH27" s="70"/>
      <c r="AI27" s="70"/>
      <c r="AJ27" s="70"/>
      <c r="AK27" s="69"/>
      <c r="AL27" s="70"/>
      <c r="AM27" s="70"/>
      <c r="AN27" s="70"/>
      <c r="AO27" s="70"/>
      <c r="AP27" s="69"/>
      <c r="AQ27" s="70"/>
      <c r="AR27" s="70"/>
      <c r="AS27" s="70"/>
      <c r="AT27" s="70"/>
      <c r="AU27" s="69"/>
      <c r="AV27" s="70"/>
      <c r="AW27" s="70"/>
      <c r="AX27" s="70"/>
      <c r="AY27" s="70"/>
      <c r="AZ27" s="69"/>
      <c r="BA27">
        <f t="shared" si="0"/>
        <v>0</v>
      </c>
      <c r="BB27" s="80">
        <f t="shared" si="1"/>
        <v>100</v>
      </c>
    </row>
    <row r="28" spans="1:54">
      <c r="A28">
        <v>25</v>
      </c>
      <c r="B28" s="60">
        <f>grades!A30</f>
        <v>0</v>
      </c>
      <c r="C28" s="68"/>
      <c r="D28" s="68"/>
      <c r="E28" s="68"/>
      <c r="F28" s="68"/>
      <c r="G28" s="69"/>
      <c r="H28" s="70"/>
      <c r="I28" s="70"/>
      <c r="J28" s="70"/>
      <c r="K28" s="70"/>
      <c r="L28" s="69"/>
      <c r="M28" s="70"/>
      <c r="N28" s="70"/>
      <c r="O28" s="70"/>
      <c r="P28" s="70"/>
      <c r="Q28" s="69"/>
      <c r="R28" s="70"/>
      <c r="S28" s="70"/>
      <c r="T28" s="70"/>
      <c r="U28" s="70"/>
      <c r="V28" s="69"/>
      <c r="W28" s="70"/>
      <c r="X28" s="70"/>
      <c r="Y28" s="70"/>
      <c r="Z28" s="70"/>
      <c r="AA28" s="69"/>
      <c r="AB28" s="70"/>
      <c r="AC28" s="70"/>
      <c r="AD28" s="70"/>
      <c r="AE28" s="70"/>
      <c r="AF28" s="69"/>
      <c r="AG28" s="70"/>
      <c r="AH28" s="70"/>
      <c r="AI28" s="70"/>
      <c r="AJ28" s="70"/>
      <c r="AK28" s="69"/>
      <c r="AL28" s="70"/>
      <c r="AM28" s="70"/>
      <c r="AN28" s="70"/>
      <c r="AO28" s="70"/>
      <c r="AP28" s="69"/>
      <c r="AQ28" s="70"/>
      <c r="AR28" s="70"/>
      <c r="AS28" s="70"/>
      <c r="AT28" s="70"/>
      <c r="AU28" s="69"/>
      <c r="AV28" s="70"/>
      <c r="AW28" s="70"/>
      <c r="AX28" s="70"/>
      <c r="AY28" s="70"/>
      <c r="AZ28" s="69"/>
      <c r="BA28">
        <f t="shared" si="0"/>
        <v>0</v>
      </c>
      <c r="BB28" s="80">
        <f t="shared" si="1"/>
        <v>100</v>
      </c>
    </row>
    <row r="29" spans="1:54">
      <c r="A29">
        <v>26</v>
      </c>
      <c r="B29" s="60">
        <f>grades!A31</f>
        <v>0</v>
      </c>
      <c r="C29" s="68"/>
      <c r="D29" s="68"/>
      <c r="E29" s="68"/>
      <c r="F29" s="68"/>
      <c r="G29" s="69"/>
      <c r="H29" s="70"/>
      <c r="I29" s="70"/>
      <c r="J29" s="70"/>
      <c r="K29" s="70"/>
      <c r="L29" s="69"/>
      <c r="M29" s="70"/>
      <c r="N29" s="70"/>
      <c r="O29" s="70"/>
      <c r="P29" s="70"/>
      <c r="Q29" s="69"/>
      <c r="R29" s="70"/>
      <c r="S29" s="70"/>
      <c r="T29" s="70"/>
      <c r="U29" s="70"/>
      <c r="V29" s="69"/>
      <c r="W29" s="70"/>
      <c r="X29" s="70"/>
      <c r="Y29" s="70"/>
      <c r="Z29" s="70"/>
      <c r="AA29" s="69"/>
      <c r="AB29" s="70"/>
      <c r="AC29" s="70"/>
      <c r="AD29" s="70"/>
      <c r="AE29" s="70"/>
      <c r="AF29" s="69"/>
      <c r="AG29" s="70"/>
      <c r="AH29" s="70"/>
      <c r="AI29" s="70"/>
      <c r="AJ29" s="70"/>
      <c r="AK29" s="69"/>
      <c r="AL29" s="70"/>
      <c r="AM29" s="70"/>
      <c r="AN29" s="70"/>
      <c r="AO29" s="70"/>
      <c r="AP29" s="69"/>
      <c r="AQ29" s="70"/>
      <c r="AR29" s="70"/>
      <c r="AS29" s="70"/>
      <c r="AT29" s="70"/>
      <c r="AU29" s="69"/>
      <c r="AV29" s="70"/>
      <c r="AW29" s="70"/>
      <c r="AX29" s="70"/>
      <c r="AY29" s="70"/>
      <c r="AZ29" s="69"/>
      <c r="BA29">
        <f t="shared" si="0"/>
        <v>0</v>
      </c>
      <c r="BB29" s="80">
        <f t="shared" si="1"/>
        <v>100</v>
      </c>
    </row>
    <row r="30" spans="1:54">
      <c r="A30">
        <v>27</v>
      </c>
      <c r="B30" s="60">
        <f>grades!A32</f>
        <v>0</v>
      </c>
      <c r="C30" s="68"/>
      <c r="D30" s="68"/>
      <c r="E30" s="68"/>
      <c r="F30" s="68"/>
      <c r="G30" s="69"/>
      <c r="H30" s="70"/>
      <c r="I30" s="70"/>
      <c r="J30" s="70"/>
      <c r="K30" s="70"/>
      <c r="L30" s="69"/>
      <c r="M30" s="70"/>
      <c r="N30" s="70"/>
      <c r="O30" s="70"/>
      <c r="P30" s="70"/>
      <c r="Q30" s="69"/>
      <c r="R30" s="70"/>
      <c r="S30" s="70"/>
      <c r="T30" s="70"/>
      <c r="U30" s="70"/>
      <c r="V30" s="69"/>
      <c r="W30" s="70"/>
      <c r="X30" s="70"/>
      <c r="Y30" s="70"/>
      <c r="Z30" s="70"/>
      <c r="AA30" s="69"/>
      <c r="AB30" s="70"/>
      <c r="AC30" s="70"/>
      <c r="AD30" s="70"/>
      <c r="AE30" s="70"/>
      <c r="AF30" s="69"/>
      <c r="AG30" s="70"/>
      <c r="AH30" s="70"/>
      <c r="AI30" s="70"/>
      <c r="AJ30" s="70"/>
      <c r="AK30" s="69"/>
      <c r="AL30" s="70"/>
      <c r="AM30" s="70"/>
      <c r="AN30" s="70"/>
      <c r="AO30" s="70"/>
      <c r="AP30" s="69"/>
      <c r="AQ30" s="70"/>
      <c r="AR30" s="70"/>
      <c r="AS30" s="70"/>
      <c r="AT30" s="70"/>
      <c r="AU30" s="69"/>
      <c r="AV30" s="70"/>
      <c r="AW30" s="70"/>
      <c r="AX30" s="70"/>
      <c r="AY30" s="70"/>
      <c r="AZ30" s="69"/>
      <c r="BA30">
        <f t="shared" si="0"/>
        <v>0</v>
      </c>
      <c r="BB30" s="80">
        <f t="shared" si="1"/>
        <v>100</v>
      </c>
    </row>
    <row r="31" spans="1:54">
      <c r="A31">
        <v>28</v>
      </c>
      <c r="B31" s="60">
        <f>grades!A33</f>
        <v>0</v>
      </c>
      <c r="C31" s="68"/>
      <c r="D31" s="68"/>
      <c r="E31" s="68"/>
      <c r="F31" s="68"/>
      <c r="G31" s="69"/>
      <c r="H31" s="70"/>
      <c r="I31" s="70"/>
      <c r="J31" s="70"/>
      <c r="K31" s="70"/>
      <c r="L31" s="69"/>
      <c r="M31" s="70"/>
      <c r="N31" s="70"/>
      <c r="O31" s="70"/>
      <c r="P31" s="70"/>
      <c r="Q31" s="69"/>
      <c r="R31" s="70"/>
      <c r="S31" s="70"/>
      <c r="T31" s="70"/>
      <c r="U31" s="70"/>
      <c r="V31" s="69"/>
      <c r="W31" s="70"/>
      <c r="X31" s="70"/>
      <c r="Y31" s="70"/>
      <c r="Z31" s="70"/>
      <c r="AA31" s="69"/>
      <c r="AB31" s="70"/>
      <c r="AC31" s="70"/>
      <c r="AD31" s="70"/>
      <c r="AE31" s="70"/>
      <c r="AF31" s="69"/>
      <c r="AG31" s="70"/>
      <c r="AH31" s="70"/>
      <c r="AI31" s="70"/>
      <c r="AJ31" s="70"/>
      <c r="AK31" s="69"/>
      <c r="AL31" s="70"/>
      <c r="AM31" s="70"/>
      <c r="AN31" s="70"/>
      <c r="AO31" s="70"/>
      <c r="AP31" s="69"/>
      <c r="AQ31" s="70"/>
      <c r="AR31" s="70"/>
      <c r="AS31" s="70"/>
      <c r="AT31" s="70"/>
      <c r="AU31" s="69"/>
      <c r="AV31" s="70"/>
      <c r="AW31" s="70"/>
      <c r="AX31" s="70"/>
      <c r="AY31" s="70"/>
      <c r="AZ31" s="69"/>
      <c r="BA31">
        <f t="shared" si="0"/>
        <v>0</v>
      </c>
      <c r="BB31" s="80">
        <f t="shared" si="1"/>
        <v>100</v>
      </c>
    </row>
    <row r="32" spans="1:54">
      <c r="A32">
        <v>29</v>
      </c>
      <c r="B32" s="60">
        <f>grades!A34</f>
        <v>0</v>
      </c>
      <c r="C32" s="68"/>
      <c r="D32" s="68"/>
      <c r="E32" s="68"/>
      <c r="F32" s="68"/>
      <c r="G32" s="69"/>
      <c r="H32" s="70"/>
      <c r="I32" s="70"/>
      <c r="J32" s="70"/>
      <c r="K32" s="70"/>
      <c r="L32" s="69"/>
      <c r="M32" s="70"/>
      <c r="N32" s="70"/>
      <c r="O32" s="70"/>
      <c r="P32" s="70"/>
      <c r="Q32" s="69"/>
      <c r="R32" s="70"/>
      <c r="S32" s="70"/>
      <c r="T32" s="70"/>
      <c r="U32" s="70"/>
      <c r="V32" s="69"/>
      <c r="W32" s="70"/>
      <c r="X32" s="70"/>
      <c r="Y32" s="70"/>
      <c r="Z32" s="70"/>
      <c r="AA32" s="69"/>
      <c r="AB32" s="70"/>
      <c r="AC32" s="70"/>
      <c r="AD32" s="70"/>
      <c r="AE32" s="70"/>
      <c r="AF32" s="69"/>
      <c r="AG32" s="70"/>
      <c r="AH32" s="70"/>
      <c r="AI32" s="70"/>
      <c r="AJ32" s="70"/>
      <c r="AK32" s="69"/>
      <c r="AL32" s="70"/>
      <c r="AM32" s="70"/>
      <c r="AN32" s="70"/>
      <c r="AO32" s="70"/>
      <c r="AP32" s="69"/>
      <c r="AQ32" s="70"/>
      <c r="AR32" s="70"/>
      <c r="AS32" s="70"/>
      <c r="AT32" s="70"/>
      <c r="AU32" s="69"/>
      <c r="AV32" s="70"/>
      <c r="AW32" s="70"/>
      <c r="AX32" s="70"/>
      <c r="AY32" s="70"/>
      <c r="AZ32" s="69"/>
      <c r="BA32">
        <f t="shared" si="0"/>
        <v>0</v>
      </c>
      <c r="BB32" s="80">
        <f t="shared" si="1"/>
        <v>100</v>
      </c>
    </row>
    <row r="33" spans="1:54">
      <c r="A33">
        <v>30</v>
      </c>
      <c r="B33" s="60">
        <f>grades!A35</f>
        <v>0</v>
      </c>
      <c r="C33" s="71"/>
      <c r="D33" s="72"/>
      <c r="E33" s="72"/>
      <c r="F33" s="72"/>
      <c r="G33" s="73"/>
      <c r="H33" s="72"/>
      <c r="I33" s="72"/>
      <c r="J33" s="72"/>
      <c r="K33" s="72"/>
      <c r="L33" s="73"/>
      <c r="M33" s="72"/>
      <c r="N33" s="72"/>
      <c r="O33" s="72"/>
      <c r="P33" s="72"/>
      <c r="Q33" s="73"/>
      <c r="R33" s="72"/>
      <c r="S33" s="72"/>
      <c r="T33" s="72"/>
      <c r="U33" s="72"/>
      <c r="V33" s="73"/>
      <c r="W33" s="72"/>
      <c r="X33" s="72"/>
      <c r="Y33" s="72"/>
      <c r="Z33" s="72"/>
      <c r="AA33" s="73"/>
      <c r="AB33" s="72"/>
      <c r="AC33" s="72"/>
      <c r="AD33" s="72"/>
      <c r="AE33" s="72"/>
      <c r="AF33" s="73"/>
      <c r="AG33" s="72"/>
      <c r="AH33" s="72"/>
      <c r="AI33" s="72"/>
      <c r="AJ33" s="72"/>
      <c r="AK33" s="73"/>
      <c r="AL33" s="72"/>
      <c r="AM33" s="72"/>
      <c r="AN33" s="72"/>
      <c r="AO33" s="72"/>
      <c r="AP33" s="73"/>
      <c r="AQ33" s="72"/>
      <c r="AR33" s="72"/>
      <c r="AS33" s="72"/>
      <c r="AT33" s="72"/>
      <c r="AU33" s="73"/>
      <c r="AV33" s="72"/>
      <c r="AW33" s="72"/>
      <c r="AX33" s="72"/>
      <c r="AY33" s="72"/>
      <c r="AZ33" s="73"/>
      <c r="BA33">
        <f t="shared" si="0"/>
        <v>0</v>
      </c>
      <c r="BB33" s="80">
        <f t="shared" si="1"/>
        <v>100</v>
      </c>
    </row>
    <row r="34" spans="1:54" s="59" customFormat="1" ht="16" customHeight="1"/>
    <row r="35" spans="1:54" s="59" customFormat="1"/>
    <row r="36" spans="1:54" s="59" customFormat="1"/>
    <row r="37" spans="1:54" s="59" customFormat="1"/>
    <row r="38" spans="1:54" s="59" customFormat="1"/>
    <row r="39" spans="1:54" s="59" customFormat="1"/>
    <row r="40" spans="1:54" s="59" customFormat="1"/>
    <row r="41" spans="1:54" s="59" customFormat="1"/>
    <row r="42" spans="1:54" s="59" customFormat="1"/>
    <row r="43" spans="1:54" s="59" customFormat="1"/>
    <row r="44" spans="1:54" s="59" customFormat="1"/>
    <row r="45" spans="1:54" s="59" customFormat="1"/>
    <row r="46" spans="1:54" s="59" customFormat="1"/>
    <row r="47" spans="1:54" s="59" customFormat="1"/>
    <row r="48" spans="1:54" s="59" customFormat="1"/>
    <row r="49" s="59" customFormat="1"/>
    <row r="50" s="59" customFormat="1"/>
    <row r="51" s="59" customFormat="1"/>
    <row r="52" s="59" customFormat="1"/>
    <row r="53" s="59" customFormat="1"/>
    <row r="54" s="59" customFormat="1"/>
    <row r="55" s="59" customFormat="1"/>
    <row r="56" s="59" customFormat="1"/>
    <row r="57" s="59" customFormat="1"/>
    <row r="58" s="59" customFormat="1"/>
    <row r="59" s="59" customFormat="1"/>
    <row r="60" s="59" customFormat="1"/>
    <row r="61" s="59" customFormat="1"/>
    <row r="62" s="59" customFormat="1"/>
    <row r="63" s="59" customFormat="1"/>
    <row r="64" s="59" customFormat="1"/>
    <row r="65" s="59" customFormat="1"/>
    <row r="66" s="59" customFormat="1"/>
    <row r="67" s="59" customFormat="1"/>
    <row r="68" s="59" customFormat="1"/>
    <row r="69" s="59" customFormat="1"/>
    <row r="70" s="59" customFormat="1"/>
    <row r="71" s="59" customFormat="1"/>
    <row r="72" s="59" customFormat="1"/>
    <row r="73" s="59" customFormat="1"/>
    <row r="74" s="59" customFormat="1"/>
    <row r="75" s="59" customFormat="1"/>
    <row r="76" s="59" customFormat="1"/>
    <row r="77" s="59" customFormat="1"/>
    <row r="78" s="59" customFormat="1"/>
    <row r="79" s="59" customFormat="1"/>
    <row r="80" s="59" customFormat="1"/>
    <row r="81" s="59" customFormat="1"/>
    <row r="82" s="59" customFormat="1"/>
    <row r="83" s="59" customFormat="1"/>
    <row r="84" s="59" customFormat="1"/>
    <row r="85" s="59" customFormat="1"/>
    <row r="86" s="59" customFormat="1"/>
    <row r="87" s="59" customFormat="1"/>
    <row r="88" s="59" customFormat="1"/>
    <row r="89" s="59" customFormat="1"/>
    <row r="90" s="59" customFormat="1"/>
    <row r="91" s="59" customFormat="1"/>
    <row r="92" s="59" customFormat="1"/>
    <row r="93" s="59" customFormat="1"/>
    <row r="94" s="59" customFormat="1"/>
    <row r="95" s="59" customFormat="1"/>
    <row r="96" s="59" customFormat="1"/>
    <row r="97" s="59" customFormat="1"/>
    <row r="98" s="59" customFormat="1"/>
    <row r="99" s="59" customFormat="1"/>
    <row r="100" s="59" customFormat="1"/>
    <row r="101" s="59" customFormat="1"/>
    <row r="102" s="59" customFormat="1"/>
    <row r="103" s="59" customFormat="1"/>
    <row r="104" s="59" customFormat="1"/>
    <row r="105" s="59" customFormat="1"/>
    <row r="106" s="59" customFormat="1"/>
    <row r="107" s="59" customFormat="1"/>
    <row r="108" s="59" customFormat="1"/>
    <row r="109" s="59" customFormat="1"/>
    <row r="110" s="59" customFormat="1"/>
    <row r="111" s="59" customFormat="1"/>
    <row r="112" s="59" customFormat="1"/>
    <row r="113" s="59" customFormat="1"/>
    <row r="114" s="59" customFormat="1"/>
    <row r="115" s="59" customFormat="1"/>
    <row r="116" s="59" customFormat="1"/>
    <row r="117" s="59" customFormat="1"/>
    <row r="118" s="59" customFormat="1"/>
    <row r="119" s="59" customFormat="1"/>
    <row r="120" s="59" customFormat="1"/>
    <row r="121" s="59" customFormat="1"/>
    <row r="122" s="59" customFormat="1"/>
    <row r="123" s="59" customFormat="1"/>
    <row r="124" s="59" customFormat="1"/>
    <row r="125" s="59" customFormat="1"/>
    <row r="126" s="59" customFormat="1"/>
    <row r="127" s="59" customFormat="1"/>
    <row r="128" s="59" customFormat="1"/>
    <row r="129" s="59" customFormat="1"/>
    <row r="130" s="59" customFormat="1"/>
    <row r="131" s="59" customFormat="1"/>
    <row r="132" s="59" customFormat="1"/>
    <row r="133" s="59" customFormat="1"/>
    <row r="134" s="59" customFormat="1"/>
    <row r="135" s="59" customFormat="1"/>
    <row r="136" s="59" customFormat="1"/>
    <row r="137" s="59" customFormat="1"/>
    <row r="138" s="59" customFormat="1"/>
    <row r="139" s="59" customFormat="1"/>
    <row r="140" s="59" customFormat="1"/>
    <row r="141" s="59" customFormat="1"/>
    <row r="142" s="59" customFormat="1"/>
    <row r="143" s="59" customFormat="1"/>
    <row r="144" s="59" customFormat="1"/>
    <row r="145" s="59" customFormat="1"/>
    <row r="146" s="59" customFormat="1"/>
    <row r="147" s="59" customFormat="1"/>
    <row r="148" s="59" customFormat="1"/>
    <row r="149" s="59" customFormat="1"/>
    <row r="150" s="59" customFormat="1"/>
    <row r="151" s="59" customFormat="1"/>
    <row r="152" s="59" customFormat="1"/>
    <row r="153" s="59" customFormat="1"/>
    <row r="154" s="59" customFormat="1"/>
    <row r="155" s="59" customFormat="1"/>
    <row r="156" s="59" customFormat="1"/>
    <row r="157" s="59" customFormat="1"/>
    <row r="158" s="59" customFormat="1"/>
    <row r="159" s="59" customFormat="1"/>
    <row r="160" s="59" customFormat="1"/>
    <row r="161" s="59" customFormat="1"/>
    <row r="162" s="59" customFormat="1"/>
    <row r="163" s="59" customFormat="1"/>
    <row r="164" s="59" customFormat="1"/>
    <row r="165" s="59" customFormat="1"/>
    <row r="166" s="59" customFormat="1"/>
    <row r="167" s="59" customFormat="1"/>
    <row r="168" s="59" customFormat="1"/>
    <row r="169" s="59" customFormat="1"/>
    <row r="170" s="59" customFormat="1"/>
    <row r="171" s="59" customFormat="1"/>
    <row r="172" s="59" customFormat="1"/>
    <row r="173" s="59" customFormat="1"/>
    <row r="174" s="59" customFormat="1"/>
    <row r="175" s="59" customFormat="1"/>
    <row r="176" s="59" customFormat="1"/>
    <row r="177" s="59" customFormat="1"/>
    <row r="178" s="59" customFormat="1"/>
    <row r="179" s="59" customFormat="1"/>
    <row r="180" s="59" customFormat="1"/>
    <row r="181" s="59" customFormat="1"/>
    <row r="182" s="59" customFormat="1"/>
    <row r="183" s="59" customFormat="1"/>
    <row r="184" s="59" customFormat="1"/>
    <row r="185" s="59" customFormat="1"/>
    <row r="186" s="59" customFormat="1"/>
    <row r="187" s="59" customFormat="1"/>
    <row r="188" s="59" customFormat="1"/>
    <row r="189" s="59" customFormat="1"/>
    <row r="190" s="59" customFormat="1"/>
    <row r="191" s="59" customFormat="1"/>
    <row r="192" s="59" customFormat="1"/>
    <row r="193" s="59" customFormat="1"/>
    <row r="194" s="59" customFormat="1"/>
    <row r="195" s="59" customFormat="1"/>
    <row r="196" s="59" customFormat="1"/>
    <row r="197" s="59" customFormat="1"/>
    <row r="198" s="59" customFormat="1"/>
    <row r="199" s="59" customFormat="1"/>
    <row r="200" s="59" customFormat="1"/>
    <row r="201" s="59" customFormat="1"/>
    <row r="202" s="59" customFormat="1"/>
    <row r="203" s="59" customFormat="1"/>
    <row r="204" s="59" customFormat="1"/>
    <row r="205" s="59" customFormat="1"/>
    <row r="206" s="59" customFormat="1"/>
    <row r="207" s="59" customFormat="1"/>
    <row r="208" s="59" customFormat="1"/>
    <row r="209" s="59" customFormat="1"/>
    <row r="210" s="59" customFormat="1"/>
    <row r="211" s="59" customFormat="1"/>
    <row r="212" s="59" customFormat="1"/>
    <row r="213" s="59" customFormat="1"/>
    <row r="214" s="59" customFormat="1"/>
    <row r="215" s="59" customFormat="1"/>
    <row r="216" s="59" customFormat="1"/>
    <row r="217" s="59" customFormat="1"/>
    <row r="218" s="59" customFormat="1"/>
  </sheetData>
  <sheetProtection sheet="1" objects="1" scenarios="1"/>
  <mergeCells count="1">
    <mergeCell ref="B1:AE1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C7" sqref="C7"/>
    </sheetView>
  </sheetViews>
  <sheetFormatPr defaultRowHeight="12.5"/>
  <cols>
    <col min="1" max="1" width="5.6328125" customWidth="1"/>
    <col min="2" max="2" width="17.36328125" customWidth="1"/>
    <col min="3" max="12" width="5.6328125" customWidth="1"/>
    <col min="13" max="13" width="10.81640625" style="22" customWidth="1"/>
    <col min="14" max="256" width="10.90625" customWidth="1"/>
  </cols>
  <sheetData>
    <row r="1" spans="1:13" ht="15">
      <c r="A1" s="123" t="s">
        <v>42</v>
      </c>
      <c r="B1" s="123"/>
      <c r="C1" s="123"/>
      <c r="D1" s="123"/>
      <c r="E1" s="123"/>
      <c r="F1" s="123"/>
    </row>
    <row r="2" spans="1:13">
      <c r="A2" s="46"/>
      <c r="B2" s="46"/>
    </row>
    <row r="3" spans="1:13" ht="16" thickBot="1">
      <c r="A3" s="25"/>
      <c r="B3" s="25"/>
    </row>
    <row r="4" spans="1:13" ht="15">
      <c r="A4" s="30" t="s">
        <v>21</v>
      </c>
      <c r="B4" s="47"/>
      <c r="C4" s="48"/>
      <c r="D4" s="48"/>
      <c r="E4" s="48" t="s">
        <v>43</v>
      </c>
      <c r="F4" s="48"/>
      <c r="G4" s="48"/>
      <c r="H4" s="48"/>
      <c r="I4" s="48"/>
      <c r="J4" s="48"/>
      <c r="K4" s="48"/>
      <c r="L4" s="48"/>
      <c r="M4" s="53"/>
    </row>
    <row r="5" spans="1:13" ht="15">
      <c r="A5" s="34" t="s">
        <v>22</v>
      </c>
      <c r="B5" s="49"/>
      <c r="C5" s="50">
        <v>1</v>
      </c>
      <c r="D5" s="50">
        <v>2</v>
      </c>
      <c r="E5" s="50">
        <v>3</v>
      </c>
      <c r="F5" s="50">
        <v>4</v>
      </c>
      <c r="G5" s="50">
        <v>5</v>
      </c>
      <c r="H5" s="50">
        <v>6</v>
      </c>
      <c r="I5" s="50">
        <v>7</v>
      </c>
      <c r="J5" s="50">
        <v>8</v>
      </c>
      <c r="K5" s="50">
        <v>9</v>
      </c>
      <c r="L5" s="50">
        <v>10</v>
      </c>
      <c r="M5" s="93" t="s">
        <v>23</v>
      </c>
    </row>
    <row r="6" spans="1:13" ht="13">
      <c r="A6" s="38">
        <f ca="1">NOW()</f>
        <v>43857.532910069443</v>
      </c>
      <c r="B6" s="51"/>
      <c r="C6" s="52"/>
      <c r="D6" s="52"/>
      <c r="E6" s="52"/>
      <c r="F6" s="52"/>
      <c r="G6" s="52"/>
      <c r="H6" s="52"/>
      <c r="I6" s="52"/>
      <c r="J6" s="52"/>
      <c r="K6" s="52"/>
      <c r="L6" s="52"/>
      <c r="M6" s="93" t="s">
        <v>24</v>
      </c>
    </row>
    <row r="7" spans="1:13" ht="13">
      <c r="A7" s="55">
        <v>1</v>
      </c>
      <c r="B7" s="57">
        <f>grades!A6</f>
        <v>0</v>
      </c>
      <c r="C7" s="56"/>
      <c r="D7" s="54"/>
      <c r="E7" s="54"/>
      <c r="F7" s="54"/>
      <c r="G7" s="54"/>
      <c r="H7" s="54"/>
      <c r="I7" s="54"/>
      <c r="J7" s="54"/>
      <c r="K7" s="54"/>
      <c r="L7" s="54"/>
      <c r="M7" s="97" t="e">
        <f>AVERAGE(C7:L7)</f>
        <v>#DIV/0!</v>
      </c>
    </row>
    <row r="8" spans="1:13" ht="13">
      <c r="A8" s="55">
        <v>2</v>
      </c>
      <c r="B8" s="57">
        <f>grades!A7</f>
        <v>0</v>
      </c>
      <c r="C8" s="56"/>
      <c r="D8" s="54"/>
      <c r="E8" s="54"/>
      <c r="F8" s="54"/>
      <c r="G8" s="54"/>
      <c r="H8" s="54"/>
      <c r="I8" s="54"/>
      <c r="J8" s="54"/>
      <c r="K8" s="54"/>
      <c r="L8" s="54"/>
      <c r="M8" s="97" t="e">
        <f t="shared" ref="M8:M36" si="0">AVERAGE(C8:L8)</f>
        <v>#DIV/0!</v>
      </c>
    </row>
    <row r="9" spans="1:13" ht="13">
      <c r="A9" s="55">
        <v>3</v>
      </c>
      <c r="B9" s="57">
        <f>grades!A8</f>
        <v>0</v>
      </c>
      <c r="C9" s="56"/>
      <c r="D9" s="54"/>
      <c r="E9" s="54"/>
      <c r="F9" s="54"/>
      <c r="G9" s="54"/>
      <c r="H9" s="54"/>
      <c r="I9" s="54"/>
      <c r="J9" s="54"/>
      <c r="K9" s="54"/>
      <c r="L9" s="54"/>
      <c r="M9" s="97" t="e">
        <f t="shared" si="0"/>
        <v>#DIV/0!</v>
      </c>
    </row>
    <row r="10" spans="1:13" ht="13">
      <c r="A10" s="55">
        <v>4</v>
      </c>
      <c r="B10" s="57">
        <f>grades!A9</f>
        <v>0</v>
      </c>
      <c r="C10" s="56"/>
      <c r="D10" s="54"/>
      <c r="E10" s="54"/>
      <c r="F10" s="54"/>
      <c r="G10" s="54"/>
      <c r="H10" s="54"/>
      <c r="I10" s="54"/>
      <c r="J10" s="54"/>
      <c r="K10" s="54"/>
      <c r="L10" s="54"/>
      <c r="M10" s="97" t="e">
        <f t="shared" si="0"/>
        <v>#DIV/0!</v>
      </c>
    </row>
    <row r="11" spans="1:13" ht="13">
      <c r="A11" s="55">
        <v>5</v>
      </c>
      <c r="B11" s="57">
        <f>grades!A10</f>
        <v>0</v>
      </c>
      <c r="C11" s="56"/>
      <c r="D11" s="54"/>
      <c r="E11" s="54"/>
      <c r="F11" s="54"/>
      <c r="G11" s="54"/>
      <c r="H11" s="54"/>
      <c r="I11" s="54"/>
      <c r="J11" s="54"/>
      <c r="K11" s="54"/>
      <c r="L11" s="54"/>
      <c r="M11" s="97" t="e">
        <f t="shared" si="0"/>
        <v>#DIV/0!</v>
      </c>
    </row>
    <row r="12" spans="1:13" ht="13">
      <c r="A12" s="55">
        <v>6</v>
      </c>
      <c r="B12" s="57">
        <f>grades!A11</f>
        <v>0</v>
      </c>
      <c r="C12" s="56"/>
      <c r="D12" s="54"/>
      <c r="E12" s="54"/>
      <c r="F12" s="54"/>
      <c r="G12" s="54"/>
      <c r="H12" s="54"/>
      <c r="I12" s="54"/>
      <c r="J12" s="54"/>
      <c r="K12" s="54"/>
      <c r="L12" s="54"/>
      <c r="M12" s="97" t="e">
        <f t="shared" si="0"/>
        <v>#DIV/0!</v>
      </c>
    </row>
    <row r="13" spans="1:13" ht="13">
      <c r="A13" s="55">
        <v>7</v>
      </c>
      <c r="B13" s="57">
        <f>grades!A12</f>
        <v>0</v>
      </c>
      <c r="C13" s="56"/>
      <c r="D13" s="54"/>
      <c r="E13" s="54"/>
      <c r="F13" s="54"/>
      <c r="G13" s="54"/>
      <c r="H13" s="54"/>
      <c r="I13" s="54"/>
      <c r="J13" s="54"/>
      <c r="K13" s="54"/>
      <c r="L13" s="54"/>
      <c r="M13" s="97" t="e">
        <f t="shared" si="0"/>
        <v>#DIV/0!</v>
      </c>
    </row>
    <row r="14" spans="1:13" ht="13">
      <c r="A14" s="55">
        <v>8</v>
      </c>
      <c r="B14" s="57">
        <f>grades!A13</f>
        <v>0</v>
      </c>
      <c r="C14" s="56"/>
      <c r="D14" s="54"/>
      <c r="E14" s="54"/>
      <c r="F14" s="54"/>
      <c r="G14" s="54"/>
      <c r="H14" s="54"/>
      <c r="I14" s="54"/>
      <c r="J14" s="54"/>
      <c r="K14" s="54"/>
      <c r="L14" s="54"/>
      <c r="M14" s="97" t="e">
        <f t="shared" si="0"/>
        <v>#DIV/0!</v>
      </c>
    </row>
    <row r="15" spans="1:13" ht="13">
      <c r="A15" s="55">
        <v>9</v>
      </c>
      <c r="B15" s="57">
        <f>grades!A14</f>
        <v>0</v>
      </c>
      <c r="C15" s="56"/>
      <c r="D15" s="54"/>
      <c r="E15" s="54"/>
      <c r="F15" s="54"/>
      <c r="G15" s="54"/>
      <c r="H15" s="54"/>
      <c r="I15" s="54"/>
      <c r="J15" s="54"/>
      <c r="K15" s="54"/>
      <c r="L15" s="54"/>
      <c r="M15" s="97" t="e">
        <f t="shared" si="0"/>
        <v>#DIV/0!</v>
      </c>
    </row>
    <row r="16" spans="1:13" ht="13">
      <c r="A16" s="55">
        <v>10</v>
      </c>
      <c r="B16" s="57">
        <f>grades!A15</f>
        <v>0</v>
      </c>
      <c r="C16" s="56"/>
      <c r="D16" s="54"/>
      <c r="E16" s="54"/>
      <c r="F16" s="54"/>
      <c r="G16" s="54"/>
      <c r="H16" s="54"/>
      <c r="I16" s="54"/>
      <c r="J16" s="54"/>
      <c r="K16" s="54"/>
      <c r="L16" s="54"/>
      <c r="M16" s="97" t="e">
        <f t="shared" si="0"/>
        <v>#DIV/0!</v>
      </c>
    </row>
    <row r="17" spans="1:13" ht="13">
      <c r="A17" s="55">
        <v>11</v>
      </c>
      <c r="B17" s="57">
        <f>grades!A16</f>
        <v>0</v>
      </c>
      <c r="C17" s="56"/>
      <c r="D17" s="54"/>
      <c r="E17" s="54"/>
      <c r="F17" s="54"/>
      <c r="G17" s="54"/>
      <c r="H17" s="54"/>
      <c r="I17" s="54"/>
      <c r="J17" s="54"/>
      <c r="K17" s="54"/>
      <c r="L17" s="54"/>
      <c r="M17" s="97" t="e">
        <f t="shared" si="0"/>
        <v>#DIV/0!</v>
      </c>
    </row>
    <row r="18" spans="1:13" ht="13">
      <c r="A18" s="55">
        <v>12</v>
      </c>
      <c r="B18" s="57">
        <f>grades!A17</f>
        <v>0</v>
      </c>
      <c r="C18" s="56"/>
      <c r="D18" s="54"/>
      <c r="E18" s="54"/>
      <c r="F18" s="54"/>
      <c r="G18" s="54"/>
      <c r="H18" s="54"/>
      <c r="I18" s="54"/>
      <c r="J18" s="54"/>
      <c r="K18" s="54"/>
      <c r="L18" s="54"/>
      <c r="M18" s="97" t="e">
        <f t="shared" si="0"/>
        <v>#DIV/0!</v>
      </c>
    </row>
    <row r="19" spans="1:13" ht="13">
      <c r="A19" s="55">
        <v>13</v>
      </c>
      <c r="B19" s="57">
        <f>grades!A18</f>
        <v>0</v>
      </c>
      <c r="C19" s="56"/>
      <c r="D19" s="54"/>
      <c r="E19" s="54"/>
      <c r="F19" s="54"/>
      <c r="G19" s="54"/>
      <c r="H19" s="54"/>
      <c r="I19" s="54"/>
      <c r="J19" s="54"/>
      <c r="K19" s="54"/>
      <c r="L19" s="54"/>
      <c r="M19" s="97" t="e">
        <f t="shared" si="0"/>
        <v>#DIV/0!</v>
      </c>
    </row>
    <row r="20" spans="1:13" ht="13">
      <c r="A20" s="55">
        <v>14</v>
      </c>
      <c r="B20" s="57">
        <f>grades!A19</f>
        <v>0</v>
      </c>
      <c r="C20" s="56"/>
      <c r="D20" s="54"/>
      <c r="E20" s="54"/>
      <c r="F20" s="54"/>
      <c r="G20" s="54"/>
      <c r="H20" s="54"/>
      <c r="I20" s="54"/>
      <c r="J20" s="54"/>
      <c r="K20" s="54"/>
      <c r="L20" s="54"/>
      <c r="M20" s="97" t="e">
        <f t="shared" si="0"/>
        <v>#DIV/0!</v>
      </c>
    </row>
    <row r="21" spans="1:13" ht="13">
      <c r="A21" s="55">
        <v>15</v>
      </c>
      <c r="B21" s="57">
        <f>grades!A20</f>
        <v>0</v>
      </c>
      <c r="C21" s="56"/>
      <c r="D21" s="54"/>
      <c r="E21" s="54"/>
      <c r="F21" s="54"/>
      <c r="G21" s="54"/>
      <c r="H21" s="54"/>
      <c r="I21" s="54"/>
      <c r="J21" s="54"/>
      <c r="K21" s="54"/>
      <c r="L21" s="54"/>
      <c r="M21" s="97" t="e">
        <f t="shared" si="0"/>
        <v>#DIV/0!</v>
      </c>
    </row>
    <row r="22" spans="1:13" ht="13">
      <c r="A22" s="55">
        <v>16</v>
      </c>
      <c r="B22" s="57">
        <f>grades!A21</f>
        <v>0</v>
      </c>
      <c r="C22" s="56"/>
      <c r="D22" s="54"/>
      <c r="E22" s="54"/>
      <c r="F22" s="54"/>
      <c r="G22" s="54"/>
      <c r="H22" s="54"/>
      <c r="I22" s="54"/>
      <c r="J22" s="54"/>
      <c r="K22" s="54"/>
      <c r="L22" s="54"/>
      <c r="M22" s="97" t="e">
        <f t="shared" si="0"/>
        <v>#DIV/0!</v>
      </c>
    </row>
    <row r="23" spans="1:13" ht="13">
      <c r="A23" s="55">
        <v>17</v>
      </c>
      <c r="B23" s="57">
        <f>grades!A22</f>
        <v>0</v>
      </c>
      <c r="C23" s="56"/>
      <c r="D23" s="54"/>
      <c r="E23" s="54"/>
      <c r="F23" s="54"/>
      <c r="G23" s="54"/>
      <c r="H23" s="54"/>
      <c r="I23" s="54"/>
      <c r="J23" s="54"/>
      <c r="K23" s="54"/>
      <c r="L23" s="54"/>
      <c r="M23" s="97" t="e">
        <f t="shared" si="0"/>
        <v>#DIV/0!</v>
      </c>
    </row>
    <row r="24" spans="1:13" ht="13">
      <c r="A24" s="55">
        <v>18</v>
      </c>
      <c r="B24" s="57">
        <f>grades!A23</f>
        <v>0</v>
      </c>
      <c r="C24" s="56"/>
      <c r="D24" s="54"/>
      <c r="E24" s="54"/>
      <c r="F24" s="54"/>
      <c r="G24" s="54"/>
      <c r="H24" s="54"/>
      <c r="I24" s="54"/>
      <c r="J24" s="54"/>
      <c r="K24" s="54"/>
      <c r="L24" s="54"/>
      <c r="M24" s="97" t="e">
        <f t="shared" si="0"/>
        <v>#DIV/0!</v>
      </c>
    </row>
    <row r="25" spans="1:13" ht="13">
      <c r="A25" s="55">
        <v>19</v>
      </c>
      <c r="B25" s="57">
        <f>grades!A24</f>
        <v>0</v>
      </c>
      <c r="C25" s="56"/>
      <c r="D25" s="54"/>
      <c r="E25" s="54"/>
      <c r="F25" s="54"/>
      <c r="G25" s="54"/>
      <c r="H25" s="54"/>
      <c r="I25" s="54"/>
      <c r="J25" s="54"/>
      <c r="K25" s="54"/>
      <c r="L25" s="54"/>
      <c r="M25" s="97" t="e">
        <f t="shared" si="0"/>
        <v>#DIV/0!</v>
      </c>
    </row>
    <row r="26" spans="1:13" ht="13">
      <c r="A26" s="55">
        <v>20</v>
      </c>
      <c r="B26" s="57">
        <f>grades!A25</f>
        <v>0</v>
      </c>
      <c r="C26" s="56"/>
      <c r="D26" s="54"/>
      <c r="E26" s="54"/>
      <c r="F26" s="54"/>
      <c r="G26" s="54"/>
      <c r="H26" s="54"/>
      <c r="I26" s="54"/>
      <c r="J26" s="54"/>
      <c r="K26" s="54"/>
      <c r="L26" s="54"/>
      <c r="M26" s="97" t="e">
        <f t="shared" si="0"/>
        <v>#DIV/0!</v>
      </c>
    </row>
    <row r="27" spans="1:13" ht="13">
      <c r="A27" s="55">
        <v>21</v>
      </c>
      <c r="B27" s="57">
        <f>grades!A26</f>
        <v>0</v>
      </c>
      <c r="C27" s="56"/>
      <c r="D27" s="54"/>
      <c r="E27" s="54"/>
      <c r="F27" s="54"/>
      <c r="G27" s="54"/>
      <c r="H27" s="54"/>
      <c r="I27" s="54"/>
      <c r="J27" s="54"/>
      <c r="K27" s="54"/>
      <c r="L27" s="54"/>
      <c r="M27" s="97" t="e">
        <f t="shared" si="0"/>
        <v>#DIV/0!</v>
      </c>
    </row>
    <row r="28" spans="1:13" ht="13">
      <c r="A28" s="55">
        <v>22</v>
      </c>
      <c r="B28" s="57">
        <f>grades!A27</f>
        <v>0</v>
      </c>
      <c r="C28" s="56"/>
      <c r="D28" s="54"/>
      <c r="E28" s="54"/>
      <c r="F28" s="54"/>
      <c r="G28" s="54"/>
      <c r="H28" s="54"/>
      <c r="I28" s="54"/>
      <c r="J28" s="54"/>
      <c r="K28" s="54"/>
      <c r="L28" s="54"/>
      <c r="M28" s="97" t="e">
        <f t="shared" si="0"/>
        <v>#DIV/0!</v>
      </c>
    </row>
    <row r="29" spans="1:13" ht="13">
      <c r="A29" s="55">
        <v>23</v>
      </c>
      <c r="B29" s="57">
        <f>grades!A28</f>
        <v>0</v>
      </c>
      <c r="C29" s="56"/>
      <c r="D29" s="54"/>
      <c r="E29" s="54"/>
      <c r="F29" s="54"/>
      <c r="G29" s="54"/>
      <c r="H29" s="54"/>
      <c r="I29" s="54"/>
      <c r="J29" s="54"/>
      <c r="K29" s="54"/>
      <c r="L29" s="54"/>
      <c r="M29" s="97" t="e">
        <f t="shared" si="0"/>
        <v>#DIV/0!</v>
      </c>
    </row>
    <row r="30" spans="1:13" ht="13">
      <c r="A30" s="55">
        <v>24</v>
      </c>
      <c r="B30" s="57">
        <f>grades!A29</f>
        <v>0</v>
      </c>
      <c r="C30" s="56"/>
      <c r="D30" s="54"/>
      <c r="E30" s="54"/>
      <c r="F30" s="54"/>
      <c r="G30" s="54"/>
      <c r="H30" s="54"/>
      <c r="I30" s="54"/>
      <c r="J30" s="54"/>
      <c r="K30" s="54"/>
      <c r="L30" s="54"/>
      <c r="M30" s="97" t="e">
        <f t="shared" si="0"/>
        <v>#DIV/0!</v>
      </c>
    </row>
    <row r="31" spans="1:13" ht="13">
      <c r="A31" s="55">
        <v>25</v>
      </c>
      <c r="B31" s="57">
        <f>grades!A30</f>
        <v>0</v>
      </c>
      <c r="C31" s="56"/>
      <c r="D31" s="54"/>
      <c r="E31" s="54"/>
      <c r="F31" s="54"/>
      <c r="G31" s="54"/>
      <c r="H31" s="54"/>
      <c r="I31" s="54"/>
      <c r="J31" s="54"/>
      <c r="K31" s="54"/>
      <c r="L31" s="54"/>
      <c r="M31" s="97" t="e">
        <f t="shared" si="0"/>
        <v>#DIV/0!</v>
      </c>
    </row>
    <row r="32" spans="1:13" ht="13">
      <c r="A32" s="55">
        <v>26</v>
      </c>
      <c r="B32" s="57">
        <f>grades!A31</f>
        <v>0</v>
      </c>
      <c r="C32" s="56"/>
      <c r="D32" s="54"/>
      <c r="E32" s="54"/>
      <c r="F32" s="54"/>
      <c r="G32" s="54"/>
      <c r="H32" s="54"/>
      <c r="I32" s="54"/>
      <c r="J32" s="54"/>
      <c r="K32" s="54"/>
      <c r="L32" s="54"/>
      <c r="M32" s="97" t="e">
        <f t="shared" si="0"/>
        <v>#DIV/0!</v>
      </c>
    </row>
    <row r="33" spans="1:13" ht="13">
      <c r="A33" s="55">
        <v>27</v>
      </c>
      <c r="B33" s="57">
        <f>grades!A32</f>
        <v>0</v>
      </c>
      <c r="C33" s="56"/>
      <c r="D33" s="54"/>
      <c r="E33" s="54"/>
      <c r="F33" s="54"/>
      <c r="G33" s="54"/>
      <c r="H33" s="54"/>
      <c r="I33" s="54"/>
      <c r="J33" s="54"/>
      <c r="K33" s="54"/>
      <c r="L33" s="54"/>
      <c r="M33" s="97" t="e">
        <f t="shared" si="0"/>
        <v>#DIV/0!</v>
      </c>
    </row>
    <row r="34" spans="1:13" ht="13">
      <c r="A34" s="55">
        <v>28</v>
      </c>
      <c r="B34" s="57">
        <f>grades!A33</f>
        <v>0</v>
      </c>
      <c r="C34" s="56"/>
      <c r="D34" s="54"/>
      <c r="E34" s="54"/>
      <c r="F34" s="54"/>
      <c r="G34" s="54"/>
      <c r="H34" s="54"/>
      <c r="I34" s="54"/>
      <c r="J34" s="54"/>
      <c r="K34" s="54"/>
      <c r="L34" s="54"/>
      <c r="M34" s="97" t="e">
        <f t="shared" si="0"/>
        <v>#DIV/0!</v>
      </c>
    </row>
    <row r="35" spans="1:13" ht="13">
      <c r="A35" s="55">
        <v>29</v>
      </c>
      <c r="B35" s="57">
        <f>grades!A34</f>
        <v>0</v>
      </c>
      <c r="C35" s="56"/>
      <c r="D35" s="54"/>
      <c r="E35" s="54"/>
      <c r="F35" s="54"/>
      <c r="G35" s="54"/>
      <c r="H35" s="54"/>
      <c r="I35" s="54"/>
      <c r="J35" s="54"/>
      <c r="K35" s="54"/>
      <c r="L35" s="54"/>
      <c r="M35" s="97" t="e">
        <f t="shared" si="0"/>
        <v>#DIV/0!</v>
      </c>
    </row>
    <row r="36" spans="1:13" ht="13">
      <c r="A36" s="55">
        <v>30</v>
      </c>
      <c r="B36" s="57">
        <f>grades!A35</f>
        <v>0</v>
      </c>
      <c r="C36" s="56"/>
      <c r="D36" s="54"/>
      <c r="E36" s="54"/>
      <c r="F36" s="54"/>
      <c r="G36" s="54"/>
      <c r="H36" s="54"/>
      <c r="I36" s="54"/>
      <c r="J36" s="54"/>
      <c r="K36" s="54"/>
      <c r="L36" s="54"/>
      <c r="M36" s="97" t="e">
        <f t="shared" si="0"/>
        <v>#DIV/0!</v>
      </c>
    </row>
  </sheetData>
  <sheetProtection sheet="1" objects="1" scenarios="1"/>
  <mergeCells count="1">
    <mergeCell ref="A1:F1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grades</vt:lpstr>
      <vt:lpstr>Exercises</vt:lpstr>
      <vt:lpstr>Compositions</vt:lpstr>
      <vt:lpstr>Exams</vt:lpstr>
      <vt:lpstr>Attendance</vt:lpstr>
      <vt:lpstr>PrepParticipation</vt:lpstr>
      <vt:lpstr>abscence</vt:lpstr>
      <vt:lpstr>Grades</vt:lpstr>
      <vt:lpstr>Letters</vt:lpstr>
    </vt:vector>
  </TitlesOfParts>
  <Company>UCD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Timas</dc:creator>
  <cp:lastModifiedBy>Carina Negreanu</cp:lastModifiedBy>
  <cp:lastPrinted>1999-09-28T19:30:27Z</cp:lastPrinted>
  <dcterms:created xsi:type="dcterms:W3CDTF">1999-09-28T16:49:06Z</dcterms:created>
  <dcterms:modified xsi:type="dcterms:W3CDTF">2020-01-27T12:47:23Z</dcterms:modified>
</cp:coreProperties>
</file>