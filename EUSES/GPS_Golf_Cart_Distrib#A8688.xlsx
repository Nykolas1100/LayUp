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5C419A7-700B-4E6A-9AF6-5B46F7328B11}" xr6:coauthVersionLast="45" xr6:coauthVersionMax="45" xr10:uidLastSave="{00000000-0000-0000-0000-000000000000}"/>
  <bookViews>
    <workbookView xWindow="380" yWindow="380" windowWidth="28800" windowHeight="15460"/>
  </bookViews>
  <sheets>
    <sheet name="Distributorship Database" sheetId="1" r:id="rId1"/>
    <sheet name="Sheet2" sheetId="2" r:id="rId2"/>
    <sheet name="Sheet3" sheetId="3" r:id="rId3"/>
  </sheets>
  <definedNames>
    <definedName name="_xlnm._FilterDatabase" localSheetId="0" hidden="1">'Distributorship Database'!$A$8:$L$20</definedName>
    <definedName name="_xlnm.Criteria">'Distributorship Database'!$A$2:$L$3</definedName>
    <definedName name="_xlnm.Database">'Distributorship Database'!$A$8:$L$20</definedName>
    <definedName name="_xlnm.Extract">'Distributorship Database'!$A$25:$L$25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" i="1" l="1"/>
  <c r="T5" i="1"/>
  <c r="K13" i="1"/>
  <c r="L13" i="1"/>
  <c r="K18" i="1"/>
  <c r="L18" i="1"/>
  <c r="K17" i="1"/>
  <c r="L17" i="1"/>
  <c r="K10" i="1"/>
  <c r="L10" i="1"/>
  <c r="K9" i="1"/>
  <c r="L9" i="1"/>
  <c r="K16" i="1"/>
  <c r="L16" i="1"/>
  <c r="K19" i="1"/>
  <c r="L19" i="1"/>
  <c r="K20" i="1"/>
  <c r="L20" i="1"/>
  <c r="K11" i="1"/>
  <c r="L11" i="1"/>
  <c r="T7" i="1" s="1"/>
  <c r="K15" i="1"/>
  <c r="L15" i="1"/>
  <c r="K12" i="1"/>
  <c r="L12" i="1"/>
  <c r="K14" i="1"/>
  <c r="L14" i="1"/>
</calcChain>
</file>

<file path=xl/sharedStrings.xml><?xml version="1.0" encoding="utf-8"?>
<sst xmlns="http://schemas.openxmlformats.org/spreadsheetml/2006/main" count="146" uniqueCount="76">
  <si>
    <t>GPS Golf Cart Distributorship Database</t>
  </si>
  <si>
    <t>A</t>
  </si>
  <si>
    <t>Cname</t>
  </si>
  <si>
    <t>St</t>
  </si>
  <si>
    <t>Start Date</t>
  </si>
  <si>
    <t>Level</t>
  </si>
  <si>
    <t>Lname</t>
  </si>
  <si>
    <t>Fname</t>
  </si>
  <si>
    <t>Age</t>
  </si>
  <si>
    <t>Educ</t>
  </si>
  <si>
    <t>Quota</t>
  </si>
  <si>
    <t>YTD Sales</t>
  </si>
  <si>
    <t>% of Quota</t>
  </si>
  <si>
    <t>Grade</t>
  </si>
  <si>
    <t>Hole-In-One</t>
  </si>
  <si>
    <t>NJ</t>
  </si>
  <si>
    <t>Premium</t>
  </si>
  <si>
    <t>Dexter</t>
  </si>
  <si>
    <t>Ryan</t>
  </si>
  <si>
    <t>MS</t>
  </si>
  <si>
    <t>Golf &amp; Tee</t>
  </si>
  <si>
    <t>MA</t>
  </si>
  <si>
    <t>Elite</t>
  </si>
  <si>
    <t>Groen</t>
  </si>
  <si>
    <t>Johnnie</t>
  </si>
  <si>
    <t>BS</t>
  </si>
  <si>
    <t>Putter's</t>
  </si>
  <si>
    <t>NV</t>
  </si>
  <si>
    <t>Graciela</t>
  </si>
  <si>
    <t>Miranda</t>
  </si>
  <si>
    <t>Sand Creek</t>
  </si>
  <si>
    <t>NY</t>
  </si>
  <si>
    <t>James</t>
  </si>
  <si>
    <t>Kevin</t>
  </si>
  <si>
    <t>HS</t>
  </si>
  <si>
    <t>Aberdeen</t>
  </si>
  <si>
    <t>Quintero</t>
  </si>
  <si>
    <t>Carlos</t>
  </si>
  <si>
    <t>AS</t>
  </si>
  <si>
    <t>Wicker</t>
  </si>
  <si>
    <t>Primus</t>
  </si>
  <si>
    <t>Montrell</t>
  </si>
  <si>
    <t>Ryder</t>
  </si>
  <si>
    <t>CA</t>
  </si>
  <si>
    <t>Vashan</t>
  </si>
  <si>
    <t>Zachary</t>
  </si>
  <si>
    <t>Jones Golf</t>
  </si>
  <si>
    <t>AZ</t>
  </si>
  <si>
    <t>Tamela</t>
  </si>
  <si>
    <t>Tangie</t>
  </si>
  <si>
    <t>Ebert Supply</t>
  </si>
  <si>
    <t>DeShane</t>
  </si>
  <si>
    <t>DaJona</t>
  </si>
  <si>
    <t>Eagle</t>
  </si>
  <si>
    <t>Laverski</t>
  </si>
  <si>
    <t>Stanley</t>
  </si>
  <si>
    <t>Level Greens</t>
  </si>
  <si>
    <t>Pan</t>
  </si>
  <si>
    <t>Tang</t>
  </si>
  <si>
    <t>BA</t>
  </si>
  <si>
    <t>Littler's Golf</t>
  </si>
  <si>
    <t>Kajal</t>
  </si>
  <si>
    <t>Tegal</t>
  </si>
  <si>
    <t>Grade Table</t>
  </si>
  <si>
    <t>F</t>
  </si>
  <si>
    <t>D</t>
  </si>
  <si>
    <t>C</t>
  </si>
  <si>
    <t>B</t>
  </si>
  <si>
    <t>&gt;40</t>
  </si>
  <si>
    <t>&gt;=C</t>
  </si>
  <si>
    <t>Criteria for DB Functions</t>
  </si>
  <si>
    <t>Average Elite Age =======&gt;</t>
  </si>
  <si>
    <t>Average Premium Age ===&gt;</t>
  </si>
  <si>
    <t>Number with Grade F ====&gt;</t>
  </si>
  <si>
    <t>Criteria Area</t>
  </si>
  <si>
    <t>Extract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</si>
</sst>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2" formatCode="mm/dd/yy;@"/>
    <numFmt numFmtId="173" formatCode="_(* #,##0_);_(* \(#,##0\);_(* &quot;-&quot;??_);_(@_)"/>
  </numFmts>
  <fonts count="7" x14ac:knownFonts="1">
    <font>
      <sz val="10"/>
      <name val="Arial"/>
    </font>
    <font>
      <sz val="10"/>
      <name val="Arial"/>
    </font>
    <font>
      <b/>
      <sz val="14"/>
      <color indexed="10"/>
      <name val="Arial"/>
      <family val="2"/>
    </font>
    <font>
      <b/>
      <sz val="14"/>
      <color indexed="17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10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/>
    <xf numFmtId="173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73" fontId="5" fillId="0" borderId="1" xfId="0" applyNumberFormat="1" applyFont="1" applyBorder="1" applyAlignment="1">
      <alignment horizontal="right" wrapText="1"/>
    </xf>
    <xf numFmtId="173" fontId="5" fillId="0" borderId="1" xfId="0" applyNumberFormat="1" applyFont="1" applyBorder="1" applyAlignment="1">
      <alignment horizontal="center" wrapText="1"/>
    </xf>
    <xf numFmtId="172" fontId="2" fillId="0" borderId="0" xfId="0" applyNumberFormat="1" applyFont="1" applyAlignment="1">
      <alignment horizontal="center"/>
    </xf>
    <xf numFmtId="172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2" fontId="0" fillId="0" borderId="0" xfId="0" applyNumberFormat="1" applyAlignment="1">
      <alignment horizontal="center"/>
    </xf>
    <xf numFmtId="173" fontId="0" fillId="0" borderId="0" xfId="1" applyNumberFormat="1" applyFont="1"/>
    <xf numFmtId="173" fontId="5" fillId="0" borderId="1" xfId="1" applyNumberFormat="1" applyFont="1" applyBorder="1" applyAlignment="1">
      <alignment horizontal="right" wrapText="1"/>
    </xf>
    <xf numFmtId="0" fontId="0" fillId="0" borderId="0" xfId="0" applyAlignment="1">
      <alignment horizontal="left"/>
    </xf>
    <xf numFmtId="10" fontId="0" fillId="0" borderId="0" xfId="2" applyNumberFormat="1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71" fontId="4" fillId="0" borderId="0" xfId="1" applyFont="1"/>
    <xf numFmtId="0" fontId="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T27"/>
  <sheetViews>
    <sheetView tabSelected="1" topLeftCell="J1" workbookViewId="0">
      <selection activeCell="L4" sqref="L4"/>
    </sheetView>
  </sheetViews>
  <sheetFormatPr defaultRowHeight="12.5" x14ac:dyDescent="0.25"/>
  <cols>
    <col min="1" max="1" width="11.7265625" customWidth="1"/>
    <col min="2" max="2" width="5.7265625" style="3" customWidth="1"/>
    <col min="3" max="3" width="10.7265625" style="14" customWidth="1"/>
    <col min="4" max="4" width="8.7265625" customWidth="1"/>
    <col min="5" max="5" width="9.7265625" customWidth="1"/>
    <col min="6" max="6" width="7.7265625" customWidth="1"/>
    <col min="7" max="8" width="5.7265625" style="3" customWidth="1"/>
    <col min="9" max="10" width="11.7265625" style="15" customWidth="1"/>
    <col min="11" max="11" width="11.7265625" customWidth="1"/>
    <col min="12" max="12" width="6.7265625" style="3" customWidth="1"/>
    <col min="14" max="14" width="10.7265625" customWidth="1"/>
  </cols>
  <sheetData>
    <row r="1" spans="1:20" ht="18" x14ac:dyDescent="0.4">
      <c r="A1" s="1" t="s">
        <v>74</v>
      </c>
      <c r="B1" s="13"/>
      <c r="C1" s="10"/>
      <c r="D1" s="1"/>
      <c r="E1" s="1"/>
      <c r="F1" s="1"/>
      <c r="G1" s="12"/>
      <c r="H1" s="12"/>
      <c r="N1" s="24" t="s">
        <v>63</v>
      </c>
      <c r="O1" s="24"/>
      <c r="Q1" s="24" t="s">
        <v>70</v>
      </c>
      <c r="R1" s="24"/>
      <c r="S1" s="24"/>
    </row>
    <row r="2" spans="1:20" ht="15" customHeight="1" x14ac:dyDescent="0.3">
      <c r="A2" s="6" t="s">
        <v>2</v>
      </c>
      <c r="B2" s="7" t="s">
        <v>3</v>
      </c>
      <c r="C2" s="11" t="s">
        <v>4</v>
      </c>
      <c r="D2" s="6" t="s">
        <v>5</v>
      </c>
      <c r="E2" s="6" t="s">
        <v>6</v>
      </c>
      <c r="F2" s="6" t="s">
        <v>7</v>
      </c>
      <c r="G2" s="7" t="s">
        <v>8</v>
      </c>
      <c r="H2" s="7" t="s">
        <v>9</v>
      </c>
      <c r="I2" s="16" t="s">
        <v>10</v>
      </c>
      <c r="J2" s="16" t="s">
        <v>11</v>
      </c>
      <c r="K2" s="8" t="s">
        <v>12</v>
      </c>
      <c r="L2" s="9" t="s">
        <v>13</v>
      </c>
      <c r="N2" s="19" t="s">
        <v>12</v>
      </c>
      <c r="O2" s="20" t="s">
        <v>13</v>
      </c>
      <c r="Q2" s="19" t="s">
        <v>5</v>
      </c>
      <c r="R2" s="20" t="s">
        <v>5</v>
      </c>
      <c r="S2" s="20" t="s">
        <v>13</v>
      </c>
    </row>
    <row r="3" spans="1:20" x14ac:dyDescent="0.25">
      <c r="D3" t="s">
        <v>22</v>
      </c>
      <c r="G3" s="3" t="s">
        <v>68</v>
      </c>
      <c r="L3" s="3" t="s">
        <v>69</v>
      </c>
      <c r="N3" s="3">
        <v>0</v>
      </c>
      <c r="O3" s="3" t="s">
        <v>64</v>
      </c>
      <c r="Q3" s="3" t="s">
        <v>22</v>
      </c>
      <c r="R3" s="3" t="s">
        <v>16</v>
      </c>
      <c r="S3" s="3" t="s">
        <v>64</v>
      </c>
    </row>
    <row r="4" spans="1:20" ht="13" x14ac:dyDescent="0.3">
      <c r="N4" s="4">
        <v>0.6</v>
      </c>
      <c r="O4" s="3" t="s">
        <v>65</v>
      </c>
      <c r="R4" s="21"/>
      <c r="S4" s="21"/>
    </row>
    <row r="5" spans="1:20" ht="13" x14ac:dyDescent="0.3">
      <c r="N5" s="4">
        <v>0.7</v>
      </c>
      <c r="O5" s="3" t="s">
        <v>66</v>
      </c>
      <c r="Q5" s="22" t="s">
        <v>71</v>
      </c>
      <c r="T5" s="23">
        <f>DAVERAGE(_xlnm.Database, "Age", Q2:Q3)</f>
        <v>52.25</v>
      </c>
    </row>
    <row r="6" spans="1:20" ht="13" x14ac:dyDescent="0.3">
      <c r="N6" s="4">
        <v>0.8</v>
      </c>
      <c r="O6" s="3" t="s">
        <v>67</v>
      </c>
      <c r="Q6" s="22" t="s">
        <v>72</v>
      </c>
      <c r="T6" s="23">
        <f>DAVERAGE(_xlnm.Database, "Age", R2:R3)</f>
        <v>55.25</v>
      </c>
    </row>
    <row r="7" spans="1:20" ht="18" x14ac:dyDescent="0.4">
      <c r="A7" s="1" t="s">
        <v>0</v>
      </c>
      <c r="B7" s="13"/>
      <c r="C7" s="10"/>
      <c r="D7" s="1"/>
      <c r="E7" s="1"/>
      <c r="F7" s="1"/>
      <c r="G7" s="12"/>
      <c r="H7" s="12"/>
      <c r="N7" s="4">
        <v>0.93</v>
      </c>
      <c r="O7" s="3" t="s">
        <v>1</v>
      </c>
      <c r="Q7" s="5" t="s">
        <v>73</v>
      </c>
      <c r="T7" s="5">
        <f>DCOUNT(_xlnm.Database, "Age", S2:S3)</f>
        <v>2</v>
      </c>
    </row>
    <row r="8" spans="1:20" ht="15" customHeight="1" x14ac:dyDescent="0.3">
      <c r="A8" s="6" t="s">
        <v>2</v>
      </c>
      <c r="B8" s="7" t="s">
        <v>3</v>
      </c>
      <c r="C8" s="11" t="s">
        <v>4</v>
      </c>
      <c r="D8" s="6" t="s">
        <v>5</v>
      </c>
      <c r="E8" s="6" t="s">
        <v>6</v>
      </c>
      <c r="F8" s="6" t="s">
        <v>7</v>
      </c>
      <c r="G8" s="7" t="s">
        <v>8</v>
      </c>
      <c r="H8" s="7" t="s">
        <v>9</v>
      </c>
      <c r="I8" s="16" t="s">
        <v>10</v>
      </c>
      <c r="J8" s="16" t="s">
        <v>11</v>
      </c>
      <c r="K8" s="8" t="s">
        <v>12</v>
      </c>
      <c r="L8" s="9" t="s">
        <v>13</v>
      </c>
    </row>
    <row r="9" spans="1:20" x14ac:dyDescent="0.25">
      <c r="A9" t="s">
        <v>14</v>
      </c>
      <c r="B9" s="3" t="s">
        <v>15</v>
      </c>
      <c r="C9" s="14">
        <v>29421</v>
      </c>
      <c r="D9" t="s">
        <v>16</v>
      </c>
      <c r="E9" t="s">
        <v>17</v>
      </c>
      <c r="F9" t="s">
        <v>18</v>
      </c>
      <c r="G9" s="3">
        <v>96</v>
      </c>
      <c r="H9" s="3" t="s">
        <v>19</v>
      </c>
      <c r="I9" s="15">
        <v>1455000</v>
      </c>
      <c r="J9" s="15">
        <v>1560000</v>
      </c>
      <c r="K9" s="18">
        <f t="shared" ref="K9:K20" si="0">J9 / I9</f>
        <v>1.0721649484536082</v>
      </c>
      <c r="L9" s="3" t="str">
        <f t="shared" ref="L9:L20" si="1">VLOOKUP(K9, $N$3:$O$7, 2)</f>
        <v>A</v>
      </c>
    </row>
    <row r="10" spans="1:20" x14ac:dyDescent="0.25">
      <c r="A10" t="s">
        <v>20</v>
      </c>
      <c r="B10" s="3" t="s">
        <v>21</v>
      </c>
      <c r="C10" s="14">
        <v>29657</v>
      </c>
      <c r="D10" t="s">
        <v>22</v>
      </c>
      <c r="E10" t="s">
        <v>23</v>
      </c>
      <c r="F10" t="s">
        <v>24</v>
      </c>
      <c r="G10" s="3">
        <v>63</v>
      </c>
      <c r="H10" s="3" t="s">
        <v>25</v>
      </c>
      <c r="I10" s="15">
        <v>2345000</v>
      </c>
      <c r="J10" s="15">
        <v>1552000</v>
      </c>
      <c r="K10" s="18">
        <f t="shared" si="0"/>
        <v>0.66183368869936032</v>
      </c>
      <c r="L10" s="3" t="str">
        <f t="shared" si="1"/>
        <v>D</v>
      </c>
    </row>
    <row r="11" spans="1:20" x14ac:dyDescent="0.25">
      <c r="A11" t="s">
        <v>26</v>
      </c>
      <c r="B11" s="3" t="s">
        <v>27</v>
      </c>
      <c r="C11" s="14">
        <v>30479</v>
      </c>
      <c r="D11" t="s">
        <v>16</v>
      </c>
      <c r="E11" t="s">
        <v>28</v>
      </c>
      <c r="F11" t="s">
        <v>29</v>
      </c>
      <c r="G11" s="3">
        <v>66</v>
      </c>
      <c r="H11" s="3" t="s">
        <v>19</v>
      </c>
      <c r="I11" s="2">
        <v>4123150</v>
      </c>
      <c r="J11" s="2">
        <v>3650000</v>
      </c>
      <c r="K11" s="18">
        <f t="shared" si="0"/>
        <v>0.88524550404423807</v>
      </c>
      <c r="L11" s="3" t="str">
        <f t="shared" si="1"/>
        <v>B</v>
      </c>
    </row>
    <row r="12" spans="1:20" x14ac:dyDescent="0.25">
      <c r="A12" t="s">
        <v>30</v>
      </c>
      <c r="B12" s="3" t="s">
        <v>31</v>
      </c>
      <c r="C12" s="14">
        <v>31918</v>
      </c>
      <c r="D12" t="s">
        <v>16</v>
      </c>
      <c r="E12" t="s">
        <v>32</v>
      </c>
      <c r="F12" t="s">
        <v>33</v>
      </c>
      <c r="G12" s="3">
        <v>54</v>
      </c>
      <c r="H12" s="3" t="s">
        <v>34</v>
      </c>
      <c r="I12" s="2">
        <v>1250000</v>
      </c>
      <c r="J12" s="2">
        <v>995000</v>
      </c>
      <c r="K12" s="18">
        <f t="shared" si="0"/>
        <v>0.79600000000000004</v>
      </c>
      <c r="L12" s="3" t="str">
        <f t="shared" si="1"/>
        <v>C</v>
      </c>
    </row>
    <row r="13" spans="1:20" x14ac:dyDescent="0.25">
      <c r="A13" t="s">
        <v>35</v>
      </c>
      <c r="B13" s="3" t="s">
        <v>27</v>
      </c>
      <c r="C13" s="14">
        <v>32752</v>
      </c>
      <c r="D13" t="s">
        <v>16</v>
      </c>
      <c r="E13" t="s">
        <v>36</v>
      </c>
      <c r="F13" t="s">
        <v>37</v>
      </c>
      <c r="G13" s="3">
        <v>51</v>
      </c>
      <c r="H13" s="3" t="s">
        <v>38</v>
      </c>
      <c r="I13" s="2">
        <v>2150350</v>
      </c>
      <c r="J13" s="2">
        <v>1875000</v>
      </c>
      <c r="K13" s="18">
        <f t="shared" si="0"/>
        <v>0.87195107773153213</v>
      </c>
      <c r="L13" s="3" t="str">
        <f t="shared" si="1"/>
        <v>B</v>
      </c>
    </row>
    <row r="14" spans="1:20" x14ac:dyDescent="0.25">
      <c r="A14" t="s">
        <v>39</v>
      </c>
      <c r="B14" s="3" t="s">
        <v>31</v>
      </c>
      <c r="C14" s="14">
        <v>33573</v>
      </c>
      <c r="D14" t="s">
        <v>22</v>
      </c>
      <c r="E14" t="s">
        <v>40</v>
      </c>
      <c r="F14" t="s">
        <v>41</v>
      </c>
      <c r="G14" s="3">
        <v>42</v>
      </c>
      <c r="H14" s="3" t="s">
        <v>34</v>
      </c>
      <c r="I14" s="2">
        <v>2095000</v>
      </c>
      <c r="J14" s="2">
        <v>2023150</v>
      </c>
      <c r="K14" s="18">
        <f t="shared" si="0"/>
        <v>0.96570405727923625</v>
      </c>
      <c r="L14" s="3" t="str">
        <f t="shared" si="1"/>
        <v>A</v>
      </c>
    </row>
    <row r="15" spans="1:20" x14ac:dyDescent="0.25">
      <c r="A15" t="s">
        <v>42</v>
      </c>
      <c r="B15" s="3" t="s">
        <v>43</v>
      </c>
      <c r="C15" s="14">
        <v>33590</v>
      </c>
      <c r="D15" t="s">
        <v>16</v>
      </c>
      <c r="E15" t="s">
        <v>44</v>
      </c>
      <c r="F15" t="s">
        <v>45</v>
      </c>
      <c r="G15" s="3">
        <v>38</v>
      </c>
      <c r="H15" s="3" t="s">
        <v>19</v>
      </c>
      <c r="I15" s="2">
        <v>1850350</v>
      </c>
      <c r="J15" s="2">
        <v>1502250</v>
      </c>
      <c r="K15" s="18">
        <f t="shared" si="0"/>
        <v>0.81187342935120388</v>
      </c>
      <c r="L15" s="3" t="str">
        <f t="shared" si="1"/>
        <v>B</v>
      </c>
    </row>
    <row r="16" spans="1:20" x14ac:dyDescent="0.25">
      <c r="A16" t="s">
        <v>46</v>
      </c>
      <c r="B16" s="3" t="s">
        <v>47</v>
      </c>
      <c r="C16" s="14">
        <v>34182</v>
      </c>
      <c r="D16" t="s">
        <v>16</v>
      </c>
      <c r="E16" t="s">
        <v>48</v>
      </c>
      <c r="F16" t="s">
        <v>49</v>
      </c>
      <c r="G16" s="3">
        <v>46</v>
      </c>
      <c r="H16" s="3" t="s">
        <v>34</v>
      </c>
      <c r="I16" s="2">
        <v>2950150</v>
      </c>
      <c r="J16" s="2">
        <v>1750450</v>
      </c>
      <c r="K16" s="18">
        <f t="shared" si="0"/>
        <v>0.59334271138755657</v>
      </c>
      <c r="L16" s="3" t="str">
        <f t="shared" si="1"/>
        <v>F</v>
      </c>
    </row>
    <row r="17" spans="1:12" x14ac:dyDescent="0.25">
      <c r="A17" t="s">
        <v>50</v>
      </c>
      <c r="B17" s="3" t="s">
        <v>15</v>
      </c>
      <c r="C17" s="14">
        <v>35015</v>
      </c>
      <c r="D17" t="s">
        <v>22</v>
      </c>
      <c r="E17" t="s">
        <v>51</v>
      </c>
      <c r="F17" t="s">
        <v>52</v>
      </c>
      <c r="G17" s="3">
        <v>39</v>
      </c>
      <c r="H17" s="3" t="s">
        <v>25</v>
      </c>
      <c r="I17" s="2">
        <v>1955000</v>
      </c>
      <c r="J17" s="2">
        <v>1750125</v>
      </c>
      <c r="K17" s="18">
        <f t="shared" si="0"/>
        <v>0.89520460358056264</v>
      </c>
      <c r="L17" s="3" t="str">
        <f t="shared" si="1"/>
        <v>B</v>
      </c>
    </row>
    <row r="18" spans="1:12" x14ac:dyDescent="0.25">
      <c r="A18" t="s">
        <v>53</v>
      </c>
      <c r="B18" s="3" t="s">
        <v>47</v>
      </c>
      <c r="C18" s="14">
        <v>36443</v>
      </c>
      <c r="D18" t="s">
        <v>22</v>
      </c>
      <c r="E18" t="s">
        <v>54</v>
      </c>
      <c r="F18" t="s">
        <v>55</v>
      </c>
      <c r="G18" s="3">
        <v>65</v>
      </c>
      <c r="H18" s="3" t="s">
        <v>19</v>
      </c>
      <c r="I18" s="2">
        <v>1354000</v>
      </c>
      <c r="J18" s="2">
        <v>1023030</v>
      </c>
      <c r="K18" s="18">
        <f t="shared" si="0"/>
        <v>0.75556129985228948</v>
      </c>
      <c r="L18" s="3" t="str">
        <f t="shared" si="1"/>
        <v>C</v>
      </c>
    </row>
    <row r="19" spans="1:12" x14ac:dyDescent="0.25">
      <c r="A19" t="s">
        <v>56</v>
      </c>
      <c r="B19" s="3" t="s">
        <v>21</v>
      </c>
      <c r="C19" s="14">
        <v>36861</v>
      </c>
      <c r="D19" t="s">
        <v>16</v>
      </c>
      <c r="E19" t="s">
        <v>57</v>
      </c>
      <c r="F19" t="s">
        <v>58</v>
      </c>
      <c r="G19" s="3">
        <v>42</v>
      </c>
      <c r="H19" s="3" t="s">
        <v>59</v>
      </c>
      <c r="I19" s="2">
        <v>1250575</v>
      </c>
      <c r="J19" s="2">
        <v>1150000</v>
      </c>
      <c r="K19" s="18">
        <f t="shared" si="0"/>
        <v>0.91957699458249209</v>
      </c>
      <c r="L19" s="3" t="str">
        <f t="shared" si="1"/>
        <v>B</v>
      </c>
    </row>
    <row r="20" spans="1:12" x14ac:dyDescent="0.25">
      <c r="A20" t="s">
        <v>60</v>
      </c>
      <c r="B20" s="3" t="s">
        <v>43</v>
      </c>
      <c r="C20" s="14">
        <v>37114</v>
      </c>
      <c r="D20" s="17" t="s">
        <v>16</v>
      </c>
      <c r="E20" t="s">
        <v>61</v>
      </c>
      <c r="F20" t="s">
        <v>62</v>
      </c>
      <c r="G20" s="3">
        <v>49</v>
      </c>
      <c r="H20" s="3" t="s">
        <v>38</v>
      </c>
      <c r="I20" s="2">
        <v>2461000</v>
      </c>
      <c r="J20" s="2">
        <v>1255125</v>
      </c>
      <c r="K20" s="18">
        <f t="shared" si="0"/>
        <v>0.51000609508329953</v>
      </c>
      <c r="L20" s="3" t="str">
        <f t="shared" si="1"/>
        <v>F</v>
      </c>
    </row>
    <row r="24" spans="1:12" ht="18" x14ac:dyDescent="0.4">
      <c r="A24" s="1" t="s">
        <v>75</v>
      </c>
      <c r="B24" s="13"/>
      <c r="C24" s="10"/>
      <c r="D24" s="1"/>
      <c r="E24" s="1"/>
      <c r="F24" s="1"/>
      <c r="G24" s="12"/>
      <c r="H24" s="12"/>
    </row>
    <row r="25" spans="1:12" ht="15" customHeight="1" x14ac:dyDescent="0.3">
      <c r="A25" s="6" t="s">
        <v>2</v>
      </c>
      <c r="B25" s="7" t="s">
        <v>3</v>
      </c>
      <c r="C25" s="11" t="s">
        <v>4</v>
      </c>
      <c r="D25" s="6" t="s">
        <v>5</v>
      </c>
      <c r="E25" s="6" t="s">
        <v>6</v>
      </c>
      <c r="F25" s="6" t="s">
        <v>7</v>
      </c>
      <c r="G25" s="7" t="s">
        <v>8</v>
      </c>
      <c r="H25" s="7" t="s">
        <v>9</v>
      </c>
      <c r="I25" s="16" t="s">
        <v>10</v>
      </c>
      <c r="J25" s="16" t="s">
        <v>11</v>
      </c>
      <c r="K25" s="8" t="s">
        <v>12</v>
      </c>
      <c r="L25" s="9" t="s">
        <v>13</v>
      </c>
    </row>
    <row r="26" spans="1:12" x14ac:dyDescent="0.25">
      <c r="A26" t="s">
        <v>20</v>
      </c>
      <c r="B26" s="3" t="s">
        <v>21</v>
      </c>
      <c r="C26" s="14">
        <v>29657</v>
      </c>
      <c r="D26" t="s">
        <v>22</v>
      </c>
      <c r="E26" t="s">
        <v>23</v>
      </c>
      <c r="F26" t="s">
        <v>24</v>
      </c>
      <c r="G26" s="3">
        <v>63</v>
      </c>
      <c r="H26" s="3" t="s">
        <v>25</v>
      </c>
      <c r="I26" s="15">
        <v>2345000</v>
      </c>
      <c r="J26" s="15">
        <v>1552000</v>
      </c>
      <c r="K26" s="18">
        <v>0.66183368869936032</v>
      </c>
      <c r="L26" s="3" t="s">
        <v>65</v>
      </c>
    </row>
    <row r="27" spans="1:12" x14ac:dyDescent="0.25">
      <c r="A27" t="s">
        <v>53</v>
      </c>
      <c r="B27" s="3" t="s">
        <v>47</v>
      </c>
      <c r="C27" s="14">
        <v>36443</v>
      </c>
      <c r="D27" t="s">
        <v>22</v>
      </c>
      <c r="E27" t="s">
        <v>54</v>
      </c>
      <c r="F27" t="s">
        <v>55</v>
      </c>
      <c r="G27" s="3">
        <v>65</v>
      </c>
      <c r="H27" s="3" t="s">
        <v>19</v>
      </c>
      <c r="I27" s="2">
        <v>1354000</v>
      </c>
      <c r="J27" s="2">
        <v>1023030</v>
      </c>
      <c r="K27" s="18">
        <v>0.75556129985228948</v>
      </c>
      <c r="L27" s="3" t="s">
        <v>66</v>
      </c>
    </row>
  </sheetData>
  <mergeCells count="2">
    <mergeCell ref="N1:O1"/>
    <mergeCell ref="Q1:S1"/>
  </mergeCells>
  <phoneticPr fontId="6" type="noConversion"/>
  <pageMargins left="0.75" right="0.75" top="1" bottom="1" header="0.5" footer="0.5"/>
  <pageSetup scale="6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Distributorship Database</vt:lpstr>
      <vt:lpstr>Sheet2</vt:lpstr>
      <vt:lpstr>Sheet3</vt:lpstr>
      <vt:lpstr>Criteria</vt:lpstr>
      <vt:lpstr>Database</vt:lpstr>
      <vt:lpstr>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Quasney</dc:creator>
  <cp:lastModifiedBy>Carina Negreanu</cp:lastModifiedBy>
  <cp:lastPrinted>2001-04-17T22:48:58Z</cp:lastPrinted>
  <dcterms:created xsi:type="dcterms:W3CDTF">2001-04-16T18:54:25Z</dcterms:created>
  <dcterms:modified xsi:type="dcterms:W3CDTF">2020-01-27T11:38:50Z</dcterms:modified>
</cp:coreProperties>
</file>