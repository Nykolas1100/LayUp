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1249E3B-D463-41C6-A4F8-B5EAFE234B44}" xr6:coauthVersionLast="45" xr6:coauthVersionMax="45" xr10:uidLastSave="{00000000-0000-0000-0000-000000000000}"/>
  <bookViews>
    <workbookView xWindow="3420" yWindow="3420" windowWidth="28800" windowHeight="15460"/>
  </bookViews>
  <sheets>
    <sheet name="IBM 421" sheetId="1" r:id="rId1"/>
  </sheets>
  <definedNames>
    <definedName name="_xlnm.Print_Area" localSheetId="0">'IBM 421'!$A$1:$Z$5</definedName>
    <definedName name="Print_Area_local1_">'IBM 421'!$A$1:$Z$5</definedName>
  </definedNames>
  <calcPr calcId="0"/>
</workbook>
</file>

<file path=xl/calcChain.xml><?xml version="1.0" encoding="utf-8"?>
<calcChain xmlns="http://schemas.openxmlformats.org/spreadsheetml/2006/main">
  <c r="B3" i="1" l="1"/>
  <c r="D3" i="1"/>
  <c r="F3" i="1"/>
  <c r="H3" i="1"/>
  <c r="J3" i="1"/>
  <c r="L3" i="1"/>
  <c r="N3" i="1"/>
  <c r="X3" i="1"/>
  <c r="Y3" i="1"/>
  <c r="Z3" i="1"/>
  <c r="B4" i="1"/>
  <c r="D4" i="1"/>
  <c r="F4" i="1"/>
  <c r="H4" i="1"/>
  <c r="J4" i="1"/>
  <c r="L4" i="1"/>
  <c r="N4" i="1"/>
  <c r="X4" i="1"/>
  <c r="Y4" i="1"/>
  <c r="Z4" i="1"/>
</calcChain>
</file>

<file path=xl/sharedStrings.xml><?xml version="1.0" encoding="utf-8"?>
<sst xmlns="http://schemas.openxmlformats.org/spreadsheetml/2006/main" count="94" uniqueCount="56">
  <si>
    <t>Name</t>
  </si>
  <si>
    <t>Grade</t>
  </si>
  <si>
    <t>Datril</t>
  </si>
  <si>
    <t>1stInClass</t>
  </si>
  <si>
    <t>2ndInClass</t>
  </si>
  <si>
    <t>JonesBlair</t>
  </si>
  <si>
    <t>Final</t>
  </si>
  <si>
    <t>E.C.**</t>
  </si>
  <si>
    <t>Ave.</t>
  </si>
  <si>
    <t>S. Del.</t>
  </si>
  <si>
    <t>Show</t>
  </si>
  <si>
    <t>SoftSilk</t>
  </si>
  <si>
    <t>Elitch</t>
  </si>
  <si>
    <t>Afton</t>
  </si>
  <si>
    <t>FLSun</t>
  </si>
  <si>
    <t>Dryper</t>
  </si>
  <si>
    <t>Carring</t>
  </si>
  <si>
    <t>Ethics</t>
  </si>
  <si>
    <t>Ltr.</t>
  </si>
  <si>
    <t>(weight)</t>
  </si>
  <si>
    <t>[.15]</t>
  </si>
  <si>
    <t>[.20]</t>
  </si>
  <si>
    <t>Example</t>
  </si>
  <si>
    <t>Cp</t>
  </si>
  <si>
    <t>C</t>
  </si>
  <si>
    <t>Bm</t>
  </si>
  <si>
    <t>Bp</t>
  </si>
  <si>
    <t>Your Grades*</t>
  </si>
  <si>
    <t xml:space="preserve">*Enter your grades and </t>
  </si>
  <si>
    <t>F</t>
  </si>
  <si>
    <t>A</t>
  </si>
  <si>
    <t>**Extra credit (.1</t>
  </si>
  <si>
    <t>Mid Point</t>
  </si>
  <si>
    <t>Range</t>
  </si>
  <si>
    <t xml:space="preserve">   scores in columns C, E, G,</t>
  </si>
  <si>
    <t>D-</t>
  </si>
  <si>
    <t>Am</t>
  </si>
  <si>
    <t xml:space="preserve">     to .5)</t>
  </si>
  <si>
    <t>To</t>
  </si>
  <si>
    <t xml:space="preserve">   I, K, and O through W.</t>
  </si>
  <si>
    <t>D</t>
  </si>
  <si>
    <t>B</t>
  </si>
  <si>
    <t>A-</t>
  </si>
  <si>
    <t xml:space="preserve">   Enter letter grades (using</t>
  </si>
  <si>
    <t>D+</t>
  </si>
  <si>
    <t>B+</t>
  </si>
  <si>
    <t xml:space="preserve">   "m" for minus and "p" for</t>
  </si>
  <si>
    <t>C-</t>
  </si>
  <si>
    <t xml:space="preserve">   plus) in C, E, G, I, and K.</t>
  </si>
  <si>
    <t>B-</t>
  </si>
  <si>
    <t xml:space="preserve">   Enter numerical scores</t>
  </si>
  <si>
    <t>C+</t>
  </si>
  <si>
    <t>Cm</t>
  </si>
  <si>
    <t xml:space="preserve">   in O through W.</t>
  </si>
  <si>
    <t>Dm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</si>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</sst>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00"/>
    <numFmt numFmtId="173" formatCode="0.0"/>
  </numFmts>
  <fonts count="3">
    <font>
      <sz val="10"/>
      <color indexed="9"/>
      <name val="Geneva"/>
    </font>
    <font>
      <sz val="9"/>
      <color indexed="9"/>
      <name val="Geneva"/>
    </font>
    <font>
      <sz val="9"/>
      <name val="Geneva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7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2" fontId="1" fillId="0" borderId="3" xfId="0" applyNumberFormat="1" applyFont="1" applyBorder="1" applyAlignment="1">
      <alignment horizontal="center"/>
    </xf>
    <xf numFmtId="172" fontId="1" fillId="0" borderId="2" xfId="0" applyNumberFormat="1" applyFont="1" applyBorder="1" applyAlignment="1">
      <alignment horizontal="center"/>
    </xf>
    <xf numFmtId="172" fontId="1" fillId="0" borderId="4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172" fontId="1" fillId="0" borderId="6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2" fontId="1" fillId="0" borderId="0" xfId="0" applyNumberFormat="1" applyFont="1" applyAlignment="1">
      <alignment horizontal="right"/>
    </xf>
    <xf numFmtId="172" fontId="1" fillId="0" borderId="6" xfId="0" applyNumberFormat="1" applyFont="1" applyBorder="1" applyAlignment="1">
      <alignment horizontal="left"/>
    </xf>
    <xf numFmtId="2" fontId="1" fillId="0" borderId="7" xfId="0" applyNumberFormat="1" applyFont="1" applyBorder="1" applyAlignment="1">
      <alignment horizontal="center"/>
    </xf>
    <xf numFmtId="17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72" fontId="1" fillId="0" borderId="8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72" fontId="1" fillId="0" borderId="1" xfId="0" applyNumberFormat="1" applyFont="1" applyBorder="1" applyAlignment="1">
      <alignment horizontal="right"/>
    </xf>
    <xf numFmtId="172" fontId="1" fillId="0" borderId="8" xfId="0" applyNumberFormat="1" applyFont="1" applyBorder="1" applyAlignment="1">
      <alignment horizontal="left"/>
    </xf>
    <xf numFmtId="173" fontId="1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  <rgbColor rgb="00FFFFFF"/>
      <rgbColor rgb="00FFFFFF"/>
      <rgbColor rgb="00FFFFFF"/>
      <rgbColor rgb="00FFFFFF"/>
      <rgbColor rgb="00FFFFFF"/>
      <rgbColor rgb="00FFFFFF"/>
      <rgbColor rgb="00FFFFFF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tabSelected="1" showOutlineSymbols="0" zoomScale="125" workbookViewId="0">
      <pane xSplit="1" ySplit="2" topLeftCell="B3" activePane="bottomRight" state="frozenSplit"/>
      <selection pane="topRight"/>
      <selection pane="bottomLeft"/>
      <selection pane="bottomRight" activeCell="B13" sqref="B13"/>
    </sheetView>
  </sheetViews>
  <sheetFormatPr defaultColWidth="10.7265625" defaultRowHeight="12" customHeight="1"/>
  <cols>
    <col min="1" max="1" width="20.1796875" style="1" customWidth="1"/>
    <col min="2" max="2" width="4.7265625" style="1" customWidth="1"/>
    <col min="3" max="3" width="6.1796875" style="2" customWidth="1"/>
    <col min="4" max="4" width="4.453125" style="5" customWidth="1"/>
    <col min="5" max="5" width="7.54296875" style="1" customWidth="1"/>
    <col min="6" max="6" width="4.54296875" style="5" customWidth="1"/>
    <col min="7" max="7" width="7.81640625" style="1" customWidth="1"/>
    <col min="8" max="8" width="4.453125" style="5" customWidth="1"/>
    <col min="9" max="9" width="7.7265625" style="5" customWidth="1"/>
    <col min="10" max="10" width="4.453125" style="5" customWidth="1"/>
    <col min="11" max="11" width="4.81640625" style="5" customWidth="1"/>
    <col min="12" max="12" width="7.54296875" style="5" customWidth="1"/>
    <col min="13" max="13" width="5.453125" style="5" customWidth="1"/>
    <col min="14" max="14" width="4.453125" style="5" customWidth="1"/>
    <col min="15" max="15" width="5.453125" style="1" customWidth="1"/>
    <col min="16" max="16" width="4" style="1" customWidth="1"/>
    <col min="17" max="17" width="6" style="1" customWidth="1"/>
    <col min="18" max="18" width="4.81640625" style="1" customWidth="1"/>
    <col min="19" max="19" width="5" style="1" customWidth="1"/>
    <col min="20" max="20" width="4.54296875" style="1" customWidth="1"/>
    <col min="21" max="21" width="5.453125" style="1" customWidth="1"/>
    <col min="22" max="22" width="5.81640625" style="1" customWidth="1"/>
    <col min="23" max="24" width="4.81640625" style="1" customWidth="1"/>
    <col min="25" max="25" width="4.7265625" style="1" customWidth="1"/>
    <col min="26" max="26" width="4.81640625" style="1" customWidth="1"/>
    <col min="27" max="16384" width="10.7265625" style="1"/>
  </cols>
  <sheetData>
    <row r="1" spans="1:26" ht="12.75" customHeight="1" thickBot="1">
      <c r="A1" s="1" t="s">
        <v>0</v>
      </c>
      <c r="B1" s="2" t="s">
        <v>1</v>
      </c>
      <c r="C1" s="2" t="s">
        <v>2</v>
      </c>
      <c r="D1" s="3">
        <v>4</v>
      </c>
      <c r="E1" s="2" t="s">
        <v>3</v>
      </c>
      <c r="F1" s="3">
        <v>4</v>
      </c>
      <c r="G1" s="2" t="s">
        <v>4</v>
      </c>
      <c r="H1" s="3">
        <v>4</v>
      </c>
      <c r="I1" s="4" t="s">
        <v>5</v>
      </c>
      <c r="J1" s="3">
        <v>4</v>
      </c>
      <c r="K1" s="3" t="s">
        <v>6</v>
      </c>
      <c r="L1" s="3">
        <v>4</v>
      </c>
      <c r="M1" s="3" t="s">
        <v>7</v>
      </c>
      <c r="N1" s="3" t="s">
        <v>8</v>
      </c>
      <c r="O1" s="2" t="s">
        <v>9</v>
      </c>
      <c r="P1" s="2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2" t="s">
        <v>16</v>
      </c>
      <c r="W1" s="1" t="s">
        <v>17</v>
      </c>
      <c r="X1" s="1" t="s">
        <v>8</v>
      </c>
      <c r="Y1" s="1" t="s">
        <v>18</v>
      </c>
      <c r="Z1" s="5">
        <v>4</v>
      </c>
    </row>
    <row r="2" spans="1:26" s="6" customFormat="1" ht="12" customHeight="1">
      <c r="A2" s="6" t="s">
        <v>19</v>
      </c>
      <c r="B2" s="7"/>
      <c r="C2" s="7"/>
      <c r="D2" s="8" t="s">
        <v>20</v>
      </c>
      <c r="E2" s="7"/>
      <c r="F2" s="8" t="s">
        <v>20</v>
      </c>
      <c r="G2" s="7"/>
      <c r="H2" s="8" t="s">
        <v>20</v>
      </c>
      <c r="I2" s="1"/>
      <c r="J2" s="8" t="s">
        <v>21</v>
      </c>
      <c r="K2" s="8"/>
      <c r="L2" s="8" t="s">
        <v>21</v>
      </c>
      <c r="M2" s="8"/>
      <c r="N2" s="8"/>
      <c r="P2" s="7"/>
      <c r="X2" s="6" t="s">
        <v>20</v>
      </c>
    </row>
    <row r="3" spans="1:26" ht="12" customHeight="1">
      <c r="A3" s="1" t="s">
        <v>22</v>
      </c>
      <c r="B3" s="2" t="str">
        <f>VLOOKUP(N3,$G$7:$H$18,2,TRUE())</f>
        <v>B+</v>
      </c>
      <c r="C3" s="2" t="s">
        <v>23</v>
      </c>
      <c r="D3" s="3">
        <f>VLOOKUP($C3,$J$7:$K$19,2,TRUE())</f>
        <v>2.3330000000000002</v>
      </c>
      <c r="E3" s="2" t="s">
        <v>24</v>
      </c>
      <c r="F3" s="3">
        <f>VLOOKUP($E3,$J$7:$K$19,2,TRUE())</f>
        <v>2</v>
      </c>
      <c r="G3" s="2" t="s">
        <v>25</v>
      </c>
      <c r="H3" s="3">
        <f>VLOOKUP($G3,$J$7:$K$19,2,TRUE())</f>
        <v>2.6669999999999998</v>
      </c>
      <c r="I3" s="3" t="s">
        <v>26</v>
      </c>
      <c r="J3" s="3">
        <f>VLOOKUP($I3,$J$7:$K$19,2,TRUE())</f>
        <v>3.3330000000000002</v>
      </c>
      <c r="K3" s="3" t="s">
        <v>26</v>
      </c>
      <c r="L3" s="3">
        <f>VLOOKUP($K3,$J$7:$K$19,2,TRUE())</f>
        <v>3.3330000000000002</v>
      </c>
      <c r="M3" s="29">
        <v>0.5</v>
      </c>
      <c r="N3" s="3">
        <f>(D3*0.15+F3*0.15+H3*0.15+J3*0.2+L3*0.2+Z3*0.15)+M3</f>
        <v>3.2331500000000006</v>
      </c>
      <c r="O3" s="9">
        <v>7</v>
      </c>
      <c r="P3" s="9">
        <v>8</v>
      </c>
      <c r="Q3" s="9">
        <v>8</v>
      </c>
      <c r="R3" s="9">
        <v>9</v>
      </c>
      <c r="S3" s="9">
        <v>0</v>
      </c>
      <c r="T3" s="9">
        <v>10</v>
      </c>
      <c r="U3" s="9">
        <v>9</v>
      </c>
      <c r="V3" s="9">
        <v>10</v>
      </c>
      <c r="W3" s="9">
        <v>10</v>
      </c>
      <c r="X3" s="5">
        <f>SUM(O3:W3)/90*100</f>
        <v>78.888888888888886</v>
      </c>
      <c r="Y3" s="2" t="str">
        <f>VLOOKUP(X3,$F$7:$H$18,3,TRUE())</f>
        <v>C+</v>
      </c>
      <c r="Z3" s="10">
        <f>VLOOKUP($X3,$F$7:$I$18,4,TRUE())</f>
        <v>2.3330000000000002</v>
      </c>
    </row>
    <row r="4" spans="1:26" ht="12" customHeight="1">
      <c r="A4" s="1" t="s">
        <v>27</v>
      </c>
      <c r="B4" s="2" t="e">
        <f>VLOOKUP(N4,$G$7:$H$18,2,TRUE())</f>
        <v>#N/A</v>
      </c>
      <c r="D4" s="3" t="e">
        <f>VLOOKUP($C4,$J$7:$K$19,2,TRUE())</f>
        <v>#N/A</v>
      </c>
      <c r="E4" s="2"/>
      <c r="F4" s="3" t="e">
        <f>VLOOKUP($E4,$J$7:$K$19,2,TRUE())</f>
        <v>#N/A</v>
      </c>
      <c r="G4" s="2"/>
      <c r="H4" s="3" t="e">
        <f>VLOOKUP($G4,$J$7:$K$19,2,TRUE())</f>
        <v>#N/A</v>
      </c>
      <c r="I4" s="3"/>
      <c r="J4" s="3" t="e">
        <f>VLOOKUP($I4,$J$7:$K$19,2,TRUE())</f>
        <v>#N/A</v>
      </c>
      <c r="K4" s="3"/>
      <c r="L4" s="3" t="e">
        <f>VLOOKUP($K4,$J$7:$K$19,2,TRUE())</f>
        <v>#N/A</v>
      </c>
      <c r="M4" s="29"/>
      <c r="N4" s="3" t="e">
        <f>(D4*0.15+F4*0.15+H4*0.15+J4*0.2+L4*0.2+Z4*0.15)+M4</f>
        <v>#N/A</v>
      </c>
      <c r="O4" s="9"/>
      <c r="P4" s="9"/>
      <c r="Q4" s="9"/>
      <c r="R4" s="9"/>
      <c r="S4" s="9"/>
      <c r="T4" s="9"/>
      <c r="U4" s="9"/>
      <c r="V4" s="9"/>
      <c r="W4" s="9"/>
      <c r="X4" s="5">
        <f>SUM(O4:W4)</f>
        <v>0</v>
      </c>
      <c r="Y4" s="2" t="e">
        <f>VLOOKUP(X4,$F$7:$H$18,3,TRUE())</f>
        <v>#N/A</v>
      </c>
      <c r="Z4" s="10" t="e">
        <f>VLOOKUP($X4,$F$7:$I$18,4,TRUE())</f>
        <v>#N/A</v>
      </c>
    </row>
    <row r="5" spans="1:26" ht="12" customHeight="1">
      <c r="A5" s="11"/>
      <c r="B5" s="2"/>
      <c r="D5" s="3"/>
      <c r="E5" s="2"/>
      <c r="F5" s="3"/>
      <c r="G5" s="2"/>
      <c r="H5" s="3"/>
      <c r="I5" s="2"/>
      <c r="J5" s="3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"/>
      <c r="Z5" s="3"/>
    </row>
    <row r="6" spans="1:26" ht="12.75" customHeight="1" thickBot="1">
      <c r="D6" s="3"/>
      <c r="E6" s="2"/>
      <c r="F6" s="3"/>
      <c r="G6" s="2"/>
      <c r="H6" s="3"/>
      <c r="I6" s="3"/>
      <c r="J6" s="3"/>
      <c r="K6" s="3"/>
      <c r="L6" s="3"/>
      <c r="M6" s="3"/>
      <c r="N6" s="3"/>
      <c r="O6" s="2"/>
      <c r="P6" s="2"/>
    </row>
    <row r="7" spans="1:26" ht="12" customHeight="1">
      <c r="A7" s="30" t="s">
        <v>28</v>
      </c>
      <c r="D7" s="3"/>
      <c r="E7" s="2"/>
      <c r="F7" s="12">
        <v>0.01</v>
      </c>
      <c r="G7" s="13">
        <v>0</v>
      </c>
      <c r="H7" s="7" t="s">
        <v>29</v>
      </c>
      <c r="I7" s="13">
        <v>0</v>
      </c>
      <c r="J7" s="7" t="s">
        <v>30</v>
      </c>
      <c r="K7" s="14">
        <v>4</v>
      </c>
      <c r="L7" s="10"/>
      <c r="M7" s="31" t="s">
        <v>31</v>
      </c>
      <c r="N7" s="32"/>
      <c r="O7" s="2"/>
      <c r="P7" s="15"/>
      <c r="Q7" s="8" t="s">
        <v>32</v>
      </c>
      <c r="R7" s="7"/>
      <c r="S7" s="7" t="s">
        <v>33</v>
      </c>
      <c r="T7" s="16"/>
    </row>
    <row r="8" spans="1:26" ht="12" customHeight="1">
      <c r="A8" s="30" t="s">
        <v>34</v>
      </c>
      <c r="D8" s="3"/>
      <c r="E8" s="2"/>
      <c r="F8" s="17">
        <v>60</v>
      </c>
      <c r="G8" s="10">
        <v>0.499</v>
      </c>
      <c r="H8" s="2" t="s">
        <v>35</v>
      </c>
      <c r="I8" s="10">
        <v>0.66700000000000004</v>
      </c>
      <c r="J8" s="2" t="s">
        <v>36</v>
      </c>
      <c r="K8" s="18">
        <v>3.6669999999999998</v>
      </c>
      <c r="L8" s="10"/>
      <c r="M8" s="31" t="s">
        <v>37</v>
      </c>
      <c r="N8" s="32"/>
      <c r="O8" s="2"/>
      <c r="P8" s="19" t="s">
        <v>30</v>
      </c>
      <c r="Q8" s="10">
        <v>4</v>
      </c>
      <c r="R8" s="20">
        <v>3.8330000000000002</v>
      </c>
      <c r="S8" s="10" t="s">
        <v>38</v>
      </c>
      <c r="T8" s="21">
        <v>4</v>
      </c>
    </row>
    <row r="9" spans="1:26" ht="12" customHeight="1">
      <c r="A9" s="30" t="s">
        <v>39</v>
      </c>
      <c r="D9" s="3"/>
      <c r="E9" s="2"/>
      <c r="F9" s="17">
        <v>62</v>
      </c>
      <c r="G9" s="10">
        <v>0.83199999999999996</v>
      </c>
      <c r="H9" s="2" t="s">
        <v>40</v>
      </c>
      <c r="I9" s="10">
        <v>1</v>
      </c>
      <c r="J9" s="2" t="s">
        <v>41</v>
      </c>
      <c r="K9" s="18">
        <v>3</v>
      </c>
      <c r="L9" s="10"/>
      <c r="M9" s="10"/>
      <c r="N9" s="1"/>
      <c r="O9" s="2"/>
      <c r="P9" s="19" t="s">
        <v>42</v>
      </c>
      <c r="Q9" s="10">
        <v>3.6669999999999998</v>
      </c>
      <c r="R9" s="20">
        <v>3.5</v>
      </c>
      <c r="S9" s="10" t="s">
        <v>38</v>
      </c>
      <c r="T9" s="21">
        <v>3.8319999999999999</v>
      </c>
    </row>
    <row r="10" spans="1:26" ht="12" customHeight="1">
      <c r="A10" s="30" t="s">
        <v>43</v>
      </c>
      <c r="D10" s="3"/>
      <c r="E10" s="2"/>
      <c r="F10" s="17">
        <v>68</v>
      </c>
      <c r="G10" s="10">
        <v>1.1659999999999999</v>
      </c>
      <c r="H10" s="2" t="s">
        <v>44</v>
      </c>
      <c r="I10" s="10">
        <v>1.333</v>
      </c>
      <c r="J10" s="2" t="s">
        <v>25</v>
      </c>
      <c r="K10" s="18">
        <v>2.6669999999999998</v>
      </c>
      <c r="L10" s="10"/>
      <c r="M10" s="10"/>
      <c r="N10" s="1"/>
      <c r="O10" s="2"/>
      <c r="P10" s="19" t="s">
        <v>45</v>
      </c>
      <c r="Q10" s="10">
        <v>3.3330000000000002</v>
      </c>
      <c r="R10" s="20">
        <v>3.1669999999999998</v>
      </c>
      <c r="S10" s="10" t="s">
        <v>38</v>
      </c>
      <c r="T10" s="21">
        <v>3.4990000000000001</v>
      </c>
    </row>
    <row r="11" spans="1:26" ht="12" customHeight="1">
      <c r="A11" s="30" t="s">
        <v>46</v>
      </c>
      <c r="D11" s="3"/>
      <c r="E11" s="2"/>
      <c r="F11" s="17">
        <v>70</v>
      </c>
      <c r="G11" s="10">
        <v>1.4990000000000001</v>
      </c>
      <c r="H11" s="2" t="s">
        <v>47</v>
      </c>
      <c r="I11" s="10">
        <v>1.667</v>
      </c>
      <c r="J11" s="2" t="s">
        <v>26</v>
      </c>
      <c r="K11" s="18">
        <v>3.3330000000000002</v>
      </c>
      <c r="L11" s="10"/>
      <c r="M11" s="10"/>
      <c r="N11" s="1"/>
      <c r="O11" s="2"/>
      <c r="P11" s="19" t="s">
        <v>41</v>
      </c>
      <c r="Q11" s="10">
        <v>3</v>
      </c>
      <c r="R11" s="20">
        <v>2.8330000000000002</v>
      </c>
      <c r="S11" s="10" t="s">
        <v>38</v>
      </c>
      <c r="T11" s="21">
        <v>3.1659999999999999</v>
      </c>
    </row>
    <row r="12" spans="1:26" ht="12" customHeight="1">
      <c r="A12" s="30" t="s">
        <v>48</v>
      </c>
      <c r="D12" s="3"/>
      <c r="E12" s="2"/>
      <c r="F12" s="17">
        <v>72</v>
      </c>
      <c r="G12" s="10">
        <v>1.8320000000000001</v>
      </c>
      <c r="H12" s="2" t="s">
        <v>24</v>
      </c>
      <c r="I12" s="10">
        <v>2</v>
      </c>
      <c r="J12" s="2" t="s">
        <v>24</v>
      </c>
      <c r="K12" s="18">
        <v>2</v>
      </c>
      <c r="L12" s="10"/>
      <c r="M12" s="10"/>
      <c r="N12" s="1"/>
      <c r="O12" s="2"/>
      <c r="P12" s="19" t="s">
        <v>49</v>
      </c>
      <c r="Q12" s="10">
        <v>2.6669999999999998</v>
      </c>
      <c r="R12" s="20">
        <v>2.5</v>
      </c>
      <c r="S12" s="10" t="s">
        <v>38</v>
      </c>
      <c r="T12" s="21">
        <v>2.8319999999999999</v>
      </c>
    </row>
    <row r="13" spans="1:26" ht="12" customHeight="1">
      <c r="A13" s="30" t="s">
        <v>50</v>
      </c>
      <c r="D13" s="3"/>
      <c r="E13" s="2"/>
      <c r="F13" s="17">
        <v>78</v>
      </c>
      <c r="G13" s="10">
        <v>2.1659999999999999</v>
      </c>
      <c r="H13" s="2" t="s">
        <v>51</v>
      </c>
      <c r="I13" s="10">
        <v>2.3330000000000002</v>
      </c>
      <c r="J13" s="2" t="s">
        <v>52</v>
      </c>
      <c r="K13" s="18">
        <v>1.667</v>
      </c>
      <c r="L13" s="10"/>
      <c r="M13" s="10"/>
      <c r="N13" s="1"/>
      <c r="O13" s="2"/>
      <c r="P13" s="19" t="s">
        <v>51</v>
      </c>
      <c r="Q13" s="10">
        <v>2.3330000000000002</v>
      </c>
      <c r="R13" s="20">
        <v>2.1669999999999998</v>
      </c>
      <c r="S13" s="10" t="s">
        <v>38</v>
      </c>
      <c r="T13" s="21">
        <v>2.4990000000000001</v>
      </c>
    </row>
    <row r="14" spans="1:26" ht="12" customHeight="1">
      <c r="A14" s="30" t="s">
        <v>53</v>
      </c>
      <c r="D14" s="3"/>
      <c r="E14" s="2"/>
      <c r="F14" s="17">
        <v>80</v>
      </c>
      <c r="G14" s="10">
        <v>2.4990000000000001</v>
      </c>
      <c r="H14" s="2" t="s">
        <v>49</v>
      </c>
      <c r="I14" s="10">
        <v>2.6669999999999998</v>
      </c>
      <c r="J14" s="2" t="s">
        <v>23</v>
      </c>
      <c r="K14" s="18">
        <v>2.3330000000000002</v>
      </c>
      <c r="L14" s="10"/>
      <c r="M14" s="10"/>
      <c r="N14" s="1"/>
      <c r="O14" s="2"/>
      <c r="P14" s="19" t="s">
        <v>24</v>
      </c>
      <c r="Q14" s="10">
        <v>2</v>
      </c>
      <c r="R14" s="20">
        <v>1.833</v>
      </c>
      <c r="S14" s="10" t="s">
        <v>38</v>
      </c>
      <c r="T14" s="21">
        <v>2.1659999999999999</v>
      </c>
    </row>
    <row r="15" spans="1:26" ht="12" customHeight="1">
      <c r="D15" s="3"/>
      <c r="E15" s="2"/>
      <c r="F15" s="17">
        <v>82</v>
      </c>
      <c r="G15" s="10">
        <v>2.8319999999999999</v>
      </c>
      <c r="H15" s="2" t="s">
        <v>41</v>
      </c>
      <c r="I15" s="10">
        <v>3</v>
      </c>
      <c r="J15" s="2" t="s">
        <v>40</v>
      </c>
      <c r="K15" s="18">
        <v>1</v>
      </c>
      <c r="L15" s="10"/>
      <c r="M15" s="10"/>
      <c r="N15" s="1"/>
      <c r="O15" s="2"/>
      <c r="P15" s="19" t="s">
        <v>47</v>
      </c>
      <c r="Q15" s="10">
        <v>1.667</v>
      </c>
      <c r="R15" s="20">
        <v>1.5</v>
      </c>
      <c r="S15" s="10" t="s">
        <v>38</v>
      </c>
      <c r="T15" s="21">
        <v>1.8320000000000001</v>
      </c>
    </row>
    <row r="16" spans="1:26" ht="12" customHeight="1">
      <c r="D16" s="3"/>
      <c r="E16" s="2"/>
      <c r="F16" s="17">
        <v>88</v>
      </c>
      <c r="G16" s="10">
        <v>3.1659999999999999</v>
      </c>
      <c r="H16" s="2" t="s">
        <v>45</v>
      </c>
      <c r="I16" s="10">
        <v>3.3330000000000002</v>
      </c>
      <c r="J16" s="2" t="s">
        <v>54</v>
      </c>
      <c r="K16" s="18">
        <v>0.66700000000000004</v>
      </c>
      <c r="L16" s="10"/>
      <c r="M16" s="10"/>
      <c r="N16" s="1"/>
      <c r="O16" s="2"/>
      <c r="P16" s="19" t="s">
        <v>44</v>
      </c>
      <c r="Q16" s="10">
        <v>1.333</v>
      </c>
      <c r="R16" s="20">
        <v>1.167</v>
      </c>
      <c r="S16" s="10" t="s">
        <v>38</v>
      </c>
      <c r="T16" s="21">
        <v>1.4990000000000001</v>
      </c>
    </row>
    <row r="17" spans="6:20" ht="12" customHeight="1">
      <c r="F17" s="17">
        <v>90</v>
      </c>
      <c r="G17" s="10">
        <v>3.4990000000000001</v>
      </c>
      <c r="H17" s="2" t="s">
        <v>42</v>
      </c>
      <c r="I17" s="10">
        <v>3.6669999999999998</v>
      </c>
      <c r="J17" s="2" t="s">
        <v>55</v>
      </c>
      <c r="K17" s="18">
        <v>1.333</v>
      </c>
      <c r="L17" s="10"/>
      <c r="M17" s="10"/>
      <c r="N17" s="1"/>
      <c r="P17" s="19" t="s">
        <v>40</v>
      </c>
      <c r="Q17" s="10">
        <v>1</v>
      </c>
      <c r="R17" s="20">
        <v>0.83299999999999996</v>
      </c>
      <c r="S17" s="10" t="s">
        <v>38</v>
      </c>
      <c r="T17" s="21">
        <v>1.1659999999999999</v>
      </c>
    </row>
    <row r="18" spans="6:20" ht="12.75" customHeight="1" thickBot="1">
      <c r="F18" s="22">
        <v>92</v>
      </c>
      <c r="G18" s="23">
        <v>3.8</v>
      </c>
      <c r="H18" s="24" t="s">
        <v>30</v>
      </c>
      <c r="I18" s="23">
        <v>4</v>
      </c>
      <c r="J18" s="24" t="s">
        <v>29</v>
      </c>
      <c r="K18" s="25">
        <v>0</v>
      </c>
      <c r="L18" s="10"/>
      <c r="M18" s="10"/>
      <c r="N18" s="1"/>
      <c r="P18" s="19" t="s">
        <v>35</v>
      </c>
      <c r="Q18" s="10">
        <v>0.66700000000000004</v>
      </c>
      <c r="R18" s="20">
        <v>0.5</v>
      </c>
      <c r="S18" s="10" t="s">
        <v>38</v>
      </c>
      <c r="T18" s="21">
        <v>0.83199999999999996</v>
      </c>
    </row>
    <row r="19" spans="6:20" ht="12.75" customHeight="1" thickBot="1">
      <c r="H19" s="1"/>
      <c r="I19" s="1"/>
      <c r="J19" s="1"/>
      <c r="K19" s="1"/>
      <c r="L19" s="1"/>
      <c r="M19" s="1"/>
      <c r="N19" s="1"/>
      <c r="P19" s="26" t="s">
        <v>29</v>
      </c>
      <c r="Q19" s="23">
        <v>0</v>
      </c>
      <c r="R19" s="27">
        <v>0</v>
      </c>
      <c r="S19" s="23" t="s">
        <v>38</v>
      </c>
      <c r="T19" s="28">
        <v>0.499</v>
      </c>
    </row>
  </sheetData>
  <printOptions horizontalCentered="1" gridLines="1"/>
  <pageMargins left="0.75" right="0.75" top="0.8" bottom="0.499" header="0.499" footer="0.499"/>
  <pageSetup orientation="landscape" useFirstPageNumber="1" verticalDpi="300"/>
  <headerFooter alignWithMargins="0">
    <oddHeader>&amp;C&amp;"Arial,Regular"&amp;10IBM 421 - Fall '00 - &amp;D</oddHead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IBM 421</vt:lpstr>
      <vt:lpstr>'IBM 421'!Print_Area</vt:lpstr>
      <vt:lpstr>Print_Area_local1_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C.B.A.</dc:creator>
  <cp:lastModifiedBy>Carina Negreanu</cp:lastModifiedBy>
  <dcterms:created xsi:type="dcterms:W3CDTF">2003-01-31T18:33:27Z</dcterms:created>
  <dcterms:modified xsi:type="dcterms:W3CDTF">2020-01-27T11:12:25Z</dcterms:modified>
</cp:coreProperties>
</file>