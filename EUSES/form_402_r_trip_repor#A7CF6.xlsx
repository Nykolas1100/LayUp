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4A6794-DDB7-47F6-BC73-642EE61C6BCF}" xr6:coauthVersionLast="45" xr6:coauthVersionMax="45" xr10:uidLastSave="{00000000-0000-0000-0000-000000000000}"/>
  <bookViews>
    <workbookView xWindow="1900" yWindow="1900" windowWidth="28800" windowHeight="15460"/>
  </bookViews>
  <sheets>
    <sheet name="Report Form" sheetId="1" r:id="rId1"/>
    <sheet name="Notes" sheetId="2" r:id="rId2"/>
    <sheet name="Sampe Financial Report" sheetId="3" r:id="rId3"/>
  </sheets>
  <definedNames>
    <definedName name="_xlnm.Print_Area" localSheetId="1">Notes!$A$1:$O$38</definedName>
    <definedName name="_xlnm.Print_Area" localSheetId="0">'Report Form'!$A$2:$L$62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9" i="1" l="1"/>
  <c r="L29" i="1"/>
  <c r="J30" i="1"/>
  <c r="L30" i="1" s="1"/>
  <c r="J32" i="1"/>
  <c r="L32" i="1"/>
  <c r="J33" i="1"/>
  <c r="L33" i="1"/>
  <c r="J34" i="1"/>
  <c r="L34" i="1"/>
  <c r="J35" i="1"/>
  <c r="L35" i="1" s="1"/>
  <c r="J36" i="1"/>
  <c r="L36" i="1"/>
  <c r="J37" i="1"/>
  <c r="L37" i="1" s="1"/>
  <c r="D39" i="1"/>
  <c r="L44" i="1"/>
  <c r="L45" i="1"/>
  <c r="L46" i="1"/>
  <c r="L47" i="1"/>
  <c r="L48" i="1"/>
  <c r="L49" i="1"/>
  <c r="L50" i="1"/>
  <c r="F31" i="1" s="1"/>
  <c r="J31" i="1" s="1"/>
  <c r="J29" i="3"/>
  <c r="L29" i="3"/>
  <c r="J30" i="3"/>
  <c r="J39" i="3" s="1"/>
  <c r="L30" i="3"/>
  <c r="J32" i="3"/>
  <c r="L32" i="3"/>
  <c r="J33" i="3"/>
  <c r="L33" i="3" s="1"/>
  <c r="J34" i="3"/>
  <c r="L34" i="3"/>
  <c r="J35" i="3"/>
  <c r="L35" i="3" s="1"/>
  <c r="J36" i="3"/>
  <c r="L36" i="3"/>
  <c r="J37" i="3"/>
  <c r="L37" i="3"/>
  <c r="D39" i="3"/>
  <c r="L44" i="3"/>
  <c r="L45" i="3"/>
  <c r="L46" i="3"/>
  <c r="L47" i="3"/>
  <c r="L48" i="3"/>
  <c r="L49" i="3"/>
  <c r="L50" i="3"/>
  <c r="F31" i="3" s="1"/>
  <c r="J31" i="3" s="1"/>
  <c r="L31" i="3" s="1"/>
  <c r="L39" i="3" l="1"/>
  <c r="L39" i="1"/>
  <c r="J39" i="1"/>
  <c r="L31" i="1"/>
</calcChain>
</file>

<file path=xl/comments1.xml><?xml version="1.0" encoding="utf-8"?>
<comments xmlns="http://schemas.openxmlformats.org/spreadsheetml/2006/main">
  <authors>
    <author>Maria Kirova</author>
  </authors>
  <commentList>
    <comment ref="D28" authorId="0" shapeId="0">
      <text>
        <r>
          <rPr>
            <b/>
            <sz val="8"/>
            <color indexed="81"/>
            <rFont val="Tahoma"/>
            <family val="2"/>
          </rPr>
          <t>List all payments made directly by CRDF e.g. plane tickets, per diem funds, conference fee payments, etc.</t>
        </r>
        <r>
          <rPr>
            <sz val="8"/>
            <color indexed="81"/>
            <rFont val="Tahoma"/>
            <family val="2"/>
          </rPr>
          <t xml:space="preserve"> 
</t>
        </r>
      </text>
    </comment>
    <comment ref="F28" authorId="0" shapeId="0">
      <text>
        <r>
          <rPr>
            <b/>
            <sz val="8"/>
            <color indexed="81"/>
            <rFont val="Tahoma"/>
            <family val="2"/>
          </rPr>
          <t>List all trip-related expenses including expenses YOU paid e.g. visa fees, ground transportation, medical insurance, etc. and expenses CRDF made on your behalf e.g. plane tickets, per diem, conference fees.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8" authorId="0" shapeId="0">
      <text>
        <r>
          <rPr>
            <b/>
            <sz val="8"/>
            <color indexed="81"/>
            <rFont val="Tahoma"/>
            <family val="2"/>
          </rPr>
          <t xml:space="preserve">List the Currency for each expense category e.g. RUR - Russian rubles, USD - U.S. dollars, EURO, etc. </t>
        </r>
      </text>
    </comment>
    <comment ref="I28" authorId="0" shapeId="0">
      <text>
        <r>
          <rPr>
            <b/>
            <sz val="8"/>
            <color indexed="81"/>
            <rFont val="Tahoma"/>
            <family val="2"/>
          </rPr>
          <t>List the exchange rate for the day of the transaction</t>
        </r>
      </text>
    </comment>
    <comment ref="J28" authorId="0" shapeId="0">
      <text>
        <r>
          <rPr>
            <b/>
            <sz val="8"/>
            <color indexed="81"/>
            <rFont val="Tahoma"/>
            <family val="2"/>
          </rPr>
          <t>This is an automatic formula for calculating your actual expenses in USD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Maria Kirova</author>
  </authors>
  <commentList>
    <comment ref="D28" authorId="0" shapeId="0">
      <text>
        <r>
          <rPr>
            <b/>
            <sz val="8"/>
            <color indexed="81"/>
            <rFont val="Tahoma"/>
            <family val="2"/>
          </rPr>
          <t>List all payments made directly by CRDF e.g. plane tickets, per diem funds, conference fee payments, etc.</t>
        </r>
        <r>
          <rPr>
            <sz val="8"/>
            <color indexed="81"/>
            <rFont val="Tahoma"/>
            <family val="2"/>
          </rPr>
          <t xml:space="preserve"> 
</t>
        </r>
      </text>
    </comment>
    <comment ref="F28" authorId="0" shapeId="0">
      <text>
        <r>
          <rPr>
            <b/>
            <sz val="8"/>
            <color indexed="81"/>
            <rFont val="Tahoma"/>
            <family val="2"/>
          </rPr>
          <t>List all trip-related expenses including expenses YOU paid e.g. visa fees, ground transportation, medical insurance, etc. and expenses CRDF made on your behalf e.g. plane tickets, per diem, conference fees.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28" authorId="0" shapeId="0">
      <text>
        <r>
          <rPr>
            <b/>
            <sz val="8"/>
            <color indexed="81"/>
            <rFont val="Tahoma"/>
            <family val="2"/>
          </rPr>
          <t xml:space="preserve">List the Currency for each expense category e.g. RUR - Russian rubles, USD - U.S. dollars, EURO, etc. </t>
        </r>
      </text>
    </comment>
    <comment ref="I28" authorId="0" shapeId="0">
      <text>
        <r>
          <rPr>
            <b/>
            <sz val="8"/>
            <color indexed="81"/>
            <rFont val="Tahoma"/>
            <family val="2"/>
          </rPr>
          <t>List the exchange rate for the day of the transaction</t>
        </r>
      </text>
    </comment>
    <comment ref="J28" authorId="0" shapeId="0">
      <text>
        <r>
          <rPr>
            <b/>
            <sz val="8"/>
            <color indexed="81"/>
            <rFont val="Tahoma"/>
            <family val="2"/>
          </rPr>
          <t>This is an automatic formula for calculating your actual expenses in USD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1" authorId="0" shapeId="0">
      <text>
        <r>
          <rPr>
            <b/>
            <sz val="8"/>
            <color indexed="81"/>
            <rFont val="Tahoma"/>
            <family val="2"/>
          </rPr>
          <t>Please complete the Per Diem Calculation Table below. The total amount of due per diem funds will be automatically calculated and linked to this cell.</t>
        </r>
      </text>
    </comment>
  </commentList>
</comments>
</file>

<file path=xl/sharedStrings.xml><?xml version="1.0" encoding="utf-8"?>
<sst xmlns="http://schemas.openxmlformats.org/spreadsheetml/2006/main" count="188" uniqueCount="161">
  <si>
    <t>U.S. Civilian Research and Development Foundation</t>
  </si>
  <si>
    <t xml:space="preserve">for </t>
  </si>
  <si>
    <t>for the Independent States of the former Soviet Union (CRDF)</t>
  </si>
  <si>
    <t>CRDF Project Number</t>
  </si>
  <si>
    <t>Principal Investigator</t>
  </si>
  <si>
    <t>Project Director/</t>
  </si>
  <si>
    <t>Institution</t>
  </si>
  <si>
    <t>Telephone #</t>
  </si>
  <si>
    <t>E-mail Address</t>
  </si>
  <si>
    <t>Fax #</t>
  </si>
  <si>
    <t xml:space="preserve">Traveler's Name </t>
  </si>
  <si>
    <t>(English)</t>
  </si>
  <si>
    <t>(Cyrillic)</t>
  </si>
  <si>
    <t>Address</t>
  </si>
  <si>
    <t>Passport Number</t>
  </si>
  <si>
    <t>City of Payment</t>
  </si>
  <si>
    <t>Date of Birth</t>
  </si>
  <si>
    <t>Account #/Address</t>
  </si>
  <si>
    <t xml:space="preserve">Expense Type </t>
  </si>
  <si>
    <t>Amount Paid in Advance by CRDF</t>
  </si>
  <si>
    <t>Amount of Actual Expenses in Units</t>
  </si>
  <si>
    <t>Currency</t>
  </si>
  <si>
    <t>Exchange Rate</t>
  </si>
  <si>
    <t xml:space="preserve">Actual Expenses in USD </t>
  </si>
  <si>
    <t>Total Due 
To/From Traveler</t>
  </si>
  <si>
    <t>TOTAL</t>
  </si>
  <si>
    <t xml:space="preserve">I certify that all expenses indicated above are true and correct and are in full accordance with the award conditions. </t>
  </si>
  <si>
    <t>Signature of Traveler</t>
  </si>
  <si>
    <t>Signature of Project Director/</t>
  </si>
  <si>
    <t>Date</t>
  </si>
  <si>
    <t>Section I: PROJECT INFORMATION</t>
  </si>
  <si>
    <t>Section II: TRAVELER INFORMATION</t>
  </si>
  <si>
    <t>Family Name, First Name and Patronymic</t>
  </si>
  <si>
    <t>Section III: EXPENSE SUMMARY</t>
  </si>
  <si>
    <t xml:space="preserve">Location Name </t>
  </si>
  <si>
    <t># of Nights</t>
  </si>
  <si>
    <t xml:space="preserve">Total </t>
  </si>
  <si>
    <t>Per Diem Rate</t>
  </si>
  <si>
    <t xml:space="preserve">Arrival Date </t>
  </si>
  <si>
    <t>Departure Date</t>
  </si>
  <si>
    <t>e.g. Washington DC</t>
  </si>
  <si>
    <t>General Guidelines</t>
  </si>
  <si>
    <t xml:space="preserve">Return to Trip Report Form </t>
  </si>
  <si>
    <t>GENERAL GUIDELINES</t>
  </si>
  <si>
    <t>Request Date</t>
  </si>
  <si>
    <t>Ground Transportation
Note 5</t>
  </si>
  <si>
    <t xml:space="preserve">Please specify "Other Expenses": </t>
  </si>
  <si>
    <t>NOTES</t>
  </si>
  <si>
    <t>Plane Tickets (International) Note 1</t>
  </si>
  <si>
    <t>Per Diem 
Note 2</t>
  </si>
  <si>
    <t>Lodging 
Note 3</t>
  </si>
  <si>
    <t>Conference Fees
Note 4</t>
  </si>
  <si>
    <t>Visa Fees
Note 5</t>
  </si>
  <si>
    <t>Medical Insurance
Note 5</t>
  </si>
  <si>
    <t>Per Diem Calculation Table - Note 7</t>
  </si>
  <si>
    <t>Other Expenses
Note 6</t>
  </si>
  <si>
    <t>Plane Tickets (Domestic) Note 1</t>
  </si>
  <si>
    <t>FINANCIAL TRIP REPORT AND TRAVEL REIMBURSEMENT REQUEST</t>
  </si>
  <si>
    <t>USD</t>
  </si>
  <si>
    <t>Moscow</t>
  </si>
  <si>
    <t>RUR</t>
  </si>
  <si>
    <t>SAMPLE FINANCIAL REPORT</t>
  </si>
  <si>
    <t>RB2-2475-MO-03</t>
  </si>
  <si>
    <t>Boris Ivanov</t>
  </si>
  <si>
    <t xml:space="preserve">Institute of Organic Chemistry </t>
  </si>
  <si>
    <t>095-255-7989</t>
  </si>
  <si>
    <t>095-255-7988</t>
  </si>
  <si>
    <t>ivanov@mail.ru</t>
  </si>
  <si>
    <t xml:space="preserve">Zakharov, Alexander Grigoriev </t>
  </si>
  <si>
    <t>sasha@ioc.ru</t>
  </si>
  <si>
    <t>75, Leninsky Prospekt, Moscow 209934</t>
  </si>
  <si>
    <t>A-54678</t>
  </si>
  <si>
    <t xml:space="preserve">New York </t>
  </si>
  <si>
    <t>Chicago</t>
  </si>
  <si>
    <t>CRDF форма 402: Отчет по поездке</t>
  </si>
  <si>
    <t>Американский Фонд гражданских исследований и развития</t>
  </si>
  <si>
    <t>для независимых государств бывшего Советского Союза (АФГИР)</t>
  </si>
  <si>
    <t>Общие положения</t>
  </si>
  <si>
    <t>CRDF Номер проекта</t>
  </si>
  <si>
    <t>Дата запроса</t>
  </si>
  <si>
    <t>Организация</t>
  </si>
  <si>
    <t>Номер телефона</t>
  </si>
  <si>
    <t>Адрес электронной почты</t>
  </si>
  <si>
    <t>Номер факса</t>
  </si>
  <si>
    <t>Раздел II: Информация об отъезжавшем</t>
  </si>
  <si>
    <t>(по-английски)</t>
  </si>
  <si>
    <t>Фамилия, имя, отчество</t>
  </si>
  <si>
    <t>(по-русски)</t>
  </si>
  <si>
    <t>ФИО отъезжавшего</t>
  </si>
  <si>
    <t xml:space="preserve">ФИО отъезжавшего </t>
  </si>
  <si>
    <t>Адрес</t>
  </si>
  <si>
    <t>Номер паспорта</t>
  </si>
  <si>
    <t>Раздел III: Сводная таблица расходов</t>
  </si>
  <si>
    <t xml:space="preserve">Наименование платежа </t>
  </si>
  <si>
    <t>Сумма, оплаченная АФГИР авансом</t>
  </si>
  <si>
    <t>Сумма реальных расходов в денежных единицах платежа</t>
  </si>
  <si>
    <t>Наименование валюты</t>
  </si>
  <si>
    <t>Обменный курс</t>
  </si>
  <si>
    <t xml:space="preserve">Сумма реальных расходов в долларах </t>
  </si>
  <si>
    <t>Итого к оплате 
/либо остаток у отъезжавшего</t>
  </si>
  <si>
    <t>Город, банк для оплаты</t>
  </si>
  <si>
    <t>Номер счета/Адрес</t>
  </si>
  <si>
    <t>заполнять по-русски</t>
  </si>
  <si>
    <t xml:space="preserve">российский паспорт </t>
  </si>
  <si>
    <t xml:space="preserve">(2) Каждый отчет включает научную и финансовую часть. </t>
  </si>
  <si>
    <t xml:space="preserve">которая финансировалась полностью или частично Фондом. </t>
  </si>
  <si>
    <t xml:space="preserve">(1) Отъезжавшие должны представить в АФГИР отчеты по соостветствующей форме в течение 30 дней после поездки, </t>
  </si>
  <si>
    <t>по следующей поездке.</t>
  </si>
  <si>
    <t>(4) В случае несвоевременного представления отчета о поездке путешественник будет лишен права получить авансовую оплату</t>
  </si>
  <si>
    <t xml:space="preserve">(5) АФГИР оставляет за собой право производить возврат любых фондов, выплаченных авансом, в случае если путешественник </t>
  </si>
  <si>
    <t>не представил удовлетворительный отчет по поездке.</t>
  </si>
  <si>
    <t xml:space="preserve">(3) Для возмещения расходов должны быть представлены оригиналы платежных квитанций.  </t>
  </si>
  <si>
    <t>НЕТ ОРИГИНАЛА КВИТАНЦИИ = НЕТ ВОЗМЕЩЕНИЯ РАСХОДОВ</t>
  </si>
  <si>
    <t xml:space="preserve">Отъезжавший должен включить в отчет все оригиналы квитанций, имеющиеся в авиабилете (например корешок билета, </t>
  </si>
  <si>
    <t>посадочные талоны и т.д.), даже если билет оплачивался Фондом авансом.</t>
  </si>
  <si>
    <t>Вычислите свои реальные расходы на суточные, используя таблицу внизу формы отчета</t>
  </si>
  <si>
    <t>Для подтверждения расходов на проживание требуется представить оригиналы счетов из отеля.</t>
  </si>
  <si>
    <t>Если конференцвзнос был оплачен непосредственно участником, то требуется представить квитанцию от Оргкомитета</t>
  </si>
  <si>
    <t xml:space="preserve"> с указанием суммы оплаты. </t>
  </si>
  <si>
    <t xml:space="preserve">Уточните другие расходы в строке ниже. Это могут быть - услуги по переводу во время конференции, оплаты, </t>
  </si>
  <si>
    <t xml:space="preserve">связанные с публикациями и т.д. </t>
  </si>
  <si>
    <t>Место пребывания - Перечислите все места пребывания во время Вашей поездки, по которым Вы запрашиваете суточные.</t>
  </si>
  <si>
    <t>Дата приезда - укажите даты приезда по каждому пункту пребывания.</t>
  </si>
  <si>
    <t>Дата отъезда - Укажите дату отъезда по каждому пункту пребывания.</t>
  </si>
  <si>
    <t xml:space="preserve">Количество ночей - Укажите количество ночей по каждому пункту пребывания. Если в пункту пребывания не было </t>
  </si>
  <si>
    <t xml:space="preserve">Размер суточных - Укажите соответствующий размер суточных, который Вы используете при отчете. </t>
  </si>
  <si>
    <t>Авиабилеты (Международный) Замечание 1</t>
  </si>
  <si>
    <t>Авиабилеты (Местный) Замечание 1</t>
  </si>
  <si>
    <t>Суточные              Замечание 2</t>
  </si>
  <si>
    <t xml:space="preserve">Проживание          Замечание 3 </t>
  </si>
  <si>
    <t>Замечание 1</t>
  </si>
  <si>
    <t>Замечание 2</t>
  </si>
  <si>
    <t>Замечание 3</t>
  </si>
  <si>
    <t>Замечание 4</t>
  </si>
  <si>
    <t xml:space="preserve">Замечание 5 </t>
  </si>
  <si>
    <t>Замечание 6</t>
  </si>
  <si>
    <t>Замечание 7</t>
  </si>
  <si>
    <t>Конференцвзносы                    Замечание 3</t>
  </si>
  <si>
    <t>Оплата визы                       Замечание 5</t>
  </si>
  <si>
    <t>Медицинская страховка           Замечание 5</t>
  </si>
  <si>
    <t>Наземный транспорт               Замечание 5</t>
  </si>
  <si>
    <t>Другие расходы           Замечание 6</t>
  </si>
  <si>
    <t xml:space="preserve">Пожалуйста, уточните "Другие расходы": </t>
  </si>
  <si>
    <t>Общая сумма</t>
  </si>
  <si>
    <t>Подпись отъезжавшего</t>
  </si>
  <si>
    <t>Дата</t>
  </si>
  <si>
    <t>Подпись директора проекта/</t>
  </si>
  <si>
    <t>Научного руководителя</t>
  </si>
  <si>
    <t>Таблица для вычисления суточных - Замечание 7</t>
  </si>
  <si>
    <t>других расходов, не относящихся к суточным, требуются оригиналы  квитанций, независимо от суммы расходов.</t>
  </si>
  <si>
    <t>Если путешественнику должны быть оплачены АФГИР расходы не относящиеся к суточным, то по ним необходимо</t>
  </si>
  <si>
    <t>представить в отчете квитанции, подтверждающие эти оплаты.</t>
  </si>
  <si>
    <t xml:space="preserve">Чтобы получить возмещение расходов по оплате визы, медицинской страховки, такси, аренды автомашины и </t>
  </si>
  <si>
    <t xml:space="preserve">проведено ни одной ночи, то указывается ноль. </t>
  </si>
  <si>
    <t xml:space="preserve">ОБЩАЯ СУММА СУТОЧНЫХ БУДЕТ ПОДСЧИТАНА АВТОМАТИЧЕСКИ И ВСТАВЛЕНА В РАЗДЕЛ III: </t>
  </si>
  <si>
    <t>СУММАРНЫЕ РАСХОДЫ.</t>
  </si>
  <si>
    <t>Директор проекта/Научный руководитель</t>
  </si>
  <si>
    <t>ФИНАНСОВЫЙ ОТЧЕТ ПО ПОЕЗДКЕ / ЗАПРОС НА ВОЗМЕЩЕНИЕ РАСХОДОВ</t>
  </si>
  <si>
    <t>Дата рождения</t>
  </si>
  <si>
    <t>Я подтверждаю, что все перечисленные выше расходы верны, полностью соответствуют условиям гранта и оплата этих расходов ранее не запрашивалась</t>
  </si>
  <si>
    <t>Раздел I: Информация о проекте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</si>
</sst>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80" formatCode="d\-mmm\-yyyy"/>
    <numFmt numFmtId="181" formatCode="0_);\(0\)"/>
  </numFmts>
  <fonts count="21" x14ac:knownFonts="1">
    <font>
      <sz val="10"/>
      <name val="Arial"/>
    </font>
    <font>
      <sz val="10"/>
      <name val="Arial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b/>
      <u/>
      <sz val="12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b/>
      <sz val="20"/>
      <name val="Arial"/>
      <family val="2"/>
    </font>
    <font>
      <b/>
      <i/>
      <sz val="10"/>
      <name val="Arial"/>
      <family val="2"/>
      <charset val="204"/>
    </font>
    <font>
      <b/>
      <u/>
      <sz val="10"/>
      <color indexed="12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167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 vertical="center" wrapText="1"/>
    </xf>
    <xf numFmtId="0" fontId="4" fillId="3" borderId="1" xfId="0" applyFont="1" applyFill="1" applyBorder="1"/>
    <xf numFmtId="0" fontId="4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4" fillId="3" borderId="3" xfId="0" applyFont="1" applyFill="1" applyBorder="1"/>
    <xf numFmtId="0" fontId="0" fillId="2" borderId="4" xfId="0" applyFill="1" applyBorder="1"/>
    <xf numFmtId="0" fontId="5" fillId="2" borderId="0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4" fillId="2" borderId="6" xfId="0" applyFont="1" applyFill="1" applyBorder="1"/>
    <xf numFmtId="0" fontId="0" fillId="2" borderId="7" xfId="0" applyFill="1" applyBorder="1"/>
    <xf numFmtId="170" fontId="0" fillId="2" borderId="7" xfId="0" applyNumberFormat="1" applyFill="1" applyBorder="1"/>
    <xf numFmtId="0" fontId="4" fillId="2" borderId="8" xfId="0" applyFont="1" applyFill="1" applyBorder="1" applyAlignment="1">
      <alignment horizontal="center" vertical="center" wrapText="1"/>
    </xf>
    <xf numFmtId="0" fontId="5" fillId="2" borderId="0" xfId="0" applyFont="1" applyFill="1"/>
    <xf numFmtId="170" fontId="5" fillId="2" borderId="6" xfId="0" applyNumberFormat="1" applyFont="1" applyFill="1" applyBorder="1" applyAlignment="1">
      <alignment horizontal="center"/>
    </xf>
    <xf numFmtId="170" fontId="4" fillId="2" borderId="6" xfId="0" applyNumberFormat="1" applyFont="1" applyFill="1" applyBorder="1" applyAlignment="1">
      <alignment horizontal="center"/>
    </xf>
    <xf numFmtId="0" fontId="0" fillId="3" borderId="0" xfId="0" applyFill="1"/>
    <xf numFmtId="170" fontId="5" fillId="2" borderId="7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9" fillId="0" borderId="0" xfId="2" applyFont="1" applyAlignment="1" applyProtection="1"/>
    <xf numFmtId="0" fontId="6" fillId="0" borderId="0" xfId="0" applyFont="1"/>
    <xf numFmtId="0" fontId="8" fillId="2" borderId="0" xfId="2" applyFill="1" applyAlignment="1" applyProtection="1"/>
    <xf numFmtId="0" fontId="0" fillId="2" borderId="0" xfId="0" applyFill="1" applyBorder="1" applyAlignment="1">
      <alignment horizontal="center" vertical="center" wrapText="1"/>
    </xf>
    <xf numFmtId="170" fontId="0" fillId="3" borderId="7" xfId="0" applyNumberFormat="1" applyFill="1" applyBorder="1"/>
    <xf numFmtId="170" fontId="10" fillId="2" borderId="7" xfId="0" applyNumberFormat="1" applyFont="1" applyFill="1" applyBorder="1"/>
    <xf numFmtId="0" fontId="4" fillId="3" borderId="0" xfId="0" applyFont="1" applyFill="1"/>
    <xf numFmtId="0" fontId="4" fillId="0" borderId="0" xfId="0" applyFont="1"/>
    <xf numFmtId="0" fontId="11" fillId="0" borderId="0" xfId="2" applyFont="1" applyAlignment="1" applyProtection="1"/>
    <xf numFmtId="0" fontId="11" fillId="3" borderId="1" xfId="2" applyFont="1" applyFill="1" applyBorder="1" applyAlignment="1" applyProtection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70" fontId="0" fillId="2" borderId="0" xfId="0" applyNumberFormat="1" applyFill="1"/>
    <xf numFmtId="0" fontId="5" fillId="2" borderId="10" xfId="0" applyFont="1" applyFill="1" applyBorder="1"/>
    <xf numFmtId="0" fontId="17" fillId="2" borderId="0" xfId="0" applyFont="1" applyFill="1"/>
    <xf numFmtId="0" fontId="18" fillId="2" borderId="0" xfId="0" applyFont="1" applyFill="1"/>
    <xf numFmtId="0" fontId="19" fillId="0" borderId="0" xfId="2" applyFont="1" applyAlignment="1" applyProtection="1"/>
    <xf numFmtId="0" fontId="19" fillId="3" borderId="1" xfId="2" applyFont="1" applyFill="1" applyBorder="1" applyAlignment="1" applyProtection="1">
      <alignment horizontal="left" vertical="center"/>
    </xf>
    <xf numFmtId="0" fontId="19" fillId="3" borderId="2" xfId="2" applyFont="1" applyFill="1" applyBorder="1" applyAlignment="1" applyProtection="1">
      <alignment horizontal="left" vertical="center"/>
    </xf>
    <xf numFmtId="0" fontId="20" fillId="3" borderId="1" xfId="0" applyFont="1" applyFill="1" applyBorder="1"/>
    <xf numFmtId="0" fontId="20" fillId="3" borderId="2" xfId="0" applyFont="1" applyFill="1" applyBorder="1"/>
    <xf numFmtId="0" fontId="20" fillId="3" borderId="3" xfId="0" applyFont="1" applyFill="1" applyBorder="1"/>
    <xf numFmtId="0" fontId="20" fillId="2" borderId="8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/>
    <xf numFmtId="0" fontId="20" fillId="2" borderId="6" xfId="0" applyFont="1" applyFill="1" applyBorder="1"/>
    <xf numFmtId="0" fontId="0" fillId="2" borderId="2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70" fontId="0" fillId="3" borderId="7" xfId="1" applyFont="1" applyFill="1" applyBorder="1" applyAlignment="1">
      <alignment horizontal="left"/>
    </xf>
    <xf numFmtId="170" fontId="0" fillId="2" borderId="7" xfId="1" applyFont="1" applyFill="1" applyBorder="1" applyAlignment="1">
      <alignment horizontal="left"/>
    </xf>
    <xf numFmtId="0" fontId="19" fillId="2" borderId="7" xfId="2" applyFont="1" applyFill="1" applyBorder="1" applyAlignment="1" applyProtection="1">
      <alignment horizontal="left" wrapText="1"/>
    </xf>
    <xf numFmtId="0" fontId="19" fillId="2" borderId="7" xfId="2" applyFont="1" applyFill="1" applyBorder="1" applyAlignment="1" applyProtection="1">
      <alignment horizontal="left"/>
    </xf>
    <xf numFmtId="0" fontId="7" fillId="2" borderId="0" xfId="0" applyFont="1" applyFill="1" applyAlignment="1">
      <alignment horizontal="left" wrapText="1"/>
    </xf>
    <xf numFmtId="0" fontId="20" fillId="2" borderId="6" xfId="0" applyFont="1" applyFill="1" applyBorder="1" applyAlignment="1">
      <alignment horizontal="left"/>
    </xf>
    <xf numFmtId="0" fontId="18" fillId="2" borderId="13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/>
    </xf>
    <xf numFmtId="0" fontId="20" fillId="2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170" fontId="5" fillId="2" borderId="7" xfId="0" applyNumberFormat="1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170" fontId="5" fillId="2" borderId="7" xfId="1" applyFont="1" applyFill="1" applyBorder="1" applyAlignment="1">
      <alignment horizontal="left"/>
    </xf>
    <xf numFmtId="49" fontId="0" fillId="2" borderId="13" xfId="1" applyNumberFormat="1" applyFont="1" applyFill="1" applyBorder="1" applyAlignment="1">
      <alignment horizontal="left" vertical="top"/>
    </xf>
    <xf numFmtId="49" fontId="0" fillId="2" borderId="12" xfId="1" applyNumberFormat="1" applyFont="1" applyFill="1" applyBorder="1" applyAlignment="1">
      <alignment horizontal="left" vertical="top"/>
    </xf>
    <xf numFmtId="49" fontId="0" fillId="2" borderId="11" xfId="1" applyNumberFormat="1" applyFont="1" applyFill="1" applyBorder="1" applyAlignment="1">
      <alignment horizontal="left" vertical="top"/>
    </xf>
    <xf numFmtId="170" fontId="0" fillId="2" borderId="6" xfId="1" applyFont="1" applyFill="1" applyBorder="1" applyAlignment="1">
      <alignment horizontal="left"/>
    </xf>
    <xf numFmtId="39" fontId="12" fillId="2" borderId="7" xfId="1" applyNumberFormat="1" applyFont="1" applyFill="1" applyBorder="1" applyAlignment="1">
      <alignment horizontal="right"/>
    </xf>
    <xf numFmtId="170" fontId="5" fillId="2" borderId="6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0" fillId="2" borderId="8" xfId="0" applyFont="1" applyFill="1" applyBorder="1" applyAlignment="1">
      <alignment horizontal="center" vertical="center" wrapText="1"/>
    </xf>
    <xf numFmtId="0" fontId="19" fillId="2" borderId="6" xfId="2" applyFont="1" applyFill="1" applyBorder="1" applyAlignment="1" applyProtection="1">
      <alignment horizontal="left" wrapText="1"/>
    </xf>
    <xf numFmtId="0" fontId="19" fillId="2" borderId="6" xfId="2" applyFont="1" applyFill="1" applyBorder="1" applyAlignment="1" applyProtection="1">
      <alignment horizontal="left"/>
    </xf>
    <xf numFmtId="0" fontId="4" fillId="2" borderId="24" xfId="0" applyFont="1" applyFill="1" applyBorder="1" applyAlignment="1">
      <alignment horizontal="left" vertical="top" wrapText="1"/>
    </xf>
    <xf numFmtId="0" fontId="4" fillId="2" borderId="2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20" fillId="2" borderId="0" xfId="0" applyFont="1" applyFill="1" applyAlignment="1">
      <alignment horizontal="left"/>
    </xf>
    <xf numFmtId="0" fontId="20" fillId="2" borderId="7" xfId="0" applyFont="1" applyFill="1" applyBorder="1" applyAlignment="1">
      <alignment horizontal="left"/>
    </xf>
    <xf numFmtId="0" fontId="20" fillId="2" borderId="13" xfId="0" applyFont="1" applyFill="1" applyBorder="1" applyAlignment="1">
      <alignment horizontal="left" wrapText="1"/>
    </xf>
    <xf numFmtId="0" fontId="20" fillId="2" borderId="11" xfId="0" applyFont="1" applyFill="1" applyBorder="1" applyAlignment="1">
      <alignment horizontal="left" wrapText="1"/>
    </xf>
    <xf numFmtId="0" fontId="18" fillId="2" borderId="23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20" fillId="2" borderId="17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20" fillId="2" borderId="22" xfId="0" applyFont="1" applyFill="1" applyBorder="1" applyAlignment="1">
      <alignment horizontal="center"/>
    </xf>
    <xf numFmtId="180" fontId="20" fillId="2" borderId="14" xfId="0" applyNumberFormat="1" applyFont="1" applyFill="1" applyBorder="1" applyAlignment="1">
      <alignment horizontal="left"/>
    </xf>
    <xf numFmtId="180" fontId="20" fillId="2" borderId="15" xfId="0" applyNumberFormat="1" applyFont="1" applyFill="1" applyBorder="1" applyAlignment="1">
      <alignment horizontal="left"/>
    </xf>
    <xf numFmtId="180" fontId="20" fillId="2" borderId="16" xfId="0" applyNumberFormat="1" applyFont="1" applyFill="1" applyBorder="1" applyAlignment="1">
      <alignment horizontal="left"/>
    </xf>
    <xf numFmtId="0" fontId="20" fillId="2" borderId="14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left"/>
    </xf>
    <xf numFmtId="0" fontId="20" fillId="2" borderId="16" xfId="0" applyFont="1" applyFill="1" applyBorder="1" applyAlignment="1">
      <alignment horizontal="left"/>
    </xf>
    <xf numFmtId="0" fontId="19" fillId="2" borderId="0" xfId="2" applyFont="1" applyFill="1" applyAlignment="1" applyProtection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180" fontId="5" fillId="2" borderId="7" xfId="0" applyNumberFormat="1" applyFont="1" applyFill="1" applyBorder="1" applyAlignment="1">
      <alignment horizontal="center"/>
    </xf>
    <xf numFmtId="180" fontId="0" fillId="2" borderId="6" xfId="0" applyNumberFormat="1" applyFill="1" applyBorder="1" applyAlignment="1">
      <alignment horizontal="center"/>
    </xf>
    <xf numFmtId="180" fontId="0" fillId="2" borderId="6" xfId="1" applyNumberFormat="1" applyFont="1" applyFill="1" applyBorder="1" applyAlignment="1">
      <alignment horizontal="center"/>
    </xf>
    <xf numFmtId="170" fontId="0" fillId="2" borderId="0" xfId="1" applyFont="1" applyFill="1" applyBorder="1" applyAlignment="1">
      <alignment horizontal="center"/>
    </xf>
    <xf numFmtId="181" fontId="5" fillId="2" borderId="7" xfId="1" applyNumberFormat="1" applyFont="1" applyFill="1" applyBorder="1" applyAlignment="1">
      <alignment horizontal="center"/>
    </xf>
    <xf numFmtId="181" fontId="5" fillId="2" borderId="6" xfId="1" applyNumberFormat="1" applyFont="1" applyFill="1" applyBorder="1" applyAlignment="1">
      <alignment horizontal="center"/>
    </xf>
    <xf numFmtId="180" fontId="5" fillId="2" borderId="7" xfId="1" applyNumberFormat="1" applyFont="1" applyFill="1" applyBorder="1" applyAlignment="1">
      <alignment horizontal="center"/>
    </xf>
    <xf numFmtId="170" fontId="0" fillId="2" borderId="6" xfId="1" applyFont="1" applyFill="1" applyBorder="1" applyAlignment="1">
      <alignment horizontal="center"/>
    </xf>
    <xf numFmtId="170" fontId="4" fillId="2" borderId="6" xfId="1" applyFont="1" applyFill="1" applyBorder="1" applyAlignment="1">
      <alignment horizontal="center"/>
    </xf>
    <xf numFmtId="170" fontId="5" fillId="2" borderId="7" xfId="1" applyFont="1" applyFill="1" applyBorder="1" applyAlignment="1">
      <alignment horizontal="center"/>
    </xf>
    <xf numFmtId="0" fontId="20" fillId="2" borderId="13" xfId="0" applyFont="1" applyFill="1" applyBorder="1" applyAlignment="1"/>
    <xf numFmtId="0" fontId="20" fillId="2" borderId="12" xfId="0" applyFont="1" applyFill="1" applyBorder="1" applyAlignment="1"/>
    <xf numFmtId="0" fontId="20" fillId="2" borderId="11" xfId="0" applyFont="1" applyFill="1" applyBorder="1" applyAlignment="1"/>
    <xf numFmtId="0" fontId="20" fillId="2" borderId="13" xfId="0" applyFont="1" applyFill="1" applyBorder="1" applyAlignment="1">
      <alignment horizontal="left"/>
    </xf>
    <xf numFmtId="180" fontId="20" fillId="2" borderId="13" xfId="0" applyNumberFormat="1" applyFont="1" applyFill="1" applyBorder="1" applyAlignment="1">
      <alignment horizontal="center"/>
    </xf>
    <xf numFmtId="180" fontId="20" fillId="2" borderId="12" xfId="0" applyNumberFormat="1" applyFont="1" applyFill="1" applyBorder="1" applyAlignment="1">
      <alignment horizontal="center"/>
    </xf>
    <xf numFmtId="180" fontId="20" fillId="2" borderId="11" xfId="0" applyNumberFormat="1" applyFont="1" applyFill="1" applyBorder="1" applyAlignment="1">
      <alignment horizontal="center"/>
    </xf>
    <xf numFmtId="0" fontId="18" fillId="2" borderId="12" xfId="0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20" fillId="2" borderId="13" xfId="0" applyFont="1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" fillId="2" borderId="17" xfId="0" quotePrefix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180" fontId="0" fillId="2" borderId="14" xfId="0" applyNumberFormat="1" applyFill="1" applyBorder="1" applyAlignment="1">
      <alignment horizontal="left"/>
    </xf>
    <xf numFmtId="180" fontId="0" fillId="2" borderId="15" xfId="0" applyNumberFormat="1" applyFill="1" applyBorder="1" applyAlignment="1">
      <alignment horizontal="left"/>
    </xf>
    <xf numFmtId="180" fontId="0" fillId="2" borderId="16" xfId="0" applyNumberForma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13" xfId="2" applyFill="1" applyBorder="1" applyAlignment="1" applyProtection="1">
      <alignment horizontal="left"/>
    </xf>
    <xf numFmtId="0" fontId="16" fillId="2" borderId="23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80" fontId="0" fillId="2" borderId="13" xfId="0" applyNumberFormat="1" applyFill="1" applyBorder="1" applyAlignment="1">
      <alignment horizontal="left"/>
    </xf>
    <xf numFmtId="180" fontId="0" fillId="2" borderId="12" xfId="0" applyNumberFormat="1" applyFill="1" applyBorder="1" applyAlignment="1">
      <alignment horizontal="left"/>
    </xf>
    <xf numFmtId="180" fontId="0" fillId="2" borderId="1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4" fillId="2" borderId="8" xfId="0" applyFont="1" applyFill="1" applyBorder="1" applyAlignment="1">
      <alignment horizontal="center" vertical="center" wrapText="1"/>
    </xf>
    <xf numFmtId="0" fontId="8" fillId="0" borderId="27" xfId="2" applyFont="1" applyBorder="1" applyAlignment="1" applyProtection="1">
      <alignment wrapText="1"/>
    </xf>
    <xf numFmtId="0" fontId="8" fillId="0" borderId="28" xfId="2" applyBorder="1" applyAlignment="1" applyProtection="1">
      <alignment wrapText="1"/>
    </xf>
    <xf numFmtId="0" fontId="8" fillId="2" borderId="6" xfId="2" applyFont="1" applyFill="1" applyBorder="1" applyAlignment="1" applyProtection="1">
      <alignment horizontal="left" wrapText="1"/>
    </xf>
    <xf numFmtId="0" fontId="8" fillId="2" borderId="6" xfId="2" applyFill="1" applyBorder="1" applyAlignment="1" applyProtection="1">
      <alignment horizontal="left"/>
    </xf>
    <xf numFmtId="0" fontId="8" fillId="2" borderId="7" xfId="2" applyFill="1" applyBorder="1" applyAlignment="1" applyProtection="1">
      <alignment horizontal="left" wrapText="1"/>
    </xf>
    <xf numFmtId="0" fontId="8" fillId="2" borderId="7" xfId="2" applyFill="1" applyBorder="1" applyAlignment="1" applyProtection="1">
      <alignment horizontal="left"/>
    </xf>
    <xf numFmtId="49" fontId="8" fillId="2" borderId="13" xfId="2" applyNumberFormat="1" applyFont="1" applyFill="1" applyBorder="1" applyAlignment="1" applyProtection="1">
      <alignment horizontal="left" vertical="top" wrapText="1"/>
    </xf>
    <xf numFmtId="49" fontId="8" fillId="2" borderId="12" xfId="2" applyNumberFormat="1" applyFill="1" applyBorder="1" applyAlignment="1" applyProtection="1">
      <alignment horizontal="left" vertical="top"/>
    </xf>
    <xf numFmtId="0" fontId="8" fillId="0" borderId="13" xfId="2" applyFont="1" applyBorder="1" applyAlignment="1" applyProtection="1">
      <alignment wrapText="1"/>
    </xf>
    <xf numFmtId="0" fontId="8" fillId="0" borderId="11" xfId="2" applyBorder="1" applyAlignment="1" applyProtection="1">
      <alignment wrapText="1"/>
    </xf>
    <xf numFmtId="0" fontId="7" fillId="2" borderId="0" xfId="0" applyFont="1" applyFill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sasha@ioc.ru" TargetMode="External"/><Relationship Id="rId1" Type="http://schemas.openxmlformats.org/officeDocument/2006/relationships/hyperlink" Target="mailto:ivanov@mail.ru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65"/>
  <sheetViews>
    <sheetView tabSelected="1" workbookViewId="0">
      <selection activeCell="C12" sqref="C12"/>
    </sheetView>
  </sheetViews>
  <sheetFormatPr defaultColWidth="9.1796875" defaultRowHeight="12.5" x14ac:dyDescent="0.25"/>
  <cols>
    <col min="1" max="1" width="3.81640625" style="1" customWidth="1"/>
    <col min="2" max="2" width="10.7265625" style="1" customWidth="1"/>
    <col min="3" max="3" width="14.54296875" style="1" customWidth="1"/>
    <col min="4" max="4" width="9.1796875" style="1"/>
    <col min="5" max="5" width="7.7265625" style="1" customWidth="1"/>
    <col min="6" max="7" width="9.1796875" style="1"/>
    <col min="8" max="8" width="9.453125" style="1" customWidth="1"/>
    <col min="9" max="9" width="16" style="1" customWidth="1"/>
    <col min="10" max="10" width="9.1796875" style="1"/>
    <col min="11" max="11" width="8.54296875" style="1" customWidth="1"/>
    <col min="12" max="12" width="16.453125" style="1" customWidth="1"/>
    <col min="13" max="13" width="10.26953125" style="1" bestFit="1" customWidth="1"/>
    <col min="14" max="16384" width="9.1796875" style="1"/>
  </cols>
  <sheetData>
    <row r="1" spans="2:12" ht="13.5" thickBot="1" x14ac:dyDescent="0.35">
      <c r="B1" s="41" t="s">
        <v>74</v>
      </c>
    </row>
    <row r="2" spans="2:12" ht="13.5" thickTop="1" x14ac:dyDescent="0.3">
      <c r="B2" s="88" t="s">
        <v>75</v>
      </c>
      <c r="C2" s="89"/>
      <c r="D2" s="89"/>
      <c r="E2" s="89"/>
      <c r="F2" s="89"/>
      <c r="G2" s="89"/>
      <c r="H2" s="89"/>
      <c r="I2" s="89"/>
      <c r="J2" s="89"/>
      <c r="K2" s="89"/>
      <c r="L2" s="90"/>
    </row>
    <row r="3" spans="2:12" ht="13.5" thickBot="1" x14ac:dyDescent="0.35">
      <c r="B3" s="91" t="s">
        <v>76</v>
      </c>
      <c r="C3" s="92" t="s">
        <v>1</v>
      </c>
      <c r="D3" s="92"/>
      <c r="E3" s="92"/>
      <c r="F3" s="92"/>
      <c r="G3" s="92"/>
      <c r="H3" s="92"/>
      <c r="I3" s="92"/>
      <c r="J3" s="92"/>
      <c r="K3" s="92"/>
      <c r="L3" s="93"/>
    </row>
    <row r="4" spans="2:12" ht="14" thickTop="1" thickBot="1" x14ac:dyDescent="0.35">
      <c r="B4" s="91" t="s">
        <v>157</v>
      </c>
      <c r="C4" s="92"/>
      <c r="D4" s="92"/>
      <c r="E4" s="92"/>
      <c r="F4" s="92"/>
      <c r="G4" s="92"/>
      <c r="H4" s="92"/>
      <c r="I4" s="92"/>
      <c r="J4" s="92"/>
      <c r="K4" s="92"/>
      <c r="L4" s="93"/>
    </row>
    <row r="5" spans="2:12" ht="13.5" thickTop="1" x14ac:dyDescent="0.3"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2:12" ht="13" x14ac:dyDescent="0.3">
      <c r="B6" s="100" t="s">
        <v>77</v>
      </c>
      <c r="C6" s="100"/>
      <c r="D6" s="50"/>
      <c r="E6" s="50"/>
      <c r="F6" s="50"/>
      <c r="G6" s="50"/>
      <c r="H6" s="50"/>
      <c r="I6" s="50"/>
      <c r="J6" s="50"/>
      <c r="K6" s="50"/>
      <c r="L6" s="50"/>
    </row>
    <row r="7" spans="2:12" ht="13.5" thickBot="1" x14ac:dyDescent="0.35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2:12" ht="14" thickTop="1" thickBot="1" x14ac:dyDescent="0.35">
      <c r="B8" s="45" t="s">
        <v>160</v>
      </c>
      <c r="C8" s="45"/>
      <c r="D8" s="46"/>
      <c r="E8" s="46"/>
      <c r="F8" s="46"/>
      <c r="G8" s="46"/>
      <c r="H8" s="46"/>
      <c r="I8" s="46"/>
      <c r="J8" s="46"/>
      <c r="K8" s="46"/>
      <c r="L8" s="47"/>
    </row>
    <row r="9" spans="2:12" ht="13.5" thickTop="1" x14ac:dyDescent="0.3">
      <c r="B9" s="82" t="s">
        <v>78</v>
      </c>
      <c r="C9" s="82"/>
      <c r="D9" s="97"/>
      <c r="E9" s="98"/>
      <c r="F9" s="98"/>
      <c r="G9" s="99"/>
      <c r="H9" s="82" t="s">
        <v>79</v>
      </c>
      <c r="I9" s="82"/>
      <c r="J9" s="94"/>
      <c r="K9" s="95"/>
      <c r="L9" s="96"/>
    </row>
    <row r="10" spans="2:12" ht="13" x14ac:dyDescent="0.3">
      <c r="B10" s="77" t="s">
        <v>156</v>
      </c>
      <c r="C10" s="78"/>
      <c r="D10" s="60" t="s">
        <v>86</v>
      </c>
      <c r="E10" s="120"/>
      <c r="F10" s="120"/>
      <c r="G10" s="120"/>
      <c r="H10" s="120"/>
      <c r="I10" s="120"/>
      <c r="J10" s="120"/>
      <c r="K10" s="120"/>
      <c r="L10" s="121"/>
    </row>
    <row r="11" spans="2:12" ht="25.5" customHeight="1" x14ac:dyDescent="0.3">
      <c r="B11" s="79"/>
      <c r="C11" s="80"/>
      <c r="D11" s="116"/>
      <c r="E11" s="61"/>
      <c r="F11" s="61"/>
      <c r="G11" s="61"/>
      <c r="H11" s="61"/>
      <c r="I11" s="61"/>
      <c r="J11" s="61"/>
      <c r="K11" s="61"/>
      <c r="L11" s="62"/>
    </row>
    <row r="12" spans="2:12" ht="13" x14ac:dyDescent="0.3">
      <c r="B12" s="51" t="s">
        <v>81</v>
      </c>
      <c r="C12" s="51"/>
      <c r="D12" s="122"/>
      <c r="E12" s="123"/>
      <c r="F12" s="123"/>
      <c r="G12" s="124"/>
      <c r="H12" s="82" t="s">
        <v>83</v>
      </c>
      <c r="I12" s="82"/>
      <c r="J12" s="116"/>
      <c r="K12" s="61"/>
      <c r="L12" s="62"/>
    </row>
    <row r="13" spans="2:12" ht="13" x14ac:dyDescent="0.3">
      <c r="B13" s="59" t="s">
        <v>82</v>
      </c>
      <c r="C13" s="59"/>
      <c r="D13" s="113"/>
      <c r="E13" s="114"/>
      <c r="F13" s="114"/>
      <c r="G13" s="114"/>
      <c r="H13" s="114"/>
      <c r="I13" s="114"/>
      <c r="J13" s="114"/>
      <c r="K13" s="114"/>
      <c r="L13" s="115"/>
    </row>
    <row r="14" spans="2:12" ht="13" x14ac:dyDescent="0.3"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2:12" ht="13.5" thickBot="1" x14ac:dyDescent="0.35"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2:12" ht="14" thickTop="1" thickBot="1" x14ac:dyDescent="0.35">
      <c r="B16" s="45" t="s">
        <v>84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2:14" ht="13.5" thickTop="1" x14ac:dyDescent="0.3">
      <c r="B17" s="82" t="s">
        <v>88</v>
      </c>
      <c r="C17" s="82"/>
      <c r="D17" s="97"/>
      <c r="E17" s="98"/>
      <c r="F17" s="98"/>
      <c r="G17" s="98"/>
      <c r="H17" s="98"/>
      <c r="I17" s="98"/>
      <c r="J17" s="98"/>
      <c r="K17" s="98"/>
      <c r="L17" s="99"/>
    </row>
    <row r="18" spans="2:14" s="18" customFormat="1" ht="13" x14ac:dyDescent="0.3">
      <c r="B18" s="85" t="s">
        <v>85</v>
      </c>
      <c r="C18" s="86"/>
      <c r="D18" s="60" t="s">
        <v>86</v>
      </c>
      <c r="E18" s="120"/>
      <c r="F18" s="120"/>
      <c r="G18" s="120"/>
      <c r="H18" s="120"/>
      <c r="I18" s="120"/>
      <c r="J18" s="120"/>
      <c r="K18" s="120"/>
      <c r="L18" s="121"/>
    </row>
    <row r="19" spans="2:14" ht="13" x14ac:dyDescent="0.3">
      <c r="B19" s="59" t="s">
        <v>89</v>
      </c>
      <c r="C19" s="59"/>
      <c r="D19" s="60"/>
      <c r="E19" s="120"/>
      <c r="F19" s="120"/>
      <c r="G19" s="120"/>
      <c r="H19" s="120"/>
      <c r="I19" s="120"/>
      <c r="J19" s="120"/>
      <c r="K19" s="120"/>
      <c r="L19" s="121"/>
    </row>
    <row r="20" spans="2:14" s="18" customFormat="1" ht="13" x14ac:dyDescent="0.3">
      <c r="B20" s="85" t="s">
        <v>87</v>
      </c>
      <c r="C20" s="86"/>
      <c r="D20" s="60" t="s">
        <v>86</v>
      </c>
      <c r="E20" s="120"/>
      <c r="F20" s="120"/>
      <c r="G20" s="120"/>
      <c r="H20" s="120"/>
      <c r="I20" s="120"/>
      <c r="J20" s="120"/>
      <c r="K20" s="120"/>
      <c r="L20" s="121"/>
    </row>
    <row r="21" spans="2:14" ht="13" x14ac:dyDescent="0.3">
      <c r="B21" s="59" t="s">
        <v>80</v>
      </c>
      <c r="C21" s="59"/>
      <c r="D21" s="59"/>
      <c r="E21" s="59"/>
      <c r="F21" s="59"/>
      <c r="G21" s="59"/>
      <c r="H21" s="59" t="s">
        <v>82</v>
      </c>
      <c r="I21" s="59"/>
      <c r="J21" s="116"/>
      <c r="K21" s="61"/>
      <c r="L21" s="62"/>
    </row>
    <row r="22" spans="2:14" ht="13" x14ac:dyDescent="0.3">
      <c r="B22" s="59" t="s">
        <v>90</v>
      </c>
      <c r="C22" s="59"/>
      <c r="D22" s="116"/>
      <c r="E22" s="61"/>
      <c r="F22" s="61"/>
      <c r="G22" s="61"/>
      <c r="H22" s="61"/>
      <c r="I22" s="61"/>
      <c r="J22" s="61"/>
      <c r="K22" s="61"/>
      <c r="L22" s="62"/>
    </row>
    <row r="23" spans="2:14" ht="13" x14ac:dyDescent="0.3">
      <c r="B23" s="59" t="s">
        <v>91</v>
      </c>
      <c r="C23" s="59"/>
      <c r="D23" s="60" t="s">
        <v>103</v>
      </c>
      <c r="E23" s="120"/>
      <c r="F23" s="120"/>
      <c r="G23" s="120"/>
      <c r="H23" s="59" t="s">
        <v>158</v>
      </c>
      <c r="I23" s="59"/>
      <c r="J23" s="117"/>
      <c r="K23" s="118"/>
      <c r="L23" s="119"/>
    </row>
    <row r="24" spans="2:14" ht="13" x14ac:dyDescent="0.3">
      <c r="B24" s="59" t="s">
        <v>100</v>
      </c>
      <c r="C24" s="59"/>
      <c r="D24" s="59"/>
      <c r="E24" s="59"/>
      <c r="F24" s="59"/>
      <c r="G24" s="59"/>
      <c r="H24" s="83" t="s">
        <v>101</v>
      </c>
      <c r="I24" s="84"/>
      <c r="J24" s="60" t="s">
        <v>102</v>
      </c>
      <c r="K24" s="61"/>
      <c r="L24" s="62"/>
    </row>
    <row r="25" spans="2:14" ht="13" x14ac:dyDescent="0.3">
      <c r="B25" s="81"/>
      <c r="C25" s="81"/>
      <c r="D25" s="50"/>
      <c r="E25" s="50"/>
      <c r="F25" s="50"/>
      <c r="G25" s="50"/>
      <c r="H25" s="81"/>
      <c r="I25" s="81"/>
      <c r="J25" s="50"/>
      <c r="K25" s="50"/>
      <c r="L25" s="50"/>
    </row>
    <row r="26" spans="2:14" ht="13.5" thickBot="1" x14ac:dyDescent="0.3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2:14" s="2" customFormat="1" ht="14" thickTop="1" thickBot="1" x14ac:dyDescent="0.35">
      <c r="B27" s="45" t="s">
        <v>92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2:14" s="3" customFormat="1" ht="40" thickTop="1" thickBot="1" x14ac:dyDescent="0.3">
      <c r="B28" s="74" t="s">
        <v>93</v>
      </c>
      <c r="C28" s="74"/>
      <c r="D28" s="74" t="s">
        <v>94</v>
      </c>
      <c r="E28" s="74"/>
      <c r="F28" s="74" t="s">
        <v>95</v>
      </c>
      <c r="G28" s="74"/>
      <c r="H28" s="48" t="s">
        <v>96</v>
      </c>
      <c r="I28" s="48" t="s">
        <v>97</v>
      </c>
      <c r="J28" s="74" t="s">
        <v>98</v>
      </c>
      <c r="K28" s="74"/>
      <c r="L28" s="48" t="s">
        <v>99</v>
      </c>
      <c r="M28" s="52"/>
      <c r="N28" s="53"/>
    </row>
    <row r="29" spans="2:14" ht="28.5" customHeight="1" x14ac:dyDescent="0.3">
      <c r="B29" s="56" t="s">
        <v>126</v>
      </c>
      <c r="C29" s="57"/>
      <c r="D29" s="55">
        <v>0</v>
      </c>
      <c r="E29" s="55"/>
      <c r="F29" s="71">
        <v>0</v>
      </c>
      <c r="G29" s="71"/>
      <c r="H29" s="15"/>
      <c r="I29" s="15">
        <v>1</v>
      </c>
      <c r="J29" s="55">
        <f>F29/I29</f>
        <v>0</v>
      </c>
      <c r="K29" s="55"/>
      <c r="L29" s="16">
        <f>D29-J29</f>
        <v>0</v>
      </c>
      <c r="M29" s="52"/>
      <c r="N29" s="53"/>
    </row>
    <row r="30" spans="2:14" ht="25.5" customHeight="1" x14ac:dyDescent="0.3">
      <c r="B30" s="56" t="s">
        <v>127</v>
      </c>
      <c r="C30" s="57"/>
      <c r="D30" s="55">
        <v>0</v>
      </c>
      <c r="E30" s="55"/>
      <c r="F30" s="71">
        <v>0</v>
      </c>
      <c r="G30" s="71"/>
      <c r="H30" s="15"/>
      <c r="I30" s="15">
        <v>1</v>
      </c>
      <c r="J30" s="55">
        <f t="shared" ref="J30:J37" si="0">F30/I30</f>
        <v>0</v>
      </c>
      <c r="K30" s="55"/>
      <c r="L30" s="16">
        <f t="shared" ref="L30:L37" si="1">D30-J30</f>
        <v>0</v>
      </c>
      <c r="M30" s="52"/>
      <c r="N30" s="53"/>
    </row>
    <row r="31" spans="2:14" ht="26.25" customHeight="1" x14ac:dyDescent="0.3">
      <c r="B31" s="75" t="s">
        <v>128</v>
      </c>
      <c r="C31" s="76"/>
      <c r="D31" s="70">
        <v>0</v>
      </c>
      <c r="E31" s="70"/>
      <c r="F31" s="72">
        <f>L50</f>
        <v>414</v>
      </c>
      <c r="G31" s="73"/>
      <c r="H31" s="13"/>
      <c r="I31" s="13">
        <v>1</v>
      </c>
      <c r="J31" s="55">
        <f t="shared" si="0"/>
        <v>414</v>
      </c>
      <c r="K31" s="55"/>
      <c r="L31" s="16">
        <f>J31-D31</f>
        <v>414</v>
      </c>
      <c r="M31" s="52"/>
      <c r="N31" s="53"/>
    </row>
    <row r="32" spans="2:14" ht="26.25" customHeight="1" x14ac:dyDescent="0.3">
      <c r="B32" s="56" t="s">
        <v>129</v>
      </c>
      <c r="C32" s="57"/>
      <c r="D32" s="70">
        <v>0</v>
      </c>
      <c r="E32" s="70"/>
      <c r="F32" s="71">
        <v>0</v>
      </c>
      <c r="G32" s="71"/>
      <c r="H32" s="13"/>
      <c r="I32" s="13">
        <v>1</v>
      </c>
      <c r="J32" s="55">
        <f t="shared" si="0"/>
        <v>0</v>
      </c>
      <c r="K32" s="55"/>
      <c r="L32" s="16">
        <f t="shared" si="1"/>
        <v>0</v>
      </c>
      <c r="M32" s="52"/>
      <c r="N32" s="53"/>
    </row>
    <row r="33" spans="2:14" ht="26.25" customHeight="1" x14ac:dyDescent="0.3">
      <c r="B33" s="56" t="s">
        <v>137</v>
      </c>
      <c r="C33" s="57"/>
      <c r="D33" s="70">
        <v>0</v>
      </c>
      <c r="E33" s="70"/>
      <c r="F33" s="71">
        <v>0</v>
      </c>
      <c r="G33" s="71"/>
      <c r="H33" s="13"/>
      <c r="I33" s="13">
        <v>1</v>
      </c>
      <c r="J33" s="55">
        <f t="shared" si="0"/>
        <v>0</v>
      </c>
      <c r="K33" s="55"/>
      <c r="L33" s="16">
        <f t="shared" si="1"/>
        <v>0</v>
      </c>
      <c r="M33" s="52"/>
      <c r="N33" s="53"/>
    </row>
    <row r="34" spans="2:14" ht="26.25" customHeight="1" x14ac:dyDescent="0.3">
      <c r="B34" s="56" t="s">
        <v>138</v>
      </c>
      <c r="C34" s="57"/>
      <c r="D34" s="70">
        <v>0</v>
      </c>
      <c r="E34" s="70"/>
      <c r="F34" s="71">
        <v>0</v>
      </c>
      <c r="G34" s="71"/>
      <c r="H34" s="13"/>
      <c r="I34" s="13">
        <v>1</v>
      </c>
      <c r="J34" s="55">
        <f t="shared" si="0"/>
        <v>0</v>
      </c>
      <c r="K34" s="55"/>
      <c r="L34" s="16">
        <f t="shared" si="1"/>
        <v>0</v>
      </c>
      <c r="M34" s="52"/>
      <c r="N34" s="53"/>
    </row>
    <row r="35" spans="2:14" ht="26.25" customHeight="1" x14ac:dyDescent="0.3">
      <c r="B35" s="56" t="s">
        <v>139</v>
      </c>
      <c r="C35" s="57"/>
      <c r="D35" s="70">
        <v>0</v>
      </c>
      <c r="E35" s="70"/>
      <c r="F35" s="71">
        <v>0</v>
      </c>
      <c r="G35" s="71"/>
      <c r="H35" s="13"/>
      <c r="I35" s="13">
        <v>1</v>
      </c>
      <c r="J35" s="55">
        <f t="shared" si="0"/>
        <v>0</v>
      </c>
      <c r="K35" s="55"/>
      <c r="L35" s="16">
        <f t="shared" si="1"/>
        <v>0</v>
      </c>
      <c r="M35" s="52"/>
      <c r="N35" s="53"/>
    </row>
    <row r="36" spans="2:14" ht="26.25" customHeight="1" x14ac:dyDescent="0.3">
      <c r="B36" s="56" t="s">
        <v>140</v>
      </c>
      <c r="C36" s="57"/>
      <c r="D36" s="70">
        <v>0</v>
      </c>
      <c r="E36" s="70"/>
      <c r="F36" s="71">
        <v>0</v>
      </c>
      <c r="G36" s="71"/>
      <c r="H36" s="13"/>
      <c r="I36" s="13">
        <v>1</v>
      </c>
      <c r="J36" s="55">
        <f t="shared" si="0"/>
        <v>0</v>
      </c>
      <c r="K36" s="55"/>
      <c r="L36" s="16">
        <f t="shared" si="1"/>
        <v>0</v>
      </c>
      <c r="M36" s="52"/>
      <c r="N36" s="53"/>
    </row>
    <row r="37" spans="2:14" ht="26.25" customHeight="1" x14ac:dyDescent="0.3">
      <c r="B37" s="56" t="s">
        <v>141</v>
      </c>
      <c r="C37" s="57"/>
      <c r="D37" s="70">
        <v>0</v>
      </c>
      <c r="E37" s="70"/>
      <c r="F37" s="71">
        <v>0</v>
      </c>
      <c r="G37" s="71"/>
      <c r="H37" s="13"/>
      <c r="I37" s="13">
        <v>1</v>
      </c>
      <c r="J37" s="55">
        <f t="shared" si="0"/>
        <v>0</v>
      </c>
      <c r="K37" s="55"/>
      <c r="L37" s="16">
        <f t="shared" si="1"/>
        <v>0</v>
      </c>
      <c r="M37" s="52"/>
      <c r="N37" s="53"/>
    </row>
    <row r="38" spans="2:14" ht="26.25" customHeight="1" x14ac:dyDescent="0.25">
      <c r="B38" s="67" t="s">
        <v>142</v>
      </c>
      <c r="C38" s="68"/>
      <c r="D38" s="68"/>
      <c r="E38" s="68"/>
      <c r="F38" s="68"/>
      <c r="G38" s="68"/>
      <c r="H38" s="68"/>
      <c r="I38" s="69"/>
      <c r="J38" s="54"/>
      <c r="K38" s="54"/>
      <c r="L38" s="29"/>
      <c r="M38" s="28"/>
      <c r="N38" s="3"/>
    </row>
    <row r="39" spans="2:14" ht="18" x14ac:dyDescent="0.4">
      <c r="B39" s="12"/>
      <c r="C39" s="10" t="s">
        <v>143</v>
      </c>
      <c r="D39" s="66">
        <f>SUM(D29:E37)</f>
        <v>0</v>
      </c>
      <c r="E39" s="66"/>
      <c r="F39" s="63"/>
      <c r="G39" s="63"/>
      <c r="H39" s="8"/>
      <c r="I39" s="8"/>
      <c r="J39" s="64">
        <f>SUM(J29:K37)</f>
        <v>414</v>
      </c>
      <c r="K39" s="65"/>
      <c r="L39" s="30">
        <f>SUM(L29:L37)</f>
        <v>414</v>
      </c>
      <c r="M39" s="38"/>
    </row>
    <row r="41" spans="2:14" ht="13" thickBot="1" x14ac:dyDescent="0.3"/>
    <row r="42" spans="2:14" s="37" customFormat="1" ht="24.75" customHeight="1" thickTop="1" thickBot="1" x14ac:dyDescent="0.3">
      <c r="B42" s="43" t="s">
        <v>148</v>
      </c>
      <c r="C42" s="44"/>
      <c r="D42" s="44"/>
      <c r="E42" s="35"/>
      <c r="F42" s="35"/>
      <c r="G42" s="35"/>
      <c r="H42" s="35"/>
      <c r="I42" s="35"/>
      <c r="J42" s="35"/>
      <c r="K42" s="35"/>
      <c r="L42" s="36"/>
    </row>
    <row r="43" spans="2:14" ht="14" thickTop="1" thickBot="1" x14ac:dyDescent="0.35">
      <c r="B43" s="87" t="s">
        <v>34</v>
      </c>
      <c r="C43" s="87"/>
      <c r="D43" s="87" t="s">
        <v>38</v>
      </c>
      <c r="E43" s="87"/>
      <c r="F43" s="87" t="s">
        <v>39</v>
      </c>
      <c r="G43" s="87"/>
      <c r="H43" s="87" t="s">
        <v>35</v>
      </c>
      <c r="I43" s="87"/>
      <c r="J43" s="87" t="s">
        <v>37</v>
      </c>
      <c r="K43" s="87"/>
      <c r="L43" s="23" t="s">
        <v>36</v>
      </c>
    </row>
    <row r="44" spans="2:14" ht="13" x14ac:dyDescent="0.3">
      <c r="B44" s="65" t="s">
        <v>40</v>
      </c>
      <c r="C44" s="65"/>
      <c r="D44" s="103">
        <v>37681</v>
      </c>
      <c r="E44" s="103"/>
      <c r="F44" s="109">
        <v>37690</v>
      </c>
      <c r="G44" s="109"/>
      <c r="H44" s="107">
        <v>9</v>
      </c>
      <c r="I44" s="107"/>
      <c r="J44" s="112">
        <v>46</v>
      </c>
      <c r="K44" s="112"/>
      <c r="L44" s="22">
        <f t="shared" ref="L44:L49" si="2">H44*J44</f>
        <v>414</v>
      </c>
    </row>
    <row r="45" spans="2:14" ht="13" x14ac:dyDescent="0.3">
      <c r="B45" s="101"/>
      <c r="C45" s="101"/>
      <c r="D45" s="104"/>
      <c r="E45" s="104"/>
      <c r="F45" s="105"/>
      <c r="G45" s="105"/>
      <c r="H45" s="108"/>
      <c r="I45" s="108"/>
      <c r="J45" s="110">
        <v>0</v>
      </c>
      <c r="K45" s="110"/>
      <c r="L45" s="19">
        <f t="shared" si="2"/>
        <v>0</v>
      </c>
    </row>
    <row r="46" spans="2:14" ht="13" x14ac:dyDescent="0.3">
      <c r="B46" s="101"/>
      <c r="C46" s="101"/>
      <c r="D46" s="104"/>
      <c r="E46" s="104"/>
      <c r="F46" s="105"/>
      <c r="G46" s="105"/>
      <c r="H46" s="108"/>
      <c r="I46" s="108"/>
      <c r="J46" s="110">
        <v>0</v>
      </c>
      <c r="K46" s="110"/>
      <c r="L46" s="19">
        <f t="shared" si="2"/>
        <v>0</v>
      </c>
    </row>
    <row r="47" spans="2:14" ht="13" x14ac:dyDescent="0.3">
      <c r="B47" s="101"/>
      <c r="C47" s="101"/>
      <c r="D47" s="104"/>
      <c r="E47" s="104"/>
      <c r="F47" s="105"/>
      <c r="G47" s="105"/>
      <c r="H47" s="108"/>
      <c r="I47" s="108"/>
      <c r="J47" s="110">
        <v>0</v>
      </c>
      <c r="K47" s="110"/>
      <c r="L47" s="19">
        <f t="shared" si="2"/>
        <v>0</v>
      </c>
    </row>
    <row r="48" spans="2:14" ht="13" x14ac:dyDescent="0.3">
      <c r="B48" s="101"/>
      <c r="C48" s="101"/>
      <c r="D48" s="104"/>
      <c r="E48" s="104"/>
      <c r="F48" s="105"/>
      <c r="G48" s="105"/>
      <c r="H48" s="108"/>
      <c r="I48" s="108"/>
      <c r="J48" s="110">
        <v>0</v>
      </c>
      <c r="K48" s="110"/>
      <c r="L48" s="19">
        <f t="shared" si="2"/>
        <v>0</v>
      </c>
    </row>
    <row r="49" spans="2:12" ht="13" x14ac:dyDescent="0.3">
      <c r="B49" s="101"/>
      <c r="C49" s="101"/>
      <c r="D49" s="104"/>
      <c r="E49" s="104"/>
      <c r="F49" s="105"/>
      <c r="G49" s="105"/>
      <c r="H49" s="108"/>
      <c r="I49" s="108"/>
      <c r="J49" s="110">
        <v>0</v>
      </c>
      <c r="K49" s="110"/>
      <c r="L49" s="19">
        <f t="shared" si="2"/>
        <v>0</v>
      </c>
    </row>
    <row r="50" spans="2:12" ht="13" x14ac:dyDescent="0.3">
      <c r="B50" s="102"/>
      <c r="C50" s="102"/>
      <c r="D50" s="102"/>
      <c r="E50" s="102"/>
      <c r="F50" s="106"/>
      <c r="G50" s="106"/>
      <c r="H50" s="106"/>
      <c r="I50" s="106"/>
      <c r="J50" s="111" t="s">
        <v>25</v>
      </c>
      <c r="K50" s="111"/>
      <c r="L50" s="20">
        <f>SUM(L44:L49)</f>
        <v>414</v>
      </c>
    </row>
    <row r="54" spans="2:12" ht="28.5" customHeight="1" x14ac:dyDescent="0.25">
      <c r="B54" s="58" t="s">
        <v>159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</row>
    <row r="57" spans="2:12" x14ac:dyDescent="0.25">
      <c r="B57" s="10"/>
      <c r="C57" s="10"/>
      <c r="E57" s="10"/>
      <c r="H57" s="10"/>
      <c r="I57" s="10"/>
      <c r="J57" s="10"/>
      <c r="L57" s="10"/>
    </row>
    <row r="58" spans="2:12" x14ac:dyDescent="0.25">
      <c r="B58" s="1" t="s">
        <v>144</v>
      </c>
      <c r="E58" s="1" t="s">
        <v>145</v>
      </c>
      <c r="H58" s="1" t="s">
        <v>146</v>
      </c>
      <c r="L58" s="1" t="s">
        <v>145</v>
      </c>
    </row>
    <row r="59" spans="2:12" x14ac:dyDescent="0.25">
      <c r="H59" s="1" t="s">
        <v>147</v>
      </c>
    </row>
    <row r="65" s="18" customFormat="1" ht="13" x14ac:dyDescent="0.3"/>
  </sheetData>
  <dataConsolidate/>
  <mergeCells count="136">
    <mergeCell ref="D10:L10"/>
    <mergeCell ref="D11:L11"/>
    <mergeCell ref="D12:G12"/>
    <mergeCell ref="J12:L12"/>
    <mergeCell ref="J21:L21"/>
    <mergeCell ref="J23:L23"/>
    <mergeCell ref="D17:L17"/>
    <mergeCell ref="D19:L19"/>
    <mergeCell ref="D18:L18"/>
    <mergeCell ref="D20:L20"/>
    <mergeCell ref="D23:G23"/>
    <mergeCell ref="H21:I21"/>
    <mergeCell ref="D13:L13"/>
    <mergeCell ref="D22:L22"/>
    <mergeCell ref="J47:K47"/>
    <mergeCell ref="J48:K48"/>
    <mergeCell ref="F48:G48"/>
    <mergeCell ref="F45:G45"/>
    <mergeCell ref="F46:G46"/>
    <mergeCell ref="F47:G47"/>
    <mergeCell ref="D43:E43"/>
    <mergeCell ref="F43:G43"/>
    <mergeCell ref="J49:K49"/>
    <mergeCell ref="J50:K50"/>
    <mergeCell ref="J43:K43"/>
    <mergeCell ref="J44:K44"/>
    <mergeCell ref="J45:K45"/>
    <mergeCell ref="J46:K46"/>
    <mergeCell ref="F49:G49"/>
    <mergeCell ref="F50:G50"/>
    <mergeCell ref="H44:I44"/>
    <mergeCell ref="H45:I45"/>
    <mergeCell ref="H46:I46"/>
    <mergeCell ref="H47:I47"/>
    <mergeCell ref="H48:I48"/>
    <mergeCell ref="H49:I49"/>
    <mergeCell ref="H50:I50"/>
    <mergeCell ref="F44:G44"/>
    <mergeCell ref="B49:C49"/>
    <mergeCell ref="B50:C50"/>
    <mergeCell ref="D44:E44"/>
    <mergeCell ref="D45:E45"/>
    <mergeCell ref="D46:E46"/>
    <mergeCell ref="D47:E47"/>
    <mergeCell ref="D48:E48"/>
    <mergeCell ref="D49:E49"/>
    <mergeCell ref="D50:E50"/>
    <mergeCell ref="B13:C13"/>
    <mergeCell ref="B44:C44"/>
    <mergeCell ref="B45:C45"/>
    <mergeCell ref="B46:C46"/>
    <mergeCell ref="B47:C47"/>
    <mergeCell ref="B48:C48"/>
    <mergeCell ref="B2:L2"/>
    <mergeCell ref="B4:L4"/>
    <mergeCell ref="B3:L3"/>
    <mergeCell ref="B9:C9"/>
    <mergeCell ref="J9:L9"/>
    <mergeCell ref="D9:G9"/>
    <mergeCell ref="B6:C6"/>
    <mergeCell ref="B22:C22"/>
    <mergeCell ref="B17:C17"/>
    <mergeCell ref="B18:C18"/>
    <mergeCell ref="B19:C19"/>
    <mergeCell ref="B20:C20"/>
    <mergeCell ref="H43:I43"/>
    <mergeCell ref="B43:C43"/>
    <mergeCell ref="B10:C11"/>
    <mergeCell ref="B25:C25"/>
    <mergeCell ref="H9:I9"/>
    <mergeCell ref="H12:I12"/>
    <mergeCell ref="H23:I23"/>
    <mergeCell ref="H24:I24"/>
    <mergeCell ref="H25:I25"/>
    <mergeCell ref="B21:C21"/>
    <mergeCell ref="B23:C23"/>
    <mergeCell ref="B24:C24"/>
    <mergeCell ref="J28:K28"/>
    <mergeCell ref="D29:E29"/>
    <mergeCell ref="D31:E31"/>
    <mergeCell ref="D30:E30"/>
    <mergeCell ref="F30:G30"/>
    <mergeCell ref="J30:K30"/>
    <mergeCell ref="J29:K29"/>
    <mergeCell ref="J31:K31"/>
    <mergeCell ref="F29:G29"/>
    <mergeCell ref="F28:G28"/>
    <mergeCell ref="B30:C30"/>
    <mergeCell ref="D28:E28"/>
    <mergeCell ref="B33:C33"/>
    <mergeCell ref="B28:C28"/>
    <mergeCell ref="B29:C29"/>
    <mergeCell ref="B31:C31"/>
    <mergeCell ref="B32:C32"/>
    <mergeCell ref="F31:G31"/>
    <mergeCell ref="D32:E32"/>
    <mergeCell ref="D33:E33"/>
    <mergeCell ref="F34:G34"/>
    <mergeCell ref="F32:G32"/>
    <mergeCell ref="F37:G37"/>
    <mergeCell ref="D36:E36"/>
    <mergeCell ref="D37:E37"/>
    <mergeCell ref="F36:G36"/>
    <mergeCell ref="B34:C34"/>
    <mergeCell ref="D34:E34"/>
    <mergeCell ref="B35:C35"/>
    <mergeCell ref="D21:G21"/>
    <mergeCell ref="D24:G24"/>
    <mergeCell ref="J24:L24"/>
    <mergeCell ref="F39:G39"/>
    <mergeCell ref="J39:K39"/>
    <mergeCell ref="D39:E39"/>
    <mergeCell ref="B38:I38"/>
    <mergeCell ref="B36:C36"/>
    <mergeCell ref="J33:K33"/>
    <mergeCell ref="J34:K34"/>
    <mergeCell ref="M28:N28"/>
    <mergeCell ref="M29:N29"/>
    <mergeCell ref="M30:N30"/>
    <mergeCell ref="M31:N31"/>
    <mergeCell ref="B37:C37"/>
    <mergeCell ref="B54:L54"/>
    <mergeCell ref="J35:K35"/>
    <mergeCell ref="D35:E35"/>
    <mergeCell ref="F33:G33"/>
    <mergeCell ref="F35:G35"/>
    <mergeCell ref="M36:N36"/>
    <mergeCell ref="M37:N37"/>
    <mergeCell ref="J38:K38"/>
    <mergeCell ref="M32:N32"/>
    <mergeCell ref="M33:N33"/>
    <mergeCell ref="M34:N34"/>
    <mergeCell ref="M35:N35"/>
    <mergeCell ref="J36:K36"/>
    <mergeCell ref="J37:K37"/>
    <mergeCell ref="J32:K32"/>
  </mergeCells>
  <phoneticPr fontId="0" type="noConversion"/>
  <hyperlinks>
    <hyperlink ref="B6" location="Notes!A1" display="General Guidelines"/>
    <hyperlink ref="B30:C30" location="Notes!B18" display="Авиабилеты (Местный) Замечание 1"/>
    <hyperlink ref="B29:C29" location="Notes!B18" display="Авиабилеты (Международный) Замечание 1"/>
    <hyperlink ref="B31:C31" location="Notes!B20" display="Суточные              Замечание 2"/>
    <hyperlink ref="B32:C32" location="Notes!B21" display="Проживание          Замечание 3 "/>
    <hyperlink ref="B33:C33" location="Notes!B22" display="Конференцвзносы                    Замечание 3"/>
    <hyperlink ref="B35:C35" location="Notes!B24" display="Медицинская страховка           Замечание 5"/>
    <hyperlink ref="B37:C37" location="Notes!B28" display="Другие расходы           Замечание 6"/>
    <hyperlink ref="B42" location="Notes!B28" display="Per Diem Calculation Table - Note 7"/>
    <hyperlink ref="B34:C34" location="Notes!B24" display="Оплата визы                       Замечание 5"/>
    <hyperlink ref="B36:C36" location="Notes!B24" display="Наземный транспорт               Замечание 5"/>
    <hyperlink ref="B42:D42" location="Notes!B30" display="Таблица для вычисления суточных - Замечание 7"/>
  </hyperlinks>
  <pageMargins left="0.5" right="0.5" top="0.75" bottom="0.75" header="0.5" footer="0.5"/>
  <pageSetup scale="70" orientation="landscape" horizontalDpi="429496729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zoomScaleNormal="100" workbookViewId="0"/>
  </sheetViews>
  <sheetFormatPr defaultRowHeight="12.5" x14ac:dyDescent="0.25"/>
  <cols>
    <col min="1" max="1" width="6.81640625" customWidth="1"/>
    <col min="2" max="2" width="13.1796875" customWidth="1"/>
    <col min="13" max="13" width="12.81640625" customWidth="1"/>
  </cols>
  <sheetData>
    <row r="1" spans="2:13" s="26" customFormat="1" ht="15.5" x14ac:dyDescent="0.35">
      <c r="B1" s="25" t="s">
        <v>42</v>
      </c>
      <c r="C1" s="25"/>
      <c r="D1" s="25"/>
    </row>
    <row r="2" spans="2:13" s="26" customFormat="1" ht="15.5" x14ac:dyDescent="0.35">
      <c r="B2" s="25"/>
      <c r="C2" s="25"/>
      <c r="D2" s="25"/>
    </row>
    <row r="3" spans="2:13" ht="13" x14ac:dyDescent="0.3">
      <c r="B3" s="31" t="s">
        <v>43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2:13" x14ac:dyDescent="0.25">
      <c r="B4" t="s">
        <v>106</v>
      </c>
    </row>
    <row r="5" spans="2:13" x14ac:dyDescent="0.25">
      <c r="B5" t="s">
        <v>105</v>
      </c>
    </row>
    <row r="6" spans="2:13" x14ac:dyDescent="0.25">
      <c r="B6" t="s">
        <v>104</v>
      </c>
    </row>
    <row r="7" spans="2:13" x14ac:dyDescent="0.25">
      <c r="B7" t="s">
        <v>111</v>
      </c>
    </row>
    <row r="8" spans="2:13" x14ac:dyDescent="0.25">
      <c r="B8" t="s">
        <v>112</v>
      </c>
    </row>
    <row r="9" spans="2:13" x14ac:dyDescent="0.25">
      <c r="B9" t="s">
        <v>108</v>
      </c>
    </row>
    <row r="10" spans="2:13" x14ac:dyDescent="0.25">
      <c r="B10" t="s">
        <v>107</v>
      </c>
    </row>
    <row r="11" spans="2:13" x14ac:dyDescent="0.25">
      <c r="B11" t="s">
        <v>109</v>
      </c>
    </row>
    <row r="12" spans="2:13" x14ac:dyDescent="0.25">
      <c r="B12" t="s">
        <v>110</v>
      </c>
    </row>
    <row r="14" spans="2:13" s="26" customFormat="1" ht="15.5" x14ac:dyDescent="0.35">
      <c r="B14" s="25" t="s">
        <v>42</v>
      </c>
      <c r="C14" s="25"/>
      <c r="D14" s="25"/>
    </row>
    <row r="16" spans="2:13" ht="13" x14ac:dyDescent="0.3">
      <c r="B16" s="31" t="s">
        <v>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2:3" ht="12" customHeight="1" x14ac:dyDescent="0.3">
      <c r="B17" s="32"/>
    </row>
    <row r="18" spans="2:3" ht="13" x14ac:dyDescent="0.3">
      <c r="B18" s="42" t="s">
        <v>130</v>
      </c>
      <c r="C18" t="s">
        <v>113</v>
      </c>
    </row>
    <row r="19" spans="2:3" ht="13" x14ac:dyDescent="0.3">
      <c r="B19" s="32"/>
      <c r="C19" t="s">
        <v>114</v>
      </c>
    </row>
    <row r="20" spans="2:3" ht="13" x14ac:dyDescent="0.3">
      <c r="B20" s="42" t="s">
        <v>131</v>
      </c>
      <c r="C20" t="s">
        <v>115</v>
      </c>
    </row>
    <row r="21" spans="2:3" ht="13" x14ac:dyDescent="0.3">
      <c r="B21" s="42" t="s">
        <v>132</v>
      </c>
      <c r="C21" t="s">
        <v>116</v>
      </c>
    </row>
    <row r="22" spans="2:3" ht="13" x14ac:dyDescent="0.3">
      <c r="B22" s="42" t="s">
        <v>133</v>
      </c>
      <c r="C22" t="s">
        <v>117</v>
      </c>
    </row>
    <row r="23" spans="2:3" ht="13" x14ac:dyDescent="0.3">
      <c r="B23" s="33"/>
      <c r="C23" t="s">
        <v>118</v>
      </c>
    </row>
    <row r="24" spans="2:3" ht="14.25" customHeight="1" x14ac:dyDescent="0.3">
      <c r="B24" s="42" t="s">
        <v>134</v>
      </c>
      <c r="C24" t="s">
        <v>152</v>
      </c>
    </row>
    <row r="25" spans="2:3" ht="13" x14ac:dyDescent="0.3">
      <c r="B25" s="32"/>
      <c r="C25" t="s">
        <v>149</v>
      </c>
    </row>
    <row r="26" spans="2:3" ht="13" x14ac:dyDescent="0.3">
      <c r="B26" s="32"/>
      <c r="C26" t="s">
        <v>150</v>
      </c>
    </row>
    <row r="27" spans="2:3" ht="13" x14ac:dyDescent="0.3">
      <c r="B27" s="32"/>
      <c r="C27" t="s">
        <v>151</v>
      </c>
    </row>
    <row r="28" spans="2:3" ht="13" x14ac:dyDescent="0.3">
      <c r="B28" s="42" t="s">
        <v>135</v>
      </c>
      <c r="C28" t="s">
        <v>119</v>
      </c>
    </row>
    <row r="29" spans="2:3" ht="13" x14ac:dyDescent="0.3">
      <c r="B29" s="32"/>
      <c r="C29" t="s">
        <v>120</v>
      </c>
    </row>
    <row r="30" spans="2:3" ht="13" x14ac:dyDescent="0.3">
      <c r="B30" s="42" t="s">
        <v>136</v>
      </c>
      <c r="C30" t="s">
        <v>121</v>
      </c>
    </row>
    <row r="31" spans="2:3" ht="13" x14ac:dyDescent="0.3">
      <c r="B31" s="32"/>
      <c r="C31" t="s">
        <v>122</v>
      </c>
    </row>
    <row r="32" spans="2:3" ht="13" x14ac:dyDescent="0.3">
      <c r="B32" s="32"/>
      <c r="C32" t="s">
        <v>123</v>
      </c>
    </row>
    <row r="33" spans="2:3" ht="13" x14ac:dyDescent="0.3">
      <c r="B33" s="32"/>
      <c r="C33" t="s">
        <v>124</v>
      </c>
    </row>
    <row r="34" spans="2:3" ht="13" x14ac:dyDescent="0.3">
      <c r="B34" s="32"/>
      <c r="C34" t="s">
        <v>153</v>
      </c>
    </row>
    <row r="35" spans="2:3" ht="13" x14ac:dyDescent="0.3">
      <c r="B35" s="32"/>
      <c r="C35" t="s">
        <v>125</v>
      </c>
    </row>
    <row r="36" spans="2:3" x14ac:dyDescent="0.25">
      <c r="C36" t="s">
        <v>154</v>
      </c>
    </row>
    <row r="37" spans="2:3" x14ac:dyDescent="0.25">
      <c r="C37" t="s">
        <v>155</v>
      </c>
    </row>
  </sheetData>
  <phoneticPr fontId="0" type="noConversion"/>
  <hyperlinks>
    <hyperlink ref="B1:D1" location="'Report Form'!A1" display="Return to Trip Report Form "/>
    <hyperlink ref="B14:D14" location="'Report Form'!A1" display="Return to Trip Report Form "/>
    <hyperlink ref="B18" location="'Report Form'!B29" display="Замечание 1"/>
    <hyperlink ref="B20" location="'Report Form'!B31" display="Замечание 2"/>
    <hyperlink ref="B21" location="'Report Form'!B32" display="Замечание 3"/>
    <hyperlink ref="B22" location="'Report Form'!B33" display="Замечание 4"/>
    <hyperlink ref="B28" location="'Report Form'!B37" display="Замечание 6"/>
    <hyperlink ref="B30" location="'Report Form'!B42" display="Замечание 7"/>
    <hyperlink ref="B24" location="'Report Form'!Область_печати" display="Замечание 5 "/>
  </hyperlinks>
  <pageMargins left="0.75" right="0.75" top="1" bottom="1" header="0.5" footer="0.5"/>
  <pageSetup scale="64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65"/>
  <sheetViews>
    <sheetView topLeftCell="A39" workbookViewId="0">
      <selection activeCell="L44" sqref="L44:L50"/>
    </sheetView>
  </sheetViews>
  <sheetFormatPr defaultColWidth="9.1796875" defaultRowHeight="12.5" x14ac:dyDescent="0.25"/>
  <cols>
    <col min="1" max="1" width="3.81640625" style="1" customWidth="1"/>
    <col min="2" max="2" width="9.1796875" style="1"/>
    <col min="3" max="3" width="14.81640625" style="1" customWidth="1"/>
    <col min="4" max="4" width="9" style="1" customWidth="1"/>
    <col min="5" max="5" width="8.54296875" style="1" customWidth="1"/>
    <col min="6" max="8" width="9.1796875" style="1"/>
    <col min="9" max="9" width="10" style="1" customWidth="1"/>
    <col min="10" max="11" width="9.1796875" style="1"/>
    <col min="12" max="12" width="16.453125" style="1" customWidth="1"/>
    <col min="13" max="13" width="10.26953125" style="1" bestFit="1" customWidth="1"/>
    <col min="14" max="16384" width="9.1796875" style="1"/>
  </cols>
  <sheetData>
    <row r="1" spans="2:12" ht="15.5" thickTop="1" x14ac:dyDescent="0.3">
      <c r="B1" s="125" t="s">
        <v>0</v>
      </c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2:12" ht="15.5" thickBot="1" x14ac:dyDescent="0.35">
      <c r="B2" s="128" t="s">
        <v>2</v>
      </c>
      <c r="C2" s="129" t="s">
        <v>1</v>
      </c>
      <c r="D2" s="129"/>
      <c r="E2" s="129"/>
      <c r="F2" s="129"/>
      <c r="G2" s="129"/>
      <c r="H2" s="129"/>
      <c r="I2" s="129"/>
      <c r="J2" s="129"/>
      <c r="K2" s="129"/>
      <c r="L2" s="130"/>
    </row>
    <row r="3" spans="2:12" ht="21" thickTop="1" thickBot="1" x14ac:dyDescent="0.45">
      <c r="B3" s="131" t="s">
        <v>57</v>
      </c>
      <c r="C3" s="132"/>
      <c r="D3" s="132"/>
      <c r="E3" s="132"/>
      <c r="F3" s="132"/>
      <c r="G3" s="132"/>
      <c r="H3" s="132"/>
      <c r="I3" s="132"/>
      <c r="J3" s="132"/>
      <c r="K3" s="132"/>
      <c r="L3" s="133"/>
    </row>
    <row r="4" spans="2:12" ht="20.5" thickTop="1" x14ac:dyDescent="0.4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2:12" ht="25" x14ac:dyDescent="0.5">
      <c r="B5" s="27" t="s">
        <v>41</v>
      </c>
      <c r="C5" s="2"/>
      <c r="F5" s="40" t="s">
        <v>61</v>
      </c>
    </row>
    <row r="6" spans="2:12" ht="13" thickBot="1" x14ac:dyDescent="0.3"/>
    <row r="7" spans="2:12" ht="14" thickTop="1" thickBot="1" x14ac:dyDescent="0.35">
      <c r="B7" s="4" t="s">
        <v>30</v>
      </c>
      <c r="C7" s="4"/>
      <c r="D7" s="5"/>
      <c r="E7" s="6"/>
      <c r="F7" s="6"/>
      <c r="G7" s="6"/>
      <c r="H7" s="6"/>
      <c r="I7" s="6"/>
      <c r="J7" s="6"/>
      <c r="K7" s="6"/>
      <c r="L7" s="7"/>
    </row>
    <row r="8" spans="2:12" ht="13.5" thickTop="1" x14ac:dyDescent="0.3">
      <c r="B8" s="134" t="s">
        <v>3</v>
      </c>
      <c r="C8" s="134"/>
      <c r="D8" s="135" t="s">
        <v>62</v>
      </c>
      <c r="E8" s="136"/>
      <c r="F8" s="136"/>
      <c r="G8" s="137"/>
      <c r="H8" s="134" t="s">
        <v>44</v>
      </c>
      <c r="I8" s="134"/>
      <c r="J8" s="138">
        <v>37718</v>
      </c>
      <c r="K8" s="139"/>
      <c r="L8" s="140"/>
    </row>
    <row r="9" spans="2:12" ht="13" x14ac:dyDescent="0.3">
      <c r="B9" s="141" t="s">
        <v>5</v>
      </c>
      <c r="C9" s="141"/>
      <c r="D9" s="142" t="s">
        <v>63</v>
      </c>
      <c r="E9" s="143"/>
      <c r="F9" s="143"/>
      <c r="G9" s="143"/>
      <c r="H9" s="143"/>
      <c r="I9" s="143"/>
      <c r="J9" s="143"/>
      <c r="K9" s="143"/>
      <c r="L9" s="144"/>
    </row>
    <row r="10" spans="2:12" ht="13" x14ac:dyDescent="0.3">
      <c r="B10" s="141" t="s">
        <v>4</v>
      </c>
      <c r="C10" s="141"/>
      <c r="D10" s="145"/>
      <c r="E10" s="146"/>
      <c r="F10" s="146"/>
      <c r="G10" s="146"/>
      <c r="H10" s="146"/>
      <c r="I10" s="146"/>
      <c r="J10" s="146"/>
      <c r="K10" s="146"/>
      <c r="L10" s="147"/>
    </row>
    <row r="11" spans="2:12" ht="13" x14ac:dyDescent="0.3">
      <c r="B11" s="141" t="s">
        <v>6</v>
      </c>
      <c r="C11" s="141"/>
      <c r="D11" s="142" t="s">
        <v>64</v>
      </c>
      <c r="E11" s="143"/>
      <c r="F11" s="143"/>
      <c r="G11" s="143"/>
      <c r="H11" s="143"/>
      <c r="I11" s="143"/>
      <c r="J11" s="143"/>
      <c r="K11" s="143"/>
      <c r="L11" s="144"/>
    </row>
    <row r="12" spans="2:12" ht="13" x14ac:dyDescent="0.3">
      <c r="B12" s="14" t="s">
        <v>7</v>
      </c>
      <c r="C12" s="14"/>
      <c r="D12" s="142" t="s">
        <v>65</v>
      </c>
      <c r="E12" s="143"/>
      <c r="F12" s="143"/>
      <c r="G12" s="144"/>
      <c r="H12" s="134" t="s">
        <v>9</v>
      </c>
      <c r="I12" s="134"/>
      <c r="J12" s="142" t="s">
        <v>66</v>
      </c>
      <c r="K12" s="143"/>
      <c r="L12" s="144"/>
    </row>
    <row r="13" spans="2:12" ht="13" x14ac:dyDescent="0.3">
      <c r="B13" s="141" t="s">
        <v>8</v>
      </c>
      <c r="C13" s="141"/>
      <c r="D13" s="148" t="s">
        <v>67</v>
      </c>
      <c r="E13" s="143"/>
      <c r="F13" s="143"/>
      <c r="G13" s="143"/>
      <c r="H13" s="143"/>
      <c r="I13" s="143"/>
      <c r="J13" s="143"/>
      <c r="K13" s="143"/>
      <c r="L13" s="144"/>
    </row>
    <row r="15" spans="2:12" ht="13" thickBot="1" x14ac:dyDescent="0.3"/>
    <row r="16" spans="2:12" ht="14" thickTop="1" thickBot="1" x14ac:dyDescent="0.35">
      <c r="B16" s="4" t="s">
        <v>31</v>
      </c>
      <c r="C16" s="5"/>
      <c r="D16" s="5"/>
      <c r="E16" s="6"/>
      <c r="F16" s="6"/>
      <c r="G16" s="6"/>
      <c r="H16" s="6"/>
      <c r="I16" s="6"/>
      <c r="J16" s="6"/>
      <c r="K16" s="6"/>
      <c r="L16" s="7"/>
    </row>
    <row r="17" spans="2:14" ht="13.5" thickTop="1" x14ac:dyDescent="0.3">
      <c r="B17" s="134" t="s">
        <v>10</v>
      </c>
      <c r="C17" s="134"/>
      <c r="D17" s="135" t="s">
        <v>68</v>
      </c>
      <c r="E17" s="136"/>
      <c r="F17" s="136"/>
      <c r="G17" s="136"/>
      <c r="H17" s="136"/>
      <c r="I17" s="136"/>
      <c r="J17" s="136"/>
      <c r="K17" s="136"/>
      <c r="L17" s="137"/>
    </row>
    <row r="18" spans="2:14" s="18" customFormat="1" ht="13" x14ac:dyDescent="0.3">
      <c r="B18" s="149" t="s">
        <v>11</v>
      </c>
      <c r="C18" s="150"/>
      <c r="D18" s="11" t="s">
        <v>32</v>
      </c>
      <c r="E18" s="11"/>
      <c r="F18" s="11"/>
      <c r="G18" s="11"/>
      <c r="H18" s="11"/>
      <c r="I18" s="11"/>
      <c r="J18" s="11"/>
      <c r="K18" s="11"/>
      <c r="L18" s="39"/>
    </row>
    <row r="19" spans="2:14" ht="13" x14ac:dyDescent="0.3">
      <c r="B19" s="141" t="s">
        <v>10</v>
      </c>
      <c r="C19" s="141"/>
      <c r="D19" s="142"/>
      <c r="E19" s="143"/>
      <c r="F19" s="143"/>
      <c r="G19" s="143"/>
      <c r="H19" s="143"/>
      <c r="I19" s="143"/>
      <c r="J19" s="143"/>
      <c r="K19" s="143"/>
      <c r="L19" s="144"/>
    </row>
    <row r="20" spans="2:14" s="18" customFormat="1" ht="13" x14ac:dyDescent="0.3">
      <c r="B20" s="149" t="s">
        <v>12</v>
      </c>
      <c r="C20" s="150"/>
      <c r="D20" s="11" t="s">
        <v>32</v>
      </c>
      <c r="E20" s="11"/>
      <c r="F20" s="11"/>
      <c r="G20" s="11"/>
      <c r="H20" s="11"/>
      <c r="I20" s="11"/>
      <c r="J20" s="11"/>
      <c r="K20" s="11"/>
      <c r="L20" s="39"/>
    </row>
    <row r="21" spans="2:14" ht="13" x14ac:dyDescent="0.3">
      <c r="B21" s="141" t="s">
        <v>6</v>
      </c>
      <c r="C21" s="141"/>
      <c r="D21" s="101" t="s">
        <v>64</v>
      </c>
      <c r="E21" s="101"/>
      <c r="F21" s="101"/>
      <c r="G21" s="101"/>
      <c r="H21" s="141" t="s">
        <v>8</v>
      </c>
      <c r="I21" s="141"/>
      <c r="J21" s="148" t="s">
        <v>69</v>
      </c>
      <c r="K21" s="143"/>
      <c r="L21" s="144"/>
    </row>
    <row r="22" spans="2:14" ht="13" x14ac:dyDescent="0.3">
      <c r="B22" s="141" t="s">
        <v>13</v>
      </c>
      <c r="C22" s="141"/>
      <c r="D22" s="142" t="s">
        <v>70</v>
      </c>
      <c r="E22" s="143"/>
      <c r="F22" s="143"/>
      <c r="G22" s="143"/>
      <c r="H22" s="143"/>
      <c r="I22" s="143"/>
      <c r="J22" s="143"/>
      <c r="K22" s="143"/>
      <c r="L22" s="144"/>
    </row>
    <row r="23" spans="2:14" ht="13" x14ac:dyDescent="0.3">
      <c r="B23" s="141" t="s">
        <v>14</v>
      </c>
      <c r="C23" s="141"/>
      <c r="D23" s="101">
        <v>2307853789</v>
      </c>
      <c r="E23" s="101"/>
      <c r="F23" s="101"/>
      <c r="G23" s="101"/>
      <c r="H23" s="141" t="s">
        <v>16</v>
      </c>
      <c r="I23" s="141"/>
      <c r="J23" s="151">
        <v>22005</v>
      </c>
      <c r="K23" s="152"/>
      <c r="L23" s="153"/>
    </row>
    <row r="24" spans="2:14" ht="13" x14ac:dyDescent="0.3">
      <c r="B24" s="141" t="s">
        <v>15</v>
      </c>
      <c r="C24" s="141"/>
      <c r="D24" s="101" t="s">
        <v>59</v>
      </c>
      <c r="E24" s="101"/>
      <c r="F24" s="101"/>
      <c r="G24" s="101"/>
      <c r="H24" s="141" t="s">
        <v>17</v>
      </c>
      <c r="I24" s="141"/>
      <c r="J24" s="142" t="s">
        <v>71</v>
      </c>
      <c r="K24" s="143"/>
      <c r="L24" s="144"/>
    </row>
    <row r="25" spans="2:14" x14ac:dyDescent="0.25">
      <c r="B25" s="154"/>
      <c r="C25" s="154"/>
      <c r="H25" s="154"/>
      <c r="I25" s="154"/>
    </row>
    <row r="26" spans="2:14" ht="13" thickBot="1" x14ac:dyDescent="0.3"/>
    <row r="27" spans="2:14" s="2" customFormat="1" ht="14" thickTop="1" thickBot="1" x14ac:dyDescent="0.35">
      <c r="B27" s="4" t="s">
        <v>33</v>
      </c>
      <c r="C27" s="5"/>
      <c r="D27" s="5"/>
      <c r="E27" s="5"/>
      <c r="F27" s="5"/>
      <c r="G27" s="5"/>
      <c r="H27" s="5"/>
      <c r="I27" s="5"/>
      <c r="J27" s="5"/>
      <c r="K27" s="5"/>
      <c r="L27" s="9"/>
    </row>
    <row r="28" spans="2:14" s="3" customFormat="1" ht="26.25" customHeight="1" thickTop="1" thickBot="1" x14ac:dyDescent="0.3">
      <c r="B28" s="155" t="s">
        <v>18</v>
      </c>
      <c r="C28" s="155"/>
      <c r="D28" s="155" t="s">
        <v>19</v>
      </c>
      <c r="E28" s="155"/>
      <c r="F28" s="155" t="s">
        <v>20</v>
      </c>
      <c r="G28" s="155"/>
      <c r="H28" s="17" t="s">
        <v>21</v>
      </c>
      <c r="I28" s="17" t="s">
        <v>22</v>
      </c>
      <c r="J28" s="155" t="s">
        <v>23</v>
      </c>
      <c r="K28" s="155"/>
      <c r="L28" s="17" t="s">
        <v>24</v>
      </c>
      <c r="M28" s="52"/>
      <c r="N28" s="53"/>
    </row>
    <row r="29" spans="2:14" ht="37.5" customHeight="1" x14ac:dyDescent="0.25">
      <c r="B29" s="156" t="s">
        <v>48</v>
      </c>
      <c r="C29" s="157"/>
      <c r="D29" s="55">
        <v>970</v>
      </c>
      <c r="E29" s="55"/>
      <c r="F29" s="71">
        <v>970</v>
      </c>
      <c r="G29" s="71"/>
      <c r="H29" s="15" t="s">
        <v>58</v>
      </c>
      <c r="I29" s="15">
        <v>1</v>
      </c>
      <c r="J29" s="55">
        <f>F29/I29</f>
        <v>970</v>
      </c>
      <c r="K29" s="55"/>
      <c r="L29" s="16">
        <f>D29-J29</f>
        <v>0</v>
      </c>
      <c r="M29" s="52"/>
      <c r="N29" s="53"/>
    </row>
    <row r="30" spans="2:14" ht="25.5" customHeight="1" x14ac:dyDescent="0.25">
      <c r="B30" s="160" t="s">
        <v>56</v>
      </c>
      <c r="C30" s="161"/>
      <c r="D30" s="55">
        <v>0</v>
      </c>
      <c r="E30" s="55"/>
      <c r="F30" s="71">
        <v>0</v>
      </c>
      <c r="G30" s="71"/>
      <c r="H30" s="15"/>
      <c r="I30" s="15">
        <v>1</v>
      </c>
      <c r="J30" s="55">
        <f t="shared" ref="J30:J37" si="0">F30/I30</f>
        <v>0</v>
      </c>
      <c r="K30" s="55"/>
      <c r="L30" s="16">
        <f t="shared" ref="L30:L37" si="1">D30-J30</f>
        <v>0</v>
      </c>
      <c r="M30" s="52"/>
      <c r="N30" s="53"/>
    </row>
    <row r="31" spans="2:14" ht="26.25" customHeight="1" x14ac:dyDescent="0.3">
      <c r="B31" s="158" t="s">
        <v>49</v>
      </c>
      <c r="C31" s="159"/>
      <c r="D31" s="70">
        <v>780</v>
      </c>
      <c r="E31" s="70"/>
      <c r="F31" s="72">
        <f>L50</f>
        <v>1194</v>
      </c>
      <c r="G31" s="73"/>
      <c r="H31" s="13" t="s">
        <v>58</v>
      </c>
      <c r="I31" s="13">
        <v>1</v>
      </c>
      <c r="J31" s="55">
        <f t="shared" si="0"/>
        <v>1194</v>
      </c>
      <c r="K31" s="55"/>
      <c r="L31" s="16">
        <f t="shared" si="1"/>
        <v>-414</v>
      </c>
      <c r="M31" s="52"/>
      <c r="N31" s="53"/>
    </row>
    <row r="32" spans="2:14" ht="26.25" customHeight="1" x14ac:dyDescent="0.25">
      <c r="B32" s="158" t="s">
        <v>50</v>
      </c>
      <c r="C32" s="159"/>
      <c r="D32" s="70">
        <v>0</v>
      </c>
      <c r="E32" s="70"/>
      <c r="F32" s="71">
        <v>890</v>
      </c>
      <c r="G32" s="71"/>
      <c r="H32" s="13" t="s">
        <v>58</v>
      </c>
      <c r="I32" s="13">
        <v>1</v>
      </c>
      <c r="J32" s="55">
        <f t="shared" si="0"/>
        <v>890</v>
      </c>
      <c r="K32" s="55"/>
      <c r="L32" s="16">
        <f t="shared" si="1"/>
        <v>-890</v>
      </c>
      <c r="M32" s="52"/>
      <c r="N32" s="53"/>
    </row>
    <row r="33" spans="2:14" ht="26.25" customHeight="1" x14ac:dyDescent="0.25">
      <c r="B33" s="158" t="s">
        <v>51</v>
      </c>
      <c r="C33" s="159"/>
      <c r="D33" s="70">
        <v>450</v>
      </c>
      <c r="E33" s="70"/>
      <c r="F33" s="71">
        <v>450</v>
      </c>
      <c r="G33" s="71"/>
      <c r="H33" s="13" t="s">
        <v>58</v>
      </c>
      <c r="I33" s="13">
        <v>1</v>
      </c>
      <c r="J33" s="55">
        <f t="shared" si="0"/>
        <v>450</v>
      </c>
      <c r="K33" s="55"/>
      <c r="L33" s="16">
        <f t="shared" si="1"/>
        <v>0</v>
      </c>
      <c r="M33" s="52"/>
      <c r="N33" s="53"/>
    </row>
    <row r="34" spans="2:14" ht="26.25" customHeight="1" x14ac:dyDescent="0.25">
      <c r="B34" s="158" t="s">
        <v>52</v>
      </c>
      <c r="C34" s="159"/>
      <c r="D34" s="70">
        <v>0</v>
      </c>
      <c r="E34" s="70"/>
      <c r="F34" s="71">
        <v>100</v>
      </c>
      <c r="G34" s="71"/>
      <c r="H34" s="13"/>
      <c r="I34" s="13">
        <v>1</v>
      </c>
      <c r="J34" s="55">
        <f t="shared" si="0"/>
        <v>100</v>
      </c>
      <c r="K34" s="55"/>
      <c r="L34" s="16">
        <f t="shared" si="1"/>
        <v>-100</v>
      </c>
      <c r="M34" s="52"/>
      <c r="N34" s="53"/>
    </row>
    <row r="35" spans="2:14" ht="26.25" customHeight="1" x14ac:dyDescent="0.25">
      <c r="B35" s="158" t="s">
        <v>53</v>
      </c>
      <c r="C35" s="159"/>
      <c r="D35" s="70">
        <v>0</v>
      </c>
      <c r="E35" s="70"/>
      <c r="F35" s="71">
        <v>2700</v>
      </c>
      <c r="G35" s="71"/>
      <c r="H35" s="13" t="s">
        <v>60</v>
      </c>
      <c r="I35" s="13">
        <v>31.31</v>
      </c>
      <c r="J35" s="55">
        <f t="shared" si="0"/>
        <v>86.234429894602371</v>
      </c>
      <c r="K35" s="55"/>
      <c r="L35" s="16">
        <f t="shared" si="1"/>
        <v>-86.234429894602371</v>
      </c>
      <c r="M35" s="52"/>
      <c r="N35" s="53"/>
    </row>
    <row r="36" spans="2:14" ht="26.25" customHeight="1" x14ac:dyDescent="0.25">
      <c r="B36" s="164" t="s">
        <v>45</v>
      </c>
      <c r="C36" s="165"/>
      <c r="D36" s="70">
        <v>0</v>
      </c>
      <c r="E36" s="70"/>
      <c r="F36" s="71">
        <v>1800</v>
      </c>
      <c r="G36" s="71"/>
      <c r="H36" s="13" t="s">
        <v>60</v>
      </c>
      <c r="I36" s="13">
        <v>31.31</v>
      </c>
      <c r="J36" s="55">
        <f t="shared" si="0"/>
        <v>57.489619929734914</v>
      </c>
      <c r="K36" s="55"/>
      <c r="L36" s="16">
        <f t="shared" si="1"/>
        <v>-57.489619929734914</v>
      </c>
      <c r="M36" s="52"/>
      <c r="N36" s="53"/>
    </row>
    <row r="37" spans="2:14" ht="26.25" customHeight="1" x14ac:dyDescent="0.25">
      <c r="B37" s="162" t="s">
        <v>55</v>
      </c>
      <c r="C37" s="163"/>
      <c r="D37" s="70">
        <v>0</v>
      </c>
      <c r="E37" s="70"/>
      <c r="F37" s="71">
        <v>0</v>
      </c>
      <c r="G37" s="71"/>
      <c r="H37" s="13"/>
      <c r="I37" s="13">
        <v>1</v>
      </c>
      <c r="J37" s="55">
        <f t="shared" si="0"/>
        <v>0</v>
      </c>
      <c r="K37" s="55"/>
      <c r="L37" s="16">
        <f t="shared" si="1"/>
        <v>0</v>
      </c>
      <c r="M37" s="52"/>
      <c r="N37" s="53"/>
    </row>
    <row r="38" spans="2:14" ht="26.25" customHeight="1" x14ac:dyDescent="0.25">
      <c r="B38" s="67" t="s">
        <v>46</v>
      </c>
      <c r="C38" s="68"/>
      <c r="D38" s="68"/>
      <c r="E38" s="68"/>
      <c r="F38" s="68"/>
      <c r="G38" s="68"/>
      <c r="H38" s="68"/>
      <c r="I38" s="69"/>
      <c r="J38" s="54"/>
      <c r="K38" s="54"/>
      <c r="L38" s="29"/>
      <c r="M38" s="28"/>
      <c r="N38" s="3"/>
    </row>
    <row r="39" spans="2:14" ht="18" x14ac:dyDescent="0.4">
      <c r="B39" s="12"/>
      <c r="C39" s="10" t="s">
        <v>25</v>
      </c>
      <c r="D39" s="66">
        <f>SUM(D29:E37)</f>
        <v>2200</v>
      </c>
      <c r="E39" s="66"/>
      <c r="F39" s="63"/>
      <c r="G39" s="63"/>
      <c r="H39" s="8"/>
      <c r="I39" s="8"/>
      <c r="J39" s="64">
        <f>SUM(J29:K37)</f>
        <v>3747.7240498243373</v>
      </c>
      <c r="K39" s="65"/>
      <c r="L39" s="30">
        <f>SUM(L29:L37)</f>
        <v>-1547.7240498243373</v>
      </c>
      <c r="M39" s="38"/>
    </row>
    <row r="41" spans="2:14" ht="13" thickBot="1" x14ac:dyDescent="0.3"/>
    <row r="42" spans="2:14" s="37" customFormat="1" ht="24.75" customHeight="1" thickTop="1" thickBot="1" x14ac:dyDescent="0.3">
      <c r="B42" s="34" t="s">
        <v>54</v>
      </c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2:14" ht="14" thickTop="1" thickBot="1" x14ac:dyDescent="0.35">
      <c r="B43" s="87" t="s">
        <v>34</v>
      </c>
      <c r="C43" s="87"/>
      <c r="D43" s="87" t="s">
        <v>38</v>
      </c>
      <c r="E43" s="87"/>
      <c r="F43" s="87" t="s">
        <v>39</v>
      </c>
      <c r="G43" s="87"/>
      <c r="H43" s="87" t="s">
        <v>35</v>
      </c>
      <c r="I43" s="87"/>
      <c r="J43" s="87" t="s">
        <v>37</v>
      </c>
      <c r="K43" s="87"/>
      <c r="L43" s="23" t="s">
        <v>36</v>
      </c>
    </row>
    <row r="44" spans="2:14" ht="13" x14ac:dyDescent="0.3">
      <c r="B44" s="65" t="s">
        <v>40</v>
      </c>
      <c r="C44" s="65"/>
      <c r="D44" s="103">
        <v>37681</v>
      </c>
      <c r="E44" s="103"/>
      <c r="F44" s="109">
        <v>37690</v>
      </c>
      <c r="G44" s="109"/>
      <c r="H44" s="107">
        <v>9</v>
      </c>
      <c r="I44" s="107"/>
      <c r="J44" s="112">
        <v>46</v>
      </c>
      <c r="K44" s="112"/>
      <c r="L44" s="22">
        <f t="shared" ref="L44:L49" si="2">H44*J44</f>
        <v>414</v>
      </c>
    </row>
    <row r="45" spans="2:14" ht="13" x14ac:dyDescent="0.3">
      <c r="B45" s="101" t="s">
        <v>72</v>
      </c>
      <c r="C45" s="101"/>
      <c r="D45" s="104">
        <v>37712</v>
      </c>
      <c r="E45" s="104"/>
      <c r="F45" s="105">
        <v>37717</v>
      </c>
      <c r="G45" s="105"/>
      <c r="H45" s="108">
        <v>5</v>
      </c>
      <c r="I45" s="108"/>
      <c r="J45" s="110">
        <v>52</v>
      </c>
      <c r="K45" s="110"/>
      <c r="L45" s="19">
        <f t="shared" si="2"/>
        <v>260</v>
      </c>
    </row>
    <row r="46" spans="2:14" ht="13" x14ac:dyDescent="0.3">
      <c r="B46" s="101" t="s">
        <v>73</v>
      </c>
      <c r="C46" s="101"/>
      <c r="D46" s="104">
        <v>37717</v>
      </c>
      <c r="E46" s="104"/>
      <c r="F46" s="105">
        <v>37721</v>
      </c>
      <c r="G46" s="105"/>
      <c r="H46" s="108">
        <v>10</v>
      </c>
      <c r="I46" s="108"/>
      <c r="J46" s="110">
        <v>52</v>
      </c>
      <c r="K46" s="110"/>
      <c r="L46" s="19">
        <f t="shared" si="2"/>
        <v>520</v>
      </c>
    </row>
    <row r="47" spans="2:14" ht="13" x14ac:dyDescent="0.3">
      <c r="B47" s="101" t="s">
        <v>59</v>
      </c>
      <c r="C47" s="101"/>
      <c r="D47" s="104">
        <v>37722</v>
      </c>
      <c r="E47" s="104"/>
      <c r="F47" s="105"/>
      <c r="G47" s="105"/>
      <c r="H47" s="108"/>
      <c r="I47" s="108"/>
      <c r="J47" s="110">
        <v>0</v>
      </c>
      <c r="K47" s="110"/>
      <c r="L47" s="19">
        <f t="shared" si="2"/>
        <v>0</v>
      </c>
    </row>
    <row r="48" spans="2:14" ht="13" x14ac:dyDescent="0.3">
      <c r="B48" s="101"/>
      <c r="C48" s="101"/>
      <c r="D48" s="104"/>
      <c r="E48" s="104"/>
      <c r="F48" s="105"/>
      <c r="G48" s="105"/>
      <c r="H48" s="108"/>
      <c r="I48" s="108"/>
      <c r="J48" s="110">
        <v>0</v>
      </c>
      <c r="K48" s="110"/>
      <c r="L48" s="19">
        <f t="shared" si="2"/>
        <v>0</v>
      </c>
    </row>
    <row r="49" spans="2:12" ht="13" x14ac:dyDescent="0.3">
      <c r="B49" s="101"/>
      <c r="C49" s="101"/>
      <c r="D49" s="104"/>
      <c r="E49" s="104"/>
      <c r="F49" s="105"/>
      <c r="G49" s="105"/>
      <c r="H49" s="108"/>
      <c r="I49" s="108"/>
      <c r="J49" s="110">
        <v>0</v>
      </c>
      <c r="K49" s="110"/>
      <c r="L49" s="19">
        <f t="shared" si="2"/>
        <v>0</v>
      </c>
    </row>
    <row r="50" spans="2:12" ht="13" x14ac:dyDescent="0.3">
      <c r="B50" s="102"/>
      <c r="C50" s="102"/>
      <c r="D50" s="102"/>
      <c r="E50" s="102"/>
      <c r="F50" s="106"/>
      <c r="G50" s="106"/>
      <c r="H50" s="106"/>
      <c r="I50" s="106"/>
      <c r="J50" s="111" t="s">
        <v>25</v>
      </c>
      <c r="K50" s="111"/>
      <c r="L50" s="20">
        <f>SUM(L44:L49)</f>
        <v>1194</v>
      </c>
    </row>
    <row r="54" spans="2:12" x14ac:dyDescent="0.25">
      <c r="B54" s="166" t="s">
        <v>26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</row>
    <row r="57" spans="2:12" x14ac:dyDescent="0.25">
      <c r="B57" s="10"/>
      <c r="C57" s="10"/>
      <c r="E57" s="10"/>
      <c r="H57" s="10"/>
      <c r="I57" s="10"/>
      <c r="J57" s="10"/>
      <c r="L57" s="10"/>
    </row>
    <row r="58" spans="2:12" x14ac:dyDescent="0.25">
      <c r="B58" s="1" t="s">
        <v>27</v>
      </c>
      <c r="E58" s="1" t="s">
        <v>29</v>
      </c>
      <c r="H58" s="1" t="s">
        <v>28</v>
      </c>
      <c r="L58" s="1" t="s">
        <v>29</v>
      </c>
    </row>
    <row r="59" spans="2:12" x14ac:dyDescent="0.25">
      <c r="H59" s="1" t="s">
        <v>4</v>
      </c>
    </row>
    <row r="65" s="18" customFormat="1" ht="13" x14ac:dyDescent="0.3"/>
  </sheetData>
  <mergeCells count="136">
    <mergeCell ref="H50:I50"/>
    <mergeCell ref="J50:K50"/>
    <mergeCell ref="B49:C49"/>
    <mergeCell ref="D49:E49"/>
    <mergeCell ref="F49:G49"/>
    <mergeCell ref="H49:I49"/>
    <mergeCell ref="J47:K47"/>
    <mergeCell ref="J48:K48"/>
    <mergeCell ref="B54:L54"/>
    <mergeCell ref="J49:K49"/>
    <mergeCell ref="B50:C50"/>
    <mergeCell ref="D50:E50"/>
    <mergeCell ref="F50:G50"/>
    <mergeCell ref="B47:C47"/>
    <mergeCell ref="D47:E47"/>
    <mergeCell ref="F47:G47"/>
    <mergeCell ref="H47:I47"/>
    <mergeCell ref="B48:C48"/>
    <mergeCell ref="D48:E48"/>
    <mergeCell ref="F48:G48"/>
    <mergeCell ref="H48:I48"/>
    <mergeCell ref="J45:K45"/>
    <mergeCell ref="B46:C46"/>
    <mergeCell ref="D46:E46"/>
    <mergeCell ref="F46:G46"/>
    <mergeCell ref="H46:I46"/>
    <mergeCell ref="J46:K46"/>
    <mergeCell ref="B45:C45"/>
    <mergeCell ref="D45:E45"/>
    <mergeCell ref="F45:G45"/>
    <mergeCell ref="H45:I45"/>
    <mergeCell ref="B44:C44"/>
    <mergeCell ref="D44:E44"/>
    <mergeCell ref="F44:G44"/>
    <mergeCell ref="H44:I44"/>
    <mergeCell ref="J44:K44"/>
    <mergeCell ref="B43:C43"/>
    <mergeCell ref="D43:E43"/>
    <mergeCell ref="F43:G43"/>
    <mergeCell ref="H43:I43"/>
    <mergeCell ref="B38:I38"/>
    <mergeCell ref="J38:K38"/>
    <mergeCell ref="D39:E39"/>
    <mergeCell ref="F39:G39"/>
    <mergeCell ref="J39:K39"/>
    <mergeCell ref="J43:K43"/>
    <mergeCell ref="M36:N36"/>
    <mergeCell ref="B37:C37"/>
    <mergeCell ref="D37:E37"/>
    <mergeCell ref="F37:G37"/>
    <mergeCell ref="J37:K37"/>
    <mergeCell ref="M37:N37"/>
    <mergeCell ref="B36:C36"/>
    <mergeCell ref="D36:E36"/>
    <mergeCell ref="F36:G36"/>
    <mergeCell ref="J36:K36"/>
    <mergeCell ref="M34:N34"/>
    <mergeCell ref="B35:C35"/>
    <mergeCell ref="D35:E35"/>
    <mergeCell ref="F35:G35"/>
    <mergeCell ref="J35:K35"/>
    <mergeCell ref="M35:N35"/>
    <mergeCell ref="B34:C34"/>
    <mergeCell ref="D34:E34"/>
    <mergeCell ref="F34:G34"/>
    <mergeCell ref="J34:K34"/>
    <mergeCell ref="M32:N32"/>
    <mergeCell ref="B33:C33"/>
    <mergeCell ref="D33:E33"/>
    <mergeCell ref="F33:G33"/>
    <mergeCell ref="J33:K33"/>
    <mergeCell ref="M33:N33"/>
    <mergeCell ref="B32:C32"/>
    <mergeCell ref="D32:E32"/>
    <mergeCell ref="F32:G32"/>
    <mergeCell ref="J32:K32"/>
    <mergeCell ref="M30:N30"/>
    <mergeCell ref="B31:C31"/>
    <mergeCell ref="D31:E31"/>
    <mergeCell ref="F31:G31"/>
    <mergeCell ref="J31:K31"/>
    <mergeCell ref="M31:N31"/>
    <mergeCell ref="B30:C30"/>
    <mergeCell ref="D30:E30"/>
    <mergeCell ref="F30:G30"/>
    <mergeCell ref="J30:K30"/>
    <mergeCell ref="B28:C28"/>
    <mergeCell ref="D28:E28"/>
    <mergeCell ref="F28:G28"/>
    <mergeCell ref="J28:K28"/>
    <mergeCell ref="M28:N28"/>
    <mergeCell ref="B29:C29"/>
    <mergeCell ref="D29:E29"/>
    <mergeCell ref="F29:G29"/>
    <mergeCell ref="J29:K29"/>
    <mergeCell ref="M29:N29"/>
    <mergeCell ref="B24:C24"/>
    <mergeCell ref="D24:G24"/>
    <mergeCell ref="H24:I24"/>
    <mergeCell ref="J24:L24"/>
    <mergeCell ref="B25:C25"/>
    <mergeCell ref="H25:I25"/>
    <mergeCell ref="B22:C22"/>
    <mergeCell ref="B23:C23"/>
    <mergeCell ref="B21:C21"/>
    <mergeCell ref="D21:G21"/>
    <mergeCell ref="H23:I23"/>
    <mergeCell ref="J23:L23"/>
    <mergeCell ref="D23:G23"/>
    <mergeCell ref="D22:L22"/>
    <mergeCell ref="H21:I21"/>
    <mergeCell ref="J21:L21"/>
    <mergeCell ref="B18:C18"/>
    <mergeCell ref="B19:C19"/>
    <mergeCell ref="D19:L19"/>
    <mergeCell ref="B20:C20"/>
    <mergeCell ref="D12:G12"/>
    <mergeCell ref="H12:I12"/>
    <mergeCell ref="J12:L12"/>
    <mergeCell ref="B13:C13"/>
    <mergeCell ref="D13:L13"/>
    <mergeCell ref="B17:C17"/>
    <mergeCell ref="D17:L17"/>
    <mergeCell ref="B9:C9"/>
    <mergeCell ref="D9:L9"/>
    <mergeCell ref="B10:C10"/>
    <mergeCell ref="D10:L10"/>
    <mergeCell ref="B11:C11"/>
    <mergeCell ref="D11:L11"/>
    <mergeCell ref="B1:L1"/>
    <mergeCell ref="B2:L2"/>
    <mergeCell ref="B3:L3"/>
    <mergeCell ref="B8:C8"/>
    <mergeCell ref="D8:G8"/>
    <mergeCell ref="H8:I8"/>
    <mergeCell ref="J8:L8"/>
  </mergeCells>
  <phoneticPr fontId="0" type="noConversion"/>
  <hyperlinks>
    <hyperlink ref="B5" location="Notes!A1" display="General Guidelines"/>
    <hyperlink ref="B30:C30" location="Notes!B18" display="Plane Tickets (Domestic) Note 1"/>
    <hyperlink ref="B29:C29" location="Notes!B18" display="Plane Tickets (International) - Note 1"/>
    <hyperlink ref="B31:C31" location="Notes!B20" display="Per Diem - Note 2"/>
    <hyperlink ref="B32:C32" location="Notes!B21" display="Lodging - Note 3"/>
    <hyperlink ref="B33:C33" location="Notes!B22" display="Conference Fees - Note 4"/>
    <hyperlink ref="B34:C34" location="Notes!B23" display="Visa Fees - Note 5"/>
    <hyperlink ref="B35:C35" location="Notes!B23" display="Medical Insurance - Note 5"/>
    <hyperlink ref="B36:C36" location="Notes!B23" display="Ground Transportation "/>
    <hyperlink ref="B37:C37" location="Notes!B26" display="Other Expenses "/>
    <hyperlink ref="B42" location="Notes!B28" display="Per Diem Calculation Table - Note 7"/>
    <hyperlink ref="D13" r:id="rId1"/>
    <hyperlink ref="J21" r:id="rId2"/>
  </hyperlinks>
  <pageMargins left="0.75" right="0.75" top="1" bottom="1" header="0.5" footer="0.5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Report Form</vt:lpstr>
      <vt:lpstr>Notes</vt:lpstr>
      <vt:lpstr>Sampe Financial Report</vt:lpstr>
      <vt:lpstr>Notes!Print_Area</vt:lpstr>
      <vt:lpstr>'Report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402:  Trip Report Financial (05/2003) - Russian</dc:title>
  <dc:creator>Maria Kirova</dc:creator>
  <cp:lastModifiedBy>Carina Negreanu</cp:lastModifiedBy>
  <cp:lastPrinted>2003-07-16T13:26:35Z</cp:lastPrinted>
  <dcterms:created xsi:type="dcterms:W3CDTF">2003-04-02T03:04:29Z</dcterms:created>
  <dcterms:modified xsi:type="dcterms:W3CDTF">2020-01-27T11:36:59Z</dcterms:modified>
</cp:coreProperties>
</file>