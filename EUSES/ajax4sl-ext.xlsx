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5F62FF-B9E3-404A-8DA3-147D347FECC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Sheet1!$F$78,Sheet1!$H$65:$J$65,Sheet1!$F$53,Sheet1!$H$41:$J$41,Sheet1!$F$29,Sheet1!$H$17:$J$17,Sheet1!$F$5,Sheet1!$C$6:$E$6,Sheet1!$C$9:$E$9,Sheet1!$C$30:$E$30,Sheet1!$C$33:$E$33,Sheet1!$C$54:$E$54,Sheet1!$C$57:$E$57,Sheet1!$C$79:$E$79,Sheet1!$C$82:$E$82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Sheet1!$G$3:$G$5</definedName>
    <definedName name="solver_lhs10" localSheetId="0" hidden="1">Sheet1!$C$57:$E$57</definedName>
    <definedName name="solver_lhs11" localSheetId="0" hidden="1">Sheet1!$C$57:$E$57</definedName>
    <definedName name="solver_lhs12" localSheetId="0" hidden="1">Sheet1!$C$82:$E$82</definedName>
    <definedName name="solver_lhs13" localSheetId="0" hidden="1">Sheet1!$C$90:$E$90</definedName>
    <definedName name="solver_lhs14" localSheetId="0" hidden="1">Sheet1!$F$5</definedName>
    <definedName name="solver_lhs15" localSheetId="0" hidden="1">Sheet1!$F$29</definedName>
    <definedName name="solver_lhs16" localSheetId="0" hidden="1">Sheet1!$F$53</definedName>
    <definedName name="solver_lhs17" localSheetId="0" hidden="1">Sheet1!$F$78</definedName>
    <definedName name="solver_lhs18" localSheetId="0" hidden="1">Sheet1!$H$17</definedName>
    <definedName name="solver_lhs19" localSheetId="0" hidden="1">Sheet1!$I$17</definedName>
    <definedName name="solver_lhs2" localSheetId="0" hidden="1">Sheet1!$C$9:$E$9</definedName>
    <definedName name="solver_lhs20" localSheetId="0" hidden="1">Sheet1!$J$17</definedName>
    <definedName name="solver_lhs21" localSheetId="0" hidden="1">Sheet1!$H$41</definedName>
    <definedName name="solver_lhs22" localSheetId="0" hidden="1">Sheet1!$I$41</definedName>
    <definedName name="solver_lhs23" localSheetId="0" hidden="1">Sheet1!$J$41</definedName>
    <definedName name="solver_lhs24" localSheetId="0" hidden="1">Sheet1!$H$65</definedName>
    <definedName name="solver_lhs25" localSheetId="0" hidden="1">Sheet1!$I$65</definedName>
    <definedName name="solver_lhs26" localSheetId="0" hidden="1">Sheet1!$J$65</definedName>
    <definedName name="solver_lhs27" localSheetId="0" hidden="1">Sheet1!$C$90</definedName>
    <definedName name="solver_lhs28" localSheetId="0" hidden="1">Sheet1!$D$90</definedName>
    <definedName name="solver_lhs29" localSheetId="0" hidden="1">Sheet1!$E$90</definedName>
    <definedName name="solver_lhs3" localSheetId="0" hidden="1">Sheet1!$C$9:$E$9</definedName>
    <definedName name="solver_lhs30" localSheetId="0" hidden="1">Sheet1!$H$17</definedName>
    <definedName name="solver_lhs31" localSheetId="0" hidden="1">Sheet1!$I$17</definedName>
    <definedName name="solver_lhs32" localSheetId="0" hidden="1">Sheet1!$J$17</definedName>
    <definedName name="solver_lhs33" localSheetId="0" hidden="1">Sheet1!$H$21</definedName>
    <definedName name="solver_lhs34" localSheetId="0" hidden="1">Sheet1!$I$21</definedName>
    <definedName name="solver_lhs35" localSheetId="0" hidden="1">Sheet1!$J$21</definedName>
    <definedName name="solver_lhs36" localSheetId="0" hidden="1">Sheet1!$H$41</definedName>
    <definedName name="solver_lhs37" localSheetId="0" hidden="1">Sheet1!$I$41</definedName>
    <definedName name="solver_lhs38" localSheetId="0" hidden="1">Sheet1!$J$41</definedName>
    <definedName name="solver_lhs39" localSheetId="0" hidden="1">Sheet1!$H$45</definedName>
    <definedName name="solver_lhs4" localSheetId="0" hidden="1">Sheet1!$G$76:$G$78</definedName>
    <definedName name="solver_lhs40" localSheetId="0" hidden="1">Sheet1!$I$45</definedName>
    <definedName name="solver_lhs41" localSheetId="0" hidden="1">Sheet1!$J$45</definedName>
    <definedName name="solver_lhs42" localSheetId="0" hidden="1">Sheet1!$H$65</definedName>
    <definedName name="solver_lhs43" localSheetId="0" hidden="1">Sheet1!$I$65</definedName>
    <definedName name="solver_lhs44" localSheetId="0" hidden="1">Sheet1!$J$65</definedName>
    <definedName name="solver_lhs45" localSheetId="0" hidden="1">Sheet1!$H$69</definedName>
    <definedName name="solver_lhs46" localSheetId="0" hidden="1">Sheet1!$I$69</definedName>
    <definedName name="solver_lhs47" localSheetId="0" hidden="1">Sheet1!$J$69</definedName>
    <definedName name="solver_lhs5" localSheetId="0" hidden="1">Sheet1!$G$27:$G$29</definedName>
    <definedName name="solver_lhs6" localSheetId="0" hidden="1">Sheet1!$C$33:$E$33</definedName>
    <definedName name="solver_lhs7" localSheetId="0" hidden="1">Sheet1!$C$33:$E$33</definedName>
    <definedName name="solver_lhs8" localSheetId="0" hidden="1">Sheet1!$C$82:$E$82</definedName>
    <definedName name="solver_lhs9" localSheetId="0" hidden="1">Sheet1!$G$51:$G$53</definedName>
    <definedName name="solver_lin" localSheetId="0" hidden="1">1</definedName>
    <definedName name="solver_neg" localSheetId="0" hidden="1">1</definedName>
    <definedName name="solver_num" localSheetId="0" hidden="1">47</definedName>
    <definedName name="solver_nwt" localSheetId="0" hidden="1">1</definedName>
    <definedName name="solver_opt" localSheetId="0" hidden="1">Sheet1!$C$95</definedName>
    <definedName name="solver_pre" localSheetId="0" hidden="1">0.000001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3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1</definedName>
    <definedName name="solver_rel18" localSheetId="0" hidden="1">1</definedName>
    <definedName name="solver_rel19" localSheetId="0" hidden="1">1</definedName>
    <definedName name="solver_rel2" localSheetId="0" hidden="1">3</definedName>
    <definedName name="solver_rel20" localSheetId="0" hidden="1">1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24" localSheetId="0" hidden="1">1</definedName>
    <definedName name="solver_rel25" localSheetId="0" hidden="1">1</definedName>
    <definedName name="solver_rel26" localSheetId="0" hidden="1">1</definedName>
    <definedName name="solver_rel27" localSheetId="0" hidden="1">1</definedName>
    <definedName name="solver_rel28" localSheetId="0" hidden="1">1</definedName>
    <definedName name="solver_rel29" localSheetId="0" hidden="1">1</definedName>
    <definedName name="solver_rel3" localSheetId="0" hidden="1">1</definedName>
    <definedName name="solver_rel30" localSheetId="0" hidden="1">3</definedName>
    <definedName name="solver_rel31" localSheetId="0" hidden="1">3</definedName>
    <definedName name="solver_rel32" localSheetId="0" hidden="1">3</definedName>
    <definedName name="solver_rel33" localSheetId="0" hidden="1">3</definedName>
    <definedName name="solver_rel34" localSheetId="0" hidden="1">3</definedName>
    <definedName name="solver_rel35" localSheetId="0" hidden="1">3</definedName>
    <definedName name="solver_rel36" localSheetId="0" hidden="1">3</definedName>
    <definedName name="solver_rel37" localSheetId="0" hidden="1">3</definedName>
    <definedName name="solver_rel38" localSheetId="0" hidden="1">3</definedName>
    <definedName name="solver_rel39" localSheetId="0" hidden="1">3</definedName>
    <definedName name="solver_rel4" localSheetId="0" hidden="1">1</definedName>
    <definedName name="solver_rel40" localSheetId="0" hidden="1">3</definedName>
    <definedName name="solver_rel41" localSheetId="0" hidden="1">3</definedName>
    <definedName name="solver_rel42" localSheetId="0" hidden="1">3</definedName>
    <definedName name="solver_rel43" localSheetId="0" hidden="1">3</definedName>
    <definedName name="solver_rel44" localSheetId="0" hidden="1">3</definedName>
    <definedName name="solver_rel45" localSheetId="0" hidden="1">3</definedName>
    <definedName name="solver_rel46" localSheetId="0" hidden="1">3</definedName>
    <definedName name="solver_rel47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Sheet1!$I$3:$I$5</definedName>
    <definedName name="solver_rhs10" localSheetId="0" hidden="1">Sheet1!$C$59:$E$59</definedName>
    <definedName name="solver_rhs11" localSheetId="0" hidden="1">Sheet1!$C$61:$E$61</definedName>
    <definedName name="solver_rhs12" localSheetId="0" hidden="1">Sheet1!$C$84:$E$84</definedName>
    <definedName name="solver_rhs13" localSheetId="0" hidden="1">Sheet1!$C$92:$E$92</definedName>
    <definedName name="solver_rhs14" localSheetId="0" hidden="1">Sheet1!$I$6</definedName>
    <definedName name="solver_rhs15" localSheetId="0" hidden="1">Sheet1!$I$6</definedName>
    <definedName name="solver_rhs16" localSheetId="0" hidden="1">Sheet1!$I$6</definedName>
    <definedName name="solver_rhs17" localSheetId="0" hidden="1">Sheet1!$I$6</definedName>
    <definedName name="solver_rhs18" localSheetId="0" hidden="1">Sheet1!$H$19</definedName>
    <definedName name="solver_rhs19" localSheetId="0" hidden="1">Sheet1!$I$19</definedName>
    <definedName name="solver_rhs2" localSheetId="0" hidden="1">Sheet1!$C$11:$E$11</definedName>
    <definedName name="solver_rhs20" localSheetId="0" hidden="1">Sheet1!$J$19</definedName>
    <definedName name="solver_rhs21" localSheetId="0" hidden="1">Sheet1!$H$43</definedName>
    <definedName name="solver_rhs22" localSheetId="0" hidden="1">Sheet1!$I$43</definedName>
    <definedName name="solver_rhs23" localSheetId="0" hidden="1">Sheet1!$J$43</definedName>
    <definedName name="solver_rhs24" localSheetId="0" hidden="1">Sheet1!$H$67</definedName>
    <definedName name="solver_rhs25" localSheetId="0" hidden="1">Sheet1!$I$67</definedName>
    <definedName name="solver_rhs26" localSheetId="0" hidden="1">Sheet1!$J$67</definedName>
    <definedName name="solver_rhs27" localSheetId="0" hidden="1">Sheet1!$C$92</definedName>
    <definedName name="solver_rhs28" localSheetId="0" hidden="1">Sheet1!$D$92</definedName>
    <definedName name="solver_rhs29" localSheetId="0" hidden="1">Sheet1!$E$92</definedName>
    <definedName name="solver_rhs3" localSheetId="0" hidden="1">Sheet1!$C$13:$E$13</definedName>
    <definedName name="solver_rhs30" localSheetId="0" hidden="1">Sheet1!$H$22</definedName>
    <definedName name="solver_rhs31" localSheetId="0" hidden="1">Sheet1!$I$22</definedName>
    <definedName name="solver_rhs32" localSheetId="0" hidden="1">Sheet1!$J$22</definedName>
    <definedName name="solver_rhs33" localSheetId="0" hidden="1">Sheet1!$H$22</definedName>
    <definedName name="solver_rhs34" localSheetId="0" hidden="1">Sheet1!$I$22</definedName>
    <definedName name="solver_rhs35" localSheetId="0" hidden="1">Sheet1!$J$22</definedName>
    <definedName name="solver_rhs36" localSheetId="0" hidden="1">Sheet1!$H$46</definedName>
    <definedName name="solver_rhs37" localSheetId="0" hidden="1">Sheet1!$I$46</definedName>
    <definedName name="solver_rhs38" localSheetId="0" hidden="1">Sheet1!$J$46</definedName>
    <definedName name="solver_rhs39" localSheetId="0" hidden="1">Sheet1!$H$46</definedName>
    <definedName name="solver_rhs4" localSheetId="0" hidden="1">Sheet1!$I$76:$I$78</definedName>
    <definedName name="solver_rhs40" localSheetId="0" hidden="1">Sheet1!$I$46</definedName>
    <definedName name="solver_rhs41" localSheetId="0" hidden="1">Sheet1!$J$46</definedName>
    <definedName name="solver_rhs42" localSheetId="0" hidden="1">Sheet1!$H$70</definedName>
    <definedName name="solver_rhs43" localSheetId="0" hidden="1">Sheet1!$I$70</definedName>
    <definedName name="solver_rhs44" localSheetId="0" hidden="1">Sheet1!$J$70</definedName>
    <definedName name="solver_rhs45" localSheetId="0" hidden="1">Sheet1!$H$70</definedName>
    <definedName name="solver_rhs46" localSheetId="0" hidden="1">Sheet1!$I$70</definedName>
    <definedName name="solver_rhs47" localSheetId="0" hidden="1">Sheet1!$J$70</definedName>
    <definedName name="solver_rhs5" localSheetId="0" hidden="1">Sheet1!$I$27:$I$29</definedName>
    <definedName name="solver_rhs6" localSheetId="0" hidden="1">Sheet1!$C$35:$E$35</definedName>
    <definedName name="solver_rhs7" localSheetId="0" hidden="1">Sheet1!$C$37:$E$37</definedName>
    <definedName name="solver_rhs8" localSheetId="0" hidden="1">Sheet1!$C$86:$E$86</definedName>
    <definedName name="solver_rhs9" localSheetId="0" hidden="1">Sheet1!$I$51:$I$53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C17" i="1"/>
  <c r="D17" i="1"/>
  <c r="E17" i="1"/>
  <c r="H21" i="1"/>
  <c r="C21" i="1" s="1"/>
  <c r="C22" i="1" s="1"/>
  <c r="I21" i="1"/>
  <c r="J21" i="1"/>
  <c r="G27" i="1"/>
  <c r="G28" i="1"/>
  <c r="G29" i="1"/>
  <c r="C39" i="1"/>
  <c r="D39" i="1"/>
  <c r="D41" i="1" s="1"/>
  <c r="E39" i="1"/>
  <c r="C41" i="1"/>
  <c r="H45" i="1" s="1"/>
  <c r="E41" i="1"/>
  <c r="J45" i="1" s="1"/>
  <c r="G51" i="1"/>
  <c r="G52" i="1"/>
  <c r="G53" i="1"/>
  <c r="G76" i="1"/>
  <c r="G77" i="1"/>
  <c r="G78" i="1"/>
  <c r="C45" i="1" l="1"/>
  <c r="I45" i="1"/>
  <c r="D63" i="1"/>
  <c r="D65" i="1" s="1"/>
  <c r="C46" i="1"/>
  <c r="E63" i="1"/>
  <c r="E65" i="1" s="1"/>
  <c r="C63" i="1"/>
  <c r="C65" i="1" s="1"/>
  <c r="J69" i="1" l="1"/>
  <c r="E88" i="1"/>
  <c r="E90" i="1" s="1"/>
  <c r="I69" i="1"/>
  <c r="D88" i="1"/>
  <c r="D90" i="1" s="1"/>
  <c r="C88" i="1"/>
  <c r="C90" i="1" s="1"/>
  <c r="C94" i="1" s="1"/>
  <c r="H69" i="1"/>
  <c r="C69" i="1" s="1"/>
  <c r="C70" i="1" s="1"/>
  <c r="C95" i="1" s="1"/>
</calcChain>
</file>

<file path=xl/sharedStrings.xml><?xml version="1.0" encoding="utf-8"?>
<sst xmlns="http://schemas.openxmlformats.org/spreadsheetml/2006/main" count="150" uniqueCount="35">
  <si>
    <t>week 1</t>
  </si>
  <si>
    <t>product</t>
  </si>
  <si>
    <t>Alpha</t>
  </si>
  <si>
    <t>Beta</t>
  </si>
  <si>
    <t>Gamma</t>
  </si>
  <si>
    <t>resource usage</t>
  </si>
  <si>
    <t>resource available</t>
  </si>
  <si>
    <t>A-line test</t>
  </si>
  <si>
    <t>C-line Test</t>
  </si>
  <si>
    <t>labor</t>
  </si>
  <si>
    <t>quantity assembled</t>
  </si>
  <si>
    <t>net profit/unit</t>
  </si>
  <si>
    <t>sales</t>
  </si>
  <si>
    <t>lower bound sales</t>
  </si>
  <si>
    <t>upper bound sales</t>
  </si>
  <si>
    <t>beginning inventory</t>
  </si>
  <si>
    <t>holding cost/unit/week</t>
  </si>
  <si>
    <t>ending inventory</t>
  </si>
  <si>
    <t>weekly net profit</t>
  </si>
  <si>
    <t>total net profit</t>
  </si>
  <si>
    <t>week 2</t>
  </si>
  <si>
    <t>week 3</t>
  </si>
  <si>
    <t>week 4</t>
  </si>
  <si>
    <t>Extra-labor</t>
  </si>
  <si>
    <t>&lt;=</t>
  </si>
  <si>
    <t>backlog cost/unit/week</t>
  </si>
  <si>
    <t>upper bound backlog</t>
  </si>
  <si>
    <t>&gt;=</t>
  </si>
  <si>
    <t>upper bound ending</t>
  </si>
  <si>
    <t>ending inventory (I)</t>
  </si>
  <si>
    <t>backlog (I2)</t>
  </si>
  <si>
    <t>inventory (I1)</t>
  </si>
  <si>
    <t>Extra-labor cost</t>
  </si>
  <si>
    <t>ending inventory(I)</t>
  </si>
  <si>
    <t>no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</si>
</sst>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topLeftCell="A76" workbookViewId="0">
      <selection activeCell="E82" sqref="E82"/>
    </sheetView>
  </sheetViews>
  <sheetFormatPr defaultColWidth="8.81640625" defaultRowHeight="12.5" x14ac:dyDescent="0.25"/>
  <cols>
    <col min="1" max="1" width="7.81640625" style="1" customWidth="1"/>
    <col min="2" max="2" width="19.7265625" style="1" customWidth="1"/>
    <col min="3" max="3" width="9.1796875" style="1" customWidth="1"/>
    <col min="4" max="4" width="13.1796875" style="1" bestFit="1" customWidth="1"/>
    <col min="5" max="5" width="9.1796875" style="1" customWidth="1"/>
    <col min="6" max="6" width="9.453125" style="1" customWidth="1"/>
    <col min="7" max="7" width="20" style="1" customWidth="1"/>
    <col min="8" max="8" width="9.1796875" style="1" customWidth="1"/>
    <col min="9" max="9" width="16.7265625" style="1" customWidth="1"/>
  </cols>
  <sheetData>
    <row r="1" spans="1:10" x14ac:dyDescent="0.25">
      <c r="A1" s="1" t="s">
        <v>0</v>
      </c>
      <c r="B1" s="1" t="s">
        <v>0</v>
      </c>
    </row>
    <row r="2" spans="1:10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I2" s="1" t="s">
        <v>6</v>
      </c>
    </row>
    <row r="3" spans="1:10" x14ac:dyDescent="0.25">
      <c r="B3" s="1" t="s">
        <v>7</v>
      </c>
      <c r="C3" s="1">
        <v>1</v>
      </c>
      <c r="D3" s="1">
        <v>1</v>
      </c>
      <c r="G3" s="1">
        <f>C3*C6+D3*D6</f>
        <v>0</v>
      </c>
      <c r="H3" s="1" t="s">
        <v>24</v>
      </c>
      <c r="I3" s="1">
        <v>120</v>
      </c>
    </row>
    <row r="4" spans="1:10" x14ac:dyDescent="0.25">
      <c r="B4" s="1" t="s">
        <v>8</v>
      </c>
      <c r="E4" s="1">
        <v>1</v>
      </c>
      <c r="G4" s="1">
        <f>E4*E6</f>
        <v>0</v>
      </c>
      <c r="H4" s="1" t="s">
        <v>24</v>
      </c>
      <c r="I4" s="1">
        <v>48</v>
      </c>
    </row>
    <row r="5" spans="1:10" x14ac:dyDescent="0.25">
      <c r="B5" s="1" t="s">
        <v>9</v>
      </c>
      <c r="C5" s="1">
        <v>10</v>
      </c>
      <c r="D5" s="1">
        <v>15</v>
      </c>
      <c r="E5" s="1">
        <v>20</v>
      </c>
      <c r="F5" s="1">
        <v>0</v>
      </c>
      <c r="G5" s="1">
        <f>C5*C6+D5*D6+E5*E6-F5</f>
        <v>0</v>
      </c>
      <c r="H5" s="1" t="s">
        <v>24</v>
      </c>
      <c r="I5" s="1">
        <v>2000</v>
      </c>
    </row>
    <row r="6" spans="1:10" x14ac:dyDescent="0.25">
      <c r="B6" s="1" t="s">
        <v>10</v>
      </c>
      <c r="C6" s="1">
        <v>0</v>
      </c>
      <c r="D6" s="1">
        <v>0</v>
      </c>
      <c r="E6" s="1">
        <v>0</v>
      </c>
      <c r="G6" s="1" t="s">
        <v>23</v>
      </c>
      <c r="H6" s="1" t="s">
        <v>24</v>
      </c>
      <c r="I6" s="1">
        <v>1000</v>
      </c>
    </row>
    <row r="8" spans="1:10" x14ac:dyDescent="0.25">
      <c r="B8" s="1" t="s">
        <v>11</v>
      </c>
      <c r="C8" s="1">
        <v>350</v>
      </c>
      <c r="D8" s="1">
        <v>470</v>
      </c>
      <c r="E8" s="1">
        <v>610</v>
      </c>
    </row>
    <row r="9" spans="1:10" x14ac:dyDescent="0.25">
      <c r="B9" s="1" t="s">
        <v>12</v>
      </c>
      <c r="C9" s="1">
        <v>0</v>
      </c>
      <c r="D9" s="1">
        <v>0</v>
      </c>
      <c r="E9" s="1">
        <v>0</v>
      </c>
    </row>
    <row r="11" spans="1:10" x14ac:dyDescent="0.25">
      <c r="B11" s="1" t="s">
        <v>13</v>
      </c>
      <c r="C11" s="1">
        <v>20</v>
      </c>
      <c r="D11" s="1">
        <v>20</v>
      </c>
      <c r="E11" s="1">
        <v>20</v>
      </c>
    </row>
    <row r="12" spans="1:10" x14ac:dyDescent="0.25">
      <c r="C12" s="1" t="s">
        <v>24</v>
      </c>
      <c r="D12" s="1" t="s">
        <v>24</v>
      </c>
      <c r="E12" s="1" t="s">
        <v>24</v>
      </c>
    </row>
    <row r="13" spans="1:10" x14ac:dyDescent="0.25">
      <c r="B13" s="1" t="s">
        <v>14</v>
      </c>
      <c r="C13" s="1">
        <v>100</v>
      </c>
      <c r="D13" s="1">
        <v>60</v>
      </c>
      <c r="E13" s="1">
        <v>80</v>
      </c>
    </row>
    <row r="14" spans="1:10" x14ac:dyDescent="0.25">
      <c r="H14" s="1" t="s">
        <v>2</v>
      </c>
      <c r="I14" s="1" t="s">
        <v>3</v>
      </c>
      <c r="J14" s="1" t="s">
        <v>4</v>
      </c>
    </row>
    <row r="15" spans="1:10" x14ac:dyDescent="0.25">
      <c r="B15" s="1" t="s">
        <v>15</v>
      </c>
      <c r="C15" s="1">
        <v>22</v>
      </c>
      <c r="D15" s="1">
        <v>42</v>
      </c>
      <c r="E15" s="1">
        <v>36</v>
      </c>
    </row>
    <row r="16" spans="1:10" x14ac:dyDescent="0.25">
      <c r="B16" s="1" t="s">
        <v>16</v>
      </c>
      <c r="C16" s="1">
        <v>9</v>
      </c>
      <c r="D16" s="1">
        <v>10</v>
      </c>
      <c r="E16" s="1">
        <v>18</v>
      </c>
      <c r="G16" s="1" t="s">
        <v>25</v>
      </c>
      <c r="H16" s="1">
        <v>30</v>
      </c>
      <c r="I16" s="1">
        <v>40</v>
      </c>
      <c r="J16" s="1">
        <v>60</v>
      </c>
    </row>
    <row r="17" spans="1:10" x14ac:dyDescent="0.25">
      <c r="B17" s="1" t="s">
        <v>29</v>
      </c>
      <c r="C17" s="1">
        <f>C15+C6-C9</f>
        <v>22</v>
      </c>
      <c r="D17" s="2">
        <f>D15+D6-D9</f>
        <v>42</v>
      </c>
      <c r="E17" s="1">
        <f>E15+E6-E9</f>
        <v>36</v>
      </c>
      <c r="G17" s="1" t="s">
        <v>30</v>
      </c>
      <c r="H17" s="1">
        <v>0</v>
      </c>
      <c r="I17" s="1">
        <v>0</v>
      </c>
      <c r="J17" s="1">
        <v>0</v>
      </c>
    </row>
    <row r="18" spans="1:10" x14ac:dyDescent="0.25">
      <c r="H18" s="1" t="s">
        <v>24</v>
      </c>
      <c r="I18" s="1" t="s">
        <v>24</v>
      </c>
      <c r="J18" s="1" t="s">
        <v>24</v>
      </c>
    </row>
    <row r="19" spans="1:10" x14ac:dyDescent="0.25">
      <c r="G19" s="1" t="s">
        <v>26</v>
      </c>
      <c r="H19" s="1">
        <v>25</v>
      </c>
      <c r="I19" s="1">
        <v>25</v>
      </c>
      <c r="J19" s="1">
        <v>25</v>
      </c>
    </row>
    <row r="20" spans="1:10" x14ac:dyDescent="0.25">
      <c r="B20" s="1" t="s">
        <v>32</v>
      </c>
      <c r="C20" s="1">
        <v>25</v>
      </c>
    </row>
    <row r="21" spans="1:10" x14ac:dyDescent="0.25">
      <c r="B21" s="1" t="s">
        <v>18</v>
      </c>
      <c r="C21" s="1">
        <f>C8*C9+D8*D9+E8*E9-C16*H21-D16*I21-E16*J21-C20*F5-H16*H17-I16*I17-J16*J17</f>
        <v>-1266</v>
      </c>
      <c r="G21" s="1" t="s">
        <v>31</v>
      </c>
      <c r="H21" s="1">
        <f>C17+H17</f>
        <v>22</v>
      </c>
      <c r="I21" s="2">
        <f>D17+I17</f>
        <v>42</v>
      </c>
      <c r="J21" s="1">
        <f>E17+J17</f>
        <v>36</v>
      </c>
    </row>
    <row r="22" spans="1:10" x14ac:dyDescent="0.25">
      <c r="B22" s="1" t="s">
        <v>19</v>
      </c>
      <c r="C22" s="1">
        <f>C21</f>
        <v>-1266</v>
      </c>
      <c r="H22" s="1">
        <v>0</v>
      </c>
      <c r="I22" s="1">
        <v>0</v>
      </c>
      <c r="J22" s="1">
        <v>0</v>
      </c>
    </row>
    <row r="25" spans="1:10" x14ac:dyDescent="0.25">
      <c r="A25" s="1" t="s">
        <v>20</v>
      </c>
      <c r="B25" s="1" t="s">
        <v>20</v>
      </c>
    </row>
    <row r="26" spans="1:10" x14ac:dyDescent="0.25">
      <c r="B26" s="1" t="s">
        <v>1</v>
      </c>
      <c r="C26" s="1" t="s">
        <v>2</v>
      </c>
      <c r="D26" s="1" t="s">
        <v>3</v>
      </c>
      <c r="E26" s="1" t="s">
        <v>4</v>
      </c>
      <c r="F26" s="1" t="s">
        <v>23</v>
      </c>
      <c r="G26" s="1" t="s">
        <v>5</v>
      </c>
      <c r="I26" s="1" t="s">
        <v>6</v>
      </c>
    </row>
    <row r="27" spans="1:10" x14ac:dyDescent="0.25">
      <c r="B27" s="1" t="s">
        <v>7</v>
      </c>
      <c r="C27" s="1">
        <v>1</v>
      </c>
      <c r="D27" s="1">
        <v>1</v>
      </c>
      <c r="G27" s="1">
        <f>C27*C30+D27*D30</f>
        <v>0</v>
      </c>
      <c r="H27" s="1" t="s">
        <v>24</v>
      </c>
      <c r="I27" s="1">
        <v>120</v>
      </c>
    </row>
    <row r="28" spans="1:10" x14ac:dyDescent="0.25">
      <c r="B28" s="1" t="s">
        <v>8</v>
      </c>
      <c r="E28" s="1">
        <v>1</v>
      </c>
      <c r="G28" s="1">
        <f>E28*E30</f>
        <v>0</v>
      </c>
      <c r="H28" s="1" t="s">
        <v>24</v>
      </c>
      <c r="I28" s="1">
        <v>48</v>
      </c>
    </row>
    <row r="29" spans="1:10" x14ac:dyDescent="0.25">
      <c r="B29" s="1" t="s">
        <v>9</v>
      </c>
      <c r="C29" s="1">
        <v>10</v>
      </c>
      <c r="D29" s="1">
        <v>15</v>
      </c>
      <c r="E29" s="1">
        <v>20</v>
      </c>
      <c r="F29" s="1">
        <v>0</v>
      </c>
      <c r="G29" s="1">
        <f>C29*C30+D29*D30+E29*E30-F29</f>
        <v>0</v>
      </c>
      <c r="H29" s="1" t="s">
        <v>24</v>
      </c>
      <c r="I29" s="1">
        <v>2000</v>
      </c>
    </row>
    <row r="30" spans="1:10" x14ac:dyDescent="0.25">
      <c r="B30" s="1" t="s">
        <v>10</v>
      </c>
      <c r="C30" s="1">
        <v>0</v>
      </c>
      <c r="D30" s="1">
        <v>0</v>
      </c>
      <c r="E30" s="1">
        <v>0</v>
      </c>
    </row>
    <row r="32" spans="1:10" x14ac:dyDescent="0.25">
      <c r="B32" s="1" t="s">
        <v>11</v>
      </c>
      <c r="C32" s="1">
        <v>350</v>
      </c>
      <c r="D32" s="1">
        <v>470</v>
      </c>
      <c r="E32" s="1">
        <v>610</v>
      </c>
    </row>
    <row r="33" spans="2:10" x14ac:dyDescent="0.25">
      <c r="B33" s="1" t="s">
        <v>12</v>
      </c>
      <c r="C33" s="1">
        <v>0</v>
      </c>
      <c r="D33" s="2">
        <v>0</v>
      </c>
      <c r="E33" s="1">
        <v>0</v>
      </c>
    </row>
    <row r="35" spans="2:10" x14ac:dyDescent="0.25">
      <c r="B35" s="1" t="s">
        <v>13</v>
      </c>
      <c r="C35" s="1">
        <v>20</v>
      </c>
      <c r="D35" s="1">
        <v>20</v>
      </c>
      <c r="E35" s="1">
        <v>20</v>
      </c>
    </row>
    <row r="36" spans="2:10" x14ac:dyDescent="0.25">
      <c r="C36" s="1" t="s">
        <v>24</v>
      </c>
      <c r="D36" s="1" t="s">
        <v>24</v>
      </c>
      <c r="E36" s="1" t="s">
        <v>24</v>
      </c>
    </row>
    <row r="37" spans="2:10" x14ac:dyDescent="0.25">
      <c r="B37" s="1" t="s">
        <v>14</v>
      </c>
      <c r="C37" s="1">
        <v>100</v>
      </c>
      <c r="D37" s="1">
        <v>60</v>
      </c>
      <c r="E37" s="1">
        <v>80</v>
      </c>
    </row>
    <row r="38" spans="2:10" x14ac:dyDescent="0.25">
      <c r="H38" s="1" t="s">
        <v>2</v>
      </c>
      <c r="I38" s="1" t="s">
        <v>3</v>
      </c>
      <c r="J38" s="1" t="s">
        <v>4</v>
      </c>
    </row>
    <row r="39" spans="2:10" x14ac:dyDescent="0.25">
      <c r="B39" s="1" t="s">
        <v>15</v>
      </c>
      <c r="C39" s="1">
        <f>C17</f>
        <v>22</v>
      </c>
      <c r="D39" s="2">
        <f>D17</f>
        <v>42</v>
      </c>
      <c r="E39" s="1">
        <f>E17</f>
        <v>36</v>
      </c>
    </row>
    <row r="40" spans="2:10" x14ac:dyDescent="0.25">
      <c r="B40" s="1" t="s">
        <v>16</v>
      </c>
      <c r="C40" s="1">
        <v>9</v>
      </c>
      <c r="D40" s="1">
        <v>10</v>
      </c>
      <c r="E40" s="1">
        <v>18</v>
      </c>
      <c r="G40" s="1" t="s">
        <v>25</v>
      </c>
      <c r="H40" s="1">
        <v>30</v>
      </c>
      <c r="I40" s="1">
        <v>40</v>
      </c>
      <c r="J40" s="1">
        <v>60</v>
      </c>
    </row>
    <row r="41" spans="2:10" x14ac:dyDescent="0.25">
      <c r="B41" s="1" t="s">
        <v>33</v>
      </c>
      <c r="C41" s="2">
        <f>C39+C30-C33</f>
        <v>22</v>
      </c>
      <c r="D41" s="2">
        <f>D39+D30-D33</f>
        <v>42</v>
      </c>
      <c r="E41" s="2">
        <f>E39+E30-E33</f>
        <v>36</v>
      </c>
      <c r="F41" s="2"/>
      <c r="G41" s="1" t="s">
        <v>30</v>
      </c>
      <c r="H41" s="1">
        <v>0</v>
      </c>
      <c r="I41" s="1">
        <v>0</v>
      </c>
      <c r="J41" s="1">
        <v>0</v>
      </c>
    </row>
    <row r="42" spans="2:10" x14ac:dyDescent="0.25">
      <c r="H42" s="1" t="s">
        <v>24</v>
      </c>
      <c r="I42" s="1" t="s">
        <v>24</v>
      </c>
      <c r="J42" s="1" t="s">
        <v>24</v>
      </c>
    </row>
    <row r="43" spans="2:10" x14ac:dyDescent="0.25">
      <c r="G43" s="1" t="s">
        <v>26</v>
      </c>
      <c r="H43" s="1">
        <v>25</v>
      </c>
      <c r="I43" s="1">
        <v>25</v>
      </c>
      <c r="J43" s="1">
        <v>25</v>
      </c>
    </row>
    <row r="45" spans="2:10" x14ac:dyDescent="0.25">
      <c r="B45" s="1" t="s">
        <v>18</v>
      </c>
      <c r="C45" s="1">
        <f>C32*C33+D32*D33+E32*E33-C40*H45-D40*I45-E40*J45-C20*F29-H40*H41-I40*I41-J40*J41</f>
        <v>-1266</v>
      </c>
      <c r="G45" s="1" t="s">
        <v>31</v>
      </c>
      <c r="H45" s="2">
        <f>C41+H41</f>
        <v>22</v>
      </c>
      <c r="I45" s="2">
        <f>D41+I41</f>
        <v>42</v>
      </c>
      <c r="J45" s="2">
        <f>E41+J41</f>
        <v>36</v>
      </c>
    </row>
    <row r="46" spans="2:10" x14ac:dyDescent="0.25">
      <c r="B46" s="1" t="s">
        <v>19</v>
      </c>
      <c r="C46" s="1">
        <f>C22+C45</f>
        <v>-2532</v>
      </c>
      <c r="H46" s="1">
        <v>0</v>
      </c>
      <c r="I46" s="1">
        <v>0</v>
      </c>
      <c r="J46" s="1">
        <v>0</v>
      </c>
    </row>
    <row r="49" spans="1:10" x14ac:dyDescent="0.25">
      <c r="A49" s="1" t="s">
        <v>21</v>
      </c>
      <c r="B49" s="1" t="s">
        <v>21</v>
      </c>
    </row>
    <row r="50" spans="1:10" x14ac:dyDescent="0.25">
      <c r="B50" s="1" t="s">
        <v>1</v>
      </c>
      <c r="C50" s="1" t="s">
        <v>2</v>
      </c>
      <c r="D50" s="1" t="s">
        <v>3</v>
      </c>
      <c r="E50" s="1" t="s">
        <v>4</v>
      </c>
      <c r="F50" s="1" t="s">
        <v>23</v>
      </c>
      <c r="G50" s="1" t="s">
        <v>5</v>
      </c>
      <c r="I50" s="1" t="s">
        <v>6</v>
      </c>
    </row>
    <row r="51" spans="1:10" x14ac:dyDescent="0.25">
      <c r="B51" s="1" t="s">
        <v>7</v>
      </c>
      <c r="C51" s="1">
        <v>1</v>
      </c>
      <c r="D51" s="1">
        <v>1</v>
      </c>
      <c r="G51" s="1">
        <f>C51*C54+D51*D54</f>
        <v>0</v>
      </c>
      <c r="H51" s="1" t="s">
        <v>24</v>
      </c>
      <c r="I51" s="1">
        <v>120</v>
      </c>
    </row>
    <row r="52" spans="1:10" x14ac:dyDescent="0.25">
      <c r="B52" s="1" t="s">
        <v>8</v>
      </c>
      <c r="E52" s="1">
        <v>1</v>
      </c>
      <c r="G52" s="1">
        <f>E52*E54</f>
        <v>0</v>
      </c>
      <c r="H52" s="1" t="s">
        <v>24</v>
      </c>
      <c r="I52" s="1">
        <v>48</v>
      </c>
    </row>
    <row r="53" spans="1:10" x14ac:dyDescent="0.25">
      <c r="B53" s="1" t="s">
        <v>9</v>
      </c>
      <c r="C53" s="1">
        <v>10</v>
      </c>
      <c r="D53" s="1">
        <v>15</v>
      </c>
      <c r="E53" s="1">
        <v>20</v>
      </c>
      <c r="F53" s="1">
        <v>0</v>
      </c>
      <c r="G53" s="1">
        <f>C53*C54+D53*D54+E53*E54-F53</f>
        <v>0</v>
      </c>
      <c r="H53" s="1" t="s">
        <v>24</v>
      </c>
      <c r="I53" s="1">
        <v>2000</v>
      </c>
    </row>
    <row r="54" spans="1:10" x14ac:dyDescent="0.25">
      <c r="B54" s="1" t="s">
        <v>10</v>
      </c>
      <c r="C54" s="1">
        <v>0</v>
      </c>
      <c r="D54" s="1">
        <v>0</v>
      </c>
      <c r="E54" s="1">
        <v>0</v>
      </c>
    </row>
    <row r="56" spans="1:10" x14ac:dyDescent="0.25">
      <c r="B56" s="1" t="s">
        <v>11</v>
      </c>
      <c r="C56" s="1">
        <v>350</v>
      </c>
      <c r="D56" s="1">
        <v>470</v>
      </c>
      <c r="E56" s="1">
        <v>610</v>
      </c>
    </row>
    <row r="57" spans="1:10" x14ac:dyDescent="0.25">
      <c r="B57" s="1" t="s">
        <v>12</v>
      </c>
      <c r="C57" s="1">
        <v>0</v>
      </c>
      <c r="D57" s="2">
        <v>0</v>
      </c>
      <c r="E57" s="1">
        <v>0</v>
      </c>
    </row>
    <row r="59" spans="1:10" x14ac:dyDescent="0.25">
      <c r="B59" s="1" t="s">
        <v>13</v>
      </c>
      <c r="C59" s="1">
        <v>20</v>
      </c>
      <c r="D59" s="1">
        <v>20</v>
      </c>
      <c r="E59" s="1">
        <v>20</v>
      </c>
    </row>
    <row r="60" spans="1:10" x14ac:dyDescent="0.25">
      <c r="C60" s="1" t="s">
        <v>24</v>
      </c>
      <c r="D60" s="1" t="s">
        <v>24</v>
      </c>
      <c r="E60" s="1" t="s">
        <v>24</v>
      </c>
    </row>
    <row r="61" spans="1:10" x14ac:dyDescent="0.25">
      <c r="B61" s="1" t="s">
        <v>14</v>
      </c>
      <c r="C61" s="1">
        <v>100</v>
      </c>
      <c r="D61" s="1">
        <v>60</v>
      </c>
      <c r="E61" s="1">
        <v>80</v>
      </c>
    </row>
    <row r="62" spans="1:10" x14ac:dyDescent="0.25">
      <c r="H62" s="1" t="s">
        <v>2</v>
      </c>
      <c r="I62" s="1" t="s">
        <v>3</v>
      </c>
      <c r="J62" s="1" t="s">
        <v>4</v>
      </c>
    </row>
    <row r="63" spans="1:10" x14ac:dyDescent="0.25">
      <c r="B63" s="1" t="s">
        <v>15</v>
      </c>
      <c r="C63" s="2">
        <f>C41</f>
        <v>22</v>
      </c>
      <c r="D63" s="2">
        <f>D41</f>
        <v>42</v>
      </c>
      <c r="E63" s="2">
        <f>E41</f>
        <v>36</v>
      </c>
      <c r="F63" s="2"/>
    </row>
    <row r="64" spans="1:10" x14ac:dyDescent="0.25">
      <c r="B64" s="1" t="s">
        <v>16</v>
      </c>
      <c r="C64" s="1">
        <v>9</v>
      </c>
      <c r="D64" s="1">
        <v>10</v>
      </c>
      <c r="E64" s="1">
        <v>18</v>
      </c>
      <c r="G64" s="1" t="s">
        <v>25</v>
      </c>
      <c r="H64" s="1">
        <v>30</v>
      </c>
      <c r="I64" s="1">
        <v>40</v>
      </c>
      <c r="J64" s="1">
        <v>60</v>
      </c>
    </row>
    <row r="65" spans="1:10" x14ac:dyDescent="0.25">
      <c r="B65" s="1" t="s">
        <v>29</v>
      </c>
      <c r="C65" s="2">
        <f>C63+C54-C57</f>
        <v>22</v>
      </c>
      <c r="D65" s="2">
        <f>D63+D54-D57</f>
        <v>42</v>
      </c>
      <c r="E65" s="2">
        <f>E63+E54-E57</f>
        <v>36</v>
      </c>
      <c r="G65" s="1" t="s">
        <v>30</v>
      </c>
      <c r="H65" s="3">
        <v>0</v>
      </c>
      <c r="I65" s="2">
        <v>0</v>
      </c>
      <c r="J65" s="3">
        <v>0</v>
      </c>
    </row>
    <row r="66" spans="1:10" x14ac:dyDescent="0.25">
      <c r="H66" s="1" t="s">
        <v>24</v>
      </c>
      <c r="I66" s="1" t="s">
        <v>24</v>
      </c>
      <c r="J66" s="1" t="s">
        <v>24</v>
      </c>
    </row>
    <row r="67" spans="1:10" x14ac:dyDescent="0.25">
      <c r="G67" s="1" t="s">
        <v>26</v>
      </c>
      <c r="H67" s="1">
        <v>25</v>
      </c>
      <c r="I67" s="1">
        <v>25</v>
      </c>
      <c r="J67" s="1">
        <v>25</v>
      </c>
    </row>
    <row r="69" spans="1:10" x14ac:dyDescent="0.25">
      <c r="B69" s="1" t="s">
        <v>18</v>
      </c>
      <c r="C69" s="1">
        <f>C56*C57+D56*D57+E56*E57-C64*H69-D64*I69-E64*J69-C20*F53-H64*H65-I64*I65-J64*J65</f>
        <v>-1266</v>
      </c>
      <c r="G69" s="1" t="s">
        <v>31</v>
      </c>
      <c r="H69" s="2">
        <f>C65+H65</f>
        <v>22</v>
      </c>
      <c r="I69" s="2">
        <f>D65+I65</f>
        <v>42</v>
      </c>
      <c r="J69" s="2">
        <f>E65+J65</f>
        <v>36</v>
      </c>
    </row>
    <row r="70" spans="1:10" x14ac:dyDescent="0.25">
      <c r="B70" s="1" t="s">
        <v>19</v>
      </c>
      <c r="C70" s="1">
        <f>C46+C69</f>
        <v>-3798</v>
      </c>
      <c r="H70" s="1">
        <v>0</v>
      </c>
      <c r="I70" s="1">
        <v>0</v>
      </c>
      <c r="J70" s="1">
        <v>0</v>
      </c>
    </row>
    <row r="74" spans="1:10" x14ac:dyDescent="0.25">
      <c r="A74" s="1" t="s">
        <v>22</v>
      </c>
      <c r="B74" s="1" t="s">
        <v>22</v>
      </c>
    </row>
    <row r="75" spans="1:10" x14ac:dyDescent="0.25">
      <c r="B75" s="1" t="s">
        <v>1</v>
      </c>
      <c r="C75" s="1" t="s">
        <v>2</v>
      </c>
      <c r="D75" s="1" t="s">
        <v>3</v>
      </c>
      <c r="E75" s="1" t="s">
        <v>4</v>
      </c>
      <c r="F75" s="1" t="s">
        <v>23</v>
      </c>
      <c r="G75" s="1" t="s">
        <v>5</v>
      </c>
      <c r="I75" s="1" t="s">
        <v>6</v>
      </c>
    </row>
    <row r="76" spans="1:10" x14ac:dyDescent="0.25">
      <c r="B76" s="1" t="s">
        <v>7</v>
      </c>
      <c r="C76" s="1">
        <v>1</v>
      </c>
      <c r="D76" s="1">
        <v>1</v>
      </c>
      <c r="G76" s="1">
        <f>C76*C79+D76*D79</f>
        <v>0</v>
      </c>
      <c r="H76" s="1" t="s">
        <v>24</v>
      </c>
      <c r="I76" s="1">
        <v>120</v>
      </c>
    </row>
    <row r="77" spans="1:10" x14ac:dyDescent="0.25">
      <c r="B77" s="1" t="s">
        <v>8</v>
      </c>
      <c r="E77" s="1">
        <v>1</v>
      </c>
      <c r="G77" s="1">
        <f>E77*E79</f>
        <v>0</v>
      </c>
      <c r="H77" s="1" t="s">
        <v>24</v>
      </c>
      <c r="I77" s="1">
        <v>48</v>
      </c>
    </row>
    <row r="78" spans="1:10" x14ac:dyDescent="0.25">
      <c r="B78" s="1" t="s">
        <v>9</v>
      </c>
      <c r="C78" s="1">
        <v>10</v>
      </c>
      <c r="D78" s="1">
        <v>15</v>
      </c>
      <c r="E78" s="1">
        <v>20</v>
      </c>
      <c r="F78" s="1">
        <v>0</v>
      </c>
      <c r="G78" s="1">
        <f>C78*C79+D78*D79+E78*E79-F78</f>
        <v>0</v>
      </c>
      <c r="H78" s="1" t="s">
        <v>24</v>
      </c>
      <c r="I78" s="1">
        <v>2000</v>
      </c>
    </row>
    <row r="79" spans="1:10" x14ac:dyDescent="0.25">
      <c r="B79" s="1" t="s">
        <v>10</v>
      </c>
      <c r="C79" s="1">
        <v>0</v>
      </c>
      <c r="D79" s="2">
        <v>0</v>
      </c>
      <c r="E79" s="1">
        <v>0</v>
      </c>
    </row>
    <row r="81" spans="2:7" x14ac:dyDescent="0.25">
      <c r="B81" s="1" t="s">
        <v>11</v>
      </c>
      <c r="C81" s="1">
        <v>350</v>
      </c>
      <c r="D81" s="1">
        <v>470</v>
      </c>
      <c r="E81" s="1">
        <v>610</v>
      </c>
    </row>
    <row r="82" spans="2:7" x14ac:dyDescent="0.25">
      <c r="B82" s="1" t="s">
        <v>12</v>
      </c>
      <c r="C82" s="1">
        <v>0</v>
      </c>
      <c r="D82" s="1">
        <v>0</v>
      </c>
      <c r="E82" s="1">
        <v>0</v>
      </c>
    </row>
    <row r="84" spans="2:7" x14ac:dyDescent="0.25">
      <c r="B84" s="1" t="s">
        <v>13</v>
      </c>
      <c r="C84" s="1">
        <v>20</v>
      </c>
      <c r="D84" s="1">
        <v>20</v>
      </c>
      <c r="E84" s="1">
        <v>20</v>
      </c>
    </row>
    <row r="85" spans="2:7" x14ac:dyDescent="0.25">
      <c r="C85" s="1" t="s">
        <v>24</v>
      </c>
      <c r="D85" s="1" t="s">
        <v>24</v>
      </c>
      <c r="E85" s="1" t="s">
        <v>24</v>
      </c>
    </row>
    <row r="86" spans="2:7" x14ac:dyDescent="0.25">
      <c r="B86" s="1" t="s">
        <v>14</v>
      </c>
      <c r="C86" s="1">
        <v>40</v>
      </c>
      <c r="D86" s="1">
        <v>25</v>
      </c>
      <c r="E86" s="1">
        <v>30</v>
      </c>
    </row>
    <row r="88" spans="2:7" x14ac:dyDescent="0.25">
      <c r="B88" s="1" t="s">
        <v>15</v>
      </c>
      <c r="C88" s="2">
        <f>C65</f>
        <v>22</v>
      </c>
      <c r="D88" s="2">
        <f>D65</f>
        <v>42</v>
      </c>
      <c r="E88" s="2">
        <f>E65</f>
        <v>36</v>
      </c>
    </row>
    <row r="89" spans="2:7" x14ac:dyDescent="0.25">
      <c r="B89" s="1" t="s">
        <v>16</v>
      </c>
      <c r="C89" s="1">
        <v>9</v>
      </c>
      <c r="D89" s="1">
        <v>10</v>
      </c>
      <c r="E89" s="1">
        <v>18</v>
      </c>
    </row>
    <row r="90" spans="2:7" x14ac:dyDescent="0.25">
      <c r="B90" s="1" t="s">
        <v>17</v>
      </c>
      <c r="C90" s="2">
        <f>C88+C79-C82</f>
        <v>22</v>
      </c>
      <c r="D90" s="2">
        <f>D88+D79-D82</f>
        <v>42</v>
      </c>
      <c r="E90" s="2">
        <f>E88+E79-E82</f>
        <v>36</v>
      </c>
      <c r="F90" s="2"/>
      <c r="G90" s="1" t="s">
        <v>34</v>
      </c>
    </row>
    <row r="91" spans="2:7" x14ac:dyDescent="0.25">
      <c r="C91" s="1" t="s">
        <v>27</v>
      </c>
      <c r="D91" s="1" t="s">
        <v>27</v>
      </c>
      <c r="E91" s="1" t="s">
        <v>27</v>
      </c>
    </row>
    <row r="92" spans="2:7" x14ac:dyDescent="0.25">
      <c r="B92" s="1" t="s">
        <v>28</v>
      </c>
      <c r="C92" s="1">
        <v>10</v>
      </c>
      <c r="D92" s="1">
        <v>10</v>
      </c>
      <c r="E92" s="1">
        <v>10</v>
      </c>
    </row>
    <row r="94" spans="2:7" x14ac:dyDescent="0.25">
      <c r="B94" s="1" t="s">
        <v>18</v>
      </c>
      <c r="C94" s="1">
        <f>C81*C82+D81*D82+E81*E82-C89*C90-D89*D90-E89*E90-C20*F78</f>
        <v>-1266</v>
      </c>
    </row>
    <row r="95" spans="2:7" x14ac:dyDescent="0.25">
      <c r="B95" s="1" t="s">
        <v>19</v>
      </c>
      <c r="C95" s="1">
        <f>C70+C94</f>
        <v>-5064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F. Shapiro</dc:creator>
  <cp:lastModifiedBy>Carina Negreanu</cp:lastModifiedBy>
  <dcterms:created xsi:type="dcterms:W3CDTF">2000-12-05T17:34:12Z</dcterms:created>
  <dcterms:modified xsi:type="dcterms:W3CDTF">2020-01-27T10:25:11Z</dcterms:modified>
</cp:coreProperties>
</file>