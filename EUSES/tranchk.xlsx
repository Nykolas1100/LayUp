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55D629E-A672-48B5-9CD2-DB76FBDD2E47}" xr6:coauthVersionLast="45" xr6:coauthVersionMax="45" xr10:uidLastSave="{00000000-0000-0000-0000-000000000000}"/>
  <bookViews>
    <workbookView xWindow="3040" yWindow="3040" windowWidth="28800" windowHeight="15460"/>
  </bookViews>
  <sheets>
    <sheet name="Instructions" sheetId="3" r:id="rId1"/>
    <sheet name="Data Input" sheetId="1" r:id="rId2"/>
    <sheet name="Results" sheetId="2" r:id="rId3"/>
  </sheets>
  <definedNames>
    <definedName name="_xlnm.Print_Area" localSheetId="1">'Data Input'!$B$2:$C$309</definedName>
  </definedNames>
  <calcPr calcId="191029" iterate="1" iterateCount="1"/>
  <customWorkbookViews>
    <customWorkbookView name="Data Entry" guid="{85263178-E0B2-4B7B-9F6F-D76E18D11EB6}" includePrintSettings="0" includeHiddenRowCol="0" maximized="1" windowWidth="1020" windowHeight="632"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1" i="1" l="1"/>
  <c r="C10" i="1" s="1"/>
  <c r="G11" i="1"/>
  <c r="F13" i="1"/>
  <c r="G13" i="1"/>
  <c r="F15" i="1"/>
  <c r="G15" i="1"/>
  <c r="F17" i="1"/>
  <c r="G17" i="1"/>
  <c r="F20" i="1"/>
  <c r="C19" i="1" s="1"/>
  <c r="G20" i="1"/>
  <c r="F22" i="1"/>
  <c r="G22" i="1"/>
  <c r="F24" i="1"/>
  <c r="G24" i="1"/>
  <c r="F26" i="1"/>
  <c r="G26" i="1"/>
  <c r="F28" i="1"/>
  <c r="G28" i="1"/>
  <c r="F30" i="1"/>
  <c r="G30" i="1"/>
  <c r="F32" i="1"/>
  <c r="G32" i="1"/>
  <c r="F34" i="1"/>
  <c r="G34" i="1"/>
  <c r="F36" i="1"/>
  <c r="G36" i="1"/>
  <c r="F38" i="1"/>
  <c r="G38" i="1"/>
  <c r="F41" i="1"/>
  <c r="C40" i="1" s="1"/>
  <c r="G41" i="1"/>
  <c r="F43" i="1"/>
  <c r="G43" i="1"/>
  <c r="F45" i="1"/>
  <c r="G45" i="1"/>
  <c r="F47" i="1"/>
  <c r="G47" i="1"/>
  <c r="F49" i="1"/>
  <c r="G49" i="1"/>
  <c r="F51" i="1"/>
  <c r="G51" i="1"/>
  <c r="F54" i="1"/>
  <c r="C53" i="1" s="1"/>
  <c r="G54" i="1"/>
  <c r="F56" i="1"/>
  <c r="G56" i="1"/>
  <c r="F58" i="1"/>
  <c r="G58" i="1"/>
  <c r="F60" i="1"/>
  <c r="G60" i="1"/>
  <c r="F62" i="1"/>
  <c r="G62" i="1"/>
  <c r="F70" i="1"/>
  <c r="C66" i="1" s="1"/>
  <c r="E34" i="2" s="1"/>
  <c r="G70" i="1"/>
  <c r="F72" i="1"/>
  <c r="G72" i="1"/>
  <c r="F74" i="1"/>
  <c r="G74" i="1"/>
  <c r="F76" i="1"/>
  <c r="G76" i="1"/>
  <c r="F78" i="1"/>
  <c r="G78" i="1"/>
  <c r="F86" i="1"/>
  <c r="C85" i="1" s="1"/>
  <c r="G86" i="1"/>
  <c r="F88" i="1"/>
  <c r="G88" i="1"/>
  <c r="F90" i="1"/>
  <c r="G90" i="1"/>
  <c r="F92" i="1"/>
  <c r="G92" i="1"/>
  <c r="F94" i="1"/>
  <c r="G94" i="1"/>
  <c r="F97" i="1"/>
  <c r="C96" i="1" s="1"/>
  <c r="G97" i="1"/>
  <c r="F99" i="1"/>
  <c r="G99" i="1"/>
  <c r="F101" i="1"/>
  <c r="G101" i="1"/>
  <c r="F104" i="1"/>
  <c r="C103" i="1" s="1"/>
  <c r="G104" i="1"/>
  <c r="F106" i="1"/>
  <c r="G106" i="1"/>
  <c r="F108" i="1"/>
  <c r="G108" i="1"/>
  <c r="F110" i="1"/>
  <c r="G110" i="1"/>
  <c r="F113" i="1"/>
  <c r="G113" i="1"/>
  <c r="F115" i="1"/>
  <c r="C112" i="1" s="1"/>
  <c r="G115" i="1"/>
  <c r="F117" i="1"/>
  <c r="G117" i="1"/>
  <c r="F120" i="1"/>
  <c r="C119" i="1" s="1"/>
  <c r="G120" i="1"/>
  <c r="F122" i="1"/>
  <c r="G122" i="1"/>
  <c r="F124" i="1"/>
  <c r="G124" i="1"/>
  <c r="F126" i="1"/>
  <c r="G126" i="1"/>
  <c r="F132" i="1"/>
  <c r="C131" i="1" s="1"/>
  <c r="G132" i="1"/>
  <c r="F134" i="1"/>
  <c r="G134" i="1"/>
  <c r="F136" i="1"/>
  <c r="G136" i="1"/>
  <c r="F138" i="1"/>
  <c r="G138" i="1"/>
  <c r="F140" i="1"/>
  <c r="G140" i="1"/>
  <c r="F142" i="1"/>
  <c r="G142" i="1"/>
  <c r="F144" i="1"/>
  <c r="G144" i="1"/>
  <c r="F146" i="1"/>
  <c r="G146" i="1"/>
  <c r="F149" i="1"/>
  <c r="C148" i="1" s="1"/>
  <c r="G149" i="1"/>
  <c r="F151" i="1"/>
  <c r="G151" i="1"/>
  <c r="F153" i="1"/>
  <c r="G153" i="1"/>
  <c r="F155" i="1"/>
  <c r="G155" i="1"/>
  <c r="F157" i="1"/>
  <c r="G157" i="1"/>
  <c r="F164" i="1"/>
  <c r="C163" i="1" s="1"/>
  <c r="G164" i="1"/>
  <c r="F166" i="1"/>
  <c r="G166" i="1"/>
  <c r="F168" i="1"/>
  <c r="G168" i="1"/>
  <c r="F170" i="1"/>
  <c r="G170" i="1"/>
  <c r="F172" i="1"/>
  <c r="G172" i="1"/>
  <c r="F175" i="1"/>
  <c r="C174" i="1" s="1"/>
  <c r="G175" i="1"/>
  <c r="F177" i="1"/>
  <c r="G177" i="1"/>
  <c r="F179" i="1"/>
  <c r="G179" i="1"/>
  <c r="F181" i="1"/>
  <c r="G181" i="1"/>
  <c r="F183" i="1"/>
  <c r="G183" i="1"/>
  <c r="C185" i="1"/>
  <c r="F186" i="1"/>
  <c r="G186" i="1"/>
  <c r="F188" i="1"/>
  <c r="G188" i="1"/>
  <c r="F190" i="1"/>
  <c r="G190" i="1"/>
  <c r="F192" i="1"/>
  <c r="G192" i="1"/>
  <c r="F199" i="1"/>
  <c r="C195" i="1" s="1"/>
  <c r="E42" i="2" s="1"/>
  <c r="G199" i="1"/>
  <c r="F201" i="1"/>
  <c r="C197" i="1" s="1"/>
  <c r="G201" i="1"/>
  <c r="F203" i="1"/>
  <c r="G203" i="1"/>
  <c r="F205" i="1"/>
  <c r="G205" i="1"/>
  <c r="F207" i="1"/>
  <c r="G207" i="1"/>
  <c r="F209" i="1"/>
  <c r="G209" i="1"/>
  <c r="F216" i="1"/>
  <c r="C212" i="1" s="1"/>
  <c r="E44" i="2" s="1"/>
  <c r="G216" i="1"/>
  <c r="F218" i="1"/>
  <c r="G218" i="1"/>
  <c r="F220" i="1"/>
  <c r="C215" i="1" s="1"/>
  <c r="J16" i="1" s="1"/>
  <c r="G220" i="1"/>
  <c r="F222" i="1"/>
  <c r="G222" i="1"/>
  <c r="F229" i="1"/>
  <c r="C228" i="1" s="1"/>
  <c r="G229" i="1"/>
  <c r="F231" i="1"/>
  <c r="G231" i="1"/>
  <c r="F233" i="1"/>
  <c r="G233" i="1"/>
  <c r="F235" i="1"/>
  <c r="G235" i="1"/>
  <c r="F237" i="1"/>
  <c r="G237" i="1"/>
  <c r="F239" i="1"/>
  <c r="G239" i="1"/>
  <c r="F241" i="1"/>
  <c r="G241" i="1"/>
  <c r="F244" i="1"/>
  <c r="C243" i="1" s="1"/>
  <c r="G244" i="1"/>
  <c r="F246" i="1"/>
  <c r="G246" i="1"/>
  <c r="F248" i="1"/>
  <c r="G248" i="1"/>
  <c r="F250" i="1"/>
  <c r="G250" i="1"/>
  <c r="F252" i="1"/>
  <c r="G252" i="1"/>
  <c r="F254" i="1"/>
  <c r="G254" i="1"/>
  <c r="F256" i="1"/>
  <c r="G256" i="1"/>
  <c r="F258" i="1"/>
  <c r="G258" i="1"/>
  <c r="F265" i="1"/>
  <c r="G265" i="1"/>
  <c r="F267" i="1"/>
  <c r="C264" i="1" s="1"/>
  <c r="G267" i="1"/>
  <c r="F269" i="1"/>
  <c r="G269" i="1"/>
  <c r="F271" i="1"/>
  <c r="G271" i="1"/>
  <c r="F273" i="1"/>
  <c r="G273" i="1"/>
  <c r="F276" i="1"/>
  <c r="C275" i="1" s="1"/>
  <c r="G276" i="1"/>
  <c r="F278" i="1"/>
  <c r="G278" i="1"/>
  <c r="F280" i="1"/>
  <c r="G280" i="1"/>
  <c r="F282" i="1"/>
  <c r="G282" i="1"/>
  <c r="F284" i="1"/>
  <c r="G284" i="1"/>
  <c r="F286" i="1"/>
  <c r="G286" i="1"/>
  <c r="F288" i="1"/>
  <c r="G288" i="1"/>
  <c r="F295" i="1"/>
  <c r="C291" i="1" s="1"/>
  <c r="E50" i="2" s="1"/>
  <c r="G295" i="1"/>
  <c r="F297" i="1"/>
  <c r="G297" i="1"/>
  <c r="F299" i="1"/>
  <c r="G299" i="1"/>
  <c r="F301" i="1"/>
  <c r="G301" i="1"/>
  <c r="F303" i="1"/>
  <c r="G303" i="1"/>
  <c r="F305" i="1"/>
  <c r="G305" i="1"/>
  <c r="F307" i="1"/>
  <c r="G307" i="1"/>
  <c r="F309" i="1"/>
  <c r="G309" i="1"/>
  <c r="C129" i="1" l="1"/>
  <c r="E38" i="2" s="1"/>
  <c r="C130" i="1"/>
  <c r="J13" i="1"/>
  <c r="J18" i="1"/>
  <c r="C261" i="1"/>
  <c r="E48" i="2" s="1"/>
  <c r="C263" i="1"/>
  <c r="J17" i="1"/>
  <c r="C225" i="1"/>
  <c r="E46" i="2" s="1"/>
  <c r="C227" i="1"/>
  <c r="J14" i="1"/>
  <c r="C160" i="1"/>
  <c r="E40" i="2" s="1"/>
  <c r="C162" i="1"/>
  <c r="C82" i="1"/>
  <c r="E36" i="2" s="1"/>
  <c r="C84" i="1"/>
  <c r="J12" i="1"/>
  <c r="C8" i="1"/>
  <c r="C9" i="1"/>
  <c r="J10" i="1"/>
  <c r="C294" i="1"/>
  <c r="J19" i="1" s="1"/>
  <c r="C198" i="1"/>
  <c r="J15" i="1" s="1"/>
  <c r="C69" i="1"/>
  <c r="J11" i="1" s="1"/>
  <c r="C68" i="1"/>
  <c r="C214" i="1"/>
  <c r="C6" i="1" l="1"/>
  <c r="E3" i="2" s="1"/>
  <c r="E32" i="2"/>
</calcChain>
</file>

<file path=xl/sharedStrings.xml><?xml version="1.0" encoding="utf-8"?>
<sst xmlns="http://schemas.openxmlformats.org/spreadsheetml/2006/main" count="208" uniqueCount="188">
  <si>
    <t>Part A – HIPAA Project Office, Budgets, Resources, Contracts, and Plans</t>
  </si>
  <si>
    <t>Is an HPO established?</t>
  </si>
  <si>
    <t>Does the HPO have a written charter and a defined role?</t>
  </si>
  <si>
    <t>Does the HPO have support at the highest State executive levels?</t>
  </si>
  <si>
    <t>Is there a current Organization chart and Charter document?</t>
  </si>
  <si>
    <t>1.0 HIPAA Project Office (HPO) Established</t>
  </si>
  <si>
    <t>2.0 HIPAA Budgets, Resources, And Contracts</t>
  </si>
  <si>
    <t>Are the HIPAA budget requirements known in detail?</t>
  </si>
  <si>
    <t>Are the needed APDs submitted and approved for HIPAA?</t>
  </si>
  <si>
    <t xml:space="preserve">Is there a resource plan? </t>
  </si>
  <si>
    <t>Are the staffing requirements assessed for the entire project?</t>
  </si>
  <si>
    <t>Are staffing resources available when needed?</t>
  </si>
  <si>
    <t>Does the HPO have a firm commitment of resources and staff to meet the requirements?</t>
  </si>
  <si>
    <t>Are all necessary RFPs for resources and staff completed?</t>
  </si>
  <si>
    <t>Are contracts in place for additional resources and staff?</t>
  </si>
  <si>
    <t>Are contracts in place for needed software (translators, for example)?</t>
  </si>
  <si>
    <t>Are other needed services and support contracts in place?</t>
  </si>
  <si>
    <t xml:space="preserve">3.0 State or Agency HIPAA Plan </t>
  </si>
  <si>
    <t>Is there an overall State or Agency (or comparable) HIPAA plan?</t>
  </si>
  <si>
    <t xml:space="preserve">If needed, are there individual department plans? </t>
  </si>
  <si>
    <t>Are reasonable timelines established for critical activities?</t>
  </si>
  <si>
    <t>Are specific individuals responsible for updating the plan?</t>
  </si>
  <si>
    <t>Does the plan include outreach activities?</t>
  </si>
  <si>
    <t>Is there a plan for implementation of future HIPAA rules (NPI, Transaction Version Changes, Plan ID, Claims Attachments)?</t>
  </si>
  <si>
    <t>HIPAA EDI Transaction Risk Assessment Checklist</t>
  </si>
  <si>
    <t>4.0 Scheduling and Tracking Project Activities</t>
  </si>
  <si>
    <t>Do HIPAA schedules define tasks and milestones, indicating responsible entities and dependencies?</t>
  </si>
  <si>
    <t xml:space="preserve">Is there a process and tools to support maintaining HIPAA project plans and schedules? </t>
  </si>
  <si>
    <t>Do all departments, divisions, and units report to the HPO on HIPAA progress?</t>
  </si>
  <si>
    <t>Is there periodic Executive level review of progress and deadlines?</t>
  </si>
  <si>
    <t>Has a request for a one-year implementation delay been submitted (by Oct 16, 2002)?</t>
  </si>
  <si>
    <t>5.0 Definition of Covered Entity Status</t>
  </si>
  <si>
    <t xml:space="preserve">Has the Medicaid State agency defined its own Covered Entity boundaries? </t>
  </si>
  <si>
    <t xml:space="preserve">Have any exempt components been identified? </t>
  </si>
  <si>
    <t>Does the agency have any components, (e.g., Provider role, Clearinghouse role, or Sponsor role) which would qualify it as another type of Covered Entity?</t>
  </si>
  <si>
    <t>Does the Medicaid agency know the Covered Entity status of the other State agencies with which it does business?</t>
  </si>
  <si>
    <t>Does the HIPAA Project Plan cover all relationships?</t>
  </si>
  <si>
    <t>Part B - Definition of Covered Entity Status</t>
  </si>
  <si>
    <t>6.0 Outreach To Trading Partners</t>
  </si>
  <si>
    <t>Does the agency have an Outreach Plan?</t>
  </si>
  <si>
    <t>Is the execution of the plan on schedule?</t>
  </si>
  <si>
    <t>Have issues related to testing with Partners been identified and resolved?</t>
  </si>
  <si>
    <t>Have transition issues been identified and resolved?</t>
  </si>
  <si>
    <t>Has the MHCCM (Medicaid HIPAA Compliant Concept Model) Enterprise Perspective been used to verify that all trading partners are included?</t>
  </si>
  <si>
    <t>7.0 Provider Survey</t>
  </si>
  <si>
    <t xml:space="preserve">Has a survey been sent to providers to determine their HIPAA readiness?                                                                           </t>
  </si>
  <si>
    <t xml:space="preserve">Has the potential EDI volume been determined? </t>
  </si>
  <si>
    <t xml:space="preserve">Is the system able to handle all incoming data via all routes of data submission? </t>
  </si>
  <si>
    <t>Part C - Coordination of State Medicaid (or Other Agency) Enterprise</t>
  </si>
  <si>
    <t>8.0 Inventory Of Data Exchange Partners And Data Exchanged</t>
  </si>
  <si>
    <t>Was the Y2K inventory of data exchange partners and data reviewed and used as a starting point?</t>
  </si>
  <si>
    <t>Have the inventories been updated for HIPAA?</t>
  </si>
  <si>
    <t>For covered entities, have the data exchanges that require the use of standard transactions been identified?</t>
  </si>
  <si>
    <t>Is the opportunity to use any non-mandated standards (277 unsolicited, 275, 997) being considered?</t>
  </si>
  <si>
    <t>9.0 Trading Partner Agreements</t>
  </si>
  <si>
    <t>Have trading partner and Chain of Trust agreements been developed?</t>
  </si>
  <si>
    <t xml:space="preserve">Was a model agreement used? </t>
  </si>
  <si>
    <t>Was legal counsel involved in developing the contract language?</t>
  </si>
  <si>
    <t>10.0 Business Associate Agreements</t>
  </si>
  <si>
    <t>Have all business associate contracts been examined in light of the Transaction rule?</t>
  </si>
  <si>
    <t>Are all needed parts of these contracts rewritten to ensure HIPAA compliance?</t>
  </si>
  <si>
    <t>Was a model contract used as an example?</t>
  </si>
  <si>
    <t>Was legal counsel involved in developing the contract changes?</t>
  </si>
  <si>
    <t>Part D - Impact on Medicaid (or Other Agency) Business Processes</t>
  </si>
  <si>
    <t>11.0 Business Process Identification, Review, And Re-Engineering</t>
  </si>
  <si>
    <t>Have the business functions been inventoried?</t>
  </si>
  <si>
    <t>Has the inventory been verified against the business functions identified in the MHCCM Operations Perspective?</t>
  </si>
  <si>
    <t>Have the business processes been assessed for HIPAA impact?</t>
  </si>
  <si>
    <t>In particular, has the electronic availability of eligibility determination been assessed to determine required changes in day-to-day operations?</t>
  </si>
  <si>
    <t>Have the processes been prioritized for re-engineering?</t>
  </si>
  <si>
    <t>Have the processes been prioritized for contingency planning?</t>
  </si>
  <si>
    <t>Are specific plans in place for critical/top priority business processes?</t>
  </si>
  <si>
    <t>Can all impacted business processes be ready by the transition date?</t>
  </si>
  <si>
    <t>12.0 HIPAA Standard Code Sets (Loss of Local Codes)</t>
  </si>
  <si>
    <t xml:space="preserve">Has the impact of the loss of local codes and adoption of standard codes on business processes been assessed? </t>
  </si>
  <si>
    <t>Has the impact of the loss of local codes and adoption of standard codes on systems been assessed?</t>
  </si>
  <si>
    <t>Can required legal and policy changes to support the loss of local codes be implemented in a timely manner?</t>
  </si>
  <si>
    <t>Have needed requests for code set changes been submitted and coordinated with the NMEH sub-workgroups (local codes, taxonomy, prior auth, EOB, etc.)?</t>
  </si>
  <si>
    <t>Is the impact that switching to standard codes will have on policies, procedures, retraining of staff, and communication with providers known?</t>
  </si>
  <si>
    <t>13.0 System Assessments</t>
  </si>
  <si>
    <t>Has a Gap Analysis been performed?</t>
  </si>
  <si>
    <t>Have  mandated standard HIPAA transactions been mapped (270, 271, 276, 277, 278 request, 278 response, 820, 834, 835, 837, 837 COB)?</t>
  </si>
  <si>
    <t>Have all non-mandated X12 transactions that are planned to be implemented been mapped (e.g., 277 UNSOLICITED, 275, 997)?</t>
  </si>
  <si>
    <t>Have all affected system components been identified?</t>
  </si>
  <si>
    <t>Has system assessment been completed?</t>
  </si>
  <si>
    <t>Part E - System Impact Assessment</t>
  </si>
  <si>
    <t>14.0 Input Modes</t>
  </si>
  <si>
    <t>Have all modes of input for all types of transactions been identified?</t>
  </si>
  <si>
    <t>Has a plan been developed to maintain or implement each type of input?</t>
  </si>
  <si>
    <t>Has the Medicaid position regarding all modes of input including DDE, web, etc. been documented?</t>
  </si>
  <si>
    <t>Have these positions and approach(es) been communicated to providers and other data trading partners?</t>
  </si>
  <si>
    <t>Has the completeness of the impact assessment been verified by using the MHCCM Operations Perspective section on Claims Submission?</t>
  </si>
  <si>
    <t>15 - Systems Interfacing With The MMIS</t>
  </si>
  <si>
    <t>Is there a master systems architecture diagram for the Medicaid enterprise?</t>
  </si>
  <si>
    <t>Does it include all the points of data exchange that may be impacted by HIPAA formatting or data standards?</t>
  </si>
  <si>
    <t>Have all interfacing systems been assessed for HIPAA impact?</t>
  </si>
  <si>
    <t>Are plans complete for the necessary modifications to the other systems?</t>
  </si>
  <si>
    <t>Part F - Design of System and Business Process Changes</t>
  </si>
  <si>
    <t>16.0 - Solution Designed</t>
  </si>
  <si>
    <t>Has an overall approach to achieving compliance been decided upon and documented?</t>
  </si>
  <si>
    <t>Has the design of the compliant system been completed?</t>
  </si>
  <si>
    <t>Have needed software and system changes been detailed?</t>
  </si>
  <si>
    <t>Has a cleanup of master files (insurance, employer, provider, patient, etc.) been planned to insure error-free conversions of the data?</t>
  </si>
  <si>
    <t>If a translator and/or a clearinghouse are part of the solution, are their roles clearly and completely defined?</t>
  </si>
  <si>
    <t>Are strip and store (data element storage for later use) needs defined?</t>
  </si>
  <si>
    <t>Part G - System Renovation</t>
  </si>
  <si>
    <t>17.0 System and Software Solution Renovations</t>
  </si>
  <si>
    <t>Is there a schedule for design, development, and implementation?</t>
  </si>
  <si>
    <t>Are the system renovations prioritized?</t>
  </si>
  <si>
    <t>Is there a QA/QC function incorporated into the renovation process?</t>
  </si>
  <si>
    <t>Are the system renovations complete?</t>
  </si>
  <si>
    <t>Part H - Validation and Testing</t>
  </si>
  <si>
    <t>18.0 - Test Plans</t>
  </si>
  <si>
    <t>Is there an overall plan for testing?</t>
  </si>
  <si>
    <t>Does the test plan include translator, clearinghouse, provider and all other data exchange interfaces?</t>
  </si>
  <si>
    <t>Does the test plan include a representative sample of all data exchange partners?</t>
  </si>
  <si>
    <t>Does the plan provide for preparation and scheduling of a test facility or separate test environment?</t>
  </si>
  <si>
    <t>Is there a plan to certify the correctness of input/output systems?</t>
  </si>
  <si>
    <t>Is it planned to require that EDI providers demonstrate they have successfully tested?</t>
  </si>
  <si>
    <t>Is there a plan to certify EDI submitters?</t>
  </si>
  <si>
    <t>19.0 - Testing</t>
  </si>
  <si>
    <t>Is the use of a separate testing facility planned?</t>
  </si>
  <si>
    <t>Is there a test environment separate from operations?</t>
  </si>
  <si>
    <t>Is there an automated way to generate sample test data?</t>
  </si>
  <si>
    <t>Is there an automated method for running tests?</t>
  </si>
  <si>
    <t>Does the testing process include unit, system, integration and regression tests for all system changes?</t>
  </si>
  <si>
    <t>Is there a system in place to record, prioritize and track test failures through to correction and retest?</t>
  </si>
  <si>
    <t>Is there a QA/QC function incorporated into the testing process?</t>
  </si>
  <si>
    <t>Part I - Implementation and Transition</t>
  </si>
  <si>
    <t xml:space="preserve">20 - Implementation Plan </t>
  </si>
  <si>
    <t>Is there a plan for implementing the renovated systems?</t>
  </si>
  <si>
    <t>If parallel operations are planned, are the resources in place?</t>
  </si>
  <si>
    <t>Are there plans to track and correct system problems identified during operations?</t>
  </si>
  <si>
    <t>Are there plans to implement modified business processes?</t>
  </si>
  <si>
    <t>Are there resources available to track process problems identified during operations?</t>
  </si>
  <si>
    <t>Has phase-over or transition been planned?</t>
  </si>
  <si>
    <t>Does the plan include parallel operations?</t>
  </si>
  <si>
    <t>Have trading partners been informed of the transition plan?</t>
  </si>
  <si>
    <t>Are trading partners prepared to meet the dates in the transition plan?</t>
  </si>
  <si>
    <t>Has the plan been discussed with providers?</t>
  </si>
  <si>
    <t>Are providers prepared to meet the dates in the transition plan?</t>
  </si>
  <si>
    <t>Does the plan include enough time to test transactions thoroughly, and to phase in new standards before the beginning of the transition?</t>
  </si>
  <si>
    <t>21.0 - Transition Plan</t>
  </si>
  <si>
    <t>Part J - Contingency Planning</t>
  </si>
  <si>
    <t>22.0 - Contingency Plans</t>
  </si>
  <si>
    <t>Is there a contingency plan in case all trading partners and providers have not completed transition by the end of the transition period?</t>
  </si>
  <si>
    <t>Is there a contingency plan in case the transition is not complete by the HIPAA deadline?</t>
  </si>
  <si>
    <t>Was the contingency plan based on plans developed for Y2K?</t>
  </si>
  <si>
    <t>Does the focus of the contingency plan reflect the critical business functions?</t>
  </si>
  <si>
    <t>Does the contingency plan identify how compliance with HIPAA will be achieved for transaction types that cannot be  supported before the deadline?</t>
  </si>
  <si>
    <t>Are there plans and resources to test the contingency plan?</t>
  </si>
  <si>
    <t>Have the resources needed for contingency operations been identified?</t>
  </si>
  <si>
    <t>Are contingency operations resources available?</t>
  </si>
  <si>
    <t>Do the planned tests address the following 6 levels of WEDI recommended testing: 1) Integrity testing 2) Requirements testing 3) Numerical Balancing testing 4) Situation testing 5) Code Set testing 6) Type of Service/Product Type testing?</t>
  </si>
  <si>
    <t>Part A</t>
  </si>
  <si>
    <t>Part B</t>
  </si>
  <si>
    <t>Part C</t>
  </si>
  <si>
    <t>Part D</t>
  </si>
  <si>
    <t>Part E</t>
  </si>
  <si>
    <t>Part F</t>
  </si>
  <si>
    <t>Part G</t>
  </si>
  <si>
    <t>Part H</t>
  </si>
  <si>
    <t>Part I</t>
  </si>
  <si>
    <t>Part J</t>
  </si>
  <si>
    <t>This risk assessment checklist is provided as a self-assessment tool to allow States or agencies to gauge where they are in the overall picture of HIPAA implementation. This checklist is intended to be used by the HIPAA Coordinator, HIPAA Project Lead, or other key agency representative in the State, Medicaid agency, or other agency. Use of this checklist is voluntary; it is intended to assist the agency and is not required to be submitted to CMS.</t>
  </si>
  <si>
    <t>"Yes" Criteria</t>
  </si>
  <si>
    <t>HIPAA EDI TRANSACTION RISK SELF ASSESSMENT CHECKLIST</t>
  </si>
  <si>
    <t xml:space="preserve">The "Yes" box following each item can be checked if the person completing the checklist can respond positively to the question (i.e., the item is completed or in progress). The "Yes" box can also be checked if adequate resources and planning have been allocated for future efforts. If these criteria are not met, the "No" column should be checked. </t>
  </si>
  <si>
    <t>Using the Checklist</t>
  </si>
  <si>
    <t>Checklist Information</t>
  </si>
  <si>
    <t>Results</t>
  </si>
  <si>
    <t>To begin using the tool, click on the "Data Input" tab at the lower left hand corner of this spreadsheet. Scroll through the sections and answer each question "yes" or "no" as appropriate by clicking in the corresponding box. There is a color-coded cell in the header of each section that will change according to the risk associated with that section. When all sections have been completed, you may scroll back through the sections and look for the yellow and red cells or proceeed to the results worksheet by clicking on the "Results" tab at the bottom of the screen.</t>
  </si>
  <si>
    <t>HIPAA Project Office, Budgets, Resources, Contracts, and Plans</t>
  </si>
  <si>
    <t>Definition of Covered Entity Status</t>
  </si>
  <si>
    <t>Coordination of State Medicaid (or Other Agency) Enterprise</t>
  </si>
  <si>
    <t>Impact on Medicaid (or Other Agency) Business Processes</t>
  </si>
  <si>
    <t>System Impact Assessment</t>
  </si>
  <si>
    <t>Design of System and Business Process Changes</t>
  </si>
  <si>
    <t>System Renovation</t>
  </si>
  <si>
    <t>Validation and Testing</t>
  </si>
  <si>
    <t>Implementation and Transition</t>
  </si>
  <si>
    <t>Contingency Planning</t>
  </si>
  <si>
    <t>Overall Self Assessment Score Is:</t>
  </si>
  <si>
    <t>Risk  by Section</t>
  </si>
  <si>
    <t>It is in the organization’s best interest to answer the questions as honestly and accurately as possible. The HIPAA Project Lead or HIPAA Project Coordinator is usually in the best position to provide accurate answers to the questions and can act as the best judge of the status of each project area in the checklist. The Green, Yellow, and Red indicators correspond to levels of risk. The intent of this tool is to highlight areas within the HIPAA project that may be in need of attention. If a segment of the checklist is not green, then each question for which a "No" answer was supplied should be examined, and the reason for which the "No" was given should be understood.</t>
  </si>
  <si>
    <t>Help</t>
  </si>
  <si>
    <t>Each question in the checklist has been individually weighted (i.e., answering yes to 3 out of 4 questions in one section may yield a different score than answering 3 out of 4 in another section). These individually weighted scores are then combined to produce a score for that section. The results worksheet provides a bar graph and table that display the risk score for each part of the checklist. Very low scores indicate areas of probable high risk. High scores do not indicate no risk, rather areas of the project that, based on the answers given, should not be a problem for the project.</t>
  </si>
  <si>
    <t>For technical assistance with this checklist you may contact Bob Guenther (robert.guenther@titan.com). For general questions, or for more information regarding the tool you may contact Henry Chao in the CMS Central Office (hchao@cms.hhs.gov).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</si>
</sst>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0"/>
      <name val="Arial"/>
    </font>
    <font>
      <i/>
      <sz val="12"/>
      <name val="Arial"/>
      <family val="2"/>
    </font>
    <font>
      <sz val="10"/>
      <name val="Arial"/>
      <family val="2"/>
    </font>
    <font>
      <sz val="8"/>
      <name val="Tahoma"/>
      <family val="2"/>
    </font>
    <font>
      <b/>
      <sz val="12"/>
      <name val="Arial"/>
      <family val="2"/>
    </font>
    <font>
      <b/>
      <sz val="14"/>
      <name val="Arial"/>
      <family val="2"/>
    </font>
    <font>
      <sz val="10"/>
      <color indexed="8"/>
      <name val="Arial"/>
      <family val="2"/>
    </font>
    <font>
      <b/>
      <sz val="14"/>
      <color indexed="43"/>
      <name val="Arial"/>
      <family val="2"/>
    </font>
    <font>
      <b/>
      <sz val="14"/>
      <color indexed="42"/>
      <name val="Arial"/>
      <family val="2"/>
    </font>
    <font>
      <b/>
      <sz val="14"/>
      <color indexed="45"/>
      <name val="Arial"/>
      <family val="2"/>
    </font>
    <font>
      <b/>
      <sz val="14"/>
      <color indexed="51"/>
      <name val="Arial"/>
      <family val="2"/>
    </font>
    <font>
      <b/>
      <sz val="14"/>
      <color indexed="15"/>
      <name val="Arial"/>
      <family val="2"/>
    </font>
    <font>
      <b/>
      <sz val="14"/>
      <color indexed="11"/>
      <name val="Arial"/>
      <family val="2"/>
    </font>
    <font>
      <b/>
      <sz val="14"/>
      <color indexed="48"/>
      <name val="Arial"/>
      <family val="2"/>
    </font>
    <font>
      <b/>
      <sz val="14"/>
      <color indexed="13"/>
      <name val="Arial"/>
      <family val="2"/>
    </font>
    <font>
      <sz val="10"/>
      <color indexed="9"/>
      <name val="Arial"/>
      <family val="2"/>
    </font>
    <font>
      <b/>
      <sz val="12"/>
      <color indexed="22"/>
      <name val="Arial"/>
      <family val="2"/>
    </font>
    <font>
      <b/>
      <sz val="14"/>
      <color indexed="9"/>
      <name val="Arial"/>
      <family val="2"/>
    </font>
    <font>
      <b/>
      <sz val="16"/>
      <name val="Arial"/>
      <family val="2"/>
    </font>
    <font>
      <sz val="16"/>
      <name val="Arial"/>
      <family val="2"/>
    </font>
    <font>
      <sz val="11"/>
      <name val="Arial"/>
      <family val="2"/>
    </font>
    <font>
      <b/>
      <sz val="20"/>
      <name val="Arial"/>
      <family val="2"/>
    </font>
  </fonts>
  <fills count="17">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1"/>
        <bgColor indexed="64"/>
      </patternFill>
    </fill>
    <fill>
      <patternFill patternType="gray125">
        <bgColor indexed="44"/>
      </patternFill>
    </fill>
    <fill>
      <patternFill patternType="solid">
        <fgColor indexed="45"/>
        <bgColor indexed="64"/>
      </patternFill>
    </fill>
    <fill>
      <patternFill patternType="gray125">
        <bgColor indexed="41"/>
      </patternFill>
    </fill>
    <fill>
      <patternFill patternType="solid">
        <fgColor indexed="22"/>
        <bgColor indexed="64"/>
      </patternFill>
    </fill>
    <fill>
      <patternFill patternType="solid">
        <fgColor indexed="13"/>
        <bgColor indexed="64"/>
      </patternFill>
    </fill>
    <fill>
      <patternFill patternType="solid">
        <fgColor indexed="48"/>
        <bgColor indexed="64"/>
      </patternFill>
    </fill>
    <fill>
      <patternFill patternType="solid">
        <fgColor indexed="15"/>
        <bgColor indexed="64"/>
      </patternFill>
    </fill>
    <fill>
      <patternFill patternType="solid">
        <fgColor indexed="11"/>
        <bgColor indexed="64"/>
      </patternFill>
    </fill>
    <fill>
      <patternFill patternType="solid">
        <fgColor indexed="46"/>
        <bgColor indexed="64"/>
      </patternFill>
    </fill>
    <fill>
      <patternFill patternType="solid">
        <fgColor indexed="51"/>
        <bgColor indexed="64"/>
      </patternFill>
    </fill>
    <fill>
      <patternFill patternType="solid">
        <fgColor indexed="42"/>
        <bgColor indexed="64"/>
      </patternFill>
    </fill>
    <fill>
      <patternFill patternType="solid">
        <fgColor indexed="43"/>
        <bgColor indexed="64"/>
      </patternFill>
    </fill>
  </fills>
  <borders count="19">
    <border>
      <left/>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diagonal/>
    </border>
  </borders>
  <cellStyleXfs count="1">
    <xf numFmtId="0" fontId="0" fillId="0" borderId="0"/>
  </cellStyleXfs>
  <cellXfs count="85">
    <xf numFmtId="0" fontId="0" fillId="0" borderId="0" xfId="0"/>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0" fillId="3" borderId="0" xfId="0" applyFill="1"/>
    <xf numFmtId="0" fontId="0" fillId="4" borderId="3" xfId="0" applyFill="1" applyBorder="1"/>
    <xf numFmtId="0" fontId="0" fillId="4" borderId="4" xfId="0" applyFill="1" applyBorder="1"/>
    <xf numFmtId="0" fontId="2" fillId="5" borderId="1" xfId="0" applyFont="1" applyFill="1" applyBorder="1" applyAlignment="1">
      <alignment vertical="top" wrapText="1"/>
    </xf>
    <xf numFmtId="0" fontId="0" fillId="3" borderId="0" xfId="0" applyFill="1" applyBorder="1"/>
    <xf numFmtId="0" fontId="2" fillId="3" borderId="5" xfId="0" applyFont="1" applyFill="1" applyBorder="1" applyAlignment="1">
      <alignment vertical="top" wrapText="1"/>
    </xf>
    <xf numFmtId="0" fontId="2" fillId="3" borderId="0" xfId="0" applyFont="1" applyFill="1" applyBorder="1" applyAlignment="1">
      <alignment vertical="top" wrapText="1"/>
    </xf>
    <xf numFmtId="0" fontId="6" fillId="0" borderId="0" xfId="0" applyFont="1"/>
    <xf numFmtId="0" fontId="2" fillId="0" borderId="0" xfId="0" applyFont="1"/>
    <xf numFmtId="0" fontId="2" fillId="2" borderId="1" xfId="0" applyFont="1" applyFill="1" applyBorder="1" applyAlignment="1">
      <alignment wrapText="1"/>
    </xf>
    <xf numFmtId="0" fontId="2" fillId="2" borderId="2" xfId="0" applyFont="1" applyFill="1" applyBorder="1" applyAlignment="1">
      <alignment wrapText="1"/>
    </xf>
    <xf numFmtId="0" fontId="6" fillId="3" borderId="0" xfId="0" applyFont="1" applyFill="1" applyProtection="1">
      <protection hidden="1"/>
    </xf>
    <xf numFmtId="0" fontId="6" fillId="0" borderId="0" xfId="0" applyFont="1" applyProtection="1">
      <protection hidden="1"/>
    </xf>
    <xf numFmtId="0" fontId="0" fillId="0" borderId="0" xfId="0" applyProtection="1">
      <protection hidden="1"/>
    </xf>
    <xf numFmtId="0" fontId="6" fillId="0" borderId="0" xfId="0" applyFont="1" applyProtection="1"/>
    <xf numFmtId="0" fontId="6" fillId="3" borderId="0" xfId="0" applyFont="1" applyFill="1"/>
    <xf numFmtId="1" fontId="9" fillId="6" borderId="6" xfId="0" applyNumberFormat="1" applyFont="1" applyFill="1" applyBorder="1" applyAlignment="1">
      <alignment horizontal="center" vertical="center"/>
    </xf>
    <xf numFmtId="0" fontId="0" fillId="7" borderId="3" xfId="0" applyFill="1" applyBorder="1"/>
    <xf numFmtId="1" fontId="6" fillId="0" borderId="0" xfId="0" applyNumberFormat="1" applyFont="1"/>
    <xf numFmtId="1" fontId="15" fillId="3" borderId="0" xfId="0" applyNumberFormat="1" applyFont="1" applyFill="1" applyBorder="1"/>
    <xf numFmtId="0" fontId="1" fillId="8" borderId="7" xfId="0" applyFont="1" applyFill="1" applyBorder="1"/>
    <xf numFmtId="0" fontId="1" fillId="8" borderId="8" xfId="0" applyFont="1" applyFill="1" applyBorder="1"/>
    <xf numFmtId="1" fontId="16" fillId="8" borderId="6" xfId="0" applyNumberFormat="1" applyFont="1" applyFill="1" applyBorder="1" applyAlignment="1">
      <alignment horizontal="center"/>
    </xf>
    <xf numFmtId="1" fontId="16" fillId="8" borderId="9" xfId="0" applyNumberFormat="1" applyFont="1" applyFill="1" applyBorder="1" applyAlignment="1">
      <alignment horizontal="center"/>
    </xf>
    <xf numFmtId="1" fontId="16" fillId="8" borderId="9" xfId="0" applyNumberFormat="1" applyFont="1" applyFill="1" applyBorder="1" applyAlignment="1">
      <alignment horizontal="center" vertical="center"/>
    </xf>
    <xf numFmtId="0" fontId="16" fillId="8" borderId="9" xfId="0" applyFont="1" applyFill="1" applyBorder="1" applyAlignment="1">
      <alignment horizontal="center" vertical="center"/>
    </xf>
    <xf numFmtId="0" fontId="5" fillId="8" borderId="7" xfId="0" applyFont="1" applyFill="1" applyBorder="1" applyAlignment="1">
      <alignment wrapText="1"/>
    </xf>
    <xf numFmtId="0" fontId="0" fillId="3" borderId="2" xfId="0" applyFill="1" applyBorder="1"/>
    <xf numFmtId="0" fontId="0" fillId="3" borderId="4" xfId="0" applyFill="1" applyBorder="1"/>
    <xf numFmtId="1" fontId="2" fillId="3" borderId="0" xfId="0" applyNumberFormat="1" applyFont="1" applyFill="1"/>
    <xf numFmtId="1" fontId="15" fillId="3" borderId="0" xfId="0" applyNumberFormat="1" applyFont="1" applyFill="1"/>
    <xf numFmtId="1" fontId="15" fillId="0" borderId="0" xfId="0" applyNumberFormat="1" applyFont="1"/>
    <xf numFmtId="1" fontId="15" fillId="0" borderId="0" xfId="0" applyNumberFormat="1" applyFont="1" applyBorder="1"/>
    <xf numFmtId="1" fontId="17" fillId="3" borderId="5" xfId="0" applyNumberFormat="1" applyFont="1" applyFill="1" applyBorder="1" applyAlignment="1">
      <alignment horizontal="center" vertical="center"/>
    </xf>
    <xf numFmtId="0" fontId="5" fillId="8" borderId="7" xfId="0" applyFont="1" applyFill="1" applyBorder="1" applyAlignment="1">
      <alignment horizontal="left" wrapText="1"/>
    </xf>
    <xf numFmtId="0" fontId="15" fillId="3" borderId="0" xfId="0" applyFont="1" applyFill="1" applyProtection="1">
      <protection hidden="1"/>
    </xf>
    <xf numFmtId="0" fontId="0" fillId="4" borderId="3" xfId="0" applyFill="1" applyBorder="1" applyProtection="1">
      <protection locked="0"/>
    </xf>
    <xf numFmtId="0" fontId="0" fillId="4" borderId="4" xfId="0" applyFill="1" applyBorder="1" applyProtection="1">
      <protection locked="0"/>
    </xf>
    <xf numFmtId="1" fontId="5" fillId="9" borderId="6" xfId="0" applyNumberFormat="1" applyFont="1" applyFill="1" applyBorder="1" applyAlignment="1" applyProtection="1">
      <alignment horizontal="center" vertical="center"/>
      <protection hidden="1"/>
    </xf>
    <xf numFmtId="0" fontId="19" fillId="3" borderId="0" xfId="0" applyFont="1" applyFill="1" applyAlignment="1">
      <alignment horizontal="center"/>
    </xf>
    <xf numFmtId="0" fontId="0" fillId="3" borderId="10" xfId="0" applyFill="1" applyBorder="1"/>
    <xf numFmtId="1" fontId="5" fillId="3" borderId="6" xfId="0" applyNumberFormat="1" applyFont="1" applyFill="1" applyBorder="1" applyAlignment="1" applyProtection="1">
      <alignment horizontal="center" vertical="center"/>
      <protection hidden="1"/>
    </xf>
    <xf numFmtId="0" fontId="0" fillId="4" borderId="0" xfId="0" applyFill="1"/>
    <xf numFmtId="0" fontId="0" fillId="4" borderId="0" xfId="0" applyFill="1" applyBorder="1"/>
    <xf numFmtId="1" fontId="0" fillId="4" borderId="0" xfId="0" applyNumberFormat="1" applyFill="1"/>
    <xf numFmtId="1" fontId="5" fillId="3" borderId="11" xfId="0" applyNumberFormat="1" applyFont="1" applyFill="1" applyBorder="1" applyAlignment="1">
      <alignment horizontal="center"/>
    </xf>
    <xf numFmtId="0" fontId="0" fillId="3" borderId="8" xfId="0" applyFill="1" applyBorder="1"/>
    <xf numFmtId="0" fontId="0" fillId="3" borderId="9" xfId="0" applyFill="1" applyBorder="1"/>
    <xf numFmtId="1" fontId="15" fillId="3" borderId="0" xfId="0" applyNumberFormat="1" applyFont="1" applyFill="1" applyBorder="1" applyProtection="1">
      <protection hidden="1"/>
    </xf>
    <xf numFmtId="0" fontId="18" fillId="3" borderId="12" xfId="0" applyFont="1" applyFill="1" applyBorder="1" applyAlignment="1">
      <alignment horizontal="right" vertical="center"/>
    </xf>
    <xf numFmtId="0" fontId="4" fillId="4" borderId="13" xfId="0" applyFont="1" applyFill="1" applyBorder="1"/>
    <xf numFmtId="0" fontId="20" fillId="4" borderId="14" xfId="0" applyFont="1" applyFill="1" applyBorder="1" applyAlignment="1">
      <alignment wrapText="1"/>
    </xf>
    <xf numFmtId="0" fontId="4" fillId="4" borderId="14" xfId="0" applyFont="1" applyFill="1" applyBorder="1"/>
    <xf numFmtId="0" fontId="2" fillId="4" borderId="14" xfId="0" applyFont="1" applyFill="1" applyBorder="1"/>
    <xf numFmtId="0" fontId="0" fillId="4" borderId="15" xfId="0" applyFill="1" applyBorder="1"/>
    <xf numFmtId="0" fontId="15" fillId="0" borderId="0" xfId="0" applyFont="1"/>
    <xf numFmtId="0" fontId="20" fillId="4" borderId="14" xfId="0" applyFont="1" applyFill="1" applyBorder="1" applyAlignment="1">
      <alignment vertical="top" wrapText="1"/>
    </xf>
    <xf numFmtId="0" fontId="4" fillId="3" borderId="0" xfId="0" applyFont="1" applyFill="1" applyBorder="1" applyAlignment="1">
      <alignment horizontal="right" vertical="center"/>
    </xf>
    <xf numFmtId="0" fontId="5" fillId="8" borderId="8" xfId="0" applyFont="1" applyFill="1" applyBorder="1" applyAlignment="1">
      <alignment horizontal="left" vertical="center" wrapText="1"/>
    </xf>
    <xf numFmtId="0" fontId="5" fillId="8" borderId="2" xfId="0" applyFont="1" applyFill="1" applyBorder="1" applyAlignment="1">
      <alignment horizontal="left" vertical="center" wrapText="1"/>
    </xf>
    <xf numFmtId="1" fontId="8" fillId="15" borderId="9" xfId="0" applyNumberFormat="1" applyFont="1" applyFill="1" applyBorder="1" applyAlignment="1">
      <alignment horizontal="center" vertical="center"/>
    </xf>
    <xf numFmtId="1" fontId="8" fillId="15" borderId="4" xfId="0" applyNumberFormat="1" applyFont="1" applyFill="1" applyBorder="1" applyAlignment="1">
      <alignment horizontal="center" vertical="center"/>
    </xf>
    <xf numFmtId="0" fontId="7" fillId="16" borderId="9" xfId="0" applyFont="1" applyFill="1" applyBorder="1" applyAlignment="1">
      <alignment horizontal="center" vertical="center"/>
    </xf>
    <xf numFmtId="0" fontId="7" fillId="16" borderId="4" xfId="0" applyFont="1" applyFill="1" applyBorder="1" applyAlignment="1">
      <alignment horizontal="center" vertical="center"/>
    </xf>
    <xf numFmtId="0" fontId="5" fillId="8" borderId="8" xfId="0" applyFont="1" applyFill="1" applyBorder="1" applyAlignment="1">
      <alignment horizontal="left" vertical="center"/>
    </xf>
    <xf numFmtId="0" fontId="5" fillId="8" borderId="2" xfId="0" applyFont="1" applyFill="1" applyBorder="1" applyAlignment="1">
      <alignment horizontal="left" vertical="center"/>
    </xf>
    <xf numFmtId="1" fontId="5" fillId="13" borderId="9" xfId="0" applyNumberFormat="1" applyFont="1" applyFill="1" applyBorder="1" applyAlignment="1">
      <alignment horizontal="center" vertical="center"/>
    </xf>
    <xf numFmtId="1" fontId="5" fillId="13" borderId="4" xfId="0" applyNumberFormat="1" applyFont="1" applyFill="1" applyBorder="1" applyAlignment="1">
      <alignment horizontal="center" vertical="center"/>
    </xf>
    <xf numFmtId="1" fontId="10" fillId="14" borderId="9" xfId="0" applyNumberFormat="1" applyFont="1" applyFill="1" applyBorder="1" applyAlignment="1">
      <alignment horizontal="center" vertical="center"/>
    </xf>
    <xf numFmtId="1" fontId="10" fillId="14" borderId="4" xfId="0" applyNumberFormat="1" applyFont="1" applyFill="1" applyBorder="1" applyAlignment="1">
      <alignment horizontal="center" vertical="center"/>
    </xf>
    <xf numFmtId="1" fontId="11" fillId="11" borderId="9" xfId="0" applyNumberFormat="1" applyFont="1" applyFill="1" applyBorder="1" applyAlignment="1">
      <alignment horizontal="center" vertical="center"/>
    </xf>
    <xf numFmtId="1" fontId="11" fillId="11" borderId="4" xfId="0" applyNumberFormat="1" applyFont="1" applyFill="1" applyBorder="1" applyAlignment="1">
      <alignment horizontal="center" vertical="center"/>
    </xf>
    <xf numFmtId="1" fontId="12" fillId="12" borderId="9" xfId="0" applyNumberFormat="1" applyFont="1" applyFill="1" applyBorder="1" applyAlignment="1">
      <alignment horizontal="center" vertical="center"/>
    </xf>
    <xf numFmtId="1" fontId="12" fillId="12" borderId="4" xfId="0" applyNumberFormat="1" applyFont="1" applyFill="1" applyBorder="1" applyAlignment="1">
      <alignment horizontal="center" vertical="center"/>
    </xf>
    <xf numFmtId="1" fontId="13" fillId="10" borderId="9" xfId="0" applyNumberFormat="1" applyFont="1" applyFill="1" applyBorder="1" applyAlignment="1">
      <alignment horizontal="center" vertical="center"/>
    </xf>
    <xf numFmtId="1" fontId="13" fillId="10" borderId="4" xfId="0" applyNumberFormat="1" applyFont="1" applyFill="1" applyBorder="1" applyAlignment="1">
      <alignment horizontal="center" vertical="center"/>
    </xf>
    <xf numFmtId="1" fontId="14" fillId="9" borderId="9" xfId="0" applyNumberFormat="1" applyFont="1" applyFill="1" applyBorder="1" applyAlignment="1">
      <alignment horizontal="center" vertical="center"/>
    </xf>
    <xf numFmtId="1" fontId="14" fillId="9" borderId="4" xfId="0" applyNumberFormat="1" applyFont="1" applyFill="1" applyBorder="1" applyAlignment="1">
      <alignment horizontal="center" vertical="center"/>
    </xf>
    <xf numFmtId="0" fontId="5" fillId="3" borderId="16" xfId="0" applyFont="1" applyFill="1" applyBorder="1" applyAlignment="1">
      <alignment horizontal="center"/>
    </xf>
    <xf numFmtId="0" fontId="5" fillId="3" borderId="17" xfId="0" applyFont="1" applyFill="1" applyBorder="1" applyAlignment="1">
      <alignment horizontal="center"/>
    </xf>
    <xf numFmtId="0" fontId="21" fillId="3" borderId="18" xfId="0" applyFont="1" applyFill="1" applyBorder="1" applyAlignment="1">
      <alignment horizontal="center" vertical="center"/>
    </xf>
    <xf numFmtId="0" fontId="21" fillId="3" borderId="5" xfId="0" applyFont="1" applyFill="1" applyBorder="1" applyAlignment="1">
      <alignment horizontal="center" vertical="center"/>
    </xf>
  </cellXfs>
  <cellStyles count="1">
    <cellStyle name="Normal" xfId="0" builtinId="0"/>
  </cellStyles>
  <dxfs count="12">
    <dxf>
      <font>
        <condense val="0"/>
        <extend val="0"/>
        <color indexed="8"/>
      </font>
      <fill>
        <patternFill>
          <bgColor indexed="11"/>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11"/>
      </font>
      <fill>
        <patternFill>
          <bgColor indexed="11"/>
        </patternFill>
      </fill>
    </dxf>
    <dxf>
      <font>
        <condense val="0"/>
        <extend val="0"/>
        <color indexed="13"/>
      </font>
      <fill>
        <patternFill>
          <bgColor indexed="13"/>
        </patternFill>
      </fill>
    </dxf>
    <dxf>
      <font>
        <condense val="0"/>
        <extend val="0"/>
        <color indexed="10"/>
      </font>
      <fill>
        <patternFill>
          <bgColor indexed="10"/>
        </patternFill>
      </fill>
    </dxf>
    <dxf>
      <font>
        <condense val="0"/>
        <extend val="0"/>
        <color indexed="11"/>
      </font>
      <fill>
        <patternFill>
          <bgColor indexed="11"/>
        </patternFill>
      </fill>
    </dxf>
    <dxf>
      <font>
        <condense val="0"/>
        <extend val="0"/>
        <color indexed="13"/>
      </font>
      <fill>
        <patternFill>
          <fgColor indexed="13"/>
          <bgColor indexed="13"/>
        </patternFill>
      </fill>
    </dxf>
    <dxf>
      <font>
        <condense val="0"/>
        <extend val="0"/>
        <color indexed="10"/>
      </font>
      <fill>
        <patternFill>
          <bgColor indexed="10"/>
        </patternFill>
      </fill>
    </dxf>
    <dxf>
      <font>
        <condense val="0"/>
        <extend val="0"/>
        <color indexed="11"/>
      </font>
      <fill>
        <patternFill>
          <bgColor indexed="11"/>
        </patternFill>
      </fill>
    </dxf>
    <dxf>
      <font>
        <condense val="0"/>
        <extend val="0"/>
        <color indexed="13"/>
      </font>
      <fill>
        <patternFill>
          <bgColor indexed="13"/>
        </patternFill>
      </fill>
    </dxf>
    <dxf>
      <font>
        <condense val="0"/>
        <extend val="0"/>
        <color indexed="10"/>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150" b="1" i="0" u="none" strike="noStrike" baseline="0">
                <a:solidFill>
                  <a:srgbClr val="000000"/>
                </a:solidFill>
                <a:latin typeface="Arial"/>
                <a:ea typeface="Arial"/>
                <a:cs typeface="Arial"/>
              </a:defRPr>
            </a:pPr>
            <a:r>
              <a:rPr lang="en-GB"/>
              <a:t> Scores by Section</a:t>
            </a:r>
          </a:p>
        </c:rich>
      </c:tx>
      <c:layout>
        <c:manualLayout>
          <c:xMode val="edge"/>
          <c:yMode val="edge"/>
          <c:x val="0.32990720872087476"/>
          <c:y val="3.4546566329038908E-2"/>
        </c:manualLayout>
      </c:layout>
      <c:overlay val="0"/>
      <c:spPr>
        <a:noFill/>
        <a:ln w="25400">
          <a:noFill/>
        </a:ln>
      </c:spPr>
    </c:title>
    <c:autoTitleDeleted val="0"/>
    <c:plotArea>
      <c:layout>
        <c:manualLayout>
          <c:layoutTarget val="inner"/>
          <c:xMode val="edge"/>
          <c:yMode val="edge"/>
          <c:x val="8.505420224835053E-2"/>
          <c:y val="0.30000965496270632"/>
          <c:w val="0.88490735672526299"/>
          <c:h val="0.54729034026530066"/>
        </c:manualLayout>
      </c:layout>
      <c:barChart>
        <c:barDir val="col"/>
        <c:grouping val="clustered"/>
        <c:varyColors val="0"/>
        <c:ser>
          <c:idx val="0"/>
          <c:order val="0"/>
          <c:spPr>
            <a:solidFill>
              <a:srgbClr val="9999FF"/>
            </a:solidFill>
            <a:ln w="12700">
              <a:solidFill>
                <a:srgbClr val="000000"/>
              </a:solidFill>
              <a:prstDash val="solid"/>
            </a:ln>
            <a:effectLst>
              <a:outerShdw dist="35921" dir="2700000" algn="br">
                <a:srgbClr val="000000"/>
              </a:outerShdw>
            </a:effectLst>
          </c:spPr>
          <c:invertIfNegative val="0"/>
          <c:dLbls>
            <c:spPr>
              <a:noFill/>
              <a:ln w="25400">
                <a:noFill/>
              </a:ln>
            </c:spPr>
            <c:txPr>
              <a:bodyPr wrap="square" lIns="38100" tIns="19050" rIns="38100" bIns="19050" anchor="ctr">
                <a:spAutoFit/>
              </a:bodyPr>
              <a:lstStyle/>
              <a:p>
                <a:pPr algn="ctr" rtl="1">
                  <a:defRPr sz="875"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Input'!$K$10,'Data Input'!$K$11,'Data Input'!$K$12,'Data Input'!$K$13,'Data Input'!$K$14,'Data Input'!$K$15,'Data Input'!$K$16,'Data Input'!$K$17,'Data Input'!$K$18,'Data Input'!$K$19)</c:f>
              <c:strCache>
                <c:ptCount val="10"/>
                <c:pt idx="0">
                  <c:v>Part A</c:v>
                </c:pt>
                <c:pt idx="1">
                  <c:v>Part B</c:v>
                </c:pt>
                <c:pt idx="2">
                  <c:v>Part C</c:v>
                </c:pt>
                <c:pt idx="3">
                  <c:v>Part D</c:v>
                </c:pt>
                <c:pt idx="4">
                  <c:v>Part E</c:v>
                </c:pt>
                <c:pt idx="5">
                  <c:v>Part F</c:v>
                </c:pt>
                <c:pt idx="6">
                  <c:v>Part G</c:v>
                </c:pt>
                <c:pt idx="7">
                  <c:v>Part H</c:v>
                </c:pt>
                <c:pt idx="8">
                  <c:v>Part I</c:v>
                </c:pt>
                <c:pt idx="9">
                  <c:v>Part J</c:v>
                </c:pt>
              </c:strCache>
            </c:strRef>
          </c:cat>
          <c:val>
            <c:numRef>
              <c:f>('Data Input'!$J$10,'Data Input'!$J$11,'Data Input'!$J$12,'Data Input'!$J$13,'Data Input'!$J$14,'Data Input'!$J$15,'Data Input'!$J$16,'Data Input'!$J$17,'Data Input'!$J$18,'Data Input'!$J$19)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FBB-452B-95A3-553078B9E1CE}"/>
            </c:ext>
          </c:extLst>
        </c:ser>
        <c:dLbls>
          <c:showLegendKey val="0"/>
          <c:showVal val="1"/>
          <c:showCatName val="0"/>
          <c:showSerName val="0"/>
          <c:showPercent val="0"/>
          <c:showBubbleSize val="0"/>
        </c:dLbls>
        <c:gapWidth val="150"/>
        <c:axId val="2123026271"/>
        <c:axId val="1"/>
      </c:barChart>
      <c:catAx>
        <c:axId val="212302627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00"/>
        </c:scaling>
        <c:delete val="0"/>
        <c:axPos val="l"/>
        <c:majorGridlines>
          <c:spPr>
            <a:ln w="3175">
              <a:solidFill>
                <a:srgbClr val="000000"/>
              </a:solidFill>
              <a:prstDash val="solid"/>
            </a:ln>
          </c:spPr>
        </c:majorGridlines>
        <c:title>
          <c:tx>
            <c:rich>
              <a:bodyPr/>
              <a:lstStyle/>
              <a:p>
                <a:pPr>
                  <a:defRPr sz="1475" b="1" i="0" u="none" strike="noStrike" baseline="0">
                    <a:solidFill>
                      <a:srgbClr val="000000"/>
                    </a:solidFill>
                    <a:latin typeface="Arial"/>
                    <a:ea typeface="Arial"/>
                    <a:cs typeface="Arial"/>
                  </a:defRPr>
                </a:pPr>
                <a:r>
                  <a:rPr lang="en-GB"/>
                  <a:t>Score</a:t>
                </a:r>
              </a:p>
            </c:rich>
          </c:tx>
          <c:layout>
            <c:manualLayout>
              <c:xMode val="edge"/>
              <c:yMode val="edge"/>
              <c:x val="6.8730668483515571E-3"/>
              <c:y val="0.48728840927275935"/>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en-US"/>
          </a:p>
        </c:txPr>
        <c:crossAx val="2123026271"/>
        <c:crosses val="autoZero"/>
        <c:crossBetween val="between"/>
      </c:valAx>
      <c:spPr>
        <a:solidFill>
          <a:srgbClr val="CCFFFF"/>
        </a:solidFill>
        <a:ln w="3175">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trlProps/ctrlProp1.xml><?xml version="1.0" encoding="utf-8"?>
<formControlPr xmlns="http://schemas.microsoft.com/office/spreadsheetml/2009/9/main" objectType="CheckBox" fmlaLink="$D$11" lockText="1"/>
</file>

<file path=xl/ctrlProps/ctrlProp2.xml><?xml version="1.0" encoding="utf-8"?>
<formControlPr xmlns="http://schemas.microsoft.com/office/spreadsheetml/2009/9/main" objectType="CheckBox" fmlaLink="$E$11" lockText="1"/>
</file>

<file path=xl/ctrlProps/ctrlProp3.xml><?xml version="1.0" encoding="utf-8"?>
<formControlPr xmlns="http://schemas.microsoft.com/office/spreadsheetml/2009/9/main" objectType="CheckBox" fmlaLink="$D$13" lockText="1"/>
</file>

<file path=xl/ctrlProps/ctrlProp4.xml><?xml version="1.0" encoding="utf-8"?>
<formControlPr xmlns="http://schemas.microsoft.com/office/spreadsheetml/2009/9/main" objectType="CheckBox" fmlaLink="$E$13" lockText="1"/>
</file>

<file path=xl/ctrlProps/ctrlProp5.xml><?xml version="1.0" encoding="utf-8"?>
<formControlPr xmlns="http://schemas.microsoft.com/office/spreadsheetml/2009/9/main" objectType="CheckBox" fmlaLink="$D$15" lockText="1"/>
</file>

<file path=xl/ctrlProps/ctrlProp6.xml><?xml version="1.0" encoding="utf-8"?>
<formControlPr xmlns="http://schemas.microsoft.com/office/spreadsheetml/2009/9/main" objectType="CheckBox" fmlaLink="$E$15" lockText="1"/>
</file>

<file path=xl/ctrlProps/ctrlProp7.xml><?xml version="1.0" encoding="utf-8"?>
<formControlPr xmlns="http://schemas.microsoft.com/office/spreadsheetml/2009/9/main" objectType="CheckBox" fmlaLink="$D$17" lockText="1"/>
</file>

<file path=xl/ctrlProps/ctrlProp8.xml><?xml version="1.0" encoding="utf-8"?>
<formControlPr xmlns="http://schemas.microsoft.com/office/spreadsheetml/2009/9/main" objectType="CheckBox" fmlaLink="$E$17" lockText="1"/>
</file>

<file path=xl/ctrlProps/ctrlProp9.xml><?xml version="1.0" encoding="utf-8"?>
<formControlPr xmlns="http://schemas.microsoft.com/office/spreadsheetml/2009/9/main" objectType="CheckBox" fmlaLink="$D$20" lockText="1"/>
</file>

<file path=xl/ctrlProps/ctrlProp10.xml><?xml version="1.0" encoding="utf-8"?>
<formControlPr xmlns="http://schemas.microsoft.com/office/spreadsheetml/2009/9/main" objectType="CheckBox" fmlaLink="$E$20" lockText="1"/>
</file>

<file path=xl/ctrlProps/ctrlProp11.xml><?xml version="1.0" encoding="utf-8"?>
<formControlPr xmlns="http://schemas.microsoft.com/office/spreadsheetml/2009/9/main" objectType="CheckBox" fmlaLink="$D$22" lockText="1"/>
</file>

<file path=xl/ctrlProps/ctrlProp12.xml><?xml version="1.0" encoding="utf-8"?>
<formControlPr xmlns="http://schemas.microsoft.com/office/spreadsheetml/2009/9/main" objectType="CheckBox" fmlaLink="$E$22" lockText="1"/>
</file>

<file path=xl/ctrlProps/ctrlProp13.xml><?xml version="1.0" encoding="utf-8"?>
<formControlPr xmlns="http://schemas.microsoft.com/office/spreadsheetml/2009/9/main" objectType="CheckBox" fmlaLink="$D$24" lockText="1"/>
</file>

<file path=xl/ctrlProps/ctrlProp14.xml><?xml version="1.0" encoding="utf-8"?>
<formControlPr xmlns="http://schemas.microsoft.com/office/spreadsheetml/2009/9/main" objectType="CheckBox" fmlaLink="$E$24" lockText="1"/>
</file>

<file path=xl/ctrlProps/ctrlProp15.xml><?xml version="1.0" encoding="utf-8"?>
<formControlPr xmlns="http://schemas.microsoft.com/office/spreadsheetml/2009/9/main" objectType="CheckBox" fmlaLink="$D$26" lockText="1"/>
</file>

<file path=xl/ctrlProps/ctrlProp16.xml><?xml version="1.0" encoding="utf-8"?>
<formControlPr xmlns="http://schemas.microsoft.com/office/spreadsheetml/2009/9/main" objectType="CheckBox" fmlaLink="$E$26" lockText="1"/>
</file>

<file path=xl/ctrlProps/ctrlProp17.xml><?xml version="1.0" encoding="utf-8"?>
<formControlPr xmlns="http://schemas.microsoft.com/office/spreadsheetml/2009/9/main" objectType="CheckBox" fmlaLink="$D$28" lockText="1"/>
</file>

<file path=xl/ctrlProps/ctrlProp18.xml><?xml version="1.0" encoding="utf-8"?>
<formControlPr xmlns="http://schemas.microsoft.com/office/spreadsheetml/2009/9/main" objectType="CheckBox" fmlaLink="$E$28" lockText="1"/>
</file>

<file path=xl/ctrlProps/ctrlProp19.xml><?xml version="1.0" encoding="utf-8"?>
<formControlPr xmlns="http://schemas.microsoft.com/office/spreadsheetml/2009/9/main" objectType="CheckBox" fmlaLink="$D$30" lockText="1"/>
</file>

<file path=xl/ctrlProps/ctrlProp20.xml><?xml version="1.0" encoding="utf-8"?>
<formControlPr xmlns="http://schemas.microsoft.com/office/spreadsheetml/2009/9/main" objectType="CheckBox" fmlaLink="$E$30" lockText="1"/>
</file>

<file path=xl/ctrlProps/ctrlProp21.xml><?xml version="1.0" encoding="utf-8"?>
<formControlPr xmlns="http://schemas.microsoft.com/office/spreadsheetml/2009/9/main" objectType="CheckBox" fmlaLink="$D$32" lockText="1"/>
</file>

<file path=xl/ctrlProps/ctrlProp22.xml><?xml version="1.0" encoding="utf-8"?>
<formControlPr xmlns="http://schemas.microsoft.com/office/spreadsheetml/2009/9/main" objectType="CheckBox" fmlaLink="$E$33" lockText="1"/>
</file>

<file path=xl/ctrlProps/ctrlProp23.xml><?xml version="1.0" encoding="utf-8"?>
<formControlPr xmlns="http://schemas.microsoft.com/office/spreadsheetml/2009/9/main" objectType="CheckBox" fmlaLink="$D$34" lockText="1"/>
</file>

<file path=xl/ctrlProps/ctrlProp24.xml><?xml version="1.0" encoding="utf-8"?>
<formControlPr xmlns="http://schemas.microsoft.com/office/spreadsheetml/2009/9/main" objectType="CheckBox" fmlaLink="$E$34" lockText="1"/>
</file>

<file path=xl/ctrlProps/ctrlProp25.xml><?xml version="1.0" encoding="utf-8"?>
<formControlPr xmlns="http://schemas.microsoft.com/office/spreadsheetml/2009/9/main" objectType="CheckBox" fmlaLink="$D$36" lockText="1"/>
</file>

<file path=xl/ctrlProps/ctrlProp26.xml><?xml version="1.0" encoding="utf-8"?>
<formControlPr xmlns="http://schemas.microsoft.com/office/spreadsheetml/2009/9/main" objectType="CheckBox" fmlaLink="$E$36" lockText="1"/>
</file>

<file path=xl/ctrlProps/ctrlProp27.xml><?xml version="1.0" encoding="utf-8"?>
<formControlPr xmlns="http://schemas.microsoft.com/office/spreadsheetml/2009/9/main" objectType="CheckBox" fmlaLink="$D$38" lockText="1"/>
</file>

<file path=xl/ctrlProps/ctrlProp28.xml><?xml version="1.0" encoding="utf-8"?>
<formControlPr xmlns="http://schemas.microsoft.com/office/spreadsheetml/2009/9/main" objectType="CheckBox" fmlaLink="$E$38" lockText="1"/>
</file>

<file path=xl/ctrlProps/ctrlProp29.xml><?xml version="1.0" encoding="utf-8"?>
<formControlPr xmlns="http://schemas.microsoft.com/office/spreadsheetml/2009/9/main" objectType="CheckBox" fmlaLink="$D$41" lockText="1"/>
</file>

<file path=xl/ctrlProps/ctrlProp30.xml><?xml version="1.0" encoding="utf-8"?>
<formControlPr xmlns="http://schemas.microsoft.com/office/spreadsheetml/2009/9/main" objectType="CheckBox" fmlaLink="$E$41" lockText="1"/>
</file>

<file path=xl/ctrlProps/ctrlProp31.xml><?xml version="1.0" encoding="utf-8"?>
<formControlPr xmlns="http://schemas.microsoft.com/office/spreadsheetml/2009/9/main" objectType="CheckBox" fmlaLink="$D$43" lockText="1"/>
</file>

<file path=xl/ctrlProps/ctrlProp32.xml><?xml version="1.0" encoding="utf-8"?>
<formControlPr xmlns="http://schemas.microsoft.com/office/spreadsheetml/2009/9/main" objectType="CheckBox" fmlaLink="$E$43" lockText="1"/>
</file>

<file path=xl/ctrlProps/ctrlProp33.xml><?xml version="1.0" encoding="utf-8"?>
<formControlPr xmlns="http://schemas.microsoft.com/office/spreadsheetml/2009/9/main" objectType="CheckBox" fmlaLink="$D$45" lockText="1"/>
</file>

<file path=xl/ctrlProps/ctrlProp34.xml><?xml version="1.0" encoding="utf-8"?>
<formControlPr xmlns="http://schemas.microsoft.com/office/spreadsheetml/2009/9/main" objectType="CheckBox" fmlaLink="$E$45" lockText="1"/>
</file>

<file path=xl/ctrlProps/ctrlProp35.xml><?xml version="1.0" encoding="utf-8"?>
<formControlPr xmlns="http://schemas.microsoft.com/office/spreadsheetml/2009/9/main" objectType="CheckBox" fmlaLink="$D$47" lockText="1"/>
</file>

<file path=xl/ctrlProps/ctrlProp36.xml><?xml version="1.0" encoding="utf-8"?>
<formControlPr xmlns="http://schemas.microsoft.com/office/spreadsheetml/2009/9/main" objectType="CheckBox" fmlaLink="$E$47" lockText="1"/>
</file>

<file path=xl/ctrlProps/ctrlProp37.xml><?xml version="1.0" encoding="utf-8"?>
<formControlPr xmlns="http://schemas.microsoft.com/office/spreadsheetml/2009/9/main" objectType="CheckBox" fmlaLink="$D$49" lockText="1"/>
</file>

<file path=xl/ctrlProps/ctrlProp38.xml><?xml version="1.0" encoding="utf-8"?>
<formControlPr xmlns="http://schemas.microsoft.com/office/spreadsheetml/2009/9/main" objectType="CheckBox" fmlaLink="$E$49" lockText="1"/>
</file>

<file path=xl/ctrlProps/ctrlProp39.xml><?xml version="1.0" encoding="utf-8"?>
<formControlPr xmlns="http://schemas.microsoft.com/office/spreadsheetml/2009/9/main" objectType="CheckBox" fmlaLink="$D$51" lockText="1"/>
</file>

<file path=xl/ctrlProps/ctrlProp40.xml><?xml version="1.0" encoding="utf-8"?>
<formControlPr xmlns="http://schemas.microsoft.com/office/spreadsheetml/2009/9/main" objectType="CheckBox" fmlaLink="$E$51" lockText="1"/>
</file>

<file path=xl/ctrlProps/ctrlProp41.xml><?xml version="1.0" encoding="utf-8"?>
<formControlPr xmlns="http://schemas.microsoft.com/office/spreadsheetml/2009/9/main" objectType="CheckBox" fmlaLink="$D$54" lockText="1"/>
</file>

<file path=xl/ctrlProps/ctrlProp42.xml><?xml version="1.0" encoding="utf-8"?>
<formControlPr xmlns="http://schemas.microsoft.com/office/spreadsheetml/2009/9/main" objectType="CheckBox" fmlaLink="$E$54" lockText="1"/>
</file>

<file path=xl/ctrlProps/ctrlProp43.xml><?xml version="1.0" encoding="utf-8"?>
<formControlPr xmlns="http://schemas.microsoft.com/office/spreadsheetml/2009/9/main" objectType="CheckBox" fmlaLink="$D$56" lockText="1"/>
</file>

<file path=xl/ctrlProps/ctrlProp44.xml><?xml version="1.0" encoding="utf-8"?>
<formControlPr xmlns="http://schemas.microsoft.com/office/spreadsheetml/2009/9/main" objectType="CheckBox" fmlaLink="$E$56" lockText="1"/>
</file>

<file path=xl/ctrlProps/ctrlProp45.xml><?xml version="1.0" encoding="utf-8"?>
<formControlPr xmlns="http://schemas.microsoft.com/office/spreadsheetml/2009/9/main" objectType="CheckBox" fmlaLink="$D$58" lockText="1"/>
</file>

<file path=xl/ctrlProps/ctrlProp46.xml><?xml version="1.0" encoding="utf-8"?>
<formControlPr xmlns="http://schemas.microsoft.com/office/spreadsheetml/2009/9/main" objectType="CheckBox" fmlaLink="$E$58" lockText="1"/>
</file>

<file path=xl/ctrlProps/ctrlProp47.xml><?xml version="1.0" encoding="utf-8"?>
<formControlPr xmlns="http://schemas.microsoft.com/office/spreadsheetml/2009/9/main" objectType="CheckBox" fmlaLink="$D$60" lockText="1"/>
</file>

<file path=xl/ctrlProps/ctrlProp48.xml><?xml version="1.0" encoding="utf-8"?>
<formControlPr xmlns="http://schemas.microsoft.com/office/spreadsheetml/2009/9/main" objectType="CheckBox" fmlaLink="$E$60" lockText="1"/>
</file>

<file path=xl/ctrlProps/ctrlProp49.xml><?xml version="1.0" encoding="utf-8"?>
<formControlPr xmlns="http://schemas.microsoft.com/office/spreadsheetml/2009/9/main" objectType="CheckBox" fmlaLink="$D$62" lockText="1"/>
</file>

<file path=xl/ctrlProps/ctrlProp50.xml><?xml version="1.0" encoding="utf-8"?>
<formControlPr xmlns="http://schemas.microsoft.com/office/spreadsheetml/2009/9/main" objectType="CheckBox" fmlaLink="$E$62" lockText="1"/>
</file>

<file path=xl/ctrlProps/ctrlProp51.xml><?xml version="1.0" encoding="utf-8"?>
<formControlPr xmlns="http://schemas.microsoft.com/office/spreadsheetml/2009/9/main" objectType="CheckBox" fmlaLink="$D$70" lockText="1"/>
</file>

<file path=xl/ctrlProps/ctrlProp52.xml><?xml version="1.0" encoding="utf-8"?>
<formControlPr xmlns="http://schemas.microsoft.com/office/spreadsheetml/2009/9/main" objectType="CheckBox" fmlaLink="$E$70" lockText="1"/>
</file>

<file path=xl/ctrlProps/ctrlProp53.xml><?xml version="1.0" encoding="utf-8"?>
<formControlPr xmlns="http://schemas.microsoft.com/office/spreadsheetml/2009/9/main" objectType="CheckBox" fmlaLink="$D$72" lockText="1"/>
</file>

<file path=xl/ctrlProps/ctrlProp54.xml><?xml version="1.0" encoding="utf-8"?>
<formControlPr xmlns="http://schemas.microsoft.com/office/spreadsheetml/2009/9/main" objectType="CheckBox" fmlaLink="$E$72" lockText="1"/>
</file>

<file path=xl/ctrlProps/ctrlProp55.xml><?xml version="1.0" encoding="utf-8"?>
<formControlPr xmlns="http://schemas.microsoft.com/office/spreadsheetml/2009/9/main" objectType="CheckBox" fmlaLink="$D$74" lockText="1"/>
</file>

<file path=xl/ctrlProps/ctrlProp56.xml><?xml version="1.0" encoding="utf-8"?>
<formControlPr xmlns="http://schemas.microsoft.com/office/spreadsheetml/2009/9/main" objectType="CheckBox" fmlaLink="$E$74" lockText="1"/>
</file>

<file path=xl/ctrlProps/ctrlProp57.xml><?xml version="1.0" encoding="utf-8"?>
<formControlPr xmlns="http://schemas.microsoft.com/office/spreadsheetml/2009/9/main" objectType="CheckBox" fmlaLink="$D$76" lockText="1"/>
</file>

<file path=xl/ctrlProps/ctrlProp58.xml><?xml version="1.0" encoding="utf-8"?>
<formControlPr xmlns="http://schemas.microsoft.com/office/spreadsheetml/2009/9/main" objectType="CheckBox" fmlaLink="$E$76" lockText="1"/>
</file>

<file path=xl/ctrlProps/ctrlProp59.xml><?xml version="1.0" encoding="utf-8"?>
<formControlPr xmlns="http://schemas.microsoft.com/office/spreadsheetml/2009/9/main" objectType="CheckBox" fmlaLink="$D$78" lockText="1"/>
</file>

<file path=xl/ctrlProps/ctrlProp60.xml><?xml version="1.0" encoding="utf-8"?>
<formControlPr xmlns="http://schemas.microsoft.com/office/spreadsheetml/2009/9/main" objectType="CheckBox" fmlaLink="$E$78" lockText="1"/>
</file>

<file path=xl/ctrlProps/ctrlProp61.xml><?xml version="1.0" encoding="utf-8"?>
<formControlPr xmlns="http://schemas.microsoft.com/office/spreadsheetml/2009/9/main" objectType="CheckBox" fmlaLink="$D$86" lockText="1"/>
</file>

<file path=xl/ctrlProps/ctrlProp62.xml><?xml version="1.0" encoding="utf-8"?>
<formControlPr xmlns="http://schemas.microsoft.com/office/spreadsheetml/2009/9/main" objectType="CheckBox" fmlaLink="$E$86" lockText="1"/>
</file>

<file path=xl/ctrlProps/ctrlProp63.xml><?xml version="1.0" encoding="utf-8"?>
<formControlPr xmlns="http://schemas.microsoft.com/office/spreadsheetml/2009/9/main" objectType="CheckBox" fmlaLink="$D$88" lockText="1"/>
</file>

<file path=xl/ctrlProps/ctrlProp64.xml><?xml version="1.0" encoding="utf-8"?>
<formControlPr xmlns="http://schemas.microsoft.com/office/spreadsheetml/2009/9/main" objectType="CheckBox" fmlaLink="$E$88" lockText="1"/>
</file>

<file path=xl/ctrlProps/ctrlProp65.xml><?xml version="1.0" encoding="utf-8"?>
<formControlPr xmlns="http://schemas.microsoft.com/office/spreadsheetml/2009/9/main" objectType="CheckBox" fmlaLink="$D$90" lockText="1"/>
</file>

<file path=xl/ctrlProps/ctrlProp66.xml><?xml version="1.0" encoding="utf-8"?>
<formControlPr xmlns="http://schemas.microsoft.com/office/spreadsheetml/2009/9/main" objectType="CheckBox" fmlaLink="$E$90" lockText="1"/>
</file>

<file path=xl/ctrlProps/ctrlProp67.xml><?xml version="1.0" encoding="utf-8"?>
<formControlPr xmlns="http://schemas.microsoft.com/office/spreadsheetml/2009/9/main" objectType="CheckBox" fmlaLink="$D$92" lockText="1"/>
</file>

<file path=xl/ctrlProps/ctrlProp68.xml><?xml version="1.0" encoding="utf-8"?>
<formControlPr xmlns="http://schemas.microsoft.com/office/spreadsheetml/2009/9/main" objectType="CheckBox" fmlaLink="$E$92" lockText="1"/>
</file>

<file path=xl/ctrlProps/ctrlProp69.xml><?xml version="1.0" encoding="utf-8"?>
<formControlPr xmlns="http://schemas.microsoft.com/office/spreadsheetml/2009/9/main" objectType="CheckBox" fmlaLink="$D$94" lockText="1"/>
</file>

<file path=xl/ctrlProps/ctrlProp70.xml><?xml version="1.0" encoding="utf-8"?>
<formControlPr xmlns="http://schemas.microsoft.com/office/spreadsheetml/2009/9/main" objectType="CheckBox" fmlaLink="$E$94" lockText="1"/>
</file>

<file path=xl/ctrlProps/ctrlProp71.xml><?xml version="1.0" encoding="utf-8"?>
<formControlPr xmlns="http://schemas.microsoft.com/office/spreadsheetml/2009/9/main" objectType="CheckBox" fmlaLink="$D$86" lockText="1"/>
</file>

<file path=xl/ctrlProps/ctrlProp72.xml><?xml version="1.0" encoding="utf-8"?>
<formControlPr xmlns="http://schemas.microsoft.com/office/spreadsheetml/2009/9/main" objectType="CheckBox" fmlaLink="$E$86" lockText="1"/>
</file>

<file path=xl/ctrlProps/ctrlProp73.xml><?xml version="1.0" encoding="utf-8"?>
<formControlPr xmlns="http://schemas.microsoft.com/office/spreadsheetml/2009/9/main" objectType="CheckBox" fmlaLink="$D$97" lockText="1"/>
</file>

<file path=xl/ctrlProps/ctrlProp74.xml><?xml version="1.0" encoding="utf-8"?>
<formControlPr xmlns="http://schemas.microsoft.com/office/spreadsheetml/2009/9/main" objectType="CheckBox" fmlaLink="$E$97" lockText="1"/>
</file>

<file path=xl/ctrlProps/ctrlProp75.xml><?xml version="1.0" encoding="utf-8"?>
<formControlPr xmlns="http://schemas.microsoft.com/office/spreadsheetml/2009/9/main" objectType="CheckBox" fmlaLink="$D$99" lockText="1"/>
</file>

<file path=xl/ctrlProps/ctrlProp76.xml><?xml version="1.0" encoding="utf-8"?>
<formControlPr xmlns="http://schemas.microsoft.com/office/spreadsheetml/2009/9/main" objectType="CheckBox" fmlaLink="$E$99" lockText="1"/>
</file>

<file path=xl/ctrlProps/ctrlProp77.xml><?xml version="1.0" encoding="utf-8"?>
<formControlPr xmlns="http://schemas.microsoft.com/office/spreadsheetml/2009/9/main" objectType="CheckBox" fmlaLink="$D$101" lockText="1"/>
</file>

<file path=xl/ctrlProps/ctrlProp78.xml><?xml version="1.0" encoding="utf-8"?>
<formControlPr xmlns="http://schemas.microsoft.com/office/spreadsheetml/2009/9/main" objectType="CheckBox" fmlaLink="$E$101" lockText="1"/>
</file>

<file path=xl/ctrlProps/ctrlProp79.xml><?xml version="1.0" encoding="utf-8"?>
<formControlPr xmlns="http://schemas.microsoft.com/office/spreadsheetml/2009/9/main" objectType="CheckBox" fmlaLink="$D$104" lockText="1"/>
</file>

<file path=xl/ctrlProps/ctrlProp80.xml><?xml version="1.0" encoding="utf-8"?>
<formControlPr xmlns="http://schemas.microsoft.com/office/spreadsheetml/2009/9/main" objectType="CheckBox" fmlaLink="$E$104" lockText="1"/>
</file>

<file path=xl/ctrlProps/ctrlProp81.xml><?xml version="1.0" encoding="utf-8"?>
<formControlPr xmlns="http://schemas.microsoft.com/office/spreadsheetml/2009/9/main" objectType="CheckBox" fmlaLink="$D$106" lockText="1"/>
</file>

<file path=xl/ctrlProps/ctrlProp82.xml><?xml version="1.0" encoding="utf-8"?>
<formControlPr xmlns="http://schemas.microsoft.com/office/spreadsheetml/2009/9/main" objectType="CheckBox" fmlaLink="$E$106" lockText="1"/>
</file>

<file path=xl/ctrlProps/ctrlProp83.xml><?xml version="1.0" encoding="utf-8"?>
<formControlPr xmlns="http://schemas.microsoft.com/office/spreadsheetml/2009/9/main" objectType="CheckBox" fmlaLink="$D$108" lockText="1"/>
</file>

<file path=xl/ctrlProps/ctrlProp84.xml><?xml version="1.0" encoding="utf-8"?>
<formControlPr xmlns="http://schemas.microsoft.com/office/spreadsheetml/2009/9/main" objectType="CheckBox" fmlaLink="$E$108" lockText="1"/>
</file>

<file path=xl/ctrlProps/ctrlProp85.xml><?xml version="1.0" encoding="utf-8"?>
<formControlPr xmlns="http://schemas.microsoft.com/office/spreadsheetml/2009/9/main" objectType="CheckBox" fmlaLink="$D$110" lockText="1"/>
</file>

<file path=xl/ctrlProps/ctrlProp86.xml><?xml version="1.0" encoding="utf-8"?>
<formControlPr xmlns="http://schemas.microsoft.com/office/spreadsheetml/2009/9/main" objectType="CheckBox" fmlaLink="$E$110" lockText="1"/>
</file>

<file path=xl/ctrlProps/ctrlProp87.xml><?xml version="1.0" encoding="utf-8"?>
<formControlPr xmlns="http://schemas.microsoft.com/office/spreadsheetml/2009/9/main" objectType="CheckBox" fmlaLink="$D$113" lockText="1"/>
</file>

<file path=xl/ctrlProps/ctrlProp88.xml><?xml version="1.0" encoding="utf-8"?>
<formControlPr xmlns="http://schemas.microsoft.com/office/spreadsheetml/2009/9/main" objectType="CheckBox" fmlaLink="$E$113" lockText="1"/>
</file>

<file path=xl/ctrlProps/ctrlProp89.xml><?xml version="1.0" encoding="utf-8"?>
<formControlPr xmlns="http://schemas.microsoft.com/office/spreadsheetml/2009/9/main" objectType="CheckBox" fmlaLink="$D$115" lockText="1"/>
</file>

<file path=xl/ctrlProps/ctrlProp90.xml><?xml version="1.0" encoding="utf-8"?>
<formControlPr xmlns="http://schemas.microsoft.com/office/spreadsheetml/2009/9/main" objectType="CheckBox" fmlaLink="$E$115" lockText="1"/>
</file>

<file path=xl/ctrlProps/ctrlProp91.xml><?xml version="1.0" encoding="utf-8"?>
<formControlPr xmlns="http://schemas.microsoft.com/office/spreadsheetml/2009/9/main" objectType="CheckBox" fmlaLink="$D$117" lockText="1"/>
</file>

<file path=xl/ctrlProps/ctrlProp92.xml><?xml version="1.0" encoding="utf-8"?>
<formControlPr xmlns="http://schemas.microsoft.com/office/spreadsheetml/2009/9/main" objectType="CheckBox" fmlaLink="$E$117" lockText="1"/>
</file>

<file path=xl/ctrlProps/ctrlProp93.xml><?xml version="1.0" encoding="utf-8"?>
<formControlPr xmlns="http://schemas.microsoft.com/office/spreadsheetml/2009/9/main" objectType="CheckBox" fmlaLink="$D$120" lockText="1"/>
</file>

<file path=xl/ctrlProps/ctrlProp94.xml><?xml version="1.0" encoding="utf-8"?>
<formControlPr xmlns="http://schemas.microsoft.com/office/spreadsheetml/2009/9/main" objectType="CheckBox" fmlaLink="$E$120" lockText="1"/>
</file>

<file path=xl/ctrlProps/ctrlProp95.xml><?xml version="1.0" encoding="utf-8"?>
<formControlPr xmlns="http://schemas.microsoft.com/office/spreadsheetml/2009/9/main" objectType="CheckBox" fmlaLink="$D$122" lockText="1"/>
</file>

<file path=xl/ctrlProps/ctrlProp96.xml><?xml version="1.0" encoding="utf-8"?>
<formControlPr xmlns="http://schemas.microsoft.com/office/spreadsheetml/2009/9/main" objectType="CheckBox" fmlaLink="$E$122" lockText="1"/>
</file>

<file path=xl/ctrlProps/ctrlProp97.xml><?xml version="1.0" encoding="utf-8"?>
<formControlPr xmlns="http://schemas.microsoft.com/office/spreadsheetml/2009/9/main" objectType="CheckBox" fmlaLink="$D$124" lockText="1"/>
</file>

<file path=xl/ctrlProps/ctrlProp98.xml><?xml version="1.0" encoding="utf-8"?>
<formControlPr xmlns="http://schemas.microsoft.com/office/spreadsheetml/2009/9/main" objectType="CheckBox" fmlaLink="$E$124" lockText="1"/>
</file>

<file path=xl/ctrlProps/ctrlProp99.xml><?xml version="1.0" encoding="utf-8"?>
<formControlPr xmlns="http://schemas.microsoft.com/office/spreadsheetml/2009/9/main" objectType="CheckBox" fmlaLink="$D$126" lockText="1"/>
</file>

<file path=xl/ctrlProps/ctrlProp100.xml><?xml version="1.0" encoding="utf-8"?>
<formControlPr xmlns="http://schemas.microsoft.com/office/spreadsheetml/2009/9/main" objectType="CheckBox" fmlaLink="$E$126" lockText="1"/>
</file>

<file path=xl/ctrlProps/ctrlProp101.xml><?xml version="1.0" encoding="utf-8"?>
<formControlPr xmlns="http://schemas.microsoft.com/office/spreadsheetml/2009/9/main" objectType="CheckBox" fmlaLink="$D$134" lockText="1"/>
</file>

<file path=xl/ctrlProps/ctrlProp102.xml><?xml version="1.0" encoding="utf-8"?>
<formControlPr xmlns="http://schemas.microsoft.com/office/spreadsheetml/2009/9/main" objectType="CheckBox" fmlaLink="$E$134" lockText="1"/>
</file>

<file path=xl/ctrlProps/ctrlProp103.xml><?xml version="1.0" encoding="utf-8"?>
<formControlPr xmlns="http://schemas.microsoft.com/office/spreadsheetml/2009/9/main" objectType="CheckBox" fmlaLink="$D$138" lockText="1"/>
</file>

<file path=xl/ctrlProps/ctrlProp104.xml><?xml version="1.0" encoding="utf-8"?>
<formControlPr xmlns="http://schemas.microsoft.com/office/spreadsheetml/2009/9/main" objectType="CheckBox" fmlaLink="$E$138" lockText="1"/>
</file>

<file path=xl/ctrlProps/ctrlProp105.xml><?xml version="1.0" encoding="utf-8"?>
<formControlPr xmlns="http://schemas.microsoft.com/office/spreadsheetml/2009/9/main" objectType="CheckBox" fmlaLink="$D$132" lockText="1"/>
</file>

<file path=xl/ctrlProps/ctrlProp106.xml><?xml version="1.0" encoding="utf-8"?>
<formControlPr xmlns="http://schemas.microsoft.com/office/spreadsheetml/2009/9/main" objectType="CheckBox" fmlaLink="$E$132" lockText="1"/>
</file>

<file path=xl/ctrlProps/ctrlProp107.xml><?xml version="1.0" encoding="utf-8"?>
<formControlPr xmlns="http://schemas.microsoft.com/office/spreadsheetml/2009/9/main" objectType="CheckBox" fmlaLink="$D$136" lockText="1"/>
</file>

<file path=xl/ctrlProps/ctrlProp108.xml><?xml version="1.0" encoding="utf-8"?>
<formControlPr xmlns="http://schemas.microsoft.com/office/spreadsheetml/2009/9/main" objectType="CheckBox" fmlaLink="$E$136" lockText="1"/>
</file>

<file path=xl/ctrlProps/ctrlProp109.xml><?xml version="1.0" encoding="utf-8"?>
<formControlPr xmlns="http://schemas.microsoft.com/office/spreadsheetml/2009/9/main" objectType="CheckBox" fmlaLink="$D$140" lockText="1"/>
</file>

<file path=xl/ctrlProps/ctrlProp110.xml><?xml version="1.0" encoding="utf-8"?>
<formControlPr xmlns="http://schemas.microsoft.com/office/spreadsheetml/2009/9/main" objectType="CheckBox" fmlaLink="$E$140" lockText="1"/>
</file>

<file path=xl/ctrlProps/ctrlProp111.xml><?xml version="1.0" encoding="utf-8"?>
<formControlPr xmlns="http://schemas.microsoft.com/office/spreadsheetml/2009/9/main" objectType="CheckBox" fmlaLink="$D$142" lockText="1"/>
</file>

<file path=xl/ctrlProps/ctrlProp112.xml><?xml version="1.0" encoding="utf-8"?>
<formControlPr xmlns="http://schemas.microsoft.com/office/spreadsheetml/2009/9/main" objectType="CheckBox" fmlaLink="$E$142" lockText="1"/>
</file>

<file path=xl/ctrlProps/ctrlProp113.xml><?xml version="1.0" encoding="utf-8"?>
<formControlPr xmlns="http://schemas.microsoft.com/office/spreadsheetml/2009/9/main" objectType="CheckBox" fmlaLink="$D$144" lockText="1"/>
</file>

<file path=xl/ctrlProps/ctrlProp114.xml><?xml version="1.0" encoding="utf-8"?>
<formControlPr xmlns="http://schemas.microsoft.com/office/spreadsheetml/2009/9/main" objectType="CheckBox" fmlaLink="$E$144" lockText="1"/>
</file>

<file path=xl/ctrlProps/ctrlProp115.xml><?xml version="1.0" encoding="utf-8"?>
<formControlPr xmlns="http://schemas.microsoft.com/office/spreadsheetml/2009/9/main" objectType="CheckBox" fmlaLink="$D$146" lockText="1"/>
</file>

<file path=xl/ctrlProps/ctrlProp116.xml><?xml version="1.0" encoding="utf-8"?>
<formControlPr xmlns="http://schemas.microsoft.com/office/spreadsheetml/2009/9/main" objectType="CheckBox" fmlaLink="$E$146" lockText="1"/>
</file>

<file path=xl/ctrlProps/ctrlProp117.xml><?xml version="1.0" encoding="utf-8"?>
<formControlPr xmlns="http://schemas.microsoft.com/office/spreadsheetml/2009/9/main" objectType="CheckBox" fmlaLink="$D$149" lockText="1"/>
</file>

<file path=xl/ctrlProps/ctrlProp118.xml><?xml version="1.0" encoding="utf-8"?>
<formControlPr xmlns="http://schemas.microsoft.com/office/spreadsheetml/2009/9/main" objectType="CheckBox" fmlaLink="$E$149" lockText="1"/>
</file>

<file path=xl/ctrlProps/ctrlProp119.xml><?xml version="1.0" encoding="utf-8"?>
<formControlPr xmlns="http://schemas.microsoft.com/office/spreadsheetml/2009/9/main" objectType="CheckBox" fmlaLink="$D$151" lockText="1"/>
</file>

<file path=xl/ctrlProps/ctrlProp120.xml><?xml version="1.0" encoding="utf-8"?>
<formControlPr xmlns="http://schemas.microsoft.com/office/spreadsheetml/2009/9/main" objectType="CheckBox" fmlaLink="$E$151" lockText="1"/>
</file>

<file path=xl/ctrlProps/ctrlProp121.xml><?xml version="1.0" encoding="utf-8"?>
<formControlPr xmlns="http://schemas.microsoft.com/office/spreadsheetml/2009/9/main" objectType="CheckBox" fmlaLink="$D$153" lockText="1"/>
</file>

<file path=xl/ctrlProps/ctrlProp122.xml><?xml version="1.0" encoding="utf-8"?>
<formControlPr xmlns="http://schemas.microsoft.com/office/spreadsheetml/2009/9/main" objectType="CheckBox" fmlaLink="$E$153" lockText="1"/>
</file>

<file path=xl/ctrlProps/ctrlProp123.xml><?xml version="1.0" encoding="utf-8"?>
<formControlPr xmlns="http://schemas.microsoft.com/office/spreadsheetml/2009/9/main" objectType="CheckBox" fmlaLink="$D$155" lockText="1"/>
</file>

<file path=xl/ctrlProps/ctrlProp124.xml><?xml version="1.0" encoding="utf-8"?>
<formControlPr xmlns="http://schemas.microsoft.com/office/spreadsheetml/2009/9/main" objectType="CheckBox" fmlaLink="$E$155" lockText="1"/>
</file>

<file path=xl/ctrlProps/ctrlProp125.xml><?xml version="1.0" encoding="utf-8"?>
<formControlPr xmlns="http://schemas.microsoft.com/office/spreadsheetml/2009/9/main" objectType="CheckBox" fmlaLink="$D$157" lockText="1"/>
</file>

<file path=xl/ctrlProps/ctrlProp126.xml><?xml version="1.0" encoding="utf-8"?>
<formControlPr xmlns="http://schemas.microsoft.com/office/spreadsheetml/2009/9/main" objectType="CheckBox" fmlaLink="$E$157" lockText="1"/>
</file>

<file path=xl/ctrlProps/ctrlProp127.xml><?xml version="1.0" encoding="utf-8"?>
<formControlPr xmlns="http://schemas.microsoft.com/office/spreadsheetml/2009/9/main" objectType="CheckBox" fmlaLink="$D$166" lockText="1"/>
</file>

<file path=xl/ctrlProps/ctrlProp128.xml><?xml version="1.0" encoding="utf-8"?>
<formControlPr xmlns="http://schemas.microsoft.com/office/spreadsheetml/2009/9/main" objectType="CheckBox" fmlaLink="$E$166" lockText="1"/>
</file>

<file path=xl/ctrlProps/ctrlProp129.xml><?xml version="1.0" encoding="utf-8"?>
<formControlPr xmlns="http://schemas.microsoft.com/office/spreadsheetml/2009/9/main" objectType="CheckBox" fmlaLink="$D$168" lockText="1"/>
</file>

<file path=xl/ctrlProps/ctrlProp130.xml><?xml version="1.0" encoding="utf-8"?>
<formControlPr xmlns="http://schemas.microsoft.com/office/spreadsheetml/2009/9/main" objectType="CheckBox" fmlaLink="$E$168" lockText="1"/>
</file>

<file path=xl/ctrlProps/ctrlProp131.xml><?xml version="1.0" encoding="utf-8"?>
<formControlPr xmlns="http://schemas.microsoft.com/office/spreadsheetml/2009/9/main" objectType="CheckBox" fmlaLink="$D$164" lockText="1"/>
</file>

<file path=xl/ctrlProps/ctrlProp132.xml><?xml version="1.0" encoding="utf-8"?>
<formControlPr xmlns="http://schemas.microsoft.com/office/spreadsheetml/2009/9/main" objectType="CheckBox" fmlaLink="$E$164" lockText="1"/>
</file>

<file path=xl/ctrlProps/ctrlProp133.xml><?xml version="1.0" encoding="utf-8"?>
<formControlPr xmlns="http://schemas.microsoft.com/office/spreadsheetml/2009/9/main" objectType="CheckBox" fmlaLink="$D$170" lockText="1"/>
</file>

<file path=xl/ctrlProps/ctrlProp134.xml><?xml version="1.0" encoding="utf-8"?>
<formControlPr xmlns="http://schemas.microsoft.com/office/spreadsheetml/2009/9/main" objectType="CheckBox" fmlaLink="$E$170" lockText="1"/>
</file>

<file path=xl/ctrlProps/ctrlProp135.xml><?xml version="1.0" encoding="utf-8"?>
<formControlPr xmlns="http://schemas.microsoft.com/office/spreadsheetml/2009/9/main" objectType="CheckBox" fmlaLink="$D$172" lockText="1"/>
</file>

<file path=xl/ctrlProps/ctrlProp136.xml><?xml version="1.0" encoding="utf-8"?>
<formControlPr xmlns="http://schemas.microsoft.com/office/spreadsheetml/2009/9/main" objectType="CheckBox" fmlaLink="$E$172" lockText="1"/>
</file>

<file path=xl/ctrlProps/ctrlProp137.xml><?xml version="1.0" encoding="utf-8"?>
<formControlPr xmlns="http://schemas.microsoft.com/office/spreadsheetml/2009/9/main" objectType="CheckBox" fmlaLink="$D$179" lockText="1"/>
</file>

<file path=xl/ctrlProps/ctrlProp138.xml><?xml version="1.0" encoding="utf-8"?>
<formControlPr xmlns="http://schemas.microsoft.com/office/spreadsheetml/2009/9/main" objectType="CheckBox" fmlaLink="$E$179" lockText="1"/>
</file>

<file path=xl/ctrlProps/ctrlProp139.xml><?xml version="1.0" encoding="utf-8"?>
<formControlPr xmlns="http://schemas.microsoft.com/office/spreadsheetml/2009/9/main" objectType="CheckBox" fmlaLink="$D$181" lockText="1"/>
</file>

<file path=xl/ctrlProps/ctrlProp140.xml><?xml version="1.0" encoding="utf-8"?>
<formControlPr xmlns="http://schemas.microsoft.com/office/spreadsheetml/2009/9/main" objectType="CheckBox" fmlaLink="$E$181" lockText="1"/>
</file>

<file path=xl/ctrlProps/ctrlProp141.xml><?xml version="1.0" encoding="utf-8"?>
<formControlPr xmlns="http://schemas.microsoft.com/office/spreadsheetml/2009/9/main" objectType="CheckBox" fmlaLink="$D$183" lockText="1"/>
</file>

<file path=xl/ctrlProps/ctrlProp142.xml><?xml version="1.0" encoding="utf-8"?>
<formControlPr xmlns="http://schemas.microsoft.com/office/spreadsheetml/2009/9/main" objectType="CheckBox" fmlaLink="$E$183" lockText="1"/>
</file>

<file path=xl/ctrlProps/ctrlProp143.xml><?xml version="1.0" encoding="utf-8"?>
<formControlPr xmlns="http://schemas.microsoft.com/office/spreadsheetml/2009/9/main" objectType="CheckBox" fmlaLink="$D$175" lockText="1"/>
</file>

<file path=xl/ctrlProps/ctrlProp144.xml><?xml version="1.0" encoding="utf-8"?>
<formControlPr xmlns="http://schemas.microsoft.com/office/spreadsheetml/2009/9/main" objectType="CheckBox" fmlaLink="$E$175" lockText="1"/>
</file>

<file path=xl/ctrlProps/ctrlProp145.xml><?xml version="1.0" encoding="utf-8"?>
<formControlPr xmlns="http://schemas.microsoft.com/office/spreadsheetml/2009/9/main" objectType="CheckBox" fmlaLink="$D$177" lockText="1"/>
</file>

<file path=xl/ctrlProps/ctrlProp146.xml><?xml version="1.0" encoding="utf-8"?>
<formControlPr xmlns="http://schemas.microsoft.com/office/spreadsheetml/2009/9/main" objectType="CheckBox" fmlaLink="$E$177" lockText="1"/>
</file>

<file path=xl/ctrlProps/ctrlProp147.xml><?xml version="1.0" encoding="utf-8"?>
<formControlPr xmlns="http://schemas.microsoft.com/office/spreadsheetml/2009/9/main" objectType="CheckBox" fmlaLink="$D$188" lockText="1"/>
</file>

<file path=xl/ctrlProps/ctrlProp148.xml><?xml version="1.0" encoding="utf-8"?>
<formControlPr xmlns="http://schemas.microsoft.com/office/spreadsheetml/2009/9/main" objectType="CheckBox" fmlaLink="$E$188" lockText="1"/>
</file>

<file path=xl/ctrlProps/ctrlProp149.xml><?xml version="1.0" encoding="utf-8"?>
<formControlPr xmlns="http://schemas.microsoft.com/office/spreadsheetml/2009/9/main" objectType="CheckBox" fmlaLink="$D$186" lockText="1"/>
</file>

<file path=xl/ctrlProps/ctrlProp150.xml><?xml version="1.0" encoding="utf-8"?>
<formControlPr xmlns="http://schemas.microsoft.com/office/spreadsheetml/2009/9/main" objectType="CheckBox" fmlaLink="$E$186" lockText="1"/>
</file>

<file path=xl/ctrlProps/ctrlProp151.xml><?xml version="1.0" encoding="utf-8"?>
<formControlPr xmlns="http://schemas.microsoft.com/office/spreadsheetml/2009/9/main" objectType="CheckBox" fmlaLink="$D$190" lockText="1"/>
</file>

<file path=xl/ctrlProps/ctrlProp152.xml><?xml version="1.0" encoding="utf-8"?>
<formControlPr xmlns="http://schemas.microsoft.com/office/spreadsheetml/2009/9/main" objectType="CheckBox" fmlaLink="$E$190" lockText="1"/>
</file>

<file path=xl/ctrlProps/ctrlProp153.xml><?xml version="1.0" encoding="utf-8"?>
<formControlPr xmlns="http://schemas.microsoft.com/office/spreadsheetml/2009/9/main" objectType="CheckBox" fmlaLink="$D$192" lockText="1"/>
</file>

<file path=xl/ctrlProps/ctrlProp154.xml><?xml version="1.0" encoding="utf-8"?>
<formControlPr xmlns="http://schemas.microsoft.com/office/spreadsheetml/2009/9/main" objectType="CheckBox" fmlaLink="$E$192" lockText="1"/>
</file>

<file path=xl/ctrlProps/ctrlProp155.xml><?xml version="1.0" encoding="utf-8"?>
<formControlPr xmlns="http://schemas.microsoft.com/office/spreadsheetml/2009/9/main" objectType="CheckBox" fmlaLink="$D$205" lockText="1"/>
</file>

<file path=xl/ctrlProps/ctrlProp156.xml><?xml version="1.0" encoding="utf-8"?>
<formControlPr xmlns="http://schemas.microsoft.com/office/spreadsheetml/2009/9/main" objectType="CheckBox" fmlaLink="$E$205" lockText="1"/>
</file>

<file path=xl/ctrlProps/ctrlProp157.xml><?xml version="1.0" encoding="utf-8"?>
<formControlPr xmlns="http://schemas.microsoft.com/office/spreadsheetml/2009/9/main" objectType="CheckBox" fmlaLink="$D$207" lockText="1"/>
</file>

<file path=xl/ctrlProps/ctrlProp158.xml><?xml version="1.0" encoding="utf-8"?>
<formControlPr xmlns="http://schemas.microsoft.com/office/spreadsheetml/2009/9/main" objectType="CheckBox" fmlaLink="$E$207" lockText="1"/>
</file>

<file path=xl/ctrlProps/ctrlProp159.xml><?xml version="1.0" encoding="utf-8"?>
<formControlPr xmlns="http://schemas.microsoft.com/office/spreadsheetml/2009/9/main" objectType="CheckBox" fmlaLink="$D$199" lockText="1"/>
</file>

<file path=xl/ctrlProps/ctrlProp160.xml><?xml version="1.0" encoding="utf-8"?>
<formControlPr xmlns="http://schemas.microsoft.com/office/spreadsheetml/2009/9/main" objectType="CheckBox" fmlaLink="$E$199" lockText="1"/>
</file>

<file path=xl/ctrlProps/ctrlProp161.xml><?xml version="1.0" encoding="utf-8"?>
<formControlPr xmlns="http://schemas.microsoft.com/office/spreadsheetml/2009/9/main" objectType="CheckBox" fmlaLink="$D$201" lockText="1"/>
</file>

<file path=xl/ctrlProps/ctrlProp162.xml><?xml version="1.0" encoding="utf-8"?>
<formControlPr xmlns="http://schemas.microsoft.com/office/spreadsheetml/2009/9/main" objectType="CheckBox" fmlaLink="$E$201" lockText="1"/>
</file>

<file path=xl/ctrlProps/ctrlProp163.xml><?xml version="1.0" encoding="utf-8"?>
<formControlPr xmlns="http://schemas.microsoft.com/office/spreadsheetml/2009/9/main" objectType="CheckBox" fmlaLink="$D$203" lockText="1"/>
</file>

<file path=xl/ctrlProps/ctrlProp164.xml><?xml version="1.0" encoding="utf-8"?>
<formControlPr xmlns="http://schemas.microsoft.com/office/spreadsheetml/2009/9/main" objectType="CheckBox" fmlaLink="$E$203" lockText="1"/>
</file>

<file path=xl/ctrlProps/ctrlProp165.xml><?xml version="1.0" encoding="utf-8"?>
<formControlPr xmlns="http://schemas.microsoft.com/office/spreadsheetml/2009/9/main" objectType="CheckBox" fmlaLink="$D$209" lockText="1"/>
</file>

<file path=xl/ctrlProps/ctrlProp166.xml><?xml version="1.0" encoding="utf-8"?>
<formControlPr xmlns="http://schemas.microsoft.com/office/spreadsheetml/2009/9/main" objectType="CheckBox" fmlaLink="$E$209" lockText="1"/>
</file>

<file path=xl/ctrlProps/ctrlProp167.xml><?xml version="1.0" encoding="utf-8"?>
<formControlPr xmlns="http://schemas.microsoft.com/office/spreadsheetml/2009/9/main" objectType="CheckBox" fmlaLink="$D$216" lockText="1"/>
</file>

<file path=xl/ctrlProps/ctrlProp168.xml><?xml version="1.0" encoding="utf-8"?>
<formControlPr xmlns="http://schemas.microsoft.com/office/spreadsheetml/2009/9/main" objectType="CheckBox" fmlaLink="$E$216" lockText="1"/>
</file>

<file path=xl/ctrlProps/ctrlProp169.xml><?xml version="1.0" encoding="utf-8"?>
<formControlPr xmlns="http://schemas.microsoft.com/office/spreadsheetml/2009/9/main" objectType="CheckBox" fmlaLink="$D$218" lockText="1"/>
</file>

<file path=xl/ctrlProps/ctrlProp170.xml><?xml version="1.0" encoding="utf-8"?>
<formControlPr xmlns="http://schemas.microsoft.com/office/spreadsheetml/2009/9/main" objectType="CheckBox" fmlaLink="$E$218" lockText="1"/>
</file>

<file path=xl/ctrlProps/ctrlProp171.xml><?xml version="1.0" encoding="utf-8"?>
<formControlPr xmlns="http://schemas.microsoft.com/office/spreadsheetml/2009/9/main" objectType="CheckBox" fmlaLink="$D$220" lockText="1"/>
</file>

<file path=xl/ctrlProps/ctrlProp172.xml><?xml version="1.0" encoding="utf-8"?>
<formControlPr xmlns="http://schemas.microsoft.com/office/spreadsheetml/2009/9/main" objectType="CheckBox" fmlaLink="$E$220" lockText="1"/>
</file>

<file path=xl/ctrlProps/ctrlProp173.xml><?xml version="1.0" encoding="utf-8"?>
<formControlPr xmlns="http://schemas.microsoft.com/office/spreadsheetml/2009/9/main" objectType="CheckBox" fmlaLink="$D$222" lockText="1"/>
</file>

<file path=xl/ctrlProps/ctrlProp174.xml><?xml version="1.0" encoding="utf-8"?>
<formControlPr xmlns="http://schemas.microsoft.com/office/spreadsheetml/2009/9/main" objectType="CheckBox" fmlaLink="$E$222" lockText="1"/>
</file>

<file path=xl/ctrlProps/ctrlProp175.xml><?xml version="1.0" encoding="utf-8"?>
<formControlPr xmlns="http://schemas.microsoft.com/office/spreadsheetml/2009/9/main" objectType="CheckBox" fmlaLink="$D$231" lockText="1"/>
</file>

<file path=xl/ctrlProps/ctrlProp176.xml><?xml version="1.0" encoding="utf-8"?>
<formControlPr xmlns="http://schemas.microsoft.com/office/spreadsheetml/2009/9/main" objectType="CheckBox" fmlaLink="$E$231" lockText="1"/>
</file>

<file path=xl/ctrlProps/ctrlProp177.xml><?xml version="1.0" encoding="utf-8"?>
<formControlPr xmlns="http://schemas.microsoft.com/office/spreadsheetml/2009/9/main" objectType="CheckBox" fmlaLink="$D$235" lockText="1"/>
</file>

<file path=xl/ctrlProps/ctrlProp178.xml><?xml version="1.0" encoding="utf-8"?>
<formControlPr xmlns="http://schemas.microsoft.com/office/spreadsheetml/2009/9/main" objectType="CheckBox" fmlaLink="$E$235" lockText="1"/>
</file>

<file path=xl/ctrlProps/ctrlProp179.xml><?xml version="1.0" encoding="utf-8"?>
<formControlPr xmlns="http://schemas.microsoft.com/office/spreadsheetml/2009/9/main" objectType="CheckBox" fmlaLink="$D$229" lockText="1"/>
</file>

<file path=xl/ctrlProps/ctrlProp180.xml><?xml version="1.0" encoding="utf-8"?>
<formControlPr xmlns="http://schemas.microsoft.com/office/spreadsheetml/2009/9/main" objectType="CheckBox" fmlaLink="$E$229" lockText="1"/>
</file>

<file path=xl/ctrlProps/ctrlProp181.xml><?xml version="1.0" encoding="utf-8"?>
<formControlPr xmlns="http://schemas.microsoft.com/office/spreadsheetml/2009/9/main" objectType="CheckBox" fmlaLink="$D$233" lockText="1"/>
</file>

<file path=xl/ctrlProps/ctrlProp182.xml><?xml version="1.0" encoding="utf-8"?>
<formControlPr xmlns="http://schemas.microsoft.com/office/spreadsheetml/2009/9/main" objectType="CheckBox" fmlaLink="$E$233" lockText="1"/>
</file>

<file path=xl/ctrlProps/ctrlProp183.xml><?xml version="1.0" encoding="utf-8"?>
<formControlPr xmlns="http://schemas.microsoft.com/office/spreadsheetml/2009/9/main" objectType="CheckBox" fmlaLink="$D$237" lockText="1"/>
</file>

<file path=xl/ctrlProps/ctrlProp184.xml><?xml version="1.0" encoding="utf-8"?>
<formControlPr xmlns="http://schemas.microsoft.com/office/spreadsheetml/2009/9/main" objectType="CheckBox" fmlaLink="$E$237" lockText="1"/>
</file>

<file path=xl/ctrlProps/ctrlProp185.xml><?xml version="1.0" encoding="utf-8"?>
<formControlPr xmlns="http://schemas.microsoft.com/office/spreadsheetml/2009/9/main" objectType="CheckBox" fmlaLink="$D$239" lockText="1"/>
</file>

<file path=xl/ctrlProps/ctrlProp186.xml><?xml version="1.0" encoding="utf-8"?>
<formControlPr xmlns="http://schemas.microsoft.com/office/spreadsheetml/2009/9/main" objectType="CheckBox" fmlaLink="$E$239" lockText="1"/>
</file>

<file path=xl/ctrlProps/ctrlProp187.xml><?xml version="1.0" encoding="utf-8"?>
<formControlPr xmlns="http://schemas.microsoft.com/office/spreadsheetml/2009/9/main" objectType="CheckBox" fmlaLink="$D$241" lockText="1"/>
</file>

<file path=xl/ctrlProps/ctrlProp188.xml><?xml version="1.0" encoding="utf-8"?>
<formControlPr xmlns="http://schemas.microsoft.com/office/spreadsheetml/2009/9/main" objectType="CheckBox" fmlaLink="$E$241" lockText="1"/>
</file>

<file path=xl/ctrlProps/ctrlProp189.xml><?xml version="1.0" encoding="utf-8"?>
<formControlPr xmlns="http://schemas.microsoft.com/office/spreadsheetml/2009/9/main" objectType="CheckBox" fmlaLink="$D$252" lockText="1"/>
</file>

<file path=xl/ctrlProps/ctrlProp190.xml><?xml version="1.0" encoding="utf-8"?>
<formControlPr xmlns="http://schemas.microsoft.com/office/spreadsheetml/2009/9/main" objectType="CheckBox" fmlaLink="$E$252" lockText="1"/>
</file>

<file path=xl/ctrlProps/ctrlProp191.xml><?xml version="1.0" encoding="utf-8"?>
<formControlPr xmlns="http://schemas.microsoft.com/office/spreadsheetml/2009/9/main" objectType="CheckBox" fmlaLink="$D$256" lockText="1"/>
</file>

<file path=xl/ctrlProps/ctrlProp192.xml><?xml version="1.0" encoding="utf-8"?>
<formControlPr xmlns="http://schemas.microsoft.com/office/spreadsheetml/2009/9/main" objectType="CheckBox" fmlaLink="$E$256" lockText="1"/>
</file>

<file path=xl/ctrlProps/ctrlProp193.xml><?xml version="1.0" encoding="utf-8"?>
<formControlPr xmlns="http://schemas.microsoft.com/office/spreadsheetml/2009/9/main" objectType="CheckBox" fmlaLink="$D$244" lockText="1"/>
</file>

<file path=xl/ctrlProps/ctrlProp194.xml><?xml version="1.0" encoding="utf-8"?>
<formControlPr xmlns="http://schemas.microsoft.com/office/spreadsheetml/2009/9/main" objectType="CheckBox" fmlaLink="$E$244" lockText="1"/>
</file>

<file path=xl/ctrlProps/ctrlProp195.xml><?xml version="1.0" encoding="utf-8"?>
<formControlPr xmlns="http://schemas.microsoft.com/office/spreadsheetml/2009/9/main" objectType="CheckBox" fmlaLink="$D$246" lockText="1"/>
</file>

<file path=xl/ctrlProps/ctrlProp196.xml><?xml version="1.0" encoding="utf-8"?>
<formControlPr xmlns="http://schemas.microsoft.com/office/spreadsheetml/2009/9/main" objectType="CheckBox" fmlaLink="$E$246" lockText="1"/>
</file>

<file path=xl/ctrlProps/ctrlProp197.xml><?xml version="1.0" encoding="utf-8"?>
<formControlPr xmlns="http://schemas.microsoft.com/office/spreadsheetml/2009/9/main" objectType="CheckBox" fmlaLink="$D$248" lockText="1"/>
</file>

<file path=xl/ctrlProps/ctrlProp198.xml><?xml version="1.0" encoding="utf-8"?>
<formControlPr xmlns="http://schemas.microsoft.com/office/spreadsheetml/2009/9/main" objectType="CheckBox" fmlaLink="$E$248" lockText="1"/>
</file>

<file path=xl/ctrlProps/ctrlProp199.xml><?xml version="1.0" encoding="utf-8"?>
<formControlPr xmlns="http://schemas.microsoft.com/office/spreadsheetml/2009/9/main" objectType="CheckBox" fmlaLink="$D$250" lockText="1"/>
</file>

<file path=xl/ctrlProps/ctrlProp200.xml><?xml version="1.0" encoding="utf-8"?>
<formControlPr xmlns="http://schemas.microsoft.com/office/spreadsheetml/2009/9/main" objectType="CheckBox" fmlaLink="$E$250" lockText="1"/>
</file>

<file path=xl/ctrlProps/ctrlProp201.xml><?xml version="1.0" encoding="utf-8"?>
<formControlPr xmlns="http://schemas.microsoft.com/office/spreadsheetml/2009/9/main" objectType="CheckBox" fmlaLink="$D$254" lockText="1"/>
</file>

<file path=xl/ctrlProps/ctrlProp202.xml><?xml version="1.0" encoding="utf-8"?>
<formControlPr xmlns="http://schemas.microsoft.com/office/spreadsheetml/2009/9/main" objectType="CheckBox" fmlaLink="$E$254" lockText="1"/>
</file>

<file path=xl/ctrlProps/ctrlProp203.xml><?xml version="1.0" encoding="utf-8"?>
<formControlPr xmlns="http://schemas.microsoft.com/office/spreadsheetml/2009/9/main" objectType="CheckBox" fmlaLink="$D$258" lockText="1"/>
</file>

<file path=xl/ctrlProps/ctrlProp204.xml><?xml version="1.0" encoding="utf-8"?>
<formControlPr xmlns="http://schemas.microsoft.com/office/spreadsheetml/2009/9/main" objectType="CheckBox" fmlaLink="$E$258" lockText="1"/>
</file>

<file path=xl/ctrlProps/ctrlProp205.xml><?xml version="1.0" encoding="utf-8"?>
<formControlPr xmlns="http://schemas.microsoft.com/office/spreadsheetml/2009/9/main" objectType="CheckBox" fmlaLink="$D$265" lockText="1"/>
</file>

<file path=xl/ctrlProps/ctrlProp206.xml><?xml version="1.0" encoding="utf-8"?>
<formControlPr xmlns="http://schemas.microsoft.com/office/spreadsheetml/2009/9/main" objectType="CheckBox" fmlaLink="$E$265" lockText="1"/>
</file>

<file path=xl/ctrlProps/ctrlProp207.xml><?xml version="1.0" encoding="utf-8"?>
<formControlPr xmlns="http://schemas.microsoft.com/office/spreadsheetml/2009/9/main" objectType="CheckBox" fmlaLink="$D$267" lockText="1"/>
</file>

<file path=xl/ctrlProps/ctrlProp208.xml><?xml version="1.0" encoding="utf-8"?>
<formControlPr xmlns="http://schemas.microsoft.com/office/spreadsheetml/2009/9/main" objectType="CheckBox" fmlaLink="$E$267" lockText="1"/>
</file>

<file path=xl/ctrlProps/ctrlProp209.xml><?xml version="1.0" encoding="utf-8"?>
<formControlPr xmlns="http://schemas.microsoft.com/office/spreadsheetml/2009/9/main" objectType="CheckBox" fmlaLink="$D$269" lockText="1"/>
</file>

<file path=xl/ctrlProps/ctrlProp210.xml><?xml version="1.0" encoding="utf-8"?>
<formControlPr xmlns="http://schemas.microsoft.com/office/spreadsheetml/2009/9/main" objectType="CheckBox" fmlaLink="$E$269" lockText="1"/>
</file>

<file path=xl/ctrlProps/ctrlProp211.xml><?xml version="1.0" encoding="utf-8"?>
<formControlPr xmlns="http://schemas.microsoft.com/office/spreadsheetml/2009/9/main" objectType="CheckBox" fmlaLink="$D$271" lockText="1"/>
</file>

<file path=xl/ctrlProps/ctrlProp212.xml><?xml version="1.0" encoding="utf-8"?>
<formControlPr xmlns="http://schemas.microsoft.com/office/spreadsheetml/2009/9/main" objectType="CheckBox" fmlaLink="$E$271" lockText="1"/>
</file>

<file path=xl/ctrlProps/ctrlProp213.xml><?xml version="1.0" encoding="utf-8"?>
<formControlPr xmlns="http://schemas.microsoft.com/office/spreadsheetml/2009/9/main" objectType="CheckBox" fmlaLink="$D$273" lockText="1"/>
</file>

<file path=xl/ctrlProps/ctrlProp214.xml><?xml version="1.0" encoding="utf-8"?>
<formControlPr xmlns="http://schemas.microsoft.com/office/spreadsheetml/2009/9/main" objectType="CheckBox" fmlaLink="$E$273" lockText="1"/>
</file>

<file path=xl/ctrlProps/ctrlProp215.xml><?xml version="1.0" encoding="utf-8"?>
<formControlPr xmlns="http://schemas.microsoft.com/office/spreadsheetml/2009/9/main" objectType="CheckBox" fmlaLink="$D$276" lockText="1"/>
</file>

<file path=xl/ctrlProps/ctrlProp216.xml><?xml version="1.0" encoding="utf-8"?>
<formControlPr xmlns="http://schemas.microsoft.com/office/spreadsheetml/2009/9/main" objectType="CheckBox" fmlaLink="$E$276" lockText="1"/>
</file>

<file path=xl/ctrlProps/ctrlProp217.xml><?xml version="1.0" encoding="utf-8"?>
<formControlPr xmlns="http://schemas.microsoft.com/office/spreadsheetml/2009/9/main" objectType="CheckBox" fmlaLink="$D$278" lockText="1"/>
</file>

<file path=xl/ctrlProps/ctrlProp218.xml><?xml version="1.0" encoding="utf-8"?>
<formControlPr xmlns="http://schemas.microsoft.com/office/spreadsheetml/2009/9/main" objectType="CheckBox" fmlaLink="$E$278" lockText="1"/>
</file>

<file path=xl/ctrlProps/ctrlProp219.xml><?xml version="1.0" encoding="utf-8"?>
<formControlPr xmlns="http://schemas.microsoft.com/office/spreadsheetml/2009/9/main" objectType="CheckBox" fmlaLink="$D$280" lockText="1"/>
</file>

<file path=xl/ctrlProps/ctrlProp220.xml><?xml version="1.0" encoding="utf-8"?>
<formControlPr xmlns="http://schemas.microsoft.com/office/spreadsheetml/2009/9/main" objectType="CheckBox" fmlaLink="$E$280" lockText="1"/>
</file>

<file path=xl/ctrlProps/ctrlProp221.xml><?xml version="1.0" encoding="utf-8"?>
<formControlPr xmlns="http://schemas.microsoft.com/office/spreadsheetml/2009/9/main" objectType="CheckBox" fmlaLink="$D$282" lockText="1"/>
</file>

<file path=xl/ctrlProps/ctrlProp222.xml><?xml version="1.0" encoding="utf-8"?>
<formControlPr xmlns="http://schemas.microsoft.com/office/spreadsheetml/2009/9/main" objectType="CheckBox" fmlaLink="$E$282" lockText="1"/>
</file>

<file path=xl/ctrlProps/ctrlProp223.xml><?xml version="1.0" encoding="utf-8"?>
<formControlPr xmlns="http://schemas.microsoft.com/office/spreadsheetml/2009/9/main" objectType="CheckBox" fmlaLink="$D$284" lockText="1"/>
</file>

<file path=xl/ctrlProps/ctrlProp224.xml><?xml version="1.0" encoding="utf-8"?>
<formControlPr xmlns="http://schemas.microsoft.com/office/spreadsheetml/2009/9/main" objectType="CheckBox" fmlaLink="$E$284" lockText="1"/>
</file>

<file path=xl/ctrlProps/ctrlProp225.xml><?xml version="1.0" encoding="utf-8"?>
<formControlPr xmlns="http://schemas.microsoft.com/office/spreadsheetml/2009/9/main" objectType="CheckBox" fmlaLink="$D$286" lockText="1"/>
</file>

<file path=xl/ctrlProps/ctrlProp226.xml><?xml version="1.0" encoding="utf-8"?>
<formControlPr xmlns="http://schemas.microsoft.com/office/spreadsheetml/2009/9/main" objectType="CheckBox" fmlaLink="$E$286" lockText="1"/>
</file>

<file path=xl/ctrlProps/ctrlProp227.xml><?xml version="1.0" encoding="utf-8"?>
<formControlPr xmlns="http://schemas.microsoft.com/office/spreadsheetml/2009/9/main" objectType="CheckBox" fmlaLink="$D$288" lockText="1"/>
</file>

<file path=xl/ctrlProps/ctrlProp228.xml><?xml version="1.0" encoding="utf-8"?>
<formControlPr xmlns="http://schemas.microsoft.com/office/spreadsheetml/2009/9/main" objectType="CheckBox" fmlaLink="$E$288" lockText="1"/>
</file>

<file path=xl/ctrlProps/ctrlProp229.xml><?xml version="1.0" encoding="utf-8"?>
<formControlPr xmlns="http://schemas.microsoft.com/office/spreadsheetml/2009/9/main" objectType="CheckBox" fmlaLink="$D$295" lockText="1"/>
</file>

<file path=xl/ctrlProps/ctrlProp230.xml><?xml version="1.0" encoding="utf-8"?>
<formControlPr xmlns="http://schemas.microsoft.com/office/spreadsheetml/2009/9/main" objectType="CheckBox" fmlaLink="$E$295" lockText="1"/>
</file>

<file path=xl/ctrlProps/ctrlProp231.xml><?xml version="1.0" encoding="utf-8"?>
<formControlPr xmlns="http://schemas.microsoft.com/office/spreadsheetml/2009/9/main" objectType="CheckBox" fmlaLink="$D$303" lockText="1"/>
</file>

<file path=xl/ctrlProps/ctrlProp232.xml><?xml version="1.0" encoding="utf-8"?>
<formControlPr xmlns="http://schemas.microsoft.com/office/spreadsheetml/2009/9/main" objectType="CheckBox" fmlaLink="$E$303" lockText="1"/>
</file>

<file path=xl/ctrlProps/ctrlProp233.xml><?xml version="1.0" encoding="utf-8"?>
<formControlPr xmlns="http://schemas.microsoft.com/office/spreadsheetml/2009/9/main" objectType="CheckBox" fmlaLink="$D$297" lockText="1"/>
</file>

<file path=xl/ctrlProps/ctrlProp234.xml><?xml version="1.0" encoding="utf-8"?>
<formControlPr xmlns="http://schemas.microsoft.com/office/spreadsheetml/2009/9/main" objectType="CheckBox" fmlaLink="$E$297" lockText="1"/>
</file>

<file path=xl/ctrlProps/ctrlProp235.xml><?xml version="1.0" encoding="utf-8"?>
<formControlPr xmlns="http://schemas.microsoft.com/office/spreadsheetml/2009/9/main" objectType="CheckBox" fmlaLink="$D$299" lockText="1"/>
</file>

<file path=xl/ctrlProps/ctrlProp236.xml><?xml version="1.0" encoding="utf-8"?>
<formControlPr xmlns="http://schemas.microsoft.com/office/spreadsheetml/2009/9/main" objectType="CheckBox" fmlaLink="$E$299" lockText="1"/>
</file>

<file path=xl/ctrlProps/ctrlProp237.xml><?xml version="1.0" encoding="utf-8"?>
<formControlPr xmlns="http://schemas.microsoft.com/office/spreadsheetml/2009/9/main" objectType="CheckBox" fmlaLink="$D$301" lockText="1"/>
</file>

<file path=xl/ctrlProps/ctrlProp238.xml><?xml version="1.0" encoding="utf-8"?>
<formControlPr xmlns="http://schemas.microsoft.com/office/spreadsheetml/2009/9/main" objectType="CheckBox" fmlaLink="$E$301" lockText="1"/>
</file>

<file path=xl/ctrlProps/ctrlProp239.xml><?xml version="1.0" encoding="utf-8"?>
<formControlPr xmlns="http://schemas.microsoft.com/office/spreadsheetml/2009/9/main" objectType="CheckBox" fmlaLink="$D$305" lockText="1"/>
</file>

<file path=xl/ctrlProps/ctrlProp240.xml><?xml version="1.0" encoding="utf-8"?>
<formControlPr xmlns="http://schemas.microsoft.com/office/spreadsheetml/2009/9/main" objectType="CheckBox" fmlaLink="$E$305" lockText="1"/>
</file>

<file path=xl/ctrlProps/ctrlProp241.xml><?xml version="1.0" encoding="utf-8"?>
<formControlPr xmlns="http://schemas.microsoft.com/office/spreadsheetml/2009/9/main" objectType="CheckBox" fmlaLink="$D$307" lockText="1"/>
</file>

<file path=xl/ctrlProps/ctrlProp242.xml><?xml version="1.0" encoding="utf-8"?>
<formControlPr xmlns="http://schemas.microsoft.com/office/spreadsheetml/2009/9/main" objectType="CheckBox" fmlaLink="$E$307" lockText="1"/>
</file>

<file path=xl/ctrlProps/ctrlProp243.xml><?xml version="1.0" encoding="utf-8"?>
<formControlPr xmlns="http://schemas.microsoft.com/office/spreadsheetml/2009/9/main" objectType="CheckBox" fmlaLink="$D$309" lockText="1"/>
</file>

<file path=xl/ctrlProps/ctrlProp244.xml><?xml version="1.0" encoding="utf-8"?>
<formControlPr xmlns="http://schemas.microsoft.com/office/spreadsheetml/2009/9/main" objectType="CheckBox" fmlaLink="$E$309" lockText="1"/>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133350</xdr:colOff>
          <xdr:row>1</xdr:row>
          <xdr:rowOff>76200</xdr:rowOff>
        </xdr:from>
        <xdr:to>
          <xdr:col>1</xdr:col>
          <xdr:colOff>1860550</xdr:colOff>
          <xdr:row>1</xdr:row>
          <xdr:rowOff>685800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93A4C320-C908-4F74-9FA1-916C2198A08E}"/>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xdr:colOff>
          <xdr:row>9</xdr:row>
          <xdr:rowOff>190500</xdr:rowOff>
        </xdr:from>
        <xdr:to>
          <xdr:col>2</xdr:col>
          <xdr:colOff>412750</xdr:colOff>
          <xdr:row>11</xdr:row>
          <xdr:rowOff>44450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3DE46CB4-B906-495F-9F22-57F1448281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9</xdr:row>
          <xdr:rowOff>190500</xdr:rowOff>
        </xdr:from>
        <xdr:to>
          <xdr:col>2</xdr:col>
          <xdr:colOff>838200</xdr:colOff>
          <xdr:row>11</xdr:row>
          <xdr:rowOff>44450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FC482037-7F2D-460B-8F99-48EF742394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11</xdr:row>
          <xdr:rowOff>139700</xdr:rowOff>
        </xdr:from>
        <xdr:to>
          <xdr:col>2</xdr:col>
          <xdr:colOff>412750</xdr:colOff>
          <xdr:row>13</xdr:row>
          <xdr:rowOff>38100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CD8F927F-13B1-4184-925A-10E275D5C4A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11</xdr:row>
          <xdr:rowOff>139700</xdr:rowOff>
        </xdr:from>
        <xdr:to>
          <xdr:col>2</xdr:col>
          <xdr:colOff>838200</xdr:colOff>
          <xdr:row>13</xdr:row>
          <xdr:rowOff>38100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4C1DEA66-F2BF-4F5A-9A2E-19BC05ACFD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13</xdr:row>
          <xdr:rowOff>139700</xdr:rowOff>
        </xdr:from>
        <xdr:to>
          <xdr:col>2</xdr:col>
          <xdr:colOff>412750</xdr:colOff>
          <xdr:row>15</xdr:row>
          <xdr:rowOff>38100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5A97DF9C-A3E4-4964-BFA5-422BB605B8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13</xdr:row>
          <xdr:rowOff>139700</xdr:rowOff>
        </xdr:from>
        <xdr:to>
          <xdr:col>2</xdr:col>
          <xdr:colOff>838200</xdr:colOff>
          <xdr:row>15</xdr:row>
          <xdr:rowOff>38100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7B3FDECA-2956-46A0-905C-653D0AF99BB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15</xdr:row>
          <xdr:rowOff>139700</xdr:rowOff>
        </xdr:from>
        <xdr:to>
          <xdr:col>2</xdr:col>
          <xdr:colOff>412750</xdr:colOff>
          <xdr:row>17</xdr:row>
          <xdr:rowOff>38100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884143E1-E3DB-4DA7-A293-0A988A5979E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15</xdr:row>
          <xdr:rowOff>139700</xdr:rowOff>
        </xdr:from>
        <xdr:to>
          <xdr:col>2</xdr:col>
          <xdr:colOff>838200</xdr:colOff>
          <xdr:row>17</xdr:row>
          <xdr:rowOff>38100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7A7B1F27-31F5-4A39-9AAB-A6E315EF38F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18</xdr:row>
          <xdr:rowOff>146050</xdr:rowOff>
        </xdr:from>
        <xdr:to>
          <xdr:col>2</xdr:col>
          <xdr:colOff>412750</xdr:colOff>
          <xdr:row>20</xdr:row>
          <xdr:rowOff>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7A41016A-179C-49DB-850C-A2F4DB3198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18</xdr:row>
          <xdr:rowOff>146050</xdr:rowOff>
        </xdr:from>
        <xdr:to>
          <xdr:col>2</xdr:col>
          <xdr:colOff>838200</xdr:colOff>
          <xdr:row>20</xdr:row>
          <xdr:rowOff>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90D1D23C-DC6B-4373-8CE2-58486DA2FC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20</xdr:row>
          <xdr:rowOff>139700</xdr:rowOff>
        </xdr:from>
        <xdr:to>
          <xdr:col>2</xdr:col>
          <xdr:colOff>412750</xdr:colOff>
          <xdr:row>22</xdr:row>
          <xdr:rowOff>38100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9785679D-14C9-4953-8BA3-7E4F80E953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20</xdr:row>
          <xdr:rowOff>139700</xdr:rowOff>
        </xdr:from>
        <xdr:to>
          <xdr:col>2</xdr:col>
          <xdr:colOff>838200</xdr:colOff>
          <xdr:row>22</xdr:row>
          <xdr:rowOff>38100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EB53737F-3124-4AF4-9D25-D4387A5CACA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22</xdr:row>
          <xdr:rowOff>139700</xdr:rowOff>
        </xdr:from>
        <xdr:to>
          <xdr:col>2</xdr:col>
          <xdr:colOff>412750</xdr:colOff>
          <xdr:row>24</xdr:row>
          <xdr:rowOff>38100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8569C7D-6638-4CEF-9FB8-548C8A4CE3E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22</xdr:row>
          <xdr:rowOff>139700</xdr:rowOff>
        </xdr:from>
        <xdr:to>
          <xdr:col>2</xdr:col>
          <xdr:colOff>838200</xdr:colOff>
          <xdr:row>24</xdr:row>
          <xdr:rowOff>38100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99AA3B01-5BC8-4E85-9FDE-3613F83DF7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24</xdr:row>
          <xdr:rowOff>139700</xdr:rowOff>
        </xdr:from>
        <xdr:to>
          <xdr:col>2</xdr:col>
          <xdr:colOff>412750</xdr:colOff>
          <xdr:row>26</xdr:row>
          <xdr:rowOff>38100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C9E663A4-89B9-4770-8746-E1AFAFCF737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24</xdr:row>
          <xdr:rowOff>139700</xdr:rowOff>
        </xdr:from>
        <xdr:to>
          <xdr:col>2</xdr:col>
          <xdr:colOff>838200</xdr:colOff>
          <xdr:row>26</xdr:row>
          <xdr:rowOff>38100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106B3948-0113-42DB-A6E4-0A4C197689D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26</xdr:row>
          <xdr:rowOff>139700</xdr:rowOff>
        </xdr:from>
        <xdr:to>
          <xdr:col>2</xdr:col>
          <xdr:colOff>412750</xdr:colOff>
          <xdr:row>28</xdr:row>
          <xdr:rowOff>38100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5D3D5CBB-7008-4B40-9FE9-662B42C1338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26</xdr:row>
          <xdr:rowOff>139700</xdr:rowOff>
        </xdr:from>
        <xdr:to>
          <xdr:col>2</xdr:col>
          <xdr:colOff>838200</xdr:colOff>
          <xdr:row>28</xdr:row>
          <xdr:rowOff>38100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4530202B-A3DD-4285-97B6-4158B6FA00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28</xdr:row>
          <xdr:rowOff>139700</xdr:rowOff>
        </xdr:from>
        <xdr:to>
          <xdr:col>2</xdr:col>
          <xdr:colOff>412750</xdr:colOff>
          <xdr:row>30</xdr:row>
          <xdr:rowOff>38100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50EB2EC2-3799-4229-8966-4BAB4E1FEA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28</xdr:row>
          <xdr:rowOff>139700</xdr:rowOff>
        </xdr:from>
        <xdr:to>
          <xdr:col>2</xdr:col>
          <xdr:colOff>838200</xdr:colOff>
          <xdr:row>30</xdr:row>
          <xdr:rowOff>38100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21CCDADF-7B6A-4888-A0B9-FE36B91472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30</xdr:row>
          <xdr:rowOff>139700</xdr:rowOff>
        </xdr:from>
        <xdr:to>
          <xdr:col>2</xdr:col>
          <xdr:colOff>412750</xdr:colOff>
          <xdr:row>32</xdr:row>
          <xdr:rowOff>38100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2AB8F654-1582-4030-8146-A9D95AC188A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30</xdr:row>
          <xdr:rowOff>139700</xdr:rowOff>
        </xdr:from>
        <xdr:to>
          <xdr:col>2</xdr:col>
          <xdr:colOff>838200</xdr:colOff>
          <xdr:row>32</xdr:row>
          <xdr:rowOff>38100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B199FCC2-3727-48D3-B2AD-567011E911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32</xdr:row>
          <xdr:rowOff>139700</xdr:rowOff>
        </xdr:from>
        <xdr:to>
          <xdr:col>2</xdr:col>
          <xdr:colOff>412750</xdr:colOff>
          <xdr:row>34</xdr:row>
          <xdr:rowOff>38100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36FFCEF9-6879-4B3E-A48D-719F49E7E4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32</xdr:row>
          <xdr:rowOff>139700</xdr:rowOff>
        </xdr:from>
        <xdr:to>
          <xdr:col>2</xdr:col>
          <xdr:colOff>838200</xdr:colOff>
          <xdr:row>34</xdr:row>
          <xdr:rowOff>38100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F4FD7F42-A307-45C2-9EA6-BBC476F9CBE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34</xdr:row>
          <xdr:rowOff>139700</xdr:rowOff>
        </xdr:from>
        <xdr:to>
          <xdr:col>2</xdr:col>
          <xdr:colOff>412750</xdr:colOff>
          <xdr:row>36</xdr:row>
          <xdr:rowOff>38100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8FA3DC8D-0241-4A96-B1B4-60F359D186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34</xdr:row>
          <xdr:rowOff>139700</xdr:rowOff>
        </xdr:from>
        <xdr:to>
          <xdr:col>2</xdr:col>
          <xdr:colOff>838200</xdr:colOff>
          <xdr:row>36</xdr:row>
          <xdr:rowOff>38100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885B0B1D-B6BA-42E1-B029-4A384B1A1BD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36</xdr:row>
          <xdr:rowOff>139700</xdr:rowOff>
        </xdr:from>
        <xdr:to>
          <xdr:col>2</xdr:col>
          <xdr:colOff>412750</xdr:colOff>
          <xdr:row>38</xdr:row>
          <xdr:rowOff>38100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7853B891-0A92-4BFC-AD72-AB7228FC09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36</xdr:row>
          <xdr:rowOff>139700</xdr:rowOff>
        </xdr:from>
        <xdr:to>
          <xdr:col>2</xdr:col>
          <xdr:colOff>838200</xdr:colOff>
          <xdr:row>38</xdr:row>
          <xdr:rowOff>38100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B3826C22-2461-4EA8-8011-D030E04B46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39</xdr:row>
          <xdr:rowOff>146050</xdr:rowOff>
        </xdr:from>
        <xdr:to>
          <xdr:col>2</xdr:col>
          <xdr:colOff>412750</xdr:colOff>
          <xdr:row>41</xdr:row>
          <xdr:rowOff>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3ECDB716-0F03-4F99-85D5-6229BA63A5E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39</xdr:row>
          <xdr:rowOff>146050</xdr:rowOff>
        </xdr:from>
        <xdr:to>
          <xdr:col>2</xdr:col>
          <xdr:colOff>838200</xdr:colOff>
          <xdr:row>41</xdr:row>
          <xdr:rowOff>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C3B4FD57-8FF2-42EF-B217-398C464DCD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41</xdr:row>
          <xdr:rowOff>139700</xdr:rowOff>
        </xdr:from>
        <xdr:to>
          <xdr:col>2</xdr:col>
          <xdr:colOff>412750</xdr:colOff>
          <xdr:row>43</xdr:row>
          <xdr:rowOff>38100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5DA323C7-3318-4190-9793-C5847A581C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41</xdr:row>
          <xdr:rowOff>139700</xdr:rowOff>
        </xdr:from>
        <xdr:to>
          <xdr:col>2</xdr:col>
          <xdr:colOff>838200</xdr:colOff>
          <xdr:row>43</xdr:row>
          <xdr:rowOff>38100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573E110F-06E4-45CA-8044-1564D55570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43</xdr:row>
          <xdr:rowOff>139700</xdr:rowOff>
        </xdr:from>
        <xdr:to>
          <xdr:col>2</xdr:col>
          <xdr:colOff>412750</xdr:colOff>
          <xdr:row>45</xdr:row>
          <xdr:rowOff>38100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957ECD7E-CBC8-4193-B4C5-B268DBCFA42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43</xdr:row>
          <xdr:rowOff>139700</xdr:rowOff>
        </xdr:from>
        <xdr:to>
          <xdr:col>2</xdr:col>
          <xdr:colOff>838200</xdr:colOff>
          <xdr:row>45</xdr:row>
          <xdr:rowOff>38100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266C37BF-F50B-4EFD-93ED-A9765BFF293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45</xdr:row>
          <xdr:rowOff>139700</xdr:rowOff>
        </xdr:from>
        <xdr:to>
          <xdr:col>2</xdr:col>
          <xdr:colOff>412750</xdr:colOff>
          <xdr:row>47</xdr:row>
          <xdr:rowOff>38100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C611A087-BEB3-43D4-9A21-57F63CA323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45</xdr:row>
          <xdr:rowOff>139700</xdr:rowOff>
        </xdr:from>
        <xdr:to>
          <xdr:col>2</xdr:col>
          <xdr:colOff>838200</xdr:colOff>
          <xdr:row>47</xdr:row>
          <xdr:rowOff>38100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7DB7909A-A64C-4129-B3C2-5F98D7D980E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47</xdr:row>
          <xdr:rowOff>139700</xdr:rowOff>
        </xdr:from>
        <xdr:to>
          <xdr:col>2</xdr:col>
          <xdr:colOff>412750</xdr:colOff>
          <xdr:row>49</xdr:row>
          <xdr:rowOff>38100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17F34BB3-71B2-46D9-BEF8-BBC1707BEF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47</xdr:row>
          <xdr:rowOff>139700</xdr:rowOff>
        </xdr:from>
        <xdr:to>
          <xdr:col>2</xdr:col>
          <xdr:colOff>838200</xdr:colOff>
          <xdr:row>49</xdr:row>
          <xdr:rowOff>38100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84D827A8-3801-4E49-B076-31796871685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50</xdr:row>
          <xdr:rowOff>139700</xdr:rowOff>
        </xdr:from>
        <xdr:to>
          <xdr:col>2</xdr:col>
          <xdr:colOff>412750</xdr:colOff>
          <xdr:row>51</xdr:row>
          <xdr:rowOff>38100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13AA2906-5AEE-4820-A8D2-1F025C363BA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50</xdr:row>
          <xdr:rowOff>139700</xdr:rowOff>
        </xdr:from>
        <xdr:to>
          <xdr:col>2</xdr:col>
          <xdr:colOff>838200</xdr:colOff>
          <xdr:row>51</xdr:row>
          <xdr:rowOff>38100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149715CE-BA31-4E60-BBD8-273948A3D1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52</xdr:row>
          <xdr:rowOff>146050</xdr:rowOff>
        </xdr:from>
        <xdr:to>
          <xdr:col>2</xdr:col>
          <xdr:colOff>412750</xdr:colOff>
          <xdr:row>53</xdr:row>
          <xdr:rowOff>158750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14982A35-5C86-47E0-B528-AC78D09F7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52</xdr:row>
          <xdr:rowOff>146050</xdr:rowOff>
        </xdr:from>
        <xdr:to>
          <xdr:col>2</xdr:col>
          <xdr:colOff>838200</xdr:colOff>
          <xdr:row>53</xdr:row>
          <xdr:rowOff>158750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6893124D-455B-411E-AAF6-E065FFD03D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54</xdr:row>
          <xdr:rowOff>139700</xdr:rowOff>
        </xdr:from>
        <xdr:to>
          <xdr:col>2</xdr:col>
          <xdr:colOff>412750</xdr:colOff>
          <xdr:row>56</xdr:row>
          <xdr:rowOff>38100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29B57C18-F6B7-4545-9DF9-370B3320CCB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54</xdr:row>
          <xdr:rowOff>139700</xdr:rowOff>
        </xdr:from>
        <xdr:to>
          <xdr:col>2</xdr:col>
          <xdr:colOff>838200</xdr:colOff>
          <xdr:row>56</xdr:row>
          <xdr:rowOff>38100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1F978794-8E70-412D-9596-F707DC461D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56</xdr:row>
          <xdr:rowOff>139700</xdr:rowOff>
        </xdr:from>
        <xdr:to>
          <xdr:col>2</xdr:col>
          <xdr:colOff>412750</xdr:colOff>
          <xdr:row>58</xdr:row>
          <xdr:rowOff>38100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5479F49E-CC37-4C33-B1CF-831B777431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56</xdr:row>
          <xdr:rowOff>139700</xdr:rowOff>
        </xdr:from>
        <xdr:to>
          <xdr:col>2</xdr:col>
          <xdr:colOff>838200</xdr:colOff>
          <xdr:row>58</xdr:row>
          <xdr:rowOff>38100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C141ECF0-1DF2-419B-81B7-8A6F205561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58</xdr:row>
          <xdr:rowOff>139700</xdr:rowOff>
        </xdr:from>
        <xdr:to>
          <xdr:col>2</xdr:col>
          <xdr:colOff>412750</xdr:colOff>
          <xdr:row>60</xdr:row>
          <xdr:rowOff>38100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F792A6AF-2AA1-4BF9-A916-5220321C0CE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58</xdr:row>
          <xdr:rowOff>139700</xdr:rowOff>
        </xdr:from>
        <xdr:to>
          <xdr:col>2</xdr:col>
          <xdr:colOff>838200</xdr:colOff>
          <xdr:row>60</xdr:row>
          <xdr:rowOff>38100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4E4D167-592D-4AA3-A5A4-C8B24C979C6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60</xdr:row>
          <xdr:rowOff>139700</xdr:rowOff>
        </xdr:from>
        <xdr:to>
          <xdr:col>2</xdr:col>
          <xdr:colOff>412750</xdr:colOff>
          <xdr:row>62</xdr:row>
          <xdr:rowOff>38100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3C52B38-BCEE-4223-B635-326C0F35AE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60</xdr:row>
          <xdr:rowOff>139700</xdr:rowOff>
        </xdr:from>
        <xdr:to>
          <xdr:col>2</xdr:col>
          <xdr:colOff>838200</xdr:colOff>
          <xdr:row>62</xdr:row>
          <xdr:rowOff>38100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2FF246DE-68D7-4E5D-8573-8D05692CFEF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68</xdr:row>
          <xdr:rowOff>165100</xdr:rowOff>
        </xdr:from>
        <xdr:to>
          <xdr:col>2</xdr:col>
          <xdr:colOff>412750</xdr:colOff>
          <xdr:row>70</xdr:row>
          <xdr:rowOff>31750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E0743969-229B-4A4E-B6D0-13548C6353F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68</xdr:row>
          <xdr:rowOff>165100</xdr:rowOff>
        </xdr:from>
        <xdr:to>
          <xdr:col>2</xdr:col>
          <xdr:colOff>838200</xdr:colOff>
          <xdr:row>70</xdr:row>
          <xdr:rowOff>31750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5BC2DECD-0320-4854-AE2E-36E2669F36C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70</xdr:row>
          <xdr:rowOff>139700</xdr:rowOff>
        </xdr:from>
        <xdr:to>
          <xdr:col>2</xdr:col>
          <xdr:colOff>412750</xdr:colOff>
          <xdr:row>72</xdr:row>
          <xdr:rowOff>38100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792F45F9-F73C-4817-8913-4D0B69F972B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70</xdr:row>
          <xdr:rowOff>139700</xdr:rowOff>
        </xdr:from>
        <xdr:to>
          <xdr:col>2</xdr:col>
          <xdr:colOff>838200</xdr:colOff>
          <xdr:row>72</xdr:row>
          <xdr:rowOff>38100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4FB4DFD8-C018-486B-849A-6ADF393D64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72</xdr:row>
          <xdr:rowOff>139700</xdr:rowOff>
        </xdr:from>
        <xdr:to>
          <xdr:col>2</xdr:col>
          <xdr:colOff>412750</xdr:colOff>
          <xdr:row>74</xdr:row>
          <xdr:rowOff>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311EA790-2DF1-43CD-BE4C-CF4DDF80B8C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72</xdr:row>
          <xdr:rowOff>139700</xdr:rowOff>
        </xdr:from>
        <xdr:to>
          <xdr:col>2</xdr:col>
          <xdr:colOff>838200</xdr:colOff>
          <xdr:row>74</xdr:row>
          <xdr:rowOff>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20502A65-F30A-4D04-B88C-972C988B49E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74</xdr:row>
          <xdr:rowOff>139700</xdr:rowOff>
        </xdr:from>
        <xdr:to>
          <xdr:col>2</xdr:col>
          <xdr:colOff>412750</xdr:colOff>
          <xdr:row>76</xdr:row>
          <xdr:rowOff>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FB0C5D61-76C3-4E5B-BB41-7470B56B95A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74</xdr:row>
          <xdr:rowOff>139700</xdr:rowOff>
        </xdr:from>
        <xdr:to>
          <xdr:col>2</xdr:col>
          <xdr:colOff>838200</xdr:colOff>
          <xdr:row>76</xdr:row>
          <xdr:rowOff>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EF26438A-762E-4FFB-A7E8-5A58085745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76</xdr:row>
          <xdr:rowOff>139700</xdr:rowOff>
        </xdr:from>
        <xdr:to>
          <xdr:col>2</xdr:col>
          <xdr:colOff>412750</xdr:colOff>
          <xdr:row>78</xdr:row>
          <xdr:rowOff>38100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A2DDC240-F72F-4444-8D7D-7EB5594C1A5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76</xdr:row>
          <xdr:rowOff>139700</xdr:rowOff>
        </xdr:from>
        <xdr:to>
          <xdr:col>2</xdr:col>
          <xdr:colOff>838200</xdr:colOff>
          <xdr:row>78</xdr:row>
          <xdr:rowOff>38100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CD897CB2-2FB3-4EE9-A17B-607E1BFA3A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84</xdr:row>
          <xdr:rowOff>146050</xdr:rowOff>
        </xdr:from>
        <xdr:to>
          <xdr:col>2</xdr:col>
          <xdr:colOff>412750</xdr:colOff>
          <xdr:row>86</xdr:row>
          <xdr:rowOff>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98CAD5F1-696D-4C6D-9384-202829F8105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84</xdr:row>
          <xdr:rowOff>146050</xdr:rowOff>
        </xdr:from>
        <xdr:to>
          <xdr:col>2</xdr:col>
          <xdr:colOff>838200</xdr:colOff>
          <xdr:row>86</xdr:row>
          <xdr:rowOff>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4A9619C0-4148-4BA9-BB22-BAF1B12A92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86</xdr:row>
          <xdr:rowOff>139700</xdr:rowOff>
        </xdr:from>
        <xdr:to>
          <xdr:col>2</xdr:col>
          <xdr:colOff>412750</xdr:colOff>
          <xdr:row>88</xdr:row>
          <xdr:rowOff>38100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1655923C-EFEF-43D4-9BAD-CD74B4BD9F3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86</xdr:row>
          <xdr:rowOff>139700</xdr:rowOff>
        </xdr:from>
        <xdr:to>
          <xdr:col>2</xdr:col>
          <xdr:colOff>838200</xdr:colOff>
          <xdr:row>88</xdr:row>
          <xdr:rowOff>38100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6A638403-AC91-49F5-A444-67E8E2B2D0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88</xdr:row>
          <xdr:rowOff>139700</xdr:rowOff>
        </xdr:from>
        <xdr:to>
          <xdr:col>2</xdr:col>
          <xdr:colOff>412750</xdr:colOff>
          <xdr:row>90</xdr:row>
          <xdr:rowOff>38100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A1319542-705F-4CA2-97C4-16486D464BB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88</xdr:row>
          <xdr:rowOff>139700</xdr:rowOff>
        </xdr:from>
        <xdr:to>
          <xdr:col>2</xdr:col>
          <xdr:colOff>838200</xdr:colOff>
          <xdr:row>90</xdr:row>
          <xdr:rowOff>38100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178CE457-6BAD-4C7D-B415-A3B16A28DB5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90</xdr:row>
          <xdr:rowOff>139700</xdr:rowOff>
        </xdr:from>
        <xdr:to>
          <xdr:col>2</xdr:col>
          <xdr:colOff>412750</xdr:colOff>
          <xdr:row>92</xdr:row>
          <xdr:rowOff>38100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F1DA4A33-AB0F-47DF-81A9-A33B6FED8EA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90</xdr:row>
          <xdr:rowOff>139700</xdr:rowOff>
        </xdr:from>
        <xdr:to>
          <xdr:col>2</xdr:col>
          <xdr:colOff>838200</xdr:colOff>
          <xdr:row>92</xdr:row>
          <xdr:rowOff>38100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A5ADDD66-FE33-4BCC-8610-769E6E069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92</xdr:row>
          <xdr:rowOff>139700</xdr:rowOff>
        </xdr:from>
        <xdr:to>
          <xdr:col>2</xdr:col>
          <xdr:colOff>412750</xdr:colOff>
          <xdr:row>94</xdr:row>
          <xdr:rowOff>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3BEB7B78-BCC7-47D1-92CC-57AC6EAE8F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92</xdr:row>
          <xdr:rowOff>139700</xdr:rowOff>
        </xdr:from>
        <xdr:to>
          <xdr:col>2</xdr:col>
          <xdr:colOff>838200</xdr:colOff>
          <xdr:row>94</xdr:row>
          <xdr:rowOff>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98B87A-3120-418F-A882-498A7FE3B2A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84</xdr:row>
          <xdr:rowOff>146050</xdr:rowOff>
        </xdr:from>
        <xdr:to>
          <xdr:col>2</xdr:col>
          <xdr:colOff>412750</xdr:colOff>
          <xdr:row>86</xdr:row>
          <xdr:rowOff>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DA8E6EBD-4700-42FF-B1D1-8A1887B0B4D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84</xdr:row>
          <xdr:rowOff>146050</xdr:rowOff>
        </xdr:from>
        <xdr:to>
          <xdr:col>2</xdr:col>
          <xdr:colOff>838200</xdr:colOff>
          <xdr:row>86</xdr:row>
          <xdr:rowOff>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7A5CAA06-D56D-464D-8B6B-F5523B250EC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95</xdr:row>
          <xdr:rowOff>165100</xdr:rowOff>
        </xdr:from>
        <xdr:to>
          <xdr:col>2</xdr:col>
          <xdr:colOff>412750</xdr:colOff>
          <xdr:row>97</xdr:row>
          <xdr:rowOff>31750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71605323-91C7-4941-8071-F60EBD7B2F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95</xdr:row>
          <xdr:rowOff>165100</xdr:rowOff>
        </xdr:from>
        <xdr:to>
          <xdr:col>2</xdr:col>
          <xdr:colOff>838200</xdr:colOff>
          <xdr:row>97</xdr:row>
          <xdr:rowOff>31750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A335B6E5-75E5-44EB-90EB-5636160B53C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97</xdr:row>
          <xdr:rowOff>139700</xdr:rowOff>
        </xdr:from>
        <xdr:to>
          <xdr:col>2</xdr:col>
          <xdr:colOff>412750</xdr:colOff>
          <xdr:row>99</xdr:row>
          <xdr:rowOff>38100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E18E3AC5-FFC6-403B-81E0-0EC7F7D999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97</xdr:row>
          <xdr:rowOff>139700</xdr:rowOff>
        </xdr:from>
        <xdr:to>
          <xdr:col>2</xdr:col>
          <xdr:colOff>838200</xdr:colOff>
          <xdr:row>99</xdr:row>
          <xdr:rowOff>38100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7497D90E-2B84-48A9-95CD-B9800B9A6A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99</xdr:row>
          <xdr:rowOff>139700</xdr:rowOff>
        </xdr:from>
        <xdr:to>
          <xdr:col>2</xdr:col>
          <xdr:colOff>412750</xdr:colOff>
          <xdr:row>101</xdr:row>
          <xdr:rowOff>6350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1DC68A7B-92BA-4B7F-BBA9-0895FE97EF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99</xdr:row>
          <xdr:rowOff>139700</xdr:rowOff>
        </xdr:from>
        <xdr:to>
          <xdr:col>2</xdr:col>
          <xdr:colOff>838200</xdr:colOff>
          <xdr:row>101</xdr:row>
          <xdr:rowOff>6350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3BB67A4A-92AA-4B91-ABE8-A140F7F95DC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102</xdr:row>
          <xdr:rowOff>184150</xdr:rowOff>
        </xdr:from>
        <xdr:to>
          <xdr:col>2</xdr:col>
          <xdr:colOff>412750</xdr:colOff>
          <xdr:row>104</xdr:row>
          <xdr:rowOff>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8D184623-947E-4C14-98B4-D042EFD2F6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102</xdr:row>
          <xdr:rowOff>184150</xdr:rowOff>
        </xdr:from>
        <xdr:to>
          <xdr:col>2</xdr:col>
          <xdr:colOff>838200</xdr:colOff>
          <xdr:row>104</xdr:row>
          <xdr:rowOff>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EC946D40-5C8C-48EC-9C6F-711D38BD6EC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104</xdr:row>
          <xdr:rowOff>139700</xdr:rowOff>
        </xdr:from>
        <xdr:to>
          <xdr:col>2</xdr:col>
          <xdr:colOff>412750</xdr:colOff>
          <xdr:row>106</xdr:row>
          <xdr:rowOff>38100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B197B858-206D-40CE-9D3A-E54EB7DFB7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104</xdr:row>
          <xdr:rowOff>139700</xdr:rowOff>
        </xdr:from>
        <xdr:to>
          <xdr:col>2</xdr:col>
          <xdr:colOff>838200</xdr:colOff>
          <xdr:row>106</xdr:row>
          <xdr:rowOff>38100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57712635-669B-4210-BA39-C74E5F4036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106</xdr:row>
          <xdr:rowOff>139700</xdr:rowOff>
        </xdr:from>
        <xdr:to>
          <xdr:col>2</xdr:col>
          <xdr:colOff>412750</xdr:colOff>
          <xdr:row>108</xdr:row>
          <xdr:rowOff>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B24F3010-BC98-4E15-904C-4EFA4B1F35A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106</xdr:row>
          <xdr:rowOff>139700</xdr:rowOff>
        </xdr:from>
        <xdr:to>
          <xdr:col>2</xdr:col>
          <xdr:colOff>838200</xdr:colOff>
          <xdr:row>108</xdr:row>
          <xdr:rowOff>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34556E72-7342-4C66-8AA2-62206DB66CA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108</xdr:row>
          <xdr:rowOff>139700</xdr:rowOff>
        </xdr:from>
        <xdr:to>
          <xdr:col>2</xdr:col>
          <xdr:colOff>412750</xdr:colOff>
          <xdr:row>110</xdr:row>
          <xdr:rowOff>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EA0F7F7-7AE5-487C-AAFB-8D5FFB08FA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108</xdr:row>
          <xdr:rowOff>139700</xdr:rowOff>
        </xdr:from>
        <xdr:to>
          <xdr:col>2</xdr:col>
          <xdr:colOff>838200</xdr:colOff>
          <xdr:row>110</xdr:row>
          <xdr:rowOff>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C40F0BE7-F6DF-40F6-9F7E-23544FB046D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111</xdr:row>
          <xdr:rowOff>158750</xdr:rowOff>
        </xdr:from>
        <xdr:to>
          <xdr:col>2</xdr:col>
          <xdr:colOff>412750</xdr:colOff>
          <xdr:row>113</xdr:row>
          <xdr:rowOff>19050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5B187AB0-D79B-4DB4-A563-653A8268577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111</xdr:row>
          <xdr:rowOff>158750</xdr:rowOff>
        </xdr:from>
        <xdr:to>
          <xdr:col>2</xdr:col>
          <xdr:colOff>838200</xdr:colOff>
          <xdr:row>113</xdr:row>
          <xdr:rowOff>19050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C82C83CC-81CE-4D77-A434-32FEDD4FED1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113</xdr:row>
          <xdr:rowOff>139700</xdr:rowOff>
        </xdr:from>
        <xdr:to>
          <xdr:col>2</xdr:col>
          <xdr:colOff>412750</xdr:colOff>
          <xdr:row>115</xdr:row>
          <xdr:rowOff>38100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27E25808-C61C-41B7-8C40-E60945DAAF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113</xdr:row>
          <xdr:rowOff>139700</xdr:rowOff>
        </xdr:from>
        <xdr:to>
          <xdr:col>2</xdr:col>
          <xdr:colOff>838200</xdr:colOff>
          <xdr:row>115</xdr:row>
          <xdr:rowOff>38100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F09457CA-30BC-44F3-B540-BC34A5F6DE3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115</xdr:row>
          <xdr:rowOff>139700</xdr:rowOff>
        </xdr:from>
        <xdr:to>
          <xdr:col>2</xdr:col>
          <xdr:colOff>412750</xdr:colOff>
          <xdr:row>117</xdr:row>
          <xdr:rowOff>19050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13B9108A-B296-43B6-98AA-939CAB5CFA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115</xdr:row>
          <xdr:rowOff>139700</xdr:rowOff>
        </xdr:from>
        <xdr:to>
          <xdr:col>2</xdr:col>
          <xdr:colOff>838200</xdr:colOff>
          <xdr:row>117</xdr:row>
          <xdr:rowOff>19050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90964997-AE66-4A7C-B1E4-4AE348F754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118</xdr:row>
          <xdr:rowOff>146050</xdr:rowOff>
        </xdr:from>
        <xdr:to>
          <xdr:col>2</xdr:col>
          <xdr:colOff>412750</xdr:colOff>
          <xdr:row>120</xdr:row>
          <xdr:rowOff>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A5671225-FE7F-4EF6-84C7-681702B9B10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118</xdr:row>
          <xdr:rowOff>146050</xdr:rowOff>
        </xdr:from>
        <xdr:to>
          <xdr:col>2</xdr:col>
          <xdr:colOff>838200</xdr:colOff>
          <xdr:row>120</xdr:row>
          <xdr:rowOff>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B304CA0F-CB65-4A0F-9ED9-6AF5ECBE599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120</xdr:row>
          <xdr:rowOff>139700</xdr:rowOff>
        </xdr:from>
        <xdr:to>
          <xdr:col>2</xdr:col>
          <xdr:colOff>412750</xdr:colOff>
          <xdr:row>122</xdr:row>
          <xdr:rowOff>38100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4D61CD13-F85C-4E41-8D48-E3E224EBE8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120</xdr:row>
          <xdr:rowOff>139700</xdr:rowOff>
        </xdr:from>
        <xdr:to>
          <xdr:col>2</xdr:col>
          <xdr:colOff>838200</xdr:colOff>
          <xdr:row>122</xdr:row>
          <xdr:rowOff>38100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4CC7AC79-F3E3-49A1-9E95-A89C8CD224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122</xdr:row>
          <xdr:rowOff>139700</xdr:rowOff>
        </xdr:from>
        <xdr:to>
          <xdr:col>2</xdr:col>
          <xdr:colOff>412750</xdr:colOff>
          <xdr:row>124</xdr:row>
          <xdr:rowOff>38100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1E56FEE2-B2CB-48C8-9B71-83441E0E91E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122</xdr:row>
          <xdr:rowOff>139700</xdr:rowOff>
        </xdr:from>
        <xdr:to>
          <xdr:col>2</xdr:col>
          <xdr:colOff>838200</xdr:colOff>
          <xdr:row>124</xdr:row>
          <xdr:rowOff>38100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253F1681-6703-4A15-B6E5-13950143B9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124</xdr:row>
          <xdr:rowOff>139700</xdr:rowOff>
        </xdr:from>
        <xdr:to>
          <xdr:col>2</xdr:col>
          <xdr:colOff>412750</xdr:colOff>
          <xdr:row>126</xdr:row>
          <xdr:rowOff>38100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C4EFAB6D-8692-4F5A-88DF-7825A91A39E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124</xdr:row>
          <xdr:rowOff>139700</xdr:rowOff>
        </xdr:from>
        <xdr:to>
          <xdr:col>2</xdr:col>
          <xdr:colOff>838200</xdr:colOff>
          <xdr:row>126</xdr:row>
          <xdr:rowOff>38100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D44BC86D-C36F-4CAA-93D9-5C58E8E5D47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132</xdr:row>
          <xdr:rowOff>139700</xdr:rowOff>
        </xdr:from>
        <xdr:to>
          <xdr:col>2</xdr:col>
          <xdr:colOff>412750</xdr:colOff>
          <xdr:row>134</xdr:row>
          <xdr:rowOff>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5EDBEC61-D2DC-4297-9C04-5F4D4CCE82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132</xdr:row>
          <xdr:rowOff>139700</xdr:rowOff>
        </xdr:from>
        <xdr:to>
          <xdr:col>2</xdr:col>
          <xdr:colOff>838200</xdr:colOff>
          <xdr:row>134</xdr:row>
          <xdr:rowOff>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40A4BB5F-62B0-4262-9EF3-2B4F7BDC95B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136</xdr:row>
          <xdr:rowOff>139700</xdr:rowOff>
        </xdr:from>
        <xdr:to>
          <xdr:col>2</xdr:col>
          <xdr:colOff>412750</xdr:colOff>
          <xdr:row>138</xdr:row>
          <xdr:rowOff>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99C3D6F9-F621-462B-9BE9-8D3A0DEEA2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136</xdr:row>
          <xdr:rowOff>139700</xdr:rowOff>
        </xdr:from>
        <xdr:to>
          <xdr:col>2</xdr:col>
          <xdr:colOff>838200</xdr:colOff>
          <xdr:row>138</xdr:row>
          <xdr:rowOff>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6DA27D4A-4659-418E-8E15-744440A7AEE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130</xdr:row>
          <xdr:rowOff>165100</xdr:rowOff>
        </xdr:from>
        <xdr:to>
          <xdr:col>2</xdr:col>
          <xdr:colOff>412750</xdr:colOff>
          <xdr:row>132</xdr:row>
          <xdr:rowOff>19050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C1D72EC8-EF2F-4164-83CD-886F58B065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130</xdr:row>
          <xdr:rowOff>165100</xdr:rowOff>
        </xdr:from>
        <xdr:to>
          <xdr:col>2</xdr:col>
          <xdr:colOff>838200</xdr:colOff>
          <xdr:row>132</xdr:row>
          <xdr:rowOff>19050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E7E47FF5-29F1-4AD0-92E0-4416057B63C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134</xdr:row>
          <xdr:rowOff>139700</xdr:rowOff>
        </xdr:from>
        <xdr:to>
          <xdr:col>2</xdr:col>
          <xdr:colOff>412750</xdr:colOff>
          <xdr:row>136</xdr:row>
          <xdr:rowOff>38100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DAFF4019-9793-4F30-88B8-545E36C3366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134</xdr:row>
          <xdr:rowOff>139700</xdr:rowOff>
        </xdr:from>
        <xdr:to>
          <xdr:col>2</xdr:col>
          <xdr:colOff>838200</xdr:colOff>
          <xdr:row>136</xdr:row>
          <xdr:rowOff>38100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10D41849-CD51-470E-8732-94496059F4C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138</xdr:row>
          <xdr:rowOff>139700</xdr:rowOff>
        </xdr:from>
        <xdr:to>
          <xdr:col>2</xdr:col>
          <xdr:colOff>412750</xdr:colOff>
          <xdr:row>140</xdr:row>
          <xdr:rowOff>38100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7F4C1656-92D1-409A-A371-476B2059E35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138</xdr:row>
          <xdr:rowOff>139700</xdr:rowOff>
        </xdr:from>
        <xdr:to>
          <xdr:col>2</xdr:col>
          <xdr:colOff>838200</xdr:colOff>
          <xdr:row>140</xdr:row>
          <xdr:rowOff>38100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FD06579F-53C3-437E-9C5A-138632ADB69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140</xdr:row>
          <xdr:rowOff>139700</xdr:rowOff>
        </xdr:from>
        <xdr:to>
          <xdr:col>2</xdr:col>
          <xdr:colOff>412750</xdr:colOff>
          <xdr:row>142</xdr:row>
          <xdr:rowOff>38100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ACE5EF1B-EB31-40C6-8748-98709B21396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140</xdr:row>
          <xdr:rowOff>139700</xdr:rowOff>
        </xdr:from>
        <xdr:to>
          <xdr:col>2</xdr:col>
          <xdr:colOff>838200</xdr:colOff>
          <xdr:row>142</xdr:row>
          <xdr:rowOff>38100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F1D6FC8B-F831-449F-AF86-ADF70A1ADB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142</xdr:row>
          <xdr:rowOff>139700</xdr:rowOff>
        </xdr:from>
        <xdr:to>
          <xdr:col>2</xdr:col>
          <xdr:colOff>412750</xdr:colOff>
          <xdr:row>144</xdr:row>
          <xdr:rowOff>38100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351A07F-39C1-43C7-890F-BDC01EF2BD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142</xdr:row>
          <xdr:rowOff>139700</xdr:rowOff>
        </xdr:from>
        <xdr:to>
          <xdr:col>2</xdr:col>
          <xdr:colOff>838200</xdr:colOff>
          <xdr:row>144</xdr:row>
          <xdr:rowOff>38100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CF39789E-3A90-4E24-8D18-7DA7171448C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144</xdr:row>
          <xdr:rowOff>139700</xdr:rowOff>
        </xdr:from>
        <xdr:to>
          <xdr:col>2</xdr:col>
          <xdr:colOff>412750</xdr:colOff>
          <xdr:row>146</xdr:row>
          <xdr:rowOff>19050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6FBEB3AB-EF55-401D-A609-2148E353EE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144</xdr:row>
          <xdr:rowOff>139700</xdr:rowOff>
        </xdr:from>
        <xdr:to>
          <xdr:col>2</xdr:col>
          <xdr:colOff>838200</xdr:colOff>
          <xdr:row>146</xdr:row>
          <xdr:rowOff>19050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433BA9D3-BEF5-4ED6-9DA8-DB7209DD582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147</xdr:row>
          <xdr:rowOff>146050</xdr:rowOff>
        </xdr:from>
        <xdr:to>
          <xdr:col>2</xdr:col>
          <xdr:colOff>412750</xdr:colOff>
          <xdr:row>149</xdr:row>
          <xdr:rowOff>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19067CEE-EA8A-41CA-84DF-03523514E18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147</xdr:row>
          <xdr:rowOff>146050</xdr:rowOff>
        </xdr:from>
        <xdr:to>
          <xdr:col>2</xdr:col>
          <xdr:colOff>838200</xdr:colOff>
          <xdr:row>149</xdr:row>
          <xdr:rowOff>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6ACE0C9D-CF22-4703-9D54-C293E9FEEA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149</xdr:row>
          <xdr:rowOff>139700</xdr:rowOff>
        </xdr:from>
        <xdr:to>
          <xdr:col>2</xdr:col>
          <xdr:colOff>412750</xdr:colOff>
          <xdr:row>151</xdr:row>
          <xdr:rowOff>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865F1245-6455-4488-8FA1-74435B4D04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149</xdr:row>
          <xdr:rowOff>139700</xdr:rowOff>
        </xdr:from>
        <xdr:to>
          <xdr:col>2</xdr:col>
          <xdr:colOff>838200</xdr:colOff>
          <xdr:row>151</xdr:row>
          <xdr:rowOff>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46381D2D-E7DC-437C-8A27-8E95DEEFD5C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151</xdr:row>
          <xdr:rowOff>139700</xdr:rowOff>
        </xdr:from>
        <xdr:to>
          <xdr:col>2</xdr:col>
          <xdr:colOff>412750</xdr:colOff>
          <xdr:row>153</xdr:row>
          <xdr:rowOff>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9A1CA060-2B7D-4245-A229-8E5601FC0AC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151</xdr:row>
          <xdr:rowOff>139700</xdr:rowOff>
        </xdr:from>
        <xdr:to>
          <xdr:col>2</xdr:col>
          <xdr:colOff>838200</xdr:colOff>
          <xdr:row>153</xdr:row>
          <xdr:rowOff>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A518AFB5-2ED1-4C40-BFF3-C47A2DDF9E3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153</xdr:row>
          <xdr:rowOff>139700</xdr:rowOff>
        </xdr:from>
        <xdr:to>
          <xdr:col>2</xdr:col>
          <xdr:colOff>412750</xdr:colOff>
          <xdr:row>155</xdr:row>
          <xdr:rowOff>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F24443C8-5EE5-4E1A-BB87-1E864F99B37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153</xdr:row>
          <xdr:rowOff>139700</xdr:rowOff>
        </xdr:from>
        <xdr:to>
          <xdr:col>2</xdr:col>
          <xdr:colOff>838200</xdr:colOff>
          <xdr:row>155</xdr:row>
          <xdr:rowOff>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BEC4DD0B-8C29-43A1-B414-46D480F3EAE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155</xdr:row>
          <xdr:rowOff>139700</xdr:rowOff>
        </xdr:from>
        <xdr:to>
          <xdr:col>2</xdr:col>
          <xdr:colOff>412750</xdr:colOff>
          <xdr:row>157</xdr:row>
          <xdr:rowOff>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8F0083A3-069B-4D59-9B09-2AACF40331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155</xdr:row>
          <xdr:rowOff>139700</xdr:rowOff>
        </xdr:from>
        <xdr:to>
          <xdr:col>2</xdr:col>
          <xdr:colOff>838200</xdr:colOff>
          <xdr:row>157</xdr:row>
          <xdr:rowOff>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4FCD0AE0-4217-4160-8306-E7C39D8AD1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164</xdr:row>
          <xdr:rowOff>139700</xdr:rowOff>
        </xdr:from>
        <xdr:to>
          <xdr:col>2</xdr:col>
          <xdr:colOff>412750</xdr:colOff>
          <xdr:row>166</xdr:row>
          <xdr:rowOff>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C7D6719-368C-4F44-BD99-ABA7865750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164</xdr:row>
          <xdr:rowOff>139700</xdr:rowOff>
        </xdr:from>
        <xdr:to>
          <xdr:col>2</xdr:col>
          <xdr:colOff>838200</xdr:colOff>
          <xdr:row>166</xdr:row>
          <xdr:rowOff>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E1E58E59-6DC4-4AF3-AD2D-AD81271C52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166</xdr:row>
          <xdr:rowOff>139700</xdr:rowOff>
        </xdr:from>
        <xdr:to>
          <xdr:col>2</xdr:col>
          <xdr:colOff>412750</xdr:colOff>
          <xdr:row>168</xdr:row>
          <xdr:rowOff>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1652483A-588A-4507-98B9-1A0A4904BE8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166</xdr:row>
          <xdr:rowOff>139700</xdr:rowOff>
        </xdr:from>
        <xdr:to>
          <xdr:col>2</xdr:col>
          <xdr:colOff>838200</xdr:colOff>
          <xdr:row>168</xdr:row>
          <xdr:rowOff>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1C04077D-3734-4387-B1B0-A82F540C19F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162</xdr:row>
          <xdr:rowOff>158750</xdr:rowOff>
        </xdr:from>
        <xdr:to>
          <xdr:col>2</xdr:col>
          <xdr:colOff>412750</xdr:colOff>
          <xdr:row>164</xdr:row>
          <xdr:rowOff>19050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5B567BD-181E-4DBE-AA2A-D124F4CA6BA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162</xdr:row>
          <xdr:rowOff>158750</xdr:rowOff>
        </xdr:from>
        <xdr:to>
          <xdr:col>2</xdr:col>
          <xdr:colOff>838200</xdr:colOff>
          <xdr:row>164</xdr:row>
          <xdr:rowOff>19050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316D48E-2DB6-4AFD-82FE-3B85746AF1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168</xdr:row>
          <xdr:rowOff>139700</xdr:rowOff>
        </xdr:from>
        <xdr:to>
          <xdr:col>2</xdr:col>
          <xdr:colOff>412750</xdr:colOff>
          <xdr:row>170</xdr:row>
          <xdr:rowOff>38100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C5E81182-4412-460D-89C4-625816D36EC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168</xdr:row>
          <xdr:rowOff>139700</xdr:rowOff>
        </xdr:from>
        <xdr:to>
          <xdr:col>2</xdr:col>
          <xdr:colOff>838200</xdr:colOff>
          <xdr:row>170</xdr:row>
          <xdr:rowOff>38100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2A420205-17E6-4453-9C55-DD9F275ADF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170</xdr:row>
          <xdr:rowOff>120650</xdr:rowOff>
        </xdr:from>
        <xdr:to>
          <xdr:col>2</xdr:col>
          <xdr:colOff>412750</xdr:colOff>
          <xdr:row>172</xdr:row>
          <xdr:rowOff>19050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20E41119-EAA0-43ED-A699-9D3292922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170</xdr:row>
          <xdr:rowOff>120650</xdr:rowOff>
        </xdr:from>
        <xdr:to>
          <xdr:col>2</xdr:col>
          <xdr:colOff>838200</xdr:colOff>
          <xdr:row>172</xdr:row>
          <xdr:rowOff>19050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FCA37C38-288B-49C1-A73C-5332674D52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177</xdr:row>
          <xdr:rowOff>139700</xdr:rowOff>
        </xdr:from>
        <xdr:to>
          <xdr:col>2</xdr:col>
          <xdr:colOff>412750</xdr:colOff>
          <xdr:row>179</xdr:row>
          <xdr:rowOff>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FCFDA0A7-3F37-4743-A7DD-AB6B1CD78D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177</xdr:row>
          <xdr:rowOff>139700</xdr:rowOff>
        </xdr:from>
        <xdr:to>
          <xdr:col>2</xdr:col>
          <xdr:colOff>838200</xdr:colOff>
          <xdr:row>179</xdr:row>
          <xdr:rowOff>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176B4E52-598E-4C05-B75B-D0FF056CC4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179</xdr:row>
          <xdr:rowOff>139700</xdr:rowOff>
        </xdr:from>
        <xdr:to>
          <xdr:col>2</xdr:col>
          <xdr:colOff>412750</xdr:colOff>
          <xdr:row>181</xdr:row>
          <xdr:rowOff>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39C40857-EB9F-46EF-A9DE-612E0E4028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179</xdr:row>
          <xdr:rowOff>139700</xdr:rowOff>
        </xdr:from>
        <xdr:to>
          <xdr:col>2</xdr:col>
          <xdr:colOff>838200</xdr:colOff>
          <xdr:row>181</xdr:row>
          <xdr:rowOff>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93F02EEA-4C82-4616-831C-F09B27C0783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181</xdr:row>
          <xdr:rowOff>139700</xdr:rowOff>
        </xdr:from>
        <xdr:to>
          <xdr:col>2</xdr:col>
          <xdr:colOff>412750</xdr:colOff>
          <xdr:row>183</xdr:row>
          <xdr:rowOff>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CC94215E-5FA5-4D9C-95EA-A197B108806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181</xdr:row>
          <xdr:rowOff>139700</xdr:rowOff>
        </xdr:from>
        <xdr:to>
          <xdr:col>2</xdr:col>
          <xdr:colOff>838200</xdr:colOff>
          <xdr:row>183</xdr:row>
          <xdr:rowOff>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E8D547EC-540E-49D1-A020-FC2C9AC3A9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173</xdr:row>
          <xdr:rowOff>158750</xdr:rowOff>
        </xdr:from>
        <xdr:to>
          <xdr:col>2</xdr:col>
          <xdr:colOff>412750</xdr:colOff>
          <xdr:row>175</xdr:row>
          <xdr:rowOff>19050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24D055F-ED68-4F75-9D7E-7DCD4D164BB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173</xdr:row>
          <xdr:rowOff>158750</xdr:rowOff>
        </xdr:from>
        <xdr:to>
          <xdr:col>2</xdr:col>
          <xdr:colOff>838200</xdr:colOff>
          <xdr:row>175</xdr:row>
          <xdr:rowOff>19050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BB33CC9E-ABD3-49F6-8234-F79C5AEB07A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175</xdr:row>
          <xdr:rowOff>139700</xdr:rowOff>
        </xdr:from>
        <xdr:to>
          <xdr:col>2</xdr:col>
          <xdr:colOff>412750</xdr:colOff>
          <xdr:row>177</xdr:row>
          <xdr:rowOff>19050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7597B966-1E0B-4AA1-B7A5-286F620A6DC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175</xdr:row>
          <xdr:rowOff>139700</xdr:rowOff>
        </xdr:from>
        <xdr:to>
          <xdr:col>2</xdr:col>
          <xdr:colOff>838200</xdr:colOff>
          <xdr:row>177</xdr:row>
          <xdr:rowOff>19050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F9EFE32B-0F2A-4D07-8887-2DBEA2D04E8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186</xdr:row>
          <xdr:rowOff>139700</xdr:rowOff>
        </xdr:from>
        <xdr:to>
          <xdr:col>2</xdr:col>
          <xdr:colOff>412750</xdr:colOff>
          <xdr:row>188</xdr:row>
          <xdr:rowOff>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B62A1059-8C11-4CBD-B2CB-8DDFEF8353F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186</xdr:row>
          <xdr:rowOff>139700</xdr:rowOff>
        </xdr:from>
        <xdr:to>
          <xdr:col>2</xdr:col>
          <xdr:colOff>838200</xdr:colOff>
          <xdr:row>188</xdr:row>
          <xdr:rowOff>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7ECBF901-89EA-4871-AE69-3AE53550CA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184</xdr:row>
          <xdr:rowOff>158750</xdr:rowOff>
        </xdr:from>
        <xdr:to>
          <xdr:col>2</xdr:col>
          <xdr:colOff>412750</xdr:colOff>
          <xdr:row>186</xdr:row>
          <xdr:rowOff>19050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7D8352E9-49A0-47EF-844B-6AD15D1E60E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184</xdr:row>
          <xdr:rowOff>158750</xdr:rowOff>
        </xdr:from>
        <xdr:to>
          <xdr:col>2</xdr:col>
          <xdr:colOff>838200</xdr:colOff>
          <xdr:row>186</xdr:row>
          <xdr:rowOff>19050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DC26945D-530C-4F6E-BA4E-E0C5E105B7F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188</xdr:row>
          <xdr:rowOff>139700</xdr:rowOff>
        </xdr:from>
        <xdr:to>
          <xdr:col>2</xdr:col>
          <xdr:colOff>412750</xdr:colOff>
          <xdr:row>190</xdr:row>
          <xdr:rowOff>38100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4F358D05-79A5-40B0-BCDC-9A996D30227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188</xdr:row>
          <xdr:rowOff>139700</xdr:rowOff>
        </xdr:from>
        <xdr:to>
          <xdr:col>2</xdr:col>
          <xdr:colOff>838200</xdr:colOff>
          <xdr:row>190</xdr:row>
          <xdr:rowOff>38100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475615E5-E69D-4CD2-BAD5-8BA34A1BC77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190</xdr:row>
          <xdr:rowOff>120650</xdr:rowOff>
        </xdr:from>
        <xdr:to>
          <xdr:col>2</xdr:col>
          <xdr:colOff>412750</xdr:colOff>
          <xdr:row>192</xdr:row>
          <xdr:rowOff>19050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54E406FF-CD57-4D3E-84F4-0617DE37A7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190</xdr:row>
          <xdr:rowOff>120650</xdr:rowOff>
        </xdr:from>
        <xdr:to>
          <xdr:col>2</xdr:col>
          <xdr:colOff>838200</xdr:colOff>
          <xdr:row>192</xdr:row>
          <xdr:rowOff>19050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1C13CBCF-F2D8-4024-9BB1-A38499DFB54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203</xdr:row>
          <xdr:rowOff>139700</xdr:rowOff>
        </xdr:from>
        <xdr:to>
          <xdr:col>2</xdr:col>
          <xdr:colOff>412750</xdr:colOff>
          <xdr:row>205</xdr:row>
          <xdr:rowOff>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49ED35DF-2E6F-4BDD-9FFA-0C607082B56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203</xdr:row>
          <xdr:rowOff>139700</xdr:rowOff>
        </xdr:from>
        <xdr:to>
          <xdr:col>2</xdr:col>
          <xdr:colOff>838200</xdr:colOff>
          <xdr:row>205</xdr:row>
          <xdr:rowOff>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EC1BB66E-BB2B-48C0-885B-3E5BDAEE472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205</xdr:row>
          <xdr:rowOff>139700</xdr:rowOff>
        </xdr:from>
        <xdr:to>
          <xdr:col>2</xdr:col>
          <xdr:colOff>412750</xdr:colOff>
          <xdr:row>207</xdr:row>
          <xdr:rowOff>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B27298D9-00A7-40BC-B350-E881BCE55B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205</xdr:row>
          <xdr:rowOff>139700</xdr:rowOff>
        </xdr:from>
        <xdr:to>
          <xdr:col>2</xdr:col>
          <xdr:colOff>838200</xdr:colOff>
          <xdr:row>207</xdr:row>
          <xdr:rowOff>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5FE6D6F8-17E0-4161-8C01-C4E7B3CCD61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197</xdr:row>
          <xdr:rowOff>203200</xdr:rowOff>
        </xdr:from>
        <xdr:to>
          <xdr:col>2</xdr:col>
          <xdr:colOff>412750</xdr:colOff>
          <xdr:row>199</xdr:row>
          <xdr:rowOff>31750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E6A8C967-32D5-41C6-8FA1-A97B7B540EE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197</xdr:row>
          <xdr:rowOff>203200</xdr:rowOff>
        </xdr:from>
        <xdr:to>
          <xdr:col>2</xdr:col>
          <xdr:colOff>838200</xdr:colOff>
          <xdr:row>199</xdr:row>
          <xdr:rowOff>31750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118557E6-4255-426E-9B38-1D7C0A61494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199</xdr:row>
          <xdr:rowOff>139700</xdr:rowOff>
        </xdr:from>
        <xdr:to>
          <xdr:col>2</xdr:col>
          <xdr:colOff>412750</xdr:colOff>
          <xdr:row>201</xdr:row>
          <xdr:rowOff>38100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D580AF87-F5CB-4CEA-808F-35599245C7B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199</xdr:row>
          <xdr:rowOff>139700</xdr:rowOff>
        </xdr:from>
        <xdr:to>
          <xdr:col>2</xdr:col>
          <xdr:colOff>838200</xdr:colOff>
          <xdr:row>201</xdr:row>
          <xdr:rowOff>38100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5F83D773-9DBE-4A43-B893-ED17EA0E01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201</xdr:row>
          <xdr:rowOff>139700</xdr:rowOff>
        </xdr:from>
        <xdr:to>
          <xdr:col>2</xdr:col>
          <xdr:colOff>412750</xdr:colOff>
          <xdr:row>203</xdr:row>
          <xdr:rowOff>38100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CBCA56A0-FEF0-4733-AA3F-3223E65C0F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201</xdr:row>
          <xdr:rowOff>139700</xdr:rowOff>
        </xdr:from>
        <xdr:to>
          <xdr:col>2</xdr:col>
          <xdr:colOff>838200</xdr:colOff>
          <xdr:row>203</xdr:row>
          <xdr:rowOff>38100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28DAB957-1691-4640-BBFF-858DBCBE85E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207</xdr:row>
          <xdr:rowOff>120650</xdr:rowOff>
        </xdr:from>
        <xdr:to>
          <xdr:col>2</xdr:col>
          <xdr:colOff>412750</xdr:colOff>
          <xdr:row>209</xdr:row>
          <xdr:rowOff>19050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D42BC3AB-6B54-4E05-9E92-82118B44DFB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207</xdr:row>
          <xdr:rowOff>120650</xdr:rowOff>
        </xdr:from>
        <xdr:to>
          <xdr:col>2</xdr:col>
          <xdr:colOff>838200</xdr:colOff>
          <xdr:row>209</xdr:row>
          <xdr:rowOff>19050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23E6D809-73AF-457C-9C15-F44800A8968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214</xdr:row>
          <xdr:rowOff>152400</xdr:rowOff>
        </xdr:from>
        <xdr:to>
          <xdr:col>2</xdr:col>
          <xdr:colOff>412750</xdr:colOff>
          <xdr:row>216</xdr:row>
          <xdr:rowOff>6350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CFB5C2B0-FCE1-467C-BC33-08C29240868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214</xdr:row>
          <xdr:rowOff>152400</xdr:rowOff>
        </xdr:from>
        <xdr:to>
          <xdr:col>2</xdr:col>
          <xdr:colOff>838200</xdr:colOff>
          <xdr:row>216</xdr:row>
          <xdr:rowOff>6350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698EDD0C-7D23-46D5-9F71-DF489E86D6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216</xdr:row>
          <xdr:rowOff>120650</xdr:rowOff>
        </xdr:from>
        <xdr:to>
          <xdr:col>2</xdr:col>
          <xdr:colOff>412750</xdr:colOff>
          <xdr:row>218</xdr:row>
          <xdr:rowOff>19050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23343D90-9767-47FA-9A89-6B6044E54CC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216</xdr:row>
          <xdr:rowOff>120650</xdr:rowOff>
        </xdr:from>
        <xdr:to>
          <xdr:col>2</xdr:col>
          <xdr:colOff>838200</xdr:colOff>
          <xdr:row>218</xdr:row>
          <xdr:rowOff>19050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7C7D00D-FD93-4BF8-9375-D8B0548758A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218</xdr:row>
          <xdr:rowOff>120650</xdr:rowOff>
        </xdr:from>
        <xdr:to>
          <xdr:col>2</xdr:col>
          <xdr:colOff>412750</xdr:colOff>
          <xdr:row>220</xdr:row>
          <xdr:rowOff>19050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F06EC648-60E8-46DB-A5E6-A8773FAC829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218</xdr:row>
          <xdr:rowOff>120650</xdr:rowOff>
        </xdr:from>
        <xdr:to>
          <xdr:col>2</xdr:col>
          <xdr:colOff>838200</xdr:colOff>
          <xdr:row>220</xdr:row>
          <xdr:rowOff>19050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900A2E4A-5A41-4A62-818F-C25807B4CF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220</xdr:row>
          <xdr:rowOff>120650</xdr:rowOff>
        </xdr:from>
        <xdr:to>
          <xdr:col>2</xdr:col>
          <xdr:colOff>412750</xdr:colOff>
          <xdr:row>222</xdr:row>
          <xdr:rowOff>19050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45A1198B-A522-485E-B070-19C254E380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220</xdr:row>
          <xdr:rowOff>120650</xdr:rowOff>
        </xdr:from>
        <xdr:to>
          <xdr:col>2</xdr:col>
          <xdr:colOff>838200</xdr:colOff>
          <xdr:row>222</xdr:row>
          <xdr:rowOff>19050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22DD93F6-DEFA-4E81-9318-9F070A6C108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229</xdr:row>
          <xdr:rowOff>139700</xdr:rowOff>
        </xdr:from>
        <xdr:to>
          <xdr:col>2</xdr:col>
          <xdr:colOff>412750</xdr:colOff>
          <xdr:row>231</xdr:row>
          <xdr:rowOff>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68CAEB62-D5AB-49D0-8D00-5F14DA83CB1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229</xdr:row>
          <xdr:rowOff>139700</xdr:rowOff>
        </xdr:from>
        <xdr:to>
          <xdr:col>2</xdr:col>
          <xdr:colOff>838200</xdr:colOff>
          <xdr:row>231</xdr:row>
          <xdr:rowOff>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50287849-C0E7-46DF-B2EF-AD18223DB0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233</xdr:row>
          <xdr:rowOff>139700</xdr:rowOff>
        </xdr:from>
        <xdr:to>
          <xdr:col>2</xdr:col>
          <xdr:colOff>412750</xdr:colOff>
          <xdr:row>235</xdr:row>
          <xdr:rowOff>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8B4F5CDD-251A-4574-B198-FEA85534E6A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233</xdr:row>
          <xdr:rowOff>139700</xdr:rowOff>
        </xdr:from>
        <xdr:to>
          <xdr:col>2</xdr:col>
          <xdr:colOff>838200</xdr:colOff>
          <xdr:row>235</xdr:row>
          <xdr:rowOff>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CD90ACB1-28B1-4C7A-A52D-6312BDCB51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227</xdr:row>
          <xdr:rowOff>152400</xdr:rowOff>
        </xdr:from>
        <xdr:to>
          <xdr:col>2</xdr:col>
          <xdr:colOff>412750</xdr:colOff>
          <xdr:row>229</xdr:row>
          <xdr:rowOff>6350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FCFCE4FA-6298-4CE8-B301-867451F3F6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227</xdr:row>
          <xdr:rowOff>152400</xdr:rowOff>
        </xdr:from>
        <xdr:to>
          <xdr:col>2</xdr:col>
          <xdr:colOff>838200</xdr:colOff>
          <xdr:row>229</xdr:row>
          <xdr:rowOff>6350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54F57B68-16DA-4B2B-82D7-557A00CC38D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231</xdr:row>
          <xdr:rowOff>120650</xdr:rowOff>
        </xdr:from>
        <xdr:to>
          <xdr:col>2</xdr:col>
          <xdr:colOff>412750</xdr:colOff>
          <xdr:row>233</xdr:row>
          <xdr:rowOff>19050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804D8D67-C691-4069-B40A-E64D210C29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231</xdr:row>
          <xdr:rowOff>120650</xdr:rowOff>
        </xdr:from>
        <xdr:to>
          <xdr:col>2</xdr:col>
          <xdr:colOff>838200</xdr:colOff>
          <xdr:row>233</xdr:row>
          <xdr:rowOff>19050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CE49618E-75CC-465B-9421-444B1BC45F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235</xdr:row>
          <xdr:rowOff>120650</xdr:rowOff>
        </xdr:from>
        <xdr:to>
          <xdr:col>2</xdr:col>
          <xdr:colOff>412750</xdr:colOff>
          <xdr:row>237</xdr:row>
          <xdr:rowOff>19050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4E8D32ED-6C9E-4142-923D-BB8E7B92CF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235</xdr:row>
          <xdr:rowOff>120650</xdr:rowOff>
        </xdr:from>
        <xdr:to>
          <xdr:col>2</xdr:col>
          <xdr:colOff>838200</xdr:colOff>
          <xdr:row>237</xdr:row>
          <xdr:rowOff>19050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28569F9-EDBF-40D1-B9D4-BBF4ADA984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237</xdr:row>
          <xdr:rowOff>120650</xdr:rowOff>
        </xdr:from>
        <xdr:to>
          <xdr:col>2</xdr:col>
          <xdr:colOff>412750</xdr:colOff>
          <xdr:row>239</xdr:row>
          <xdr:rowOff>19050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7062957B-6CA0-47D6-9F1E-4E7352F1F08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237</xdr:row>
          <xdr:rowOff>120650</xdr:rowOff>
        </xdr:from>
        <xdr:to>
          <xdr:col>2</xdr:col>
          <xdr:colOff>838200</xdr:colOff>
          <xdr:row>239</xdr:row>
          <xdr:rowOff>19050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841B83C1-5B7E-4519-8332-12A1402982D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239</xdr:row>
          <xdr:rowOff>120650</xdr:rowOff>
        </xdr:from>
        <xdr:to>
          <xdr:col>2</xdr:col>
          <xdr:colOff>412750</xdr:colOff>
          <xdr:row>241</xdr:row>
          <xdr:rowOff>19050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2D01CE01-967C-4E14-8063-0694E0BA5C5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239</xdr:row>
          <xdr:rowOff>120650</xdr:rowOff>
        </xdr:from>
        <xdr:to>
          <xdr:col>2</xdr:col>
          <xdr:colOff>838200</xdr:colOff>
          <xdr:row>241</xdr:row>
          <xdr:rowOff>19050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A77DE200-D7F6-46DE-AFA9-E32BAD8D05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250</xdr:row>
          <xdr:rowOff>139700</xdr:rowOff>
        </xdr:from>
        <xdr:to>
          <xdr:col>2</xdr:col>
          <xdr:colOff>412750</xdr:colOff>
          <xdr:row>252</xdr:row>
          <xdr:rowOff>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5EE7768-BAD8-4393-9E2A-B9A5B2DEC2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250</xdr:row>
          <xdr:rowOff>139700</xdr:rowOff>
        </xdr:from>
        <xdr:to>
          <xdr:col>2</xdr:col>
          <xdr:colOff>838200</xdr:colOff>
          <xdr:row>252</xdr:row>
          <xdr:rowOff>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A54891AF-1C3E-49EB-BDF4-BB7352C729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254</xdr:row>
          <xdr:rowOff>139700</xdr:rowOff>
        </xdr:from>
        <xdr:to>
          <xdr:col>2</xdr:col>
          <xdr:colOff>412750</xdr:colOff>
          <xdr:row>256</xdr:row>
          <xdr:rowOff>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5C80C7C7-0E00-4BFF-8868-FCAC15E6C06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254</xdr:row>
          <xdr:rowOff>139700</xdr:rowOff>
        </xdr:from>
        <xdr:to>
          <xdr:col>2</xdr:col>
          <xdr:colOff>838200</xdr:colOff>
          <xdr:row>256</xdr:row>
          <xdr:rowOff>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5750521F-3E7B-4A40-8568-175E7BEC31C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242</xdr:row>
          <xdr:rowOff>152400</xdr:rowOff>
        </xdr:from>
        <xdr:to>
          <xdr:col>2</xdr:col>
          <xdr:colOff>412750</xdr:colOff>
          <xdr:row>244</xdr:row>
          <xdr:rowOff>6350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CCAEEF31-7313-4502-8EB8-57A9091A86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242</xdr:row>
          <xdr:rowOff>152400</xdr:rowOff>
        </xdr:from>
        <xdr:to>
          <xdr:col>2</xdr:col>
          <xdr:colOff>838200</xdr:colOff>
          <xdr:row>244</xdr:row>
          <xdr:rowOff>6350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F0496D20-30BC-479B-B661-5242C48679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244</xdr:row>
          <xdr:rowOff>120650</xdr:rowOff>
        </xdr:from>
        <xdr:to>
          <xdr:col>2</xdr:col>
          <xdr:colOff>412750</xdr:colOff>
          <xdr:row>246</xdr:row>
          <xdr:rowOff>19050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32D293B5-F042-4CC0-B2F9-33283D46A14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244</xdr:row>
          <xdr:rowOff>120650</xdr:rowOff>
        </xdr:from>
        <xdr:to>
          <xdr:col>2</xdr:col>
          <xdr:colOff>838200</xdr:colOff>
          <xdr:row>246</xdr:row>
          <xdr:rowOff>19050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69AF31C6-E266-4222-8D30-89017C1392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246</xdr:row>
          <xdr:rowOff>120650</xdr:rowOff>
        </xdr:from>
        <xdr:to>
          <xdr:col>2</xdr:col>
          <xdr:colOff>412750</xdr:colOff>
          <xdr:row>248</xdr:row>
          <xdr:rowOff>19050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61F523E4-FF21-42C4-B61E-0C737D688E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246</xdr:row>
          <xdr:rowOff>120650</xdr:rowOff>
        </xdr:from>
        <xdr:to>
          <xdr:col>2</xdr:col>
          <xdr:colOff>838200</xdr:colOff>
          <xdr:row>248</xdr:row>
          <xdr:rowOff>19050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9F5286B-50F5-4C14-A7C9-F34D182D51C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248</xdr:row>
          <xdr:rowOff>120650</xdr:rowOff>
        </xdr:from>
        <xdr:to>
          <xdr:col>2</xdr:col>
          <xdr:colOff>412750</xdr:colOff>
          <xdr:row>250</xdr:row>
          <xdr:rowOff>19050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950F06B1-0A69-4F04-AB36-122AA81A14D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248</xdr:row>
          <xdr:rowOff>120650</xdr:rowOff>
        </xdr:from>
        <xdr:to>
          <xdr:col>2</xdr:col>
          <xdr:colOff>838200</xdr:colOff>
          <xdr:row>250</xdr:row>
          <xdr:rowOff>19050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57A40075-C7FD-4360-A66D-736547FC13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253</xdr:row>
          <xdr:rowOff>120650</xdr:rowOff>
        </xdr:from>
        <xdr:to>
          <xdr:col>2</xdr:col>
          <xdr:colOff>412750</xdr:colOff>
          <xdr:row>254</xdr:row>
          <xdr:rowOff>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FCD69FFA-BAD8-45E0-8ACF-6D848E76D0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253</xdr:row>
          <xdr:rowOff>120650</xdr:rowOff>
        </xdr:from>
        <xdr:to>
          <xdr:col>2</xdr:col>
          <xdr:colOff>838200</xdr:colOff>
          <xdr:row>254</xdr:row>
          <xdr:rowOff>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23A58172-41F8-4797-8944-03F6FB0AF8D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256</xdr:row>
          <xdr:rowOff>120650</xdr:rowOff>
        </xdr:from>
        <xdr:to>
          <xdr:col>2</xdr:col>
          <xdr:colOff>412750</xdr:colOff>
          <xdr:row>258</xdr:row>
          <xdr:rowOff>19050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88462797-F977-458C-9A2B-56106617F37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256</xdr:row>
          <xdr:rowOff>120650</xdr:rowOff>
        </xdr:from>
        <xdr:to>
          <xdr:col>2</xdr:col>
          <xdr:colOff>838200</xdr:colOff>
          <xdr:row>258</xdr:row>
          <xdr:rowOff>19050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B7288C1-EA8C-4B4F-8131-5681D91993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263</xdr:row>
          <xdr:rowOff>152400</xdr:rowOff>
        </xdr:from>
        <xdr:to>
          <xdr:col>2</xdr:col>
          <xdr:colOff>412750</xdr:colOff>
          <xdr:row>265</xdr:row>
          <xdr:rowOff>6350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6154FDDA-4EA7-43AD-91AE-1EF032E602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263</xdr:row>
          <xdr:rowOff>152400</xdr:rowOff>
        </xdr:from>
        <xdr:to>
          <xdr:col>2</xdr:col>
          <xdr:colOff>838200</xdr:colOff>
          <xdr:row>265</xdr:row>
          <xdr:rowOff>6350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A413E0C7-AE72-4B24-90FA-0FB3ADAEA7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265</xdr:row>
          <xdr:rowOff>120650</xdr:rowOff>
        </xdr:from>
        <xdr:to>
          <xdr:col>2</xdr:col>
          <xdr:colOff>412750</xdr:colOff>
          <xdr:row>267</xdr:row>
          <xdr:rowOff>19050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FCE8DBC1-73FC-4F78-A3D2-559C915AAF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265</xdr:row>
          <xdr:rowOff>120650</xdr:rowOff>
        </xdr:from>
        <xdr:to>
          <xdr:col>2</xdr:col>
          <xdr:colOff>838200</xdr:colOff>
          <xdr:row>267</xdr:row>
          <xdr:rowOff>19050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7BD647C0-6585-4C76-8A76-F2AEADCF48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267</xdr:row>
          <xdr:rowOff>120650</xdr:rowOff>
        </xdr:from>
        <xdr:to>
          <xdr:col>2</xdr:col>
          <xdr:colOff>412750</xdr:colOff>
          <xdr:row>269</xdr:row>
          <xdr:rowOff>19050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8DC07F4F-32C6-43F1-A0AF-BEDE8B43FE8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267</xdr:row>
          <xdr:rowOff>120650</xdr:rowOff>
        </xdr:from>
        <xdr:to>
          <xdr:col>2</xdr:col>
          <xdr:colOff>838200</xdr:colOff>
          <xdr:row>269</xdr:row>
          <xdr:rowOff>19050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8397BB83-E278-446E-AF03-B05FF40BB7B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269</xdr:row>
          <xdr:rowOff>120650</xdr:rowOff>
        </xdr:from>
        <xdr:to>
          <xdr:col>2</xdr:col>
          <xdr:colOff>412750</xdr:colOff>
          <xdr:row>271</xdr:row>
          <xdr:rowOff>19050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D339C236-BECF-4F38-A931-59FF10654F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269</xdr:row>
          <xdr:rowOff>120650</xdr:rowOff>
        </xdr:from>
        <xdr:to>
          <xdr:col>2</xdr:col>
          <xdr:colOff>838200</xdr:colOff>
          <xdr:row>271</xdr:row>
          <xdr:rowOff>19050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F1D586D4-AC6B-474C-822E-8A4304D3E3D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271</xdr:row>
          <xdr:rowOff>120650</xdr:rowOff>
        </xdr:from>
        <xdr:to>
          <xdr:col>2</xdr:col>
          <xdr:colOff>412750</xdr:colOff>
          <xdr:row>273</xdr:row>
          <xdr:rowOff>19050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D43E0DC8-146D-4010-9DA2-AAEC4D4AAC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271</xdr:row>
          <xdr:rowOff>120650</xdr:rowOff>
        </xdr:from>
        <xdr:to>
          <xdr:col>2</xdr:col>
          <xdr:colOff>838200</xdr:colOff>
          <xdr:row>273</xdr:row>
          <xdr:rowOff>19050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24556BB8-AAF7-4E13-95E4-A6919B49B2E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274</xdr:row>
          <xdr:rowOff>152400</xdr:rowOff>
        </xdr:from>
        <xdr:to>
          <xdr:col>2</xdr:col>
          <xdr:colOff>412750</xdr:colOff>
          <xdr:row>276</xdr:row>
          <xdr:rowOff>6350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ABB142CD-2A7E-493F-A328-007BB26EDB2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274</xdr:row>
          <xdr:rowOff>152400</xdr:rowOff>
        </xdr:from>
        <xdr:to>
          <xdr:col>2</xdr:col>
          <xdr:colOff>838200</xdr:colOff>
          <xdr:row>276</xdr:row>
          <xdr:rowOff>6350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95C87ECE-FAD3-411D-8BDA-F0EC3A047D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276</xdr:row>
          <xdr:rowOff>120650</xdr:rowOff>
        </xdr:from>
        <xdr:to>
          <xdr:col>2</xdr:col>
          <xdr:colOff>412750</xdr:colOff>
          <xdr:row>278</xdr:row>
          <xdr:rowOff>19050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CD4EF66B-06F2-468F-8DB3-ADF2E43483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276</xdr:row>
          <xdr:rowOff>120650</xdr:rowOff>
        </xdr:from>
        <xdr:to>
          <xdr:col>2</xdr:col>
          <xdr:colOff>838200</xdr:colOff>
          <xdr:row>278</xdr:row>
          <xdr:rowOff>19050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8C340916-0E4F-440C-A875-51452B1190B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278</xdr:row>
          <xdr:rowOff>120650</xdr:rowOff>
        </xdr:from>
        <xdr:to>
          <xdr:col>2</xdr:col>
          <xdr:colOff>412750</xdr:colOff>
          <xdr:row>280</xdr:row>
          <xdr:rowOff>19050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4D396D62-34AB-4F7C-A8DE-40E15D77CA8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278</xdr:row>
          <xdr:rowOff>120650</xdr:rowOff>
        </xdr:from>
        <xdr:to>
          <xdr:col>2</xdr:col>
          <xdr:colOff>838200</xdr:colOff>
          <xdr:row>280</xdr:row>
          <xdr:rowOff>19050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6A1CB641-1212-4B6C-B3ED-EBC4F6711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280</xdr:row>
          <xdr:rowOff>120650</xdr:rowOff>
        </xdr:from>
        <xdr:to>
          <xdr:col>2</xdr:col>
          <xdr:colOff>412750</xdr:colOff>
          <xdr:row>282</xdr:row>
          <xdr:rowOff>19050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9961DEFB-A8CE-4D35-A5CD-E6F33C7F620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280</xdr:row>
          <xdr:rowOff>120650</xdr:rowOff>
        </xdr:from>
        <xdr:to>
          <xdr:col>2</xdr:col>
          <xdr:colOff>838200</xdr:colOff>
          <xdr:row>282</xdr:row>
          <xdr:rowOff>19050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F892D5C9-6019-422B-B24D-16EB1AFEFFD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282</xdr:row>
          <xdr:rowOff>120650</xdr:rowOff>
        </xdr:from>
        <xdr:to>
          <xdr:col>2</xdr:col>
          <xdr:colOff>412750</xdr:colOff>
          <xdr:row>284</xdr:row>
          <xdr:rowOff>19050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24C74348-9B34-4A9D-87E7-1B4CE971FCE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282</xdr:row>
          <xdr:rowOff>120650</xdr:rowOff>
        </xdr:from>
        <xdr:to>
          <xdr:col>2</xdr:col>
          <xdr:colOff>838200</xdr:colOff>
          <xdr:row>284</xdr:row>
          <xdr:rowOff>19050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D2E408A2-9DDE-4B80-81BB-60A28C9AAED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284</xdr:row>
          <xdr:rowOff>120650</xdr:rowOff>
        </xdr:from>
        <xdr:to>
          <xdr:col>2</xdr:col>
          <xdr:colOff>412750</xdr:colOff>
          <xdr:row>286</xdr:row>
          <xdr:rowOff>19050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1A2B9BE7-7C2A-470B-B938-157EF18922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284</xdr:row>
          <xdr:rowOff>120650</xdr:rowOff>
        </xdr:from>
        <xdr:to>
          <xdr:col>2</xdr:col>
          <xdr:colOff>838200</xdr:colOff>
          <xdr:row>286</xdr:row>
          <xdr:rowOff>19050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F4AE75F6-625A-474A-AD1A-307FE2C73E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287</xdr:row>
          <xdr:rowOff>38100</xdr:rowOff>
        </xdr:from>
        <xdr:to>
          <xdr:col>2</xdr:col>
          <xdr:colOff>412750</xdr:colOff>
          <xdr:row>288</xdr:row>
          <xdr:rowOff>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66C1DE29-9B12-492B-980D-5C4BA82E38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287</xdr:row>
          <xdr:rowOff>38100</xdr:rowOff>
        </xdr:from>
        <xdr:to>
          <xdr:col>2</xdr:col>
          <xdr:colOff>838200</xdr:colOff>
          <xdr:row>288</xdr:row>
          <xdr:rowOff>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56F7D0BB-1831-43DA-B242-0ED5A27C26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293</xdr:row>
          <xdr:rowOff>184150</xdr:rowOff>
        </xdr:from>
        <xdr:to>
          <xdr:col>2</xdr:col>
          <xdr:colOff>412750</xdr:colOff>
          <xdr:row>295</xdr:row>
          <xdr:rowOff>0</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02204C62-DFD8-4F6D-8C91-6B8129074AB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293</xdr:row>
          <xdr:rowOff>184150</xdr:rowOff>
        </xdr:from>
        <xdr:to>
          <xdr:col>2</xdr:col>
          <xdr:colOff>838200</xdr:colOff>
          <xdr:row>295</xdr:row>
          <xdr:rowOff>0</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8E938884-2CE8-4EEF-82A0-258D3F51B9D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301</xdr:row>
          <xdr:rowOff>139700</xdr:rowOff>
        </xdr:from>
        <xdr:to>
          <xdr:col>2</xdr:col>
          <xdr:colOff>412750</xdr:colOff>
          <xdr:row>303</xdr:row>
          <xdr:rowOff>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9CE410A4-6E88-46A5-8E34-1A90A2DF9B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301</xdr:row>
          <xdr:rowOff>139700</xdr:rowOff>
        </xdr:from>
        <xdr:to>
          <xdr:col>2</xdr:col>
          <xdr:colOff>838200</xdr:colOff>
          <xdr:row>303</xdr:row>
          <xdr:rowOff>0</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FCA8848D-EE78-4ACE-8CDA-A837B03D60E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295</xdr:row>
          <xdr:rowOff>120650</xdr:rowOff>
        </xdr:from>
        <xdr:to>
          <xdr:col>2</xdr:col>
          <xdr:colOff>412750</xdr:colOff>
          <xdr:row>297</xdr:row>
          <xdr:rowOff>19050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E5DD1A0A-F64C-4C6E-8F51-278DA326EF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295</xdr:row>
          <xdr:rowOff>120650</xdr:rowOff>
        </xdr:from>
        <xdr:to>
          <xdr:col>2</xdr:col>
          <xdr:colOff>838200</xdr:colOff>
          <xdr:row>297</xdr:row>
          <xdr:rowOff>19050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BDB425AF-AF5E-463A-B8CD-431EE66620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297</xdr:row>
          <xdr:rowOff>120650</xdr:rowOff>
        </xdr:from>
        <xdr:to>
          <xdr:col>2</xdr:col>
          <xdr:colOff>412750</xdr:colOff>
          <xdr:row>299</xdr:row>
          <xdr:rowOff>19050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EBC5209F-711D-4A9F-B00D-EFFBE5C4B8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297</xdr:row>
          <xdr:rowOff>120650</xdr:rowOff>
        </xdr:from>
        <xdr:to>
          <xdr:col>2</xdr:col>
          <xdr:colOff>838200</xdr:colOff>
          <xdr:row>299</xdr:row>
          <xdr:rowOff>19050</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54DE75CA-8E6A-4C4B-B534-EA2AE4D9744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299</xdr:row>
          <xdr:rowOff>120650</xdr:rowOff>
        </xdr:from>
        <xdr:to>
          <xdr:col>2</xdr:col>
          <xdr:colOff>412750</xdr:colOff>
          <xdr:row>301</xdr:row>
          <xdr:rowOff>19050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6766EE74-56B1-455C-9772-889A6511B79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299</xdr:row>
          <xdr:rowOff>120650</xdr:rowOff>
        </xdr:from>
        <xdr:to>
          <xdr:col>2</xdr:col>
          <xdr:colOff>838200</xdr:colOff>
          <xdr:row>301</xdr:row>
          <xdr:rowOff>19050</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A44287C6-3D00-4577-9CCD-99BC1075F3A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303</xdr:row>
          <xdr:rowOff>120650</xdr:rowOff>
        </xdr:from>
        <xdr:to>
          <xdr:col>2</xdr:col>
          <xdr:colOff>412750</xdr:colOff>
          <xdr:row>305</xdr:row>
          <xdr:rowOff>19050</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A3B5E161-CA68-4359-A4E1-D4118CAC7C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303</xdr:row>
          <xdr:rowOff>120650</xdr:rowOff>
        </xdr:from>
        <xdr:to>
          <xdr:col>2</xdr:col>
          <xdr:colOff>838200</xdr:colOff>
          <xdr:row>305</xdr:row>
          <xdr:rowOff>19050</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F897C151-A687-4EC3-AB19-5DA25DF05B8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305</xdr:row>
          <xdr:rowOff>120650</xdr:rowOff>
        </xdr:from>
        <xdr:to>
          <xdr:col>2</xdr:col>
          <xdr:colOff>412750</xdr:colOff>
          <xdr:row>307</xdr:row>
          <xdr:rowOff>19050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6CA65177-8FEF-4DA1-A1DE-56D030387FB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305</xdr:row>
          <xdr:rowOff>120650</xdr:rowOff>
        </xdr:from>
        <xdr:to>
          <xdr:col>2</xdr:col>
          <xdr:colOff>838200</xdr:colOff>
          <xdr:row>307</xdr:row>
          <xdr:rowOff>19050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8FFFEB17-6DB1-4F36-84E3-BBD5A7B6227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6350</xdr:colOff>
          <xdr:row>307</xdr:row>
          <xdr:rowOff>120650</xdr:rowOff>
        </xdr:from>
        <xdr:to>
          <xdr:col>2</xdr:col>
          <xdr:colOff>412750</xdr:colOff>
          <xdr:row>309</xdr:row>
          <xdr:rowOff>19050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2DCE0564-E4A2-4B5F-A868-973C48B554F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463550</xdr:colOff>
          <xdr:row>307</xdr:row>
          <xdr:rowOff>120650</xdr:rowOff>
        </xdr:from>
        <xdr:to>
          <xdr:col>2</xdr:col>
          <xdr:colOff>838200</xdr:colOff>
          <xdr:row>309</xdr:row>
          <xdr:rowOff>19050</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807F1D4D-AE31-4AE2-8E96-0055A2879F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xdr:twoCellAnchor>
    <xdr:from>
      <xdr:col>7</xdr:col>
      <xdr:colOff>38100</xdr:colOff>
      <xdr:row>5</xdr:row>
      <xdr:rowOff>139700</xdr:rowOff>
    </xdr:from>
    <xdr:to>
      <xdr:col>8</xdr:col>
      <xdr:colOff>241300</xdr:colOff>
      <xdr:row>8</xdr:row>
      <xdr:rowOff>120650</xdr:rowOff>
    </xdr:to>
    <xdr:pic>
      <xdr:nvPicPr>
        <xdr:cNvPr id="1350" name="Picture 326" descr="hippoc">
          <a:extLst>
            <a:ext uri="{FF2B5EF4-FFF2-40B4-BE49-F238E27FC236}">
              <a16:creationId xmlns:a16="http://schemas.microsoft.com/office/drawing/2014/main" id="{180A0F74-8770-4477-BFBC-C0B1E916F7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77100" y="1593850"/>
          <a:ext cx="838200" cy="75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241300</xdr:colOff>
          <xdr:row>1</xdr:row>
          <xdr:rowOff>76200</xdr:rowOff>
        </xdr:from>
        <xdr:to>
          <xdr:col>1</xdr:col>
          <xdr:colOff>2362200</xdr:colOff>
          <xdr:row>2</xdr:row>
          <xdr:rowOff>660400</xdr:rowOff>
        </xdr:to>
        <xdr:sp macro="" textlink="">
          <xdr:nvSpPr>
            <xdr:cNvPr id="1363" name="Object 339" hidden="1">
              <a:extLst>
                <a:ext uri="{63B3BB69-23CF-44E3-9099-C40C66FF867C}">
                  <a14:compatExt spid="_x0000_s1363"/>
                </a:ext>
                <a:ext uri="{FF2B5EF4-FFF2-40B4-BE49-F238E27FC236}">
                  <a16:creationId xmlns:a16="http://schemas.microsoft.com/office/drawing/2014/main" id="{BE5D8F71-2CE8-4C69-9847-B08C4FACAAE2}"/>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7</xdr:col>
      <xdr:colOff>63500</xdr:colOff>
      <xdr:row>63</xdr:row>
      <xdr:rowOff>127000</xdr:rowOff>
    </xdr:from>
    <xdr:to>
      <xdr:col>8</xdr:col>
      <xdr:colOff>254000</xdr:colOff>
      <xdr:row>68</xdr:row>
      <xdr:rowOff>0</xdr:rowOff>
    </xdr:to>
    <xdr:pic>
      <xdr:nvPicPr>
        <xdr:cNvPr id="1365" name="Picture 341" descr="hippoc">
          <a:extLst>
            <a:ext uri="{FF2B5EF4-FFF2-40B4-BE49-F238E27FC236}">
              <a16:creationId xmlns:a16="http://schemas.microsoft.com/office/drawing/2014/main" id="{577B39D0-D34C-4372-AB1F-34274D2EF7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2500" y="11626850"/>
          <a:ext cx="825500"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25400</xdr:colOff>
      <xdr:row>79</xdr:row>
      <xdr:rowOff>120650</xdr:rowOff>
    </xdr:from>
    <xdr:to>
      <xdr:col>8</xdr:col>
      <xdr:colOff>215900</xdr:colOff>
      <xdr:row>83</xdr:row>
      <xdr:rowOff>95250</xdr:rowOff>
    </xdr:to>
    <xdr:pic>
      <xdr:nvPicPr>
        <xdr:cNvPr id="1366" name="Picture 342" descr="hippoc">
          <a:extLst>
            <a:ext uri="{FF2B5EF4-FFF2-40B4-BE49-F238E27FC236}">
              <a16:creationId xmlns:a16="http://schemas.microsoft.com/office/drawing/2014/main" id="{4928C4F5-8850-4BFB-B193-9516115FBD0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64400" y="14592300"/>
          <a:ext cx="825500" cy="74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25400</xdr:colOff>
      <xdr:row>127</xdr:row>
      <xdr:rowOff>0</xdr:rowOff>
    </xdr:from>
    <xdr:to>
      <xdr:col>8</xdr:col>
      <xdr:colOff>215900</xdr:colOff>
      <xdr:row>129</xdr:row>
      <xdr:rowOff>127000</xdr:rowOff>
    </xdr:to>
    <xdr:pic>
      <xdr:nvPicPr>
        <xdr:cNvPr id="1367" name="Picture 343" descr="hippoc">
          <a:extLst>
            <a:ext uri="{FF2B5EF4-FFF2-40B4-BE49-F238E27FC236}">
              <a16:creationId xmlns:a16="http://schemas.microsoft.com/office/drawing/2014/main" id="{5C5E5EC5-53E7-4AC1-82CE-A59A586472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4400" y="23107650"/>
          <a:ext cx="825500"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6350</xdr:colOff>
      <xdr:row>157</xdr:row>
      <xdr:rowOff>139700</xdr:rowOff>
    </xdr:from>
    <xdr:to>
      <xdr:col>8</xdr:col>
      <xdr:colOff>209550</xdr:colOff>
      <xdr:row>162</xdr:row>
      <xdr:rowOff>12700</xdr:rowOff>
    </xdr:to>
    <xdr:pic>
      <xdr:nvPicPr>
        <xdr:cNvPr id="1368" name="Picture 344" descr="hippoc">
          <a:extLst>
            <a:ext uri="{FF2B5EF4-FFF2-40B4-BE49-F238E27FC236}">
              <a16:creationId xmlns:a16="http://schemas.microsoft.com/office/drawing/2014/main" id="{851B71AF-9FC0-4D67-A748-DF22D7A7830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245350" y="29527500"/>
          <a:ext cx="838200" cy="73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6350</xdr:colOff>
      <xdr:row>192</xdr:row>
      <xdr:rowOff>127000</xdr:rowOff>
    </xdr:from>
    <xdr:to>
      <xdr:col>8</xdr:col>
      <xdr:colOff>209550</xdr:colOff>
      <xdr:row>197</xdr:row>
      <xdr:rowOff>6350</xdr:rowOff>
    </xdr:to>
    <xdr:pic>
      <xdr:nvPicPr>
        <xdr:cNvPr id="1370" name="Picture 346" descr="hippoc">
          <a:extLst>
            <a:ext uri="{FF2B5EF4-FFF2-40B4-BE49-F238E27FC236}">
              <a16:creationId xmlns:a16="http://schemas.microsoft.com/office/drawing/2014/main" id="{C0920F9D-51E4-4E11-8084-6C64993AE55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245350" y="36226750"/>
          <a:ext cx="838200"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6350</xdr:colOff>
      <xdr:row>209</xdr:row>
      <xdr:rowOff>120650</xdr:rowOff>
    </xdr:from>
    <xdr:to>
      <xdr:col>8</xdr:col>
      <xdr:colOff>209550</xdr:colOff>
      <xdr:row>214</xdr:row>
      <xdr:rowOff>0</xdr:rowOff>
    </xdr:to>
    <xdr:pic>
      <xdr:nvPicPr>
        <xdr:cNvPr id="1371" name="Picture 347" descr="hippoc">
          <a:extLst>
            <a:ext uri="{FF2B5EF4-FFF2-40B4-BE49-F238E27FC236}">
              <a16:creationId xmlns:a16="http://schemas.microsoft.com/office/drawing/2014/main" id="{971EE311-1F38-42BB-88BE-CB957C9FA62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245350" y="39382700"/>
          <a:ext cx="838200"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6350</xdr:colOff>
      <xdr:row>222</xdr:row>
      <xdr:rowOff>114300</xdr:rowOff>
    </xdr:from>
    <xdr:to>
      <xdr:col>8</xdr:col>
      <xdr:colOff>209550</xdr:colOff>
      <xdr:row>226</xdr:row>
      <xdr:rowOff>152400</xdr:rowOff>
    </xdr:to>
    <xdr:pic>
      <xdr:nvPicPr>
        <xdr:cNvPr id="1372" name="Picture 348" descr="hippoc">
          <a:extLst>
            <a:ext uri="{FF2B5EF4-FFF2-40B4-BE49-F238E27FC236}">
              <a16:creationId xmlns:a16="http://schemas.microsoft.com/office/drawing/2014/main" id="{1F92C3C0-66AB-42DD-B0E1-FEA808CB0B4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245350" y="41548050"/>
          <a:ext cx="838200"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25400</xdr:colOff>
      <xdr:row>258</xdr:row>
      <xdr:rowOff>120650</xdr:rowOff>
    </xdr:from>
    <xdr:to>
      <xdr:col>8</xdr:col>
      <xdr:colOff>215900</xdr:colOff>
      <xdr:row>263</xdr:row>
      <xdr:rowOff>0</xdr:rowOff>
    </xdr:to>
    <xdr:pic>
      <xdr:nvPicPr>
        <xdr:cNvPr id="1373" name="Picture 349" descr="hippoc">
          <a:extLst>
            <a:ext uri="{FF2B5EF4-FFF2-40B4-BE49-F238E27FC236}">
              <a16:creationId xmlns:a16="http://schemas.microsoft.com/office/drawing/2014/main" id="{A3B8EABF-C9E0-4456-9617-68B3C066ED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4400" y="48367950"/>
          <a:ext cx="825500"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6350</xdr:colOff>
      <xdr:row>288</xdr:row>
      <xdr:rowOff>127000</xdr:rowOff>
    </xdr:from>
    <xdr:to>
      <xdr:col>8</xdr:col>
      <xdr:colOff>209550</xdr:colOff>
      <xdr:row>293</xdr:row>
      <xdr:rowOff>6350</xdr:rowOff>
    </xdr:to>
    <xdr:pic>
      <xdr:nvPicPr>
        <xdr:cNvPr id="1374" name="Picture 350" descr="hippoc">
          <a:extLst>
            <a:ext uri="{FF2B5EF4-FFF2-40B4-BE49-F238E27FC236}">
              <a16:creationId xmlns:a16="http://schemas.microsoft.com/office/drawing/2014/main" id="{091A96D5-883C-4BA8-A8CF-E6B896BF39E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245350" y="53441600"/>
          <a:ext cx="838200"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247650</xdr:colOff>
      <xdr:row>4</xdr:row>
      <xdr:rowOff>101600</xdr:rowOff>
    </xdr:from>
    <xdr:to>
      <xdr:col>8</xdr:col>
      <xdr:colOff>603250</xdr:colOff>
      <xdr:row>26</xdr:row>
      <xdr:rowOff>101600</xdr:rowOff>
    </xdr:to>
    <xdr:graphicFrame macro="">
      <xdr:nvGraphicFramePr>
        <xdr:cNvPr id="2051" name="Chart 3">
          <a:extLst>
            <a:ext uri="{FF2B5EF4-FFF2-40B4-BE49-F238E27FC236}">
              <a16:creationId xmlns:a16="http://schemas.microsoft.com/office/drawing/2014/main" id="{E3F1DD9D-11D1-42C7-9F2B-1C11A5232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12.xml"/><Relationship Id="rId21" Type="http://schemas.openxmlformats.org/officeDocument/2006/relationships/ctrlProp" Target="../ctrlProps/ctrlProp16.xml"/><Relationship Id="rId42" Type="http://schemas.openxmlformats.org/officeDocument/2006/relationships/ctrlProp" Target="../ctrlProps/ctrlProp37.xml"/><Relationship Id="rId63" Type="http://schemas.openxmlformats.org/officeDocument/2006/relationships/ctrlProp" Target="../ctrlProps/ctrlProp58.xml"/><Relationship Id="rId84" Type="http://schemas.openxmlformats.org/officeDocument/2006/relationships/ctrlProp" Target="../ctrlProps/ctrlProp79.xml"/><Relationship Id="rId138" Type="http://schemas.openxmlformats.org/officeDocument/2006/relationships/ctrlProp" Target="../ctrlProps/ctrlProp133.xml"/><Relationship Id="rId159" Type="http://schemas.openxmlformats.org/officeDocument/2006/relationships/ctrlProp" Target="../ctrlProps/ctrlProp154.xml"/><Relationship Id="rId170" Type="http://schemas.openxmlformats.org/officeDocument/2006/relationships/ctrlProp" Target="../ctrlProps/ctrlProp165.xml"/><Relationship Id="rId191" Type="http://schemas.openxmlformats.org/officeDocument/2006/relationships/ctrlProp" Target="../ctrlProps/ctrlProp186.xml"/><Relationship Id="rId205" Type="http://schemas.openxmlformats.org/officeDocument/2006/relationships/ctrlProp" Target="../ctrlProps/ctrlProp200.xml"/><Relationship Id="rId226" Type="http://schemas.openxmlformats.org/officeDocument/2006/relationships/ctrlProp" Target="../ctrlProps/ctrlProp221.xml"/><Relationship Id="rId247" Type="http://schemas.openxmlformats.org/officeDocument/2006/relationships/ctrlProp" Target="../ctrlProps/ctrlProp242.xml"/><Relationship Id="rId107" Type="http://schemas.openxmlformats.org/officeDocument/2006/relationships/ctrlProp" Target="../ctrlProps/ctrlProp102.xml"/><Relationship Id="rId11" Type="http://schemas.openxmlformats.org/officeDocument/2006/relationships/ctrlProp" Target="../ctrlProps/ctrlProp6.xml"/><Relationship Id="rId32" Type="http://schemas.openxmlformats.org/officeDocument/2006/relationships/ctrlProp" Target="../ctrlProps/ctrlProp27.xml"/><Relationship Id="rId53" Type="http://schemas.openxmlformats.org/officeDocument/2006/relationships/ctrlProp" Target="../ctrlProps/ctrlProp48.xml"/><Relationship Id="rId74" Type="http://schemas.openxmlformats.org/officeDocument/2006/relationships/ctrlProp" Target="../ctrlProps/ctrlProp69.xml"/><Relationship Id="rId128" Type="http://schemas.openxmlformats.org/officeDocument/2006/relationships/ctrlProp" Target="../ctrlProps/ctrlProp123.xml"/><Relationship Id="rId149" Type="http://schemas.openxmlformats.org/officeDocument/2006/relationships/ctrlProp" Target="../ctrlProps/ctrlProp144.xml"/><Relationship Id="rId5" Type="http://schemas.openxmlformats.org/officeDocument/2006/relationships/image" Target="../media/image1.emf"/><Relationship Id="rId95" Type="http://schemas.openxmlformats.org/officeDocument/2006/relationships/ctrlProp" Target="../ctrlProps/ctrlProp90.xml"/><Relationship Id="rId160" Type="http://schemas.openxmlformats.org/officeDocument/2006/relationships/ctrlProp" Target="../ctrlProps/ctrlProp155.xml"/><Relationship Id="rId181" Type="http://schemas.openxmlformats.org/officeDocument/2006/relationships/ctrlProp" Target="../ctrlProps/ctrlProp176.xml"/><Relationship Id="rId216" Type="http://schemas.openxmlformats.org/officeDocument/2006/relationships/ctrlProp" Target="../ctrlProps/ctrlProp211.xml"/><Relationship Id="rId237" Type="http://schemas.openxmlformats.org/officeDocument/2006/relationships/ctrlProp" Target="../ctrlProps/ctrlProp232.xml"/><Relationship Id="rId22" Type="http://schemas.openxmlformats.org/officeDocument/2006/relationships/ctrlProp" Target="../ctrlProps/ctrlProp17.xml"/><Relationship Id="rId43" Type="http://schemas.openxmlformats.org/officeDocument/2006/relationships/ctrlProp" Target="../ctrlProps/ctrlProp38.xml"/><Relationship Id="rId64" Type="http://schemas.openxmlformats.org/officeDocument/2006/relationships/ctrlProp" Target="../ctrlProps/ctrlProp59.xml"/><Relationship Id="rId118" Type="http://schemas.openxmlformats.org/officeDocument/2006/relationships/ctrlProp" Target="../ctrlProps/ctrlProp113.xml"/><Relationship Id="rId139" Type="http://schemas.openxmlformats.org/officeDocument/2006/relationships/ctrlProp" Target="../ctrlProps/ctrlProp134.xml"/><Relationship Id="rId85" Type="http://schemas.openxmlformats.org/officeDocument/2006/relationships/ctrlProp" Target="../ctrlProps/ctrlProp80.xml"/><Relationship Id="rId150" Type="http://schemas.openxmlformats.org/officeDocument/2006/relationships/ctrlProp" Target="../ctrlProps/ctrlProp145.xml"/><Relationship Id="rId171" Type="http://schemas.openxmlformats.org/officeDocument/2006/relationships/ctrlProp" Target="../ctrlProps/ctrlProp166.xml"/><Relationship Id="rId192" Type="http://schemas.openxmlformats.org/officeDocument/2006/relationships/ctrlProp" Target="../ctrlProps/ctrlProp187.xml"/><Relationship Id="rId206" Type="http://schemas.openxmlformats.org/officeDocument/2006/relationships/ctrlProp" Target="../ctrlProps/ctrlProp201.xml"/><Relationship Id="rId227" Type="http://schemas.openxmlformats.org/officeDocument/2006/relationships/ctrlProp" Target="../ctrlProps/ctrlProp222.xml"/><Relationship Id="rId248" Type="http://schemas.openxmlformats.org/officeDocument/2006/relationships/ctrlProp" Target="../ctrlProps/ctrlProp243.xml"/><Relationship Id="rId12" Type="http://schemas.openxmlformats.org/officeDocument/2006/relationships/ctrlProp" Target="../ctrlProps/ctrlProp7.xml"/><Relationship Id="rId33" Type="http://schemas.openxmlformats.org/officeDocument/2006/relationships/ctrlProp" Target="../ctrlProps/ctrlProp28.xml"/><Relationship Id="rId108" Type="http://schemas.openxmlformats.org/officeDocument/2006/relationships/ctrlProp" Target="../ctrlProps/ctrlProp103.xml"/><Relationship Id="rId129" Type="http://schemas.openxmlformats.org/officeDocument/2006/relationships/ctrlProp" Target="../ctrlProps/ctrlProp124.xml"/><Relationship Id="rId54" Type="http://schemas.openxmlformats.org/officeDocument/2006/relationships/ctrlProp" Target="../ctrlProps/ctrlProp49.xml"/><Relationship Id="rId75" Type="http://schemas.openxmlformats.org/officeDocument/2006/relationships/ctrlProp" Target="../ctrlProps/ctrlProp70.xml"/><Relationship Id="rId96" Type="http://schemas.openxmlformats.org/officeDocument/2006/relationships/ctrlProp" Target="../ctrlProps/ctrlProp91.xml"/><Relationship Id="rId140" Type="http://schemas.openxmlformats.org/officeDocument/2006/relationships/ctrlProp" Target="../ctrlProps/ctrlProp135.xml"/><Relationship Id="rId161" Type="http://schemas.openxmlformats.org/officeDocument/2006/relationships/ctrlProp" Target="../ctrlProps/ctrlProp156.xml"/><Relationship Id="rId182" Type="http://schemas.openxmlformats.org/officeDocument/2006/relationships/ctrlProp" Target="../ctrlProps/ctrlProp177.xml"/><Relationship Id="rId217" Type="http://schemas.openxmlformats.org/officeDocument/2006/relationships/ctrlProp" Target="../ctrlProps/ctrlProp212.xml"/><Relationship Id="rId6" Type="http://schemas.openxmlformats.org/officeDocument/2006/relationships/ctrlProp" Target="../ctrlProps/ctrlProp1.xml"/><Relationship Id="rId238" Type="http://schemas.openxmlformats.org/officeDocument/2006/relationships/ctrlProp" Target="../ctrlProps/ctrlProp233.xml"/><Relationship Id="rId23" Type="http://schemas.openxmlformats.org/officeDocument/2006/relationships/ctrlProp" Target="../ctrlProps/ctrlProp18.xml"/><Relationship Id="rId119" Type="http://schemas.openxmlformats.org/officeDocument/2006/relationships/ctrlProp" Target="../ctrlProps/ctrlProp114.xml"/><Relationship Id="rId44" Type="http://schemas.openxmlformats.org/officeDocument/2006/relationships/ctrlProp" Target="../ctrlProps/ctrlProp39.xml"/><Relationship Id="rId65" Type="http://schemas.openxmlformats.org/officeDocument/2006/relationships/ctrlProp" Target="../ctrlProps/ctrlProp60.xml"/><Relationship Id="rId86" Type="http://schemas.openxmlformats.org/officeDocument/2006/relationships/ctrlProp" Target="../ctrlProps/ctrlProp81.xml"/><Relationship Id="rId130" Type="http://schemas.openxmlformats.org/officeDocument/2006/relationships/ctrlProp" Target="../ctrlProps/ctrlProp125.xml"/><Relationship Id="rId151" Type="http://schemas.openxmlformats.org/officeDocument/2006/relationships/ctrlProp" Target="../ctrlProps/ctrlProp146.xml"/><Relationship Id="rId172" Type="http://schemas.openxmlformats.org/officeDocument/2006/relationships/ctrlProp" Target="../ctrlProps/ctrlProp167.xml"/><Relationship Id="rId193" Type="http://schemas.openxmlformats.org/officeDocument/2006/relationships/ctrlProp" Target="../ctrlProps/ctrlProp188.xml"/><Relationship Id="rId207" Type="http://schemas.openxmlformats.org/officeDocument/2006/relationships/ctrlProp" Target="../ctrlProps/ctrlProp202.xml"/><Relationship Id="rId228" Type="http://schemas.openxmlformats.org/officeDocument/2006/relationships/ctrlProp" Target="../ctrlProps/ctrlProp223.xml"/><Relationship Id="rId249" Type="http://schemas.openxmlformats.org/officeDocument/2006/relationships/ctrlProp" Target="../ctrlProps/ctrlProp244.xml"/><Relationship Id="rId13" Type="http://schemas.openxmlformats.org/officeDocument/2006/relationships/ctrlProp" Target="../ctrlProps/ctrlProp8.xml"/><Relationship Id="rId109" Type="http://schemas.openxmlformats.org/officeDocument/2006/relationships/ctrlProp" Target="../ctrlProps/ctrlProp104.xml"/><Relationship Id="rId34" Type="http://schemas.openxmlformats.org/officeDocument/2006/relationships/ctrlProp" Target="../ctrlProps/ctrlProp29.xml"/><Relationship Id="rId55" Type="http://schemas.openxmlformats.org/officeDocument/2006/relationships/ctrlProp" Target="../ctrlProps/ctrlProp50.xml"/><Relationship Id="rId76" Type="http://schemas.openxmlformats.org/officeDocument/2006/relationships/ctrlProp" Target="../ctrlProps/ctrlProp71.xml"/><Relationship Id="rId97" Type="http://schemas.openxmlformats.org/officeDocument/2006/relationships/ctrlProp" Target="../ctrlProps/ctrlProp92.xml"/><Relationship Id="rId120" Type="http://schemas.openxmlformats.org/officeDocument/2006/relationships/ctrlProp" Target="../ctrlProps/ctrlProp115.xml"/><Relationship Id="rId141" Type="http://schemas.openxmlformats.org/officeDocument/2006/relationships/ctrlProp" Target="../ctrlProps/ctrlProp136.xml"/><Relationship Id="rId7" Type="http://schemas.openxmlformats.org/officeDocument/2006/relationships/ctrlProp" Target="../ctrlProps/ctrlProp2.xml"/><Relationship Id="rId162" Type="http://schemas.openxmlformats.org/officeDocument/2006/relationships/ctrlProp" Target="../ctrlProps/ctrlProp157.xml"/><Relationship Id="rId183" Type="http://schemas.openxmlformats.org/officeDocument/2006/relationships/ctrlProp" Target="../ctrlProps/ctrlProp178.xml"/><Relationship Id="rId218" Type="http://schemas.openxmlformats.org/officeDocument/2006/relationships/ctrlProp" Target="../ctrlProps/ctrlProp213.xml"/><Relationship Id="rId239" Type="http://schemas.openxmlformats.org/officeDocument/2006/relationships/ctrlProp" Target="../ctrlProps/ctrlProp234.xml"/><Relationship Id="rId24" Type="http://schemas.openxmlformats.org/officeDocument/2006/relationships/ctrlProp" Target="../ctrlProps/ctrlProp19.xml"/><Relationship Id="rId45" Type="http://schemas.openxmlformats.org/officeDocument/2006/relationships/ctrlProp" Target="../ctrlProps/ctrlProp40.xml"/><Relationship Id="rId66" Type="http://schemas.openxmlformats.org/officeDocument/2006/relationships/ctrlProp" Target="../ctrlProps/ctrlProp61.xml"/><Relationship Id="rId87" Type="http://schemas.openxmlformats.org/officeDocument/2006/relationships/ctrlProp" Target="../ctrlProps/ctrlProp82.xml"/><Relationship Id="rId110" Type="http://schemas.openxmlformats.org/officeDocument/2006/relationships/ctrlProp" Target="../ctrlProps/ctrlProp105.xml"/><Relationship Id="rId131" Type="http://schemas.openxmlformats.org/officeDocument/2006/relationships/ctrlProp" Target="../ctrlProps/ctrlProp126.xml"/><Relationship Id="rId152" Type="http://schemas.openxmlformats.org/officeDocument/2006/relationships/ctrlProp" Target="../ctrlProps/ctrlProp147.xml"/><Relationship Id="rId173" Type="http://schemas.openxmlformats.org/officeDocument/2006/relationships/ctrlProp" Target="../ctrlProps/ctrlProp168.xml"/><Relationship Id="rId194" Type="http://schemas.openxmlformats.org/officeDocument/2006/relationships/ctrlProp" Target="../ctrlProps/ctrlProp189.xml"/><Relationship Id="rId208" Type="http://schemas.openxmlformats.org/officeDocument/2006/relationships/ctrlProp" Target="../ctrlProps/ctrlProp203.xml"/><Relationship Id="rId229" Type="http://schemas.openxmlformats.org/officeDocument/2006/relationships/ctrlProp" Target="../ctrlProps/ctrlProp224.xml"/><Relationship Id="rId240" Type="http://schemas.openxmlformats.org/officeDocument/2006/relationships/ctrlProp" Target="../ctrlProps/ctrlProp235.xml"/><Relationship Id="rId14" Type="http://schemas.openxmlformats.org/officeDocument/2006/relationships/ctrlProp" Target="../ctrlProps/ctrlProp9.xml"/><Relationship Id="rId35" Type="http://schemas.openxmlformats.org/officeDocument/2006/relationships/ctrlProp" Target="../ctrlProps/ctrlProp30.xml"/><Relationship Id="rId56" Type="http://schemas.openxmlformats.org/officeDocument/2006/relationships/ctrlProp" Target="../ctrlProps/ctrlProp51.xml"/><Relationship Id="rId77" Type="http://schemas.openxmlformats.org/officeDocument/2006/relationships/ctrlProp" Target="../ctrlProps/ctrlProp72.xml"/><Relationship Id="rId100" Type="http://schemas.openxmlformats.org/officeDocument/2006/relationships/ctrlProp" Target="../ctrlProps/ctrlProp95.xml"/><Relationship Id="rId8" Type="http://schemas.openxmlformats.org/officeDocument/2006/relationships/ctrlProp" Target="../ctrlProps/ctrlProp3.xml"/><Relationship Id="rId98" Type="http://schemas.openxmlformats.org/officeDocument/2006/relationships/ctrlProp" Target="../ctrlProps/ctrlProp93.xml"/><Relationship Id="rId121" Type="http://schemas.openxmlformats.org/officeDocument/2006/relationships/ctrlProp" Target="../ctrlProps/ctrlProp116.xml"/><Relationship Id="rId142" Type="http://schemas.openxmlformats.org/officeDocument/2006/relationships/ctrlProp" Target="../ctrlProps/ctrlProp137.xml"/><Relationship Id="rId163" Type="http://schemas.openxmlformats.org/officeDocument/2006/relationships/ctrlProp" Target="../ctrlProps/ctrlProp158.xml"/><Relationship Id="rId184" Type="http://schemas.openxmlformats.org/officeDocument/2006/relationships/ctrlProp" Target="../ctrlProps/ctrlProp179.xml"/><Relationship Id="rId219" Type="http://schemas.openxmlformats.org/officeDocument/2006/relationships/ctrlProp" Target="../ctrlProps/ctrlProp214.xml"/><Relationship Id="rId230" Type="http://schemas.openxmlformats.org/officeDocument/2006/relationships/ctrlProp" Target="../ctrlProps/ctrlProp225.xml"/><Relationship Id="rId25" Type="http://schemas.openxmlformats.org/officeDocument/2006/relationships/ctrlProp" Target="../ctrlProps/ctrlProp20.xml"/><Relationship Id="rId46" Type="http://schemas.openxmlformats.org/officeDocument/2006/relationships/ctrlProp" Target="../ctrlProps/ctrlProp41.xml"/><Relationship Id="rId67" Type="http://schemas.openxmlformats.org/officeDocument/2006/relationships/ctrlProp" Target="../ctrlProps/ctrlProp62.xml"/><Relationship Id="rId88" Type="http://schemas.openxmlformats.org/officeDocument/2006/relationships/ctrlProp" Target="../ctrlProps/ctrlProp83.xml"/><Relationship Id="rId111" Type="http://schemas.openxmlformats.org/officeDocument/2006/relationships/ctrlProp" Target="../ctrlProps/ctrlProp106.xml"/><Relationship Id="rId132" Type="http://schemas.openxmlformats.org/officeDocument/2006/relationships/ctrlProp" Target="../ctrlProps/ctrlProp127.xml"/><Relationship Id="rId153" Type="http://schemas.openxmlformats.org/officeDocument/2006/relationships/ctrlProp" Target="../ctrlProps/ctrlProp148.xml"/><Relationship Id="rId174" Type="http://schemas.openxmlformats.org/officeDocument/2006/relationships/ctrlProp" Target="../ctrlProps/ctrlProp169.xml"/><Relationship Id="rId195" Type="http://schemas.openxmlformats.org/officeDocument/2006/relationships/ctrlProp" Target="../ctrlProps/ctrlProp190.xml"/><Relationship Id="rId209" Type="http://schemas.openxmlformats.org/officeDocument/2006/relationships/ctrlProp" Target="../ctrlProps/ctrlProp204.xml"/><Relationship Id="rId220" Type="http://schemas.openxmlformats.org/officeDocument/2006/relationships/ctrlProp" Target="../ctrlProps/ctrlProp215.xml"/><Relationship Id="rId241" Type="http://schemas.openxmlformats.org/officeDocument/2006/relationships/ctrlProp" Target="../ctrlProps/ctrlProp236.xml"/><Relationship Id="rId15" Type="http://schemas.openxmlformats.org/officeDocument/2006/relationships/ctrlProp" Target="../ctrlProps/ctrlProp10.xml"/><Relationship Id="rId36" Type="http://schemas.openxmlformats.org/officeDocument/2006/relationships/ctrlProp" Target="../ctrlProps/ctrlProp31.xml"/><Relationship Id="rId57" Type="http://schemas.openxmlformats.org/officeDocument/2006/relationships/ctrlProp" Target="../ctrlProps/ctrlProp52.xml"/><Relationship Id="rId78" Type="http://schemas.openxmlformats.org/officeDocument/2006/relationships/ctrlProp" Target="../ctrlProps/ctrlProp73.xml"/><Relationship Id="rId99" Type="http://schemas.openxmlformats.org/officeDocument/2006/relationships/ctrlProp" Target="../ctrlProps/ctrlProp94.xml"/><Relationship Id="rId101" Type="http://schemas.openxmlformats.org/officeDocument/2006/relationships/ctrlProp" Target="../ctrlProps/ctrlProp96.xml"/><Relationship Id="rId122" Type="http://schemas.openxmlformats.org/officeDocument/2006/relationships/ctrlProp" Target="../ctrlProps/ctrlProp117.xml"/><Relationship Id="rId143" Type="http://schemas.openxmlformats.org/officeDocument/2006/relationships/ctrlProp" Target="../ctrlProps/ctrlProp138.xml"/><Relationship Id="rId164" Type="http://schemas.openxmlformats.org/officeDocument/2006/relationships/ctrlProp" Target="../ctrlProps/ctrlProp159.xml"/><Relationship Id="rId185" Type="http://schemas.openxmlformats.org/officeDocument/2006/relationships/ctrlProp" Target="../ctrlProps/ctrlProp180.xml"/><Relationship Id="rId4" Type="http://schemas.openxmlformats.org/officeDocument/2006/relationships/oleObject" Target="../embeddings/oleObject2.bin"/><Relationship Id="rId9" Type="http://schemas.openxmlformats.org/officeDocument/2006/relationships/ctrlProp" Target="../ctrlProps/ctrlProp4.xml"/><Relationship Id="rId180" Type="http://schemas.openxmlformats.org/officeDocument/2006/relationships/ctrlProp" Target="../ctrlProps/ctrlProp175.xml"/><Relationship Id="rId210" Type="http://schemas.openxmlformats.org/officeDocument/2006/relationships/ctrlProp" Target="../ctrlProps/ctrlProp205.xml"/><Relationship Id="rId215" Type="http://schemas.openxmlformats.org/officeDocument/2006/relationships/ctrlProp" Target="../ctrlProps/ctrlProp210.xml"/><Relationship Id="rId236" Type="http://schemas.openxmlformats.org/officeDocument/2006/relationships/ctrlProp" Target="../ctrlProps/ctrlProp231.xml"/><Relationship Id="rId26" Type="http://schemas.openxmlformats.org/officeDocument/2006/relationships/ctrlProp" Target="../ctrlProps/ctrlProp21.xml"/><Relationship Id="rId231" Type="http://schemas.openxmlformats.org/officeDocument/2006/relationships/ctrlProp" Target="../ctrlProps/ctrlProp226.xml"/><Relationship Id="rId47" Type="http://schemas.openxmlformats.org/officeDocument/2006/relationships/ctrlProp" Target="../ctrlProps/ctrlProp42.xml"/><Relationship Id="rId68" Type="http://schemas.openxmlformats.org/officeDocument/2006/relationships/ctrlProp" Target="../ctrlProps/ctrlProp63.xml"/><Relationship Id="rId89" Type="http://schemas.openxmlformats.org/officeDocument/2006/relationships/ctrlProp" Target="../ctrlProps/ctrlProp84.xml"/><Relationship Id="rId112" Type="http://schemas.openxmlformats.org/officeDocument/2006/relationships/ctrlProp" Target="../ctrlProps/ctrlProp107.xml"/><Relationship Id="rId133" Type="http://schemas.openxmlformats.org/officeDocument/2006/relationships/ctrlProp" Target="../ctrlProps/ctrlProp128.xml"/><Relationship Id="rId154" Type="http://schemas.openxmlformats.org/officeDocument/2006/relationships/ctrlProp" Target="../ctrlProps/ctrlProp149.xml"/><Relationship Id="rId175" Type="http://schemas.openxmlformats.org/officeDocument/2006/relationships/ctrlProp" Target="../ctrlProps/ctrlProp170.xml"/><Relationship Id="rId196" Type="http://schemas.openxmlformats.org/officeDocument/2006/relationships/ctrlProp" Target="../ctrlProps/ctrlProp191.xml"/><Relationship Id="rId200" Type="http://schemas.openxmlformats.org/officeDocument/2006/relationships/ctrlProp" Target="../ctrlProps/ctrlProp195.xml"/><Relationship Id="rId16" Type="http://schemas.openxmlformats.org/officeDocument/2006/relationships/ctrlProp" Target="../ctrlProps/ctrlProp11.xml"/><Relationship Id="rId221" Type="http://schemas.openxmlformats.org/officeDocument/2006/relationships/ctrlProp" Target="../ctrlProps/ctrlProp216.xml"/><Relationship Id="rId242" Type="http://schemas.openxmlformats.org/officeDocument/2006/relationships/ctrlProp" Target="../ctrlProps/ctrlProp237.xml"/><Relationship Id="rId37" Type="http://schemas.openxmlformats.org/officeDocument/2006/relationships/ctrlProp" Target="../ctrlProps/ctrlProp32.xml"/><Relationship Id="rId58" Type="http://schemas.openxmlformats.org/officeDocument/2006/relationships/ctrlProp" Target="../ctrlProps/ctrlProp53.xml"/><Relationship Id="rId79" Type="http://schemas.openxmlformats.org/officeDocument/2006/relationships/ctrlProp" Target="../ctrlProps/ctrlProp74.xml"/><Relationship Id="rId102" Type="http://schemas.openxmlformats.org/officeDocument/2006/relationships/ctrlProp" Target="../ctrlProps/ctrlProp97.xml"/><Relationship Id="rId123" Type="http://schemas.openxmlformats.org/officeDocument/2006/relationships/ctrlProp" Target="../ctrlProps/ctrlProp118.xml"/><Relationship Id="rId144" Type="http://schemas.openxmlformats.org/officeDocument/2006/relationships/ctrlProp" Target="../ctrlProps/ctrlProp139.xml"/><Relationship Id="rId90" Type="http://schemas.openxmlformats.org/officeDocument/2006/relationships/ctrlProp" Target="../ctrlProps/ctrlProp85.xml"/><Relationship Id="rId165" Type="http://schemas.openxmlformats.org/officeDocument/2006/relationships/ctrlProp" Target="../ctrlProps/ctrlProp160.xml"/><Relationship Id="rId186" Type="http://schemas.openxmlformats.org/officeDocument/2006/relationships/ctrlProp" Target="../ctrlProps/ctrlProp181.xml"/><Relationship Id="rId211" Type="http://schemas.openxmlformats.org/officeDocument/2006/relationships/ctrlProp" Target="../ctrlProps/ctrlProp206.xml"/><Relationship Id="rId232" Type="http://schemas.openxmlformats.org/officeDocument/2006/relationships/ctrlProp" Target="../ctrlProps/ctrlProp227.xml"/><Relationship Id="rId27" Type="http://schemas.openxmlformats.org/officeDocument/2006/relationships/ctrlProp" Target="../ctrlProps/ctrlProp22.xml"/><Relationship Id="rId48" Type="http://schemas.openxmlformats.org/officeDocument/2006/relationships/ctrlProp" Target="../ctrlProps/ctrlProp43.xml"/><Relationship Id="rId69" Type="http://schemas.openxmlformats.org/officeDocument/2006/relationships/ctrlProp" Target="../ctrlProps/ctrlProp64.xml"/><Relationship Id="rId113" Type="http://schemas.openxmlformats.org/officeDocument/2006/relationships/ctrlProp" Target="../ctrlProps/ctrlProp108.xml"/><Relationship Id="rId134" Type="http://schemas.openxmlformats.org/officeDocument/2006/relationships/ctrlProp" Target="../ctrlProps/ctrlProp129.xml"/><Relationship Id="rId80" Type="http://schemas.openxmlformats.org/officeDocument/2006/relationships/ctrlProp" Target="../ctrlProps/ctrlProp75.xml"/><Relationship Id="rId155" Type="http://schemas.openxmlformats.org/officeDocument/2006/relationships/ctrlProp" Target="../ctrlProps/ctrlProp150.xml"/><Relationship Id="rId176" Type="http://schemas.openxmlformats.org/officeDocument/2006/relationships/ctrlProp" Target="../ctrlProps/ctrlProp171.xml"/><Relationship Id="rId197" Type="http://schemas.openxmlformats.org/officeDocument/2006/relationships/ctrlProp" Target="../ctrlProps/ctrlProp192.xml"/><Relationship Id="rId201" Type="http://schemas.openxmlformats.org/officeDocument/2006/relationships/ctrlProp" Target="../ctrlProps/ctrlProp196.xml"/><Relationship Id="rId222" Type="http://schemas.openxmlformats.org/officeDocument/2006/relationships/ctrlProp" Target="../ctrlProps/ctrlProp217.xml"/><Relationship Id="rId243" Type="http://schemas.openxmlformats.org/officeDocument/2006/relationships/ctrlProp" Target="../ctrlProps/ctrlProp238.xml"/><Relationship Id="rId17" Type="http://schemas.openxmlformats.org/officeDocument/2006/relationships/ctrlProp" Target="../ctrlProps/ctrlProp12.xml"/><Relationship Id="rId38" Type="http://schemas.openxmlformats.org/officeDocument/2006/relationships/ctrlProp" Target="../ctrlProps/ctrlProp33.xml"/><Relationship Id="rId59" Type="http://schemas.openxmlformats.org/officeDocument/2006/relationships/ctrlProp" Target="../ctrlProps/ctrlProp54.xml"/><Relationship Id="rId103" Type="http://schemas.openxmlformats.org/officeDocument/2006/relationships/ctrlProp" Target="../ctrlProps/ctrlProp98.xml"/><Relationship Id="rId124" Type="http://schemas.openxmlformats.org/officeDocument/2006/relationships/ctrlProp" Target="../ctrlProps/ctrlProp119.xml"/><Relationship Id="rId70" Type="http://schemas.openxmlformats.org/officeDocument/2006/relationships/ctrlProp" Target="../ctrlProps/ctrlProp65.xml"/><Relationship Id="rId91" Type="http://schemas.openxmlformats.org/officeDocument/2006/relationships/ctrlProp" Target="../ctrlProps/ctrlProp86.xml"/><Relationship Id="rId145" Type="http://schemas.openxmlformats.org/officeDocument/2006/relationships/ctrlProp" Target="../ctrlProps/ctrlProp140.xml"/><Relationship Id="rId166" Type="http://schemas.openxmlformats.org/officeDocument/2006/relationships/ctrlProp" Target="../ctrlProps/ctrlProp161.xml"/><Relationship Id="rId187" Type="http://schemas.openxmlformats.org/officeDocument/2006/relationships/ctrlProp" Target="../ctrlProps/ctrlProp182.xml"/><Relationship Id="rId1" Type="http://schemas.openxmlformats.org/officeDocument/2006/relationships/printerSettings" Target="../printerSettings/printerSettings2.bin"/><Relationship Id="rId212" Type="http://schemas.openxmlformats.org/officeDocument/2006/relationships/ctrlProp" Target="../ctrlProps/ctrlProp207.xml"/><Relationship Id="rId233" Type="http://schemas.openxmlformats.org/officeDocument/2006/relationships/ctrlProp" Target="../ctrlProps/ctrlProp228.xml"/><Relationship Id="rId28" Type="http://schemas.openxmlformats.org/officeDocument/2006/relationships/ctrlProp" Target="../ctrlProps/ctrlProp23.xml"/><Relationship Id="rId49" Type="http://schemas.openxmlformats.org/officeDocument/2006/relationships/ctrlProp" Target="../ctrlProps/ctrlProp44.xml"/><Relationship Id="rId114" Type="http://schemas.openxmlformats.org/officeDocument/2006/relationships/ctrlProp" Target="../ctrlProps/ctrlProp109.xml"/><Relationship Id="rId60" Type="http://schemas.openxmlformats.org/officeDocument/2006/relationships/ctrlProp" Target="../ctrlProps/ctrlProp55.xml"/><Relationship Id="rId81" Type="http://schemas.openxmlformats.org/officeDocument/2006/relationships/ctrlProp" Target="../ctrlProps/ctrlProp76.xml"/><Relationship Id="rId135" Type="http://schemas.openxmlformats.org/officeDocument/2006/relationships/ctrlProp" Target="../ctrlProps/ctrlProp130.xml"/><Relationship Id="rId156" Type="http://schemas.openxmlformats.org/officeDocument/2006/relationships/ctrlProp" Target="../ctrlProps/ctrlProp151.xml"/><Relationship Id="rId177" Type="http://schemas.openxmlformats.org/officeDocument/2006/relationships/ctrlProp" Target="../ctrlProps/ctrlProp172.xml"/><Relationship Id="rId198" Type="http://schemas.openxmlformats.org/officeDocument/2006/relationships/ctrlProp" Target="../ctrlProps/ctrlProp193.xml"/><Relationship Id="rId202" Type="http://schemas.openxmlformats.org/officeDocument/2006/relationships/ctrlProp" Target="../ctrlProps/ctrlProp197.xml"/><Relationship Id="rId223" Type="http://schemas.openxmlformats.org/officeDocument/2006/relationships/ctrlProp" Target="../ctrlProps/ctrlProp218.xml"/><Relationship Id="rId244" Type="http://schemas.openxmlformats.org/officeDocument/2006/relationships/ctrlProp" Target="../ctrlProps/ctrlProp239.xml"/><Relationship Id="rId18" Type="http://schemas.openxmlformats.org/officeDocument/2006/relationships/ctrlProp" Target="../ctrlProps/ctrlProp13.xml"/><Relationship Id="rId39" Type="http://schemas.openxmlformats.org/officeDocument/2006/relationships/ctrlProp" Target="../ctrlProps/ctrlProp34.xml"/><Relationship Id="rId50" Type="http://schemas.openxmlformats.org/officeDocument/2006/relationships/ctrlProp" Target="../ctrlProps/ctrlProp45.xml"/><Relationship Id="rId104" Type="http://schemas.openxmlformats.org/officeDocument/2006/relationships/ctrlProp" Target="../ctrlProps/ctrlProp99.xml"/><Relationship Id="rId125" Type="http://schemas.openxmlformats.org/officeDocument/2006/relationships/ctrlProp" Target="../ctrlProps/ctrlProp120.xml"/><Relationship Id="rId146" Type="http://schemas.openxmlformats.org/officeDocument/2006/relationships/ctrlProp" Target="../ctrlProps/ctrlProp141.xml"/><Relationship Id="rId167" Type="http://schemas.openxmlformats.org/officeDocument/2006/relationships/ctrlProp" Target="../ctrlProps/ctrlProp162.xml"/><Relationship Id="rId188" Type="http://schemas.openxmlformats.org/officeDocument/2006/relationships/ctrlProp" Target="../ctrlProps/ctrlProp183.xml"/><Relationship Id="rId71" Type="http://schemas.openxmlformats.org/officeDocument/2006/relationships/ctrlProp" Target="../ctrlProps/ctrlProp66.xml"/><Relationship Id="rId92" Type="http://schemas.openxmlformats.org/officeDocument/2006/relationships/ctrlProp" Target="../ctrlProps/ctrlProp87.xml"/><Relationship Id="rId213" Type="http://schemas.openxmlformats.org/officeDocument/2006/relationships/ctrlProp" Target="../ctrlProps/ctrlProp208.xml"/><Relationship Id="rId234" Type="http://schemas.openxmlformats.org/officeDocument/2006/relationships/ctrlProp" Target="../ctrlProps/ctrlProp229.xml"/><Relationship Id="rId2" Type="http://schemas.openxmlformats.org/officeDocument/2006/relationships/drawing" Target="../drawings/drawing2.xml"/><Relationship Id="rId29" Type="http://schemas.openxmlformats.org/officeDocument/2006/relationships/ctrlProp" Target="../ctrlProps/ctrlProp24.xml"/><Relationship Id="rId40" Type="http://schemas.openxmlformats.org/officeDocument/2006/relationships/ctrlProp" Target="../ctrlProps/ctrlProp35.xml"/><Relationship Id="rId115" Type="http://schemas.openxmlformats.org/officeDocument/2006/relationships/ctrlProp" Target="../ctrlProps/ctrlProp110.xml"/><Relationship Id="rId136" Type="http://schemas.openxmlformats.org/officeDocument/2006/relationships/ctrlProp" Target="../ctrlProps/ctrlProp131.xml"/><Relationship Id="rId157" Type="http://schemas.openxmlformats.org/officeDocument/2006/relationships/ctrlProp" Target="../ctrlProps/ctrlProp152.xml"/><Relationship Id="rId178" Type="http://schemas.openxmlformats.org/officeDocument/2006/relationships/ctrlProp" Target="../ctrlProps/ctrlProp173.xml"/><Relationship Id="rId61" Type="http://schemas.openxmlformats.org/officeDocument/2006/relationships/ctrlProp" Target="../ctrlProps/ctrlProp56.xml"/><Relationship Id="rId82" Type="http://schemas.openxmlformats.org/officeDocument/2006/relationships/ctrlProp" Target="../ctrlProps/ctrlProp77.xml"/><Relationship Id="rId199" Type="http://schemas.openxmlformats.org/officeDocument/2006/relationships/ctrlProp" Target="../ctrlProps/ctrlProp194.xml"/><Relationship Id="rId203" Type="http://schemas.openxmlformats.org/officeDocument/2006/relationships/ctrlProp" Target="../ctrlProps/ctrlProp198.xml"/><Relationship Id="rId19" Type="http://schemas.openxmlformats.org/officeDocument/2006/relationships/ctrlProp" Target="../ctrlProps/ctrlProp14.xml"/><Relationship Id="rId224" Type="http://schemas.openxmlformats.org/officeDocument/2006/relationships/ctrlProp" Target="../ctrlProps/ctrlProp219.xml"/><Relationship Id="rId245" Type="http://schemas.openxmlformats.org/officeDocument/2006/relationships/ctrlProp" Target="../ctrlProps/ctrlProp240.xml"/><Relationship Id="rId30" Type="http://schemas.openxmlformats.org/officeDocument/2006/relationships/ctrlProp" Target="../ctrlProps/ctrlProp25.xml"/><Relationship Id="rId105" Type="http://schemas.openxmlformats.org/officeDocument/2006/relationships/ctrlProp" Target="../ctrlProps/ctrlProp100.xml"/><Relationship Id="rId126" Type="http://schemas.openxmlformats.org/officeDocument/2006/relationships/ctrlProp" Target="../ctrlProps/ctrlProp121.xml"/><Relationship Id="rId147" Type="http://schemas.openxmlformats.org/officeDocument/2006/relationships/ctrlProp" Target="../ctrlProps/ctrlProp142.xml"/><Relationship Id="rId168" Type="http://schemas.openxmlformats.org/officeDocument/2006/relationships/ctrlProp" Target="../ctrlProps/ctrlProp163.xml"/><Relationship Id="rId51" Type="http://schemas.openxmlformats.org/officeDocument/2006/relationships/ctrlProp" Target="../ctrlProps/ctrlProp46.xml"/><Relationship Id="rId72" Type="http://schemas.openxmlformats.org/officeDocument/2006/relationships/ctrlProp" Target="../ctrlProps/ctrlProp67.xml"/><Relationship Id="rId93" Type="http://schemas.openxmlformats.org/officeDocument/2006/relationships/ctrlProp" Target="../ctrlProps/ctrlProp88.xml"/><Relationship Id="rId189" Type="http://schemas.openxmlformats.org/officeDocument/2006/relationships/ctrlProp" Target="../ctrlProps/ctrlProp184.xml"/><Relationship Id="rId3" Type="http://schemas.openxmlformats.org/officeDocument/2006/relationships/vmlDrawing" Target="../drawings/vmlDrawing2.vml"/><Relationship Id="rId214" Type="http://schemas.openxmlformats.org/officeDocument/2006/relationships/ctrlProp" Target="../ctrlProps/ctrlProp209.xml"/><Relationship Id="rId235" Type="http://schemas.openxmlformats.org/officeDocument/2006/relationships/ctrlProp" Target="../ctrlProps/ctrlProp230.xml"/><Relationship Id="rId116" Type="http://schemas.openxmlformats.org/officeDocument/2006/relationships/ctrlProp" Target="../ctrlProps/ctrlProp111.xml"/><Relationship Id="rId137" Type="http://schemas.openxmlformats.org/officeDocument/2006/relationships/ctrlProp" Target="../ctrlProps/ctrlProp132.xml"/><Relationship Id="rId158" Type="http://schemas.openxmlformats.org/officeDocument/2006/relationships/ctrlProp" Target="../ctrlProps/ctrlProp153.xml"/><Relationship Id="rId20" Type="http://schemas.openxmlformats.org/officeDocument/2006/relationships/ctrlProp" Target="../ctrlProps/ctrlProp15.xml"/><Relationship Id="rId41" Type="http://schemas.openxmlformats.org/officeDocument/2006/relationships/ctrlProp" Target="../ctrlProps/ctrlProp36.xml"/><Relationship Id="rId62" Type="http://schemas.openxmlformats.org/officeDocument/2006/relationships/ctrlProp" Target="../ctrlProps/ctrlProp57.xml"/><Relationship Id="rId83" Type="http://schemas.openxmlformats.org/officeDocument/2006/relationships/ctrlProp" Target="../ctrlProps/ctrlProp78.xml"/><Relationship Id="rId179" Type="http://schemas.openxmlformats.org/officeDocument/2006/relationships/ctrlProp" Target="../ctrlProps/ctrlProp174.xml"/><Relationship Id="rId190" Type="http://schemas.openxmlformats.org/officeDocument/2006/relationships/ctrlProp" Target="../ctrlProps/ctrlProp185.xml"/><Relationship Id="rId204" Type="http://schemas.openxmlformats.org/officeDocument/2006/relationships/ctrlProp" Target="../ctrlProps/ctrlProp199.xml"/><Relationship Id="rId225" Type="http://schemas.openxmlformats.org/officeDocument/2006/relationships/ctrlProp" Target="../ctrlProps/ctrlProp220.xml"/><Relationship Id="rId246" Type="http://schemas.openxmlformats.org/officeDocument/2006/relationships/ctrlProp" Target="../ctrlProps/ctrlProp241.xml"/><Relationship Id="rId106" Type="http://schemas.openxmlformats.org/officeDocument/2006/relationships/ctrlProp" Target="../ctrlProps/ctrlProp101.xml"/><Relationship Id="rId127" Type="http://schemas.openxmlformats.org/officeDocument/2006/relationships/ctrlProp" Target="../ctrlProps/ctrlProp122.xml"/><Relationship Id="rId10" Type="http://schemas.openxmlformats.org/officeDocument/2006/relationships/ctrlProp" Target="../ctrlProps/ctrlProp5.xml"/><Relationship Id="rId31" Type="http://schemas.openxmlformats.org/officeDocument/2006/relationships/ctrlProp" Target="../ctrlProps/ctrlProp26.xml"/><Relationship Id="rId52" Type="http://schemas.openxmlformats.org/officeDocument/2006/relationships/ctrlProp" Target="../ctrlProps/ctrlProp47.xml"/><Relationship Id="rId73" Type="http://schemas.openxmlformats.org/officeDocument/2006/relationships/ctrlProp" Target="../ctrlProps/ctrlProp68.xml"/><Relationship Id="rId94" Type="http://schemas.openxmlformats.org/officeDocument/2006/relationships/ctrlProp" Target="../ctrlProps/ctrlProp89.xml"/><Relationship Id="rId148" Type="http://schemas.openxmlformats.org/officeDocument/2006/relationships/ctrlProp" Target="../ctrlProps/ctrlProp143.xml"/><Relationship Id="rId169" Type="http://schemas.openxmlformats.org/officeDocument/2006/relationships/ctrlProp" Target="../ctrlProps/ctrlProp16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39"/>
  <sheetViews>
    <sheetView showGridLines="0" showRowColHeaders="0" tabSelected="1" zoomScale="75" workbookViewId="0">
      <selection activeCell="B20" sqref="B20"/>
    </sheetView>
  </sheetViews>
  <sheetFormatPr defaultRowHeight="12.5" x14ac:dyDescent="0.25"/>
  <cols>
    <col min="2" max="2" width="121.08984375" customWidth="1"/>
  </cols>
  <sheetData>
    <row r="1" spans="1:8" ht="13" thickBot="1" x14ac:dyDescent="0.3">
      <c r="A1" s="3"/>
      <c r="C1" s="3"/>
      <c r="D1" s="3"/>
      <c r="E1" s="3"/>
      <c r="F1" s="3"/>
      <c r="G1" s="3"/>
      <c r="H1" s="3"/>
    </row>
    <row r="2" spans="1:8" ht="71.25" customHeight="1" thickBot="1" x14ac:dyDescent="0.3">
      <c r="A2" s="3"/>
      <c r="B2" s="52" t="s">
        <v>166</v>
      </c>
      <c r="C2" s="3"/>
      <c r="D2" s="3"/>
      <c r="E2" s="3"/>
      <c r="F2" s="3"/>
      <c r="G2" s="3"/>
      <c r="H2" s="3"/>
    </row>
    <row r="3" spans="1:8" ht="20" x14ac:dyDescent="0.4">
      <c r="A3" s="3"/>
      <c r="B3" s="42"/>
      <c r="C3" s="3"/>
      <c r="D3" s="3"/>
      <c r="E3" s="3"/>
      <c r="F3" s="3"/>
      <c r="G3" s="3"/>
      <c r="H3" s="3"/>
    </row>
    <row r="4" spans="1:8" ht="15.5" x14ac:dyDescent="0.35">
      <c r="A4" s="3"/>
      <c r="B4" s="53" t="s">
        <v>169</v>
      </c>
      <c r="C4" s="3"/>
      <c r="D4" s="3"/>
      <c r="E4" s="3"/>
      <c r="F4" s="3"/>
      <c r="G4" s="3"/>
      <c r="H4" s="3"/>
    </row>
    <row r="5" spans="1:8" ht="56" x14ac:dyDescent="0.3">
      <c r="A5" s="3"/>
      <c r="B5" s="54" t="s">
        <v>164</v>
      </c>
      <c r="C5" s="3"/>
      <c r="D5" s="3"/>
      <c r="E5" s="3"/>
      <c r="F5" s="3"/>
      <c r="G5" s="3"/>
      <c r="H5" s="3"/>
    </row>
    <row r="6" spans="1:8" ht="14" x14ac:dyDescent="0.3">
      <c r="A6" s="3"/>
      <c r="B6" s="54"/>
      <c r="C6" s="3"/>
      <c r="D6" s="3"/>
      <c r="E6" s="3"/>
      <c r="F6" s="3"/>
      <c r="G6" s="3"/>
      <c r="H6" s="3"/>
    </row>
    <row r="7" spans="1:8" ht="70" x14ac:dyDescent="0.3">
      <c r="A7" s="3"/>
      <c r="B7" s="54" t="s">
        <v>184</v>
      </c>
      <c r="C7" s="3"/>
      <c r="D7" s="3"/>
      <c r="E7" s="3"/>
      <c r="F7" s="3"/>
      <c r="G7" s="3"/>
      <c r="H7" s="3"/>
    </row>
    <row r="8" spans="1:8" ht="14" x14ac:dyDescent="0.3">
      <c r="A8" s="3"/>
      <c r="B8" s="54"/>
      <c r="C8" s="3"/>
      <c r="D8" s="3"/>
      <c r="E8" s="3"/>
      <c r="F8" s="3"/>
      <c r="G8" s="3"/>
      <c r="H8" s="3"/>
    </row>
    <row r="9" spans="1:8" ht="15.5" x14ac:dyDescent="0.35">
      <c r="A9" s="3"/>
      <c r="B9" s="55" t="s">
        <v>165</v>
      </c>
      <c r="C9" s="3"/>
      <c r="D9" s="3"/>
      <c r="E9" s="3"/>
      <c r="F9" s="3"/>
      <c r="G9" s="3"/>
      <c r="H9" s="3"/>
    </row>
    <row r="10" spans="1:8" ht="42" x14ac:dyDescent="0.3">
      <c r="A10" s="3"/>
      <c r="B10" s="54" t="s">
        <v>167</v>
      </c>
      <c r="C10" s="3"/>
      <c r="D10" s="3"/>
      <c r="E10" s="3"/>
      <c r="F10" s="3"/>
      <c r="G10" s="3"/>
      <c r="H10" s="3"/>
    </row>
    <row r="11" spans="1:8" x14ac:dyDescent="0.25">
      <c r="A11" s="3"/>
      <c r="B11" s="56"/>
      <c r="C11" s="3"/>
      <c r="D11" s="3"/>
      <c r="E11" s="3"/>
      <c r="F11" s="3"/>
      <c r="G11" s="3"/>
      <c r="H11" s="3"/>
    </row>
    <row r="12" spans="1:8" ht="15.5" x14ac:dyDescent="0.35">
      <c r="A12" s="3"/>
      <c r="B12" s="55" t="s">
        <v>168</v>
      </c>
      <c r="C12" s="3"/>
      <c r="D12" s="3"/>
      <c r="E12" s="3"/>
      <c r="F12" s="3"/>
      <c r="G12" s="3"/>
      <c r="H12" s="3"/>
    </row>
    <row r="13" spans="1:8" ht="70" x14ac:dyDescent="0.3">
      <c r="A13" s="3"/>
      <c r="B13" s="54" t="s">
        <v>171</v>
      </c>
      <c r="C13" s="3"/>
      <c r="D13" s="3"/>
      <c r="E13" s="3"/>
      <c r="F13" s="3"/>
      <c r="G13" s="3"/>
      <c r="H13" s="3"/>
    </row>
    <row r="14" spans="1:8" x14ac:dyDescent="0.25">
      <c r="A14" s="3"/>
      <c r="B14" s="56"/>
      <c r="C14" s="3"/>
      <c r="D14" s="3"/>
      <c r="E14" s="3"/>
      <c r="F14" s="3"/>
      <c r="G14" s="3"/>
      <c r="H14" s="3"/>
    </row>
    <row r="15" spans="1:8" ht="15.5" x14ac:dyDescent="0.35">
      <c r="A15" s="3"/>
      <c r="B15" s="55" t="s">
        <v>170</v>
      </c>
      <c r="C15" s="3"/>
      <c r="D15" s="3"/>
      <c r="E15" s="3"/>
      <c r="F15" s="3"/>
      <c r="G15" s="3"/>
      <c r="H15" s="3"/>
    </row>
    <row r="16" spans="1:8" ht="70" x14ac:dyDescent="0.3">
      <c r="A16" s="3"/>
      <c r="B16" s="54" t="s">
        <v>186</v>
      </c>
      <c r="C16" s="3"/>
      <c r="D16" s="3"/>
      <c r="E16" s="3"/>
      <c r="F16" s="3"/>
      <c r="G16" s="3"/>
      <c r="H16" s="3"/>
    </row>
    <row r="17" spans="1:8" x14ac:dyDescent="0.25">
      <c r="A17" s="3"/>
      <c r="B17" s="56"/>
      <c r="C17" s="3"/>
      <c r="D17" s="3"/>
      <c r="E17" s="3"/>
      <c r="F17" s="3"/>
      <c r="G17" s="3"/>
      <c r="H17" s="3"/>
    </row>
    <row r="18" spans="1:8" ht="15.5" x14ac:dyDescent="0.35">
      <c r="A18" s="3"/>
      <c r="B18" s="55" t="s">
        <v>185</v>
      </c>
      <c r="C18" s="3"/>
      <c r="D18" s="3"/>
      <c r="E18" s="3"/>
      <c r="F18" s="3"/>
      <c r="G18" s="3"/>
      <c r="H18" s="3"/>
    </row>
    <row r="19" spans="1:8" ht="28" x14ac:dyDescent="0.25">
      <c r="A19" s="3"/>
      <c r="B19" s="59" t="s">
        <v>187</v>
      </c>
      <c r="C19" s="3"/>
      <c r="D19" s="3"/>
      <c r="E19" s="3"/>
      <c r="F19" s="3"/>
      <c r="G19" s="3"/>
      <c r="H19" s="3"/>
    </row>
    <row r="20" spans="1:8" x14ac:dyDescent="0.25">
      <c r="A20" s="3"/>
      <c r="B20" s="57"/>
      <c r="C20" s="3"/>
      <c r="D20" s="3"/>
      <c r="E20" s="3"/>
      <c r="F20" s="3"/>
      <c r="G20" s="3"/>
      <c r="H20" s="3"/>
    </row>
    <row r="21" spans="1:8" x14ac:dyDescent="0.25">
      <c r="A21" s="3"/>
      <c r="B21" s="3"/>
      <c r="C21" s="3"/>
      <c r="D21" s="3"/>
      <c r="E21" s="3"/>
      <c r="F21" s="3"/>
      <c r="G21" s="3"/>
      <c r="H21" s="3"/>
    </row>
    <row r="22" spans="1:8" x14ac:dyDescent="0.25">
      <c r="A22" s="3"/>
      <c r="B22" s="3"/>
      <c r="C22" s="3"/>
      <c r="D22" s="3"/>
      <c r="E22" s="3"/>
      <c r="F22" s="3"/>
      <c r="G22" s="3"/>
      <c r="H22" s="3"/>
    </row>
    <row r="23" spans="1:8" x14ac:dyDescent="0.25">
      <c r="A23" s="3"/>
      <c r="B23" s="3"/>
      <c r="C23" s="3"/>
      <c r="D23" s="3"/>
      <c r="E23" s="3"/>
      <c r="F23" s="3"/>
      <c r="G23" s="3"/>
      <c r="H23" s="3"/>
    </row>
    <row r="24" spans="1:8" x14ac:dyDescent="0.25">
      <c r="A24" s="3"/>
      <c r="B24" s="3"/>
      <c r="C24" s="3"/>
      <c r="D24" s="3"/>
      <c r="E24" s="3"/>
      <c r="F24" s="3"/>
      <c r="G24" s="3"/>
      <c r="H24" s="3"/>
    </row>
    <row r="25" spans="1:8" x14ac:dyDescent="0.25">
      <c r="A25" s="3"/>
      <c r="B25" s="3"/>
      <c r="C25" s="3"/>
      <c r="D25" s="3"/>
      <c r="E25" s="3"/>
      <c r="F25" s="3"/>
      <c r="G25" s="3"/>
      <c r="H25" s="3"/>
    </row>
    <row r="26" spans="1:8" x14ac:dyDescent="0.25">
      <c r="A26" s="3"/>
      <c r="B26" s="3"/>
      <c r="C26" s="3"/>
      <c r="D26" s="3"/>
      <c r="E26" s="3"/>
      <c r="F26" s="3"/>
      <c r="G26" s="3"/>
      <c r="H26" s="3"/>
    </row>
    <row r="27" spans="1:8" x14ac:dyDescent="0.25">
      <c r="A27" s="3"/>
      <c r="B27" s="3"/>
      <c r="C27" s="3"/>
      <c r="D27" s="3"/>
      <c r="E27" s="3"/>
      <c r="F27" s="3"/>
      <c r="G27" s="3"/>
      <c r="H27" s="3"/>
    </row>
    <row r="28" spans="1:8" x14ac:dyDescent="0.25">
      <c r="A28" s="3"/>
      <c r="B28" s="3"/>
      <c r="C28" s="3"/>
      <c r="D28" s="3"/>
      <c r="E28" s="3"/>
      <c r="F28" s="3"/>
      <c r="G28" s="3"/>
      <c r="H28" s="3"/>
    </row>
    <row r="29" spans="1:8" x14ac:dyDescent="0.25">
      <c r="A29" s="3"/>
      <c r="B29" s="3"/>
      <c r="C29" s="3"/>
      <c r="D29" s="3"/>
      <c r="E29" s="3"/>
      <c r="F29" s="3"/>
      <c r="G29" s="3"/>
      <c r="H29" s="3"/>
    </row>
    <row r="30" spans="1:8" x14ac:dyDescent="0.25">
      <c r="A30" s="3"/>
      <c r="B30" s="3"/>
      <c r="C30" s="3"/>
      <c r="D30" s="3"/>
      <c r="E30" s="3"/>
      <c r="F30" s="3"/>
      <c r="G30" s="3"/>
      <c r="H30" s="3"/>
    </row>
    <row r="31" spans="1:8" x14ac:dyDescent="0.25">
      <c r="A31" s="3"/>
      <c r="B31" s="3"/>
      <c r="C31" s="3"/>
      <c r="D31" s="3"/>
      <c r="E31" s="3"/>
      <c r="F31" s="3"/>
      <c r="G31" s="3"/>
      <c r="H31" s="3"/>
    </row>
    <row r="32" spans="1:8" x14ac:dyDescent="0.25">
      <c r="A32" s="3"/>
      <c r="B32" s="3"/>
      <c r="C32" s="3"/>
      <c r="D32" s="3"/>
      <c r="E32" s="3"/>
      <c r="F32" s="3"/>
      <c r="G32" s="3"/>
      <c r="H32" s="3"/>
    </row>
    <row r="33" spans="1:8" x14ac:dyDescent="0.25">
      <c r="A33" s="3"/>
      <c r="B33" s="3"/>
      <c r="C33" s="3"/>
      <c r="D33" s="3"/>
      <c r="E33" s="3"/>
      <c r="F33" s="3"/>
      <c r="G33" s="3"/>
      <c r="H33" s="3"/>
    </row>
    <row r="34" spans="1:8" x14ac:dyDescent="0.25">
      <c r="A34" s="3"/>
      <c r="B34" s="3"/>
      <c r="C34" s="3"/>
      <c r="D34" s="3"/>
      <c r="E34" s="3"/>
      <c r="F34" s="3"/>
      <c r="G34" s="3"/>
      <c r="H34" s="3"/>
    </row>
    <row r="35" spans="1:8" x14ac:dyDescent="0.25">
      <c r="A35" s="3"/>
      <c r="B35" s="3"/>
      <c r="C35" s="3"/>
      <c r="D35" s="3"/>
      <c r="E35" s="3"/>
      <c r="F35" s="3"/>
      <c r="G35" s="3"/>
      <c r="H35" s="3"/>
    </row>
    <row r="36" spans="1:8" x14ac:dyDescent="0.25">
      <c r="A36" s="3"/>
      <c r="B36" s="3"/>
      <c r="C36" s="3"/>
      <c r="D36" s="3"/>
      <c r="E36" s="3"/>
      <c r="F36" s="3"/>
      <c r="G36" s="3"/>
      <c r="H36" s="3"/>
    </row>
    <row r="37" spans="1:8" x14ac:dyDescent="0.25">
      <c r="A37" s="3"/>
      <c r="B37" s="3"/>
      <c r="C37" s="3"/>
      <c r="D37" s="3"/>
      <c r="E37" s="3"/>
      <c r="F37" s="3"/>
      <c r="G37" s="3"/>
      <c r="H37" s="3"/>
    </row>
    <row r="38" spans="1:8" x14ac:dyDescent="0.25">
      <c r="A38" s="3"/>
      <c r="B38" s="3"/>
      <c r="C38" s="3"/>
      <c r="D38" s="3"/>
      <c r="E38" s="3"/>
      <c r="F38" s="3"/>
      <c r="G38" s="3"/>
      <c r="H38" s="3"/>
    </row>
    <row r="39" spans="1:8" x14ac:dyDescent="0.25">
      <c r="A39" s="3"/>
      <c r="B39" s="3"/>
      <c r="C39" s="3"/>
      <c r="D39" s="3"/>
      <c r="E39" s="3"/>
      <c r="F39" s="3"/>
      <c r="G39" s="3"/>
      <c r="H39" s="3"/>
    </row>
  </sheetData>
  <sheetProtection password="C772" sheet="1" objects="1" scenarios="1"/>
  <pageMargins left="0.75" right="0.75" top="1" bottom="1" header="0.5" footer="0.5"/>
  <pageSetup orientation="portrait" r:id="rId1"/>
  <headerFooter alignWithMargins="0"/>
  <drawing r:id="rId2"/>
  <legacyDrawing r:id="rId3"/>
  <oleObjects>
    <mc:AlternateContent xmlns:mc="http://schemas.openxmlformats.org/markup-compatibility/2006">
      <mc:Choice Requires="x14">
        <oleObject progId="MSPhotoEd.3" shapeId="5121" r:id="rId4">
          <objectPr defaultSize="0" autoPict="0" r:id="rId5">
            <anchor moveWithCells="1">
              <from>
                <xdr:col>1</xdr:col>
                <xdr:colOff>133350</xdr:colOff>
                <xdr:row>1</xdr:row>
                <xdr:rowOff>76200</xdr:rowOff>
              </from>
              <to>
                <xdr:col>1</xdr:col>
                <xdr:colOff>1860550</xdr:colOff>
                <xdr:row>1</xdr:row>
                <xdr:rowOff>685800</xdr:rowOff>
              </to>
            </anchor>
          </objectPr>
        </oleObject>
      </mc:Choice>
      <mc:Fallback>
        <oleObject progId="MSPhotoEd.3" shapeId="5121"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sheetPr>
  <dimension ref="A1:K325"/>
  <sheetViews>
    <sheetView showGridLines="0" showRowColHeaders="0" zoomScaleNormal="100" workbookViewId="0">
      <pane ySplit="4" topLeftCell="A5" activePane="bottomLeft" state="frozen"/>
      <selection pane="bottomLeft" activeCell="B330" sqref="B330"/>
    </sheetView>
  </sheetViews>
  <sheetFormatPr defaultRowHeight="12.5" x14ac:dyDescent="0.25"/>
  <cols>
    <col min="1" max="1" width="14.08984375" customWidth="1"/>
    <col min="2" max="2" width="77.08984375" customWidth="1"/>
    <col min="3" max="3" width="12.453125" customWidth="1"/>
    <col min="4" max="7" width="9.08984375" hidden="1" customWidth="1"/>
    <col min="8" max="11" width="9.08984375" style="10" customWidth="1"/>
  </cols>
  <sheetData>
    <row r="1" spans="1:11" ht="18.75" customHeight="1" x14ac:dyDescent="0.25"/>
    <row r="2" spans="1:11" ht="12.75" customHeight="1" x14ac:dyDescent="0.25">
      <c r="A2" s="3"/>
      <c r="B2" s="60" t="s">
        <v>24</v>
      </c>
      <c r="C2" s="60"/>
      <c r="D2" s="3"/>
      <c r="E2" s="3"/>
      <c r="F2" s="3"/>
      <c r="J2" s="32"/>
    </row>
    <row r="3" spans="1:11" ht="53.25" customHeight="1" x14ac:dyDescent="0.25">
      <c r="A3" s="3"/>
      <c r="B3" s="60"/>
      <c r="C3" s="60"/>
      <c r="D3" s="3"/>
      <c r="E3" s="3"/>
      <c r="F3" s="3"/>
      <c r="J3" s="21"/>
    </row>
    <row r="4" spans="1:11" ht="18" customHeight="1" x14ac:dyDescent="0.25">
      <c r="A4" s="3"/>
      <c r="B4" s="7"/>
      <c r="C4" s="7"/>
      <c r="D4" s="3"/>
      <c r="E4" s="3"/>
      <c r="F4" s="3"/>
      <c r="J4" s="21"/>
    </row>
    <row r="5" spans="1:11" x14ac:dyDescent="0.25">
      <c r="A5" s="3"/>
      <c r="D5" s="3"/>
      <c r="E5" s="3"/>
      <c r="F5" s="3"/>
      <c r="J5" s="21"/>
    </row>
    <row r="6" spans="1:11" x14ac:dyDescent="0.25">
      <c r="A6" s="3"/>
      <c r="B6" s="7"/>
      <c r="C6" s="51">
        <f>SUM(C8,C66,C82,C129,C160,C195,C212,C225,C261,C291)/10</f>
        <v>0</v>
      </c>
      <c r="D6" s="3"/>
      <c r="E6" s="3"/>
      <c r="F6" s="3"/>
      <c r="J6" s="21"/>
    </row>
    <row r="7" spans="1:11" x14ac:dyDescent="0.25">
      <c r="A7" s="3"/>
      <c r="B7" s="7"/>
      <c r="C7" s="7"/>
      <c r="D7" s="3"/>
      <c r="E7" s="3"/>
      <c r="F7" s="3"/>
      <c r="J7" s="21"/>
    </row>
    <row r="8" spans="1:11" ht="36" x14ac:dyDescent="0.4">
      <c r="A8" s="3"/>
      <c r="B8" s="37" t="s">
        <v>0</v>
      </c>
      <c r="C8" s="41">
        <f>SUM(C10,C19,C40,C53)/46*100</f>
        <v>0</v>
      </c>
      <c r="D8" s="14"/>
      <c r="E8" s="14"/>
      <c r="F8" s="14"/>
      <c r="G8" s="14"/>
      <c r="J8" s="21"/>
    </row>
    <row r="9" spans="1:11" ht="18" x14ac:dyDescent="0.25">
      <c r="A9" s="3"/>
      <c r="B9" s="38" t="s">
        <v>154</v>
      </c>
      <c r="C9" s="36">
        <f>SUM(C10,C19,C40,C53)/46*100</f>
        <v>0</v>
      </c>
      <c r="E9" s="14"/>
      <c r="F9" s="14"/>
      <c r="G9" s="14"/>
      <c r="J9" s="21"/>
    </row>
    <row r="10" spans="1:11" ht="15.5" x14ac:dyDescent="0.35">
      <c r="A10" s="3"/>
      <c r="B10" s="23" t="s">
        <v>5</v>
      </c>
      <c r="C10" s="25">
        <f>SUM(F11,F13,F15,F17)</f>
        <v>0</v>
      </c>
      <c r="D10" s="14"/>
      <c r="E10" s="14"/>
      <c r="F10" s="14"/>
      <c r="G10" s="14"/>
      <c r="J10" s="34">
        <f>SUM(C10,C19,C40,C53)/46*100</f>
        <v>0</v>
      </c>
      <c r="K10" s="58" t="s">
        <v>154</v>
      </c>
    </row>
    <row r="11" spans="1:11" x14ac:dyDescent="0.25">
      <c r="A11" s="3"/>
      <c r="B11" s="1" t="s">
        <v>1</v>
      </c>
      <c r="C11" s="39"/>
      <c r="D11" s="14" t="b">
        <v>0</v>
      </c>
      <c r="E11" s="14" t="b">
        <v>0</v>
      </c>
      <c r="F11" s="14">
        <f>IF(D11,3,0)</f>
        <v>0</v>
      </c>
      <c r="G11" s="14">
        <f>IF(E11,1,0)</f>
        <v>0</v>
      </c>
      <c r="J11" s="34">
        <f>SUM(C69)/10*100</f>
        <v>0</v>
      </c>
      <c r="K11" s="58" t="s">
        <v>155</v>
      </c>
    </row>
    <row r="12" spans="1:11" x14ac:dyDescent="0.25">
      <c r="A12" s="3"/>
      <c r="B12" s="6"/>
      <c r="C12" s="20"/>
      <c r="D12" s="14"/>
      <c r="E12" s="14"/>
      <c r="F12" s="14"/>
      <c r="G12" s="14"/>
      <c r="J12" s="34">
        <f>SUM(C85,C96,C103,C112,C119)/31*100</f>
        <v>0</v>
      </c>
      <c r="K12" s="58" t="s">
        <v>156</v>
      </c>
    </row>
    <row r="13" spans="1:11" x14ac:dyDescent="0.25">
      <c r="A13" s="3"/>
      <c r="B13" s="1" t="s">
        <v>2</v>
      </c>
      <c r="C13" s="39"/>
      <c r="D13" s="14" t="b">
        <v>0</v>
      </c>
      <c r="E13" s="14" t="b">
        <v>0</v>
      </c>
      <c r="F13" s="14">
        <f>IF(D13,1,0)</f>
        <v>0</v>
      </c>
      <c r="G13" s="14">
        <f>IF(E13,1,0)</f>
        <v>0</v>
      </c>
      <c r="J13" s="34">
        <f>SUM(C131,C148)/27*100</f>
        <v>0</v>
      </c>
      <c r="K13" s="58" t="s">
        <v>157</v>
      </c>
    </row>
    <row r="14" spans="1:11" x14ac:dyDescent="0.25">
      <c r="A14" s="3"/>
      <c r="B14" s="6"/>
      <c r="C14" s="20"/>
      <c r="D14" s="14"/>
      <c r="E14" s="14"/>
      <c r="F14" s="14"/>
      <c r="G14" s="14"/>
      <c r="J14" s="34">
        <f>SUM(C163,C174,C185)/32*100</f>
        <v>0</v>
      </c>
      <c r="K14" s="58" t="s">
        <v>158</v>
      </c>
    </row>
    <row r="15" spans="1:11" x14ac:dyDescent="0.25">
      <c r="A15" s="3"/>
      <c r="B15" s="1" t="s">
        <v>3</v>
      </c>
      <c r="C15" s="39"/>
      <c r="D15" s="14" t="b">
        <v>0</v>
      </c>
      <c r="E15" s="14" t="b">
        <v>0</v>
      </c>
      <c r="F15" s="14">
        <f>IF(D15,1,0)</f>
        <v>0</v>
      </c>
      <c r="G15" s="14">
        <f>IF(E15,1,0)</f>
        <v>0</v>
      </c>
      <c r="J15" s="34">
        <f>SUM(C198)/16*100</f>
        <v>0</v>
      </c>
      <c r="K15" s="58" t="s">
        <v>159</v>
      </c>
    </row>
    <row r="16" spans="1:11" x14ac:dyDescent="0.25">
      <c r="A16" s="3"/>
      <c r="B16" s="6"/>
      <c r="C16" s="20"/>
      <c r="D16" s="14"/>
      <c r="E16" s="14"/>
      <c r="F16" s="14"/>
      <c r="G16" s="14"/>
      <c r="J16" s="34">
        <f>SUM(C215)/9*100</f>
        <v>0</v>
      </c>
      <c r="K16" s="58" t="s">
        <v>160</v>
      </c>
    </row>
    <row r="17" spans="1:11" x14ac:dyDescent="0.25">
      <c r="A17" s="3"/>
      <c r="B17" s="2" t="s">
        <v>4</v>
      </c>
      <c r="C17" s="40"/>
      <c r="D17" s="14" t="b">
        <v>0</v>
      </c>
      <c r="E17" s="14" t="b">
        <v>0</v>
      </c>
      <c r="F17" s="14">
        <f>IF(D17,1,0)</f>
        <v>0</v>
      </c>
      <c r="G17" s="14">
        <f>IF(E17,1,0)</f>
        <v>0</v>
      </c>
      <c r="J17" s="34">
        <f>SUM(C228,C243)/30*100</f>
        <v>0</v>
      </c>
      <c r="K17" s="58" t="s">
        <v>161</v>
      </c>
    </row>
    <row r="18" spans="1:11" x14ac:dyDescent="0.25">
      <c r="A18" s="3"/>
      <c r="B18" s="8"/>
      <c r="C18" s="7"/>
      <c r="D18" s="14"/>
      <c r="E18" s="14"/>
      <c r="F18" s="14"/>
      <c r="G18" s="14"/>
      <c r="J18" s="34">
        <f>SUM(C264,C275)/31*100</f>
        <v>0</v>
      </c>
      <c r="K18" s="58" t="s">
        <v>162</v>
      </c>
    </row>
    <row r="19" spans="1:11" ht="15.5" x14ac:dyDescent="0.35">
      <c r="A19" s="3"/>
      <c r="B19" s="24" t="s">
        <v>6</v>
      </c>
      <c r="C19" s="26">
        <f>SUM(F20,F22,F24,F26,F28,F30,F32,F34,F36,F38)</f>
        <v>0</v>
      </c>
      <c r="D19" s="14"/>
      <c r="E19" s="14"/>
      <c r="F19" s="14"/>
      <c r="G19" s="14"/>
      <c r="H19" s="11"/>
      <c r="J19" s="34">
        <f>SUM(C294)/13*100</f>
        <v>0</v>
      </c>
      <c r="K19" s="58" t="s">
        <v>163</v>
      </c>
    </row>
    <row r="20" spans="1:11" x14ac:dyDescent="0.25">
      <c r="A20" s="3"/>
      <c r="B20" s="1" t="s">
        <v>7</v>
      </c>
      <c r="C20" s="4"/>
      <c r="D20" s="14" t="b">
        <v>0</v>
      </c>
      <c r="E20" s="14" t="b">
        <v>0</v>
      </c>
      <c r="F20" s="14">
        <f>IF(D20,3,0)</f>
        <v>0</v>
      </c>
      <c r="G20" s="14">
        <f>IF(E20,1,0)</f>
        <v>0</v>
      </c>
    </row>
    <row r="21" spans="1:11" x14ac:dyDescent="0.25">
      <c r="A21" s="3"/>
      <c r="B21" s="6"/>
      <c r="C21" s="20"/>
      <c r="D21" s="14"/>
      <c r="E21" s="14"/>
      <c r="F21" s="14"/>
      <c r="G21" s="14"/>
    </row>
    <row r="22" spans="1:11" x14ac:dyDescent="0.25">
      <c r="A22" s="3"/>
      <c r="B22" s="1" t="s">
        <v>8</v>
      </c>
      <c r="C22" s="4"/>
      <c r="D22" s="14" t="b">
        <v>0</v>
      </c>
      <c r="E22" s="14" t="b">
        <v>0</v>
      </c>
      <c r="F22" s="14">
        <f>IF(D22,3,0)</f>
        <v>0</v>
      </c>
      <c r="G22" s="14">
        <f>IF(E22,1,0)</f>
        <v>0</v>
      </c>
      <c r="H22" s="17"/>
    </row>
    <row r="23" spans="1:11" x14ac:dyDescent="0.25">
      <c r="A23" s="3"/>
      <c r="B23" s="6"/>
      <c r="C23" s="20"/>
      <c r="D23" s="14"/>
      <c r="E23" s="14"/>
      <c r="F23" s="14"/>
      <c r="G23" s="14"/>
    </row>
    <row r="24" spans="1:11" x14ac:dyDescent="0.25">
      <c r="A24" s="3"/>
      <c r="B24" s="1" t="s">
        <v>9</v>
      </c>
      <c r="C24" s="4"/>
      <c r="D24" s="14" t="b">
        <v>0</v>
      </c>
      <c r="E24" s="14" t="b">
        <v>0</v>
      </c>
      <c r="F24" s="14">
        <f>IF(D24,3,0)</f>
        <v>0</v>
      </c>
      <c r="G24" s="14">
        <f>IF(E24,1,0)</f>
        <v>0</v>
      </c>
    </row>
    <row r="25" spans="1:11" x14ac:dyDescent="0.25">
      <c r="A25" s="3"/>
      <c r="B25" s="6"/>
      <c r="C25" s="20"/>
      <c r="D25" s="14"/>
      <c r="E25" s="14"/>
      <c r="F25" s="14"/>
      <c r="G25" s="14"/>
    </row>
    <row r="26" spans="1:11" x14ac:dyDescent="0.25">
      <c r="A26" s="3"/>
      <c r="B26" s="1" t="s">
        <v>10</v>
      </c>
      <c r="C26" s="4"/>
      <c r="D26" s="14" t="b">
        <v>0</v>
      </c>
      <c r="E26" s="14" t="b">
        <v>0</v>
      </c>
      <c r="F26" s="14">
        <f>IF(D26,2,0)</f>
        <v>0</v>
      </c>
      <c r="G26" s="14">
        <f>IF(E26,1,0)</f>
        <v>0</v>
      </c>
    </row>
    <row r="27" spans="1:11" x14ac:dyDescent="0.25">
      <c r="A27" s="3"/>
      <c r="B27" s="6"/>
      <c r="C27" s="20"/>
      <c r="D27" s="14"/>
      <c r="E27" s="14"/>
      <c r="F27" s="14"/>
      <c r="G27" s="14"/>
    </row>
    <row r="28" spans="1:11" x14ac:dyDescent="0.25">
      <c r="A28" s="3"/>
      <c r="B28" s="1" t="s">
        <v>11</v>
      </c>
      <c r="C28" s="4"/>
      <c r="D28" s="14" t="b">
        <v>0</v>
      </c>
      <c r="E28" s="14" t="b">
        <v>0</v>
      </c>
      <c r="F28" s="14">
        <f>IF(D28,2,0)</f>
        <v>0</v>
      </c>
      <c r="G28" s="14">
        <f>IF(E28,1,0)</f>
        <v>0</v>
      </c>
    </row>
    <row r="29" spans="1:11" x14ac:dyDescent="0.25">
      <c r="A29" s="3"/>
      <c r="B29" s="6"/>
      <c r="C29" s="20"/>
      <c r="D29" s="14"/>
      <c r="E29" s="14"/>
      <c r="F29" s="14"/>
      <c r="G29" s="14"/>
    </row>
    <row r="30" spans="1:11" x14ac:dyDescent="0.25">
      <c r="A30" s="3"/>
      <c r="B30" s="1" t="s">
        <v>12</v>
      </c>
      <c r="C30" s="4"/>
      <c r="D30" s="14" t="b">
        <v>0</v>
      </c>
      <c r="E30" s="14" t="b">
        <v>0</v>
      </c>
      <c r="F30" s="14">
        <f>IF(D30,1,0)</f>
        <v>0</v>
      </c>
      <c r="G30" s="14">
        <f>IF(E30,1,0)</f>
        <v>0</v>
      </c>
    </row>
    <row r="31" spans="1:11" x14ac:dyDescent="0.25">
      <c r="A31" s="3"/>
      <c r="B31" s="6"/>
      <c r="C31" s="20"/>
      <c r="D31" s="14"/>
      <c r="E31" s="14"/>
      <c r="F31" s="14"/>
      <c r="G31" s="14"/>
    </row>
    <row r="32" spans="1:11" x14ac:dyDescent="0.25">
      <c r="A32" s="3"/>
      <c r="B32" s="1" t="s">
        <v>13</v>
      </c>
      <c r="C32" s="4"/>
      <c r="D32" s="14" t="b">
        <v>0</v>
      </c>
      <c r="E32" s="14" t="b">
        <v>0</v>
      </c>
      <c r="F32" s="14">
        <f>IF(D32,1,0)</f>
        <v>0</v>
      </c>
      <c r="G32" s="14">
        <f>IF(E32,1,0)</f>
        <v>0</v>
      </c>
    </row>
    <row r="33" spans="1:7" x14ac:dyDescent="0.25">
      <c r="A33" s="3"/>
      <c r="B33" s="6"/>
      <c r="C33" s="20"/>
      <c r="D33" s="14"/>
      <c r="E33" s="14" t="b">
        <v>0</v>
      </c>
      <c r="F33" s="14"/>
      <c r="G33" s="14"/>
    </row>
    <row r="34" spans="1:7" x14ac:dyDescent="0.25">
      <c r="A34" s="3"/>
      <c r="B34" s="1" t="s">
        <v>14</v>
      </c>
      <c r="C34" s="4"/>
      <c r="D34" s="14" t="b">
        <v>0</v>
      </c>
      <c r="E34" s="14" t="b">
        <v>0</v>
      </c>
      <c r="F34" s="14">
        <f>IF(D34,1,0)</f>
        <v>0</v>
      </c>
      <c r="G34" s="14">
        <f>IF(E34,1,0)</f>
        <v>0</v>
      </c>
    </row>
    <row r="35" spans="1:7" x14ac:dyDescent="0.25">
      <c r="A35" s="3"/>
      <c r="B35" s="6"/>
      <c r="C35" s="20"/>
      <c r="D35" s="14"/>
      <c r="E35" s="14"/>
      <c r="F35" s="14"/>
      <c r="G35" s="14"/>
    </row>
    <row r="36" spans="1:7" x14ac:dyDescent="0.25">
      <c r="A36" s="3"/>
      <c r="B36" s="1" t="s">
        <v>15</v>
      </c>
      <c r="C36" s="4"/>
      <c r="D36" s="14" t="b">
        <v>0</v>
      </c>
      <c r="E36" s="14" t="b">
        <v>0</v>
      </c>
      <c r="F36" s="14">
        <f>IF(D36,1,0)</f>
        <v>0</v>
      </c>
      <c r="G36" s="14">
        <f>IF(E36,1,0)</f>
        <v>0</v>
      </c>
    </row>
    <row r="37" spans="1:7" x14ac:dyDescent="0.25">
      <c r="A37" s="3"/>
      <c r="B37" s="6"/>
      <c r="C37" s="20"/>
      <c r="D37" s="14"/>
      <c r="E37" s="14"/>
      <c r="F37" s="14"/>
      <c r="G37" s="14"/>
    </row>
    <row r="38" spans="1:7" x14ac:dyDescent="0.25">
      <c r="A38" s="3"/>
      <c r="B38" s="2" t="s">
        <v>16</v>
      </c>
      <c r="C38" s="5"/>
      <c r="D38" s="14" t="b">
        <v>0</v>
      </c>
      <c r="E38" s="14" t="b">
        <v>0</v>
      </c>
      <c r="F38" s="14">
        <f>IF(D38,1,0)</f>
        <v>0</v>
      </c>
      <c r="G38" s="14">
        <f>IF(E38,1,0)</f>
        <v>0</v>
      </c>
    </row>
    <row r="39" spans="1:7" x14ac:dyDescent="0.25">
      <c r="A39" s="3"/>
      <c r="B39" s="9"/>
      <c r="C39" s="7"/>
      <c r="D39" s="14"/>
      <c r="E39" s="14"/>
      <c r="F39" s="14"/>
      <c r="G39" s="14"/>
    </row>
    <row r="40" spans="1:7" ht="15.5" x14ac:dyDescent="0.35">
      <c r="A40" s="3"/>
      <c r="B40" s="24" t="s">
        <v>17</v>
      </c>
      <c r="C40" s="26">
        <f>SUM(F41,F43,F45,F47,F49,F51)</f>
        <v>0</v>
      </c>
      <c r="D40" s="14"/>
      <c r="E40" s="14"/>
      <c r="F40" s="14"/>
      <c r="G40" s="14"/>
    </row>
    <row r="41" spans="1:7" x14ac:dyDescent="0.25">
      <c r="A41" s="3"/>
      <c r="B41" s="1" t="s">
        <v>18</v>
      </c>
      <c r="C41" s="4"/>
      <c r="D41" s="14" t="b">
        <v>0</v>
      </c>
      <c r="E41" s="14" t="b">
        <v>0</v>
      </c>
      <c r="F41" s="14">
        <f>IF(D41,3,0)</f>
        <v>0</v>
      </c>
      <c r="G41" s="14">
        <f>IF(E41,1,0)</f>
        <v>0</v>
      </c>
    </row>
    <row r="42" spans="1:7" x14ac:dyDescent="0.25">
      <c r="A42" s="3"/>
      <c r="B42" s="6"/>
      <c r="C42" s="20"/>
      <c r="D42" s="14"/>
      <c r="E42" s="14"/>
      <c r="F42" s="14"/>
      <c r="G42" s="14"/>
    </row>
    <row r="43" spans="1:7" x14ac:dyDescent="0.25">
      <c r="A43" s="3"/>
      <c r="B43" s="1" t="s">
        <v>19</v>
      </c>
      <c r="C43" s="4"/>
      <c r="D43" s="14" t="b">
        <v>0</v>
      </c>
      <c r="E43" s="14" t="b">
        <v>0</v>
      </c>
      <c r="F43" s="14">
        <f>IF(D43,3,0)</f>
        <v>0</v>
      </c>
      <c r="G43" s="14">
        <f>IF(E43,1,0)</f>
        <v>0</v>
      </c>
    </row>
    <row r="44" spans="1:7" x14ac:dyDescent="0.25">
      <c r="A44" s="3"/>
      <c r="B44" s="6"/>
      <c r="C44" s="20"/>
      <c r="D44" s="14"/>
      <c r="E44" s="14"/>
      <c r="F44" s="14"/>
      <c r="G44" s="14"/>
    </row>
    <row r="45" spans="1:7" x14ac:dyDescent="0.25">
      <c r="A45" s="3"/>
      <c r="B45" s="1" t="s">
        <v>20</v>
      </c>
      <c r="C45" s="4"/>
      <c r="D45" s="14" t="b">
        <v>0</v>
      </c>
      <c r="E45" s="14" t="b">
        <v>0</v>
      </c>
      <c r="F45" s="14">
        <f>IF(D45,3,0)</f>
        <v>0</v>
      </c>
      <c r="G45" s="14">
        <f>IF(E45,1,0)</f>
        <v>0</v>
      </c>
    </row>
    <row r="46" spans="1:7" x14ac:dyDescent="0.25">
      <c r="A46" s="3"/>
      <c r="B46" s="6"/>
      <c r="C46" s="20"/>
      <c r="D46" s="14"/>
      <c r="E46" s="14"/>
      <c r="F46" s="14"/>
      <c r="G46" s="14"/>
    </row>
    <row r="47" spans="1:7" x14ac:dyDescent="0.25">
      <c r="A47" s="3"/>
      <c r="B47" s="1" t="s">
        <v>21</v>
      </c>
      <c r="C47" s="4"/>
      <c r="D47" s="14" t="b">
        <v>0</v>
      </c>
      <c r="E47" s="14" t="b">
        <v>0</v>
      </c>
      <c r="F47" s="14">
        <f>IF(D47,2,0)</f>
        <v>0</v>
      </c>
      <c r="G47" s="14">
        <f>IF(E47,1,0)</f>
        <v>0</v>
      </c>
    </row>
    <row r="48" spans="1:7" x14ac:dyDescent="0.25">
      <c r="A48" s="3"/>
      <c r="B48" s="6"/>
      <c r="C48" s="20"/>
      <c r="D48" s="14"/>
      <c r="E48" s="14"/>
      <c r="F48" s="14"/>
      <c r="G48" s="14"/>
    </row>
    <row r="49" spans="1:7" x14ac:dyDescent="0.25">
      <c r="A49" s="3"/>
      <c r="B49" s="1" t="s">
        <v>22</v>
      </c>
      <c r="C49" s="4"/>
      <c r="D49" s="14" t="b">
        <v>0</v>
      </c>
      <c r="E49" s="14" t="b">
        <v>0</v>
      </c>
      <c r="F49" s="14">
        <f>IF(D49,2,0)</f>
        <v>0</v>
      </c>
      <c r="G49" s="14">
        <f>IF(E49,1,0)</f>
        <v>0</v>
      </c>
    </row>
    <row r="50" spans="1:7" x14ac:dyDescent="0.25">
      <c r="A50" s="3"/>
      <c r="B50" s="6"/>
      <c r="C50" s="20"/>
      <c r="D50" s="14"/>
      <c r="E50" s="14"/>
      <c r="F50" s="14"/>
      <c r="G50" s="14"/>
    </row>
    <row r="51" spans="1:7" ht="25" x14ac:dyDescent="0.25">
      <c r="A51" s="3"/>
      <c r="B51" s="2" t="s">
        <v>23</v>
      </c>
      <c r="C51" s="5"/>
      <c r="D51" s="14" t="b">
        <v>0</v>
      </c>
      <c r="E51" s="14" t="b">
        <v>0</v>
      </c>
      <c r="F51" s="14">
        <f>IF(D51,1,0)</f>
        <v>0</v>
      </c>
      <c r="G51" s="14">
        <f>IF(E51,1,0)</f>
        <v>0</v>
      </c>
    </row>
    <row r="52" spans="1:7" x14ac:dyDescent="0.25">
      <c r="A52" s="3"/>
      <c r="B52" s="3"/>
      <c r="C52" s="3"/>
      <c r="D52" s="15"/>
      <c r="E52" s="15"/>
      <c r="F52" s="15"/>
      <c r="G52" s="15"/>
    </row>
    <row r="53" spans="1:7" ht="15.5" x14ac:dyDescent="0.35">
      <c r="A53" s="3"/>
      <c r="B53" s="24" t="s">
        <v>25</v>
      </c>
      <c r="C53" s="26">
        <f>SUM(F54,F56,F58,F60,F62)</f>
        <v>0</v>
      </c>
      <c r="D53" s="15"/>
      <c r="E53" s="15"/>
      <c r="F53" s="15"/>
      <c r="G53" s="15"/>
    </row>
    <row r="54" spans="1:7" ht="25" x14ac:dyDescent="0.25">
      <c r="A54" s="3"/>
      <c r="B54" s="1" t="s">
        <v>26</v>
      </c>
      <c r="C54" s="4"/>
      <c r="D54" s="15" t="b">
        <v>0</v>
      </c>
      <c r="E54" s="15" t="b">
        <v>0</v>
      </c>
      <c r="F54" s="15">
        <f>IF(D54,3,0)</f>
        <v>0</v>
      </c>
      <c r="G54" s="15">
        <f>IF(E54,1,0)</f>
        <v>0</v>
      </c>
    </row>
    <row r="55" spans="1:7" x14ac:dyDescent="0.25">
      <c r="A55" s="3"/>
      <c r="B55" s="6"/>
      <c r="C55" s="20"/>
      <c r="D55" s="15"/>
      <c r="E55" s="15"/>
      <c r="F55" s="15"/>
      <c r="G55" s="15"/>
    </row>
    <row r="56" spans="1:7" x14ac:dyDescent="0.25">
      <c r="A56" s="3"/>
      <c r="B56" s="1" t="s">
        <v>27</v>
      </c>
      <c r="C56" s="4"/>
      <c r="D56" s="15" t="b">
        <v>0</v>
      </c>
      <c r="E56" s="15" t="b">
        <v>0</v>
      </c>
      <c r="F56" s="15">
        <f>IF(D56,1,0)</f>
        <v>0</v>
      </c>
      <c r="G56" s="15">
        <f>IF(E56,1,0)</f>
        <v>0</v>
      </c>
    </row>
    <row r="57" spans="1:7" x14ac:dyDescent="0.25">
      <c r="A57" s="3"/>
      <c r="B57" s="6"/>
      <c r="C57" s="20"/>
      <c r="D57" s="15"/>
      <c r="E57" s="15"/>
      <c r="F57" s="15"/>
      <c r="G57" s="15"/>
    </row>
    <row r="58" spans="1:7" x14ac:dyDescent="0.25">
      <c r="A58" s="3"/>
      <c r="B58" s="1" t="s">
        <v>28</v>
      </c>
      <c r="C58" s="4"/>
      <c r="D58" s="15" t="b">
        <v>0</v>
      </c>
      <c r="E58" s="15" t="b">
        <v>0</v>
      </c>
      <c r="F58" s="15">
        <f>IF(D58,2,0)</f>
        <v>0</v>
      </c>
      <c r="G58" s="15">
        <f>IF(E58,1,0)</f>
        <v>0</v>
      </c>
    </row>
    <row r="59" spans="1:7" x14ac:dyDescent="0.25">
      <c r="A59" s="3"/>
      <c r="B59" s="6"/>
      <c r="C59" s="20"/>
      <c r="D59" s="15"/>
      <c r="E59" s="15"/>
      <c r="F59" s="15"/>
      <c r="G59" s="15"/>
    </row>
    <row r="60" spans="1:7" x14ac:dyDescent="0.25">
      <c r="A60" s="3"/>
      <c r="B60" s="1" t="s">
        <v>29</v>
      </c>
      <c r="C60" s="4"/>
      <c r="D60" s="15" t="b">
        <v>0</v>
      </c>
      <c r="E60" s="15" t="b">
        <v>0</v>
      </c>
      <c r="F60" s="15">
        <f>IF(D60,1,0)</f>
        <v>0</v>
      </c>
      <c r="G60" s="15">
        <f>IF(E60,1,0)</f>
        <v>0</v>
      </c>
    </row>
    <row r="61" spans="1:7" x14ac:dyDescent="0.25">
      <c r="A61" s="3"/>
      <c r="B61" s="6"/>
      <c r="C61" s="20"/>
      <c r="D61" s="15"/>
      <c r="E61" s="15"/>
      <c r="F61" s="15"/>
      <c r="G61" s="15"/>
    </row>
    <row r="62" spans="1:7" x14ac:dyDescent="0.25">
      <c r="A62" s="3"/>
      <c r="B62" s="2" t="s">
        <v>30</v>
      </c>
      <c r="C62" s="5"/>
      <c r="D62" s="15" t="b">
        <v>0</v>
      </c>
      <c r="E62" s="15" t="b">
        <v>0</v>
      </c>
      <c r="F62" s="15">
        <f>IF(D62,1,0)</f>
        <v>0</v>
      </c>
      <c r="G62" s="15">
        <f>IF(E62,1,0)</f>
        <v>0</v>
      </c>
    </row>
    <row r="63" spans="1:7" x14ac:dyDescent="0.25">
      <c r="A63" s="3"/>
      <c r="B63" s="3"/>
      <c r="C63" s="3"/>
      <c r="D63" s="16"/>
      <c r="E63" s="16"/>
      <c r="F63" s="16"/>
      <c r="G63" s="16"/>
    </row>
    <row r="64" spans="1:7" x14ac:dyDescent="0.25">
      <c r="A64" s="3"/>
      <c r="B64" s="3"/>
      <c r="C64" s="3"/>
      <c r="D64" s="16"/>
      <c r="E64" s="16"/>
      <c r="F64" s="16"/>
      <c r="G64" s="16"/>
    </row>
    <row r="65" spans="1:7" x14ac:dyDescent="0.25">
      <c r="A65" s="3"/>
      <c r="B65" s="3"/>
      <c r="C65" s="3"/>
      <c r="D65" s="16"/>
      <c r="E65" s="16"/>
      <c r="F65" s="16"/>
      <c r="G65" s="16"/>
    </row>
    <row r="66" spans="1:7" ht="15.75" customHeight="1" x14ac:dyDescent="0.25">
      <c r="A66" s="3"/>
      <c r="B66" s="67" t="s">
        <v>37</v>
      </c>
      <c r="C66" s="65">
        <f>SUM(F70,F72,F74,F76,F78)/10*100</f>
        <v>0</v>
      </c>
      <c r="D66" s="16"/>
      <c r="E66" s="16"/>
      <c r="F66" s="16"/>
      <c r="G66" s="16"/>
    </row>
    <row r="67" spans="1:7" ht="15.75" customHeight="1" x14ac:dyDescent="0.25">
      <c r="A67" s="3"/>
      <c r="B67" s="68"/>
      <c r="C67" s="66"/>
      <c r="D67" s="16"/>
      <c r="E67" s="16"/>
      <c r="F67" s="16"/>
      <c r="G67" s="16"/>
    </row>
    <row r="68" spans="1:7" x14ac:dyDescent="0.25">
      <c r="A68" s="3"/>
      <c r="B68" s="38" t="s">
        <v>155</v>
      </c>
      <c r="C68" s="33">
        <f>SUM(F70,F72,F74,F76,F78)/10*100</f>
        <v>0</v>
      </c>
      <c r="E68" s="16"/>
      <c r="F68" s="16"/>
      <c r="G68" s="16"/>
    </row>
    <row r="69" spans="1:7" ht="15.5" x14ac:dyDescent="0.35">
      <c r="A69" s="3"/>
      <c r="B69" s="24" t="s">
        <v>31</v>
      </c>
      <c r="C69" s="26">
        <f>SUM(F70,F72,F74,F76,F78)</f>
        <v>0</v>
      </c>
      <c r="D69" s="15"/>
      <c r="E69" s="15"/>
      <c r="F69" s="15"/>
      <c r="G69" s="15"/>
    </row>
    <row r="70" spans="1:7" x14ac:dyDescent="0.25">
      <c r="A70" s="3"/>
      <c r="B70" s="12" t="s">
        <v>32</v>
      </c>
      <c r="C70" s="4"/>
      <c r="D70" s="15" t="b">
        <v>0</v>
      </c>
      <c r="E70" s="15" t="b">
        <v>0</v>
      </c>
      <c r="F70" s="15">
        <f>IF(D70,2,0)</f>
        <v>0</v>
      </c>
      <c r="G70" s="15">
        <f>IF(E70,1,0)</f>
        <v>0</v>
      </c>
    </row>
    <row r="71" spans="1:7" x14ac:dyDescent="0.25">
      <c r="A71" s="3"/>
      <c r="B71" s="6"/>
      <c r="C71" s="20"/>
      <c r="D71" s="15"/>
      <c r="E71" s="15"/>
      <c r="F71" s="15"/>
      <c r="G71" s="15"/>
    </row>
    <row r="72" spans="1:7" x14ac:dyDescent="0.25">
      <c r="A72" s="3"/>
      <c r="B72" s="12" t="s">
        <v>33</v>
      </c>
      <c r="C72" s="4"/>
      <c r="D72" s="15" t="b">
        <v>0</v>
      </c>
      <c r="E72" s="15" t="b">
        <v>0</v>
      </c>
      <c r="F72" s="15">
        <f>IF(D72,2,0)</f>
        <v>0</v>
      </c>
      <c r="G72" s="15">
        <f>IF(E72,1,0)</f>
        <v>0</v>
      </c>
    </row>
    <row r="73" spans="1:7" x14ac:dyDescent="0.25">
      <c r="A73" s="3"/>
      <c r="B73" s="6"/>
      <c r="C73" s="20"/>
      <c r="D73" s="15"/>
      <c r="E73" s="15"/>
      <c r="F73" s="15"/>
      <c r="G73" s="15"/>
    </row>
    <row r="74" spans="1:7" ht="25" x14ac:dyDescent="0.25">
      <c r="A74" s="3"/>
      <c r="B74" s="12" t="s">
        <v>34</v>
      </c>
      <c r="C74" s="4"/>
      <c r="D74" s="15" t="b">
        <v>0</v>
      </c>
      <c r="E74" s="15" t="b">
        <v>0</v>
      </c>
      <c r="F74" s="15">
        <f>IF(D74,2,0)</f>
        <v>0</v>
      </c>
      <c r="G74" s="15">
        <f>IF(E74,1,0)</f>
        <v>0</v>
      </c>
    </row>
    <row r="75" spans="1:7" x14ac:dyDescent="0.25">
      <c r="A75" s="3"/>
      <c r="B75" s="6"/>
      <c r="C75" s="20"/>
      <c r="D75" s="15"/>
      <c r="E75" s="15"/>
      <c r="F75" s="15"/>
      <c r="G75" s="15"/>
    </row>
    <row r="76" spans="1:7" ht="25" x14ac:dyDescent="0.25">
      <c r="A76" s="3"/>
      <c r="B76" s="12" t="s">
        <v>35</v>
      </c>
      <c r="C76" s="4"/>
      <c r="D76" s="15" t="b">
        <v>0</v>
      </c>
      <c r="E76" s="15" t="b">
        <v>0</v>
      </c>
      <c r="F76" s="15">
        <f>IF(D76,2,0)</f>
        <v>0</v>
      </c>
      <c r="G76" s="15">
        <f>IF(E76,1,0)</f>
        <v>0</v>
      </c>
    </row>
    <row r="77" spans="1:7" x14ac:dyDescent="0.25">
      <c r="A77" s="3"/>
      <c r="B77" s="6"/>
      <c r="C77" s="20"/>
      <c r="D77" s="15"/>
      <c r="E77" s="15"/>
      <c r="F77" s="15"/>
      <c r="G77" s="15"/>
    </row>
    <row r="78" spans="1:7" x14ac:dyDescent="0.25">
      <c r="A78" s="3"/>
      <c r="B78" s="13" t="s">
        <v>36</v>
      </c>
      <c r="C78" s="5"/>
      <c r="D78" s="15" t="b">
        <v>0</v>
      </c>
      <c r="E78" s="15" t="b">
        <v>0</v>
      </c>
      <c r="F78" s="15">
        <f>IF(D78,2,0)</f>
        <v>0</v>
      </c>
      <c r="G78" s="15">
        <f>IF(E78,1,0)</f>
        <v>0</v>
      </c>
    </row>
    <row r="79" spans="1:7" x14ac:dyDescent="0.25">
      <c r="A79" s="3"/>
      <c r="B79" s="3"/>
      <c r="C79" s="3"/>
      <c r="D79" s="16"/>
      <c r="E79" s="16"/>
      <c r="F79" s="16"/>
      <c r="G79" s="16"/>
    </row>
    <row r="80" spans="1:7" x14ac:dyDescent="0.25">
      <c r="A80" s="3"/>
      <c r="B80" s="3"/>
      <c r="C80" s="3"/>
      <c r="D80" s="16"/>
      <c r="E80" s="16"/>
      <c r="F80" s="16"/>
      <c r="G80" s="16"/>
    </row>
    <row r="81" spans="1:7" x14ac:dyDescent="0.25">
      <c r="A81" s="3"/>
      <c r="B81" s="3"/>
      <c r="C81" s="3"/>
      <c r="D81" s="16"/>
      <c r="E81" s="16"/>
      <c r="F81" s="16"/>
      <c r="G81" s="16"/>
    </row>
    <row r="82" spans="1:7" ht="16.5" customHeight="1" x14ac:dyDescent="0.25">
      <c r="A82" s="3"/>
      <c r="B82" s="61" t="s">
        <v>48</v>
      </c>
      <c r="C82" s="63">
        <f>SUM(C85,C96,C103,C112,C119)/31*100</f>
        <v>0</v>
      </c>
      <c r="D82" s="16"/>
      <c r="E82" s="16"/>
      <c r="F82" s="16"/>
      <c r="G82" s="16"/>
    </row>
    <row r="83" spans="1:7" ht="19.5" customHeight="1" x14ac:dyDescent="0.25">
      <c r="A83" s="3"/>
      <c r="B83" s="62"/>
      <c r="C83" s="64"/>
      <c r="D83" s="16"/>
      <c r="E83" s="16"/>
      <c r="F83" s="16"/>
      <c r="G83" s="16"/>
    </row>
    <row r="84" spans="1:7" x14ac:dyDescent="0.25">
      <c r="A84" s="3"/>
      <c r="B84" s="38" t="s">
        <v>156</v>
      </c>
      <c r="C84" s="33">
        <f>SUM(C85,C96,C103,C112,C119)/31*100</f>
        <v>0</v>
      </c>
      <c r="E84" s="16"/>
      <c r="F84" s="16"/>
      <c r="G84" s="16"/>
    </row>
    <row r="85" spans="1:7" ht="15.5" x14ac:dyDescent="0.35">
      <c r="A85" s="3"/>
      <c r="B85" s="24" t="s">
        <v>38</v>
      </c>
      <c r="C85" s="26">
        <f>SUM(F86,F88,F90,F92,F94)</f>
        <v>0</v>
      </c>
      <c r="D85" s="16"/>
      <c r="E85" s="16"/>
      <c r="F85" s="16"/>
      <c r="G85" s="16"/>
    </row>
    <row r="86" spans="1:7" x14ac:dyDescent="0.25">
      <c r="A86" s="3"/>
      <c r="B86" s="12" t="s">
        <v>39</v>
      </c>
      <c r="C86" s="4"/>
      <c r="D86" s="16" t="b">
        <v>0</v>
      </c>
      <c r="E86" s="16" t="b">
        <v>0</v>
      </c>
      <c r="F86" s="16">
        <f>IF(D86,2,0)</f>
        <v>0</v>
      </c>
      <c r="G86" s="16">
        <f>IF(E86,1,0)</f>
        <v>0</v>
      </c>
    </row>
    <row r="87" spans="1:7" x14ac:dyDescent="0.25">
      <c r="A87" s="3"/>
      <c r="B87" s="6"/>
      <c r="C87" s="20"/>
      <c r="D87" s="16"/>
      <c r="E87" s="16"/>
      <c r="F87" s="16"/>
      <c r="G87" s="16"/>
    </row>
    <row r="88" spans="1:7" x14ac:dyDescent="0.25">
      <c r="A88" s="3"/>
      <c r="B88" s="12" t="s">
        <v>40</v>
      </c>
      <c r="C88" s="4"/>
      <c r="D88" s="16" t="b">
        <v>0</v>
      </c>
      <c r="E88" s="16" t="b">
        <v>0</v>
      </c>
      <c r="F88" s="16">
        <f>IF(D88,1,0)</f>
        <v>0</v>
      </c>
      <c r="G88" s="16">
        <f>IF(E88,1,0)</f>
        <v>0</v>
      </c>
    </row>
    <row r="89" spans="1:7" x14ac:dyDescent="0.25">
      <c r="A89" s="3"/>
      <c r="B89" s="6"/>
      <c r="C89" s="20"/>
      <c r="D89" s="16"/>
      <c r="E89" s="16"/>
      <c r="F89" s="16"/>
      <c r="G89" s="16"/>
    </row>
    <row r="90" spans="1:7" x14ac:dyDescent="0.25">
      <c r="A90" s="3"/>
      <c r="B90" s="12" t="s">
        <v>41</v>
      </c>
      <c r="C90" s="4"/>
      <c r="D90" s="16" t="b">
        <v>0</v>
      </c>
      <c r="E90" s="16" t="b">
        <v>0</v>
      </c>
      <c r="F90" s="16">
        <f>IF(D90,2,0)</f>
        <v>0</v>
      </c>
      <c r="G90" s="16">
        <f>IF(E90,1,0)</f>
        <v>0</v>
      </c>
    </row>
    <row r="91" spans="1:7" x14ac:dyDescent="0.25">
      <c r="A91" s="3"/>
      <c r="B91" s="6"/>
      <c r="C91" s="20"/>
      <c r="D91" s="16"/>
      <c r="E91" s="16"/>
      <c r="F91" s="16"/>
      <c r="G91" s="16"/>
    </row>
    <row r="92" spans="1:7" x14ac:dyDescent="0.25">
      <c r="A92" s="3"/>
      <c r="B92" s="12" t="s">
        <v>42</v>
      </c>
      <c r="C92" s="4"/>
      <c r="D92" s="16" t="b">
        <v>0</v>
      </c>
      <c r="E92" s="16" t="b">
        <v>0</v>
      </c>
      <c r="F92" s="16">
        <f>IF(D92,1,0)</f>
        <v>0</v>
      </c>
      <c r="G92" s="16">
        <f>IF(E92,1,0)</f>
        <v>0</v>
      </c>
    </row>
    <row r="93" spans="1:7" x14ac:dyDescent="0.25">
      <c r="A93" s="3"/>
      <c r="B93" s="6"/>
      <c r="C93" s="20"/>
      <c r="D93" s="16"/>
      <c r="E93" s="16"/>
      <c r="F93" s="16"/>
      <c r="G93" s="16"/>
    </row>
    <row r="94" spans="1:7" ht="25" x14ac:dyDescent="0.25">
      <c r="A94" s="3"/>
      <c r="B94" s="13" t="s">
        <v>43</v>
      </c>
      <c r="C94" s="5"/>
      <c r="D94" s="16" t="b">
        <v>0</v>
      </c>
      <c r="E94" s="16" t="b">
        <v>0</v>
      </c>
      <c r="F94">
        <f>IF(D94,1,0)</f>
        <v>0</v>
      </c>
      <c r="G94">
        <f>IF(E94,1,0)</f>
        <v>0</v>
      </c>
    </row>
    <row r="95" spans="1:7" x14ac:dyDescent="0.25">
      <c r="A95" s="3"/>
      <c r="B95" s="3"/>
      <c r="C95" s="3"/>
    </row>
    <row r="96" spans="1:7" ht="15.5" x14ac:dyDescent="0.35">
      <c r="A96" s="3"/>
      <c r="B96" s="24" t="s">
        <v>44</v>
      </c>
      <c r="C96" s="27">
        <f>SUM(F97,F99,F101)</f>
        <v>0</v>
      </c>
    </row>
    <row r="97" spans="1:7" x14ac:dyDescent="0.25">
      <c r="A97" s="3"/>
      <c r="B97" s="1" t="s">
        <v>45</v>
      </c>
      <c r="C97" s="4"/>
      <c r="D97" s="10" t="b">
        <v>0</v>
      </c>
      <c r="E97" s="10" t="b">
        <v>0</v>
      </c>
      <c r="F97">
        <f>IF(D97,1,0)</f>
        <v>0</v>
      </c>
      <c r="G97">
        <f>IF(E97,1,0)</f>
        <v>0</v>
      </c>
    </row>
    <row r="98" spans="1:7" x14ac:dyDescent="0.25">
      <c r="A98" s="3"/>
      <c r="B98" s="6"/>
      <c r="C98" s="20"/>
    </row>
    <row r="99" spans="1:7" x14ac:dyDescent="0.25">
      <c r="A99" s="3"/>
      <c r="B99" s="1" t="s">
        <v>46</v>
      </c>
      <c r="C99" s="4"/>
      <c r="D99" s="10" t="b">
        <v>0</v>
      </c>
      <c r="E99" s="10" t="b">
        <v>0</v>
      </c>
      <c r="F99">
        <f>IF(D99,2,0)</f>
        <v>0</v>
      </c>
      <c r="G99">
        <f>IF(E99,1,0)</f>
        <v>0</v>
      </c>
    </row>
    <row r="100" spans="1:7" x14ac:dyDescent="0.25">
      <c r="A100" s="3"/>
      <c r="B100" s="6"/>
      <c r="C100" s="20"/>
      <c r="D100" s="10"/>
      <c r="E100" s="10"/>
      <c r="F100" s="10"/>
      <c r="G100" s="10"/>
    </row>
    <row r="101" spans="1:7" ht="15" customHeight="1" x14ac:dyDescent="0.25">
      <c r="A101" s="3"/>
      <c r="B101" s="2" t="s">
        <v>47</v>
      </c>
      <c r="C101" s="5"/>
      <c r="D101" s="10" t="b">
        <v>0</v>
      </c>
      <c r="E101" s="10" t="b">
        <v>0</v>
      </c>
      <c r="F101">
        <f>IF(D101,1,0)</f>
        <v>0</v>
      </c>
      <c r="G101">
        <f>IF(E101,1,0)</f>
        <v>0</v>
      </c>
    </row>
    <row r="102" spans="1:7" x14ac:dyDescent="0.25">
      <c r="A102" s="3"/>
      <c r="B102" s="3"/>
      <c r="C102" s="3"/>
    </row>
    <row r="103" spans="1:7" ht="15.5" x14ac:dyDescent="0.35">
      <c r="A103" s="3"/>
      <c r="B103" s="24" t="s">
        <v>49</v>
      </c>
      <c r="C103" s="28">
        <f>SUM(F104,F106,F108,F110)</f>
        <v>0</v>
      </c>
    </row>
    <row r="104" spans="1:7" ht="25" x14ac:dyDescent="0.25">
      <c r="A104" s="3"/>
      <c r="B104" s="1" t="s">
        <v>50</v>
      </c>
      <c r="C104" s="4"/>
      <c r="D104" t="b">
        <v>0</v>
      </c>
      <c r="E104" t="b">
        <v>0</v>
      </c>
      <c r="F104">
        <f>IF(D104,1,0)</f>
        <v>0</v>
      </c>
      <c r="G104">
        <f>IF(E104,1,0)</f>
        <v>0</v>
      </c>
    </row>
    <row r="105" spans="1:7" x14ac:dyDescent="0.25">
      <c r="A105" s="3"/>
      <c r="B105" s="6"/>
      <c r="C105" s="20"/>
    </row>
    <row r="106" spans="1:7" x14ac:dyDescent="0.25">
      <c r="A106" s="3"/>
      <c r="B106" s="1" t="s">
        <v>51</v>
      </c>
      <c r="C106" s="4"/>
      <c r="D106" t="b">
        <v>0</v>
      </c>
      <c r="E106" t="b">
        <v>0</v>
      </c>
      <c r="F106">
        <f>IF(D106,2,0)</f>
        <v>0</v>
      </c>
      <c r="G106">
        <f>IF(E106,1,0)</f>
        <v>0</v>
      </c>
    </row>
    <row r="107" spans="1:7" x14ac:dyDescent="0.25">
      <c r="A107" s="3"/>
      <c r="B107" s="6"/>
      <c r="C107" s="20"/>
    </row>
    <row r="108" spans="1:7" ht="25" x14ac:dyDescent="0.25">
      <c r="A108" s="3"/>
      <c r="B108" s="1" t="s">
        <v>52</v>
      </c>
      <c r="C108" s="4"/>
      <c r="D108" t="b">
        <v>0</v>
      </c>
      <c r="E108" t="b">
        <v>0</v>
      </c>
      <c r="F108">
        <f>IF(D108,3,0)</f>
        <v>0</v>
      </c>
      <c r="G108">
        <f>IF(E108,1,0)</f>
        <v>0</v>
      </c>
    </row>
    <row r="109" spans="1:7" x14ac:dyDescent="0.25">
      <c r="A109" s="3"/>
      <c r="B109" s="6"/>
      <c r="C109" s="20"/>
    </row>
    <row r="110" spans="1:7" ht="25" x14ac:dyDescent="0.25">
      <c r="A110" s="3"/>
      <c r="B110" s="2" t="s">
        <v>53</v>
      </c>
      <c r="C110" s="5"/>
      <c r="D110" t="b">
        <v>0</v>
      </c>
      <c r="E110" t="b">
        <v>0</v>
      </c>
      <c r="F110">
        <f>IF(D110,1,0)</f>
        <v>0</v>
      </c>
      <c r="G110">
        <f>IF(E110,1,0)</f>
        <v>0</v>
      </c>
    </row>
    <row r="111" spans="1:7" x14ac:dyDescent="0.25">
      <c r="A111" s="3"/>
      <c r="B111" s="3"/>
      <c r="C111" s="3"/>
    </row>
    <row r="112" spans="1:7" ht="15.5" x14ac:dyDescent="0.35">
      <c r="A112" s="3"/>
      <c r="B112" s="24" t="s">
        <v>54</v>
      </c>
      <c r="C112" s="27">
        <f>SUM(F113,F115,F117)</f>
        <v>0</v>
      </c>
    </row>
    <row r="113" spans="1:7" x14ac:dyDescent="0.25">
      <c r="A113" s="3"/>
      <c r="B113" s="1" t="s">
        <v>55</v>
      </c>
      <c r="C113" s="4"/>
      <c r="D113" t="b">
        <v>0</v>
      </c>
      <c r="E113" t="b">
        <v>0</v>
      </c>
      <c r="F113">
        <f>IF(D113,1,0)</f>
        <v>0</v>
      </c>
      <c r="G113">
        <f>IF(E113,1,0)</f>
        <v>0</v>
      </c>
    </row>
    <row r="114" spans="1:7" x14ac:dyDescent="0.25">
      <c r="A114" s="3"/>
      <c r="B114" s="6"/>
      <c r="C114" s="20"/>
    </row>
    <row r="115" spans="1:7" x14ac:dyDescent="0.25">
      <c r="A115" s="3"/>
      <c r="B115" s="1" t="s">
        <v>56</v>
      </c>
      <c r="C115" s="4"/>
      <c r="D115" t="b">
        <v>0</v>
      </c>
      <c r="E115" t="b">
        <v>0</v>
      </c>
      <c r="F115">
        <f>IF(D115,1,0)</f>
        <v>0</v>
      </c>
      <c r="G115">
        <f>IF(E115,1,0)</f>
        <v>0</v>
      </c>
    </row>
    <row r="116" spans="1:7" x14ac:dyDescent="0.25">
      <c r="A116" s="3"/>
      <c r="B116" s="6"/>
      <c r="C116" s="20"/>
    </row>
    <row r="117" spans="1:7" ht="14.25" customHeight="1" x14ac:dyDescent="0.25">
      <c r="A117" s="3"/>
      <c r="B117" s="2" t="s">
        <v>57</v>
      </c>
      <c r="C117" s="5"/>
      <c r="D117" t="b">
        <v>0</v>
      </c>
      <c r="E117" t="b">
        <v>0</v>
      </c>
      <c r="F117">
        <f>IF(D117,2,0)</f>
        <v>0</v>
      </c>
      <c r="G117">
        <f>IF(E117,1,0)</f>
        <v>0</v>
      </c>
    </row>
    <row r="118" spans="1:7" x14ac:dyDescent="0.25">
      <c r="A118" s="3"/>
    </row>
    <row r="119" spans="1:7" ht="15.5" x14ac:dyDescent="0.35">
      <c r="A119" s="3"/>
      <c r="B119" s="24" t="s">
        <v>58</v>
      </c>
      <c r="C119" s="27">
        <f>SUM(F120,F122,F124,F126)</f>
        <v>0</v>
      </c>
    </row>
    <row r="120" spans="1:7" x14ac:dyDescent="0.25">
      <c r="A120" s="3"/>
      <c r="B120" s="1" t="s">
        <v>59</v>
      </c>
      <c r="C120" s="4"/>
      <c r="D120" t="b">
        <v>0</v>
      </c>
      <c r="E120" t="b">
        <v>0</v>
      </c>
      <c r="F120">
        <f>IF(D120,3,0)</f>
        <v>0</v>
      </c>
      <c r="G120">
        <f>IF(E120,1,0)</f>
        <v>0</v>
      </c>
    </row>
    <row r="121" spans="1:7" x14ac:dyDescent="0.25">
      <c r="A121" s="3"/>
      <c r="B121" s="6"/>
      <c r="C121" s="20"/>
    </row>
    <row r="122" spans="1:7" x14ac:dyDescent="0.25">
      <c r="A122" s="3"/>
      <c r="B122" s="1" t="s">
        <v>60</v>
      </c>
      <c r="C122" s="4"/>
      <c r="D122" t="b">
        <v>0</v>
      </c>
      <c r="E122" t="b">
        <v>0</v>
      </c>
      <c r="F122">
        <f>IF(D122,3,0)</f>
        <v>0</v>
      </c>
      <c r="G122">
        <f>IF(E122,1,0)</f>
        <v>0</v>
      </c>
    </row>
    <row r="123" spans="1:7" x14ac:dyDescent="0.25">
      <c r="A123" s="3"/>
      <c r="B123" s="6"/>
      <c r="C123" s="20"/>
    </row>
    <row r="124" spans="1:7" x14ac:dyDescent="0.25">
      <c r="A124" s="3"/>
      <c r="B124" s="1" t="s">
        <v>61</v>
      </c>
      <c r="C124" s="4"/>
      <c r="D124" t="b">
        <v>0</v>
      </c>
      <c r="E124" t="b">
        <v>0</v>
      </c>
      <c r="F124">
        <f>IF(D124,1,0)</f>
        <v>0</v>
      </c>
      <c r="G124">
        <f>IF(E124,1,0)</f>
        <v>0</v>
      </c>
    </row>
    <row r="125" spans="1:7" x14ac:dyDescent="0.25">
      <c r="A125" s="3"/>
      <c r="B125" s="6"/>
      <c r="C125" s="20"/>
    </row>
    <row r="126" spans="1:7" x14ac:dyDescent="0.25">
      <c r="A126" s="3"/>
      <c r="B126" s="2" t="s">
        <v>62</v>
      </c>
      <c r="C126" s="5"/>
      <c r="D126" t="b">
        <v>0</v>
      </c>
      <c r="E126" t="b">
        <v>0</v>
      </c>
      <c r="F126">
        <f>IF(D126,2,0)</f>
        <v>0</v>
      </c>
      <c r="G126">
        <f>IF(E126,1,0)</f>
        <v>0</v>
      </c>
    </row>
    <row r="127" spans="1:7" x14ac:dyDescent="0.25">
      <c r="A127" s="3"/>
      <c r="B127" s="3"/>
      <c r="C127" s="3"/>
    </row>
    <row r="128" spans="1:7" x14ac:dyDescent="0.25">
      <c r="A128" s="3"/>
      <c r="B128" s="3"/>
      <c r="C128" s="3"/>
    </row>
    <row r="129" spans="1:7" ht="36" x14ac:dyDescent="0.4">
      <c r="A129" s="3"/>
      <c r="B129" s="29" t="s">
        <v>63</v>
      </c>
      <c r="C129" s="19">
        <f>SUM(C131,C148)/27*100</f>
        <v>0</v>
      </c>
    </row>
    <row r="130" spans="1:7" x14ac:dyDescent="0.25">
      <c r="A130" s="3"/>
      <c r="B130" s="38" t="s">
        <v>157</v>
      </c>
      <c r="C130" s="22">
        <f>SUM(C131,C148)/27*100</f>
        <v>0</v>
      </c>
    </row>
    <row r="131" spans="1:7" ht="16.5" customHeight="1" x14ac:dyDescent="0.35">
      <c r="A131" s="3"/>
      <c r="B131" s="24" t="s">
        <v>64</v>
      </c>
      <c r="C131" s="27">
        <f>SUM(F132,F134,F136,F138,F140,F142,F144,F146)</f>
        <v>0</v>
      </c>
    </row>
    <row r="132" spans="1:7" x14ac:dyDescent="0.25">
      <c r="A132" s="3"/>
      <c r="B132" s="1" t="s">
        <v>65</v>
      </c>
      <c r="C132" s="4"/>
      <c r="D132" t="b">
        <v>0</v>
      </c>
      <c r="E132" t="b">
        <v>0</v>
      </c>
      <c r="F132">
        <f>IF(D132,2,0)</f>
        <v>0</v>
      </c>
      <c r="G132">
        <f>IF(E132,1,0)</f>
        <v>0</v>
      </c>
    </row>
    <row r="133" spans="1:7" x14ac:dyDescent="0.25">
      <c r="A133" s="3"/>
      <c r="B133" s="6"/>
      <c r="C133" s="20"/>
    </row>
    <row r="134" spans="1:7" ht="25" x14ac:dyDescent="0.25">
      <c r="A134" s="3"/>
      <c r="B134" s="1" t="s">
        <v>66</v>
      </c>
      <c r="C134" s="4"/>
      <c r="D134" t="b">
        <v>0</v>
      </c>
      <c r="E134" t="b">
        <v>0</v>
      </c>
      <c r="F134">
        <f>IF(D134,1,0)</f>
        <v>0</v>
      </c>
      <c r="G134">
        <f>IF(E134,1,0)</f>
        <v>0</v>
      </c>
    </row>
    <row r="135" spans="1:7" x14ac:dyDescent="0.25">
      <c r="A135" s="3"/>
      <c r="B135" s="6"/>
      <c r="C135" s="20"/>
    </row>
    <row r="136" spans="1:7" x14ac:dyDescent="0.25">
      <c r="A136" s="3"/>
      <c r="B136" s="1" t="s">
        <v>67</v>
      </c>
      <c r="C136" s="4"/>
      <c r="D136" t="b">
        <v>0</v>
      </c>
      <c r="E136" t="b">
        <v>0</v>
      </c>
      <c r="F136">
        <f>IF(D136,2,0)</f>
        <v>0</v>
      </c>
      <c r="G136">
        <f>IF(E136,1,0)</f>
        <v>0</v>
      </c>
    </row>
    <row r="137" spans="1:7" x14ac:dyDescent="0.25">
      <c r="A137" s="3"/>
      <c r="B137" s="6"/>
      <c r="C137" s="20"/>
    </row>
    <row r="138" spans="1:7" ht="25" x14ac:dyDescent="0.25">
      <c r="A138" s="3"/>
      <c r="B138" s="1" t="s">
        <v>68</v>
      </c>
      <c r="C138" s="4"/>
      <c r="D138" t="b">
        <v>0</v>
      </c>
      <c r="E138" t="b">
        <v>0</v>
      </c>
      <c r="F138">
        <f>IF(D138,3,0)</f>
        <v>0</v>
      </c>
      <c r="G138">
        <f>IF(E138,1,0)</f>
        <v>0</v>
      </c>
    </row>
    <row r="139" spans="1:7" x14ac:dyDescent="0.25">
      <c r="A139" s="3"/>
      <c r="B139" s="6"/>
      <c r="C139" s="20"/>
    </row>
    <row r="140" spans="1:7" x14ac:dyDescent="0.25">
      <c r="A140" s="3"/>
      <c r="B140" s="1" t="s">
        <v>69</v>
      </c>
      <c r="C140" s="4"/>
      <c r="D140" t="b">
        <v>0</v>
      </c>
      <c r="E140" t="b">
        <v>0</v>
      </c>
      <c r="F140">
        <f>IF(D140,1,0)</f>
        <v>0</v>
      </c>
      <c r="G140">
        <f>IF(E140,1,0)</f>
        <v>0</v>
      </c>
    </row>
    <row r="141" spans="1:7" x14ac:dyDescent="0.25">
      <c r="A141" s="3"/>
      <c r="B141" s="6"/>
      <c r="C141" s="20"/>
    </row>
    <row r="142" spans="1:7" x14ac:dyDescent="0.25">
      <c r="A142" s="3"/>
      <c r="B142" s="1" t="s">
        <v>70</v>
      </c>
      <c r="C142" s="4"/>
      <c r="D142" t="b">
        <v>0</v>
      </c>
      <c r="E142" t="b">
        <v>0</v>
      </c>
      <c r="F142">
        <f>IF(D142,1,0)</f>
        <v>0</v>
      </c>
      <c r="G142">
        <f>IF(E142,1,0)</f>
        <v>0</v>
      </c>
    </row>
    <row r="143" spans="1:7" x14ac:dyDescent="0.25">
      <c r="A143" s="3"/>
      <c r="B143" s="6"/>
      <c r="C143" s="20"/>
    </row>
    <row r="144" spans="1:7" x14ac:dyDescent="0.25">
      <c r="A144" s="3"/>
      <c r="B144" s="1" t="s">
        <v>71</v>
      </c>
      <c r="C144" s="4"/>
      <c r="D144" t="b">
        <v>0</v>
      </c>
      <c r="E144" t="b">
        <v>0</v>
      </c>
      <c r="F144">
        <f>IF(D144,2,0)</f>
        <v>0</v>
      </c>
      <c r="G144">
        <f>IF(E144,1,0)</f>
        <v>0</v>
      </c>
    </row>
    <row r="145" spans="1:7" x14ac:dyDescent="0.25">
      <c r="A145" s="3"/>
      <c r="B145" s="6"/>
      <c r="C145" s="20"/>
    </row>
    <row r="146" spans="1:7" ht="14.25" customHeight="1" x14ac:dyDescent="0.25">
      <c r="A146" s="3"/>
      <c r="B146" s="2" t="s">
        <v>72</v>
      </c>
      <c r="C146" s="5"/>
      <c r="D146" t="b">
        <v>0</v>
      </c>
      <c r="E146" t="b">
        <v>0</v>
      </c>
      <c r="F146">
        <f>IF(D146,2,0)</f>
        <v>0</v>
      </c>
      <c r="G146">
        <f>IF(E146,1,0)</f>
        <v>0</v>
      </c>
    </row>
    <row r="147" spans="1:7" x14ac:dyDescent="0.25">
      <c r="A147" s="3"/>
      <c r="B147" s="3"/>
      <c r="C147" s="3"/>
    </row>
    <row r="148" spans="1:7" ht="15.5" x14ac:dyDescent="0.35">
      <c r="A148" s="3"/>
      <c r="B148" s="24" t="s">
        <v>73</v>
      </c>
      <c r="C148" s="27">
        <f>SUM(F149,F151,F153,F155,F157)</f>
        <v>0</v>
      </c>
    </row>
    <row r="149" spans="1:7" ht="25" x14ac:dyDescent="0.25">
      <c r="A149" s="3"/>
      <c r="B149" s="1" t="s">
        <v>74</v>
      </c>
      <c r="C149" s="4"/>
      <c r="D149" t="b">
        <v>0</v>
      </c>
      <c r="E149" t="b">
        <v>0</v>
      </c>
      <c r="F149">
        <f>IF(D149,3,0)</f>
        <v>0</v>
      </c>
      <c r="G149">
        <f>IF(E149,1,0)</f>
        <v>0</v>
      </c>
    </row>
    <row r="150" spans="1:7" x14ac:dyDescent="0.25">
      <c r="A150" s="3"/>
      <c r="B150" s="6"/>
      <c r="C150" s="20"/>
    </row>
    <row r="151" spans="1:7" ht="25" x14ac:dyDescent="0.25">
      <c r="A151" s="3"/>
      <c r="B151" s="1" t="s">
        <v>75</v>
      </c>
      <c r="C151" s="4"/>
      <c r="D151" t="b">
        <v>0</v>
      </c>
      <c r="E151" t="b">
        <v>0</v>
      </c>
      <c r="F151">
        <f>IF(D151,3,0)</f>
        <v>0</v>
      </c>
      <c r="G151">
        <f>IF(E151,1,0)</f>
        <v>0</v>
      </c>
    </row>
    <row r="152" spans="1:7" x14ac:dyDescent="0.25">
      <c r="A152" s="3"/>
      <c r="B152" s="6"/>
      <c r="C152" s="20"/>
    </row>
    <row r="153" spans="1:7" ht="25" x14ac:dyDescent="0.25">
      <c r="A153" s="3"/>
      <c r="B153" s="1" t="s">
        <v>76</v>
      </c>
      <c r="C153" s="4"/>
      <c r="D153" t="b">
        <v>0</v>
      </c>
      <c r="E153" t="b">
        <v>0</v>
      </c>
      <c r="F153">
        <f>IF(D153,2,0)</f>
        <v>0</v>
      </c>
      <c r="G153">
        <f>IF(E153,1,0)</f>
        <v>0</v>
      </c>
    </row>
    <row r="154" spans="1:7" x14ac:dyDescent="0.25">
      <c r="A154" s="3"/>
      <c r="B154" s="6"/>
      <c r="C154" s="20"/>
    </row>
    <row r="155" spans="1:7" ht="25" x14ac:dyDescent="0.25">
      <c r="A155" s="3"/>
      <c r="B155" s="1" t="s">
        <v>77</v>
      </c>
      <c r="C155" s="4"/>
      <c r="D155" t="b">
        <v>0</v>
      </c>
      <c r="E155" t="b">
        <v>0</v>
      </c>
      <c r="F155">
        <f>IF(D155,2,0)</f>
        <v>0</v>
      </c>
      <c r="G155">
        <f>IF(E155,1,0)</f>
        <v>0</v>
      </c>
    </row>
    <row r="156" spans="1:7" x14ac:dyDescent="0.25">
      <c r="A156" s="3"/>
      <c r="B156" s="6"/>
      <c r="C156" s="20"/>
    </row>
    <row r="157" spans="1:7" ht="25" x14ac:dyDescent="0.25">
      <c r="A157" s="3"/>
      <c r="B157" s="2" t="s">
        <v>78</v>
      </c>
      <c r="C157" s="5"/>
      <c r="D157" t="b">
        <v>0</v>
      </c>
      <c r="E157" t="b">
        <v>0</v>
      </c>
      <c r="F157">
        <f>IF(D157,3,0)</f>
        <v>0</v>
      </c>
      <c r="G157">
        <f>IF(E157,1,0)</f>
        <v>0</v>
      </c>
    </row>
    <row r="158" spans="1:7" x14ac:dyDescent="0.25">
      <c r="A158" s="3"/>
      <c r="B158" s="18"/>
      <c r="C158" s="18"/>
    </row>
    <row r="159" spans="1:7" x14ac:dyDescent="0.25">
      <c r="A159" s="3"/>
      <c r="B159" s="18"/>
      <c r="C159" s="18"/>
    </row>
    <row r="160" spans="1:7" ht="18" customHeight="1" x14ac:dyDescent="0.25">
      <c r="A160" s="3"/>
      <c r="B160" s="67" t="s">
        <v>85</v>
      </c>
      <c r="C160" s="69">
        <f>SUM(C163,C174,C185)/32*100</f>
        <v>0</v>
      </c>
    </row>
    <row r="161" spans="1:7" x14ac:dyDescent="0.25">
      <c r="A161" s="3"/>
      <c r="B161" s="68"/>
      <c r="C161" s="70"/>
    </row>
    <row r="162" spans="1:7" x14ac:dyDescent="0.25">
      <c r="A162" s="3"/>
      <c r="B162" s="38" t="s">
        <v>158</v>
      </c>
      <c r="C162" s="34">
        <f>SUM(C163,C174,C185)/32*100</f>
        <v>0</v>
      </c>
    </row>
    <row r="163" spans="1:7" ht="15.5" x14ac:dyDescent="0.35">
      <c r="A163" s="3"/>
      <c r="B163" s="24" t="s">
        <v>79</v>
      </c>
      <c r="C163" s="27">
        <f>SUM(F164,F166,F168,F170,F172)</f>
        <v>0</v>
      </c>
    </row>
    <row r="164" spans="1:7" x14ac:dyDescent="0.25">
      <c r="A164" s="3"/>
      <c r="B164" s="1" t="s">
        <v>80</v>
      </c>
      <c r="C164" s="4"/>
      <c r="D164" t="b">
        <v>0</v>
      </c>
      <c r="E164" t="b">
        <v>0</v>
      </c>
      <c r="F164">
        <f>IF(D164,2,0)</f>
        <v>0</v>
      </c>
      <c r="G164">
        <f>IF(E164,1,0)</f>
        <v>0</v>
      </c>
    </row>
    <row r="165" spans="1:7" x14ac:dyDescent="0.25">
      <c r="A165" s="3"/>
      <c r="B165" s="6"/>
      <c r="C165" s="20"/>
    </row>
    <row r="166" spans="1:7" ht="25" x14ac:dyDescent="0.25">
      <c r="A166" s="3"/>
      <c r="B166" s="1" t="s">
        <v>81</v>
      </c>
      <c r="C166" s="4"/>
      <c r="D166" t="b">
        <v>0</v>
      </c>
      <c r="E166" t="b">
        <v>0</v>
      </c>
      <c r="F166">
        <f>IF(D166,3,0)</f>
        <v>0</v>
      </c>
      <c r="G166">
        <f>IF(E166,1,0)</f>
        <v>0</v>
      </c>
    </row>
    <row r="167" spans="1:7" x14ac:dyDescent="0.25">
      <c r="A167" s="3"/>
      <c r="B167" s="6"/>
      <c r="C167" s="20"/>
    </row>
    <row r="168" spans="1:7" ht="25" x14ac:dyDescent="0.25">
      <c r="A168" s="3"/>
      <c r="B168" s="1" t="s">
        <v>82</v>
      </c>
      <c r="C168" s="4"/>
      <c r="D168" t="b">
        <v>0</v>
      </c>
      <c r="E168" t="b">
        <v>0</v>
      </c>
      <c r="F168">
        <f>IF(D168,2,0)</f>
        <v>0</v>
      </c>
      <c r="G168">
        <f>IF(E168,1,0)</f>
        <v>0</v>
      </c>
    </row>
    <row r="169" spans="1:7" x14ac:dyDescent="0.25">
      <c r="A169" s="3"/>
      <c r="B169" s="6"/>
      <c r="C169" s="20"/>
    </row>
    <row r="170" spans="1:7" x14ac:dyDescent="0.25">
      <c r="A170" s="3"/>
      <c r="B170" s="1" t="s">
        <v>83</v>
      </c>
      <c r="C170" s="4"/>
      <c r="D170" t="b">
        <v>0</v>
      </c>
      <c r="E170" t="b">
        <v>0</v>
      </c>
      <c r="F170">
        <f>IF(D170,2,0)</f>
        <v>0</v>
      </c>
      <c r="G170">
        <f>IF(E170,1,0)</f>
        <v>0</v>
      </c>
    </row>
    <row r="171" spans="1:7" x14ac:dyDescent="0.25">
      <c r="A171" s="3"/>
      <c r="B171" s="6"/>
      <c r="C171" s="20"/>
    </row>
    <row r="172" spans="1:7" x14ac:dyDescent="0.25">
      <c r="A172" s="3"/>
      <c r="B172" s="2" t="s">
        <v>84</v>
      </c>
      <c r="C172" s="4"/>
      <c r="D172" t="b">
        <v>0</v>
      </c>
      <c r="E172" t="b">
        <v>0</v>
      </c>
      <c r="F172">
        <f>IF(D172,3,0)</f>
        <v>0</v>
      </c>
      <c r="G172">
        <f>IF(E172,1,0)</f>
        <v>0</v>
      </c>
    </row>
    <row r="173" spans="1:7" x14ac:dyDescent="0.25">
      <c r="A173" s="3"/>
    </row>
    <row r="174" spans="1:7" ht="15.5" x14ac:dyDescent="0.35">
      <c r="A174" s="3"/>
      <c r="B174" s="24" t="s">
        <v>86</v>
      </c>
      <c r="C174" s="27">
        <f>SUM(F175,F177,F179,F181,F183)</f>
        <v>0</v>
      </c>
    </row>
    <row r="175" spans="1:7" x14ac:dyDescent="0.25">
      <c r="A175" s="3"/>
      <c r="B175" s="1" t="s">
        <v>87</v>
      </c>
      <c r="C175" s="4"/>
      <c r="D175" t="b">
        <v>0</v>
      </c>
      <c r="E175" t="b">
        <v>0</v>
      </c>
      <c r="F175">
        <f>IF(D175,3,0)</f>
        <v>0</v>
      </c>
      <c r="G175">
        <f>IF(E175,1,0)</f>
        <v>0</v>
      </c>
    </row>
    <row r="176" spans="1:7" x14ac:dyDescent="0.25">
      <c r="A176" s="3"/>
      <c r="B176" s="6"/>
      <c r="C176" s="20"/>
    </row>
    <row r="177" spans="1:7" ht="14.25" customHeight="1" x14ac:dyDescent="0.25">
      <c r="A177" s="3"/>
      <c r="B177" s="1" t="s">
        <v>88</v>
      </c>
      <c r="C177" s="4"/>
      <c r="D177" t="b">
        <v>0</v>
      </c>
      <c r="E177" t="b">
        <v>0</v>
      </c>
      <c r="F177">
        <f>IF(D177,3,0)</f>
        <v>0</v>
      </c>
      <c r="G177">
        <f>IF(E177,1,0)</f>
        <v>0</v>
      </c>
    </row>
    <row r="178" spans="1:7" x14ac:dyDescent="0.25">
      <c r="A178" s="3"/>
      <c r="B178" s="6"/>
      <c r="C178" s="20"/>
    </row>
    <row r="179" spans="1:7" ht="25" x14ac:dyDescent="0.25">
      <c r="A179" s="3"/>
      <c r="B179" s="1" t="s">
        <v>89</v>
      </c>
      <c r="C179" s="4"/>
      <c r="D179" t="b">
        <v>0</v>
      </c>
      <c r="E179" t="b">
        <v>0</v>
      </c>
      <c r="F179">
        <f>IF(D179,2,0)</f>
        <v>0</v>
      </c>
      <c r="G179">
        <f>IF(E179,1,0)</f>
        <v>0</v>
      </c>
    </row>
    <row r="180" spans="1:7" x14ac:dyDescent="0.25">
      <c r="A180" s="3"/>
      <c r="B180" s="6"/>
      <c r="C180" s="20"/>
    </row>
    <row r="181" spans="1:7" ht="25" x14ac:dyDescent="0.25">
      <c r="A181" s="3"/>
      <c r="B181" s="1" t="s">
        <v>90</v>
      </c>
      <c r="C181" s="4"/>
      <c r="D181" t="b">
        <v>0</v>
      </c>
      <c r="E181" t="b">
        <v>0</v>
      </c>
      <c r="F181">
        <f>IF(D181,2,0)</f>
        <v>0</v>
      </c>
      <c r="G181">
        <f>IF(E181,1,0)</f>
        <v>0</v>
      </c>
    </row>
    <row r="182" spans="1:7" x14ac:dyDescent="0.25">
      <c r="A182" s="3"/>
      <c r="B182" s="6"/>
      <c r="C182" s="20"/>
    </row>
    <row r="183" spans="1:7" ht="25" x14ac:dyDescent="0.25">
      <c r="A183" s="3"/>
      <c r="B183" s="2" t="s">
        <v>91</v>
      </c>
      <c r="C183" s="5"/>
      <c r="D183" t="b">
        <v>0</v>
      </c>
      <c r="E183" t="b">
        <v>0</v>
      </c>
      <c r="F183">
        <f>IF(D183,1,0)</f>
        <v>0</v>
      </c>
      <c r="G183">
        <f>IF(E183,1,0)</f>
        <v>0</v>
      </c>
    </row>
    <row r="184" spans="1:7" x14ac:dyDescent="0.25">
      <c r="A184" s="3"/>
    </row>
    <row r="185" spans="1:7" ht="15.5" x14ac:dyDescent="0.35">
      <c r="A185" s="3"/>
      <c r="B185" s="24" t="s">
        <v>92</v>
      </c>
      <c r="C185" s="27">
        <f>SUM(F186,F188,F190,F192)</f>
        <v>0</v>
      </c>
    </row>
    <row r="186" spans="1:7" x14ac:dyDescent="0.25">
      <c r="A186" s="3"/>
      <c r="B186" s="1" t="s">
        <v>93</v>
      </c>
      <c r="C186" s="4"/>
      <c r="D186" t="b">
        <v>0</v>
      </c>
      <c r="E186" t="b">
        <v>0</v>
      </c>
      <c r="F186">
        <f>IF(D186,2,0)</f>
        <v>0</v>
      </c>
      <c r="G186">
        <f>IF(E186,1,0)</f>
        <v>0</v>
      </c>
    </row>
    <row r="187" spans="1:7" x14ac:dyDescent="0.25">
      <c r="A187" s="3"/>
      <c r="B187" s="6"/>
      <c r="C187" s="20"/>
    </row>
    <row r="188" spans="1:7" ht="25" x14ac:dyDescent="0.25">
      <c r="A188" s="3"/>
      <c r="B188" s="1" t="s">
        <v>94</v>
      </c>
      <c r="C188" s="4"/>
      <c r="D188" t="b">
        <v>0</v>
      </c>
      <c r="E188" t="b">
        <v>0</v>
      </c>
      <c r="F188">
        <f>IF(D188,2,0)</f>
        <v>0</v>
      </c>
      <c r="G188">
        <f>IF(E188,1,0)</f>
        <v>0</v>
      </c>
    </row>
    <row r="189" spans="1:7" x14ac:dyDescent="0.25">
      <c r="A189" s="3"/>
      <c r="B189" s="6"/>
      <c r="C189" s="20"/>
    </row>
    <row r="190" spans="1:7" x14ac:dyDescent="0.25">
      <c r="A190" s="3"/>
      <c r="B190" s="1" t="s">
        <v>95</v>
      </c>
      <c r="C190" s="4"/>
      <c r="D190" t="b">
        <v>0</v>
      </c>
      <c r="E190" t="b">
        <v>0</v>
      </c>
      <c r="F190">
        <f>IF(D190,3,0)</f>
        <v>0</v>
      </c>
      <c r="G190">
        <f>IF(E190,1,0)</f>
        <v>0</v>
      </c>
    </row>
    <row r="191" spans="1:7" x14ac:dyDescent="0.25">
      <c r="A191" s="3"/>
      <c r="B191" s="6"/>
      <c r="C191" s="20"/>
    </row>
    <row r="192" spans="1:7" x14ac:dyDescent="0.25">
      <c r="A192" s="3"/>
      <c r="B192" s="2" t="s">
        <v>96</v>
      </c>
      <c r="C192" s="5"/>
      <c r="D192" t="b">
        <v>0</v>
      </c>
      <c r="E192" t="b">
        <v>0</v>
      </c>
      <c r="F192">
        <f>IF(D192,2,0)</f>
        <v>0</v>
      </c>
      <c r="G192">
        <f>IF(E192,1,0)</f>
        <v>0</v>
      </c>
    </row>
    <row r="193" spans="1:7" x14ac:dyDescent="0.25">
      <c r="A193" s="3"/>
      <c r="B193" s="3"/>
      <c r="C193" s="3"/>
    </row>
    <row r="194" spans="1:7" x14ac:dyDescent="0.25">
      <c r="A194" s="3"/>
      <c r="B194" s="3"/>
      <c r="C194" s="3"/>
    </row>
    <row r="195" spans="1:7" ht="18" customHeight="1" x14ac:dyDescent="0.25">
      <c r="A195" s="3"/>
      <c r="B195" s="67" t="s">
        <v>97</v>
      </c>
      <c r="C195" s="71">
        <f>SUM(F199,F201,F203,F205,F207,F209)/16*100</f>
        <v>0</v>
      </c>
    </row>
    <row r="196" spans="1:7" x14ac:dyDescent="0.25">
      <c r="A196" s="3"/>
      <c r="B196" s="68"/>
      <c r="C196" s="72"/>
    </row>
    <row r="197" spans="1:7" x14ac:dyDescent="0.25">
      <c r="A197" s="3"/>
      <c r="B197" s="38" t="s">
        <v>159</v>
      </c>
      <c r="C197" s="33">
        <f>SUM(F199,F201,F203,F205,F207,F209)/16*100</f>
        <v>0</v>
      </c>
    </row>
    <row r="198" spans="1:7" ht="18.75" customHeight="1" x14ac:dyDescent="0.35">
      <c r="A198" s="3"/>
      <c r="B198" s="24" t="s">
        <v>98</v>
      </c>
      <c r="C198" s="27">
        <f>SUM(F199,F201,F203,F205,F207,F209)</f>
        <v>0</v>
      </c>
    </row>
    <row r="199" spans="1:7" x14ac:dyDescent="0.25">
      <c r="A199" s="3"/>
      <c r="B199" s="1" t="s">
        <v>99</v>
      </c>
      <c r="C199" s="4"/>
      <c r="D199" t="b">
        <v>0</v>
      </c>
      <c r="E199" t="b">
        <v>0</v>
      </c>
      <c r="F199">
        <f>IF(D199,3,0)</f>
        <v>0</v>
      </c>
      <c r="G199">
        <f>IF(E199,1,0)</f>
        <v>0</v>
      </c>
    </row>
    <row r="200" spans="1:7" x14ac:dyDescent="0.25">
      <c r="A200" s="3"/>
      <c r="B200" s="6"/>
      <c r="C200" s="20"/>
    </row>
    <row r="201" spans="1:7" x14ac:dyDescent="0.25">
      <c r="A201" s="3"/>
      <c r="B201" s="1" t="s">
        <v>100</v>
      </c>
      <c r="C201" s="4"/>
      <c r="D201" t="b">
        <v>0</v>
      </c>
      <c r="E201" t="b">
        <v>0</v>
      </c>
      <c r="F201">
        <f>IF(D201,3,0)</f>
        <v>0</v>
      </c>
      <c r="G201">
        <f>IF(E201,1,0)</f>
        <v>0</v>
      </c>
    </row>
    <row r="202" spans="1:7" x14ac:dyDescent="0.25">
      <c r="A202" s="3"/>
      <c r="B202" s="6"/>
      <c r="C202" s="20"/>
    </row>
    <row r="203" spans="1:7" x14ac:dyDescent="0.25">
      <c r="A203" s="3"/>
      <c r="B203" s="1" t="s">
        <v>101</v>
      </c>
      <c r="C203" s="4"/>
      <c r="D203" t="b">
        <v>0</v>
      </c>
      <c r="E203" t="b">
        <v>0</v>
      </c>
      <c r="F203">
        <f>IF(D203,2,0)</f>
        <v>0</v>
      </c>
      <c r="G203">
        <f>IF(E203,1,0)</f>
        <v>0</v>
      </c>
    </row>
    <row r="204" spans="1:7" x14ac:dyDescent="0.25">
      <c r="A204" s="3"/>
      <c r="B204" s="6"/>
      <c r="C204" s="20"/>
    </row>
    <row r="205" spans="1:7" ht="25" x14ac:dyDescent="0.25">
      <c r="A205" s="3"/>
      <c r="B205" s="1" t="s">
        <v>102</v>
      </c>
      <c r="C205" s="4"/>
      <c r="D205" t="b">
        <v>0</v>
      </c>
      <c r="E205" t="b">
        <v>0</v>
      </c>
      <c r="F205">
        <f>IF(D205,2,0)</f>
        <v>0</v>
      </c>
      <c r="G205">
        <f>IF(E205,1,0)</f>
        <v>0</v>
      </c>
    </row>
    <row r="206" spans="1:7" x14ac:dyDescent="0.25">
      <c r="A206" s="3"/>
      <c r="B206" s="6"/>
      <c r="C206" s="20"/>
    </row>
    <row r="207" spans="1:7" ht="25" x14ac:dyDescent="0.25">
      <c r="A207" s="3"/>
      <c r="B207" s="1" t="s">
        <v>103</v>
      </c>
      <c r="C207" s="4"/>
      <c r="D207" t="b">
        <v>0</v>
      </c>
      <c r="E207" t="b">
        <v>0</v>
      </c>
      <c r="F207">
        <f>IF(D207,3,0)</f>
        <v>0</v>
      </c>
      <c r="G207">
        <f>IF(E207,1,0)</f>
        <v>0</v>
      </c>
    </row>
    <row r="208" spans="1:7" x14ac:dyDescent="0.25">
      <c r="A208" s="3"/>
      <c r="B208" s="6"/>
      <c r="C208" s="20"/>
    </row>
    <row r="209" spans="1:7" x14ac:dyDescent="0.25">
      <c r="A209" s="3"/>
      <c r="B209" s="2" t="s">
        <v>104</v>
      </c>
      <c r="C209" s="5"/>
      <c r="D209" t="b">
        <v>0</v>
      </c>
      <c r="E209" t="b">
        <v>0</v>
      </c>
      <c r="F209">
        <f>IF(D209,3,0)</f>
        <v>0</v>
      </c>
      <c r="G209">
        <f>IF(E209,1,0)</f>
        <v>0</v>
      </c>
    </row>
    <row r="210" spans="1:7" x14ac:dyDescent="0.25">
      <c r="A210" s="3"/>
      <c r="B210" s="3"/>
      <c r="C210" s="3"/>
    </row>
    <row r="211" spans="1:7" x14ac:dyDescent="0.25">
      <c r="A211" s="3"/>
      <c r="B211" s="3"/>
      <c r="C211" s="3"/>
    </row>
    <row r="212" spans="1:7" ht="18" customHeight="1" x14ac:dyDescent="0.25">
      <c r="A212" s="3"/>
      <c r="B212" s="67" t="s">
        <v>105</v>
      </c>
      <c r="C212" s="73">
        <f>SUM(F216,F218,F220,F222)/9*100</f>
        <v>0</v>
      </c>
    </row>
    <row r="213" spans="1:7" x14ac:dyDescent="0.25">
      <c r="A213" s="3"/>
      <c r="B213" s="68"/>
      <c r="C213" s="74"/>
    </row>
    <row r="214" spans="1:7" x14ac:dyDescent="0.25">
      <c r="A214" s="3"/>
      <c r="B214" s="38" t="s">
        <v>160</v>
      </c>
      <c r="C214" s="35">
        <f>SUM(F216,F218,F220,F222)/9*100</f>
        <v>0</v>
      </c>
    </row>
    <row r="215" spans="1:7" ht="15.5" x14ac:dyDescent="0.35">
      <c r="A215" s="3"/>
      <c r="B215" s="24" t="s">
        <v>106</v>
      </c>
      <c r="C215" s="27">
        <f>SUM(F216,F218,F220,F222)</f>
        <v>0</v>
      </c>
    </row>
    <row r="216" spans="1:7" x14ac:dyDescent="0.25">
      <c r="A216" s="3"/>
      <c r="B216" s="1" t="s">
        <v>107</v>
      </c>
      <c r="C216" s="4"/>
      <c r="D216" t="b">
        <v>0</v>
      </c>
      <c r="E216" t="b">
        <v>0</v>
      </c>
      <c r="F216">
        <f>IF(D216,3,0)</f>
        <v>0</v>
      </c>
      <c r="G216">
        <f>IF(E216,1,0)</f>
        <v>0</v>
      </c>
    </row>
    <row r="217" spans="1:7" x14ac:dyDescent="0.25">
      <c r="A217" s="3"/>
      <c r="B217" s="6"/>
      <c r="C217" s="20"/>
    </row>
    <row r="218" spans="1:7" x14ac:dyDescent="0.25">
      <c r="A218" s="3"/>
      <c r="B218" s="1" t="s">
        <v>108</v>
      </c>
      <c r="C218" s="4"/>
      <c r="D218" t="b">
        <v>0</v>
      </c>
      <c r="E218" t="b">
        <v>0</v>
      </c>
      <c r="F218">
        <f>IF(D218,2,0)</f>
        <v>0</v>
      </c>
      <c r="G218">
        <f>IF(E218,1,0)</f>
        <v>0</v>
      </c>
    </row>
    <row r="219" spans="1:7" x14ac:dyDescent="0.25">
      <c r="A219" s="3"/>
      <c r="B219" s="6"/>
      <c r="C219" s="20"/>
    </row>
    <row r="220" spans="1:7" x14ac:dyDescent="0.25">
      <c r="A220" s="3"/>
      <c r="B220" s="1" t="s">
        <v>109</v>
      </c>
      <c r="C220" s="4"/>
      <c r="D220" t="b">
        <v>0</v>
      </c>
      <c r="E220" t="b">
        <v>0</v>
      </c>
      <c r="F220">
        <f>IF(D220,2,0)</f>
        <v>0</v>
      </c>
      <c r="G220">
        <f>IF(E220,1,0)</f>
        <v>0</v>
      </c>
    </row>
    <row r="221" spans="1:7" x14ac:dyDescent="0.25">
      <c r="A221" s="3"/>
      <c r="B221" s="6"/>
      <c r="C221" s="20"/>
    </row>
    <row r="222" spans="1:7" x14ac:dyDescent="0.25">
      <c r="A222" s="3"/>
      <c r="B222" s="2" t="s">
        <v>110</v>
      </c>
      <c r="C222" s="5"/>
      <c r="D222" t="b">
        <v>0</v>
      </c>
      <c r="E222" t="b">
        <v>0</v>
      </c>
      <c r="F222">
        <f>IF(D222,2,0)</f>
        <v>0</v>
      </c>
      <c r="G222">
        <f>IF(E222,1,0)</f>
        <v>0</v>
      </c>
    </row>
    <row r="223" spans="1:7" x14ac:dyDescent="0.25">
      <c r="A223" s="3"/>
      <c r="B223" s="3"/>
      <c r="C223" s="3"/>
    </row>
    <row r="224" spans="1:7" x14ac:dyDescent="0.25">
      <c r="A224" s="3"/>
      <c r="B224" s="3"/>
      <c r="C224" s="3"/>
    </row>
    <row r="225" spans="1:7" ht="18" customHeight="1" x14ac:dyDescent="0.25">
      <c r="A225" s="3"/>
      <c r="B225" s="67" t="s">
        <v>111</v>
      </c>
      <c r="C225" s="75">
        <f>SUM(C228,C243)/30*100</f>
        <v>0</v>
      </c>
    </row>
    <row r="226" spans="1:7" x14ac:dyDescent="0.25">
      <c r="A226" s="3"/>
      <c r="B226" s="68"/>
      <c r="C226" s="76"/>
    </row>
    <row r="227" spans="1:7" x14ac:dyDescent="0.25">
      <c r="A227" s="3"/>
      <c r="B227" s="38" t="s">
        <v>161</v>
      </c>
      <c r="C227" s="33">
        <f>SUM(C228,C243)/30*100</f>
        <v>0</v>
      </c>
    </row>
    <row r="228" spans="1:7" ht="15.5" x14ac:dyDescent="0.35">
      <c r="A228" s="3"/>
      <c r="B228" s="24" t="s">
        <v>112</v>
      </c>
      <c r="C228" s="27">
        <f>SUM(F229,F231,F233,F235,F237,F239,F241)</f>
        <v>0</v>
      </c>
    </row>
    <row r="229" spans="1:7" x14ac:dyDescent="0.25">
      <c r="A229" s="3"/>
      <c r="B229" s="1" t="s">
        <v>113</v>
      </c>
      <c r="C229" s="4"/>
      <c r="D229" t="b">
        <v>0</v>
      </c>
      <c r="E229" t="b">
        <v>0</v>
      </c>
      <c r="F229">
        <f>IF(D229,3,0)</f>
        <v>0</v>
      </c>
      <c r="G229">
        <f>IF(E229,1,0)</f>
        <v>0</v>
      </c>
    </row>
    <row r="230" spans="1:7" x14ac:dyDescent="0.25">
      <c r="A230" s="3"/>
      <c r="B230" s="6"/>
      <c r="C230" s="20"/>
    </row>
    <row r="231" spans="1:7" ht="25" x14ac:dyDescent="0.25">
      <c r="A231" s="3"/>
      <c r="B231" s="1" t="s">
        <v>114</v>
      </c>
      <c r="C231" s="4"/>
      <c r="D231" t="b">
        <v>0</v>
      </c>
      <c r="E231" t="b">
        <v>0</v>
      </c>
      <c r="F231">
        <f>IF(D231,3,0)</f>
        <v>0</v>
      </c>
      <c r="G231">
        <f>IF(E231,1,0)</f>
        <v>0</v>
      </c>
    </row>
    <row r="232" spans="1:7" x14ac:dyDescent="0.25">
      <c r="A232" s="3"/>
      <c r="B232" s="6"/>
      <c r="C232" s="20"/>
    </row>
    <row r="233" spans="1:7" x14ac:dyDescent="0.25">
      <c r="A233" s="3"/>
      <c r="B233" s="1" t="s">
        <v>115</v>
      </c>
      <c r="C233" s="4"/>
      <c r="D233" t="b">
        <v>0</v>
      </c>
      <c r="E233" t="b">
        <v>0</v>
      </c>
      <c r="F233">
        <f>IF(D233,3,0)</f>
        <v>0</v>
      </c>
      <c r="G233">
        <f>IF(E233,1,0)</f>
        <v>0</v>
      </c>
    </row>
    <row r="234" spans="1:7" x14ac:dyDescent="0.25">
      <c r="A234" s="3"/>
      <c r="B234" s="6"/>
      <c r="C234" s="20"/>
    </row>
    <row r="235" spans="1:7" ht="25" x14ac:dyDescent="0.25">
      <c r="A235" s="3"/>
      <c r="B235" s="1" t="s">
        <v>116</v>
      </c>
      <c r="C235" s="4"/>
      <c r="D235" t="b">
        <v>0</v>
      </c>
      <c r="E235" t="b">
        <v>0</v>
      </c>
      <c r="F235">
        <f>IF(D235,3,0)</f>
        <v>0</v>
      </c>
      <c r="G235">
        <f>IF(E235,1,0)</f>
        <v>0</v>
      </c>
    </row>
    <row r="236" spans="1:7" x14ac:dyDescent="0.25">
      <c r="A236" s="3"/>
      <c r="B236" s="6"/>
      <c r="C236" s="20"/>
    </row>
    <row r="237" spans="1:7" x14ac:dyDescent="0.25">
      <c r="A237" s="3"/>
      <c r="B237" s="1" t="s">
        <v>117</v>
      </c>
      <c r="C237" s="4"/>
      <c r="D237" t="b">
        <v>0</v>
      </c>
      <c r="E237" t="b">
        <v>0</v>
      </c>
      <c r="F237">
        <f>IF(D237,3,0)</f>
        <v>0</v>
      </c>
      <c r="G237">
        <f>IF(E237,1,0)</f>
        <v>0</v>
      </c>
    </row>
    <row r="238" spans="1:7" x14ac:dyDescent="0.25">
      <c r="A238" s="3"/>
      <c r="B238" s="6"/>
      <c r="C238" s="20"/>
    </row>
    <row r="239" spans="1:7" x14ac:dyDescent="0.25">
      <c r="A239" s="3"/>
      <c r="B239" s="1" t="s">
        <v>118</v>
      </c>
      <c r="C239" s="4"/>
      <c r="D239" t="b">
        <v>0</v>
      </c>
      <c r="E239" t="b">
        <v>0</v>
      </c>
      <c r="F239">
        <f>IF(D239,2,0)</f>
        <v>0</v>
      </c>
      <c r="G239">
        <f>IF(E239,1,0)</f>
        <v>0</v>
      </c>
    </row>
    <row r="240" spans="1:7" x14ac:dyDescent="0.25">
      <c r="A240" s="3"/>
      <c r="B240" s="6"/>
      <c r="C240" s="20"/>
    </row>
    <row r="241" spans="1:7" x14ac:dyDescent="0.25">
      <c r="A241" s="3"/>
      <c r="B241" s="2" t="s">
        <v>119</v>
      </c>
      <c r="C241" s="5"/>
      <c r="D241" t="b">
        <v>0</v>
      </c>
      <c r="E241" t="b">
        <v>0</v>
      </c>
      <c r="F241">
        <f>IF(D241,2,0)</f>
        <v>0</v>
      </c>
      <c r="G241">
        <f>IF(E241,1,0)</f>
        <v>0</v>
      </c>
    </row>
    <row r="242" spans="1:7" x14ac:dyDescent="0.25">
      <c r="A242" s="3"/>
    </row>
    <row r="243" spans="1:7" ht="15.5" x14ac:dyDescent="0.35">
      <c r="A243" s="3"/>
      <c r="B243" s="24" t="s">
        <v>120</v>
      </c>
      <c r="C243" s="27">
        <f>SUM(F244,F246,F248,F250,F252,F254,F256,F258)</f>
        <v>0</v>
      </c>
    </row>
    <row r="244" spans="1:7" x14ac:dyDescent="0.25">
      <c r="A244" s="3"/>
      <c r="B244" s="1" t="s">
        <v>121</v>
      </c>
      <c r="C244" s="4"/>
      <c r="D244" t="b">
        <v>0</v>
      </c>
      <c r="E244" t="b">
        <v>0</v>
      </c>
      <c r="F244">
        <f>IF(D244,1,0)</f>
        <v>0</v>
      </c>
      <c r="G244">
        <f>IF(E244,1,0)</f>
        <v>0</v>
      </c>
    </row>
    <row r="245" spans="1:7" x14ac:dyDescent="0.25">
      <c r="A245" s="3"/>
      <c r="B245" s="6"/>
      <c r="C245" s="20"/>
    </row>
    <row r="246" spans="1:7" x14ac:dyDescent="0.25">
      <c r="A246" s="3"/>
      <c r="B246" s="1" t="s">
        <v>122</v>
      </c>
      <c r="C246" s="4"/>
      <c r="D246" t="b">
        <v>0</v>
      </c>
      <c r="E246" t="b">
        <v>0</v>
      </c>
      <c r="F246">
        <f>IF(D246,2,0)</f>
        <v>0</v>
      </c>
      <c r="G246">
        <f>IF(E246,1,0)</f>
        <v>0</v>
      </c>
    </row>
    <row r="247" spans="1:7" x14ac:dyDescent="0.25">
      <c r="A247" s="3"/>
      <c r="B247" s="6"/>
      <c r="C247" s="20"/>
    </row>
    <row r="248" spans="1:7" x14ac:dyDescent="0.25">
      <c r="A248" s="3"/>
      <c r="B248" s="1" t="s">
        <v>123</v>
      </c>
      <c r="C248" s="4"/>
      <c r="D248" t="b">
        <v>0</v>
      </c>
      <c r="E248" t="b">
        <v>0</v>
      </c>
      <c r="F248">
        <f>IF(D248,1,0)</f>
        <v>0</v>
      </c>
      <c r="G248">
        <f>IF(E248,1,0)</f>
        <v>0</v>
      </c>
    </row>
    <row r="249" spans="1:7" x14ac:dyDescent="0.25">
      <c r="A249" s="3"/>
      <c r="B249" s="6"/>
      <c r="C249" s="20"/>
    </row>
    <row r="250" spans="1:7" x14ac:dyDescent="0.25">
      <c r="A250" s="3"/>
      <c r="B250" s="1" t="s">
        <v>124</v>
      </c>
      <c r="C250" s="4"/>
      <c r="D250" t="b">
        <v>0</v>
      </c>
      <c r="E250" t="b">
        <v>0</v>
      </c>
      <c r="F250">
        <f>IF(D250,1,0)</f>
        <v>0</v>
      </c>
      <c r="G250">
        <f>IF(E250,1,0)</f>
        <v>0</v>
      </c>
    </row>
    <row r="251" spans="1:7" x14ac:dyDescent="0.25">
      <c r="A251" s="3"/>
      <c r="B251" s="6"/>
      <c r="C251" s="20"/>
    </row>
    <row r="252" spans="1:7" ht="25" x14ac:dyDescent="0.25">
      <c r="A252" s="3"/>
      <c r="B252" s="1" t="s">
        <v>125</v>
      </c>
      <c r="C252" s="4"/>
      <c r="D252" t="b">
        <v>0</v>
      </c>
      <c r="E252" t="b">
        <v>0</v>
      </c>
      <c r="F252">
        <f>IF(D252,2,0)</f>
        <v>0</v>
      </c>
      <c r="G252">
        <f>IF(E252,1,0)</f>
        <v>0</v>
      </c>
    </row>
    <row r="253" spans="1:7" x14ac:dyDescent="0.25">
      <c r="A253" s="3"/>
      <c r="B253" s="6"/>
      <c r="C253" s="20"/>
    </row>
    <row r="254" spans="1:7" ht="37.5" x14ac:dyDescent="0.25">
      <c r="A254" s="3"/>
      <c r="B254" s="1" t="s">
        <v>153</v>
      </c>
      <c r="C254" s="4"/>
      <c r="D254" t="b">
        <v>0</v>
      </c>
      <c r="E254" t="b">
        <v>0</v>
      </c>
      <c r="F254">
        <f>IF(D254,1,0)</f>
        <v>0</v>
      </c>
      <c r="G254">
        <f>IF(E254,1,0)</f>
        <v>0</v>
      </c>
    </row>
    <row r="255" spans="1:7" x14ac:dyDescent="0.25">
      <c r="A255" s="3"/>
      <c r="B255" s="6"/>
      <c r="C255" s="20"/>
    </row>
    <row r="256" spans="1:7" ht="25" x14ac:dyDescent="0.25">
      <c r="A256" s="3"/>
      <c r="B256" s="1" t="s">
        <v>126</v>
      </c>
      <c r="C256" s="4"/>
      <c r="D256" t="b">
        <v>0</v>
      </c>
      <c r="E256" t="b">
        <v>0</v>
      </c>
      <c r="F256">
        <f>IF(D256,2,0)</f>
        <v>0</v>
      </c>
      <c r="G256">
        <f>IF(E256,1,0)</f>
        <v>0</v>
      </c>
    </row>
    <row r="257" spans="1:7" x14ac:dyDescent="0.25">
      <c r="A257" s="3"/>
      <c r="B257" s="6"/>
      <c r="C257" s="20"/>
    </row>
    <row r="258" spans="1:7" x14ac:dyDescent="0.25">
      <c r="A258" s="3"/>
      <c r="B258" s="2" t="s">
        <v>127</v>
      </c>
      <c r="C258" s="5"/>
      <c r="D258" t="b">
        <v>0</v>
      </c>
      <c r="E258" t="b">
        <v>0</v>
      </c>
      <c r="F258">
        <f>IF(D258,1,0)</f>
        <v>0</v>
      </c>
      <c r="G258">
        <f>IF(E258,1,0)</f>
        <v>0</v>
      </c>
    </row>
    <row r="259" spans="1:7" x14ac:dyDescent="0.25">
      <c r="A259" s="3"/>
      <c r="B259" s="3"/>
      <c r="C259" s="3"/>
    </row>
    <row r="260" spans="1:7" x14ac:dyDescent="0.25">
      <c r="A260" s="3"/>
      <c r="B260" s="3"/>
      <c r="C260" s="3"/>
    </row>
    <row r="261" spans="1:7" ht="18" customHeight="1" x14ac:dyDescent="0.25">
      <c r="A261" s="3"/>
      <c r="B261" s="67" t="s">
        <v>128</v>
      </c>
      <c r="C261" s="77">
        <f>SUM(C264,C275)/31*100</f>
        <v>0</v>
      </c>
    </row>
    <row r="262" spans="1:7" x14ac:dyDescent="0.25">
      <c r="A262" s="3"/>
      <c r="B262" s="68"/>
      <c r="C262" s="78"/>
    </row>
    <row r="263" spans="1:7" x14ac:dyDescent="0.25">
      <c r="A263" s="3"/>
      <c r="B263" s="38" t="s">
        <v>162</v>
      </c>
      <c r="C263" s="34">
        <f>SUM(C264,C275)/31*100</f>
        <v>0</v>
      </c>
    </row>
    <row r="264" spans="1:7" ht="15.5" x14ac:dyDescent="0.35">
      <c r="A264" s="3"/>
      <c r="B264" s="24" t="s">
        <v>129</v>
      </c>
      <c r="C264" s="27">
        <f>SUM(F265,F267,F269,F271,F273)</f>
        <v>0</v>
      </c>
    </row>
    <row r="265" spans="1:7" x14ac:dyDescent="0.25">
      <c r="A265" s="3"/>
      <c r="B265" s="1" t="s">
        <v>130</v>
      </c>
      <c r="C265" s="4"/>
      <c r="D265" t="b">
        <v>0</v>
      </c>
      <c r="E265" t="b">
        <v>0</v>
      </c>
      <c r="F265">
        <f>IF(D265,3,0)</f>
        <v>0</v>
      </c>
      <c r="G265">
        <f>IF(E265,1,0)</f>
        <v>0</v>
      </c>
    </row>
    <row r="266" spans="1:7" x14ac:dyDescent="0.25">
      <c r="A266" s="3"/>
      <c r="B266" s="6"/>
      <c r="C266" s="20"/>
    </row>
    <row r="267" spans="1:7" x14ac:dyDescent="0.25">
      <c r="A267" s="3"/>
      <c r="B267" s="1" t="s">
        <v>131</v>
      </c>
      <c r="C267" s="4"/>
      <c r="D267" t="b">
        <v>0</v>
      </c>
      <c r="E267" t="b">
        <v>0</v>
      </c>
      <c r="F267">
        <f>IF(D267,2,0)</f>
        <v>0</v>
      </c>
      <c r="G267">
        <f>IF(E267,1,0)</f>
        <v>0</v>
      </c>
    </row>
    <row r="268" spans="1:7" x14ac:dyDescent="0.25">
      <c r="A268" s="3"/>
      <c r="B268" s="6"/>
      <c r="C268" s="20"/>
    </row>
    <row r="269" spans="1:7" x14ac:dyDescent="0.25">
      <c r="A269" s="3"/>
      <c r="B269" s="1" t="s">
        <v>132</v>
      </c>
      <c r="C269" s="4"/>
      <c r="D269" t="b">
        <v>0</v>
      </c>
      <c r="E269" t="b">
        <v>0</v>
      </c>
      <c r="F269">
        <f>IF(D269,3,0)</f>
        <v>0</v>
      </c>
      <c r="G269">
        <f>IF(E269,1,0)</f>
        <v>0</v>
      </c>
    </row>
    <row r="270" spans="1:7" x14ac:dyDescent="0.25">
      <c r="A270" s="3"/>
      <c r="B270" s="6"/>
      <c r="C270" s="20"/>
    </row>
    <row r="271" spans="1:7" x14ac:dyDescent="0.25">
      <c r="A271" s="3"/>
      <c r="B271" s="1" t="s">
        <v>133</v>
      </c>
      <c r="C271" s="4"/>
      <c r="D271" t="b">
        <v>0</v>
      </c>
      <c r="E271" t="b">
        <v>0</v>
      </c>
      <c r="F271">
        <f>IF(D271,3,0)</f>
        <v>0</v>
      </c>
      <c r="G271">
        <f>IF(E271,1,0)</f>
        <v>0</v>
      </c>
    </row>
    <row r="272" spans="1:7" x14ac:dyDescent="0.25">
      <c r="A272" s="3"/>
      <c r="B272" s="6"/>
      <c r="C272" s="20"/>
    </row>
    <row r="273" spans="1:7" x14ac:dyDescent="0.25">
      <c r="A273" s="3"/>
      <c r="B273" s="2" t="s">
        <v>134</v>
      </c>
      <c r="C273" s="5"/>
      <c r="D273" t="b">
        <v>0</v>
      </c>
      <c r="E273" t="b">
        <v>0</v>
      </c>
      <c r="F273">
        <f>IF(D273,2,0)</f>
        <v>0</v>
      </c>
      <c r="G273">
        <f>IF(E273,1,0)</f>
        <v>0</v>
      </c>
    </row>
    <row r="274" spans="1:7" x14ac:dyDescent="0.25">
      <c r="A274" s="3"/>
    </row>
    <row r="275" spans="1:7" ht="15.5" x14ac:dyDescent="0.35">
      <c r="A275" s="3"/>
      <c r="B275" s="24" t="s">
        <v>142</v>
      </c>
      <c r="C275" s="27">
        <f>SUM(F276,F278,F280,F282,F284,F286,F288)</f>
        <v>0</v>
      </c>
    </row>
    <row r="276" spans="1:7" x14ac:dyDescent="0.25">
      <c r="A276" s="3"/>
      <c r="B276" s="1" t="s">
        <v>135</v>
      </c>
      <c r="C276" s="4"/>
      <c r="D276" t="b">
        <v>0</v>
      </c>
      <c r="E276" t="b">
        <v>0</v>
      </c>
      <c r="F276">
        <f>IF(D276,3,0)</f>
        <v>0</v>
      </c>
      <c r="G276">
        <f>IF(E276,1,0)</f>
        <v>0</v>
      </c>
    </row>
    <row r="277" spans="1:7" x14ac:dyDescent="0.25">
      <c r="A277" s="3"/>
      <c r="B277" s="6"/>
      <c r="C277" s="20"/>
    </row>
    <row r="278" spans="1:7" x14ac:dyDescent="0.25">
      <c r="A278" s="3"/>
      <c r="B278" s="1" t="s">
        <v>136</v>
      </c>
      <c r="C278" s="4"/>
      <c r="D278" t="b">
        <v>0</v>
      </c>
      <c r="E278" t="b">
        <v>0</v>
      </c>
      <c r="F278">
        <f>IF(D278,3,0)</f>
        <v>0</v>
      </c>
      <c r="G278">
        <f>IF(E278,1,0)</f>
        <v>0</v>
      </c>
    </row>
    <row r="279" spans="1:7" x14ac:dyDescent="0.25">
      <c r="A279" s="3"/>
      <c r="B279" s="6"/>
      <c r="C279" s="20"/>
    </row>
    <row r="280" spans="1:7" x14ac:dyDescent="0.25">
      <c r="A280" s="3"/>
      <c r="B280" s="1" t="s">
        <v>137</v>
      </c>
      <c r="C280" s="4"/>
      <c r="D280" t="b">
        <v>0</v>
      </c>
      <c r="E280" t="b">
        <v>0</v>
      </c>
      <c r="F280">
        <f>IF(D280,3,0)</f>
        <v>0</v>
      </c>
      <c r="G280">
        <f>IF(E280,1,0)</f>
        <v>0</v>
      </c>
    </row>
    <row r="281" spans="1:7" x14ac:dyDescent="0.25">
      <c r="A281" s="3"/>
      <c r="B281" s="6"/>
      <c r="C281" s="20"/>
    </row>
    <row r="282" spans="1:7" x14ac:dyDescent="0.25">
      <c r="A282" s="3"/>
      <c r="B282" s="1" t="s">
        <v>138</v>
      </c>
      <c r="C282" s="4"/>
      <c r="D282" t="b">
        <v>0</v>
      </c>
      <c r="E282" t="b">
        <v>0</v>
      </c>
      <c r="F282">
        <f>IF(D282,2,0)</f>
        <v>0</v>
      </c>
      <c r="G282">
        <f>IF(E282,1,0)</f>
        <v>0</v>
      </c>
    </row>
    <row r="283" spans="1:7" x14ac:dyDescent="0.25">
      <c r="A283" s="3"/>
      <c r="B283" s="6"/>
      <c r="C283" s="20"/>
    </row>
    <row r="284" spans="1:7" x14ac:dyDescent="0.25">
      <c r="A284" s="3"/>
      <c r="B284" s="1" t="s">
        <v>139</v>
      </c>
      <c r="C284" s="4"/>
      <c r="D284" t="b">
        <v>0</v>
      </c>
      <c r="E284" t="b">
        <v>0</v>
      </c>
      <c r="F284">
        <f>IF(D284,3,0)</f>
        <v>0</v>
      </c>
      <c r="G284">
        <f>IF(E284,1,0)</f>
        <v>0</v>
      </c>
    </row>
    <row r="285" spans="1:7" x14ac:dyDescent="0.25">
      <c r="A285" s="3"/>
      <c r="B285" s="6"/>
      <c r="C285" s="20"/>
    </row>
    <row r="286" spans="1:7" x14ac:dyDescent="0.25">
      <c r="A286" s="3"/>
      <c r="B286" s="1" t="s">
        <v>140</v>
      </c>
      <c r="C286" s="4"/>
      <c r="D286" t="b">
        <v>0</v>
      </c>
      <c r="E286" t="b">
        <v>0</v>
      </c>
      <c r="F286">
        <f>IF(D286,2,0)</f>
        <v>0</v>
      </c>
      <c r="G286">
        <f>IF(E286,1,0)</f>
        <v>0</v>
      </c>
    </row>
    <row r="287" spans="1:7" x14ac:dyDescent="0.25">
      <c r="A287" s="3"/>
      <c r="B287" s="6"/>
      <c r="C287" s="20"/>
    </row>
    <row r="288" spans="1:7" ht="25" x14ac:dyDescent="0.25">
      <c r="A288" s="3"/>
      <c r="B288" s="2" t="s">
        <v>141</v>
      </c>
      <c r="C288" s="5"/>
      <c r="D288" t="b">
        <v>0</v>
      </c>
      <c r="E288" t="b">
        <v>0</v>
      </c>
      <c r="F288">
        <f>IF(D288,2,0)</f>
        <v>0</v>
      </c>
      <c r="G288">
        <f>IF(E288,1,0)</f>
        <v>0</v>
      </c>
    </row>
    <row r="289" spans="1:7" x14ac:dyDescent="0.25">
      <c r="A289" s="3"/>
      <c r="B289" s="3"/>
      <c r="C289" s="3"/>
    </row>
    <row r="290" spans="1:7" x14ac:dyDescent="0.25">
      <c r="A290" s="3"/>
      <c r="B290" s="3"/>
      <c r="C290" s="3"/>
    </row>
    <row r="291" spans="1:7" ht="18" customHeight="1" x14ac:dyDescent="0.25">
      <c r="A291" s="3"/>
      <c r="B291" s="67" t="s">
        <v>143</v>
      </c>
      <c r="C291" s="79">
        <f>SUM(F295,F297,F299,F301,F303,F305,F307,F309)/13*100</f>
        <v>0</v>
      </c>
    </row>
    <row r="292" spans="1:7" x14ac:dyDescent="0.25">
      <c r="A292" s="3"/>
      <c r="B292" s="68"/>
      <c r="C292" s="80"/>
    </row>
    <row r="293" spans="1:7" x14ac:dyDescent="0.25">
      <c r="A293" s="3"/>
      <c r="B293" s="38" t="s">
        <v>163</v>
      </c>
    </row>
    <row r="294" spans="1:7" ht="15.5" x14ac:dyDescent="0.35">
      <c r="A294" s="3"/>
      <c r="B294" s="24" t="s">
        <v>144</v>
      </c>
      <c r="C294" s="27">
        <f>SUM(F295,F297,F299,F301,F303,F305,F307,F309)</f>
        <v>0</v>
      </c>
    </row>
    <row r="295" spans="1:7" ht="25" x14ac:dyDescent="0.25">
      <c r="A295" s="3"/>
      <c r="B295" s="1" t="s">
        <v>145</v>
      </c>
      <c r="C295" s="4"/>
      <c r="D295" t="b">
        <v>0</v>
      </c>
      <c r="E295" t="b">
        <v>0</v>
      </c>
      <c r="F295">
        <f>IF(D295,2,0)</f>
        <v>0</v>
      </c>
      <c r="G295">
        <f>IF(E295,1,0)</f>
        <v>0</v>
      </c>
    </row>
    <row r="296" spans="1:7" x14ac:dyDescent="0.25">
      <c r="A296" s="3"/>
      <c r="B296" s="6"/>
      <c r="C296" s="20"/>
    </row>
    <row r="297" spans="1:7" x14ac:dyDescent="0.25">
      <c r="A297" s="3"/>
      <c r="B297" s="1" t="s">
        <v>146</v>
      </c>
      <c r="C297" s="4"/>
      <c r="D297" t="b">
        <v>0</v>
      </c>
      <c r="E297" t="b">
        <v>0</v>
      </c>
      <c r="F297">
        <f>IF(D297,2,0)</f>
        <v>0</v>
      </c>
      <c r="G297">
        <f>IF(E297,1,0)</f>
        <v>0</v>
      </c>
    </row>
    <row r="298" spans="1:7" x14ac:dyDescent="0.25">
      <c r="A298" s="3"/>
      <c r="B298" s="6"/>
      <c r="C298" s="20"/>
    </row>
    <row r="299" spans="1:7" x14ac:dyDescent="0.25">
      <c r="A299" s="3"/>
      <c r="B299" s="1" t="s">
        <v>147</v>
      </c>
      <c r="C299" s="4"/>
      <c r="D299" t="b">
        <v>0</v>
      </c>
      <c r="E299" t="b">
        <v>0</v>
      </c>
      <c r="F299">
        <f>IF(D299,1,0)</f>
        <v>0</v>
      </c>
      <c r="G299">
        <f>IF(E299,1,0)</f>
        <v>0</v>
      </c>
    </row>
    <row r="300" spans="1:7" x14ac:dyDescent="0.25">
      <c r="A300" s="3"/>
      <c r="B300" s="6"/>
      <c r="C300" s="20"/>
    </row>
    <row r="301" spans="1:7" x14ac:dyDescent="0.25">
      <c r="A301" s="3"/>
      <c r="B301" s="1" t="s">
        <v>148</v>
      </c>
      <c r="C301" s="4"/>
      <c r="D301" t="b">
        <v>0</v>
      </c>
      <c r="E301" t="b">
        <v>0</v>
      </c>
      <c r="F301">
        <f>IF(D301,2,0)</f>
        <v>0</v>
      </c>
      <c r="G301">
        <f>IF(E301,1,0)</f>
        <v>0</v>
      </c>
    </row>
    <row r="302" spans="1:7" x14ac:dyDescent="0.25">
      <c r="A302" s="3"/>
      <c r="B302" s="6"/>
      <c r="C302" s="20"/>
    </row>
    <row r="303" spans="1:7" ht="25" x14ac:dyDescent="0.25">
      <c r="A303" s="3"/>
      <c r="B303" s="1" t="s">
        <v>149</v>
      </c>
      <c r="C303" s="4"/>
      <c r="D303" t="b">
        <v>0</v>
      </c>
      <c r="E303" t="b">
        <v>0</v>
      </c>
      <c r="F303">
        <f>IF(D303,2,0)</f>
        <v>0</v>
      </c>
      <c r="G303">
        <f>IF(E303,1,0)</f>
        <v>0</v>
      </c>
    </row>
    <row r="304" spans="1:7" x14ac:dyDescent="0.25">
      <c r="A304" s="3"/>
      <c r="B304" s="6"/>
      <c r="C304" s="20"/>
    </row>
    <row r="305" spans="1:7" x14ac:dyDescent="0.25">
      <c r="A305" s="3"/>
      <c r="B305" s="1" t="s">
        <v>150</v>
      </c>
      <c r="C305" s="4"/>
      <c r="D305" t="b">
        <v>0</v>
      </c>
      <c r="E305" t="b">
        <v>0</v>
      </c>
      <c r="F305">
        <f>IF(D305,2,0)</f>
        <v>0</v>
      </c>
      <c r="G305">
        <f>IF(E305,1,0)</f>
        <v>0</v>
      </c>
    </row>
    <row r="306" spans="1:7" x14ac:dyDescent="0.25">
      <c r="A306" s="3"/>
      <c r="B306" s="6"/>
      <c r="C306" s="20"/>
    </row>
    <row r="307" spans="1:7" x14ac:dyDescent="0.25">
      <c r="A307" s="3"/>
      <c r="B307" s="1" t="s">
        <v>151</v>
      </c>
      <c r="C307" s="4"/>
      <c r="D307" t="b">
        <v>0</v>
      </c>
      <c r="E307" t="b">
        <v>0</v>
      </c>
      <c r="F307">
        <f>IF(D307,1,0)</f>
        <v>0</v>
      </c>
      <c r="G307">
        <f>IF(E307,1,0)</f>
        <v>0</v>
      </c>
    </row>
    <row r="308" spans="1:7" x14ac:dyDescent="0.25">
      <c r="A308" s="3"/>
      <c r="B308" s="6"/>
      <c r="C308" s="20"/>
    </row>
    <row r="309" spans="1:7" x14ac:dyDescent="0.25">
      <c r="A309" s="3"/>
      <c r="B309" s="2" t="s">
        <v>152</v>
      </c>
      <c r="C309" s="5"/>
      <c r="D309" t="b">
        <v>0</v>
      </c>
      <c r="E309" t="b">
        <v>0</v>
      </c>
      <c r="F309">
        <f>IF(D309,1,0)</f>
        <v>0</v>
      </c>
      <c r="G309">
        <f>IF(E309,1,0)</f>
        <v>0</v>
      </c>
    </row>
    <row r="310" spans="1:7" x14ac:dyDescent="0.25">
      <c r="A310" s="3"/>
      <c r="B310" s="3"/>
      <c r="C310" s="3"/>
    </row>
    <row r="311" spans="1:7" x14ac:dyDescent="0.25">
      <c r="A311" s="3"/>
      <c r="B311" s="3"/>
      <c r="C311" s="3"/>
    </row>
    <row r="312" spans="1:7" x14ac:dyDescent="0.25">
      <c r="A312" s="3"/>
      <c r="B312" s="3"/>
      <c r="C312" s="3"/>
    </row>
    <row r="313" spans="1:7" x14ac:dyDescent="0.25">
      <c r="A313" s="3"/>
      <c r="B313" s="3"/>
      <c r="C313" s="3"/>
    </row>
    <row r="314" spans="1:7" x14ac:dyDescent="0.25">
      <c r="A314" s="3"/>
      <c r="B314" s="3"/>
      <c r="C314" s="3"/>
    </row>
    <row r="315" spans="1:7" x14ac:dyDescent="0.25">
      <c r="A315" s="3"/>
      <c r="B315" s="3"/>
      <c r="C315" s="3"/>
    </row>
    <row r="316" spans="1:7" x14ac:dyDescent="0.25">
      <c r="A316" s="3"/>
      <c r="B316" s="3"/>
      <c r="C316" s="3"/>
    </row>
    <row r="317" spans="1:7" x14ac:dyDescent="0.25">
      <c r="A317" s="3"/>
      <c r="B317" s="3"/>
      <c r="C317" s="3"/>
    </row>
    <row r="318" spans="1:7" x14ac:dyDescent="0.25">
      <c r="A318" s="3"/>
      <c r="B318" s="3"/>
      <c r="C318" s="3"/>
    </row>
    <row r="319" spans="1:7" x14ac:dyDescent="0.25">
      <c r="A319" s="3"/>
      <c r="B319" s="3"/>
      <c r="C319" s="3"/>
    </row>
    <row r="320" spans="1:7" x14ac:dyDescent="0.25">
      <c r="A320" s="3"/>
      <c r="B320" s="3"/>
      <c r="C320" s="3"/>
    </row>
    <row r="321" spans="1:3" x14ac:dyDescent="0.25">
      <c r="A321" s="3"/>
      <c r="B321" s="3"/>
      <c r="C321" s="3"/>
    </row>
    <row r="322" spans="1:3" x14ac:dyDescent="0.25">
      <c r="A322" s="3"/>
      <c r="B322" s="3"/>
      <c r="C322" s="3"/>
    </row>
    <row r="323" spans="1:3" x14ac:dyDescent="0.25">
      <c r="A323" s="3"/>
      <c r="B323" s="3"/>
      <c r="C323" s="3"/>
    </row>
    <row r="324" spans="1:3" x14ac:dyDescent="0.25">
      <c r="A324" s="3"/>
      <c r="B324" s="3"/>
      <c r="C324" s="3"/>
    </row>
    <row r="325" spans="1:3" x14ac:dyDescent="0.25">
      <c r="A325" s="3"/>
      <c r="B325" s="3"/>
      <c r="C325" s="3"/>
    </row>
  </sheetData>
  <customSheetViews>
    <customSheetView guid="{85263178-E0B2-4B7B-9F6F-D76E18D11EB6}" showPageBreaks="1" showRuler="0" topLeftCell="A16">
      <selection activeCell="D76" sqref="D76"/>
    </customSheetView>
  </customSheetViews>
  <mergeCells count="17">
    <mergeCell ref="B261:B262"/>
    <mergeCell ref="C261:C262"/>
    <mergeCell ref="B291:B292"/>
    <mergeCell ref="C291:C292"/>
    <mergeCell ref="B195:B196"/>
    <mergeCell ref="C195:C196"/>
    <mergeCell ref="B212:B213"/>
    <mergeCell ref="C212:C213"/>
    <mergeCell ref="B225:B226"/>
    <mergeCell ref="C225:C226"/>
    <mergeCell ref="B2:C3"/>
    <mergeCell ref="B82:B83"/>
    <mergeCell ref="C82:C83"/>
    <mergeCell ref="C66:C67"/>
    <mergeCell ref="B66:B67"/>
    <mergeCell ref="B160:B161"/>
    <mergeCell ref="C160:C161"/>
  </mergeCells>
  <conditionalFormatting sqref="C8 C66:C67 C82:C83 C160:C161 C195:C196 C212:C213 C225:C226 C261:C262 C291:C292">
    <cfRule type="cellIs" dxfId="11" priority="1" stopIfTrue="1" operator="between">
      <formula>0</formula>
      <formula>59</formula>
    </cfRule>
    <cfRule type="cellIs" dxfId="10" priority="2" stopIfTrue="1" operator="between">
      <formula>60</formula>
      <formula>79</formula>
    </cfRule>
    <cfRule type="cellIs" dxfId="9" priority="3" stopIfTrue="1" operator="between">
      <formula>80</formula>
      <formula>100</formula>
    </cfRule>
  </conditionalFormatting>
  <conditionalFormatting sqref="C129">
    <cfRule type="cellIs" dxfId="8" priority="4" stopIfTrue="1" operator="between">
      <formula>0</formula>
      <formula>59</formula>
    </cfRule>
    <cfRule type="cellIs" dxfId="7" priority="5" stopIfTrue="1" operator="between">
      <formula>60</formula>
      <formula>79</formula>
    </cfRule>
    <cfRule type="cellIs" dxfId="6" priority="6" stopIfTrue="1" operator="between">
      <formula>80</formula>
      <formula>100</formula>
    </cfRule>
  </conditionalFormatting>
  <pageMargins left="0.75" right="0.75" top="1" bottom="1" header="0.5" footer="0.5"/>
  <pageSetup scale="94" orientation="landscape" horizontalDpi="300" verticalDpi="300" r:id="rId1"/>
  <headerFooter alignWithMargins="0"/>
  <rowBreaks count="2" manualBreakCount="2">
    <brk id="38" max="16383" man="1"/>
    <brk id="39" max="16383" man="1"/>
  </rowBreaks>
  <drawing r:id="rId2"/>
  <legacyDrawing r:id="rId3"/>
  <oleObjects>
    <mc:AlternateContent xmlns:mc="http://schemas.openxmlformats.org/markup-compatibility/2006">
      <mc:Choice Requires="x14">
        <oleObject progId="MSPhotoEd.3" shapeId="1363" r:id="rId4">
          <objectPr defaultSize="0" autoPict="0" r:id="rId5">
            <anchor moveWithCells="1">
              <from>
                <xdr:col>1</xdr:col>
                <xdr:colOff>241300</xdr:colOff>
                <xdr:row>1</xdr:row>
                <xdr:rowOff>76200</xdr:rowOff>
              </from>
              <to>
                <xdr:col>1</xdr:col>
                <xdr:colOff>2362200</xdr:colOff>
                <xdr:row>2</xdr:row>
                <xdr:rowOff>660400</xdr:rowOff>
              </to>
            </anchor>
          </objectPr>
        </oleObject>
      </mc:Choice>
      <mc:Fallback>
        <oleObject progId="MSPhotoEd.3" shapeId="1363" r:id="rId4"/>
      </mc:Fallback>
    </mc:AlternateContent>
  </oleObjects>
  <mc:AlternateContent xmlns:mc="http://schemas.openxmlformats.org/markup-compatibility/2006">
    <mc:Choice Requires="x14">
      <controls>
        <mc:AlternateContent xmlns:mc="http://schemas.openxmlformats.org/markup-compatibility/2006">
          <mc:Choice Requires="x14">
            <control shapeId="1053" r:id="rId6" name="Check Box 29">
              <controlPr defaultSize="0" autoFill="0" autoLine="0" autoPict="0">
                <anchor moveWithCells="1">
                  <from>
                    <xdr:col>2</xdr:col>
                    <xdr:colOff>6350</xdr:colOff>
                    <xdr:row>9</xdr:row>
                    <xdr:rowOff>190500</xdr:rowOff>
                  </from>
                  <to>
                    <xdr:col>2</xdr:col>
                    <xdr:colOff>412750</xdr:colOff>
                    <xdr:row>11</xdr:row>
                    <xdr:rowOff>44450</xdr:rowOff>
                  </to>
                </anchor>
              </controlPr>
            </control>
          </mc:Choice>
        </mc:AlternateContent>
        <mc:AlternateContent xmlns:mc="http://schemas.openxmlformats.org/markup-compatibility/2006">
          <mc:Choice Requires="x14">
            <control shapeId="1054" r:id="rId7" name="Check Box 30">
              <controlPr defaultSize="0" autoFill="0" autoLine="0" autoPict="0">
                <anchor moveWithCells="1">
                  <from>
                    <xdr:col>2</xdr:col>
                    <xdr:colOff>463550</xdr:colOff>
                    <xdr:row>9</xdr:row>
                    <xdr:rowOff>190500</xdr:rowOff>
                  </from>
                  <to>
                    <xdr:col>2</xdr:col>
                    <xdr:colOff>838200</xdr:colOff>
                    <xdr:row>11</xdr:row>
                    <xdr:rowOff>44450</xdr:rowOff>
                  </to>
                </anchor>
              </controlPr>
            </control>
          </mc:Choice>
        </mc:AlternateContent>
        <mc:AlternateContent xmlns:mc="http://schemas.openxmlformats.org/markup-compatibility/2006">
          <mc:Choice Requires="x14">
            <control shapeId="1055" r:id="rId8" name="Check Box 31">
              <controlPr defaultSize="0" autoFill="0" autoLine="0" autoPict="0">
                <anchor moveWithCells="1">
                  <from>
                    <xdr:col>2</xdr:col>
                    <xdr:colOff>6350</xdr:colOff>
                    <xdr:row>11</xdr:row>
                    <xdr:rowOff>139700</xdr:rowOff>
                  </from>
                  <to>
                    <xdr:col>2</xdr:col>
                    <xdr:colOff>412750</xdr:colOff>
                    <xdr:row>13</xdr:row>
                    <xdr:rowOff>38100</xdr:rowOff>
                  </to>
                </anchor>
              </controlPr>
            </control>
          </mc:Choice>
        </mc:AlternateContent>
        <mc:AlternateContent xmlns:mc="http://schemas.openxmlformats.org/markup-compatibility/2006">
          <mc:Choice Requires="x14">
            <control shapeId="1056" r:id="rId9" name="Check Box 32">
              <controlPr defaultSize="0" autoFill="0" autoLine="0" autoPict="0">
                <anchor moveWithCells="1">
                  <from>
                    <xdr:col>2</xdr:col>
                    <xdr:colOff>463550</xdr:colOff>
                    <xdr:row>11</xdr:row>
                    <xdr:rowOff>139700</xdr:rowOff>
                  </from>
                  <to>
                    <xdr:col>2</xdr:col>
                    <xdr:colOff>838200</xdr:colOff>
                    <xdr:row>13</xdr:row>
                    <xdr:rowOff>38100</xdr:rowOff>
                  </to>
                </anchor>
              </controlPr>
            </control>
          </mc:Choice>
        </mc:AlternateContent>
        <mc:AlternateContent xmlns:mc="http://schemas.openxmlformats.org/markup-compatibility/2006">
          <mc:Choice Requires="x14">
            <control shapeId="1057" r:id="rId10" name="Check Box 33">
              <controlPr defaultSize="0" autoFill="0" autoLine="0" autoPict="0">
                <anchor moveWithCells="1">
                  <from>
                    <xdr:col>2</xdr:col>
                    <xdr:colOff>6350</xdr:colOff>
                    <xdr:row>13</xdr:row>
                    <xdr:rowOff>139700</xdr:rowOff>
                  </from>
                  <to>
                    <xdr:col>2</xdr:col>
                    <xdr:colOff>412750</xdr:colOff>
                    <xdr:row>15</xdr:row>
                    <xdr:rowOff>38100</xdr:rowOff>
                  </to>
                </anchor>
              </controlPr>
            </control>
          </mc:Choice>
        </mc:AlternateContent>
        <mc:AlternateContent xmlns:mc="http://schemas.openxmlformats.org/markup-compatibility/2006">
          <mc:Choice Requires="x14">
            <control shapeId="1058" r:id="rId11" name="Check Box 34">
              <controlPr locked="0" defaultSize="0" autoFill="0" autoLine="0" autoPict="0">
                <anchor moveWithCells="1">
                  <from>
                    <xdr:col>2</xdr:col>
                    <xdr:colOff>463550</xdr:colOff>
                    <xdr:row>13</xdr:row>
                    <xdr:rowOff>139700</xdr:rowOff>
                  </from>
                  <to>
                    <xdr:col>2</xdr:col>
                    <xdr:colOff>838200</xdr:colOff>
                    <xdr:row>15</xdr:row>
                    <xdr:rowOff>38100</xdr:rowOff>
                  </to>
                </anchor>
              </controlPr>
            </control>
          </mc:Choice>
        </mc:AlternateContent>
        <mc:AlternateContent xmlns:mc="http://schemas.openxmlformats.org/markup-compatibility/2006">
          <mc:Choice Requires="x14">
            <control shapeId="1059" r:id="rId12" name="Check Box 35">
              <controlPr defaultSize="0" autoFill="0" autoLine="0" autoPict="0">
                <anchor moveWithCells="1">
                  <from>
                    <xdr:col>2</xdr:col>
                    <xdr:colOff>6350</xdr:colOff>
                    <xdr:row>15</xdr:row>
                    <xdr:rowOff>139700</xdr:rowOff>
                  </from>
                  <to>
                    <xdr:col>2</xdr:col>
                    <xdr:colOff>412750</xdr:colOff>
                    <xdr:row>17</xdr:row>
                    <xdr:rowOff>38100</xdr:rowOff>
                  </to>
                </anchor>
              </controlPr>
            </control>
          </mc:Choice>
        </mc:AlternateContent>
        <mc:AlternateContent xmlns:mc="http://schemas.openxmlformats.org/markup-compatibility/2006">
          <mc:Choice Requires="x14">
            <control shapeId="1060" r:id="rId13" name="Check Box 36">
              <controlPr defaultSize="0" autoFill="0" autoLine="0" autoPict="0">
                <anchor moveWithCells="1">
                  <from>
                    <xdr:col>2</xdr:col>
                    <xdr:colOff>463550</xdr:colOff>
                    <xdr:row>15</xdr:row>
                    <xdr:rowOff>139700</xdr:rowOff>
                  </from>
                  <to>
                    <xdr:col>2</xdr:col>
                    <xdr:colOff>838200</xdr:colOff>
                    <xdr:row>17</xdr:row>
                    <xdr:rowOff>38100</xdr:rowOff>
                  </to>
                </anchor>
              </controlPr>
            </control>
          </mc:Choice>
        </mc:AlternateContent>
        <mc:AlternateContent xmlns:mc="http://schemas.openxmlformats.org/markup-compatibility/2006">
          <mc:Choice Requires="x14">
            <control shapeId="1063" r:id="rId14" name="Check Box 39">
              <controlPr defaultSize="0" autoFill="0" autoLine="0" autoPict="0">
                <anchor moveWithCells="1">
                  <from>
                    <xdr:col>2</xdr:col>
                    <xdr:colOff>6350</xdr:colOff>
                    <xdr:row>18</xdr:row>
                    <xdr:rowOff>146050</xdr:rowOff>
                  </from>
                  <to>
                    <xdr:col>2</xdr:col>
                    <xdr:colOff>412750</xdr:colOff>
                    <xdr:row>20</xdr:row>
                    <xdr:rowOff>0</xdr:rowOff>
                  </to>
                </anchor>
              </controlPr>
            </control>
          </mc:Choice>
        </mc:AlternateContent>
        <mc:AlternateContent xmlns:mc="http://schemas.openxmlformats.org/markup-compatibility/2006">
          <mc:Choice Requires="x14">
            <control shapeId="1064" r:id="rId15" name="Check Box 40">
              <controlPr defaultSize="0" autoFill="0" autoLine="0" autoPict="0">
                <anchor moveWithCells="1">
                  <from>
                    <xdr:col>2</xdr:col>
                    <xdr:colOff>463550</xdr:colOff>
                    <xdr:row>18</xdr:row>
                    <xdr:rowOff>146050</xdr:rowOff>
                  </from>
                  <to>
                    <xdr:col>2</xdr:col>
                    <xdr:colOff>838200</xdr:colOff>
                    <xdr:row>20</xdr:row>
                    <xdr:rowOff>0</xdr:rowOff>
                  </to>
                </anchor>
              </controlPr>
            </control>
          </mc:Choice>
        </mc:AlternateContent>
        <mc:AlternateContent xmlns:mc="http://schemas.openxmlformats.org/markup-compatibility/2006">
          <mc:Choice Requires="x14">
            <control shapeId="1065" r:id="rId16" name="Check Box 41">
              <controlPr defaultSize="0" autoFill="0" autoLine="0" autoPict="0">
                <anchor moveWithCells="1">
                  <from>
                    <xdr:col>2</xdr:col>
                    <xdr:colOff>6350</xdr:colOff>
                    <xdr:row>20</xdr:row>
                    <xdr:rowOff>139700</xdr:rowOff>
                  </from>
                  <to>
                    <xdr:col>2</xdr:col>
                    <xdr:colOff>412750</xdr:colOff>
                    <xdr:row>22</xdr:row>
                    <xdr:rowOff>38100</xdr:rowOff>
                  </to>
                </anchor>
              </controlPr>
            </control>
          </mc:Choice>
        </mc:AlternateContent>
        <mc:AlternateContent xmlns:mc="http://schemas.openxmlformats.org/markup-compatibility/2006">
          <mc:Choice Requires="x14">
            <control shapeId="1066" r:id="rId17" name="Check Box 42">
              <controlPr defaultSize="0" autoFill="0" autoLine="0" autoPict="0">
                <anchor moveWithCells="1">
                  <from>
                    <xdr:col>2</xdr:col>
                    <xdr:colOff>463550</xdr:colOff>
                    <xdr:row>20</xdr:row>
                    <xdr:rowOff>139700</xdr:rowOff>
                  </from>
                  <to>
                    <xdr:col>2</xdr:col>
                    <xdr:colOff>838200</xdr:colOff>
                    <xdr:row>22</xdr:row>
                    <xdr:rowOff>38100</xdr:rowOff>
                  </to>
                </anchor>
              </controlPr>
            </control>
          </mc:Choice>
        </mc:AlternateContent>
        <mc:AlternateContent xmlns:mc="http://schemas.openxmlformats.org/markup-compatibility/2006">
          <mc:Choice Requires="x14">
            <control shapeId="1067" r:id="rId18" name="Check Box 43">
              <controlPr defaultSize="0" autoFill="0" autoLine="0" autoPict="0">
                <anchor moveWithCells="1">
                  <from>
                    <xdr:col>2</xdr:col>
                    <xdr:colOff>6350</xdr:colOff>
                    <xdr:row>22</xdr:row>
                    <xdr:rowOff>139700</xdr:rowOff>
                  </from>
                  <to>
                    <xdr:col>2</xdr:col>
                    <xdr:colOff>412750</xdr:colOff>
                    <xdr:row>24</xdr:row>
                    <xdr:rowOff>38100</xdr:rowOff>
                  </to>
                </anchor>
              </controlPr>
            </control>
          </mc:Choice>
        </mc:AlternateContent>
        <mc:AlternateContent xmlns:mc="http://schemas.openxmlformats.org/markup-compatibility/2006">
          <mc:Choice Requires="x14">
            <control shapeId="1068" r:id="rId19" name="Check Box 44">
              <controlPr defaultSize="0" autoFill="0" autoLine="0" autoPict="0">
                <anchor moveWithCells="1">
                  <from>
                    <xdr:col>2</xdr:col>
                    <xdr:colOff>463550</xdr:colOff>
                    <xdr:row>22</xdr:row>
                    <xdr:rowOff>139700</xdr:rowOff>
                  </from>
                  <to>
                    <xdr:col>2</xdr:col>
                    <xdr:colOff>838200</xdr:colOff>
                    <xdr:row>24</xdr:row>
                    <xdr:rowOff>38100</xdr:rowOff>
                  </to>
                </anchor>
              </controlPr>
            </control>
          </mc:Choice>
        </mc:AlternateContent>
        <mc:AlternateContent xmlns:mc="http://schemas.openxmlformats.org/markup-compatibility/2006">
          <mc:Choice Requires="x14">
            <control shapeId="1069" r:id="rId20" name="Check Box 45">
              <controlPr defaultSize="0" autoFill="0" autoLine="0" autoPict="0">
                <anchor moveWithCells="1">
                  <from>
                    <xdr:col>2</xdr:col>
                    <xdr:colOff>6350</xdr:colOff>
                    <xdr:row>24</xdr:row>
                    <xdr:rowOff>139700</xdr:rowOff>
                  </from>
                  <to>
                    <xdr:col>2</xdr:col>
                    <xdr:colOff>412750</xdr:colOff>
                    <xdr:row>26</xdr:row>
                    <xdr:rowOff>38100</xdr:rowOff>
                  </to>
                </anchor>
              </controlPr>
            </control>
          </mc:Choice>
        </mc:AlternateContent>
        <mc:AlternateContent xmlns:mc="http://schemas.openxmlformats.org/markup-compatibility/2006">
          <mc:Choice Requires="x14">
            <control shapeId="1070" r:id="rId21" name="Check Box 46">
              <controlPr defaultSize="0" autoFill="0" autoLine="0" autoPict="0">
                <anchor moveWithCells="1">
                  <from>
                    <xdr:col>2</xdr:col>
                    <xdr:colOff>463550</xdr:colOff>
                    <xdr:row>24</xdr:row>
                    <xdr:rowOff>139700</xdr:rowOff>
                  </from>
                  <to>
                    <xdr:col>2</xdr:col>
                    <xdr:colOff>838200</xdr:colOff>
                    <xdr:row>26</xdr:row>
                    <xdr:rowOff>38100</xdr:rowOff>
                  </to>
                </anchor>
              </controlPr>
            </control>
          </mc:Choice>
        </mc:AlternateContent>
        <mc:AlternateContent xmlns:mc="http://schemas.openxmlformats.org/markup-compatibility/2006">
          <mc:Choice Requires="x14">
            <control shapeId="1071" r:id="rId22" name="Check Box 47">
              <controlPr defaultSize="0" autoFill="0" autoLine="0" autoPict="0">
                <anchor moveWithCells="1">
                  <from>
                    <xdr:col>2</xdr:col>
                    <xdr:colOff>6350</xdr:colOff>
                    <xdr:row>26</xdr:row>
                    <xdr:rowOff>139700</xdr:rowOff>
                  </from>
                  <to>
                    <xdr:col>2</xdr:col>
                    <xdr:colOff>412750</xdr:colOff>
                    <xdr:row>28</xdr:row>
                    <xdr:rowOff>38100</xdr:rowOff>
                  </to>
                </anchor>
              </controlPr>
            </control>
          </mc:Choice>
        </mc:AlternateContent>
        <mc:AlternateContent xmlns:mc="http://schemas.openxmlformats.org/markup-compatibility/2006">
          <mc:Choice Requires="x14">
            <control shapeId="1072" r:id="rId23" name="Check Box 48">
              <controlPr defaultSize="0" autoFill="0" autoLine="0" autoPict="0">
                <anchor moveWithCells="1">
                  <from>
                    <xdr:col>2</xdr:col>
                    <xdr:colOff>463550</xdr:colOff>
                    <xdr:row>26</xdr:row>
                    <xdr:rowOff>139700</xdr:rowOff>
                  </from>
                  <to>
                    <xdr:col>2</xdr:col>
                    <xdr:colOff>838200</xdr:colOff>
                    <xdr:row>28</xdr:row>
                    <xdr:rowOff>38100</xdr:rowOff>
                  </to>
                </anchor>
              </controlPr>
            </control>
          </mc:Choice>
        </mc:AlternateContent>
        <mc:AlternateContent xmlns:mc="http://schemas.openxmlformats.org/markup-compatibility/2006">
          <mc:Choice Requires="x14">
            <control shapeId="1073" r:id="rId24" name="Check Box 49">
              <controlPr defaultSize="0" autoFill="0" autoLine="0" autoPict="0">
                <anchor moveWithCells="1">
                  <from>
                    <xdr:col>2</xdr:col>
                    <xdr:colOff>6350</xdr:colOff>
                    <xdr:row>28</xdr:row>
                    <xdr:rowOff>139700</xdr:rowOff>
                  </from>
                  <to>
                    <xdr:col>2</xdr:col>
                    <xdr:colOff>412750</xdr:colOff>
                    <xdr:row>30</xdr:row>
                    <xdr:rowOff>38100</xdr:rowOff>
                  </to>
                </anchor>
              </controlPr>
            </control>
          </mc:Choice>
        </mc:AlternateContent>
        <mc:AlternateContent xmlns:mc="http://schemas.openxmlformats.org/markup-compatibility/2006">
          <mc:Choice Requires="x14">
            <control shapeId="1074" r:id="rId25" name="Check Box 50">
              <controlPr defaultSize="0" autoFill="0" autoLine="0" autoPict="0">
                <anchor moveWithCells="1">
                  <from>
                    <xdr:col>2</xdr:col>
                    <xdr:colOff>463550</xdr:colOff>
                    <xdr:row>28</xdr:row>
                    <xdr:rowOff>139700</xdr:rowOff>
                  </from>
                  <to>
                    <xdr:col>2</xdr:col>
                    <xdr:colOff>838200</xdr:colOff>
                    <xdr:row>30</xdr:row>
                    <xdr:rowOff>38100</xdr:rowOff>
                  </to>
                </anchor>
              </controlPr>
            </control>
          </mc:Choice>
        </mc:AlternateContent>
        <mc:AlternateContent xmlns:mc="http://schemas.openxmlformats.org/markup-compatibility/2006">
          <mc:Choice Requires="x14">
            <control shapeId="1075" r:id="rId26" name="Check Box 51">
              <controlPr defaultSize="0" autoFill="0" autoLine="0" autoPict="0">
                <anchor moveWithCells="1">
                  <from>
                    <xdr:col>2</xdr:col>
                    <xdr:colOff>6350</xdr:colOff>
                    <xdr:row>30</xdr:row>
                    <xdr:rowOff>139700</xdr:rowOff>
                  </from>
                  <to>
                    <xdr:col>2</xdr:col>
                    <xdr:colOff>412750</xdr:colOff>
                    <xdr:row>32</xdr:row>
                    <xdr:rowOff>38100</xdr:rowOff>
                  </to>
                </anchor>
              </controlPr>
            </control>
          </mc:Choice>
        </mc:AlternateContent>
        <mc:AlternateContent xmlns:mc="http://schemas.openxmlformats.org/markup-compatibility/2006">
          <mc:Choice Requires="x14">
            <control shapeId="1076" r:id="rId27" name="Check Box 52">
              <controlPr defaultSize="0" autoFill="0" autoLine="0" autoPict="0">
                <anchor moveWithCells="1">
                  <from>
                    <xdr:col>2</xdr:col>
                    <xdr:colOff>463550</xdr:colOff>
                    <xdr:row>30</xdr:row>
                    <xdr:rowOff>139700</xdr:rowOff>
                  </from>
                  <to>
                    <xdr:col>2</xdr:col>
                    <xdr:colOff>838200</xdr:colOff>
                    <xdr:row>32</xdr:row>
                    <xdr:rowOff>38100</xdr:rowOff>
                  </to>
                </anchor>
              </controlPr>
            </control>
          </mc:Choice>
        </mc:AlternateContent>
        <mc:AlternateContent xmlns:mc="http://schemas.openxmlformats.org/markup-compatibility/2006">
          <mc:Choice Requires="x14">
            <control shapeId="1077" r:id="rId28" name="Check Box 53">
              <controlPr defaultSize="0" autoFill="0" autoLine="0" autoPict="0">
                <anchor moveWithCells="1">
                  <from>
                    <xdr:col>2</xdr:col>
                    <xdr:colOff>6350</xdr:colOff>
                    <xdr:row>32</xdr:row>
                    <xdr:rowOff>139700</xdr:rowOff>
                  </from>
                  <to>
                    <xdr:col>2</xdr:col>
                    <xdr:colOff>412750</xdr:colOff>
                    <xdr:row>34</xdr:row>
                    <xdr:rowOff>38100</xdr:rowOff>
                  </to>
                </anchor>
              </controlPr>
            </control>
          </mc:Choice>
        </mc:AlternateContent>
        <mc:AlternateContent xmlns:mc="http://schemas.openxmlformats.org/markup-compatibility/2006">
          <mc:Choice Requires="x14">
            <control shapeId="1078" r:id="rId29" name="Check Box 54">
              <controlPr defaultSize="0" autoFill="0" autoLine="0" autoPict="0">
                <anchor moveWithCells="1">
                  <from>
                    <xdr:col>2</xdr:col>
                    <xdr:colOff>463550</xdr:colOff>
                    <xdr:row>32</xdr:row>
                    <xdr:rowOff>139700</xdr:rowOff>
                  </from>
                  <to>
                    <xdr:col>2</xdr:col>
                    <xdr:colOff>838200</xdr:colOff>
                    <xdr:row>34</xdr:row>
                    <xdr:rowOff>38100</xdr:rowOff>
                  </to>
                </anchor>
              </controlPr>
            </control>
          </mc:Choice>
        </mc:AlternateContent>
        <mc:AlternateContent xmlns:mc="http://schemas.openxmlformats.org/markup-compatibility/2006">
          <mc:Choice Requires="x14">
            <control shapeId="1079" r:id="rId30" name="Check Box 55">
              <controlPr defaultSize="0" autoFill="0" autoLine="0" autoPict="0">
                <anchor moveWithCells="1">
                  <from>
                    <xdr:col>2</xdr:col>
                    <xdr:colOff>6350</xdr:colOff>
                    <xdr:row>34</xdr:row>
                    <xdr:rowOff>139700</xdr:rowOff>
                  </from>
                  <to>
                    <xdr:col>2</xdr:col>
                    <xdr:colOff>412750</xdr:colOff>
                    <xdr:row>36</xdr:row>
                    <xdr:rowOff>38100</xdr:rowOff>
                  </to>
                </anchor>
              </controlPr>
            </control>
          </mc:Choice>
        </mc:AlternateContent>
        <mc:AlternateContent xmlns:mc="http://schemas.openxmlformats.org/markup-compatibility/2006">
          <mc:Choice Requires="x14">
            <control shapeId="1080" r:id="rId31" name="Check Box 56">
              <controlPr defaultSize="0" autoFill="0" autoLine="0" autoPict="0">
                <anchor moveWithCells="1">
                  <from>
                    <xdr:col>2</xdr:col>
                    <xdr:colOff>463550</xdr:colOff>
                    <xdr:row>34</xdr:row>
                    <xdr:rowOff>139700</xdr:rowOff>
                  </from>
                  <to>
                    <xdr:col>2</xdr:col>
                    <xdr:colOff>838200</xdr:colOff>
                    <xdr:row>36</xdr:row>
                    <xdr:rowOff>38100</xdr:rowOff>
                  </to>
                </anchor>
              </controlPr>
            </control>
          </mc:Choice>
        </mc:AlternateContent>
        <mc:AlternateContent xmlns:mc="http://schemas.openxmlformats.org/markup-compatibility/2006">
          <mc:Choice Requires="x14">
            <control shapeId="1081" r:id="rId32" name="Check Box 57">
              <controlPr defaultSize="0" autoFill="0" autoLine="0" autoPict="0">
                <anchor moveWithCells="1">
                  <from>
                    <xdr:col>2</xdr:col>
                    <xdr:colOff>6350</xdr:colOff>
                    <xdr:row>36</xdr:row>
                    <xdr:rowOff>139700</xdr:rowOff>
                  </from>
                  <to>
                    <xdr:col>2</xdr:col>
                    <xdr:colOff>412750</xdr:colOff>
                    <xdr:row>38</xdr:row>
                    <xdr:rowOff>38100</xdr:rowOff>
                  </to>
                </anchor>
              </controlPr>
            </control>
          </mc:Choice>
        </mc:AlternateContent>
        <mc:AlternateContent xmlns:mc="http://schemas.openxmlformats.org/markup-compatibility/2006">
          <mc:Choice Requires="x14">
            <control shapeId="1082" r:id="rId33" name="Check Box 58">
              <controlPr defaultSize="0" autoFill="0" autoLine="0" autoPict="0">
                <anchor moveWithCells="1">
                  <from>
                    <xdr:col>2</xdr:col>
                    <xdr:colOff>463550</xdr:colOff>
                    <xdr:row>36</xdr:row>
                    <xdr:rowOff>139700</xdr:rowOff>
                  </from>
                  <to>
                    <xdr:col>2</xdr:col>
                    <xdr:colOff>838200</xdr:colOff>
                    <xdr:row>38</xdr:row>
                    <xdr:rowOff>38100</xdr:rowOff>
                  </to>
                </anchor>
              </controlPr>
            </control>
          </mc:Choice>
        </mc:AlternateContent>
        <mc:AlternateContent xmlns:mc="http://schemas.openxmlformats.org/markup-compatibility/2006">
          <mc:Choice Requires="x14">
            <control shapeId="1083" r:id="rId34" name="Check Box 59">
              <controlPr defaultSize="0" autoFill="0" autoLine="0" autoPict="0">
                <anchor moveWithCells="1">
                  <from>
                    <xdr:col>2</xdr:col>
                    <xdr:colOff>6350</xdr:colOff>
                    <xdr:row>39</xdr:row>
                    <xdr:rowOff>146050</xdr:rowOff>
                  </from>
                  <to>
                    <xdr:col>2</xdr:col>
                    <xdr:colOff>412750</xdr:colOff>
                    <xdr:row>41</xdr:row>
                    <xdr:rowOff>0</xdr:rowOff>
                  </to>
                </anchor>
              </controlPr>
            </control>
          </mc:Choice>
        </mc:AlternateContent>
        <mc:AlternateContent xmlns:mc="http://schemas.openxmlformats.org/markup-compatibility/2006">
          <mc:Choice Requires="x14">
            <control shapeId="1084" r:id="rId35" name="Check Box 60">
              <controlPr defaultSize="0" autoFill="0" autoLine="0" autoPict="0">
                <anchor moveWithCells="1">
                  <from>
                    <xdr:col>2</xdr:col>
                    <xdr:colOff>463550</xdr:colOff>
                    <xdr:row>39</xdr:row>
                    <xdr:rowOff>146050</xdr:rowOff>
                  </from>
                  <to>
                    <xdr:col>2</xdr:col>
                    <xdr:colOff>838200</xdr:colOff>
                    <xdr:row>41</xdr:row>
                    <xdr:rowOff>0</xdr:rowOff>
                  </to>
                </anchor>
              </controlPr>
            </control>
          </mc:Choice>
        </mc:AlternateContent>
        <mc:AlternateContent xmlns:mc="http://schemas.openxmlformats.org/markup-compatibility/2006">
          <mc:Choice Requires="x14">
            <control shapeId="1085" r:id="rId36" name="Check Box 61">
              <controlPr defaultSize="0" autoFill="0" autoLine="0" autoPict="0">
                <anchor moveWithCells="1">
                  <from>
                    <xdr:col>2</xdr:col>
                    <xdr:colOff>6350</xdr:colOff>
                    <xdr:row>41</xdr:row>
                    <xdr:rowOff>139700</xdr:rowOff>
                  </from>
                  <to>
                    <xdr:col>2</xdr:col>
                    <xdr:colOff>412750</xdr:colOff>
                    <xdr:row>43</xdr:row>
                    <xdr:rowOff>38100</xdr:rowOff>
                  </to>
                </anchor>
              </controlPr>
            </control>
          </mc:Choice>
        </mc:AlternateContent>
        <mc:AlternateContent xmlns:mc="http://schemas.openxmlformats.org/markup-compatibility/2006">
          <mc:Choice Requires="x14">
            <control shapeId="1086" r:id="rId37" name="Check Box 62">
              <controlPr defaultSize="0" autoFill="0" autoLine="0" autoPict="0">
                <anchor moveWithCells="1">
                  <from>
                    <xdr:col>2</xdr:col>
                    <xdr:colOff>463550</xdr:colOff>
                    <xdr:row>41</xdr:row>
                    <xdr:rowOff>139700</xdr:rowOff>
                  </from>
                  <to>
                    <xdr:col>2</xdr:col>
                    <xdr:colOff>838200</xdr:colOff>
                    <xdr:row>43</xdr:row>
                    <xdr:rowOff>38100</xdr:rowOff>
                  </to>
                </anchor>
              </controlPr>
            </control>
          </mc:Choice>
        </mc:AlternateContent>
        <mc:AlternateContent xmlns:mc="http://schemas.openxmlformats.org/markup-compatibility/2006">
          <mc:Choice Requires="x14">
            <control shapeId="1087" r:id="rId38" name="Check Box 63">
              <controlPr defaultSize="0" autoFill="0" autoLine="0" autoPict="0">
                <anchor moveWithCells="1">
                  <from>
                    <xdr:col>2</xdr:col>
                    <xdr:colOff>6350</xdr:colOff>
                    <xdr:row>43</xdr:row>
                    <xdr:rowOff>139700</xdr:rowOff>
                  </from>
                  <to>
                    <xdr:col>2</xdr:col>
                    <xdr:colOff>412750</xdr:colOff>
                    <xdr:row>45</xdr:row>
                    <xdr:rowOff>38100</xdr:rowOff>
                  </to>
                </anchor>
              </controlPr>
            </control>
          </mc:Choice>
        </mc:AlternateContent>
        <mc:AlternateContent xmlns:mc="http://schemas.openxmlformats.org/markup-compatibility/2006">
          <mc:Choice Requires="x14">
            <control shapeId="1088" r:id="rId39" name="Check Box 64">
              <controlPr defaultSize="0" autoFill="0" autoLine="0" autoPict="0">
                <anchor moveWithCells="1">
                  <from>
                    <xdr:col>2</xdr:col>
                    <xdr:colOff>463550</xdr:colOff>
                    <xdr:row>43</xdr:row>
                    <xdr:rowOff>139700</xdr:rowOff>
                  </from>
                  <to>
                    <xdr:col>2</xdr:col>
                    <xdr:colOff>838200</xdr:colOff>
                    <xdr:row>45</xdr:row>
                    <xdr:rowOff>38100</xdr:rowOff>
                  </to>
                </anchor>
              </controlPr>
            </control>
          </mc:Choice>
        </mc:AlternateContent>
        <mc:AlternateContent xmlns:mc="http://schemas.openxmlformats.org/markup-compatibility/2006">
          <mc:Choice Requires="x14">
            <control shapeId="1089" r:id="rId40" name="Check Box 65">
              <controlPr defaultSize="0" autoFill="0" autoLine="0" autoPict="0">
                <anchor moveWithCells="1">
                  <from>
                    <xdr:col>2</xdr:col>
                    <xdr:colOff>6350</xdr:colOff>
                    <xdr:row>45</xdr:row>
                    <xdr:rowOff>139700</xdr:rowOff>
                  </from>
                  <to>
                    <xdr:col>2</xdr:col>
                    <xdr:colOff>412750</xdr:colOff>
                    <xdr:row>47</xdr:row>
                    <xdr:rowOff>38100</xdr:rowOff>
                  </to>
                </anchor>
              </controlPr>
            </control>
          </mc:Choice>
        </mc:AlternateContent>
        <mc:AlternateContent xmlns:mc="http://schemas.openxmlformats.org/markup-compatibility/2006">
          <mc:Choice Requires="x14">
            <control shapeId="1090" r:id="rId41" name="Check Box 66">
              <controlPr defaultSize="0" autoFill="0" autoLine="0" autoPict="0">
                <anchor moveWithCells="1">
                  <from>
                    <xdr:col>2</xdr:col>
                    <xdr:colOff>463550</xdr:colOff>
                    <xdr:row>45</xdr:row>
                    <xdr:rowOff>139700</xdr:rowOff>
                  </from>
                  <to>
                    <xdr:col>2</xdr:col>
                    <xdr:colOff>838200</xdr:colOff>
                    <xdr:row>47</xdr:row>
                    <xdr:rowOff>38100</xdr:rowOff>
                  </to>
                </anchor>
              </controlPr>
            </control>
          </mc:Choice>
        </mc:AlternateContent>
        <mc:AlternateContent xmlns:mc="http://schemas.openxmlformats.org/markup-compatibility/2006">
          <mc:Choice Requires="x14">
            <control shapeId="1091" r:id="rId42" name="Check Box 67">
              <controlPr defaultSize="0" autoFill="0" autoLine="0" autoPict="0">
                <anchor moveWithCells="1">
                  <from>
                    <xdr:col>2</xdr:col>
                    <xdr:colOff>6350</xdr:colOff>
                    <xdr:row>47</xdr:row>
                    <xdr:rowOff>139700</xdr:rowOff>
                  </from>
                  <to>
                    <xdr:col>2</xdr:col>
                    <xdr:colOff>412750</xdr:colOff>
                    <xdr:row>49</xdr:row>
                    <xdr:rowOff>38100</xdr:rowOff>
                  </to>
                </anchor>
              </controlPr>
            </control>
          </mc:Choice>
        </mc:AlternateContent>
        <mc:AlternateContent xmlns:mc="http://schemas.openxmlformats.org/markup-compatibility/2006">
          <mc:Choice Requires="x14">
            <control shapeId="1092" r:id="rId43" name="Check Box 68">
              <controlPr defaultSize="0" autoFill="0" autoLine="0" autoPict="0">
                <anchor moveWithCells="1">
                  <from>
                    <xdr:col>2</xdr:col>
                    <xdr:colOff>463550</xdr:colOff>
                    <xdr:row>47</xdr:row>
                    <xdr:rowOff>139700</xdr:rowOff>
                  </from>
                  <to>
                    <xdr:col>2</xdr:col>
                    <xdr:colOff>838200</xdr:colOff>
                    <xdr:row>49</xdr:row>
                    <xdr:rowOff>38100</xdr:rowOff>
                  </to>
                </anchor>
              </controlPr>
            </control>
          </mc:Choice>
        </mc:AlternateContent>
        <mc:AlternateContent xmlns:mc="http://schemas.openxmlformats.org/markup-compatibility/2006">
          <mc:Choice Requires="x14">
            <control shapeId="1093" r:id="rId44" name="Check Box 69">
              <controlPr defaultSize="0" autoFill="0" autoLine="0" autoPict="0">
                <anchor moveWithCells="1">
                  <from>
                    <xdr:col>2</xdr:col>
                    <xdr:colOff>6350</xdr:colOff>
                    <xdr:row>50</xdr:row>
                    <xdr:rowOff>139700</xdr:rowOff>
                  </from>
                  <to>
                    <xdr:col>2</xdr:col>
                    <xdr:colOff>412750</xdr:colOff>
                    <xdr:row>51</xdr:row>
                    <xdr:rowOff>38100</xdr:rowOff>
                  </to>
                </anchor>
              </controlPr>
            </control>
          </mc:Choice>
        </mc:AlternateContent>
        <mc:AlternateContent xmlns:mc="http://schemas.openxmlformats.org/markup-compatibility/2006">
          <mc:Choice Requires="x14">
            <control shapeId="1094" r:id="rId45" name="Check Box 70">
              <controlPr defaultSize="0" autoFill="0" autoLine="0" autoPict="0">
                <anchor moveWithCells="1">
                  <from>
                    <xdr:col>2</xdr:col>
                    <xdr:colOff>463550</xdr:colOff>
                    <xdr:row>50</xdr:row>
                    <xdr:rowOff>139700</xdr:rowOff>
                  </from>
                  <to>
                    <xdr:col>2</xdr:col>
                    <xdr:colOff>838200</xdr:colOff>
                    <xdr:row>51</xdr:row>
                    <xdr:rowOff>38100</xdr:rowOff>
                  </to>
                </anchor>
              </controlPr>
            </control>
          </mc:Choice>
        </mc:AlternateContent>
        <mc:AlternateContent xmlns:mc="http://schemas.openxmlformats.org/markup-compatibility/2006">
          <mc:Choice Requires="x14">
            <control shapeId="1127" r:id="rId46" name="Check Box 103">
              <controlPr defaultSize="0" autoFill="0" autoLine="0" autoPict="0">
                <anchor moveWithCells="1">
                  <from>
                    <xdr:col>2</xdr:col>
                    <xdr:colOff>6350</xdr:colOff>
                    <xdr:row>52</xdr:row>
                    <xdr:rowOff>146050</xdr:rowOff>
                  </from>
                  <to>
                    <xdr:col>2</xdr:col>
                    <xdr:colOff>412750</xdr:colOff>
                    <xdr:row>53</xdr:row>
                    <xdr:rowOff>158750</xdr:rowOff>
                  </to>
                </anchor>
              </controlPr>
            </control>
          </mc:Choice>
        </mc:AlternateContent>
        <mc:AlternateContent xmlns:mc="http://schemas.openxmlformats.org/markup-compatibility/2006">
          <mc:Choice Requires="x14">
            <control shapeId="1128" r:id="rId47" name="Check Box 104">
              <controlPr defaultSize="0" autoFill="0" autoLine="0" autoPict="0">
                <anchor moveWithCells="1">
                  <from>
                    <xdr:col>2</xdr:col>
                    <xdr:colOff>463550</xdr:colOff>
                    <xdr:row>52</xdr:row>
                    <xdr:rowOff>146050</xdr:rowOff>
                  </from>
                  <to>
                    <xdr:col>2</xdr:col>
                    <xdr:colOff>838200</xdr:colOff>
                    <xdr:row>53</xdr:row>
                    <xdr:rowOff>158750</xdr:rowOff>
                  </to>
                </anchor>
              </controlPr>
            </control>
          </mc:Choice>
        </mc:AlternateContent>
        <mc:AlternateContent xmlns:mc="http://schemas.openxmlformats.org/markup-compatibility/2006">
          <mc:Choice Requires="x14">
            <control shapeId="1129" r:id="rId48" name="Check Box 105">
              <controlPr defaultSize="0" autoFill="0" autoLine="0" autoPict="0">
                <anchor moveWithCells="1">
                  <from>
                    <xdr:col>2</xdr:col>
                    <xdr:colOff>6350</xdr:colOff>
                    <xdr:row>54</xdr:row>
                    <xdr:rowOff>139700</xdr:rowOff>
                  </from>
                  <to>
                    <xdr:col>2</xdr:col>
                    <xdr:colOff>412750</xdr:colOff>
                    <xdr:row>56</xdr:row>
                    <xdr:rowOff>38100</xdr:rowOff>
                  </to>
                </anchor>
              </controlPr>
            </control>
          </mc:Choice>
        </mc:AlternateContent>
        <mc:AlternateContent xmlns:mc="http://schemas.openxmlformats.org/markup-compatibility/2006">
          <mc:Choice Requires="x14">
            <control shapeId="1130" r:id="rId49" name="Check Box 106">
              <controlPr defaultSize="0" autoFill="0" autoLine="0" autoPict="0">
                <anchor moveWithCells="1">
                  <from>
                    <xdr:col>2</xdr:col>
                    <xdr:colOff>463550</xdr:colOff>
                    <xdr:row>54</xdr:row>
                    <xdr:rowOff>139700</xdr:rowOff>
                  </from>
                  <to>
                    <xdr:col>2</xdr:col>
                    <xdr:colOff>838200</xdr:colOff>
                    <xdr:row>56</xdr:row>
                    <xdr:rowOff>38100</xdr:rowOff>
                  </to>
                </anchor>
              </controlPr>
            </control>
          </mc:Choice>
        </mc:AlternateContent>
        <mc:AlternateContent xmlns:mc="http://schemas.openxmlformats.org/markup-compatibility/2006">
          <mc:Choice Requires="x14">
            <control shapeId="1131" r:id="rId50" name="Check Box 107">
              <controlPr defaultSize="0" autoFill="0" autoLine="0" autoPict="0">
                <anchor moveWithCells="1">
                  <from>
                    <xdr:col>2</xdr:col>
                    <xdr:colOff>6350</xdr:colOff>
                    <xdr:row>56</xdr:row>
                    <xdr:rowOff>139700</xdr:rowOff>
                  </from>
                  <to>
                    <xdr:col>2</xdr:col>
                    <xdr:colOff>412750</xdr:colOff>
                    <xdr:row>58</xdr:row>
                    <xdr:rowOff>38100</xdr:rowOff>
                  </to>
                </anchor>
              </controlPr>
            </control>
          </mc:Choice>
        </mc:AlternateContent>
        <mc:AlternateContent xmlns:mc="http://schemas.openxmlformats.org/markup-compatibility/2006">
          <mc:Choice Requires="x14">
            <control shapeId="1132" r:id="rId51" name="Check Box 108">
              <controlPr defaultSize="0" autoFill="0" autoLine="0" autoPict="0">
                <anchor moveWithCells="1">
                  <from>
                    <xdr:col>2</xdr:col>
                    <xdr:colOff>463550</xdr:colOff>
                    <xdr:row>56</xdr:row>
                    <xdr:rowOff>139700</xdr:rowOff>
                  </from>
                  <to>
                    <xdr:col>2</xdr:col>
                    <xdr:colOff>838200</xdr:colOff>
                    <xdr:row>58</xdr:row>
                    <xdr:rowOff>38100</xdr:rowOff>
                  </to>
                </anchor>
              </controlPr>
            </control>
          </mc:Choice>
        </mc:AlternateContent>
        <mc:AlternateContent xmlns:mc="http://schemas.openxmlformats.org/markup-compatibility/2006">
          <mc:Choice Requires="x14">
            <control shapeId="1133" r:id="rId52" name="Check Box 109">
              <controlPr defaultSize="0" autoFill="0" autoLine="0" autoPict="0">
                <anchor moveWithCells="1">
                  <from>
                    <xdr:col>2</xdr:col>
                    <xdr:colOff>6350</xdr:colOff>
                    <xdr:row>58</xdr:row>
                    <xdr:rowOff>139700</xdr:rowOff>
                  </from>
                  <to>
                    <xdr:col>2</xdr:col>
                    <xdr:colOff>412750</xdr:colOff>
                    <xdr:row>60</xdr:row>
                    <xdr:rowOff>38100</xdr:rowOff>
                  </to>
                </anchor>
              </controlPr>
            </control>
          </mc:Choice>
        </mc:AlternateContent>
        <mc:AlternateContent xmlns:mc="http://schemas.openxmlformats.org/markup-compatibility/2006">
          <mc:Choice Requires="x14">
            <control shapeId="1134" r:id="rId53" name="Check Box 110">
              <controlPr defaultSize="0" autoFill="0" autoLine="0" autoPict="0">
                <anchor moveWithCells="1">
                  <from>
                    <xdr:col>2</xdr:col>
                    <xdr:colOff>463550</xdr:colOff>
                    <xdr:row>58</xdr:row>
                    <xdr:rowOff>139700</xdr:rowOff>
                  </from>
                  <to>
                    <xdr:col>2</xdr:col>
                    <xdr:colOff>838200</xdr:colOff>
                    <xdr:row>60</xdr:row>
                    <xdr:rowOff>38100</xdr:rowOff>
                  </to>
                </anchor>
              </controlPr>
            </control>
          </mc:Choice>
        </mc:AlternateContent>
        <mc:AlternateContent xmlns:mc="http://schemas.openxmlformats.org/markup-compatibility/2006">
          <mc:Choice Requires="x14">
            <control shapeId="1135" r:id="rId54" name="Check Box 111">
              <controlPr defaultSize="0" autoFill="0" autoLine="0" autoPict="0">
                <anchor moveWithCells="1">
                  <from>
                    <xdr:col>2</xdr:col>
                    <xdr:colOff>6350</xdr:colOff>
                    <xdr:row>60</xdr:row>
                    <xdr:rowOff>139700</xdr:rowOff>
                  </from>
                  <to>
                    <xdr:col>2</xdr:col>
                    <xdr:colOff>412750</xdr:colOff>
                    <xdr:row>62</xdr:row>
                    <xdr:rowOff>38100</xdr:rowOff>
                  </to>
                </anchor>
              </controlPr>
            </control>
          </mc:Choice>
        </mc:AlternateContent>
        <mc:AlternateContent xmlns:mc="http://schemas.openxmlformats.org/markup-compatibility/2006">
          <mc:Choice Requires="x14">
            <control shapeId="1136" r:id="rId55" name="Check Box 112">
              <controlPr defaultSize="0" autoFill="0" autoLine="0" autoPict="0">
                <anchor moveWithCells="1">
                  <from>
                    <xdr:col>2</xdr:col>
                    <xdr:colOff>463550</xdr:colOff>
                    <xdr:row>60</xdr:row>
                    <xdr:rowOff>139700</xdr:rowOff>
                  </from>
                  <to>
                    <xdr:col>2</xdr:col>
                    <xdr:colOff>838200</xdr:colOff>
                    <xdr:row>62</xdr:row>
                    <xdr:rowOff>38100</xdr:rowOff>
                  </to>
                </anchor>
              </controlPr>
            </control>
          </mc:Choice>
        </mc:AlternateContent>
        <mc:AlternateContent xmlns:mc="http://schemas.openxmlformats.org/markup-compatibility/2006">
          <mc:Choice Requires="x14">
            <control shapeId="1137" r:id="rId56" name="Check Box 113">
              <controlPr defaultSize="0" autoFill="0" autoLine="0" autoPict="0">
                <anchor moveWithCells="1">
                  <from>
                    <xdr:col>2</xdr:col>
                    <xdr:colOff>6350</xdr:colOff>
                    <xdr:row>68</xdr:row>
                    <xdr:rowOff>165100</xdr:rowOff>
                  </from>
                  <to>
                    <xdr:col>2</xdr:col>
                    <xdr:colOff>412750</xdr:colOff>
                    <xdr:row>70</xdr:row>
                    <xdr:rowOff>31750</xdr:rowOff>
                  </to>
                </anchor>
              </controlPr>
            </control>
          </mc:Choice>
        </mc:AlternateContent>
        <mc:AlternateContent xmlns:mc="http://schemas.openxmlformats.org/markup-compatibility/2006">
          <mc:Choice Requires="x14">
            <control shapeId="1138" r:id="rId57" name="Check Box 114">
              <controlPr defaultSize="0" autoFill="0" autoLine="0" autoPict="0">
                <anchor moveWithCells="1">
                  <from>
                    <xdr:col>2</xdr:col>
                    <xdr:colOff>463550</xdr:colOff>
                    <xdr:row>68</xdr:row>
                    <xdr:rowOff>165100</xdr:rowOff>
                  </from>
                  <to>
                    <xdr:col>2</xdr:col>
                    <xdr:colOff>838200</xdr:colOff>
                    <xdr:row>70</xdr:row>
                    <xdr:rowOff>31750</xdr:rowOff>
                  </to>
                </anchor>
              </controlPr>
            </control>
          </mc:Choice>
        </mc:AlternateContent>
        <mc:AlternateContent xmlns:mc="http://schemas.openxmlformats.org/markup-compatibility/2006">
          <mc:Choice Requires="x14">
            <control shapeId="1139" r:id="rId58" name="Check Box 115">
              <controlPr defaultSize="0" autoFill="0" autoLine="0" autoPict="0">
                <anchor moveWithCells="1">
                  <from>
                    <xdr:col>2</xdr:col>
                    <xdr:colOff>6350</xdr:colOff>
                    <xdr:row>70</xdr:row>
                    <xdr:rowOff>139700</xdr:rowOff>
                  </from>
                  <to>
                    <xdr:col>2</xdr:col>
                    <xdr:colOff>412750</xdr:colOff>
                    <xdr:row>72</xdr:row>
                    <xdr:rowOff>38100</xdr:rowOff>
                  </to>
                </anchor>
              </controlPr>
            </control>
          </mc:Choice>
        </mc:AlternateContent>
        <mc:AlternateContent xmlns:mc="http://schemas.openxmlformats.org/markup-compatibility/2006">
          <mc:Choice Requires="x14">
            <control shapeId="1140" r:id="rId59" name="Check Box 116">
              <controlPr defaultSize="0" autoFill="0" autoLine="0" autoPict="0">
                <anchor moveWithCells="1">
                  <from>
                    <xdr:col>2</xdr:col>
                    <xdr:colOff>463550</xdr:colOff>
                    <xdr:row>70</xdr:row>
                    <xdr:rowOff>139700</xdr:rowOff>
                  </from>
                  <to>
                    <xdr:col>2</xdr:col>
                    <xdr:colOff>838200</xdr:colOff>
                    <xdr:row>72</xdr:row>
                    <xdr:rowOff>38100</xdr:rowOff>
                  </to>
                </anchor>
              </controlPr>
            </control>
          </mc:Choice>
        </mc:AlternateContent>
        <mc:AlternateContent xmlns:mc="http://schemas.openxmlformats.org/markup-compatibility/2006">
          <mc:Choice Requires="x14">
            <control shapeId="1141" r:id="rId60" name="Check Box 117">
              <controlPr defaultSize="0" autoFill="0" autoLine="0" autoPict="0">
                <anchor moveWithCells="1">
                  <from>
                    <xdr:col>2</xdr:col>
                    <xdr:colOff>6350</xdr:colOff>
                    <xdr:row>72</xdr:row>
                    <xdr:rowOff>139700</xdr:rowOff>
                  </from>
                  <to>
                    <xdr:col>2</xdr:col>
                    <xdr:colOff>412750</xdr:colOff>
                    <xdr:row>74</xdr:row>
                    <xdr:rowOff>0</xdr:rowOff>
                  </to>
                </anchor>
              </controlPr>
            </control>
          </mc:Choice>
        </mc:AlternateContent>
        <mc:AlternateContent xmlns:mc="http://schemas.openxmlformats.org/markup-compatibility/2006">
          <mc:Choice Requires="x14">
            <control shapeId="1142" r:id="rId61" name="Check Box 118">
              <controlPr defaultSize="0" autoFill="0" autoLine="0" autoPict="0">
                <anchor moveWithCells="1">
                  <from>
                    <xdr:col>2</xdr:col>
                    <xdr:colOff>463550</xdr:colOff>
                    <xdr:row>72</xdr:row>
                    <xdr:rowOff>139700</xdr:rowOff>
                  </from>
                  <to>
                    <xdr:col>2</xdr:col>
                    <xdr:colOff>838200</xdr:colOff>
                    <xdr:row>74</xdr:row>
                    <xdr:rowOff>0</xdr:rowOff>
                  </to>
                </anchor>
              </controlPr>
            </control>
          </mc:Choice>
        </mc:AlternateContent>
        <mc:AlternateContent xmlns:mc="http://schemas.openxmlformats.org/markup-compatibility/2006">
          <mc:Choice Requires="x14">
            <control shapeId="1143" r:id="rId62" name="Check Box 119">
              <controlPr defaultSize="0" autoFill="0" autoLine="0" autoPict="0">
                <anchor moveWithCells="1">
                  <from>
                    <xdr:col>2</xdr:col>
                    <xdr:colOff>6350</xdr:colOff>
                    <xdr:row>74</xdr:row>
                    <xdr:rowOff>139700</xdr:rowOff>
                  </from>
                  <to>
                    <xdr:col>2</xdr:col>
                    <xdr:colOff>412750</xdr:colOff>
                    <xdr:row>76</xdr:row>
                    <xdr:rowOff>0</xdr:rowOff>
                  </to>
                </anchor>
              </controlPr>
            </control>
          </mc:Choice>
        </mc:AlternateContent>
        <mc:AlternateContent xmlns:mc="http://schemas.openxmlformats.org/markup-compatibility/2006">
          <mc:Choice Requires="x14">
            <control shapeId="1144" r:id="rId63" name="Check Box 120">
              <controlPr defaultSize="0" autoFill="0" autoLine="0" autoPict="0">
                <anchor moveWithCells="1">
                  <from>
                    <xdr:col>2</xdr:col>
                    <xdr:colOff>463550</xdr:colOff>
                    <xdr:row>74</xdr:row>
                    <xdr:rowOff>139700</xdr:rowOff>
                  </from>
                  <to>
                    <xdr:col>2</xdr:col>
                    <xdr:colOff>838200</xdr:colOff>
                    <xdr:row>76</xdr:row>
                    <xdr:rowOff>0</xdr:rowOff>
                  </to>
                </anchor>
              </controlPr>
            </control>
          </mc:Choice>
        </mc:AlternateContent>
        <mc:AlternateContent xmlns:mc="http://schemas.openxmlformats.org/markup-compatibility/2006">
          <mc:Choice Requires="x14">
            <control shapeId="1145" r:id="rId64" name="Check Box 121">
              <controlPr defaultSize="0" autoFill="0" autoLine="0" autoPict="0">
                <anchor moveWithCells="1">
                  <from>
                    <xdr:col>2</xdr:col>
                    <xdr:colOff>6350</xdr:colOff>
                    <xdr:row>76</xdr:row>
                    <xdr:rowOff>139700</xdr:rowOff>
                  </from>
                  <to>
                    <xdr:col>2</xdr:col>
                    <xdr:colOff>412750</xdr:colOff>
                    <xdr:row>78</xdr:row>
                    <xdr:rowOff>38100</xdr:rowOff>
                  </to>
                </anchor>
              </controlPr>
            </control>
          </mc:Choice>
        </mc:AlternateContent>
        <mc:AlternateContent xmlns:mc="http://schemas.openxmlformats.org/markup-compatibility/2006">
          <mc:Choice Requires="x14">
            <control shapeId="1146" r:id="rId65" name="Check Box 122">
              <controlPr defaultSize="0" autoFill="0" autoLine="0" autoPict="0">
                <anchor moveWithCells="1">
                  <from>
                    <xdr:col>2</xdr:col>
                    <xdr:colOff>463550</xdr:colOff>
                    <xdr:row>76</xdr:row>
                    <xdr:rowOff>139700</xdr:rowOff>
                  </from>
                  <to>
                    <xdr:col>2</xdr:col>
                    <xdr:colOff>838200</xdr:colOff>
                    <xdr:row>78</xdr:row>
                    <xdr:rowOff>38100</xdr:rowOff>
                  </to>
                </anchor>
              </controlPr>
            </control>
          </mc:Choice>
        </mc:AlternateContent>
        <mc:AlternateContent xmlns:mc="http://schemas.openxmlformats.org/markup-compatibility/2006">
          <mc:Choice Requires="x14">
            <control shapeId="1147" r:id="rId66" name="Check Box 123">
              <controlPr defaultSize="0" autoFill="0" autoLine="0" autoPict="0">
                <anchor moveWithCells="1">
                  <from>
                    <xdr:col>2</xdr:col>
                    <xdr:colOff>6350</xdr:colOff>
                    <xdr:row>84</xdr:row>
                    <xdr:rowOff>146050</xdr:rowOff>
                  </from>
                  <to>
                    <xdr:col>2</xdr:col>
                    <xdr:colOff>412750</xdr:colOff>
                    <xdr:row>86</xdr:row>
                    <xdr:rowOff>0</xdr:rowOff>
                  </to>
                </anchor>
              </controlPr>
            </control>
          </mc:Choice>
        </mc:AlternateContent>
        <mc:AlternateContent xmlns:mc="http://schemas.openxmlformats.org/markup-compatibility/2006">
          <mc:Choice Requires="x14">
            <control shapeId="1148" r:id="rId67" name="Check Box 124">
              <controlPr defaultSize="0" autoFill="0" autoLine="0" autoPict="0">
                <anchor moveWithCells="1">
                  <from>
                    <xdr:col>2</xdr:col>
                    <xdr:colOff>463550</xdr:colOff>
                    <xdr:row>84</xdr:row>
                    <xdr:rowOff>146050</xdr:rowOff>
                  </from>
                  <to>
                    <xdr:col>2</xdr:col>
                    <xdr:colOff>838200</xdr:colOff>
                    <xdr:row>86</xdr:row>
                    <xdr:rowOff>0</xdr:rowOff>
                  </to>
                </anchor>
              </controlPr>
            </control>
          </mc:Choice>
        </mc:AlternateContent>
        <mc:AlternateContent xmlns:mc="http://schemas.openxmlformats.org/markup-compatibility/2006">
          <mc:Choice Requires="x14">
            <control shapeId="1149" r:id="rId68" name="Check Box 125">
              <controlPr defaultSize="0" autoFill="0" autoLine="0" autoPict="0">
                <anchor moveWithCells="1">
                  <from>
                    <xdr:col>2</xdr:col>
                    <xdr:colOff>6350</xdr:colOff>
                    <xdr:row>86</xdr:row>
                    <xdr:rowOff>139700</xdr:rowOff>
                  </from>
                  <to>
                    <xdr:col>2</xdr:col>
                    <xdr:colOff>412750</xdr:colOff>
                    <xdr:row>88</xdr:row>
                    <xdr:rowOff>38100</xdr:rowOff>
                  </to>
                </anchor>
              </controlPr>
            </control>
          </mc:Choice>
        </mc:AlternateContent>
        <mc:AlternateContent xmlns:mc="http://schemas.openxmlformats.org/markup-compatibility/2006">
          <mc:Choice Requires="x14">
            <control shapeId="1150" r:id="rId69" name="Check Box 126">
              <controlPr defaultSize="0" autoFill="0" autoLine="0" autoPict="0">
                <anchor moveWithCells="1">
                  <from>
                    <xdr:col>2</xdr:col>
                    <xdr:colOff>463550</xdr:colOff>
                    <xdr:row>86</xdr:row>
                    <xdr:rowOff>139700</xdr:rowOff>
                  </from>
                  <to>
                    <xdr:col>2</xdr:col>
                    <xdr:colOff>838200</xdr:colOff>
                    <xdr:row>88</xdr:row>
                    <xdr:rowOff>38100</xdr:rowOff>
                  </to>
                </anchor>
              </controlPr>
            </control>
          </mc:Choice>
        </mc:AlternateContent>
        <mc:AlternateContent xmlns:mc="http://schemas.openxmlformats.org/markup-compatibility/2006">
          <mc:Choice Requires="x14">
            <control shapeId="1151" r:id="rId70" name="Check Box 127">
              <controlPr defaultSize="0" autoFill="0" autoLine="0" autoPict="0">
                <anchor moveWithCells="1">
                  <from>
                    <xdr:col>2</xdr:col>
                    <xdr:colOff>6350</xdr:colOff>
                    <xdr:row>88</xdr:row>
                    <xdr:rowOff>139700</xdr:rowOff>
                  </from>
                  <to>
                    <xdr:col>2</xdr:col>
                    <xdr:colOff>412750</xdr:colOff>
                    <xdr:row>90</xdr:row>
                    <xdr:rowOff>38100</xdr:rowOff>
                  </to>
                </anchor>
              </controlPr>
            </control>
          </mc:Choice>
        </mc:AlternateContent>
        <mc:AlternateContent xmlns:mc="http://schemas.openxmlformats.org/markup-compatibility/2006">
          <mc:Choice Requires="x14">
            <control shapeId="1152" r:id="rId71" name="Check Box 128">
              <controlPr defaultSize="0" autoFill="0" autoLine="0" autoPict="0">
                <anchor moveWithCells="1">
                  <from>
                    <xdr:col>2</xdr:col>
                    <xdr:colOff>463550</xdr:colOff>
                    <xdr:row>88</xdr:row>
                    <xdr:rowOff>139700</xdr:rowOff>
                  </from>
                  <to>
                    <xdr:col>2</xdr:col>
                    <xdr:colOff>838200</xdr:colOff>
                    <xdr:row>90</xdr:row>
                    <xdr:rowOff>38100</xdr:rowOff>
                  </to>
                </anchor>
              </controlPr>
            </control>
          </mc:Choice>
        </mc:AlternateContent>
        <mc:AlternateContent xmlns:mc="http://schemas.openxmlformats.org/markup-compatibility/2006">
          <mc:Choice Requires="x14">
            <control shapeId="1153" r:id="rId72" name="Check Box 129">
              <controlPr defaultSize="0" autoFill="0" autoLine="0" autoPict="0">
                <anchor moveWithCells="1">
                  <from>
                    <xdr:col>2</xdr:col>
                    <xdr:colOff>6350</xdr:colOff>
                    <xdr:row>90</xdr:row>
                    <xdr:rowOff>139700</xdr:rowOff>
                  </from>
                  <to>
                    <xdr:col>2</xdr:col>
                    <xdr:colOff>412750</xdr:colOff>
                    <xdr:row>92</xdr:row>
                    <xdr:rowOff>38100</xdr:rowOff>
                  </to>
                </anchor>
              </controlPr>
            </control>
          </mc:Choice>
        </mc:AlternateContent>
        <mc:AlternateContent xmlns:mc="http://schemas.openxmlformats.org/markup-compatibility/2006">
          <mc:Choice Requires="x14">
            <control shapeId="1154" r:id="rId73" name="Check Box 130">
              <controlPr defaultSize="0" autoFill="0" autoLine="0" autoPict="0">
                <anchor moveWithCells="1">
                  <from>
                    <xdr:col>2</xdr:col>
                    <xdr:colOff>463550</xdr:colOff>
                    <xdr:row>90</xdr:row>
                    <xdr:rowOff>139700</xdr:rowOff>
                  </from>
                  <to>
                    <xdr:col>2</xdr:col>
                    <xdr:colOff>838200</xdr:colOff>
                    <xdr:row>92</xdr:row>
                    <xdr:rowOff>38100</xdr:rowOff>
                  </to>
                </anchor>
              </controlPr>
            </control>
          </mc:Choice>
        </mc:AlternateContent>
        <mc:AlternateContent xmlns:mc="http://schemas.openxmlformats.org/markup-compatibility/2006">
          <mc:Choice Requires="x14">
            <control shapeId="1155" r:id="rId74" name="Check Box 131">
              <controlPr defaultSize="0" autoFill="0" autoLine="0" autoPict="0">
                <anchor moveWithCells="1">
                  <from>
                    <xdr:col>2</xdr:col>
                    <xdr:colOff>6350</xdr:colOff>
                    <xdr:row>92</xdr:row>
                    <xdr:rowOff>139700</xdr:rowOff>
                  </from>
                  <to>
                    <xdr:col>2</xdr:col>
                    <xdr:colOff>412750</xdr:colOff>
                    <xdr:row>94</xdr:row>
                    <xdr:rowOff>0</xdr:rowOff>
                  </to>
                </anchor>
              </controlPr>
            </control>
          </mc:Choice>
        </mc:AlternateContent>
        <mc:AlternateContent xmlns:mc="http://schemas.openxmlformats.org/markup-compatibility/2006">
          <mc:Choice Requires="x14">
            <control shapeId="1156" r:id="rId75" name="Check Box 132">
              <controlPr defaultSize="0" autoFill="0" autoLine="0" autoPict="0">
                <anchor moveWithCells="1">
                  <from>
                    <xdr:col>2</xdr:col>
                    <xdr:colOff>463550</xdr:colOff>
                    <xdr:row>92</xdr:row>
                    <xdr:rowOff>139700</xdr:rowOff>
                  </from>
                  <to>
                    <xdr:col>2</xdr:col>
                    <xdr:colOff>838200</xdr:colOff>
                    <xdr:row>94</xdr:row>
                    <xdr:rowOff>0</xdr:rowOff>
                  </to>
                </anchor>
              </controlPr>
            </control>
          </mc:Choice>
        </mc:AlternateContent>
        <mc:AlternateContent xmlns:mc="http://schemas.openxmlformats.org/markup-compatibility/2006">
          <mc:Choice Requires="x14">
            <control shapeId="1157" r:id="rId76" name="Check Box 133">
              <controlPr defaultSize="0" autoFill="0" autoLine="0" autoPict="0">
                <anchor moveWithCells="1">
                  <from>
                    <xdr:col>2</xdr:col>
                    <xdr:colOff>6350</xdr:colOff>
                    <xdr:row>84</xdr:row>
                    <xdr:rowOff>146050</xdr:rowOff>
                  </from>
                  <to>
                    <xdr:col>2</xdr:col>
                    <xdr:colOff>412750</xdr:colOff>
                    <xdr:row>86</xdr:row>
                    <xdr:rowOff>0</xdr:rowOff>
                  </to>
                </anchor>
              </controlPr>
            </control>
          </mc:Choice>
        </mc:AlternateContent>
        <mc:AlternateContent xmlns:mc="http://schemas.openxmlformats.org/markup-compatibility/2006">
          <mc:Choice Requires="x14">
            <control shapeId="1158" r:id="rId77" name="Check Box 134">
              <controlPr defaultSize="0" autoFill="0" autoLine="0" autoPict="0">
                <anchor moveWithCells="1">
                  <from>
                    <xdr:col>2</xdr:col>
                    <xdr:colOff>463550</xdr:colOff>
                    <xdr:row>84</xdr:row>
                    <xdr:rowOff>146050</xdr:rowOff>
                  </from>
                  <to>
                    <xdr:col>2</xdr:col>
                    <xdr:colOff>838200</xdr:colOff>
                    <xdr:row>86</xdr:row>
                    <xdr:rowOff>0</xdr:rowOff>
                  </to>
                </anchor>
              </controlPr>
            </control>
          </mc:Choice>
        </mc:AlternateContent>
        <mc:AlternateContent xmlns:mc="http://schemas.openxmlformats.org/markup-compatibility/2006">
          <mc:Choice Requires="x14">
            <control shapeId="1162" r:id="rId78" name="Check Box 138">
              <controlPr defaultSize="0" autoFill="0" autoLine="0" autoPict="0">
                <anchor moveWithCells="1">
                  <from>
                    <xdr:col>2</xdr:col>
                    <xdr:colOff>6350</xdr:colOff>
                    <xdr:row>95</xdr:row>
                    <xdr:rowOff>165100</xdr:rowOff>
                  </from>
                  <to>
                    <xdr:col>2</xdr:col>
                    <xdr:colOff>412750</xdr:colOff>
                    <xdr:row>97</xdr:row>
                    <xdr:rowOff>31750</xdr:rowOff>
                  </to>
                </anchor>
              </controlPr>
            </control>
          </mc:Choice>
        </mc:AlternateContent>
        <mc:AlternateContent xmlns:mc="http://schemas.openxmlformats.org/markup-compatibility/2006">
          <mc:Choice Requires="x14">
            <control shapeId="1163" r:id="rId79" name="Check Box 139">
              <controlPr defaultSize="0" autoFill="0" autoLine="0" autoPict="0">
                <anchor moveWithCells="1">
                  <from>
                    <xdr:col>2</xdr:col>
                    <xdr:colOff>463550</xdr:colOff>
                    <xdr:row>95</xdr:row>
                    <xdr:rowOff>165100</xdr:rowOff>
                  </from>
                  <to>
                    <xdr:col>2</xdr:col>
                    <xdr:colOff>838200</xdr:colOff>
                    <xdr:row>97</xdr:row>
                    <xdr:rowOff>31750</xdr:rowOff>
                  </to>
                </anchor>
              </controlPr>
            </control>
          </mc:Choice>
        </mc:AlternateContent>
        <mc:AlternateContent xmlns:mc="http://schemas.openxmlformats.org/markup-compatibility/2006">
          <mc:Choice Requires="x14">
            <control shapeId="1164" r:id="rId80" name="Check Box 140">
              <controlPr defaultSize="0" autoFill="0" autoLine="0" autoPict="0">
                <anchor moveWithCells="1">
                  <from>
                    <xdr:col>2</xdr:col>
                    <xdr:colOff>6350</xdr:colOff>
                    <xdr:row>97</xdr:row>
                    <xdr:rowOff>139700</xdr:rowOff>
                  </from>
                  <to>
                    <xdr:col>2</xdr:col>
                    <xdr:colOff>412750</xdr:colOff>
                    <xdr:row>99</xdr:row>
                    <xdr:rowOff>38100</xdr:rowOff>
                  </to>
                </anchor>
              </controlPr>
            </control>
          </mc:Choice>
        </mc:AlternateContent>
        <mc:AlternateContent xmlns:mc="http://schemas.openxmlformats.org/markup-compatibility/2006">
          <mc:Choice Requires="x14">
            <control shapeId="1165" r:id="rId81" name="Check Box 141">
              <controlPr defaultSize="0" autoFill="0" autoLine="0" autoPict="0">
                <anchor moveWithCells="1">
                  <from>
                    <xdr:col>2</xdr:col>
                    <xdr:colOff>463550</xdr:colOff>
                    <xdr:row>97</xdr:row>
                    <xdr:rowOff>139700</xdr:rowOff>
                  </from>
                  <to>
                    <xdr:col>2</xdr:col>
                    <xdr:colOff>838200</xdr:colOff>
                    <xdr:row>99</xdr:row>
                    <xdr:rowOff>38100</xdr:rowOff>
                  </to>
                </anchor>
              </controlPr>
            </control>
          </mc:Choice>
        </mc:AlternateContent>
        <mc:AlternateContent xmlns:mc="http://schemas.openxmlformats.org/markup-compatibility/2006">
          <mc:Choice Requires="x14">
            <control shapeId="1166" r:id="rId82" name="Check Box 142">
              <controlPr defaultSize="0" autoFill="0" autoLine="0" autoPict="0">
                <anchor moveWithCells="1">
                  <from>
                    <xdr:col>2</xdr:col>
                    <xdr:colOff>6350</xdr:colOff>
                    <xdr:row>99</xdr:row>
                    <xdr:rowOff>139700</xdr:rowOff>
                  </from>
                  <to>
                    <xdr:col>2</xdr:col>
                    <xdr:colOff>412750</xdr:colOff>
                    <xdr:row>101</xdr:row>
                    <xdr:rowOff>6350</xdr:rowOff>
                  </to>
                </anchor>
              </controlPr>
            </control>
          </mc:Choice>
        </mc:AlternateContent>
        <mc:AlternateContent xmlns:mc="http://schemas.openxmlformats.org/markup-compatibility/2006">
          <mc:Choice Requires="x14">
            <control shapeId="1167" r:id="rId83" name="Check Box 143">
              <controlPr defaultSize="0" autoFill="0" autoLine="0" autoPict="0">
                <anchor moveWithCells="1">
                  <from>
                    <xdr:col>2</xdr:col>
                    <xdr:colOff>463550</xdr:colOff>
                    <xdr:row>99</xdr:row>
                    <xdr:rowOff>139700</xdr:rowOff>
                  </from>
                  <to>
                    <xdr:col>2</xdr:col>
                    <xdr:colOff>838200</xdr:colOff>
                    <xdr:row>101</xdr:row>
                    <xdr:rowOff>6350</xdr:rowOff>
                  </to>
                </anchor>
              </controlPr>
            </control>
          </mc:Choice>
        </mc:AlternateContent>
        <mc:AlternateContent xmlns:mc="http://schemas.openxmlformats.org/markup-compatibility/2006">
          <mc:Choice Requires="x14">
            <control shapeId="1170" r:id="rId84" name="Check Box 146">
              <controlPr defaultSize="0" autoFill="0" autoLine="0" autoPict="0">
                <anchor moveWithCells="1">
                  <from>
                    <xdr:col>2</xdr:col>
                    <xdr:colOff>6350</xdr:colOff>
                    <xdr:row>102</xdr:row>
                    <xdr:rowOff>184150</xdr:rowOff>
                  </from>
                  <to>
                    <xdr:col>2</xdr:col>
                    <xdr:colOff>412750</xdr:colOff>
                    <xdr:row>104</xdr:row>
                    <xdr:rowOff>0</xdr:rowOff>
                  </to>
                </anchor>
              </controlPr>
            </control>
          </mc:Choice>
        </mc:AlternateContent>
        <mc:AlternateContent xmlns:mc="http://schemas.openxmlformats.org/markup-compatibility/2006">
          <mc:Choice Requires="x14">
            <control shapeId="1171" r:id="rId85" name="Check Box 147">
              <controlPr defaultSize="0" autoFill="0" autoLine="0" autoPict="0">
                <anchor moveWithCells="1">
                  <from>
                    <xdr:col>2</xdr:col>
                    <xdr:colOff>463550</xdr:colOff>
                    <xdr:row>102</xdr:row>
                    <xdr:rowOff>184150</xdr:rowOff>
                  </from>
                  <to>
                    <xdr:col>2</xdr:col>
                    <xdr:colOff>838200</xdr:colOff>
                    <xdr:row>104</xdr:row>
                    <xdr:rowOff>0</xdr:rowOff>
                  </to>
                </anchor>
              </controlPr>
            </control>
          </mc:Choice>
        </mc:AlternateContent>
        <mc:AlternateContent xmlns:mc="http://schemas.openxmlformats.org/markup-compatibility/2006">
          <mc:Choice Requires="x14">
            <control shapeId="1172" r:id="rId86" name="Check Box 148">
              <controlPr defaultSize="0" autoFill="0" autoLine="0" autoPict="0">
                <anchor moveWithCells="1">
                  <from>
                    <xdr:col>2</xdr:col>
                    <xdr:colOff>6350</xdr:colOff>
                    <xdr:row>104</xdr:row>
                    <xdr:rowOff>139700</xdr:rowOff>
                  </from>
                  <to>
                    <xdr:col>2</xdr:col>
                    <xdr:colOff>412750</xdr:colOff>
                    <xdr:row>106</xdr:row>
                    <xdr:rowOff>38100</xdr:rowOff>
                  </to>
                </anchor>
              </controlPr>
            </control>
          </mc:Choice>
        </mc:AlternateContent>
        <mc:AlternateContent xmlns:mc="http://schemas.openxmlformats.org/markup-compatibility/2006">
          <mc:Choice Requires="x14">
            <control shapeId="1173" r:id="rId87" name="Check Box 149">
              <controlPr defaultSize="0" autoFill="0" autoLine="0" autoPict="0">
                <anchor moveWithCells="1">
                  <from>
                    <xdr:col>2</xdr:col>
                    <xdr:colOff>463550</xdr:colOff>
                    <xdr:row>104</xdr:row>
                    <xdr:rowOff>139700</xdr:rowOff>
                  </from>
                  <to>
                    <xdr:col>2</xdr:col>
                    <xdr:colOff>838200</xdr:colOff>
                    <xdr:row>106</xdr:row>
                    <xdr:rowOff>38100</xdr:rowOff>
                  </to>
                </anchor>
              </controlPr>
            </control>
          </mc:Choice>
        </mc:AlternateContent>
        <mc:AlternateContent xmlns:mc="http://schemas.openxmlformats.org/markup-compatibility/2006">
          <mc:Choice Requires="x14">
            <control shapeId="1174" r:id="rId88" name="Check Box 150">
              <controlPr defaultSize="0" autoFill="0" autoLine="0" autoPict="0">
                <anchor moveWithCells="1">
                  <from>
                    <xdr:col>2</xdr:col>
                    <xdr:colOff>6350</xdr:colOff>
                    <xdr:row>106</xdr:row>
                    <xdr:rowOff>139700</xdr:rowOff>
                  </from>
                  <to>
                    <xdr:col>2</xdr:col>
                    <xdr:colOff>412750</xdr:colOff>
                    <xdr:row>108</xdr:row>
                    <xdr:rowOff>0</xdr:rowOff>
                  </to>
                </anchor>
              </controlPr>
            </control>
          </mc:Choice>
        </mc:AlternateContent>
        <mc:AlternateContent xmlns:mc="http://schemas.openxmlformats.org/markup-compatibility/2006">
          <mc:Choice Requires="x14">
            <control shapeId="1175" r:id="rId89" name="Check Box 151">
              <controlPr defaultSize="0" autoFill="0" autoLine="0" autoPict="0">
                <anchor moveWithCells="1">
                  <from>
                    <xdr:col>2</xdr:col>
                    <xdr:colOff>463550</xdr:colOff>
                    <xdr:row>106</xdr:row>
                    <xdr:rowOff>139700</xdr:rowOff>
                  </from>
                  <to>
                    <xdr:col>2</xdr:col>
                    <xdr:colOff>838200</xdr:colOff>
                    <xdr:row>108</xdr:row>
                    <xdr:rowOff>0</xdr:rowOff>
                  </to>
                </anchor>
              </controlPr>
            </control>
          </mc:Choice>
        </mc:AlternateContent>
        <mc:AlternateContent xmlns:mc="http://schemas.openxmlformats.org/markup-compatibility/2006">
          <mc:Choice Requires="x14">
            <control shapeId="1176" r:id="rId90" name="Check Box 152">
              <controlPr defaultSize="0" autoFill="0" autoLine="0" autoPict="0">
                <anchor moveWithCells="1">
                  <from>
                    <xdr:col>2</xdr:col>
                    <xdr:colOff>6350</xdr:colOff>
                    <xdr:row>108</xdr:row>
                    <xdr:rowOff>139700</xdr:rowOff>
                  </from>
                  <to>
                    <xdr:col>2</xdr:col>
                    <xdr:colOff>412750</xdr:colOff>
                    <xdr:row>110</xdr:row>
                    <xdr:rowOff>0</xdr:rowOff>
                  </to>
                </anchor>
              </controlPr>
            </control>
          </mc:Choice>
        </mc:AlternateContent>
        <mc:AlternateContent xmlns:mc="http://schemas.openxmlformats.org/markup-compatibility/2006">
          <mc:Choice Requires="x14">
            <control shapeId="1177" r:id="rId91" name="Check Box 153">
              <controlPr defaultSize="0" autoFill="0" autoLine="0" autoPict="0">
                <anchor moveWithCells="1">
                  <from>
                    <xdr:col>2</xdr:col>
                    <xdr:colOff>463550</xdr:colOff>
                    <xdr:row>108</xdr:row>
                    <xdr:rowOff>139700</xdr:rowOff>
                  </from>
                  <to>
                    <xdr:col>2</xdr:col>
                    <xdr:colOff>838200</xdr:colOff>
                    <xdr:row>110</xdr:row>
                    <xdr:rowOff>0</xdr:rowOff>
                  </to>
                </anchor>
              </controlPr>
            </control>
          </mc:Choice>
        </mc:AlternateContent>
        <mc:AlternateContent xmlns:mc="http://schemas.openxmlformats.org/markup-compatibility/2006">
          <mc:Choice Requires="x14">
            <control shapeId="1178" r:id="rId92" name="Check Box 154">
              <controlPr defaultSize="0" autoFill="0" autoLine="0" autoPict="0">
                <anchor moveWithCells="1">
                  <from>
                    <xdr:col>2</xdr:col>
                    <xdr:colOff>6350</xdr:colOff>
                    <xdr:row>111</xdr:row>
                    <xdr:rowOff>158750</xdr:rowOff>
                  </from>
                  <to>
                    <xdr:col>2</xdr:col>
                    <xdr:colOff>412750</xdr:colOff>
                    <xdr:row>113</xdr:row>
                    <xdr:rowOff>19050</xdr:rowOff>
                  </to>
                </anchor>
              </controlPr>
            </control>
          </mc:Choice>
        </mc:AlternateContent>
        <mc:AlternateContent xmlns:mc="http://schemas.openxmlformats.org/markup-compatibility/2006">
          <mc:Choice Requires="x14">
            <control shapeId="1179" r:id="rId93" name="Check Box 155">
              <controlPr defaultSize="0" autoFill="0" autoLine="0" autoPict="0">
                <anchor moveWithCells="1">
                  <from>
                    <xdr:col>2</xdr:col>
                    <xdr:colOff>463550</xdr:colOff>
                    <xdr:row>111</xdr:row>
                    <xdr:rowOff>158750</xdr:rowOff>
                  </from>
                  <to>
                    <xdr:col>2</xdr:col>
                    <xdr:colOff>838200</xdr:colOff>
                    <xdr:row>113</xdr:row>
                    <xdr:rowOff>19050</xdr:rowOff>
                  </to>
                </anchor>
              </controlPr>
            </control>
          </mc:Choice>
        </mc:AlternateContent>
        <mc:AlternateContent xmlns:mc="http://schemas.openxmlformats.org/markup-compatibility/2006">
          <mc:Choice Requires="x14">
            <control shapeId="1180" r:id="rId94" name="Check Box 156">
              <controlPr defaultSize="0" autoFill="0" autoLine="0" autoPict="0">
                <anchor moveWithCells="1">
                  <from>
                    <xdr:col>2</xdr:col>
                    <xdr:colOff>6350</xdr:colOff>
                    <xdr:row>113</xdr:row>
                    <xdr:rowOff>139700</xdr:rowOff>
                  </from>
                  <to>
                    <xdr:col>2</xdr:col>
                    <xdr:colOff>412750</xdr:colOff>
                    <xdr:row>115</xdr:row>
                    <xdr:rowOff>38100</xdr:rowOff>
                  </to>
                </anchor>
              </controlPr>
            </control>
          </mc:Choice>
        </mc:AlternateContent>
        <mc:AlternateContent xmlns:mc="http://schemas.openxmlformats.org/markup-compatibility/2006">
          <mc:Choice Requires="x14">
            <control shapeId="1181" r:id="rId95" name="Check Box 157">
              <controlPr defaultSize="0" autoFill="0" autoLine="0" autoPict="0">
                <anchor moveWithCells="1">
                  <from>
                    <xdr:col>2</xdr:col>
                    <xdr:colOff>463550</xdr:colOff>
                    <xdr:row>113</xdr:row>
                    <xdr:rowOff>139700</xdr:rowOff>
                  </from>
                  <to>
                    <xdr:col>2</xdr:col>
                    <xdr:colOff>838200</xdr:colOff>
                    <xdr:row>115</xdr:row>
                    <xdr:rowOff>38100</xdr:rowOff>
                  </to>
                </anchor>
              </controlPr>
            </control>
          </mc:Choice>
        </mc:AlternateContent>
        <mc:AlternateContent xmlns:mc="http://schemas.openxmlformats.org/markup-compatibility/2006">
          <mc:Choice Requires="x14">
            <control shapeId="1182" r:id="rId96" name="Check Box 158">
              <controlPr defaultSize="0" autoFill="0" autoLine="0" autoPict="0">
                <anchor moveWithCells="1">
                  <from>
                    <xdr:col>2</xdr:col>
                    <xdr:colOff>6350</xdr:colOff>
                    <xdr:row>115</xdr:row>
                    <xdr:rowOff>139700</xdr:rowOff>
                  </from>
                  <to>
                    <xdr:col>2</xdr:col>
                    <xdr:colOff>412750</xdr:colOff>
                    <xdr:row>117</xdr:row>
                    <xdr:rowOff>19050</xdr:rowOff>
                  </to>
                </anchor>
              </controlPr>
            </control>
          </mc:Choice>
        </mc:AlternateContent>
        <mc:AlternateContent xmlns:mc="http://schemas.openxmlformats.org/markup-compatibility/2006">
          <mc:Choice Requires="x14">
            <control shapeId="1183" r:id="rId97" name="Check Box 159">
              <controlPr defaultSize="0" autoFill="0" autoLine="0" autoPict="0">
                <anchor moveWithCells="1">
                  <from>
                    <xdr:col>2</xdr:col>
                    <xdr:colOff>463550</xdr:colOff>
                    <xdr:row>115</xdr:row>
                    <xdr:rowOff>139700</xdr:rowOff>
                  </from>
                  <to>
                    <xdr:col>2</xdr:col>
                    <xdr:colOff>838200</xdr:colOff>
                    <xdr:row>117</xdr:row>
                    <xdr:rowOff>19050</xdr:rowOff>
                  </to>
                </anchor>
              </controlPr>
            </control>
          </mc:Choice>
        </mc:AlternateContent>
        <mc:AlternateContent xmlns:mc="http://schemas.openxmlformats.org/markup-compatibility/2006">
          <mc:Choice Requires="x14">
            <control shapeId="1184" r:id="rId98" name="Check Box 160">
              <controlPr defaultSize="0" autoFill="0" autoLine="0" autoPict="0">
                <anchor moveWithCells="1">
                  <from>
                    <xdr:col>2</xdr:col>
                    <xdr:colOff>6350</xdr:colOff>
                    <xdr:row>118</xdr:row>
                    <xdr:rowOff>146050</xdr:rowOff>
                  </from>
                  <to>
                    <xdr:col>2</xdr:col>
                    <xdr:colOff>412750</xdr:colOff>
                    <xdr:row>120</xdr:row>
                    <xdr:rowOff>0</xdr:rowOff>
                  </to>
                </anchor>
              </controlPr>
            </control>
          </mc:Choice>
        </mc:AlternateContent>
        <mc:AlternateContent xmlns:mc="http://schemas.openxmlformats.org/markup-compatibility/2006">
          <mc:Choice Requires="x14">
            <control shapeId="1185" r:id="rId99" name="Check Box 161">
              <controlPr defaultSize="0" autoFill="0" autoLine="0" autoPict="0">
                <anchor moveWithCells="1">
                  <from>
                    <xdr:col>2</xdr:col>
                    <xdr:colOff>463550</xdr:colOff>
                    <xdr:row>118</xdr:row>
                    <xdr:rowOff>146050</xdr:rowOff>
                  </from>
                  <to>
                    <xdr:col>2</xdr:col>
                    <xdr:colOff>838200</xdr:colOff>
                    <xdr:row>120</xdr:row>
                    <xdr:rowOff>0</xdr:rowOff>
                  </to>
                </anchor>
              </controlPr>
            </control>
          </mc:Choice>
        </mc:AlternateContent>
        <mc:AlternateContent xmlns:mc="http://schemas.openxmlformats.org/markup-compatibility/2006">
          <mc:Choice Requires="x14">
            <control shapeId="1186" r:id="rId100" name="Check Box 162">
              <controlPr defaultSize="0" autoFill="0" autoLine="0" autoPict="0">
                <anchor moveWithCells="1">
                  <from>
                    <xdr:col>2</xdr:col>
                    <xdr:colOff>6350</xdr:colOff>
                    <xdr:row>120</xdr:row>
                    <xdr:rowOff>139700</xdr:rowOff>
                  </from>
                  <to>
                    <xdr:col>2</xdr:col>
                    <xdr:colOff>412750</xdr:colOff>
                    <xdr:row>122</xdr:row>
                    <xdr:rowOff>38100</xdr:rowOff>
                  </to>
                </anchor>
              </controlPr>
            </control>
          </mc:Choice>
        </mc:AlternateContent>
        <mc:AlternateContent xmlns:mc="http://schemas.openxmlformats.org/markup-compatibility/2006">
          <mc:Choice Requires="x14">
            <control shapeId="1187" r:id="rId101" name="Check Box 163">
              <controlPr defaultSize="0" autoFill="0" autoLine="0" autoPict="0">
                <anchor moveWithCells="1">
                  <from>
                    <xdr:col>2</xdr:col>
                    <xdr:colOff>463550</xdr:colOff>
                    <xdr:row>120</xdr:row>
                    <xdr:rowOff>139700</xdr:rowOff>
                  </from>
                  <to>
                    <xdr:col>2</xdr:col>
                    <xdr:colOff>838200</xdr:colOff>
                    <xdr:row>122</xdr:row>
                    <xdr:rowOff>38100</xdr:rowOff>
                  </to>
                </anchor>
              </controlPr>
            </control>
          </mc:Choice>
        </mc:AlternateContent>
        <mc:AlternateContent xmlns:mc="http://schemas.openxmlformats.org/markup-compatibility/2006">
          <mc:Choice Requires="x14">
            <control shapeId="1188" r:id="rId102" name="Check Box 164">
              <controlPr defaultSize="0" autoFill="0" autoLine="0" autoPict="0">
                <anchor moveWithCells="1">
                  <from>
                    <xdr:col>2</xdr:col>
                    <xdr:colOff>6350</xdr:colOff>
                    <xdr:row>122</xdr:row>
                    <xdr:rowOff>139700</xdr:rowOff>
                  </from>
                  <to>
                    <xdr:col>2</xdr:col>
                    <xdr:colOff>412750</xdr:colOff>
                    <xdr:row>124</xdr:row>
                    <xdr:rowOff>38100</xdr:rowOff>
                  </to>
                </anchor>
              </controlPr>
            </control>
          </mc:Choice>
        </mc:AlternateContent>
        <mc:AlternateContent xmlns:mc="http://schemas.openxmlformats.org/markup-compatibility/2006">
          <mc:Choice Requires="x14">
            <control shapeId="1189" r:id="rId103" name="Check Box 165">
              <controlPr defaultSize="0" autoFill="0" autoLine="0" autoPict="0">
                <anchor moveWithCells="1">
                  <from>
                    <xdr:col>2</xdr:col>
                    <xdr:colOff>463550</xdr:colOff>
                    <xdr:row>122</xdr:row>
                    <xdr:rowOff>139700</xdr:rowOff>
                  </from>
                  <to>
                    <xdr:col>2</xdr:col>
                    <xdr:colOff>838200</xdr:colOff>
                    <xdr:row>124</xdr:row>
                    <xdr:rowOff>38100</xdr:rowOff>
                  </to>
                </anchor>
              </controlPr>
            </control>
          </mc:Choice>
        </mc:AlternateContent>
        <mc:AlternateContent xmlns:mc="http://schemas.openxmlformats.org/markup-compatibility/2006">
          <mc:Choice Requires="x14">
            <control shapeId="1190" r:id="rId104" name="Check Box 166">
              <controlPr defaultSize="0" autoFill="0" autoLine="0" autoPict="0">
                <anchor moveWithCells="1">
                  <from>
                    <xdr:col>2</xdr:col>
                    <xdr:colOff>6350</xdr:colOff>
                    <xdr:row>124</xdr:row>
                    <xdr:rowOff>139700</xdr:rowOff>
                  </from>
                  <to>
                    <xdr:col>2</xdr:col>
                    <xdr:colOff>412750</xdr:colOff>
                    <xdr:row>126</xdr:row>
                    <xdr:rowOff>38100</xdr:rowOff>
                  </to>
                </anchor>
              </controlPr>
            </control>
          </mc:Choice>
        </mc:AlternateContent>
        <mc:AlternateContent xmlns:mc="http://schemas.openxmlformats.org/markup-compatibility/2006">
          <mc:Choice Requires="x14">
            <control shapeId="1191" r:id="rId105" name="Check Box 167">
              <controlPr defaultSize="0" autoFill="0" autoLine="0" autoPict="0">
                <anchor moveWithCells="1">
                  <from>
                    <xdr:col>2</xdr:col>
                    <xdr:colOff>463550</xdr:colOff>
                    <xdr:row>124</xdr:row>
                    <xdr:rowOff>139700</xdr:rowOff>
                  </from>
                  <to>
                    <xdr:col>2</xdr:col>
                    <xdr:colOff>838200</xdr:colOff>
                    <xdr:row>126</xdr:row>
                    <xdr:rowOff>38100</xdr:rowOff>
                  </to>
                </anchor>
              </controlPr>
            </control>
          </mc:Choice>
        </mc:AlternateContent>
        <mc:AlternateContent xmlns:mc="http://schemas.openxmlformats.org/markup-compatibility/2006">
          <mc:Choice Requires="x14">
            <control shapeId="1192" r:id="rId106" name="Check Box 168">
              <controlPr defaultSize="0" autoFill="0" autoLine="0" autoPict="0">
                <anchor moveWithCells="1">
                  <from>
                    <xdr:col>2</xdr:col>
                    <xdr:colOff>6350</xdr:colOff>
                    <xdr:row>132</xdr:row>
                    <xdr:rowOff>139700</xdr:rowOff>
                  </from>
                  <to>
                    <xdr:col>2</xdr:col>
                    <xdr:colOff>412750</xdr:colOff>
                    <xdr:row>134</xdr:row>
                    <xdr:rowOff>0</xdr:rowOff>
                  </to>
                </anchor>
              </controlPr>
            </control>
          </mc:Choice>
        </mc:AlternateContent>
        <mc:AlternateContent xmlns:mc="http://schemas.openxmlformats.org/markup-compatibility/2006">
          <mc:Choice Requires="x14">
            <control shapeId="1193" r:id="rId107" name="Check Box 169">
              <controlPr defaultSize="0" autoFill="0" autoLine="0" autoPict="0">
                <anchor moveWithCells="1">
                  <from>
                    <xdr:col>2</xdr:col>
                    <xdr:colOff>463550</xdr:colOff>
                    <xdr:row>132</xdr:row>
                    <xdr:rowOff>139700</xdr:rowOff>
                  </from>
                  <to>
                    <xdr:col>2</xdr:col>
                    <xdr:colOff>838200</xdr:colOff>
                    <xdr:row>134</xdr:row>
                    <xdr:rowOff>0</xdr:rowOff>
                  </to>
                </anchor>
              </controlPr>
            </control>
          </mc:Choice>
        </mc:AlternateContent>
        <mc:AlternateContent xmlns:mc="http://schemas.openxmlformats.org/markup-compatibility/2006">
          <mc:Choice Requires="x14">
            <control shapeId="1194" r:id="rId108" name="Check Box 170">
              <controlPr defaultSize="0" autoFill="0" autoLine="0" autoPict="0">
                <anchor moveWithCells="1">
                  <from>
                    <xdr:col>2</xdr:col>
                    <xdr:colOff>6350</xdr:colOff>
                    <xdr:row>136</xdr:row>
                    <xdr:rowOff>139700</xdr:rowOff>
                  </from>
                  <to>
                    <xdr:col>2</xdr:col>
                    <xdr:colOff>412750</xdr:colOff>
                    <xdr:row>138</xdr:row>
                    <xdr:rowOff>0</xdr:rowOff>
                  </to>
                </anchor>
              </controlPr>
            </control>
          </mc:Choice>
        </mc:AlternateContent>
        <mc:AlternateContent xmlns:mc="http://schemas.openxmlformats.org/markup-compatibility/2006">
          <mc:Choice Requires="x14">
            <control shapeId="1195" r:id="rId109" name="Check Box 171">
              <controlPr defaultSize="0" autoFill="0" autoLine="0" autoPict="0">
                <anchor moveWithCells="1">
                  <from>
                    <xdr:col>2</xdr:col>
                    <xdr:colOff>463550</xdr:colOff>
                    <xdr:row>136</xdr:row>
                    <xdr:rowOff>139700</xdr:rowOff>
                  </from>
                  <to>
                    <xdr:col>2</xdr:col>
                    <xdr:colOff>838200</xdr:colOff>
                    <xdr:row>138</xdr:row>
                    <xdr:rowOff>0</xdr:rowOff>
                  </to>
                </anchor>
              </controlPr>
            </control>
          </mc:Choice>
        </mc:AlternateContent>
        <mc:AlternateContent xmlns:mc="http://schemas.openxmlformats.org/markup-compatibility/2006">
          <mc:Choice Requires="x14">
            <control shapeId="1196" r:id="rId110" name="Check Box 172">
              <controlPr defaultSize="0" autoFill="0" autoLine="0" autoPict="0">
                <anchor moveWithCells="1">
                  <from>
                    <xdr:col>2</xdr:col>
                    <xdr:colOff>6350</xdr:colOff>
                    <xdr:row>130</xdr:row>
                    <xdr:rowOff>165100</xdr:rowOff>
                  </from>
                  <to>
                    <xdr:col>2</xdr:col>
                    <xdr:colOff>412750</xdr:colOff>
                    <xdr:row>132</xdr:row>
                    <xdr:rowOff>19050</xdr:rowOff>
                  </to>
                </anchor>
              </controlPr>
            </control>
          </mc:Choice>
        </mc:AlternateContent>
        <mc:AlternateContent xmlns:mc="http://schemas.openxmlformats.org/markup-compatibility/2006">
          <mc:Choice Requires="x14">
            <control shapeId="1197" r:id="rId111" name="Check Box 173">
              <controlPr defaultSize="0" autoFill="0" autoLine="0" autoPict="0">
                <anchor moveWithCells="1">
                  <from>
                    <xdr:col>2</xdr:col>
                    <xdr:colOff>463550</xdr:colOff>
                    <xdr:row>130</xdr:row>
                    <xdr:rowOff>165100</xdr:rowOff>
                  </from>
                  <to>
                    <xdr:col>2</xdr:col>
                    <xdr:colOff>838200</xdr:colOff>
                    <xdr:row>132</xdr:row>
                    <xdr:rowOff>19050</xdr:rowOff>
                  </to>
                </anchor>
              </controlPr>
            </control>
          </mc:Choice>
        </mc:AlternateContent>
        <mc:AlternateContent xmlns:mc="http://schemas.openxmlformats.org/markup-compatibility/2006">
          <mc:Choice Requires="x14">
            <control shapeId="1198" r:id="rId112" name="Check Box 174">
              <controlPr defaultSize="0" autoFill="0" autoLine="0" autoPict="0">
                <anchor moveWithCells="1">
                  <from>
                    <xdr:col>2</xdr:col>
                    <xdr:colOff>6350</xdr:colOff>
                    <xdr:row>134</xdr:row>
                    <xdr:rowOff>139700</xdr:rowOff>
                  </from>
                  <to>
                    <xdr:col>2</xdr:col>
                    <xdr:colOff>412750</xdr:colOff>
                    <xdr:row>136</xdr:row>
                    <xdr:rowOff>38100</xdr:rowOff>
                  </to>
                </anchor>
              </controlPr>
            </control>
          </mc:Choice>
        </mc:AlternateContent>
        <mc:AlternateContent xmlns:mc="http://schemas.openxmlformats.org/markup-compatibility/2006">
          <mc:Choice Requires="x14">
            <control shapeId="1199" r:id="rId113" name="Check Box 175">
              <controlPr defaultSize="0" autoFill="0" autoLine="0" autoPict="0">
                <anchor moveWithCells="1">
                  <from>
                    <xdr:col>2</xdr:col>
                    <xdr:colOff>463550</xdr:colOff>
                    <xdr:row>134</xdr:row>
                    <xdr:rowOff>139700</xdr:rowOff>
                  </from>
                  <to>
                    <xdr:col>2</xdr:col>
                    <xdr:colOff>838200</xdr:colOff>
                    <xdr:row>136</xdr:row>
                    <xdr:rowOff>38100</xdr:rowOff>
                  </to>
                </anchor>
              </controlPr>
            </control>
          </mc:Choice>
        </mc:AlternateContent>
        <mc:AlternateContent xmlns:mc="http://schemas.openxmlformats.org/markup-compatibility/2006">
          <mc:Choice Requires="x14">
            <control shapeId="1200" r:id="rId114" name="Check Box 176">
              <controlPr defaultSize="0" autoFill="0" autoLine="0" autoPict="0">
                <anchor moveWithCells="1">
                  <from>
                    <xdr:col>2</xdr:col>
                    <xdr:colOff>6350</xdr:colOff>
                    <xdr:row>138</xdr:row>
                    <xdr:rowOff>139700</xdr:rowOff>
                  </from>
                  <to>
                    <xdr:col>2</xdr:col>
                    <xdr:colOff>412750</xdr:colOff>
                    <xdr:row>140</xdr:row>
                    <xdr:rowOff>38100</xdr:rowOff>
                  </to>
                </anchor>
              </controlPr>
            </control>
          </mc:Choice>
        </mc:AlternateContent>
        <mc:AlternateContent xmlns:mc="http://schemas.openxmlformats.org/markup-compatibility/2006">
          <mc:Choice Requires="x14">
            <control shapeId="1201" r:id="rId115" name="Check Box 177">
              <controlPr defaultSize="0" autoFill="0" autoLine="0" autoPict="0">
                <anchor moveWithCells="1">
                  <from>
                    <xdr:col>2</xdr:col>
                    <xdr:colOff>463550</xdr:colOff>
                    <xdr:row>138</xdr:row>
                    <xdr:rowOff>139700</xdr:rowOff>
                  </from>
                  <to>
                    <xdr:col>2</xdr:col>
                    <xdr:colOff>838200</xdr:colOff>
                    <xdr:row>140</xdr:row>
                    <xdr:rowOff>38100</xdr:rowOff>
                  </to>
                </anchor>
              </controlPr>
            </control>
          </mc:Choice>
        </mc:AlternateContent>
        <mc:AlternateContent xmlns:mc="http://schemas.openxmlformats.org/markup-compatibility/2006">
          <mc:Choice Requires="x14">
            <control shapeId="1202" r:id="rId116" name="Check Box 178">
              <controlPr defaultSize="0" autoFill="0" autoLine="0" autoPict="0">
                <anchor moveWithCells="1">
                  <from>
                    <xdr:col>2</xdr:col>
                    <xdr:colOff>6350</xdr:colOff>
                    <xdr:row>140</xdr:row>
                    <xdr:rowOff>139700</xdr:rowOff>
                  </from>
                  <to>
                    <xdr:col>2</xdr:col>
                    <xdr:colOff>412750</xdr:colOff>
                    <xdr:row>142</xdr:row>
                    <xdr:rowOff>38100</xdr:rowOff>
                  </to>
                </anchor>
              </controlPr>
            </control>
          </mc:Choice>
        </mc:AlternateContent>
        <mc:AlternateContent xmlns:mc="http://schemas.openxmlformats.org/markup-compatibility/2006">
          <mc:Choice Requires="x14">
            <control shapeId="1203" r:id="rId117" name="Check Box 179">
              <controlPr defaultSize="0" autoFill="0" autoLine="0" autoPict="0">
                <anchor moveWithCells="1">
                  <from>
                    <xdr:col>2</xdr:col>
                    <xdr:colOff>463550</xdr:colOff>
                    <xdr:row>140</xdr:row>
                    <xdr:rowOff>139700</xdr:rowOff>
                  </from>
                  <to>
                    <xdr:col>2</xdr:col>
                    <xdr:colOff>838200</xdr:colOff>
                    <xdr:row>142</xdr:row>
                    <xdr:rowOff>38100</xdr:rowOff>
                  </to>
                </anchor>
              </controlPr>
            </control>
          </mc:Choice>
        </mc:AlternateContent>
        <mc:AlternateContent xmlns:mc="http://schemas.openxmlformats.org/markup-compatibility/2006">
          <mc:Choice Requires="x14">
            <control shapeId="1204" r:id="rId118" name="Check Box 180">
              <controlPr defaultSize="0" autoFill="0" autoLine="0" autoPict="0">
                <anchor moveWithCells="1">
                  <from>
                    <xdr:col>2</xdr:col>
                    <xdr:colOff>6350</xdr:colOff>
                    <xdr:row>142</xdr:row>
                    <xdr:rowOff>139700</xdr:rowOff>
                  </from>
                  <to>
                    <xdr:col>2</xdr:col>
                    <xdr:colOff>412750</xdr:colOff>
                    <xdr:row>144</xdr:row>
                    <xdr:rowOff>38100</xdr:rowOff>
                  </to>
                </anchor>
              </controlPr>
            </control>
          </mc:Choice>
        </mc:AlternateContent>
        <mc:AlternateContent xmlns:mc="http://schemas.openxmlformats.org/markup-compatibility/2006">
          <mc:Choice Requires="x14">
            <control shapeId="1205" r:id="rId119" name="Check Box 181">
              <controlPr defaultSize="0" autoFill="0" autoLine="0" autoPict="0">
                <anchor moveWithCells="1">
                  <from>
                    <xdr:col>2</xdr:col>
                    <xdr:colOff>463550</xdr:colOff>
                    <xdr:row>142</xdr:row>
                    <xdr:rowOff>139700</xdr:rowOff>
                  </from>
                  <to>
                    <xdr:col>2</xdr:col>
                    <xdr:colOff>838200</xdr:colOff>
                    <xdr:row>144</xdr:row>
                    <xdr:rowOff>38100</xdr:rowOff>
                  </to>
                </anchor>
              </controlPr>
            </control>
          </mc:Choice>
        </mc:AlternateContent>
        <mc:AlternateContent xmlns:mc="http://schemas.openxmlformats.org/markup-compatibility/2006">
          <mc:Choice Requires="x14">
            <control shapeId="1206" r:id="rId120" name="Check Box 182">
              <controlPr defaultSize="0" autoFill="0" autoLine="0" autoPict="0">
                <anchor moveWithCells="1">
                  <from>
                    <xdr:col>2</xdr:col>
                    <xdr:colOff>6350</xdr:colOff>
                    <xdr:row>144</xdr:row>
                    <xdr:rowOff>139700</xdr:rowOff>
                  </from>
                  <to>
                    <xdr:col>2</xdr:col>
                    <xdr:colOff>412750</xdr:colOff>
                    <xdr:row>146</xdr:row>
                    <xdr:rowOff>19050</xdr:rowOff>
                  </to>
                </anchor>
              </controlPr>
            </control>
          </mc:Choice>
        </mc:AlternateContent>
        <mc:AlternateContent xmlns:mc="http://schemas.openxmlformats.org/markup-compatibility/2006">
          <mc:Choice Requires="x14">
            <control shapeId="1207" r:id="rId121" name="Check Box 183">
              <controlPr defaultSize="0" autoFill="0" autoLine="0" autoPict="0">
                <anchor moveWithCells="1">
                  <from>
                    <xdr:col>2</xdr:col>
                    <xdr:colOff>463550</xdr:colOff>
                    <xdr:row>144</xdr:row>
                    <xdr:rowOff>139700</xdr:rowOff>
                  </from>
                  <to>
                    <xdr:col>2</xdr:col>
                    <xdr:colOff>838200</xdr:colOff>
                    <xdr:row>146</xdr:row>
                    <xdr:rowOff>19050</xdr:rowOff>
                  </to>
                </anchor>
              </controlPr>
            </control>
          </mc:Choice>
        </mc:AlternateContent>
        <mc:AlternateContent xmlns:mc="http://schemas.openxmlformats.org/markup-compatibility/2006">
          <mc:Choice Requires="x14">
            <control shapeId="1208" r:id="rId122" name="Check Box 184">
              <controlPr defaultSize="0" autoFill="0" autoLine="0" autoPict="0">
                <anchor moveWithCells="1">
                  <from>
                    <xdr:col>2</xdr:col>
                    <xdr:colOff>6350</xdr:colOff>
                    <xdr:row>147</xdr:row>
                    <xdr:rowOff>146050</xdr:rowOff>
                  </from>
                  <to>
                    <xdr:col>2</xdr:col>
                    <xdr:colOff>412750</xdr:colOff>
                    <xdr:row>149</xdr:row>
                    <xdr:rowOff>0</xdr:rowOff>
                  </to>
                </anchor>
              </controlPr>
            </control>
          </mc:Choice>
        </mc:AlternateContent>
        <mc:AlternateContent xmlns:mc="http://schemas.openxmlformats.org/markup-compatibility/2006">
          <mc:Choice Requires="x14">
            <control shapeId="1209" r:id="rId123" name="Check Box 185">
              <controlPr defaultSize="0" autoFill="0" autoLine="0" autoPict="0">
                <anchor moveWithCells="1">
                  <from>
                    <xdr:col>2</xdr:col>
                    <xdr:colOff>463550</xdr:colOff>
                    <xdr:row>147</xdr:row>
                    <xdr:rowOff>146050</xdr:rowOff>
                  </from>
                  <to>
                    <xdr:col>2</xdr:col>
                    <xdr:colOff>838200</xdr:colOff>
                    <xdr:row>149</xdr:row>
                    <xdr:rowOff>0</xdr:rowOff>
                  </to>
                </anchor>
              </controlPr>
            </control>
          </mc:Choice>
        </mc:AlternateContent>
        <mc:AlternateContent xmlns:mc="http://schemas.openxmlformats.org/markup-compatibility/2006">
          <mc:Choice Requires="x14">
            <control shapeId="1210" r:id="rId124" name="Check Box 186">
              <controlPr defaultSize="0" autoFill="0" autoLine="0" autoPict="0">
                <anchor moveWithCells="1">
                  <from>
                    <xdr:col>2</xdr:col>
                    <xdr:colOff>6350</xdr:colOff>
                    <xdr:row>149</xdr:row>
                    <xdr:rowOff>139700</xdr:rowOff>
                  </from>
                  <to>
                    <xdr:col>2</xdr:col>
                    <xdr:colOff>412750</xdr:colOff>
                    <xdr:row>151</xdr:row>
                    <xdr:rowOff>0</xdr:rowOff>
                  </to>
                </anchor>
              </controlPr>
            </control>
          </mc:Choice>
        </mc:AlternateContent>
        <mc:AlternateContent xmlns:mc="http://schemas.openxmlformats.org/markup-compatibility/2006">
          <mc:Choice Requires="x14">
            <control shapeId="1211" r:id="rId125" name="Check Box 187">
              <controlPr defaultSize="0" autoFill="0" autoLine="0" autoPict="0">
                <anchor moveWithCells="1">
                  <from>
                    <xdr:col>2</xdr:col>
                    <xdr:colOff>463550</xdr:colOff>
                    <xdr:row>149</xdr:row>
                    <xdr:rowOff>139700</xdr:rowOff>
                  </from>
                  <to>
                    <xdr:col>2</xdr:col>
                    <xdr:colOff>838200</xdr:colOff>
                    <xdr:row>151</xdr:row>
                    <xdr:rowOff>0</xdr:rowOff>
                  </to>
                </anchor>
              </controlPr>
            </control>
          </mc:Choice>
        </mc:AlternateContent>
        <mc:AlternateContent xmlns:mc="http://schemas.openxmlformats.org/markup-compatibility/2006">
          <mc:Choice Requires="x14">
            <control shapeId="1212" r:id="rId126" name="Check Box 188">
              <controlPr defaultSize="0" autoFill="0" autoLine="0" autoPict="0">
                <anchor moveWithCells="1">
                  <from>
                    <xdr:col>2</xdr:col>
                    <xdr:colOff>6350</xdr:colOff>
                    <xdr:row>151</xdr:row>
                    <xdr:rowOff>139700</xdr:rowOff>
                  </from>
                  <to>
                    <xdr:col>2</xdr:col>
                    <xdr:colOff>412750</xdr:colOff>
                    <xdr:row>153</xdr:row>
                    <xdr:rowOff>0</xdr:rowOff>
                  </to>
                </anchor>
              </controlPr>
            </control>
          </mc:Choice>
        </mc:AlternateContent>
        <mc:AlternateContent xmlns:mc="http://schemas.openxmlformats.org/markup-compatibility/2006">
          <mc:Choice Requires="x14">
            <control shapeId="1213" r:id="rId127" name="Check Box 189">
              <controlPr defaultSize="0" autoFill="0" autoLine="0" autoPict="0">
                <anchor moveWithCells="1">
                  <from>
                    <xdr:col>2</xdr:col>
                    <xdr:colOff>463550</xdr:colOff>
                    <xdr:row>151</xdr:row>
                    <xdr:rowOff>139700</xdr:rowOff>
                  </from>
                  <to>
                    <xdr:col>2</xdr:col>
                    <xdr:colOff>838200</xdr:colOff>
                    <xdr:row>153</xdr:row>
                    <xdr:rowOff>0</xdr:rowOff>
                  </to>
                </anchor>
              </controlPr>
            </control>
          </mc:Choice>
        </mc:AlternateContent>
        <mc:AlternateContent xmlns:mc="http://schemas.openxmlformats.org/markup-compatibility/2006">
          <mc:Choice Requires="x14">
            <control shapeId="1214" r:id="rId128" name="Check Box 190">
              <controlPr defaultSize="0" autoFill="0" autoLine="0" autoPict="0">
                <anchor moveWithCells="1">
                  <from>
                    <xdr:col>2</xdr:col>
                    <xdr:colOff>6350</xdr:colOff>
                    <xdr:row>153</xdr:row>
                    <xdr:rowOff>139700</xdr:rowOff>
                  </from>
                  <to>
                    <xdr:col>2</xdr:col>
                    <xdr:colOff>412750</xdr:colOff>
                    <xdr:row>155</xdr:row>
                    <xdr:rowOff>0</xdr:rowOff>
                  </to>
                </anchor>
              </controlPr>
            </control>
          </mc:Choice>
        </mc:AlternateContent>
        <mc:AlternateContent xmlns:mc="http://schemas.openxmlformats.org/markup-compatibility/2006">
          <mc:Choice Requires="x14">
            <control shapeId="1215" r:id="rId129" name="Check Box 191">
              <controlPr defaultSize="0" autoFill="0" autoLine="0" autoPict="0">
                <anchor moveWithCells="1">
                  <from>
                    <xdr:col>2</xdr:col>
                    <xdr:colOff>463550</xdr:colOff>
                    <xdr:row>153</xdr:row>
                    <xdr:rowOff>139700</xdr:rowOff>
                  </from>
                  <to>
                    <xdr:col>2</xdr:col>
                    <xdr:colOff>838200</xdr:colOff>
                    <xdr:row>155</xdr:row>
                    <xdr:rowOff>0</xdr:rowOff>
                  </to>
                </anchor>
              </controlPr>
            </control>
          </mc:Choice>
        </mc:AlternateContent>
        <mc:AlternateContent xmlns:mc="http://schemas.openxmlformats.org/markup-compatibility/2006">
          <mc:Choice Requires="x14">
            <control shapeId="1216" r:id="rId130" name="Check Box 192">
              <controlPr defaultSize="0" autoFill="0" autoLine="0" autoPict="0">
                <anchor moveWithCells="1">
                  <from>
                    <xdr:col>2</xdr:col>
                    <xdr:colOff>6350</xdr:colOff>
                    <xdr:row>155</xdr:row>
                    <xdr:rowOff>139700</xdr:rowOff>
                  </from>
                  <to>
                    <xdr:col>2</xdr:col>
                    <xdr:colOff>412750</xdr:colOff>
                    <xdr:row>157</xdr:row>
                    <xdr:rowOff>0</xdr:rowOff>
                  </to>
                </anchor>
              </controlPr>
            </control>
          </mc:Choice>
        </mc:AlternateContent>
        <mc:AlternateContent xmlns:mc="http://schemas.openxmlformats.org/markup-compatibility/2006">
          <mc:Choice Requires="x14">
            <control shapeId="1217" r:id="rId131" name="Check Box 193">
              <controlPr defaultSize="0" autoFill="0" autoLine="0" autoPict="0">
                <anchor moveWithCells="1">
                  <from>
                    <xdr:col>2</xdr:col>
                    <xdr:colOff>463550</xdr:colOff>
                    <xdr:row>155</xdr:row>
                    <xdr:rowOff>139700</xdr:rowOff>
                  </from>
                  <to>
                    <xdr:col>2</xdr:col>
                    <xdr:colOff>838200</xdr:colOff>
                    <xdr:row>157</xdr:row>
                    <xdr:rowOff>0</xdr:rowOff>
                  </to>
                </anchor>
              </controlPr>
            </control>
          </mc:Choice>
        </mc:AlternateContent>
        <mc:AlternateContent xmlns:mc="http://schemas.openxmlformats.org/markup-compatibility/2006">
          <mc:Choice Requires="x14">
            <control shapeId="1218" r:id="rId132" name="Check Box 194">
              <controlPr defaultSize="0" autoFill="0" autoLine="0" autoPict="0">
                <anchor moveWithCells="1">
                  <from>
                    <xdr:col>2</xdr:col>
                    <xdr:colOff>6350</xdr:colOff>
                    <xdr:row>164</xdr:row>
                    <xdr:rowOff>139700</xdr:rowOff>
                  </from>
                  <to>
                    <xdr:col>2</xdr:col>
                    <xdr:colOff>412750</xdr:colOff>
                    <xdr:row>166</xdr:row>
                    <xdr:rowOff>0</xdr:rowOff>
                  </to>
                </anchor>
              </controlPr>
            </control>
          </mc:Choice>
        </mc:AlternateContent>
        <mc:AlternateContent xmlns:mc="http://schemas.openxmlformats.org/markup-compatibility/2006">
          <mc:Choice Requires="x14">
            <control shapeId="1219" r:id="rId133" name="Check Box 195">
              <controlPr defaultSize="0" autoFill="0" autoLine="0" autoPict="0">
                <anchor moveWithCells="1">
                  <from>
                    <xdr:col>2</xdr:col>
                    <xdr:colOff>463550</xdr:colOff>
                    <xdr:row>164</xdr:row>
                    <xdr:rowOff>139700</xdr:rowOff>
                  </from>
                  <to>
                    <xdr:col>2</xdr:col>
                    <xdr:colOff>838200</xdr:colOff>
                    <xdr:row>166</xdr:row>
                    <xdr:rowOff>0</xdr:rowOff>
                  </to>
                </anchor>
              </controlPr>
            </control>
          </mc:Choice>
        </mc:AlternateContent>
        <mc:AlternateContent xmlns:mc="http://schemas.openxmlformats.org/markup-compatibility/2006">
          <mc:Choice Requires="x14">
            <control shapeId="1220" r:id="rId134" name="Check Box 196">
              <controlPr defaultSize="0" autoFill="0" autoLine="0" autoPict="0">
                <anchor moveWithCells="1">
                  <from>
                    <xdr:col>2</xdr:col>
                    <xdr:colOff>6350</xdr:colOff>
                    <xdr:row>166</xdr:row>
                    <xdr:rowOff>139700</xdr:rowOff>
                  </from>
                  <to>
                    <xdr:col>2</xdr:col>
                    <xdr:colOff>412750</xdr:colOff>
                    <xdr:row>168</xdr:row>
                    <xdr:rowOff>0</xdr:rowOff>
                  </to>
                </anchor>
              </controlPr>
            </control>
          </mc:Choice>
        </mc:AlternateContent>
        <mc:AlternateContent xmlns:mc="http://schemas.openxmlformats.org/markup-compatibility/2006">
          <mc:Choice Requires="x14">
            <control shapeId="1221" r:id="rId135" name="Check Box 197">
              <controlPr defaultSize="0" autoFill="0" autoLine="0" autoPict="0">
                <anchor moveWithCells="1">
                  <from>
                    <xdr:col>2</xdr:col>
                    <xdr:colOff>463550</xdr:colOff>
                    <xdr:row>166</xdr:row>
                    <xdr:rowOff>139700</xdr:rowOff>
                  </from>
                  <to>
                    <xdr:col>2</xdr:col>
                    <xdr:colOff>838200</xdr:colOff>
                    <xdr:row>168</xdr:row>
                    <xdr:rowOff>0</xdr:rowOff>
                  </to>
                </anchor>
              </controlPr>
            </control>
          </mc:Choice>
        </mc:AlternateContent>
        <mc:AlternateContent xmlns:mc="http://schemas.openxmlformats.org/markup-compatibility/2006">
          <mc:Choice Requires="x14">
            <control shapeId="1222" r:id="rId136" name="Check Box 198">
              <controlPr defaultSize="0" autoFill="0" autoLine="0" autoPict="0">
                <anchor moveWithCells="1">
                  <from>
                    <xdr:col>2</xdr:col>
                    <xdr:colOff>6350</xdr:colOff>
                    <xdr:row>162</xdr:row>
                    <xdr:rowOff>158750</xdr:rowOff>
                  </from>
                  <to>
                    <xdr:col>2</xdr:col>
                    <xdr:colOff>412750</xdr:colOff>
                    <xdr:row>164</xdr:row>
                    <xdr:rowOff>19050</xdr:rowOff>
                  </to>
                </anchor>
              </controlPr>
            </control>
          </mc:Choice>
        </mc:AlternateContent>
        <mc:AlternateContent xmlns:mc="http://schemas.openxmlformats.org/markup-compatibility/2006">
          <mc:Choice Requires="x14">
            <control shapeId="1223" r:id="rId137" name="Check Box 199">
              <controlPr defaultSize="0" autoFill="0" autoLine="0" autoPict="0">
                <anchor moveWithCells="1">
                  <from>
                    <xdr:col>2</xdr:col>
                    <xdr:colOff>463550</xdr:colOff>
                    <xdr:row>162</xdr:row>
                    <xdr:rowOff>158750</xdr:rowOff>
                  </from>
                  <to>
                    <xdr:col>2</xdr:col>
                    <xdr:colOff>838200</xdr:colOff>
                    <xdr:row>164</xdr:row>
                    <xdr:rowOff>19050</xdr:rowOff>
                  </to>
                </anchor>
              </controlPr>
            </control>
          </mc:Choice>
        </mc:AlternateContent>
        <mc:AlternateContent xmlns:mc="http://schemas.openxmlformats.org/markup-compatibility/2006">
          <mc:Choice Requires="x14">
            <control shapeId="1224" r:id="rId138" name="Check Box 200">
              <controlPr defaultSize="0" autoFill="0" autoLine="0" autoPict="0">
                <anchor moveWithCells="1">
                  <from>
                    <xdr:col>2</xdr:col>
                    <xdr:colOff>6350</xdr:colOff>
                    <xdr:row>168</xdr:row>
                    <xdr:rowOff>139700</xdr:rowOff>
                  </from>
                  <to>
                    <xdr:col>2</xdr:col>
                    <xdr:colOff>412750</xdr:colOff>
                    <xdr:row>170</xdr:row>
                    <xdr:rowOff>38100</xdr:rowOff>
                  </to>
                </anchor>
              </controlPr>
            </control>
          </mc:Choice>
        </mc:AlternateContent>
        <mc:AlternateContent xmlns:mc="http://schemas.openxmlformats.org/markup-compatibility/2006">
          <mc:Choice Requires="x14">
            <control shapeId="1225" r:id="rId139" name="Check Box 201">
              <controlPr defaultSize="0" autoFill="0" autoLine="0" autoPict="0">
                <anchor moveWithCells="1">
                  <from>
                    <xdr:col>2</xdr:col>
                    <xdr:colOff>463550</xdr:colOff>
                    <xdr:row>168</xdr:row>
                    <xdr:rowOff>139700</xdr:rowOff>
                  </from>
                  <to>
                    <xdr:col>2</xdr:col>
                    <xdr:colOff>838200</xdr:colOff>
                    <xdr:row>170</xdr:row>
                    <xdr:rowOff>38100</xdr:rowOff>
                  </to>
                </anchor>
              </controlPr>
            </control>
          </mc:Choice>
        </mc:AlternateContent>
        <mc:AlternateContent xmlns:mc="http://schemas.openxmlformats.org/markup-compatibility/2006">
          <mc:Choice Requires="x14">
            <control shapeId="1226" r:id="rId140" name="Check Box 202">
              <controlPr defaultSize="0" autoFill="0" autoLine="0" autoPict="0">
                <anchor moveWithCells="1">
                  <from>
                    <xdr:col>2</xdr:col>
                    <xdr:colOff>6350</xdr:colOff>
                    <xdr:row>170</xdr:row>
                    <xdr:rowOff>120650</xdr:rowOff>
                  </from>
                  <to>
                    <xdr:col>2</xdr:col>
                    <xdr:colOff>412750</xdr:colOff>
                    <xdr:row>172</xdr:row>
                    <xdr:rowOff>19050</xdr:rowOff>
                  </to>
                </anchor>
              </controlPr>
            </control>
          </mc:Choice>
        </mc:AlternateContent>
        <mc:AlternateContent xmlns:mc="http://schemas.openxmlformats.org/markup-compatibility/2006">
          <mc:Choice Requires="x14">
            <control shapeId="1227" r:id="rId141" name="Check Box 203">
              <controlPr defaultSize="0" autoFill="0" autoLine="0" autoPict="0">
                <anchor moveWithCells="1">
                  <from>
                    <xdr:col>2</xdr:col>
                    <xdr:colOff>463550</xdr:colOff>
                    <xdr:row>170</xdr:row>
                    <xdr:rowOff>120650</xdr:rowOff>
                  </from>
                  <to>
                    <xdr:col>2</xdr:col>
                    <xdr:colOff>838200</xdr:colOff>
                    <xdr:row>172</xdr:row>
                    <xdr:rowOff>19050</xdr:rowOff>
                  </to>
                </anchor>
              </controlPr>
            </control>
          </mc:Choice>
        </mc:AlternateContent>
        <mc:AlternateContent xmlns:mc="http://schemas.openxmlformats.org/markup-compatibility/2006">
          <mc:Choice Requires="x14">
            <control shapeId="1228" r:id="rId142" name="Check Box 204">
              <controlPr defaultSize="0" autoFill="0" autoLine="0" autoPict="0">
                <anchor moveWithCells="1">
                  <from>
                    <xdr:col>2</xdr:col>
                    <xdr:colOff>6350</xdr:colOff>
                    <xdr:row>177</xdr:row>
                    <xdr:rowOff>139700</xdr:rowOff>
                  </from>
                  <to>
                    <xdr:col>2</xdr:col>
                    <xdr:colOff>412750</xdr:colOff>
                    <xdr:row>179</xdr:row>
                    <xdr:rowOff>0</xdr:rowOff>
                  </to>
                </anchor>
              </controlPr>
            </control>
          </mc:Choice>
        </mc:AlternateContent>
        <mc:AlternateContent xmlns:mc="http://schemas.openxmlformats.org/markup-compatibility/2006">
          <mc:Choice Requires="x14">
            <control shapeId="1229" r:id="rId143" name="Check Box 205">
              <controlPr defaultSize="0" autoFill="0" autoLine="0" autoPict="0">
                <anchor moveWithCells="1">
                  <from>
                    <xdr:col>2</xdr:col>
                    <xdr:colOff>463550</xdr:colOff>
                    <xdr:row>177</xdr:row>
                    <xdr:rowOff>139700</xdr:rowOff>
                  </from>
                  <to>
                    <xdr:col>2</xdr:col>
                    <xdr:colOff>838200</xdr:colOff>
                    <xdr:row>179</xdr:row>
                    <xdr:rowOff>0</xdr:rowOff>
                  </to>
                </anchor>
              </controlPr>
            </control>
          </mc:Choice>
        </mc:AlternateContent>
        <mc:AlternateContent xmlns:mc="http://schemas.openxmlformats.org/markup-compatibility/2006">
          <mc:Choice Requires="x14">
            <control shapeId="1230" r:id="rId144" name="Check Box 206">
              <controlPr defaultSize="0" autoFill="0" autoLine="0" autoPict="0">
                <anchor moveWithCells="1">
                  <from>
                    <xdr:col>2</xdr:col>
                    <xdr:colOff>6350</xdr:colOff>
                    <xdr:row>179</xdr:row>
                    <xdr:rowOff>139700</xdr:rowOff>
                  </from>
                  <to>
                    <xdr:col>2</xdr:col>
                    <xdr:colOff>412750</xdr:colOff>
                    <xdr:row>181</xdr:row>
                    <xdr:rowOff>0</xdr:rowOff>
                  </to>
                </anchor>
              </controlPr>
            </control>
          </mc:Choice>
        </mc:AlternateContent>
        <mc:AlternateContent xmlns:mc="http://schemas.openxmlformats.org/markup-compatibility/2006">
          <mc:Choice Requires="x14">
            <control shapeId="1231" r:id="rId145" name="Check Box 207">
              <controlPr defaultSize="0" autoFill="0" autoLine="0" autoPict="0">
                <anchor moveWithCells="1">
                  <from>
                    <xdr:col>2</xdr:col>
                    <xdr:colOff>463550</xdr:colOff>
                    <xdr:row>179</xdr:row>
                    <xdr:rowOff>139700</xdr:rowOff>
                  </from>
                  <to>
                    <xdr:col>2</xdr:col>
                    <xdr:colOff>838200</xdr:colOff>
                    <xdr:row>181</xdr:row>
                    <xdr:rowOff>0</xdr:rowOff>
                  </to>
                </anchor>
              </controlPr>
            </control>
          </mc:Choice>
        </mc:AlternateContent>
        <mc:AlternateContent xmlns:mc="http://schemas.openxmlformats.org/markup-compatibility/2006">
          <mc:Choice Requires="x14">
            <control shapeId="1232" r:id="rId146" name="Check Box 208">
              <controlPr defaultSize="0" autoFill="0" autoLine="0" autoPict="0">
                <anchor moveWithCells="1">
                  <from>
                    <xdr:col>2</xdr:col>
                    <xdr:colOff>6350</xdr:colOff>
                    <xdr:row>181</xdr:row>
                    <xdr:rowOff>139700</xdr:rowOff>
                  </from>
                  <to>
                    <xdr:col>2</xdr:col>
                    <xdr:colOff>412750</xdr:colOff>
                    <xdr:row>183</xdr:row>
                    <xdr:rowOff>0</xdr:rowOff>
                  </to>
                </anchor>
              </controlPr>
            </control>
          </mc:Choice>
        </mc:AlternateContent>
        <mc:AlternateContent xmlns:mc="http://schemas.openxmlformats.org/markup-compatibility/2006">
          <mc:Choice Requires="x14">
            <control shapeId="1233" r:id="rId147" name="Check Box 209">
              <controlPr defaultSize="0" autoFill="0" autoLine="0" autoPict="0">
                <anchor moveWithCells="1">
                  <from>
                    <xdr:col>2</xdr:col>
                    <xdr:colOff>463550</xdr:colOff>
                    <xdr:row>181</xdr:row>
                    <xdr:rowOff>139700</xdr:rowOff>
                  </from>
                  <to>
                    <xdr:col>2</xdr:col>
                    <xdr:colOff>838200</xdr:colOff>
                    <xdr:row>183</xdr:row>
                    <xdr:rowOff>0</xdr:rowOff>
                  </to>
                </anchor>
              </controlPr>
            </control>
          </mc:Choice>
        </mc:AlternateContent>
        <mc:AlternateContent xmlns:mc="http://schemas.openxmlformats.org/markup-compatibility/2006">
          <mc:Choice Requires="x14">
            <control shapeId="1234" r:id="rId148" name="Check Box 210">
              <controlPr defaultSize="0" autoFill="0" autoLine="0" autoPict="0">
                <anchor moveWithCells="1">
                  <from>
                    <xdr:col>2</xdr:col>
                    <xdr:colOff>6350</xdr:colOff>
                    <xdr:row>173</xdr:row>
                    <xdr:rowOff>158750</xdr:rowOff>
                  </from>
                  <to>
                    <xdr:col>2</xdr:col>
                    <xdr:colOff>412750</xdr:colOff>
                    <xdr:row>175</xdr:row>
                    <xdr:rowOff>19050</xdr:rowOff>
                  </to>
                </anchor>
              </controlPr>
            </control>
          </mc:Choice>
        </mc:AlternateContent>
        <mc:AlternateContent xmlns:mc="http://schemas.openxmlformats.org/markup-compatibility/2006">
          <mc:Choice Requires="x14">
            <control shapeId="1235" r:id="rId149" name="Check Box 211">
              <controlPr defaultSize="0" autoFill="0" autoLine="0" autoPict="0">
                <anchor moveWithCells="1">
                  <from>
                    <xdr:col>2</xdr:col>
                    <xdr:colOff>463550</xdr:colOff>
                    <xdr:row>173</xdr:row>
                    <xdr:rowOff>158750</xdr:rowOff>
                  </from>
                  <to>
                    <xdr:col>2</xdr:col>
                    <xdr:colOff>838200</xdr:colOff>
                    <xdr:row>175</xdr:row>
                    <xdr:rowOff>19050</xdr:rowOff>
                  </to>
                </anchor>
              </controlPr>
            </control>
          </mc:Choice>
        </mc:AlternateContent>
        <mc:AlternateContent xmlns:mc="http://schemas.openxmlformats.org/markup-compatibility/2006">
          <mc:Choice Requires="x14">
            <control shapeId="1236" r:id="rId150" name="Check Box 212">
              <controlPr defaultSize="0" autoFill="0" autoLine="0" autoPict="0">
                <anchor moveWithCells="1">
                  <from>
                    <xdr:col>2</xdr:col>
                    <xdr:colOff>6350</xdr:colOff>
                    <xdr:row>175</xdr:row>
                    <xdr:rowOff>139700</xdr:rowOff>
                  </from>
                  <to>
                    <xdr:col>2</xdr:col>
                    <xdr:colOff>412750</xdr:colOff>
                    <xdr:row>177</xdr:row>
                    <xdr:rowOff>19050</xdr:rowOff>
                  </to>
                </anchor>
              </controlPr>
            </control>
          </mc:Choice>
        </mc:AlternateContent>
        <mc:AlternateContent xmlns:mc="http://schemas.openxmlformats.org/markup-compatibility/2006">
          <mc:Choice Requires="x14">
            <control shapeId="1237" r:id="rId151" name="Check Box 213">
              <controlPr defaultSize="0" autoFill="0" autoLine="0" autoPict="0">
                <anchor moveWithCells="1">
                  <from>
                    <xdr:col>2</xdr:col>
                    <xdr:colOff>463550</xdr:colOff>
                    <xdr:row>175</xdr:row>
                    <xdr:rowOff>139700</xdr:rowOff>
                  </from>
                  <to>
                    <xdr:col>2</xdr:col>
                    <xdr:colOff>838200</xdr:colOff>
                    <xdr:row>177</xdr:row>
                    <xdr:rowOff>19050</xdr:rowOff>
                  </to>
                </anchor>
              </controlPr>
            </control>
          </mc:Choice>
        </mc:AlternateContent>
        <mc:AlternateContent xmlns:mc="http://schemas.openxmlformats.org/markup-compatibility/2006">
          <mc:Choice Requires="x14">
            <control shapeId="1238" r:id="rId152" name="Check Box 214">
              <controlPr defaultSize="0" autoFill="0" autoLine="0" autoPict="0">
                <anchor moveWithCells="1">
                  <from>
                    <xdr:col>2</xdr:col>
                    <xdr:colOff>6350</xdr:colOff>
                    <xdr:row>186</xdr:row>
                    <xdr:rowOff>139700</xdr:rowOff>
                  </from>
                  <to>
                    <xdr:col>2</xdr:col>
                    <xdr:colOff>412750</xdr:colOff>
                    <xdr:row>188</xdr:row>
                    <xdr:rowOff>0</xdr:rowOff>
                  </to>
                </anchor>
              </controlPr>
            </control>
          </mc:Choice>
        </mc:AlternateContent>
        <mc:AlternateContent xmlns:mc="http://schemas.openxmlformats.org/markup-compatibility/2006">
          <mc:Choice Requires="x14">
            <control shapeId="1239" r:id="rId153" name="Check Box 215">
              <controlPr defaultSize="0" autoFill="0" autoLine="0" autoPict="0">
                <anchor moveWithCells="1">
                  <from>
                    <xdr:col>2</xdr:col>
                    <xdr:colOff>463550</xdr:colOff>
                    <xdr:row>186</xdr:row>
                    <xdr:rowOff>139700</xdr:rowOff>
                  </from>
                  <to>
                    <xdr:col>2</xdr:col>
                    <xdr:colOff>838200</xdr:colOff>
                    <xdr:row>188</xdr:row>
                    <xdr:rowOff>0</xdr:rowOff>
                  </to>
                </anchor>
              </controlPr>
            </control>
          </mc:Choice>
        </mc:AlternateContent>
        <mc:AlternateContent xmlns:mc="http://schemas.openxmlformats.org/markup-compatibility/2006">
          <mc:Choice Requires="x14">
            <control shapeId="1240" r:id="rId154" name="Check Box 216">
              <controlPr defaultSize="0" autoFill="0" autoLine="0" autoPict="0">
                <anchor moveWithCells="1">
                  <from>
                    <xdr:col>2</xdr:col>
                    <xdr:colOff>6350</xdr:colOff>
                    <xdr:row>184</xdr:row>
                    <xdr:rowOff>158750</xdr:rowOff>
                  </from>
                  <to>
                    <xdr:col>2</xdr:col>
                    <xdr:colOff>412750</xdr:colOff>
                    <xdr:row>186</xdr:row>
                    <xdr:rowOff>19050</xdr:rowOff>
                  </to>
                </anchor>
              </controlPr>
            </control>
          </mc:Choice>
        </mc:AlternateContent>
        <mc:AlternateContent xmlns:mc="http://schemas.openxmlformats.org/markup-compatibility/2006">
          <mc:Choice Requires="x14">
            <control shapeId="1241" r:id="rId155" name="Check Box 217">
              <controlPr defaultSize="0" autoFill="0" autoLine="0" autoPict="0">
                <anchor moveWithCells="1">
                  <from>
                    <xdr:col>2</xdr:col>
                    <xdr:colOff>463550</xdr:colOff>
                    <xdr:row>184</xdr:row>
                    <xdr:rowOff>158750</xdr:rowOff>
                  </from>
                  <to>
                    <xdr:col>2</xdr:col>
                    <xdr:colOff>838200</xdr:colOff>
                    <xdr:row>186</xdr:row>
                    <xdr:rowOff>19050</xdr:rowOff>
                  </to>
                </anchor>
              </controlPr>
            </control>
          </mc:Choice>
        </mc:AlternateContent>
        <mc:AlternateContent xmlns:mc="http://schemas.openxmlformats.org/markup-compatibility/2006">
          <mc:Choice Requires="x14">
            <control shapeId="1242" r:id="rId156" name="Check Box 218">
              <controlPr defaultSize="0" autoFill="0" autoLine="0" autoPict="0">
                <anchor moveWithCells="1">
                  <from>
                    <xdr:col>2</xdr:col>
                    <xdr:colOff>6350</xdr:colOff>
                    <xdr:row>188</xdr:row>
                    <xdr:rowOff>139700</xdr:rowOff>
                  </from>
                  <to>
                    <xdr:col>2</xdr:col>
                    <xdr:colOff>412750</xdr:colOff>
                    <xdr:row>190</xdr:row>
                    <xdr:rowOff>38100</xdr:rowOff>
                  </to>
                </anchor>
              </controlPr>
            </control>
          </mc:Choice>
        </mc:AlternateContent>
        <mc:AlternateContent xmlns:mc="http://schemas.openxmlformats.org/markup-compatibility/2006">
          <mc:Choice Requires="x14">
            <control shapeId="1243" r:id="rId157" name="Check Box 219">
              <controlPr defaultSize="0" autoFill="0" autoLine="0" autoPict="0">
                <anchor moveWithCells="1">
                  <from>
                    <xdr:col>2</xdr:col>
                    <xdr:colOff>463550</xdr:colOff>
                    <xdr:row>188</xdr:row>
                    <xdr:rowOff>139700</xdr:rowOff>
                  </from>
                  <to>
                    <xdr:col>2</xdr:col>
                    <xdr:colOff>838200</xdr:colOff>
                    <xdr:row>190</xdr:row>
                    <xdr:rowOff>38100</xdr:rowOff>
                  </to>
                </anchor>
              </controlPr>
            </control>
          </mc:Choice>
        </mc:AlternateContent>
        <mc:AlternateContent xmlns:mc="http://schemas.openxmlformats.org/markup-compatibility/2006">
          <mc:Choice Requires="x14">
            <control shapeId="1244" r:id="rId158" name="Check Box 220">
              <controlPr defaultSize="0" autoFill="0" autoLine="0" autoPict="0">
                <anchor moveWithCells="1">
                  <from>
                    <xdr:col>2</xdr:col>
                    <xdr:colOff>6350</xdr:colOff>
                    <xdr:row>190</xdr:row>
                    <xdr:rowOff>120650</xdr:rowOff>
                  </from>
                  <to>
                    <xdr:col>2</xdr:col>
                    <xdr:colOff>412750</xdr:colOff>
                    <xdr:row>192</xdr:row>
                    <xdr:rowOff>19050</xdr:rowOff>
                  </to>
                </anchor>
              </controlPr>
            </control>
          </mc:Choice>
        </mc:AlternateContent>
        <mc:AlternateContent xmlns:mc="http://schemas.openxmlformats.org/markup-compatibility/2006">
          <mc:Choice Requires="x14">
            <control shapeId="1245" r:id="rId159" name="Check Box 221">
              <controlPr defaultSize="0" autoFill="0" autoLine="0" autoPict="0">
                <anchor moveWithCells="1">
                  <from>
                    <xdr:col>2</xdr:col>
                    <xdr:colOff>463550</xdr:colOff>
                    <xdr:row>190</xdr:row>
                    <xdr:rowOff>120650</xdr:rowOff>
                  </from>
                  <to>
                    <xdr:col>2</xdr:col>
                    <xdr:colOff>838200</xdr:colOff>
                    <xdr:row>192</xdr:row>
                    <xdr:rowOff>19050</xdr:rowOff>
                  </to>
                </anchor>
              </controlPr>
            </control>
          </mc:Choice>
        </mc:AlternateContent>
        <mc:AlternateContent xmlns:mc="http://schemas.openxmlformats.org/markup-compatibility/2006">
          <mc:Choice Requires="x14">
            <control shapeId="1246" r:id="rId160" name="Check Box 222">
              <controlPr defaultSize="0" autoFill="0" autoLine="0" autoPict="0">
                <anchor moveWithCells="1">
                  <from>
                    <xdr:col>2</xdr:col>
                    <xdr:colOff>6350</xdr:colOff>
                    <xdr:row>203</xdr:row>
                    <xdr:rowOff>139700</xdr:rowOff>
                  </from>
                  <to>
                    <xdr:col>2</xdr:col>
                    <xdr:colOff>412750</xdr:colOff>
                    <xdr:row>205</xdr:row>
                    <xdr:rowOff>0</xdr:rowOff>
                  </to>
                </anchor>
              </controlPr>
            </control>
          </mc:Choice>
        </mc:AlternateContent>
        <mc:AlternateContent xmlns:mc="http://schemas.openxmlformats.org/markup-compatibility/2006">
          <mc:Choice Requires="x14">
            <control shapeId="1247" r:id="rId161" name="Check Box 223">
              <controlPr defaultSize="0" autoFill="0" autoLine="0" autoPict="0">
                <anchor moveWithCells="1">
                  <from>
                    <xdr:col>2</xdr:col>
                    <xdr:colOff>463550</xdr:colOff>
                    <xdr:row>203</xdr:row>
                    <xdr:rowOff>139700</xdr:rowOff>
                  </from>
                  <to>
                    <xdr:col>2</xdr:col>
                    <xdr:colOff>838200</xdr:colOff>
                    <xdr:row>205</xdr:row>
                    <xdr:rowOff>0</xdr:rowOff>
                  </to>
                </anchor>
              </controlPr>
            </control>
          </mc:Choice>
        </mc:AlternateContent>
        <mc:AlternateContent xmlns:mc="http://schemas.openxmlformats.org/markup-compatibility/2006">
          <mc:Choice Requires="x14">
            <control shapeId="1250" r:id="rId162" name="Check Box 226">
              <controlPr defaultSize="0" autoFill="0" autoLine="0" autoPict="0">
                <anchor moveWithCells="1">
                  <from>
                    <xdr:col>2</xdr:col>
                    <xdr:colOff>6350</xdr:colOff>
                    <xdr:row>205</xdr:row>
                    <xdr:rowOff>139700</xdr:rowOff>
                  </from>
                  <to>
                    <xdr:col>2</xdr:col>
                    <xdr:colOff>412750</xdr:colOff>
                    <xdr:row>207</xdr:row>
                    <xdr:rowOff>0</xdr:rowOff>
                  </to>
                </anchor>
              </controlPr>
            </control>
          </mc:Choice>
        </mc:AlternateContent>
        <mc:AlternateContent xmlns:mc="http://schemas.openxmlformats.org/markup-compatibility/2006">
          <mc:Choice Requires="x14">
            <control shapeId="1251" r:id="rId163" name="Check Box 227">
              <controlPr defaultSize="0" autoFill="0" autoLine="0" autoPict="0">
                <anchor moveWithCells="1">
                  <from>
                    <xdr:col>2</xdr:col>
                    <xdr:colOff>463550</xdr:colOff>
                    <xdr:row>205</xdr:row>
                    <xdr:rowOff>139700</xdr:rowOff>
                  </from>
                  <to>
                    <xdr:col>2</xdr:col>
                    <xdr:colOff>838200</xdr:colOff>
                    <xdr:row>207</xdr:row>
                    <xdr:rowOff>0</xdr:rowOff>
                  </to>
                </anchor>
              </controlPr>
            </control>
          </mc:Choice>
        </mc:AlternateContent>
        <mc:AlternateContent xmlns:mc="http://schemas.openxmlformats.org/markup-compatibility/2006">
          <mc:Choice Requires="x14">
            <control shapeId="1252" r:id="rId164" name="Check Box 228">
              <controlPr defaultSize="0" autoFill="0" autoLine="0" autoPict="0">
                <anchor moveWithCells="1">
                  <from>
                    <xdr:col>2</xdr:col>
                    <xdr:colOff>6350</xdr:colOff>
                    <xdr:row>197</xdr:row>
                    <xdr:rowOff>203200</xdr:rowOff>
                  </from>
                  <to>
                    <xdr:col>2</xdr:col>
                    <xdr:colOff>412750</xdr:colOff>
                    <xdr:row>199</xdr:row>
                    <xdr:rowOff>31750</xdr:rowOff>
                  </to>
                </anchor>
              </controlPr>
            </control>
          </mc:Choice>
        </mc:AlternateContent>
        <mc:AlternateContent xmlns:mc="http://schemas.openxmlformats.org/markup-compatibility/2006">
          <mc:Choice Requires="x14">
            <control shapeId="1253" r:id="rId165" name="Check Box 229">
              <controlPr defaultSize="0" autoFill="0" autoLine="0" autoPict="0">
                <anchor moveWithCells="1">
                  <from>
                    <xdr:col>2</xdr:col>
                    <xdr:colOff>463550</xdr:colOff>
                    <xdr:row>197</xdr:row>
                    <xdr:rowOff>203200</xdr:rowOff>
                  </from>
                  <to>
                    <xdr:col>2</xdr:col>
                    <xdr:colOff>838200</xdr:colOff>
                    <xdr:row>199</xdr:row>
                    <xdr:rowOff>31750</xdr:rowOff>
                  </to>
                </anchor>
              </controlPr>
            </control>
          </mc:Choice>
        </mc:AlternateContent>
        <mc:AlternateContent xmlns:mc="http://schemas.openxmlformats.org/markup-compatibility/2006">
          <mc:Choice Requires="x14">
            <control shapeId="1254" r:id="rId166" name="Check Box 230">
              <controlPr defaultSize="0" autoFill="0" autoLine="0" autoPict="0">
                <anchor moveWithCells="1">
                  <from>
                    <xdr:col>2</xdr:col>
                    <xdr:colOff>6350</xdr:colOff>
                    <xdr:row>199</xdr:row>
                    <xdr:rowOff>139700</xdr:rowOff>
                  </from>
                  <to>
                    <xdr:col>2</xdr:col>
                    <xdr:colOff>412750</xdr:colOff>
                    <xdr:row>201</xdr:row>
                    <xdr:rowOff>38100</xdr:rowOff>
                  </to>
                </anchor>
              </controlPr>
            </control>
          </mc:Choice>
        </mc:AlternateContent>
        <mc:AlternateContent xmlns:mc="http://schemas.openxmlformats.org/markup-compatibility/2006">
          <mc:Choice Requires="x14">
            <control shapeId="1255" r:id="rId167" name="Check Box 231">
              <controlPr defaultSize="0" autoFill="0" autoLine="0" autoPict="0">
                <anchor moveWithCells="1">
                  <from>
                    <xdr:col>2</xdr:col>
                    <xdr:colOff>463550</xdr:colOff>
                    <xdr:row>199</xdr:row>
                    <xdr:rowOff>139700</xdr:rowOff>
                  </from>
                  <to>
                    <xdr:col>2</xdr:col>
                    <xdr:colOff>838200</xdr:colOff>
                    <xdr:row>201</xdr:row>
                    <xdr:rowOff>38100</xdr:rowOff>
                  </to>
                </anchor>
              </controlPr>
            </control>
          </mc:Choice>
        </mc:AlternateContent>
        <mc:AlternateContent xmlns:mc="http://schemas.openxmlformats.org/markup-compatibility/2006">
          <mc:Choice Requires="x14">
            <control shapeId="1256" r:id="rId168" name="Check Box 232">
              <controlPr defaultSize="0" autoFill="0" autoLine="0" autoPict="0">
                <anchor moveWithCells="1">
                  <from>
                    <xdr:col>2</xdr:col>
                    <xdr:colOff>6350</xdr:colOff>
                    <xdr:row>201</xdr:row>
                    <xdr:rowOff>139700</xdr:rowOff>
                  </from>
                  <to>
                    <xdr:col>2</xdr:col>
                    <xdr:colOff>412750</xdr:colOff>
                    <xdr:row>203</xdr:row>
                    <xdr:rowOff>38100</xdr:rowOff>
                  </to>
                </anchor>
              </controlPr>
            </control>
          </mc:Choice>
        </mc:AlternateContent>
        <mc:AlternateContent xmlns:mc="http://schemas.openxmlformats.org/markup-compatibility/2006">
          <mc:Choice Requires="x14">
            <control shapeId="1257" r:id="rId169" name="Check Box 233">
              <controlPr defaultSize="0" autoFill="0" autoLine="0" autoPict="0">
                <anchor moveWithCells="1">
                  <from>
                    <xdr:col>2</xdr:col>
                    <xdr:colOff>463550</xdr:colOff>
                    <xdr:row>201</xdr:row>
                    <xdr:rowOff>139700</xdr:rowOff>
                  </from>
                  <to>
                    <xdr:col>2</xdr:col>
                    <xdr:colOff>838200</xdr:colOff>
                    <xdr:row>203</xdr:row>
                    <xdr:rowOff>38100</xdr:rowOff>
                  </to>
                </anchor>
              </controlPr>
            </control>
          </mc:Choice>
        </mc:AlternateContent>
        <mc:AlternateContent xmlns:mc="http://schemas.openxmlformats.org/markup-compatibility/2006">
          <mc:Choice Requires="x14">
            <control shapeId="1258" r:id="rId170" name="Check Box 234">
              <controlPr defaultSize="0" autoFill="0" autoLine="0" autoPict="0">
                <anchor moveWithCells="1">
                  <from>
                    <xdr:col>2</xdr:col>
                    <xdr:colOff>6350</xdr:colOff>
                    <xdr:row>207</xdr:row>
                    <xdr:rowOff>120650</xdr:rowOff>
                  </from>
                  <to>
                    <xdr:col>2</xdr:col>
                    <xdr:colOff>412750</xdr:colOff>
                    <xdr:row>209</xdr:row>
                    <xdr:rowOff>19050</xdr:rowOff>
                  </to>
                </anchor>
              </controlPr>
            </control>
          </mc:Choice>
        </mc:AlternateContent>
        <mc:AlternateContent xmlns:mc="http://schemas.openxmlformats.org/markup-compatibility/2006">
          <mc:Choice Requires="x14">
            <control shapeId="1259" r:id="rId171" name="Check Box 235">
              <controlPr defaultSize="0" autoFill="0" autoLine="0" autoPict="0">
                <anchor moveWithCells="1">
                  <from>
                    <xdr:col>2</xdr:col>
                    <xdr:colOff>463550</xdr:colOff>
                    <xdr:row>207</xdr:row>
                    <xdr:rowOff>120650</xdr:rowOff>
                  </from>
                  <to>
                    <xdr:col>2</xdr:col>
                    <xdr:colOff>838200</xdr:colOff>
                    <xdr:row>209</xdr:row>
                    <xdr:rowOff>19050</xdr:rowOff>
                  </to>
                </anchor>
              </controlPr>
            </control>
          </mc:Choice>
        </mc:AlternateContent>
        <mc:AlternateContent xmlns:mc="http://schemas.openxmlformats.org/markup-compatibility/2006">
          <mc:Choice Requires="x14">
            <control shapeId="1260" r:id="rId172" name="Check Box 236">
              <controlPr defaultSize="0" autoFill="0" autoLine="0" autoPict="0">
                <anchor moveWithCells="1">
                  <from>
                    <xdr:col>2</xdr:col>
                    <xdr:colOff>6350</xdr:colOff>
                    <xdr:row>214</xdr:row>
                    <xdr:rowOff>152400</xdr:rowOff>
                  </from>
                  <to>
                    <xdr:col>2</xdr:col>
                    <xdr:colOff>412750</xdr:colOff>
                    <xdr:row>216</xdr:row>
                    <xdr:rowOff>6350</xdr:rowOff>
                  </to>
                </anchor>
              </controlPr>
            </control>
          </mc:Choice>
        </mc:AlternateContent>
        <mc:AlternateContent xmlns:mc="http://schemas.openxmlformats.org/markup-compatibility/2006">
          <mc:Choice Requires="x14">
            <control shapeId="1261" r:id="rId173" name="Check Box 237">
              <controlPr defaultSize="0" autoFill="0" autoLine="0" autoPict="0">
                <anchor moveWithCells="1">
                  <from>
                    <xdr:col>2</xdr:col>
                    <xdr:colOff>463550</xdr:colOff>
                    <xdr:row>214</xdr:row>
                    <xdr:rowOff>152400</xdr:rowOff>
                  </from>
                  <to>
                    <xdr:col>2</xdr:col>
                    <xdr:colOff>838200</xdr:colOff>
                    <xdr:row>216</xdr:row>
                    <xdr:rowOff>6350</xdr:rowOff>
                  </to>
                </anchor>
              </controlPr>
            </control>
          </mc:Choice>
        </mc:AlternateContent>
        <mc:AlternateContent xmlns:mc="http://schemas.openxmlformats.org/markup-compatibility/2006">
          <mc:Choice Requires="x14">
            <control shapeId="1262" r:id="rId174" name="Check Box 238">
              <controlPr defaultSize="0" autoFill="0" autoLine="0" autoPict="0">
                <anchor moveWithCells="1">
                  <from>
                    <xdr:col>2</xdr:col>
                    <xdr:colOff>6350</xdr:colOff>
                    <xdr:row>216</xdr:row>
                    <xdr:rowOff>120650</xdr:rowOff>
                  </from>
                  <to>
                    <xdr:col>2</xdr:col>
                    <xdr:colOff>412750</xdr:colOff>
                    <xdr:row>218</xdr:row>
                    <xdr:rowOff>19050</xdr:rowOff>
                  </to>
                </anchor>
              </controlPr>
            </control>
          </mc:Choice>
        </mc:AlternateContent>
        <mc:AlternateContent xmlns:mc="http://schemas.openxmlformats.org/markup-compatibility/2006">
          <mc:Choice Requires="x14">
            <control shapeId="1263" r:id="rId175" name="Check Box 239">
              <controlPr defaultSize="0" autoFill="0" autoLine="0" autoPict="0">
                <anchor moveWithCells="1">
                  <from>
                    <xdr:col>2</xdr:col>
                    <xdr:colOff>463550</xdr:colOff>
                    <xdr:row>216</xdr:row>
                    <xdr:rowOff>120650</xdr:rowOff>
                  </from>
                  <to>
                    <xdr:col>2</xdr:col>
                    <xdr:colOff>838200</xdr:colOff>
                    <xdr:row>218</xdr:row>
                    <xdr:rowOff>19050</xdr:rowOff>
                  </to>
                </anchor>
              </controlPr>
            </control>
          </mc:Choice>
        </mc:AlternateContent>
        <mc:AlternateContent xmlns:mc="http://schemas.openxmlformats.org/markup-compatibility/2006">
          <mc:Choice Requires="x14">
            <control shapeId="1264" r:id="rId176" name="Check Box 240">
              <controlPr defaultSize="0" autoFill="0" autoLine="0" autoPict="0">
                <anchor moveWithCells="1">
                  <from>
                    <xdr:col>2</xdr:col>
                    <xdr:colOff>6350</xdr:colOff>
                    <xdr:row>218</xdr:row>
                    <xdr:rowOff>120650</xdr:rowOff>
                  </from>
                  <to>
                    <xdr:col>2</xdr:col>
                    <xdr:colOff>412750</xdr:colOff>
                    <xdr:row>220</xdr:row>
                    <xdr:rowOff>19050</xdr:rowOff>
                  </to>
                </anchor>
              </controlPr>
            </control>
          </mc:Choice>
        </mc:AlternateContent>
        <mc:AlternateContent xmlns:mc="http://schemas.openxmlformats.org/markup-compatibility/2006">
          <mc:Choice Requires="x14">
            <control shapeId="1265" r:id="rId177" name="Check Box 241">
              <controlPr defaultSize="0" autoFill="0" autoLine="0" autoPict="0">
                <anchor moveWithCells="1">
                  <from>
                    <xdr:col>2</xdr:col>
                    <xdr:colOff>463550</xdr:colOff>
                    <xdr:row>218</xdr:row>
                    <xdr:rowOff>120650</xdr:rowOff>
                  </from>
                  <to>
                    <xdr:col>2</xdr:col>
                    <xdr:colOff>838200</xdr:colOff>
                    <xdr:row>220</xdr:row>
                    <xdr:rowOff>19050</xdr:rowOff>
                  </to>
                </anchor>
              </controlPr>
            </control>
          </mc:Choice>
        </mc:AlternateContent>
        <mc:AlternateContent xmlns:mc="http://schemas.openxmlformats.org/markup-compatibility/2006">
          <mc:Choice Requires="x14">
            <control shapeId="1266" r:id="rId178" name="Check Box 242">
              <controlPr defaultSize="0" autoFill="0" autoLine="0" autoPict="0">
                <anchor moveWithCells="1">
                  <from>
                    <xdr:col>2</xdr:col>
                    <xdr:colOff>6350</xdr:colOff>
                    <xdr:row>220</xdr:row>
                    <xdr:rowOff>120650</xdr:rowOff>
                  </from>
                  <to>
                    <xdr:col>2</xdr:col>
                    <xdr:colOff>412750</xdr:colOff>
                    <xdr:row>222</xdr:row>
                    <xdr:rowOff>19050</xdr:rowOff>
                  </to>
                </anchor>
              </controlPr>
            </control>
          </mc:Choice>
        </mc:AlternateContent>
        <mc:AlternateContent xmlns:mc="http://schemas.openxmlformats.org/markup-compatibility/2006">
          <mc:Choice Requires="x14">
            <control shapeId="1267" r:id="rId179" name="Check Box 243">
              <controlPr defaultSize="0" autoFill="0" autoLine="0" autoPict="0">
                <anchor moveWithCells="1">
                  <from>
                    <xdr:col>2</xdr:col>
                    <xdr:colOff>463550</xdr:colOff>
                    <xdr:row>220</xdr:row>
                    <xdr:rowOff>120650</xdr:rowOff>
                  </from>
                  <to>
                    <xdr:col>2</xdr:col>
                    <xdr:colOff>838200</xdr:colOff>
                    <xdr:row>222</xdr:row>
                    <xdr:rowOff>19050</xdr:rowOff>
                  </to>
                </anchor>
              </controlPr>
            </control>
          </mc:Choice>
        </mc:AlternateContent>
        <mc:AlternateContent xmlns:mc="http://schemas.openxmlformats.org/markup-compatibility/2006">
          <mc:Choice Requires="x14">
            <control shapeId="1268" r:id="rId180" name="Check Box 244">
              <controlPr defaultSize="0" autoFill="0" autoLine="0" autoPict="0">
                <anchor moveWithCells="1">
                  <from>
                    <xdr:col>2</xdr:col>
                    <xdr:colOff>6350</xdr:colOff>
                    <xdr:row>229</xdr:row>
                    <xdr:rowOff>139700</xdr:rowOff>
                  </from>
                  <to>
                    <xdr:col>2</xdr:col>
                    <xdr:colOff>412750</xdr:colOff>
                    <xdr:row>231</xdr:row>
                    <xdr:rowOff>0</xdr:rowOff>
                  </to>
                </anchor>
              </controlPr>
            </control>
          </mc:Choice>
        </mc:AlternateContent>
        <mc:AlternateContent xmlns:mc="http://schemas.openxmlformats.org/markup-compatibility/2006">
          <mc:Choice Requires="x14">
            <control shapeId="1269" r:id="rId181" name="Check Box 245">
              <controlPr defaultSize="0" autoFill="0" autoLine="0" autoPict="0">
                <anchor moveWithCells="1">
                  <from>
                    <xdr:col>2</xdr:col>
                    <xdr:colOff>463550</xdr:colOff>
                    <xdr:row>229</xdr:row>
                    <xdr:rowOff>139700</xdr:rowOff>
                  </from>
                  <to>
                    <xdr:col>2</xdr:col>
                    <xdr:colOff>838200</xdr:colOff>
                    <xdr:row>231</xdr:row>
                    <xdr:rowOff>0</xdr:rowOff>
                  </to>
                </anchor>
              </controlPr>
            </control>
          </mc:Choice>
        </mc:AlternateContent>
        <mc:AlternateContent xmlns:mc="http://schemas.openxmlformats.org/markup-compatibility/2006">
          <mc:Choice Requires="x14">
            <control shapeId="1270" r:id="rId182" name="Check Box 246">
              <controlPr defaultSize="0" autoFill="0" autoLine="0" autoPict="0">
                <anchor moveWithCells="1">
                  <from>
                    <xdr:col>2</xdr:col>
                    <xdr:colOff>6350</xdr:colOff>
                    <xdr:row>233</xdr:row>
                    <xdr:rowOff>139700</xdr:rowOff>
                  </from>
                  <to>
                    <xdr:col>2</xdr:col>
                    <xdr:colOff>412750</xdr:colOff>
                    <xdr:row>235</xdr:row>
                    <xdr:rowOff>0</xdr:rowOff>
                  </to>
                </anchor>
              </controlPr>
            </control>
          </mc:Choice>
        </mc:AlternateContent>
        <mc:AlternateContent xmlns:mc="http://schemas.openxmlformats.org/markup-compatibility/2006">
          <mc:Choice Requires="x14">
            <control shapeId="1271" r:id="rId183" name="Check Box 247">
              <controlPr defaultSize="0" autoFill="0" autoLine="0" autoPict="0">
                <anchor moveWithCells="1">
                  <from>
                    <xdr:col>2</xdr:col>
                    <xdr:colOff>463550</xdr:colOff>
                    <xdr:row>233</xdr:row>
                    <xdr:rowOff>139700</xdr:rowOff>
                  </from>
                  <to>
                    <xdr:col>2</xdr:col>
                    <xdr:colOff>838200</xdr:colOff>
                    <xdr:row>235</xdr:row>
                    <xdr:rowOff>0</xdr:rowOff>
                  </to>
                </anchor>
              </controlPr>
            </control>
          </mc:Choice>
        </mc:AlternateContent>
        <mc:AlternateContent xmlns:mc="http://schemas.openxmlformats.org/markup-compatibility/2006">
          <mc:Choice Requires="x14">
            <control shapeId="1272" r:id="rId184" name="Check Box 248">
              <controlPr defaultSize="0" autoFill="0" autoLine="0" autoPict="0">
                <anchor moveWithCells="1">
                  <from>
                    <xdr:col>2</xdr:col>
                    <xdr:colOff>6350</xdr:colOff>
                    <xdr:row>227</xdr:row>
                    <xdr:rowOff>152400</xdr:rowOff>
                  </from>
                  <to>
                    <xdr:col>2</xdr:col>
                    <xdr:colOff>412750</xdr:colOff>
                    <xdr:row>229</xdr:row>
                    <xdr:rowOff>6350</xdr:rowOff>
                  </to>
                </anchor>
              </controlPr>
            </control>
          </mc:Choice>
        </mc:AlternateContent>
        <mc:AlternateContent xmlns:mc="http://schemas.openxmlformats.org/markup-compatibility/2006">
          <mc:Choice Requires="x14">
            <control shapeId="1273" r:id="rId185" name="Check Box 249">
              <controlPr defaultSize="0" autoFill="0" autoLine="0" autoPict="0">
                <anchor moveWithCells="1">
                  <from>
                    <xdr:col>2</xdr:col>
                    <xdr:colOff>463550</xdr:colOff>
                    <xdr:row>227</xdr:row>
                    <xdr:rowOff>152400</xdr:rowOff>
                  </from>
                  <to>
                    <xdr:col>2</xdr:col>
                    <xdr:colOff>838200</xdr:colOff>
                    <xdr:row>229</xdr:row>
                    <xdr:rowOff>6350</xdr:rowOff>
                  </to>
                </anchor>
              </controlPr>
            </control>
          </mc:Choice>
        </mc:AlternateContent>
        <mc:AlternateContent xmlns:mc="http://schemas.openxmlformats.org/markup-compatibility/2006">
          <mc:Choice Requires="x14">
            <control shapeId="1274" r:id="rId186" name="Check Box 250">
              <controlPr defaultSize="0" autoFill="0" autoLine="0" autoPict="0">
                <anchor moveWithCells="1">
                  <from>
                    <xdr:col>2</xdr:col>
                    <xdr:colOff>6350</xdr:colOff>
                    <xdr:row>231</xdr:row>
                    <xdr:rowOff>120650</xdr:rowOff>
                  </from>
                  <to>
                    <xdr:col>2</xdr:col>
                    <xdr:colOff>412750</xdr:colOff>
                    <xdr:row>233</xdr:row>
                    <xdr:rowOff>19050</xdr:rowOff>
                  </to>
                </anchor>
              </controlPr>
            </control>
          </mc:Choice>
        </mc:AlternateContent>
        <mc:AlternateContent xmlns:mc="http://schemas.openxmlformats.org/markup-compatibility/2006">
          <mc:Choice Requires="x14">
            <control shapeId="1275" r:id="rId187" name="Check Box 251">
              <controlPr defaultSize="0" autoFill="0" autoLine="0" autoPict="0">
                <anchor moveWithCells="1">
                  <from>
                    <xdr:col>2</xdr:col>
                    <xdr:colOff>463550</xdr:colOff>
                    <xdr:row>231</xdr:row>
                    <xdr:rowOff>120650</xdr:rowOff>
                  </from>
                  <to>
                    <xdr:col>2</xdr:col>
                    <xdr:colOff>838200</xdr:colOff>
                    <xdr:row>233</xdr:row>
                    <xdr:rowOff>19050</xdr:rowOff>
                  </to>
                </anchor>
              </controlPr>
            </control>
          </mc:Choice>
        </mc:AlternateContent>
        <mc:AlternateContent xmlns:mc="http://schemas.openxmlformats.org/markup-compatibility/2006">
          <mc:Choice Requires="x14">
            <control shapeId="1276" r:id="rId188" name="Check Box 252">
              <controlPr defaultSize="0" autoFill="0" autoLine="0" autoPict="0">
                <anchor moveWithCells="1">
                  <from>
                    <xdr:col>2</xdr:col>
                    <xdr:colOff>6350</xdr:colOff>
                    <xdr:row>235</xdr:row>
                    <xdr:rowOff>120650</xdr:rowOff>
                  </from>
                  <to>
                    <xdr:col>2</xdr:col>
                    <xdr:colOff>412750</xdr:colOff>
                    <xdr:row>237</xdr:row>
                    <xdr:rowOff>19050</xdr:rowOff>
                  </to>
                </anchor>
              </controlPr>
            </control>
          </mc:Choice>
        </mc:AlternateContent>
        <mc:AlternateContent xmlns:mc="http://schemas.openxmlformats.org/markup-compatibility/2006">
          <mc:Choice Requires="x14">
            <control shapeId="1277" r:id="rId189" name="Check Box 253">
              <controlPr defaultSize="0" autoFill="0" autoLine="0" autoPict="0">
                <anchor moveWithCells="1">
                  <from>
                    <xdr:col>2</xdr:col>
                    <xdr:colOff>463550</xdr:colOff>
                    <xdr:row>235</xdr:row>
                    <xdr:rowOff>120650</xdr:rowOff>
                  </from>
                  <to>
                    <xdr:col>2</xdr:col>
                    <xdr:colOff>838200</xdr:colOff>
                    <xdr:row>237</xdr:row>
                    <xdr:rowOff>19050</xdr:rowOff>
                  </to>
                </anchor>
              </controlPr>
            </control>
          </mc:Choice>
        </mc:AlternateContent>
        <mc:AlternateContent xmlns:mc="http://schemas.openxmlformats.org/markup-compatibility/2006">
          <mc:Choice Requires="x14">
            <control shapeId="1278" r:id="rId190" name="Check Box 254">
              <controlPr defaultSize="0" autoFill="0" autoLine="0" autoPict="0">
                <anchor moveWithCells="1">
                  <from>
                    <xdr:col>2</xdr:col>
                    <xdr:colOff>6350</xdr:colOff>
                    <xdr:row>237</xdr:row>
                    <xdr:rowOff>120650</xdr:rowOff>
                  </from>
                  <to>
                    <xdr:col>2</xdr:col>
                    <xdr:colOff>412750</xdr:colOff>
                    <xdr:row>239</xdr:row>
                    <xdr:rowOff>19050</xdr:rowOff>
                  </to>
                </anchor>
              </controlPr>
            </control>
          </mc:Choice>
        </mc:AlternateContent>
        <mc:AlternateContent xmlns:mc="http://schemas.openxmlformats.org/markup-compatibility/2006">
          <mc:Choice Requires="x14">
            <control shapeId="1279" r:id="rId191" name="Check Box 255">
              <controlPr defaultSize="0" autoFill="0" autoLine="0" autoPict="0">
                <anchor moveWithCells="1">
                  <from>
                    <xdr:col>2</xdr:col>
                    <xdr:colOff>463550</xdr:colOff>
                    <xdr:row>237</xdr:row>
                    <xdr:rowOff>120650</xdr:rowOff>
                  </from>
                  <to>
                    <xdr:col>2</xdr:col>
                    <xdr:colOff>838200</xdr:colOff>
                    <xdr:row>239</xdr:row>
                    <xdr:rowOff>19050</xdr:rowOff>
                  </to>
                </anchor>
              </controlPr>
            </control>
          </mc:Choice>
        </mc:AlternateContent>
        <mc:AlternateContent xmlns:mc="http://schemas.openxmlformats.org/markup-compatibility/2006">
          <mc:Choice Requires="x14">
            <control shapeId="1280" r:id="rId192" name="Check Box 256">
              <controlPr defaultSize="0" autoFill="0" autoLine="0" autoPict="0">
                <anchor moveWithCells="1">
                  <from>
                    <xdr:col>2</xdr:col>
                    <xdr:colOff>6350</xdr:colOff>
                    <xdr:row>239</xdr:row>
                    <xdr:rowOff>120650</xdr:rowOff>
                  </from>
                  <to>
                    <xdr:col>2</xdr:col>
                    <xdr:colOff>412750</xdr:colOff>
                    <xdr:row>241</xdr:row>
                    <xdr:rowOff>19050</xdr:rowOff>
                  </to>
                </anchor>
              </controlPr>
            </control>
          </mc:Choice>
        </mc:AlternateContent>
        <mc:AlternateContent xmlns:mc="http://schemas.openxmlformats.org/markup-compatibility/2006">
          <mc:Choice Requires="x14">
            <control shapeId="1281" r:id="rId193" name="Check Box 257">
              <controlPr defaultSize="0" autoFill="0" autoLine="0" autoPict="0">
                <anchor moveWithCells="1">
                  <from>
                    <xdr:col>2</xdr:col>
                    <xdr:colOff>463550</xdr:colOff>
                    <xdr:row>239</xdr:row>
                    <xdr:rowOff>120650</xdr:rowOff>
                  </from>
                  <to>
                    <xdr:col>2</xdr:col>
                    <xdr:colOff>838200</xdr:colOff>
                    <xdr:row>241</xdr:row>
                    <xdr:rowOff>19050</xdr:rowOff>
                  </to>
                </anchor>
              </controlPr>
            </control>
          </mc:Choice>
        </mc:AlternateContent>
        <mc:AlternateContent xmlns:mc="http://schemas.openxmlformats.org/markup-compatibility/2006">
          <mc:Choice Requires="x14">
            <control shapeId="1282" r:id="rId194" name="Check Box 258">
              <controlPr defaultSize="0" autoFill="0" autoLine="0" autoPict="0">
                <anchor moveWithCells="1">
                  <from>
                    <xdr:col>2</xdr:col>
                    <xdr:colOff>6350</xdr:colOff>
                    <xdr:row>250</xdr:row>
                    <xdr:rowOff>139700</xdr:rowOff>
                  </from>
                  <to>
                    <xdr:col>2</xdr:col>
                    <xdr:colOff>412750</xdr:colOff>
                    <xdr:row>252</xdr:row>
                    <xdr:rowOff>0</xdr:rowOff>
                  </to>
                </anchor>
              </controlPr>
            </control>
          </mc:Choice>
        </mc:AlternateContent>
        <mc:AlternateContent xmlns:mc="http://schemas.openxmlformats.org/markup-compatibility/2006">
          <mc:Choice Requires="x14">
            <control shapeId="1283" r:id="rId195" name="Check Box 259">
              <controlPr defaultSize="0" autoFill="0" autoLine="0" autoPict="0">
                <anchor moveWithCells="1">
                  <from>
                    <xdr:col>2</xdr:col>
                    <xdr:colOff>463550</xdr:colOff>
                    <xdr:row>250</xdr:row>
                    <xdr:rowOff>139700</xdr:rowOff>
                  </from>
                  <to>
                    <xdr:col>2</xdr:col>
                    <xdr:colOff>838200</xdr:colOff>
                    <xdr:row>252</xdr:row>
                    <xdr:rowOff>0</xdr:rowOff>
                  </to>
                </anchor>
              </controlPr>
            </control>
          </mc:Choice>
        </mc:AlternateContent>
        <mc:AlternateContent xmlns:mc="http://schemas.openxmlformats.org/markup-compatibility/2006">
          <mc:Choice Requires="x14">
            <control shapeId="1286" r:id="rId196" name="Check Box 262">
              <controlPr defaultSize="0" autoFill="0" autoLine="0" autoPict="0">
                <anchor moveWithCells="1">
                  <from>
                    <xdr:col>2</xdr:col>
                    <xdr:colOff>6350</xdr:colOff>
                    <xdr:row>254</xdr:row>
                    <xdr:rowOff>139700</xdr:rowOff>
                  </from>
                  <to>
                    <xdr:col>2</xdr:col>
                    <xdr:colOff>412750</xdr:colOff>
                    <xdr:row>256</xdr:row>
                    <xdr:rowOff>0</xdr:rowOff>
                  </to>
                </anchor>
              </controlPr>
            </control>
          </mc:Choice>
        </mc:AlternateContent>
        <mc:AlternateContent xmlns:mc="http://schemas.openxmlformats.org/markup-compatibility/2006">
          <mc:Choice Requires="x14">
            <control shapeId="1287" r:id="rId197" name="Check Box 263">
              <controlPr defaultSize="0" autoFill="0" autoLine="0" autoPict="0">
                <anchor moveWithCells="1">
                  <from>
                    <xdr:col>2</xdr:col>
                    <xdr:colOff>463550</xdr:colOff>
                    <xdr:row>254</xdr:row>
                    <xdr:rowOff>139700</xdr:rowOff>
                  </from>
                  <to>
                    <xdr:col>2</xdr:col>
                    <xdr:colOff>838200</xdr:colOff>
                    <xdr:row>256</xdr:row>
                    <xdr:rowOff>0</xdr:rowOff>
                  </to>
                </anchor>
              </controlPr>
            </control>
          </mc:Choice>
        </mc:AlternateContent>
        <mc:AlternateContent xmlns:mc="http://schemas.openxmlformats.org/markup-compatibility/2006">
          <mc:Choice Requires="x14">
            <control shapeId="1288" r:id="rId198" name="Check Box 264">
              <controlPr defaultSize="0" autoFill="0" autoLine="0" autoPict="0">
                <anchor moveWithCells="1">
                  <from>
                    <xdr:col>2</xdr:col>
                    <xdr:colOff>6350</xdr:colOff>
                    <xdr:row>242</xdr:row>
                    <xdr:rowOff>152400</xdr:rowOff>
                  </from>
                  <to>
                    <xdr:col>2</xdr:col>
                    <xdr:colOff>412750</xdr:colOff>
                    <xdr:row>244</xdr:row>
                    <xdr:rowOff>6350</xdr:rowOff>
                  </to>
                </anchor>
              </controlPr>
            </control>
          </mc:Choice>
        </mc:AlternateContent>
        <mc:AlternateContent xmlns:mc="http://schemas.openxmlformats.org/markup-compatibility/2006">
          <mc:Choice Requires="x14">
            <control shapeId="1289" r:id="rId199" name="Check Box 265">
              <controlPr defaultSize="0" autoFill="0" autoLine="0" autoPict="0">
                <anchor moveWithCells="1">
                  <from>
                    <xdr:col>2</xdr:col>
                    <xdr:colOff>463550</xdr:colOff>
                    <xdr:row>242</xdr:row>
                    <xdr:rowOff>152400</xdr:rowOff>
                  </from>
                  <to>
                    <xdr:col>2</xdr:col>
                    <xdr:colOff>838200</xdr:colOff>
                    <xdr:row>244</xdr:row>
                    <xdr:rowOff>6350</xdr:rowOff>
                  </to>
                </anchor>
              </controlPr>
            </control>
          </mc:Choice>
        </mc:AlternateContent>
        <mc:AlternateContent xmlns:mc="http://schemas.openxmlformats.org/markup-compatibility/2006">
          <mc:Choice Requires="x14">
            <control shapeId="1290" r:id="rId200" name="Check Box 266">
              <controlPr defaultSize="0" autoFill="0" autoLine="0" autoPict="0">
                <anchor moveWithCells="1">
                  <from>
                    <xdr:col>2</xdr:col>
                    <xdr:colOff>6350</xdr:colOff>
                    <xdr:row>244</xdr:row>
                    <xdr:rowOff>120650</xdr:rowOff>
                  </from>
                  <to>
                    <xdr:col>2</xdr:col>
                    <xdr:colOff>412750</xdr:colOff>
                    <xdr:row>246</xdr:row>
                    <xdr:rowOff>19050</xdr:rowOff>
                  </to>
                </anchor>
              </controlPr>
            </control>
          </mc:Choice>
        </mc:AlternateContent>
        <mc:AlternateContent xmlns:mc="http://schemas.openxmlformats.org/markup-compatibility/2006">
          <mc:Choice Requires="x14">
            <control shapeId="1291" r:id="rId201" name="Check Box 267">
              <controlPr defaultSize="0" autoFill="0" autoLine="0" autoPict="0">
                <anchor moveWithCells="1">
                  <from>
                    <xdr:col>2</xdr:col>
                    <xdr:colOff>463550</xdr:colOff>
                    <xdr:row>244</xdr:row>
                    <xdr:rowOff>120650</xdr:rowOff>
                  </from>
                  <to>
                    <xdr:col>2</xdr:col>
                    <xdr:colOff>838200</xdr:colOff>
                    <xdr:row>246</xdr:row>
                    <xdr:rowOff>19050</xdr:rowOff>
                  </to>
                </anchor>
              </controlPr>
            </control>
          </mc:Choice>
        </mc:AlternateContent>
        <mc:AlternateContent xmlns:mc="http://schemas.openxmlformats.org/markup-compatibility/2006">
          <mc:Choice Requires="x14">
            <control shapeId="1292" r:id="rId202" name="Check Box 268">
              <controlPr defaultSize="0" autoFill="0" autoLine="0" autoPict="0">
                <anchor moveWithCells="1">
                  <from>
                    <xdr:col>2</xdr:col>
                    <xdr:colOff>6350</xdr:colOff>
                    <xdr:row>246</xdr:row>
                    <xdr:rowOff>120650</xdr:rowOff>
                  </from>
                  <to>
                    <xdr:col>2</xdr:col>
                    <xdr:colOff>412750</xdr:colOff>
                    <xdr:row>248</xdr:row>
                    <xdr:rowOff>19050</xdr:rowOff>
                  </to>
                </anchor>
              </controlPr>
            </control>
          </mc:Choice>
        </mc:AlternateContent>
        <mc:AlternateContent xmlns:mc="http://schemas.openxmlformats.org/markup-compatibility/2006">
          <mc:Choice Requires="x14">
            <control shapeId="1293" r:id="rId203" name="Check Box 269">
              <controlPr defaultSize="0" autoFill="0" autoLine="0" autoPict="0">
                <anchor moveWithCells="1">
                  <from>
                    <xdr:col>2</xdr:col>
                    <xdr:colOff>463550</xdr:colOff>
                    <xdr:row>246</xdr:row>
                    <xdr:rowOff>120650</xdr:rowOff>
                  </from>
                  <to>
                    <xdr:col>2</xdr:col>
                    <xdr:colOff>838200</xdr:colOff>
                    <xdr:row>248</xdr:row>
                    <xdr:rowOff>19050</xdr:rowOff>
                  </to>
                </anchor>
              </controlPr>
            </control>
          </mc:Choice>
        </mc:AlternateContent>
        <mc:AlternateContent xmlns:mc="http://schemas.openxmlformats.org/markup-compatibility/2006">
          <mc:Choice Requires="x14">
            <control shapeId="1294" r:id="rId204" name="Check Box 270">
              <controlPr defaultSize="0" autoFill="0" autoLine="0" autoPict="0">
                <anchor moveWithCells="1">
                  <from>
                    <xdr:col>2</xdr:col>
                    <xdr:colOff>6350</xdr:colOff>
                    <xdr:row>248</xdr:row>
                    <xdr:rowOff>120650</xdr:rowOff>
                  </from>
                  <to>
                    <xdr:col>2</xdr:col>
                    <xdr:colOff>412750</xdr:colOff>
                    <xdr:row>250</xdr:row>
                    <xdr:rowOff>19050</xdr:rowOff>
                  </to>
                </anchor>
              </controlPr>
            </control>
          </mc:Choice>
        </mc:AlternateContent>
        <mc:AlternateContent xmlns:mc="http://schemas.openxmlformats.org/markup-compatibility/2006">
          <mc:Choice Requires="x14">
            <control shapeId="1295" r:id="rId205" name="Check Box 271">
              <controlPr defaultSize="0" autoFill="0" autoLine="0" autoPict="0">
                <anchor moveWithCells="1">
                  <from>
                    <xdr:col>2</xdr:col>
                    <xdr:colOff>463550</xdr:colOff>
                    <xdr:row>248</xdr:row>
                    <xdr:rowOff>120650</xdr:rowOff>
                  </from>
                  <to>
                    <xdr:col>2</xdr:col>
                    <xdr:colOff>838200</xdr:colOff>
                    <xdr:row>250</xdr:row>
                    <xdr:rowOff>19050</xdr:rowOff>
                  </to>
                </anchor>
              </controlPr>
            </control>
          </mc:Choice>
        </mc:AlternateContent>
        <mc:AlternateContent xmlns:mc="http://schemas.openxmlformats.org/markup-compatibility/2006">
          <mc:Choice Requires="x14">
            <control shapeId="1296" r:id="rId206" name="Check Box 272">
              <controlPr defaultSize="0" autoFill="0" autoLine="0" autoPict="0">
                <anchor moveWithCells="1">
                  <from>
                    <xdr:col>2</xdr:col>
                    <xdr:colOff>6350</xdr:colOff>
                    <xdr:row>253</xdr:row>
                    <xdr:rowOff>120650</xdr:rowOff>
                  </from>
                  <to>
                    <xdr:col>2</xdr:col>
                    <xdr:colOff>412750</xdr:colOff>
                    <xdr:row>254</xdr:row>
                    <xdr:rowOff>0</xdr:rowOff>
                  </to>
                </anchor>
              </controlPr>
            </control>
          </mc:Choice>
        </mc:AlternateContent>
        <mc:AlternateContent xmlns:mc="http://schemas.openxmlformats.org/markup-compatibility/2006">
          <mc:Choice Requires="x14">
            <control shapeId="1297" r:id="rId207" name="Check Box 273">
              <controlPr defaultSize="0" autoFill="0" autoLine="0" autoPict="0">
                <anchor moveWithCells="1">
                  <from>
                    <xdr:col>2</xdr:col>
                    <xdr:colOff>463550</xdr:colOff>
                    <xdr:row>253</xdr:row>
                    <xdr:rowOff>120650</xdr:rowOff>
                  </from>
                  <to>
                    <xdr:col>2</xdr:col>
                    <xdr:colOff>838200</xdr:colOff>
                    <xdr:row>254</xdr:row>
                    <xdr:rowOff>0</xdr:rowOff>
                  </to>
                </anchor>
              </controlPr>
            </control>
          </mc:Choice>
        </mc:AlternateContent>
        <mc:AlternateContent xmlns:mc="http://schemas.openxmlformats.org/markup-compatibility/2006">
          <mc:Choice Requires="x14">
            <control shapeId="1298" r:id="rId208" name="Check Box 274">
              <controlPr defaultSize="0" autoFill="0" autoLine="0" autoPict="0">
                <anchor moveWithCells="1">
                  <from>
                    <xdr:col>2</xdr:col>
                    <xdr:colOff>6350</xdr:colOff>
                    <xdr:row>256</xdr:row>
                    <xdr:rowOff>120650</xdr:rowOff>
                  </from>
                  <to>
                    <xdr:col>2</xdr:col>
                    <xdr:colOff>412750</xdr:colOff>
                    <xdr:row>258</xdr:row>
                    <xdr:rowOff>19050</xdr:rowOff>
                  </to>
                </anchor>
              </controlPr>
            </control>
          </mc:Choice>
        </mc:AlternateContent>
        <mc:AlternateContent xmlns:mc="http://schemas.openxmlformats.org/markup-compatibility/2006">
          <mc:Choice Requires="x14">
            <control shapeId="1299" r:id="rId209" name="Check Box 275">
              <controlPr defaultSize="0" autoFill="0" autoLine="0" autoPict="0">
                <anchor moveWithCells="1">
                  <from>
                    <xdr:col>2</xdr:col>
                    <xdr:colOff>463550</xdr:colOff>
                    <xdr:row>256</xdr:row>
                    <xdr:rowOff>120650</xdr:rowOff>
                  </from>
                  <to>
                    <xdr:col>2</xdr:col>
                    <xdr:colOff>838200</xdr:colOff>
                    <xdr:row>258</xdr:row>
                    <xdr:rowOff>19050</xdr:rowOff>
                  </to>
                </anchor>
              </controlPr>
            </control>
          </mc:Choice>
        </mc:AlternateContent>
        <mc:AlternateContent xmlns:mc="http://schemas.openxmlformats.org/markup-compatibility/2006">
          <mc:Choice Requires="x14">
            <control shapeId="1300" r:id="rId210" name="Check Box 276">
              <controlPr defaultSize="0" autoFill="0" autoLine="0" autoPict="0">
                <anchor moveWithCells="1">
                  <from>
                    <xdr:col>2</xdr:col>
                    <xdr:colOff>6350</xdr:colOff>
                    <xdr:row>263</xdr:row>
                    <xdr:rowOff>152400</xdr:rowOff>
                  </from>
                  <to>
                    <xdr:col>2</xdr:col>
                    <xdr:colOff>412750</xdr:colOff>
                    <xdr:row>265</xdr:row>
                    <xdr:rowOff>6350</xdr:rowOff>
                  </to>
                </anchor>
              </controlPr>
            </control>
          </mc:Choice>
        </mc:AlternateContent>
        <mc:AlternateContent xmlns:mc="http://schemas.openxmlformats.org/markup-compatibility/2006">
          <mc:Choice Requires="x14">
            <control shapeId="1301" r:id="rId211" name="Check Box 277">
              <controlPr defaultSize="0" autoFill="0" autoLine="0" autoPict="0">
                <anchor moveWithCells="1">
                  <from>
                    <xdr:col>2</xdr:col>
                    <xdr:colOff>463550</xdr:colOff>
                    <xdr:row>263</xdr:row>
                    <xdr:rowOff>152400</xdr:rowOff>
                  </from>
                  <to>
                    <xdr:col>2</xdr:col>
                    <xdr:colOff>838200</xdr:colOff>
                    <xdr:row>265</xdr:row>
                    <xdr:rowOff>6350</xdr:rowOff>
                  </to>
                </anchor>
              </controlPr>
            </control>
          </mc:Choice>
        </mc:AlternateContent>
        <mc:AlternateContent xmlns:mc="http://schemas.openxmlformats.org/markup-compatibility/2006">
          <mc:Choice Requires="x14">
            <control shapeId="1302" r:id="rId212" name="Check Box 278">
              <controlPr defaultSize="0" autoFill="0" autoLine="0" autoPict="0">
                <anchor moveWithCells="1">
                  <from>
                    <xdr:col>2</xdr:col>
                    <xdr:colOff>6350</xdr:colOff>
                    <xdr:row>265</xdr:row>
                    <xdr:rowOff>120650</xdr:rowOff>
                  </from>
                  <to>
                    <xdr:col>2</xdr:col>
                    <xdr:colOff>412750</xdr:colOff>
                    <xdr:row>267</xdr:row>
                    <xdr:rowOff>19050</xdr:rowOff>
                  </to>
                </anchor>
              </controlPr>
            </control>
          </mc:Choice>
        </mc:AlternateContent>
        <mc:AlternateContent xmlns:mc="http://schemas.openxmlformats.org/markup-compatibility/2006">
          <mc:Choice Requires="x14">
            <control shapeId="1303" r:id="rId213" name="Check Box 279">
              <controlPr defaultSize="0" autoFill="0" autoLine="0" autoPict="0">
                <anchor moveWithCells="1">
                  <from>
                    <xdr:col>2</xdr:col>
                    <xdr:colOff>463550</xdr:colOff>
                    <xdr:row>265</xdr:row>
                    <xdr:rowOff>120650</xdr:rowOff>
                  </from>
                  <to>
                    <xdr:col>2</xdr:col>
                    <xdr:colOff>838200</xdr:colOff>
                    <xdr:row>267</xdr:row>
                    <xdr:rowOff>19050</xdr:rowOff>
                  </to>
                </anchor>
              </controlPr>
            </control>
          </mc:Choice>
        </mc:AlternateContent>
        <mc:AlternateContent xmlns:mc="http://schemas.openxmlformats.org/markup-compatibility/2006">
          <mc:Choice Requires="x14">
            <control shapeId="1304" r:id="rId214" name="Check Box 280">
              <controlPr defaultSize="0" autoFill="0" autoLine="0" autoPict="0">
                <anchor moveWithCells="1">
                  <from>
                    <xdr:col>2</xdr:col>
                    <xdr:colOff>6350</xdr:colOff>
                    <xdr:row>267</xdr:row>
                    <xdr:rowOff>120650</xdr:rowOff>
                  </from>
                  <to>
                    <xdr:col>2</xdr:col>
                    <xdr:colOff>412750</xdr:colOff>
                    <xdr:row>269</xdr:row>
                    <xdr:rowOff>19050</xdr:rowOff>
                  </to>
                </anchor>
              </controlPr>
            </control>
          </mc:Choice>
        </mc:AlternateContent>
        <mc:AlternateContent xmlns:mc="http://schemas.openxmlformats.org/markup-compatibility/2006">
          <mc:Choice Requires="x14">
            <control shapeId="1305" r:id="rId215" name="Check Box 281">
              <controlPr defaultSize="0" autoFill="0" autoLine="0" autoPict="0">
                <anchor moveWithCells="1">
                  <from>
                    <xdr:col>2</xdr:col>
                    <xdr:colOff>463550</xdr:colOff>
                    <xdr:row>267</xdr:row>
                    <xdr:rowOff>120650</xdr:rowOff>
                  </from>
                  <to>
                    <xdr:col>2</xdr:col>
                    <xdr:colOff>838200</xdr:colOff>
                    <xdr:row>269</xdr:row>
                    <xdr:rowOff>19050</xdr:rowOff>
                  </to>
                </anchor>
              </controlPr>
            </control>
          </mc:Choice>
        </mc:AlternateContent>
        <mc:AlternateContent xmlns:mc="http://schemas.openxmlformats.org/markup-compatibility/2006">
          <mc:Choice Requires="x14">
            <control shapeId="1306" r:id="rId216" name="Check Box 282">
              <controlPr defaultSize="0" autoFill="0" autoLine="0" autoPict="0">
                <anchor moveWithCells="1">
                  <from>
                    <xdr:col>2</xdr:col>
                    <xdr:colOff>6350</xdr:colOff>
                    <xdr:row>269</xdr:row>
                    <xdr:rowOff>120650</xdr:rowOff>
                  </from>
                  <to>
                    <xdr:col>2</xdr:col>
                    <xdr:colOff>412750</xdr:colOff>
                    <xdr:row>271</xdr:row>
                    <xdr:rowOff>19050</xdr:rowOff>
                  </to>
                </anchor>
              </controlPr>
            </control>
          </mc:Choice>
        </mc:AlternateContent>
        <mc:AlternateContent xmlns:mc="http://schemas.openxmlformats.org/markup-compatibility/2006">
          <mc:Choice Requires="x14">
            <control shapeId="1307" r:id="rId217" name="Check Box 283">
              <controlPr defaultSize="0" autoFill="0" autoLine="0" autoPict="0">
                <anchor moveWithCells="1">
                  <from>
                    <xdr:col>2</xdr:col>
                    <xdr:colOff>463550</xdr:colOff>
                    <xdr:row>269</xdr:row>
                    <xdr:rowOff>120650</xdr:rowOff>
                  </from>
                  <to>
                    <xdr:col>2</xdr:col>
                    <xdr:colOff>838200</xdr:colOff>
                    <xdr:row>271</xdr:row>
                    <xdr:rowOff>19050</xdr:rowOff>
                  </to>
                </anchor>
              </controlPr>
            </control>
          </mc:Choice>
        </mc:AlternateContent>
        <mc:AlternateContent xmlns:mc="http://schemas.openxmlformats.org/markup-compatibility/2006">
          <mc:Choice Requires="x14">
            <control shapeId="1308" r:id="rId218" name="Check Box 284">
              <controlPr defaultSize="0" autoFill="0" autoLine="0" autoPict="0">
                <anchor moveWithCells="1">
                  <from>
                    <xdr:col>2</xdr:col>
                    <xdr:colOff>6350</xdr:colOff>
                    <xdr:row>271</xdr:row>
                    <xdr:rowOff>120650</xdr:rowOff>
                  </from>
                  <to>
                    <xdr:col>2</xdr:col>
                    <xdr:colOff>412750</xdr:colOff>
                    <xdr:row>273</xdr:row>
                    <xdr:rowOff>19050</xdr:rowOff>
                  </to>
                </anchor>
              </controlPr>
            </control>
          </mc:Choice>
        </mc:AlternateContent>
        <mc:AlternateContent xmlns:mc="http://schemas.openxmlformats.org/markup-compatibility/2006">
          <mc:Choice Requires="x14">
            <control shapeId="1309" r:id="rId219" name="Check Box 285">
              <controlPr defaultSize="0" autoFill="0" autoLine="0" autoPict="0">
                <anchor moveWithCells="1">
                  <from>
                    <xdr:col>2</xdr:col>
                    <xdr:colOff>463550</xdr:colOff>
                    <xdr:row>271</xdr:row>
                    <xdr:rowOff>120650</xdr:rowOff>
                  </from>
                  <to>
                    <xdr:col>2</xdr:col>
                    <xdr:colOff>838200</xdr:colOff>
                    <xdr:row>273</xdr:row>
                    <xdr:rowOff>19050</xdr:rowOff>
                  </to>
                </anchor>
              </controlPr>
            </control>
          </mc:Choice>
        </mc:AlternateContent>
        <mc:AlternateContent xmlns:mc="http://schemas.openxmlformats.org/markup-compatibility/2006">
          <mc:Choice Requires="x14">
            <control shapeId="1310" r:id="rId220" name="Check Box 286">
              <controlPr defaultSize="0" autoFill="0" autoLine="0" autoPict="0">
                <anchor moveWithCells="1">
                  <from>
                    <xdr:col>2</xdr:col>
                    <xdr:colOff>6350</xdr:colOff>
                    <xdr:row>274</xdr:row>
                    <xdr:rowOff>152400</xdr:rowOff>
                  </from>
                  <to>
                    <xdr:col>2</xdr:col>
                    <xdr:colOff>412750</xdr:colOff>
                    <xdr:row>276</xdr:row>
                    <xdr:rowOff>6350</xdr:rowOff>
                  </to>
                </anchor>
              </controlPr>
            </control>
          </mc:Choice>
        </mc:AlternateContent>
        <mc:AlternateContent xmlns:mc="http://schemas.openxmlformats.org/markup-compatibility/2006">
          <mc:Choice Requires="x14">
            <control shapeId="1311" r:id="rId221" name="Check Box 287">
              <controlPr defaultSize="0" autoFill="0" autoLine="0" autoPict="0">
                <anchor moveWithCells="1">
                  <from>
                    <xdr:col>2</xdr:col>
                    <xdr:colOff>463550</xdr:colOff>
                    <xdr:row>274</xdr:row>
                    <xdr:rowOff>152400</xdr:rowOff>
                  </from>
                  <to>
                    <xdr:col>2</xdr:col>
                    <xdr:colOff>838200</xdr:colOff>
                    <xdr:row>276</xdr:row>
                    <xdr:rowOff>6350</xdr:rowOff>
                  </to>
                </anchor>
              </controlPr>
            </control>
          </mc:Choice>
        </mc:AlternateContent>
        <mc:AlternateContent xmlns:mc="http://schemas.openxmlformats.org/markup-compatibility/2006">
          <mc:Choice Requires="x14">
            <control shapeId="1312" r:id="rId222" name="Check Box 288">
              <controlPr defaultSize="0" autoFill="0" autoLine="0" autoPict="0">
                <anchor moveWithCells="1">
                  <from>
                    <xdr:col>2</xdr:col>
                    <xdr:colOff>6350</xdr:colOff>
                    <xdr:row>276</xdr:row>
                    <xdr:rowOff>120650</xdr:rowOff>
                  </from>
                  <to>
                    <xdr:col>2</xdr:col>
                    <xdr:colOff>412750</xdr:colOff>
                    <xdr:row>278</xdr:row>
                    <xdr:rowOff>19050</xdr:rowOff>
                  </to>
                </anchor>
              </controlPr>
            </control>
          </mc:Choice>
        </mc:AlternateContent>
        <mc:AlternateContent xmlns:mc="http://schemas.openxmlformats.org/markup-compatibility/2006">
          <mc:Choice Requires="x14">
            <control shapeId="1313" r:id="rId223" name="Check Box 289">
              <controlPr defaultSize="0" autoFill="0" autoLine="0" autoPict="0">
                <anchor moveWithCells="1">
                  <from>
                    <xdr:col>2</xdr:col>
                    <xdr:colOff>463550</xdr:colOff>
                    <xdr:row>276</xdr:row>
                    <xdr:rowOff>120650</xdr:rowOff>
                  </from>
                  <to>
                    <xdr:col>2</xdr:col>
                    <xdr:colOff>838200</xdr:colOff>
                    <xdr:row>278</xdr:row>
                    <xdr:rowOff>19050</xdr:rowOff>
                  </to>
                </anchor>
              </controlPr>
            </control>
          </mc:Choice>
        </mc:AlternateContent>
        <mc:AlternateContent xmlns:mc="http://schemas.openxmlformats.org/markup-compatibility/2006">
          <mc:Choice Requires="x14">
            <control shapeId="1314" r:id="rId224" name="Check Box 290">
              <controlPr defaultSize="0" autoFill="0" autoLine="0" autoPict="0">
                <anchor moveWithCells="1">
                  <from>
                    <xdr:col>2</xdr:col>
                    <xdr:colOff>6350</xdr:colOff>
                    <xdr:row>278</xdr:row>
                    <xdr:rowOff>120650</xdr:rowOff>
                  </from>
                  <to>
                    <xdr:col>2</xdr:col>
                    <xdr:colOff>412750</xdr:colOff>
                    <xdr:row>280</xdr:row>
                    <xdr:rowOff>19050</xdr:rowOff>
                  </to>
                </anchor>
              </controlPr>
            </control>
          </mc:Choice>
        </mc:AlternateContent>
        <mc:AlternateContent xmlns:mc="http://schemas.openxmlformats.org/markup-compatibility/2006">
          <mc:Choice Requires="x14">
            <control shapeId="1315" r:id="rId225" name="Check Box 291">
              <controlPr defaultSize="0" autoFill="0" autoLine="0" autoPict="0">
                <anchor moveWithCells="1">
                  <from>
                    <xdr:col>2</xdr:col>
                    <xdr:colOff>463550</xdr:colOff>
                    <xdr:row>278</xdr:row>
                    <xdr:rowOff>120650</xdr:rowOff>
                  </from>
                  <to>
                    <xdr:col>2</xdr:col>
                    <xdr:colOff>838200</xdr:colOff>
                    <xdr:row>280</xdr:row>
                    <xdr:rowOff>19050</xdr:rowOff>
                  </to>
                </anchor>
              </controlPr>
            </control>
          </mc:Choice>
        </mc:AlternateContent>
        <mc:AlternateContent xmlns:mc="http://schemas.openxmlformats.org/markup-compatibility/2006">
          <mc:Choice Requires="x14">
            <control shapeId="1316" r:id="rId226" name="Check Box 292">
              <controlPr defaultSize="0" autoFill="0" autoLine="0" autoPict="0">
                <anchor moveWithCells="1">
                  <from>
                    <xdr:col>2</xdr:col>
                    <xdr:colOff>6350</xdr:colOff>
                    <xdr:row>280</xdr:row>
                    <xdr:rowOff>120650</xdr:rowOff>
                  </from>
                  <to>
                    <xdr:col>2</xdr:col>
                    <xdr:colOff>412750</xdr:colOff>
                    <xdr:row>282</xdr:row>
                    <xdr:rowOff>19050</xdr:rowOff>
                  </to>
                </anchor>
              </controlPr>
            </control>
          </mc:Choice>
        </mc:AlternateContent>
        <mc:AlternateContent xmlns:mc="http://schemas.openxmlformats.org/markup-compatibility/2006">
          <mc:Choice Requires="x14">
            <control shapeId="1317" r:id="rId227" name="Check Box 293">
              <controlPr defaultSize="0" autoFill="0" autoLine="0" autoPict="0">
                <anchor moveWithCells="1">
                  <from>
                    <xdr:col>2</xdr:col>
                    <xdr:colOff>463550</xdr:colOff>
                    <xdr:row>280</xdr:row>
                    <xdr:rowOff>120650</xdr:rowOff>
                  </from>
                  <to>
                    <xdr:col>2</xdr:col>
                    <xdr:colOff>838200</xdr:colOff>
                    <xdr:row>282</xdr:row>
                    <xdr:rowOff>19050</xdr:rowOff>
                  </to>
                </anchor>
              </controlPr>
            </control>
          </mc:Choice>
        </mc:AlternateContent>
        <mc:AlternateContent xmlns:mc="http://schemas.openxmlformats.org/markup-compatibility/2006">
          <mc:Choice Requires="x14">
            <control shapeId="1318" r:id="rId228" name="Check Box 294">
              <controlPr defaultSize="0" autoFill="0" autoLine="0" autoPict="0">
                <anchor moveWithCells="1">
                  <from>
                    <xdr:col>2</xdr:col>
                    <xdr:colOff>6350</xdr:colOff>
                    <xdr:row>282</xdr:row>
                    <xdr:rowOff>120650</xdr:rowOff>
                  </from>
                  <to>
                    <xdr:col>2</xdr:col>
                    <xdr:colOff>412750</xdr:colOff>
                    <xdr:row>284</xdr:row>
                    <xdr:rowOff>19050</xdr:rowOff>
                  </to>
                </anchor>
              </controlPr>
            </control>
          </mc:Choice>
        </mc:AlternateContent>
        <mc:AlternateContent xmlns:mc="http://schemas.openxmlformats.org/markup-compatibility/2006">
          <mc:Choice Requires="x14">
            <control shapeId="1319" r:id="rId229" name="Check Box 295">
              <controlPr defaultSize="0" autoFill="0" autoLine="0" autoPict="0">
                <anchor moveWithCells="1">
                  <from>
                    <xdr:col>2</xdr:col>
                    <xdr:colOff>463550</xdr:colOff>
                    <xdr:row>282</xdr:row>
                    <xdr:rowOff>120650</xdr:rowOff>
                  </from>
                  <to>
                    <xdr:col>2</xdr:col>
                    <xdr:colOff>838200</xdr:colOff>
                    <xdr:row>284</xdr:row>
                    <xdr:rowOff>19050</xdr:rowOff>
                  </to>
                </anchor>
              </controlPr>
            </control>
          </mc:Choice>
        </mc:AlternateContent>
        <mc:AlternateContent xmlns:mc="http://schemas.openxmlformats.org/markup-compatibility/2006">
          <mc:Choice Requires="x14">
            <control shapeId="1320" r:id="rId230" name="Check Box 296">
              <controlPr defaultSize="0" autoFill="0" autoLine="0" autoPict="0">
                <anchor moveWithCells="1">
                  <from>
                    <xdr:col>2</xdr:col>
                    <xdr:colOff>6350</xdr:colOff>
                    <xdr:row>284</xdr:row>
                    <xdr:rowOff>120650</xdr:rowOff>
                  </from>
                  <to>
                    <xdr:col>2</xdr:col>
                    <xdr:colOff>412750</xdr:colOff>
                    <xdr:row>286</xdr:row>
                    <xdr:rowOff>19050</xdr:rowOff>
                  </to>
                </anchor>
              </controlPr>
            </control>
          </mc:Choice>
        </mc:AlternateContent>
        <mc:AlternateContent xmlns:mc="http://schemas.openxmlformats.org/markup-compatibility/2006">
          <mc:Choice Requires="x14">
            <control shapeId="1321" r:id="rId231" name="Check Box 297">
              <controlPr defaultSize="0" autoFill="0" autoLine="0" autoPict="0">
                <anchor moveWithCells="1">
                  <from>
                    <xdr:col>2</xdr:col>
                    <xdr:colOff>463550</xdr:colOff>
                    <xdr:row>284</xdr:row>
                    <xdr:rowOff>120650</xdr:rowOff>
                  </from>
                  <to>
                    <xdr:col>2</xdr:col>
                    <xdr:colOff>838200</xdr:colOff>
                    <xdr:row>286</xdr:row>
                    <xdr:rowOff>19050</xdr:rowOff>
                  </to>
                </anchor>
              </controlPr>
            </control>
          </mc:Choice>
        </mc:AlternateContent>
        <mc:AlternateContent xmlns:mc="http://schemas.openxmlformats.org/markup-compatibility/2006">
          <mc:Choice Requires="x14">
            <control shapeId="1328" r:id="rId232" name="Check Box 304">
              <controlPr defaultSize="0" autoFill="0" autoLine="0" autoPict="0">
                <anchor moveWithCells="1">
                  <from>
                    <xdr:col>2</xdr:col>
                    <xdr:colOff>6350</xdr:colOff>
                    <xdr:row>287</xdr:row>
                    <xdr:rowOff>38100</xdr:rowOff>
                  </from>
                  <to>
                    <xdr:col>2</xdr:col>
                    <xdr:colOff>412750</xdr:colOff>
                    <xdr:row>288</xdr:row>
                    <xdr:rowOff>0</xdr:rowOff>
                  </to>
                </anchor>
              </controlPr>
            </control>
          </mc:Choice>
        </mc:AlternateContent>
        <mc:AlternateContent xmlns:mc="http://schemas.openxmlformats.org/markup-compatibility/2006">
          <mc:Choice Requires="x14">
            <control shapeId="1329" r:id="rId233" name="Check Box 305">
              <controlPr defaultSize="0" autoFill="0" autoLine="0" autoPict="0">
                <anchor moveWithCells="1">
                  <from>
                    <xdr:col>2</xdr:col>
                    <xdr:colOff>463550</xdr:colOff>
                    <xdr:row>287</xdr:row>
                    <xdr:rowOff>38100</xdr:rowOff>
                  </from>
                  <to>
                    <xdr:col>2</xdr:col>
                    <xdr:colOff>838200</xdr:colOff>
                    <xdr:row>288</xdr:row>
                    <xdr:rowOff>0</xdr:rowOff>
                  </to>
                </anchor>
              </controlPr>
            </control>
          </mc:Choice>
        </mc:AlternateContent>
        <mc:AlternateContent xmlns:mc="http://schemas.openxmlformats.org/markup-compatibility/2006">
          <mc:Choice Requires="x14">
            <control shapeId="1334" r:id="rId234" name="Check Box 310">
              <controlPr defaultSize="0" autoFill="0" autoLine="0" autoPict="0">
                <anchor moveWithCells="1">
                  <from>
                    <xdr:col>2</xdr:col>
                    <xdr:colOff>6350</xdr:colOff>
                    <xdr:row>293</xdr:row>
                    <xdr:rowOff>184150</xdr:rowOff>
                  </from>
                  <to>
                    <xdr:col>2</xdr:col>
                    <xdr:colOff>412750</xdr:colOff>
                    <xdr:row>295</xdr:row>
                    <xdr:rowOff>0</xdr:rowOff>
                  </to>
                </anchor>
              </controlPr>
            </control>
          </mc:Choice>
        </mc:AlternateContent>
        <mc:AlternateContent xmlns:mc="http://schemas.openxmlformats.org/markup-compatibility/2006">
          <mc:Choice Requires="x14">
            <control shapeId="1335" r:id="rId235" name="Check Box 311">
              <controlPr defaultSize="0" autoFill="0" autoLine="0" autoPict="0">
                <anchor moveWithCells="1">
                  <from>
                    <xdr:col>2</xdr:col>
                    <xdr:colOff>463550</xdr:colOff>
                    <xdr:row>293</xdr:row>
                    <xdr:rowOff>184150</xdr:rowOff>
                  </from>
                  <to>
                    <xdr:col>2</xdr:col>
                    <xdr:colOff>838200</xdr:colOff>
                    <xdr:row>295</xdr:row>
                    <xdr:rowOff>0</xdr:rowOff>
                  </to>
                </anchor>
              </controlPr>
            </control>
          </mc:Choice>
        </mc:AlternateContent>
        <mc:AlternateContent xmlns:mc="http://schemas.openxmlformats.org/markup-compatibility/2006">
          <mc:Choice Requires="x14">
            <control shapeId="1336" r:id="rId236" name="Check Box 312">
              <controlPr defaultSize="0" autoFill="0" autoLine="0" autoPict="0">
                <anchor moveWithCells="1">
                  <from>
                    <xdr:col>2</xdr:col>
                    <xdr:colOff>6350</xdr:colOff>
                    <xdr:row>301</xdr:row>
                    <xdr:rowOff>139700</xdr:rowOff>
                  </from>
                  <to>
                    <xdr:col>2</xdr:col>
                    <xdr:colOff>412750</xdr:colOff>
                    <xdr:row>303</xdr:row>
                    <xdr:rowOff>0</xdr:rowOff>
                  </to>
                </anchor>
              </controlPr>
            </control>
          </mc:Choice>
        </mc:AlternateContent>
        <mc:AlternateContent xmlns:mc="http://schemas.openxmlformats.org/markup-compatibility/2006">
          <mc:Choice Requires="x14">
            <control shapeId="1337" r:id="rId237" name="Check Box 313">
              <controlPr defaultSize="0" autoFill="0" autoLine="0" autoPict="0">
                <anchor moveWithCells="1">
                  <from>
                    <xdr:col>2</xdr:col>
                    <xdr:colOff>463550</xdr:colOff>
                    <xdr:row>301</xdr:row>
                    <xdr:rowOff>139700</xdr:rowOff>
                  </from>
                  <to>
                    <xdr:col>2</xdr:col>
                    <xdr:colOff>838200</xdr:colOff>
                    <xdr:row>303</xdr:row>
                    <xdr:rowOff>0</xdr:rowOff>
                  </to>
                </anchor>
              </controlPr>
            </control>
          </mc:Choice>
        </mc:AlternateContent>
        <mc:AlternateContent xmlns:mc="http://schemas.openxmlformats.org/markup-compatibility/2006">
          <mc:Choice Requires="x14">
            <control shapeId="1338" r:id="rId238" name="Check Box 314">
              <controlPr defaultSize="0" autoFill="0" autoLine="0" autoPict="0">
                <anchor moveWithCells="1">
                  <from>
                    <xdr:col>2</xdr:col>
                    <xdr:colOff>6350</xdr:colOff>
                    <xdr:row>295</xdr:row>
                    <xdr:rowOff>120650</xdr:rowOff>
                  </from>
                  <to>
                    <xdr:col>2</xdr:col>
                    <xdr:colOff>412750</xdr:colOff>
                    <xdr:row>297</xdr:row>
                    <xdr:rowOff>19050</xdr:rowOff>
                  </to>
                </anchor>
              </controlPr>
            </control>
          </mc:Choice>
        </mc:AlternateContent>
        <mc:AlternateContent xmlns:mc="http://schemas.openxmlformats.org/markup-compatibility/2006">
          <mc:Choice Requires="x14">
            <control shapeId="1339" r:id="rId239" name="Check Box 315">
              <controlPr defaultSize="0" autoFill="0" autoLine="0" autoPict="0">
                <anchor moveWithCells="1">
                  <from>
                    <xdr:col>2</xdr:col>
                    <xdr:colOff>463550</xdr:colOff>
                    <xdr:row>295</xdr:row>
                    <xdr:rowOff>120650</xdr:rowOff>
                  </from>
                  <to>
                    <xdr:col>2</xdr:col>
                    <xdr:colOff>838200</xdr:colOff>
                    <xdr:row>297</xdr:row>
                    <xdr:rowOff>19050</xdr:rowOff>
                  </to>
                </anchor>
              </controlPr>
            </control>
          </mc:Choice>
        </mc:AlternateContent>
        <mc:AlternateContent xmlns:mc="http://schemas.openxmlformats.org/markup-compatibility/2006">
          <mc:Choice Requires="x14">
            <control shapeId="1340" r:id="rId240" name="Check Box 316">
              <controlPr defaultSize="0" autoFill="0" autoLine="0" autoPict="0">
                <anchor moveWithCells="1">
                  <from>
                    <xdr:col>2</xdr:col>
                    <xdr:colOff>6350</xdr:colOff>
                    <xdr:row>297</xdr:row>
                    <xdr:rowOff>120650</xdr:rowOff>
                  </from>
                  <to>
                    <xdr:col>2</xdr:col>
                    <xdr:colOff>412750</xdr:colOff>
                    <xdr:row>299</xdr:row>
                    <xdr:rowOff>19050</xdr:rowOff>
                  </to>
                </anchor>
              </controlPr>
            </control>
          </mc:Choice>
        </mc:AlternateContent>
        <mc:AlternateContent xmlns:mc="http://schemas.openxmlformats.org/markup-compatibility/2006">
          <mc:Choice Requires="x14">
            <control shapeId="1341" r:id="rId241" name="Check Box 317">
              <controlPr defaultSize="0" autoFill="0" autoLine="0" autoPict="0">
                <anchor moveWithCells="1">
                  <from>
                    <xdr:col>2</xdr:col>
                    <xdr:colOff>463550</xdr:colOff>
                    <xdr:row>297</xdr:row>
                    <xdr:rowOff>120650</xdr:rowOff>
                  </from>
                  <to>
                    <xdr:col>2</xdr:col>
                    <xdr:colOff>838200</xdr:colOff>
                    <xdr:row>299</xdr:row>
                    <xdr:rowOff>19050</xdr:rowOff>
                  </to>
                </anchor>
              </controlPr>
            </control>
          </mc:Choice>
        </mc:AlternateContent>
        <mc:AlternateContent xmlns:mc="http://schemas.openxmlformats.org/markup-compatibility/2006">
          <mc:Choice Requires="x14">
            <control shapeId="1342" r:id="rId242" name="Check Box 318">
              <controlPr defaultSize="0" autoFill="0" autoLine="0" autoPict="0">
                <anchor moveWithCells="1">
                  <from>
                    <xdr:col>2</xdr:col>
                    <xdr:colOff>6350</xdr:colOff>
                    <xdr:row>299</xdr:row>
                    <xdr:rowOff>120650</xdr:rowOff>
                  </from>
                  <to>
                    <xdr:col>2</xdr:col>
                    <xdr:colOff>412750</xdr:colOff>
                    <xdr:row>301</xdr:row>
                    <xdr:rowOff>19050</xdr:rowOff>
                  </to>
                </anchor>
              </controlPr>
            </control>
          </mc:Choice>
        </mc:AlternateContent>
        <mc:AlternateContent xmlns:mc="http://schemas.openxmlformats.org/markup-compatibility/2006">
          <mc:Choice Requires="x14">
            <control shapeId="1343" r:id="rId243" name="Check Box 319">
              <controlPr defaultSize="0" autoFill="0" autoLine="0" autoPict="0">
                <anchor moveWithCells="1">
                  <from>
                    <xdr:col>2</xdr:col>
                    <xdr:colOff>463550</xdr:colOff>
                    <xdr:row>299</xdr:row>
                    <xdr:rowOff>120650</xdr:rowOff>
                  </from>
                  <to>
                    <xdr:col>2</xdr:col>
                    <xdr:colOff>838200</xdr:colOff>
                    <xdr:row>301</xdr:row>
                    <xdr:rowOff>19050</xdr:rowOff>
                  </to>
                </anchor>
              </controlPr>
            </control>
          </mc:Choice>
        </mc:AlternateContent>
        <mc:AlternateContent xmlns:mc="http://schemas.openxmlformats.org/markup-compatibility/2006">
          <mc:Choice Requires="x14">
            <control shapeId="1344" r:id="rId244" name="Check Box 320">
              <controlPr defaultSize="0" autoFill="0" autoLine="0" autoPict="0">
                <anchor moveWithCells="1">
                  <from>
                    <xdr:col>2</xdr:col>
                    <xdr:colOff>6350</xdr:colOff>
                    <xdr:row>303</xdr:row>
                    <xdr:rowOff>120650</xdr:rowOff>
                  </from>
                  <to>
                    <xdr:col>2</xdr:col>
                    <xdr:colOff>412750</xdr:colOff>
                    <xdr:row>305</xdr:row>
                    <xdr:rowOff>19050</xdr:rowOff>
                  </to>
                </anchor>
              </controlPr>
            </control>
          </mc:Choice>
        </mc:AlternateContent>
        <mc:AlternateContent xmlns:mc="http://schemas.openxmlformats.org/markup-compatibility/2006">
          <mc:Choice Requires="x14">
            <control shapeId="1345" r:id="rId245" name="Check Box 321">
              <controlPr defaultSize="0" autoFill="0" autoLine="0" autoPict="0">
                <anchor moveWithCells="1">
                  <from>
                    <xdr:col>2</xdr:col>
                    <xdr:colOff>463550</xdr:colOff>
                    <xdr:row>303</xdr:row>
                    <xdr:rowOff>120650</xdr:rowOff>
                  </from>
                  <to>
                    <xdr:col>2</xdr:col>
                    <xdr:colOff>838200</xdr:colOff>
                    <xdr:row>305</xdr:row>
                    <xdr:rowOff>19050</xdr:rowOff>
                  </to>
                </anchor>
              </controlPr>
            </control>
          </mc:Choice>
        </mc:AlternateContent>
        <mc:AlternateContent xmlns:mc="http://schemas.openxmlformats.org/markup-compatibility/2006">
          <mc:Choice Requires="x14">
            <control shapeId="1346" r:id="rId246" name="Check Box 322">
              <controlPr defaultSize="0" autoFill="0" autoLine="0" autoPict="0">
                <anchor moveWithCells="1">
                  <from>
                    <xdr:col>2</xdr:col>
                    <xdr:colOff>6350</xdr:colOff>
                    <xdr:row>305</xdr:row>
                    <xdr:rowOff>120650</xdr:rowOff>
                  </from>
                  <to>
                    <xdr:col>2</xdr:col>
                    <xdr:colOff>412750</xdr:colOff>
                    <xdr:row>307</xdr:row>
                    <xdr:rowOff>19050</xdr:rowOff>
                  </to>
                </anchor>
              </controlPr>
            </control>
          </mc:Choice>
        </mc:AlternateContent>
        <mc:AlternateContent xmlns:mc="http://schemas.openxmlformats.org/markup-compatibility/2006">
          <mc:Choice Requires="x14">
            <control shapeId="1347" r:id="rId247" name="Check Box 323">
              <controlPr defaultSize="0" autoFill="0" autoLine="0" autoPict="0">
                <anchor moveWithCells="1">
                  <from>
                    <xdr:col>2</xdr:col>
                    <xdr:colOff>463550</xdr:colOff>
                    <xdr:row>305</xdr:row>
                    <xdr:rowOff>120650</xdr:rowOff>
                  </from>
                  <to>
                    <xdr:col>2</xdr:col>
                    <xdr:colOff>838200</xdr:colOff>
                    <xdr:row>307</xdr:row>
                    <xdr:rowOff>19050</xdr:rowOff>
                  </to>
                </anchor>
              </controlPr>
            </control>
          </mc:Choice>
        </mc:AlternateContent>
        <mc:AlternateContent xmlns:mc="http://schemas.openxmlformats.org/markup-compatibility/2006">
          <mc:Choice Requires="x14">
            <control shapeId="1348" r:id="rId248" name="Check Box 324">
              <controlPr defaultSize="0" autoFill="0" autoLine="0" autoPict="0">
                <anchor moveWithCells="1">
                  <from>
                    <xdr:col>2</xdr:col>
                    <xdr:colOff>6350</xdr:colOff>
                    <xdr:row>307</xdr:row>
                    <xdr:rowOff>120650</xdr:rowOff>
                  </from>
                  <to>
                    <xdr:col>2</xdr:col>
                    <xdr:colOff>412750</xdr:colOff>
                    <xdr:row>309</xdr:row>
                    <xdr:rowOff>19050</xdr:rowOff>
                  </to>
                </anchor>
              </controlPr>
            </control>
          </mc:Choice>
        </mc:AlternateContent>
        <mc:AlternateContent xmlns:mc="http://schemas.openxmlformats.org/markup-compatibility/2006">
          <mc:Choice Requires="x14">
            <control shapeId="1349" r:id="rId249" name="Check Box 325">
              <controlPr defaultSize="0" autoFill="0" autoLine="0" autoPict="0">
                <anchor moveWithCells="1">
                  <from>
                    <xdr:col>2</xdr:col>
                    <xdr:colOff>463550</xdr:colOff>
                    <xdr:row>307</xdr:row>
                    <xdr:rowOff>120650</xdr:rowOff>
                  </from>
                  <to>
                    <xdr:col>2</xdr:col>
                    <xdr:colOff>838200</xdr:colOff>
                    <xdr:row>309</xdr:row>
                    <xdr:rowOff>19050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P141"/>
  <sheetViews>
    <sheetView showGridLines="0" showRowColHeaders="0" zoomScale="50" workbookViewId="0">
      <selection activeCell="G30" sqref="G30"/>
    </sheetView>
  </sheetViews>
  <sheetFormatPr defaultRowHeight="12.5" x14ac:dyDescent="0.25"/>
  <cols>
    <col min="2" max="2" width="3.6328125" customWidth="1"/>
    <col min="3" max="3" width="7.54296875" customWidth="1"/>
    <col min="4" max="4" width="54.6328125" customWidth="1"/>
  </cols>
  <sheetData>
    <row r="1" spans="1:16" x14ac:dyDescent="0.25">
      <c r="A1" s="45"/>
      <c r="B1" s="45"/>
      <c r="C1" s="45"/>
      <c r="D1" s="45"/>
      <c r="E1" s="45"/>
      <c r="F1" s="45"/>
      <c r="G1" s="45"/>
      <c r="H1" s="45"/>
      <c r="I1" s="45"/>
      <c r="J1" s="45"/>
      <c r="K1" s="45"/>
      <c r="L1" s="45"/>
      <c r="M1" s="45"/>
      <c r="N1" s="45"/>
      <c r="O1" s="45"/>
      <c r="P1" s="45"/>
    </row>
    <row r="2" spans="1:16" ht="13" thickBot="1" x14ac:dyDescent="0.3">
      <c r="A2" s="45"/>
      <c r="B2" s="45"/>
      <c r="C2" s="45"/>
      <c r="D2" s="45"/>
      <c r="E2" s="45"/>
      <c r="F2" s="45"/>
      <c r="G2" s="45"/>
      <c r="H2" s="45"/>
      <c r="I2" s="45"/>
      <c r="J2" s="45"/>
      <c r="K2" s="45"/>
      <c r="L2" s="45"/>
      <c r="M2" s="45"/>
      <c r="N2" s="45"/>
      <c r="O2" s="45"/>
      <c r="P2" s="45"/>
    </row>
    <row r="3" spans="1:16" ht="18.5" thickBot="1" x14ac:dyDescent="0.45">
      <c r="A3" s="45"/>
      <c r="B3" s="45"/>
      <c r="C3" s="81" t="s">
        <v>182</v>
      </c>
      <c r="D3" s="82"/>
      <c r="E3" s="48">
        <f>'Data Input'!$C6</f>
        <v>0</v>
      </c>
      <c r="F3" s="46"/>
      <c r="G3" s="46"/>
      <c r="H3" s="46"/>
      <c r="I3" s="46"/>
      <c r="J3" s="45"/>
      <c r="K3" s="45"/>
      <c r="L3" s="45"/>
      <c r="M3" s="45"/>
      <c r="N3" s="45"/>
      <c r="O3" s="45"/>
      <c r="P3" s="45"/>
    </row>
    <row r="4" spans="1:16" x14ac:dyDescent="0.25">
      <c r="A4" s="45"/>
      <c r="B4" s="45"/>
      <c r="C4" s="45"/>
      <c r="D4" s="45"/>
      <c r="E4" s="45"/>
      <c r="F4" s="45"/>
      <c r="G4" s="45"/>
      <c r="H4" s="45"/>
      <c r="I4" s="45"/>
      <c r="J4" s="45"/>
      <c r="K4" s="45"/>
      <c r="L4" s="45"/>
      <c r="M4" s="45"/>
      <c r="N4" s="45"/>
      <c r="O4" s="45"/>
      <c r="P4" s="45"/>
    </row>
    <row r="5" spans="1:16" x14ac:dyDescent="0.25">
      <c r="A5" s="45"/>
      <c r="B5" s="45"/>
      <c r="C5" s="45"/>
      <c r="D5" s="45"/>
      <c r="E5" s="45"/>
      <c r="F5" s="45"/>
      <c r="G5" s="45"/>
      <c r="H5" s="45"/>
      <c r="I5" s="45"/>
      <c r="J5" s="45"/>
      <c r="K5" s="45"/>
      <c r="L5" s="45"/>
      <c r="M5" s="45"/>
      <c r="N5" s="45"/>
      <c r="O5" s="45"/>
      <c r="P5" s="45"/>
    </row>
    <row r="6" spans="1:16" x14ac:dyDescent="0.25">
      <c r="A6" s="45"/>
      <c r="B6" s="45"/>
      <c r="C6" s="45"/>
      <c r="D6" s="45"/>
      <c r="E6" s="45"/>
      <c r="F6" s="45"/>
      <c r="G6" s="45"/>
      <c r="H6" s="45"/>
      <c r="I6" s="45"/>
      <c r="J6" s="45"/>
      <c r="K6" s="45"/>
      <c r="L6" s="45"/>
      <c r="M6" s="45"/>
      <c r="N6" s="45"/>
      <c r="O6" s="45"/>
      <c r="P6" s="45"/>
    </row>
    <row r="7" spans="1:16" x14ac:dyDescent="0.25">
      <c r="A7" s="45"/>
      <c r="B7" s="45"/>
      <c r="C7" s="45"/>
      <c r="D7" s="45"/>
      <c r="E7" s="45"/>
      <c r="F7" s="45"/>
      <c r="G7" s="45"/>
      <c r="H7" s="45"/>
      <c r="I7" s="45"/>
      <c r="J7" s="45"/>
      <c r="K7" s="45"/>
      <c r="L7" s="45"/>
      <c r="M7" s="45"/>
      <c r="N7" s="45"/>
      <c r="O7" s="45"/>
      <c r="P7" s="45"/>
    </row>
    <row r="8" spans="1:16" x14ac:dyDescent="0.25">
      <c r="A8" s="45"/>
      <c r="B8" s="45"/>
      <c r="C8" s="45"/>
      <c r="D8" s="45"/>
      <c r="E8" s="45"/>
      <c r="F8" s="45"/>
      <c r="G8" s="45"/>
      <c r="H8" s="45"/>
      <c r="I8" s="45"/>
      <c r="J8" s="45"/>
      <c r="K8" s="45"/>
      <c r="L8" s="45"/>
      <c r="M8" s="45"/>
      <c r="N8" s="45"/>
      <c r="O8" s="45"/>
      <c r="P8" s="45"/>
    </row>
    <row r="9" spans="1:16" x14ac:dyDescent="0.25">
      <c r="A9" s="45"/>
      <c r="B9" s="45"/>
      <c r="C9" s="45"/>
      <c r="D9" s="45"/>
      <c r="E9" s="45"/>
      <c r="F9" s="45"/>
      <c r="G9" s="45"/>
      <c r="H9" s="45"/>
      <c r="I9" s="45"/>
      <c r="J9" s="45"/>
      <c r="K9" s="45"/>
      <c r="L9" s="45"/>
      <c r="M9" s="45"/>
      <c r="N9" s="45"/>
      <c r="O9" s="45"/>
      <c r="P9" s="45"/>
    </row>
    <row r="10" spans="1:16" x14ac:dyDescent="0.25">
      <c r="A10" s="45"/>
      <c r="B10" s="45"/>
      <c r="C10" s="45"/>
      <c r="D10" s="45"/>
      <c r="E10" s="45"/>
      <c r="F10" s="45"/>
      <c r="G10" s="45"/>
      <c r="H10" s="45"/>
      <c r="I10" s="45"/>
      <c r="J10" s="45"/>
      <c r="K10" s="45"/>
      <c r="L10" s="45"/>
      <c r="M10" s="45"/>
      <c r="N10" s="45"/>
      <c r="O10" s="45"/>
      <c r="P10" s="45"/>
    </row>
    <row r="11" spans="1:16" x14ac:dyDescent="0.25">
      <c r="A11" s="45"/>
      <c r="B11" s="45"/>
      <c r="C11" s="45"/>
      <c r="D11" s="45"/>
      <c r="E11" s="45"/>
      <c r="F11" s="45"/>
      <c r="G11" s="45"/>
      <c r="H11" s="45"/>
      <c r="I11" s="45"/>
      <c r="J11" s="45"/>
      <c r="K11" s="45"/>
      <c r="L11" s="45"/>
      <c r="M11" s="45"/>
      <c r="N11" s="45"/>
      <c r="O11" s="45"/>
      <c r="P11" s="45"/>
    </row>
    <row r="12" spans="1:16" x14ac:dyDescent="0.25">
      <c r="A12" s="45"/>
      <c r="B12" s="45"/>
      <c r="C12" s="45"/>
      <c r="D12" s="45"/>
      <c r="E12" s="45"/>
      <c r="F12" s="45"/>
      <c r="G12" s="45"/>
      <c r="H12" s="45"/>
      <c r="I12" s="45"/>
      <c r="J12" s="45"/>
      <c r="K12" s="45"/>
      <c r="L12" s="45"/>
      <c r="M12" s="45"/>
      <c r="N12" s="45"/>
      <c r="O12" s="45"/>
      <c r="P12" s="45"/>
    </row>
    <row r="13" spans="1:16" x14ac:dyDescent="0.25">
      <c r="A13" s="45"/>
      <c r="B13" s="45"/>
      <c r="C13" s="45"/>
      <c r="D13" s="45"/>
      <c r="E13" s="45"/>
      <c r="F13" s="45"/>
      <c r="G13" s="45"/>
      <c r="H13" s="45"/>
      <c r="I13" s="45"/>
      <c r="J13" s="45"/>
      <c r="K13" s="45"/>
      <c r="L13" s="45"/>
      <c r="M13" s="45"/>
      <c r="N13" s="45"/>
      <c r="O13" s="45"/>
      <c r="P13" s="45"/>
    </row>
    <row r="14" spans="1:16" x14ac:dyDescent="0.25">
      <c r="A14" s="45"/>
      <c r="B14" s="45"/>
      <c r="C14" s="45"/>
      <c r="D14" s="45"/>
      <c r="E14" s="45"/>
      <c r="F14" s="45"/>
      <c r="G14" s="45"/>
      <c r="H14" s="45"/>
      <c r="I14" s="45"/>
      <c r="J14" s="45"/>
      <c r="K14" s="45"/>
      <c r="L14" s="45"/>
      <c r="M14" s="45"/>
      <c r="N14" s="45"/>
      <c r="O14" s="45"/>
      <c r="P14" s="45"/>
    </row>
    <row r="15" spans="1:16" x14ac:dyDescent="0.25">
      <c r="A15" s="45"/>
      <c r="B15" s="45"/>
      <c r="C15" s="45"/>
      <c r="D15" s="45"/>
      <c r="E15" s="45"/>
      <c r="F15" s="45"/>
      <c r="G15" s="45"/>
      <c r="H15" s="45"/>
      <c r="I15" s="45"/>
      <c r="J15" s="45"/>
      <c r="K15" s="45"/>
      <c r="L15" s="45"/>
      <c r="M15" s="45"/>
      <c r="N15" s="45"/>
      <c r="O15" s="45"/>
      <c r="P15" s="45"/>
    </row>
    <row r="16" spans="1:16" x14ac:dyDescent="0.25">
      <c r="A16" s="45"/>
      <c r="B16" s="45"/>
      <c r="C16" s="45"/>
      <c r="D16" s="45"/>
      <c r="E16" s="45"/>
      <c r="F16" s="45"/>
      <c r="G16" s="45"/>
      <c r="H16" s="45"/>
      <c r="I16" s="45"/>
      <c r="J16" s="45"/>
      <c r="K16" s="45"/>
      <c r="L16" s="45"/>
      <c r="M16" s="45"/>
      <c r="N16" s="45"/>
      <c r="O16" s="45"/>
      <c r="P16" s="45"/>
    </row>
    <row r="17" spans="1:16" x14ac:dyDescent="0.25">
      <c r="A17" s="45"/>
      <c r="B17" s="45"/>
      <c r="C17" s="45"/>
      <c r="D17" s="45"/>
      <c r="E17" s="45"/>
      <c r="F17" s="45"/>
      <c r="G17" s="45"/>
      <c r="H17" s="45"/>
      <c r="I17" s="45"/>
      <c r="J17" s="45"/>
      <c r="K17" s="45"/>
      <c r="L17" s="45"/>
      <c r="M17" s="45"/>
      <c r="N17" s="45"/>
      <c r="O17" s="45"/>
      <c r="P17" s="45"/>
    </row>
    <row r="18" spans="1:16" x14ac:dyDescent="0.25">
      <c r="A18" s="45"/>
      <c r="B18" s="45"/>
      <c r="C18" s="45"/>
      <c r="D18" s="45"/>
      <c r="E18" s="45"/>
      <c r="F18" s="45"/>
      <c r="G18" s="45"/>
      <c r="H18" s="45"/>
      <c r="I18" s="45"/>
      <c r="J18" s="45"/>
      <c r="K18" s="45"/>
      <c r="L18" s="45"/>
      <c r="M18" s="45"/>
      <c r="N18" s="45"/>
      <c r="O18" s="45"/>
      <c r="P18" s="45"/>
    </row>
    <row r="19" spans="1:16" x14ac:dyDescent="0.25">
      <c r="A19" s="45"/>
      <c r="B19" s="45"/>
      <c r="C19" s="45"/>
      <c r="D19" s="45"/>
      <c r="E19" s="45"/>
      <c r="F19" s="45"/>
      <c r="G19" s="45"/>
      <c r="H19" s="45"/>
      <c r="I19" s="45"/>
      <c r="J19" s="45"/>
      <c r="K19" s="45"/>
      <c r="L19" s="45"/>
      <c r="M19" s="45"/>
      <c r="N19" s="45"/>
      <c r="O19" s="45"/>
      <c r="P19" s="45"/>
    </row>
    <row r="20" spans="1:16" x14ac:dyDescent="0.25">
      <c r="A20" s="45"/>
      <c r="B20" s="45"/>
      <c r="C20" s="45"/>
      <c r="D20" s="45"/>
      <c r="E20" s="45"/>
      <c r="F20" s="45"/>
      <c r="G20" s="45"/>
      <c r="H20" s="45"/>
      <c r="I20" s="45"/>
      <c r="J20" s="45"/>
      <c r="K20" s="45"/>
      <c r="L20" s="45"/>
      <c r="M20" s="45"/>
      <c r="N20" s="45"/>
      <c r="O20" s="45"/>
      <c r="P20" s="45"/>
    </row>
    <row r="21" spans="1:16" x14ac:dyDescent="0.25">
      <c r="A21" s="45"/>
      <c r="B21" s="45"/>
      <c r="C21" s="45"/>
      <c r="D21" s="45"/>
      <c r="E21" s="45"/>
      <c r="F21" s="45"/>
      <c r="G21" s="45"/>
      <c r="H21" s="45"/>
      <c r="I21" s="45"/>
      <c r="J21" s="45"/>
      <c r="K21" s="45"/>
      <c r="L21" s="45"/>
      <c r="M21" s="45"/>
      <c r="N21" s="45"/>
      <c r="O21" s="45"/>
      <c r="P21" s="45"/>
    </row>
    <row r="22" spans="1:16" x14ac:dyDescent="0.25">
      <c r="A22" s="45"/>
      <c r="B22" s="45"/>
      <c r="C22" s="45"/>
      <c r="D22" s="45"/>
      <c r="E22" s="45"/>
      <c r="F22" s="45"/>
      <c r="G22" s="45"/>
      <c r="H22" s="45"/>
      <c r="I22" s="45"/>
      <c r="J22" s="45"/>
      <c r="K22" s="45"/>
      <c r="L22" s="45"/>
      <c r="M22" s="45"/>
      <c r="N22" s="45"/>
      <c r="O22" s="45"/>
      <c r="P22" s="45"/>
    </row>
    <row r="23" spans="1:16" x14ac:dyDescent="0.25">
      <c r="A23" s="45"/>
      <c r="B23" s="45"/>
      <c r="C23" s="45"/>
      <c r="D23" s="45"/>
      <c r="E23" s="45"/>
      <c r="F23" s="45"/>
      <c r="G23" s="45"/>
      <c r="H23" s="45"/>
      <c r="I23" s="45"/>
      <c r="J23" s="45"/>
      <c r="K23" s="45"/>
      <c r="L23" s="45"/>
      <c r="M23" s="45"/>
      <c r="N23" s="45"/>
      <c r="O23" s="45"/>
      <c r="P23" s="45"/>
    </row>
    <row r="24" spans="1:16" x14ac:dyDescent="0.25">
      <c r="A24" s="45"/>
      <c r="B24" s="45"/>
      <c r="C24" s="45"/>
      <c r="D24" s="45"/>
      <c r="E24" s="45"/>
      <c r="F24" s="45"/>
      <c r="G24" s="45"/>
      <c r="H24" s="45"/>
      <c r="I24" s="45"/>
      <c r="J24" s="45"/>
      <c r="K24" s="45"/>
      <c r="L24" s="45"/>
      <c r="M24" s="45"/>
      <c r="N24" s="45"/>
      <c r="O24" s="45"/>
      <c r="P24" s="45"/>
    </row>
    <row r="25" spans="1:16" x14ac:dyDescent="0.25">
      <c r="A25" s="45"/>
      <c r="B25" s="45"/>
      <c r="C25" s="45"/>
      <c r="D25" s="45"/>
      <c r="E25" s="45"/>
      <c r="F25" s="45"/>
      <c r="G25" s="45"/>
      <c r="H25" s="45"/>
      <c r="I25" s="45"/>
      <c r="J25" s="45"/>
      <c r="K25" s="45"/>
      <c r="L25" s="45"/>
      <c r="M25" s="45"/>
      <c r="N25" s="45"/>
      <c r="O25" s="45"/>
      <c r="P25" s="45"/>
    </row>
    <row r="26" spans="1:16" x14ac:dyDescent="0.25">
      <c r="A26" s="45"/>
      <c r="B26" s="45"/>
      <c r="C26" s="45"/>
      <c r="D26" s="45"/>
      <c r="E26" s="45"/>
      <c r="F26" s="45"/>
      <c r="G26" s="45"/>
      <c r="H26" s="45"/>
      <c r="I26" s="45"/>
      <c r="J26" s="45"/>
      <c r="K26" s="45"/>
      <c r="L26" s="45"/>
      <c r="M26" s="45"/>
      <c r="N26" s="45"/>
      <c r="O26" s="45"/>
      <c r="P26" s="45"/>
    </row>
    <row r="27" spans="1:16" x14ac:dyDescent="0.25">
      <c r="A27" s="45"/>
      <c r="B27" s="45"/>
      <c r="C27" s="45"/>
      <c r="D27" s="45"/>
      <c r="E27" s="45"/>
      <c r="F27" s="45"/>
      <c r="G27" s="45"/>
      <c r="H27" s="45"/>
      <c r="I27" s="45"/>
      <c r="J27" s="45"/>
      <c r="K27" s="45"/>
      <c r="L27" s="45"/>
      <c r="M27" s="45"/>
      <c r="N27" s="45"/>
      <c r="O27" s="45"/>
      <c r="P27" s="45"/>
    </row>
    <row r="28" spans="1:16" x14ac:dyDescent="0.25">
      <c r="A28" s="45"/>
      <c r="B28" s="45"/>
      <c r="C28" s="45"/>
      <c r="D28" s="45"/>
      <c r="E28" s="45"/>
      <c r="F28" s="45"/>
      <c r="G28" s="45"/>
      <c r="H28" s="45"/>
      <c r="I28" s="45"/>
      <c r="J28" s="45"/>
      <c r="K28" s="45"/>
      <c r="L28" s="45"/>
      <c r="M28" s="45"/>
      <c r="N28" s="45"/>
      <c r="O28" s="45"/>
      <c r="P28" s="45"/>
    </row>
    <row r="29" spans="1:16" x14ac:dyDescent="0.25">
      <c r="A29" s="45"/>
      <c r="B29" s="45"/>
      <c r="C29" s="45"/>
      <c r="D29" s="45"/>
      <c r="E29" s="45"/>
      <c r="F29" s="45"/>
      <c r="G29" s="45"/>
      <c r="H29" s="45"/>
      <c r="I29" s="45"/>
      <c r="J29" s="45"/>
      <c r="K29" s="45"/>
      <c r="L29" s="45"/>
      <c r="M29" s="45"/>
      <c r="N29" s="45"/>
      <c r="O29" s="45"/>
      <c r="P29" s="45"/>
    </row>
    <row r="30" spans="1:16" ht="26.25" customHeight="1" x14ac:dyDescent="0.25">
      <c r="A30" s="45"/>
      <c r="B30" s="45"/>
      <c r="C30" s="49"/>
      <c r="D30" s="83" t="s">
        <v>183</v>
      </c>
      <c r="E30" s="50"/>
      <c r="F30" s="45"/>
      <c r="G30" s="45"/>
      <c r="H30" s="45"/>
      <c r="I30" s="45"/>
      <c r="J30" s="45"/>
      <c r="K30" s="45"/>
      <c r="L30" s="45"/>
      <c r="M30" s="45"/>
      <c r="N30" s="45"/>
      <c r="O30" s="45"/>
      <c r="P30" s="45"/>
    </row>
    <row r="31" spans="1:16" x14ac:dyDescent="0.25">
      <c r="A31" s="45"/>
      <c r="B31" s="45"/>
      <c r="C31" s="30"/>
      <c r="D31" s="84"/>
      <c r="E31" s="31"/>
      <c r="F31" s="45"/>
      <c r="G31" s="45"/>
      <c r="H31" s="45"/>
      <c r="I31" s="45"/>
      <c r="J31" s="45"/>
      <c r="K31" s="45"/>
      <c r="L31" s="45"/>
      <c r="M31" s="45"/>
      <c r="N31" s="45"/>
      <c r="O31" s="45"/>
      <c r="P31" s="45"/>
    </row>
    <row r="32" spans="1:16" ht="18" x14ac:dyDescent="0.25">
      <c r="A32" s="45"/>
      <c r="B32" s="46"/>
      <c r="C32" s="43" t="s">
        <v>154</v>
      </c>
      <c r="D32" s="43" t="s">
        <v>172</v>
      </c>
      <c r="E32" s="44">
        <f>'Data Input'!$C8</f>
        <v>0</v>
      </c>
      <c r="F32" s="47"/>
      <c r="G32" s="45"/>
      <c r="H32" s="45"/>
      <c r="I32" s="45"/>
      <c r="J32" s="45"/>
      <c r="K32" s="45"/>
      <c r="L32" s="45"/>
      <c r="M32" s="45"/>
      <c r="N32" s="45"/>
      <c r="O32" s="45"/>
      <c r="P32" s="45"/>
    </row>
    <row r="33" spans="1:16" x14ac:dyDescent="0.25">
      <c r="A33" s="45"/>
      <c r="B33" s="46"/>
      <c r="C33" s="43"/>
      <c r="D33" s="43"/>
      <c r="E33" s="43"/>
      <c r="F33" s="45"/>
      <c r="G33" s="45"/>
      <c r="H33" s="45"/>
      <c r="I33" s="45"/>
      <c r="J33" s="45"/>
      <c r="K33" s="45"/>
      <c r="L33" s="45"/>
      <c r="M33" s="45"/>
      <c r="N33" s="45"/>
      <c r="O33" s="45"/>
      <c r="P33" s="45"/>
    </row>
    <row r="34" spans="1:16" ht="18" x14ac:dyDescent="0.25">
      <c r="A34" s="45"/>
      <c r="B34" s="46"/>
      <c r="C34" s="43" t="s">
        <v>155</v>
      </c>
      <c r="D34" s="43" t="s">
        <v>173</v>
      </c>
      <c r="E34" s="44">
        <f>'Data Input'!$C66</f>
        <v>0</v>
      </c>
      <c r="F34" s="45"/>
      <c r="G34" s="45"/>
      <c r="H34" s="45"/>
      <c r="I34" s="45"/>
      <c r="J34" s="45"/>
      <c r="K34" s="45"/>
      <c r="L34" s="45"/>
      <c r="M34" s="45"/>
      <c r="N34" s="45"/>
      <c r="O34" s="45"/>
      <c r="P34" s="45"/>
    </row>
    <row r="35" spans="1:16" x14ac:dyDescent="0.25">
      <c r="A35" s="45"/>
      <c r="B35" s="46"/>
      <c r="C35" s="43"/>
      <c r="D35" s="43"/>
      <c r="E35" s="43"/>
      <c r="F35" s="45"/>
      <c r="G35" s="45"/>
      <c r="H35" s="45"/>
      <c r="I35" s="45"/>
      <c r="J35" s="45"/>
      <c r="K35" s="45"/>
      <c r="L35" s="45"/>
      <c r="M35" s="45"/>
      <c r="N35" s="45"/>
      <c r="O35" s="45"/>
      <c r="P35" s="45"/>
    </row>
    <row r="36" spans="1:16" ht="18" x14ac:dyDescent="0.25">
      <c r="A36" s="45"/>
      <c r="B36" s="46"/>
      <c r="C36" s="43" t="s">
        <v>156</v>
      </c>
      <c r="D36" s="43" t="s">
        <v>174</v>
      </c>
      <c r="E36" s="44">
        <f>'Data Input'!$C82</f>
        <v>0</v>
      </c>
      <c r="F36" s="45"/>
      <c r="G36" s="45"/>
      <c r="H36" s="45"/>
      <c r="I36" s="45"/>
      <c r="J36" s="45"/>
      <c r="K36" s="45"/>
      <c r="L36" s="45"/>
      <c r="M36" s="45"/>
      <c r="N36" s="45"/>
      <c r="O36" s="45"/>
      <c r="P36" s="45"/>
    </row>
    <row r="37" spans="1:16" x14ac:dyDescent="0.25">
      <c r="A37" s="45"/>
      <c r="B37" s="46"/>
      <c r="C37" s="43"/>
      <c r="D37" s="43"/>
      <c r="E37" s="43"/>
      <c r="F37" s="45"/>
      <c r="G37" s="45"/>
      <c r="H37" s="45"/>
      <c r="I37" s="45"/>
      <c r="J37" s="45"/>
      <c r="K37" s="45"/>
      <c r="L37" s="45"/>
      <c r="M37" s="45"/>
      <c r="N37" s="45"/>
      <c r="O37" s="45"/>
      <c r="P37" s="45"/>
    </row>
    <row r="38" spans="1:16" ht="18" x14ac:dyDescent="0.25">
      <c r="A38" s="45"/>
      <c r="B38" s="46"/>
      <c r="C38" s="43" t="s">
        <v>157</v>
      </c>
      <c r="D38" s="43" t="s">
        <v>175</v>
      </c>
      <c r="E38" s="44">
        <f>'Data Input'!$C129</f>
        <v>0</v>
      </c>
      <c r="F38" s="45"/>
      <c r="G38" s="45"/>
      <c r="H38" s="45"/>
      <c r="I38" s="45"/>
      <c r="J38" s="45"/>
      <c r="K38" s="45"/>
      <c r="L38" s="45"/>
      <c r="M38" s="45"/>
      <c r="N38" s="45"/>
      <c r="O38" s="45"/>
      <c r="P38" s="45"/>
    </row>
    <row r="39" spans="1:16" x14ac:dyDescent="0.25">
      <c r="A39" s="45"/>
      <c r="B39" s="46"/>
      <c r="C39" s="43"/>
      <c r="D39" s="43"/>
      <c r="E39" s="43"/>
      <c r="F39" s="45"/>
      <c r="G39" s="45"/>
      <c r="H39" s="45"/>
      <c r="I39" s="45"/>
      <c r="J39" s="45"/>
      <c r="K39" s="45"/>
      <c r="L39" s="45"/>
      <c r="M39" s="45"/>
      <c r="N39" s="45"/>
      <c r="O39" s="45"/>
      <c r="P39" s="45"/>
    </row>
    <row r="40" spans="1:16" ht="18" x14ac:dyDescent="0.25">
      <c r="A40" s="45"/>
      <c r="B40" s="46"/>
      <c r="C40" s="43" t="s">
        <v>158</v>
      </c>
      <c r="D40" s="43" t="s">
        <v>176</v>
      </c>
      <c r="E40" s="44">
        <f>'Data Input'!$C160</f>
        <v>0</v>
      </c>
      <c r="F40" s="45"/>
      <c r="G40" s="45"/>
      <c r="H40" s="45"/>
      <c r="I40" s="45"/>
      <c r="J40" s="45"/>
      <c r="K40" s="45"/>
      <c r="L40" s="45"/>
      <c r="M40" s="45"/>
      <c r="N40" s="45"/>
      <c r="O40" s="45"/>
      <c r="P40" s="45"/>
    </row>
    <row r="41" spans="1:16" x14ac:dyDescent="0.25">
      <c r="A41" s="45"/>
      <c r="B41" s="46"/>
      <c r="C41" s="43"/>
      <c r="D41" s="43"/>
      <c r="E41" s="43"/>
      <c r="F41" s="45"/>
      <c r="G41" s="45"/>
      <c r="H41" s="45"/>
      <c r="I41" s="45"/>
      <c r="J41" s="45"/>
      <c r="K41" s="45"/>
      <c r="L41" s="45"/>
      <c r="M41" s="45"/>
      <c r="N41" s="45"/>
      <c r="O41" s="45"/>
      <c r="P41" s="45"/>
    </row>
    <row r="42" spans="1:16" ht="18" x14ac:dyDescent="0.25">
      <c r="A42" s="45"/>
      <c r="B42" s="46"/>
      <c r="C42" s="43" t="s">
        <v>159</v>
      </c>
      <c r="D42" s="43" t="s">
        <v>177</v>
      </c>
      <c r="E42" s="44">
        <f>'Data Input'!$C195</f>
        <v>0</v>
      </c>
      <c r="F42" s="45"/>
      <c r="G42" s="45"/>
      <c r="H42" s="45"/>
      <c r="I42" s="45"/>
      <c r="J42" s="45"/>
      <c r="K42" s="45"/>
      <c r="L42" s="45"/>
      <c r="M42" s="45"/>
      <c r="N42" s="45"/>
      <c r="O42" s="45"/>
      <c r="P42" s="45"/>
    </row>
    <row r="43" spans="1:16" x14ac:dyDescent="0.25">
      <c r="A43" s="45"/>
      <c r="B43" s="46"/>
      <c r="C43" s="43"/>
      <c r="D43" s="43"/>
      <c r="E43" s="43"/>
      <c r="F43" s="45"/>
      <c r="G43" s="45"/>
      <c r="H43" s="45"/>
      <c r="I43" s="45"/>
      <c r="J43" s="45"/>
      <c r="K43" s="45"/>
      <c r="L43" s="45"/>
      <c r="M43" s="45"/>
      <c r="N43" s="45"/>
      <c r="O43" s="45"/>
      <c r="P43" s="45"/>
    </row>
    <row r="44" spans="1:16" ht="18" x14ac:dyDescent="0.25">
      <c r="A44" s="45"/>
      <c r="B44" s="46"/>
      <c r="C44" s="43" t="s">
        <v>160</v>
      </c>
      <c r="D44" s="43" t="s">
        <v>178</v>
      </c>
      <c r="E44" s="44">
        <f>'Data Input'!$C212</f>
        <v>0</v>
      </c>
      <c r="F44" s="45"/>
      <c r="G44" s="45"/>
      <c r="H44" s="45"/>
      <c r="I44" s="45"/>
      <c r="J44" s="45"/>
      <c r="K44" s="45"/>
      <c r="L44" s="45"/>
      <c r="M44" s="45"/>
      <c r="N44" s="45"/>
      <c r="O44" s="45"/>
      <c r="P44" s="45"/>
    </row>
    <row r="45" spans="1:16" x14ac:dyDescent="0.25">
      <c r="A45" s="45"/>
      <c r="B45" s="46"/>
      <c r="C45" s="43"/>
      <c r="D45" s="43"/>
      <c r="E45" s="43"/>
      <c r="F45" s="45"/>
      <c r="G45" s="45"/>
      <c r="H45" s="45"/>
      <c r="I45" s="45"/>
      <c r="J45" s="45"/>
      <c r="K45" s="45"/>
      <c r="L45" s="45"/>
      <c r="M45" s="45"/>
      <c r="N45" s="45"/>
      <c r="O45" s="45"/>
      <c r="P45" s="45"/>
    </row>
    <row r="46" spans="1:16" ht="18" x14ac:dyDescent="0.25">
      <c r="A46" s="45"/>
      <c r="B46" s="46"/>
      <c r="C46" s="43" t="s">
        <v>161</v>
      </c>
      <c r="D46" s="43" t="s">
        <v>179</v>
      </c>
      <c r="E46" s="44">
        <f>'Data Input'!$C225</f>
        <v>0</v>
      </c>
      <c r="F46" s="45"/>
      <c r="G46" s="45"/>
      <c r="H46" s="45"/>
      <c r="I46" s="45"/>
      <c r="J46" s="45"/>
      <c r="K46" s="45"/>
      <c r="L46" s="45"/>
      <c r="M46" s="45"/>
      <c r="N46" s="45"/>
      <c r="O46" s="45"/>
      <c r="P46" s="45"/>
    </row>
    <row r="47" spans="1:16" x14ac:dyDescent="0.25">
      <c r="A47" s="45"/>
      <c r="B47" s="46"/>
      <c r="C47" s="43"/>
      <c r="D47" s="43"/>
      <c r="E47" s="43"/>
      <c r="F47" s="45"/>
      <c r="G47" s="45"/>
      <c r="H47" s="45"/>
      <c r="I47" s="45"/>
      <c r="J47" s="45"/>
      <c r="K47" s="45"/>
      <c r="L47" s="45"/>
      <c r="M47" s="45"/>
      <c r="N47" s="45"/>
      <c r="O47" s="45"/>
      <c r="P47" s="45"/>
    </row>
    <row r="48" spans="1:16" ht="18" x14ac:dyDescent="0.25">
      <c r="A48" s="45"/>
      <c r="B48" s="46"/>
      <c r="C48" s="43" t="s">
        <v>162</v>
      </c>
      <c r="D48" s="43" t="s">
        <v>180</v>
      </c>
      <c r="E48" s="44">
        <f>'Data Input'!$C261</f>
        <v>0</v>
      </c>
      <c r="F48" s="45"/>
      <c r="G48" s="45"/>
      <c r="H48" s="45"/>
      <c r="I48" s="45"/>
      <c r="J48" s="45"/>
      <c r="K48" s="45"/>
      <c r="L48" s="45"/>
      <c r="M48" s="45"/>
      <c r="N48" s="45"/>
      <c r="O48" s="45"/>
      <c r="P48" s="45"/>
    </row>
    <row r="49" spans="1:16" x14ac:dyDescent="0.25">
      <c r="A49" s="45"/>
      <c r="B49" s="46"/>
      <c r="C49" s="43"/>
      <c r="D49" s="43"/>
      <c r="E49" s="43"/>
      <c r="F49" s="45"/>
      <c r="G49" s="45"/>
      <c r="H49" s="45"/>
      <c r="I49" s="45"/>
      <c r="J49" s="45"/>
      <c r="K49" s="45"/>
      <c r="L49" s="45"/>
      <c r="M49" s="45"/>
      <c r="N49" s="45"/>
      <c r="O49" s="45"/>
      <c r="P49" s="45"/>
    </row>
    <row r="50" spans="1:16" ht="18" x14ac:dyDescent="0.25">
      <c r="A50" s="45"/>
      <c r="B50" s="46"/>
      <c r="C50" s="43" t="s">
        <v>163</v>
      </c>
      <c r="D50" s="43" t="s">
        <v>181</v>
      </c>
      <c r="E50" s="44">
        <f>'Data Input'!$C291</f>
        <v>0</v>
      </c>
      <c r="F50" s="45"/>
      <c r="G50" s="45"/>
      <c r="H50" s="45"/>
      <c r="I50" s="45"/>
      <c r="J50" s="45"/>
      <c r="K50" s="45"/>
      <c r="L50" s="45"/>
      <c r="M50" s="45"/>
      <c r="N50" s="45"/>
      <c r="O50" s="45"/>
      <c r="P50" s="45"/>
    </row>
    <row r="51" spans="1:16" x14ac:dyDescent="0.25">
      <c r="A51" s="45"/>
      <c r="B51" s="45"/>
      <c r="C51" s="45"/>
      <c r="D51" s="45"/>
      <c r="E51" s="45"/>
      <c r="F51" s="45"/>
      <c r="G51" s="45"/>
      <c r="H51" s="45"/>
      <c r="I51" s="45"/>
      <c r="J51" s="45"/>
      <c r="K51" s="45"/>
      <c r="L51" s="45"/>
      <c r="M51" s="45"/>
      <c r="N51" s="45"/>
      <c r="O51" s="45"/>
      <c r="P51" s="45"/>
    </row>
    <row r="52" spans="1:16" x14ac:dyDescent="0.25">
      <c r="A52" s="45"/>
      <c r="B52" s="45"/>
      <c r="C52" s="45"/>
      <c r="D52" s="45"/>
      <c r="E52" s="45"/>
      <c r="F52" s="45"/>
      <c r="G52" s="45"/>
      <c r="H52" s="45"/>
      <c r="I52" s="45"/>
      <c r="J52" s="45"/>
      <c r="K52" s="45"/>
      <c r="L52" s="45"/>
      <c r="M52" s="45"/>
      <c r="N52" s="45"/>
      <c r="O52" s="45"/>
      <c r="P52" s="45"/>
    </row>
    <row r="53" spans="1:16" x14ac:dyDescent="0.25">
      <c r="A53" s="45"/>
      <c r="B53" s="45"/>
      <c r="C53" s="45"/>
      <c r="D53" s="45"/>
      <c r="E53" s="45"/>
      <c r="F53" s="45"/>
      <c r="G53" s="45"/>
      <c r="H53" s="45"/>
      <c r="I53" s="45"/>
      <c r="J53" s="45"/>
      <c r="K53" s="45"/>
      <c r="L53" s="45"/>
      <c r="M53" s="45"/>
      <c r="N53" s="45"/>
      <c r="O53" s="45"/>
      <c r="P53" s="45"/>
    </row>
    <row r="54" spans="1:16" x14ac:dyDescent="0.25">
      <c r="A54" s="45"/>
      <c r="B54" s="45"/>
      <c r="C54" s="45"/>
      <c r="D54" s="45"/>
      <c r="E54" s="45"/>
      <c r="F54" s="45"/>
      <c r="G54" s="45"/>
      <c r="H54" s="45"/>
      <c r="I54" s="45"/>
      <c r="J54" s="45"/>
      <c r="K54" s="45"/>
      <c r="L54" s="45"/>
      <c r="M54" s="45"/>
      <c r="N54" s="45"/>
      <c r="O54" s="45"/>
      <c r="P54" s="45"/>
    </row>
    <row r="55" spans="1:16" x14ac:dyDescent="0.25">
      <c r="A55" s="45"/>
      <c r="B55" s="45"/>
      <c r="C55" s="45"/>
      <c r="D55" s="45"/>
      <c r="E55" s="45"/>
      <c r="F55" s="45"/>
      <c r="G55" s="45"/>
      <c r="H55" s="45"/>
      <c r="I55" s="45"/>
      <c r="J55" s="45"/>
      <c r="K55" s="45"/>
      <c r="L55" s="45"/>
      <c r="M55" s="45"/>
      <c r="N55" s="45"/>
      <c r="O55" s="45"/>
      <c r="P55" s="45"/>
    </row>
    <row r="56" spans="1:16" x14ac:dyDescent="0.25">
      <c r="A56" s="45"/>
      <c r="B56" s="45"/>
      <c r="C56" s="45"/>
      <c r="D56" s="45"/>
      <c r="E56" s="45"/>
      <c r="F56" s="45"/>
      <c r="G56" s="45"/>
      <c r="H56" s="45"/>
      <c r="I56" s="45"/>
      <c r="J56" s="45"/>
      <c r="K56" s="45"/>
      <c r="L56" s="45"/>
      <c r="M56" s="45"/>
      <c r="N56" s="45"/>
      <c r="O56" s="45"/>
      <c r="P56" s="45"/>
    </row>
    <row r="57" spans="1:16" x14ac:dyDescent="0.25">
      <c r="A57" s="45"/>
      <c r="B57" s="45"/>
      <c r="C57" s="45"/>
      <c r="D57" s="45"/>
      <c r="E57" s="45"/>
      <c r="F57" s="45"/>
      <c r="G57" s="45"/>
      <c r="H57" s="45"/>
      <c r="I57" s="45"/>
      <c r="J57" s="45"/>
      <c r="K57" s="45"/>
      <c r="L57" s="45"/>
      <c r="M57" s="45"/>
      <c r="N57" s="45"/>
      <c r="O57" s="45"/>
      <c r="P57" s="45"/>
    </row>
    <row r="58" spans="1:16" x14ac:dyDescent="0.25">
      <c r="A58" s="45"/>
      <c r="B58" s="45"/>
      <c r="C58" s="45"/>
      <c r="D58" s="45"/>
      <c r="E58" s="45"/>
      <c r="F58" s="45"/>
      <c r="G58" s="45"/>
      <c r="H58" s="45"/>
      <c r="I58" s="45"/>
      <c r="J58" s="45"/>
      <c r="K58" s="45"/>
      <c r="L58" s="45"/>
      <c r="M58" s="45"/>
      <c r="N58" s="45"/>
      <c r="O58" s="45"/>
      <c r="P58" s="45"/>
    </row>
    <row r="59" spans="1:16" x14ac:dyDescent="0.25">
      <c r="A59" s="45"/>
      <c r="B59" s="45"/>
      <c r="C59" s="45"/>
      <c r="D59" s="45"/>
      <c r="E59" s="45"/>
      <c r="F59" s="45"/>
      <c r="G59" s="45"/>
      <c r="H59" s="45"/>
      <c r="I59" s="45"/>
      <c r="J59" s="45"/>
      <c r="K59" s="45"/>
      <c r="L59" s="45"/>
      <c r="M59" s="45"/>
      <c r="N59" s="45"/>
      <c r="O59" s="45"/>
      <c r="P59" s="45"/>
    </row>
    <row r="60" spans="1:16" x14ac:dyDescent="0.25">
      <c r="A60" s="45"/>
      <c r="B60" s="45"/>
      <c r="C60" s="45"/>
      <c r="D60" s="45"/>
      <c r="E60" s="45"/>
      <c r="F60" s="45"/>
      <c r="G60" s="45"/>
      <c r="H60" s="45"/>
      <c r="I60" s="45"/>
      <c r="J60" s="45"/>
      <c r="K60" s="45"/>
      <c r="L60" s="45"/>
      <c r="M60" s="45"/>
      <c r="N60" s="45"/>
      <c r="O60" s="45"/>
      <c r="P60" s="45"/>
    </row>
    <row r="61" spans="1:16" x14ac:dyDescent="0.25">
      <c r="A61" s="45"/>
      <c r="B61" s="45"/>
      <c r="C61" s="45"/>
      <c r="D61" s="45"/>
      <c r="E61" s="45"/>
      <c r="F61" s="45"/>
      <c r="G61" s="45"/>
      <c r="H61" s="45"/>
      <c r="I61" s="45"/>
      <c r="J61" s="45"/>
      <c r="K61" s="45"/>
      <c r="L61" s="45"/>
      <c r="M61" s="45"/>
      <c r="N61" s="45"/>
      <c r="O61" s="45"/>
      <c r="P61" s="45"/>
    </row>
    <row r="62" spans="1:16" x14ac:dyDescent="0.25">
      <c r="A62" s="45"/>
      <c r="B62" s="45"/>
      <c r="C62" s="45"/>
      <c r="D62" s="45"/>
      <c r="E62" s="45"/>
      <c r="F62" s="45"/>
      <c r="G62" s="45"/>
      <c r="H62" s="45"/>
      <c r="I62" s="45"/>
      <c r="J62" s="45"/>
      <c r="K62" s="45"/>
      <c r="L62" s="45"/>
      <c r="M62" s="45"/>
      <c r="N62" s="45"/>
      <c r="O62" s="45"/>
      <c r="P62" s="45"/>
    </row>
    <row r="63" spans="1:16" x14ac:dyDescent="0.25">
      <c r="A63" s="45"/>
      <c r="B63" s="45"/>
      <c r="C63" s="45"/>
      <c r="D63" s="45"/>
      <c r="E63" s="45"/>
      <c r="F63" s="45"/>
      <c r="G63" s="45"/>
      <c r="H63" s="45"/>
      <c r="I63" s="45"/>
      <c r="J63" s="45"/>
      <c r="K63" s="45"/>
      <c r="L63" s="45"/>
      <c r="M63" s="45"/>
      <c r="N63" s="45"/>
      <c r="O63" s="45"/>
      <c r="P63" s="45"/>
    </row>
    <row r="64" spans="1:16" x14ac:dyDescent="0.25">
      <c r="A64" s="45"/>
      <c r="B64" s="45"/>
      <c r="C64" s="45"/>
      <c r="D64" s="45"/>
      <c r="E64" s="45"/>
      <c r="F64" s="45"/>
      <c r="G64" s="45"/>
      <c r="H64" s="45"/>
      <c r="I64" s="45"/>
      <c r="J64" s="45"/>
      <c r="K64" s="45"/>
      <c r="L64" s="45"/>
      <c r="M64" s="45"/>
      <c r="N64" s="45"/>
      <c r="O64" s="45"/>
      <c r="P64" s="45"/>
    </row>
    <row r="65" spans="1:16" x14ac:dyDescent="0.25">
      <c r="A65" s="45"/>
      <c r="B65" s="45"/>
      <c r="C65" s="45"/>
      <c r="D65" s="45"/>
      <c r="E65" s="45"/>
      <c r="F65" s="45"/>
      <c r="G65" s="45"/>
      <c r="H65" s="45"/>
      <c r="I65" s="45"/>
      <c r="J65" s="45"/>
      <c r="K65" s="45"/>
      <c r="L65" s="45"/>
      <c r="M65" s="45"/>
      <c r="N65" s="45"/>
      <c r="O65" s="45"/>
      <c r="P65" s="45"/>
    </row>
    <row r="66" spans="1:16" x14ac:dyDescent="0.25">
      <c r="A66" s="45"/>
      <c r="B66" s="45"/>
      <c r="C66" s="45"/>
      <c r="D66" s="45"/>
      <c r="E66" s="45"/>
      <c r="F66" s="45"/>
      <c r="G66" s="45"/>
      <c r="H66" s="45"/>
      <c r="I66" s="45"/>
      <c r="J66" s="45"/>
      <c r="K66" s="45"/>
      <c r="L66" s="45"/>
      <c r="M66" s="45"/>
      <c r="N66" s="45"/>
      <c r="O66" s="45"/>
      <c r="P66" s="45"/>
    </row>
    <row r="67" spans="1:16" x14ac:dyDescent="0.25">
      <c r="A67" s="45"/>
      <c r="B67" s="45"/>
      <c r="C67" s="45"/>
      <c r="D67" s="45"/>
      <c r="E67" s="45"/>
      <c r="F67" s="45"/>
      <c r="G67" s="45"/>
      <c r="H67" s="45"/>
      <c r="I67" s="45"/>
      <c r="J67" s="45"/>
      <c r="K67" s="45"/>
      <c r="L67" s="45"/>
      <c r="M67" s="45"/>
      <c r="N67" s="45"/>
      <c r="O67" s="45"/>
      <c r="P67" s="45"/>
    </row>
    <row r="68" spans="1:16" x14ac:dyDescent="0.25">
      <c r="A68" s="45"/>
      <c r="B68" s="45"/>
      <c r="C68" s="45"/>
      <c r="D68" s="45"/>
      <c r="E68" s="45"/>
      <c r="F68" s="45"/>
      <c r="G68" s="45"/>
      <c r="H68" s="45"/>
      <c r="I68" s="45"/>
      <c r="J68" s="45"/>
      <c r="K68" s="45"/>
      <c r="L68" s="45"/>
      <c r="M68" s="45"/>
      <c r="N68" s="45"/>
      <c r="O68" s="45"/>
      <c r="P68" s="45"/>
    </row>
    <row r="69" spans="1:16" x14ac:dyDescent="0.25">
      <c r="A69" s="45"/>
      <c r="B69" s="45"/>
      <c r="C69" s="45"/>
      <c r="D69" s="45"/>
      <c r="E69" s="45"/>
      <c r="F69" s="45"/>
      <c r="G69" s="45"/>
      <c r="H69" s="45"/>
      <c r="I69" s="45"/>
      <c r="J69" s="45"/>
      <c r="K69" s="45"/>
      <c r="L69" s="45"/>
      <c r="M69" s="45"/>
      <c r="N69" s="45"/>
      <c r="O69" s="45"/>
      <c r="P69" s="45"/>
    </row>
    <row r="70" spans="1:16" x14ac:dyDescent="0.25">
      <c r="A70" s="45"/>
      <c r="B70" s="45"/>
      <c r="C70" s="45"/>
      <c r="D70" s="45"/>
      <c r="E70" s="45"/>
      <c r="F70" s="45"/>
      <c r="G70" s="45"/>
      <c r="H70" s="45"/>
      <c r="I70" s="45"/>
      <c r="J70" s="45"/>
      <c r="K70" s="45"/>
      <c r="L70" s="45"/>
      <c r="M70" s="45"/>
      <c r="N70" s="45"/>
      <c r="O70" s="45"/>
      <c r="P70" s="45"/>
    </row>
    <row r="71" spans="1:16" x14ac:dyDescent="0.25">
      <c r="A71" s="45"/>
      <c r="B71" s="45"/>
      <c r="C71" s="45"/>
      <c r="D71" s="45"/>
      <c r="E71" s="45"/>
      <c r="F71" s="45"/>
      <c r="G71" s="45"/>
      <c r="H71" s="45"/>
      <c r="I71" s="45"/>
      <c r="J71" s="45"/>
      <c r="K71" s="45"/>
      <c r="L71" s="45"/>
      <c r="M71" s="45"/>
      <c r="N71" s="45"/>
      <c r="O71" s="45"/>
      <c r="P71" s="45"/>
    </row>
    <row r="72" spans="1:16" x14ac:dyDescent="0.25">
      <c r="A72" s="45"/>
      <c r="B72" s="45"/>
      <c r="C72" s="45"/>
      <c r="D72" s="45"/>
      <c r="E72" s="45"/>
      <c r="F72" s="45"/>
      <c r="G72" s="45"/>
      <c r="H72" s="45"/>
      <c r="I72" s="45"/>
      <c r="J72" s="45"/>
      <c r="K72" s="45"/>
      <c r="L72" s="45"/>
      <c r="M72" s="45"/>
      <c r="N72" s="45"/>
      <c r="O72" s="45"/>
      <c r="P72" s="45"/>
    </row>
    <row r="73" spans="1:16" x14ac:dyDescent="0.25">
      <c r="A73" s="45"/>
      <c r="B73" s="45"/>
      <c r="C73" s="45"/>
      <c r="D73" s="45"/>
      <c r="E73" s="45"/>
      <c r="F73" s="45"/>
      <c r="G73" s="45"/>
      <c r="H73" s="45"/>
      <c r="I73" s="45"/>
      <c r="J73" s="45"/>
      <c r="K73" s="45"/>
      <c r="L73" s="45"/>
      <c r="M73" s="45"/>
      <c r="N73" s="45"/>
      <c r="O73" s="45"/>
      <c r="P73" s="45"/>
    </row>
    <row r="74" spans="1:16" x14ac:dyDescent="0.25">
      <c r="A74" s="45"/>
      <c r="B74" s="45"/>
      <c r="C74" s="45"/>
      <c r="D74" s="45"/>
      <c r="E74" s="45"/>
      <c r="F74" s="45"/>
      <c r="G74" s="45"/>
      <c r="H74" s="45"/>
      <c r="I74" s="45"/>
      <c r="J74" s="45"/>
      <c r="K74" s="45"/>
      <c r="L74" s="45"/>
      <c r="M74" s="45"/>
      <c r="N74" s="45"/>
      <c r="O74" s="45"/>
      <c r="P74" s="45"/>
    </row>
    <row r="75" spans="1:16" x14ac:dyDescent="0.25">
      <c r="A75" s="45"/>
      <c r="B75" s="45"/>
      <c r="C75" s="45"/>
      <c r="D75" s="45"/>
      <c r="E75" s="45"/>
      <c r="F75" s="45"/>
      <c r="G75" s="45"/>
      <c r="H75" s="45"/>
      <c r="I75" s="45"/>
      <c r="J75" s="45"/>
      <c r="K75" s="45"/>
      <c r="L75" s="45"/>
      <c r="M75" s="45"/>
      <c r="N75" s="45"/>
      <c r="O75" s="45"/>
      <c r="P75" s="45"/>
    </row>
    <row r="76" spans="1:16" x14ac:dyDescent="0.25">
      <c r="A76" s="45"/>
      <c r="B76" s="45"/>
      <c r="C76" s="45"/>
      <c r="D76" s="45"/>
      <c r="E76" s="45"/>
      <c r="F76" s="45"/>
      <c r="G76" s="45"/>
      <c r="H76" s="45"/>
      <c r="I76" s="45"/>
      <c r="J76" s="45"/>
      <c r="K76" s="45"/>
      <c r="L76" s="45"/>
      <c r="M76" s="45"/>
      <c r="N76" s="45"/>
      <c r="O76" s="45"/>
      <c r="P76" s="45"/>
    </row>
    <row r="77" spans="1:16" x14ac:dyDescent="0.25">
      <c r="A77" s="45"/>
      <c r="B77" s="45"/>
      <c r="C77" s="45"/>
      <c r="D77" s="45"/>
      <c r="E77" s="45"/>
      <c r="F77" s="45"/>
      <c r="G77" s="45"/>
      <c r="H77" s="45"/>
      <c r="I77" s="45"/>
      <c r="J77" s="45"/>
      <c r="K77" s="45"/>
      <c r="L77" s="45"/>
      <c r="M77" s="45"/>
      <c r="N77" s="45"/>
      <c r="O77" s="45"/>
      <c r="P77" s="45"/>
    </row>
    <row r="78" spans="1:16" x14ac:dyDescent="0.25">
      <c r="A78" s="45"/>
      <c r="B78" s="45"/>
      <c r="C78" s="45"/>
      <c r="D78" s="45"/>
      <c r="E78" s="45"/>
      <c r="F78" s="45"/>
      <c r="G78" s="45"/>
      <c r="H78" s="45"/>
      <c r="I78" s="45"/>
      <c r="J78" s="45"/>
      <c r="K78" s="45"/>
      <c r="L78" s="45"/>
      <c r="M78" s="45"/>
      <c r="N78" s="45"/>
      <c r="O78" s="45"/>
      <c r="P78" s="45"/>
    </row>
    <row r="79" spans="1:16" x14ac:dyDescent="0.25">
      <c r="A79" s="45"/>
      <c r="B79" s="45"/>
      <c r="C79" s="45"/>
      <c r="D79" s="45"/>
      <c r="E79" s="45"/>
      <c r="F79" s="45"/>
      <c r="G79" s="45"/>
      <c r="H79" s="45"/>
      <c r="I79" s="45"/>
      <c r="J79" s="45"/>
      <c r="K79" s="45"/>
      <c r="L79" s="45"/>
      <c r="M79" s="45"/>
      <c r="N79" s="45"/>
      <c r="O79" s="45"/>
      <c r="P79" s="45"/>
    </row>
    <row r="80" spans="1:16" x14ac:dyDescent="0.25">
      <c r="A80" s="45"/>
      <c r="B80" s="45"/>
      <c r="C80" s="45"/>
      <c r="D80" s="45"/>
      <c r="E80" s="45"/>
      <c r="F80" s="45"/>
      <c r="G80" s="45"/>
      <c r="H80" s="45"/>
      <c r="I80" s="45"/>
      <c r="J80" s="45"/>
      <c r="K80" s="45"/>
      <c r="L80" s="45"/>
      <c r="M80" s="45"/>
      <c r="N80" s="45"/>
      <c r="O80" s="45"/>
      <c r="P80" s="45"/>
    </row>
    <row r="81" spans="1:16" x14ac:dyDescent="0.25">
      <c r="A81" s="45"/>
      <c r="B81" s="45"/>
      <c r="C81" s="45"/>
      <c r="D81" s="45"/>
      <c r="E81" s="45"/>
      <c r="F81" s="45"/>
      <c r="G81" s="45"/>
      <c r="H81" s="45"/>
      <c r="I81" s="45"/>
      <c r="J81" s="45"/>
      <c r="K81" s="45"/>
      <c r="L81" s="45"/>
      <c r="M81" s="45"/>
      <c r="N81" s="45"/>
      <c r="O81" s="45"/>
      <c r="P81" s="45"/>
    </row>
    <row r="82" spans="1:16" x14ac:dyDescent="0.25">
      <c r="A82" s="45"/>
      <c r="B82" s="45"/>
      <c r="C82" s="45"/>
      <c r="D82" s="45"/>
      <c r="E82" s="45"/>
      <c r="F82" s="45"/>
      <c r="G82" s="45"/>
      <c r="H82" s="45"/>
      <c r="I82" s="45"/>
      <c r="J82" s="45"/>
      <c r="K82" s="45"/>
      <c r="L82" s="45"/>
      <c r="M82" s="45"/>
      <c r="N82" s="45"/>
      <c r="O82" s="45"/>
      <c r="P82" s="45"/>
    </row>
    <row r="83" spans="1:16" x14ac:dyDescent="0.25">
      <c r="A83" s="45"/>
      <c r="B83" s="45"/>
      <c r="C83" s="45"/>
      <c r="D83" s="45"/>
      <c r="E83" s="45"/>
      <c r="F83" s="45"/>
      <c r="G83" s="45"/>
      <c r="H83" s="45"/>
      <c r="I83" s="45"/>
      <c r="J83" s="45"/>
      <c r="K83" s="45"/>
      <c r="L83" s="45"/>
      <c r="M83" s="45"/>
      <c r="N83" s="45"/>
      <c r="O83" s="45"/>
      <c r="P83" s="45"/>
    </row>
    <row r="84" spans="1:16" x14ac:dyDescent="0.25">
      <c r="A84" s="45"/>
      <c r="B84" s="45"/>
      <c r="C84" s="45"/>
      <c r="D84" s="45"/>
      <c r="E84" s="45"/>
      <c r="F84" s="45"/>
      <c r="G84" s="45"/>
      <c r="H84" s="45"/>
      <c r="I84" s="45"/>
      <c r="J84" s="45"/>
      <c r="K84" s="45"/>
      <c r="L84" s="45"/>
      <c r="M84" s="45"/>
      <c r="N84" s="45"/>
      <c r="O84" s="45"/>
      <c r="P84" s="45"/>
    </row>
    <row r="85" spans="1:16" x14ac:dyDescent="0.25">
      <c r="A85" s="45"/>
      <c r="B85" s="45"/>
      <c r="C85" s="45"/>
      <c r="D85" s="45"/>
      <c r="E85" s="45"/>
      <c r="F85" s="45"/>
      <c r="G85" s="45"/>
      <c r="H85" s="45"/>
      <c r="I85" s="45"/>
      <c r="J85" s="45"/>
      <c r="K85" s="45"/>
      <c r="L85" s="45"/>
      <c r="M85" s="45"/>
      <c r="N85" s="45"/>
      <c r="O85" s="45"/>
      <c r="P85" s="45"/>
    </row>
    <row r="86" spans="1:16" x14ac:dyDescent="0.25">
      <c r="A86" s="45"/>
      <c r="B86" s="45"/>
      <c r="C86" s="45"/>
      <c r="D86" s="45"/>
      <c r="E86" s="45"/>
      <c r="F86" s="45"/>
      <c r="G86" s="45"/>
      <c r="H86" s="45"/>
      <c r="I86" s="45"/>
      <c r="J86" s="45"/>
      <c r="K86" s="45"/>
      <c r="L86" s="45"/>
      <c r="M86" s="45"/>
      <c r="N86" s="45"/>
      <c r="O86" s="45"/>
      <c r="P86" s="45"/>
    </row>
    <row r="87" spans="1:16" x14ac:dyDescent="0.25">
      <c r="A87" s="45"/>
      <c r="B87" s="45"/>
      <c r="C87" s="45"/>
      <c r="D87" s="45"/>
      <c r="E87" s="45"/>
      <c r="F87" s="45"/>
      <c r="G87" s="45"/>
      <c r="H87" s="45"/>
      <c r="I87" s="45"/>
      <c r="J87" s="45"/>
      <c r="K87" s="45"/>
      <c r="L87" s="45"/>
      <c r="M87" s="45"/>
      <c r="N87" s="45"/>
      <c r="O87" s="45"/>
      <c r="P87" s="45"/>
    </row>
    <row r="88" spans="1:16" x14ac:dyDescent="0.25">
      <c r="A88" s="45"/>
      <c r="B88" s="45"/>
      <c r="C88" s="45"/>
      <c r="D88" s="45"/>
      <c r="E88" s="45"/>
      <c r="F88" s="45"/>
      <c r="G88" s="45"/>
      <c r="H88" s="45"/>
      <c r="I88" s="45"/>
      <c r="J88" s="45"/>
      <c r="K88" s="45"/>
      <c r="L88" s="45"/>
      <c r="M88" s="45"/>
      <c r="N88" s="45"/>
      <c r="O88" s="45"/>
      <c r="P88" s="45"/>
    </row>
    <row r="89" spans="1:16" x14ac:dyDescent="0.25">
      <c r="A89" s="45"/>
      <c r="B89" s="45"/>
      <c r="C89" s="45"/>
      <c r="D89" s="45"/>
      <c r="E89" s="45"/>
      <c r="F89" s="45"/>
      <c r="G89" s="45"/>
      <c r="H89" s="45"/>
      <c r="I89" s="45"/>
      <c r="J89" s="45"/>
      <c r="K89" s="45"/>
      <c r="L89" s="45"/>
      <c r="M89" s="45"/>
      <c r="N89" s="45"/>
      <c r="O89" s="45"/>
      <c r="P89" s="45"/>
    </row>
    <row r="90" spans="1:16" x14ac:dyDescent="0.25">
      <c r="A90" s="45"/>
      <c r="B90" s="45"/>
      <c r="C90" s="45"/>
      <c r="D90" s="45"/>
      <c r="E90" s="45"/>
      <c r="F90" s="45"/>
      <c r="G90" s="45"/>
      <c r="H90" s="45"/>
      <c r="I90" s="45"/>
      <c r="J90" s="45"/>
      <c r="K90" s="45"/>
      <c r="L90" s="45"/>
      <c r="M90" s="45"/>
      <c r="N90" s="45"/>
      <c r="O90" s="45"/>
      <c r="P90" s="45"/>
    </row>
    <row r="91" spans="1:16" x14ac:dyDescent="0.25">
      <c r="A91" s="45"/>
      <c r="B91" s="45"/>
      <c r="C91" s="45"/>
      <c r="D91" s="45"/>
      <c r="E91" s="45"/>
      <c r="F91" s="45"/>
      <c r="G91" s="45"/>
      <c r="H91" s="45"/>
      <c r="I91" s="45"/>
      <c r="J91" s="45"/>
      <c r="K91" s="45"/>
      <c r="L91" s="45"/>
      <c r="M91" s="45"/>
      <c r="N91" s="45"/>
      <c r="O91" s="45"/>
      <c r="P91" s="45"/>
    </row>
    <row r="92" spans="1:16" x14ac:dyDescent="0.25">
      <c r="A92" s="45"/>
      <c r="B92" s="45"/>
      <c r="C92" s="45"/>
      <c r="D92" s="45"/>
      <c r="E92" s="45"/>
      <c r="F92" s="45"/>
      <c r="G92" s="45"/>
      <c r="H92" s="45"/>
      <c r="I92" s="45"/>
      <c r="J92" s="45"/>
      <c r="K92" s="45"/>
      <c r="L92" s="45"/>
      <c r="M92" s="45"/>
      <c r="N92" s="45"/>
      <c r="O92" s="45"/>
      <c r="P92" s="45"/>
    </row>
    <row r="93" spans="1:16" x14ac:dyDescent="0.25">
      <c r="A93" s="45"/>
      <c r="B93" s="45"/>
      <c r="C93" s="45"/>
      <c r="D93" s="45"/>
      <c r="E93" s="45"/>
      <c r="F93" s="45"/>
      <c r="G93" s="45"/>
      <c r="H93" s="45"/>
      <c r="I93" s="45"/>
      <c r="J93" s="45"/>
      <c r="K93" s="45"/>
      <c r="L93" s="45"/>
      <c r="M93" s="45"/>
      <c r="N93" s="45"/>
      <c r="O93" s="45"/>
      <c r="P93" s="45"/>
    </row>
    <row r="94" spans="1:16" x14ac:dyDescent="0.25">
      <c r="A94" s="45"/>
      <c r="B94" s="45"/>
      <c r="C94" s="45"/>
      <c r="D94" s="45"/>
      <c r="E94" s="45"/>
      <c r="F94" s="45"/>
      <c r="G94" s="45"/>
      <c r="H94" s="45"/>
      <c r="I94" s="45"/>
      <c r="J94" s="45"/>
      <c r="K94" s="45"/>
      <c r="L94" s="45"/>
      <c r="M94" s="45"/>
      <c r="N94" s="45"/>
      <c r="O94" s="45"/>
      <c r="P94" s="45"/>
    </row>
    <row r="95" spans="1:16" x14ac:dyDescent="0.25">
      <c r="A95" s="45"/>
      <c r="B95" s="45"/>
      <c r="C95" s="45"/>
      <c r="D95" s="45"/>
      <c r="E95" s="45"/>
      <c r="F95" s="45"/>
      <c r="G95" s="45"/>
      <c r="H95" s="45"/>
      <c r="I95" s="45"/>
      <c r="J95" s="45"/>
      <c r="K95" s="45"/>
      <c r="L95" s="45"/>
      <c r="M95" s="45"/>
      <c r="N95" s="45"/>
      <c r="O95" s="45"/>
      <c r="P95" s="45"/>
    </row>
    <row r="96" spans="1:16" x14ac:dyDescent="0.25">
      <c r="A96" s="45"/>
      <c r="B96" s="45"/>
      <c r="C96" s="45"/>
      <c r="D96" s="45"/>
      <c r="E96" s="45"/>
      <c r="F96" s="45"/>
      <c r="G96" s="45"/>
      <c r="H96" s="45"/>
      <c r="I96" s="45"/>
      <c r="J96" s="45"/>
      <c r="K96" s="45"/>
      <c r="L96" s="45"/>
      <c r="M96" s="45"/>
      <c r="N96" s="45"/>
      <c r="O96" s="45"/>
      <c r="P96" s="45"/>
    </row>
    <row r="97" spans="1:16" x14ac:dyDescent="0.25">
      <c r="A97" s="45"/>
      <c r="B97" s="45"/>
      <c r="C97" s="45"/>
      <c r="D97" s="45"/>
      <c r="E97" s="45"/>
      <c r="F97" s="45"/>
      <c r="G97" s="45"/>
      <c r="H97" s="45"/>
      <c r="I97" s="45"/>
      <c r="J97" s="45"/>
      <c r="K97" s="45"/>
      <c r="L97" s="45"/>
      <c r="M97" s="45"/>
      <c r="N97" s="45"/>
      <c r="O97" s="45"/>
      <c r="P97" s="45"/>
    </row>
    <row r="98" spans="1:16" x14ac:dyDescent="0.25">
      <c r="A98" s="45"/>
      <c r="B98" s="45"/>
      <c r="C98" s="45"/>
      <c r="D98" s="45"/>
      <c r="E98" s="45"/>
      <c r="F98" s="45"/>
      <c r="G98" s="45"/>
      <c r="H98" s="45"/>
      <c r="I98" s="45"/>
      <c r="J98" s="45"/>
      <c r="K98" s="45"/>
      <c r="L98" s="45"/>
      <c r="M98" s="45"/>
      <c r="N98" s="45"/>
      <c r="O98" s="45"/>
      <c r="P98" s="45"/>
    </row>
    <row r="99" spans="1:16" x14ac:dyDescent="0.25">
      <c r="A99" s="45"/>
      <c r="B99" s="45"/>
      <c r="C99" s="45"/>
      <c r="D99" s="45"/>
      <c r="E99" s="45"/>
      <c r="F99" s="45"/>
      <c r="G99" s="45"/>
      <c r="H99" s="45"/>
      <c r="I99" s="45"/>
      <c r="J99" s="45"/>
      <c r="K99" s="45"/>
      <c r="L99" s="45"/>
      <c r="M99" s="45"/>
      <c r="N99" s="45"/>
      <c r="O99" s="45"/>
      <c r="P99" s="45"/>
    </row>
    <row r="100" spans="1:16" x14ac:dyDescent="0.25">
      <c r="A100" s="45"/>
      <c r="B100" s="45"/>
      <c r="C100" s="45"/>
      <c r="D100" s="45"/>
      <c r="E100" s="45"/>
      <c r="F100" s="45"/>
      <c r="G100" s="45"/>
      <c r="H100" s="45"/>
      <c r="I100" s="45"/>
      <c r="J100" s="45"/>
      <c r="K100" s="45"/>
      <c r="L100" s="45"/>
      <c r="M100" s="45"/>
      <c r="N100" s="45"/>
      <c r="O100" s="45"/>
      <c r="P100" s="45"/>
    </row>
    <row r="101" spans="1:16" x14ac:dyDescent="0.25">
      <c r="A101" s="45"/>
      <c r="B101" s="45"/>
      <c r="C101" s="45"/>
      <c r="D101" s="45"/>
      <c r="E101" s="45"/>
      <c r="F101" s="45"/>
      <c r="G101" s="45"/>
      <c r="H101" s="45"/>
      <c r="I101" s="45"/>
      <c r="J101" s="45"/>
      <c r="K101" s="45"/>
      <c r="L101" s="45"/>
      <c r="M101" s="45"/>
      <c r="N101" s="45"/>
      <c r="O101" s="45"/>
      <c r="P101" s="45"/>
    </row>
    <row r="102" spans="1:16" x14ac:dyDescent="0.25">
      <c r="A102" s="45"/>
      <c r="B102" s="45"/>
      <c r="C102" s="45"/>
      <c r="D102" s="45"/>
      <c r="E102" s="45"/>
      <c r="F102" s="45"/>
      <c r="G102" s="45"/>
      <c r="H102" s="45"/>
      <c r="I102" s="45"/>
      <c r="J102" s="45"/>
      <c r="K102" s="45"/>
      <c r="L102" s="45"/>
      <c r="M102" s="45"/>
      <c r="N102" s="45"/>
      <c r="O102" s="45"/>
      <c r="P102" s="45"/>
    </row>
    <row r="103" spans="1:16" x14ac:dyDescent="0.25">
      <c r="A103" s="45"/>
      <c r="B103" s="45"/>
      <c r="C103" s="45"/>
      <c r="D103" s="45"/>
      <c r="E103" s="45"/>
      <c r="F103" s="45"/>
      <c r="G103" s="45"/>
      <c r="H103" s="45"/>
      <c r="I103" s="45"/>
      <c r="J103" s="45"/>
      <c r="K103" s="45"/>
      <c r="L103" s="45"/>
      <c r="M103" s="45"/>
      <c r="N103" s="45"/>
      <c r="O103" s="45"/>
      <c r="P103" s="45"/>
    </row>
    <row r="104" spans="1:16" x14ac:dyDescent="0.25">
      <c r="A104" s="45"/>
      <c r="B104" s="45"/>
      <c r="C104" s="45"/>
      <c r="D104" s="45"/>
      <c r="E104" s="45"/>
      <c r="F104" s="45"/>
      <c r="G104" s="45"/>
      <c r="H104" s="45"/>
      <c r="I104" s="45"/>
      <c r="J104" s="45"/>
      <c r="K104" s="45"/>
      <c r="L104" s="45"/>
      <c r="M104" s="45"/>
      <c r="N104" s="45"/>
      <c r="O104" s="45"/>
      <c r="P104" s="45"/>
    </row>
    <row r="105" spans="1:16" x14ac:dyDescent="0.25">
      <c r="A105" s="45"/>
      <c r="B105" s="45"/>
      <c r="C105" s="45"/>
      <c r="D105" s="45"/>
      <c r="E105" s="45"/>
      <c r="F105" s="45"/>
      <c r="G105" s="45"/>
      <c r="H105" s="45"/>
      <c r="I105" s="45"/>
      <c r="J105" s="45"/>
      <c r="K105" s="45"/>
      <c r="L105" s="45"/>
      <c r="M105" s="45"/>
      <c r="N105" s="45"/>
      <c r="O105" s="45"/>
      <c r="P105" s="45"/>
    </row>
    <row r="106" spans="1:16" x14ac:dyDescent="0.25">
      <c r="A106" s="45"/>
      <c r="B106" s="45"/>
      <c r="C106" s="45"/>
      <c r="D106" s="45"/>
      <c r="E106" s="45"/>
      <c r="F106" s="45"/>
      <c r="G106" s="45"/>
      <c r="H106" s="45"/>
      <c r="I106" s="45"/>
      <c r="J106" s="45"/>
      <c r="K106" s="45"/>
      <c r="L106" s="45"/>
      <c r="M106" s="45"/>
      <c r="N106" s="45"/>
      <c r="O106" s="45"/>
      <c r="P106" s="45"/>
    </row>
    <row r="107" spans="1:16" x14ac:dyDescent="0.25">
      <c r="A107" s="45"/>
      <c r="B107" s="45"/>
      <c r="C107" s="45"/>
      <c r="D107" s="45"/>
      <c r="E107" s="45"/>
      <c r="F107" s="45"/>
      <c r="G107" s="45"/>
      <c r="H107" s="45"/>
      <c r="I107" s="45"/>
      <c r="J107" s="45"/>
      <c r="K107" s="45"/>
      <c r="L107" s="45"/>
      <c r="M107" s="45"/>
      <c r="N107" s="45"/>
      <c r="O107" s="45"/>
      <c r="P107" s="45"/>
    </row>
    <row r="108" spans="1:16" x14ac:dyDescent="0.25">
      <c r="A108" s="45"/>
      <c r="B108" s="45"/>
      <c r="C108" s="45"/>
      <c r="D108" s="45"/>
      <c r="E108" s="45"/>
      <c r="F108" s="45"/>
      <c r="G108" s="45"/>
      <c r="H108" s="45"/>
      <c r="I108" s="45"/>
      <c r="J108" s="45"/>
      <c r="K108" s="45"/>
      <c r="L108" s="45"/>
      <c r="M108" s="45"/>
      <c r="N108" s="45"/>
      <c r="O108" s="45"/>
      <c r="P108" s="45"/>
    </row>
    <row r="109" spans="1:16" x14ac:dyDescent="0.25">
      <c r="A109" s="45"/>
      <c r="B109" s="45"/>
      <c r="C109" s="45"/>
      <c r="D109" s="45"/>
      <c r="E109" s="45"/>
      <c r="F109" s="45"/>
      <c r="G109" s="45"/>
      <c r="H109" s="45"/>
      <c r="I109" s="45"/>
      <c r="J109" s="45"/>
      <c r="K109" s="45"/>
      <c r="L109" s="45"/>
      <c r="M109" s="45"/>
      <c r="N109" s="45"/>
      <c r="O109" s="45"/>
      <c r="P109" s="45"/>
    </row>
    <row r="110" spans="1:16" x14ac:dyDescent="0.25">
      <c r="A110" s="45"/>
      <c r="B110" s="45"/>
      <c r="C110" s="45"/>
      <c r="D110" s="45"/>
      <c r="E110" s="45"/>
      <c r="F110" s="45"/>
      <c r="G110" s="45"/>
      <c r="H110" s="45"/>
      <c r="I110" s="45"/>
      <c r="J110" s="45"/>
      <c r="K110" s="45"/>
      <c r="L110" s="45"/>
      <c r="M110" s="45"/>
      <c r="N110" s="45"/>
      <c r="O110" s="45"/>
      <c r="P110" s="45"/>
    </row>
    <row r="111" spans="1:16" x14ac:dyDescent="0.25">
      <c r="A111" s="45"/>
      <c r="B111" s="45"/>
      <c r="C111" s="45"/>
      <c r="D111" s="45"/>
      <c r="E111" s="45"/>
      <c r="F111" s="45"/>
      <c r="G111" s="45"/>
      <c r="H111" s="45"/>
      <c r="I111" s="45"/>
      <c r="J111" s="45"/>
      <c r="K111" s="45"/>
      <c r="L111" s="45"/>
      <c r="M111" s="45"/>
      <c r="N111" s="45"/>
      <c r="O111" s="45"/>
      <c r="P111" s="45"/>
    </row>
    <row r="112" spans="1:16" x14ac:dyDescent="0.25">
      <c r="A112" s="45"/>
      <c r="B112" s="45"/>
      <c r="C112" s="45"/>
      <c r="D112" s="45"/>
      <c r="E112" s="45"/>
      <c r="F112" s="45"/>
      <c r="G112" s="45"/>
      <c r="H112" s="45"/>
      <c r="I112" s="45"/>
      <c r="J112" s="45"/>
      <c r="K112" s="45"/>
      <c r="L112" s="45"/>
      <c r="M112" s="45"/>
      <c r="N112" s="45"/>
      <c r="O112" s="45"/>
      <c r="P112" s="45"/>
    </row>
    <row r="113" spans="1:16" x14ac:dyDescent="0.25">
      <c r="A113" s="45"/>
      <c r="B113" s="45"/>
      <c r="C113" s="45"/>
      <c r="D113" s="45"/>
      <c r="E113" s="45"/>
      <c r="F113" s="45"/>
      <c r="G113" s="45"/>
      <c r="H113" s="45"/>
      <c r="I113" s="45"/>
      <c r="J113" s="45"/>
      <c r="K113" s="45"/>
      <c r="L113" s="45"/>
      <c r="M113" s="45"/>
      <c r="N113" s="45"/>
      <c r="O113" s="45"/>
      <c r="P113" s="45"/>
    </row>
    <row r="114" spans="1:16" x14ac:dyDescent="0.25">
      <c r="A114" s="45"/>
      <c r="B114" s="45"/>
      <c r="C114" s="45"/>
      <c r="D114" s="45"/>
      <c r="E114" s="45"/>
      <c r="F114" s="45"/>
      <c r="G114" s="45"/>
      <c r="H114" s="45"/>
      <c r="I114" s="45"/>
      <c r="J114" s="45"/>
      <c r="K114" s="45"/>
      <c r="L114" s="45"/>
      <c r="M114" s="45"/>
      <c r="N114" s="45"/>
      <c r="O114" s="45"/>
      <c r="P114" s="45"/>
    </row>
    <row r="115" spans="1:16" x14ac:dyDescent="0.25">
      <c r="A115" s="45"/>
      <c r="B115" s="45"/>
      <c r="C115" s="45"/>
      <c r="D115" s="45"/>
      <c r="E115" s="45"/>
      <c r="F115" s="45"/>
      <c r="G115" s="45"/>
      <c r="H115" s="45"/>
      <c r="I115" s="45"/>
      <c r="J115" s="45"/>
      <c r="K115" s="45"/>
      <c r="L115" s="45"/>
      <c r="M115" s="45"/>
      <c r="N115" s="45"/>
      <c r="O115" s="45"/>
      <c r="P115" s="45"/>
    </row>
    <row r="116" spans="1:16" x14ac:dyDescent="0.25">
      <c r="A116" s="45"/>
      <c r="B116" s="45"/>
      <c r="C116" s="45"/>
      <c r="D116" s="45"/>
      <c r="E116" s="45"/>
      <c r="F116" s="45"/>
      <c r="G116" s="45"/>
      <c r="H116" s="45"/>
      <c r="I116" s="45"/>
      <c r="J116" s="45"/>
      <c r="K116" s="45"/>
      <c r="L116" s="45"/>
      <c r="M116" s="45"/>
      <c r="N116" s="45"/>
      <c r="O116" s="45"/>
      <c r="P116" s="45"/>
    </row>
    <row r="117" spans="1:16" x14ac:dyDescent="0.25">
      <c r="A117" s="45"/>
      <c r="B117" s="45"/>
      <c r="C117" s="45"/>
      <c r="D117" s="45"/>
      <c r="E117" s="45"/>
      <c r="F117" s="45"/>
      <c r="G117" s="45"/>
      <c r="H117" s="45"/>
      <c r="I117" s="45"/>
      <c r="J117" s="45"/>
      <c r="K117" s="45"/>
      <c r="L117" s="45"/>
      <c r="M117" s="45"/>
      <c r="N117" s="45"/>
      <c r="O117" s="45"/>
      <c r="P117" s="45"/>
    </row>
    <row r="118" spans="1:16" x14ac:dyDescent="0.25">
      <c r="A118" s="45"/>
      <c r="B118" s="45"/>
      <c r="C118" s="45"/>
      <c r="D118" s="45"/>
      <c r="E118" s="45"/>
      <c r="F118" s="45"/>
      <c r="G118" s="45"/>
      <c r="H118" s="45"/>
      <c r="I118" s="45"/>
      <c r="J118" s="45"/>
      <c r="K118" s="45"/>
      <c r="L118" s="45"/>
      <c r="M118" s="45"/>
      <c r="N118" s="45"/>
      <c r="O118" s="45"/>
      <c r="P118" s="45"/>
    </row>
    <row r="119" spans="1:16" x14ac:dyDescent="0.25">
      <c r="A119" s="45"/>
      <c r="B119" s="45"/>
      <c r="C119" s="45"/>
      <c r="D119" s="45"/>
      <c r="E119" s="45"/>
      <c r="F119" s="45"/>
      <c r="G119" s="45"/>
      <c r="H119" s="45"/>
      <c r="I119" s="45"/>
      <c r="J119" s="45"/>
      <c r="K119" s="45"/>
      <c r="L119" s="45"/>
      <c r="M119" s="45"/>
      <c r="N119" s="45"/>
      <c r="O119" s="45"/>
      <c r="P119" s="45"/>
    </row>
    <row r="120" spans="1:16" x14ac:dyDescent="0.25">
      <c r="A120" s="45"/>
      <c r="B120" s="45"/>
      <c r="C120" s="45"/>
      <c r="D120" s="45"/>
      <c r="E120" s="45"/>
      <c r="F120" s="45"/>
      <c r="G120" s="45"/>
      <c r="H120" s="45"/>
      <c r="I120" s="45"/>
      <c r="J120" s="45"/>
      <c r="K120" s="45"/>
      <c r="L120" s="45"/>
      <c r="M120" s="45"/>
      <c r="N120" s="45"/>
      <c r="O120" s="45"/>
      <c r="P120" s="45"/>
    </row>
    <row r="121" spans="1:16" x14ac:dyDescent="0.25">
      <c r="A121" s="45"/>
      <c r="B121" s="45"/>
      <c r="C121" s="45"/>
      <c r="D121" s="45"/>
      <c r="E121" s="45"/>
      <c r="F121" s="45"/>
      <c r="G121" s="45"/>
      <c r="H121" s="45"/>
      <c r="I121" s="45"/>
      <c r="J121" s="45"/>
      <c r="K121" s="45"/>
      <c r="L121" s="45"/>
      <c r="M121" s="45"/>
      <c r="N121" s="45"/>
      <c r="O121" s="45"/>
      <c r="P121" s="45"/>
    </row>
    <row r="122" spans="1:16" x14ac:dyDescent="0.25">
      <c r="A122" s="45"/>
      <c r="B122" s="45"/>
      <c r="C122" s="45"/>
      <c r="D122" s="45"/>
      <c r="E122" s="45"/>
      <c r="F122" s="45"/>
      <c r="G122" s="45"/>
      <c r="H122" s="45"/>
      <c r="I122" s="45"/>
      <c r="J122" s="45"/>
      <c r="K122" s="45"/>
      <c r="L122" s="45"/>
      <c r="M122" s="45"/>
      <c r="N122" s="45"/>
      <c r="O122" s="45"/>
      <c r="P122" s="45"/>
    </row>
    <row r="123" spans="1:16" x14ac:dyDescent="0.25">
      <c r="A123" s="45"/>
      <c r="B123" s="45"/>
      <c r="C123" s="45"/>
      <c r="D123" s="45"/>
      <c r="E123" s="45"/>
      <c r="F123" s="45"/>
      <c r="G123" s="45"/>
      <c r="H123" s="45"/>
      <c r="I123" s="45"/>
      <c r="J123" s="45"/>
      <c r="K123" s="45"/>
      <c r="L123" s="45"/>
      <c r="M123" s="45"/>
      <c r="N123" s="45"/>
      <c r="O123" s="45"/>
      <c r="P123" s="45"/>
    </row>
    <row r="124" spans="1:16" x14ac:dyDescent="0.25">
      <c r="A124" s="45"/>
      <c r="B124" s="45"/>
      <c r="C124" s="45"/>
      <c r="D124" s="45"/>
      <c r="E124" s="45"/>
      <c r="F124" s="45"/>
      <c r="G124" s="45"/>
      <c r="H124" s="45"/>
      <c r="I124" s="45"/>
      <c r="J124" s="45"/>
      <c r="K124" s="45"/>
      <c r="L124" s="45"/>
      <c r="M124" s="45"/>
      <c r="N124" s="45"/>
      <c r="O124" s="45"/>
      <c r="P124" s="45"/>
    </row>
    <row r="125" spans="1:16" x14ac:dyDescent="0.25">
      <c r="A125" s="45"/>
      <c r="B125" s="45"/>
      <c r="C125" s="45"/>
      <c r="D125" s="45"/>
      <c r="E125" s="45"/>
      <c r="F125" s="45"/>
      <c r="G125" s="45"/>
      <c r="H125" s="45"/>
      <c r="I125" s="45"/>
      <c r="J125" s="45"/>
      <c r="K125" s="45"/>
      <c r="L125" s="45"/>
      <c r="M125" s="45"/>
      <c r="N125" s="45"/>
      <c r="O125" s="45"/>
      <c r="P125" s="45"/>
    </row>
    <row r="126" spans="1:16" x14ac:dyDescent="0.25">
      <c r="A126" s="45"/>
      <c r="B126" s="45"/>
      <c r="C126" s="45"/>
      <c r="D126" s="45"/>
      <c r="E126" s="45"/>
      <c r="F126" s="45"/>
      <c r="G126" s="45"/>
      <c r="H126" s="45"/>
      <c r="I126" s="45"/>
      <c r="J126" s="45"/>
      <c r="K126" s="45"/>
      <c r="L126" s="45"/>
      <c r="M126" s="45"/>
      <c r="N126" s="45"/>
      <c r="O126" s="45"/>
      <c r="P126" s="45"/>
    </row>
    <row r="127" spans="1:16" x14ac:dyDescent="0.25">
      <c r="A127" s="45"/>
      <c r="B127" s="45"/>
      <c r="C127" s="45"/>
      <c r="D127" s="45"/>
      <c r="E127" s="45"/>
      <c r="F127" s="45"/>
      <c r="G127" s="45"/>
      <c r="H127" s="45"/>
      <c r="I127" s="45"/>
      <c r="J127" s="45"/>
      <c r="K127" s="45"/>
      <c r="L127" s="45"/>
      <c r="M127" s="45"/>
      <c r="N127" s="45"/>
      <c r="O127" s="45"/>
      <c r="P127" s="45"/>
    </row>
    <row r="128" spans="1:16" x14ac:dyDescent="0.25">
      <c r="A128" s="45"/>
      <c r="B128" s="45"/>
      <c r="C128" s="45"/>
      <c r="D128" s="45"/>
      <c r="E128" s="45"/>
      <c r="F128" s="45"/>
      <c r="G128" s="45"/>
      <c r="H128" s="45"/>
      <c r="I128" s="45"/>
      <c r="J128" s="45"/>
      <c r="K128" s="45"/>
      <c r="L128" s="45"/>
      <c r="M128" s="45"/>
      <c r="N128" s="45"/>
      <c r="O128" s="45"/>
      <c r="P128" s="45"/>
    </row>
    <row r="129" spans="1:16" x14ac:dyDescent="0.25">
      <c r="A129" s="45"/>
      <c r="B129" s="45"/>
      <c r="C129" s="45"/>
      <c r="D129" s="45"/>
      <c r="E129" s="45"/>
      <c r="F129" s="45"/>
      <c r="G129" s="45"/>
      <c r="H129" s="45"/>
      <c r="I129" s="45"/>
      <c r="J129" s="45"/>
      <c r="K129" s="45"/>
      <c r="L129" s="45"/>
      <c r="M129" s="45"/>
      <c r="N129" s="45"/>
      <c r="O129" s="45"/>
      <c r="P129" s="45"/>
    </row>
    <row r="130" spans="1:16" x14ac:dyDescent="0.25">
      <c r="A130" s="45"/>
      <c r="B130" s="45"/>
      <c r="C130" s="45"/>
      <c r="D130" s="45"/>
      <c r="E130" s="45"/>
      <c r="F130" s="45"/>
      <c r="G130" s="45"/>
      <c r="H130" s="45"/>
      <c r="I130" s="45"/>
      <c r="J130" s="45"/>
      <c r="K130" s="45"/>
      <c r="L130" s="45"/>
      <c r="M130" s="45"/>
      <c r="N130" s="45"/>
      <c r="O130" s="45"/>
      <c r="P130" s="45"/>
    </row>
    <row r="131" spans="1:16" x14ac:dyDescent="0.25">
      <c r="A131" s="45"/>
      <c r="B131" s="45"/>
      <c r="C131" s="45"/>
      <c r="D131" s="45"/>
      <c r="E131" s="45"/>
      <c r="F131" s="45"/>
      <c r="G131" s="45"/>
      <c r="H131" s="45"/>
      <c r="I131" s="45"/>
      <c r="J131" s="45"/>
      <c r="K131" s="45"/>
      <c r="L131" s="45"/>
      <c r="M131" s="45"/>
      <c r="N131" s="45"/>
      <c r="O131" s="45"/>
      <c r="P131" s="45"/>
    </row>
    <row r="132" spans="1:16" x14ac:dyDescent="0.25">
      <c r="A132" s="45"/>
      <c r="B132" s="45"/>
      <c r="C132" s="45"/>
      <c r="D132" s="45"/>
      <c r="E132" s="45"/>
      <c r="F132" s="45"/>
      <c r="G132" s="45"/>
      <c r="H132" s="45"/>
      <c r="I132" s="45"/>
      <c r="J132" s="45"/>
      <c r="K132" s="45"/>
      <c r="L132" s="45"/>
      <c r="M132" s="45"/>
      <c r="N132" s="45"/>
      <c r="O132" s="45"/>
      <c r="P132" s="45"/>
    </row>
    <row r="133" spans="1:16" x14ac:dyDescent="0.25">
      <c r="A133" s="45"/>
      <c r="B133" s="45"/>
      <c r="C133" s="45"/>
      <c r="D133" s="45"/>
      <c r="E133" s="45"/>
      <c r="F133" s="45"/>
      <c r="G133" s="45"/>
      <c r="H133" s="45"/>
      <c r="I133" s="45"/>
      <c r="J133" s="45"/>
      <c r="K133" s="45"/>
      <c r="L133" s="45"/>
      <c r="M133" s="45"/>
      <c r="N133" s="45"/>
      <c r="O133" s="45"/>
      <c r="P133" s="45"/>
    </row>
    <row r="134" spans="1:16" x14ac:dyDescent="0.25">
      <c r="A134" s="45"/>
      <c r="B134" s="45"/>
      <c r="C134" s="45"/>
      <c r="D134" s="45"/>
      <c r="E134" s="45"/>
      <c r="F134" s="45"/>
      <c r="G134" s="45"/>
      <c r="H134" s="45"/>
      <c r="I134" s="45"/>
      <c r="J134" s="45"/>
      <c r="K134" s="45"/>
      <c r="L134" s="45"/>
      <c r="M134" s="45"/>
      <c r="N134" s="45"/>
      <c r="O134" s="45"/>
      <c r="P134" s="45"/>
    </row>
    <row r="135" spans="1:16" x14ac:dyDescent="0.25">
      <c r="A135" s="45"/>
      <c r="B135" s="45"/>
      <c r="C135" s="45"/>
      <c r="D135" s="45"/>
      <c r="E135" s="45"/>
      <c r="F135" s="45"/>
      <c r="G135" s="45"/>
      <c r="H135" s="45"/>
      <c r="I135" s="45"/>
      <c r="J135" s="45"/>
      <c r="K135" s="45"/>
      <c r="L135" s="45"/>
      <c r="M135" s="45"/>
      <c r="N135" s="45"/>
      <c r="O135" s="45"/>
      <c r="P135" s="45"/>
    </row>
    <row r="136" spans="1:16" x14ac:dyDescent="0.25">
      <c r="A136" s="45"/>
      <c r="B136" s="45"/>
      <c r="C136" s="45"/>
      <c r="D136" s="45"/>
      <c r="E136" s="45"/>
      <c r="F136" s="45"/>
      <c r="G136" s="45"/>
      <c r="H136" s="45"/>
      <c r="I136" s="45"/>
      <c r="J136" s="45"/>
      <c r="K136" s="45"/>
      <c r="L136" s="45"/>
      <c r="M136" s="45"/>
      <c r="N136" s="45"/>
      <c r="O136" s="45"/>
      <c r="P136" s="45"/>
    </row>
    <row r="137" spans="1:16" x14ac:dyDescent="0.25">
      <c r="A137" s="45"/>
      <c r="B137" s="45"/>
      <c r="C137" s="45"/>
      <c r="D137" s="45"/>
      <c r="E137" s="45"/>
      <c r="F137" s="45"/>
      <c r="G137" s="45"/>
      <c r="H137" s="45"/>
      <c r="I137" s="45"/>
      <c r="J137" s="45"/>
      <c r="K137" s="45"/>
      <c r="L137" s="45"/>
      <c r="M137" s="45"/>
      <c r="N137" s="45"/>
      <c r="O137" s="45"/>
      <c r="P137" s="45"/>
    </row>
    <row r="138" spans="1:16" x14ac:dyDescent="0.25">
      <c r="A138" s="45"/>
      <c r="B138" s="45"/>
      <c r="C138" s="45"/>
      <c r="D138" s="45"/>
      <c r="E138" s="45"/>
      <c r="F138" s="45"/>
      <c r="G138" s="45"/>
      <c r="H138" s="45"/>
      <c r="I138" s="45"/>
      <c r="J138" s="45"/>
      <c r="K138" s="45"/>
      <c r="L138" s="45"/>
      <c r="M138" s="45"/>
      <c r="N138" s="45"/>
      <c r="O138" s="45"/>
      <c r="P138" s="45"/>
    </row>
    <row r="139" spans="1:16" x14ac:dyDescent="0.25">
      <c r="A139" s="45"/>
      <c r="B139" s="45"/>
      <c r="C139" s="45"/>
      <c r="D139" s="45"/>
      <c r="E139" s="45"/>
      <c r="F139" s="45"/>
      <c r="G139" s="45"/>
      <c r="H139" s="45"/>
      <c r="I139" s="45"/>
      <c r="J139" s="45"/>
      <c r="K139" s="45"/>
      <c r="L139" s="45"/>
      <c r="M139" s="45"/>
      <c r="N139" s="45"/>
      <c r="O139" s="45"/>
      <c r="P139" s="45"/>
    </row>
    <row r="140" spans="1:16" x14ac:dyDescent="0.25">
      <c r="A140" s="45"/>
      <c r="B140" s="45"/>
      <c r="C140" s="45"/>
      <c r="D140" s="45"/>
      <c r="E140" s="45"/>
      <c r="F140" s="45"/>
      <c r="G140" s="45"/>
      <c r="H140" s="45"/>
      <c r="I140" s="45"/>
      <c r="J140" s="45"/>
      <c r="K140" s="45"/>
      <c r="L140" s="45"/>
      <c r="M140" s="45"/>
      <c r="N140" s="45"/>
      <c r="O140" s="45"/>
      <c r="P140" s="45"/>
    </row>
    <row r="141" spans="1:16" x14ac:dyDescent="0.25">
      <c r="A141" s="45"/>
      <c r="B141" s="45"/>
      <c r="C141" s="45"/>
      <c r="D141" s="45"/>
      <c r="E141" s="45"/>
      <c r="F141" s="45"/>
      <c r="G141" s="45"/>
      <c r="H141" s="45"/>
      <c r="I141" s="45"/>
      <c r="J141" s="45"/>
      <c r="K141" s="45"/>
      <c r="L141" s="45"/>
      <c r="M141" s="45"/>
      <c r="N141" s="45"/>
      <c r="O141" s="45"/>
      <c r="P141" s="45"/>
    </row>
  </sheetData>
  <customSheetViews>
    <customSheetView guid="{85263178-E0B2-4B7B-9F6F-D76E18D11EB6}" showRuler="0"/>
  </customSheetViews>
  <mergeCells count="2">
    <mergeCell ref="C3:D3"/>
    <mergeCell ref="D30:D31"/>
  </mergeCells>
  <conditionalFormatting sqref="E32 E34 E36 E38 E40 E42 E44 E46 E48 E50">
    <cfRule type="cellIs" dxfId="5" priority="1" stopIfTrue="1" operator="between">
      <formula>0</formula>
      <formula>59</formula>
    </cfRule>
    <cfRule type="cellIs" dxfId="4" priority="2" stopIfTrue="1" operator="between">
      <formula>60</formula>
      <formula>79</formula>
    </cfRule>
    <cfRule type="cellIs" dxfId="3" priority="3" stopIfTrue="1" operator="between">
      <formula>80</formula>
      <formula>100</formula>
    </cfRule>
  </conditionalFormatting>
  <conditionalFormatting sqref="E3">
    <cfRule type="cellIs" dxfId="2" priority="4" stopIfTrue="1" operator="between">
      <formula>0</formula>
      <formula>59</formula>
    </cfRule>
    <cfRule type="cellIs" dxfId="1" priority="5" stopIfTrue="1" operator="between">
      <formula>60</formula>
      <formula>79</formula>
    </cfRule>
    <cfRule type="cellIs" dxfId="0" priority="6" stopIfTrue="1" operator="between">
      <formula>80</formula>
      <formula>100</formula>
    </cfRule>
  </conditionalFormatting>
  <pageMargins left="0.75" right="0.75" top="1" bottom="1" header="0.5" footer="0.5"/>
  <pageSetup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Data Input</vt:lpstr>
      <vt:lpstr>Results</vt:lpstr>
      <vt:lpstr>'Data Input'!Print_Area</vt:lpstr>
    </vt:vector>
  </TitlesOfParts>
  <Company>Titan Systems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Guenther</dc:creator>
  <cp:lastModifiedBy>Carina Negreanu</cp:lastModifiedBy>
  <cp:lastPrinted>2002-06-24T13:18:13Z</cp:lastPrinted>
  <dcterms:created xsi:type="dcterms:W3CDTF">2002-03-22T21:15:53Z</dcterms:created>
  <dcterms:modified xsi:type="dcterms:W3CDTF">2020-01-27T10:40:42Z</dcterms:modified>
</cp:coreProperties>
</file>