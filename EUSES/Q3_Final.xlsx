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FF05C4-FB63-4407-B3C9-2F628CFB1962}" xr6:coauthVersionLast="45" xr6:coauthVersionMax="45" xr10:uidLastSave="{00000000-0000-0000-0000-000000000000}"/>
  <bookViews>
    <workbookView xWindow="3040" yWindow="3040" windowWidth="28800" windowHeight="15460"/>
  </bookViews>
  <sheets>
    <sheet name="A" sheetId="1" r:id="rId1"/>
  </sheets>
  <definedNames>
    <definedName name="_xlnm.Print_Area" localSheetId="0">A!$A$1:$P$60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1" l="1"/>
  <c r="F12" i="1"/>
  <c r="I12" i="1"/>
  <c r="L12" i="1"/>
  <c r="O12" i="1"/>
  <c r="F21" i="1"/>
  <c r="I21" i="1"/>
  <c r="L21" i="1"/>
  <c r="O21" i="1"/>
  <c r="F23" i="1"/>
  <c r="I23" i="1"/>
  <c r="L23" i="1"/>
  <c r="O23" i="1"/>
  <c r="F29" i="1"/>
  <c r="I29" i="1"/>
  <c r="I33" i="1" s="1"/>
  <c r="I35" i="1" s="1"/>
  <c r="L29" i="1"/>
  <c r="O29" i="1"/>
  <c r="O33" i="1" s="1"/>
  <c r="O35" i="1" s="1"/>
  <c r="F33" i="1"/>
  <c r="F35" i="1" s="1"/>
  <c r="L33" i="1"/>
  <c r="L35" i="1" s="1"/>
  <c r="H41" i="1"/>
  <c r="O45" i="1"/>
  <c r="I46" i="1"/>
  <c r="O46" i="1"/>
  <c r="I51" i="1"/>
  <c r="O51" i="1"/>
  <c r="I53" i="1"/>
  <c r="I54" i="1"/>
  <c r="I58" i="1"/>
  <c r="O58" i="1"/>
</calcChain>
</file>

<file path=xl/sharedStrings.xml><?xml version="1.0" encoding="utf-8"?>
<sst xmlns="http://schemas.openxmlformats.org/spreadsheetml/2006/main" count="61" uniqueCount="46">
  <si>
    <t>TARGETED GENETICS CORPORATION</t>
  </si>
  <si>
    <t>Selected Financial Information</t>
  </si>
  <si>
    <t>STATEMENTS OF OPERATIONS</t>
  </si>
  <si>
    <t>Three months ended</t>
  </si>
  <si>
    <t>(unaudited, in thousands except per share data)</t>
  </si>
  <si>
    <t>1999</t>
  </si>
  <si>
    <t>Revenue:</t>
  </si>
  <si>
    <t>Collaborative agreements</t>
  </si>
  <si>
    <t>$</t>
  </si>
  <si>
    <t>Investment income</t>
  </si>
  <si>
    <t>Total revenue</t>
  </si>
  <si>
    <t>Research and development</t>
  </si>
  <si>
    <t>Technology license fee</t>
  </si>
  <si>
    <t>General and administrative</t>
  </si>
  <si>
    <t>Net loss</t>
  </si>
  <si>
    <t>CONDENSED BALANCE SHEETS</t>
  </si>
  <si>
    <t>December 31,</t>
  </si>
  <si>
    <t>(in thousands)</t>
  </si>
  <si>
    <t>(unaudited)</t>
  </si>
  <si>
    <t>Other current assets</t>
  </si>
  <si>
    <t>Property, plant and equipment, net</t>
  </si>
  <si>
    <t>Other assets</t>
  </si>
  <si>
    <t>Total assets</t>
  </si>
  <si>
    <t>Current liabilities</t>
  </si>
  <si>
    <t>Long-term obligations</t>
  </si>
  <si>
    <t>Total liabilities and shareholders' equity</t>
  </si>
  <si>
    <t># # #</t>
  </si>
  <si>
    <t>Revenue from affiliates</t>
  </si>
  <si>
    <t>Loss from operations</t>
  </si>
  <si>
    <t>Equity in loss of joint venture</t>
  </si>
  <si>
    <t>Net loss applicable to common stock</t>
  </si>
  <si>
    <t>Interest expense</t>
  </si>
  <si>
    <t>Operating expenses:</t>
  </si>
  <si>
    <t>Total expenses</t>
  </si>
  <si>
    <t>Basic and diluted net loss per share</t>
  </si>
  <si>
    <t xml:space="preserve">Shares used in computation of basic and </t>
  </si>
  <si>
    <t xml:space="preserve">  diluted net loss per share</t>
  </si>
  <si>
    <t>Cash, cash equivalents and securities available for sale</t>
  </si>
  <si>
    <t>Accretion of dividend on preferred stock</t>
  </si>
  <si>
    <t>September 30,</t>
  </si>
  <si>
    <t>Nine months ended</t>
  </si>
  <si>
    <t>Shareholders' equity (42,817,297 shares of common stock outstanding</t>
  </si>
  <si>
    <t>at September 30, 2000)</t>
  </si>
  <si>
    <t>Acquired in-process research and development</t>
  </si>
  <si>
    <t>Amortization of acquisition related intangibles</t>
  </si>
  <si>
    <t>Goodwill and other purchased intangibles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</si>
</sst>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_(* #,##0_);_(* \(#,##0\);_(* &quot;-&quot;_);_(@_)"/>
  </numFmts>
  <fonts count="5" x14ac:knownFonts="1">
    <font>
      <sz val="11"/>
      <name val="Times New Roman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3" fontId="0" fillId="0" borderId="0"/>
  </cellStyleXfs>
  <cellXfs count="46">
    <xf numFmtId="3" fontId="0" fillId="0" borderId="0" xfId="0" applyNumberFormat="1" applyFont="1" applyAlignment="1" applyProtection="1">
      <protection locked="0"/>
    </xf>
    <xf numFmtId="3" fontId="1" fillId="0" borderId="0" xfId="0" applyNumberFormat="1" applyFont="1" applyAlignment="1">
      <alignment horizontal="centerContinuous"/>
    </xf>
    <xf numFmtId="3" fontId="0" fillId="0" borderId="0" xfId="0" applyNumberFormat="1" applyFont="1" applyAlignment="1">
      <alignment horizontal="centerContinuous"/>
    </xf>
    <xf numFmtId="3" fontId="0" fillId="0" borderId="0" xfId="0" applyNumberFormat="1"/>
    <xf numFmtId="3" fontId="2" fillId="0" borderId="0" xfId="0" applyFont="1" applyAlignment="1"/>
    <xf numFmtId="3" fontId="3" fillId="0" borderId="0" xfId="0" applyFont="1" applyAlignment="1"/>
    <xf numFmtId="3" fontId="0" fillId="0" borderId="0" xfId="0"/>
    <xf numFmtId="3" fontId="0" fillId="0" borderId="0" xfId="0" applyFont="1" applyAlignment="1"/>
    <xf numFmtId="3" fontId="0" fillId="0" borderId="1" xfId="0" applyNumberFormat="1" applyBorder="1"/>
    <xf numFmtId="3" fontId="0" fillId="0" borderId="0" xfId="0" applyNumberFormat="1" applyFont="1" applyAlignment="1"/>
    <xf numFmtId="3" fontId="0" fillId="0" borderId="2" xfId="0" applyNumberFormat="1" applyBorder="1"/>
    <xf numFmtId="4" fontId="0" fillId="0" borderId="2" xfId="0" applyNumberFormat="1" applyBorder="1"/>
    <xf numFmtId="3" fontId="0" fillId="0" borderId="0" xfId="0" applyAlignment="1">
      <alignment horizontal="left"/>
    </xf>
    <xf numFmtId="3" fontId="0" fillId="0" borderId="0" xfId="0" applyFont="1" applyAlignment="1">
      <alignment horizontal="center"/>
    </xf>
    <xf numFmtId="3" fontId="3" fillId="0" borderId="1" xfId="0" applyNumberFormat="1" applyFont="1" applyBorder="1" applyAlignment="1">
      <alignment horizontal="centerContinuous"/>
    </xf>
    <xf numFmtId="3" fontId="4" fillId="0" borderId="1" xfId="0" applyNumberFormat="1" applyFont="1" applyBorder="1" applyAlignment="1">
      <alignment horizontal="centerContinuous"/>
    </xf>
    <xf numFmtId="39" fontId="0" fillId="0" borderId="0" xfId="0" applyNumberFormat="1" applyFont="1" applyAlignment="1"/>
    <xf numFmtId="3" fontId="0" fillId="0" borderId="0" xfId="0" applyNumberFormat="1" applyAlignment="1" applyProtection="1">
      <protection locked="0"/>
    </xf>
    <xf numFmtId="3" fontId="0" fillId="0" borderId="0" xfId="0" applyNumberFormat="1" applyFont="1" applyBorder="1" applyAlignment="1" applyProtection="1">
      <protection locked="0"/>
    </xf>
    <xf numFmtId="3" fontId="0" fillId="0" borderId="0" xfId="0" applyAlignment="1"/>
    <xf numFmtId="3" fontId="0" fillId="0" borderId="0" xfId="0" applyNumberFormat="1" applyBorder="1"/>
    <xf numFmtId="37" fontId="0" fillId="0" borderId="0" xfId="0" applyNumberFormat="1" applyFont="1" applyBorder="1" applyAlignment="1"/>
    <xf numFmtId="37" fontId="0" fillId="0" borderId="3" xfId="0" applyNumberFormat="1" applyFont="1" applyBorder="1" applyAlignment="1"/>
    <xf numFmtId="3" fontId="0" fillId="0" borderId="3" xfId="0" applyNumberFormat="1" applyBorder="1"/>
    <xf numFmtId="3" fontId="0" fillId="0" borderId="4" xfId="0" applyNumberFormat="1" applyBorder="1"/>
    <xf numFmtId="0" fontId="0" fillId="0" borderId="0" xfId="0" applyNumberFormat="1" applyFont="1" applyAlignment="1">
      <alignment horizontal="centerContinuous"/>
    </xf>
    <xf numFmtId="3" fontId="0" fillId="0" borderId="0" xfId="0" applyNumberFormat="1" applyAlignment="1"/>
    <xf numFmtId="3" fontId="0" fillId="0" borderId="0" xfId="0" applyFont="1" applyBorder="1" applyAlignment="1"/>
    <xf numFmtId="3" fontId="0" fillId="0" borderId="5" xfId="0" applyNumberFormat="1" applyBorder="1"/>
    <xf numFmtId="3" fontId="0" fillId="0" borderId="5" xfId="0" applyBorder="1"/>
    <xf numFmtId="3" fontId="0" fillId="0" borderId="3" xfId="0" applyNumberFormat="1" applyFont="1" applyBorder="1" applyAlignment="1" applyProtection="1">
      <protection locked="0"/>
    </xf>
    <xf numFmtId="0" fontId="0" fillId="0" borderId="1" xfId="0" applyNumberFormat="1" applyFont="1" applyBorder="1" applyAlignment="1">
      <alignment horizontal="centerContinuous"/>
    </xf>
    <xf numFmtId="0" fontId="0" fillId="0" borderId="1" xfId="0" applyNumberFormat="1" applyBorder="1"/>
    <xf numFmtId="0" fontId="0" fillId="0" borderId="0" xfId="0" applyNumberFormat="1" applyFont="1" applyAlignment="1" applyProtection="1">
      <protection locked="0"/>
    </xf>
    <xf numFmtId="3" fontId="0" fillId="0" borderId="0" xfId="0" applyNumberFormat="1" applyAlignment="1">
      <alignment horizontal="centerContinuous"/>
    </xf>
    <xf numFmtId="169" fontId="0" fillId="0" borderId="0" xfId="0" applyNumberFormat="1" applyFont="1" applyBorder="1" applyAlignment="1" applyProtection="1">
      <protection locked="0"/>
    </xf>
    <xf numFmtId="169" fontId="0" fillId="0" borderId="0" xfId="0" applyNumberFormat="1" applyBorder="1"/>
    <xf numFmtId="169" fontId="0" fillId="0" borderId="5" xfId="0" applyNumberFormat="1" applyBorder="1"/>
    <xf numFmtId="169" fontId="0" fillId="0" borderId="0" xfId="0" applyNumberFormat="1" applyFont="1" applyAlignment="1" applyProtection="1">
      <protection locked="0"/>
    </xf>
    <xf numFmtId="169" fontId="0" fillId="0" borderId="3" xfId="0" applyNumberFormat="1" applyFont="1" applyBorder="1" applyAlignment="1" applyProtection="1">
      <protection locked="0"/>
    </xf>
    <xf numFmtId="169" fontId="0" fillId="0" borderId="0" xfId="0" applyNumberFormat="1" applyFont="1" applyBorder="1" applyAlignment="1"/>
    <xf numFmtId="169" fontId="0" fillId="0" borderId="5" xfId="0" applyNumberFormat="1" applyFont="1" applyBorder="1" applyAlignment="1" applyProtection="1">
      <protection locked="0"/>
    </xf>
    <xf numFmtId="169" fontId="0" fillId="0" borderId="3" xfId="0" applyNumberFormat="1" applyFont="1" applyBorder="1" applyAlignment="1"/>
    <xf numFmtId="169" fontId="0" fillId="0" borderId="0" xfId="0" applyNumberFormat="1" applyFont="1" applyAlignment="1"/>
    <xf numFmtId="169" fontId="0" fillId="0" borderId="4" xfId="0" applyNumberFormat="1" applyFont="1" applyBorder="1" applyAlignment="1" applyProtection="1">
      <protection locked="0"/>
    </xf>
    <xf numFmtId="16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P60"/>
  <sheetViews>
    <sheetView tabSelected="1" showOutlineSymbols="0" topLeftCell="A5" zoomScale="87" workbookViewId="0">
      <selection activeCell="I54" sqref="I54"/>
    </sheetView>
  </sheetViews>
  <sheetFormatPr defaultColWidth="9.6328125" defaultRowHeight="14" x14ac:dyDescent="0.3"/>
  <cols>
    <col min="1" max="2" width="3.6328125" customWidth="1"/>
    <col min="3" max="3" width="10.6328125" customWidth="1"/>
    <col min="4" max="4" width="26.36328125" customWidth="1"/>
    <col min="5" max="5" width="2.6328125" customWidth="1"/>
    <col min="6" max="6" width="8.453125" customWidth="1"/>
    <col min="7" max="8" width="2.6328125" customWidth="1"/>
    <col min="9" max="9" width="8.453125" bestFit="1" customWidth="1"/>
    <col min="10" max="10" width="3.6328125" customWidth="1"/>
    <col min="11" max="11" width="2.6328125" customWidth="1"/>
    <col min="12" max="12" width="9.81640625" bestFit="1" customWidth="1"/>
    <col min="13" max="14" width="2.6328125" customWidth="1"/>
    <col min="15" max="15" width="8.453125" customWidth="1"/>
    <col min="16" max="16" width="1.6328125" customWidth="1"/>
  </cols>
  <sheetData>
    <row r="1" spans="1:16" ht="1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15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x14ac:dyDescent="0.3">
      <c r="A3" s="3"/>
    </row>
    <row r="4" spans="1:16" x14ac:dyDescent="0.3">
      <c r="A4" s="3"/>
    </row>
    <row r="5" spans="1:16" x14ac:dyDescent="0.3">
      <c r="A5" s="4" t="s">
        <v>2</v>
      </c>
      <c r="E5" s="2" t="s">
        <v>3</v>
      </c>
      <c r="F5" s="2"/>
      <c r="G5" s="2"/>
      <c r="H5" s="2"/>
      <c r="I5" s="2"/>
      <c r="K5" s="34" t="s">
        <v>40</v>
      </c>
      <c r="L5" s="2"/>
      <c r="M5" s="2"/>
      <c r="N5" s="2"/>
      <c r="O5" s="2"/>
    </row>
    <row r="6" spans="1:16" x14ac:dyDescent="0.3">
      <c r="A6" s="5" t="s">
        <v>4</v>
      </c>
      <c r="E6" s="34" t="s">
        <v>39</v>
      </c>
      <c r="F6" s="2"/>
      <c r="G6" s="2"/>
      <c r="H6" s="2"/>
      <c r="I6" s="2"/>
      <c r="K6" s="2" t="str">
        <f>+E6</f>
        <v>September 30,</v>
      </c>
      <c r="L6" s="2"/>
      <c r="M6" s="2"/>
      <c r="N6" s="2"/>
      <c r="O6" s="2"/>
    </row>
    <row r="7" spans="1:16" x14ac:dyDescent="0.3">
      <c r="A7" s="6"/>
      <c r="E7" s="31">
        <v>2000</v>
      </c>
      <c r="F7" s="31"/>
      <c r="G7" s="32"/>
      <c r="H7" s="31">
        <v>1999</v>
      </c>
      <c r="I7" s="31"/>
      <c r="J7" s="33"/>
      <c r="K7" s="31">
        <v>2000</v>
      </c>
      <c r="L7" s="31"/>
      <c r="M7" s="32"/>
      <c r="N7" s="31">
        <v>1999</v>
      </c>
      <c r="O7" s="31"/>
    </row>
    <row r="8" spans="1:16" ht="12.75" customHeight="1" x14ac:dyDescent="0.3">
      <c r="A8" s="7" t="s">
        <v>6</v>
      </c>
      <c r="E8" s="8"/>
      <c r="F8" s="8"/>
      <c r="H8" s="8"/>
      <c r="I8" s="8"/>
      <c r="K8" s="8"/>
      <c r="L8" s="8"/>
      <c r="N8" s="8"/>
      <c r="O8" s="8"/>
    </row>
    <row r="9" spans="1:16" ht="12.75" customHeight="1" x14ac:dyDescent="0.3">
      <c r="A9" s="3"/>
      <c r="B9" t="s">
        <v>7</v>
      </c>
      <c r="E9" s="9" t="s">
        <v>8</v>
      </c>
      <c r="F9" s="38">
        <v>5843</v>
      </c>
      <c r="G9" s="38"/>
      <c r="H9" s="43" t="s">
        <v>8</v>
      </c>
      <c r="I9" s="38">
        <v>1365</v>
      </c>
      <c r="J9" s="38"/>
      <c r="K9" s="43" t="s">
        <v>8</v>
      </c>
      <c r="L9" s="38">
        <v>8916</v>
      </c>
      <c r="M9" s="38"/>
      <c r="N9" s="43" t="s">
        <v>8</v>
      </c>
      <c r="O9" s="38">
        <v>3988</v>
      </c>
    </row>
    <row r="10" spans="1:16" ht="12.75" customHeight="1" x14ac:dyDescent="0.3">
      <c r="A10" s="3"/>
      <c r="B10" s="17" t="s">
        <v>27</v>
      </c>
      <c r="E10" s="18"/>
      <c r="F10" s="35">
        <v>500</v>
      </c>
      <c r="G10" s="35"/>
      <c r="H10" s="35"/>
      <c r="I10" s="35">
        <v>0</v>
      </c>
      <c r="J10" s="35"/>
      <c r="K10" s="35"/>
      <c r="L10" s="35">
        <v>1354</v>
      </c>
      <c r="M10" s="35"/>
      <c r="N10" s="35"/>
      <c r="O10" s="35">
        <v>0</v>
      </c>
    </row>
    <row r="11" spans="1:16" ht="9" customHeight="1" x14ac:dyDescent="0.3">
      <c r="A11" s="3"/>
      <c r="E11" s="20"/>
      <c r="F11" s="36"/>
      <c r="G11" s="35"/>
      <c r="H11" s="36"/>
      <c r="I11" s="36"/>
      <c r="J11" s="35"/>
      <c r="K11" s="36"/>
      <c r="L11" s="36"/>
      <c r="M11" s="35"/>
      <c r="N11" s="36"/>
      <c r="O11" s="36"/>
    </row>
    <row r="12" spans="1:16" x14ac:dyDescent="0.3">
      <c r="A12" s="9"/>
      <c r="C12" s="7" t="s">
        <v>10</v>
      </c>
      <c r="E12" s="29"/>
      <c r="F12" s="37">
        <f>SUM(F9:F11)</f>
        <v>6343</v>
      </c>
      <c r="G12" s="35"/>
      <c r="H12" s="37"/>
      <c r="I12" s="37">
        <f>SUM(I9:I11)</f>
        <v>1365</v>
      </c>
      <c r="J12" s="35"/>
      <c r="K12" s="37"/>
      <c r="L12" s="37">
        <f>SUM(L9:L11)</f>
        <v>10270</v>
      </c>
      <c r="M12" s="35"/>
      <c r="N12" s="37"/>
      <c r="O12" s="37">
        <f>SUM(O9:O11)</f>
        <v>3988</v>
      </c>
    </row>
    <row r="13" spans="1:16" ht="9" customHeight="1" x14ac:dyDescent="0.3">
      <c r="A13" s="3"/>
      <c r="E13" s="20"/>
      <c r="F13" s="36"/>
      <c r="G13" s="35"/>
      <c r="H13" s="36"/>
      <c r="I13" s="36"/>
      <c r="J13" s="35"/>
      <c r="K13" s="36"/>
      <c r="L13" s="36"/>
      <c r="M13" s="35"/>
      <c r="N13" s="36"/>
      <c r="O13" s="36"/>
    </row>
    <row r="14" spans="1:16" x14ac:dyDescent="0.3">
      <c r="A14" s="26" t="s">
        <v>32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</row>
    <row r="15" spans="1:16" x14ac:dyDescent="0.3">
      <c r="A15" s="3"/>
      <c r="B15" s="9" t="s">
        <v>11</v>
      </c>
      <c r="F15" s="38">
        <v>4505</v>
      </c>
      <c r="G15" s="38"/>
      <c r="H15" s="38"/>
      <c r="I15" s="38">
        <v>3636</v>
      </c>
      <c r="J15" s="38"/>
      <c r="K15" s="38"/>
      <c r="L15" s="38">
        <v>12761</v>
      </c>
      <c r="M15" s="38"/>
      <c r="N15" s="38"/>
      <c r="O15" s="38">
        <v>10297</v>
      </c>
    </row>
    <row r="16" spans="1:16" x14ac:dyDescent="0.3">
      <c r="A16" s="3"/>
      <c r="B16" s="7" t="s">
        <v>12</v>
      </c>
      <c r="F16" s="38">
        <v>0</v>
      </c>
      <c r="G16" s="38"/>
      <c r="H16" s="38"/>
      <c r="I16" s="38">
        <v>0</v>
      </c>
      <c r="J16" s="38"/>
      <c r="K16" s="38"/>
      <c r="L16" s="38">
        <v>0</v>
      </c>
      <c r="M16" s="38"/>
      <c r="N16" s="38"/>
      <c r="O16" s="38">
        <v>3200</v>
      </c>
    </row>
    <row r="17" spans="1:16" x14ac:dyDescent="0.3">
      <c r="A17" s="3"/>
      <c r="B17" s="19" t="s">
        <v>43</v>
      </c>
      <c r="F17" s="38">
        <v>28029</v>
      </c>
      <c r="G17" s="38"/>
      <c r="H17" s="38"/>
      <c r="I17" s="38">
        <v>0</v>
      </c>
      <c r="J17" s="38"/>
      <c r="K17" s="38"/>
      <c r="L17" s="38">
        <v>28029</v>
      </c>
      <c r="M17" s="38"/>
      <c r="N17" s="38"/>
      <c r="O17" s="38">
        <v>0</v>
      </c>
    </row>
    <row r="18" spans="1:16" x14ac:dyDescent="0.3">
      <c r="A18" s="3"/>
      <c r="B18" s="19" t="s">
        <v>44</v>
      </c>
      <c r="F18" s="38">
        <v>151</v>
      </c>
      <c r="G18" s="38"/>
      <c r="H18" s="38"/>
      <c r="I18" s="38">
        <v>0</v>
      </c>
      <c r="J18" s="38"/>
      <c r="K18" s="38"/>
      <c r="L18" s="38">
        <v>151</v>
      </c>
      <c r="M18" s="38"/>
      <c r="N18" s="38"/>
      <c r="O18" s="38">
        <v>0</v>
      </c>
    </row>
    <row r="19" spans="1:16" ht="14.25" customHeight="1" x14ac:dyDescent="0.3">
      <c r="A19" s="3"/>
      <c r="B19" s="9" t="s">
        <v>13</v>
      </c>
      <c r="E19" s="30"/>
      <c r="F19" s="39">
        <v>1119</v>
      </c>
      <c r="G19" s="38"/>
      <c r="H19" s="39"/>
      <c r="I19" s="39">
        <v>968</v>
      </c>
      <c r="J19" s="38"/>
      <c r="K19" s="39"/>
      <c r="L19" s="39">
        <v>3318</v>
      </c>
      <c r="M19" s="38"/>
      <c r="N19" s="39"/>
      <c r="O19" s="39">
        <v>2408</v>
      </c>
    </row>
    <row r="20" spans="1:16" ht="9" customHeight="1" x14ac:dyDescent="0.3">
      <c r="A20" s="6"/>
      <c r="B20" s="7"/>
      <c r="F20" s="38"/>
      <c r="G20" s="38"/>
      <c r="H20" s="38"/>
      <c r="I20" s="38"/>
      <c r="J20" s="38"/>
      <c r="K20" s="38"/>
      <c r="L20" s="38"/>
      <c r="M20" s="38"/>
      <c r="N20" s="38"/>
      <c r="O20" s="38"/>
    </row>
    <row r="21" spans="1:16" x14ac:dyDescent="0.3">
      <c r="A21" s="6"/>
      <c r="C21" s="19" t="s">
        <v>33</v>
      </c>
      <c r="E21" s="27"/>
      <c r="F21" s="40">
        <f>SUM(F15:F20)</f>
        <v>33804</v>
      </c>
      <c r="G21" s="35"/>
      <c r="H21" s="40"/>
      <c r="I21" s="40">
        <f>SUM(I15:I20)</f>
        <v>4604</v>
      </c>
      <c r="J21" s="35"/>
      <c r="K21" s="40"/>
      <c r="L21" s="40">
        <f>SUM(L15:L20)</f>
        <v>44259</v>
      </c>
      <c r="M21" s="35"/>
      <c r="N21" s="40"/>
      <c r="O21" s="40">
        <f>SUM(O15:O20)</f>
        <v>15905</v>
      </c>
    </row>
    <row r="22" spans="1:16" ht="9" customHeight="1" x14ac:dyDescent="0.3">
      <c r="E22" s="20"/>
      <c r="F22" s="36"/>
      <c r="G22" s="36"/>
      <c r="H22" s="36"/>
      <c r="I22" s="36"/>
      <c r="J22" s="36"/>
      <c r="K22" s="36"/>
      <c r="L22" s="36"/>
      <c r="M22" s="36"/>
      <c r="N22" s="36"/>
      <c r="O22" s="36"/>
    </row>
    <row r="23" spans="1:16" x14ac:dyDescent="0.3">
      <c r="A23" s="19" t="s">
        <v>28</v>
      </c>
      <c r="E23" s="28"/>
      <c r="F23" s="41">
        <f>F12-F21</f>
        <v>-27461</v>
      </c>
      <c r="G23" s="36"/>
      <c r="H23" s="37"/>
      <c r="I23" s="41">
        <f>I12-I21</f>
        <v>-3239</v>
      </c>
      <c r="J23" s="35"/>
      <c r="K23" s="37"/>
      <c r="L23" s="41">
        <f>L12-L21</f>
        <v>-33989</v>
      </c>
      <c r="M23" s="36"/>
      <c r="N23" s="37"/>
      <c r="O23" s="41">
        <f>O12-O21</f>
        <v>-11917</v>
      </c>
      <c r="P23" s="18"/>
    </row>
    <row r="24" spans="1:16" s="18" customFormat="1" ht="9" customHeight="1" x14ac:dyDescent="0.3">
      <c r="A24" s="20"/>
      <c r="E24" s="20"/>
      <c r="F24" s="36"/>
      <c r="G24" s="35"/>
      <c r="H24" s="36"/>
      <c r="I24" s="36"/>
      <c r="J24" s="35"/>
      <c r="K24" s="36"/>
      <c r="L24" s="36"/>
      <c r="M24" s="35"/>
      <c r="N24" s="36"/>
      <c r="O24" s="36"/>
    </row>
    <row r="25" spans="1:16" s="18" customFormat="1" x14ac:dyDescent="0.3">
      <c r="A25" s="3" t="s">
        <v>29</v>
      </c>
      <c r="B25" s="9"/>
      <c r="C25"/>
      <c r="E25" s="20"/>
      <c r="F25" s="35">
        <v>-623</v>
      </c>
      <c r="G25" s="35"/>
      <c r="H25" s="35"/>
      <c r="I25" s="35">
        <v>-12015</v>
      </c>
      <c r="J25" s="35"/>
      <c r="K25" s="35"/>
      <c r="L25" s="35">
        <v>-1794</v>
      </c>
      <c r="M25" s="35"/>
      <c r="N25" s="35"/>
      <c r="O25" s="35">
        <v>-12015</v>
      </c>
    </row>
    <row r="26" spans="1:16" s="18" customFormat="1" x14ac:dyDescent="0.3">
      <c r="A26" t="s">
        <v>9</v>
      </c>
      <c r="C26"/>
      <c r="D26"/>
      <c r="E26" s="21"/>
      <c r="F26" s="35">
        <v>577</v>
      </c>
      <c r="G26" s="36"/>
      <c r="H26" s="40"/>
      <c r="I26" s="35">
        <v>124</v>
      </c>
      <c r="J26" s="36"/>
      <c r="K26" s="40"/>
      <c r="L26" s="35">
        <v>1256</v>
      </c>
      <c r="M26" s="36"/>
      <c r="N26" s="40"/>
      <c r="O26" s="40">
        <v>345</v>
      </c>
    </row>
    <row r="27" spans="1:16" s="18" customFormat="1" x14ac:dyDescent="0.3">
      <c r="A27" s="20" t="s">
        <v>31</v>
      </c>
      <c r="E27" s="22"/>
      <c r="F27" s="39">
        <v>-68</v>
      </c>
      <c r="G27" s="36"/>
      <c r="H27" s="42"/>
      <c r="I27" s="39">
        <v>-58</v>
      </c>
      <c r="J27" s="36"/>
      <c r="K27" s="42"/>
      <c r="L27" s="39">
        <v>-196</v>
      </c>
      <c r="M27" s="36"/>
      <c r="N27" s="42"/>
      <c r="O27" s="42">
        <v>-163</v>
      </c>
    </row>
    <row r="28" spans="1:16" s="18" customFormat="1" ht="9" customHeight="1" x14ac:dyDescent="0.3">
      <c r="A28" s="20"/>
      <c r="E28" s="20"/>
      <c r="F28" s="36"/>
      <c r="G28" s="35"/>
      <c r="H28" s="36"/>
      <c r="I28" s="36"/>
      <c r="J28" s="35"/>
      <c r="K28" s="36"/>
      <c r="L28" s="36"/>
      <c r="M28" s="35"/>
      <c r="N28" s="36"/>
      <c r="O28" s="36"/>
    </row>
    <row r="29" spans="1:16" s="18" customFormat="1" x14ac:dyDescent="0.3">
      <c r="A29" s="20" t="s">
        <v>14</v>
      </c>
      <c r="E29" s="21"/>
      <c r="F29" s="35">
        <f>SUM(F23:F28)</f>
        <v>-27575</v>
      </c>
      <c r="G29" s="36"/>
      <c r="H29" s="40"/>
      <c r="I29" s="35">
        <f>SUM(I23:I28)</f>
        <v>-15188</v>
      </c>
      <c r="J29" s="36"/>
      <c r="K29" s="40"/>
      <c r="L29" s="35">
        <f>SUM(L23:L28)</f>
        <v>-34723</v>
      </c>
      <c r="M29" s="36"/>
      <c r="N29" s="40"/>
      <c r="O29" s="40">
        <f>SUM(O23:O28)</f>
        <v>-23750</v>
      </c>
    </row>
    <row r="30" spans="1:16" s="18" customFormat="1" ht="9" customHeight="1" x14ac:dyDescent="0.3">
      <c r="A30" s="20"/>
      <c r="E30" s="20"/>
      <c r="F30" s="36"/>
      <c r="G30" s="35"/>
      <c r="H30" s="36"/>
      <c r="I30" s="36"/>
      <c r="J30" s="35"/>
      <c r="K30" s="36"/>
      <c r="L30" s="36"/>
      <c r="M30" s="35"/>
      <c r="N30" s="36"/>
      <c r="O30" s="36"/>
    </row>
    <row r="31" spans="1:16" s="18" customFormat="1" x14ac:dyDescent="0.3">
      <c r="A31" s="20" t="s">
        <v>38</v>
      </c>
      <c r="E31" s="23"/>
      <c r="F31" s="39">
        <v>-224</v>
      </c>
      <c r="G31" s="35"/>
      <c r="H31" s="39"/>
      <c r="I31" s="39">
        <v>-164</v>
      </c>
      <c r="J31" s="35"/>
      <c r="K31" s="39"/>
      <c r="L31" s="39">
        <v>-657</v>
      </c>
      <c r="M31" s="35"/>
      <c r="N31" s="39"/>
      <c r="O31" s="39">
        <v>-164</v>
      </c>
    </row>
    <row r="32" spans="1:16" s="18" customFormat="1" ht="9" customHeight="1" x14ac:dyDescent="0.3">
      <c r="A32" s="20"/>
      <c r="E32" s="20"/>
      <c r="F32" s="36"/>
      <c r="G32" s="35"/>
      <c r="H32" s="36"/>
      <c r="I32" s="36"/>
      <c r="J32" s="35"/>
      <c r="K32" s="36"/>
      <c r="L32" s="36"/>
      <c r="M32" s="35"/>
      <c r="N32" s="36"/>
      <c r="O32" s="36"/>
    </row>
    <row r="33" spans="1:16" s="18" customFormat="1" ht="14.5" thickBot="1" x14ac:dyDescent="0.35">
      <c r="A33" s="20" t="s">
        <v>30</v>
      </c>
      <c r="E33" s="24"/>
      <c r="F33" s="44">
        <f>F31+F29</f>
        <v>-27799</v>
      </c>
      <c r="G33" s="35"/>
      <c r="H33" s="44"/>
      <c r="I33" s="44">
        <f>I31+I29</f>
        <v>-15352</v>
      </c>
      <c r="J33" s="35"/>
      <c r="K33" s="44"/>
      <c r="L33" s="44">
        <f>L31+L29</f>
        <v>-35380</v>
      </c>
      <c r="M33" s="35"/>
      <c r="N33" s="44"/>
      <c r="O33" s="44">
        <f>O31+O29</f>
        <v>-23914</v>
      </c>
    </row>
    <row r="34" spans="1:16" s="18" customFormat="1" ht="9" customHeight="1" thickTop="1" x14ac:dyDescent="0.3">
      <c r="A34" s="20"/>
      <c r="E34" s="20"/>
      <c r="F34" s="20"/>
      <c r="H34" s="20"/>
      <c r="I34" s="20"/>
      <c r="K34" s="20"/>
      <c r="L34" s="20"/>
      <c r="N34" s="20"/>
      <c r="O34" s="20"/>
    </row>
    <row r="35" spans="1:16" x14ac:dyDescent="0.3">
      <c r="A35" s="19" t="s">
        <v>34</v>
      </c>
      <c r="E35" s="7" t="s">
        <v>8</v>
      </c>
      <c r="F35" s="16">
        <f>F33/F38</f>
        <v>-0.74358700013374346</v>
      </c>
      <c r="H35" s="7" t="s">
        <v>8</v>
      </c>
      <c r="I35" s="16">
        <f>I33/I38</f>
        <v>-0.46253804859017633</v>
      </c>
      <c r="K35" s="7" t="s">
        <v>8</v>
      </c>
      <c r="L35" s="16">
        <f>L33/L38</f>
        <v>-0.97707815520574426</v>
      </c>
      <c r="N35" s="7" t="s">
        <v>8</v>
      </c>
      <c r="O35" s="16">
        <f>O33/O38</f>
        <v>-0.7577403810476564</v>
      </c>
    </row>
    <row r="36" spans="1:16" s="18" customFormat="1" ht="9" customHeight="1" x14ac:dyDescent="0.3">
      <c r="A36" s="20"/>
      <c r="E36" s="20"/>
      <c r="F36" s="20"/>
      <c r="H36" s="20"/>
      <c r="I36" s="20"/>
      <c r="K36" s="20"/>
      <c r="L36" s="20"/>
      <c r="N36" s="20"/>
      <c r="O36" s="20"/>
    </row>
    <row r="37" spans="1:16" s="18" customFormat="1" ht="15.75" customHeight="1" x14ac:dyDescent="0.3">
      <c r="A37" s="20" t="s">
        <v>35</v>
      </c>
      <c r="E37" s="20"/>
      <c r="F37" s="20"/>
      <c r="H37" s="20"/>
      <c r="I37" s="20"/>
      <c r="K37" s="20"/>
      <c r="L37" s="20"/>
      <c r="N37" s="20"/>
      <c r="O37" s="20"/>
    </row>
    <row r="38" spans="1:16" ht="14.5" thickBot="1" x14ac:dyDescent="0.35">
      <c r="A38" s="19" t="s">
        <v>36</v>
      </c>
      <c r="E38" s="7"/>
      <c r="F38" s="19">
        <v>37385</v>
      </c>
      <c r="H38" s="7"/>
      <c r="I38" s="7">
        <v>33190.783000000003</v>
      </c>
      <c r="K38" s="7"/>
      <c r="L38" s="19">
        <v>36210</v>
      </c>
      <c r="N38" s="7"/>
      <c r="O38" s="7">
        <v>31559.621999999999</v>
      </c>
    </row>
    <row r="39" spans="1:16" ht="14.5" thickTop="1" x14ac:dyDescent="0.3">
      <c r="A39" s="3"/>
      <c r="E39" s="10"/>
      <c r="F39" s="10"/>
      <c r="H39" s="10"/>
      <c r="I39" s="10"/>
      <c r="K39" s="10"/>
      <c r="L39" s="11"/>
      <c r="N39" s="10"/>
      <c r="O39" s="10"/>
    </row>
    <row r="40" spans="1:16" ht="10.5" customHeight="1" x14ac:dyDescent="0.3">
      <c r="A40" s="3"/>
    </row>
    <row r="41" spans="1:16" x14ac:dyDescent="0.3">
      <c r="A41" s="4" t="s">
        <v>15</v>
      </c>
      <c r="H41" s="2" t="str">
        <f>+E6</f>
        <v>September 30,</v>
      </c>
      <c r="I41" s="2"/>
      <c r="N41" s="12" t="s">
        <v>16</v>
      </c>
      <c r="O41" s="13"/>
      <c r="P41" s="13"/>
    </row>
    <row r="42" spans="1:16" x14ac:dyDescent="0.3">
      <c r="A42" s="5" t="s">
        <v>17</v>
      </c>
      <c r="H42" s="25">
        <v>2000</v>
      </c>
      <c r="I42" s="25"/>
      <c r="N42" s="2" t="s">
        <v>5</v>
      </c>
      <c r="O42" s="2"/>
    </row>
    <row r="43" spans="1:16" x14ac:dyDescent="0.3">
      <c r="A43" s="6"/>
      <c r="H43" s="14" t="s">
        <v>18</v>
      </c>
      <c r="I43" s="15"/>
      <c r="N43" s="8"/>
      <c r="O43" s="8"/>
    </row>
    <row r="44" spans="1:16" ht="5.25" customHeight="1" x14ac:dyDescent="0.3">
      <c r="A44" s="3"/>
    </row>
    <row r="45" spans="1:16" x14ac:dyDescent="0.3">
      <c r="A45" s="26" t="s">
        <v>37</v>
      </c>
      <c r="H45" s="43" t="s">
        <v>8</v>
      </c>
      <c r="I45" s="38">
        <v>38831</v>
      </c>
      <c r="J45" s="38"/>
      <c r="K45" s="38"/>
      <c r="L45" s="38"/>
      <c r="M45" s="38"/>
      <c r="N45" s="43" t="s">
        <v>8</v>
      </c>
      <c r="O45" s="38">
        <f>4101+3052</f>
        <v>7153</v>
      </c>
    </row>
    <row r="46" spans="1:16" x14ac:dyDescent="0.3">
      <c r="A46" s="9" t="s">
        <v>19</v>
      </c>
      <c r="H46" s="38"/>
      <c r="I46" s="38">
        <f>39828-I45</f>
        <v>997</v>
      </c>
      <c r="J46" s="38"/>
      <c r="K46" s="38"/>
      <c r="L46" s="38"/>
      <c r="M46" s="38"/>
      <c r="N46" s="38"/>
      <c r="O46" s="38">
        <f>9260-O45</f>
        <v>2107</v>
      </c>
    </row>
    <row r="47" spans="1:16" x14ac:dyDescent="0.3">
      <c r="A47" s="9" t="s">
        <v>20</v>
      </c>
      <c r="H47" s="38"/>
      <c r="I47" s="38">
        <v>4505</v>
      </c>
      <c r="J47" s="38"/>
      <c r="K47" s="38"/>
      <c r="L47" s="38"/>
      <c r="M47" s="38"/>
      <c r="N47" s="38"/>
      <c r="O47" s="38">
        <v>4021</v>
      </c>
    </row>
    <row r="48" spans="1:16" x14ac:dyDescent="0.3">
      <c r="A48" s="26" t="s">
        <v>45</v>
      </c>
      <c r="H48" s="38"/>
      <c r="I48" s="38">
        <v>39488</v>
      </c>
      <c r="J48" s="38"/>
      <c r="K48" s="38"/>
      <c r="L48" s="38"/>
      <c r="M48" s="38"/>
      <c r="N48" s="38"/>
      <c r="O48" s="38">
        <v>0</v>
      </c>
    </row>
    <row r="49" spans="1:15" x14ac:dyDescent="0.3">
      <c r="A49" s="7" t="s">
        <v>21</v>
      </c>
      <c r="H49" s="42"/>
      <c r="I49" s="42">
        <v>959</v>
      </c>
      <c r="J49" s="38"/>
      <c r="K49" s="38"/>
      <c r="L49" s="38"/>
      <c r="M49" s="38"/>
      <c r="N49" s="42"/>
      <c r="O49" s="42">
        <v>411</v>
      </c>
    </row>
    <row r="50" spans="1:15" s="18" customFormat="1" ht="9" customHeight="1" x14ac:dyDescent="0.3">
      <c r="A50" s="20"/>
      <c r="E50" s="20"/>
      <c r="F50" s="20"/>
      <c r="H50" s="36"/>
      <c r="I50" s="36"/>
      <c r="J50" s="35"/>
      <c r="K50" s="36"/>
      <c r="L50" s="36"/>
      <c r="M50" s="35"/>
      <c r="N50" s="36"/>
      <c r="O50" s="36"/>
    </row>
    <row r="51" spans="1:15" ht="14.5" thickBot="1" x14ac:dyDescent="0.35">
      <c r="A51" s="7" t="s">
        <v>22</v>
      </c>
      <c r="H51" s="43" t="s">
        <v>8</v>
      </c>
      <c r="I51" s="43">
        <f>SUM(I43:I49)</f>
        <v>84780</v>
      </c>
      <c r="J51" s="38"/>
      <c r="K51" s="38"/>
      <c r="L51" s="38"/>
      <c r="M51" s="38"/>
      <c r="N51" s="43" t="s">
        <v>8</v>
      </c>
      <c r="O51" s="43">
        <f>SUM(O43:O49)</f>
        <v>13692</v>
      </c>
    </row>
    <row r="52" spans="1:15" ht="14.5" thickTop="1" x14ac:dyDescent="0.3">
      <c r="A52" s="3"/>
      <c r="H52" s="45"/>
      <c r="I52" s="45"/>
      <c r="J52" s="38"/>
      <c r="K52" s="38"/>
      <c r="L52" s="38"/>
      <c r="M52" s="38"/>
      <c r="N52" s="45"/>
      <c r="O52" s="45"/>
    </row>
    <row r="53" spans="1:15" x14ac:dyDescent="0.3">
      <c r="A53" s="9" t="s">
        <v>23</v>
      </c>
      <c r="H53" s="43" t="s">
        <v>8</v>
      </c>
      <c r="I53" s="38">
        <f>6777+375</f>
        <v>7152</v>
      </c>
      <c r="J53" s="38"/>
      <c r="K53" s="38"/>
      <c r="L53" s="38"/>
      <c r="M53" s="38"/>
      <c r="N53" s="43" t="s">
        <v>8</v>
      </c>
      <c r="O53" s="38">
        <v>4620</v>
      </c>
    </row>
    <row r="54" spans="1:15" x14ac:dyDescent="0.3">
      <c r="A54" s="9" t="s">
        <v>24</v>
      </c>
      <c r="H54" s="38"/>
      <c r="I54" s="38">
        <f>5641-375</f>
        <v>5266</v>
      </c>
      <c r="J54" s="38"/>
      <c r="K54" s="38"/>
      <c r="L54" s="38"/>
      <c r="M54" s="38"/>
      <c r="N54" s="38"/>
      <c r="O54" s="38">
        <v>2107</v>
      </c>
    </row>
    <row r="55" spans="1:15" x14ac:dyDescent="0.3">
      <c r="A55" s="26" t="s">
        <v>41</v>
      </c>
      <c r="H55" s="38"/>
      <c r="I55" s="38"/>
      <c r="J55" s="38"/>
      <c r="K55" s="38"/>
      <c r="L55" s="38"/>
      <c r="M55" s="38"/>
      <c r="N55" s="38"/>
      <c r="O55" s="38"/>
    </row>
    <row r="56" spans="1:15" x14ac:dyDescent="0.3">
      <c r="A56" s="6"/>
      <c r="B56" s="19" t="s">
        <v>42</v>
      </c>
      <c r="H56" s="42"/>
      <c r="I56" s="42">
        <v>72362</v>
      </c>
      <c r="J56" s="38"/>
      <c r="K56" s="38"/>
      <c r="L56" s="38"/>
      <c r="M56" s="38"/>
      <c r="N56" s="42"/>
      <c r="O56" s="42">
        <v>6965</v>
      </c>
    </row>
    <row r="57" spans="1:15" s="18" customFormat="1" ht="9" customHeight="1" x14ac:dyDescent="0.3">
      <c r="A57" s="20"/>
      <c r="E57" s="20"/>
      <c r="F57" s="20"/>
      <c r="H57" s="36"/>
      <c r="I57" s="36"/>
      <c r="J57" s="35"/>
      <c r="K57" s="36"/>
      <c r="L57" s="36"/>
      <c r="M57" s="35"/>
      <c r="N57" s="36"/>
      <c r="O57" s="36"/>
    </row>
    <row r="58" spans="1:15" ht="14.5" thickBot="1" x14ac:dyDescent="0.35">
      <c r="A58" s="7" t="s">
        <v>25</v>
      </c>
      <c r="H58" s="43" t="s">
        <v>8</v>
      </c>
      <c r="I58" s="43">
        <f>SUM(I53:I56)</f>
        <v>84780</v>
      </c>
      <c r="J58" s="38"/>
      <c r="K58" s="38"/>
      <c r="L58" s="38"/>
      <c r="M58" s="38"/>
      <c r="N58" s="43" t="s">
        <v>8</v>
      </c>
      <c r="O58" s="43">
        <f>SUM(O53:O56)</f>
        <v>13692</v>
      </c>
    </row>
    <row r="59" spans="1:15" ht="9" customHeight="1" thickTop="1" x14ac:dyDescent="0.3">
      <c r="A59" s="3"/>
      <c r="H59" s="10"/>
      <c r="I59" s="10"/>
      <c r="N59" s="10"/>
      <c r="O59" s="10"/>
    </row>
    <row r="60" spans="1:15" ht="13.5" customHeight="1" x14ac:dyDescent="0.3">
      <c r="A60" s="2" t="s">
        <v>26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</sheetData>
  <pageMargins left="0.75" right="0.5" top="0.85" bottom="0.5" header="0.5" footer="0.5"/>
  <pageSetup scale="92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A!Print_Area</vt:lpstr>
    </vt:vector>
  </TitlesOfParts>
  <Company>Targeted Genetics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Poston</dc:creator>
  <cp:lastModifiedBy>Carina Negreanu</cp:lastModifiedBy>
  <cp:lastPrinted>2000-11-09T20:36:10Z</cp:lastPrinted>
  <dcterms:created xsi:type="dcterms:W3CDTF">1999-07-28T18:51:12Z</dcterms:created>
  <dcterms:modified xsi:type="dcterms:W3CDTF">2020-01-27T12:00:38Z</dcterms:modified>
</cp:coreProperties>
</file>