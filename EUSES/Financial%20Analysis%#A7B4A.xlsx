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EAA1A8-7D15-4B33-9449-C772F95D59E2}" xr6:coauthVersionLast="45" xr6:coauthVersionMax="45" xr10:uidLastSave="{00000000-0000-0000-0000-000000000000}"/>
  <bookViews>
    <workbookView xWindow="1900" yWindow="1900" windowWidth="28800" windowHeight="15460" firstSheet="1" activeTab="2"/>
  </bookViews>
  <sheets>
    <sheet name="Technology Definitions" sheetId="1" r:id="rId1"/>
    <sheet name="Financial Overview" sheetId="2" r:id="rId2"/>
    <sheet name="Infrastructure Cost Analysis" sheetId="3" r:id="rId3"/>
  </sheets>
  <definedNames>
    <definedName name="_xlnm.Print_Area" localSheetId="2">'Infrastructure Cost Analysis'!$A$1:$O$48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2" l="1"/>
  <c r="E15" i="2"/>
  <c r="E36" i="2"/>
  <c r="E46" i="2"/>
  <c r="A50" i="2"/>
  <c r="A51" i="2" s="1"/>
  <c r="A52" i="2" s="1"/>
  <c r="A53" i="2" s="1"/>
  <c r="C54" i="2"/>
  <c r="D54" i="2"/>
  <c r="E54" i="2"/>
  <c r="E67" i="2" s="1"/>
  <c r="A55" i="2"/>
  <c r="C55" i="2"/>
  <c r="D55" i="2"/>
  <c r="E55" i="2"/>
  <c r="E68" i="2" s="1"/>
  <c r="A56" i="2"/>
  <c r="C56" i="2"/>
  <c r="D56" i="2"/>
  <c r="E56" i="2"/>
  <c r="A57" i="2"/>
  <c r="A58" i="2" s="1"/>
  <c r="C57" i="2"/>
  <c r="D57" i="2"/>
  <c r="E57" i="2"/>
  <c r="C58" i="2"/>
  <c r="D58" i="2"/>
  <c r="E58" i="2"/>
  <c r="C67" i="2"/>
  <c r="C72" i="2" s="1"/>
  <c r="D67" i="2"/>
  <c r="D72" i="2" s="1"/>
  <c r="A68" i="2"/>
  <c r="C68" i="2"/>
  <c r="A69" i="2"/>
  <c r="C69" i="2"/>
  <c r="A70" i="2"/>
  <c r="A71" i="2" s="1"/>
  <c r="C70" i="2"/>
  <c r="C71" i="2"/>
  <c r="C84" i="2"/>
  <c r="D84" i="2"/>
  <c r="E84" i="2"/>
  <c r="C86" i="2"/>
  <c r="C88" i="2"/>
  <c r="C90" i="2"/>
  <c r="D92" i="2"/>
  <c r="D94" i="2" s="1"/>
  <c r="B6" i="3"/>
  <c r="H20" i="3" s="1"/>
  <c r="B7" i="3"/>
  <c r="H16" i="3"/>
  <c r="N28" i="3"/>
  <c r="B33" i="3"/>
  <c r="F46" i="3" s="1"/>
  <c r="B34" i="3"/>
  <c r="F36" i="3"/>
  <c r="M36" i="3"/>
  <c r="O36" i="3"/>
  <c r="F38" i="3"/>
  <c r="L38" i="3"/>
  <c r="L39" i="3"/>
  <c r="L40" i="3"/>
  <c r="F42" i="3"/>
  <c r="L43" i="3" s="1"/>
  <c r="L42" i="3"/>
  <c r="E69" i="2" l="1"/>
  <c r="E70" i="2" s="1"/>
  <c r="E71" i="2" s="1"/>
  <c r="L44" i="3"/>
  <c r="D80" i="2"/>
  <c r="D82" i="2"/>
  <c r="C76" i="2"/>
  <c r="D76" i="2"/>
  <c r="C78" i="2"/>
  <c r="J11" i="3"/>
  <c r="M11" i="3" s="1"/>
  <c r="O11" i="3" s="1"/>
  <c r="C74" i="2"/>
  <c r="D74" i="2" s="1"/>
  <c r="E74" i="2" s="1"/>
  <c r="L48" i="3"/>
  <c r="B4" i="3"/>
  <c r="L47" i="3"/>
  <c r="D98" i="2"/>
  <c r="J12" i="3"/>
  <c r="M12" i="3" s="1"/>
  <c r="O12" i="3" s="1"/>
  <c r="D96" i="2"/>
  <c r="J9" i="3" l="1"/>
  <c r="M9" i="3" s="1"/>
  <c r="O9" i="3" s="1"/>
  <c r="H19" i="3"/>
  <c r="D18" i="3"/>
  <c r="H18" i="3" s="1"/>
  <c r="H17" i="3"/>
  <c r="H9" i="3"/>
  <c r="H10" i="3"/>
  <c r="J10" i="3"/>
  <c r="M10" i="3" s="1"/>
  <c r="O10" i="3" s="1"/>
  <c r="H15" i="3"/>
  <c r="H13" i="3"/>
  <c r="H14" i="3"/>
  <c r="H8" i="3"/>
  <c r="J8" i="3"/>
  <c r="C103" i="2"/>
  <c r="E72" i="2"/>
  <c r="H28" i="3" l="1"/>
  <c r="J30" i="3" s="1"/>
  <c r="J28" i="3"/>
  <c r="M8" i="3"/>
  <c r="M28" i="3" l="1"/>
  <c r="O8" i="3"/>
  <c r="O28" i="3" s="1"/>
  <c r="L30" i="3"/>
  <c r="D101" i="2"/>
  <c r="E101" i="2" l="1"/>
  <c r="E103" i="2" s="1"/>
  <c r="D103" i="2"/>
  <c r="E107" i="2" l="1"/>
  <c r="E105" i="2"/>
  <c r="E110" i="2"/>
  <c r="E112" i="2" s="1"/>
</calcChain>
</file>

<file path=xl/sharedStrings.xml><?xml version="1.0" encoding="utf-8"?>
<sst xmlns="http://schemas.openxmlformats.org/spreadsheetml/2006/main" count="262" uniqueCount="156">
  <si>
    <t>Cash Purchase</t>
  </si>
  <si>
    <t>Using Capital</t>
  </si>
  <si>
    <t>Using Bonds</t>
  </si>
  <si>
    <t xml:space="preserve">Primary </t>
  </si>
  <si>
    <t>Purchase</t>
  </si>
  <si>
    <t>Subtotal</t>
  </si>
  <si>
    <t>(+)</t>
  </si>
  <si>
    <t>Total Expense</t>
  </si>
  <si>
    <t>Mid-Tech</t>
  </si>
  <si>
    <t>Infrastructure</t>
  </si>
  <si>
    <t>Investment Mix</t>
  </si>
  <si>
    <t>Annual Expected Technology Capital Budgeted</t>
  </si>
  <si>
    <t>(-)</t>
  </si>
  <si>
    <t>Current Interest &amp; Admin Fee of Educational Bond</t>
  </si>
  <si>
    <t>Referendum Costs</t>
  </si>
  <si>
    <t>N/A</t>
  </si>
  <si>
    <t>Tax-Exempt Funds or</t>
  </si>
  <si>
    <t xml:space="preserve">Operating Budget Per Student Per Day (Calendar Year) </t>
  </si>
  <si>
    <t>Int Bearing Escrow</t>
  </si>
  <si>
    <t>Lucent "Lo-Risk"</t>
  </si>
  <si>
    <t>(Either In-house support or outsourced - (Usually 1-4% of the Project))</t>
  </si>
  <si>
    <t>% of Current District Operating Budget That Should be Moved to Cover Technology Plan &gt;</t>
  </si>
  <si>
    <t xml:space="preserve">Annual Solution Consulting, Design, RFP Creation &amp; Completion Fees </t>
  </si>
  <si>
    <t>Number of Buildings in District</t>
  </si>
  <si>
    <t>Average # of Rooms (Admin &amp; Class) in Building</t>
  </si>
  <si>
    <t>Reduction %</t>
  </si>
  <si>
    <t>Wireless vs. Wired Savings (5 year amortization)</t>
  </si>
  <si>
    <t>Fiber Network</t>
  </si>
  <si>
    <t>WaveLan</t>
  </si>
  <si>
    <t>Student Cost</t>
  </si>
  <si>
    <t>Mo. Cost</t>
  </si>
  <si>
    <t>Total</t>
  </si>
  <si>
    <t>Unit</t>
  </si>
  <si>
    <t>PLUS &gt;</t>
  </si>
  <si>
    <t>Per Drop</t>
  </si>
  <si>
    <t xml:space="preserve">Daily </t>
  </si>
  <si>
    <t>Monthly Costs</t>
  </si>
  <si>
    <t>Students in coverage area</t>
  </si>
  <si>
    <t>Funding Program</t>
  </si>
  <si>
    <t># of Locations</t>
  </si>
  <si>
    <t>With Lucent Low-Risk</t>
  </si>
  <si>
    <t>WIDE AREA NETWORK</t>
  </si>
  <si>
    <t>Wireless vs. Wired Savings &gt;</t>
  </si>
  <si>
    <t>Totals</t>
  </si>
  <si>
    <t>?</t>
  </si>
  <si>
    <t xml:space="preserve">Mobility carts </t>
  </si>
  <si>
    <t>Wireless Access Points</t>
  </si>
  <si>
    <t>Loss of Mobility - More fixed devices</t>
  </si>
  <si>
    <t>Asbestos Abatement or Sealing</t>
  </si>
  <si>
    <t>HVAC (Air conditioning upgrade due to BTU displacement)</t>
  </si>
  <si>
    <t>Physical "Footprint" Loss in Classroom</t>
  </si>
  <si>
    <t>Sprinkler System upgrade (if necessary, per classroom)</t>
  </si>
  <si>
    <t>Desktop/Classroom Security (Key locks installed on all doors )</t>
  </si>
  <si>
    <t>Counterspace &amp; Carpentry (Per 9 sq ft of material &amp; labor)</t>
  </si>
  <si>
    <t>Lightning Protection</t>
  </si>
  <si>
    <t>Electrical "Main Amp Service" Upgrade (per room wired)</t>
  </si>
  <si>
    <t>Electrical Wire &amp; Outlets</t>
  </si>
  <si>
    <t>Wire Molding</t>
  </si>
  <si>
    <t>Structured Cabling (Cat 5E)</t>
  </si>
  <si>
    <t>Desktop &amp; Server Integr. &amp; Testing (I.e., IP addressing &amp; "ping")</t>
  </si>
  <si>
    <t xml:space="preserve">Network Interface Card (Hardware &amp; Software) Installation </t>
  </si>
  <si>
    <t>Network Interface Card</t>
  </si>
  <si>
    <t>Wireless</t>
  </si>
  <si>
    <t>Wired PC's</t>
  </si>
  <si>
    <t># of Students</t>
  </si>
  <si>
    <t>Total Costs</t>
  </si>
  <si>
    <t>Unit Costs</t>
  </si>
  <si>
    <t># of Rooms</t>
  </si>
  <si>
    <t># of P.C.'s per Room</t>
  </si>
  <si>
    <t># of P.C.'s</t>
  </si>
  <si>
    <t>LOCAL AREA NETWORK</t>
  </si>
  <si>
    <t>(What's the "real" cost of implementing or adding to your network?)</t>
  </si>
  <si>
    <t>Network Estimator</t>
  </si>
  <si>
    <t>Annual Compounded Interest Multiplier (Usually .75-.90)</t>
  </si>
  <si>
    <t xml:space="preserve">Solution Consulting, Design, RFP Design &amp; Compl Fees </t>
  </si>
  <si>
    <t>Cost of On-Site Implement. Mgr (In-House or Outsourced)</t>
  </si>
  <si>
    <t>Total Interest &amp; Admin Fee Paid on "Initial" Bonds</t>
  </si>
  <si>
    <t>1st Referendum Costs</t>
  </si>
  <si>
    <t>If done in 1st Yr, &amp; Converted to Wireless vs. Wired</t>
  </si>
  <si>
    <t xml:space="preserve">Savings (Operating &amp; Capital) for LAN &amp; WAN Infrastructure </t>
  </si>
  <si>
    <t xml:space="preserve">Total Cost Per Student, Per Day Using Lucent "Lo-Risk" Tax-Exempt Funds &gt;                   </t>
  </si>
  <si>
    <t>High-Tech, Mid-Range Tech, Infrastructure &amp; Training</t>
  </si>
  <si>
    <t>Operating Expenses for Wide Area Network</t>
  </si>
  <si>
    <t xml:space="preserve">Frame Relay (Both sides, 4 channel, 256K bandwidth) </t>
  </si>
  <si>
    <t>Point-To-Point T-1's (Both sides)</t>
  </si>
  <si>
    <t>Hardware &amp; Install Costs</t>
  </si>
  <si>
    <t>Operating Budget Per Student Per Year</t>
  </si>
  <si>
    <t>Yr</t>
  </si>
  <si>
    <t xml:space="preserve">                    (What's the "real" cost of implementing your Technology Plan)</t>
  </si>
  <si>
    <t>LAN Infrastructure Savings (If done in 1st Yr - 25% Reduct)</t>
  </si>
  <si>
    <t>Included above</t>
  </si>
  <si>
    <t>Connectivity Costs to "Bell" for Connecting Schools (Annually for District)</t>
  </si>
  <si>
    <t xml:space="preserve">Investment </t>
  </si>
  <si>
    <t>Below</t>
  </si>
  <si>
    <t xml:space="preserve">            Technology Plan Investment Analysis</t>
  </si>
  <si>
    <t>Definitions</t>
  </si>
  <si>
    <t xml:space="preserve">Technology </t>
  </si>
  <si>
    <t>Categories</t>
  </si>
  <si>
    <t>Items that use application software that is primarily bit-processor reliant.</t>
  </si>
  <si>
    <t>0 Years</t>
  </si>
  <si>
    <t>4-5 Years</t>
  </si>
  <si>
    <t>Examples</t>
  </si>
  <si>
    <t>Also includes all types of administrative, end-user or any technology training.</t>
  </si>
  <si>
    <t>Servers (all types)</t>
  </si>
  <si>
    <t>Server Based Platform Software</t>
  </si>
  <si>
    <t>Avg</t>
  </si>
  <si>
    <t>Life</t>
  </si>
  <si>
    <t>Technology Goal - Average # of P.C.'s per Room (Include Labs in Average)</t>
  </si>
  <si>
    <t>WAN Connectivity Costs to Bell for Connecting Schools (Monthly, per Location)</t>
  </si>
  <si>
    <t>Number of Students in District/Campus</t>
  </si>
  <si>
    <t>Technology Planner</t>
  </si>
  <si>
    <t xml:space="preserve">Items that use platform based applications that may be bit processor reliant; </t>
  </si>
  <si>
    <t>but that don't have upgrades as often as "High Tech".</t>
  </si>
  <si>
    <t>HIGH-TECH &gt;</t>
  </si>
  <si>
    <t>MID-RANGE TECHNOLOGY &gt;</t>
  </si>
  <si>
    <t>Items that provide "backbone" to an entire network; but, inclusive of all structure</t>
  </si>
  <si>
    <t>necessary and including the NIC (Network Interface Card) to the end-user device.</t>
  </si>
  <si>
    <t>INFRASTRUCTURE &gt;</t>
  </si>
  <si>
    <t>7+ Years</t>
  </si>
  <si>
    <t>Structured Cabling, Fiber, NIC's,</t>
  </si>
  <si>
    <t xml:space="preserve">Wireless Transmitters &amp; </t>
  </si>
  <si>
    <t xml:space="preserve">Receivers &amp; Any Associated </t>
  </si>
  <si>
    <t xml:space="preserve">Connectors or Connecting </t>
  </si>
  <si>
    <t>Devices.</t>
  </si>
  <si>
    <t>Wireless Access Point Installation</t>
  </si>
  <si>
    <t>Current School/District General Fund Revenue</t>
  </si>
  <si>
    <t>Current Return on Invested Capital (Opportunity Cost)</t>
  </si>
  <si>
    <t>Includes all types of administrative, end-user or any technology training: and</t>
  </si>
  <si>
    <t>any implementation, installation or integration costs</t>
  </si>
  <si>
    <t>P.C.'s, Laptops &amp; any</t>
  </si>
  <si>
    <t>associated software</t>
  </si>
  <si>
    <t>3 Years</t>
  </si>
  <si>
    <t>(I.e., P.C.'s, Laptops, etc. - Usually 2-4 years)</t>
  </si>
  <si>
    <t>(I.e., Servers, etc. - Usually 3-5 years)</t>
  </si>
  <si>
    <r>
      <t xml:space="preserve">Annual Cost Reduction </t>
    </r>
    <r>
      <rPr>
        <sz val="9"/>
        <rFont val="Arial"/>
        <family val="2"/>
      </rPr>
      <t>(Not Depreciation)</t>
    </r>
    <r>
      <rPr>
        <b/>
        <sz val="9"/>
        <rFont val="Arial"/>
        <family val="2"/>
      </rPr>
      <t xml:space="preserve"> in High-End Technology</t>
    </r>
  </si>
  <si>
    <r>
      <t xml:space="preserve">Annual Cost Reduction </t>
    </r>
    <r>
      <rPr>
        <sz val="9"/>
        <rFont val="Arial"/>
        <family val="2"/>
      </rPr>
      <t>(Not Depreciation)</t>
    </r>
    <r>
      <rPr>
        <b/>
        <sz val="9"/>
        <rFont val="Arial"/>
        <family val="2"/>
      </rPr>
      <t xml:space="preserve"> in Mid-Range Technology</t>
    </r>
  </si>
  <si>
    <t>Interest Lost on Capital (Loss of Opportunity Costs)</t>
  </si>
  <si>
    <t>Replace on 1st day of year 4 for all year 1 "High-Tech"</t>
  </si>
  <si>
    <t>Lucent "Low-Risk"</t>
  </si>
  <si>
    <t>Replace on 1st day of year 5 for all year 2 "High-Tech"</t>
  </si>
  <si>
    <t>Replace on last day of year 5 for all year 1 "Mid-Tech"</t>
  </si>
  <si>
    <t>Additional Bonds for years 4-9 Technology Replacement</t>
  </si>
  <si>
    <t>Total Interest (&amp; Admin Fee) Paid on "Technology Replacement" Bonds</t>
  </si>
  <si>
    <t>Reduction Using Lucent's Low-Risk Funding Program Over Using Budgeted Capital &gt;</t>
  </si>
  <si>
    <t>Reduction Using Lucent' s Low-Risk Funding Over Using Capital From Bonds &gt;</t>
  </si>
  <si>
    <t>&lt; Minimum Reductions</t>
  </si>
  <si>
    <t>Hubs &amp; Ethernet Switches</t>
  </si>
  <si>
    <t>Internet Access/Use Training</t>
  </si>
  <si>
    <t>Included With Mobility</t>
  </si>
  <si>
    <t xml:space="preserve">       Technology Plan Investment Analysis</t>
  </si>
  <si>
    <t xml:space="preserve">Current Cost of Successful Referendum (Usually 2%-4% of Bond Value) </t>
  </si>
  <si>
    <t>What do you believe is the useful life of High-Tech Equipment?</t>
  </si>
  <si>
    <t>What do you believe is the useful life of Mid-Range Tech Equipment?</t>
  </si>
  <si>
    <t>Annual "Loaded" Cost of On-Site Implementation Mgrs (In-House or Outsourced)</t>
  </si>
  <si>
    <t>High-Tech</t>
  </si>
  <si>
    <t xml:space="preserve">         (What's the "real" cost of implementing your Technology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</si>
</sst>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.00"/>
    <numFmt numFmtId="173" formatCode="0.0%"/>
  </numFmts>
  <fonts count="17" x14ac:knownFonts="1">
    <font>
      <sz val="10"/>
      <name val="Arial"/>
    </font>
    <font>
      <b/>
      <sz val="2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20"/>
      <name val="Arial"/>
      <family val="2"/>
    </font>
    <font>
      <u/>
      <sz val="9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17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10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172" fontId="2" fillId="0" borderId="0" xfId="0" applyNumberFormat="1" applyFont="1"/>
    <xf numFmtId="172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3" fillId="0" borderId="0" xfId="0" applyFont="1"/>
    <xf numFmtId="0" fontId="10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/>
    <xf numFmtId="0" fontId="4" fillId="0" borderId="0" xfId="0" applyFont="1"/>
    <xf numFmtId="10" fontId="3" fillId="0" borderId="0" xfId="0" applyNumberFormat="1" applyFont="1" applyAlignment="1">
      <alignment horizontal="center"/>
    </xf>
    <xf numFmtId="0" fontId="10" fillId="0" borderId="0" xfId="0" applyFont="1" applyBorder="1" applyAlignment="1">
      <alignment horizontal="center"/>
    </xf>
    <xf numFmtId="0" fontId="9" fillId="3" borderId="1" xfId="0" applyFont="1" applyFill="1" applyBorder="1"/>
    <xf numFmtId="0" fontId="9" fillId="3" borderId="2" xfId="0" applyFont="1" applyFill="1" applyBorder="1"/>
    <xf numFmtId="9" fontId="8" fillId="3" borderId="3" xfId="0" applyNumberFormat="1" applyFont="1" applyFill="1" applyBorder="1"/>
    <xf numFmtId="0" fontId="9" fillId="3" borderId="4" xfId="0" applyFont="1" applyFill="1" applyBorder="1"/>
    <xf numFmtId="0" fontId="9" fillId="3" borderId="5" xfId="0" applyFont="1" applyFill="1" applyBorder="1"/>
    <xf numFmtId="0" fontId="9" fillId="3" borderId="0" xfId="0" applyFont="1" applyFill="1" applyBorder="1"/>
    <xf numFmtId="172" fontId="8" fillId="3" borderId="6" xfId="0" applyNumberFormat="1" applyFont="1" applyFill="1" applyBorder="1"/>
    <xf numFmtId="172" fontId="9" fillId="3" borderId="0" xfId="0" applyNumberFormat="1" applyFont="1" applyFill="1" applyBorder="1"/>
    <xf numFmtId="0" fontId="9" fillId="3" borderId="7" xfId="0" applyFont="1" applyFill="1" applyBorder="1"/>
    <xf numFmtId="172" fontId="9" fillId="0" borderId="0" xfId="0" applyNumberFormat="1" applyFont="1" applyFill="1" applyBorder="1"/>
    <xf numFmtId="0" fontId="8" fillId="3" borderId="7" xfId="0" applyFont="1" applyFill="1" applyBorder="1"/>
    <xf numFmtId="9" fontId="8" fillId="3" borderId="0" xfId="0" applyNumberFormat="1" applyFont="1" applyFill="1" applyBorder="1"/>
    <xf numFmtId="9" fontId="8" fillId="3" borderId="6" xfId="0" applyNumberFormat="1" applyFont="1" applyFill="1" applyBorder="1"/>
    <xf numFmtId="4" fontId="8" fillId="3" borderId="6" xfId="0" applyNumberFormat="1" applyFont="1" applyFill="1" applyBorder="1"/>
    <xf numFmtId="0" fontId="8" fillId="0" borderId="7" xfId="0" applyFont="1" applyFill="1" applyBorder="1"/>
    <xf numFmtId="172" fontId="9" fillId="3" borderId="5" xfId="0" applyNumberFormat="1" applyFont="1" applyFill="1" applyBorder="1"/>
    <xf numFmtId="0" fontId="9" fillId="3" borderId="8" xfId="0" applyFont="1" applyFill="1" applyBorder="1"/>
    <xf numFmtId="172" fontId="9" fillId="3" borderId="8" xfId="0" applyNumberFormat="1" applyFont="1" applyFill="1" applyBorder="1"/>
    <xf numFmtId="0" fontId="8" fillId="3" borderId="9" xfId="0" applyFont="1" applyFill="1" applyBorder="1"/>
    <xf numFmtId="0" fontId="8" fillId="4" borderId="5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9" fillId="0" borderId="0" xfId="0" applyFont="1" applyFill="1" applyBorder="1"/>
    <xf numFmtId="0" fontId="9" fillId="0" borderId="7" xfId="0" applyFont="1" applyFill="1" applyBorder="1"/>
    <xf numFmtId="0" fontId="8" fillId="4" borderId="11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9" fillId="4" borderId="8" xfId="0" applyFont="1" applyFill="1" applyBorder="1"/>
    <xf numFmtId="0" fontId="9" fillId="4" borderId="12" xfId="0" applyFont="1" applyFill="1" applyBorder="1"/>
    <xf numFmtId="3" fontId="9" fillId="0" borderId="6" xfId="0" applyNumberFormat="1" applyFont="1" applyFill="1" applyBorder="1"/>
    <xf numFmtId="0" fontId="9" fillId="0" borderId="5" xfId="0" applyFont="1" applyFill="1" applyBorder="1"/>
    <xf numFmtId="0" fontId="8" fillId="0" borderId="0" xfId="0" applyFont="1" applyFill="1" applyBorder="1" applyAlignment="1">
      <alignment horizontal="center"/>
    </xf>
    <xf numFmtId="0" fontId="9" fillId="0" borderId="13" xfId="0" applyFont="1" applyFill="1" applyBorder="1"/>
    <xf numFmtId="0" fontId="8" fillId="0" borderId="14" xfId="0" applyFont="1" applyFill="1" applyBorder="1" applyAlignment="1">
      <alignment horizontal="center"/>
    </xf>
    <xf numFmtId="0" fontId="9" fillId="0" borderId="14" xfId="0" applyFont="1" applyFill="1" applyBorder="1"/>
    <xf numFmtId="172" fontId="9" fillId="0" borderId="14" xfId="0" applyNumberFormat="1" applyFont="1" applyFill="1" applyBorder="1"/>
    <xf numFmtId="9" fontId="9" fillId="0" borderId="14" xfId="0" applyNumberFormat="1" applyFont="1" applyFill="1" applyBorder="1"/>
    <xf numFmtId="0" fontId="8" fillId="0" borderId="15" xfId="0" applyFont="1" applyFill="1" applyBorder="1"/>
    <xf numFmtId="0" fontId="9" fillId="0" borderId="0" xfId="0" applyFont="1" applyBorder="1"/>
    <xf numFmtId="9" fontId="9" fillId="0" borderId="0" xfId="0" applyNumberFormat="1" applyFont="1" applyFill="1" applyBorder="1"/>
    <xf numFmtId="172" fontId="9" fillId="0" borderId="0" xfId="0" applyNumberFormat="1" applyFont="1" applyBorder="1"/>
    <xf numFmtId="0" fontId="8" fillId="0" borderId="0" xfId="0" applyFont="1"/>
    <xf numFmtId="0" fontId="8" fillId="3" borderId="1" xfId="0" applyFont="1" applyFill="1" applyBorder="1"/>
    <xf numFmtId="0" fontId="8" fillId="3" borderId="2" xfId="0" applyFont="1" applyFill="1" applyBorder="1"/>
    <xf numFmtId="172" fontId="8" fillId="3" borderId="2" xfId="0" applyNumberFormat="1" applyFont="1" applyFill="1" applyBorder="1"/>
    <xf numFmtId="172" fontId="8" fillId="3" borderId="3" xfId="0" applyNumberFormat="1" applyFont="1" applyFill="1" applyBorder="1"/>
    <xf numFmtId="0" fontId="8" fillId="3" borderId="4" xfId="0" applyFont="1" applyFill="1" applyBorder="1"/>
    <xf numFmtId="172" fontId="8" fillId="3" borderId="5" xfId="0" applyNumberFormat="1" applyFont="1" applyFill="1" applyBorder="1" applyAlignment="1">
      <alignment horizontal="center"/>
    </xf>
    <xf numFmtId="172" fontId="8" fillId="3" borderId="0" xfId="0" applyNumberFormat="1" applyFont="1" applyFill="1" applyBorder="1"/>
    <xf numFmtId="0" fontId="8" fillId="3" borderId="0" xfId="0" applyFont="1" applyFill="1" applyBorder="1"/>
    <xf numFmtId="172" fontId="13" fillId="3" borderId="0" xfId="0" applyNumberFormat="1" applyFont="1" applyFill="1" applyBorder="1" applyAlignment="1">
      <alignment horizontal="right"/>
    </xf>
    <xf numFmtId="172" fontId="9" fillId="3" borderId="0" xfId="0" applyNumberFormat="1" applyFont="1" applyFill="1" applyBorder="1" applyAlignment="1">
      <alignment horizontal="right"/>
    </xf>
    <xf numFmtId="0" fontId="9" fillId="3" borderId="5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172" fontId="9" fillId="3" borderId="5" xfId="0" applyNumberFormat="1" applyFont="1" applyFill="1" applyBorder="1" applyAlignment="1">
      <alignment horizontal="center"/>
    </xf>
    <xf numFmtId="172" fontId="9" fillId="3" borderId="8" xfId="0" applyNumberFormat="1" applyFont="1" applyFill="1" applyBorder="1" applyAlignment="1">
      <alignment horizontal="right"/>
    </xf>
    <xf numFmtId="0" fontId="9" fillId="3" borderId="9" xfId="0" applyFont="1" applyFill="1" applyBorder="1"/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9" fillId="0" borderId="7" xfId="0" applyFont="1" applyBorder="1"/>
    <xf numFmtId="3" fontId="9" fillId="3" borderId="0" xfId="0" applyNumberFormat="1" applyFont="1" applyFill="1" applyBorder="1"/>
    <xf numFmtId="0" fontId="9" fillId="0" borderId="14" xfId="0" applyFont="1" applyBorder="1"/>
    <xf numFmtId="0" fontId="8" fillId="0" borderId="15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172" fontId="8" fillId="3" borderId="0" xfId="0" applyNumberFormat="1" applyFont="1" applyFill="1" applyBorder="1" applyAlignment="1">
      <alignment horizontal="right"/>
    </xf>
    <xf numFmtId="0" fontId="9" fillId="3" borderId="0" xfId="0" applyFont="1" applyFill="1" applyBorder="1" applyAlignment="1">
      <alignment horizontal="right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right"/>
    </xf>
    <xf numFmtId="1" fontId="9" fillId="0" borderId="6" xfId="0" applyNumberFormat="1" applyFont="1" applyFill="1" applyBorder="1"/>
    <xf numFmtId="0" fontId="3" fillId="2" borderId="0" xfId="0" applyFont="1" applyFill="1" applyBorder="1"/>
    <xf numFmtId="172" fontId="4" fillId="2" borderId="0" xfId="0" applyNumberFormat="1" applyFont="1" applyFill="1" applyBorder="1" applyAlignment="1">
      <alignment horizontal="right"/>
    </xf>
    <xf numFmtId="172" fontId="4" fillId="2" borderId="0" xfId="0" applyNumberFormat="1" applyFont="1" applyFill="1" applyBorder="1" applyAlignment="1">
      <alignment horizontal="center"/>
    </xf>
    <xf numFmtId="0" fontId="6" fillId="2" borderId="0" xfId="0" applyFont="1" applyFill="1" applyBorder="1"/>
    <xf numFmtId="0" fontId="7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10" fontId="11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4" fillId="2" borderId="7" xfId="0" applyFont="1" applyFill="1" applyBorder="1" applyAlignment="1">
      <alignment horizontal="left"/>
    </xf>
    <xf numFmtId="172" fontId="4" fillId="2" borderId="5" xfId="0" applyNumberFormat="1" applyFont="1" applyFill="1" applyBorder="1" applyAlignment="1">
      <alignment horizontal="right"/>
    </xf>
    <xf numFmtId="0" fontId="4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0" fontId="6" fillId="2" borderId="22" xfId="0" applyNumberFormat="1" applyFont="1" applyFill="1" applyBorder="1" applyAlignment="1">
      <alignment horizontal="right"/>
    </xf>
    <xf numFmtId="0" fontId="11" fillId="2" borderId="5" xfId="0" applyFont="1" applyFill="1" applyBorder="1" applyAlignment="1">
      <alignment horizontal="center"/>
    </xf>
    <xf numFmtId="172" fontId="6" fillId="2" borderId="22" xfId="0" applyNumberFormat="1" applyFont="1" applyFill="1" applyBorder="1" applyAlignment="1">
      <alignment horizontal="right"/>
    </xf>
    <xf numFmtId="10" fontId="11" fillId="2" borderId="5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10" fontId="3" fillId="2" borderId="2" xfId="0" applyNumberFormat="1" applyFont="1" applyFill="1" applyBorder="1" applyAlignment="1">
      <alignment horizontal="center"/>
    </xf>
    <xf numFmtId="10" fontId="6" fillId="2" borderId="23" xfId="0" applyNumberFormat="1" applyFont="1" applyFill="1" applyBorder="1" applyAlignment="1">
      <alignment horizontal="right"/>
    </xf>
    <xf numFmtId="172" fontId="9" fillId="3" borderId="11" xfId="0" applyNumberFormat="1" applyFont="1" applyFill="1" applyBorder="1" applyAlignment="1" applyProtection="1">
      <alignment horizontal="center"/>
      <protection hidden="1"/>
    </xf>
    <xf numFmtId="172" fontId="9" fillId="3" borderId="5" xfId="0" applyNumberFormat="1" applyFont="1" applyFill="1" applyBorder="1" applyAlignment="1" applyProtection="1">
      <alignment horizontal="center"/>
      <protection hidden="1"/>
    </xf>
    <xf numFmtId="172" fontId="9" fillId="3" borderId="17" xfId="0" applyNumberFormat="1" applyFont="1" applyFill="1" applyBorder="1" applyAlignment="1">
      <alignment horizontal="right"/>
    </xf>
    <xf numFmtId="0" fontId="9" fillId="3" borderId="16" xfId="0" applyFont="1" applyFill="1" applyBorder="1" applyAlignment="1">
      <alignment horizontal="center"/>
    </xf>
    <xf numFmtId="172" fontId="8" fillId="3" borderId="1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2" borderId="15" xfId="0" applyFont="1" applyFill="1" applyBorder="1" applyAlignment="1">
      <alignment horizontal="left"/>
    </xf>
    <xf numFmtId="173" fontId="8" fillId="2" borderId="14" xfId="0" applyNumberFormat="1" applyFont="1" applyFill="1" applyBorder="1" applyAlignment="1">
      <alignment horizontal="center"/>
    </xf>
    <xf numFmtId="172" fontId="9" fillId="2" borderId="14" xfId="0" applyNumberFormat="1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3" fontId="8" fillId="0" borderId="24" xfId="0" applyNumberFormat="1" applyFont="1" applyFill="1" applyBorder="1" applyAlignment="1">
      <alignment horizontal="right"/>
    </xf>
    <xf numFmtId="0" fontId="8" fillId="2" borderId="7" xfId="0" applyFont="1" applyFill="1" applyBorder="1" applyAlignment="1">
      <alignment horizontal="left"/>
    </xf>
    <xf numFmtId="173" fontId="8" fillId="2" borderId="0" xfId="0" applyNumberFormat="1" applyFont="1" applyFill="1" applyBorder="1" applyAlignment="1">
      <alignment horizontal="center"/>
    </xf>
    <xf numFmtId="172" fontId="9" fillId="2" borderId="0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right"/>
    </xf>
    <xf numFmtId="173" fontId="8" fillId="2" borderId="7" xfId="0" applyNumberFormat="1" applyFont="1" applyFill="1" applyBorder="1" applyAlignment="1"/>
    <xf numFmtId="0" fontId="8" fillId="2" borderId="0" xfId="0" applyFont="1" applyFill="1" applyBorder="1" applyAlignment="1">
      <alignment horizontal="center"/>
    </xf>
    <xf numFmtId="1" fontId="8" fillId="0" borderId="22" xfId="0" applyNumberFormat="1" applyFont="1" applyFill="1" applyBorder="1" applyAlignment="1">
      <alignment horizontal="right"/>
    </xf>
    <xf numFmtId="173" fontId="8" fillId="2" borderId="5" xfId="0" applyNumberFormat="1" applyFont="1" applyFill="1" applyBorder="1" applyAlignment="1">
      <alignment horizontal="right"/>
    </xf>
    <xf numFmtId="172" fontId="8" fillId="0" borderId="22" xfId="0" applyNumberFormat="1" applyFont="1" applyFill="1" applyBorder="1" applyAlignment="1">
      <alignment horizontal="right"/>
    </xf>
    <xf numFmtId="172" fontId="8" fillId="2" borderId="5" xfId="0" applyNumberFormat="1" applyFont="1" applyFill="1" applyBorder="1" applyAlignment="1">
      <alignment horizontal="right"/>
    </xf>
    <xf numFmtId="172" fontId="8" fillId="2" borderId="22" xfId="0" applyNumberFormat="1" applyFont="1" applyFill="1" applyBorder="1" applyAlignment="1">
      <alignment horizontal="right"/>
    </xf>
    <xf numFmtId="0" fontId="8" fillId="2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173" fontId="8" fillId="0" borderId="22" xfId="0" applyNumberFormat="1" applyFont="1" applyFill="1" applyBorder="1" applyAlignment="1">
      <alignment horizontal="right"/>
    </xf>
    <xf numFmtId="10" fontId="8" fillId="0" borderId="22" xfId="0" applyNumberFormat="1" applyFont="1" applyFill="1" applyBorder="1" applyAlignment="1">
      <alignment horizontal="right"/>
    </xf>
    <xf numFmtId="0" fontId="8" fillId="5" borderId="7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center"/>
    </xf>
    <xf numFmtId="173" fontId="8" fillId="5" borderId="5" xfId="0" applyNumberFormat="1" applyFont="1" applyFill="1" applyBorder="1" applyAlignment="1">
      <alignment horizontal="right"/>
    </xf>
    <xf numFmtId="9" fontId="8" fillId="0" borderId="22" xfId="0" applyNumberFormat="1" applyFont="1" applyFill="1" applyBorder="1" applyAlignment="1">
      <alignment horizontal="right"/>
    </xf>
    <xf numFmtId="173" fontId="9" fillId="2" borderId="5" xfId="0" applyNumberFormat="1" applyFont="1" applyFill="1" applyBorder="1" applyAlignment="1">
      <alignment horizontal="right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0" fontId="9" fillId="0" borderId="6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left"/>
    </xf>
    <xf numFmtId="172" fontId="9" fillId="2" borderId="0" xfId="0" applyNumberFormat="1" applyFont="1" applyFill="1" applyBorder="1" applyAlignment="1">
      <alignment horizontal="right"/>
    </xf>
    <xf numFmtId="172" fontId="9" fillId="2" borderId="5" xfId="0" applyNumberFormat="1" applyFont="1" applyFill="1" applyBorder="1" applyAlignment="1">
      <alignment horizontal="right"/>
    </xf>
    <xf numFmtId="172" fontId="9" fillId="0" borderId="0" xfId="0" applyNumberFormat="1" applyFont="1"/>
    <xf numFmtId="172" fontId="13" fillId="2" borderId="0" xfId="0" applyNumberFormat="1" applyFont="1" applyFill="1" applyBorder="1" applyAlignment="1">
      <alignment horizontal="right"/>
    </xf>
    <xf numFmtId="172" fontId="9" fillId="2" borderId="17" xfId="0" applyNumberFormat="1" applyFont="1" applyFill="1" applyBorder="1" applyAlignment="1">
      <alignment horizontal="right"/>
    </xf>
    <xf numFmtId="172" fontId="13" fillId="2" borderId="5" xfId="0" applyNumberFormat="1" applyFont="1" applyFill="1" applyBorder="1" applyAlignment="1">
      <alignment horizontal="right"/>
    </xf>
    <xf numFmtId="0" fontId="9" fillId="2" borderId="0" xfId="0" applyFont="1" applyFill="1" applyBorder="1"/>
    <xf numFmtId="0" fontId="9" fillId="2" borderId="7" xfId="0" applyFont="1" applyFill="1" applyBorder="1" applyAlignment="1">
      <alignment horizontal="left"/>
    </xf>
    <xf numFmtId="172" fontId="9" fillId="2" borderId="5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right"/>
    </xf>
    <xf numFmtId="172" fontId="8" fillId="2" borderId="0" xfId="0" applyNumberFormat="1" applyFont="1" applyFill="1" applyBorder="1" applyAlignment="1">
      <alignment horizontal="right"/>
    </xf>
    <xf numFmtId="172" fontId="8" fillId="2" borderId="0" xfId="0" applyNumberFormat="1" applyFont="1" applyFill="1" applyBorder="1" applyAlignment="1">
      <alignment horizontal="center"/>
    </xf>
    <xf numFmtId="10" fontId="9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9" fillId="2" borderId="26" xfId="0" applyFont="1" applyFill="1" applyBorder="1" applyAlignment="1">
      <alignment horizontal="center"/>
    </xf>
    <xf numFmtId="172" fontId="9" fillId="2" borderId="5" xfId="0" applyNumberFormat="1" applyFont="1" applyFill="1" applyBorder="1"/>
    <xf numFmtId="0" fontId="0" fillId="0" borderId="0" xfId="0" applyAlignment="1">
      <alignment horizontal="left"/>
    </xf>
    <xf numFmtId="17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0" borderId="0" xfId="0" applyFont="1"/>
    <xf numFmtId="0" fontId="1" fillId="0" borderId="0" xfId="0" applyFont="1"/>
    <xf numFmtId="0" fontId="16" fillId="2" borderId="12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0" fontId="16" fillId="2" borderId="21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172" fontId="3" fillId="0" borderId="27" xfId="0" applyNumberFormat="1" applyFont="1" applyBorder="1"/>
    <xf numFmtId="0" fontId="0" fillId="0" borderId="29" xfId="0" applyBorder="1"/>
    <xf numFmtId="172" fontId="3" fillId="0" borderId="28" xfId="0" applyNumberFormat="1" applyFont="1" applyBorder="1"/>
    <xf numFmtId="0" fontId="0" fillId="0" borderId="29" xfId="0" applyBorder="1" applyAlignment="1">
      <alignment horizontal="center"/>
    </xf>
    <xf numFmtId="0" fontId="4" fillId="0" borderId="0" xfId="0" applyFont="1" applyBorder="1"/>
    <xf numFmtId="0" fontId="0" fillId="0" borderId="12" xfId="0" applyBorder="1" applyAlignment="1">
      <alignment horizontal="left"/>
    </xf>
    <xf numFmtId="0" fontId="0" fillId="0" borderId="18" xfId="0" applyBorder="1" applyAlignment="1">
      <alignment horizontal="left"/>
    </xf>
    <xf numFmtId="172" fontId="0" fillId="0" borderId="12" xfId="0" applyNumberFormat="1" applyBorder="1"/>
    <xf numFmtId="0" fontId="0" fillId="0" borderId="10" xfId="0" applyBorder="1"/>
    <xf numFmtId="172" fontId="0" fillId="0" borderId="10" xfId="0" applyNumberFormat="1" applyBorder="1"/>
    <xf numFmtId="172" fontId="3" fillId="0" borderId="10" xfId="0" applyNumberFormat="1" applyFont="1" applyBorder="1"/>
    <xf numFmtId="172" fontId="3" fillId="0" borderId="18" xfId="0" applyNumberFormat="1" applyFont="1" applyBorder="1"/>
    <xf numFmtId="172" fontId="9" fillId="2" borderId="6" xfId="0" applyNumberFormat="1" applyFont="1" applyFill="1" applyBorder="1" applyAlignment="1">
      <alignment horizontal="center"/>
    </xf>
    <xf numFmtId="172" fontId="9" fillId="2" borderId="22" xfId="0" applyNumberFormat="1" applyFont="1" applyFill="1" applyBorder="1" applyAlignment="1">
      <alignment horizontal="center"/>
    </xf>
    <xf numFmtId="172" fontId="9" fillId="2" borderId="3" xfId="0" applyNumberFormat="1" applyFont="1" applyFill="1" applyBorder="1" applyAlignment="1">
      <alignment horizontal="center"/>
    </xf>
    <xf numFmtId="172" fontId="9" fillId="2" borderId="23" xfId="0" applyNumberFormat="1" applyFont="1" applyFill="1" applyBorder="1" applyAlignment="1">
      <alignment horizontal="center"/>
    </xf>
    <xf numFmtId="172" fontId="8" fillId="6" borderId="22" xfId="0" applyNumberFormat="1" applyFont="1" applyFill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8" fillId="2" borderId="5" xfId="0" applyFont="1" applyFill="1" applyBorder="1"/>
    <xf numFmtId="0" fontId="8" fillId="2" borderId="18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172" fontId="9" fillId="7" borderId="0" xfId="0" applyNumberFormat="1" applyFont="1" applyFill="1" applyBorder="1" applyAlignment="1">
      <alignment horizontal="right"/>
    </xf>
    <xf numFmtId="172" fontId="9" fillId="7" borderId="17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172" fontId="9" fillId="3" borderId="0" xfId="0" applyNumberFormat="1" applyFont="1" applyFill="1" applyBorder="1" applyAlignment="1">
      <alignment horizontal="left"/>
    </xf>
    <xf numFmtId="0" fontId="9" fillId="3" borderId="17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zoomScaleNormal="100" workbookViewId="0">
      <selection activeCell="B25" sqref="B25"/>
    </sheetView>
  </sheetViews>
  <sheetFormatPr defaultRowHeight="12.5" x14ac:dyDescent="0.25"/>
  <cols>
    <col min="1" max="1" width="26.453125" bestFit="1" customWidth="1"/>
    <col min="2" max="2" width="67" style="2" customWidth="1"/>
    <col min="3" max="3" width="27.1796875" bestFit="1" customWidth="1"/>
    <col min="4" max="4" width="9" style="2" bestFit="1" customWidth="1"/>
    <col min="5" max="5" width="11.1796875" bestFit="1" customWidth="1"/>
    <col min="6" max="6" width="11.1796875" customWidth="1"/>
    <col min="7" max="9" width="11.1796875" bestFit="1" customWidth="1"/>
  </cols>
  <sheetData>
    <row r="1" spans="1:13" s="204" customFormat="1" ht="25" x14ac:dyDescent="0.5">
      <c r="B1" s="25" t="s">
        <v>110</v>
      </c>
      <c r="D1" s="25"/>
    </row>
    <row r="3" spans="1:13" s="203" customFormat="1" ht="20" x14ac:dyDescent="0.4">
      <c r="A3" s="205" t="s">
        <v>96</v>
      </c>
      <c r="B3" s="206"/>
      <c r="C3" s="206"/>
      <c r="D3" s="207" t="s">
        <v>105</v>
      </c>
    </row>
    <row r="4" spans="1:13" s="203" customFormat="1" ht="20" x14ac:dyDescent="0.4">
      <c r="A4" s="208" t="s">
        <v>97</v>
      </c>
      <c r="B4" s="209" t="s">
        <v>95</v>
      </c>
      <c r="C4" s="209" t="s">
        <v>101</v>
      </c>
      <c r="D4" s="210" t="s">
        <v>106</v>
      </c>
    </row>
    <row r="6" spans="1:13" ht="13" x14ac:dyDescent="0.3">
      <c r="A6" s="216" t="s">
        <v>113</v>
      </c>
      <c r="B6" s="217" t="s">
        <v>98</v>
      </c>
      <c r="C6" s="199" t="s">
        <v>129</v>
      </c>
      <c r="D6" s="232" t="s">
        <v>131</v>
      </c>
    </row>
    <row r="7" spans="1:13" ht="13" x14ac:dyDescent="0.3">
      <c r="A7" s="216"/>
      <c r="B7" s="231" t="s">
        <v>127</v>
      </c>
      <c r="C7" s="200" t="s">
        <v>130</v>
      </c>
      <c r="D7" s="233"/>
      <c r="E7" s="1"/>
      <c r="F7" s="1"/>
    </row>
    <row r="8" spans="1:13" ht="13" x14ac:dyDescent="0.3">
      <c r="A8" s="216"/>
      <c r="B8" s="198" t="s">
        <v>128</v>
      </c>
      <c r="C8" s="229"/>
      <c r="D8" s="230"/>
      <c r="E8" s="1"/>
      <c r="F8" s="1"/>
    </row>
    <row r="9" spans="1:13" ht="13" x14ac:dyDescent="0.3">
      <c r="A9" s="29"/>
      <c r="B9" s="194"/>
      <c r="E9" s="1"/>
      <c r="F9" s="1"/>
    </row>
    <row r="10" spans="1:13" ht="13" x14ac:dyDescent="0.3">
      <c r="A10" s="29"/>
      <c r="B10" s="194"/>
      <c r="E10" s="1"/>
      <c r="F10" s="1"/>
    </row>
    <row r="11" spans="1:13" ht="13" x14ac:dyDescent="0.3">
      <c r="A11" s="29" t="s">
        <v>114</v>
      </c>
      <c r="B11" s="197" t="s">
        <v>111</v>
      </c>
      <c r="C11" s="212" t="s">
        <v>103</v>
      </c>
      <c r="D11" s="201" t="s">
        <v>100</v>
      </c>
      <c r="E11" s="1"/>
      <c r="F11" s="1"/>
    </row>
    <row r="12" spans="1:13" ht="13" x14ac:dyDescent="0.3">
      <c r="A12" s="29"/>
      <c r="B12" s="211" t="s">
        <v>112</v>
      </c>
      <c r="C12" s="213"/>
      <c r="D12" s="215"/>
      <c r="H12" s="1"/>
      <c r="I12" s="1"/>
      <c r="J12" s="1"/>
      <c r="K12" s="1"/>
      <c r="L12" s="1"/>
      <c r="M12" s="1"/>
    </row>
    <row r="13" spans="1:13" x14ac:dyDescent="0.25">
      <c r="B13" s="198" t="s">
        <v>102</v>
      </c>
      <c r="C13" s="214" t="s">
        <v>104</v>
      </c>
      <c r="D13" s="202" t="s">
        <v>99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ht="13" x14ac:dyDescent="0.3">
      <c r="A14" s="29"/>
      <c r="B14" s="194"/>
      <c r="C14" s="7"/>
      <c r="E14" s="1"/>
      <c r="F14" s="1"/>
      <c r="G14" s="1"/>
      <c r="H14" s="1"/>
      <c r="I14" s="1"/>
      <c r="J14" s="1"/>
      <c r="K14" s="1"/>
      <c r="L14" s="1"/>
      <c r="M14" s="1"/>
    </row>
    <row r="15" spans="1:13" ht="13" x14ac:dyDescent="0.3">
      <c r="A15" s="29" t="s">
        <v>117</v>
      </c>
      <c r="B15" s="217" t="s">
        <v>115</v>
      </c>
      <c r="C15" s="219" t="s">
        <v>119</v>
      </c>
      <c r="D15" s="201" t="s">
        <v>118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ht="13" x14ac:dyDescent="0.3">
      <c r="A16" s="29"/>
      <c r="B16" s="218" t="s">
        <v>116</v>
      </c>
      <c r="C16" s="220" t="s">
        <v>120</v>
      </c>
      <c r="D16" s="215"/>
      <c r="E16" s="1"/>
      <c r="F16" s="1"/>
      <c r="G16" s="1"/>
      <c r="H16" s="1"/>
      <c r="I16" s="1"/>
      <c r="J16" s="1"/>
      <c r="K16" s="1"/>
      <c r="L16" s="1"/>
      <c r="M16" s="1"/>
    </row>
    <row r="17" spans="1:13" ht="13" x14ac:dyDescent="0.3">
      <c r="A17" s="29"/>
      <c r="B17" s="194"/>
      <c r="C17" s="221" t="s">
        <v>121</v>
      </c>
      <c r="D17" s="215"/>
      <c r="E17" s="1"/>
      <c r="F17" s="1"/>
      <c r="G17" s="1"/>
      <c r="H17" s="1"/>
      <c r="I17" s="1"/>
      <c r="J17" s="1"/>
      <c r="K17" s="1"/>
      <c r="L17" s="1"/>
      <c r="M17" s="1"/>
    </row>
    <row r="18" spans="1:13" ht="13" x14ac:dyDescent="0.3">
      <c r="A18" s="29"/>
      <c r="B18" s="194"/>
      <c r="C18" s="222" t="s">
        <v>122</v>
      </c>
      <c r="D18" s="215"/>
      <c r="E18" s="1"/>
      <c r="F18" s="1"/>
      <c r="G18" s="1"/>
      <c r="H18" s="1"/>
      <c r="I18" s="1"/>
      <c r="J18" s="1"/>
      <c r="K18" s="1"/>
      <c r="L18" s="1"/>
      <c r="M18" s="1"/>
    </row>
    <row r="19" spans="1:13" ht="13" x14ac:dyDescent="0.3">
      <c r="A19" s="29"/>
      <c r="C19" s="223" t="s">
        <v>123</v>
      </c>
      <c r="D19" s="202"/>
      <c r="E19" s="1"/>
      <c r="F19" s="1"/>
      <c r="G19" s="1"/>
      <c r="H19" s="1"/>
      <c r="I19" s="1"/>
      <c r="J19" s="1"/>
      <c r="K19" s="1"/>
      <c r="L19" s="1"/>
      <c r="M19" s="1"/>
    </row>
    <row r="20" spans="1:13" ht="13" x14ac:dyDescent="0.3">
      <c r="A20" s="29"/>
      <c r="C20" s="8"/>
      <c r="D20" s="195"/>
      <c r="E20" s="1"/>
      <c r="F20" s="1"/>
      <c r="G20" s="1"/>
      <c r="H20" s="1"/>
      <c r="I20" s="1"/>
      <c r="J20" s="1"/>
      <c r="K20" s="1"/>
      <c r="L20" s="1"/>
      <c r="M20" s="1"/>
    </row>
    <row r="21" spans="1:13" ht="13" x14ac:dyDescent="0.3">
      <c r="A21" s="29"/>
      <c r="C21" s="8"/>
      <c r="E21" s="1"/>
      <c r="F21" s="1"/>
      <c r="G21" s="1"/>
      <c r="H21" s="1"/>
      <c r="I21" s="1"/>
      <c r="J21" s="1"/>
      <c r="K21" s="1"/>
      <c r="L21" s="1"/>
      <c r="M21" s="1"/>
    </row>
    <row r="22" spans="1:13" ht="13" x14ac:dyDescent="0.3">
      <c r="A22" s="29"/>
      <c r="C22" s="7"/>
      <c r="E22" s="1"/>
      <c r="F22" s="1"/>
      <c r="G22" s="1"/>
      <c r="H22" s="1"/>
      <c r="I22" s="1"/>
      <c r="J22" s="1"/>
      <c r="K22" s="1"/>
      <c r="L22" s="1"/>
      <c r="M22" s="1"/>
    </row>
    <row r="23" spans="1:13" ht="13" x14ac:dyDescent="0.3">
      <c r="A23" s="29"/>
      <c r="C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3" x14ac:dyDescent="0.3">
      <c r="A24" s="29"/>
      <c r="C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3" x14ac:dyDescent="0.3">
      <c r="A25" s="29"/>
      <c r="C25" s="8"/>
      <c r="E25" s="1"/>
      <c r="F25" s="1"/>
      <c r="G25" s="1"/>
      <c r="H25" s="1"/>
      <c r="I25" s="1"/>
      <c r="J25" s="1"/>
      <c r="K25" s="1"/>
      <c r="L25" s="1"/>
      <c r="M25" s="1"/>
    </row>
    <row r="26" spans="1:13" ht="13" x14ac:dyDescent="0.3">
      <c r="A26" s="29"/>
      <c r="C26" s="8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C27" s="8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C28" s="8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C29" s="8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C30" s="7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C31" s="7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C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C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C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C35" s="1"/>
      <c r="G35" s="1"/>
      <c r="H35" s="1"/>
      <c r="I35" s="1"/>
      <c r="J35" s="1"/>
      <c r="K35" s="1"/>
      <c r="L35" s="1"/>
      <c r="M35" s="1"/>
    </row>
    <row r="36" spans="2:13" x14ac:dyDescent="0.25">
      <c r="D36" s="195"/>
      <c r="G36" s="1"/>
      <c r="H36" s="1"/>
      <c r="I36" s="1"/>
      <c r="J36" s="1"/>
      <c r="K36" s="1"/>
      <c r="L36" s="1"/>
      <c r="M36" s="1"/>
    </row>
    <row r="37" spans="2:13" x14ac:dyDescent="0.25">
      <c r="C37" s="1"/>
      <c r="D37" s="195"/>
      <c r="G37" s="1"/>
      <c r="H37" s="1"/>
      <c r="I37" s="1"/>
      <c r="J37" s="1"/>
      <c r="K37" s="1"/>
      <c r="L37" s="1"/>
      <c r="M37" s="1"/>
    </row>
    <row r="38" spans="2:13" x14ac:dyDescent="0.25">
      <c r="C38" s="1"/>
      <c r="D38" s="195"/>
      <c r="I38" s="1"/>
      <c r="J38" s="1"/>
      <c r="K38" s="1"/>
      <c r="L38" s="1"/>
      <c r="M38" s="1"/>
    </row>
    <row r="39" spans="2:13" x14ac:dyDescent="0.25">
      <c r="C39" s="1"/>
      <c r="D39" s="195"/>
      <c r="G39" s="1"/>
      <c r="H39" s="1"/>
      <c r="I39" s="1"/>
      <c r="J39" s="1"/>
      <c r="K39" s="1"/>
      <c r="L39" s="1"/>
      <c r="M39" s="1"/>
    </row>
    <row r="40" spans="2:13" x14ac:dyDescent="0.25">
      <c r="C40" s="1"/>
      <c r="D40" s="195"/>
      <c r="G40" s="1"/>
      <c r="H40" s="1"/>
      <c r="I40" s="1"/>
      <c r="J40" s="1"/>
      <c r="K40" s="1"/>
      <c r="L40" s="1"/>
      <c r="M40" s="1"/>
    </row>
    <row r="41" spans="2:13" x14ac:dyDescent="0.25">
      <c r="C41" s="1"/>
      <c r="D41" s="195"/>
      <c r="G41" s="1"/>
      <c r="H41" s="1"/>
      <c r="I41" s="1"/>
      <c r="J41" s="1"/>
      <c r="K41" s="1"/>
      <c r="L41" s="1"/>
      <c r="M41" s="1"/>
    </row>
    <row r="42" spans="2:13" x14ac:dyDescent="0.25">
      <c r="C42" s="1"/>
      <c r="D42" s="195"/>
      <c r="G42" s="1"/>
      <c r="H42" s="1"/>
      <c r="I42" s="1"/>
      <c r="J42" s="1"/>
      <c r="K42" s="1"/>
      <c r="L42" s="1"/>
      <c r="M42" s="1"/>
    </row>
    <row r="43" spans="2:13" x14ac:dyDescent="0.25">
      <c r="C43" s="1"/>
      <c r="D43" s="195"/>
      <c r="L43" s="1"/>
      <c r="M43" s="1"/>
    </row>
    <row r="44" spans="2:13" x14ac:dyDescent="0.25">
      <c r="C44" s="1"/>
      <c r="D44" s="195"/>
      <c r="G44" s="1"/>
      <c r="H44" s="4"/>
      <c r="I44" s="4"/>
      <c r="L44" s="1"/>
      <c r="M44" s="1"/>
    </row>
    <row r="45" spans="2:13" x14ac:dyDescent="0.25">
      <c r="C45" s="1"/>
      <c r="D45" s="195"/>
      <c r="L45" s="1"/>
      <c r="M45" s="1"/>
    </row>
    <row r="46" spans="2:13" x14ac:dyDescent="0.25">
      <c r="B46" s="1"/>
      <c r="C46" s="1"/>
      <c r="D46" s="195"/>
      <c r="E46" s="1"/>
      <c r="F46" s="1"/>
      <c r="G46" s="1"/>
      <c r="H46" s="1"/>
      <c r="L46" s="1"/>
      <c r="M46" s="1"/>
    </row>
    <row r="47" spans="2:13" x14ac:dyDescent="0.25">
      <c r="B47" s="1"/>
      <c r="C47" s="3"/>
      <c r="D47" s="196"/>
      <c r="E47" s="3"/>
      <c r="F47" s="3"/>
      <c r="G47" s="3"/>
      <c r="H47" s="3"/>
      <c r="L47" s="1"/>
      <c r="M47" s="1"/>
    </row>
    <row r="48" spans="2:13" x14ac:dyDescent="0.25">
      <c r="B48" s="1"/>
      <c r="C48" s="1"/>
      <c r="D48" s="195"/>
      <c r="E48" s="1"/>
      <c r="F48" s="1"/>
      <c r="G48" s="1"/>
      <c r="H48" s="1"/>
      <c r="L48" s="1"/>
      <c r="M48" s="1"/>
    </row>
    <row r="49" spans="2:13" x14ac:dyDescent="0.25">
      <c r="B49" s="1"/>
      <c r="C49" s="1"/>
      <c r="D49" s="195"/>
      <c r="E49" s="1"/>
      <c r="F49" s="1"/>
      <c r="G49" s="1"/>
      <c r="H49" s="1"/>
      <c r="L49" s="1"/>
      <c r="M49" s="1"/>
    </row>
    <row r="50" spans="2:13" x14ac:dyDescent="0.25">
      <c r="B50" s="1"/>
      <c r="C50" s="1"/>
      <c r="D50" s="195"/>
      <c r="E50" s="1"/>
      <c r="F50" s="1"/>
      <c r="G50" s="1"/>
      <c r="H50" s="1"/>
      <c r="L50" s="1"/>
      <c r="M50" s="1"/>
    </row>
    <row r="51" spans="2:13" x14ac:dyDescent="0.25">
      <c r="B51" s="1"/>
      <c r="C51" s="1"/>
      <c r="D51" s="195"/>
      <c r="E51" s="1"/>
      <c r="F51" s="1"/>
      <c r="G51" s="1"/>
      <c r="H51" s="1"/>
      <c r="L51" s="1"/>
      <c r="M51" s="1"/>
    </row>
    <row r="52" spans="2:13" x14ac:dyDescent="0.25">
      <c r="B52" s="1"/>
      <c r="C52" s="1"/>
      <c r="D52" s="195"/>
      <c r="E52" s="1"/>
      <c r="F52" s="1"/>
      <c r="G52" s="1"/>
      <c r="H52" s="1"/>
      <c r="L52" s="1"/>
      <c r="M52" s="1"/>
    </row>
    <row r="53" spans="2:13" x14ac:dyDescent="0.25">
      <c r="B53" s="1"/>
      <c r="C53" s="1"/>
      <c r="D53" s="195"/>
      <c r="E53" s="1"/>
      <c r="F53" s="1"/>
      <c r="G53" s="1"/>
      <c r="H53" s="1"/>
      <c r="L53" s="1"/>
      <c r="M53" s="1"/>
    </row>
    <row r="54" spans="2:13" x14ac:dyDescent="0.25">
      <c r="B54" s="1"/>
      <c r="C54" s="1"/>
      <c r="D54" s="195"/>
      <c r="E54" s="1"/>
      <c r="F54" s="1"/>
      <c r="G54" s="1"/>
      <c r="H54" s="1"/>
      <c r="L54" s="1"/>
      <c r="M54" s="1"/>
    </row>
    <row r="55" spans="2:13" x14ac:dyDescent="0.25">
      <c r="B55" s="1"/>
      <c r="C55" s="1"/>
      <c r="D55" s="195"/>
      <c r="E55" s="1"/>
      <c r="F55" s="1"/>
      <c r="G55" s="1"/>
      <c r="H55" s="1"/>
      <c r="L55" s="1"/>
      <c r="M55" s="1"/>
    </row>
    <row r="56" spans="2:13" x14ac:dyDescent="0.25">
      <c r="B56" s="1"/>
      <c r="C56" s="1"/>
      <c r="D56" s="195"/>
      <c r="E56" s="1"/>
      <c r="F56" s="1"/>
      <c r="G56" s="1"/>
      <c r="H56" s="1"/>
    </row>
    <row r="57" spans="2:13" x14ac:dyDescent="0.25">
      <c r="B57" s="1"/>
      <c r="C57" s="1"/>
      <c r="D57" s="195"/>
      <c r="E57" s="1"/>
      <c r="F57" s="1"/>
      <c r="G57" s="1"/>
      <c r="H57" s="1"/>
    </row>
    <row r="58" spans="2:13" x14ac:dyDescent="0.25">
      <c r="B58" s="5"/>
      <c r="C58" s="1"/>
      <c r="D58" s="195"/>
      <c r="E58" s="1"/>
      <c r="F58" s="1"/>
      <c r="G58" s="1"/>
      <c r="H58" s="1"/>
    </row>
    <row r="59" spans="2:13" x14ac:dyDescent="0.25">
      <c r="B59" s="6"/>
    </row>
    <row r="60" spans="2:13" x14ac:dyDescent="0.25">
      <c r="B60" s="6"/>
    </row>
    <row r="61" spans="2:13" x14ac:dyDescent="0.25">
      <c r="B61" s="6"/>
    </row>
    <row r="62" spans="2:13" x14ac:dyDescent="0.25">
      <c r="B62" s="6"/>
    </row>
    <row r="63" spans="2:13" x14ac:dyDescent="0.25">
      <c r="B63" s="6"/>
    </row>
    <row r="64" spans="2:13" x14ac:dyDescent="0.25">
      <c r="B64" s="6"/>
    </row>
    <row r="65" spans="2:2" x14ac:dyDescent="0.25">
      <c r="B65" s="6"/>
    </row>
    <row r="66" spans="2:2" x14ac:dyDescent="0.25">
      <c r="B66" s="6"/>
    </row>
    <row r="67" spans="2:2" x14ac:dyDescent="0.25">
      <c r="B67" s="6"/>
    </row>
    <row r="68" spans="2:2" x14ac:dyDescent="0.25">
      <c r="B68" s="6"/>
    </row>
    <row r="69" spans="2:2" x14ac:dyDescent="0.25">
      <c r="B69" s="6"/>
    </row>
    <row r="70" spans="2:2" x14ac:dyDescent="0.25">
      <c r="B70" s="6"/>
    </row>
  </sheetData>
  <pageMargins left="0.33" right="0.66" top="0.33" bottom="0.25" header="0.33" footer="0.25"/>
  <pageSetup orientation="landscape" horizontalDpi="204" verticalDpi="19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zoomScale="130" workbookViewId="0">
      <selection activeCell="B10" sqref="B10"/>
    </sheetView>
  </sheetViews>
  <sheetFormatPr defaultRowHeight="13" x14ac:dyDescent="0.3"/>
  <cols>
    <col min="1" max="1" width="3.7265625" style="9" customWidth="1"/>
    <col min="2" max="2" width="51.1796875" style="9" customWidth="1"/>
    <col min="3" max="3" width="16.1796875" style="2" customWidth="1"/>
    <col min="4" max="4" width="14.26953125" style="2" bestFit="1" customWidth="1"/>
    <col min="5" max="5" width="18.7265625" style="2" customWidth="1"/>
    <col min="6" max="7" width="9.1796875" style="2" customWidth="1"/>
    <col min="8" max="8" width="14.453125" bestFit="1" customWidth="1"/>
  </cols>
  <sheetData>
    <row r="1" spans="1:7" s="28" customFormat="1" ht="25" x14ac:dyDescent="0.5">
      <c r="A1" s="25"/>
      <c r="B1" s="26" t="s">
        <v>149</v>
      </c>
      <c r="C1" s="27"/>
      <c r="D1" s="27"/>
      <c r="E1" s="27"/>
      <c r="F1" s="27"/>
      <c r="G1" s="27"/>
    </row>
    <row r="2" spans="1:7" s="19" customFormat="1" ht="10.5" x14ac:dyDescent="0.25">
      <c r="A2" s="21"/>
      <c r="B2" s="191"/>
      <c r="C2" s="18"/>
      <c r="D2" s="18"/>
      <c r="E2" s="18"/>
      <c r="F2" s="18"/>
      <c r="G2" s="18"/>
    </row>
    <row r="3" spans="1:7" s="15" customFormat="1" ht="15.5" x14ac:dyDescent="0.35">
      <c r="A3" s="13"/>
      <c r="B3" s="16" t="s">
        <v>155</v>
      </c>
      <c r="C3" s="14"/>
      <c r="D3" s="14"/>
      <c r="E3" s="14"/>
      <c r="F3" s="14"/>
      <c r="G3" s="14"/>
    </row>
    <row r="4" spans="1:7" s="17" customFormat="1" ht="12" thickBot="1" x14ac:dyDescent="0.3">
      <c r="A4" s="133"/>
      <c r="B4" s="134"/>
      <c r="C4" s="135"/>
      <c r="D4" s="135"/>
      <c r="E4" s="135"/>
      <c r="F4" s="135"/>
      <c r="G4" s="135"/>
    </row>
    <row r="5" spans="1:7" s="17" customFormat="1" ht="11.5" x14ac:dyDescent="0.25">
      <c r="A5" s="136" t="s">
        <v>109</v>
      </c>
      <c r="B5" s="137"/>
      <c r="C5" s="138"/>
      <c r="D5" s="139"/>
      <c r="E5" s="140">
        <v>82000</v>
      </c>
      <c r="F5" s="135"/>
      <c r="G5" s="135"/>
    </row>
    <row r="6" spans="1:7" s="17" customFormat="1" ht="11.5" x14ac:dyDescent="0.25">
      <c r="A6" s="141"/>
      <c r="B6" s="142"/>
      <c r="C6" s="143"/>
      <c r="D6" s="144"/>
      <c r="E6" s="145"/>
      <c r="F6" s="135"/>
      <c r="G6" s="135"/>
    </row>
    <row r="7" spans="1:7" s="17" customFormat="1" ht="11.5" x14ac:dyDescent="0.25">
      <c r="A7" s="146" t="s">
        <v>23</v>
      </c>
      <c r="B7" s="147"/>
      <c r="C7" s="143"/>
      <c r="D7" s="144"/>
      <c r="E7" s="148">
        <v>129</v>
      </c>
      <c r="F7" s="135"/>
      <c r="G7" s="135"/>
    </row>
    <row r="8" spans="1:7" s="17" customFormat="1" ht="11.5" x14ac:dyDescent="0.25">
      <c r="A8" s="146"/>
      <c r="B8" s="147"/>
      <c r="C8" s="143"/>
      <c r="D8" s="144"/>
      <c r="E8" s="149"/>
      <c r="F8" s="135"/>
      <c r="G8" s="135"/>
    </row>
    <row r="9" spans="1:7" s="17" customFormat="1" ht="11.5" x14ac:dyDescent="0.25">
      <c r="A9" s="146" t="s">
        <v>24</v>
      </c>
      <c r="B9" s="147"/>
      <c r="C9" s="143"/>
      <c r="D9" s="144"/>
      <c r="E9" s="148">
        <v>30</v>
      </c>
      <c r="F9" s="135"/>
      <c r="G9" s="135"/>
    </row>
    <row r="10" spans="1:7" s="17" customFormat="1" ht="11.5" x14ac:dyDescent="0.25">
      <c r="A10" s="141"/>
      <c r="B10" s="142"/>
      <c r="C10" s="143"/>
      <c r="D10" s="144"/>
      <c r="E10" s="145"/>
      <c r="F10" s="135"/>
      <c r="G10" s="135"/>
    </row>
    <row r="11" spans="1:7" s="133" customFormat="1" ht="11.5" x14ac:dyDescent="0.25">
      <c r="A11" s="141" t="s">
        <v>125</v>
      </c>
      <c r="B11" s="147"/>
      <c r="C11" s="147"/>
      <c r="D11" s="147"/>
      <c r="E11" s="150">
        <v>400000000</v>
      </c>
    </row>
    <row r="12" spans="1:7" s="133" customFormat="1" ht="11.5" x14ac:dyDescent="0.25">
      <c r="A12" s="141"/>
      <c r="B12" s="147"/>
      <c r="C12" s="147"/>
      <c r="D12" s="147"/>
      <c r="E12" s="151"/>
    </row>
    <row r="13" spans="1:7" s="133" customFormat="1" ht="11.5" x14ac:dyDescent="0.25">
      <c r="A13" s="141" t="s">
        <v>86</v>
      </c>
      <c r="B13" s="147"/>
      <c r="C13" s="147"/>
      <c r="D13" s="147"/>
      <c r="E13" s="228">
        <f>E11/E5</f>
        <v>4878.0487804878048</v>
      </c>
    </row>
    <row r="14" spans="1:7" s="133" customFormat="1" ht="11.5" x14ac:dyDescent="0.25">
      <c r="A14" s="141"/>
      <c r="B14" s="147"/>
      <c r="C14" s="147"/>
      <c r="D14" s="147"/>
      <c r="E14" s="151"/>
    </row>
    <row r="15" spans="1:7" s="133" customFormat="1" ht="11.5" x14ac:dyDescent="0.25">
      <c r="A15" s="141" t="s">
        <v>17</v>
      </c>
      <c r="B15" s="147"/>
      <c r="C15" s="147"/>
      <c r="D15" s="147"/>
      <c r="E15" s="228">
        <f>E11/E5/365</f>
        <v>13.364517206815904</v>
      </c>
    </row>
    <row r="16" spans="1:7" s="17" customFormat="1" ht="11.5" x14ac:dyDescent="0.25">
      <c r="A16" s="154"/>
      <c r="B16" s="155"/>
      <c r="C16" s="156"/>
      <c r="D16" s="156"/>
      <c r="E16" s="157"/>
      <c r="F16" s="135"/>
      <c r="G16" s="135"/>
    </row>
    <row r="17" spans="1:7" s="17" customFormat="1" ht="11.5" x14ac:dyDescent="0.25">
      <c r="A17" s="146" t="s">
        <v>126</v>
      </c>
      <c r="B17" s="147"/>
      <c r="C17" s="144"/>
      <c r="D17" s="144"/>
      <c r="E17" s="158">
        <v>5.5E-2</v>
      </c>
      <c r="F17" s="135"/>
      <c r="G17" s="135"/>
    </row>
    <row r="18" spans="1:7" s="17" customFormat="1" ht="11.5" x14ac:dyDescent="0.25">
      <c r="A18" s="146"/>
      <c r="B18" s="147"/>
      <c r="C18" s="144"/>
      <c r="D18" s="144"/>
      <c r="E18" s="149"/>
      <c r="F18" s="135"/>
      <c r="G18" s="135"/>
    </row>
    <row r="19" spans="1:7" s="17" customFormat="1" ht="11.5" x14ac:dyDescent="0.25">
      <c r="A19" s="146" t="s">
        <v>73</v>
      </c>
      <c r="B19" s="147"/>
      <c r="C19" s="144"/>
      <c r="D19" s="144"/>
      <c r="E19" s="159">
        <v>7.4999999999999997E-3</v>
      </c>
      <c r="F19" s="135"/>
      <c r="G19" s="135"/>
    </row>
    <row r="20" spans="1:7" s="17" customFormat="1" ht="11.5" x14ac:dyDescent="0.25">
      <c r="A20" s="146"/>
      <c r="B20" s="147"/>
      <c r="C20" s="144"/>
      <c r="D20" s="144"/>
      <c r="E20" s="149"/>
      <c r="F20" s="135"/>
      <c r="G20" s="135"/>
    </row>
    <row r="21" spans="1:7" s="17" customFormat="1" ht="11.5" x14ac:dyDescent="0.25">
      <c r="A21" s="146" t="s">
        <v>13</v>
      </c>
      <c r="B21" s="147"/>
      <c r="C21" s="144"/>
      <c r="D21" s="144"/>
      <c r="E21" s="158">
        <v>0.06</v>
      </c>
      <c r="F21" s="135"/>
      <c r="G21" s="135"/>
    </row>
    <row r="22" spans="1:7" s="17" customFormat="1" ht="11.5" x14ac:dyDescent="0.25">
      <c r="A22" s="146"/>
      <c r="B22" s="147"/>
      <c r="C22" s="144"/>
      <c r="D22" s="144"/>
      <c r="E22" s="149"/>
      <c r="F22" s="135"/>
      <c r="G22" s="135"/>
    </row>
    <row r="23" spans="1:7" s="17" customFormat="1" ht="11.5" x14ac:dyDescent="0.25">
      <c r="A23" s="141" t="s">
        <v>150</v>
      </c>
      <c r="B23" s="147"/>
      <c r="C23" s="144"/>
      <c r="D23" s="144"/>
      <c r="E23" s="158">
        <v>5.0000000000000001E-3</v>
      </c>
      <c r="F23" s="135"/>
      <c r="G23" s="135"/>
    </row>
    <row r="24" spans="1:7" s="17" customFormat="1" ht="11.5" x14ac:dyDescent="0.25">
      <c r="A24" s="160"/>
      <c r="B24" s="161"/>
      <c r="C24" s="156"/>
      <c r="D24" s="156"/>
      <c r="E24" s="162"/>
      <c r="F24" s="135"/>
      <c r="G24" s="135"/>
    </row>
    <row r="25" spans="1:7" s="17" customFormat="1" ht="11.5" x14ac:dyDescent="0.25">
      <c r="A25" s="141" t="s">
        <v>151</v>
      </c>
      <c r="B25" s="147"/>
      <c r="C25" s="144"/>
      <c r="D25" s="144"/>
      <c r="E25" s="149"/>
      <c r="F25" s="135"/>
      <c r="G25" s="135"/>
    </row>
    <row r="26" spans="1:7" s="17" customFormat="1" ht="11.5" x14ac:dyDescent="0.25">
      <c r="A26" s="141" t="s">
        <v>132</v>
      </c>
      <c r="B26" s="147"/>
      <c r="C26" s="144"/>
      <c r="D26" s="144"/>
      <c r="E26" s="148">
        <v>3</v>
      </c>
      <c r="F26" s="135"/>
      <c r="G26" s="135"/>
    </row>
    <row r="27" spans="1:7" s="17" customFormat="1" ht="11.5" x14ac:dyDescent="0.25">
      <c r="A27" s="141"/>
      <c r="B27" s="147"/>
      <c r="C27" s="144"/>
      <c r="D27" s="144"/>
      <c r="E27" s="149"/>
      <c r="F27" s="135"/>
      <c r="G27" s="135"/>
    </row>
    <row r="28" spans="1:7" s="17" customFormat="1" ht="11.5" x14ac:dyDescent="0.25">
      <c r="A28" s="141" t="s">
        <v>152</v>
      </c>
      <c r="B28" s="147"/>
      <c r="C28" s="144"/>
      <c r="D28" s="144"/>
      <c r="E28" s="149"/>
      <c r="F28" s="135"/>
      <c r="G28" s="135"/>
    </row>
    <row r="29" spans="1:7" s="17" customFormat="1" ht="11.5" x14ac:dyDescent="0.25">
      <c r="A29" s="141" t="s">
        <v>133</v>
      </c>
      <c r="B29" s="147"/>
      <c r="C29" s="144"/>
      <c r="D29" s="144"/>
      <c r="E29" s="148">
        <v>4</v>
      </c>
      <c r="F29" s="135"/>
      <c r="G29" s="135"/>
    </row>
    <row r="30" spans="1:7" s="17" customFormat="1" ht="11.5" x14ac:dyDescent="0.25">
      <c r="A30" s="141"/>
      <c r="B30" s="147"/>
      <c r="C30" s="144"/>
      <c r="D30" s="144"/>
      <c r="E30" s="149"/>
      <c r="F30" s="135"/>
      <c r="G30" s="135"/>
    </row>
    <row r="31" spans="1:7" s="17" customFormat="1" ht="11.5" x14ac:dyDescent="0.25">
      <c r="A31" s="146" t="s">
        <v>11</v>
      </c>
      <c r="B31" s="147"/>
      <c r="C31" s="144"/>
      <c r="D31" s="144"/>
      <c r="E31" s="150">
        <v>25000000</v>
      </c>
      <c r="F31" s="135"/>
      <c r="G31" s="135"/>
    </row>
    <row r="32" spans="1:7" s="17" customFormat="1" ht="11.5" x14ac:dyDescent="0.25">
      <c r="A32" s="146"/>
      <c r="B32" s="147"/>
      <c r="C32" s="144"/>
      <c r="D32" s="144"/>
      <c r="E32" s="151"/>
      <c r="F32" s="135"/>
      <c r="G32" s="135"/>
    </row>
    <row r="33" spans="1:7" s="17" customFormat="1" ht="11.5" x14ac:dyDescent="0.25">
      <c r="A33" s="141" t="s">
        <v>22</v>
      </c>
      <c r="B33" s="147"/>
      <c r="C33" s="144"/>
      <c r="D33" s="144"/>
      <c r="E33" s="149"/>
      <c r="F33" s="135"/>
      <c r="G33" s="135"/>
    </row>
    <row r="34" spans="1:7" s="17" customFormat="1" ht="11.5" x14ac:dyDescent="0.25">
      <c r="A34" s="141" t="s">
        <v>20</v>
      </c>
      <c r="B34" s="147"/>
      <c r="C34" s="144"/>
      <c r="D34" s="144"/>
      <c r="E34" s="163">
        <v>0.03</v>
      </c>
      <c r="F34" s="135"/>
      <c r="G34" s="135"/>
    </row>
    <row r="35" spans="1:7" s="17" customFormat="1" ht="11.5" x14ac:dyDescent="0.25">
      <c r="A35" s="141"/>
      <c r="B35" s="147"/>
      <c r="C35" s="144"/>
      <c r="D35" s="144"/>
      <c r="E35" s="149"/>
      <c r="F35" s="135"/>
      <c r="G35" s="135"/>
    </row>
    <row r="36" spans="1:7" s="17" customFormat="1" ht="11.5" x14ac:dyDescent="0.25">
      <c r="A36" s="141" t="s">
        <v>153</v>
      </c>
      <c r="B36" s="147"/>
      <c r="C36" s="144"/>
      <c r="D36" s="144"/>
      <c r="E36" s="150">
        <f>66*40000</f>
        <v>2640000</v>
      </c>
      <c r="F36" s="135"/>
      <c r="G36" s="135"/>
    </row>
    <row r="37" spans="1:7" s="17" customFormat="1" ht="11.5" x14ac:dyDescent="0.25">
      <c r="A37" s="141"/>
      <c r="B37" s="147"/>
      <c r="C37" s="144"/>
      <c r="D37" s="144"/>
      <c r="E37" s="149"/>
      <c r="F37" s="135"/>
      <c r="G37" s="135"/>
    </row>
    <row r="38" spans="1:7" s="17" customFormat="1" ht="13.5" customHeight="1" x14ac:dyDescent="0.25">
      <c r="A38" s="146" t="s">
        <v>134</v>
      </c>
      <c r="B38" s="142"/>
      <c r="C38" s="143"/>
      <c r="D38" s="144"/>
      <c r="E38" s="158">
        <v>0.15001999999999999</v>
      </c>
      <c r="F38" s="135"/>
      <c r="G38" s="135"/>
    </row>
    <row r="39" spans="1:7" s="17" customFormat="1" ht="13.5" customHeight="1" x14ac:dyDescent="0.25">
      <c r="A39" s="146"/>
      <c r="B39" s="142"/>
      <c r="C39" s="143"/>
      <c r="D39" s="144"/>
      <c r="E39" s="149"/>
      <c r="F39" s="135"/>
      <c r="G39" s="135"/>
    </row>
    <row r="40" spans="1:7" s="17" customFormat="1" ht="11.5" x14ac:dyDescent="0.25">
      <c r="A40" s="146" t="s">
        <v>135</v>
      </c>
      <c r="B40" s="147"/>
      <c r="C40" s="143"/>
      <c r="D40" s="144"/>
      <c r="E40" s="158">
        <v>0.1</v>
      </c>
      <c r="F40" s="135"/>
      <c r="G40" s="135"/>
    </row>
    <row r="41" spans="1:7" s="17" customFormat="1" ht="11.5" x14ac:dyDescent="0.25">
      <c r="A41" s="146"/>
      <c r="B41" s="147"/>
      <c r="C41" s="143"/>
      <c r="D41" s="144"/>
      <c r="E41" s="149"/>
      <c r="F41" s="135"/>
      <c r="G41" s="135"/>
    </row>
    <row r="42" spans="1:7" s="17" customFormat="1" ht="11.5" x14ac:dyDescent="0.25">
      <c r="A42" s="146" t="s">
        <v>107</v>
      </c>
      <c r="B42" s="147"/>
      <c r="C42" s="143"/>
      <c r="D42" s="144"/>
      <c r="E42" s="148">
        <v>5</v>
      </c>
      <c r="F42" s="135"/>
      <c r="G42" s="135"/>
    </row>
    <row r="43" spans="1:7" s="17" customFormat="1" ht="11.5" x14ac:dyDescent="0.25">
      <c r="A43" s="146"/>
      <c r="B43" s="147"/>
      <c r="C43" s="143"/>
      <c r="D43" s="144"/>
      <c r="E43" s="149"/>
      <c r="F43" s="135"/>
      <c r="G43" s="135"/>
    </row>
    <row r="44" spans="1:7" s="17" customFormat="1" ht="11.5" x14ac:dyDescent="0.25">
      <c r="A44" s="146" t="s">
        <v>108</v>
      </c>
      <c r="B44" s="147"/>
      <c r="C44" s="143"/>
      <c r="D44" s="144"/>
      <c r="E44" s="150">
        <v>400</v>
      </c>
      <c r="F44" s="135"/>
      <c r="G44" s="135"/>
    </row>
    <row r="45" spans="1:7" s="17" customFormat="1" ht="11.5" x14ac:dyDescent="0.25">
      <c r="A45" s="146"/>
      <c r="B45" s="147"/>
      <c r="C45" s="143"/>
      <c r="D45" s="144"/>
      <c r="E45" s="164"/>
      <c r="F45" s="135"/>
      <c r="G45" s="135"/>
    </row>
    <row r="46" spans="1:7" s="17" customFormat="1" ht="11.5" x14ac:dyDescent="0.25">
      <c r="A46" s="146" t="s">
        <v>91</v>
      </c>
      <c r="B46" s="147"/>
      <c r="C46" s="143"/>
      <c r="D46" s="144"/>
      <c r="E46" s="152">
        <f>E44*E7*12</f>
        <v>619200</v>
      </c>
      <c r="F46" s="135"/>
      <c r="G46" s="135"/>
    </row>
    <row r="47" spans="1:7" s="17" customFormat="1" ht="11.5" x14ac:dyDescent="0.25">
      <c r="A47" s="146"/>
      <c r="B47" s="147"/>
      <c r="C47" s="143"/>
      <c r="D47" s="144"/>
      <c r="E47" s="164"/>
      <c r="F47" s="135"/>
      <c r="G47" s="135"/>
    </row>
    <row r="48" spans="1:7" s="133" customFormat="1" ht="11.5" x14ac:dyDescent="0.25">
      <c r="A48" s="165" t="s">
        <v>87</v>
      </c>
      <c r="B48" s="166"/>
      <c r="C48" s="166" t="s">
        <v>154</v>
      </c>
      <c r="D48" s="166" t="s">
        <v>8</v>
      </c>
      <c r="E48" s="167" t="s">
        <v>9</v>
      </c>
    </row>
    <row r="49" spans="1:7" s="133" customFormat="1" ht="11.5" x14ac:dyDescent="0.25">
      <c r="A49" s="165">
        <v>1</v>
      </c>
      <c r="B49" s="188" t="s">
        <v>10</v>
      </c>
      <c r="C49" s="168">
        <v>0</v>
      </c>
      <c r="D49" s="168">
        <v>0</v>
      </c>
      <c r="E49" s="168">
        <v>1</v>
      </c>
    </row>
    <row r="50" spans="1:7" s="133" customFormat="1" ht="11.5" x14ac:dyDescent="0.25">
      <c r="A50" s="153">
        <f>A49+1</f>
        <v>2</v>
      </c>
      <c r="B50" s="189" t="s">
        <v>10</v>
      </c>
      <c r="C50" s="168">
        <v>0</v>
      </c>
      <c r="D50" s="168">
        <v>0</v>
      </c>
      <c r="E50" s="168">
        <v>1</v>
      </c>
    </row>
    <row r="51" spans="1:7" s="133" customFormat="1" ht="11.5" x14ac:dyDescent="0.25">
      <c r="A51" s="153">
        <f>A50+1</f>
        <v>3</v>
      </c>
      <c r="B51" s="189" t="s">
        <v>10</v>
      </c>
      <c r="C51" s="168">
        <v>0</v>
      </c>
      <c r="D51" s="168">
        <v>0</v>
      </c>
      <c r="E51" s="168">
        <v>1</v>
      </c>
    </row>
    <row r="52" spans="1:7" s="133" customFormat="1" ht="11.5" x14ac:dyDescent="0.25">
      <c r="A52" s="153">
        <f>A51+1</f>
        <v>4</v>
      </c>
      <c r="B52" s="189" t="s">
        <v>10</v>
      </c>
      <c r="C52" s="168">
        <v>0</v>
      </c>
      <c r="D52" s="168">
        <v>0</v>
      </c>
      <c r="E52" s="168">
        <v>1</v>
      </c>
    </row>
    <row r="53" spans="1:7" s="133" customFormat="1" ht="11.5" x14ac:dyDescent="0.25">
      <c r="A53" s="170">
        <f>A52+1</f>
        <v>5</v>
      </c>
      <c r="B53" s="190" t="s">
        <v>10</v>
      </c>
      <c r="C53" s="168">
        <v>0</v>
      </c>
      <c r="D53" s="168">
        <v>0</v>
      </c>
      <c r="E53" s="168">
        <v>1</v>
      </c>
    </row>
    <row r="54" spans="1:7" s="133" customFormat="1" ht="11.5" x14ac:dyDescent="0.25">
      <c r="A54" s="165">
        <v>1</v>
      </c>
      <c r="B54" s="188" t="s">
        <v>92</v>
      </c>
      <c r="C54" s="224">
        <f>E31*C49</f>
        <v>0</v>
      </c>
      <c r="D54" s="224">
        <f>E31*D49</f>
        <v>0</v>
      </c>
      <c r="E54" s="225">
        <f>E31*E49</f>
        <v>25000000</v>
      </c>
    </row>
    <row r="55" spans="1:7" s="133" customFormat="1" ht="11.5" x14ac:dyDescent="0.25">
      <c r="A55" s="153">
        <f>A54+1</f>
        <v>2</v>
      </c>
      <c r="B55" s="189" t="s">
        <v>92</v>
      </c>
      <c r="C55" s="224">
        <f>E31*C50</f>
        <v>0</v>
      </c>
      <c r="D55" s="224">
        <f>D50*E31</f>
        <v>0</v>
      </c>
      <c r="E55" s="225">
        <f>E31*E50</f>
        <v>25000000</v>
      </c>
    </row>
    <row r="56" spans="1:7" s="133" customFormat="1" ht="11.5" x14ac:dyDescent="0.25">
      <c r="A56" s="153">
        <f>A55+1</f>
        <v>3</v>
      </c>
      <c r="B56" s="189" t="s">
        <v>92</v>
      </c>
      <c r="C56" s="224">
        <f>E31*C51</f>
        <v>0</v>
      </c>
      <c r="D56" s="224">
        <f>D51*E31</f>
        <v>0</v>
      </c>
      <c r="E56" s="225">
        <f>E31*E51</f>
        <v>25000000</v>
      </c>
    </row>
    <row r="57" spans="1:7" s="133" customFormat="1" ht="11.5" x14ac:dyDescent="0.25">
      <c r="A57" s="153">
        <f>A56+1</f>
        <v>4</v>
      </c>
      <c r="B57" s="189" t="s">
        <v>92</v>
      </c>
      <c r="C57" s="224">
        <f>C52*E31</f>
        <v>0</v>
      </c>
      <c r="D57" s="224">
        <f>D52*E31</f>
        <v>0</v>
      </c>
      <c r="E57" s="225">
        <f>E52*E31</f>
        <v>25000000</v>
      </c>
    </row>
    <row r="58" spans="1:7" s="133" customFormat="1" ht="12" thickBot="1" x14ac:dyDescent="0.3">
      <c r="A58" s="169">
        <f>A57+1</f>
        <v>5</v>
      </c>
      <c r="B58" s="192" t="s">
        <v>92</v>
      </c>
      <c r="C58" s="226">
        <f>C53*E31</f>
        <v>0</v>
      </c>
      <c r="D58" s="226">
        <f>E31*D53</f>
        <v>0</v>
      </c>
      <c r="E58" s="227">
        <f>E53*E31</f>
        <v>25000000</v>
      </c>
    </row>
    <row r="59" spans="1:7" s="133" customFormat="1" ht="11.5" x14ac:dyDescent="0.25">
      <c r="A59" s="63"/>
      <c r="B59" s="187"/>
      <c r="C59" s="186"/>
      <c r="D59" s="186"/>
      <c r="E59" s="186"/>
    </row>
    <row r="60" spans="1:7" s="28" customFormat="1" ht="25" x14ac:dyDescent="0.5">
      <c r="A60" s="25"/>
      <c r="B60" s="26" t="s">
        <v>94</v>
      </c>
      <c r="C60" s="27"/>
      <c r="D60" s="27"/>
      <c r="E60" s="27"/>
      <c r="F60" s="27"/>
      <c r="G60" s="27"/>
    </row>
    <row r="61" spans="1:7" s="19" customFormat="1" ht="10.5" x14ac:dyDescent="0.25">
      <c r="A61" s="21"/>
      <c r="B61" s="191"/>
      <c r="C61" s="18"/>
      <c r="D61" s="18"/>
      <c r="E61" s="18"/>
      <c r="F61" s="18"/>
      <c r="G61" s="18"/>
    </row>
    <row r="62" spans="1:7" s="15" customFormat="1" ht="15.5" x14ac:dyDescent="0.35">
      <c r="A62" s="13"/>
      <c r="B62" s="16" t="s">
        <v>88</v>
      </c>
      <c r="C62" s="14"/>
      <c r="D62" s="14"/>
      <c r="E62" s="14"/>
      <c r="F62" s="14"/>
      <c r="G62" s="14"/>
    </row>
    <row r="63" spans="1:7" s="17" customFormat="1" ht="11.5" x14ac:dyDescent="0.25">
      <c r="A63" s="133"/>
      <c r="B63" s="134"/>
      <c r="C63" s="135"/>
      <c r="D63" s="135"/>
      <c r="E63" s="135"/>
      <c r="F63" s="135"/>
      <c r="G63" s="135"/>
    </row>
    <row r="64" spans="1:7" s="133" customFormat="1" ht="11.5" x14ac:dyDescent="0.25">
      <c r="A64" s="239"/>
      <c r="B64" s="166" t="s">
        <v>3</v>
      </c>
      <c r="C64" s="166" t="s">
        <v>0</v>
      </c>
      <c r="D64" s="166" t="s">
        <v>0</v>
      </c>
      <c r="E64" s="240" t="s">
        <v>138</v>
      </c>
    </row>
    <row r="65" spans="1:8" s="73" customFormat="1" ht="11.5" x14ac:dyDescent="0.25">
      <c r="A65" s="235" t="s">
        <v>87</v>
      </c>
      <c r="B65" s="171" t="s">
        <v>4</v>
      </c>
      <c r="C65" s="171" t="s">
        <v>1</v>
      </c>
      <c r="D65" s="171" t="s">
        <v>2</v>
      </c>
      <c r="E65" s="236" t="s">
        <v>38</v>
      </c>
      <c r="F65" s="133"/>
    </row>
    <row r="66" spans="1:8" s="73" customFormat="1" ht="11.5" x14ac:dyDescent="0.25">
      <c r="A66" s="153"/>
      <c r="B66" s="147"/>
      <c r="C66" s="147"/>
      <c r="D66" s="147"/>
      <c r="E66" s="234"/>
      <c r="F66" s="133"/>
    </row>
    <row r="67" spans="1:8" s="17" customFormat="1" ht="11.5" x14ac:dyDescent="0.25">
      <c r="A67" s="153">
        <v>1</v>
      </c>
      <c r="B67" s="172" t="s">
        <v>81</v>
      </c>
      <c r="C67" s="173">
        <f>E31</f>
        <v>25000000</v>
      </c>
      <c r="D67" s="173">
        <f>E31*5</f>
        <v>125000000</v>
      </c>
      <c r="E67" s="193">
        <f>-SUM(E54:E58)*E17</f>
        <v>-6875000</v>
      </c>
      <c r="F67" s="135"/>
    </row>
    <row r="68" spans="1:8" s="17" customFormat="1" ht="11.5" x14ac:dyDescent="0.25">
      <c r="A68" s="153">
        <f>A67+1</f>
        <v>2</v>
      </c>
      <c r="B68" s="172" t="s">
        <v>81</v>
      </c>
      <c r="C68" s="173">
        <f>E31</f>
        <v>25000000</v>
      </c>
      <c r="D68" s="173"/>
      <c r="E68" s="174">
        <f>(((SUM(E54:E58)*0.75)*C113)+((SUM(D54:D58)*C114))+((SUM(C54:C58)*C115)))*12</f>
        <v>21363750</v>
      </c>
      <c r="F68" s="135"/>
      <c r="H68" s="175"/>
    </row>
    <row r="69" spans="1:8" s="17" customFormat="1" ht="11.5" x14ac:dyDescent="0.25">
      <c r="A69" s="153">
        <f>A68+1</f>
        <v>3</v>
      </c>
      <c r="B69" s="172" t="s">
        <v>81</v>
      </c>
      <c r="C69" s="173">
        <f>E31</f>
        <v>25000000</v>
      </c>
      <c r="D69" s="173"/>
      <c r="E69" s="174">
        <f>E68</f>
        <v>21363750</v>
      </c>
      <c r="F69" s="135"/>
    </row>
    <row r="70" spans="1:8" s="17" customFormat="1" ht="11.5" x14ac:dyDescent="0.25">
      <c r="A70" s="153">
        <f>A69+1</f>
        <v>4</v>
      </c>
      <c r="B70" s="172" t="s">
        <v>81</v>
      </c>
      <c r="C70" s="173">
        <f>E31</f>
        <v>25000000</v>
      </c>
      <c r="D70" s="173"/>
      <c r="E70" s="174">
        <f>E69-((SUM(C54:C58)*C115*12))*(3*E38)</f>
        <v>21363750</v>
      </c>
      <c r="F70" s="135"/>
      <c r="G70" s="135"/>
    </row>
    <row r="71" spans="1:8" s="17" customFormat="1" ht="11.5" x14ac:dyDescent="0.25">
      <c r="A71" s="153">
        <f>A70+1</f>
        <v>5</v>
      </c>
      <c r="B71" s="172" t="s">
        <v>81</v>
      </c>
      <c r="C71" s="176">
        <f>E31</f>
        <v>25000000</v>
      </c>
      <c r="D71" s="177"/>
      <c r="E71" s="178">
        <f>E70-(((SUM(D54:D58)*C114*12)*(4*E40)))</f>
        <v>21363750</v>
      </c>
      <c r="F71" s="135"/>
      <c r="G71" s="135"/>
    </row>
    <row r="72" spans="1:8" s="17" customFormat="1" ht="11.5" x14ac:dyDescent="0.25">
      <c r="A72" s="141" t="s">
        <v>5</v>
      </c>
      <c r="B72" s="179"/>
      <c r="C72" s="173">
        <f>SUM(C67:C71)</f>
        <v>125000000</v>
      </c>
      <c r="D72" s="173">
        <f>SUM(D67:D71)</f>
        <v>125000000</v>
      </c>
      <c r="E72" s="174">
        <f>SUM(E68:E71)</f>
        <v>85455000</v>
      </c>
      <c r="F72" s="135"/>
      <c r="G72" s="135"/>
    </row>
    <row r="73" spans="1:8" s="17" customFormat="1" ht="11.5" x14ac:dyDescent="0.25">
      <c r="A73" s="180" t="s">
        <v>6</v>
      </c>
      <c r="B73" s="179"/>
      <c r="C73" s="173"/>
      <c r="D73" s="173"/>
      <c r="E73" s="181"/>
      <c r="F73" s="135"/>
      <c r="G73" s="135"/>
    </row>
    <row r="74" spans="1:8" s="17" customFormat="1" ht="11.5" x14ac:dyDescent="0.25">
      <c r="A74" s="141" t="s">
        <v>82</v>
      </c>
      <c r="B74" s="179"/>
      <c r="C74" s="173">
        <f>(E46*5)+'Infrastructure Cost Analysis'!F42</f>
        <v>3612000</v>
      </c>
      <c r="D74" s="173">
        <f>C74</f>
        <v>3612000</v>
      </c>
      <c r="E74" s="174">
        <f>D74</f>
        <v>3612000</v>
      </c>
      <c r="F74" s="135"/>
      <c r="G74" s="135"/>
    </row>
    <row r="75" spans="1:8" s="17" customFormat="1" ht="11.5" x14ac:dyDescent="0.25">
      <c r="A75" s="180" t="s">
        <v>6</v>
      </c>
      <c r="B75" s="179"/>
      <c r="C75" s="173"/>
      <c r="D75" s="173"/>
      <c r="E75" s="181"/>
      <c r="F75" s="135"/>
      <c r="G75" s="135"/>
    </row>
    <row r="76" spans="1:8" s="17" customFormat="1" ht="11.5" x14ac:dyDescent="0.25">
      <c r="A76" s="141" t="s">
        <v>74</v>
      </c>
      <c r="B76" s="179"/>
      <c r="C76" s="173">
        <f>C72*E34</f>
        <v>3750000</v>
      </c>
      <c r="D76" s="173">
        <f>C72*E34</f>
        <v>3750000</v>
      </c>
      <c r="E76" s="174">
        <v>0</v>
      </c>
      <c r="F76" s="135"/>
      <c r="G76" s="135"/>
    </row>
    <row r="77" spans="1:8" s="17" customFormat="1" ht="11.5" x14ac:dyDescent="0.25">
      <c r="A77" s="180" t="s">
        <v>6</v>
      </c>
      <c r="B77" s="179"/>
      <c r="C77" s="173"/>
      <c r="D77" s="173"/>
      <c r="E77" s="181"/>
      <c r="F77" s="135"/>
      <c r="G77" s="135"/>
    </row>
    <row r="78" spans="1:8" s="17" customFormat="1" ht="11.5" x14ac:dyDescent="0.25">
      <c r="A78" s="141" t="s">
        <v>136</v>
      </c>
      <c r="B78" s="179"/>
      <c r="C78" s="173">
        <f>C72*(E17+E19)</f>
        <v>7812500</v>
      </c>
      <c r="D78" s="173" t="s">
        <v>15</v>
      </c>
      <c r="E78" s="174" t="s">
        <v>15</v>
      </c>
      <c r="F78" s="135"/>
      <c r="G78" s="135"/>
    </row>
    <row r="79" spans="1:8" s="17" customFormat="1" ht="11.5" x14ac:dyDescent="0.25">
      <c r="A79" s="180" t="s">
        <v>6</v>
      </c>
      <c r="B79" s="179"/>
      <c r="C79" s="173"/>
      <c r="D79" s="173"/>
      <c r="E79" s="174"/>
      <c r="F79" s="135"/>
      <c r="G79" s="135"/>
    </row>
    <row r="80" spans="1:8" s="17" customFormat="1" ht="11.5" x14ac:dyDescent="0.25">
      <c r="A80" s="141" t="s">
        <v>76</v>
      </c>
      <c r="B80" s="179"/>
      <c r="C80" s="173" t="s">
        <v>15</v>
      </c>
      <c r="D80" s="173">
        <f>D72*0.94</f>
        <v>117500000</v>
      </c>
      <c r="E80" s="174" t="s">
        <v>15</v>
      </c>
      <c r="F80" s="135"/>
      <c r="G80" s="135"/>
    </row>
    <row r="81" spans="1:7" s="17" customFormat="1" ht="11.5" x14ac:dyDescent="0.25">
      <c r="A81" s="180" t="s">
        <v>6</v>
      </c>
      <c r="B81" s="179"/>
      <c r="C81" s="173"/>
      <c r="D81" s="173"/>
      <c r="E81" s="174"/>
      <c r="F81" s="135"/>
      <c r="G81" s="135"/>
    </row>
    <row r="82" spans="1:7" s="17" customFormat="1" ht="11.5" x14ac:dyDescent="0.25">
      <c r="A82" s="141" t="s">
        <v>77</v>
      </c>
      <c r="B82" s="179"/>
      <c r="C82" s="173" t="s">
        <v>15</v>
      </c>
      <c r="D82" s="173">
        <f>D72*E23</f>
        <v>625000</v>
      </c>
      <c r="E82" s="174" t="s">
        <v>15</v>
      </c>
      <c r="F82" s="135"/>
      <c r="G82" s="135"/>
    </row>
    <row r="83" spans="1:7" s="17" customFormat="1" ht="11.5" x14ac:dyDescent="0.25">
      <c r="A83" s="180" t="s">
        <v>6</v>
      </c>
      <c r="B83" s="179"/>
      <c r="C83" s="173"/>
      <c r="D83" s="173"/>
      <c r="E83" s="174"/>
      <c r="F83" s="135"/>
      <c r="G83" s="135"/>
    </row>
    <row r="84" spans="1:7" s="17" customFormat="1" ht="11.5" x14ac:dyDescent="0.25">
      <c r="A84" s="141" t="s">
        <v>75</v>
      </c>
      <c r="B84" s="179"/>
      <c r="C84" s="173">
        <f>5*E36</f>
        <v>13200000</v>
      </c>
      <c r="D84" s="173">
        <f>E36*2</f>
        <v>5280000</v>
      </c>
      <c r="E84" s="174">
        <f>D84</f>
        <v>5280000</v>
      </c>
      <c r="F84" s="135"/>
      <c r="G84" s="135"/>
    </row>
    <row r="85" spans="1:7" s="17" customFormat="1" ht="11.5" x14ac:dyDescent="0.25">
      <c r="A85" s="180" t="s">
        <v>6</v>
      </c>
      <c r="B85" s="179"/>
      <c r="C85" s="173"/>
      <c r="D85" s="182"/>
      <c r="E85" s="183"/>
      <c r="F85" s="135"/>
      <c r="G85" s="135"/>
    </row>
    <row r="86" spans="1:7" s="17" customFormat="1" ht="11.5" x14ac:dyDescent="0.25">
      <c r="A86" s="141" t="s">
        <v>137</v>
      </c>
      <c r="B86" s="179"/>
      <c r="C86" s="173">
        <f>(C54)-(C54*(E38*E26))</f>
        <v>0</v>
      </c>
      <c r="D86" s="173" t="s">
        <v>93</v>
      </c>
      <c r="E86" s="174" t="s">
        <v>90</v>
      </c>
      <c r="F86" s="135"/>
      <c r="G86" s="135"/>
    </row>
    <row r="87" spans="1:7" s="17" customFormat="1" ht="11.5" x14ac:dyDescent="0.25">
      <c r="A87" s="180" t="s">
        <v>6</v>
      </c>
      <c r="B87" s="179"/>
      <c r="C87" s="143"/>
      <c r="D87" s="182"/>
      <c r="E87" s="183"/>
      <c r="F87" s="135"/>
      <c r="G87" s="135"/>
    </row>
    <row r="88" spans="1:7" s="17" customFormat="1" ht="11.5" x14ac:dyDescent="0.25">
      <c r="A88" s="141" t="s">
        <v>139</v>
      </c>
      <c r="B88" s="179"/>
      <c r="C88" s="173">
        <f>(C55)-(C55*(E38*E26))</f>
        <v>0</v>
      </c>
      <c r="D88" s="173" t="s">
        <v>93</v>
      </c>
      <c r="E88" s="174" t="s">
        <v>90</v>
      </c>
      <c r="F88" s="135"/>
      <c r="G88" s="135"/>
    </row>
    <row r="89" spans="1:7" s="17" customFormat="1" ht="11.5" x14ac:dyDescent="0.25">
      <c r="A89" s="180" t="s">
        <v>6</v>
      </c>
      <c r="B89" s="179"/>
      <c r="C89" s="143"/>
      <c r="D89" s="182"/>
      <c r="E89" s="183"/>
      <c r="F89" s="135"/>
      <c r="G89" s="135"/>
    </row>
    <row r="90" spans="1:7" s="17" customFormat="1" ht="11.5" x14ac:dyDescent="0.25">
      <c r="A90" s="141" t="s">
        <v>140</v>
      </c>
      <c r="B90" s="179"/>
      <c r="C90" s="173">
        <f>(D54)-(D54*(E40*E29))</f>
        <v>0</v>
      </c>
      <c r="D90" s="173" t="s">
        <v>93</v>
      </c>
      <c r="E90" s="174" t="s">
        <v>90</v>
      </c>
      <c r="F90" s="135"/>
      <c r="G90" s="135"/>
    </row>
    <row r="91" spans="1:7" s="17" customFormat="1" ht="11.5" x14ac:dyDescent="0.25">
      <c r="A91" s="180" t="s">
        <v>6</v>
      </c>
      <c r="B91" s="179"/>
      <c r="C91" s="173"/>
      <c r="D91" s="182"/>
      <c r="E91" s="183"/>
      <c r="F91" s="135"/>
      <c r="G91" s="135"/>
    </row>
    <row r="92" spans="1:7" s="17" customFormat="1" ht="11.5" x14ac:dyDescent="0.25">
      <c r="A92" s="141" t="s">
        <v>141</v>
      </c>
      <c r="B92" s="179"/>
      <c r="C92" s="173">
        <v>0</v>
      </c>
      <c r="D92" s="173">
        <f>((SUM(C54:C58)+(SUM(D54:D58)))*0.75)</f>
        <v>0</v>
      </c>
      <c r="E92" s="183" t="s">
        <v>15</v>
      </c>
      <c r="F92" s="135"/>
      <c r="G92" s="135"/>
    </row>
    <row r="93" spans="1:7" s="17" customFormat="1" ht="11.5" x14ac:dyDescent="0.25">
      <c r="A93" s="180" t="s">
        <v>6</v>
      </c>
      <c r="B93" s="179"/>
      <c r="C93" s="173"/>
      <c r="D93" s="182"/>
      <c r="E93" s="183"/>
      <c r="F93" s="135"/>
      <c r="G93" s="135"/>
    </row>
    <row r="94" spans="1:7" s="17" customFormat="1" ht="11.5" x14ac:dyDescent="0.25">
      <c r="A94" s="141" t="s">
        <v>142</v>
      </c>
      <c r="B94" s="179"/>
      <c r="C94" s="173" t="s">
        <v>15</v>
      </c>
      <c r="D94" s="173">
        <f>D92*0.94</f>
        <v>0</v>
      </c>
      <c r="E94" s="183" t="s">
        <v>15</v>
      </c>
      <c r="F94" s="135"/>
      <c r="G94" s="135"/>
    </row>
    <row r="95" spans="1:7" s="17" customFormat="1" ht="11.5" x14ac:dyDescent="0.25">
      <c r="A95" s="180" t="s">
        <v>6</v>
      </c>
      <c r="B95" s="179"/>
      <c r="C95" s="173"/>
      <c r="D95" s="173"/>
      <c r="E95" s="183"/>
      <c r="F95" s="135"/>
      <c r="G95" s="135"/>
    </row>
    <row r="96" spans="1:7" s="17" customFormat="1" ht="11.5" x14ac:dyDescent="0.25">
      <c r="A96" s="141" t="s">
        <v>14</v>
      </c>
      <c r="B96" s="179"/>
      <c r="C96" s="173" t="s">
        <v>15</v>
      </c>
      <c r="D96" s="173">
        <f>D92*E23</f>
        <v>0</v>
      </c>
      <c r="E96" s="183" t="s">
        <v>15</v>
      </c>
      <c r="F96" s="135"/>
      <c r="G96" s="135"/>
    </row>
    <row r="97" spans="1:7" s="17" customFormat="1" ht="11.5" x14ac:dyDescent="0.25">
      <c r="A97" s="180" t="s">
        <v>12</v>
      </c>
      <c r="B97" s="179"/>
      <c r="C97" s="173"/>
      <c r="D97" s="173"/>
      <c r="E97" s="183"/>
      <c r="F97" s="135"/>
      <c r="G97" s="135"/>
    </row>
    <row r="98" spans="1:7" s="17" customFormat="1" ht="11.5" x14ac:dyDescent="0.25">
      <c r="A98" s="141" t="s">
        <v>89</v>
      </c>
      <c r="B98" s="179"/>
      <c r="C98" s="173" t="s">
        <v>15</v>
      </c>
      <c r="D98" s="173">
        <f>-((C67*E49)+(C68*E50)+(C69*E51)+(C70*E52)+(C71*E53))*0.25</f>
        <v>-31250000</v>
      </c>
      <c r="E98" s="174" t="s">
        <v>90</v>
      </c>
      <c r="F98" s="135"/>
      <c r="G98" s="135"/>
    </row>
    <row r="99" spans="1:7" s="17" customFormat="1" ht="11.5" x14ac:dyDescent="0.25">
      <c r="A99" s="180" t="s">
        <v>12</v>
      </c>
      <c r="B99" s="179"/>
      <c r="C99" s="176"/>
      <c r="D99" s="173"/>
      <c r="E99" s="178"/>
      <c r="F99" s="135"/>
      <c r="G99" s="135"/>
    </row>
    <row r="100" spans="1:7" s="17" customFormat="1" ht="11.5" x14ac:dyDescent="0.25">
      <c r="A100" s="141" t="s">
        <v>79</v>
      </c>
      <c r="B100" s="179"/>
      <c r="C100" s="176"/>
      <c r="D100" s="176"/>
      <c r="E100" s="178"/>
      <c r="F100" s="135"/>
      <c r="G100" s="135"/>
    </row>
    <row r="101" spans="1:7" s="17" customFormat="1" ht="11.5" x14ac:dyDescent="0.25">
      <c r="A101" s="141" t="s">
        <v>78</v>
      </c>
      <c r="B101" s="179"/>
      <c r="C101" s="176" t="s">
        <v>15</v>
      </c>
      <c r="D101" s="176">
        <f>'Infrastructure Cost Analysis'!J30+'Infrastructure Cost Analysis'!L43</f>
        <v>-14262240</v>
      </c>
      <c r="E101" s="178">
        <f>D101</f>
        <v>-14262240</v>
      </c>
      <c r="F101" s="135"/>
      <c r="G101" s="135"/>
    </row>
    <row r="102" spans="1:7" s="17" customFormat="1" ht="11.5" x14ac:dyDescent="0.25">
      <c r="A102" s="180"/>
      <c r="B102" s="179"/>
      <c r="C102" s="143"/>
      <c r="D102" s="144"/>
      <c r="E102" s="183"/>
      <c r="F102" s="135"/>
      <c r="G102" s="135"/>
    </row>
    <row r="103" spans="1:7" s="17" customFormat="1" ht="11.5" x14ac:dyDescent="0.25">
      <c r="A103" s="141" t="s">
        <v>7</v>
      </c>
      <c r="B103" s="179"/>
      <c r="C103" s="184">
        <f>SUM(C72:C101)</f>
        <v>153374500</v>
      </c>
      <c r="D103" s="185">
        <f>SUM(D72:D101)</f>
        <v>210254760</v>
      </c>
      <c r="E103" s="151">
        <f>SUM(E72:E101)-E67</f>
        <v>86959760</v>
      </c>
      <c r="F103" s="135"/>
      <c r="G103" s="135"/>
    </row>
    <row r="104" spans="1:7" s="20" customFormat="1" x14ac:dyDescent="0.3">
      <c r="A104" s="116"/>
      <c r="B104" s="108"/>
      <c r="C104" s="109"/>
      <c r="D104" s="110"/>
      <c r="E104" s="117"/>
      <c r="F104" s="10"/>
      <c r="G104" s="10"/>
    </row>
    <row r="105" spans="1:7" s="19" customFormat="1" ht="15.5" x14ac:dyDescent="0.35">
      <c r="A105" s="116" t="s">
        <v>143</v>
      </c>
      <c r="B105" s="24"/>
      <c r="C105" s="113"/>
      <c r="D105" s="113"/>
      <c r="E105" s="120">
        <f>(E103/C103)-1</f>
        <v>-0.43302335133936865</v>
      </c>
      <c r="F105" s="18"/>
      <c r="G105" s="18"/>
    </row>
    <row r="106" spans="1:7" s="19" customFormat="1" x14ac:dyDescent="0.3">
      <c r="A106" s="118"/>
      <c r="B106" s="24"/>
      <c r="C106" s="113"/>
      <c r="D106" s="113"/>
      <c r="E106" s="121"/>
      <c r="F106" s="18"/>
      <c r="G106" s="18"/>
    </row>
    <row r="107" spans="1:7" s="19" customFormat="1" ht="15.5" x14ac:dyDescent="0.35">
      <c r="A107" s="116" t="s">
        <v>144</v>
      </c>
      <c r="B107" s="24"/>
      <c r="C107" s="113"/>
      <c r="D107" s="113"/>
      <c r="E107" s="120">
        <f>(E103/D103)-1</f>
        <v>-0.58640765136541972</v>
      </c>
      <c r="F107" s="18"/>
      <c r="G107" s="18"/>
    </row>
    <row r="108" spans="1:7" s="20" customFormat="1" x14ac:dyDescent="0.3">
      <c r="A108" s="116"/>
      <c r="B108" s="108"/>
      <c r="C108" s="109"/>
      <c r="D108" s="110"/>
      <c r="E108" s="117"/>
      <c r="F108" s="10"/>
      <c r="G108" s="10"/>
    </row>
    <row r="109" spans="1:7" s="20" customFormat="1" x14ac:dyDescent="0.3">
      <c r="A109" s="116"/>
      <c r="B109" s="108"/>
      <c r="C109" s="109"/>
      <c r="D109" s="110"/>
      <c r="E109" s="117"/>
      <c r="F109" s="10"/>
      <c r="G109" s="10"/>
    </row>
    <row r="110" spans="1:7" s="12" customFormat="1" ht="17.5" x14ac:dyDescent="0.35">
      <c r="A110" s="116" t="s">
        <v>80</v>
      </c>
      <c r="B110" s="115"/>
      <c r="C110" s="111"/>
      <c r="D110" s="112"/>
      <c r="E110" s="122">
        <f>E103/E5/(365*5)</f>
        <v>0.58108760441029073</v>
      </c>
      <c r="F110" s="11"/>
      <c r="G110" s="11"/>
    </row>
    <row r="111" spans="1:7" s="19" customFormat="1" x14ac:dyDescent="0.3">
      <c r="A111" s="118"/>
      <c r="B111" s="24"/>
      <c r="C111" s="113"/>
      <c r="D111" s="114"/>
      <c r="E111" s="123"/>
      <c r="F111" s="22"/>
      <c r="G111" s="18"/>
    </row>
    <row r="112" spans="1:7" s="20" customFormat="1" ht="16" thickBot="1" x14ac:dyDescent="0.4">
      <c r="A112" s="124" t="s">
        <v>21</v>
      </c>
      <c r="B112" s="125"/>
      <c r="C112" s="119"/>
      <c r="D112" s="126"/>
      <c r="E112" s="127">
        <f>E110/E15</f>
        <v>4.3479880000000005E-2</v>
      </c>
      <c r="F112" s="30"/>
      <c r="G112" s="10"/>
    </row>
    <row r="113" spans="1:7" s="19" customFormat="1" ht="11.5" x14ac:dyDescent="0.25">
      <c r="A113" s="31"/>
      <c r="B113" s="31"/>
      <c r="C113" s="133">
        <v>1.899E-2</v>
      </c>
      <c r="D113" s="23"/>
      <c r="E113" s="23"/>
      <c r="F113" s="22"/>
      <c r="G113" s="18"/>
    </row>
    <row r="114" spans="1:7" x14ac:dyDescent="0.3">
      <c r="C114" s="133">
        <v>1.6670000000000001E-2</v>
      </c>
    </row>
    <row r="115" spans="1:7" x14ac:dyDescent="0.3">
      <c r="C115" s="133">
        <v>2.4649999999999998E-2</v>
      </c>
    </row>
    <row r="117" spans="1:7" s="19" customFormat="1" ht="10.5" x14ac:dyDescent="0.25">
      <c r="A117" s="21"/>
      <c r="B117" s="21"/>
      <c r="C117" s="18"/>
      <c r="D117" s="18"/>
      <c r="E117" s="18"/>
      <c r="F117" s="18"/>
      <c r="G117" s="18"/>
    </row>
    <row r="118" spans="1:7" s="19" customFormat="1" ht="10.5" x14ac:dyDescent="0.25">
      <c r="A118" s="21"/>
      <c r="B118" s="21"/>
      <c r="C118" s="18"/>
      <c r="D118" s="18"/>
      <c r="E118" s="18"/>
      <c r="F118" s="18"/>
      <c r="G118" s="18"/>
    </row>
    <row r="119" spans="1:7" s="19" customFormat="1" ht="10.5" x14ac:dyDescent="0.25">
      <c r="A119" s="21"/>
      <c r="B119" s="21"/>
      <c r="C119" s="18"/>
      <c r="D119" s="18"/>
      <c r="E119" s="18"/>
      <c r="F119" s="18"/>
      <c r="G119" s="18"/>
    </row>
    <row r="120" spans="1:7" s="19" customFormat="1" ht="10.5" x14ac:dyDescent="0.25">
      <c r="A120" s="21"/>
      <c r="B120" s="21"/>
      <c r="C120" s="18"/>
      <c r="D120" s="18"/>
      <c r="E120" s="18"/>
      <c r="F120" s="18"/>
      <c r="G120" s="18"/>
    </row>
  </sheetData>
  <pageMargins left="0.25" right="0.25" top="0.33" bottom="0.66" header="0.33" footer="0.66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topLeftCell="A11" zoomScaleNormal="100" workbookViewId="0">
      <selection activeCell="A33" sqref="A33"/>
    </sheetView>
  </sheetViews>
  <sheetFormatPr defaultRowHeight="12.5" x14ac:dyDescent="0.25"/>
  <cols>
    <col min="1" max="1" width="45.54296875" customWidth="1"/>
    <col min="2" max="2" width="6.453125" customWidth="1"/>
    <col min="3" max="3" width="0.81640625" customWidth="1"/>
    <col min="4" max="4" width="12.81640625" customWidth="1"/>
    <col min="5" max="5" width="0.7265625" customWidth="1"/>
    <col min="6" max="6" width="13.26953125" customWidth="1"/>
    <col min="7" max="7" width="1" customWidth="1"/>
    <col min="8" max="8" width="13.26953125" bestFit="1" customWidth="1"/>
    <col min="9" max="9" width="0.7265625" customWidth="1"/>
    <col min="10" max="10" width="17.7265625" bestFit="1" customWidth="1"/>
    <col min="11" max="11" width="0.81640625" customWidth="1"/>
    <col min="12" max="12" width="13.81640625" bestFit="1" customWidth="1"/>
    <col min="13" max="13" width="12.453125" customWidth="1"/>
    <col min="14" max="14" width="0.7265625" customWidth="1"/>
    <col min="15" max="15" width="11.453125" customWidth="1"/>
  </cols>
  <sheetData>
    <row r="1" spans="1:16" ht="23" x14ac:dyDescent="0.5">
      <c r="A1" s="97"/>
      <c r="B1" s="97"/>
      <c r="C1" s="97"/>
      <c r="D1" s="97"/>
      <c r="F1" s="98" t="s">
        <v>72</v>
      </c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16" thickBot="1" x14ac:dyDescent="0.4">
      <c r="F2" s="13" t="s">
        <v>71</v>
      </c>
      <c r="G2" s="2"/>
    </row>
    <row r="3" spans="1:16" ht="13" x14ac:dyDescent="0.3">
      <c r="A3" s="96" t="s">
        <v>70</v>
      </c>
      <c r="B3" s="95"/>
      <c r="C3" s="66"/>
      <c r="D3" s="95"/>
      <c r="E3" s="95"/>
      <c r="F3" s="95"/>
      <c r="G3" s="95"/>
      <c r="H3" s="95"/>
      <c r="I3" s="95"/>
      <c r="J3" s="95"/>
      <c r="K3" s="95"/>
      <c r="L3" s="95"/>
      <c r="M3" s="95"/>
      <c r="N3" s="101" t="s">
        <v>19</v>
      </c>
      <c r="O3" s="103"/>
      <c r="P3" s="17"/>
    </row>
    <row r="4" spans="1:16" ht="13" x14ac:dyDescent="0.3">
      <c r="A4" s="93" t="s">
        <v>69</v>
      </c>
      <c r="B4" s="94">
        <f>B6*B5</f>
        <v>23220</v>
      </c>
      <c r="C4" s="55"/>
      <c r="D4" s="70"/>
      <c r="E4" s="70"/>
      <c r="F4" s="70"/>
      <c r="G4" s="70"/>
      <c r="H4" s="70"/>
      <c r="I4" s="70"/>
      <c r="J4" s="70"/>
      <c r="K4" s="70"/>
      <c r="L4" s="70"/>
      <c r="M4" s="55"/>
      <c r="N4" s="102" t="s">
        <v>16</v>
      </c>
      <c r="O4" s="104"/>
      <c r="P4" s="17"/>
    </row>
    <row r="5" spans="1:16" ht="13" x14ac:dyDescent="0.3">
      <c r="A5" s="93" t="s">
        <v>68</v>
      </c>
      <c r="B5" s="61">
        <v>6</v>
      </c>
      <c r="C5" s="55"/>
      <c r="D5" s="70"/>
      <c r="E5" s="70"/>
      <c r="F5" s="70"/>
      <c r="G5" s="70"/>
      <c r="H5" s="70"/>
      <c r="I5" s="70"/>
      <c r="J5" s="70"/>
      <c r="K5" s="70"/>
      <c r="L5" s="70"/>
      <c r="M5" s="55"/>
      <c r="N5" s="105" t="s">
        <v>18</v>
      </c>
      <c r="O5" s="104"/>
      <c r="P5" s="17"/>
    </row>
    <row r="6" spans="1:16" x14ac:dyDescent="0.25">
      <c r="A6" s="93" t="s">
        <v>67</v>
      </c>
      <c r="B6" s="61">
        <f>'Financial Overview'!E9*'Financial Overview'!E7</f>
        <v>3870</v>
      </c>
      <c r="C6" s="70"/>
      <c r="D6" s="60"/>
      <c r="E6" s="58" t="s">
        <v>66</v>
      </c>
      <c r="F6" s="59"/>
      <c r="G6" s="59"/>
      <c r="H6" s="59"/>
      <c r="I6" s="58" t="s">
        <v>65</v>
      </c>
      <c r="J6" s="59"/>
      <c r="K6" s="59"/>
      <c r="L6" s="59"/>
      <c r="M6" s="58"/>
      <c r="N6" s="58"/>
      <c r="O6" s="57" t="s">
        <v>35</v>
      </c>
      <c r="P6" s="17"/>
    </row>
    <row r="7" spans="1:16" x14ac:dyDescent="0.25">
      <c r="A7" s="93" t="s">
        <v>64</v>
      </c>
      <c r="B7" s="61">
        <f>'Financial Overview'!E5</f>
        <v>82000</v>
      </c>
      <c r="C7" s="70"/>
      <c r="D7" s="92" t="s">
        <v>63</v>
      </c>
      <c r="E7" s="90"/>
      <c r="F7" s="90" t="s">
        <v>62</v>
      </c>
      <c r="G7" s="91"/>
      <c r="H7" s="90" t="s">
        <v>63</v>
      </c>
      <c r="I7" s="90"/>
      <c r="J7" s="90" t="s">
        <v>62</v>
      </c>
      <c r="K7" s="90"/>
      <c r="L7" s="91"/>
      <c r="M7" s="90" t="s">
        <v>30</v>
      </c>
      <c r="N7" s="90"/>
      <c r="O7" s="89" t="s">
        <v>29</v>
      </c>
      <c r="P7" s="17"/>
    </row>
    <row r="8" spans="1:16" x14ac:dyDescent="0.25">
      <c r="A8" s="88" t="s">
        <v>61</v>
      </c>
      <c r="B8" s="48"/>
      <c r="C8" s="48"/>
      <c r="D8" s="87">
        <v>100</v>
      </c>
      <c r="E8" s="49"/>
      <c r="F8" s="49">
        <v>179</v>
      </c>
      <c r="G8" s="49"/>
      <c r="H8" s="49">
        <f>D8*B4</f>
        <v>2322000</v>
      </c>
      <c r="I8" s="49"/>
      <c r="J8" s="49">
        <f>F8*B4</f>
        <v>4156380</v>
      </c>
      <c r="K8" s="49"/>
      <c r="L8" s="49"/>
      <c r="M8" s="49">
        <f>J8*0.01899</f>
        <v>78929.656199999998</v>
      </c>
      <c r="N8" s="48"/>
      <c r="O8" s="128">
        <f>M8/30/B7</f>
        <v>3.2085226097560975E-2</v>
      </c>
      <c r="P8" s="17"/>
    </row>
    <row r="9" spans="1:16" x14ac:dyDescent="0.25">
      <c r="A9" s="40" t="s">
        <v>60</v>
      </c>
      <c r="B9" s="37"/>
      <c r="C9" s="37"/>
      <c r="D9" s="83">
        <v>50</v>
      </c>
      <c r="E9" s="39"/>
      <c r="F9" s="39">
        <v>50</v>
      </c>
      <c r="G9" s="39"/>
      <c r="H9" s="39">
        <f>D9*B4</f>
        <v>1161000</v>
      </c>
      <c r="I9" s="39"/>
      <c r="J9" s="39">
        <f>F9*B4</f>
        <v>1161000</v>
      </c>
      <c r="K9" s="39"/>
      <c r="L9" s="39"/>
      <c r="M9" s="39">
        <f>J9*0.01899</f>
        <v>22047.39</v>
      </c>
      <c r="N9" s="37"/>
      <c r="O9" s="129">
        <f>M9/30/B7</f>
        <v>8.9623536585365857E-3</v>
      </c>
      <c r="P9" s="17"/>
    </row>
    <row r="10" spans="1:16" x14ac:dyDescent="0.25">
      <c r="A10" s="40" t="s">
        <v>59</v>
      </c>
      <c r="B10" s="37"/>
      <c r="C10" s="37"/>
      <c r="D10" s="83">
        <v>100</v>
      </c>
      <c r="E10" s="39"/>
      <c r="F10" s="39">
        <v>100</v>
      </c>
      <c r="G10" s="39"/>
      <c r="H10" s="39">
        <f>D10*B4</f>
        <v>2322000</v>
      </c>
      <c r="I10" s="39"/>
      <c r="J10" s="39">
        <f>F10*B4</f>
        <v>2322000</v>
      </c>
      <c r="K10" s="39"/>
      <c r="L10" s="39"/>
      <c r="M10" s="39">
        <f>J10*0.01899</f>
        <v>44094.78</v>
      </c>
      <c r="N10" s="37"/>
      <c r="O10" s="129">
        <f>M10/30/B7</f>
        <v>1.7924707317073171E-2</v>
      </c>
      <c r="P10" s="17"/>
    </row>
    <row r="11" spans="1:16" x14ac:dyDescent="0.25">
      <c r="A11" s="40" t="s">
        <v>46</v>
      </c>
      <c r="B11" s="37"/>
      <c r="C11" s="37"/>
      <c r="D11" s="83" t="s">
        <v>15</v>
      </c>
      <c r="E11" s="39"/>
      <c r="F11" s="83">
        <v>995</v>
      </c>
      <c r="G11" s="83"/>
      <c r="H11" s="83" t="s">
        <v>15</v>
      </c>
      <c r="I11" s="39"/>
      <c r="J11" s="83">
        <f>(B6/5)*F11</f>
        <v>770130</v>
      </c>
      <c r="K11" s="83"/>
      <c r="L11" s="83"/>
      <c r="M11" s="83">
        <f>J11*0.01667</f>
        <v>12838.0671</v>
      </c>
      <c r="N11" s="100"/>
      <c r="O11" s="86">
        <f>M11/30/B7</f>
        <v>5.2187264634146338E-3</v>
      </c>
      <c r="P11" s="17"/>
    </row>
    <row r="12" spans="1:16" x14ac:dyDescent="0.25">
      <c r="A12" s="40" t="s">
        <v>124</v>
      </c>
      <c r="B12" s="37"/>
      <c r="C12" s="37"/>
      <c r="D12" s="83" t="s">
        <v>15</v>
      </c>
      <c r="E12" s="39"/>
      <c r="F12" s="83">
        <v>375</v>
      </c>
      <c r="G12" s="83"/>
      <c r="H12" s="83" t="s">
        <v>15</v>
      </c>
      <c r="I12" s="39"/>
      <c r="J12" s="83">
        <f>(B6/5)*F12</f>
        <v>290250</v>
      </c>
      <c r="K12" s="83"/>
      <c r="L12" s="83"/>
      <c r="M12" s="83">
        <f>J12*0.01667</f>
        <v>4838.4675000000007</v>
      </c>
      <c r="N12" s="100"/>
      <c r="O12" s="86">
        <f>M12/30/B7</f>
        <v>1.9668567073170737E-3</v>
      </c>
      <c r="P12" s="17"/>
    </row>
    <row r="13" spans="1:16" x14ac:dyDescent="0.25">
      <c r="A13" s="40" t="s">
        <v>58</v>
      </c>
      <c r="B13" s="37"/>
      <c r="C13" s="37"/>
      <c r="D13" s="83">
        <v>225</v>
      </c>
      <c r="E13" s="39"/>
      <c r="F13" s="83" t="s">
        <v>15</v>
      </c>
      <c r="G13" s="83"/>
      <c r="H13" s="39">
        <f>D13*B4</f>
        <v>5224500</v>
      </c>
      <c r="I13" s="39"/>
      <c r="J13" s="83" t="s">
        <v>15</v>
      </c>
      <c r="K13" s="83"/>
      <c r="L13" s="83"/>
      <c r="M13" s="37"/>
      <c r="N13" s="37"/>
      <c r="O13" s="106"/>
      <c r="P13" s="17"/>
    </row>
    <row r="14" spans="1:16" x14ac:dyDescent="0.25">
      <c r="A14" s="40" t="s">
        <v>57</v>
      </c>
      <c r="B14" s="37"/>
      <c r="C14" s="37"/>
      <c r="D14" s="83">
        <v>25</v>
      </c>
      <c r="E14" s="39"/>
      <c r="F14" s="83" t="s">
        <v>15</v>
      </c>
      <c r="G14" s="83"/>
      <c r="H14" s="39">
        <f>D14*B4</f>
        <v>580500</v>
      </c>
      <c r="I14" s="39"/>
      <c r="J14" s="83" t="s">
        <v>15</v>
      </c>
      <c r="K14" s="83"/>
      <c r="L14" s="83"/>
      <c r="M14" s="37"/>
      <c r="N14" s="37"/>
      <c r="O14" s="106"/>
      <c r="P14" s="17"/>
    </row>
    <row r="15" spans="1:16" x14ac:dyDescent="0.25">
      <c r="A15" s="40" t="s">
        <v>56</v>
      </c>
      <c r="B15" s="37"/>
      <c r="C15" s="37"/>
      <c r="D15" s="83">
        <v>125</v>
      </c>
      <c r="E15" s="39"/>
      <c r="F15" s="83" t="s">
        <v>15</v>
      </c>
      <c r="G15" s="83"/>
      <c r="H15" s="39">
        <f>D15*B4</f>
        <v>2902500</v>
      </c>
      <c r="I15" s="39"/>
      <c r="J15" s="83" t="s">
        <v>15</v>
      </c>
      <c r="K15" s="83"/>
      <c r="L15" s="83"/>
      <c r="M15" s="37"/>
      <c r="N15" s="37"/>
      <c r="O15" s="106"/>
      <c r="P15" s="17"/>
    </row>
    <row r="16" spans="1:16" x14ac:dyDescent="0.25">
      <c r="A16" s="40" t="s">
        <v>55</v>
      </c>
      <c r="B16" s="37"/>
      <c r="C16" s="37"/>
      <c r="D16" s="83">
        <v>50</v>
      </c>
      <c r="E16" s="39"/>
      <c r="F16" s="83" t="s">
        <v>15</v>
      </c>
      <c r="G16" s="83"/>
      <c r="H16" s="39">
        <f>D16*B6</f>
        <v>193500</v>
      </c>
      <c r="I16" s="39"/>
      <c r="J16" s="83" t="s">
        <v>15</v>
      </c>
      <c r="K16" s="83"/>
      <c r="L16" s="83"/>
      <c r="M16" s="37"/>
      <c r="N16" s="37"/>
      <c r="O16" s="106"/>
      <c r="P16" s="17"/>
    </row>
    <row r="17" spans="1:16" x14ac:dyDescent="0.25">
      <c r="A17" s="40" t="s">
        <v>54</v>
      </c>
      <c r="B17" s="37"/>
      <c r="C17" s="37"/>
      <c r="D17" s="83">
        <v>25</v>
      </c>
      <c r="E17" s="39"/>
      <c r="F17" s="83" t="s">
        <v>44</v>
      </c>
      <c r="G17" s="83"/>
      <c r="H17" s="39">
        <f>D17*B4</f>
        <v>580500</v>
      </c>
      <c r="I17" s="39"/>
      <c r="J17" s="237" t="s">
        <v>44</v>
      </c>
      <c r="K17" s="83"/>
      <c r="L17" s="83"/>
      <c r="M17" s="85" t="s">
        <v>44</v>
      </c>
      <c r="N17" s="85"/>
      <c r="O17" s="84" t="s">
        <v>44</v>
      </c>
      <c r="P17" s="17"/>
    </row>
    <row r="18" spans="1:16" x14ac:dyDescent="0.25">
      <c r="A18" s="40" t="s">
        <v>146</v>
      </c>
      <c r="B18" s="37"/>
      <c r="C18" s="37"/>
      <c r="D18" s="83">
        <f>B4*50</f>
        <v>1161000</v>
      </c>
      <c r="E18" s="39"/>
      <c r="F18" s="83" t="s">
        <v>15</v>
      </c>
      <c r="G18" s="83"/>
      <c r="H18" s="39">
        <f>D18</f>
        <v>1161000</v>
      </c>
      <c r="I18" s="39"/>
      <c r="J18" s="83" t="s">
        <v>15</v>
      </c>
      <c r="K18" s="83"/>
      <c r="L18" s="83"/>
      <c r="M18" s="37"/>
      <c r="N18" s="37"/>
      <c r="O18" s="106"/>
      <c r="P18" s="17"/>
    </row>
    <row r="19" spans="1:16" x14ac:dyDescent="0.25">
      <c r="A19" s="40" t="s">
        <v>53</v>
      </c>
      <c r="B19" s="37"/>
      <c r="C19" s="37"/>
      <c r="D19" s="83">
        <v>25</v>
      </c>
      <c r="E19" s="39"/>
      <c r="F19" s="83" t="s">
        <v>15</v>
      </c>
      <c r="G19" s="83"/>
      <c r="H19" s="39">
        <f>D19*B4</f>
        <v>580500</v>
      </c>
      <c r="I19" s="39"/>
      <c r="J19" s="83" t="s">
        <v>15</v>
      </c>
      <c r="K19" s="83"/>
      <c r="L19" s="83"/>
      <c r="M19" s="37"/>
      <c r="N19" s="37"/>
      <c r="O19" s="106"/>
      <c r="P19" s="17"/>
    </row>
    <row r="20" spans="1:16" x14ac:dyDescent="0.25">
      <c r="A20" s="40" t="s">
        <v>52</v>
      </c>
      <c r="B20" s="37"/>
      <c r="C20" s="37"/>
      <c r="D20" s="83">
        <v>200</v>
      </c>
      <c r="E20" s="39"/>
      <c r="F20" s="83" t="s">
        <v>15</v>
      </c>
      <c r="G20" s="83"/>
      <c r="H20" s="39">
        <f>D20*B6</f>
        <v>774000</v>
      </c>
      <c r="I20" s="39"/>
      <c r="J20" s="83" t="s">
        <v>15</v>
      </c>
      <c r="K20" s="83"/>
      <c r="L20" s="83"/>
      <c r="M20" s="37"/>
      <c r="N20" s="37"/>
      <c r="O20" s="106"/>
      <c r="P20" s="17"/>
    </row>
    <row r="21" spans="1:16" x14ac:dyDescent="0.25">
      <c r="A21" s="40" t="s">
        <v>51</v>
      </c>
      <c r="B21" s="37"/>
      <c r="C21" s="37"/>
      <c r="D21" s="237" t="s">
        <v>44</v>
      </c>
      <c r="E21" s="39"/>
      <c r="F21" s="83" t="s">
        <v>15</v>
      </c>
      <c r="G21" s="83"/>
      <c r="H21" s="237" t="s">
        <v>44</v>
      </c>
      <c r="I21" s="39"/>
      <c r="J21" s="83" t="s">
        <v>15</v>
      </c>
      <c r="K21" s="83"/>
      <c r="L21" s="83"/>
      <c r="M21" s="37"/>
      <c r="N21" s="37"/>
      <c r="O21" s="106"/>
      <c r="P21" s="17"/>
    </row>
    <row r="22" spans="1:16" x14ac:dyDescent="0.25">
      <c r="A22" s="40" t="s">
        <v>50</v>
      </c>
      <c r="B22" s="37"/>
      <c r="C22" s="37"/>
      <c r="D22" s="237" t="s">
        <v>44</v>
      </c>
      <c r="E22" s="39"/>
      <c r="F22" s="83" t="s">
        <v>15</v>
      </c>
      <c r="G22" s="83"/>
      <c r="H22" s="237" t="s">
        <v>44</v>
      </c>
      <c r="I22" s="39"/>
      <c r="J22" s="83" t="s">
        <v>15</v>
      </c>
      <c r="K22" s="83"/>
      <c r="L22" s="83"/>
      <c r="M22" s="37"/>
      <c r="N22" s="37"/>
      <c r="O22" s="106"/>
      <c r="P22" s="17"/>
    </row>
    <row r="23" spans="1:16" x14ac:dyDescent="0.25">
      <c r="A23" s="40" t="s">
        <v>49</v>
      </c>
      <c r="B23" s="37"/>
      <c r="C23" s="37"/>
      <c r="D23" s="237" t="s">
        <v>44</v>
      </c>
      <c r="E23" s="39"/>
      <c r="F23" s="83" t="s">
        <v>15</v>
      </c>
      <c r="G23" s="83"/>
      <c r="H23" s="237" t="s">
        <v>44</v>
      </c>
      <c r="I23" s="39"/>
      <c r="J23" s="83" t="s">
        <v>15</v>
      </c>
      <c r="K23" s="83"/>
      <c r="L23" s="83"/>
      <c r="M23" s="37"/>
      <c r="N23" s="37"/>
      <c r="O23" s="106"/>
      <c r="P23" s="17"/>
    </row>
    <row r="24" spans="1:16" x14ac:dyDescent="0.25">
      <c r="A24" s="40" t="s">
        <v>48</v>
      </c>
      <c r="B24" s="37"/>
      <c r="C24" s="37"/>
      <c r="D24" s="237" t="s">
        <v>44</v>
      </c>
      <c r="E24" s="39"/>
      <c r="F24" s="83" t="s">
        <v>15</v>
      </c>
      <c r="G24" s="83"/>
      <c r="H24" s="237" t="s">
        <v>44</v>
      </c>
      <c r="I24" s="39"/>
      <c r="J24" s="83" t="s">
        <v>15</v>
      </c>
      <c r="K24" s="83"/>
      <c r="L24" s="83"/>
      <c r="M24" s="37"/>
      <c r="N24" s="37"/>
      <c r="O24" s="106"/>
      <c r="P24" s="17"/>
    </row>
    <row r="25" spans="1:16" x14ac:dyDescent="0.25">
      <c r="A25" s="40" t="s">
        <v>47</v>
      </c>
      <c r="B25" s="37"/>
      <c r="C25" s="37"/>
      <c r="D25" s="237" t="s">
        <v>44</v>
      </c>
      <c r="E25" s="39"/>
      <c r="F25" s="83" t="s">
        <v>15</v>
      </c>
      <c r="G25" s="83"/>
      <c r="H25" s="237" t="s">
        <v>44</v>
      </c>
      <c r="I25" s="39"/>
      <c r="J25" s="83" t="s">
        <v>15</v>
      </c>
      <c r="K25" s="83"/>
      <c r="L25" s="83"/>
      <c r="M25" s="37"/>
      <c r="N25" s="37"/>
      <c r="O25" s="106"/>
      <c r="P25" s="17"/>
    </row>
    <row r="26" spans="1:16" x14ac:dyDescent="0.25">
      <c r="A26" s="40" t="s">
        <v>147</v>
      </c>
      <c r="B26" s="37"/>
      <c r="C26" s="37"/>
      <c r="D26" s="237" t="s">
        <v>44</v>
      </c>
      <c r="E26" s="39"/>
      <c r="F26" s="83" t="s">
        <v>44</v>
      </c>
      <c r="G26" s="83"/>
      <c r="H26" s="237" t="s">
        <v>44</v>
      </c>
      <c r="I26" s="39"/>
      <c r="J26" s="241" t="s">
        <v>148</v>
      </c>
      <c r="K26" s="83"/>
      <c r="L26" s="83"/>
      <c r="M26" s="85" t="s">
        <v>44</v>
      </c>
      <c r="N26" s="85"/>
      <c r="O26" s="84" t="s">
        <v>44</v>
      </c>
      <c r="P26" s="17"/>
    </row>
    <row r="27" spans="1:16" x14ac:dyDescent="0.25">
      <c r="A27" s="40" t="s">
        <v>45</v>
      </c>
      <c r="B27" s="37"/>
      <c r="C27" s="37"/>
      <c r="D27" s="83" t="s">
        <v>15</v>
      </c>
      <c r="E27" s="39"/>
      <c r="F27" s="83" t="s">
        <v>44</v>
      </c>
      <c r="G27" s="83"/>
      <c r="H27" s="130" t="s">
        <v>15</v>
      </c>
      <c r="I27" s="39"/>
      <c r="J27" s="238" t="s">
        <v>44</v>
      </c>
      <c r="K27" s="82"/>
      <c r="L27" s="82"/>
      <c r="M27" s="242" t="s">
        <v>44</v>
      </c>
      <c r="N27" s="243"/>
      <c r="O27" s="131" t="s">
        <v>44</v>
      </c>
      <c r="P27" s="17"/>
    </row>
    <row r="28" spans="1:16" x14ac:dyDescent="0.25">
      <c r="A28" s="42" t="s">
        <v>43</v>
      </c>
      <c r="B28" s="81"/>
      <c r="C28" s="81"/>
      <c r="D28" s="80"/>
      <c r="E28" s="80"/>
      <c r="F28" s="80"/>
      <c r="G28" s="80"/>
      <c r="H28" s="39">
        <f>SUM(H8:H27)</f>
        <v>17802000</v>
      </c>
      <c r="I28" s="80"/>
      <c r="J28" s="99">
        <f>SUM(J8:J27)</f>
        <v>8699760</v>
      </c>
      <c r="K28" s="80"/>
      <c r="L28" s="80"/>
      <c r="M28" s="83">
        <f>SUM(M8:M27)</f>
        <v>162748.36079999999</v>
      </c>
      <c r="N28" s="99">
        <f>SUM(N8:N27)</f>
        <v>0</v>
      </c>
      <c r="O28" s="79">
        <f>SUM(O8:O27)</f>
        <v>6.6157870243902434E-2</v>
      </c>
      <c r="P28" s="73"/>
    </row>
    <row r="29" spans="1:16" x14ac:dyDescent="0.25">
      <c r="A29" s="40"/>
      <c r="B29" s="37"/>
      <c r="C29" s="37"/>
      <c r="D29" s="39"/>
      <c r="E29" s="39"/>
      <c r="F29" s="39"/>
      <c r="G29" s="39"/>
      <c r="H29" s="39"/>
      <c r="I29" s="39"/>
      <c r="J29" s="39"/>
      <c r="K29" s="39"/>
      <c r="L29" s="39"/>
      <c r="M29" s="37"/>
      <c r="N29" s="37"/>
      <c r="O29" s="36"/>
      <c r="P29" s="17"/>
    </row>
    <row r="30" spans="1:16" ht="13" thickBot="1" x14ac:dyDescent="0.3">
      <c r="A30" s="78" t="s">
        <v>42</v>
      </c>
      <c r="B30" s="75"/>
      <c r="C30" s="75"/>
      <c r="D30" s="76"/>
      <c r="E30" s="76"/>
      <c r="F30" s="76"/>
      <c r="G30" s="76"/>
      <c r="H30" s="76"/>
      <c r="I30" s="76"/>
      <c r="J30" s="77">
        <f>-(H28-J28)</f>
        <v>-9102240</v>
      </c>
      <c r="K30" s="76"/>
      <c r="L30" s="34">
        <f>J30/H28</f>
        <v>-0.51130434782608691</v>
      </c>
      <c r="M30" s="75" t="s">
        <v>145</v>
      </c>
      <c r="N30" s="75"/>
      <c r="O30" s="74"/>
      <c r="P30" s="73"/>
    </row>
    <row r="31" spans="1:16" ht="13" thickBot="1" x14ac:dyDescent="0.3">
      <c r="A31" s="70"/>
      <c r="B31" s="70"/>
      <c r="C31" s="70"/>
      <c r="D31" s="72"/>
      <c r="E31" s="72"/>
      <c r="F31" s="72"/>
      <c r="G31" s="72"/>
      <c r="H31" s="72"/>
      <c r="I31" s="72"/>
      <c r="J31" s="71"/>
      <c r="K31" s="71"/>
      <c r="L31" s="41"/>
      <c r="M31" s="70"/>
      <c r="N31" s="70"/>
      <c r="O31" s="70"/>
      <c r="P31" s="17"/>
    </row>
    <row r="32" spans="1:16" x14ac:dyDescent="0.25">
      <c r="A32" s="69" t="s">
        <v>41</v>
      </c>
      <c r="B32" s="66"/>
      <c r="C32" s="66"/>
      <c r="D32" s="67"/>
      <c r="E32" s="67"/>
      <c r="F32" s="67"/>
      <c r="G32" s="67"/>
      <c r="H32" s="67"/>
      <c r="I32" s="67"/>
      <c r="J32" s="68"/>
      <c r="K32" s="68"/>
      <c r="L32" s="67"/>
      <c r="M32" s="66"/>
      <c r="N32" s="65" t="s">
        <v>40</v>
      </c>
      <c r="O32" s="64"/>
      <c r="P32" s="17"/>
    </row>
    <row r="33" spans="1:16" x14ac:dyDescent="0.25">
      <c r="A33" s="56" t="s">
        <v>39</v>
      </c>
      <c r="B33" s="107">
        <f>'Financial Overview'!E7</f>
        <v>129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63" t="s">
        <v>38</v>
      </c>
      <c r="O33" s="62"/>
      <c r="P33" s="17"/>
    </row>
    <row r="34" spans="1:16" x14ac:dyDescent="0.25">
      <c r="A34" s="56" t="s">
        <v>37</v>
      </c>
      <c r="B34" s="61">
        <f>'Financial Overview'!E5</f>
        <v>82000</v>
      </c>
      <c r="C34" s="55"/>
      <c r="D34" s="60"/>
      <c r="E34" s="58" t="s">
        <v>85</v>
      </c>
      <c r="F34" s="59"/>
      <c r="G34" s="59"/>
      <c r="H34" s="59"/>
      <c r="I34" s="58"/>
      <c r="J34" s="58"/>
      <c r="K34" s="58" t="s">
        <v>36</v>
      </c>
      <c r="L34" s="59"/>
      <c r="M34" s="58"/>
      <c r="N34" s="58"/>
      <c r="O34" s="57" t="s">
        <v>35</v>
      </c>
      <c r="P34" s="17"/>
    </row>
    <row r="35" spans="1:16" x14ac:dyDescent="0.25">
      <c r="A35" s="56"/>
      <c r="B35" s="55"/>
      <c r="C35" s="55"/>
      <c r="D35" s="54" t="s">
        <v>34</v>
      </c>
      <c r="E35" s="52"/>
      <c r="F35" s="52" t="s">
        <v>31</v>
      </c>
      <c r="G35" s="53"/>
      <c r="H35" s="52" t="s">
        <v>33</v>
      </c>
      <c r="I35" s="52"/>
      <c r="J35" s="52" t="s">
        <v>32</v>
      </c>
      <c r="K35" s="52"/>
      <c r="L35" s="52" t="s">
        <v>31</v>
      </c>
      <c r="M35" s="52" t="s">
        <v>30</v>
      </c>
      <c r="N35" s="52"/>
      <c r="O35" s="51" t="s">
        <v>29</v>
      </c>
      <c r="P35" s="17"/>
    </row>
    <row r="36" spans="1:16" x14ac:dyDescent="0.25">
      <c r="A36" s="50" t="s">
        <v>28</v>
      </c>
      <c r="B36" s="48"/>
      <c r="C36" s="48"/>
      <c r="D36" s="49">
        <v>7000</v>
      </c>
      <c r="E36" s="49"/>
      <c r="F36" s="49">
        <f>B33*D36</f>
        <v>903000</v>
      </c>
      <c r="G36" s="48"/>
      <c r="H36" s="48"/>
      <c r="I36" s="48"/>
      <c r="J36" s="49">
        <v>0</v>
      </c>
      <c r="K36" s="49"/>
      <c r="L36" s="49"/>
      <c r="M36" s="49">
        <f>F36*0.01899</f>
        <v>17147.97</v>
      </c>
      <c r="N36" s="48"/>
      <c r="O36" s="132">
        <f>M36/30/B34</f>
        <v>6.9707195121951225E-3</v>
      </c>
      <c r="P36" s="17"/>
    </row>
    <row r="37" spans="1:16" x14ac:dyDescent="0.25">
      <c r="A37" s="42"/>
      <c r="B37" s="37"/>
      <c r="C37" s="37"/>
      <c r="D37" s="39"/>
      <c r="E37" s="39"/>
      <c r="F37" s="39"/>
      <c r="G37" s="37"/>
      <c r="H37" s="37"/>
      <c r="I37" s="37"/>
      <c r="J37" s="39"/>
      <c r="K37" s="39"/>
      <c r="L37" s="39"/>
      <c r="M37" s="39"/>
      <c r="N37" s="37"/>
      <c r="O37" s="47"/>
      <c r="P37" s="17"/>
    </row>
    <row r="38" spans="1:16" x14ac:dyDescent="0.25">
      <c r="A38" s="46" t="s">
        <v>83</v>
      </c>
      <c r="B38" s="37"/>
      <c r="C38" s="37"/>
      <c r="D38" s="41">
        <v>4000</v>
      </c>
      <c r="E38" s="39"/>
      <c r="F38" s="39">
        <f>D38*B33</f>
        <v>516000</v>
      </c>
      <c r="G38" s="39"/>
      <c r="H38" s="39"/>
      <c r="I38" s="39"/>
      <c r="J38" s="41">
        <v>400</v>
      </c>
      <c r="K38" s="39"/>
      <c r="L38" s="39">
        <f>J38*B33</f>
        <v>51600</v>
      </c>
      <c r="M38" s="37"/>
      <c r="N38" s="37"/>
      <c r="O38" s="36"/>
      <c r="P38" s="17"/>
    </row>
    <row r="39" spans="1:16" x14ac:dyDescent="0.25">
      <c r="A39" s="40" t="s">
        <v>26</v>
      </c>
      <c r="B39" s="37"/>
      <c r="C39" s="37"/>
      <c r="D39" s="39"/>
      <c r="E39" s="39"/>
      <c r="F39" s="39"/>
      <c r="G39" s="39"/>
      <c r="H39" s="39"/>
      <c r="I39" s="39"/>
      <c r="J39" s="37"/>
      <c r="K39" s="37"/>
      <c r="L39" s="38">
        <f>F36-(F38+(L38*60))</f>
        <v>-2709000</v>
      </c>
      <c r="M39" s="37"/>
      <c r="N39" s="37"/>
      <c r="O39" s="36"/>
      <c r="P39" s="17"/>
    </row>
    <row r="40" spans="1:16" x14ac:dyDescent="0.25">
      <c r="A40" s="40" t="s">
        <v>25</v>
      </c>
      <c r="B40" s="37"/>
      <c r="C40" s="37"/>
      <c r="D40" s="39"/>
      <c r="E40" s="39"/>
      <c r="F40" s="39"/>
      <c r="G40" s="39"/>
      <c r="H40" s="39"/>
      <c r="I40" s="39"/>
      <c r="J40" s="37"/>
      <c r="K40" s="37"/>
      <c r="L40" s="44">
        <f>-(F36/L39+1)</f>
        <v>-0.66666666666666674</v>
      </c>
      <c r="M40" s="37"/>
      <c r="N40" s="37"/>
      <c r="O40" s="36"/>
      <c r="P40" s="17"/>
    </row>
    <row r="41" spans="1:16" x14ac:dyDescent="0.25">
      <c r="A41" s="40"/>
      <c r="B41" s="37"/>
      <c r="C41" s="37"/>
      <c r="D41" s="39"/>
      <c r="E41" s="39"/>
      <c r="F41" s="39"/>
      <c r="G41" s="39"/>
      <c r="H41" s="39"/>
      <c r="I41" s="39"/>
      <c r="J41" s="37"/>
      <c r="K41" s="37"/>
      <c r="L41" s="43"/>
      <c r="M41" s="37"/>
      <c r="N41" s="37"/>
      <c r="O41" s="36"/>
      <c r="P41" s="17"/>
    </row>
    <row r="42" spans="1:16" x14ac:dyDescent="0.25">
      <c r="A42" s="42" t="s">
        <v>84</v>
      </c>
      <c r="B42" s="37"/>
      <c r="C42" s="37"/>
      <c r="D42" s="41">
        <v>4000</v>
      </c>
      <c r="E42" s="39"/>
      <c r="F42" s="39">
        <f>D42*B33</f>
        <v>516000</v>
      </c>
      <c r="G42" s="39"/>
      <c r="H42" s="39"/>
      <c r="I42" s="39"/>
      <c r="J42" s="41">
        <v>600</v>
      </c>
      <c r="K42" s="39"/>
      <c r="L42" s="39">
        <f>J42*B33</f>
        <v>77400</v>
      </c>
      <c r="M42" s="37"/>
      <c r="N42" s="37"/>
      <c r="O42" s="36"/>
      <c r="P42" s="17"/>
    </row>
    <row r="43" spans="1:16" x14ac:dyDescent="0.25">
      <c r="A43" s="40" t="s">
        <v>26</v>
      </c>
      <c r="B43" s="37"/>
      <c r="C43" s="37"/>
      <c r="D43" s="39"/>
      <c r="E43" s="39"/>
      <c r="F43" s="39"/>
      <c r="G43" s="39"/>
      <c r="H43" s="39"/>
      <c r="I43" s="39"/>
      <c r="J43" s="37"/>
      <c r="K43" s="37"/>
      <c r="L43" s="45">
        <f>F40-(F42+(L42*60))</f>
        <v>-5160000</v>
      </c>
      <c r="M43" s="37"/>
      <c r="N43" s="37"/>
      <c r="O43" s="36"/>
      <c r="P43" s="17"/>
    </row>
    <row r="44" spans="1:16" x14ac:dyDescent="0.25">
      <c r="A44" s="40" t="s">
        <v>25</v>
      </c>
      <c r="B44" s="37"/>
      <c r="C44" s="37"/>
      <c r="D44" s="39"/>
      <c r="E44" s="39"/>
      <c r="F44" s="39"/>
      <c r="G44" s="39"/>
      <c r="H44" s="39"/>
      <c r="I44" s="39"/>
      <c r="J44" s="37"/>
      <c r="K44" s="37"/>
      <c r="L44" s="44">
        <f>-(F36/L43+1)</f>
        <v>-0.82499999999999996</v>
      </c>
      <c r="M44" s="37"/>
      <c r="N44" s="37"/>
      <c r="O44" s="36"/>
      <c r="P44" s="17"/>
    </row>
    <row r="45" spans="1:16" x14ac:dyDescent="0.25">
      <c r="A45" s="40"/>
      <c r="B45" s="37"/>
      <c r="C45" s="37"/>
      <c r="D45" s="39"/>
      <c r="E45" s="39"/>
      <c r="F45" s="39"/>
      <c r="G45" s="39"/>
      <c r="H45" s="39"/>
      <c r="I45" s="39"/>
      <c r="J45" s="37"/>
      <c r="K45" s="37"/>
      <c r="L45" s="43"/>
      <c r="M45" s="37"/>
      <c r="N45" s="37"/>
      <c r="O45" s="36"/>
      <c r="P45" s="17"/>
    </row>
    <row r="46" spans="1:16" x14ac:dyDescent="0.25">
      <c r="A46" s="42" t="s">
        <v>27</v>
      </c>
      <c r="B46" s="37"/>
      <c r="C46" s="37"/>
      <c r="D46" s="41">
        <v>250000</v>
      </c>
      <c r="E46" s="37"/>
      <c r="F46" s="39">
        <f>D46*B33</f>
        <v>32250000</v>
      </c>
      <c r="G46" s="37"/>
      <c r="H46" s="37"/>
      <c r="I46" s="37"/>
      <c r="J46" s="39">
        <v>0</v>
      </c>
      <c r="K46" s="37"/>
      <c r="L46" s="39">
        <v>0</v>
      </c>
      <c r="M46" s="37"/>
      <c r="N46" s="37"/>
      <c r="O46" s="36"/>
      <c r="P46" s="17"/>
    </row>
    <row r="47" spans="1:16" x14ac:dyDescent="0.25">
      <c r="A47" s="40" t="s">
        <v>26</v>
      </c>
      <c r="B47" s="37"/>
      <c r="C47" s="37"/>
      <c r="D47" s="39"/>
      <c r="E47" s="39"/>
      <c r="F47" s="39"/>
      <c r="G47" s="39"/>
      <c r="H47" s="39"/>
      <c r="I47" s="39"/>
      <c r="J47" s="37"/>
      <c r="K47" s="37"/>
      <c r="L47" s="38">
        <f>F36-F46</f>
        <v>-31347000</v>
      </c>
      <c r="M47" s="37"/>
      <c r="N47" s="37"/>
      <c r="O47" s="36"/>
      <c r="P47" s="17"/>
    </row>
    <row r="48" spans="1:16" ht="13" thickBot="1" x14ac:dyDescent="0.3">
      <c r="A48" s="35" t="s">
        <v>25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4">
        <f>-(F36/L47+1)</f>
        <v>-0.9711934156378601</v>
      </c>
      <c r="M48" s="33"/>
      <c r="N48" s="33"/>
      <c r="O48" s="32"/>
      <c r="P48" s="17"/>
    </row>
    <row r="51" spans="1:16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16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16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1:16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spans="1:16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</sheetData>
  <pageMargins left="0.33" right="0.22" top="0.25" bottom="0.25" header="0.25" footer="0.25"/>
  <pageSetup scale="89"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Technology Definitions</vt:lpstr>
      <vt:lpstr>Financial Overview</vt:lpstr>
      <vt:lpstr>Infrastructure Cost Analysis</vt:lpstr>
      <vt:lpstr>'Infrastructure Cost Analysis'!Print_Area</vt:lpstr>
    </vt:vector>
  </TitlesOfParts>
  <Company>Lucent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Bluemer</dc:creator>
  <cp:lastModifiedBy>Carina Negreanu</cp:lastModifiedBy>
  <cp:lastPrinted>1999-07-27T13:05:15Z</cp:lastPrinted>
  <dcterms:created xsi:type="dcterms:W3CDTF">1999-02-22T15:22:26Z</dcterms:created>
  <dcterms:modified xsi:type="dcterms:W3CDTF">2020-01-27T11:34:20Z</dcterms:modified>
</cp:coreProperties>
</file>