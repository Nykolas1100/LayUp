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3D4061-EDB3-41E5-812D-FB4CA6B6B85A}" xr6:coauthVersionLast="45" xr6:coauthVersionMax="45" xr10:uidLastSave="{00000000-0000-0000-0000-000000000000}"/>
  <bookViews>
    <workbookView xWindow="4940" yWindow="4940" windowWidth="28800" windowHeight="15460" activeTab="4"/>
  </bookViews>
  <sheets>
    <sheet name="calculations (2)" sheetId="6" r:id="rId1"/>
    <sheet name="Prev" sheetId="1" r:id="rId2"/>
    <sheet name="All" sheetId="2" r:id="rId3"/>
    <sheet name="Spec" sheetId="4" r:id="rId4"/>
    <sheet name="Sens" sheetId="3" r:id="rId5"/>
  </sheets>
  <definedNames>
    <definedName name="_xlnm.Print_Area" localSheetId="1">Prev!$A$1:$J$41</definedName>
    <definedName name="_xlnm.Print_Area" localSheetId="4">Sens!$A$1:$H$41</definedName>
    <definedName name="_xlnm.Print_Area" localSheetId="3">Spec!$A$1:$J$44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B5" i="1"/>
  <c r="C5" i="1"/>
  <c r="D5" i="1"/>
  <c r="E5" i="1"/>
  <c r="F5" i="1"/>
  <c r="B9" i="1"/>
  <c r="C9" i="1"/>
  <c r="D9" i="1"/>
  <c r="E9" i="1"/>
  <c r="F9" i="1"/>
  <c r="B10" i="1"/>
  <c r="B12" i="1" s="1"/>
  <c r="C10" i="1"/>
  <c r="C12" i="1" s="1"/>
  <c r="D10" i="1"/>
  <c r="D12" i="1" s="1"/>
  <c r="E10" i="1"/>
  <c r="E12" i="1" s="1"/>
  <c r="F10" i="1"/>
  <c r="F12" i="1" s="1"/>
  <c r="B4" i="3"/>
  <c r="C4" i="3"/>
  <c r="D4" i="3"/>
  <c r="E4" i="3"/>
  <c r="F4" i="3"/>
  <c r="B5" i="3"/>
  <c r="C5" i="3"/>
  <c r="D5" i="3"/>
  <c r="E5" i="3"/>
  <c r="F5" i="3"/>
  <c r="B9" i="3"/>
  <c r="B10" i="3" s="1"/>
  <c r="B12" i="3" s="1"/>
  <c r="C9" i="3"/>
  <c r="C10" i="3" s="1"/>
  <c r="C12" i="3" s="1"/>
  <c r="D9" i="3"/>
  <c r="D10" i="3" s="1"/>
  <c r="D12" i="3" s="1"/>
  <c r="E9" i="3"/>
  <c r="E10" i="3" s="1"/>
  <c r="E12" i="3" s="1"/>
  <c r="F9" i="3"/>
  <c r="F10" i="3" s="1"/>
  <c r="F12" i="3" s="1"/>
  <c r="B4" i="4"/>
  <c r="C4" i="4"/>
  <c r="C10" i="4" s="1"/>
  <c r="C12" i="4" s="1"/>
  <c r="D4" i="4"/>
  <c r="E4" i="4"/>
  <c r="F4" i="4"/>
  <c r="B5" i="4"/>
  <c r="C5" i="4"/>
  <c r="D5" i="4"/>
  <c r="E5" i="4"/>
  <c r="F5" i="4"/>
  <c r="B9" i="4"/>
  <c r="C9" i="4"/>
  <c r="D9" i="4"/>
  <c r="E9" i="4"/>
  <c r="F9" i="4"/>
  <c r="F10" i="4" s="1"/>
  <c r="F12" i="4" s="1"/>
  <c r="B10" i="4"/>
  <c r="B12" i="4" s="1"/>
  <c r="D10" i="4"/>
  <c r="D12" i="4" s="1"/>
  <c r="E10" i="4"/>
  <c r="E12" i="4" s="1"/>
</calcChain>
</file>

<file path=xl/sharedStrings.xml><?xml version="1.0" encoding="utf-8"?>
<sst xmlns="http://schemas.openxmlformats.org/spreadsheetml/2006/main" count="74" uniqueCount="38">
  <si>
    <t xml:space="preserve">Sensitivity </t>
  </si>
  <si>
    <t>Specificity</t>
  </si>
  <si>
    <t>LR+</t>
  </si>
  <si>
    <t>LR-</t>
  </si>
  <si>
    <t>PretestOdd</t>
  </si>
  <si>
    <t>Post Odds</t>
  </si>
  <si>
    <t>Sens</t>
  </si>
  <si>
    <t xml:space="preserve">Spec </t>
  </si>
  <si>
    <t>Post</t>
  </si>
  <si>
    <t>Prev</t>
  </si>
  <si>
    <t>PretestOdds</t>
  </si>
  <si>
    <t>Post Prob</t>
  </si>
  <si>
    <t xml:space="preserve">Prevalence </t>
  </si>
  <si>
    <t>a</t>
  </si>
  <si>
    <t>b</t>
  </si>
  <si>
    <t>c</t>
  </si>
  <si>
    <t>d</t>
  </si>
  <si>
    <t>Disease +</t>
  </si>
  <si>
    <t>Disease -</t>
  </si>
  <si>
    <t>Test +</t>
  </si>
  <si>
    <t>Test -</t>
  </si>
  <si>
    <t>Sensitivity</t>
  </si>
  <si>
    <t>a/(a+c)</t>
  </si>
  <si>
    <t>D+T+/[(D+T+)+(D+T-)]</t>
  </si>
  <si>
    <t>D+T+</t>
  </si>
  <si>
    <t>D+T-</t>
  </si>
  <si>
    <t>D-T+</t>
  </si>
  <si>
    <t>D-T-</t>
  </si>
  <si>
    <t>d/(b+d)</t>
  </si>
  <si>
    <t>D-T+/[D-T-)+(D-T-)]</t>
  </si>
  <si>
    <r>
      <t>Predictive Value Positive Test</t>
    </r>
    <r>
      <rPr>
        <sz val="12"/>
        <rFont val="Arial"/>
        <family val="2"/>
      </rPr>
      <t xml:space="preserve">              a/a+b                               D+T+/[(D+T+)+(D-T-)]</t>
    </r>
  </si>
  <si>
    <r>
      <t>Predictive Value Negative Test</t>
    </r>
    <r>
      <rPr>
        <sz val="12"/>
        <rFont val="Arial"/>
        <family val="2"/>
      </rPr>
      <t xml:space="preserve">             d/c+d                                                                         D-T-/[(D-T-)+(D-T-)]</t>
    </r>
  </si>
  <si>
    <r>
      <t>Likelihood Ratio of Negative Test</t>
    </r>
    <r>
      <rPr>
        <sz val="12"/>
        <rFont val="Times New Roman"/>
        <family val="1"/>
      </rPr>
      <t xml:space="preserve">  LR- = (1-spec/sens) = false negative rate / true negative rate</t>
    </r>
  </si>
  <si>
    <r>
      <t xml:space="preserve">Likelihood Ratio of Positive Test   </t>
    </r>
    <r>
      <rPr>
        <sz val="12"/>
        <rFont val="Times New Roman"/>
        <family val="1"/>
      </rPr>
      <t xml:space="preserve"> LR+ = sens /(1-spec) = true positive rate / false positive rate</t>
    </r>
  </si>
  <si>
    <r>
      <t>Pretest probability of the disease</t>
    </r>
    <r>
      <rPr>
        <sz val="12"/>
        <rFont val="Times New Roman"/>
        <family val="1"/>
      </rPr>
      <t xml:space="preserve"> = prevalence</t>
    </r>
  </si>
  <si>
    <r>
      <t>Pretest Odds</t>
    </r>
    <r>
      <rPr>
        <sz val="12"/>
        <rFont val="Times New Roman"/>
        <family val="1"/>
      </rPr>
      <t xml:space="preserve"> = prevalence / (1-prevelence)  </t>
    </r>
    <r>
      <rPr>
        <i/>
        <sz val="12"/>
        <rFont val="Times New Roman"/>
        <family val="1"/>
      </rPr>
      <t>convert prevalence to odds</t>
    </r>
  </si>
  <si>
    <r>
      <t>Post Test Odds</t>
    </r>
    <r>
      <rPr>
        <sz val="12"/>
        <rFont val="Times New Roman"/>
        <family val="1"/>
      </rPr>
      <t xml:space="preserve"> = Pretest Odds x LR+ = prevelence x (likelihood to test + if disease +)</t>
    </r>
  </si>
  <si>
    <r>
      <t>Post Test Probability</t>
    </r>
    <r>
      <rPr>
        <sz val="12"/>
        <rFont val="Times New Roman"/>
        <family val="1"/>
      </rPr>
      <t xml:space="preserve"> = Post Test Odds / (Post Test Odds +1)  </t>
    </r>
    <r>
      <rPr>
        <i/>
        <sz val="12"/>
        <rFont val="Times New Roman"/>
        <family val="1"/>
      </rPr>
      <t>convert back to percent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</si>
</sst>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b/>
      <sz val="10"/>
      <name val="Arial"/>
      <family val="2"/>
    </font>
    <font>
      <sz val="12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i/>
      <sz val="12"/>
      <name val="Times New Roman"/>
      <family val="1"/>
    </font>
    <font>
      <b/>
      <u/>
      <sz val="12"/>
      <name val="Arial"/>
      <family val="2"/>
    </font>
    <font>
      <b/>
      <u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3" fillId="0" borderId="0" xfId="0" applyFont="1" applyBorder="1" applyAlignment="1"/>
    <xf numFmtId="0" fontId="3" fillId="0" borderId="0" xfId="0" applyFont="1" applyBorder="1" applyAlignment="1">
      <alignment horizontal="right"/>
    </xf>
    <xf numFmtId="0" fontId="4" fillId="0" borderId="0" xfId="0" applyFont="1" applyBorder="1"/>
    <xf numFmtId="0" fontId="3" fillId="0" borderId="0" xfId="0" applyFont="1" applyBorder="1"/>
    <xf numFmtId="0" fontId="0" fillId="0" borderId="0" xfId="0" applyBorder="1"/>
    <xf numFmtId="0" fontId="2" fillId="0" borderId="0" xfId="0" applyFont="1" applyAlignment="1"/>
    <xf numFmtId="0" fontId="4" fillId="0" borderId="0" xfId="0" applyFont="1" applyAlignment="1">
      <alignment horizontal="center"/>
    </xf>
    <xf numFmtId="0" fontId="6" fillId="0" borderId="0" xfId="0" applyFont="1" applyBorder="1"/>
    <xf numFmtId="0" fontId="6" fillId="0" borderId="0" xfId="0" applyFont="1"/>
    <xf numFmtId="0" fontId="7" fillId="0" borderId="0" xfId="0" applyFont="1" applyAlignment="1"/>
    <xf numFmtId="0" fontId="0" fillId="2" borderId="0" xfId="0" applyFill="1"/>
    <xf numFmtId="2" fontId="0" fillId="2" borderId="0" xfId="0" applyNumberFormat="1" applyFill="1"/>
    <xf numFmtId="0" fontId="3" fillId="0" borderId="7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0" fontId="3" fillId="0" borderId="0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6" xfId="0" applyFont="1" applyBorder="1" applyAlignment="1"/>
    <xf numFmtId="0" fontId="3" fillId="0" borderId="12" xfId="0" applyFont="1" applyBorder="1" applyAlignment="1"/>
    <xf numFmtId="0" fontId="3" fillId="0" borderId="13" xfId="0" applyFont="1" applyBorder="1" applyAlignment="1"/>
    <xf numFmtId="0" fontId="3" fillId="0" borderId="14" xfId="0" applyFont="1" applyBorder="1" applyAlignment="1"/>
    <xf numFmtId="0" fontId="3" fillId="0" borderId="15" xfId="0" applyFont="1" applyBorder="1" applyAlignment="1"/>
    <xf numFmtId="0" fontId="3" fillId="0" borderId="16" xfId="0" applyFont="1" applyBorder="1" applyAlignment="1"/>
    <xf numFmtId="0" fontId="3" fillId="0" borderId="17" xfId="0" applyFont="1" applyBorder="1" applyAlignment="1"/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6" fillId="0" borderId="20" xfId="0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Change Prevalence</a:t>
            </a:r>
          </a:p>
        </c:rich>
      </c:tx>
      <c:layout>
        <c:manualLayout>
          <c:xMode val="edge"/>
          <c:yMode val="edge"/>
          <c:x val="9.9059744479877074E-2"/>
          <c:y val="3.737044710190860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549787066564226E-2"/>
          <c:y val="0.17638851032100858"/>
          <c:w val="0.85851778549226787"/>
          <c:h val="0.67565768360250744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Prev!$A$12</c:f>
              <c:strCache>
                <c:ptCount val="1"/>
                <c:pt idx="0">
                  <c:v>Post Prob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Prev!$B$12:$F$12</c:f>
              <c:numCache>
                <c:formatCode>0.00</c:formatCode>
                <c:ptCount val="5"/>
                <c:pt idx="0">
                  <c:v>0.72</c:v>
                </c:pt>
                <c:pt idx="1">
                  <c:v>0.59999999999999987</c:v>
                </c:pt>
                <c:pt idx="2">
                  <c:v>0.51428571428571435</c:v>
                </c:pt>
                <c:pt idx="3">
                  <c:v>0.4</c:v>
                </c:pt>
                <c:pt idx="4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CA-4EB9-853B-8859B378DD87}"/>
            </c:ext>
          </c:extLst>
        </c:ser>
        <c:ser>
          <c:idx val="1"/>
          <c:order val="1"/>
          <c:tx>
            <c:strRef>
              <c:f>Prev!$A$2</c:f>
              <c:strCache>
                <c:ptCount val="1"/>
                <c:pt idx="0">
                  <c:v>Specificity</c:v>
                </c:pt>
              </c:strCache>
            </c:strRef>
          </c:tx>
          <c:spPr>
            <a:pattFill prst="dkVert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Prev!$B$2:$F$2</c:f>
              <c:numCache>
                <c:formatCode>0.00</c:formatCode>
                <c:ptCount val="5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CA-4EB9-853B-8859B378DD87}"/>
            </c:ext>
          </c:extLst>
        </c:ser>
        <c:ser>
          <c:idx val="0"/>
          <c:order val="2"/>
          <c:tx>
            <c:strRef>
              <c:f>Prev!$A$1</c:f>
              <c:strCache>
                <c:ptCount val="1"/>
                <c:pt idx="0">
                  <c:v>Sensitivity </c:v>
                </c:pt>
              </c:strCache>
            </c:strRef>
          </c:tx>
          <c:spPr>
            <a:pattFill prst="dkHorz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Prev!$B$1:$F$1</c:f>
              <c:numCache>
                <c:formatCode>0.00</c:formatCode>
                <c:ptCount val="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BCA-4EB9-853B-8859B378DD87}"/>
            </c:ext>
          </c:extLst>
        </c:ser>
        <c:ser>
          <c:idx val="2"/>
          <c:order val="3"/>
          <c:tx>
            <c:strRef>
              <c:f>Prev!$A$7</c:f>
              <c:strCache>
                <c:ptCount val="1"/>
                <c:pt idx="0">
                  <c:v>Prevalence </c:v>
                </c:pt>
              </c:strCache>
            </c:strRef>
          </c:tx>
          <c:spPr>
            <a:pattFill prst="sphere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Prev!$B$7:$F$7</c:f>
              <c:numCache>
                <c:formatCode>0.00</c:formatCode>
                <c:ptCount val="5"/>
                <c:pt idx="0">
                  <c:v>0.3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BCA-4EB9-853B-8859B378DD8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0"/>
        <c:axId val="1003010911"/>
        <c:axId val="1"/>
      </c:barChart>
      <c:catAx>
        <c:axId val="10030109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010911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4718715998408285"/>
          <c:y val="1.1958543072610751E-2"/>
          <c:w val="0.40095610860902625"/>
          <c:h val="0.12108024861018386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3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75420977725477"/>
          <c:y val="0.11111509269290436"/>
          <c:w val="0.63973928893911547"/>
          <c:h val="0.69371855167732177"/>
        </c:manualLayout>
      </c:layout>
      <c:lineChart>
        <c:grouping val="standard"/>
        <c:varyColors val="0"/>
        <c:ser>
          <c:idx val="0"/>
          <c:order val="0"/>
          <c:tx>
            <c:strRef>
              <c:f>All!$A$3</c:f>
              <c:strCache>
                <c:ptCount val="1"/>
                <c:pt idx="0">
                  <c:v>Sens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All!$B$3:$F$3</c:f>
              <c:numCache>
                <c:formatCode>General</c:formatCode>
                <c:ptCount val="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63-486B-BC6C-CC660C901FBB}"/>
            </c:ext>
          </c:extLst>
        </c:ser>
        <c:ser>
          <c:idx val="1"/>
          <c:order val="1"/>
          <c:tx>
            <c:strRef>
              <c:f>All!$A$4</c:f>
              <c:strCache>
                <c:ptCount val="1"/>
                <c:pt idx="0">
                  <c:v>Spec 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All!$B$4:$F$4</c:f>
              <c:numCache>
                <c:formatCode>General</c:formatCode>
                <c:ptCount val="5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63-486B-BC6C-CC660C901FBB}"/>
            </c:ext>
          </c:extLst>
        </c:ser>
        <c:ser>
          <c:idx val="2"/>
          <c:order val="2"/>
          <c:tx>
            <c:strRef>
              <c:f>All!$A$5</c:f>
              <c:strCache>
                <c:ptCount val="1"/>
                <c:pt idx="0">
                  <c:v>Prev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All!$B$5:$F$5</c:f>
              <c:numCache>
                <c:formatCode>General</c:formatCode>
                <c:ptCount val="5"/>
                <c:pt idx="0">
                  <c:v>0.3</c:v>
                </c:pt>
                <c:pt idx="1">
                  <c:v>0.2</c:v>
                </c:pt>
                <c:pt idx="2">
                  <c:v>0.15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63-486B-BC6C-CC660C901FBB}"/>
            </c:ext>
          </c:extLst>
        </c:ser>
        <c:ser>
          <c:idx val="3"/>
          <c:order val="3"/>
          <c:tx>
            <c:strRef>
              <c:f>All!$A$6</c:f>
              <c:strCache>
                <c:ptCount val="1"/>
                <c:pt idx="0">
                  <c:v>Post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val>
            <c:numRef>
              <c:f>All!$B$6:$F$6</c:f>
              <c:numCache>
                <c:formatCode>General</c:formatCode>
                <c:ptCount val="5"/>
                <c:pt idx="0">
                  <c:v>0.72</c:v>
                </c:pt>
                <c:pt idx="1">
                  <c:v>0.6</c:v>
                </c:pt>
                <c:pt idx="2">
                  <c:v>0.51</c:v>
                </c:pt>
                <c:pt idx="3">
                  <c:v>0.4</c:v>
                </c:pt>
                <c:pt idx="4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63-486B-BC6C-CC660C901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4511"/>
        <c:axId val="1"/>
      </c:lineChart>
      <c:catAx>
        <c:axId val="1003004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0045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561390702138634"/>
          <c:y val="0.28229239765224351"/>
          <c:w val="0.19508533261604896"/>
          <c:h val="0.351363941758643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3" verticalDpi="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75420977725477"/>
          <c:y val="0.11144970677733784"/>
          <c:w val="0.63973928893911547"/>
          <c:h val="0.69279547456182977"/>
        </c:manualLayout>
      </c:layout>
      <c:lineChart>
        <c:grouping val="standard"/>
        <c:varyColors val="0"/>
        <c:ser>
          <c:idx val="0"/>
          <c:order val="0"/>
          <c:tx>
            <c:strRef>
              <c:f>All!$A$9</c:f>
              <c:strCache>
                <c:ptCount val="1"/>
                <c:pt idx="0">
                  <c:v>Sens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All!$B$9:$F$9</c:f>
              <c:numCache>
                <c:formatCode>General</c:formatCode>
                <c:ptCount val="5"/>
                <c:pt idx="0">
                  <c:v>0.99</c:v>
                </c:pt>
                <c:pt idx="1">
                  <c:v>0.9</c:v>
                </c:pt>
                <c:pt idx="2">
                  <c:v>0.8</c:v>
                </c:pt>
                <c:pt idx="3">
                  <c:v>0.75</c:v>
                </c:pt>
                <c:pt idx="4">
                  <c:v>0.7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A-42C3-90A1-60AB7BE1577E}"/>
            </c:ext>
          </c:extLst>
        </c:ser>
        <c:ser>
          <c:idx val="1"/>
          <c:order val="1"/>
          <c:tx>
            <c:strRef>
              <c:f>All!$A$10</c:f>
              <c:strCache>
                <c:ptCount val="1"/>
                <c:pt idx="0">
                  <c:v>Spec 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All!$B$10:$F$10</c:f>
              <c:numCache>
                <c:formatCode>General</c:formatCode>
                <c:ptCount val="5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8A-42C3-90A1-60AB7BE1577E}"/>
            </c:ext>
          </c:extLst>
        </c:ser>
        <c:ser>
          <c:idx val="2"/>
          <c:order val="2"/>
          <c:tx>
            <c:strRef>
              <c:f>All!$A$11</c:f>
              <c:strCache>
                <c:ptCount val="1"/>
                <c:pt idx="0">
                  <c:v>Prev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All!$B$11:$F$11</c:f>
              <c:numCache>
                <c:formatCode>General</c:formatCode>
                <c:ptCount val="5"/>
                <c:pt idx="0">
                  <c:v>0.32</c:v>
                </c:pt>
                <c:pt idx="1">
                  <c:v>0.32</c:v>
                </c:pt>
                <c:pt idx="2">
                  <c:v>0.32</c:v>
                </c:pt>
                <c:pt idx="3">
                  <c:v>0.32</c:v>
                </c:pt>
                <c:pt idx="4">
                  <c:v>0.32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8A-42C3-90A1-60AB7BE1577E}"/>
            </c:ext>
          </c:extLst>
        </c:ser>
        <c:ser>
          <c:idx val="3"/>
          <c:order val="3"/>
          <c:tx>
            <c:strRef>
              <c:f>All!$A$12</c:f>
              <c:strCache>
                <c:ptCount val="1"/>
                <c:pt idx="0">
                  <c:v>Post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val>
            <c:numRef>
              <c:f>All!$B$12:$F$12</c:f>
              <c:numCache>
                <c:formatCode>General</c:formatCode>
                <c:ptCount val="5"/>
                <c:pt idx="0">
                  <c:v>0.76</c:v>
                </c:pt>
                <c:pt idx="1">
                  <c:v>0.74</c:v>
                </c:pt>
                <c:pt idx="2">
                  <c:v>0.72</c:v>
                </c:pt>
                <c:pt idx="3">
                  <c:v>0.7</c:v>
                </c:pt>
                <c:pt idx="4">
                  <c:v>0.69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8A-42C3-90A1-60AB7BE157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10511"/>
        <c:axId val="1"/>
      </c:lineChart>
      <c:catAx>
        <c:axId val="1003010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0105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561390702138634"/>
          <c:y val="0.28314249829918264"/>
          <c:w val="0.19508533261604896"/>
          <c:h val="0.3524220457553656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1775420977725477"/>
          <c:y val="0.11111509269290436"/>
          <c:w val="0.63973928893911547"/>
          <c:h val="0.69371855167732177"/>
        </c:manualLayout>
      </c:layout>
      <c:lineChart>
        <c:grouping val="standard"/>
        <c:varyColors val="0"/>
        <c:ser>
          <c:idx val="0"/>
          <c:order val="0"/>
          <c:tx>
            <c:strRef>
              <c:f>All!$A$15</c:f>
              <c:strCache>
                <c:ptCount val="1"/>
                <c:pt idx="0">
                  <c:v>Sens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All!$B$15:$F$15</c:f>
              <c:numCache>
                <c:formatCode>General</c:formatCode>
                <c:ptCount val="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B5-4834-A420-332ABDD52137}"/>
            </c:ext>
          </c:extLst>
        </c:ser>
        <c:ser>
          <c:idx val="1"/>
          <c:order val="1"/>
          <c:tx>
            <c:strRef>
              <c:f>All!$A$16</c:f>
              <c:strCache>
                <c:ptCount val="1"/>
                <c:pt idx="0">
                  <c:v>Spec 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val>
            <c:numRef>
              <c:f>All!$B$16:$F$16</c:f>
              <c:numCache>
                <c:formatCode>General</c:formatCode>
                <c:ptCount val="5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B5-4834-A420-332ABDD52137}"/>
            </c:ext>
          </c:extLst>
        </c:ser>
        <c:ser>
          <c:idx val="2"/>
          <c:order val="2"/>
          <c:tx>
            <c:strRef>
              <c:f>All!$A$17</c:f>
              <c:strCache>
                <c:ptCount val="1"/>
                <c:pt idx="0">
                  <c:v>Prev</c:v>
                </c:pt>
              </c:strCache>
            </c:strRef>
          </c:tx>
          <c:spPr>
            <a:ln w="12700">
              <a:solidFill>
                <a:srgbClr val="FFFF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FF00"/>
              </a:solidFill>
              <a:ln>
                <a:solidFill>
                  <a:srgbClr val="FFFF00"/>
                </a:solidFill>
                <a:prstDash val="solid"/>
              </a:ln>
            </c:spPr>
          </c:marker>
          <c:val>
            <c:numRef>
              <c:f>All!$B$17:$F$17</c:f>
              <c:numCache>
                <c:formatCode>General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B5-4834-A420-332ABDD52137}"/>
            </c:ext>
          </c:extLst>
        </c:ser>
        <c:ser>
          <c:idx val="3"/>
          <c:order val="3"/>
          <c:tx>
            <c:strRef>
              <c:f>All!$A$18</c:f>
              <c:strCache>
                <c:ptCount val="1"/>
                <c:pt idx="0">
                  <c:v>Post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x"/>
            <c:size val="5"/>
            <c:spPr>
              <a:noFill/>
              <a:ln>
                <a:solidFill>
                  <a:srgbClr val="00FFFF"/>
                </a:solidFill>
                <a:prstDash val="solid"/>
              </a:ln>
            </c:spPr>
          </c:marker>
          <c:val>
            <c:numRef>
              <c:f>All!$B$18:$F$18</c:f>
              <c:numCache>
                <c:formatCode>General</c:formatCode>
                <c:ptCount val="5"/>
                <c:pt idx="0">
                  <c:v>0.67</c:v>
                </c:pt>
                <c:pt idx="1">
                  <c:v>0.5</c:v>
                </c:pt>
                <c:pt idx="2">
                  <c:v>0.4</c:v>
                </c:pt>
                <c:pt idx="3">
                  <c:v>0.33</c:v>
                </c:pt>
                <c:pt idx="4">
                  <c:v>0.28999999999999998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5B5-4834-A420-332ABDD52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03009711"/>
        <c:axId val="1"/>
      </c:lineChart>
      <c:catAx>
        <c:axId val="1003009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009711"/>
        <c:crosses val="autoZero"/>
        <c:crossBetween val="between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78561390702138634"/>
          <c:y val="0.28229239765224351"/>
          <c:w val="0.19508533261604896"/>
          <c:h val="0.3513639417586434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9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Change Specificity</a:t>
            </a:r>
          </a:p>
        </c:rich>
      </c:tx>
      <c:layout>
        <c:manualLayout>
          <c:xMode val="edge"/>
          <c:yMode val="edge"/>
          <c:x val="9.7677576261013782E-2"/>
          <c:y val="3.69243077795655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560808506333086E-2"/>
          <c:y val="0.18616005172197653"/>
          <c:w val="0.86863273174972977"/>
          <c:h val="0.18462153889782798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Spec!$A$12</c:f>
              <c:strCache>
                <c:ptCount val="1"/>
                <c:pt idx="0">
                  <c:v>Post Prob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Spec!$B$12:$F$12</c:f>
              <c:numCache>
                <c:formatCode>0.00</c:formatCode>
                <c:ptCount val="5"/>
                <c:pt idx="0">
                  <c:v>0.66666666666666652</c:v>
                </c:pt>
                <c:pt idx="1">
                  <c:v>0.50000000000000011</c:v>
                </c:pt>
                <c:pt idx="2">
                  <c:v>0.4</c:v>
                </c:pt>
                <c:pt idx="3">
                  <c:v>0.33333333333333343</c:v>
                </c:pt>
                <c:pt idx="4">
                  <c:v>0.28571428571428575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9A-4198-9380-EAB012823EB5}"/>
            </c:ext>
          </c:extLst>
        </c:ser>
        <c:ser>
          <c:idx val="1"/>
          <c:order val="1"/>
          <c:tx>
            <c:strRef>
              <c:f>Spec!$A$2</c:f>
              <c:strCache>
                <c:ptCount val="1"/>
                <c:pt idx="0">
                  <c:v>Specificity</c:v>
                </c:pt>
              </c:strCache>
            </c:strRef>
          </c:tx>
          <c:spPr>
            <a:pattFill prst="dkVert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Spec!$B$2:$F$2</c:f>
              <c:numCache>
                <c:formatCode>0.00</c:formatCode>
                <c:ptCount val="5"/>
                <c:pt idx="0">
                  <c:v>0.95</c:v>
                </c:pt>
                <c:pt idx="1">
                  <c:v>0.9</c:v>
                </c:pt>
                <c:pt idx="2">
                  <c:v>0.85</c:v>
                </c:pt>
                <c:pt idx="3">
                  <c:v>0.8</c:v>
                </c:pt>
                <c:pt idx="4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9A-4198-9380-EAB012823EB5}"/>
            </c:ext>
          </c:extLst>
        </c:ser>
        <c:ser>
          <c:idx val="0"/>
          <c:order val="2"/>
          <c:tx>
            <c:strRef>
              <c:f>Spec!$A$1</c:f>
              <c:strCache>
                <c:ptCount val="1"/>
                <c:pt idx="0">
                  <c:v>Sensitivity </c:v>
                </c:pt>
              </c:strCache>
            </c:strRef>
          </c:tx>
          <c:spPr>
            <a:pattFill prst="dkHorz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Spec!$B$1:$F$1</c:f>
              <c:numCache>
                <c:formatCode>0.00</c:formatCode>
                <c:ptCount val="5"/>
                <c:pt idx="0">
                  <c:v>0.9</c:v>
                </c:pt>
                <c:pt idx="1">
                  <c:v>0.9</c:v>
                </c:pt>
                <c:pt idx="2">
                  <c:v>0.9</c:v>
                </c:pt>
                <c:pt idx="3">
                  <c:v>0.9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99A-4198-9380-EAB012823EB5}"/>
            </c:ext>
          </c:extLst>
        </c:ser>
        <c:ser>
          <c:idx val="2"/>
          <c:order val="3"/>
          <c:tx>
            <c:strRef>
              <c:f>Spec!$A$7</c:f>
              <c:strCache>
                <c:ptCount val="1"/>
                <c:pt idx="0">
                  <c:v>Prevalence </c:v>
                </c:pt>
              </c:strCache>
            </c:strRef>
          </c:tx>
          <c:spPr>
            <a:pattFill prst="sphere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2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Spec!$B$7:$F$7</c:f>
              <c:numCache>
                <c:formatCode>0.00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99A-4198-9380-EAB012823E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0"/>
        <c:axId val="1003007311"/>
        <c:axId val="1"/>
      </c:barChart>
      <c:catAx>
        <c:axId val="10030073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3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007311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9071677072136908"/>
          <c:y val="1.2308102593188531E-2"/>
          <c:w val="0.37675636557819603"/>
          <c:h val="0.1092344105145482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5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7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Change Sensitivity</a:t>
            </a:r>
          </a:p>
        </c:rich>
      </c:tx>
      <c:layout>
        <c:manualLayout>
          <c:xMode val="edge"/>
          <c:yMode val="edge"/>
          <c:x val="0.10718981255469689"/>
          <c:y val="3.8227498413409493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0392359416022671E-2"/>
          <c:y val="0.1804337925112928"/>
          <c:w val="0.86117269859284895"/>
          <c:h val="0.20642849143241124"/>
        </c:manualLayout>
      </c:layout>
      <c:barChart>
        <c:barDir val="bar"/>
        <c:grouping val="clustered"/>
        <c:varyColors val="0"/>
        <c:ser>
          <c:idx val="3"/>
          <c:order val="0"/>
          <c:tx>
            <c:strRef>
              <c:f>Sens!$A$12</c:f>
              <c:strCache>
                <c:ptCount val="1"/>
                <c:pt idx="0">
                  <c:v>Post Prob</c:v>
                </c:pt>
              </c:strCache>
            </c:strRef>
          </c:tx>
          <c:spPr>
            <a:solidFill>
              <a:srgbClr val="00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Sens!$B$12:$F$12</c:f>
              <c:numCache>
                <c:formatCode>0.00</c:formatCode>
                <c:ptCount val="5"/>
                <c:pt idx="0">
                  <c:v>0.42307692307692302</c:v>
                </c:pt>
                <c:pt idx="1">
                  <c:v>0.4</c:v>
                </c:pt>
                <c:pt idx="2">
                  <c:v>0.37209302325581395</c:v>
                </c:pt>
                <c:pt idx="3">
                  <c:v>0.35714285714285715</c:v>
                </c:pt>
                <c:pt idx="4">
                  <c:v>0.34146341463414631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67-4831-B5CB-790843705D71}"/>
            </c:ext>
          </c:extLst>
        </c:ser>
        <c:ser>
          <c:idx val="1"/>
          <c:order val="1"/>
          <c:tx>
            <c:strRef>
              <c:f>Sens!$A$2</c:f>
              <c:strCache>
                <c:ptCount val="1"/>
                <c:pt idx="0">
                  <c:v>Specificity</c:v>
                </c:pt>
              </c:strCache>
            </c:strRef>
          </c:tx>
          <c:spPr>
            <a:pattFill prst="dkVert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Sens!$B$2:$F$2</c:f>
              <c:numCache>
                <c:formatCode>0.00</c:formatCode>
                <c:ptCount val="5"/>
                <c:pt idx="0">
                  <c:v>0.85</c:v>
                </c:pt>
                <c:pt idx="1">
                  <c:v>0.85</c:v>
                </c:pt>
                <c:pt idx="2">
                  <c:v>0.85</c:v>
                </c:pt>
                <c:pt idx="3">
                  <c:v>0.85</c:v>
                </c:pt>
                <c:pt idx="4">
                  <c:v>0.85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E67-4831-B5CB-790843705D71}"/>
            </c:ext>
          </c:extLst>
        </c:ser>
        <c:ser>
          <c:idx val="0"/>
          <c:order val="2"/>
          <c:tx>
            <c:strRef>
              <c:f>Sens!$A$1</c:f>
              <c:strCache>
                <c:ptCount val="1"/>
                <c:pt idx="0">
                  <c:v>Sensitivity </c:v>
                </c:pt>
              </c:strCache>
            </c:strRef>
          </c:tx>
          <c:spPr>
            <a:pattFill prst="dkHorz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Sens!$B$1:$F$1</c:f>
              <c:numCache>
                <c:formatCode>0.00</c:formatCode>
                <c:ptCount val="5"/>
                <c:pt idx="0">
                  <c:v>0.99</c:v>
                </c:pt>
                <c:pt idx="1">
                  <c:v>0.9</c:v>
                </c:pt>
                <c:pt idx="2">
                  <c:v>0.8</c:v>
                </c:pt>
                <c:pt idx="3">
                  <c:v>0.75</c:v>
                </c:pt>
                <c:pt idx="4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E67-4831-B5CB-790843705D71}"/>
            </c:ext>
          </c:extLst>
        </c:ser>
        <c:ser>
          <c:idx val="2"/>
          <c:order val="3"/>
          <c:tx>
            <c:strRef>
              <c:f>Sens!$A$7</c:f>
              <c:strCache>
                <c:ptCount val="1"/>
                <c:pt idx="0">
                  <c:v>Prevalence </c:v>
                </c:pt>
              </c:strCache>
            </c:strRef>
          </c:tx>
          <c:spPr>
            <a:pattFill prst="sphere">
              <a:fgClr>
                <a:srgbClr xmlns:mc="http://schemas.openxmlformats.org/markup-compatibility/2006" xmlns:a14="http://schemas.microsoft.com/office/drawing/2010/main" val="000000" mc:Ignorable="a14" a14:legacySpreadsheetColorIndex="8"/>
              </a:fgClr>
              <a:bgClr>
                <a:srgbClr xmlns:mc="http://schemas.openxmlformats.org/markup-compatibility/2006" xmlns:a14="http://schemas.microsoft.com/office/drawing/2010/main" val="FFFFFF" mc:Ignorable="a14" a14:legacySpreadsheetColorIndex="9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Sens!$B$7:$F$7</c:f>
              <c:numCache>
                <c:formatCode>0.00</c:formatCode>
                <c:ptCount val="5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E67-4831-B5CB-790843705D7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20"/>
        <c:axId val="1003008911"/>
        <c:axId val="1"/>
      </c:barChart>
      <c:catAx>
        <c:axId val="100300891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2"/>
        <c:tickMarkSkip val="1"/>
        <c:noMultiLvlLbl val="0"/>
      </c:catAx>
      <c:valAx>
        <c:axId val="1"/>
        <c:scaling>
          <c:orientation val="minMax"/>
          <c:max val="1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4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03008911"/>
        <c:crosses val="autoZero"/>
        <c:crossBetween val="between"/>
      </c:valAx>
      <c:spPr>
        <a:noFill/>
        <a:ln w="25400">
          <a:noFill/>
        </a:ln>
      </c:spPr>
    </c:plotArea>
    <c:legend>
      <c:legendPos val="t"/>
      <c:layout>
        <c:manualLayout>
          <c:xMode val="edge"/>
          <c:yMode val="edge"/>
          <c:x val="0.54203939303227411"/>
          <c:y val="1.2232799492291037E-2"/>
          <c:w val="0.41414245759769258"/>
          <c:h val="0.123857094859446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4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-3" verticalDpi="0"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241300</xdr:colOff>
      <xdr:row>4</xdr:row>
      <xdr:rowOff>95250</xdr:rowOff>
    </xdr:from>
    <xdr:to>
      <xdr:col>1</xdr:col>
      <xdr:colOff>241300</xdr:colOff>
      <xdr:row>7</xdr:row>
      <xdr:rowOff>406400</xdr:rowOff>
    </xdr:to>
    <xdr:sp macro="" textlink="">
      <xdr:nvSpPr>
        <xdr:cNvPr id="7169" name="Line 1">
          <a:extLst>
            <a:ext uri="{FF2B5EF4-FFF2-40B4-BE49-F238E27FC236}">
              <a16:creationId xmlns:a16="http://schemas.microsoft.com/office/drawing/2014/main" id="{F2450180-ADE1-4592-9D87-9242B3748073}"/>
            </a:ext>
          </a:extLst>
        </xdr:cNvPr>
        <xdr:cNvSpPr>
          <a:spLocks noChangeShapeType="1"/>
        </xdr:cNvSpPr>
      </xdr:nvSpPr>
      <xdr:spPr bwMode="auto">
        <a:xfrm>
          <a:off x="1079500" y="692150"/>
          <a:ext cx="0" cy="102870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279400</xdr:colOff>
      <xdr:row>4</xdr:row>
      <xdr:rowOff>114300</xdr:rowOff>
    </xdr:from>
    <xdr:to>
      <xdr:col>5</xdr:col>
      <xdr:colOff>279400</xdr:colOff>
      <xdr:row>7</xdr:row>
      <xdr:rowOff>393700</xdr:rowOff>
    </xdr:to>
    <xdr:sp macro="" textlink="">
      <xdr:nvSpPr>
        <xdr:cNvPr id="7170" name="Line 2">
          <a:extLst>
            <a:ext uri="{FF2B5EF4-FFF2-40B4-BE49-F238E27FC236}">
              <a16:creationId xmlns:a16="http://schemas.microsoft.com/office/drawing/2014/main" id="{7497668A-D156-40C5-9FD1-3687F3C274CE}"/>
            </a:ext>
          </a:extLst>
        </xdr:cNvPr>
        <xdr:cNvSpPr>
          <a:spLocks noChangeShapeType="1"/>
        </xdr:cNvSpPr>
      </xdr:nvSpPr>
      <xdr:spPr bwMode="auto">
        <a:xfrm flipH="1" flipV="1">
          <a:off x="2387600" y="711200"/>
          <a:ext cx="0" cy="99695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260350</xdr:colOff>
      <xdr:row>20</xdr:row>
      <xdr:rowOff>215900</xdr:rowOff>
    </xdr:from>
    <xdr:to>
      <xdr:col>5</xdr:col>
      <xdr:colOff>203200</xdr:colOff>
      <xdr:row>20</xdr:row>
      <xdr:rowOff>215900</xdr:rowOff>
    </xdr:to>
    <xdr:sp macro="" textlink="">
      <xdr:nvSpPr>
        <xdr:cNvPr id="7171" name="Line 3">
          <a:extLst>
            <a:ext uri="{FF2B5EF4-FFF2-40B4-BE49-F238E27FC236}">
              <a16:creationId xmlns:a16="http://schemas.microsoft.com/office/drawing/2014/main" id="{25350EE7-6313-4AC2-9DA8-04BDB17A6731}"/>
            </a:ext>
          </a:extLst>
        </xdr:cNvPr>
        <xdr:cNvSpPr>
          <a:spLocks noChangeShapeType="1"/>
        </xdr:cNvSpPr>
      </xdr:nvSpPr>
      <xdr:spPr bwMode="auto">
        <a:xfrm>
          <a:off x="1098550" y="3917950"/>
          <a:ext cx="12128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311150</xdr:colOff>
      <xdr:row>23</xdr:row>
      <xdr:rowOff>133350</xdr:rowOff>
    </xdr:from>
    <xdr:to>
      <xdr:col>5</xdr:col>
      <xdr:colOff>171450</xdr:colOff>
      <xdr:row>23</xdr:row>
      <xdr:rowOff>133350</xdr:rowOff>
    </xdr:to>
    <xdr:sp macro="" textlink="">
      <xdr:nvSpPr>
        <xdr:cNvPr id="7172" name="Line 4">
          <a:extLst>
            <a:ext uri="{FF2B5EF4-FFF2-40B4-BE49-F238E27FC236}">
              <a16:creationId xmlns:a16="http://schemas.microsoft.com/office/drawing/2014/main" id="{7B23756E-9AA7-4F90-B363-B6C4B6D42DC6}"/>
            </a:ext>
          </a:extLst>
        </xdr:cNvPr>
        <xdr:cNvSpPr>
          <a:spLocks noChangeShapeType="1"/>
        </xdr:cNvSpPr>
      </xdr:nvSpPr>
      <xdr:spPr bwMode="auto">
        <a:xfrm flipH="1">
          <a:off x="1149350" y="4527550"/>
          <a:ext cx="113030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13</xdr:row>
      <xdr:rowOff>0</xdr:rowOff>
    </xdr:from>
    <xdr:to>
      <xdr:col>9</xdr:col>
      <xdr:colOff>546100</xdr:colOff>
      <xdr:row>39</xdr:row>
      <xdr:rowOff>120650</xdr:rowOff>
    </xdr:to>
    <xdr:graphicFrame macro="">
      <xdr:nvGraphicFramePr>
        <xdr:cNvPr id="5122" name="Chart 2">
          <a:extLst>
            <a:ext uri="{FF2B5EF4-FFF2-40B4-BE49-F238E27FC236}">
              <a16:creationId xmlns:a16="http://schemas.microsoft.com/office/drawing/2014/main" id="{2DF636B4-2FBC-457A-AAF1-583B8ADDC5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1</xdr:row>
      <xdr:rowOff>82550</xdr:rowOff>
    </xdr:from>
    <xdr:to>
      <xdr:col>13</xdr:col>
      <xdr:colOff>355600</xdr:colOff>
      <xdr:row>14</xdr:row>
      <xdr:rowOff>133350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6ACCBC54-3545-46B8-AF87-A31412E570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457200</xdr:colOff>
      <xdr:row>17</xdr:row>
      <xdr:rowOff>38100</xdr:rowOff>
    </xdr:from>
    <xdr:to>
      <xdr:col>13</xdr:col>
      <xdr:colOff>412750</xdr:colOff>
      <xdr:row>30</xdr:row>
      <xdr:rowOff>82550</xdr:rowOff>
    </xdr:to>
    <xdr:graphicFrame macro="">
      <xdr:nvGraphicFramePr>
        <xdr:cNvPr id="1027" name="Chart 3">
          <a:extLst>
            <a:ext uri="{FF2B5EF4-FFF2-40B4-BE49-F238E27FC236}">
              <a16:creationId xmlns:a16="http://schemas.microsoft.com/office/drawing/2014/main" id="{AC2EB8CD-D9B9-45DF-B6D7-13C94E98EA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438150</xdr:colOff>
      <xdr:row>19</xdr:row>
      <xdr:rowOff>101600</xdr:rowOff>
    </xdr:from>
    <xdr:to>
      <xdr:col>6</xdr:col>
      <xdr:colOff>393700</xdr:colOff>
      <xdr:row>32</xdr:row>
      <xdr:rowOff>152400</xdr:rowOff>
    </xdr:to>
    <xdr:graphicFrame macro="">
      <xdr:nvGraphicFramePr>
        <xdr:cNvPr id="1029" name="Chart 5">
          <a:extLst>
            <a:ext uri="{FF2B5EF4-FFF2-40B4-BE49-F238E27FC236}">
              <a16:creationId xmlns:a16="http://schemas.microsoft.com/office/drawing/2014/main" id="{CBB61638-0A03-4141-8CE1-0CC57E16F1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457200</xdr:colOff>
      <xdr:row>40</xdr:row>
      <xdr:rowOff>0</xdr:rowOff>
    </xdr:to>
    <xdr:graphicFrame macro="">
      <xdr:nvGraphicFramePr>
        <xdr:cNvPr id="2051" name="Chart 3">
          <a:extLst>
            <a:ext uri="{FF2B5EF4-FFF2-40B4-BE49-F238E27FC236}">
              <a16:creationId xmlns:a16="http://schemas.microsoft.com/office/drawing/2014/main" id="{3C6B7866-9A3B-4CBE-BB86-147C6F8C3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7</xdr:col>
      <xdr:colOff>546100</xdr:colOff>
      <xdr:row>40</xdr:row>
      <xdr:rowOff>25400</xdr:rowOff>
    </xdr:to>
    <xdr:graphicFrame macro="">
      <xdr:nvGraphicFramePr>
        <xdr:cNvPr id="3075" name="Chart 3">
          <a:extLst>
            <a:ext uri="{FF2B5EF4-FFF2-40B4-BE49-F238E27FC236}">
              <a16:creationId xmlns:a16="http://schemas.microsoft.com/office/drawing/2014/main" id="{C501EF38-DC77-41F3-AC62-BE1560E374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10"/>
  <sheetViews>
    <sheetView topLeftCell="A22" workbookViewId="0">
      <selection activeCell="A3" sqref="A3"/>
    </sheetView>
  </sheetViews>
  <sheetFormatPr defaultRowHeight="12" customHeight="1" x14ac:dyDescent="0.25"/>
  <cols>
    <col min="1" max="1" width="12" style="3" customWidth="1"/>
    <col min="2" max="2" width="10.7265625" customWidth="1"/>
    <col min="3" max="4" width="2.7265625" customWidth="1"/>
    <col min="5" max="5" width="2" customWidth="1"/>
    <col min="7" max="7" width="13.1796875" customWidth="1"/>
  </cols>
  <sheetData>
    <row r="2" spans="1:11" ht="12" customHeight="1" x14ac:dyDescent="0.35">
      <c r="A2" s="4"/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ht="15.5" x14ac:dyDescent="0.35">
      <c r="A3" s="19"/>
      <c r="B3" s="6" t="s">
        <v>17</v>
      </c>
      <c r="C3" s="6"/>
      <c r="D3" s="6"/>
      <c r="E3" s="6" t="s">
        <v>18</v>
      </c>
      <c r="F3" s="6"/>
      <c r="G3" s="5"/>
      <c r="H3" s="5"/>
      <c r="I3" s="5"/>
      <c r="J3" s="5"/>
      <c r="K3" s="5"/>
    </row>
    <row r="4" spans="1:11" ht="7.5" customHeight="1" thickBot="1" x14ac:dyDescent="0.4">
      <c r="A4" s="4"/>
      <c r="B4" s="6"/>
      <c r="C4" s="6"/>
      <c r="D4" s="6"/>
      <c r="E4" s="6"/>
      <c r="F4" s="6"/>
      <c r="G4" s="5"/>
      <c r="H4" s="5"/>
      <c r="I4" s="5"/>
      <c r="J4" s="5"/>
      <c r="K4" s="5"/>
    </row>
    <row r="5" spans="1:11" ht="29.25" customHeight="1" x14ac:dyDescent="0.35">
      <c r="A5" s="19" t="s">
        <v>19</v>
      </c>
      <c r="B5" s="41" t="s">
        <v>24</v>
      </c>
      <c r="C5" s="7"/>
      <c r="D5" s="8"/>
      <c r="E5" s="34" t="s">
        <v>26</v>
      </c>
      <c r="F5" s="35"/>
      <c r="G5" s="5"/>
      <c r="H5" s="5"/>
      <c r="I5" s="5"/>
      <c r="J5" s="5"/>
      <c r="K5" s="5"/>
    </row>
    <row r="6" spans="1:11" ht="15.75" customHeight="1" x14ac:dyDescent="0.35">
      <c r="A6" s="4"/>
      <c r="B6" s="42"/>
      <c r="C6" s="9" t="s">
        <v>13</v>
      </c>
      <c r="D6" s="9" t="s">
        <v>14</v>
      </c>
      <c r="E6" s="36"/>
      <c r="F6" s="37"/>
      <c r="G6" s="5"/>
      <c r="H6" s="5"/>
      <c r="I6" s="5"/>
      <c r="J6" s="5"/>
      <c r="K6" s="5"/>
    </row>
    <row r="7" spans="1:11" ht="12" customHeight="1" x14ac:dyDescent="0.35">
      <c r="A7" s="4"/>
      <c r="B7" s="25" t="s">
        <v>25</v>
      </c>
      <c r="C7" s="9" t="s">
        <v>15</v>
      </c>
      <c r="D7" s="9" t="s">
        <v>16</v>
      </c>
      <c r="E7" s="38" t="s">
        <v>27</v>
      </c>
      <c r="F7" s="39"/>
      <c r="G7" s="5"/>
      <c r="H7" s="5"/>
      <c r="I7" s="5"/>
      <c r="J7" s="5"/>
      <c r="K7" s="5"/>
    </row>
    <row r="8" spans="1:11" ht="36" customHeight="1" thickBot="1" x14ac:dyDescent="0.4">
      <c r="A8" s="19" t="s">
        <v>20</v>
      </c>
      <c r="B8" s="26"/>
      <c r="C8" s="10"/>
      <c r="D8" s="11"/>
      <c r="E8" s="29"/>
      <c r="F8" s="30"/>
      <c r="G8" s="5"/>
      <c r="H8" s="5"/>
      <c r="I8" s="5"/>
      <c r="J8" s="5"/>
      <c r="K8" s="5"/>
    </row>
    <row r="9" spans="1:11" ht="9" customHeight="1" x14ac:dyDescent="0.35">
      <c r="A9" s="4"/>
      <c r="B9" s="14"/>
      <c r="C9" s="15"/>
      <c r="D9" s="15"/>
      <c r="E9" s="13"/>
      <c r="F9" s="13"/>
      <c r="G9" s="5"/>
      <c r="H9" s="5"/>
      <c r="I9" s="5"/>
      <c r="J9" s="5"/>
      <c r="K9" s="5"/>
    </row>
    <row r="10" spans="1:11" ht="15.5" x14ac:dyDescent="0.35">
      <c r="A10" s="4"/>
      <c r="B10" s="5"/>
      <c r="C10" s="5"/>
      <c r="D10" s="5"/>
      <c r="F10" s="20" t="s">
        <v>1</v>
      </c>
      <c r="G10" s="16"/>
      <c r="H10" s="16"/>
      <c r="I10" s="5"/>
      <c r="J10" s="5"/>
      <c r="K10" s="5"/>
    </row>
    <row r="11" spans="1:11" ht="15.5" x14ac:dyDescent="0.35">
      <c r="A11" s="4"/>
      <c r="B11" s="21" t="s">
        <v>21</v>
      </c>
      <c r="C11" s="5"/>
      <c r="D11" s="5"/>
      <c r="F11" s="16" t="s">
        <v>28</v>
      </c>
      <c r="G11" s="16"/>
      <c r="H11" s="17"/>
      <c r="I11" s="5"/>
      <c r="J11" s="5"/>
      <c r="K11" s="5"/>
    </row>
    <row r="12" spans="1:11" ht="15.5" x14ac:dyDescent="0.35">
      <c r="A12" s="4"/>
      <c r="B12" s="5" t="s">
        <v>22</v>
      </c>
      <c r="C12" s="5"/>
      <c r="D12" s="5"/>
      <c r="F12" s="16" t="s">
        <v>29</v>
      </c>
      <c r="G12" s="16"/>
      <c r="H12" s="17"/>
      <c r="I12" s="5"/>
      <c r="J12" s="5"/>
      <c r="K12" s="5"/>
    </row>
    <row r="13" spans="1:11" ht="4.5" customHeight="1" x14ac:dyDescent="0.35">
      <c r="A13" s="4"/>
      <c r="B13" s="5"/>
      <c r="C13" s="5"/>
      <c r="D13" s="5"/>
      <c r="E13" s="16"/>
      <c r="F13" s="16"/>
      <c r="G13" s="17"/>
      <c r="H13" s="5"/>
      <c r="I13" s="5"/>
      <c r="J13" s="5"/>
      <c r="K13" s="5"/>
    </row>
    <row r="14" spans="1:11" ht="15.5" x14ac:dyDescent="0.35">
      <c r="A14" s="4"/>
      <c r="B14" s="5" t="s">
        <v>23</v>
      </c>
      <c r="C14" s="5"/>
      <c r="D14" s="5"/>
      <c r="E14" s="5"/>
      <c r="H14" s="5"/>
      <c r="I14" s="5"/>
      <c r="J14" s="5"/>
      <c r="K14" s="5"/>
    </row>
    <row r="15" spans="1:11" ht="15.5" x14ac:dyDescent="0.35">
      <c r="A15" s="4"/>
      <c r="C15" s="5"/>
      <c r="D15" s="5"/>
      <c r="E15" s="5"/>
      <c r="F15" s="5"/>
      <c r="G15" s="5"/>
      <c r="H15" s="5"/>
      <c r="I15" s="5"/>
      <c r="J15" s="5"/>
      <c r="K15" s="5"/>
    </row>
    <row r="16" spans="1:11" ht="15.5" x14ac:dyDescent="0.35">
      <c r="A16" s="4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2" customHeight="1" x14ac:dyDescent="0.35">
      <c r="A17" s="4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2" customHeight="1" x14ac:dyDescent="0.35">
      <c r="A18" s="4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s="2" customFormat="1" ht="15.5" x14ac:dyDescent="0.35">
      <c r="A19" s="19"/>
      <c r="B19" s="6" t="s">
        <v>17</v>
      </c>
      <c r="C19" s="6"/>
      <c r="D19" s="6"/>
      <c r="E19" s="6" t="s">
        <v>18</v>
      </c>
      <c r="F19" s="6"/>
      <c r="G19" s="6"/>
      <c r="H19" s="6"/>
      <c r="I19" s="6"/>
      <c r="J19" s="6"/>
      <c r="K19" s="6"/>
    </row>
    <row r="20" spans="1:11" ht="6" customHeight="1" thickBot="1" x14ac:dyDescent="0.4">
      <c r="A20" s="4"/>
      <c r="B20" s="6"/>
      <c r="C20" s="6"/>
      <c r="D20" s="6"/>
      <c r="E20" s="6"/>
      <c r="F20" s="6"/>
      <c r="G20" s="5"/>
      <c r="H20" s="5"/>
      <c r="I20" s="5"/>
      <c r="J20" s="5"/>
      <c r="K20" s="5"/>
    </row>
    <row r="21" spans="1:11" ht="24.75" customHeight="1" x14ac:dyDescent="0.35">
      <c r="A21" s="19" t="s">
        <v>19</v>
      </c>
      <c r="B21" s="41" t="s">
        <v>24</v>
      </c>
      <c r="C21" s="12"/>
      <c r="D21" s="8"/>
      <c r="E21" s="34" t="s">
        <v>26</v>
      </c>
      <c r="F21" s="35"/>
      <c r="G21" s="43" t="s">
        <v>30</v>
      </c>
      <c r="H21" s="32"/>
      <c r="I21" s="32"/>
      <c r="J21" s="33"/>
      <c r="K21" s="5"/>
    </row>
    <row r="22" spans="1:11" ht="18" customHeight="1" x14ac:dyDescent="0.35">
      <c r="A22" s="4"/>
      <c r="B22" s="42"/>
      <c r="C22" s="9" t="s">
        <v>13</v>
      </c>
      <c r="D22" s="9" t="s">
        <v>14</v>
      </c>
      <c r="E22" s="40"/>
      <c r="F22" s="37"/>
      <c r="G22" s="44"/>
      <c r="H22" s="32"/>
      <c r="I22" s="32"/>
      <c r="J22" s="33"/>
      <c r="K22" s="5"/>
    </row>
    <row r="23" spans="1:11" ht="12" customHeight="1" x14ac:dyDescent="0.35">
      <c r="A23" s="4"/>
      <c r="B23" s="25" t="s">
        <v>25</v>
      </c>
      <c r="C23" s="9" t="s">
        <v>15</v>
      </c>
      <c r="D23" s="9" t="s">
        <v>16</v>
      </c>
      <c r="E23" s="27" t="s">
        <v>27</v>
      </c>
      <c r="F23" s="28"/>
      <c r="G23" s="5"/>
      <c r="H23" s="5"/>
      <c r="I23" s="5"/>
      <c r="J23" s="5"/>
      <c r="K23" s="5"/>
    </row>
    <row r="24" spans="1:11" ht="35.25" customHeight="1" thickBot="1" x14ac:dyDescent="0.4">
      <c r="A24" s="19" t="s">
        <v>20</v>
      </c>
      <c r="B24" s="26"/>
      <c r="C24" s="10"/>
      <c r="D24" s="11"/>
      <c r="E24" s="29"/>
      <c r="F24" s="30"/>
      <c r="G24" s="31" t="s">
        <v>31</v>
      </c>
      <c r="H24" s="32"/>
      <c r="I24" s="32"/>
      <c r="J24" s="33"/>
      <c r="K24" s="5"/>
    </row>
    <row r="25" spans="1:11" ht="12" customHeight="1" x14ac:dyDescent="0.35">
      <c r="A25" s="4"/>
      <c r="B25" s="5"/>
      <c r="C25" s="5"/>
      <c r="D25" s="5"/>
      <c r="E25" s="5"/>
      <c r="F25" s="5"/>
      <c r="G25" s="32"/>
      <c r="H25" s="32"/>
      <c r="I25" s="32"/>
      <c r="J25" s="33"/>
      <c r="K25" s="5"/>
    </row>
    <row r="26" spans="1:11" ht="12" customHeight="1" x14ac:dyDescent="0.35">
      <c r="A26" s="4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2" customHeight="1" x14ac:dyDescent="0.3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</row>
    <row r="28" spans="1:11" ht="6.75" customHeight="1" x14ac:dyDescent="0.3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</row>
    <row r="29" spans="1:11" ht="15.5" x14ac:dyDescent="0.35">
      <c r="A29" s="22" t="s">
        <v>33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</row>
    <row r="30" spans="1:11" ht="15.5" x14ac:dyDescent="0.3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</row>
    <row r="31" spans="1:11" ht="15.5" x14ac:dyDescent="0.35">
      <c r="A31" s="22" t="s">
        <v>32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</row>
    <row r="32" spans="1:11" ht="15.5" x14ac:dyDescent="0.3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</row>
    <row r="33" spans="1:11" ht="15.5" x14ac:dyDescent="0.35">
      <c r="A33" s="22" t="s">
        <v>34</v>
      </c>
      <c r="B33" s="18"/>
      <c r="C33" s="18"/>
      <c r="D33" s="18"/>
      <c r="E33" s="18"/>
      <c r="F33" s="18"/>
      <c r="G33" s="18"/>
      <c r="H33" s="18"/>
      <c r="I33" s="18"/>
      <c r="J33" s="18"/>
      <c r="K33" s="18"/>
    </row>
    <row r="34" spans="1:11" ht="15.5" x14ac:dyDescent="0.3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</row>
    <row r="35" spans="1:11" ht="15.5" x14ac:dyDescent="0.35">
      <c r="A35" s="22" t="s">
        <v>35</v>
      </c>
      <c r="B35" s="18"/>
      <c r="C35" s="18"/>
      <c r="D35" s="18"/>
      <c r="E35" s="18"/>
      <c r="F35" s="18"/>
      <c r="G35" s="18"/>
      <c r="H35" s="18"/>
      <c r="I35" s="18"/>
      <c r="J35" s="18"/>
      <c r="K35" s="18"/>
    </row>
    <row r="36" spans="1:11" ht="15.5" x14ac:dyDescent="0.3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</row>
    <row r="37" spans="1:11" ht="15.5" x14ac:dyDescent="0.35">
      <c r="A37" s="22" t="s">
        <v>36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</row>
    <row r="38" spans="1:11" ht="15.5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</row>
    <row r="39" spans="1:11" ht="15.5" x14ac:dyDescent="0.35">
      <c r="A39" s="22" t="s">
        <v>37</v>
      </c>
      <c r="B39" s="18"/>
      <c r="C39" s="18"/>
      <c r="D39" s="18"/>
      <c r="E39" s="18"/>
      <c r="F39" s="18"/>
      <c r="G39" s="18"/>
      <c r="H39" s="18"/>
      <c r="I39" s="18"/>
      <c r="J39" s="18"/>
      <c r="K39" s="18"/>
    </row>
    <row r="40" spans="1:11" ht="15.5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</row>
    <row r="41" spans="1:11" ht="12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</row>
    <row r="42" spans="1:11" ht="12" customHeight="1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</row>
    <row r="43" spans="1:11" ht="12" customHeight="1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</row>
    <row r="44" spans="1:11" ht="12" customHeight="1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</row>
    <row r="45" spans="1:11" ht="12" customHeight="1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1" ht="12" customHeight="1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1" ht="12" customHeight="1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</row>
    <row r="48" spans="1:11" ht="12" customHeight="1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</row>
    <row r="49" spans="1:11" ht="12" customHeight="1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</row>
    <row r="50" spans="1:11" ht="12" customHeight="1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</row>
    <row r="51" spans="1:11" ht="12" customHeight="1" x14ac:dyDescent="0.3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</row>
    <row r="52" spans="1:11" ht="12" customHeight="1" x14ac:dyDescent="0.3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</row>
    <row r="53" spans="1:11" ht="12" customHeight="1" x14ac:dyDescent="0.3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</row>
    <row r="54" spans="1:11" ht="12" customHeight="1" x14ac:dyDescent="0.3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</row>
    <row r="55" spans="1:11" ht="12" customHeight="1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</row>
    <row r="56" spans="1:11" ht="12" customHeight="1" x14ac:dyDescent="0.3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</row>
    <row r="57" spans="1:11" ht="12" customHeight="1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</row>
    <row r="58" spans="1:11" ht="12" customHeight="1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</row>
    <row r="59" spans="1:11" ht="12" customHeight="1" x14ac:dyDescent="0.3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</row>
    <row r="60" spans="1:11" ht="12" customHeight="1" x14ac:dyDescent="0.3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</row>
    <row r="61" spans="1:11" ht="12" customHeight="1" x14ac:dyDescent="0.3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</row>
    <row r="62" spans="1:11" ht="12" customHeight="1" x14ac:dyDescent="0.3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</row>
    <row r="63" spans="1:11" ht="12" customHeight="1" x14ac:dyDescent="0.3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</row>
    <row r="64" spans="1:11" ht="12" customHeight="1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</row>
    <row r="65" spans="1:11" ht="12" customHeight="1" x14ac:dyDescent="0.3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</row>
    <row r="66" spans="1:11" ht="12" customHeight="1" x14ac:dyDescent="0.3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</row>
    <row r="67" spans="1:11" ht="12" customHeight="1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</row>
    <row r="68" spans="1:11" ht="12" customHeight="1" x14ac:dyDescent="0.3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</row>
    <row r="69" spans="1:11" ht="12" customHeight="1" x14ac:dyDescent="0.3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</row>
    <row r="70" spans="1:11" ht="12" customHeight="1" x14ac:dyDescent="0.3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</row>
    <row r="71" spans="1:11" ht="12" customHeight="1" x14ac:dyDescent="0.3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</row>
    <row r="72" spans="1:11" ht="12" customHeight="1" x14ac:dyDescent="0.3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</row>
    <row r="73" spans="1:11" ht="12" customHeight="1" x14ac:dyDescent="0.3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</row>
    <row r="74" spans="1:11" ht="12" customHeight="1" x14ac:dyDescent="0.3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</row>
    <row r="75" spans="1:11" ht="12" customHeight="1" x14ac:dyDescent="0.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</row>
    <row r="76" spans="1:11" ht="12" customHeight="1" x14ac:dyDescent="0.3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</row>
    <row r="77" spans="1:11" ht="12" customHeight="1" x14ac:dyDescent="0.3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</row>
    <row r="78" spans="1:11" ht="12" customHeight="1" x14ac:dyDescent="0.3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</row>
    <row r="79" spans="1:11" ht="12" customHeight="1" x14ac:dyDescent="0.3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</row>
    <row r="80" spans="1:11" ht="12" customHeight="1" x14ac:dyDescent="0.3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</row>
    <row r="81" spans="1:11" ht="12" customHeight="1" x14ac:dyDescent="0.3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</row>
    <row r="82" spans="1:11" ht="12" customHeight="1" x14ac:dyDescent="0.3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</row>
    <row r="83" spans="1:11" ht="12" customHeight="1" x14ac:dyDescent="0.3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</row>
    <row r="84" spans="1:11" ht="12" customHeight="1" x14ac:dyDescent="0.3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</row>
    <row r="85" spans="1:11" ht="12" customHeight="1" x14ac:dyDescent="0.3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</row>
    <row r="86" spans="1:11" ht="12" customHeight="1" x14ac:dyDescent="0.3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</row>
    <row r="87" spans="1:11" ht="12" customHeight="1" x14ac:dyDescent="0.3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</row>
    <row r="88" spans="1:11" ht="12" customHeight="1" x14ac:dyDescent="0.3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</row>
    <row r="89" spans="1:11" ht="12" customHeight="1" x14ac:dyDescent="0.3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</row>
    <row r="90" spans="1:11" ht="12" customHeight="1" x14ac:dyDescent="0.3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</row>
    <row r="91" spans="1:11" ht="12" customHeight="1" x14ac:dyDescent="0.3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</row>
    <row r="92" spans="1:11" ht="12" customHeight="1" x14ac:dyDescent="0.3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</row>
    <row r="93" spans="1:11" ht="12" customHeight="1" x14ac:dyDescent="0.3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</row>
    <row r="94" spans="1:11" ht="12" customHeight="1" x14ac:dyDescent="0.3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</row>
    <row r="95" spans="1:11" ht="12" customHeight="1" x14ac:dyDescent="0.3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</row>
    <row r="96" spans="1:11" ht="12" customHeight="1" x14ac:dyDescent="0.3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</row>
    <row r="97" spans="1:11" ht="12" customHeight="1" x14ac:dyDescent="0.3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</row>
    <row r="98" spans="1:11" ht="12" customHeight="1" x14ac:dyDescent="0.3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</row>
    <row r="99" spans="1:11" ht="12" customHeight="1" x14ac:dyDescent="0.3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</row>
    <row r="100" spans="1:11" ht="12" customHeight="1" x14ac:dyDescent="0.3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</row>
    <row r="101" spans="1:11" ht="12" customHeight="1" x14ac:dyDescent="0.3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</row>
    <row r="102" spans="1:11" ht="12" customHeight="1" x14ac:dyDescent="0.3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</row>
    <row r="103" spans="1:11" ht="12" customHeight="1" x14ac:dyDescent="0.3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</row>
    <row r="104" spans="1:11" ht="12" customHeight="1" x14ac:dyDescent="0.3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</row>
    <row r="105" spans="1:11" ht="12" customHeight="1" x14ac:dyDescent="0.3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</row>
    <row r="106" spans="1:11" ht="12" customHeight="1" x14ac:dyDescent="0.3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</row>
    <row r="107" spans="1:11" ht="12" customHeight="1" x14ac:dyDescent="0.3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</row>
    <row r="108" spans="1:11" ht="12" customHeight="1" x14ac:dyDescent="0.3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</row>
    <row r="109" spans="1:11" ht="12" customHeight="1" x14ac:dyDescent="0.3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</row>
    <row r="110" spans="1:11" ht="12" customHeight="1" x14ac:dyDescent="0.3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</row>
  </sheetData>
  <mergeCells count="10">
    <mergeCell ref="B23:B24"/>
    <mergeCell ref="E23:F24"/>
    <mergeCell ref="G24:J25"/>
    <mergeCell ref="E5:F6"/>
    <mergeCell ref="E7:F8"/>
    <mergeCell ref="E21:F22"/>
    <mergeCell ref="B5:B6"/>
    <mergeCell ref="B7:B8"/>
    <mergeCell ref="G21:J22"/>
    <mergeCell ref="B21:B22"/>
  </mergeCells>
  <phoneticPr fontId="0" type="noConversion"/>
  <pageMargins left="0.75" right="0.75" top="1" bottom="1" header="0.5" footer="0.5"/>
  <pageSetup orientation="portrait" horizontalDpi="4294967293" verticalDpi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view="pageBreakPreview" zoomScaleNormal="100" workbookViewId="0">
      <selection activeCell="N23" sqref="N23"/>
    </sheetView>
  </sheetViews>
  <sheetFormatPr defaultRowHeight="12.5" x14ac:dyDescent="0.25"/>
  <cols>
    <col min="1" max="1" width="11.26953125" customWidth="1"/>
    <col min="2" max="2" width="5.7265625" style="1" customWidth="1"/>
    <col min="3" max="3" width="7" style="1" customWidth="1"/>
    <col min="4" max="4" width="6.54296875" customWidth="1"/>
    <col min="5" max="5" width="5.26953125" customWidth="1"/>
    <col min="6" max="6" width="7.26953125" customWidth="1"/>
  </cols>
  <sheetData>
    <row r="1" spans="1:6" x14ac:dyDescent="0.25">
      <c r="A1" s="23" t="s">
        <v>0</v>
      </c>
      <c r="B1" s="24">
        <v>0.9</v>
      </c>
      <c r="C1" s="24">
        <v>0.9</v>
      </c>
      <c r="D1" s="24">
        <v>0.9</v>
      </c>
      <c r="E1" s="24">
        <v>0.9</v>
      </c>
      <c r="F1" s="24">
        <v>0.9</v>
      </c>
    </row>
    <row r="2" spans="1:6" x14ac:dyDescent="0.25">
      <c r="A2" s="23" t="s">
        <v>1</v>
      </c>
      <c r="B2" s="24">
        <v>0.85</v>
      </c>
      <c r="C2" s="24">
        <v>0.85</v>
      </c>
      <c r="D2" s="24">
        <v>0.85</v>
      </c>
      <c r="E2" s="24">
        <v>0.85</v>
      </c>
      <c r="F2" s="24">
        <v>0.85</v>
      </c>
    </row>
    <row r="3" spans="1:6" x14ac:dyDescent="0.25">
      <c r="D3" s="1"/>
      <c r="E3" s="1"/>
      <c r="F3" s="1"/>
    </row>
    <row r="4" spans="1:6" x14ac:dyDescent="0.25">
      <c r="A4" t="s">
        <v>2</v>
      </c>
      <c r="B4" s="1">
        <f>(B1)/(1-B2)</f>
        <v>5.9999999999999991</v>
      </c>
      <c r="C4" s="1">
        <f>(C1)/(1-C2)</f>
        <v>5.9999999999999991</v>
      </c>
      <c r="D4" s="1">
        <f>(D1)/(1-D2)</f>
        <v>5.9999999999999991</v>
      </c>
      <c r="E4" s="1">
        <f>(E1)/(1-E2)</f>
        <v>5.9999999999999991</v>
      </c>
      <c r="F4" s="1">
        <f>(F1)/(1-F2)</f>
        <v>5.9999999999999991</v>
      </c>
    </row>
    <row r="5" spans="1:6" x14ac:dyDescent="0.25">
      <c r="A5" t="s">
        <v>3</v>
      </c>
      <c r="B5" s="1">
        <f>(1-B1)/(B2)</f>
        <v>0.11764705882352938</v>
      </c>
      <c r="C5" s="1">
        <f>(1-C1)/(C2)</f>
        <v>0.11764705882352938</v>
      </c>
      <c r="D5" s="1">
        <f>(1-D1)/(D2)</f>
        <v>0.11764705882352938</v>
      </c>
      <c r="E5" s="1">
        <f>(1-E1)/(E2)</f>
        <v>0.11764705882352938</v>
      </c>
      <c r="F5" s="1">
        <f>(1-F1)/(F2)</f>
        <v>0.11764705882352938</v>
      </c>
    </row>
    <row r="6" spans="1:6" x14ac:dyDescent="0.25">
      <c r="D6" s="1"/>
      <c r="E6" s="1"/>
      <c r="F6" s="1"/>
    </row>
    <row r="7" spans="1:6" x14ac:dyDescent="0.25">
      <c r="A7" s="23" t="s">
        <v>12</v>
      </c>
      <c r="B7" s="24">
        <v>0.3</v>
      </c>
      <c r="C7" s="24">
        <v>0.2</v>
      </c>
      <c r="D7" s="24">
        <v>0.15</v>
      </c>
      <c r="E7" s="24">
        <v>0.1</v>
      </c>
      <c r="F7" s="24">
        <v>0.1</v>
      </c>
    </row>
    <row r="8" spans="1:6" x14ac:dyDescent="0.25">
      <c r="D8" s="1"/>
      <c r="E8" s="1"/>
      <c r="F8" s="1"/>
    </row>
    <row r="9" spans="1:6" x14ac:dyDescent="0.25">
      <c r="A9" t="s">
        <v>10</v>
      </c>
      <c r="B9" s="1">
        <f>(B7)/(1-B7)</f>
        <v>0.4285714285714286</v>
      </c>
      <c r="C9" s="1">
        <f>(C7)/(1-C7)</f>
        <v>0.25</v>
      </c>
      <c r="D9" s="1">
        <f>(D7)/(1-D7)</f>
        <v>0.17647058823529413</v>
      </c>
      <c r="E9" s="1">
        <f>(E7)/(1-E7)</f>
        <v>0.11111111111111112</v>
      </c>
      <c r="F9" s="1">
        <f>(F7)/(1-F7)</f>
        <v>0.11111111111111112</v>
      </c>
    </row>
    <row r="10" spans="1:6" x14ac:dyDescent="0.25">
      <c r="A10" t="s">
        <v>5</v>
      </c>
      <c r="B10" s="1">
        <f>(B9)*(B4)</f>
        <v>2.5714285714285712</v>
      </c>
      <c r="C10" s="1">
        <f>(C9)*(C4)</f>
        <v>1.4999999999999998</v>
      </c>
      <c r="D10" s="1">
        <f>(D9)*(D4)</f>
        <v>1.0588235294117647</v>
      </c>
      <c r="E10" s="1">
        <f>(E9)*(E4)</f>
        <v>0.66666666666666663</v>
      </c>
      <c r="F10" s="1">
        <f>(F9)*(F4)</f>
        <v>0.66666666666666663</v>
      </c>
    </row>
    <row r="11" spans="1:6" x14ac:dyDescent="0.25">
      <c r="D11" s="1"/>
      <c r="E11" s="1"/>
      <c r="F11" s="1"/>
    </row>
    <row r="12" spans="1:6" x14ac:dyDescent="0.25">
      <c r="A12" s="23" t="s">
        <v>11</v>
      </c>
      <c r="B12" s="24">
        <f>(B10)/(B10+1)</f>
        <v>0.72</v>
      </c>
      <c r="C12" s="24">
        <f>(C10)/(C10+1)</f>
        <v>0.59999999999999987</v>
      </c>
      <c r="D12" s="24">
        <f>(D10)/(D10+1)</f>
        <v>0.51428571428571435</v>
      </c>
      <c r="E12" s="24">
        <f>(E10)/(E10+1)</f>
        <v>0.4</v>
      </c>
      <c r="F12" s="24">
        <f>(F10)/(F10+1)</f>
        <v>0.4</v>
      </c>
    </row>
    <row r="13" spans="1:6" x14ac:dyDescent="0.25">
      <c r="D13" s="1"/>
      <c r="E13" s="1"/>
      <c r="F13" s="1"/>
    </row>
    <row r="14" spans="1:6" x14ac:dyDescent="0.25">
      <c r="D14" s="1"/>
      <c r="E14" s="1"/>
      <c r="F14" s="1"/>
    </row>
    <row r="15" spans="1:6" x14ac:dyDescent="0.25">
      <c r="D15" s="1"/>
      <c r="E15" s="1"/>
      <c r="F15" s="1"/>
    </row>
  </sheetData>
  <phoneticPr fontId="0" type="noConversion"/>
  <printOptions horizontalCentered="1" verticalCentered="1"/>
  <pageMargins left="0.75" right="0.5" top="0.5" bottom="0.5" header="0.5" footer="0.5"/>
  <pageSetup scale="115" orientation="portrait" horizontalDpi="4294967293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8"/>
  <sheetViews>
    <sheetView workbookViewId="0">
      <selection activeCell="E36" sqref="E36"/>
    </sheetView>
  </sheetViews>
  <sheetFormatPr defaultRowHeight="12.5" x14ac:dyDescent="0.25"/>
  <sheetData>
    <row r="3" spans="1:6" x14ac:dyDescent="0.25">
      <c r="A3" t="s">
        <v>6</v>
      </c>
      <c r="B3">
        <v>0.9</v>
      </c>
      <c r="C3">
        <v>0.9</v>
      </c>
      <c r="D3">
        <v>0.9</v>
      </c>
      <c r="E3">
        <v>0.9</v>
      </c>
      <c r="F3">
        <v>0.9</v>
      </c>
    </row>
    <row r="4" spans="1:6" x14ac:dyDescent="0.25">
      <c r="A4" t="s">
        <v>7</v>
      </c>
      <c r="B4">
        <v>0.85</v>
      </c>
      <c r="C4">
        <v>0.85</v>
      </c>
      <c r="D4">
        <v>0.85</v>
      </c>
      <c r="E4">
        <v>0.85</v>
      </c>
      <c r="F4">
        <v>0.85</v>
      </c>
    </row>
    <row r="5" spans="1:6" x14ac:dyDescent="0.25">
      <c r="A5" t="s">
        <v>9</v>
      </c>
      <c r="B5">
        <v>0.3</v>
      </c>
      <c r="C5">
        <v>0.2</v>
      </c>
      <c r="D5">
        <v>0.15</v>
      </c>
      <c r="E5">
        <v>0.1</v>
      </c>
      <c r="F5">
        <v>0.1</v>
      </c>
    </row>
    <row r="6" spans="1:6" x14ac:dyDescent="0.25">
      <c r="A6" t="s">
        <v>8</v>
      </c>
      <c r="B6">
        <v>0.72</v>
      </c>
      <c r="C6">
        <v>0.6</v>
      </c>
      <c r="D6">
        <v>0.51</v>
      </c>
      <c r="E6">
        <v>0.4</v>
      </c>
      <c r="F6">
        <v>0.4</v>
      </c>
    </row>
    <row r="9" spans="1:6" x14ac:dyDescent="0.25">
      <c r="A9" t="s">
        <v>6</v>
      </c>
      <c r="B9">
        <v>0.99</v>
      </c>
      <c r="C9">
        <v>0.9</v>
      </c>
      <c r="D9">
        <v>0.8</v>
      </c>
      <c r="E9">
        <v>0.75</v>
      </c>
      <c r="F9">
        <v>0.7</v>
      </c>
    </row>
    <row r="10" spans="1:6" x14ac:dyDescent="0.25">
      <c r="A10" t="s">
        <v>7</v>
      </c>
      <c r="B10">
        <v>0.85</v>
      </c>
      <c r="C10">
        <v>0.85</v>
      </c>
      <c r="D10">
        <v>0.85</v>
      </c>
      <c r="E10">
        <v>0.85</v>
      </c>
      <c r="F10">
        <v>0.85</v>
      </c>
    </row>
    <row r="11" spans="1:6" x14ac:dyDescent="0.25">
      <c r="A11" t="s">
        <v>9</v>
      </c>
      <c r="B11">
        <v>0.32</v>
      </c>
      <c r="C11">
        <v>0.32</v>
      </c>
      <c r="D11">
        <v>0.32</v>
      </c>
      <c r="E11">
        <v>0.32</v>
      </c>
      <c r="F11">
        <v>0.32</v>
      </c>
    </row>
    <row r="12" spans="1:6" x14ac:dyDescent="0.25">
      <c r="A12" t="s">
        <v>8</v>
      </c>
      <c r="B12">
        <v>0.76</v>
      </c>
      <c r="C12">
        <v>0.74</v>
      </c>
      <c r="D12">
        <v>0.72</v>
      </c>
      <c r="E12">
        <v>0.7</v>
      </c>
      <c r="F12">
        <v>0.69</v>
      </c>
    </row>
    <row r="15" spans="1:6" x14ac:dyDescent="0.25">
      <c r="A15" t="s">
        <v>6</v>
      </c>
      <c r="B15">
        <v>0.9</v>
      </c>
      <c r="C15">
        <v>0.9</v>
      </c>
      <c r="D15">
        <v>0.9</v>
      </c>
      <c r="E15">
        <v>0.9</v>
      </c>
      <c r="F15">
        <v>0.9</v>
      </c>
    </row>
    <row r="16" spans="1:6" x14ac:dyDescent="0.25">
      <c r="A16" t="s">
        <v>7</v>
      </c>
      <c r="B16">
        <v>0.95</v>
      </c>
      <c r="C16">
        <v>0.9</v>
      </c>
      <c r="D16">
        <v>0.85</v>
      </c>
      <c r="E16">
        <v>0.8</v>
      </c>
      <c r="F16">
        <v>0.75</v>
      </c>
    </row>
    <row r="17" spans="1:6" x14ac:dyDescent="0.25">
      <c r="A17" t="s">
        <v>9</v>
      </c>
      <c r="B17">
        <v>0.1</v>
      </c>
      <c r="C17">
        <v>0.1</v>
      </c>
      <c r="D17">
        <v>0.1</v>
      </c>
      <c r="E17">
        <v>0.1</v>
      </c>
      <c r="F17">
        <v>0.1</v>
      </c>
    </row>
    <row r="18" spans="1:6" x14ac:dyDescent="0.25">
      <c r="A18" t="s">
        <v>8</v>
      </c>
      <c r="B18">
        <v>0.67</v>
      </c>
      <c r="C18">
        <v>0.5</v>
      </c>
      <c r="D18">
        <v>0.4</v>
      </c>
      <c r="E18">
        <v>0.33</v>
      </c>
      <c r="F18">
        <v>0.28999999999999998</v>
      </c>
    </row>
  </sheetData>
  <phoneticPr fontId="0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view="pageBreakPreview" topLeftCell="A4" zoomScaleNormal="100" workbookViewId="0">
      <selection activeCell="H7" sqref="H7"/>
    </sheetView>
  </sheetViews>
  <sheetFormatPr defaultRowHeight="12.5" x14ac:dyDescent="0.25"/>
  <cols>
    <col min="1" max="1" width="10.81640625" customWidth="1"/>
    <col min="2" max="2" width="8.453125" customWidth="1"/>
  </cols>
  <sheetData>
    <row r="1" spans="1:6" x14ac:dyDescent="0.25">
      <c r="A1" s="23" t="s">
        <v>0</v>
      </c>
      <c r="B1" s="24">
        <v>0.9</v>
      </c>
      <c r="C1" s="24">
        <v>0.9</v>
      </c>
      <c r="D1" s="24">
        <v>0.9</v>
      </c>
      <c r="E1" s="24">
        <v>0.9</v>
      </c>
      <c r="F1" s="24">
        <v>0.9</v>
      </c>
    </row>
    <row r="2" spans="1:6" x14ac:dyDescent="0.25">
      <c r="A2" s="23" t="s">
        <v>1</v>
      </c>
      <c r="B2" s="24">
        <v>0.95</v>
      </c>
      <c r="C2" s="24">
        <v>0.9</v>
      </c>
      <c r="D2" s="24">
        <v>0.85</v>
      </c>
      <c r="E2" s="24">
        <v>0.8</v>
      </c>
      <c r="F2" s="24">
        <v>0.75</v>
      </c>
    </row>
    <row r="3" spans="1:6" x14ac:dyDescent="0.25">
      <c r="B3" s="1"/>
      <c r="C3" s="1"/>
      <c r="D3" s="1"/>
      <c r="E3" s="1"/>
      <c r="F3" s="1"/>
    </row>
    <row r="4" spans="1:6" x14ac:dyDescent="0.25">
      <c r="A4" t="s">
        <v>2</v>
      </c>
      <c r="B4" s="1">
        <f>(B1)/(1-B2)</f>
        <v>17.999999999999986</v>
      </c>
      <c r="C4" s="1">
        <f>(C1)/(1-C2)</f>
        <v>9.0000000000000018</v>
      </c>
      <c r="D4" s="1">
        <f>(D1)/(1-D2)</f>
        <v>5.9999999999999991</v>
      </c>
      <c r="E4" s="1">
        <f>(E1)/(1-E2)</f>
        <v>4.5000000000000009</v>
      </c>
      <c r="F4" s="1">
        <f>(F1)/(1-F2)</f>
        <v>3.6</v>
      </c>
    </row>
    <row r="5" spans="1:6" x14ac:dyDescent="0.25">
      <c r="A5" t="s">
        <v>3</v>
      </c>
      <c r="B5" s="1">
        <f>(1-B1)/(B2)</f>
        <v>0.10526315789473682</v>
      </c>
      <c r="C5" s="1">
        <f>(1-C1)/(C2)</f>
        <v>0.11111111111111108</v>
      </c>
      <c r="D5" s="1">
        <f>(1-D1)/(D2)</f>
        <v>0.11764705882352938</v>
      </c>
      <c r="E5" s="1">
        <f>(1-E1)/(E2)</f>
        <v>0.12499999999999997</v>
      </c>
      <c r="F5" s="1">
        <f>(1-F1)/(F2)</f>
        <v>0.1333333333333333</v>
      </c>
    </row>
    <row r="6" spans="1:6" x14ac:dyDescent="0.25">
      <c r="B6" s="1"/>
      <c r="C6" s="1"/>
      <c r="D6" s="1"/>
      <c r="E6" s="1"/>
      <c r="F6" s="1"/>
    </row>
    <row r="7" spans="1:6" x14ac:dyDescent="0.25">
      <c r="A7" s="23" t="s">
        <v>12</v>
      </c>
      <c r="B7" s="24">
        <v>0.1</v>
      </c>
      <c r="C7" s="24">
        <v>0.1</v>
      </c>
      <c r="D7" s="24">
        <v>0.1</v>
      </c>
      <c r="E7" s="24">
        <v>0.1</v>
      </c>
      <c r="F7" s="24">
        <v>0.1</v>
      </c>
    </row>
    <row r="8" spans="1:6" x14ac:dyDescent="0.25">
      <c r="B8" s="1"/>
      <c r="C8" s="1"/>
      <c r="D8" s="1"/>
      <c r="E8" s="1"/>
      <c r="F8" s="1"/>
    </row>
    <row r="9" spans="1:6" x14ac:dyDescent="0.25">
      <c r="A9" t="s">
        <v>4</v>
      </c>
      <c r="B9" s="1">
        <f>(B7)/(1-B7)</f>
        <v>0.11111111111111112</v>
      </c>
      <c r="C9" s="1">
        <f>(C7)/(1-C7)</f>
        <v>0.11111111111111112</v>
      </c>
      <c r="D9" s="1">
        <f>(D7)/(1-D7)</f>
        <v>0.11111111111111112</v>
      </c>
      <c r="E9" s="1">
        <f>(E7)/(1-E7)</f>
        <v>0.11111111111111112</v>
      </c>
      <c r="F9" s="1">
        <f>(F7)/(1-F7)</f>
        <v>0.11111111111111112</v>
      </c>
    </row>
    <row r="10" spans="1:6" x14ac:dyDescent="0.25">
      <c r="A10" t="s">
        <v>5</v>
      </c>
      <c r="B10" s="1">
        <f>(B9)*(B4)</f>
        <v>1.9999999999999987</v>
      </c>
      <c r="C10" s="1">
        <f>(C9)*(C4)</f>
        <v>1.0000000000000002</v>
      </c>
      <c r="D10" s="1">
        <f>(D9)*(D4)</f>
        <v>0.66666666666666663</v>
      </c>
      <c r="E10" s="1">
        <f>(E9)*(E4)</f>
        <v>0.50000000000000011</v>
      </c>
      <c r="F10" s="1">
        <f>(F9)*(F4)</f>
        <v>0.4</v>
      </c>
    </row>
    <row r="11" spans="1:6" x14ac:dyDescent="0.25">
      <c r="B11" s="1"/>
      <c r="C11" s="1"/>
      <c r="D11" s="1"/>
      <c r="E11" s="1"/>
      <c r="F11" s="1"/>
    </row>
    <row r="12" spans="1:6" x14ac:dyDescent="0.25">
      <c r="A12" s="23" t="s">
        <v>11</v>
      </c>
      <c r="B12" s="24">
        <f>(B10)/(B10+1)</f>
        <v>0.66666666666666652</v>
      </c>
      <c r="C12" s="24">
        <f>(C10)/(C10+1)</f>
        <v>0.50000000000000011</v>
      </c>
      <c r="D12" s="24">
        <f>(D10)/(D10+1)</f>
        <v>0.4</v>
      </c>
      <c r="E12" s="24">
        <f>(E10)/(E10+1)</f>
        <v>0.33333333333333343</v>
      </c>
      <c r="F12" s="24">
        <f>(F10)/(F10+1)</f>
        <v>0.28571428571428575</v>
      </c>
    </row>
  </sheetData>
  <phoneticPr fontId="0" type="noConversion"/>
  <pageMargins left="0.75" right="0.75" top="1" bottom="1" header="0.5" footer="0.5"/>
  <pageSetup orientation="portrait" horizontalDpi="4294967293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view="pageBreakPreview" zoomScaleNormal="100" workbookViewId="0">
      <selection activeCell="J27" sqref="J27"/>
    </sheetView>
  </sheetViews>
  <sheetFormatPr defaultRowHeight="12.5" x14ac:dyDescent="0.25"/>
  <cols>
    <col min="1" max="1" width="14.453125" customWidth="1"/>
  </cols>
  <sheetData>
    <row r="1" spans="1:6" x14ac:dyDescent="0.25">
      <c r="A1" s="23" t="s">
        <v>0</v>
      </c>
      <c r="B1" s="24">
        <v>0.99</v>
      </c>
      <c r="C1" s="24">
        <v>0.9</v>
      </c>
      <c r="D1" s="24">
        <v>0.8</v>
      </c>
      <c r="E1" s="24">
        <v>0.75</v>
      </c>
      <c r="F1" s="24">
        <v>0.7</v>
      </c>
    </row>
    <row r="2" spans="1:6" x14ac:dyDescent="0.25">
      <c r="A2" s="23" t="s">
        <v>1</v>
      </c>
      <c r="B2" s="24">
        <v>0.85</v>
      </c>
      <c r="C2" s="24">
        <v>0.85</v>
      </c>
      <c r="D2" s="24">
        <v>0.85</v>
      </c>
      <c r="E2" s="24">
        <v>0.85</v>
      </c>
      <c r="F2" s="24">
        <v>0.85</v>
      </c>
    </row>
    <row r="3" spans="1:6" x14ac:dyDescent="0.25">
      <c r="B3" s="1"/>
      <c r="C3" s="1"/>
      <c r="D3" s="1"/>
      <c r="E3" s="1"/>
      <c r="F3" s="1"/>
    </row>
    <row r="4" spans="1:6" x14ac:dyDescent="0.25">
      <c r="A4" t="s">
        <v>2</v>
      </c>
      <c r="B4" s="1">
        <f>(B1)/(1-B2)</f>
        <v>6.5999999999999988</v>
      </c>
      <c r="C4" s="1">
        <f>(C1)/(1-C2)</f>
        <v>5.9999999999999991</v>
      </c>
      <c r="D4" s="1">
        <f>(D1)/(1-D2)</f>
        <v>5.333333333333333</v>
      </c>
      <c r="E4" s="1">
        <f>(E1)/(1-E2)</f>
        <v>4.9999999999999991</v>
      </c>
      <c r="F4" s="1">
        <f>(F1)/(1-F2)</f>
        <v>4.6666666666666661</v>
      </c>
    </row>
    <row r="5" spans="1:6" x14ac:dyDescent="0.25">
      <c r="A5" t="s">
        <v>3</v>
      </c>
      <c r="B5" s="1">
        <f>(1-B1)/(B2)</f>
        <v>1.1764705882352951E-2</v>
      </c>
      <c r="C5" s="1">
        <f>(1-C1)/(C2)</f>
        <v>0.11764705882352938</v>
      </c>
      <c r="D5" s="1">
        <f>(1-D1)/(D2)</f>
        <v>0.23529411764705876</v>
      </c>
      <c r="E5" s="1">
        <f>(1-E1)/(E2)</f>
        <v>0.29411764705882354</v>
      </c>
      <c r="F5" s="1">
        <f>(1-F1)/(F2)</f>
        <v>0.35294117647058831</v>
      </c>
    </row>
    <row r="6" spans="1:6" x14ac:dyDescent="0.25">
      <c r="B6" s="1"/>
      <c r="C6" s="1"/>
      <c r="D6" s="1"/>
      <c r="E6" s="1"/>
      <c r="F6" s="1"/>
    </row>
    <row r="7" spans="1:6" x14ac:dyDescent="0.25">
      <c r="A7" s="23" t="s">
        <v>12</v>
      </c>
      <c r="B7" s="24">
        <v>0.1</v>
      </c>
      <c r="C7" s="24">
        <v>0.1</v>
      </c>
      <c r="D7" s="24">
        <v>0.1</v>
      </c>
      <c r="E7" s="24">
        <v>0.1</v>
      </c>
      <c r="F7" s="24">
        <v>0.1</v>
      </c>
    </row>
    <row r="8" spans="1:6" x14ac:dyDescent="0.25">
      <c r="B8" s="1"/>
      <c r="C8" s="1"/>
      <c r="D8" s="1"/>
      <c r="E8" s="1"/>
      <c r="F8" s="1"/>
    </row>
    <row r="9" spans="1:6" x14ac:dyDescent="0.25">
      <c r="A9" t="s">
        <v>4</v>
      </c>
      <c r="B9" s="1">
        <f>(B7)/(1-B7)</f>
        <v>0.11111111111111112</v>
      </c>
      <c r="C9" s="1">
        <f>(C7)/(1-C7)</f>
        <v>0.11111111111111112</v>
      </c>
      <c r="D9" s="1">
        <f>(D7)/(1-D7)</f>
        <v>0.11111111111111112</v>
      </c>
      <c r="E9" s="1">
        <f>(E7)/(1-E7)</f>
        <v>0.11111111111111112</v>
      </c>
      <c r="F9" s="1">
        <f>(F7)/(1-F7)</f>
        <v>0.11111111111111112</v>
      </c>
    </row>
    <row r="10" spans="1:6" x14ac:dyDescent="0.25">
      <c r="A10" t="s">
        <v>5</v>
      </c>
      <c r="B10" s="1">
        <f>(B9)*(B4)</f>
        <v>0.73333333333333328</v>
      </c>
      <c r="C10" s="1">
        <f>(C9)*(C4)</f>
        <v>0.66666666666666663</v>
      </c>
      <c r="D10" s="1">
        <f>(D9)*(D4)</f>
        <v>0.59259259259259256</v>
      </c>
      <c r="E10" s="1">
        <f>(E9)*(E4)</f>
        <v>0.55555555555555547</v>
      </c>
      <c r="F10" s="1">
        <f>(F9)*(F4)</f>
        <v>0.51851851851851849</v>
      </c>
    </row>
    <row r="11" spans="1:6" x14ac:dyDescent="0.25">
      <c r="B11" s="1"/>
      <c r="C11" s="1"/>
      <c r="D11" s="1"/>
      <c r="E11" s="1"/>
      <c r="F11" s="1"/>
    </row>
    <row r="12" spans="1:6" x14ac:dyDescent="0.25">
      <c r="A12" s="23" t="s">
        <v>11</v>
      </c>
      <c r="B12" s="24">
        <f>(B10)/(B10+1)</f>
        <v>0.42307692307692302</v>
      </c>
      <c r="C12" s="24">
        <f>(C10)/(C10+1)</f>
        <v>0.4</v>
      </c>
      <c r="D12" s="24">
        <f>(D10)/(D10+1)</f>
        <v>0.37209302325581395</v>
      </c>
      <c r="E12" s="24">
        <f>(E10)/(E10+1)</f>
        <v>0.35714285714285715</v>
      </c>
      <c r="F12" s="24">
        <f>(F10)/(F10+1)</f>
        <v>0.34146341463414631</v>
      </c>
    </row>
  </sheetData>
  <phoneticPr fontId="0" type="noConversion"/>
  <pageMargins left="0.75" right="0.75" top="1" bottom="1" header="0.5" footer="0.5"/>
  <pageSetup scale="110" orientation="portrait" horizontalDpi="4294967293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calculations (2)</vt:lpstr>
      <vt:lpstr>Prev</vt:lpstr>
      <vt:lpstr>All</vt:lpstr>
      <vt:lpstr>Spec</vt:lpstr>
      <vt:lpstr>Sens</vt:lpstr>
      <vt:lpstr>Prev!Print_Area</vt:lpstr>
      <vt:lpstr>Sens!Print_Area</vt:lpstr>
      <vt:lpstr>Spec!Print_Area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College Of VetMed UMC</dc:creator>
  <cp:lastModifiedBy>Carina Negreanu</cp:lastModifiedBy>
  <cp:lastPrinted>2002-02-25T19:18:51Z</cp:lastPrinted>
  <dcterms:created xsi:type="dcterms:W3CDTF">2002-02-22T16:44:01Z</dcterms:created>
  <dcterms:modified xsi:type="dcterms:W3CDTF">2020-01-27T11:58:51Z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1283197412</vt:i4>
  </property>
  <property fmtid="{D5CDD505-2E9C-101B-9397-08002B2CF9AE}" pid="3" name="_EmailSubject">
    <vt:lpwstr>Stuff for web page</vt:lpwstr>
  </property>
  <property fmtid="{D5CDD505-2E9C-101B-9397-08002B2CF9AE}" pid="4" name="_AuthorEmail">
    <vt:lpwstr>LarsonR@missouri.edu</vt:lpwstr>
  </property>
  <property fmtid="{D5CDD505-2E9C-101B-9397-08002B2CF9AE}" pid="5" name="_AuthorEmailDisplayName">
    <vt:lpwstr>Larson, Robert L.</vt:lpwstr>
  </property>
  <property fmtid="{D5CDD505-2E9C-101B-9397-08002B2CF9AE}" pid="6" name="_ReviewingToolsShownOnce">
    <vt:lpwstr/>
  </property>
</Properties>
</file>