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ACE9162-6B6D-41BB-84D7-5C8841F1A480}" xr6:coauthVersionLast="45" xr6:coauthVersionMax="45" xr10:uidLastSave="{00000000-0000-0000-0000-000000000000}"/>
  <bookViews>
    <workbookView xWindow="3420" yWindow="3420" windowWidth="28800" windowHeight="15460" activeTab="1"/>
  </bookViews>
  <sheets>
    <sheet name="CRP-Instructions" sheetId="1" r:id="rId1"/>
    <sheet name="CRP_Data" sheetId="2" r:id="rId2"/>
    <sheet name="Attch1-Materials" sheetId="3" r:id="rId3"/>
    <sheet name="Attch2-Conversion" sheetId="4" r:id="rId4"/>
    <sheet name="Attch2-Conv_Calc" sheetId="6" r:id="rId5"/>
  </sheets>
  <definedNames>
    <definedName name="Attch1">'Attch1-Materials'!$A$1</definedName>
    <definedName name="Attch2">'Attch2-Conversion'!$A$1</definedName>
    <definedName name="ConvCalc">'Attch2-Conv_Calc'!$A$1</definedName>
    <definedName name="CRPSchool">CRP_Data!$G$1</definedName>
    <definedName name="HTML_CodePage" hidden="1">1252</definedName>
    <definedName name="HTML_Control" localSheetId="4" hidden="1">{"'Sheet1'!$A$1:$H$67"}</definedName>
    <definedName name="HTML_Control" hidden="1">{"'Sheet1'!$A$1:$H$67"}</definedName>
    <definedName name="HTML_Description" hidden="1">"Approved by College and University Recycling Council of the National Recycling Committee at the NRC Congress in Orlando, Florida, September 23, 1997."</definedName>
    <definedName name="HTML_Email" hidden="1">""</definedName>
    <definedName name="HTML_Header" hidden="1">"Sheet1"</definedName>
    <definedName name="HTML_LastUpdate" hidden="1">"4/14/98"</definedName>
    <definedName name="HTML_LineAfter" hidden="1">FALSE</definedName>
    <definedName name="HTML_LineBefore" hidden="1">FALSE</definedName>
    <definedName name="HTML_Name" hidden="1">"Harvard University"</definedName>
    <definedName name="HTML_OBDlg2" hidden="1">TRUE</definedName>
    <definedName name="HTML_OBDlg4" hidden="1">TRUE</definedName>
    <definedName name="HTML_OS" hidden="1">0</definedName>
    <definedName name="HTML_PathFile" hidden="1">"C:\WINDOWS\DESKTOP\CURC Standards\Campus Recycling Profile\MyHTML.htm"</definedName>
    <definedName name="HTML_Title" hidden="1">"CRP Oct 31 draft"</definedName>
    <definedName name="_xlnm.Print_Area" localSheetId="1">CRP_Data!$A$1:$J$73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 i="2" l="1"/>
  <c r="P34" i="2"/>
  <c r="D48" i="6"/>
  <c r="D47" i="6"/>
  <c r="D46" i="6"/>
  <c r="D45" i="6"/>
  <c r="D39" i="6"/>
  <c r="D40" i="6"/>
  <c r="D41" i="6"/>
  <c r="D42" i="6"/>
  <c r="D38" i="6"/>
  <c r="D35" i="6"/>
  <c r="D34" i="6"/>
  <c r="D33" i="6"/>
  <c r="D32" i="6"/>
  <c r="D31" i="6"/>
  <c r="D28" i="6"/>
  <c r="D27" i="6"/>
  <c r="D26" i="6"/>
  <c r="D25" i="6"/>
  <c r="D24" i="6"/>
  <c r="D21" i="6"/>
  <c r="D20" i="6"/>
  <c r="D19" i="6"/>
  <c r="D13" i="6"/>
  <c r="D14" i="6"/>
  <c r="D15" i="6"/>
  <c r="D16" i="6"/>
  <c r="D12" i="6"/>
  <c r="P37" i="2"/>
  <c r="P36" i="2"/>
  <c r="P9" i="2"/>
  <c r="P15" i="2"/>
  <c r="P20" i="2"/>
  <c r="P22" i="2"/>
  <c r="P35" i="2"/>
  <c r="P27" i="2"/>
  <c r="Q15" i="2" l="1"/>
  <c r="P29" i="2"/>
  <c r="Q25" i="2" l="1"/>
  <c r="Q19" i="2"/>
  <c r="Q18" i="2"/>
  <c r="Q13" i="2"/>
  <c r="Q26" i="2"/>
  <c r="Q29" i="2"/>
  <c r="Q8" i="2"/>
  <c r="Q9" i="2"/>
  <c r="Q14" i="2"/>
  <c r="Q12" i="2"/>
  <c r="Q7" i="2"/>
  <c r="Q6" i="2"/>
  <c r="Q20" i="2"/>
  <c r="Q27" i="2"/>
  <c r="Q22" i="2"/>
</calcChain>
</file>

<file path=xl/comments1.xml><?xml version="1.0" encoding="utf-8"?>
<comments xmlns="http://schemas.openxmlformats.org/spreadsheetml/2006/main">
  <authors>
    <author>Kurt Teichert</author>
  </authors>
  <commentList>
    <comment ref="B24" authorId="0" shapeId="0">
      <text>
        <r>
          <rPr>
            <b/>
            <sz val="8"/>
            <color indexed="81"/>
            <rFont val="Tahoma"/>
          </rPr>
          <t>Kurt Teichert:</t>
        </r>
        <r>
          <rPr>
            <sz val="8"/>
            <color indexed="81"/>
            <rFont val="Tahoma"/>
          </rPr>
          <t xml:space="preserve">
rev. 4 Changed to State recycling, to clarify between campus and state mandates.</t>
        </r>
      </text>
    </comment>
    <comment ref="P35" authorId="0" shapeId="0">
      <text>
        <r>
          <rPr>
            <b/>
            <sz val="8"/>
            <color indexed="81"/>
            <rFont val="Tahoma"/>
          </rPr>
          <t>Kurt Teichert:</t>
        </r>
        <r>
          <rPr>
            <sz val="8"/>
            <color indexed="81"/>
            <rFont val="Tahoma"/>
          </rPr>
          <t xml:space="preserve">
rev.4 changed formulae to reflect pounds per person, was calc'ing tons
</t>
        </r>
      </text>
    </comment>
  </commentList>
</comments>
</file>

<file path=xl/sharedStrings.xml><?xml version="1.0" encoding="utf-8"?>
<sst xmlns="http://schemas.openxmlformats.org/spreadsheetml/2006/main" count="333" uniqueCount="239">
  <si>
    <t>CRP_Instructions</t>
  </si>
  <si>
    <t>This is the sheet you are currently reading</t>
  </si>
  <si>
    <t>CRP_Data</t>
  </si>
  <si>
    <t>Use this sheet to input your data</t>
  </si>
  <si>
    <t>Attch1-Materials</t>
  </si>
  <si>
    <t>This sheet provides a description of the materials to be included</t>
  </si>
  <si>
    <t>Attch2-Conversion</t>
  </si>
  <si>
    <t>Provides conversion factor (lbs to yds, yds to tons)</t>
  </si>
  <si>
    <t>Conv_Calc</t>
  </si>
  <si>
    <t>Can be used for calculating conversions according to assumptions in Attch2.</t>
  </si>
  <si>
    <t>CRP</t>
  </si>
  <si>
    <t>Instructions</t>
  </si>
  <si>
    <t xml:space="preserve">generated on your campus in the most recent fiscal year.  Please see the standard definitions and </t>
  </si>
  <si>
    <t>categories on Attachment 1, "Recyclable and Compostable Materials List."  If your hauler(s) has</t>
  </si>
  <si>
    <t xml:space="preserve">no data or does not regularly report it to you in tons, we strongly recommend that you specify </t>
  </si>
  <si>
    <t xml:space="preserve">periodic weight reporting requirements in your next contract or service agreement.  Please </t>
  </si>
  <si>
    <t xml:space="preserve">refer to Attachment 2, "Volume to Weight  Conversion Guide" if your commodities are </t>
  </si>
  <si>
    <t xml:space="preserve">measured in cubic yards or metric units.  Please include data from your entire campus "footprint," </t>
  </si>
  <si>
    <t xml:space="preserve">and from all agents removing campus refuse.  Please exclude data on materials delivered to </t>
  </si>
  <si>
    <t xml:space="preserve">campus  from community drop-off programs you may host.  Data collected will enable you to </t>
  </si>
  <si>
    <t xml:space="preserve">make meaningful comparisons between your campus and others.  Waste reduction, reusing, etc. </t>
  </si>
  <si>
    <t xml:space="preserve">will be reflected in the "Per Capita Trash Discarded" line, which reports how much is still discarded </t>
  </si>
  <si>
    <t>after recycling, composting, charitable donations, waste reduction, reusing, repairing, and other</t>
  </si>
  <si>
    <t xml:space="preserve">waste prevention measures have been applied.  Campus FTE population data is available from </t>
  </si>
  <si>
    <t>most Registrar's Offices.  Please enter data in one column only for each commodity.</t>
  </si>
  <si>
    <t>NOTE</t>
  </si>
  <si>
    <t>I.  Campus Information</t>
  </si>
  <si>
    <t xml:space="preserve">1.  Institution: </t>
  </si>
  <si>
    <t>Public</t>
  </si>
  <si>
    <t>Private</t>
  </si>
  <si>
    <t xml:space="preserve">2. Host municipality:  </t>
  </si>
  <si>
    <t xml:space="preserve">Rural </t>
  </si>
  <si>
    <t xml:space="preserve">Suburban </t>
  </si>
  <si>
    <t xml:space="preserve">3. Students primarily  </t>
  </si>
  <si>
    <t xml:space="preserve">Residential </t>
  </si>
  <si>
    <t>Commuter</t>
  </si>
  <si>
    <t>4. Bottle Bill State?</t>
  </si>
  <si>
    <t xml:space="preserve"> Yes </t>
  </si>
  <si>
    <t>No bottle bill</t>
  </si>
  <si>
    <t xml:space="preserve">6. Academic programs:  </t>
  </si>
  <si>
    <t xml:space="preserve">2-yr </t>
  </si>
  <si>
    <t xml:space="preserve">4-yr </t>
  </si>
  <si>
    <t>Other</t>
  </si>
  <si>
    <t xml:space="preserve">4-yr plus graduate programs </t>
  </si>
  <si>
    <t xml:space="preserve">Refuse Profile.  For example, "I excluded tonnages and population data for our medical campus for which </t>
  </si>
  <si>
    <t>our hauler currently keeps no records."</t>
  </si>
  <si>
    <t>II.  Recyclables collected</t>
  </si>
  <si>
    <t>Tons</t>
  </si>
  <si>
    <t>(% of total</t>
  </si>
  <si>
    <t>discards)</t>
  </si>
  <si>
    <t>Paper</t>
  </si>
  <si>
    <t>Corrugated cardboard</t>
  </si>
  <si>
    <t>Containers</t>
  </si>
  <si>
    <t>Total basic recyclables collected</t>
  </si>
  <si>
    <t xml:space="preserve">III.  Compostables collected </t>
  </si>
  <si>
    <t>Landscape refuse</t>
  </si>
  <si>
    <t>Food scraps</t>
  </si>
  <si>
    <t>Animal bedding</t>
  </si>
  <si>
    <t>Total collected for composting</t>
  </si>
  <si>
    <t>IV.  Other recyclables collected</t>
  </si>
  <si>
    <t>Special wastes recovered</t>
  </si>
  <si>
    <t>Other recyclables recovered</t>
  </si>
  <si>
    <t>Total other recyclables collected</t>
  </si>
  <si>
    <t>Total recyclables collected</t>
  </si>
  <si>
    <t>V.  Trash collected</t>
  </si>
  <si>
    <t>Routine trash collected</t>
  </si>
  <si>
    <t>Bulk trash (large furniture, trees, etc.)</t>
  </si>
  <si>
    <t>Total trash collected</t>
  </si>
  <si>
    <t>23.  TOTAL DISCARDS COLLECTED</t>
  </si>
  <si>
    <t>VI.  Campus Population (most recent data)</t>
  </si>
  <si>
    <t>Full-time equivalent (FTE) Students</t>
  </si>
  <si>
    <t>FTE Faculty &amp; Staff</t>
  </si>
  <si>
    <t>Total campus population</t>
  </si>
  <si>
    <t>ATTACHMENT 1</t>
  </si>
  <si>
    <t>Recyclable and Compostable Materials List</t>
  </si>
  <si>
    <t xml:space="preserve">PAPER:  </t>
  </si>
  <si>
    <t>Includes office paper, white paper, white ledger, computer print-out, colored paper, mixed paper, junk mail, newspaper, boxboard, magazines, journals, catalogs, filestock, envelopes, kraft paper, hardcover books, softcover books, and telephone directories</t>
  </si>
  <si>
    <t>CORRUGATED
CARDBOARD:</t>
  </si>
  <si>
    <t>Describes layered cardboard commonly used in shipping cartons.</t>
  </si>
  <si>
    <t>CONTAINERS:</t>
  </si>
  <si>
    <t>Includes aluminum and steel (“tin”) cans; commingled cans, bottles, and jars made of glass, metal or plastic; plastic bottles and jars; plastic food receptacles (tubs, trays, boxes, buckets, etc.); wine bottles; and aluminum foil (pans, trays, &amp; sheets).</t>
  </si>
  <si>
    <t>COMPOSTABLES:</t>
  </si>
  <si>
    <t xml:space="preserve"> Includes landscape maintenance refuse including leaves, grounds trimmings, mulch, wood chips, animal bedding, and greenhouse wastes; as well as pre- and post-consumer food scraps.</t>
  </si>
  <si>
    <t>SPECIAL WASTES:</t>
  </si>
  <si>
    <t>Includes fluorescent lamps and ballasts, batteries (lead acid, other), and motor oil.</t>
  </si>
  <si>
    <t>OTHER:</t>
  </si>
  <si>
    <t>Includes clothing; carpeting; scrap metal including aluminum, light iron, heavy iron, copper, brass, stainless steel, lead; plastics including polypropylene, expanded polystyrene (“peanuts,” endcap packing blocks), polystyrene food serviceware, rigid poly</t>
  </si>
  <si>
    <t>ATTACHMENT 2:</t>
  </si>
  <si>
    <t>Volume to Weight Conversion Guide</t>
  </si>
  <si>
    <t>CURC Campus Refuse Profile, 1 October, 1997</t>
  </si>
  <si>
    <t xml:space="preserve">Unless otherwise noted, all figures are from averaged ranges </t>
  </si>
  <si>
    <t xml:space="preserve">Measuring Recycling: A Guide for State and Local Governments,  </t>
  </si>
  <si>
    <t>listed in  U.S. Environmental Protection Agency; Washington: 1997.</t>
  </si>
  <si>
    <t>1.  “Recycling Data Report,” California Integrated Waste Management Board; Sacramento: 1996.</t>
  </si>
  <si>
    <t>2.  Based on CURC Standards Committee, peer reviewed estimates.</t>
  </si>
  <si>
    <t>(All grades loose and unbaled):</t>
  </si>
  <si>
    <t>Computer print-out:</t>
  </si>
  <si>
    <t>655 pounds/cubic yard</t>
  </si>
  <si>
    <t>3.05 cubic yards/ton</t>
  </si>
  <si>
    <t xml:space="preserve">Newspaper: </t>
  </si>
  <si>
    <t xml:space="preserve">433 pounds/cubic yard </t>
  </si>
  <si>
    <t>4.62 cubic yards/ton</t>
  </si>
  <si>
    <t xml:space="preserve">Office paper: </t>
  </si>
  <si>
    <t xml:space="preserve">568 pounds/cubic yard </t>
  </si>
  <si>
    <t>3.52 cubic yards/ton</t>
  </si>
  <si>
    <t>Mixed paper:1</t>
  </si>
  <si>
    <t>484 pounds/cubic yard</t>
  </si>
  <si>
    <t>4.13 cubic yards/ton</t>
  </si>
  <si>
    <t>Corrugated Cardboard</t>
  </si>
  <si>
    <t>Flattened boxes</t>
  </si>
  <si>
    <t>100 pounds/cubic yard</t>
  </si>
  <si>
    <t>20 cubic yards/ton</t>
  </si>
  <si>
    <t>Compacted boxes</t>
  </si>
  <si>
    <t>400 pounds/cubic yard</t>
  </si>
  <si>
    <t xml:space="preserve">5 cubic yards/ton </t>
  </si>
  <si>
    <t>Baled boxes</t>
  </si>
  <si>
    <t>900 pounds/cubic yard</t>
  </si>
  <si>
    <t>2.22 cubic yards/ton</t>
  </si>
  <si>
    <t>Containers (cans, bottles, jars)</t>
  </si>
  <si>
    <t xml:space="preserve">Commingled glass, metal, and plastic2 </t>
  </si>
  <si>
    <t>200 pounds/cubic yard</t>
  </si>
  <si>
    <t xml:space="preserve">10 cubic yards/ton </t>
  </si>
  <si>
    <t xml:space="preserve">Whole glass bottles (0-10% broken): </t>
  </si>
  <si>
    <t>600 pounds/cubic yard</t>
  </si>
  <si>
    <t>3.33 cubic yards/ton</t>
  </si>
  <si>
    <t xml:space="preserve">Aluminum cans (whole, unflattened): </t>
  </si>
  <si>
    <t>63 pounds/cubic yard</t>
  </si>
  <si>
    <t>31.75 cubic yards/ton</t>
  </si>
  <si>
    <t xml:space="preserve">Steel cans (whole, unflattened): </t>
  </si>
  <si>
    <t>150 pounds/cubic yard</t>
  </si>
  <si>
    <t>13.33 cubic yards/ton</t>
  </si>
  <si>
    <t>Plastic bottles (whole, unflattened):</t>
  </si>
  <si>
    <t>36 pounds/cubic yard</t>
  </si>
  <si>
    <t>55.55 cubic yards/ton</t>
  </si>
  <si>
    <t>Compostables</t>
  </si>
  <si>
    <t>Leaves (loose)</t>
  </si>
  <si>
    <t>225 pounds/cubic yard</t>
  </si>
  <si>
    <t>8 cubic yards/ton</t>
  </si>
  <si>
    <t>Leaves (vacuumed)</t>
  </si>
  <si>
    <t>350 pounds/cubic yard</t>
  </si>
  <si>
    <t>5.71 cubic yards/ton</t>
  </si>
  <si>
    <t>Grass clippings</t>
  </si>
  <si>
    <t>5 cubic yards/ton</t>
  </si>
  <si>
    <t>1,500 pounds/cubic yard</t>
  </si>
  <si>
    <t>1.33 cubic yards/ton</t>
  </si>
  <si>
    <t>Other Recyclables</t>
  </si>
  <si>
    <t xml:space="preserve">Scrap metal (loose  “light iron” sheet metal) 2 </t>
  </si>
  <si>
    <t>70 pounds/cubic yard</t>
  </si>
  <si>
    <t>29 yards/ton</t>
  </si>
  <si>
    <t>Single wooden pallet (.25 cubic yards)1</t>
  </si>
  <si>
    <t>50 pounds</t>
  </si>
  <si>
    <t>40 pallets/ton</t>
  </si>
  <si>
    <t>Wood pallets</t>
  </si>
  <si>
    <t>10 cubic yards/ton</t>
  </si>
  <si>
    <t xml:space="preserve">Lead/acid batteries </t>
  </si>
  <si>
    <t>39.4 pounds/car battery</t>
  </si>
  <si>
    <t>51 batteries/ton</t>
  </si>
  <si>
    <t>Single foam rubber mattress</t>
  </si>
  <si>
    <t>55 pounds</t>
  </si>
  <si>
    <t>36 mattresses/ton</t>
  </si>
  <si>
    <t>Trash</t>
  </si>
  <si>
    <t>Campus waste (loose) 2</t>
  </si>
  <si>
    <t>90 pounds/cubic yard</t>
  </si>
  <si>
    <t>22.22 cubic yards/ton</t>
  </si>
  <si>
    <t>Residential waste (loose)</t>
  </si>
  <si>
    <t>8.88 cubic yards/ton</t>
  </si>
  <si>
    <t>Commercial/industrial waste (loose)</t>
  </si>
  <si>
    <t>450 pounds/cubic yard</t>
  </si>
  <si>
    <t>4.44 cubic yards/ton</t>
  </si>
  <si>
    <t xml:space="preserve">Municipal solid waste (compacted in truck)  </t>
  </si>
  <si>
    <t>750 pounds/cubic yard</t>
  </si>
  <si>
    <t>2.66 cubic yards/ton</t>
  </si>
  <si>
    <t>Conversions English/Metric</t>
  </si>
  <si>
    <t>English</t>
  </si>
  <si>
    <t>Metric</t>
  </si>
  <si>
    <t xml:space="preserve">Weights:  </t>
  </si>
  <si>
    <t>1 pound</t>
  </si>
  <si>
    <t>.37 kilograms</t>
  </si>
  <si>
    <t>1 ton</t>
  </si>
  <si>
    <t>.91 metric tons; 740 kilograms</t>
  </si>
  <si>
    <t>Volumes:</t>
  </si>
  <si>
    <t>1 cubic yard</t>
  </si>
  <si>
    <t>.76 cubic meters</t>
  </si>
  <si>
    <t>Pounds/
Cu. Yard</t>
  </si>
  <si>
    <t>School:</t>
  </si>
  <si>
    <t>(pounds total discards divided by total campus population)</t>
  </si>
  <si>
    <t>Enter Cubic Yards Here</t>
  </si>
  <si>
    <t>Tons Calculated</t>
  </si>
  <si>
    <t>Assumptions:
Cubic Yards/Ton</t>
  </si>
  <si>
    <t>Enter #
of Units</t>
  </si>
  <si>
    <t>Pounds/
Unit</t>
  </si>
  <si>
    <t>Calculate Tons Here</t>
  </si>
  <si>
    <t>Wood pallets (cubic yards)</t>
  </si>
  <si>
    <t>Back to CRP_Data</t>
  </si>
  <si>
    <t>Conversion information and tables are available:</t>
  </si>
  <si>
    <t>See:</t>
  </si>
  <si>
    <t>(place a 1 in the appropriate box)</t>
  </si>
  <si>
    <t>Per capita recycling</t>
  </si>
  <si>
    <t>Per capita trash</t>
  </si>
  <si>
    <t>Per capita Ttl discards</t>
  </si>
  <si>
    <t>lbs recycling per person (ttl campus population)</t>
  </si>
  <si>
    <t>lbs trash per person (ttl campus population)</t>
  </si>
  <si>
    <t>lbs discards per person (ttl campus population)</t>
  </si>
  <si>
    <t>(Note: Data must be entered as Tons, to convert volumes, see:</t>
  </si>
  <si>
    <t>Actual Wts.</t>
  </si>
  <si>
    <t xml:space="preserve">7. 1  Please note any variances from the reporting standards you may have made in preparing this Campus </t>
  </si>
  <si>
    <t>Est. Wts.</t>
  </si>
  <si>
    <t>Actual Volumes converted</t>
  </si>
  <si>
    <t>Estimated Volumes Converted</t>
  </si>
  <si>
    <t>and provide a brief description:</t>
  </si>
  <si>
    <t>7.2  Please indicate how most of these data are gathered,</t>
  </si>
  <si>
    <t>placing a 1 in the appropriate box(es),</t>
  </si>
  <si>
    <r>
      <t>Please enter the</t>
    </r>
    <r>
      <rPr>
        <b/>
        <sz val="11"/>
        <rFont val="Times"/>
        <family val="1"/>
      </rPr>
      <t xml:space="preserve"> tons </t>
    </r>
    <r>
      <rPr>
        <sz val="11"/>
        <rFont val="Times"/>
        <family val="1"/>
      </rPr>
      <t>of the listed commodities.  Use conversion tables to convert to tons.</t>
    </r>
  </si>
  <si>
    <t xml:space="preserve">It is required to enter all data as TONS. </t>
  </si>
  <si>
    <t xml:space="preserve">5. Mandatory State Recycling  </t>
  </si>
  <si>
    <t>Yes</t>
  </si>
  <si>
    <t>No</t>
  </si>
  <si>
    <t>This Campus Refuse Profile Workbook contains 5 worksheets</t>
  </si>
  <si>
    <t>To Submit</t>
  </si>
  <si>
    <t xml:space="preserve">To submit this, save </t>
  </si>
  <si>
    <t>as a file with the name CRP_schoolname.xls</t>
  </si>
  <si>
    <t>Where schoolname is the domain name of your school used in email addresses and web sites.</t>
  </si>
  <si>
    <t>For example: Brown University would be CRP_brown.xls and University of Virginia would be CRP_uva.xls</t>
  </si>
  <si>
    <t>curc@brown.edu</t>
  </si>
  <si>
    <t xml:space="preserve">Submit completed sheets to </t>
  </si>
  <si>
    <t>Organization</t>
  </si>
  <si>
    <t>Address</t>
  </si>
  <si>
    <t>Contact</t>
  </si>
  <si>
    <t>Title</t>
  </si>
  <si>
    <t>Phone</t>
  </si>
  <si>
    <t>Fax</t>
  </si>
  <si>
    <t>Email</t>
  </si>
  <si>
    <t>Web Site</t>
  </si>
  <si>
    <t>CURC Benchmarking Data</t>
  </si>
  <si>
    <t># Recycling
Employees</t>
  </si>
  <si>
    <t>yyyy/mm</t>
  </si>
  <si>
    <t>For Fiscal Year Ending:</t>
  </si>
  <si>
    <t>Rev. 9 20040129</t>
  </si>
  <si>
    <t>CURC Campus Refuse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</si>
</sst>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1" formatCode="_(* #,##0.00_);_(* \(#,##0.00\);_(* &quot;-&quot;??_);_(@_)"/>
    <numFmt numFmtId="172" formatCode="_(* #,##0.0_);_(* \(#,##0.0\);_(* &quot;-&quot;??_);_(@_)"/>
    <numFmt numFmtId="174" formatCode="_(* #,##0_);_(* \(#,##0\);_(* &quot;-&quot;??_);_(@_)"/>
    <numFmt numFmtId="177" formatCode="yyyy/mm"/>
  </numFmts>
  <fonts count="25" x14ac:knownFonts="1">
    <font>
      <sz val="10"/>
      <name val="Arial"/>
    </font>
    <font>
      <sz val="10"/>
      <name val="Arial"/>
    </font>
    <font>
      <b/>
      <sz val="12"/>
      <name val="Times"/>
      <family val="1"/>
    </font>
    <font>
      <sz val="10"/>
      <name val="Times"/>
      <family val="1"/>
    </font>
    <font>
      <sz val="8"/>
      <name val="Times"/>
      <family val="1"/>
    </font>
    <font>
      <sz val="11"/>
      <name val="Times"/>
      <family val="1"/>
    </font>
    <font>
      <b/>
      <sz val="11"/>
      <name val="Times"/>
      <family val="1"/>
    </font>
    <font>
      <b/>
      <sz val="10"/>
      <name val="Times"/>
      <family val="1"/>
    </font>
    <font>
      <b/>
      <sz val="10"/>
      <name val="Times"/>
    </font>
    <font>
      <u/>
      <sz val="10"/>
      <color indexed="12"/>
      <name val="Arial"/>
    </font>
    <font>
      <u/>
      <sz val="10"/>
      <color indexed="12"/>
      <name val="Times New Roman"/>
      <family val="1"/>
    </font>
    <font>
      <sz val="10"/>
      <name val="Times New Roman"/>
      <family val="1"/>
    </font>
    <font>
      <sz val="8"/>
      <color indexed="81"/>
      <name val="Tahoma"/>
    </font>
    <font>
      <b/>
      <sz val="8"/>
      <color indexed="81"/>
      <name val="Tahoma"/>
    </font>
    <font>
      <b/>
      <sz val="10"/>
      <name val="Verdana"/>
      <family val="2"/>
    </font>
    <font>
      <sz val="10"/>
      <name val="Verdana"/>
      <family val="2"/>
    </font>
    <font>
      <u/>
      <sz val="10"/>
      <color indexed="12"/>
      <name val="Verdana"/>
      <family val="2"/>
    </font>
    <font>
      <b/>
      <sz val="12"/>
      <name val="Verdana"/>
      <family val="2"/>
    </font>
    <font>
      <sz val="12"/>
      <name val="Verdana"/>
      <family val="2"/>
    </font>
    <font>
      <sz val="8"/>
      <name val="Verdana"/>
      <family val="2"/>
    </font>
    <font>
      <sz val="11"/>
      <name val="Verdana"/>
      <family val="2"/>
    </font>
    <font>
      <sz val="9"/>
      <name val="Verdana"/>
      <family val="2"/>
    </font>
    <font>
      <b/>
      <sz val="11"/>
      <name val="Verdana"/>
      <family val="2"/>
    </font>
    <font>
      <i/>
      <sz val="10"/>
      <name val="Verdana"/>
      <family val="2"/>
    </font>
    <font>
      <i/>
      <sz val="11"/>
      <name val="Verdana"/>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3"/>
        <bgColor indexed="64"/>
      </patternFill>
    </fill>
  </fills>
  <borders count="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171" fontId="1" fillId="0" borderId="0" applyFont="0" applyFill="0" applyBorder="0" applyAlignment="0" applyProtection="0"/>
    <xf numFmtId="0" fontId="9" fillId="0" borderId="0" applyNumberFormat="0" applyFill="0" applyBorder="0" applyAlignment="0" applyProtection="0">
      <alignment vertical="top"/>
      <protection locked="0"/>
    </xf>
    <xf numFmtId="9" fontId="1" fillId="0" borderId="0" applyFont="0" applyFill="0" applyBorder="0" applyAlignment="0" applyProtection="0"/>
  </cellStyleXfs>
  <cellXfs count="81">
    <xf numFmtId="0" fontId="0" fillId="0" borderId="0" xfId="0"/>
    <xf numFmtId="0" fontId="2" fillId="0" borderId="0" xfId="0" applyFont="1"/>
    <xf numFmtId="0" fontId="4" fillId="0" borderId="0" xfId="0" applyFont="1"/>
    <xf numFmtId="0" fontId="3" fillId="0" borderId="0" xfId="0" applyFont="1" applyAlignment="1">
      <alignment horizontal="left"/>
    </xf>
    <xf numFmtId="17" fontId="5" fillId="0" borderId="0" xfId="0" applyNumberFormat="1" applyFont="1"/>
    <xf numFmtId="0" fontId="5" fillId="0" borderId="0" xfId="0" applyFont="1"/>
    <xf numFmtId="0" fontId="6" fillId="0" borderId="0" xfId="0" applyFont="1"/>
    <xf numFmtId="0" fontId="3" fillId="0" borderId="0" xfId="0" applyFont="1"/>
    <xf numFmtId="0" fontId="7" fillId="0" borderId="0" xfId="0" applyFont="1"/>
    <xf numFmtId="0" fontId="7" fillId="0" borderId="0" xfId="0" applyFont="1" applyAlignment="1">
      <alignment horizontal="right" vertical="center"/>
    </xf>
    <xf numFmtId="0" fontId="3" fillId="0" borderId="0" xfId="0" applyFont="1" applyAlignment="1">
      <alignment wrapText="1"/>
    </xf>
    <xf numFmtId="0" fontId="7" fillId="0" borderId="0" xfId="0" applyFont="1" applyAlignment="1">
      <alignment horizontal="left"/>
    </xf>
    <xf numFmtId="17" fontId="7" fillId="0" borderId="0" xfId="0" applyNumberFormat="1" applyFont="1"/>
    <xf numFmtId="0" fontId="7" fillId="0" borderId="1" xfId="0" applyFont="1" applyBorder="1" applyAlignment="1">
      <alignment horizontal="right" vertical="center"/>
    </xf>
    <xf numFmtId="0" fontId="3" fillId="0" borderId="2" xfId="0" applyFont="1" applyBorder="1" applyAlignment="1">
      <alignment wrapText="1"/>
    </xf>
    <xf numFmtId="0" fontId="7" fillId="0" borderId="1" xfId="0" applyFont="1" applyBorder="1" applyAlignment="1">
      <alignment horizontal="right" vertical="center" wrapText="1"/>
    </xf>
    <xf numFmtId="0" fontId="3" fillId="0" borderId="0" xfId="0" applyFont="1" applyAlignment="1"/>
    <xf numFmtId="3" fontId="3" fillId="0" borderId="0" xfId="0" applyNumberFormat="1" applyFont="1"/>
    <xf numFmtId="0" fontId="7" fillId="0" borderId="0" xfId="0" applyFont="1" applyAlignment="1">
      <alignment horizontal="center" wrapText="1"/>
    </xf>
    <xf numFmtId="171" fontId="3" fillId="0" borderId="0" xfId="1" applyFont="1"/>
    <xf numFmtId="0" fontId="3" fillId="0" borderId="0" xfId="0" applyFont="1" applyAlignment="1">
      <alignment horizontal="center"/>
    </xf>
    <xf numFmtId="0" fontId="3" fillId="0" borderId="0" xfId="0" applyFont="1" applyAlignment="1">
      <alignment horizontal="center" wrapText="1"/>
    </xf>
    <xf numFmtId="171" fontId="3" fillId="0" borderId="3" xfId="1" applyFont="1" applyBorder="1"/>
    <xf numFmtId="172" fontId="8" fillId="0" borderId="0" xfId="1" applyNumberFormat="1" applyFont="1"/>
    <xf numFmtId="174" fontId="8" fillId="0" borderId="0" xfId="1" applyNumberFormat="1" applyFont="1"/>
    <xf numFmtId="0" fontId="8" fillId="0" borderId="0" xfId="0" applyFont="1" applyAlignment="1">
      <alignment horizontal="center" wrapText="1"/>
    </xf>
    <xf numFmtId="174" fontId="3" fillId="0" borderId="0" xfId="1" applyNumberFormat="1" applyFont="1"/>
    <xf numFmtId="174" fontId="7" fillId="0" borderId="0" xfId="1" applyNumberFormat="1" applyFont="1"/>
    <xf numFmtId="0" fontId="10" fillId="0" borderId="0" xfId="2" applyFont="1" applyAlignment="1" applyProtection="1"/>
    <xf numFmtId="0" fontId="11" fillId="0" borderId="0" xfId="0" applyFont="1"/>
    <xf numFmtId="0" fontId="9" fillId="0" borderId="0" xfId="2" applyAlignment="1" applyProtection="1"/>
    <xf numFmtId="0" fontId="14" fillId="2" borderId="4" xfId="0" applyFont="1" applyFill="1" applyBorder="1" applyAlignment="1">
      <alignment horizontal="center" vertical="center" wrapText="1"/>
    </xf>
    <xf numFmtId="0" fontId="17" fillId="0" borderId="0" xfId="0" applyFont="1" applyAlignment="1">
      <alignment horizontal="left"/>
    </xf>
    <xf numFmtId="0" fontId="15" fillId="0" borderId="0" xfId="0" applyFont="1" applyAlignment="1">
      <alignment horizontal="centerContinuous"/>
    </xf>
    <xf numFmtId="0" fontId="18" fillId="0" borderId="0" xfId="0" applyFont="1" applyAlignment="1">
      <alignment horizontal="centerContinuous"/>
    </xf>
    <xf numFmtId="0" fontId="15" fillId="0" borderId="0" xfId="0" applyFont="1"/>
    <xf numFmtId="17" fontId="19" fillId="0" borderId="0" xfId="0" applyNumberFormat="1" applyFont="1" applyAlignment="1">
      <alignment horizontal="left"/>
    </xf>
    <xf numFmtId="0" fontId="16" fillId="0" borderId="0" xfId="2" applyFont="1" applyAlignment="1" applyProtection="1">
      <alignment horizontal="left"/>
    </xf>
    <xf numFmtId="0" fontId="14" fillId="0" borderId="0" xfId="0" applyFont="1" applyAlignment="1">
      <alignment horizontal="right"/>
    </xf>
    <xf numFmtId="0" fontId="17" fillId="0" borderId="0" xfId="0" applyFont="1"/>
    <xf numFmtId="0" fontId="17" fillId="0" borderId="0" xfId="0" applyFont="1" applyAlignment="1">
      <alignment horizontal="right"/>
    </xf>
    <xf numFmtId="0" fontId="20" fillId="0" borderId="0" xfId="0" applyFont="1"/>
    <xf numFmtId="0" fontId="19" fillId="0" borderId="0" xfId="0" applyFont="1"/>
    <xf numFmtId="0" fontId="19" fillId="0" borderId="0" xfId="0" applyFont="1" applyAlignment="1">
      <alignment horizontal="left"/>
    </xf>
    <xf numFmtId="0" fontId="19" fillId="0" borderId="5" xfId="0" applyFont="1" applyBorder="1" applyAlignment="1">
      <alignment horizontal="left"/>
    </xf>
    <xf numFmtId="0" fontId="16" fillId="0" borderId="0" xfId="2" applyFont="1" applyAlignment="1" applyProtection="1">
      <alignment horizontal="right"/>
    </xf>
    <xf numFmtId="0" fontId="19" fillId="0" borderId="0" xfId="0" applyFont="1" applyAlignment="1">
      <alignment horizontal="center"/>
    </xf>
    <xf numFmtId="0" fontId="15" fillId="0" borderId="0" xfId="0" applyFont="1" applyAlignment="1">
      <alignment horizontal="left"/>
    </xf>
    <xf numFmtId="0" fontId="21" fillId="0" borderId="0" xfId="0" applyFont="1" applyAlignment="1">
      <alignment horizontal="left"/>
    </xf>
    <xf numFmtId="17" fontId="20" fillId="0" borderId="0" xfId="0" applyNumberFormat="1" applyFont="1"/>
    <xf numFmtId="17" fontId="20" fillId="3" borderId="6" xfId="0" applyNumberFormat="1" applyFont="1" applyFill="1" applyBorder="1"/>
    <xf numFmtId="0" fontId="20" fillId="3" borderId="6" xfId="0" applyFont="1" applyFill="1" applyBorder="1"/>
    <xf numFmtId="0" fontId="15" fillId="3" borderId="6" xfId="0" applyFont="1" applyFill="1" applyBorder="1" applyAlignment="1">
      <alignment horizontal="left"/>
    </xf>
    <xf numFmtId="0" fontId="15" fillId="0" borderId="0" xfId="0" applyFont="1" applyBorder="1" applyAlignment="1">
      <alignment horizontal="left"/>
    </xf>
    <xf numFmtId="17" fontId="20" fillId="0" borderId="0" xfId="0" applyNumberFormat="1" applyFont="1" applyBorder="1"/>
    <xf numFmtId="0" fontId="20" fillId="0" borderId="0" xfId="0" applyFont="1" applyBorder="1"/>
    <xf numFmtId="0" fontId="15" fillId="0" borderId="0" xfId="0" applyFont="1" applyAlignment="1">
      <alignment horizontal="right"/>
    </xf>
    <xf numFmtId="0" fontId="16" fillId="0" borderId="0" xfId="2" applyFont="1" applyAlignment="1" applyProtection="1"/>
    <xf numFmtId="0" fontId="22" fillId="0" borderId="0" xfId="0" applyFont="1"/>
    <xf numFmtId="0" fontId="23" fillId="0" borderId="0" xfId="0" applyFont="1" applyAlignment="1">
      <alignment horizontal="left"/>
    </xf>
    <xf numFmtId="0" fontId="24" fillId="0" borderId="0" xfId="0" applyFont="1"/>
    <xf numFmtId="172" fontId="20" fillId="0" borderId="3" xfId="1" applyNumberFormat="1" applyFont="1" applyBorder="1"/>
    <xf numFmtId="9" fontId="20" fillId="0" borderId="3" xfId="3" applyFont="1" applyBorder="1"/>
    <xf numFmtId="172" fontId="22" fillId="0" borderId="3" xfId="1" applyNumberFormat="1" applyFont="1" applyBorder="1"/>
    <xf numFmtId="9" fontId="22" fillId="0" borderId="3" xfId="3" applyFont="1" applyBorder="1"/>
    <xf numFmtId="0" fontId="14" fillId="0" borderId="0" xfId="0" applyFont="1"/>
    <xf numFmtId="0" fontId="22" fillId="0" borderId="0" xfId="0" applyFont="1" applyAlignment="1">
      <alignment horizontal="left"/>
    </xf>
    <xf numFmtId="0" fontId="20" fillId="0" borderId="3" xfId="0" applyFont="1" applyBorder="1"/>
    <xf numFmtId="0" fontId="15" fillId="4" borderId="0" xfId="0" applyFont="1" applyFill="1" applyAlignment="1">
      <alignment horizontal="left"/>
    </xf>
    <xf numFmtId="0" fontId="20" fillId="4" borderId="0" xfId="0" applyFont="1" applyFill="1"/>
    <xf numFmtId="0" fontId="15" fillId="4" borderId="0" xfId="0" applyFont="1" applyFill="1"/>
    <xf numFmtId="0" fontId="20" fillId="4" borderId="3" xfId="0" applyNumberFormat="1" applyFont="1" applyFill="1" applyBorder="1"/>
    <xf numFmtId="0" fontId="20" fillId="4" borderId="0" xfId="0" applyFont="1" applyFill="1" applyBorder="1"/>
    <xf numFmtId="0" fontId="22" fillId="4" borderId="0" xfId="0" applyFont="1" applyFill="1"/>
    <xf numFmtId="171" fontId="15" fillId="0" borderId="0" xfId="1" applyFont="1" applyBorder="1" applyAlignment="1">
      <alignment horizontal="center"/>
    </xf>
    <xf numFmtId="0" fontId="15" fillId="2" borderId="1" xfId="0" applyFont="1" applyFill="1" applyBorder="1" applyAlignment="1">
      <alignment horizontal="center" wrapText="1"/>
    </xf>
    <xf numFmtId="0" fontId="15" fillId="2" borderId="7" xfId="0" applyFont="1" applyFill="1" applyBorder="1" applyAlignment="1">
      <alignment horizontal="center" wrapText="1"/>
    </xf>
    <xf numFmtId="0" fontId="15" fillId="2" borderId="2" xfId="0" applyFont="1" applyFill="1" applyBorder="1" applyAlignment="1">
      <alignment horizontal="center" wrapText="1"/>
    </xf>
    <xf numFmtId="177" fontId="15" fillId="2" borderId="1" xfId="0" applyNumberFormat="1" applyFont="1" applyFill="1" applyBorder="1" applyAlignment="1">
      <alignment horizontal="center" wrapText="1"/>
    </xf>
    <xf numFmtId="177" fontId="15" fillId="2" borderId="7" xfId="0" applyNumberFormat="1" applyFont="1" applyFill="1" applyBorder="1" applyAlignment="1">
      <alignment horizontal="center" wrapText="1"/>
    </xf>
    <xf numFmtId="177" fontId="15" fillId="2" borderId="2" xfId="0" applyNumberFormat="1" applyFont="1" applyFill="1" applyBorder="1" applyAlignment="1">
      <alignment horizontal="center" wrapText="1"/>
    </xf>
  </cellXfs>
  <cellStyles count="4">
    <cellStyle name="Comma" xfId="1" builtinId="3"/>
    <cellStyle name="Hyperlink" xfId="2" builtinId="8"/>
    <cellStyle name="Normal" xfId="0" builtinId="0"/>
    <cellStyle name="Percent" xfId="3"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50800</xdr:colOff>
      <xdr:row>3</xdr:row>
      <xdr:rowOff>19050</xdr:rowOff>
    </xdr:from>
    <xdr:to>
      <xdr:col>1</xdr:col>
      <xdr:colOff>5099050</xdr:colOff>
      <xdr:row>12</xdr:row>
      <xdr:rowOff>107950</xdr:rowOff>
    </xdr:to>
    <xdr:sp macro="" textlink="">
      <xdr:nvSpPr>
        <xdr:cNvPr id="1025" name="Text 1">
          <a:extLst>
            <a:ext uri="{FF2B5EF4-FFF2-40B4-BE49-F238E27FC236}">
              <a16:creationId xmlns:a16="http://schemas.microsoft.com/office/drawing/2014/main" id="{7AA6DA27-240D-4BEC-8210-2DDA3EC09E7A}"/>
            </a:ext>
          </a:extLst>
        </xdr:cNvPr>
        <xdr:cNvSpPr txBox="1">
          <a:spLocks noChangeArrowheads="1"/>
        </xdr:cNvSpPr>
      </xdr:nvSpPr>
      <xdr:spPr bwMode="auto">
        <a:xfrm>
          <a:off x="50800" y="514350"/>
          <a:ext cx="6318250" cy="157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Times"/>
              <a:cs typeface="Times"/>
            </a:rPr>
            <a:t>This list is meant to help you think of all the commodities recycled on your campus.  Your terms and specifications may differ from or overlap what is here.  For the purposes of the CURC Refuse Report Profile, “Recycled” means material recovered, delivered to a processor or end user, and in some way measured (e.g. tons or cubic yards).  “Special Wastes” designates refuse that is hazardous in some U.S. states but recyclable in others.  Consider these recyclables only if you currently recover them for recycling.  Excluded are trash (landfilled or incinerated); hazardous, radioactive, or biohazardous waste; road sand; food service grease; incinerator ash; and construction and demolition debris.  In order for campuses to make useful comparisons, all data entered on the “Campus Refuse Report Profile” should be in tons.  If your current trash hauler does not currently provide this information, we strongly suggest you require it in the upcoming contract or service agreement.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urc@brown.edu?subject=CRP%20Input%20Benchmark%20Data"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1"/>
  <sheetViews>
    <sheetView workbookViewId="0">
      <selection activeCell="B32" sqref="B32"/>
    </sheetView>
  </sheetViews>
  <sheetFormatPr defaultColWidth="9.1796875" defaultRowHeight="13" x14ac:dyDescent="0.3"/>
  <cols>
    <col min="1" max="4" width="9.1796875" style="7" customWidth="1"/>
    <col min="5" max="5" width="10.81640625" style="7" customWidth="1"/>
    <col min="6" max="16384" width="9.1796875" style="7"/>
  </cols>
  <sheetData>
    <row r="1" spans="1:35" x14ac:dyDescent="0.3">
      <c r="A1" s="8" t="s">
        <v>217</v>
      </c>
    </row>
    <row r="2" spans="1:35" x14ac:dyDescent="0.3">
      <c r="A2" s="28" t="s">
        <v>0</v>
      </c>
      <c r="C2" s="7" t="s">
        <v>1</v>
      </c>
    </row>
    <row r="3" spans="1:35" x14ac:dyDescent="0.3">
      <c r="A3" s="28" t="s">
        <v>2</v>
      </c>
      <c r="C3" s="7" t="s">
        <v>3</v>
      </c>
    </row>
    <row r="4" spans="1:35" x14ac:dyDescent="0.3">
      <c r="A4" s="28" t="s">
        <v>4</v>
      </c>
      <c r="C4" s="7" t="s">
        <v>5</v>
      </c>
    </row>
    <row r="5" spans="1:35" x14ac:dyDescent="0.3">
      <c r="A5" s="28" t="s">
        <v>6</v>
      </c>
      <c r="C5" s="7" t="s">
        <v>7</v>
      </c>
    </row>
    <row r="6" spans="1:35" x14ac:dyDescent="0.3">
      <c r="A6" s="28" t="s">
        <v>8</v>
      </c>
      <c r="C6" s="7" t="s">
        <v>9</v>
      </c>
    </row>
    <row r="7" spans="1:35" x14ac:dyDescent="0.3">
      <c r="A7" s="29"/>
    </row>
    <row r="8" spans="1:35" ht="14" x14ac:dyDescent="0.3">
      <c r="A8" s="11" t="s">
        <v>10</v>
      </c>
      <c r="B8" s="12" t="s">
        <v>11</v>
      </c>
      <c r="I8" s="5"/>
      <c r="J8" s="5"/>
      <c r="K8" s="5"/>
      <c r="L8" s="5"/>
      <c r="M8" s="5"/>
      <c r="N8" s="5"/>
      <c r="O8" s="5"/>
      <c r="P8" s="5"/>
      <c r="Q8" s="5"/>
      <c r="R8" s="5"/>
      <c r="S8" s="5"/>
      <c r="T8" s="5"/>
      <c r="U8" s="5"/>
      <c r="V8" s="5"/>
      <c r="W8" s="5"/>
      <c r="X8" s="5"/>
      <c r="Y8" s="5"/>
      <c r="Z8" s="5"/>
      <c r="AA8" s="5"/>
      <c r="AB8" s="5"/>
      <c r="AC8" s="5"/>
      <c r="AD8" s="5"/>
      <c r="AE8" s="5"/>
      <c r="AF8" s="5"/>
      <c r="AG8" s="5"/>
      <c r="AH8" s="5"/>
      <c r="AI8" s="5"/>
    </row>
    <row r="9" spans="1:35" ht="14" x14ac:dyDescent="0.3">
      <c r="A9" s="3"/>
      <c r="B9" s="4" t="s">
        <v>212</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row>
    <row r="10" spans="1:35" ht="14" x14ac:dyDescent="0.3">
      <c r="A10" s="3"/>
      <c r="B10" s="4" t="s">
        <v>12</v>
      </c>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row>
    <row r="11" spans="1:35" ht="14" x14ac:dyDescent="0.3">
      <c r="A11" s="3"/>
      <c r="B11" s="4" t="s">
        <v>13</v>
      </c>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row>
    <row r="12" spans="1:35" ht="14" x14ac:dyDescent="0.3">
      <c r="A12" s="3"/>
      <c r="B12" s="4" t="s">
        <v>14</v>
      </c>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row>
    <row r="13" spans="1:35" ht="14" x14ac:dyDescent="0.3">
      <c r="A13" s="3"/>
      <c r="B13" s="4" t="s">
        <v>15</v>
      </c>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row>
    <row r="14" spans="1:35" ht="14" x14ac:dyDescent="0.3">
      <c r="A14" s="3"/>
      <c r="B14" s="4" t="s">
        <v>16</v>
      </c>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row>
    <row r="15" spans="1:35" ht="14" x14ac:dyDescent="0.3">
      <c r="A15" s="3"/>
      <c r="B15" s="4" t="s">
        <v>17</v>
      </c>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row>
    <row r="16" spans="1:35" ht="14" x14ac:dyDescent="0.3">
      <c r="A16" s="3"/>
      <c r="B16" s="4" t="s">
        <v>18</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row>
    <row r="17" spans="1:35" ht="14" x14ac:dyDescent="0.3">
      <c r="A17" s="3"/>
      <c r="B17" s="4" t="s">
        <v>19</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row>
    <row r="18" spans="1:35" ht="14" x14ac:dyDescent="0.3">
      <c r="A18" s="3"/>
      <c r="B18" s="4" t="s">
        <v>20</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row>
    <row r="19" spans="1:35" ht="14.25" customHeight="1" x14ac:dyDescent="0.3">
      <c r="A19" s="3"/>
      <c r="B19" s="5" t="s">
        <v>21</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row>
    <row r="20" spans="1:35" ht="14" x14ac:dyDescent="0.3">
      <c r="A20" s="3"/>
      <c r="B20" s="5" t="s">
        <v>22</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row>
    <row r="21" spans="1:35" ht="14" x14ac:dyDescent="0.3">
      <c r="A21" s="3"/>
      <c r="B21" s="5" t="s">
        <v>23</v>
      </c>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row>
    <row r="22" spans="1:35" ht="14" x14ac:dyDescent="0.3">
      <c r="A22" s="3"/>
      <c r="B22" s="5" t="s">
        <v>24</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row>
    <row r="24" spans="1:35" x14ac:dyDescent="0.3">
      <c r="A24" s="11" t="s">
        <v>25</v>
      </c>
      <c r="B24" s="7" t="s">
        <v>213</v>
      </c>
    </row>
    <row r="25" spans="1:35" x14ac:dyDescent="0.3">
      <c r="B25" s="7" t="s">
        <v>194</v>
      </c>
      <c r="F25" s="28" t="s">
        <v>8</v>
      </c>
      <c r="H25" s="28" t="s">
        <v>6</v>
      </c>
    </row>
    <row r="27" spans="1:35" x14ac:dyDescent="0.3">
      <c r="A27" s="11" t="s">
        <v>218</v>
      </c>
      <c r="B27" s="12"/>
    </row>
    <row r="28" spans="1:35" ht="14" x14ac:dyDescent="0.3">
      <c r="A28" s="3"/>
      <c r="B28" s="4" t="s">
        <v>219</v>
      </c>
      <c r="D28" s="28" t="s">
        <v>2</v>
      </c>
      <c r="E28" s="7" t="s">
        <v>220</v>
      </c>
    </row>
    <row r="29" spans="1:35" x14ac:dyDescent="0.3">
      <c r="B29" s="7" t="s">
        <v>221</v>
      </c>
    </row>
    <row r="30" spans="1:35" x14ac:dyDescent="0.3">
      <c r="B30" s="7" t="s">
        <v>222</v>
      </c>
    </row>
    <row r="31" spans="1:35" x14ac:dyDescent="0.3">
      <c r="B31" s="7" t="s">
        <v>224</v>
      </c>
      <c r="E31" s="30" t="s">
        <v>223</v>
      </c>
    </row>
  </sheetData>
  <phoneticPr fontId="0" type="noConversion"/>
  <hyperlinks>
    <hyperlink ref="A3" location="CRPSchool" display="CRPSchool"/>
    <hyperlink ref="A4" location="Attch1" display="Attch1"/>
    <hyperlink ref="A5" location="Attch2" display="Attch2"/>
    <hyperlink ref="A6" location="ConvCalc" display="ConvCalc"/>
    <hyperlink ref="A2" location="'CRP-Instructions'!A1" display="'CRP-Instructions'!A1"/>
    <hyperlink ref="H25" location="Attch2" display="Attch2"/>
    <hyperlink ref="F25" location="ConvCalc" display="ConvCalc"/>
    <hyperlink ref="D28" location="CRPSchool" display="CRPSchool"/>
    <hyperlink ref="E31" r:id="rId1"/>
  </hyperlinks>
  <pageMargins left="0.75" right="0.75" top="1" bottom="1" header="0.5" footer="0.5"/>
  <pageSetup orientation="portrait" horizontalDpi="4294967292" verticalDpi="0" r:id="rId2"/>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266"/>
  <sheetViews>
    <sheetView tabSelected="1" zoomScale="75" zoomScaleNormal="100" workbookViewId="0">
      <selection activeCell="K1" sqref="K1:M1"/>
    </sheetView>
  </sheetViews>
  <sheetFormatPr defaultColWidth="9.1796875" defaultRowHeight="14" x14ac:dyDescent="0.3"/>
  <cols>
    <col min="1" max="1" width="6" style="47" customWidth="1"/>
    <col min="2" max="2" width="27.7265625" style="35" customWidth="1"/>
    <col min="3" max="3" width="2.1796875" style="35" customWidth="1"/>
    <col min="4" max="4" width="11.7265625" style="35" bestFit="1" customWidth="1"/>
    <col min="5" max="5" width="2.453125" style="35" customWidth="1"/>
    <col min="6" max="6" width="9.26953125" style="35" customWidth="1"/>
    <col min="7" max="7" width="11.81640625" style="35" customWidth="1"/>
    <col min="8" max="8" width="12.26953125" style="35" customWidth="1"/>
    <col min="9" max="9" width="10.81640625" style="35" customWidth="1"/>
    <col min="10" max="10" width="10.7265625" style="35" customWidth="1"/>
    <col min="11" max="11" width="11.26953125" style="35" customWidth="1"/>
    <col min="12" max="14" width="9.1796875" style="5" customWidth="1"/>
    <col min="15" max="15" width="16.7265625" style="5" customWidth="1"/>
    <col min="16" max="16" width="12.81640625" style="5" customWidth="1"/>
    <col min="17" max="17" width="11.7265625" style="5" customWidth="1"/>
    <col min="18" max="38" width="9.1796875" style="5" customWidth="1"/>
    <col min="39" max="16384" width="9.1796875" style="7"/>
  </cols>
  <sheetData>
    <row r="1" spans="1:34" ht="15" x14ac:dyDescent="0.3">
      <c r="A1" s="32" t="s">
        <v>233</v>
      </c>
      <c r="B1" s="33"/>
      <c r="C1" s="33"/>
      <c r="D1" s="34"/>
      <c r="E1" s="33"/>
      <c r="F1" s="7"/>
      <c r="J1" s="34"/>
      <c r="K1" s="74">
        <f>D3</f>
        <v>0</v>
      </c>
      <c r="L1" s="74"/>
      <c r="M1" s="74"/>
      <c r="O1" s="42" t="s">
        <v>203</v>
      </c>
      <c r="P1" s="55"/>
      <c r="Q1" s="55"/>
      <c r="R1" s="54"/>
      <c r="S1" s="55"/>
      <c r="T1" s="41"/>
      <c r="U1" s="41"/>
    </row>
    <row r="2" spans="1:34" ht="15" x14ac:dyDescent="0.3">
      <c r="A2" s="36" t="s">
        <v>237</v>
      </c>
      <c r="B2" s="33"/>
      <c r="C2" s="33"/>
      <c r="D2" s="34"/>
      <c r="E2" s="33"/>
      <c r="F2" s="36"/>
      <c r="J2" s="34"/>
      <c r="K2" s="53"/>
      <c r="L2" s="54"/>
      <c r="M2" s="54"/>
      <c r="O2" s="56" t="s">
        <v>195</v>
      </c>
      <c r="P2" s="57" t="s">
        <v>6</v>
      </c>
      <c r="Q2" s="57" t="s">
        <v>8</v>
      </c>
      <c r="R2" s="54"/>
      <c r="S2" s="55"/>
      <c r="T2" s="41"/>
      <c r="U2" s="41"/>
    </row>
    <row r="3" spans="1:34" ht="15" x14ac:dyDescent="0.3">
      <c r="A3" s="33"/>
      <c r="B3" s="31" t="s">
        <v>184</v>
      </c>
      <c r="C3" s="7"/>
      <c r="D3" s="75"/>
      <c r="E3" s="76"/>
      <c r="F3" s="76"/>
      <c r="G3" s="77"/>
      <c r="J3" s="34"/>
      <c r="K3" s="32" t="s">
        <v>46</v>
      </c>
      <c r="L3" s="41"/>
      <c r="M3" s="41"/>
      <c r="N3" s="41"/>
      <c r="O3" s="35"/>
      <c r="P3" s="58" t="s">
        <v>47</v>
      </c>
      <c r="Q3" s="58" t="s">
        <v>48</v>
      </c>
      <c r="R3" s="35"/>
      <c r="S3" s="41"/>
      <c r="T3" s="41"/>
      <c r="U3" s="41"/>
    </row>
    <row r="4" spans="1:34" x14ac:dyDescent="0.3">
      <c r="A4" s="33"/>
      <c r="B4" s="31" t="s">
        <v>225</v>
      </c>
      <c r="C4" s="7"/>
      <c r="D4" s="75"/>
      <c r="E4" s="76"/>
      <c r="F4" s="76"/>
      <c r="G4" s="77"/>
      <c r="J4" s="7"/>
      <c r="K4" s="59"/>
      <c r="L4" s="60"/>
      <c r="M4" s="60"/>
      <c r="N4" s="60"/>
      <c r="O4" s="35"/>
      <c r="P4" s="35"/>
      <c r="Q4" s="58" t="s">
        <v>49</v>
      </c>
      <c r="R4" s="35"/>
      <c r="S4" s="41"/>
      <c r="T4" s="41"/>
      <c r="U4" s="41"/>
    </row>
    <row r="5" spans="1:34" x14ac:dyDescent="0.3">
      <c r="A5" s="33"/>
      <c r="B5" s="31" t="s">
        <v>226</v>
      </c>
      <c r="C5" s="7"/>
      <c r="D5" s="75"/>
      <c r="E5" s="76"/>
      <c r="F5" s="76"/>
      <c r="G5" s="77"/>
      <c r="J5" s="7"/>
      <c r="K5" s="47"/>
      <c r="L5" s="58"/>
      <c r="M5" s="58"/>
      <c r="N5" s="58"/>
      <c r="O5" s="35"/>
      <c r="P5" s="55"/>
      <c r="Q5" s="55"/>
      <c r="R5" s="35"/>
      <c r="S5" s="41"/>
      <c r="T5" s="41"/>
      <c r="U5" s="41"/>
    </row>
    <row r="6" spans="1:34" x14ac:dyDescent="0.3">
      <c r="A6" s="33"/>
      <c r="B6" s="31" t="s">
        <v>227</v>
      </c>
      <c r="C6" s="7"/>
      <c r="D6" s="75"/>
      <c r="E6" s="76"/>
      <c r="F6" s="76"/>
      <c r="G6" s="77"/>
      <c r="J6" s="7"/>
      <c r="K6" s="47">
        <v>8</v>
      </c>
      <c r="L6" s="41" t="s">
        <v>50</v>
      </c>
      <c r="M6" s="41"/>
      <c r="N6" s="41"/>
      <c r="O6" s="35"/>
      <c r="P6" s="61">
        <v>1E-8</v>
      </c>
      <c r="Q6" s="62">
        <f>P6/$P$29</f>
        <v>1</v>
      </c>
      <c r="R6" s="35"/>
      <c r="S6" s="41"/>
      <c r="T6" s="41"/>
      <c r="U6" s="41"/>
    </row>
    <row r="7" spans="1:34" x14ac:dyDescent="0.3">
      <c r="A7" s="33"/>
      <c r="B7" s="31" t="s">
        <v>228</v>
      </c>
      <c r="C7" s="7"/>
      <c r="D7" s="75"/>
      <c r="E7" s="76"/>
      <c r="F7" s="76"/>
      <c r="G7" s="77"/>
      <c r="J7" s="7"/>
      <c r="K7" s="47">
        <v>9</v>
      </c>
      <c r="L7" s="41" t="s">
        <v>51</v>
      </c>
      <c r="M7" s="41"/>
      <c r="N7" s="41"/>
      <c r="O7" s="35"/>
      <c r="P7" s="61"/>
      <c r="Q7" s="62">
        <f>P7/$P$29</f>
        <v>0</v>
      </c>
      <c r="R7" s="35"/>
      <c r="S7" s="41"/>
      <c r="T7" s="41"/>
      <c r="U7" s="41"/>
    </row>
    <row r="8" spans="1:34" x14ac:dyDescent="0.3">
      <c r="A8" s="33"/>
      <c r="B8" s="31" t="s">
        <v>229</v>
      </c>
      <c r="C8" s="7"/>
      <c r="D8" s="75"/>
      <c r="E8" s="76"/>
      <c r="F8" s="76"/>
      <c r="G8" s="77"/>
      <c r="J8" s="7"/>
      <c r="K8" s="47">
        <v>10</v>
      </c>
      <c r="L8" s="41" t="s">
        <v>52</v>
      </c>
      <c r="M8" s="41"/>
      <c r="N8" s="41"/>
      <c r="O8" s="35"/>
      <c r="P8" s="61"/>
      <c r="Q8" s="62">
        <f>P8/$P$29</f>
        <v>0</v>
      </c>
      <c r="R8" s="35"/>
      <c r="S8" s="41"/>
      <c r="T8" s="41"/>
      <c r="U8" s="41"/>
    </row>
    <row r="9" spans="1:34" x14ac:dyDescent="0.3">
      <c r="A9" s="33"/>
      <c r="B9" s="31" t="s">
        <v>230</v>
      </c>
      <c r="C9" s="7"/>
      <c r="D9" s="75"/>
      <c r="E9" s="76"/>
      <c r="F9" s="76"/>
      <c r="G9" s="77"/>
      <c r="J9" s="7"/>
      <c r="K9" s="47">
        <v>11</v>
      </c>
      <c r="L9" s="58" t="s">
        <v>53</v>
      </c>
      <c r="M9" s="58"/>
      <c r="N9" s="58"/>
      <c r="O9" s="35"/>
      <c r="P9" s="61">
        <f>SUM(P6:P8)</f>
        <v>1E-8</v>
      </c>
      <c r="Q9" s="62">
        <f>P9/$P$29</f>
        <v>1</v>
      </c>
      <c r="R9" s="35"/>
      <c r="S9" s="41"/>
      <c r="T9" s="41"/>
      <c r="U9" s="41"/>
    </row>
    <row r="10" spans="1:34" x14ac:dyDescent="0.3">
      <c r="A10" s="33"/>
      <c r="B10" s="31" t="s">
        <v>231</v>
      </c>
      <c r="C10" s="7"/>
      <c r="D10" s="75"/>
      <c r="E10" s="76"/>
      <c r="F10" s="76"/>
      <c r="G10" s="77"/>
      <c r="J10" s="7"/>
      <c r="K10" s="47"/>
      <c r="L10" s="58"/>
      <c r="M10" s="58"/>
      <c r="N10" s="58"/>
      <c r="O10" s="35"/>
      <c r="P10" s="55"/>
      <c r="Q10" s="55"/>
      <c r="R10" s="35"/>
      <c r="S10" s="41"/>
      <c r="T10" s="41"/>
      <c r="U10" s="41"/>
    </row>
    <row r="11" spans="1:34" ht="15" x14ac:dyDescent="0.3">
      <c r="A11" s="33"/>
      <c r="B11" s="31" t="s">
        <v>232</v>
      </c>
      <c r="C11" s="7"/>
      <c r="D11" s="75"/>
      <c r="E11" s="76"/>
      <c r="F11" s="76"/>
      <c r="G11" s="77"/>
      <c r="J11" s="7"/>
      <c r="K11" s="32" t="s">
        <v>54</v>
      </c>
      <c r="L11" s="58"/>
      <c r="M11" s="58"/>
      <c r="N11" s="58"/>
      <c r="O11" s="35"/>
      <c r="P11" s="55"/>
      <c r="Q11" s="55"/>
      <c r="R11" s="35"/>
      <c r="S11" s="41"/>
      <c r="T11" s="41"/>
      <c r="U11" s="41"/>
    </row>
    <row r="12" spans="1:34" ht="27" x14ac:dyDescent="0.3">
      <c r="A12" s="33"/>
      <c r="B12" s="31" t="s">
        <v>234</v>
      </c>
      <c r="C12" s="7"/>
      <c r="D12" s="75"/>
      <c r="E12" s="76"/>
      <c r="F12" s="76"/>
      <c r="G12" s="77"/>
      <c r="J12" s="7"/>
      <c r="K12" s="47">
        <v>12</v>
      </c>
      <c r="L12" s="41" t="s">
        <v>55</v>
      </c>
      <c r="M12" s="41"/>
      <c r="N12" s="41"/>
      <c r="O12" s="35"/>
      <c r="P12" s="61"/>
      <c r="Q12" s="62">
        <f>P12/$P$29</f>
        <v>0</v>
      </c>
      <c r="R12" s="35"/>
      <c r="S12" s="41"/>
      <c r="T12" s="41"/>
      <c r="U12" s="41"/>
    </row>
    <row r="13" spans="1:34" ht="15" x14ac:dyDescent="0.3">
      <c r="A13" s="32"/>
      <c r="B13" s="33"/>
      <c r="C13" s="33"/>
      <c r="D13" s="34"/>
      <c r="E13" s="33"/>
      <c r="J13" s="7"/>
      <c r="K13" s="47">
        <v>13</v>
      </c>
      <c r="L13" s="41" t="s">
        <v>56</v>
      </c>
      <c r="M13" s="41"/>
      <c r="N13" s="41"/>
      <c r="O13" s="35"/>
      <c r="P13" s="61"/>
      <c r="Q13" s="62">
        <f>P13/$P$29</f>
        <v>0</v>
      </c>
      <c r="R13" s="35"/>
      <c r="S13" s="41"/>
      <c r="T13" s="41"/>
      <c r="U13" s="41"/>
    </row>
    <row r="14" spans="1:34" s="1" customFormat="1" ht="15" x14ac:dyDescent="0.3">
      <c r="B14" s="38" t="s">
        <v>236</v>
      </c>
      <c r="C14"/>
      <c r="D14" s="78">
        <v>37409</v>
      </c>
      <c r="E14" s="79"/>
      <c r="F14" s="79"/>
      <c r="G14" s="80"/>
      <c r="H14" s="41"/>
      <c r="I14" s="41"/>
      <c r="J14" s="5"/>
      <c r="K14" s="47">
        <v>14</v>
      </c>
      <c r="L14" s="41" t="s">
        <v>57</v>
      </c>
      <c r="M14" s="41"/>
      <c r="N14" s="41"/>
      <c r="O14" s="35"/>
      <c r="P14" s="61"/>
      <c r="Q14" s="62">
        <f>P14/$P$29</f>
        <v>0</v>
      </c>
      <c r="R14" s="35"/>
      <c r="S14" s="41"/>
      <c r="T14" s="41"/>
      <c r="U14" s="41"/>
      <c r="V14" s="5"/>
      <c r="W14" s="5"/>
      <c r="X14" s="5"/>
      <c r="Y14" s="5"/>
      <c r="Z14" s="5"/>
      <c r="AA14" s="5"/>
      <c r="AB14" s="5"/>
      <c r="AC14" s="5"/>
      <c r="AD14" s="5"/>
      <c r="AE14" s="5"/>
      <c r="AF14" s="5"/>
      <c r="AG14" s="5"/>
      <c r="AH14" s="5"/>
    </row>
    <row r="15" spans="1:34" s="1" customFormat="1" ht="15" x14ac:dyDescent="0.3">
      <c r="A15" s="39"/>
      <c r="C15"/>
      <c r="D15"/>
      <c r="E15" s="35"/>
      <c r="F15" s="40" t="s">
        <v>235</v>
      </c>
      <c r="G15" s="35"/>
      <c r="H15" s="39"/>
      <c r="I15" s="41"/>
      <c r="J15" s="5"/>
      <c r="K15" s="47">
        <v>15</v>
      </c>
      <c r="L15" s="58" t="s">
        <v>58</v>
      </c>
      <c r="M15" s="58"/>
      <c r="N15" s="58"/>
      <c r="O15" s="35"/>
      <c r="P15" s="61">
        <f>SUM(P12:P14)</f>
        <v>0</v>
      </c>
      <c r="Q15" s="62">
        <f>P15/$P$29</f>
        <v>0</v>
      </c>
      <c r="R15" s="35"/>
      <c r="S15" s="41"/>
      <c r="T15" s="41"/>
      <c r="U15" s="41"/>
      <c r="V15" s="5"/>
      <c r="W15" s="5"/>
      <c r="X15" s="5"/>
      <c r="Y15" s="5"/>
      <c r="Z15" s="5"/>
      <c r="AA15" s="5"/>
      <c r="AB15" s="5"/>
      <c r="AC15" s="5"/>
      <c r="AD15" s="5"/>
      <c r="AE15" s="5"/>
      <c r="AF15" s="5"/>
      <c r="AG15" s="5"/>
      <c r="AH15" s="5"/>
    </row>
    <row r="16" spans="1:34" s="2" customFormat="1" ht="15" x14ac:dyDescent="0.3">
      <c r="A16" s="37" t="s">
        <v>0</v>
      </c>
      <c r="B16" s="33"/>
      <c r="C16" s="33"/>
      <c r="D16" s="34"/>
      <c r="E16" s="33"/>
      <c r="F16" s="35"/>
      <c r="G16" s="35"/>
      <c r="H16" s="35"/>
      <c r="I16" s="35"/>
      <c r="J16" s="45"/>
      <c r="K16" s="47"/>
      <c r="L16" s="58"/>
      <c r="M16" s="58"/>
      <c r="N16" s="58"/>
      <c r="O16" s="35"/>
      <c r="P16" s="55"/>
      <c r="Q16" s="55"/>
      <c r="R16" s="35"/>
      <c r="S16" s="41"/>
      <c r="T16" s="41"/>
      <c r="U16" s="41"/>
      <c r="V16" s="5"/>
      <c r="W16" s="5"/>
      <c r="X16" s="5"/>
      <c r="Y16" s="5"/>
      <c r="Z16" s="5"/>
      <c r="AA16" s="5"/>
    </row>
    <row r="17" spans="1:38" s="2" customFormat="1" ht="15" x14ac:dyDescent="0.3">
      <c r="A17" s="37"/>
      <c r="B17" s="33"/>
      <c r="C17" s="33"/>
      <c r="J17" s="45"/>
      <c r="K17" s="32" t="s">
        <v>59</v>
      </c>
      <c r="L17" s="58"/>
      <c r="M17" s="58"/>
      <c r="N17" s="58"/>
      <c r="O17" s="35"/>
      <c r="P17" s="35"/>
      <c r="Q17" s="41"/>
      <c r="R17" s="35"/>
      <c r="S17" s="41"/>
      <c r="T17" s="41"/>
      <c r="U17" s="41"/>
      <c r="V17" s="5"/>
      <c r="W17" s="5"/>
      <c r="X17" s="5"/>
      <c r="Y17" s="5"/>
      <c r="Z17" s="5"/>
      <c r="AA17" s="5"/>
    </row>
    <row r="18" spans="1:38" s="2" customFormat="1" ht="15" x14ac:dyDescent="0.3">
      <c r="A18" s="32" t="s">
        <v>26</v>
      </c>
      <c r="B18" s="39"/>
      <c r="C18" s="39"/>
      <c r="J18" s="45"/>
      <c r="K18" s="47">
        <v>16</v>
      </c>
      <c r="L18" s="41" t="s">
        <v>60</v>
      </c>
      <c r="M18" s="41"/>
      <c r="N18" s="41"/>
      <c r="O18" s="35"/>
      <c r="P18" s="61"/>
      <c r="Q18" s="62">
        <f>P18/$P$29</f>
        <v>0</v>
      </c>
      <c r="R18" s="35"/>
      <c r="S18" s="41"/>
      <c r="T18" s="41"/>
      <c r="U18" s="41"/>
      <c r="V18" s="5"/>
      <c r="W18" s="5"/>
      <c r="X18" s="5"/>
      <c r="Y18" s="5"/>
      <c r="Z18" s="5"/>
      <c r="AA18" s="5"/>
    </row>
    <row r="19" spans="1:38" s="2" customFormat="1" ht="15.5" thickBot="1" x14ac:dyDescent="0.35">
      <c r="A19" s="32"/>
      <c r="B19" s="42" t="s">
        <v>196</v>
      </c>
      <c r="C19" s="39"/>
      <c r="D19" s="39"/>
      <c r="E19" s="39"/>
      <c r="F19" s="39"/>
      <c r="G19" s="39"/>
      <c r="H19" s="39"/>
      <c r="I19" s="39"/>
      <c r="J19" s="45"/>
      <c r="K19" s="47">
        <v>17</v>
      </c>
      <c r="L19" s="41" t="s">
        <v>61</v>
      </c>
      <c r="M19" s="41"/>
      <c r="N19" s="41"/>
      <c r="O19" s="35"/>
      <c r="P19" s="61"/>
      <c r="Q19" s="62">
        <f>P19/$P$29</f>
        <v>0</v>
      </c>
      <c r="R19" s="35"/>
      <c r="S19" s="41"/>
      <c r="T19" s="41"/>
      <c r="U19" s="41"/>
      <c r="V19" s="5"/>
      <c r="W19" s="5"/>
      <c r="X19" s="5"/>
      <c r="Y19" s="5"/>
      <c r="Z19" s="5"/>
      <c r="AA19" s="5"/>
    </row>
    <row r="20" spans="1:38" s="2" customFormat="1" ht="14.5" thickBot="1" x14ac:dyDescent="0.35">
      <c r="A20" s="43"/>
      <c r="B20" s="43" t="s">
        <v>27</v>
      </c>
      <c r="C20" s="44"/>
      <c r="D20" s="42" t="s">
        <v>28</v>
      </c>
      <c r="E20" s="44"/>
      <c r="F20" s="42" t="s">
        <v>29</v>
      </c>
      <c r="G20" s="42"/>
      <c r="H20" s="42"/>
      <c r="I20" s="42"/>
      <c r="J20" s="45"/>
      <c r="K20" s="47">
        <v>18</v>
      </c>
      <c r="L20" s="58" t="s">
        <v>62</v>
      </c>
      <c r="M20" s="58"/>
      <c r="N20" s="58"/>
      <c r="O20" s="35"/>
      <c r="P20" s="61">
        <f>SUM(P18:P19)</f>
        <v>0</v>
      </c>
      <c r="Q20" s="62">
        <f>P20/$P$29</f>
        <v>0</v>
      </c>
      <c r="R20" s="35"/>
      <c r="S20" s="41"/>
      <c r="T20" s="41"/>
      <c r="U20" s="41"/>
      <c r="V20" s="5"/>
      <c r="W20" s="5"/>
      <c r="X20" s="5"/>
      <c r="Y20" s="5"/>
      <c r="Z20" s="5"/>
      <c r="AA20" s="5"/>
    </row>
    <row r="21" spans="1:38" s="2" customFormat="1" ht="14.5" thickBot="1" x14ac:dyDescent="0.35">
      <c r="A21" s="43"/>
      <c r="B21" s="42" t="s">
        <v>30</v>
      </c>
      <c r="C21" s="44"/>
      <c r="D21" s="42" t="s">
        <v>31</v>
      </c>
      <c r="E21" s="44"/>
      <c r="F21" s="42" t="s">
        <v>32</v>
      </c>
      <c r="G21" s="42"/>
      <c r="H21" s="42"/>
      <c r="I21" s="42"/>
      <c r="J21" s="42"/>
      <c r="K21" s="47"/>
      <c r="L21" s="58"/>
      <c r="M21" s="58"/>
      <c r="N21" s="58"/>
      <c r="O21" s="35"/>
      <c r="P21" s="55"/>
      <c r="Q21" s="55"/>
      <c r="R21" s="35"/>
      <c r="S21" s="41"/>
      <c r="T21" s="41"/>
      <c r="U21" s="41"/>
      <c r="V21" s="5"/>
      <c r="W21" s="5"/>
      <c r="X21" s="5"/>
      <c r="Y21" s="5"/>
      <c r="Z21" s="5"/>
      <c r="AA21" s="5"/>
    </row>
    <row r="22" spans="1:38" s="2" customFormat="1" ht="14.5" thickBot="1" x14ac:dyDescent="0.35">
      <c r="A22" s="42"/>
      <c r="B22" s="43" t="s">
        <v>33</v>
      </c>
      <c r="C22" s="44"/>
      <c r="D22" s="42" t="s">
        <v>34</v>
      </c>
      <c r="E22" s="44"/>
      <c r="F22" s="42" t="s">
        <v>35</v>
      </c>
      <c r="G22" s="42"/>
      <c r="H22" s="42"/>
      <c r="I22" s="42"/>
      <c r="J22" s="41"/>
      <c r="K22" s="47">
        <v>19</v>
      </c>
      <c r="L22" s="58" t="s">
        <v>63</v>
      </c>
      <c r="M22" s="58"/>
      <c r="N22" s="58"/>
      <c r="O22" s="35"/>
      <c r="P22" s="63">
        <f>P9+P15+P20</f>
        <v>1E-8</v>
      </c>
      <c r="Q22" s="64">
        <f>P22/$P$29</f>
        <v>1</v>
      </c>
      <c r="R22" s="35"/>
      <c r="S22" s="41"/>
      <c r="T22" s="41"/>
      <c r="U22" s="41"/>
      <c r="V22" s="5"/>
      <c r="W22" s="5"/>
      <c r="X22" s="5"/>
      <c r="Y22" s="5"/>
      <c r="Z22" s="5"/>
      <c r="AA22" s="5"/>
    </row>
    <row r="23" spans="1:38" ht="14.5" thickBot="1" x14ac:dyDescent="0.35">
      <c r="A23" s="42"/>
      <c r="B23" s="43" t="s">
        <v>36</v>
      </c>
      <c r="C23" s="44"/>
      <c r="D23" s="42" t="s">
        <v>37</v>
      </c>
      <c r="E23" s="44"/>
      <c r="F23" s="42" t="s">
        <v>38</v>
      </c>
      <c r="G23" s="42"/>
      <c r="H23" s="42"/>
      <c r="I23" s="42"/>
      <c r="J23" s="41"/>
      <c r="K23" s="47"/>
      <c r="L23" s="58"/>
      <c r="M23" s="58"/>
      <c r="N23" s="58"/>
      <c r="O23" s="35"/>
      <c r="P23" s="55"/>
      <c r="Q23" s="55"/>
      <c r="R23" s="35"/>
      <c r="S23" s="41"/>
      <c r="T23" s="41"/>
      <c r="U23" s="41"/>
      <c r="AK23" s="7"/>
      <c r="AL23" s="7"/>
    </row>
    <row r="24" spans="1:38" ht="15.5" thickBot="1" x14ac:dyDescent="0.35">
      <c r="A24" s="46"/>
      <c r="B24" s="43" t="s">
        <v>214</v>
      </c>
      <c r="C24" s="44"/>
      <c r="D24" s="42" t="s">
        <v>215</v>
      </c>
      <c r="E24" s="44"/>
      <c r="F24" s="42" t="s">
        <v>216</v>
      </c>
      <c r="G24" s="42"/>
      <c r="H24" s="42"/>
      <c r="I24" s="42"/>
      <c r="J24" s="41"/>
      <c r="K24" s="32" t="s">
        <v>64</v>
      </c>
      <c r="L24" s="41"/>
      <c r="M24" s="41"/>
      <c r="N24" s="41"/>
      <c r="O24" s="35"/>
      <c r="P24" s="41"/>
      <c r="Q24" s="41"/>
      <c r="R24" s="35"/>
      <c r="S24" s="41"/>
      <c r="T24" s="41"/>
      <c r="U24" s="41"/>
      <c r="AK24" s="7"/>
      <c r="AL24" s="7"/>
    </row>
    <row r="25" spans="1:38" ht="14.5" thickBot="1" x14ac:dyDescent="0.35">
      <c r="A25" s="42"/>
      <c r="B25" s="43" t="s">
        <v>39</v>
      </c>
      <c r="C25" s="44"/>
      <c r="D25" s="42" t="s">
        <v>40</v>
      </c>
      <c r="E25" s="44"/>
      <c r="F25" s="42" t="s">
        <v>41</v>
      </c>
      <c r="G25" s="42"/>
      <c r="H25" s="42"/>
      <c r="I25" s="42"/>
      <c r="J25" s="41"/>
      <c r="K25" s="47">
        <v>20</v>
      </c>
      <c r="L25" s="41" t="s">
        <v>65</v>
      </c>
      <c r="M25" s="41"/>
      <c r="N25" s="41"/>
      <c r="O25" s="35"/>
      <c r="P25" s="61"/>
      <c r="Q25" s="62">
        <f>P25/$P$29</f>
        <v>0</v>
      </c>
      <c r="R25" s="65"/>
      <c r="S25" s="41"/>
      <c r="T25" s="41"/>
      <c r="U25" s="41"/>
      <c r="AK25" s="7"/>
      <c r="AL25" s="7"/>
    </row>
    <row r="26" spans="1:38" ht="14.5" thickBot="1" x14ac:dyDescent="0.35">
      <c r="B26" s="43"/>
      <c r="C26" s="44"/>
      <c r="D26" s="42" t="s">
        <v>42</v>
      </c>
      <c r="E26" s="44"/>
      <c r="F26" s="42" t="s">
        <v>43</v>
      </c>
      <c r="G26" s="41"/>
      <c r="H26" s="41"/>
      <c r="I26" s="41"/>
      <c r="J26" s="41"/>
      <c r="K26" s="47">
        <v>21</v>
      </c>
      <c r="L26" s="41" t="s">
        <v>66</v>
      </c>
      <c r="M26" s="41"/>
      <c r="N26" s="41"/>
      <c r="O26" s="35"/>
      <c r="P26" s="61"/>
      <c r="Q26" s="62">
        <f>P26/$P$29</f>
        <v>0</v>
      </c>
      <c r="R26" s="65"/>
      <c r="S26" s="41"/>
      <c r="T26" s="41"/>
      <c r="U26" s="41"/>
      <c r="AK26" s="7"/>
      <c r="AL26" s="7"/>
    </row>
    <row r="27" spans="1:38" x14ac:dyDescent="0.3">
      <c r="A27" s="48" t="s">
        <v>205</v>
      </c>
      <c r="B27" s="49"/>
      <c r="C27" s="49"/>
      <c r="D27" s="41"/>
      <c r="E27" s="49"/>
      <c r="F27" s="41"/>
      <c r="G27" s="41"/>
      <c r="H27" s="41"/>
      <c r="I27" s="41"/>
      <c r="J27" s="41"/>
      <c r="K27" s="47">
        <v>22</v>
      </c>
      <c r="L27" s="58" t="s">
        <v>67</v>
      </c>
      <c r="M27" s="58"/>
      <c r="N27" s="58"/>
      <c r="O27" s="58"/>
      <c r="P27" s="63">
        <f>SUM(P25:P26)</f>
        <v>0</v>
      </c>
      <c r="Q27" s="64">
        <f>P27/$P$29</f>
        <v>0</v>
      </c>
      <c r="R27" s="65"/>
      <c r="S27" s="41"/>
      <c r="T27" s="41"/>
      <c r="U27" s="41"/>
      <c r="AK27" s="7"/>
      <c r="AL27" s="7"/>
    </row>
    <row r="28" spans="1:38" x14ac:dyDescent="0.3">
      <c r="A28" s="48" t="s">
        <v>44</v>
      </c>
      <c r="B28" s="49"/>
      <c r="C28" s="49"/>
      <c r="D28" s="41"/>
      <c r="E28" s="49"/>
      <c r="F28" s="41"/>
      <c r="G28" s="41"/>
      <c r="H28" s="41"/>
      <c r="I28" s="41"/>
      <c r="J28" s="41"/>
      <c r="K28" s="47"/>
      <c r="L28" s="58"/>
      <c r="M28" s="58"/>
      <c r="N28" s="58"/>
      <c r="O28" s="35"/>
      <c r="P28" s="55"/>
      <c r="Q28" s="55"/>
      <c r="R28" s="35"/>
      <c r="S28" s="41"/>
      <c r="T28" s="41"/>
      <c r="U28" s="41"/>
      <c r="AK28" s="7"/>
      <c r="AL28" s="7"/>
    </row>
    <row r="29" spans="1:38" x14ac:dyDescent="0.3">
      <c r="A29" s="48" t="s">
        <v>45</v>
      </c>
      <c r="B29" s="49"/>
      <c r="C29" s="49"/>
      <c r="D29" s="41"/>
      <c r="E29" s="49"/>
      <c r="F29" s="41"/>
      <c r="G29" s="41"/>
      <c r="H29" s="41"/>
      <c r="I29" s="41"/>
      <c r="J29" s="41"/>
      <c r="K29" s="66" t="s">
        <v>68</v>
      </c>
      <c r="L29" s="58"/>
      <c r="M29" s="58"/>
      <c r="N29" s="58"/>
      <c r="O29" s="35"/>
      <c r="P29" s="63">
        <f>P27+P22</f>
        <v>1E-8</v>
      </c>
      <c r="Q29" s="64">
        <f>P29/$P$29</f>
        <v>1</v>
      </c>
      <c r="R29" s="58"/>
      <c r="S29" s="41"/>
      <c r="T29" s="41"/>
      <c r="U29" s="41"/>
      <c r="AK29" s="7"/>
      <c r="AL29" s="7"/>
    </row>
    <row r="30" spans="1:38" x14ac:dyDescent="0.3">
      <c r="A30" s="50"/>
      <c r="B30" s="50"/>
      <c r="C30" s="50"/>
      <c r="D30" s="51"/>
      <c r="E30" s="50"/>
      <c r="F30" s="51"/>
      <c r="G30" s="51"/>
      <c r="H30" s="51"/>
      <c r="I30" s="51"/>
      <c r="J30" s="41"/>
      <c r="K30" s="47"/>
      <c r="L30" s="58"/>
      <c r="M30" s="58"/>
      <c r="N30" s="58"/>
      <c r="O30" s="35"/>
      <c r="P30" s="55"/>
      <c r="Q30" s="55"/>
      <c r="R30" s="35"/>
      <c r="S30" s="41"/>
      <c r="T30" s="41"/>
      <c r="U30" s="41"/>
      <c r="AK30" s="7"/>
      <c r="AL30" s="7"/>
    </row>
    <row r="31" spans="1:38" ht="15" x14ac:dyDescent="0.3">
      <c r="A31" s="52"/>
      <c r="B31" s="50"/>
      <c r="C31" s="50"/>
      <c r="D31" s="51"/>
      <c r="E31" s="50"/>
      <c r="F31" s="51"/>
      <c r="G31" s="51"/>
      <c r="H31" s="51"/>
      <c r="I31" s="51"/>
      <c r="J31" s="41"/>
      <c r="K31" s="32" t="s">
        <v>69</v>
      </c>
      <c r="L31" s="41"/>
      <c r="M31" s="41"/>
      <c r="N31" s="41"/>
      <c r="O31" s="35"/>
      <c r="P31" s="41"/>
      <c r="Q31" s="41"/>
      <c r="R31" s="35"/>
      <c r="S31" s="41"/>
      <c r="U31" s="46"/>
      <c r="AK31" s="7"/>
      <c r="AL31" s="7"/>
    </row>
    <row r="32" spans="1:38" x14ac:dyDescent="0.3">
      <c r="A32" s="52"/>
      <c r="B32" s="50"/>
      <c r="C32" s="50"/>
      <c r="D32" s="51"/>
      <c r="E32" s="50"/>
      <c r="F32" s="51"/>
      <c r="G32" s="51"/>
      <c r="H32" s="51"/>
      <c r="I32" s="51"/>
      <c r="J32" s="41"/>
      <c r="K32" s="47">
        <v>24</v>
      </c>
      <c r="L32" s="41" t="s">
        <v>70</v>
      </c>
      <c r="M32" s="41"/>
      <c r="N32" s="41"/>
      <c r="O32" s="35"/>
      <c r="P32" s="67"/>
      <c r="Q32" s="41"/>
      <c r="R32" s="35"/>
      <c r="S32" s="41"/>
      <c r="U32" s="46"/>
      <c r="AK32" s="7"/>
      <c r="AL32" s="7"/>
    </row>
    <row r="33" spans="1:38" x14ac:dyDescent="0.3">
      <c r="A33" s="52"/>
      <c r="B33" s="50"/>
      <c r="C33" s="50"/>
      <c r="D33" s="51"/>
      <c r="E33" s="50"/>
      <c r="F33" s="51"/>
      <c r="G33" s="51"/>
      <c r="H33" s="51"/>
      <c r="I33" s="51"/>
      <c r="J33" s="41"/>
      <c r="K33" s="47">
        <v>25</v>
      </c>
      <c r="L33" s="41" t="s">
        <v>71</v>
      </c>
      <c r="M33" s="41"/>
      <c r="N33" s="41"/>
      <c r="O33" s="35"/>
      <c r="P33" s="67"/>
      <c r="Q33" s="41"/>
      <c r="R33" s="35"/>
      <c r="S33" s="41"/>
      <c r="U33" s="46"/>
      <c r="AK33" s="7"/>
      <c r="AL33" s="7"/>
    </row>
    <row r="34" spans="1:38" x14ac:dyDescent="0.3">
      <c r="A34" s="53"/>
      <c r="B34" s="54"/>
      <c r="C34" s="54"/>
      <c r="D34" s="55"/>
      <c r="E34" s="54"/>
      <c r="F34" s="55"/>
      <c r="G34" s="55"/>
      <c r="H34" s="55"/>
      <c r="I34" s="55"/>
      <c r="J34" s="41"/>
      <c r="K34" s="47">
        <v>26</v>
      </c>
      <c r="L34" s="41" t="s">
        <v>72</v>
      </c>
      <c r="M34" s="41"/>
      <c r="N34" s="41"/>
      <c r="O34" s="35"/>
      <c r="P34" s="67">
        <f>P32+P33</f>
        <v>0</v>
      </c>
      <c r="Q34" s="41"/>
      <c r="R34" s="35"/>
      <c r="S34" s="41"/>
      <c r="T34" s="35"/>
      <c r="U34" s="41"/>
      <c r="AK34" s="7"/>
      <c r="AL34" s="7"/>
    </row>
    <row r="35" spans="1:38" ht="14.5" thickBot="1" x14ac:dyDescent="0.35">
      <c r="A35" s="53" t="s">
        <v>210</v>
      </c>
      <c r="B35" s="54"/>
      <c r="C35" s="54"/>
      <c r="D35" s="55"/>
      <c r="E35" s="54"/>
      <c r="F35" s="55"/>
      <c r="G35" s="55"/>
      <c r="H35" s="55"/>
      <c r="I35" s="55"/>
      <c r="K35" s="68">
        <v>27</v>
      </c>
      <c r="L35" s="69" t="s">
        <v>197</v>
      </c>
      <c r="M35" s="69"/>
      <c r="N35" s="69"/>
      <c r="O35" s="70"/>
      <c r="P35" s="71">
        <f>IF($P$34=0,0,(P22/$P$34*2000))</f>
        <v>0</v>
      </c>
      <c r="Q35" s="72" t="s">
        <v>200</v>
      </c>
      <c r="R35" s="70"/>
      <c r="S35" s="69"/>
      <c r="T35" s="70"/>
      <c r="U35" s="70"/>
      <c r="V35" s="70"/>
      <c r="AK35" s="7"/>
      <c r="AL35" s="7"/>
    </row>
    <row r="36" spans="1:38" ht="14.5" thickBot="1" x14ac:dyDescent="0.35">
      <c r="A36" s="35" t="s">
        <v>211</v>
      </c>
      <c r="C36" s="44"/>
      <c r="D36" s="42" t="s">
        <v>204</v>
      </c>
      <c r="E36" s="44"/>
      <c r="F36" s="42" t="s">
        <v>207</v>
      </c>
      <c r="G36" s="55"/>
      <c r="H36" s="55"/>
      <c r="I36" s="55"/>
      <c r="J36" s="41"/>
      <c r="K36" s="68">
        <v>28</v>
      </c>
      <c r="L36" s="69" t="s">
        <v>198</v>
      </c>
      <c r="M36" s="69"/>
      <c r="N36" s="69"/>
      <c r="O36" s="70"/>
      <c r="P36" s="71">
        <f>IF($P$34=0,0,(P27/$P$34*2000))</f>
        <v>0</v>
      </c>
      <c r="Q36" s="72" t="s">
        <v>201</v>
      </c>
      <c r="R36" s="70"/>
      <c r="S36" s="69"/>
      <c r="T36" s="70"/>
      <c r="U36" s="70"/>
      <c r="V36" s="70"/>
    </row>
    <row r="37" spans="1:38" ht="14.5" thickBot="1" x14ac:dyDescent="0.35">
      <c r="A37" s="47" t="s">
        <v>209</v>
      </c>
      <c r="B37" s="54"/>
      <c r="C37" s="44"/>
      <c r="D37" s="42" t="s">
        <v>206</v>
      </c>
      <c r="E37" s="44"/>
      <c r="F37" s="42" t="s">
        <v>208</v>
      </c>
      <c r="G37" s="55"/>
      <c r="H37" s="55"/>
      <c r="I37" s="55"/>
      <c r="J37" s="57"/>
      <c r="K37" s="68">
        <v>29</v>
      </c>
      <c r="L37" s="73" t="s">
        <v>199</v>
      </c>
      <c r="M37" s="73"/>
      <c r="N37" s="73"/>
      <c r="O37" s="70"/>
      <c r="P37" s="71">
        <f>IF($P$34=0,0,(P29/$P$34*2000))</f>
        <v>0</v>
      </c>
      <c r="Q37" s="72" t="s">
        <v>202</v>
      </c>
      <c r="R37" s="70"/>
      <c r="S37" s="69"/>
      <c r="T37" s="70"/>
      <c r="U37" s="70"/>
      <c r="V37" s="70"/>
      <c r="AK37" s="7"/>
      <c r="AL37" s="7"/>
    </row>
    <row r="38" spans="1:38" x14ac:dyDescent="0.3">
      <c r="A38" s="52"/>
      <c r="B38" s="50"/>
      <c r="C38" s="50"/>
      <c r="D38" s="51"/>
      <c r="E38" s="50"/>
      <c r="F38" s="51"/>
      <c r="G38" s="51"/>
      <c r="H38" s="51"/>
      <c r="I38" s="51"/>
      <c r="J38" s="41"/>
      <c r="K38" s="47"/>
      <c r="L38" s="41" t="s">
        <v>185</v>
      </c>
      <c r="M38" s="41"/>
      <c r="N38" s="41"/>
      <c r="O38" s="35"/>
      <c r="P38" s="41"/>
      <c r="Q38" s="41"/>
      <c r="R38" s="41"/>
      <c r="S38" s="41"/>
      <c r="T38" s="41"/>
      <c r="U38" s="41"/>
      <c r="AK38" s="7"/>
      <c r="AL38" s="7"/>
    </row>
    <row r="39" spans="1:38" x14ac:dyDescent="0.3">
      <c r="A39" s="52"/>
      <c r="B39" s="50"/>
      <c r="C39" s="50"/>
      <c r="D39" s="51"/>
      <c r="E39" s="50"/>
      <c r="F39" s="51"/>
      <c r="G39" s="51"/>
      <c r="H39" s="51"/>
      <c r="I39" s="51"/>
      <c r="J39" s="41"/>
      <c r="K39" s="41"/>
      <c r="AJ39" s="7"/>
      <c r="AK39" s="7"/>
      <c r="AL39" s="7"/>
    </row>
    <row r="40" spans="1:38" x14ac:dyDescent="0.3">
      <c r="K40" s="41"/>
      <c r="AJ40" s="7"/>
      <c r="AK40" s="7"/>
      <c r="AL40" s="7"/>
    </row>
    <row r="41" spans="1:38" ht="17.25" customHeight="1" x14ac:dyDescent="0.3">
      <c r="AJ41" s="7"/>
      <c r="AK41" s="7"/>
      <c r="AL41" s="7"/>
    </row>
    <row r="42" spans="1:38" x14ac:dyDescent="0.3">
      <c r="AJ42" s="7"/>
      <c r="AK42" s="7"/>
      <c r="AL42" s="7"/>
    </row>
    <row r="43" spans="1:38" x14ac:dyDescent="0.3">
      <c r="AJ43" s="7"/>
      <c r="AK43" s="7"/>
      <c r="AL43" s="7"/>
    </row>
    <row r="44" spans="1:38" x14ac:dyDescent="0.3">
      <c r="AJ44" s="7"/>
      <c r="AK44" s="7"/>
      <c r="AL44" s="7"/>
    </row>
    <row r="45" spans="1:38" x14ac:dyDescent="0.3">
      <c r="AJ45" s="7"/>
      <c r="AK45" s="7"/>
      <c r="AL45" s="7"/>
    </row>
    <row r="46" spans="1:38" x14ac:dyDescent="0.3">
      <c r="AJ46" s="7"/>
      <c r="AK46" s="7"/>
      <c r="AL46" s="7"/>
    </row>
    <row r="47" spans="1:38" x14ac:dyDescent="0.3">
      <c r="AJ47" s="7"/>
      <c r="AK47" s="7"/>
      <c r="AL47" s="7"/>
    </row>
    <row r="48" spans="1:38" x14ac:dyDescent="0.3">
      <c r="AJ48" s="7"/>
      <c r="AK48" s="7"/>
      <c r="AL48" s="7"/>
    </row>
    <row r="49" spans="1:38" x14ac:dyDescent="0.3">
      <c r="AJ49" s="7"/>
      <c r="AK49" s="7"/>
      <c r="AL49" s="7"/>
    </row>
    <row r="50" spans="1:38" x14ac:dyDescent="0.3">
      <c r="AJ50" s="7"/>
      <c r="AK50" s="7"/>
      <c r="AL50" s="7"/>
    </row>
    <row r="51" spans="1:38" x14ac:dyDescent="0.3">
      <c r="AJ51" s="7"/>
      <c r="AK51" s="7"/>
      <c r="AL51" s="7"/>
    </row>
    <row r="52" spans="1:38" x14ac:dyDescent="0.3">
      <c r="AJ52" s="7"/>
      <c r="AK52" s="7"/>
      <c r="AL52" s="7"/>
    </row>
    <row r="53" spans="1:38" x14ac:dyDescent="0.3">
      <c r="AJ53" s="7"/>
      <c r="AK53" s="7"/>
      <c r="AL53" s="7"/>
    </row>
    <row r="54" spans="1:38" x14ac:dyDescent="0.3">
      <c r="AJ54" s="7"/>
      <c r="AK54" s="7"/>
      <c r="AL54" s="7"/>
    </row>
    <row r="55" spans="1:38" x14ac:dyDescent="0.3">
      <c r="AJ55" s="7"/>
      <c r="AK55" s="7"/>
      <c r="AL55" s="7"/>
    </row>
    <row r="56" spans="1:38" x14ac:dyDescent="0.3">
      <c r="AJ56" s="7"/>
      <c r="AK56" s="7"/>
      <c r="AL56" s="7"/>
    </row>
    <row r="57" spans="1:38" x14ac:dyDescent="0.3">
      <c r="AJ57" s="7"/>
      <c r="AK57" s="7"/>
      <c r="AL57" s="7"/>
    </row>
    <row r="58" spans="1:38" x14ac:dyDescent="0.3">
      <c r="AJ58" s="7"/>
      <c r="AK58" s="7"/>
      <c r="AL58" s="7"/>
    </row>
    <row r="59" spans="1:38" x14ac:dyDescent="0.3">
      <c r="AJ59" s="7"/>
      <c r="AK59" s="7"/>
      <c r="AL59" s="7"/>
    </row>
    <row r="60" spans="1:38" x14ac:dyDescent="0.3">
      <c r="AJ60" s="7"/>
      <c r="AK60" s="7"/>
      <c r="AL60" s="7"/>
    </row>
    <row r="61" spans="1:38" x14ac:dyDescent="0.3">
      <c r="AJ61" s="7"/>
      <c r="AK61" s="7"/>
      <c r="AL61" s="7"/>
    </row>
    <row r="62" spans="1:38" x14ac:dyDescent="0.3">
      <c r="A62" s="6"/>
      <c r="B62" s="6"/>
      <c r="C62" s="6"/>
      <c r="D62" s="6"/>
      <c r="E62" s="6"/>
      <c r="F62" s="6"/>
      <c r="G62" s="6"/>
      <c r="H62" s="6"/>
      <c r="I62" s="6"/>
      <c r="J62" s="6"/>
      <c r="AJ62" s="7"/>
      <c r="AK62" s="7"/>
      <c r="AL62" s="7"/>
    </row>
    <row r="63" spans="1:38" s="6" customFormat="1" x14ac:dyDescent="0.3">
      <c r="A63" s="47"/>
      <c r="B63" s="35"/>
      <c r="C63" s="35"/>
      <c r="D63" s="35"/>
      <c r="E63" s="35"/>
      <c r="F63" s="35"/>
      <c r="G63" s="35"/>
      <c r="H63" s="35"/>
      <c r="I63" s="35"/>
      <c r="J63" s="35"/>
      <c r="R63" s="5"/>
      <c r="S63" s="5"/>
      <c r="T63" s="5"/>
      <c r="U63" s="5"/>
      <c r="V63" s="5"/>
      <c r="W63" s="5"/>
      <c r="X63" s="5"/>
      <c r="Y63" s="5"/>
      <c r="Z63" s="5"/>
      <c r="AA63" s="5"/>
      <c r="AB63" s="5"/>
      <c r="AC63" s="5"/>
      <c r="AD63" s="5"/>
      <c r="AE63" s="5"/>
      <c r="AF63" s="5"/>
      <c r="AG63" s="5"/>
      <c r="AH63" s="5"/>
      <c r="AI63" s="5"/>
    </row>
    <row r="64" spans="1:38" x14ac:dyDescent="0.3">
      <c r="AJ64" s="7"/>
      <c r="AK64" s="7"/>
      <c r="AL64" s="7"/>
    </row>
    <row r="65" spans="10:38" x14ac:dyDescent="0.3">
      <c r="AJ65" s="7"/>
      <c r="AK65" s="7"/>
      <c r="AL65" s="7"/>
    </row>
    <row r="66" spans="10:38" ht="8.25" customHeight="1" x14ac:dyDescent="0.3">
      <c r="AJ66" s="7"/>
      <c r="AK66" s="7"/>
      <c r="AL66" s="7"/>
    </row>
    <row r="67" spans="10:38" x14ac:dyDescent="0.3">
      <c r="AJ67" s="7"/>
      <c r="AK67" s="7"/>
      <c r="AL67" s="7"/>
    </row>
    <row r="68" spans="10:38" x14ac:dyDescent="0.3">
      <c r="AJ68" s="7"/>
      <c r="AK68" s="7"/>
      <c r="AL68" s="7"/>
    </row>
    <row r="69" spans="10:38" x14ac:dyDescent="0.3">
      <c r="AJ69" s="7"/>
      <c r="AK69" s="7"/>
      <c r="AL69" s="7"/>
    </row>
    <row r="70" spans="10:38" x14ac:dyDescent="0.3">
      <c r="AJ70" s="7"/>
      <c r="AK70" s="7"/>
      <c r="AL70" s="7"/>
    </row>
    <row r="71" spans="10:38" x14ac:dyDescent="0.3">
      <c r="AL71" s="7"/>
    </row>
    <row r="72" spans="10:38" x14ac:dyDescent="0.3">
      <c r="AL72" s="7"/>
    </row>
    <row r="73" spans="10:38" x14ac:dyDescent="0.3">
      <c r="AL73" s="7"/>
    </row>
    <row r="74" spans="10:38" x14ac:dyDescent="0.3">
      <c r="AL74" s="7"/>
    </row>
    <row r="75" spans="10:38" x14ac:dyDescent="0.3">
      <c r="AK75" s="7"/>
      <c r="AL75" s="7"/>
    </row>
    <row r="76" spans="10:38" x14ac:dyDescent="0.3">
      <c r="AK76" s="7"/>
      <c r="AL76" s="7"/>
    </row>
    <row r="77" spans="10:38" x14ac:dyDescent="0.3">
      <c r="AK77" s="7"/>
      <c r="AL77" s="7"/>
    </row>
    <row r="78" spans="10:38" x14ac:dyDescent="0.3">
      <c r="J78" s="41"/>
      <c r="AK78" s="7"/>
      <c r="AL78" s="7"/>
    </row>
    <row r="79" spans="10:38" x14ac:dyDescent="0.3">
      <c r="J79" s="41"/>
      <c r="K79" s="41"/>
      <c r="AK79" s="7"/>
      <c r="AL79" s="7"/>
    </row>
    <row r="80" spans="10:38" x14ac:dyDescent="0.3">
      <c r="J80" s="41"/>
      <c r="K80" s="41"/>
      <c r="AK80" s="7"/>
      <c r="AL80" s="7"/>
    </row>
    <row r="81" spans="10:38" x14ac:dyDescent="0.3">
      <c r="J81" s="41"/>
      <c r="K81" s="41"/>
      <c r="AK81" s="7"/>
      <c r="AL81" s="7"/>
    </row>
    <row r="82" spans="10:38" x14ac:dyDescent="0.3">
      <c r="J82" s="41"/>
      <c r="K82" s="41"/>
      <c r="AK82" s="7"/>
      <c r="AL82" s="7"/>
    </row>
    <row r="83" spans="10:38" x14ac:dyDescent="0.3">
      <c r="J83" s="41"/>
      <c r="K83" s="41"/>
      <c r="AK83" s="7"/>
      <c r="AL83" s="7"/>
    </row>
    <row r="84" spans="10:38" x14ac:dyDescent="0.3">
      <c r="J84" s="41"/>
      <c r="K84" s="41"/>
      <c r="AK84" s="7"/>
      <c r="AL84" s="7"/>
    </row>
    <row r="85" spans="10:38" x14ac:dyDescent="0.3">
      <c r="J85" s="41"/>
      <c r="K85" s="41"/>
      <c r="AK85" s="7"/>
      <c r="AL85" s="7"/>
    </row>
    <row r="86" spans="10:38" x14ac:dyDescent="0.3">
      <c r="J86" s="41"/>
      <c r="K86" s="41"/>
      <c r="AK86" s="7"/>
      <c r="AL86" s="7"/>
    </row>
    <row r="87" spans="10:38" x14ac:dyDescent="0.3">
      <c r="J87" s="41"/>
      <c r="K87" s="41"/>
      <c r="AK87" s="7"/>
      <c r="AL87" s="7"/>
    </row>
    <row r="88" spans="10:38" x14ac:dyDescent="0.3">
      <c r="J88" s="41"/>
      <c r="K88" s="41"/>
      <c r="AK88" s="7"/>
      <c r="AL88" s="7"/>
    </row>
    <row r="89" spans="10:38" x14ac:dyDescent="0.3">
      <c r="J89" s="41"/>
      <c r="K89" s="41"/>
      <c r="AK89" s="7"/>
      <c r="AL89" s="7"/>
    </row>
    <row r="90" spans="10:38" x14ac:dyDescent="0.3">
      <c r="J90" s="41"/>
      <c r="K90" s="41"/>
      <c r="AK90" s="7"/>
      <c r="AL90" s="7"/>
    </row>
    <row r="91" spans="10:38" x14ac:dyDescent="0.3">
      <c r="J91" s="41"/>
      <c r="K91" s="41"/>
      <c r="AK91" s="7"/>
      <c r="AL91" s="7"/>
    </row>
    <row r="92" spans="10:38" x14ac:dyDescent="0.3">
      <c r="J92" s="41"/>
      <c r="K92" s="41"/>
      <c r="AK92" s="7"/>
      <c r="AL92" s="7"/>
    </row>
    <row r="93" spans="10:38" x14ac:dyDescent="0.3">
      <c r="J93" s="41"/>
      <c r="K93" s="41"/>
      <c r="AK93" s="7"/>
      <c r="AL93" s="7"/>
    </row>
    <row r="94" spans="10:38" x14ac:dyDescent="0.3">
      <c r="J94" s="41"/>
      <c r="K94" s="41"/>
      <c r="AK94" s="7"/>
      <c r="AL94" s="7"/>
    </row>
    <row r="95" spans="10:38" x14ac:dyDescent="0.3">
      <c r="J95" s="41"/>
      <c r="K95" s="41"/>
      <c r="AK95" s="7"/>
      <c r="AL95" s="7"/>
    </row>
    <row r="96" spans="10:38" x14ac:dyDescent="0.3">
      <c r="J96" s="41"/>
      <c r="K96" s="41"/>
      <c r="AK96" s="7"/>
      <c r="AL96" s="7"/>
    </row>
    <row r="97" spans="10:38" x14ac:dyDescent="0.3">
      <c r="J97" s="41"/>
      <c r="K97" s="41"/>
      <c r="AK97" s="7"/>
      <c r="AL97" s="7"/>
    </row>
    <row r="98" spans="10:38" x14ac:dyDescent="0.3">
      <c r="J98" s="41"/>
      <c r="K98" s="41"/>
      <c r="AK98" s="7"/>
      <c r="AL98" s="7"/>
    </row>
    <row r="99" spans="10:38" x14ac:dyDescent="0.3">
      <c r="J99" s="41"/>
      <c r="K99" s="41"/>
      <c r="AK99" s="7"/>
      <c r="AL99" s="7"/>
    </row>
    <row r="100" spans="10:38" x14ac:dyDescent="0.3">
      <c r="J100" s="41"/>
      <c r="K100" s="41"/>
      <c r="AK100" s="7"/>
      <c r="AL100" s="7"/>
    </row>
    <row r="101" spans="10:38" x14ac:dyDescent="0.3">
      <c r="J101" s="41"/>
      <c r="K101" s="41"/>
      <c r="AK101" s="7"/>
      <c r="AL101" s="7"/>
    </row>
    <row r="102" spans="10:38" x14ac:dyDescent="0.3">
      <c r="J102" s="41"/>
      <c r="K102" s="41"/>
      <c r="AK102" s="7"/>
      <c r="AL102" s="7"/>
    </row>
    <row r="103" spans="10:38" x14ac:dyDescent="0.3">
      <c r="J103" s="41"/>
      <c r="K103" s="41"/>
      <c r="AK103" s="7"/>
      <c r="AL103" s="7"/>
    </row>
    <row r="104" spans="10:38" x14ac:dyDescent="0.3">
      <c r="J104" s="41"/>
      <c r="K104" s="41"/>
      <c r="AK104" s="7"/>
      <c r="AL104" s="7"/>
    </row>
    <row r="105" spans="10:38" x14ac:dyDescent="0.3">
      <c r="J105" s="41"/>
      <c r="K105" s="41"/>
      <c r="AK105" s="7"/>
      <c r="AL105" s="7"/>
    </row>
    <row r="106" spans="10:38" x14ac:dyDescent="0.3">
      <c r="J106" s="41"/>
      <c r="K106" s="41"/>
      <c r="AK106" s="7"/>
      <c r="AL106" s="7"/>
    </row>
    <row r="107" spans="10:38" x14ac:dyDescent="0.3">
      <c r="J107" s="41"/>
      <c r="K107" s="41"/>
      <c r="AK107" s="7"/>
      <c r="AL107" s="7"/>
    </row>
    <row r="108" spans="10:38" x14ac:dyDescent="0.3">
      <c r="J108" s="41"/>
      <c r="K108" s="41"/>
      <c r="AK108" s="7"/>
      <c r="AL108" s="7"/>
    </row>
    <row r="109" spans="10:38" x14ac:dyDescent="0.3">
      <c r="J109" s="41"/>
      <c r="K109" s="41"/>
      <c r="AK109" s="7"/>
      <c r="AL109" s="7"/>
    </row>
    <row r="110" spans="10:38" x14ac:dyDescent="0.3">
      <c r="J110" s="41"/>
      <c r="K110" s="41"/>
      <c r="AK110" s="7"/>
      <c r="AL110" s="7"/>
    </row>
    <row r="111" spans="10:38" x14ac:dyDescent="0.3">
      <c r="J111" s="41"/>
      <c r="K111" s="41"/>
      <c r="AK111" s="7"/>
      <c r="AL111" s="7"/>
    </row>
    <row r="112" spans="10:38" x14ac:dyDescent="0.3">
      <c r="J112" s="41"/>
      <c r="K112" s="41"/>
      <c r="AK112" s="7"/>
      <c r="AL112" s="7"/>
    </row>
    <row r="113" spans="10:38" x14ac:dyDescent="0.3">
      <c r="J113" s="41"/>
      <c r="K113" s="41"/>
      <c r="AK113" s="7"/>
      <c r="AL113" s="7"/>
    </row>
    <row r="114" spans="10:38" x14ac:dyDescent="0.3">
      <c r="J114" s="41"/>
      <c r="K114" s="41"/>
      <c r="AK114" s="7"/>
      <c r="AL114" s="7"/>
    </row>
    <row r="115" spans="10:38" x14ac:dyDescent="0.3">
      <c r="J115" s="41"/>
      <c r="K115" s="41"/>
      <c r="AK115" s="7"/>
      <c r="AL115" s="7"/>
    </row>
    <row r="116" spans="10:38" x14ac:dyDescent="0.3">
      <c r="J116" s="41"/>
      <c r="K116" s="41"/>
      <c r="AK116" s="7"/>
      <c r="AL116" s="7"/>
    </row>
    <row r="117" spans="10:38" x14ac:dyDescent="0.3">
      <c r="J117" s="41"/>
      <c r="K117" s="41"/>
      <c r="AK117" s="7"/>
      <c r="AL117" s="7"/>
    </row>
    <row r="118" spans="10:38" x14ac:dyDescent="0.3">
      <c r="J118" s="41"/>
      <c r="K118" s="41"/>
      <c r="AK118" s="7"/>
      <c r="AL118" s="7"/>
    </row>
    <row r="119" spans="10:38" x14ac:dyDescent="0.3">
      <c r="J119" s="41"/>
      <c r="K119" s="41"/>
      <c r="AK119" s="7"/>
      <c r="AL119" s="7"/>
    </row>
    <row r="120" spans="10:38" x14ac:dyDescent="0.3">
      <c r="J120" s="41"/>
      <c r="K120" s="41"/>
      <c r="AK120" s="7"/>
      <c r="AL120" s="7"/>
    </row>
    <row r="121" spans="10:38" x14ac:dyDescent="0.3">
      <c r="J121" s="41"/>
      <c r="K121" s="41"/>
      <c r="AK121" s="7"/>
      <c r="AL121" s="7"/>
    </row>
    <row r="122" spans="10:38" x14ac:dyDescent="0.3">
      <c r="J122" s="41"/>
      <c r="K122" s="41"/>
      <c r="AK122" s="7"/>
      <c r="AL122" s="7"/>
    </row>
    <row r="123" spans="10:38" x14ac:dyDescent="0.3">
      <c r="J123" s="41"/>
      <c r="K123" s="41"/>
      <c r="AK123" s="7"/>
      <c r="AL123" s="7"/>
    </row>
    <row r="124" spans="10:38" x14ac:dyDescent="0.3">
      <c r="J124" s="41"/>
      <c r="K124" s="41"/>
      <c r="AK124" s="7"/>
      <c r="AL124" s="7"/>
    </row>
    <row r="125" spans="10:38" x14ac:dyDescent="0.3">
      <c r="J125" s="41"/>
      <c r="K125" s="41"/>
      <c r="AK125" s="7"/>
      <c r="AL125" s="7"/>
    </row>
    <row r="126" spans="10:38" x14ac:dyDescent="0.3">
      <c r="J126" s="41"/>
      <c r="K126" s="41"/>
      <c r="AK126" s="7"/>
      <c r="AL126" s="7"/>
    </row>
    <row r="127" spans="10:38" x14ac:dyDescent="0.3">
      <c r="J127" s="41"/>
      <c r="K127" s="41"/>
      <c r="AK127" s="7"/>
      <c r="AL127" s="7"/>
    </row>
    <row r="128" spans="10:38" x14ac:dyDescent="0.3">
      <c r="J128" s="41"/>
      <c r="K128" s="41"/>
      <c r="AK128" s="7"/>
      <c r="AL128" s="7"/>
    </row>
    <row r="129" spans="10:38" x14ac:dyDescent="0.3">
      <c r="J129" s="41"/>
      <c r="K129" s="41"/>
      <c r="AK129" s="7"/>
      <c r="AL129" s="7"/>
    </row>
    <row r="130" spans="10:38" x14ac:dyDescent="0.3">
      <c r="J130" s="41"/>
      <c r="K130" s="41"/>
      <c r="AK130" s="7"/>
      <c r="AL130" s="7"/>
    </row>
    <row r="131" spans="10:38" x14ac:dyDescent="0.3">
      <c r="J131" s="41"/>
      <c r="K131" s="41"/>
      <c r="AK131" s="7"/>
      <c r="AL131" s="7"/>
    </row>
    <row r="132" spans="10:38" x14ac:dyDescent="0.3">
      <c r="J132" s="41"/>
      <c r="K132" s="41"/>
      <c r="AK132" s="7"/>
      <c r="AL132" s="7"/>
    </row>
    <row r="133" spans="10:38" x14ac:dyDescent="0.3">
      <c r="J133" s="41"/>
      <c r="K133" s="41"/>
      <c r="AK133" s="7"/>
      <c r="AL133" s="7"/>
    </row>
    <row r="134" spans="10:38" x14ac:dyDescent="0.3">
      <c r="J134" s="41"/>
      <c r="K134" s="41"/>
      <c r="AK134" s="7"/>
      <c r="AL134" s="7"/>
    </row>
    <row r="135" spans="10:38" x14ac:dyDescent="0.3">
      <c r="J135" s="41"/>
      <c r="K135" s="41"/>
      <c r="AK135" s="7"/>
      <c r="AL135" s="7"/>
    </row>
    <row r="136" spans="10:38" x14ac:dyDescent="0.3">
      <c r="J136" s="41"/>
      <c r="K136" s="41"/>
      <c r="AK136" s="7"/>
      <c r="AL136" s="7"/>
    </row>
    <row r="137" spans="10:38" x14ac:dyDescent="0.3">
      <c r="J137" s="41"/>
      <c r="K137" s="41"/>
      <c r="AK137" s="7"/>
      <c r="AL137" s="7"/>
    </row>
    <row r="138" spans="10:38" x14ac:dyDescent="0.3">
      <c r="J138" s="41"/>
      <c r="K138" s="41"/>
      <c r="AK138" s="7"/>
      <c r="AL138" s="7"/>
    </row>
    <row r="139" spans="10:38" x14ac:dyDescent="0.3">
      <c r="J139" s="41"/>
      <c r="K139" s="41"/>
      <c r="AK139" s="7"/>
      <c r="AL139" s="7"/>
    </row>
    <row r="140" spans="10:38" x14ac:dyDescent="0.3">
      <c r="J140" s="41"/>
      <c r="K140" s="41"/>
      <c r="AK140" s="7"/>
      <c r="AL140" s="7"/>
    </row>
    <row r="141" spans="10:38" x14ac:dyDescent="0.3">
      <c r="J141" s="41"/>
      <c r="K141" s="41"/>
      <c r="AK141" s="7"/>
      <c r="AL141" s="7"/>
    </row>
    <row r="142" spans="10:38" x14ac:dyDescent="0.3">
      <c r="J142" s="41"/>
      <c r="K142" s="41"/>
      <c r="AK142" s="7"/>
      <c r="AL142" s="7"/>
    </row>
    <row r="143" spans="10:38" x14ac:dyDescent="0.3">
      <c r="J143" s="41"/>
      <c r="K143" s="41"/>
      <c r="AK143" s="7"/>
      <c r="AL143" s="7"/>
    </row>
    <row r="144" spans="10:38" x14ac:dyDescent="0.3">
      <c r="J144" s="41"/>
      <c r="K144" s="41"/>
      <c r="AK144" s="7"/>
      <c r="AL144" s="7"/>
    </row>
    <row r="145" spans="10:38" x14ac:dyDescent="0.3">
      <c r="J145" s="41"/>
      <c r="K145" s="41"/>
      <c r="AK145" s="7"/>
      <c r="AL145" s="7"/>
    </row>
    <row r="146" spans="10:38" x14ac:dyDescent="0.3">
      <c r="J146" s="41"/>
      <c r="K146" s="41"/>
      <c r="AK146" s="7"/>
      <c r="AL146" s="7"/>
    </row>
    <row r="147" spans="10:38" x14ac:dyDescent="0.3">
      <c r="J147" s="41"/>
      <c r="K147" s="41"/>
      <c r="AK147" s="7"/>
      <c r="AL147" s="7"/>
    </row>
    <row r="148" spans="10:38" x14ac:dyDescent="0.3">
      <c r="J148" s="41"/>
      <c r="K148" s="41"/>
      <c r="AK148" s="7"/>
      <c r="AL148" s="7"/>
    </row>
    <row r="149" spans="10:38" x14ac:dyDescent="0.3">
      <c r="J149" s="41"/>
      <c r="K149" s="41"/>
      <c r="AK149" s="7"/>
      <c r="AL149" s="7"/>
    </row>
    <row r="150" spans="10:38" x14ac:dyDescent="0.3">
      <c r="J150" s="41"/>
      <c r="K150" s="41"/>
      <c r="AK150" s="7"/>
      <c r="AL150" s="7"/>
    </row>
    <row r="151" spans="10:38" x14ac:dyDescent="0.3">
      <c r="J151" s="41"/>
      <c r="K151" s="41"/>
      <c r="AK151" s="7"/>
      <c r="AL151" s="7"/>
    </row>
    <row r="152" spans="10:38" x14ac:dyDescent="0.3">
      <c r="J152" s="41"/>
      <c r="K152" s="41"/>
      <c r="AK152" s="7"/>
      <c r="AL152" s="7"/>
    </row>
    <row r="153" spans="10:38" x14ac:dyDescent="0.3">
      <c r="J153" s="41"/>
      <c r="K153" s="41"/>
      <c r="AK153" s="7"/>
      <c r="AL153" s="7"/>
    </row>
    <row r="154" spans="10:38" x14ac:dyDescent="0.3">
      <c r="J154" s="41"/>
      <c r="K154" s="41"/>
      <c r="AK154" s="7"/>
      <c r="AL154" s="7"/>
    </row>
    <row r="155" spans="10:38" x14ac:dyDescent="0.3">
      <c r="J155" s="41"/>
      <c r="K155" s="41"/>
      <c r="AK155" s="7"/>
      <c r="AL155" s="7"/>
    </row>
    <row r="156" spans="10:38" x14ac:dyDescent="0.3">
      <c r="J156" s="41"/>
      <c r="K156" s="41"/>
      <c r="AK156" s="7"/>
      <c r="AL156" s="7"/>
    </row>
    <row r="157" spans="10:38" x14ac:dyDescent="0.3">
      <c r="J157" s="41"/>
      <c r="K157" s="41"/>
      <c r="AK157" s="7"/>
      <c r="AL157" s="7"/>
    </row>
    <row r="158" spans="10:38" x14ac:dyDescent="0.3">
      <c r="J158" s="41"/>
      <c r="K158" s="41"/>
      <c r="AK158" s="7"/>
      <c r="AL158" s="7"/>
    </row>
    <row r="159" spans="10:38" x14ac:dyDescent="0.3">
      <c r="J159" s="41"/>
      <c r="K159" s="41"/>
      <c r="AK159" s="7"/>
      <c r="AL159" s="7"/>
    </row>
    <row r="160" spans="10:38" x14ac:dyDescent="0.3">
      <c r="J160" s="41"/>
      <c r="K160" s="41"/>
      <c r="AK160" s="7"/>
      <c r="AL160" s="7"/>
    </row>
    <row r="161" spans="10:38" x14ac:dyDescent="0.3">
      <c r="J161" s="41"/>
      <c r="K161" s="41"/>
      <c r="AK161" s="7"/>
      <c r="AL161" s="7"/>
    </row>
    <row r="162" spans="10:38" x14ac:dyDescent="0.3">
      <c r="J162" s="41"/>
      <c r="K162" s="41"/>
      <c r="AK162" s="7"/>
      <c r="AL162" s="7"/>
    </row>
    <row r="163" spans="10:38" x14ac:dyDescent="0.3">
      <c r="J163" s="41"/>
      <c r="K163" s="41"/>
      <c r="AK163" s="7"/>
      <c r="AL163" s="7"/>
    </row>
    <row r="164" spans="10:38" x14ac:dyDescent="0.3">
      <c r="J164" s="41"/>
      <c r="K164" s="41"/>
      <c r="AK164" s="7"/>
      <c r="AL164" s="7"/>
    </row>
    <row r="165" spans="10:38" x14ac:dyDescent="0.3">
      <c r="J165" s="41"/>
      <c r="K165" s="41"/>
      <c r="AK165" s="7"/>
      <c r="AL165" s="7"/>
    </row>
    <row r="166" spans="10:38" x14ac:dyDescent="0.3">
      <c r="J166" s="41"/>
      <c r="K166" s="41"/>
      <c r="AK166" s="7"/>
      <c r="AL166" s="7"/>
    </row>
    <row r="167" spans="10:38" x14ac:dyDescent="0.3">
      <c r="J167" s="41"/>
      <c r="K167" s="41"/>
      <c r="AK167" s="7"/>
      <c r="AL167" s="7"/>
    </row>
    <row r="168" spans="10:38" x14ac:dyDescent="0.3">
      <c r="J168" s="41"/>
      <c r="K168" s="41"/>
      <c r="AK168" s="7"/>
      <c r="AL168" s="7"/>
    </row>
    <row r="169" spans="10:38" x14ac:dyDescent="0.3">
      <c r="J169" s="41"/>
      <c r="K169" s="41"/>
      <c r="AK169" s="7"/>
      <c r="AL169" s="7"/>
    </row>
    <row r="170" spans="10:38" x14ac:dyDescent="0.3">
      <c r="J170" s="41"/>
      <c r="K170" s="41"/>
      <c r="AK170" s="7"/>
      <c r="AL170" s="7"/>
    </row>
    <row r="171" spans="10:38" x14ac:dyDescent="0.3">
      <c r="J171" s="41"/>
      <c r="K171" s="41"/>
      <c r="AK171" s="7"/>
      <c r="AL171" s="7"/>
    </row>
    <row r="172" spans="10:38" x14ac:dyDescent="0.3">
      <c r="J172" s="41"/>
      <c r="K172" s="41"/>
      <c r="AK172" s="7"/>
      <c r="AL172" s="7"/>
    </row>
    <row r="173" spans="10:38" x14ac:dyDescent="0.3">
      <c r="J173" s="41"/>
      <c r="K173" s="41"/>
      <c r="AK173" s="7"/>
      <c r="AL173" s="7"/>
    </row>
    <row r="174" spans="10:38" x14ac:dyDescent="0.3">
      <c r="J174" s="41"/>
      <c r="K174" s="41"/>
      <c r="AK174" s="7"/>
      <c r="AL174" s="7"/>
    </row>
    <row r="175" spans="10:38" x14ac:dyDescent="0.3">
      <c r="J175" s="41"/>
      <c r="K175" s="41"/>
      <c r="AK175" s="7"/>
      <c r="AL175" s="7"/>
    </row>
    <row r="176" spans="10:38" x14ac:dyDescent="0.3">
      <c r="J176" s="41"/>
      <c r="K176" s="41"/>
      <c r="AK176" s="7"/>
      <c r="AL176" s="7"/>
    </row>
    <row r="177" spans="10:38" x14ac:dyDescent="0.3">
      <c r="J177" s="41"/>
      <c r="K177" s="41"/>
      <c r="AK177" s="7"/>
      <c r="AL177" s="7"/>
    </row>
    <row r="178" spans="10:38" x14ac:dyDescent="0.3">
      <c r="J178" s="41"/>
      <c r="K178" s="41"/>
      <c r="AK178" s="7"/>
      <c r="AL178" s="7"/>
    </row>
    <row r="179" spans="10:38" x14ac:dyDescent="0.3">
      <c r="J179" s="41"/>
      <c r="K179" s="41"/>
      <c r="AK179" s="7"/>
      <c r="AL179" s="7"/>
    </row>
    <row r="180" spans="10:38" x14ac:dyDescent="0.3">
      <c r="J180" s="41"/>
      <c r="K180" s="41"/>
      <c r="AK180" s="7"/>
      <c r="AL180" s="7"/>
    </row>
    <row r="181" spans="10:38" x14ac:dyDescent="0.3">
      <c r="J181" s="41"/>
      <c r="K181" s="41"/>
      <c r="AK181" s="7"/>
      <c r="AL181" s="7"/>
    </row>
    <row r="182" spans="10:38" x14ac:dyDescent="0.3">
      <c r="J182" s="41"/>
      <c r="K182" s="41"/>
      <c r="AK182" s="7"/>
      <c r="AL182" s="7"/>
    </row>
    <row r="183" spans="10:38" x14ac:dyDescent="0.3">
      <c r="J183" s="41"/>
      <c r="K183" s="41"/>
      <c r="AK183" s="7"/>
      <c r="AL183" s="7"/>
    </row>
    <row r="184" spans="10:38" x14ac:dyDescent="0.3">
      <c r="J184" s="41"/>
      <c r="K184" s="41"/>
      <c r="AK184" s="7"/>
      <c r="AL184" s="7"/>
    </row>
    <row r="185" spans="10:38" x14ac:dyDescent="0.3">
      <c r="J185" s="41"/>
      <c r="K185" s="41"/>
      <c r="AK185" s="7"/>
      <c r="AL185" s="7"/>
    </row>
    <row r="186" spans="10:38" x14ac:dyDescent="0.3">
      <c r="J186" s="41"/>
      <c r="K186" s="41"/>
      <c r="AK186" s="7"/>
      <c r="AL186" s="7"/>
    </row>
    <row r="187" spans="10:38" x14ac:dyDescent="0.3">
      <c r="J187" s="41"/>
      <c r="K187" s="41"/>
      <c r="AK187" s="7"/>
      <c r="AL187" s="7"/>
    </row>
    <row r="188" spans="10:38" x14ac:dyDescent="0.3">
      <c r="J188" s="41"/>
      <c r="K188" s="41"/>
      <c r="AK188" s="7"/>
      <c r="AL188" s="7"/>
    </row>
    <row r="189" spans="10:38" x14ac:dyDescent="0.3">
      <c r="J189" s="41"/>
      <c r="K189" s="41"/>
      <c r="AK189" s="7"/>
      <c r="AL189" s="7"/>
    </row>
    <row r="190" spans="10:38" x14ac:dyDescent="0.3">
      <c r="J190" s="41"/>
      <c r="K190" s="41"/>
      <c r="AK190" s="7"/>
      <c r="AL190" s="7"/>
    </row>
    <row r="191" spans="10:38" x14ac:dyDescent="0.3">
      <c r="J191" s="41"/>
      <c r="K191" s="41"/>
      <c r="AK191" s="7"/>
      <c r="AL191" s="7"/>
    </row>
    <row r="192" spans="10:38" x14ac:dyDescent="0.3">
      <c r="J192" s="41"/>
      <c r="K192" s="41"/>
      <c r="AK192" s="7"/>
      <c r="AL192" s="7"/>
    </row>
    <row r="193" spans="10:38" x14ac:dyDescent="0.3">
      <c r="J193" s="41"/>
      <c r="K193" s="41"/>
      <c r="AK193" s="7"/>
      <c r="AL193" s="7"/>
    </row>
    <row r="194" spans="10:38" x14ac:dyDescent="0.3">
      <c r="J194" s="41"/>
      <c r="K194" s="41"/>
      <c r="AK194" s="7"/>
      <c r="AL194" s="7"/>
    </row>
    <row r="195" spans="10:38" x14ac:dyDescent="0.3">
      <c r="J195" s="41"/>
      <c r="K195" s="41"/>
      <c r="AK195" s="7"/>
      <c r="AL195" s="7"/>
    </row>
    <row r="196" spans="10:38" x14ac:dyDescent="0.3">
      <c r="J196" s="41"/>
      <c r="K196" s="41"/>
      <c r="AK196" s="7"/>
      <c r="AL196" s="7"/>
    </row>
    <row r="197" spans="10:38" x14ac:dyDescent="0.3">
      <c r="J197" s="41"/>
      <c r="K197" s="41"/>
      <c r="AK197" s="7"/>
      <c r="AL197" s="7"/>
    </row>
    <row r="198" spans="10:38" x14ac:dyDescent="0.3">
      <c r="J198" s="41"/>
      <c r="K198" s="41"/>
      <c r="AK198" s="7"/>
      <c r="AL198" s="7"/>
    </row>
    <row r="199" spans="10:38" x14ac:dyDescent="0.3">
      <c r="J199" s="41"/>
      <c r="K199" s="41"/>
      <c r="AK199" s="7"/>
      <c r="AL199" s="7"/>
    </row>
    <row r="200" spans="10:38" x14ac:dyDescent="0.3">
      <c r="J200" s="41"/>
      <c r="K200" s="41"/>
      <c r="AK200" s="7"/>
      <c r="AL200" s="7"/>
    </row>
    <row r="201" spans="10:38" x14ac:dyDescent="0.3">
      <c r="J201" s="41"/>
      <c r="K201" s="41"/>
      <c r="AK201" s="7"/>
      <c r="AL201" s="7"/>
    </row>
    <row r="202" spans="10:38" x14ac:dyDescent="0.3">
      <c r="J202" s="41"/>
      <c r="K202" s="41"/>
      <c r="AK202" s="7"/>
      <c r="AL202" s="7"/>
    </row>
    <row r="203" spans="10:38" x14ac:dyDescent="0.3">
      <c r="J203" s="41"/>
      <c r="K203" s="41"/>
      <c r="AK203" s="7"/>
      <c r="AL203" s="7"/>
    </row>
    <row r="204" spans="10:38" x14ac:dyDescent="0.3">
      <c r="J204" s="41"/>
      <c r="K204" s="41"/>
      <c r="AK204" s="7"/>
      <c r="AL204" s="7"/>
    </row>
    <row r="205" spans="10:38" x14ac:dyDescent="0.3">
      <c r="J205" s="41"/>
      <c r="K205" s="41"/>
      <c r="AK205" s="7"/>
      <c r="AL205" s="7"/>
    </row>
    <row r="206" spans="10:38" x14ac:dyDescent="0.3">
      <c r="J206" s="41"/>
      <c r="K206" s="41"/>
      <c r="AK206" s="7"/>
      <c r="AL206" s="7"/>
    </row>
    <row r="207" spans="10:38" x14ac:dyDescent="0.3">
      <c r="J207" s="41"/>
      <c r="K207" s="41"/>
      <c r="AK207" s="7"/>
      <c r="AL207" s="7"/>
    </row>
    <row r="208" spans="10:38" x14ac:dyDescent="0.3">
      <c r="J208" s="41"/>
      <c r="K208" s="41"/>
      <c r="AK208" s="7"/>
      <c r="AL208" s="7"/>
    </row>
    <row r="209" spans="10:38" x14ac:dyDescent="0.3">
      <c r="J209" s="41"/>
      <c r="K209" s="41"/>
      <c r="AK209" s="7"/>
      <c r="AL209" s="7"/>
    </row>
    <row r="210" spans="10:38" x14ac:dyDescent="0.3">
      <c r="J210" s="41"/>
      <c r="K210" s="41"/>
      <c r="AK210" s="7"/>
      <c r="AL210" s="7"/>
    </row>
    <row r="211" spans="10:38" x14ac:dyDescent="0.3">
      <c r="J211" s="41"/>
      <c r="K211" s="41"/>
      <c r="AK211" s="7"/>
      <c r="AL211" s="7"/>
    </row>
    <row r="212" spans="10:38" x14ac:dyDescent="0.3">
      <c r="J212" s="41"/>
      <c r="K212" s="41"/>
      <c r="AK212" s="7"/>
      <c r="AL212" s="7"/>
    </row>
    <row r="213" spans="10:38" x14ac:dyDescent="0.3">
      <c r="J213" s="41"/>
      <c r="K213" s="41"/>
      <c r="AK213" s="7"/>
      <c r="AL213" s="7"/>
    </row>
    <row r="214" spans="10:38" x14ac:dyDescent="0.3">
      <c r="J214" s="41"/>
      <c r="K214" s="41"/>
      <c r="AK214" s="7"/>
      <c r="AL214" s="7"/>
    </row>
    <row r="215" spans="10:38" x14ac:dyDescent="0.3">
      <c r="J215" s="41"/>
      <c r="K215" s="41"/>
      <c r="AK215" s="7"/>
      <c r="AL215" s="7"/>
    </row>
    <row r="216" spans="10:38" x14ac:dyDescent="0.3">
      <c r="J216" s="41"/>
      <c r="K216" s="41"/>
      <c r="AK216" s="7"/>
      <c r="AL216" s="7"/>
    </row>
    <row r="217" spans="10:38" x14ac:dyDescent="0.3">
      <c r="J217" s="41"/>
      <c r="K217" s="41"/>
      <c r="AK217" s="7"/>
      <c r="AL217" s="7"/>
    </row>
    <row r="218" spans="10:38" x14ac:dyDescent="0.3">
      <c r="J218" s="41"/>
      <c r="K218" s="41"/>
      <c r="AK218" s="7"/>
      <c r="AL218" s="7"/>
    </row>
    <row r="219" spans="10:38" x14ac:dyDescent="0.3">
      <c r="J219" s="41"/>
      <c r="K219" s="41"/>
      <c r="AK219" s="7"/>
      <c r="AL219" s="7"/>
    </row>
    <row r="220" spans="10:38" x14ac:dyDescent="0.3">
      <c r="J220" s="41"/>
      <c r="K220" s="41"/>
      <c r="AK220" s="7"/>
      <c r="AL220" s="7"/>
    </row>
    <row r="221" spans="10:38" x14ac:dyDescent="0.3">
      <c r="J221" s="41"/>
      <c r="K221" s="41"/>
      <c r="AK221" s="7"/>
      <c r="AL221" s="7"/>
    </row>
    <row r="222" spans="10:38" x14ac:dyDescent="0.3">
      <c r="J222" s="41"/>
      <c r="K222" s="41"/>
      <c r="AK222" s="7"/>
      <c r="AL222" s="7"/>
    </row>
    <row r="223" spans="10:38" x14ac:dyDescent="0.3">
      <c r="J223" s="41"/>
      <c r="K223" s="41"/>
      <c r="AK223" s="7"/>
      <c r="AL223" s="7"/>
    </row>
    <row r="224" spans="10:38" x14ac:dyDescent="0.3">
      <c r="J224" s="41"/>
      <c r="K224" s="41"/>
      <c r="AK224" s="7"/>
      <c r="AL224" s="7"/>
    </row>
    <row r="225" spans="10:38" x14ac:dyDescent="0.3">
      <c r="J225" s="41"/>
      <c r="K225" s="41"/>
      <c r="AK225" s="7"/>
      <c r="AL225" s="7"/>
    </row>
    <row r="226" spans="10:38" x14ac:dyDescent="0.3">
      <c r="J226" s="41"/>
      <c r="K226" s="41"/>
      <c r="AK226" s="7"/>
      <c r="AL226" s="7"/>
    </row>
    <row r="227" spans="10:38" x14ac:dyDescent="0.3">
      <c r="J227" s="41"/>
      <c r="K227" s="41"/>
      <c r="AK227" s="7"/>
      <c r="AL227" s="7"/>
    </row>
    <row r="228" spans="10:38" x14ac:dyDescent="0.3">
      <c r="J228" s="41"/>
      <c r="K228" s="41"/>
      <c r="AK228" s="7"/>
      <c r="AL228" s="7"/>
    </row>
    <row r="229" spans="10:38" x14ac:dyDescent="0.3">
      <c r="J229" s="41"/>
      <c r="K229" s="41"/>
      <c r="AK229" s="7"/>
      <c r="AL229" s="7"/>
    </row>
    <row r="230" spans="10:38" x14ac:dyDescent="0.3">
      <c r="J230" s="41"/>
      <c r="K230" s="41"/>
      <c r="AK230" s="7"/>
      <c r="AL230" s="7"/>
    </row>
    <row r="231" spans="10:38" x14ac:dyDescent="0.3">
      <c r="J231" s="41"/>
      <c r="K231" s="41"/>
      <c r="AK231" s="7"/>
      <c r="AL231" s="7"/>
    </row>
    <row r="232" spans="10:38" x14ac:dyDescent="0.3">
      <c r="J232" s="41"/>
      <c r="K232" s="41"/>
      <c r="AK232" s="7"/>
      <c r="AL232" s="7"/>
    </row>
    <row r="233" spans="10:38" x14ac:dyDescent="0.3">
      <c r="J233" s="41"/>
      <c r="K233" s="41"/>
      <c r="AK233" s="7"/>
      <c r="AL233" s="7"/>
    </row>
    <row r="234" spans="10:38" x14ac:dyDescent="0.3">
      <c r="J234" s="41"/>
      <c r="K234" s="41"/>
      <c r="AK234" s="7"/>
      <c r="AL234" s="7"/>
    </row>
    <row r="235" spans="10:38" x14ac:dyDescent="0.3">
      <c r="J235" s="41"/>
      <c r="K235" s="41"/>
      <c r="AK235" s="7"/>
      <c r="AL235" s="7"/>
    </row>
    <row r="236" spans="10:38" x14ac:dyDescent="0.3">
      <c r="J236" s="41"/>
      <c r="K236" s="41"/>
      <c r="AK236" s="7"/>
      <c r="AL236" s="7"/>
    </row>
    <row r="237" spans="10:38" x14ac:dyDescent="0.3">
      <c r="J237" s="41"/>
      <c r="K237" s="41"/>
      <c r="AK237" s="7"/>
      <c r="AL237" s="7"/>
    </row>
    <row r="238" spans="10:38" x14ac:dyDescent="0.3">
      <c r="J238" s="41"/>
      <c r="K238" s="41"/>
      <c r="AK238" s="7"/>
      <c r="AL238" s="7"/>
    </row>
    <row r="239" spans="10:38" x14ac:dyDescent="0.3">
      <c r="J239" s="41"/>
      <c r="K239" s="41"/>
      <c r="AK239" s="7"/>
      <c r="AL239" s="7"/>
    </row>
    <row r="240" spans="10:38" x14ac:dyDescent="0.3">
      <c r="J240" s="41"/>
      <c r="K240" s="41"/>
      <c r="AK240" s="7"/>
      <c r="AL240" s="7"/>
    </row>
    <row r="241" spans="10:38" x14ac:dyDescent="0.3">
      <c r="J241" s="41"/>
      <c r="K241" s="41"/>
      <c r="AK241" s="7"/>
      <c r="AL241" s="7"/>
    </row>
    <row r="242" spans="10:38" x14ac:dyDescent="0.3">
      <c r="J242" s="41"/>
      <c r="K242" s="41"/>
      <c r="AK242" s="7"/>
      <c r="AL242" s="7"/>
    </row>
    <row r="243" spans="10:38" x14ac:dyDescent="0.3">
      <c r="J243" s="41"/>
      <c r="K243" s="41"/>
      <c r="AK243" s="7"/>
      <c r="AL243" s="7"/>
    </row>
    <row r="244" spans="10:38" x14ac:dyDescent="0.3">
      <c r="J244" s="41"/>
      <c r="K244" s="41"/>
      <c r="AK244" s="7"/>
      <c r="AL244" s="7"/>
    </row>
    <row r="245" spans="10:38" x14ac:dyDescent="0.3">
      <c r="J245" s="41"/>
      <c r="K245" s="41"/>
      <c r="AK245" s="7"/>
      <c r="AL245" s="7"/>
    </row>
    <row r="246" spans="10:38" x14ac:dyDescent="0.3">
      <c r="J246" s="41"/>
      <c r="K246" s="41"/>
      <c r="AK246" s="7"/>
      <c r="AL246" s="7"/>
    </row>
    <row r="247" spans="10:38" x14ac:dyDescent="0.3">
      <c r="J247" s="41"/>
      <c r="K247" s="41"/>
      <c r="AK247" s="7"/>
      <c r="AL247" s="7"/>
    </row>
    <row r="248" spans="10:38" x14ac:dyDescent="0.3">
      <c r="J248" s="41"/>
      <c r="K248" s="41"/>
      <c r="AK248" s="7"/>
      <c r="AL248" s="7"/>
    </row>
    <row r="249" spans="10:38" x14ac:dyDescent="0.3">
      <c r="J249" s="41"/>
      <c r="K249" s="41"/>
      <c r="AK249" s="7"/>
      <c r="AL249" s="7"/>
    </row>
    <row r="250" spans="10:38" x14ac:dyDescent="0.3">
      <c r="J250" s="41"/>
      <c r="K250" s="41"/>
      <c r="AK250" s="7"/>
      <c r="AL250" s="7"/>
    </row>
    <row r="251" spans="10:38" x14ac:dyDescent="0.3">
      <c r="J251" s="41"/>
      <c r="K251" s="41"/>
      <c r="AK251" s="7"/>
      <c r="AL251" s="7"/>
    </row>
    <row r="252" spans="10:38" x14ac:dyDescent="0.3">
      <c r="J252" s="41"/>
      <c r="K252" s="41"/>
      <c r="AK252" s="7"/>
      <c r="AL252" s="7"/>
    </row>
    <row r="253" spans="10:38" x14ac:dyDescent="0.3">
      <c r="J253" s="41"/>
      <c r="K253" s="41"/>
      <c r="AK253" s="7"/>
      <c r="AL253" s="7"/>
    </row>
    <row r="254" spans="10:38" x14ac:dyDescent="0.3">
      <c r="J254" s="41"/>
      <c r="K254" s="41"/>
      <c r="AK254" s="7"/>
      <c r="AL254" s="7"/>
    </row>
    <row r="255" spans="10:38" x14ac:dyDescent="0.3">
      <c r="J255" s="41"/>
      <c r="K255" s="41"/>
      <c r="AK255" s="7"/>
      <c r="AL255" s="7"/>
    </row>
    <row r="256" spans="10:38" x14ac:dyDescent="0.3">
      <c r="J256" s="41"/>
      <c r="K256" s="41"/>
      <c r="AK256" s="7"/>
      <c r="AL256" s="7"/>
    </row>
    <row r="257" spans="10:38" x14ac:dyDescent="0.3">
      <c r="J257" s="41"/>
      <c r="K257" s="41"/>
      <c r="AK257" s="7"/>
      <c r="AL257" s="7"/>
    </row>
    <row r="258" spans="10:38" x14ac:dyDescent="0.3">
      <c r="J258" s="41"/>
      <c r="K258" s="41"/>
      <c r="AK258" s="7"/>
      <c r="AL258" s="7"/>
    </row>
    <row r="259" spans="10:38" x14ac:dyDescent="0.3">
      <c r="J259" s="41"/>
      <c r="K259" s="41"/>
      <c r="AK259" s="7"/>
      <c r="AL259" s="7"/>
    </row>
    <row r="260" spans="10:38" x14ac:dyDescent="0.3">
      <c r="J260" s="41"/>
      <c r="K260" s="41"/>
      <c r="AK260" s="7"/>
      <c r="AL260" s="7"/>
    </row>
    <row r="261" spans="10:38" x14ac:dyDescent="0.3">
      <c r="J261" s="41"/>
      <c r="K261" s="41"/>
      <c r="AK261" s="7"/>
      <c r="AL261" s="7"/>
    </row>
    <row r="262" spans="10:38" x14ac:dyDescent="0.3">
      <c r="J262" s="41"/>
      <c r="K262" s="41"/>
      <c r="AK262" s="7"/>
      <c r="AL262" s="7"/>
    </row>
    <row r="263" spans="10:38" x14ac:dyDescent="0.3">
      <c r="J263" s="41"/>
      <c r="K263" s="41"/>
      <c r="AK263" s="7"/>
      <c r="AL263" s="7"/>
    </row>
    <row r="264" spans="10:38" x14ac:dyDescent="0.3">
      <c r="J264" s="41"/>
      <c r="K264" s="41"/>
      <c r="AK264" s="7"/>
      <c r="AL264" s="7"/>
    </row>
    <row r="265" spans="10:38" x14ac:dyDescent="0.3">
      <c r="J265" s="41"/>
      <c r="K265" s="41"/>
      <c r="AK265" s="7"/>
      <c r="AL265" s="7"/>
    </row>
    <row r="266" spans="10:38" x14ac:dyDescent="0.3">
      <c r="K266" s="41"/>
      <c r="AK266" s="7"/>
      <c r="AL266" s="7"/>
    </row>
  </sheetData>
  <mergeCells count="12">
    <mergeCell ref="D9:G9"/>
    <mergeCell ref="D10:G10"/>
    <mergeCell ref="K1:M1"/>
    <mergeCell ref="D3:G3"/>
    <mergeCell ref="D4:G4"/>
    <mergeCell ref="D5:G5"/>
    <mergeCell ref="D6:G6"/>
    <mergeCell ref="D14:G14"/>
    <mergeCell ref="D11:G11"/>
    <mergeCell ref="D12:G12"/>
    <mergeCell ref="D7:G7"/>
    <mergeCell ref="D8:G8"/>
  </mergeCells>
  <phoneticPr fontId="0" type="noConversion"/>
  <dataValidations count="2">
    <dataValidation type="whole" errorStyle="warning" allowBlank="1" showErrorMessage="1" errorTitle="Campus Information Data" error="You need to enter the number 1, not a letter or x." promptTitle="Campus Information" sqref="C36:C37 E36:E37 C20:C26 E20:E26">
      <formula1>0</formula1>
      <formula2>1</formula2>
    </dataValidation>
    <dataValidation type="textLength" operator="lessThanOrEqual" allowBlank="1" showErrorMessage="1" errorTitle="Too Many Characters" error="Please limit text to 100 characters per line." sqref="A30:A35 A37:A39">
      <formula1>100</formula1>
    </dataValidation>
  </dataValidations>
  <hyperlinks>
    <hyperlink ref="Q2" location="ConvCalc" display="ConvCalc"/>
    <hyperlink ref="P2" location="Attch2" display="Attch2"/>
    <hyperlink ref="A16" location="'CRP-Instructions'!A1" display="'CRP-Instructions'!A1"/>
  </hyperlinks>
  <pageMargins left="0.56000000000000005" right="0.51" top="0.68" bottom="0.66" header="0.5" footer="0.5"/>
  <pageSetup scale="86" orientation="portrait" r:id="rId1"/>
  <headerFooter alignWithMargins="0">
    <oddHeader>&amp;C&amp;"Times New Roman,Bold"CURC Campus Refuse Profile</oddHeader>
    <oddFooter>&amp;L&amp;"Times New Roman,Regular"&amp;8&amp;F, &amp;A&amp;C&amp;"Times New Roman,Regular"&amp;8Page &amp;P of &amp;N&amp;R&amp;"Times New Roman,Regular"&amp;8&amp;D, &amp;T</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B3" sqref="B3"/>
    </sheetView>
  </sheetViews>
  <sheetFormatPr defaultColWidth="9.1796875" defaultRowHeight="13" x14ac:dyDescent="0.3"/>
  <cols>
    <col min="1" max="1" width="18.1796875" style="7" customWidth="1"/>
    <col min="2" max="2" width="73.453125" style="7" customWidth="1"/>
    <col min="3" max="16384" width="9.1796875" style="7"/>
  </cols>
  <sheetData>
    <row r="1" spans="1:2" x14ac:dyDescent="0.3">
      <c r="A1" s="7" t="s">
        <v>73</v>
      </c>
      <c r="B1" s="7" t="s">
        <v>74</v>
      </c>
    </row>
    <row r="2" spans="1:2" x14ac:dyDescent="0.3">
      <c r="A2" s="28" t="s">
        <v>193</v>
      </c>
      <c r="B2" s="7" t="s">
        <v>238</v>
      </c>
    </row>
    <row r="16" spans="1:2" ht="24.75" customHeight="1" x14ac:dyDescent="0.3">
      <c r="A16" s="13" t="s">
        <v>75</v>
      </c>
      <c r="B16" s="14" t="s">
        <v>76</v>
      </c>
    </row>
    <row r="17" spans="1:2" ht="4" customHeight="1" x14ac:dyDescent="0.3">
      <c r="A17" s="9"/>
      <c r="B17" s="10"/>
    </row>
    <row r="18" spans="1:2" ht="26" x14ac:dyDescent="0.3">
      <c r="A18" s="15" t="s">
        <v>77</v>
      </c>
      <c r="B18" s="14" t="s">
        <v>78</v>
      </c>
    </row>
    <row r="19" spans="1:2" ht="4" customHeight="1" x14ac:dyDescent="0.3">
      <c r="A19" s="9"/>
      <c r="B19" s="10"/>
    </row>
    <row r="20" spans="1:2" ht="39" x14ac:dyDescent="0.3">
      <c r="A20" s="13" t="s">
        <v>79</v>
      </c>
      <c r="B20" s="14" t="s">
        <v>80</v>
      </c>
    </row>
    <row r="21" spans="1:2" ht="4" customHeight="1" x14ac:dyDescent="0.3">
      <c r="A21" s="9"/>
      <c r="B21" s="10"/>
    </row>
    <row r="22" spans="1:2" ht="26" x14ac:dyDescent="0.3">
      <c r="A22" s="13" t="s">
        <v>81</v>
      </c>
      <c r="B22" s="14" t="s">
        <v>82</v>
      </c>
    </row>
    <row r="23" spans="1:2" ht="4" customHeight="1" x14ac:dyDescent="0.3">
      <c r="A23" s="9"/>
      <c r="B23" s="10"/>
    </row>
    <row r="24" spans="1:2" x14ac:dyDescent="0.3">
      <c r="A24" s="13" t="s">
        <v>83</v>
      </c>
      <c r="B24" s="14" t="s">
        <v>84</v>
      </c>
    </row>
    <row r="25" spans="1:2" ht="4" customHeight="1" x14ac:dyDescent="0.3">
      <c r="A25" s="9"/>
      <c r="B25" s="10"/>
    </row>
    <row r="26" spans="1:2" ht="39" x14ac:dyDescent="0.3">
      <c r="A26" s="13" t="s">
        <v>85</v>
      </c>
      <c r="B26" s="14" t="s">
        <v>86</v>
      </c>
    </row>
  </sheetData>
  <phoneticPr fontId="0" type="noConversion"/>
  <hyperlinks>
    <hyperlink ref="A2" location="CRP_Data!A1" display="CRP_Data!A1"/>
  </hyperlinks>
  <pageMargins left="0.75" right="0.75" top="1" bottom="1" header="0.5" footer="0.5"/>
  <pageSetup orientation="landscape" horizontalDpi="300" verticalDpi="300" r:id="rId1"/>
  <headerFooter alignWithMargins="0">
    <oddHeader>&amp;A</oddHeader>
    <oddFooter>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Views>
    <sheetView workbookViewId="0"/>
  </sheetViews>
  <sheetFormatPr defaultColWidth="9.1796875" defaultRowHeight="13" x14ac:dyDescent="0.3"/>
  <cols>
    <col min="1" max="1" width="36.7265625" style="7" customWidth="1"/>
    <col min="2" max="2" width="19.7265625" style="7" customWidth="1"/>
    <col min="3" max="3" width="23.26953125" style="7" customWidth="1"/>
    <col min="4" max="4" width="27" style="7" customWidth="1"/>
    <col min="5" max="16384" width="9.1796875" style="7"/>
  </cols>
  <sheetData>
    <row r="1" spans="1:3" x14ac:dyDescent="0.3">
      <c r="A1" s="7" t="s">
        <v>87</v>
      </c>
      <c r="B1" s="28" t="s">
        <v>193</v>
      </c>
    </row>
    <row r="2" spans="1:3" x14ac:dyDescent="0.3">
      <c r="A2" s="7" t="s">
        <v>88</v>
      </c>
    </row>
    <row r="3" spans="1:3" x14ac:dyDescent="0.3">
      <c r="A3" s="7" t="s">
        <v>89</v>
      </c>
    </row>
    <row r="5" spans="1:3" s="10" customFormat="1" x14ac:dyDescent="0.3">
      <c r="A5" s="16" t="s">
        <v>90</v>
      </c>
      <c r="B5"/>
    </row>
    <row r="6" spans="1:3" s="10" customFormat="1" x14ac:dyDescent="0.3">
      <c r="A6" s="16" t="s">
        <v>91</v>
      </c>
      <c r="B6"/>
    </row>
    <row r="7" spans="1:3" s="10" customFormat="1" x14ac:dyDescent="0.3">
      <c r="A7" s="16" t="s">
        <v>92</v>
      </c>
      <c r="B7"/>
    </row>
    <row r="8" spans="1:3" s="10" customFormat="1" x14ac:dyDescent="0.3">
      <c r="A8" s="16" t="s">
        <v>93</v>
      </c>
      <c r="B8"/>
    </row>
    <row r="9" spans="1:3" s="10" customFormat="1" x14ac:dyDescent="0.3">
      <c r="A9" s="16" t="s">
        <v>94</v>
      </c>
      <c r="B9"/>
    </row>
    <row r="11" spans="1:3" x14ac:dyDescent="0.3">
      <c r="A11" s="8" t="s">
        <v>50</v>
      </c>
    </row>
    <row r="12" spans="1:3" x14ac:dyDescent="0.3">
      <c r="A12" s="7" t="s">
        <v>95</v>
      </c>
    </row>
    <row r="13" spans="1:3" x14ac:dyDescent="0.3">
      <c r="A13" s="7" t="s">
        <v>96</v>
      </c>
      <c r="B13" s="7" t="s">
        <v>97</v>
      </c>
      <c r="C13" s="7" t="s">
        <v>98</v>
      </c>
    </row>
    <row r="14" spans="1:3" x14ac:dyDescent="0.3">
      <c r="A14" s="7" t="s">
        <v>99</v>
      </c>
      <c r="B14" s="7" t="s">
        <v>100</v>
      </c>
      <c r="C14" s="7" t="s">
        <v>101</v>
      </c>
    </row>
    <row r="15" spans="1:3" x14ac:dyDescent="0.3">
      <c r="A15" s="7" t="s">
        <v>102</v>
      </c>
      <c r="B15" s="7" t="s">
        <v>103</v>
      </c>
      <c r="C15" s="7" t="s">
        <v>104</v>
      </c>
    </row>
    <row r="16" spans="1:3" x14ac:dyDescent="0.3">
      <c r="A16" s="7" t="s">
        <v>105</v>
      </c>
      <c r="B16" s="7" t="s">
        <v>106</v>
      </c>
      <c r="C16" s="7" t="s">
        <v>107</v>
      </c>
    </row>
    <row r="18" spans="1:3" x14ac:dyDescent="0.3">
      <c r="A18" s="8" t="s">
        <v>108</v>
      </c>
    </row>
    <row r="19" spans="1:3" x14ac:dyDescent="0.3">
      <c r="A19" s="7" t="s">
        <v>109</v>
      </c>
      <c r="B19" s="7" t="s">
        <v>110</v>
      </c>
      <c r="C19" s="7" t="s">
        <v>111</v>
      </c>
    </row>
    <row r="20" spans="1:3" x14ac:dyDescent="0.3">
      <c r="A20" s="7" t="s">
        <v>112</v>
      </c>
      <c r="B20" s="7" t="s">
        <v>113</v>
      </c>
      <c r="C20" s="7" t="s">
        <v>114</v>
      </c>
    </row>
    <row r="21" spans="1:3" x14ac:dyDescent="0.3">
      <c r="A21" s="7" t="s">
        <v>115</v>
      </c>
      <c r="B21" s="7" t="s">
        <v>116</v>
      </c>
      <c r="C21" s="7" t="s">
        <v>117</v>
      </c>
    </row>
    <row r="23" spans="1:3" x14ac:dyDescent="0.3">
      <c r="A23" s="8" t="s">
        <v>118</v>
      </c>
    </row>
    <row r="24" spans="1:3" x14ac:dyDescent="0.3">
      <c r="A24" s="7" t="s">
        <v>119</v>
      </c>
      <c r="B24" s="7" t="s">
        <v>120</v>
      </c>
      <c r="C24" s="7" t="s">
        <v>121</v>
      </c>
    </row>
    <row r="25" spans="1:3" x14ac:dyDescent="0.3">
      <c r="A25" s="7" t="s">
        <v>122</v>
      </c>
      <c r="B25" s="7" t="s">
        <v>123</v>
      </c>
      <c r="C25" s="7" t="s">
        <v>124</v>
      </c>
    </row>
    <row r="26" spans="1:3" x14ac:dyDescent="0.3">
      <c r="A26" s="7" t="s">
        <v>125</v>
      </c>
      <c r="B26" s="7" t="s">
        <v>126</v>
      </c>
      <c r="C26" s="7" t="s">
        <v>127</v>
      </c>
    </row>
    <row r="27" spans="1:3" x14ac:dyDescent="0.3">
      <c r="A27" s="7" t="s">
        <v>128</v>
      </c>
      <c r="B27" s="7" t="s">
        <v>129</v>
      </c>
      <c r="C27" s="7" t="s">
        <v>130</v>
      </c>
    </row>
    <row r="28" spans="1:3" x14ac:dyDescent="0.3">
      <c r="A28" s="7" t="s">
        <v>131</v>
      </c>
      <c r="B28" s="7" t="s">
        <v>132</v>
      </c>
      <c r="C28" s="7" t="s">
        <v>133</v>
      </c>
    </row>
    <row r="30" spans="1:3" x14ac:dyDescent="0.3">
      <c r="A30" s="8" t="s">
        <v>134</v>
      </c>
    </row>
    <row r="31" spans="1:3" x14ac:dyDescent="0.3">
      <c r="A31" s="7" t="s">
        <v>135</v>
      </c>
      <c r="B31" s="7" t="s">
        <v>136</v>
      </c>
      <c r="C31" s="7" t="s">
        <v>137</v>
      </c>
    </row>
    <row r="32" spans="1:3" x14ac:dyDescent="0.3">
      <c r="A32" s="7" t="s">
        <v>138</v>
      </c>
      <c r="B32" s="7" t="s">
        <v>139</v>
      </c>
      <c r="C32" s="7" t="s">
        <v>140</v>
      </c>
    </row>
    <row r="33" spans="1:3" x14ac:dyDescent="0.3">
      <c r="A33" s="7" t="s">
        <v>141</v>
      </c>
      <c r="B33" s="7" t="s">
        <v>113</v>
      </c>
      <c r="C33" s="7" t="s">
        <v>142</v>
      </c>
    </row>
    <row r="34" spans="1:3" x14ac:dyDescent="0.3">
      <c r="A34" s="7" t="s">
        <v>56</v>
      </c>
      <c r="B34" s="7" t="s">
        <v>143</v>
      </c>
      <c r="C34" s="7" t="s">
        <v>144</v>
      </c>
    </row>
    <row r="35" spans="1:3" x14ac:dyDescent="0.3">
      <c r="A35" s="7" t="s">
        <v>57</v>
      </c>
      <c r="B35" s="7" t="s">
        <v>113</v>
      </c>
      <c r="C35" s="7" t="s">
        <v>142</v>
      </c>
    </row>
    <row r="37" spans="1:3" x14ac:dyDescent="0.3">
      <c r="A37" s="8" t="s">
        <v>145</v>
      </c>
    </row>
    <row r="38" spans="1:3" x14ac:dyDescent="0.3">
      <c r="A38" s="7" t="s">
        <v>146</v>
      </c>
      <c r="B38" s="7" t="s">
        <v>147</v>
      </c>
      <c r="C38" s="7" t="s">
        <v>148</v>
      </c>
    </row>
    <row r="39" spans="1:3" x14ac:dyDescent="0.3">
      <c r="A39" s="7" t="s">
        <v>149</v>
      </c>
      <c r="B39" s="7" t="s">
        <v>150</v>
      </c>
      <c r="C39" s="7" t="s">
        <v>151</v>
      </c>
    </row>
    <row r="40" spans="1:3" x14ac:dyDescent="0.3">
      <c r="A40" s="7" t="s">
        <v>152</v>
      </c>
      <c r="B40" s="7" t="s">
        <v>120</v>
      </c>
      <c r="C40" s="7" t="s">
        <v>153</v>
      </c>
    </row>
    <row r="41" spans="1:3" x14ac:dyDescent="0.3">
      <c r="A41" s="7" t="s">
        <v>154</v>
      </c>
      <c r="B41" s="7" t="s">
        <v>155</v>
      </c>
      <c r="C41" s="7" t="s">
        <v>156</v>
      </c>
    </row>
    <row r="42" spans="1:3" x14ac:dyDescent="0.3">
      <c r="A42" s="7" t="s">
        <v>157</v>
      </c>
      <c r="B42" s="7" t="s">
        <v>158</v>
      </c>
      <c r="C42" s="7" t="s">
        <v>159</v>
      </c>
    </row>
    <row r="44" spans="1:3" x14ac:dyDescent="0.3">
      <c r="A44" s="8" t="s">
        <v>160</v>
      </c>
    </row>
    <row r="45" spans="1:3" x14ac:dyDescent="0.3">
      <c r="A45" s="7" t="s">
        <v>161</v>
      </c>
      <c r="B45" s="7" t="s">
        <v>162</v>
      </c>
      <c r="C45" s="7" t="s">
        <v>163</v>
      </c>
    </row>
    <row r="46" spans="1:3" x14ac:dyDescent="0.3">
      <c r="A46" s="7" t="s">
        <v>164</v>
      </c>
      <c r="B46" s="7" t="s">
        <v>136</v>
      </c>
      <c r="C46" s="7" t="s">
        <v>165</v>
      </c>
    </row>
    <row r="47" spans="1:3" x14ac:dyDescent="0.3">
      <c r="A47" s="7" t="s">
        <v>166</v>
      </c>
      <c r="B47" s="7" t="s">
        <v>167</v>
      </c>
      <c r="C47" s="7" t="s">
        <v>168</v>
      </c>
    </row>
    <row r="48" spans="1:3" x14ac:dyDescent="0.3">
      <c r="A48" s="7" t="s">
        <v>169</v>
      </c>
      <c r="B48" s="7" t="s">
        <v>170</v>
      </c>
      <c r="C48" s="7" t="s">
        <v>171</v>
      </c>
    </row>
    <row r="50" spans="1:3" x14ac:dyDescent="0.3">
      <c r="A50" s="8" t="s">
        <v>172</v>
      </c>
    </row>
    <row r="51" spans="1:3" x14ac:dyDescent="0.3">
      <c r="B51" s="7" t="s">
        <v>173</v>
      </c>
      <c r="C51" s="7" t="s">
        <v>174</v>
      </c>
    </row>
    <row r="52" spans="1:3" x14ac:dyDescent="0.3">
      <c r="A52" s="7" t="s">
        <v>175</v>
      </c>
      <c r="B52" s="7" t="s">
        <v>176</v>
      </c>
      <c r="C52" s="7" t="s">
        <v>177</v>
      </c>
    </row>
    <row r="53" spans="1:3" x14ac:dyDescent="0.3">
      <c r="B53" s="7" t="s">
        <v>178</v>
      </c>
      <c r="C53" s="7" t="s">
        <v>179</v>
      </c>
    </row>
    <row r="55" spans="1:3" x14ac:dyDescent="0.3">
      <c r="A55" s="7" t="s">
        <v>180</v>
      </c>
      <c r="B55" s="7" t="s">
        <v>181</v>
      </c>
      <c r="C55" s="7" t="s">
        <v>182</v>
      </c>
    </row>
  </sheetData>
  <phoneticPr fontId="0" type="noConversion"/>
  <hyperlinks>
    <hyperlink ref="B1" location="CRP_Data!A1" display="CRP_Data!A1"/>
  </hyperlinks>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3"/>
  <sheetViews>
    <sheetView workbookViewId="0">
      <selection activeCell="B1" sqref="B1"/>
    </sheetView>
  </sheetViews>
  <sheetFormatPr defaultColWidth="9.1796875" defaultRowHeight="13" x14ac:dyDescent="0.3"/>
  <cols>
    <col min="1" max="1" width="34.7265625" style="7" customWidth="1"/>
    <col min="2" max="2" width="10.453125" style="7" customWidth="1"/>
    <col min="3" max="3" width="10.26953125" style="7" customWidth="1"/>
    <col min="4" max="4" width="11" style="7" customWidth="1"/>
    <col min="5" max="5" width="23.26953125" style="20" customWidth="1"/>
    <col min="6" max="6" width="27" style="7" customWidth="1"/>
    <col min="7" max="16384" width="9.1796875" style="7"/>
  </cols>
  <sheetData>
    <row r="1" spans="1:5" x14ac:dyDescent="0.3">
      <c r="A1" s="7" t="s">
        <v>87</v>
      </c>
      <c r="B1" s="28" t="s">
        <v>193</v>
      </c>
    </row>
    <row r="2" spans="1:5" x14ac:dyDescent="0.3">
      <c r="A2" s="7" t="s">
        <v>88</v>
      </c>
    </row>
    <row r="3" spans="1:5" x14ac:dyDescent="0.3">
      <c r="A3" s="7" t="s">
        <v>89</v>
      </c>
    </row>
    <row r="5" spans="1:5" s="10" customFormat="1" x14ac:dyDescent="0.3">
      <c r="A5" s="16" t="s">
        <v>90</v>
      </c>
      <c r="B5"/>
      <c r="C5"/>
      <c r="D5" s="16"/>
      <c r="E5" s="21"/>
    </row>
    <row r="6" spans="1:5" s="10" customFormat="1" x14ac:dyDescent="0.3">
      <c r="A6" s="16" t="s">
        <v>91</v>
      </c>
      <c r="B6"/>
      <c r="C6"/>
      <c r="D6" s="16"/>
      <c r="E6" s="21"/>
    </row>
    <row r="7" spans="1:5" s="10" customFormat="1" x14ac:dyDescent="0.3">
      <c r="A7" s="16" t="s">
        <v>92</v>
      </c>
      <c r="B7"/>
      <c r="C7"/>
      <c r="D7" s="16"/>
      <c r="E7" s="21"/>
    </row>
    <row r="8" spans="1:5" s="10" customFormat="1" x14ac:dyDescent="0.3">
      <c r="A8" s="16" t="s">
        <v>93</v>
      </c>
      <c r="B8"/>
      <c r="C8"/>
      <c r="D8" s="16"/>
      <c r="E8" s="21"/>
    </row>
    <row r="9" spans="1:5" s="10" customFormat="1" x14ac:dyDescent="0.3">
      <c r="A9" s="16" t="s">
        <v>94</v>
      </c>
      <c r="B9"/>
      <c r="C9"/>
      <c r="D9" s="16"/>
      <c r="E9" s="21"/>
    </row>
    <row r="10" spans="1:5" ht="26" x14ac:dyDescent="0.3">
      <c r="B10" s="18" t="s">
        <v>186</v>
      </c>
      <c r="C10" s="18" t="s">
        <v>183</v>
      </c>
      <c r="D10" s="18" t="s">
        <v>187</v>
      </c>
      <c r="E10" s="18" t="s">
        <v>188</v>
      </c>
    </row>
    <row r="11" spans="1:5" x14ac:dyDescent="0.3">
      <c r="A11" s="8" t="s">
        <v>50</v>
      </c>
    </row>
    <row r="12" spans="1:5" x14ac:dyDescent="0.3">
      <c r="A12" s="7" t="s">
        <v>95</v>
      </c>
      <c r="B12" s="22"/>
      <c r="C12" s="7">
        <v>655</v>
      </c>
      <c r="D12" s="23">
        <f>C12*B12/2000</f>
        <v>0</v>
      </c>
    </row>
    <row r="13" spans="1:5" x14ac:dyDescent="0.3">
      <c r="A13" s="7" t="s">
        <v>96</v>
      </c>
      <c r="B13" s="22"/>
      <c r="C13" s="7">
        <v>655</v>
      </c>
      <c r="D13" s="23">
        <f>C13*B13/2000</f>
        <v>0</v>
      </c>
      <c r="E13" s="20" t="s">
        <v>98</v>
      </c>
    </row>
    <row r="14" spans="1:5" x14ac:dyDescent="0.3">
      <c r="A14" s="7" t="s">
        <v>99</v>
      </c>
      <c r="B14" s="22"/>
      <c r="C14" s="7">
        <v>433</v>
      </c>
      <c r="D14" s="23">
        <f>C14*B14/2000</f>
        <v>0</v>
      </c>
      <c r="E14" s="20" t="s">
        <v>101</v>
      </c>
    </row>
    <row r="15" spans="1:5" x14ac:dyDescent="0.3">
      <c r="A15" s="7" t="s">
        <v>102</v>
      </c>
      <c r="B15" s="22"/>
      <c r="C15" s="7">
        <v>568</v>
      </c>
      <c r="D15" s="23">
        <f>C15*B15/2000</f>
        <v>0</v>
      </c>
      <c r="E15" s="20" t="s">
        <v>104</v>
      </c>
    </row>
    <row r="16" spans="1:5" x14ac:dyDescent="0.3">
      <c r="A16" s="7" t="s">
        <v>105</v>
      </c>
      <c r="B16" s="22"/>
      <c r="C16" s="7">
        <v>484</v>
      </c>
      <c r="D16" s="23">
        <f>C16*B16/2000</f>
        <v>0</v>
      </c>
      <c r="E16" s="20" t="s">
        <v>107</v>
      </c>
    </row>
    <row r="17" spans="1:5" x14ac:dyDescent="0.3">
      <c r="B17" s="19"/>
      <c r="D17" s="24"/>
    </row>
    <row r="18" spans="1:5" x14ac:dyDescent="0.3">
      <c r="A18" s="8" t="s">
        <v>108</v>
      </c>
      <c r="B18" s="19"/>
      <c r="D18" s="24"/>
    </row>
    <row r="19" spans="1:5" x14ac:dyDescent="0.3">
      <c r="A19" s="7" t="s">
        <v>109</v>
      </c>
      <c r="B19" s="22"/>
      <c r="C19" s="7">
        <v>100</v>
      </c>
      <c r="D19" s="23">
        <f>C19*B19/2000</f>
        <v>0</v>
      </c>
      <c r="E19" s="20" t="s">
        <v>111</v>
      </c>
    </row>
    <row r="20" spans="1:5" x14ac:dyDescent="0.3">
      <c r="A20" s="7" t="s">
        <v>112</v>
      </c>
      <c r="B20" s="22"/>
      <c r="C20" s="7">
        <v>400</v>
      </c>
      <c r="D20" s="23">
        <f>C20*B20/2000</f>
        <v>0</v>
      </c>
      <c r="E20" s="20" t="s">
        <v>114</v>
      </c>
    </row>
    <row r="21" spans="1:5" x14ac:dyDescent="0.3">
      <c r="A21" s="7" t="s">
        <v>115</v>
      </c>
      <c r="B21" s="22"/>
      <c r="C21" s="7">
        <v>900</v>
      </c>
      <c r="D21" s="23">
        <f>C21*B21/2000</f>
        <v>0</v>
      </c>
      <c r="E21" s="20" t="s">
        <v>117</v>
      </c>
    </row>
    <row r="22" spans="1:5" x14ac:dyDescent="0.3">
      <c r="B22" s="19"/>
      <c r="D22" s="24"/>
    </row>
    <row r="23" spans="1:5" x14ac:dyDescent="0.3">
      <c r="A23" s="8" t="s">
        <v>118</v>
      </c>
      <c r="B23" s="19"/>
      <c r="D23" s="24"/>
    </row>
    <row r="24" spans="1:5" x14ac:dyDescent="0.3">
      <c r="A24" s="7" t="s">
        <v>119</v>
      </c>
      <c r="B24" s="22"/>
      <c r="C24" s="7">
        <v>200</v>
      </c>
      <c r="D24" s="23">
        <f>C24*B24/2000</f>
        <v>0</v>
      </c>
      <c r="E24" s="20" t="s">
        <v>121</v>
      </c>
    </row>
    <row r="25" spans="1:5" x14ac:dyDescent="0.3">
      <c r="A25" s="7" t="s">
        <v>122</v>
      </c>
      <c r="B25" s="22"/>
      <c r="C25" s="7">
        <v>600</v>
      </c>
      <c r="D25" s="23">
        <f>C25*B25/2000</f>
        <v>0</v>
      </c>
      <c r="E25" s="20" t="s">
        <v>124</v>
      </c>
    </row>
    <row r="26" spans="1:5" x14ac:dyDescent="0.3">
      <c r="A26" s="7" t="s">
        <v>125</v>
      </c>
      <c r="B26" s="22"/>
      <c r="C26" s="7">
        <v>63</v>
      </c>
      <c r="D26" s="23">
        <f>C26*B26/2000</f>
        <v>0</v>
      </c>
      <c r="E26" s="20" t="s">
        <v>127</v>
      </c>
    </row>
    <row r="27" spans="1:5" x14ac:dyDescent="0.3">
      <c r="A27" s="7" t="s">
        <v>128</v>
      </c>
      <c r="B27" s="22"/>
      <c r="C27" s="7">
        <v>150</v>
      </c>
      <c r="D27" s="23">
        <f>C27*B27/2000</f>
        <v>0</v>
      </c>
      <c r="E27" s="20" t="s">
        <v>130</v>
      </c>
    </row>
    <row r="28" spans="1:5" x14ac:dyDescent="0.3">
      <c r="A28" s="7" t="s">
        <v>131</v>
      </c>
      <c r="B28" s="22"/>
      <c r="C28" s="7">
        <v>36</v>
      </c>
      <c r="D28" s="23">
        <f>C28*B28/2000</f>
        <v>0</v>
      </c>
      <c r="E28" s="20" t="s">
        <v>133</v>
      </c>
    </row>
    <row r="29" spans="1:5" x14ac:dyDescent="0.3">
      <c r="B29" s="19"/>
      <c r="D29" s="24"/>
    </row>
    <row r="30" spans="1:5" x14ac:dyDescent="0.3">
      <c r="A30" s="8" t="s">
        <v>134</v>
      </c>
      <c r="B30" s="19"/>
      <c r="D30" s="24"/>
    </row>
    <row r="31" spans="1:5" x14ac:dyDescent="0.3">
      <c r="A31" s="7" t="s">
        <v>135</v>
      </c>
      <c r="B31" s="22"/>
      <c r="C31" s="7">
        <v>225</v>
      </c>
      <c r="D31" s="23">
        <f>C31*B31/2000</f>
        <v>0</v>
      </c>
      <c r="E31" s="20" t="s">
        <v>137</v>
      </c>
    </row>
    <row r="32" spans="1:5" x14ac:dyDescent="0.3">
      <c r="A32" s="7" t="s">
        <v>138</v>
      </c>
      <c r="B32" s="22"/>
      <c r="C32" s="7">
        <v>350</v>
      </c>
      <c r="D32" s="23">
        <f>C32*B32/2000</f>
        <v>0</v>
      </c>
      <c r="E32" s="20" t="s">
        <v>140</v>
      </c>
    </row>
    <row r="33" spans="1:5" x14ac:dyDescent="0.3">
      <c r="A33" s="7" t="s">
        <v>141</v>
      </c>
      <c r="B33" s="22"/>
      <c r="C33" s="7">
        <v>400</v>
      </c>
      <c r="D33" s="23">
        <f>C33*B33/2000</f>
        <v>0</v>
      </c>
      <c r="E33" s="20" t="s">
        <v>142</v>
      </c>
    </row>
    <row r="34" spans="1:5" x14ac:dyDescent="0.3">
      <c r="A34" s="7" t="s">
        <v>56</v>
      </c>
      <c r="B34" s="22"/>
      <c r="C34" s="17">
        <v>1500</v>
      </c>
      <c r="D34" s="23">
        <f>C34*B34/2000</f>
        <v>0</v>
      </c>
      <c r="E34" s="20" t="s">
        <v>144</v>
      </c>
    </row>
    <row r="35" spans="1:5" x14ac:dyDescent="0.3">
      <c r="A35" s="7" t="s">
        <v>57</v>
      </c>
      <c r="B35" s="22"/>
      <c r="C35" s="7">
        <v>400</v>
      </c>
      <c r="D35" s="23">
        <f>C35*B35/2000</f>
        <v>0</v>
      </c>
      <c r="E35" s="20" t="s">
        <v>142</v>
      </c>
    </row>
    <row r="36" spans="1:5" x14ac:dyDescent="0.3">
      <c r="B36" s="19"/>
      <c r="D36" s="24"/>
    </row>
    <row r="37" spans="1:5" ht="26" x14ac:dyDescent="0.3">
      <c r="A37" s="8" t="s">
        <v>145</v>
      </c>
      <c r="B37" s="18" t="s">
        <v>189</v>
      </c>
      <c r="C37" s="18" t="s">
        <v>190</v>
      </c>
      <c r="D37" s="25" t="s">
        <v>191</v>
      </c>
      <c r="E37" s="18" t="s">
        <v>188</v>
      </c>
    </row>
    <row r="38" spans="1:5" x14ac:dyDescent="0.3">
      <c r="A38" s="7" t="s">
        <v>146</v>
      </c>
      <c r="B38" s="22"/>
      <c r="C38" s="7">
        <v>70</v>
      </c>
      <c r="D38" s="23">
        <f>C38*B38/2000</f>
        <v>0</v>
      </c>
      <c r="E38" s="20" t="s">
        <v>148</v>
      </c>
    </row>
    <row r="39" spans="1:5" x14ac:dyDescent="0.3">
      <c r="A39" s="7" t="s">
        <v>149</v>
      </c>
      <c r="B39" s="22"/>
      <c r="C39" s="7">
        <v>50</v>
      </c>
      <c r="D39" s="23">
        <f>C39*B39/2000</f>
        <v>0</v>
      </c>
      <c r="E39" s="20" t="s">
        <v>151</v>
      </c>
    </row>
    <row r="40" spans="1:5" x14ac:dyDescent="0.3">
      <c r="A40" s="7" t="s">
        <v>192</v>
      </c>
      <c r="B40" s="22"/>
      <c r="C40" s="7">
        <v>200</v>
      </c>
      <c r="D40" s="23">
        <f>C40*B40/2000</f>
        <v>0</v>
      </c>
      <c r="E40" s="20" t="s">
        <v>153</v>
      </c>
    </row>
    <row r="41" spans="1:5" x14ac:dyDescent="0.3">
      <c r="A41" s="7" t="s">
        <v>154</v>
      </c>
      <c r="B41" s="22"/>
      <c r="C41" s="7">
        <v>39.4</v>
      </c>
      <c r="D41" s="23">
        <f>C41*B41/2000</f>
        <v>0</v>
      </c>
      <c r="E41" s="20" t="s">
        <v>156</v>
      </c>
    </row>
    <row r="42" spans="1:5" x14ac:dyDescent="0.3">
      <c r="A42" s="7" t="s">
        <v>157</v>
      </c>
      <c r="B42" s="22"/>
      <c r="C42" s="7">
        <v>55</v>
      </c>
      <c r="D42" s="23">
        <f>C42*B42/2000</f>
        <v>0</v>
      </c>
      <c r="E42" s="20" t="s">
        <v>159</v>
      </c>
    </row>
    <row r="43" spans="1:5" x14ac:dyDescent="0.3">
      <c r="B43" s="19"/>
      <c r="D43" s="24"/>
    </row>
    <row r="44" spans="1:5" x14ac:dyDescent="0.3">
      <c r="A44" s="8" t="s">
        <v>160</v>
      </c>
      <c r="B44" s="19"/>
      <c r="D44" s="24"/>
    </row>
    <row r="45" spans="1:5" x14ac:dyDescent="0.3">
      <c r="A45" s="7" t="s">
        <v>161</v>
      </c>
      <c r="B45" s="22"/>
      <c r="C45" s="7">
        <v>90</v>
      </c>
      <c r="D45" s="23">
        <f>C45*B45/2000</f>
        <v>0</v>
      </c>
      <c r="E45" s="20" t="s">
        <v>163</v>
      </c>
    </row>
    <row r="46" spans="1:5" x14ac:dyDescent="0.3">
      <c r="A46" s="7" t="s">
        <v>164</v>
      </c>
      <c r="B46" s="22"/>
      <c r="C46" s="7">
        <v>225</v>
      </c>
      <c r="D46" s="23">
        <f>C46*B46/2000</f>
        <v>0</v>
      </c>
      <c r="E46" s="20" t="s">
        <v>165</v>
      </c>
    </row>
    <row r="47" spans="1:5" x14ac:dyDescent="0.3">
      <c r="A47" s="7" t="s">
        <v>166</v>
      </c>
      <c r="B47" s="22"/>
      <c r="C47" s="7">
        <v>450</v>
      </c>
      <c r="D47" s="23">
        <f>C47*B47/2000</f>
        <v>0</v>
      </c>
      <c r="E47" s="20" t="s">
        <v>168</v>
      </c>
    </row>
    <row r="48" spans="1:5" x14ac:dyDescent="0.3">
      <c r="A48" s="7" t="s">
        <v>169</v>
      </c>
      <c r="B48" s="22"/>
      <c r="C48" s="7">
        <v>750</v>
      </c>
      <c r="D48" s="23">
        <f>C48*B48/2000</f>
        <v>0</v>
      </c>
      <c r="E48" s="20" t="s">
        <v>171</v>
      </c>
    </row>
    <row r="49" spans="1:5" x14ac:dyDescent="0.3">
      <c r="B49" s="19"/>
      <c r="D49" s="26"/>
    </row>
    <row r="50" spans="1:5" x14ac:dyDescent="0.3">
      <c r="A50" s="8" t="s">
        <v>172</v>
      </c>
      <c r="B50" s="19"/>
      <c r="D50" s="27"/>
    </row>
    <row r="51" spans="1:5" x14ac:dyDescent="0.3">
      <c r="B51" s="19"/>
      <c r="C51" s="7" t="s">
        <v>173</v>
      </c>
      <c r="D51" s="26"/>
      <c r="E51" s="20" t="s">
        <v>174</v>
      </c>
    </row>
    <row r="52" spans="1:5" x14ac:dyDescent="0.3">
      <c r="A52" s="7" t="s">
        <v>175</v>
      </c>
      <c r="B52" s="19"/>
      <c r="C52" s="7" t="s">
        <v>176</v>
      </c>
      <c r="D52" s="26"/>
      <c r="E52" s="20" t="s">
        <v>177</v>
      </c>
    </row>
    <row r="53" spans="1:5" x14ac:dyDescent="0.3">
      <c r="B53" s="19"/>
      <c r="C53" s="7" t="s">
        <v>178</v>
      </c>
      <c r="D53" s="26"/>
      <c r="E53" s="20" t="s">
        <v>179</v>
      </c>
    </row>
    <row r="54" spans="1:5" x14ac:dyDescent="0.3">
      <c r="B54" s="19"/>
      <c r="D54" s="26"/>
    </row>
    <row r="55" spans="1:5" x14ac:dyDescent="0.3">
      <c r="A55" s="7" t="s">
        <v>180</v>
      </c>
      <c r="B55" s="19"/>
      <c r="C55" s="7" t="s">
        <v>181</v>
      </c>
      <c r="D55" s="26"/>
      <c r="E55" s="20" t="s">
        <v>182</v>
      </c>
    </row>
    <row r="56" spans="1:5" x14ac:dyDescent="0.3">
      <c r="B56"/>
    </row>
    <row r="57" spans="1:5" x14ac:dyDescent="0.3">
      <c r="B57"/>
    </row>
    <row r="58" spans="1:5" x14ac:dyDescent="0.3">
      <c r="B58"/>
    </row>
    <row r="59" spans="1:5" x14ac:dyDescent="0.3">
      <c r="B59"/>
    </row>
    <row r="60" spans="1:5" x14ac:dyDescent="0.3">
      <c r="B60"/>
    </row>
    <row r="61" spans="1:5" x14ac:dyDescent="0.3">
      <c r="B61"/>
    </row>
    <row r="62" spans="1:5" x14ac:dyDescent="0.3">
      <c r="B62"/>
    </row>
    <row r="63" spans="1:5" x14ac:dyDescent="0.3">
      <c r="B63"/>
    </row>
    <row r="64" spans="1:5"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sheetData>
  <phoneticPr fontId="0" type="noConversion"/>
  <hyperlinks>
    <hyperlink ref="B1" location="CRP_Data!A1" display="CRP_Data!A1"/>
  </hyperlinks>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CRP-Instructions</vt:lpstr>
      <vt:lpstr>CRP_Data</vt:lpstr>
      <vt:lpstr>Attch1-Materials</vt:lpstr>
      <vt:lpstr>Attch2-Conversion</vt:lpstr>
      <vt:lpstr>Attch2-Conv_Calc</vt:lpstr>
      <vt:lpstr>Attch1</vt:lpstr>
      <vt:lpstr>Attch2</vt:lpstr>
      <vt:lpstr>ConvCalc</vt:lpstr>
      <vt:lpstr>CRPSchool</vt:lpstr>
      <vt:lpstr>CRP_Data!Print_Area</vt:lpstr>
    </vt:vector>
  </TitlesOfParts>
  <Manager>Kurt Teichert, curc@brown.edu</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Campus Recycling Profile</dc:title>
  <dc:subject>Waste and Recycling Data</dc:subject>
  <dc:creator>College and University Recycling Council</dc:creator>
  <cp:lastModifiedBy>Carina Negreanu</cp:lastModifiedBy>
  <cp:lastPrinted>1999-05-19T16:44:22Z</cp:lastPrinted>
  <dcterms:created xsi:type="dcterms:W3CDTF">1997-09-12T20:26:16Z</dcterms:created>
  <dcterms:modified xsi:type="dcterms:W3CDTF">2020-01-27T11:21:18Z</dcterms:modified>
</cp:coreProperties>
</file>