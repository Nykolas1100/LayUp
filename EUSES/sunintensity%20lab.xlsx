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199BFEE-CBB6-4B77-9D0A-B415D6F2989B}" xr6:coauthVersionLast="45" xr6:coauthVersionMax="45" xr10:uidLastSave="{00000000-0000-0000-0000-000000000000}"/>
  <bookViews>
    <workbookView showHorizontalScroll="0" xWindow="1140" yWindow="1140" windowWidth="28800" windowHeight="15460" activeTab="2"/>
  </bookViews>
  <sheets>
    <sheet name="Lesson Plan" sheetId="4" r:id="rId1"/>
    <sheet name="Lab Sheet" sheetId="3" r:id="rId2"/>
    <sheet name="Light Intensity Lab" sheetId="1" r:id="rId3"/>
    <sheet name="Sun Diagram" sheetId="2" r:id="rId4"/>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7" i="3" l="1"/>
  <c r="F17" i="3"/>
  <c r="E18" i="3"/>
  <c r="F18" i="3"/>
  <c r="E19" i="3"/>
  <c r="F19" i="3"/>
  <c r="E20" i="3"/>
  <c r="F20" i="3"/>
  <c r="E21" i="3"/>
  <c r="F21" i="3"/>
  <c r="E22" i="3"/>
  <c r="F22" i="3"/>
  <c r="E23" i="3"/>
  <c r="F23" i="3"/>
  <c r="E24" i="3"/>
  <c r="F24" i="3"/>
  <c r="E25" i="3"/>
  <c r="F25" i="3"/>
  <c r="E26" i="3"/>
  <c r="F26" i="3"/>
  <c r="E27" i="3"/>
  <c r="F27" i="3"/>
  <c r="F17" i="1"/>
  <c r="F18" i="1"/>
  <c r="F19" i="1"/>
  <c r="F20" i="1"/>
  <c r="F21" i="1"/>
  <c r="F22" i="1"/>
  <c r="F23" i="1"/>
  <c r="F24" i="1"/>
  <c r="F25" i="1"/>
  <c r="F26" i="1"/>
  <c r="F27" i="1"/>
  <c r="E28" i="1"/>
  <c r="E26" i="1" s="1"/>
  <c r="H9" i="2"/>
  <c r="D16" i="2"/>
  <c r="L16" i="2"/>
  <c r="H27" i="2"/>
  <c r="E24" i="1" l="1"/>
  <c r="E22" i="1"/>
  <c r="E21" i="1"/>
  <c r="E18" i="1"/>
  <c r="E19" i="1"/>
  <c r="E25" i="1"/>
  <c r="E23" i="1"/>
  <c r="E20" i="1"/>
  <c r="E27" i="1"/>
  <c r="E17" i="1"/>
</calcChain>
</file>

<file path=xl/sharedStrings.xml><?xml version="1.0" encoding="utf-8"?>
<sst xmlns="http://schemas.openxmlformats.org/spreadsheetml/2006/main" count="116" uniqueCount="79">
  <si>
    <t>Latitude</t>
  </si>
  <si>
    <t>Winter
Solstice</t>
  </si>
  <si>
    <t>Summer
Solstice</t>
  </si>
  <si>
    <t>Equinoxes</t>
  </si>
  <si>
    <t>Theoretical
Winter</t>
  </si>
  <si>
    <t>75N</t>
  </si>
  <si>
    <t>60N</t>
  </si>
  <si>
    <t>45N</t>
  </si>
  <si>
    <t>30N</t>
  </si>
  <si>
    <t>15N</t>
  </si>
  <si>
    <t>15S</t>
  </si>
  <si>
    <t>30S</t>
  </si>
  <si>
    <t>45S</t>
  </si>
  <si>
    <t>60S</t>
  </si>
  <si>
    <t>75S</t>
  </si>
  <si>
    <t>Equator</t>
  </si>
  <si>
    <t>degrees</t>
  </si>
  <si>
    <t>LIGHT INTENSITY VS LATITUDE</t>
  </si>
  <si>
    <t>Label each of the earth positions using the word box labels:</t>
  </si>
  <si>
    <t>vernal equinox</t>
  </si>
  <si>
    <t>autumnal equinox</t>
  </si>
  <si>
    <t>summer solstice</t>
  </si>
  <si>
    <t>winter solstice</t>
  </si>
  <si>
    <r>
      <t>Directions:</t>
    </r>
    <r>
      <rPr>
        <sz val="10"/>
        <rFont val="Arial"/>
        <family val="2"/>
      </rPr>
      <t xml:space="preserve"> Orient the axis of the globe so that it points to the north wall.  With the slide projector south of the globe, aline the light beam</t>
    </r>
  </si>
  <si>
    <t>from the projector so that is centered on the Tropic of Capricorn.  Place a strip of masking tape along  a line of longitude from the South</t>
  </si>
  <si>
    <t>tape strip toward the light beam and turn off room lights.   Place the light probe over the tape strip at the 75° latitude line.  Keeping the probe</t>
  </si>
  <si>
    <t>so that it is perpendicular to the globe's surface in the N-S direction, angle it E-W to get the highest light intensity reading for the light reflected</t>
  </si>
  <si>
    <t xml:space="preserve">from the tape.  Record your data in the table below under Winter Solstice.  Repeat the procedure for every 15° of latitude from 75° N to 75° S  </t>
  </si>
  <si>
    <t xml:space="preserve">Repeat your light readings for each 15° of latitude and record data in the table below under "Summer Solstice".  Finally, reorient the globe so </t>
  </si>
  <si>
    <t>that it's axis is perpendicular to the light beam.  Repeat the light data readings and record them under "Equinoxes".</t>
  </si>
  <si>
    <t xml:space="preserve">Theoretical
</t>
  </si>
  <si>
    <t>Pole to the North Pole.  Connect the light probe to Channel 1 of the CBL.  Turn on the  CBL and press the [Mode] button.  Face the masking</t>
  </si>
  <si>
    <t>for spring or fall, enter  0 ………………</t>
  </si>
  <si>
    <t xml:space="preserve">       3)  During the Equinoxes, how did the light intensities received by the Northern and Southern Hemispheres compare?</t>
  </si>
  <si>
    <t xml:space="preserve">      4)   Based on your labs during this unit, what are the two most important factors that cause seasons on Earth?</t>
  </si>
  <si>
    <t xml:space="preserve">      5)  Click on Sun Diagram below and fill in the labels.</t>
  </si>
  <si>
    <t>latitude.  Next, reorient the globe so that the axis is oriented toward the light beam.  This represents the summer solstice configuration.</t>
  </si>
  <si>
    <t xml:space="preserve">       1)  Which hemisphere received the greatest amount of light during the Summer Solstice?</t>
  </si>
  <si>
    <t>Analysis of Data:</t>
  </si>
  <si>
    <r>
      <t>To see a theoretical light intensity curve for summer, enter the sunward tilt angle of the earth's axis as 23.5</t>
    </r>
    <r>
      <rPr>
        <sz val="14"/>
        <rFont val="Arial"/>
        <family val="2"/>
      </rPr>
      <t>;</t>
    </r>
    <r>
      <rPr>
        <sz val="12"/>
        <rFont val="Arial"/>
        <family val="2"/>
      </rPr>
      <t xml:space="preserve">  for winter, enter -23.5</t>
    </r>
    <r>
      <rPr>
        <sz val="14"/>
        <rFont val="Arial"/>
        <family val="2"/>
      </rPr>
      <t>;</t>
    </r>
    <r>
      <rPr>
        <sz val="12"/>
        <rFont val="Arial"/>
        <family val="2"/>
      </rPr>
      <t xml:space="preserve"> </t>
    </r>
  </si>
  <si>
    <t xml:space="preserve"> sunward tilt angle</t>
  </si>
  <si>
    <t xml:space="preserve">      5)  Complete the Sun Diagram on the back by filling in the labels.</t>
  </si>
  <si>
    <t>LIGHT INTENSITY VS LATITUDE LAB</t>
  </si>
  <si>
    <t>Name_____________________________</t>
  </si>
  <si>
    <t>DATA TABLE</t>
  </si>
  <si>
    <t xml:space="preserve">       2)  Which hemisphere received the greatest amount of light during the Winter Solstice?</t>
  </si>
  <si>
    <t>100 MINUTE LESSON PLAN</t>
  </si>
  <si>
    <t>TIME</t>
  </si>
  <si>
    <t>PLAN</t>
  </si>
  <si>
    <t xml:space="preserve">Materials </t>
  </si>
  <si>
    <t>STRATEGIES: (Check or Circle)  Discussion, Lecture, Journal Writing, Cooperative Learning, (Round Robin,
Snowball, Round Table, Pairs Compare, Corners, Think-Pair-Share, Line-ups, Find Someone Who, Black Jack,
Connect Four, Battleship, Inside/Outside Circle, Mix-Freeze-Group, Numbered Heads Together, Towers of Hanoi, Trash Ball, War,  Jeopardy, Excel Interactive Drill, Lab, Mind Joggers, Next Time Questions, Graphic Organizer.</t>
  </si>
  <si>
    <t>atmosphere and its local and global processes influencing climate and air quality.</t>
  </si>
  <si>
    <t xml:space="preserve">(We'll simulate the sun with this slide projector) 
 1)  Parallel to the direction of the sunlight?   Or  2)  Perpendicular to
 the sunlight?  Or  3) Some angle in between?     </t>
  </si>
  <si>
    <t>sheet of paper</t>
  </si>
  <si>
    <t>slide projector,</t>
  </si>
  <si>
    <r>
      <t xml:space="preserve">Set (Distributed review, hook to past learning/experience,Organizer, Practice)
</t>
    </r>
    <r>
      <rPr>
        <sz val="10"/>
        <rFont val="Arial"/>
        <family val="2"/>
      </rPr>
      <t>o Review results of previous lab where we plotted sun altitude at transit for the 20th day of each month.
o How should I orient this piece of paper so that it receives the most energy from the sun?</t>
    </r>
  </si>
  <si>
    <t>Intro to lab:  This lab will allow you to test your hypothesis relating 
sun angle to light intensity for different lattitudes.</t>
  </si>
  <si>
    <t>CBL w/ 
light probe,</t>
  </si>
  <si>
    <t>globe, slide projector,
masking tape</t>
  </si>
  <si>
    <t>Students groups rotate through the lab station.  Students not
performing lab remain at seats and work on worksheets.</t>
  </si>
  <si>
    <t>10 min</t>
  </si>
  <si>
    <t>5 min</t>
  </si>
  <si>
    <t>50 min</t>
  </si>
  <si>
    <t>Computer
w/ EXCEL</t>
  </si>
  <si>
    <t>and this 
Excel file</t>
  </si>
  <si>
    <t>15 min</t>
  </si>
  <si>
    <t>Teacher: Review and discussion of lab results.</t>
  </si>
  <si>
    <r>
      <t xml:space="preserve">CLOSURE:  Summarization, Categorization, Practice
</t>
    </r>
    <r>
      <rPr>
        <sz val="9"/>
        <rFont val="Arial"/>
        <family val="2"/>
      </rPr>
      <t>Students write a summary paragraph on the bottom of their lab sheets explaining 
the tilt of the earth's axis and its relationship to seasons.</t>
    </r>
    <r>
      <rPr>
        <b/>
        <sz val="9"/>
        <rFont val="Arial"/>
        <family val="2"/>
      </rPr>
      <t xml:space="preserve">
</t>
    </r>
  </si>
  <si>
    <r>
      <t xml:space="preserve">Homework:  </t>
    </r>
    <r>
      <rPr>
        <sz val="9"/>
        <rFont val="Arial"/>
        <family val="2"/>
      </rPr>
      <t>Finish worksheet and turn in for homework next class period.  Turn in lab
as you leave today.</t>
    </r>
  </si>
  <si>
    <t>Students enter data into Excel data table.  Sketch Excel plot of
Intensity vs Latitude on lab worksheet.  Work with your learning
partner to analyze results and answer questions on lab sheet.</t>
  </si>
  <si>
    <t>(Relate this to sun intensity at dawn, noon, sunset)
Does sun angle change with latitude? Your hypothesis? (Lay sheet of paper on globe and keep it tangent to the globe as you move to higher latitudes)</t>
  </si>
  <si>
    <r>
      <t xml:space="preserve">Unit ______________________  Instructor </t>
    </r>
    <r>
      <rPr>
        <u/>
        <sz val="12"/>
        <rFont val="Arial"/>
        <family val="2"/>
      </rPr>
      <t xml:space="preserve">                          </t>
    </r>
  </si>
  <si>
    <r>
      <t>Course_</t>
    </r>
    <r>
      <rPr>
        <u/>
        <sz val="12"/>
        <rFont val="Arial"/>
        <family val="2"/>
      </rPr>
      <t>Earth Science</t>
    </r>
    <r>
      <rPr>
        <sz val="12"/>
        <rFont val="Arial"/>
        <family val="2"/>
      </rPr>
      <t>____________ Date___________    Period___   Room _</t>
    </r>
    <r>
      <rPr>
        <u/>
        <sz val="12"/>
        <rFont val="Arial"/>
        <family val="2"/>
      </rPr>
      <t/>
    </r>
  </si>
  <si>
    <t>Review orientation of Earth's axis to sun for each equinox and solstice.
(Read instructions then demo how to take readings)</t>
  </si>
  <si>
    <t>the resulting intensity curves to Earth's seasons.</t>
  </si>
  <si>
    <r>
      <t xml:space="preserve">Lesson Plan Objective:  </t>
    </r>
    <r>
      <rPr>
        <sz val="11"/>
        <rFont val="Arial"/>
        <family val="2"/>
      </rPr>
      <t>TLW   Measure light intensity as a function of sun angle and relate</t>
    </r>
  </si>
  <si>
    <r>
      <t xml:space="preserve">Task Analysis Objective: </t>
    </r>
    <r>
      <rPr>
        <sz val="11"/>
        <rFont val="Arial"/>
        <family val="2"/>
      </rPr>
      <t>TLW build an understanding of the dynamics and compositon of the</t>
    </r>
  </si>
  <si>
    <t>Move globe into  light beam</t>
  </si>
  <si>
    <r>
      <t>Directions:</t>
    </r>
    <r>
      <rPr>
        <sz val="10"/>
        <rFont val="Arial"/>
        <family val="2"/>
      </rPr>
      <t xml:space="preserve"> Orient the axis of the globe so that it points to the north wall.  With the slide projector south of the globe, align the light beam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</si>
</sst>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name val="Arial"/>
    </font>
    <font>
      <b/>
      <sz val="10"/>
      <name val="Arial"/>
      <family val="2"/>
    </font>
    <font>
      <sz val="10"/>
      <name val="Arial"/>
      <family val="2"/>
    </font>
    <font>
      <sz val="12"/>
      <name val="Arial"/>
      <family val="2"/>
    </font>
    <font>
      <sz val="16"/>
      <name val="Arial"/>
      <family val="2"/>
    </font>
    <font>
      <b/>
      <sz val="22"/>
      <color indexed="12"/>
      <name val="Wingdings"/>
      <charset val="2"/>
    </font>
    <font>
      <sz val="14"/>
      <name val="Arial"/>
      <family val="2"/>
    </font>
    <font>
      <b/>
      <sz val="12"/>
      <name val="Arial"/>
      <family val="2"/>
    </font>
    <font>
      <sz val="9"/>
      <name val="Arial"/>
      <family val="2"/>
    </font>
    <font>
      <u/>
      <sz val="12"/>
      <name val="Arial"/>
      <family val="2"/>
    </font>
    <font>
      <sz val="8"/>
      <name val="Arial"/>
      <family val="2"/>
    </font>
    <font>
      <b/>
      <sz val="9"/>
      <name val="Arial"/>
      <family val="2"/>
    </font>
    <font>
      <sz val="11"/>
      <name val="Arial"/>
      <family val="2"/>
    </font>
  </fonts>
  <fills count="10">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13"/>
        <bgColor indexed="64"/>
      </patternFill>
    </fill>
    <fill>
      <patternFill patternType="solid">
        <fgColor indexed="46"/>
        <bgColor indexed="64"/>
      </patternFill>
    </fill>
    <fill>
      <patternFill patternType="solid">
        <fgColor indexed="14"/>
        <bgColor indexed="64"/>
      </patternFill>
    </fill>
    <fill>
      <patternFill patternType="solid">
        <fgColor indexed="42"/>
        <bgColor indexed="64"/>
      </patternFill>
    </fill>
    <fill>
      <patternFill patternType="solid">
        <fgColor indexed="22"/>
        <bgColor indexed="64"/>
      </patternFill>
    </fill>
    <fill>
      <patternFill patternType="solid">
        <fgColor indexed="9"/>
        <bgColor indexed="64"/>
      </patternFill>
    </fill>
  </fills>
  <borders count="3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1">
    <xf numFmtId="0" fontId="0" fillId="0" borderId="0" xfId="0"/>
    <xf numFmtId="0" fontId="0" fillId="0" borderId="0" xfId="0" applyAlignment="1">
      <alignment horizontal="center" wrapText="1"/>
    </xf>
    <xf numFmtId="1" fontId="0" fillId="0" borderId="0" xfId="0" applyNumberFormat="1"/>
    <xf numFmtId="0" fontId="0" fillId="2" borderId="1" xfId="0" applyFill="1" applyBorder="1" applyProtection="1">
      <protection locked="0"/>
    </xf>
    <xf numFmtId="0" fontId="0" fillId="2" borderId="2" xfId="0" applyFill="1" applyBorder="1" applyProtection="1">
      <protection locked="0"/>
    </xf>
    <xf numFmtId="0" fontId="0" fillId="3" borderId="0" xfId="0" applyFill="1"/>
    <xf numFmtId="0" fontId="1" fillId="3" borderId="0" xfId="0" applyFont="1" applyFill="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0"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5" fillId="4" borderId="11" xfId="0" applyFont="1" applyFill="1" applyBorder="1" applyAlignment="1">
      <alignment horizontal="center" vertical="center"/>
    </xf>
    <xf numFmtId="0" fontId="0" fillId="2" borderId="11" xfId="0" applyFill="1" applyBorder="1" applyAlignment="1" applyProtection="1">
      <alignment horizontal="center" wrapText="1"/>
      <protection locked="0"/>
    </xf>
    <xf numFmtId="0" fontId="3" fillId="5" borderId="12" xfId="0" applyFont="1" applyFill="1" applyBorder="1"/>
    <xf numFmtId="0" fontId="0" fillId="5" borderId="13" xfId="0" applyFill="1" applyBorder="1"/>
    <xf numFmtId="0" fontId="0" fillId="5" borderId="14" xfId="0" applyFill="1" applyBorder="1"/>
    <xf numFmtId="0" fontId="0" fillId="5" borderId="15" xfId="0" applyFill="1" applyBorder="1"/>
    <xf numFmtId="0" fontId="0" fillId="5" borderId="16" xfId="0" applyFill="1" applyBorder="1"/>
    <xf numFmtId="0" fontId="0" fillId="0" borderId="1" xfId="0" applyBorder="1" applyAlignment="1">
      <alignment horizontal="center"/>
    </xf>
    <xf numFmtId="0" fontId="0" fillId="0" borderId="2" xfId="0" applyBorder="1" applyAlignment="1">
      <alignment horizontal="center"/>
    </xf>
    <xf numFmtId="0" fontId="0" fillId="5" borderId="0" xfId="0" applyFill="1" applyBorder="1"/>
    <xf numFmtId="0" fontId="0" fillId="2" borderId="0" xfId="0" applyFill="1" applyBorder="1" applyProtection="1">
      <protection locked="0"/>
    </xf>
    <xf numFmtId="0" fontId="0" fillId="6" borderId="0" xfId="0" applyFill="1"/>
    <xf numFmtId="0" fontId="0" fillId="7" borderId="0" xfId="0" applyFill="1" applyBorder="1"/>
    <xf numFmtId="0" fontId="0" fillId="8" borderId="0" xfId="0" applyFill="1"/>
    <xf numFmtId="0" fontId="0" fillId="2" borderId="0" xfId="0" applyFill="1" applyBorder="1"/>
    <xf numFmtId="0" fontId="0" fillId="7" borderId="13" xfId="0" applyFill="1" applyBorder="1"/>
    <xf numFmtId="0" fontId="0" fillId="7" borderId="14" xfId="0" applyFill="1" applyBorder="1"/>
    <xf numFmtId="0" fontId="0" fillId="7" borderId="17" xfId="0" applyFill="1" applyBorder="1"/>
    <xf numFmtId="0" fontId="0" fillId="7" borderId="18" xfId="0" applyFill="1" applyBorder="1"/>
    <xf numFmtId="0" fontId="0" fillId="7" borderId="19" xfId="0" applyFill="1" applyBorder="1"/>
    <xf numFmtId="0" fontId="0" fillId="7" borderId="15" xfId="0" applyFill="1" applyBorder="1"/>
    <xf numFmtId="0" fontId="0" fillId="7" borderId="16" xfId="0" applyFill="1" applyBorder="1"/>
    <xf numFmtId="0" fontId="3" fillId="5" borderId="17" xfId="0" applyFont="1" applyFill="1" applyBorder="1"/>
    <xf numFmtId="0" fontId="0" fillId="5" borderId="18" xfId="0" applyFill="1" applyBorder="1"/>
    <xf numFmtId="0" fontId="0" fillId="5" borderId="19" xfId="0" applyFill="1" applyBorder="1"/>
    <xf numFmtId="0" fontId="0" fillId="6" borderId="20" xfId="0" applyFill="1" applyBorder="1" applyAlignment="1">
      <alignment horizontal="center"/>
    </xf>
    <xf numFmtId="0" fontId="0" fillId="6" borderId="21" xfId="0" applyFill="1" applyBorder="1" applyAlignment="1">
      <alignment horizontal="center" wrapText="1"/>
    </xf>
    <xf numFmtId="0" fontId="0" fillId="6" borderId="22" xfId="0" applyFill="1" applyBorder="1" applyAlignment="1">
      <alignment horizontal="center"/>
    </xf>
    <xf numFmtId="0" fontId="0" fillId="0" borderId="0" xfId="0" applyFill="1"/>
    <xf numFmtId="0" fontId="1" fillId="0" borderId="0" xfId="0" applyFont="1" applyFill="1"/>
    <xf numFmtId="0" fontId="0" fillId="0" borderId="20" xfId="0" applyFill="1" applyBorder="1" applyAlignment="1">
      <alignment horizontal="center"/>
    </xf>
    <xf numFmtId="0" fontId="0" fillId="0" borderId="21" xfId="0" applyFill="1" applyBorder="1" applyAlignment="1">
      <alignment horizontal="center" wrapText="1"/>
    </xf>
    <xf numFmtId="0" fontId="0" fillId="0" borderId="22" xfId="0" applyFill="1" applyBorder="1" applyAlignment="1">
      <alignment horizontal="center"/>
    </xf>
    <xf numFmtId="0" fontId="0" fillId="0" borderId="0" xfId="0" applyFill="1" applyAlignment="1">
      <alignment horizontal="center" wrapText="1"/>
    </xf>
    <xf numFmtId="0" fontId="0" fillId="0" borderId="1" xfId="0" applyFill="1" applyBorder="1" applyAlignment="1">
      <alignment horizontal="center"/>
    </xf>
    <xf numFmtId="0" fontId="0" fillId="0" borderId="1" xfId="0" applyFill="1" applyBorder="1" applyProtection="1">
      <protection locked="0"/>
    </xf>
    <xf numFmtId="1" fontId="0" fillId="0" borderId="0" xfId="0" applyNumberFormat="1" applyFill="1"/>
    <xf numFmtId="0" fontId="0" fillId="0" borderId="2" xfId="0" applyFill="1" applyBorder="1" applyAlignment="1">
      <alignment horizontal="center"/>
    </xf>
    <xf numFmtId="0" fontId="0" fillId="0" borderId="2" xfId="0" applyFill="1" applyBorder="1" applyProtection="1">
      <protection locked="0"/>
    </xf>
    <xf numFmtId="0" fontId="0" fillId="0" borderId="13" xfId="0" applyFill="1" applyBorder="1"/>
    <xf numFmtId="0" fontId="0" fillId="0" borderId="14" xfId="0" applyFill="1" applyBorder="1"/>
    <xf numFmtId="0" fontId="0" fillId="0" borderId="0" xfId="0" applyFill="1" applyBorder="1"/>
    <xf numFmtId="0" fontId="0" fillId="0" borderId="0" xfId="0" applyFill="1" applyBorder="1" applyProtection="1">
      <protection locked="0"/>
    </xf>
    <xf numFmtId="0" fontId="0" fillId="0" borderId="18" xfId="0" applyFill="1" applyBorder="1"/>
    <xf numFmtId="0" fontId="0" fillId="0" borderId="15" xfId="0" applyFill="1" applyBorder="1"/>
    <xf numFmtId="0" fontId="0" fillId="0" borderId="16" xfId="0" applyFill="1" applyBorder="1"/>
    <xf numFmtId="0" fontId="0" fillId="0" borderId="17" xfId="0" applyFill="1" applyBorder="1"/>
    <xf numFmtId="0" fontId="0" fillId="2" borderId="23" xfId="0" applyFill="1" applyBorder="1" applyAlignment="1" applyProtection="1">
      <alignment horizontal="center" wrapText="1"/>
      <protection locked="0"/>
    </xf>
    <xf numFmtId="0" fontId="5" fillId="2" borderId="24" xfId="0" applyFont="1" applyFill="1" applyBorder="1" applyAlignment="1">
      <alignment horizontal="center" vertical="center"/>
    </xf>
    <xf numFmtId="0" fontId="0" fillId="9" borderId="6" xfId="0" applyFill="1" applyBorder="1"/>
    <xf numFmtId="0" fontId="0" fillId="9" borderId="0" xfId="0" applyFill="1" applyBorder="1"/>
    <xf numFmtId="0" fontId="0" fillId="9" borderId="7" xfId="0" applyFill="1" applyBorder="1"/>
    <xf numFmtId="0" fontId="0" fillId="9" borderId="8" xfId="0" applyFill="1" applyBorder="1"/>
    <xf numFmtId="0" fontId="0" fillId="9" borderId="9" xfId="0" applyFill="1" applyBorder="1"/>
    <xf numFmtId="0" fontId="0" fillId="9" borderId="10" xfId="0" applyFill="1" applyBorder="1"/>
    <xf numFmtId="0" fontId="1" fillId="9" borderId="0" xfId="0" applyFont="1" applyFill="1" applyBorder="1"/>
    <xf numFmtId="0" fontId="1" fillId="9" borderId="9" xfId="0" applyFont="1" applyFill="1" applyBorder="1"/>
    <xf numFmtId="0" fontId="3" fillId="0" borderId="0" xfId="0" applyFont="1" applyFill="1" applyAlignment="1">
      <alignment horizontal="left"/>
    </xf>
    <xf numFmtId="0" fontId="0" fillId="0" borderId="23" xfId="0" applyFill="1" applyBorder="1"/>
    <xf numFmtId="0" fontId="0" fillId="0" borderId="25" xfId="0" applyFill="1" applyBorder="1"/>
    <xf numFmtId="0" fontId="0" fillId="0" borderId="24" xfId="0" applyFill="1" applyBorder="1"/>
    <xf numFmtId="0" fontId="3" fillId="2" borderId="0" xfId="0" applyFont="1" applyFill="1" applyBorder="1" applyProtection="1">
      <protection locked="0"/>
    </xf>
    <xf numFmtId="0" fontId="7" fillId="7" borderId="12" xfId="0" applyFont="1" applyFill="1" applyBorder="1"/>
    <xf numFmtId="0" fontId="1" fillId="8" borderId="0" xfId="0" applyFont="1" applyFill="1"/>
    <xf numFmtId="0" fontId="3" fillId="7" borderId="0" xfId="0" applyFont="1" applyFill="1" applyBorder="1"/>
    <xf numFmtId="0" fontId="3" fillId="0" borderId="0" xfId="0" applyFont="1"/>
    <xf numFmtId="0" fontId="3" fillId="0" borderId="15" xfId="0" applyFont="1" applyBorder="1"/>
    <xf numFmtId="0" fontId="1" fillId="0" borderId="2" xfId="0" applyFont="1" applyBorder="1" applyAlignment="1">
      <alignment horizontal="center"/>
    </xf>
    <xf numFmtId="0" fontId="3" fillId="0" borderId="2" xfId="0" applyFont="1" applyBorder="1"/>
    <xf numFmtId="0" fontId="3" fillId="0" borderId="26" xfId="0" applyFont="1" applyBorder="1"/>
    <xf numFmtId="0" fontId="3" fillId="0" borderId="1" xfId="0" applyFont="1" applyBorder="1"/>
    <xf numFmtId="0" fontId="3" fillId="0" borderId="0" xfId="0" applyFont="1" applyBorder="1"/>
    <xf numFmtId="0" fontId="3" fillId="0" borderId="19" xfId="0" applyFont="1" applyBorder="1"/>
    <xf numFmtId="0" fontId="3" fillId="0" borderId="16" xfId="0" applyFont="1" applyBorder="1"/>
    <xf numFmtId="0" fontId="10" fillId="0" borderId="2" xfId="0" applyFont="1" applyBorder="1" applyAlignment="1">
      <alignment vertical="top" wrapText="1"/>
    </xf>
    <xf numFmtId="0" fontId="2" fillId="0" borderId="27" xfId="0" applyFont="1" applyBorder="1" applyAlignment="1">
      <alignment wrapText="1"/>
    </xf>
    <xf numFmtId="0" fontId="2" fillId="0" borderId="26" xfId="0" applyFont="1" applyBorder="1" applyAlignment="1">
      <alignment wrapText="1"/>
    </xf>
    <xf numFmtId="0" fontId="2" fillId="0" borderId="2" xfId="0" applyFont="1" applyBorder="1" applyAlignment="1">
      <alignment wrapText="1"/>
    </xf>
    <xf numFmtId="0" fontId="2" fillId="0" borderId="1" xfId="0" applyFont="1" applyBorder="1" applyAlignment="1">
      <alignment wrapText="1"/>
    </xf>
    <xf numFmtId="0" fontId="11" fillId="0" borderId="2" xfId="0" applyFont="1" applyBorder="1" applyAlignment="1">
      <alignment vertical="top" wrapText="1"/>
    </xf>
    <xf numFmtId="0" fontId="2" fillId="0" borderId="1" xfId="0" applyFont="1" applyBorder="1"/>
    <xf numFmtId="0" fontId="3" fillId="0" borderId="3" xfId="0" applyFont="1" applyBorder="1"/>
    <xf numFmtId="0" fontId="3" fillId="0" borderId="4" xfId="0" applyFont="1" applyBorder="1"/>
    <xf numFmtId="0" fontId="3" fillId="0" borderId="28" xfId="0" applyFont="1" applyBorder="1"/>
    <xf numFmtId="0" fontId="3" fillId="0" borderId="8" xfId="0" applyFont="1" applyBorder="1"/>
    <xf numFmtId="0" fontId="3" fillId="0" borderId="9" xfId="0" applyFont="1" applyBorder="1"/>
    <xf numFmtId="0" fontId="3" fillId="0" borderId="10" xfId="0" applyFont="1" applyBorder="1"/>
    <xf numFmtId="0" fontId="3" fillId="0" borderId="29" xfId="0" applyFont="1" applyBorder="1"/>
    <xf numFmtId="0" fontId="3" fillId="0" borderId="30" xfId="0" applyFont="1" applyBorder="1"/>
    <xf numFmtId="0" fontId="3" fillId="0" borderId="31" xfId="0" applyFont="1" applyBorder="1"/>
    <xf numFmtId="0" fontId="3" fillId="0" borderId="32" xfId="0" applyFont="1" applyBorder="1"/>
    <xf numFmtId="0" fontId="7" fillId="0" borderId="4" xfId="0" applyFont="1" applyBorder="1" applyAlignment="1">
      <alignment horizontal="center"/>
    </xf>
    <xf numFmtId="0" fontId="3" fillId="0" borderId="5" xfId="0" applyFont="1" applyBorder="1"/>
    <xf numFmtId="0" fontId="3" fillId="0" borderId="6" xfId="0" applyFont="1" applyBorder="1"/>
    <xf numFmtId="0" fontId="3" fillId="0" borderId="7" xfId="0" applyFont="1" applyBorder="1"/>
    <xf numFmtId="0" fontId="2" fillId="0" borderId="2" xfId="0" applyFont="1" applyBorder="1" applyAlignment="1">
      <alignment vertical="top" wrapText="1"/>
    </xf>
    <xf numFmtId="0" fontId="12" fillId="0" borderId="8" xfId="0" applyFont="1" applyBorder="1"/>
    <xf numFmtId="0" fontId="12" fillId="0" borderId="33" xfId="0" applyFont="1" applyBorder="1"/>
    <xf numFmtId="0" fontId="8" fillId="0" borderId="34" xfId="0" applyFont="1" applyBorder="1" applyAlignment="1">
      <alignment horizontal="left" wrapText="1"/>
    </xf>
    <xf numFmtId="0" fontId="8" fillId="0" borderId="35" xfId="0" applyFont="1" applyBorder="1" applyAlignment="1">
      <alignment horizontal="left" wrapText="1"/>
    </xf>
    <xf numFmtId="0" fontId="8" fillId="0" borderId="36" xfId="0" applyFont="1" applyBorder="1" applyAlignment="1">
      <alignment horizontal="left" wrapText="1"/>
    </xf>
    <xf numFmtId="0" fontId="4" fillId="9" borderId="23" xfId="0" applyFont="1" applyFill="1" applyBorder="1" applyAlignment="1">
      <alignment horizontal="center"/>
    </xf>
    <xf numFmtId="0" fontId="4" fillId="9" borderId="25" xfId="0" applyFont="1" applyFill="1" applyBorder="1" applyAlignment="1">
      <alignment horizontal="center"/>
    </xf>
    <xf numFmtId="0" fontId="4" fillId="9" borderId="24" xfId="0" applyFont="1" applyFill="1" applyBorder="1" applyAlignment="1">
      <alignment horizontal="center"/>
    </xf>
    <xf numFmtId="0" fontId="4" fillId="6"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004115641717759"/>
          <c:y val="0.10989390583157405"/>
          <c:w val="0.55607520450036285"/>
          <c:h val="0.52749074799155538"/>
        </c:manualLayout>
      </c:layout>
      <c:lineChart>
        <c:grouping val="standard"/>
        <c:varyColors val="0"/>
        <c:ser>
          <c:idx val="0"/>
          <c:order val="0"/>
          <c:tx>
            <c:strRef>
              <c:f>'Light Intensity Lab'!$B$16</c:f>
              <c:strCache>
                <c:ptCount val="1"/>
                <c:pt idx="0">
                  <c:v>Winter
Solstice</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'Light Intensity Lab'!$A$17:$A$27</c:f>
              <c:strCache>
                <c:ptCount val="11"/>
                <c:pt idx="0">
                  <c:v>75N</c:v>
                </c:pt>
                <c:pt idx="1">
                  <c:v>60N</c:v>
                </c:pt>
                <c:pt idx="2">
                  <c:v>45N</c:v>
                </c:pt>
                <c:pt idx="3">
                  <c:v>30N</c:v>
                </c:pt>
                <c:pt idx="4">
                  <c:v>15N</c:v>
                </c:pt>
                <c:pt idx="5">
                  <c:v>Equator</c:v>
                </c:pt>
                <c:pt idx="6">
                  <c:v>15S</c:v>
                </c:pt>
                <c:pt idx="7">
                  <c:v>30S</c:v>
                </c:pt>
                <c:pt idx="8">
                  <c:v>45S</c:v>
                </c:pt>
                <c:pt idx="9">
                  <c:v>60S</c:v>
                </c:pt>
                <c:pt idx="10">
                  <c:v>75S</c:v>
                </c:pt>
              </c:strCache>
            </c:strRef>
          </c:cat>
          <c:val>
            <c:numRef>
              <c:f>'Light Intensity Lab'!$B$17:$B$27</c:f>
              <c:numCache>
                <c:formatCode>General</c:formatCode>
                <c:ptCount val="11"/>
              </c:numCache>
            </c:numRef>
          </c:val>
          <c:smooth val="0"/>
          <c:extLst>
            <c:ext xmlns:c16="http://schemas.microsoft.com/office/drawing/2014/chart" uri="{C3380CC4-5D6E-409C-BE32-E72D297353CC}">
              <c16:uniqueId val="{00000000-ABCA-45C8-B979-D5E8050EB7EC}"/>
            </c:ext>
          </c:extLst>
        </c:ser>
        <c:ser>
          <c:idx val="1"/>
          <c:order val="1"/>
          <c:tx>
            <c:strRef>
              <c:f>'Light Intensity Lab'!$C$16</c:f>
              <c:strCache>
                <c:ptCount val="1"/>
                <c:pt idx="0">
                  <c:v>Summer
Solstice</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'Light Intensity Lab'!$A$17:$A$27</c:f>
              <c:strCache>
                <c:ptCount val="11"/>
                <c:pt idx="0">
                  <c:v>75N</c:v>
                </c:pt>
                <c:pt idx="1">
                  <c:v>60N</c:v>
                </c:pt>
                <c:pt idx="2">
                  <c:v>45N</c:v>
                </c:pt>
                <c:pt idx="3">
                  <c:v>30N</c:v>
                </c:pt>
                <c:pt idx="4">
                  <c:v>15N</c:v>
                </c:pt>
                <c:pt idx="5">
                  <c:v>Equator</c:v>
                </c:pt>
                <c:pt idx="6">
                  <c:v>15S</c:v>
                </c:pt>
                <c:pt idx="7">
                  <c:v>30S</c:v>
                </c:pt>
                <c:pt idx="8">
                  <c:v>45S</c:v>
                </c:pt>
                <c:pt idx="9">
                  <c:v>60S</c:v>
                </c:pt>
                <c:pt idx="10">
                  <c:v>75S</c:v>
                </c:pt>
              </c:strCache>
            </c:strRef>
          </c:cat>
          <c:val>
            <c:numRef>
              <c:f>'Light Intensity Lab'!$C$17:$C$27</c:f>
              <c:numCache>
                <c:formatCode>General</c:formatCode>
                <c:ptCount val="11"/>
              </c:numCache>
            </c:numRef>
          </c:val>
          <c:smooth val="0"/>
          <c:extLst>
            <c:ext xmlns:c16="http://schemas.microsoft.com/office/drawing/2014/chart" uri="{C3380CC4-5D6E-409C-BE32-E72D297353CC}">
              <c16:uniqueId val="{00000001-ABCA-45C8-B979-D5E8050EB7EC}"/>
            </c:ext>
          </c:extLst>
        </c:ser>
        <c:ser>
          <c:idx val="2"/>
          <c:order val="2"/>
          <c:tx>
            <c:strRef>
              <c:f>'Light Intensity Lab'!$D$16</c:f>
              <c:strCache>
                <c:ptCount val="1"/>
                <c:pt idx="0">
                  <c:v>Equinoxes</c:v>
                </c:pt>
              </c:strCache>
            </c:strRef>
          </c:tx>
          <c:spPr>
            <a:ln w="12700">
              <a:solidFill>
                <a:srgbClr val="FF0000"/>
              </a:solidFill>
              <a:prstDash val="solid"/>
            </a:ln>
          </c:spPr>
          <c:marker>
            <c:symbol val="circle"/>
            <c:size val="5"/>
            <c:spPr>
              <a:noFill/>
              <a:ln>
                <a:solidFill>
                  <a:srgbClr val="FF0000"/>
                </a:solidFill>
                <a:prstDash val="solid"/>
              </a:ln>
            </c:spPr>
          </c:marker>
          <c:cat>
            <c:strRef>
              <c:f>'Light Intensity Lab'!$A$17:$A$27</c:f>
              <c:strCache>
                <c:ptCount val="11"/>
                <c:pt idx="0">
                  <c:v>75N</c:v>
                </c:pt>
                <c:pt idx="1">
                  <c:v>60N</c:v>
                </c:pt>
                <c:pt idx="2">
                  <c:v>45N</c:v>
                </c:pt>
                <c:pt idx="3">
                  <c:v>30N</c:v>
                </c:pt>
                <c:pt idx="4">
                  <c:v>15N</c:v>
                </c:pt>
                <c:pt idx="5">
                  <c:v>Equator</c:v>
                </c:pt>
                <c:pt idx="6">
                  <c:v>15S</c:v>
                </c:pt>
                <c:pt idx="7">
                  <c:v>30S</c:v>
                </c:pt>
                <c:pt idx="8">
                  <c:v>45S</c:v>
                </c:pt>
                <c:pt idx="9">
                  <c:v>60S</c:v>
                </c:pt>
                <c:pt idx="10">
                  <c:v>75S</c:v>
                </c:pt>
              </c:strCache>
            </c:strRef>
          </c:cat>
          <c:val>
            <c:numRef>
              <c:f>'Light Intensity Lab'!$D$17:$D$27</c:f>
              <c:numCache>
                <c:formatCode>General</c:formatCode>
                <c:ptCount val="11"/>
              </c:numCache>
            </c:numRef>
          </c:val>
          <c:smooth val="0"/>
          <c:extLst>
            <c:ext xmlns:c16="http://schemas.microsoft.com/office/drawing/2014/chart" uri="{C3380CC4-5D6E-409C-BE32-E72D297353CC}">
              <c16:uniqueId val="{00000002-ABCA-45C8-B979-D5E8050EB7EC}"/>
            </c:ext>
          </c:extLst>
        </c:ser>
        <c:ser>
          <c:idx val="4"/>
          <c:order val="3"/>
          <c:tx>
            <c:strRef>
              <c:f>'Light Intensity Lab'!$F$16</c:f>
              <c:strCache>
                <c:ptCount val="1"/>
                <c:pt idx="0">
                  <c:v>Theoretical
Winter</c:v>
                </c:pt>
              </c:strCache>
            </c:strRef>
          </c:tx>
          <c:cat>
            <c:strRef>
              <c:f>'Light Intensity Lab'!$A$17:$A$27</c:f>
              <c:strCache>
                <c:ptCount val="11"/>
                <c:pt idx="0">
                  <c:v>75N</c:v>
                </c:pt>
                <c:pt idx="1">
                  <c:v>60N</c:v>
                </c:pt>
                <c:pt idx="2">
                  <c:v>45N</c:v>
                </c:pt>
                <c:pt idx="3">
                  <c:v>30N</c:v>
                </c:pt>
                <c:pt idx="4">
                  <c:v>15N</c:v>
                </c:pt>
                <c:pt idx="5">
                  <c:v>Equator</c:v>
                </c:pt>
                <c:pt idx="6">
                  <c:v>15S</c:v>
                </c:pt>
                <c:pt idx="7">
                  <c:v>30S</c:v>
                </c:pt>
                <c:pt idx="8">
                  <c:v>45S</c:v>
                </c:pt>
                <c:pt idx="9">
                  <c:v>60S</c:v>
                </c:pt>
                <c:pt idx="10">
                  <c:v>75S</c:v>
                </c:pt>
              </c:strCache>
            </c:strRef>
          </c:cat>
          <c:val>
            <c:numRef>
              <c:f>'Light Intensity Lab'!$F$17:$F$27</c:f>
            </c:numRef>
          </c:val>
          <c:smooth val="0"/>
          <c:extLst>
            <c:ext xmlns:c16="http://schemas.microsoft.com/office/drawing/2014/chart" uri="{C3380CC4-5D6E-409C-BE32-E72D297353CC}">
              <c16:uniqueId val="{00000003-ABCA-45C8-B979-D5E8050EB7EC}"/>
            </c:ext>
          </c:extLst>
        </c:ser>
        <c:dLbls>
          <c:showLegendKey val="0"/>
          <c:showVal val="0"/>
          <c:showCatName val="0"/>
          <c:showSerName val="0"/>
          <c:showPercent val="0"/>
          <c:showBubbleSize val="0"/>
        </c:dLbls>
        <c:marker val="1"/>
        <c:smooth val="0"/>
        <c:axId val="1008307743"/>
        <c:axId val="1"/>
      </c:lineChart>
      <c:catAx>
        <c:axId val="1008307743"/>
        <c:scaling>
          <c:orientation val="minMax"/>
        </c:scaling>
        <c:delete val="0"/>
        <c:axPos val="b"/>
        <c:numFmt formatCode="General" sourceLinked="1"/>
        <c:majorTickMark val="in"/>
        <c:minorTickMark val="none"/>
        <c:tickLblPos val="nextTo"/>
        <c:spPr>
          <a:ln w="3175">
            <a:solidFill>
              <a:srgbClr val="000000"/>
            </a:solidFill>
            <a:prstDash val="solid"/>
          </a:ln>
        </c:spPr>
        <c:txPr>
          <a:bodyPr rot="0" vert="wordArtVert"/>
          <a:lstStyle/>
          <a:p>
            <a:pPr>
              <a:defRPr sz="1000" b="1" i="0" u="none" strike="noStrike" baseline="0">
                <a:solidFill>
                  <a:srgbClr val="000000"/>
                </a:solidFill>
                <a:latin typeface="Arial"/>
                <a:ea typeface="Arial"/>
                <a:cs typeface="Arial"/>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850" b="1" i="0" u="none" strike="noStrike" baseline="0">
                    <a:solidFill>
                      <a:srgbClr val="000000"/>
                    </a:solidFill>
                    <a:latin typeface="Arial"/>
                    <a:ea typeface="Arial"/>
                    <a:cs typeface="Arial"/>
                  </a:defRPr>
                </a:pPr>
                <a:r>
                  <a:rPr lang="en-GB"/>
                  <a:t>Light Intensity</a:t>
                </a:r>
              </a:p>
            </c:rich>
          </c:tx>
          <c:layout>
            <c:manualLayout>
              <c:xMode val="edge"/>
              <c:yMode val="edge"/>
              <c:x val="2.1700495785380011E-2"/>
              <c:y val="0.1318726869978888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850" b="0" i="0" u="none" strike="noStrike" baseline="0">
                <a:solidFill>
                  <a:srgbClr val="000000"/>
                </a:solidFill>
                <a:latin typeface="Arial"/>
                <a:ea typeface="Arial"/>
                <a:cs typeface="Arial"/>
              </a:defRPr>
            </a:pPr>
            <a:endParaRPr lang="en-US"/>
          </a:p>
        </c:txPr>
        <c:crossAx val="1008307743"/>
        <c:crosses val="autoZero"/>
        <c:crossBetween val="midCat"/>
      </c:valAx>
      <c:spPr>
        <a:solidFill>
          <a:srgbClr val="C0C0C0"/>
        </a:solidFill>
        <a:ln w="12700">
          <a:solidFill>
            <a:srgbClr val="808080"/>
          </a:solidFill>
          <a:prstDash val="solid"/>
        </a:ln>
      </c:spPr>
    </c:plotArea>
    <c:legend>
      <c:legendPos val="r"/>
      <c:layout>
        <c:manualLayout>
          <c:xMode val="edge"/>
          <c:yMode val="edge"/>
          <c:x val="0.78483459757124374"/>
          <c:y val="0.21978781166314809"/>
          <c:w val="0.20072958601476512"/>
          <c:h val="0.60624804717085012"/>
        </c:manualLayout>
      </c:layout>
      <c:overlay val="0"/>
      <c:spPr>
        <a:solidFill>
          <a:srgbClr val="FFFFFF"/>
        </a:solidFill>
        <a:ln w="3175">
          <a:solidFill>
            <a:srgbClr val="000000"/>
          </a:solidFill>
          <a:prstDash val="solid"/>
        </a:ln>
      </c:spPr>
      <c:txPr>
        <a:bodyPr/>
        <a:lstStyle/>
        <a:p>
          <a:pPr>
            <a:defRPr sz="147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8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horizontalDpi="180" verticalDpi="0" copies="0"/>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612323373017258"/>
          <c:y val="0.10848501053585061"/>
          <c:w val="0.62193701356404707"/>
          <c:h val="0.54242505267925301"/>
        </c:manualLayout>
      </c:layout>
      <c:lineChart>
        <c:grouping val="standard"/>
        <c:varyColors val="0"/>
        <c:ser>
          <c:idx val="0"/>
          <c:order val="0"/>
          <c:tx>
            <c:strRef>
              <c:f>'Light Intensity Lab'!$B$16</c:f>
              <c:strCache>
                <c:ptCount val="1"/>
                <c:pt idx="0">
                  <c:v>Winter
Solstice</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strRef>
              <c:f>'Light Intensity Lab'!$A$17:$A$27</c:f>
              <c:strCache>
                <c:ptCount val="11"/>
                <c:pt idx="0">
                  <c:v>75N</c:v>
                </c:pt>
                <c:pt idx="1">
                  <c:v>60N</c:v>
                </c:pt>
                <c:pt idx="2">
                  <c:v>45N</c:v>
                </c:pt>
                <c:pt idx="3">
                  <c:v>30N</c:v>
                </c:pt>
                <c:pt idx="4">
                  <c:v>15N</c:v>
                </c:pt>
                <c:pt idx="5">
                  <c:v>Equator</c:v>
                </c:pt>
                <c:pt idx="6">
                  <c:v>15S</c:v>
                </c:pt>
                <c:pt idx="7">
                  <c:v>30S</c:v>
                </c:pt>
                <c:pt idx="8">
                  <c:v>45S</c:v>
                </c:pt>
                <c:pt idx="9">
                  <c:v>60S</c:v>
                </c:pt>
                <c:pt idx="10">
                  <c:v>75S</c:v>
                </c:pt>
              </c:strCache>
            </c:strRef>
          </c:cat>
          <c:val>
            <c:numRef>
              <c:f>'Light Intensity Lab'!$B$17:$B$27</c:f>
              <c:numCache>
                <c:formatCode>General</c:formatCode>
                <c:ptCount val="11"/>
              </c:numCache>
            </c:numRef>
          </c:val>
          <c:smooth val="0"/>
          <c:extLst>
            <c:ext xmlns:c16="http://schemas.microsoft.com/office/drawing/2014/chart" uri="{C3380CC4-5D6E-409C-BE32-E72D297353CC}">
              <c16:uniqueId val="{00000000-72C4-45B5-AEDE-64F266A635AF}"/>
            </c:ext>
          </c:extLst>
        </c:ser>
        <c:ser>
          <c:idx val="1"/>
          <c:order val="1"/>
          <c:tx>
            <c:strRef>
              <c:f>'Light Intensity Lab'!$C$16</c:f>
              <c:strCache>
                <c:ptCount val="1"/>
                <c:pt idx="0">
                  <c:v>Summer
Solstice</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strRef>
              <c:f>'Light Intensity Lab'!$A$17:$A$27</c:f>
              <c:strCache>
                <c:ptCount val="11"/>
                <c:pt idx="0">
                  <c:v>75N</c:v>
                </c:pt>
                <c:pt idx="1">
                  <c:v>60N</c:v>
                </c:pt>
                <c:pt idx="2">
                  <c:v>45N</c:v>
                </c:pt>
                <c:pt idx="3">
                  <c:v>30N</c:v>
                </c:pt>
                <c:pt idx="4">
                  <c:v>15N</c:v>
                </c:pt>
                <c:pt idx="5">
                  <c:v>Equator</c:v>
                </c:pt>
                <c:pt idx="6">
                  <c:v>15S</c:v>
                </c:pt>
                <c:pt idx="7">
                  <c:v>30S</c:v>
                </c:pt>
                <c:pt idx="8">
                  <c:v>45S</c:v>
                </c:pt>
                <c:pt idx="9">
                  <c:v>60S</c:v>
                </c:pt>
                <c:pt idx="10">
                  <c:v>75S</c:v>
                </c:pt>
              </c:strCache>
            </c:strRef>
          </c:cat>
          <c:val>
            <c:numRef>
              <c:f>'Light Intensity Lab'!$C$17:$C$27</c:f>
              <c:numCache>
                <c:formatCode>General</c:formatCode>
                <c:ptCount val="11"/>
              </c:numCache>
            </c:numRef>
          </c:val>
          <c:smooth val="0"/>
          <c:extLst>
            <c:ext xmlns:c16="http://schemas.microsoft.com/office/drawing/2014/chart" uri="{C3380CC4-5D6E-409C-BE32-E72D297353CC}">
              <c16:uniqueId val="{00000001-72C4-45B5-AEDE-64F266A635AF}"/>
            </c:ext>
          </c:extLst>
        </c:ser>
        <c:ser>
          <c:idx val="2"/>
          <c:order val="2"/>
          <c:tx>
            <c:strRef>
              <c:f>'Light Intensity Lab'!$D$16</c:f>
              <c:strCache>
                <c:ptCount val="1"/>
                <c:pt idx="0">
                  <c:v>Equinoxes</c:v>
                </c:pt>
              </c:strCache>
            </c:strRef>
          </c:tx>
          <c:spPr>
            <a:ln w="12700">
              <a:solidFill>
                <a:srgbClr val="FF0000"/>
              </a:solidFill>
              <a:prstDash val="solid"/>
            </a:ln>
          </c:spPr>
          <c:marker>
            <c:symbol val="circle"/>
            <c:size val="5"/>
            <c:spPr>
              <a:noFill/>
              <a:ln>
                <a:solidFill>
                  <a:srgbClr val="FF0000"/>
                </a:solidFill>
                <a:prstDash val="solid"/>
              </a:ln>
            </c:spPr>
          </c:marker>
          <c:cat>
            <c:strRef>
              <c:f>'Light Intensity Lab'!$A$17:$A$27</c:f>
              <c:strCache>
                <c:ptCount val="11"/>
                <c:pt idx="0">
                  <c:v>75N</c:v>
                </c:pt>
                <c:pt idx="1">
                  <c:v>60N</c:v>
                </c:pt>
                <c:pt idx="2">
                  <c:v>45N</c:v>
                </c:pt>
                <c:pt idx="3">
                  <c:v>30N</c:v>
                </c:pt>
                <c:pt idx="4">
                  <c:v>15N</c:v>
                </c:pt>
                <c:pt idx="5">
                  <c:v>Equator</c:v>
                </c:pt>
                <c:pt idx="6">
                  <c:v>15S</c:v>
                </c:pt>
                <c:pt idx="7">
                  <c:v>30S</c:v>
                </c:pt>
                <c:pt idx="8">
                  <c:v>45S</c:v>
                </c:pt>
                <c:pt idx="9">
                  <c:v>60S</c:v>
                </c:pt>
                <c:pt idx="10">
                  <c:v>75S</c:v>
                </c:pt>
              </c:strCache>
            </c:strRef>
          </c:cat>
          <c:val>
            <c:numRef>
              <c:f>'Light Intensity Lab'!$D$17:$D$27</c:f>
              <c:numCache>
                <c:formatCode>General</c:formatCode>
                <c:ptCount val="11"/>
              </c:numCache>
            </c:numRef>
          </c:val>
          <c:smooth val="0"/>
          <c:extLst>
            <c:ext xmlns:c16="http://schemas.microsoft.com/office/drawing/2014/chart" uri="{C3380CC4-5D6E-409C-BE32-E72D297353CC}">
              <c16:uniqueId val="{00000002-72C4-45B5-AEDE-64F266A635AF}"/>
            </c:ext>
          </c:extLst>
        </c:ser>
        <c:ser>
          <c:idx val="3"/>
          <c:order val="3"/>
          <c:tx>
            <c:strRef>
              <c:f>'Light Intensity Lab'!$E$16</c:f>
              <c:strCache>
                <c:ptCount val="1"/>
                <c:pt idx="0">
                  <c:v>Theoretical
</c:v>
                </c:pt>
              </c:strCache>
            </c:strRef>
          </c:tx>
          <c:spPr>
            <a:ln w="12700">
              <a:solidFill>
                <a:srgbClr val="00FFFF"/>
              </a:solidFill>
              <a:prstDash val="solid"/>
            </a:ln>
          </c:spPr>
          <c:marker>
            <c:symbol val="x"/>
            <c:size val="5"/>
            <c:spPr>
              <a:noFill/>
              <a:ln>
                <a:solidFill>
                  <a:srgbClr val="00FFFF"/>
                </a:solidFill>
                <a:prstDash val="solid"/>
              </a:ln>
            </c:spPr>
          </c:marker>
          <c:cat>
            <c:strRef>
              <c:f>'Light Intensity Lab'!$A$17:$A$27</c:f>
              <c:strCache>
                <c:ptCount val="11"/>
                <c:pt idx="0">
                  <c:v>75N</c:v>
                </c:pt>
                <c:pt idx="1">
                  <c:v>60N</c:v>
                </c:pt>
                <c:pt idx="2">
                  <c:v>45N</c:v>
                </c:pt>
                <c:pt idx="3">
                  <c:v>30N</c:v>
                </c:pt>
                <c:pt idx="4">
                  <c:v>15N</c:v>
                </c:pt>
                <c:pt idx="5">
                  <c:v>Equator</c:v>
                </c:pt>
                <c:pt idx="6">
                  <c:v>15S</c:v>
                </c:pt>
                <c:pt idx="7">
                  <c:v>30S</c:v>
                </c:pt>
                <c:pt idx="8">
                  <c:v>45S</c:v>
                </c:pt>
                <c:pt idx="9">
                  <c:v>60S</c:v>
                </c:pt>
                <c:pt idx="10">
                  <c:v>75S</c:v>
                </c:pt>
              </c:strCache>
            </c:strRef>
          </c:cat>
          <c:val>
            <c:numRef>
              <c:f>'Light Intensity Lab'!$E$17:$E$27</c:f>
              <c:numCache>
                <c:formatCode>0</c:formatCode>
                <c:ptCount val="11"/>
                <c:pt idx="0">
                  <c:v>0</c:v>
                </c:pt>
                <c:pt idx="1">
                  <c:v>6.3393799710027823</c:v>
                </c:pt>
                <c:pt idx="2">
                  <c:v>20.524068696560647</c:v>
                </c:pt>
                <c:pt idx="3">
                  <c:v>33.310076058075119</c:v>
                </c:pt>
                <c:pt idx="4">
                  <c:v>43.826056783735183</c:v>
                </c:pt>
                <c:pt idx="5">
                  <c:v>51.355364165566947</c:v>
                </c:pt>
                <c:pt idx="6">
                  <c:v>55.384888348267339</c:v>
                </c:pt>
                <c:pt idx="7">
                  <c:v>55.640023917888897</c:v>
                </c:pt>
                <c:pt idx="8">
                  <c:v>52.103383806993378</c:v>
                </c:pt>
                <c:pt idx="9">
                  <c:v>45.015984194564169</c:v>
                </c:pt>
                <c:pt idx="10">
                  <c:v>34.860819651706692</c:v>
                </c:pt>
              </c:numCache>
            </c:numRef>
          </c:val>
          <c:smooth val="0"/>
          <c:extLst>
            <c:ext xmlns:c16="http://schemas.microsoft.com/office/drawing/2014/chart" uri="{C3380CC4-5D6E-409C-BE32-E72D297353CC}">
              <c16:uniqueId val="{00000003-72C4-45B5-AEDE-64F266A635AF}"/>
            </c:ext>
          </c:extLst>
        </c:ser>
        <c:ser>
          <c:idx val="4"/>
          <c:order val="4"/>
          <c:tx>
            <c:strRef>
              <c:f>'Light Intensity Lab'!$F$16</c:f>
              <c:strCache>
                <c:ptCount val="1"/>
                <c:pt idx="0">
                  <c:v>Theoretical
Winter</c:v>
                </c:pt>
              </c:strCache>
            </c:strRef>
          </c:tx>
          <c:cat>
            <c:strRef>
              <c:f>'Light Intensity Lab'!$A$17:$A$27</c:f>
              <c:strCache>
                <c:ptCount val="11"/>
                <c:pt idx="0">
                  <c:v>75N</c:v>
                </c:pt>
                <c:pt idx="1">
                  <c:v>60N</c:v>
                </c:pt>
                <c:pt idx="2">
                  <c:v>45N</c:v>
                </c:pt>
                <c:pt idx="3">
                  <c:v>30N</c:v>
                </c:pt>
                <c:pt idx="4">
                  <c:v>15N</c:v>
                </c:pt>
                <c:pt idx="5">
                  <c:v>Equator</c:v>
                </c:pt>
                <c:pt idx="6">
                  <c:v>15S</c:v>
                </c:pt>
                <c:pt idx="7">
                  <c:v>30S</c:v>
                </c:pt>
                <c:pt idx="8">
                  <c:v>45S</c:v>
                </c:pt>
                <c:pt idx="9">
                  <c:v>60S</c:v>
                </c:pt>
                <c:pt idx="10">
                  <c:v>75S</c:v>
                </c:pt>
              </c:strCache>
            </c:strRef>
          </c:cat>
          <c:val>
            <c:numRef>
              <c:f>'Light Intensity Lab'!$F$17:$F$27</c:f>
            </c:numRef>
          </c:val>
          <c:smooth val="0"/>
          <c:extLst>
            <c:ext xmlns:c16="http://schemas.microsoft.com/office/drawing/2014/chart" uri="{C3380CC4-5D6E-409C-BE32-E72D297353CC}">
              <c16:uniqueId val="{00000004-72C4-45B5-AEDE-64F266A635AF}"/>
            </c:ext>
          </c:extLst>
        </c:ser>
        <c:dLbls>
          <c:showLegendKey val="0"/>
          <c:showVal val="0"/>
          <c:showCatName val="0"/>
          <c:showSerName val="0"/>
          <c:showPercent val="0"/>
          <c:showBubbleSize val="0"/>
        </c:dLbls>
        <c:marker val="1"/>
        <c:smooth val="0"/>
        <c:axId val="1884772383"/>
        <c:axId val="1"/>
      </c:lineChart>
      <c:catAx>
        <c:axId val="1884772383"/>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725" b="0" i="0" u="none" strike="noStrike" baseline="0">
                <a:solidFill>
                  <a:srgbClr val="000000"/>
                </a:solidFill>
                <a:latin typeface="Arial"/>
                <a:ea typeface="Arial"/>
                <a:cs typeface="Arial"/>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725" b="1" i="0" u="none" strike="noStrike" baseline="0">
                    <a:solidFill>
                      <a:srgbClr val="000000"/>
                    </a:solidFill>
                    <a:latin typeface="Arial"/>
                    <a:ea typeface="Arial"/>
                    <a:cs typeface="Arial"/>
                  </a:defRPr>
                </a:pPr>
                <a:r>
                  <a:rPr lang="en-GB"/>
                  <a:t>Light Intensity</a:t>
                </a:r>
              </a:p>
            </c:rich>
          </c:tx>
          <c:layout>
            <c:manualLayout>
              <c:xMode val="edge"/>
              <c:yMode val="edge"/>
              <c:x val="2.4658295691966623E-2"/>
              <c:y val="0.1400442863280980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725" b="0" i="0" u="none" strike="noStrike" baseline="0">
                <a:solidFill>
                  <a:srgbClr val="000000"/>
                </a:solidFill>
                <a:latin typeface="Arial"/>
                <a:ea typeface="Arial"/>
                <a:cs typeface="Arial"/>
              </a:defRPr>
            </a:pPr>
            <a:endParaRPr lang="en-US"/>
          </a:p>
        </c:txPr>
        <c:crossAx val="1884772383"/>
        <c:crosses val="autoZero"/>
        <c:crossBetween val="between"/>
      </c:valAx>
      <c:spPr>
        <a:solidFill>
          <a:srgbClr val="C0C0C0"/>
        </a:solidFill>
        <a:ln w="12700">
          <a:solidFill>
            <a:srgbClr val="808080"/>
          </a:solidFill>
          <a:prstDash val="solid"/>
        </a:ln>
      </c:spPr>
    </c:plotArea>
    <c:legend>
      <c:legendPos val="r"/>
      <c:layout>
        <c:manualLayout>
          <c:xMode val="edge"/>
          <c:yMode val="edge"/>
          <c:x val="0.78175930045642328"/>
          <c:y val="0.16371374317228363"/>
          <c:w val="0.20274598680061445"/>
          <c:h val="0.65288251795211905"/>
        </c:manualLayout>
      </c:layout>
      <c:overlay val="0"/>
      <c:spPr>
        <a:solidFill>
          <a:srgbClr val="FFFFFF"/>
        </a:solidFill>
        <a:ln w="3175">
          <a:solidFill>
            <a:srgbClr val="000000"/>
          </a:solidFill>
          <a:prstDash val="solid"/>
        </a:ln>
      </c:spPr>
      <c:txPr>
        <a:bodyPr/>
        <a:lstStyle/>
        <a:p>
          <a:pPr>
            <a:defRPr sz="147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7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38100</xdr:colOff>
      <xdr:row>8</xdr:row>
      <xdr:rowOff>50800</xdr:rowOff>
    </xdr:from>
    <xdr:to>
      <xdr:col>3</xdr:col>
      <xdr:colOff>190500</xdr:colOff>
      <xdr:row>8</xdr:row>
      <xdr:rowOff>196850</xdr:rowOff>
    </xdr:to>
    <xdr:sp macro="" textlink="">
      <xdr:nvSpPr>
        <xdr:cNvPr id="5121" name="Text Box 1">
          <a:extLst>
            <a:ext uri="{FF2B5EF4-FFF2-40B4-BE49-F238E27FC236}">
              <a16:creationId xmlns:a16="http://schemas.microsoft.com/office/drawing/2014/main" id="{4A10E952-8DC3-4333-8CA0-EEBE56B50453}"/>
            </a:ext>
          </a:extLst>
        </xdr:cNvPr>
        <xdr:cNvSpPr txBox="1">
          <a:spLocks noChangeArrowheads="1"/>
        </xdr:cNvSpPr>
      </xdr:nvSpPr>
      <xdr:spPr bwMode="auto">
        <a:xfrm>
          <a:off x="6248400" y="1924050"/>
          <a:ext cx="152400" cy="1460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ctr" rtl="0">
            <a:defRPr sz="1000"/>
          </a:pPr>
          <a:r>
            <a:rPr lang="en-GB" sz="900" b="0" i="0" u="none" strike="noStrike" baseline="0">
              <a:solidFill>
                <a:srgbClr val="000000"/>
              </a:solidFill>
              <a:latin typeface="Arial"/>
              <a:cs typeface="Arial"/>
            </a:rPr>
            <a:t>X</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133350</xdr:colOff>
      <xdr:row>45</xdr:row>
      <xdr:rowOff>88900</xdr:rowOff>
    </xdr:from>
    <xdr:to>
      <xdr:col>6</xdr:col>
      <xdr:colOff>514350</xdr:colOff>
      <xdr:row>50</xdr:row>
      <xdr:rowOff>0</xdr:rowOff>
    </xdr:to>
    <xdr:sp macro="" textlink="">
      <xdr:nvSpPr>
        <xdr:cNvPr id="3088" name="Line 16">
          <a:extLst>
            <a:ext uri="{FF2B5EF4-FFF2-40B4-BE49-F238E27FC236}">
              <a16:creationId xmlns:a16="http://schemas.microsoft.com/office/drawing/2014/main" id="{5EFDEF49-4509-4177-8A13-2A9D440C3B43}"/>
            </a:ext>
          </a:extLst>
        </xdr:cNvPr>
        <xdr:cNvSpPr>
          <a:spLocks noChangeShapeType="1"/>
        </xdr:cNvSpPr>
      </xdr:nvSpPr>
      <xdr:spPr bwMode="auto">
        <a:xfrm flipV="1">
          <a:off x="3136900" y="7797800"/>
          <a:ext cx="381000" cy="736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outerShdw dist="107763" dir="18900000" algn="ctr" rotWithShape="0">
            <a:srgbClr val="808080"/>
          </a:outerShdw>
        </a:effectLst>
        <a:extLst>
          <a:ext uri="{909E8E84-426E-40DD-AFC4-6F175D3DCCD1}">
            <a14:hiddenFill xmlns:a14="http://schemas.microsoft.com/office/drawing/2010/main">
              <a:noFill/>
            </a14:hiddenFill>
          </a:ext>
        </a:extLst>
      </xdr:spPr>
    </xdr:sp>
    <xdr:clientData/>
  </xdr:twoCellAnchor>
  <xdr:twoCellAnchor>
    <xdr:from>
      <xdr:col>6</xdr:col>
      <xdr:colOff>165100</xdr:colOff>
      <xdr:row>62</xdr:row>
      <xdr:rowOff>0</xdr:rowOff>
    </xdr:from>
    <xdr:to>
      <xdr:col>6</xdr:col>
      <xdr:colOff>508000</xdr:colOff>
      <xdr:row>66</xdr:row>
      <xdr:rowOff>0</xdr:rowOff>
    </xdr:to>
    <xdr:sp macro="" textlink="">
      <xdr:nvSpPr>
        <xdr:cNvPr id="3085" name="Line 13">
          <a:extLst>
            <a:ext uri="{FF2B5EF4-FFF2-40B4-BE49-F238E27FC236}">
              <a16:creationId xmlns:a16="http://schemas.microsoft.com/office/drawing/2014/main" id="{02695015-12B1-40A9-B14D-ECF3D93CAD7C}"/>
            </a:ext>
          </a:extLst>
        </xdr:cNvPr>
        <xdr:cNvSpPr>
          <a:spLocks noChangeShapeType="1"/>
        </xdr:cNvSpPr>
      </xdr:nvSpPr>
      <xdr:spPr bwMode="auto">
        <a:xfrm flipV="1">
          <a:off x="3168650" y="10826750"/>
          <a:ext cx="342900" cy="635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114300</xdr:colOff>
      <xdr:row>53</xdr:row>
      <xdr:rowOff>38100</xdr:rowOff>
    </xdr:from>
    <xdr:to>
      <xdr:col>10</xdr:col>
      <xdr:colOff>438150</xdr:colOff>
      <xdr:row>57</xdr:row>
      <xdr:rowOff>38100</xdr:rowOff>
    </xdr:to>
    <xdr:sp macro="" textlink="">
      <xdr:nvSpPr>
        <xdr:cNvPr id="3091" name="Line 19">
          <a:extLst>
            <a:ext uri="{FF2B5EF4-FFF2-40B4-BE49-F238E27FC236}">
              <a16:creationId xmlns:a16="http://schemas.microsoft.com/office/drawing/2014/main" id="{05986ED5-6774-4174-A495-BA1AEDC10A92}"/>
            </a:ext>
          </a:extLst>
        </xdr:cNvPr>
        <xdr:cNvSpPr>
          <a:spLocks noChangeShapeType="1"/>
        </xdr:cNvSpPr>
      </xdr:nvSpPr>
      <xdr:spPr bwMode="auto">
        <a:xfrm flipV="1">
          <a:off x="5556250" y="9239250"/>
          <a:ext cx="323850" cy="6413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203200</xdr:colOff>
      <xdr:row>53</xdr:row>
      <xdr:rowOff>82550</xdr:rowOff>
    </xdr:from>
    <xdr:to>
      <xdr:col>1</xdr:col>
      <xdr:colOff>558800</xdr:colOff>
      <xdr:row>57</xdr:row>
      <xdr:rowOff>82550</xdr:rowOff>
    </xdr:to>
    <xdr:sp macro="" textlink="">
      <xdr:nvSpPr>
        <xdr:cNvPr id="3082" name="Line 10">
          <a:extLst>
            <a:ext uri="{FF2B5EF4-FFF2-40B4-BE49-F238E27FC236}">
              <a16:creationId xmlns:a16="http://schemas.microsoft.com/office/drawing/2014/main" id="{FCFF61DF-9A23-4A6D-B642-923BE37D91F9}"/>
            </a:ext>
          </a:extLst>
        </xdr:cNvPr>
        <xdr:cNvSpPr>
          <a:spLocks noChangeShapeType="1"/>
        </xdr:cNvSpPr>
      </xdr:nvSpPr>
      <xdr:spPr bwMode="auto">
        <a:xfrm flipV="1">
          <a:off x="749300" y="9283700"/>
          <a:ext cx="355600" cy="6413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11</xdr:row>
      <xdr:rowOff>25400</xdr:rowOff>
    </xdr:from>
    <xdr:to>
      <xdr:col>14</xdr:col>
      <xdr:colOff>603250</xdr:colOff>
      <xdr:row>31</xdr:row>
      <xdr:rowOff>139700</xdr:rowOff>
    </xdr:to>
    <xdr:graphicFrame macro="">
      <xdr:nvGraphicFramePr>
        <xdr:cNvPr id="3073" name="Chart 1">
          <a:extLst>
            <a:ext uri="{FF2B5EF4-FFF2-40B4-BE49-F238E27FC236}">
              <a16:creationId xmlns:a16="http://schemas.microsoft.com/office/drawing/2014/main" id="{3987BC27-74BA-42A4-A98A-207656CEA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546100</xdr:colOff>
      <xdr:row>13</xdr:row>
      <xdr:rowOff>82550</xdr:rowOff>
    </xdr:from>
    <xdr:to>
      <xdr:col>9</xdr:col>
      <xdr:colOff>546100</xdr:colOff>
      <xdr:row>23</xdr:row>
      <xdr:rowOff>19050</xdr:rowOff>
    </xdr:to>
    <xdr:sp macro="" textlink="">
      <xdr:nvSpPr>
        <xdr:cNvPr id="3074" name="Line 2">
          <a:extLst>
            <a:ext uri="{FF2B5EF4-FFF2-40B4-BE49-F238E27FC236}">
              <a16:creationId xmlns:a16="http://schemas.microsoft.com/office/drawing/2014/main" id="{60CAA781-4438-4D12-8D53-1319ED6B7780}"/>
            </a:ext>
          </a:extLst>
        </xdr:cNvPr>
        <xdr:cNvSpPr>
          <a:spLocks noChangeShapeType="1"/>
        </xdr:cNvSpPr>
      </xdr:nvSpPr>
      <xdr:spPr bwMode="auto">
        <a:xfrm flipV="1">
          <a:off x="5378450" y="2178050"/>
          <a:ext cx="0" cy="16954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19050</xdr:colOff>
      <xdr:row>13</xdr:row>
      <xdr:rowOff>95250</xdr:rowOff>
    </xdr:from>
    <xdr:to>
      <xdr:col>9</xdr:col>
      <xdr:colOff>19050</xdr:colOff>
      <xdr:row>23</xdr:row>
      <xdr:rowOff>38100</xdr:rowOff>
    </xdr:to>
    <xdr:sp macro="" textlink="">
      <xdr:nvSpPr>
        <xdr:cNvPr id="3075" name="Line 3">
          <a:extLst>
            <a:ext uri="{FF2B5EF4-FFF2-40B4-BE49-F238E27FC236}">
              <a16:creationId xmlns:a16="http://schemas.microsoft.com/office/drawing/2014/main" id="{E00487BE-3DD7-4AC2-88AA-AA29B38EDF00}"/>
            </a:ext>
          </a:extLst>
        </xdr:cNvPr>
        <xdr:cNvSpPr>
          <a:spLocks noChangeShapeType="1"/>
        </xdr:cNvSpPr>
      </xdr:nvSpPr>
      <xdr:spPr bwMode="auto">
        <a:xfrm flipV="1">
          <a:off x="4851400" y="2190750"/>
          <a:ext cx="0" cy="170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533400</xdr:colOff>
      <xdr:row>13</xdr:row>
      <xdr:rowOff>95250</xdr:rowOff>
    </xdr:from>
    <xdr:to>
      <xdr:col>10</xdr:col>
      <xdr:colOff>533400</xdr:colOff>
      <xdr:row>23</xdr:row>
      <xdr:rowOff>6350</xdr:rowOff>
    </xdr:to>
    <xdr:sp macro="" textlink="">
      <xdr:nvSpPr>
        <xdr:cNvPr id="3076" name="Line 4">
          <a:extLst>
            <a:ext uri="{FF2B5EF4-FFF2-40B4-BE49-F238E27FC236}">
              <a16:creationId xmlns:a16="http://schemas.microsoft.com/office/drawing/2014/main" id="{8C7260D9-2E60-4596-A02C-F70B4FA88AAF}"/>
            </a:ext>
          </a:extLst>
        </xdr:cNvPr>
        <xdr:cNvSpPr>
          <a:spLocks noChangeShapeType="1"/>
        </xdr:cNvSpPr>
      </xdr:nvSpPr>
      <xdr:spPr bwMode="auto">
        <a:xfrm flipV="1">
          <a:off x="5975350" y="2190750"/>
          <a:ext cx="0" cy="1670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552450</xdr:colOff>
      <xdr:row>16</xdr:row>
      <xdr:rowOff>57150</xdr:rowOff>
    </xdr:from>
    <xdr:to>
      <xdr:col>9</xdr:col>
      <xdr:colOff>107950</xdr:colOff>
      <xdr:row>23</xdr:row>
      <xdr:rowOff>0</xdr:rowOff>
    </xdr:to>
    <xdr:sp macro="" textlink="">
      <xdr:nvSpPr>
        <xdr:cNvPr id="3077" name="Text Box 5">
          <a:extLst>
            <a:ext uri="{FF2B5EF4-FFF2-40B4-BE49-F238E27FC236}">
              <a16:creationId xmlns:a16="http://schemas.microsoft.com/office/drawing/2014/main" id="{0D932D1A-9854-4742-9700-25E8BB0E2A1A}"/>
            </a:ext>
          </a:extLst>
        </xdr:cNvPr>
        <xdr:cNvSpPr txBox="1">
          <a:spLocks noChangeArrowheads="1"/>
        </xdr:cNvSpPr>
      </xdr:nvSpPr>
      <xdr:spPr bwMode="auto">
        <a:xfrm>
          <a:off x="4775200" y="2800350"/>
          <a:ext cx="165100" cy="1054100"/>
        </a:xfrm>
        <a:prstGeom prst="rect">
          <a:avLst/>
        </a:prstGeom>
        <a:solidFill>
          <a:srgbClr xmlns:mc="http://schemas.openxmlformats.org/markup-compatibility/2006" xmlns:a14="http://schemas.microsoft.com/office/drawing/2010/main" val="C0C0C0" mc:Ignorable="a14" a14:legacySpreadsheetColorIndex="22"/>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vert="vert270" wrap="square" lIns="36576" tIns="0" rIns="36576" bIns="22860" anchor="ctr" upright="1"/>
        <a:lstStyle/>
        <a:p>
          <a:pPr algn="l" rtl="0">
            <a:defRPr sz="1000"/>
          </a:pPr>
          <a:r>
            <a:rPr lang="en-GB" sz="1000" b="0" i="0" u="none" strike="noStrike" baseline="0">
              <a:solidFill>
                <a:srgbClr val="000000"/>
              </a:solidFill>
              <a:latin typeface="Arial"/>
              <a:cs typeface="Arial"/>
            </a:rPr>
            <a:t>Tropic of Cancer</a:t>
          </a:r>
        </a:p>
      </xdr:txBody>
    </xdr:sp>
    <xdr:clientData/>
  </xdr:twoCellAnchor>
  <xdr:twoCellAnchor>
    <xdr:from>
      <xdr:col>10</xdr:col>
      <xdr:colOff>469900</xdr:colOff>
      <xdr:row>16</xdr:row>
      <xdr:rowOff>82550</xdr:rowOff>
    </xdr:from>
    <xdr:to>
      <xdr:col>11</xdr:col>
      <xdr:colOff>95250</xdr:colOff>
      <xdr:row>23</xdr:row>
      <xdr:rowOff>82550</xdr:rowOff>
    </xdr:to>
    <xdr:sp macro="" textlink="">
      <xdr:nvSpPr>
        <xdr:cNvPr id="3078" name="Text Box 6">
          <a:extLst>
            <a:ext uri="{FF2B5EF4-FFF2-40B4-BE49-F238E27FC236}">
              <a16:creationId xmlns:a16="http://schemas.microsoft.com/office/drawing/2014/main" id="{1493D58D-E313-4A80-8C48-735D4FB4CE44}"/>
            </a:ext>
          </a:extLst>
        </xdr:cNvPr>
        <xdr:cNvSpPr txBox="1">
          <a:spLocks noChangeArrowheads="1"/>
        </xdr:cNvSpPr>
      </xdr:nvSpPr>
      <xdr:spPr bwMode="auto">
        <a:xfrm>
          <a:off x="5911850" y="2825750"/>
          <a:ext cx="234950" cy="1111250"/>
        </a:xfrm>
        <a:prstGeom prst="rect">
          <a:avLst/>
        </a:prstGeom>
        <a:solidFill>
          <a:srgbClr xmlns:mc="http://schemas.openxmlformats.org/markup-compatibility/2006" xmlns:a14="http://schemas.microsoft.com/office/drawing/2010/main" val="C0C0C0" mc:Ignorable="a14" a14:legacySpreadsheetColorIndex="22"/>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vert="vert270" wrap="square" lIns="36576" tIns="0" rIns="0" bIns="22860" anchor="t" upright="1"/>
        <a:lstStyle/>
        <a:p>
          <a:pPr algn="l" rtl="0">
            <a:defRPr sz="1000"/>
          </a:pPr>
          <a:r>
            <a:rPr lang="en-GB" sz="1000" b="0" i="0" u="none" strike="noStrike" baseline="0">
              <a:solidFill>
                <a:srgbClr val="000000"/>
              </a:solidFill>
              <a:latin typeface="Arial"/>
              <a:cs typeface="Arial"/>
            </a:rPr>
            <a:t>Tropic of Capricorn</a:t>
          </a:r>
        </a:p>
      </xdr:txBody>
    </xdr:sp>
    <xdr:clientData/>
  </xdr:twoCellAnchor>
  <xdr:twoCellAnchor>
    <xdr:from>
      <xdr:col>6</xdr:col>
      <xdr:colOff>0</xdr:colOff>
      <xdr:row>53</xdr:row>
      <xdr:rowOff>25400</xdr:rowOff>
    </xdr:from>
    <xdr:to>
      <xdr:col>7</xdr:col>
      <xdr:colOff>469900</xdr:colOff>
      <xdr:row>58</xdr:row>
      <xdr:rowOff>38100</xdr:rowOff>
    </xdr:to>
    <xdr:sp macro="" textlink="">
      <xdr:nvSpPr>
        <xdr:cNvPr id="3079" name="Oval 7">
          <a:extLst>
            <a:ext uri="{FF2B5EF4-FFF2-40B4-BE49-F238E27FC236}">
              <a16:creationId xmlns:a16="http://schemas.microsoft.com/office/drawing/2014/main" id="{33E385A8-2EC1-4AB7-9056-E718FDC1ED9C}"/>
            </a:ext>
          </a:extLst>
        </xdr:cNvPr>
        <xdr:cNvSpPr>
          <a:spLocks noChangeArrowheads="1"/>
        </xdr:cNvSpPr>
      </xdr:nvSpPr>
      <xdr:spPr bwMode="auto">
        <a:xfrm>
          <a:off x="3003550" y="9226550"/>
          <a:ext cx="1079500" cy="1003300"/>
        </a:xfrm>
        <a:prstGeom prst="ellipse">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xdr:col>
      <xdr:colOff>50800</xdr:colOff>
      <xdr:row>54</xdr:row>
      <xdr:rowOff>57150</xdr:rowOff>
    </xdr:from>
    <xdr:to>
      <xdr:col>2</xdr:col>
      <xdr:colOff>101600</xdr:colOff>
      <xdr:row>57</xdr:row>
      <xdr:rowOff>38100</xdr:rowOff>
    </xdr:to>
    <xdr:sp macro="" textlink="">
      <xdr:nvSpPr>
        <xdr:cNvPr id="3081" name="Oval 9">
          <a:extLst>
            <a:ext uri="{FF2B5EF4-FFF2-40B4-BE49-F238E27FC236}">
              <a16:creationId xmlns:a16="http://schemas.microsoft.com/office/drawing/2014/main" id="{4D0FED4F-2135-44FF-B213-37991213C374}"/>
            </a:ext>
          </a:extLst>
        </xdr:cNvPr>
        <xdr:cNvSpPr>
          <a:spLocks noChangeArrowheads="1"/>
        </xdr:cNvSpPr>
      </xdr:nvSpPr>
      <xdr:spPr bwMode="auto">
        <a:xfrm>
          <a:off x="596900" y="9417050"/>
          <a:ext cx="622300" cy="463550"/>
        </a:xfrm>
        <a:prstGeom prst="ellipse">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0000FF" mc:Ignorable="a14" a14:legacySpreadsheetColorIndex="12"/>
          </a:solidFill>
          <a:round/>
          <a:headEnd/>
          <a:tailEnd/>
        </a:ln>
        <a:effectLst>
          <a:prstShdw prst="shdw11">
            <a:srgbClr val="808080"/>
          </a:prstShdw>
        </a:effectLst>
      </xdr:spPr>
    </xdr:sp>
    <xdr:clientData/>
  </xdr:twoCellAnchor>
  <xdr:twoCellAnchor>
    <xdr:from>
      <xdr:col>6</xdr:col>
      <xdr:colOff>19050</xdr:colOff>
      <xdr:row>62</xdr:row>
      <xdr:rowOff>133350</xdr:rowOff>
    </xdr:from>
    <xdr:to>
      <xdr:col>7</xdr:col>
      <xdr:colOff>0</xdr:colOff>
      <xdr:row>65</xdr:row>
      <xdr:rowOff>114300</xdr:rowOff>
    </xdr:to>
    <xdr:sp macro="" textlink="">
      <xdr:nvSpPr>
        <xdr:cNvPr id="3084" name="Oval 12">
          <a:extLst>
            <a:ext uri="{FF2B5EF4-FFF2-40B4-BE49-F238E27FC236}">
              <a16:creationId xmlns:a16="http://schemas.microsoft.com/office/drawing/2014/main" id="{DE094A36-163E-4C6D-851D-3D457E8F80E8}"/>
            </a:ext>
          </a:extLst>
        </xdr:cNvPr>
        <xdr:cNvSpPr>
          <a:spLocks noChangeArrowheads="1"/>
        </xdr:cNvSpPr>
      </xdr:nvSpPr>
      <xdr:spPr bwMode="auto">
        <a:xfrm>
          <a:off x="3022600" y="10960100"/>
          <a:ext cx="590550" cy="457200"/>
        </a:xfrm>
        <a:prstGeom prst="ellipse">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0000FF" mc:Ignorable="a14" a14:legacySpreadsheetColorIndex="12"/>
          </a:solidFill>
          <a:round/>
          <a:headEnd/>
          <a:tailEnd/>
        </a:ln>
        <a:effectLst>
          <a:outerShdw sy="-100000" rotWithShape="0">
            <a:srgbClr val="808080"/>
          </a:outerShdw>
        </a:effectLst>
      </xdr:spPr>
    </xdr:sp>
    <xdr:clientData/>
  </xdr:twoCellAnchor>
  <xdr:twoCellAnchor>
    <xdr:from>
      <xdr:col>6</xdr:col>
      <xdr:colOff>0</xdr:colOff>
      <xdr:row>46</xdr:row>
      <xdr:rowOff>133350</xdr:rowOff>
    </xdr:from>
    <xdr:to>
      <xdr:col>6</xdr:col>
      <xdr:colOff>552450</xdr:colOff>
      <xdr:row>49</xdr:row>
      <xdr:rowOff>120650</xdr:rowOff>
    </xdr:to>
    <xdr:sp macro="" textlink="">
      <xdr:nvSpPr>
        <xdr:cNvPr id="3087" name="Oval 15">
          <a:extLst>
            <a:ext uri="{FF2B5EF4-FFF2-40B4-BE49-F238E27FC236}">
              <a16:creationId xmlns:a16="http://schemas.microsoft.com/office/drawing/2014/main" id="{D0A77DAD-640A-43B4-849C-C0D78C8FB71D}"/>
            </a:ext>
          </a:extLst>
        </xdr:cNvPr>
        <xdr:cNvSpPr>
          <a:spLocks noChangeArrowheads="1"/>
        </xdr:cNvSpPr>
      </xdr:nvSpPr>
      <xdr:spPr bwMode="auto">
        <a:xfrm>
          <a:off x="3003550" y="8007350"/>
          <a:ext cx="552450" cy="482600"/>
        </a:xfrm>
        <a:prstGeom prst="ellipse">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0000FF" mc:Ignorable="a14" a14:legacySpreadsheetColorIndex="12"/>
          </a:solidFill>
          <a:round/>
          <a:headEnd/>
          <a:tailEnd/>
        </a:ln>
        <a:effectLst>
          <a:outerShdw dist="107763" dir="18900000" algn="ctr" rotWithShape="0">
            <a:srgbClr val="808080"/>
          </a:outerShdw>
        </a:effectLst>
      </xdr:spPr>
    </xdr:sp>
    <xdr:clientData/>
  </xdr:twoCellAnchor>
  <xdr:twoCellAnchor>
    <xdr:from>
      <xdr:col>9</xdr:col>
      <xdr:colOff>590550</xdr:colOff>
      <xdr:row>54</xdr:row>
      <xdr:rowOff>6350</xdr:rowOff>
    </xdr:from>
    <xdr:to>
      <xdr:col>10</xdr:col>
      <xdr:colOff>533400</xdr:colOff>
      <xdr:row>56</xdr:row>
      <xdr:rowOff>158750</xdr:rowOff>
    </xdr:to>
    <xdr:sp macro="" textlink="">
      <xdr:nvSpPr>
        <xdr:cNvPr id="3090" name="Oval 18">
          <a:extLst>
            <a:ext uri="{FF2B5EF4-FFF2-40B4-BE49-F238E27FC236}">
              <a16:creationId xmlns:a16="http://schemas.microsoft.com/office/drawing/2014/main" id="{4BF86A91-3A1E-4D4B-90A9-94C94F8031BF}"/>
            </a:ext>
          </a:extLst>
        </xdr:cNvPr>
        <xdr:cNvSpPr>
          <a:spLocks noChangeArrowheads="1"/>
        </xdr:cNvSpPr>
      </xdr:nvSpPr>
      <xdr:spPr bwMode="auto">
        <a:xfrm>
          <a:off x="5422900" y="9366250"/>
          <a:ext cx="552450" cy="469900"/>
        </a:xfrm>
        <a:prstGeom prst="ellipse">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0000FF" mc:Ignorable="a14" a14:legacySpreadsheetColorIndex="12"/>
          </a:solidFill>
          <a:round/>
          <a:headEnd/>
          <a:tailEnd/>
        </a:ln>
        <a:effectLst>
          <a:outerShdw sy="50000" kx="-2453608" algn="br" rotWithShape="0">
            <a:srgbClr val="808080"/>
          </a:outerShdw>
        </a:effectLst>
      </xdr:spPr>
    </xdr:sp>
    <xdr:clientData/>
  </xdr:twoCellAnchor>
  <xdr:twoCellAnchor>
    <xdr:from>
      <xdr:col>2</xdr:col>
      <xdr:colOff>533400</xdr:colOff>
      <xdr:row>60</xdr:row>
      <xdr:rowOff>120650</xdr:rowOff>
    </xdr:from>
    <xdr:to>
      <xdr:col>3</xdr:col>
      <xdr:colOff>476250</xdr:colOff>
      <xdr:row>62</xdr:row>
      <xdr:rowOff>38100</xdr:rowOff>
    </xdr:to>
    <xdr:sp macro="" textlink="">
      <xdr:nvSpPr>
        <xdr:cNvPr id="3092" name="AutoShape 20">
          <a:extLst>
            <a:ext uri="{FF2B5EF4-FFF2-40B4-BE49-F238E27FC236}">
              <a16:creationId xmlns:a16="http://schemas.microsoft.com/office/drawing/2014/main" id="{B3FC51B6-3D8E-4EEE-8694-B35D6AD71926}"/>
            </a:ext>
          </a:extLst>
        </xdr:cNvPr>
        <xdr:cNvSpPr>
          <a:spLocks noChangeArrowheads="1"/>
        </xdr:cNvSpPr>
      </xdr:nvSpPr>
      <xdr:spPr bwMode="auto">
        <a:xfrm rot="-19654735">
          <a:off x="1651000" y="10629900"/>
          <a:ext cx="514350" cy="234950"/>
        </a:xfrm>
        <a:prstGeom prst="rightArrow">
          <a:avLst>
            <a:gd name="adj1" fmla="val 50000"/>
            <a:gd name="adj2" fmla="val 5473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76200</xdr:colOff>
      <xdr:row>48</xdr:row>
      <xdr:rowOff>57150</xdr:rowOff>
    </xdr:from>
    <xdr:to>
      <xdr:col>9</xdr:col>
      <xdr:colOff>31750</xdr:colOff>
      <xdr:row>49</xdr:row>
      <xdr:rowOff>127000</xdr:rowOff>
    </xdr:to>
    <xdr:sp macro="" textlink="">
      <xdr:nvSpPr>
        <xdr:cNvPr id="3093" name="AutoShape 21">
          <a:extLst>
            <a:ext uri="{FF2B5EF4-FFF2-40B4-BE49-F238E27FC236}">
              <a16:creationId xmlns:a16="http://schemas.microsoft.com/office/drawing/2014/main" id="{A0930B70-2EC0-400D-87E4-282000207C97}"/>
            </a:ext>
          </a:extLst>
        </xdr:cNvPr>
        <xdr:cNvSpPr>
          <a:spLocks noChangeArrowheads="1"/>
        </xdr:cNvSpPr>
      </xdr:nvSpPr>
      <xdr:spPr bwMode="auto">
        <a:xfrm rot="-30817734">
          <a:off x="4298950" y="8267700"/>
          <a:ext cx="565150" cy="228600"/>
        </a:xfrm>
        <a:prstGeom prst="rightArrow">
          <a:avLst>
            <a:gd name="adj1" fmla="val 50000"/>
            <a:gd name="adj2" fmla="val 61806"/>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38100</xdr:colOff>
      <xdr:row>49</xdr:row>
      <xdr:rowOff>25400</xdr:rowOff>
    </xdr:from>
    <xdr:to>
      <xdr:col>4</xdr:col>
      <xdr:colOff>222250</xdr:colOff>
      <xdr:row>50</xdr:row>
      <xdr:rowOff>101600</xdr:rowOff>
    </xdr:to>
    <xdr:sp macro="" textlink="">
      <xdr:nvSpPr>
        <xdr:cNvPr id="3094" name="AutoShape 22">
          <a:extLst>
            <a:ext uri="{FF2B5EF4-FFF2-40B4-BE49-F238E27FC236}">
              <a16:creationId xmlns:a16="http://schemas.microsoft.com/office/drawing/2014/main" id="{A4BC7F51-0593-444A-8B1A-4FFC48F79C1C}"/>
            </a:ext>
          </a:extLst>
        </xdr:cNvPr>
        <xdr:cNvSpPr>
          <a:spLocks noChangeArrowheads="1"/>
        </xdr:cNvSpPr>
      </xdr:nvSpPr>
      <xdr:spPr bwMode="auto">
        <a:xfrm rot="-12713437">
          <a:off x="1727200" y="8394700"/>
          <a:ext cx="800100" cy="241300"/>
        </a:xfrm>
        <a:prstGeom prst="rightArrow">
          <a:avLst>
            <a:gd name="adj1" fmla="val 50000"/>
            <a:gd name="adj2" fmla="val 82895"/>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152400</xdr:colOff>
      <xdr:row>60</xdr:row>
      <xdr:rowOff>95250</xdr:rowOff>
    </xdr:from>
    <xdr:to>
      <xdr:col>9</xdr:col>
      <xdr:colOff>107950</xdr:colOff>
      <xdr:row>62</xdr:row>
      <xdr:rowOff>19050</xdr:rowOff>
    </xdr:to>
    <xdr:sp macro="" textlink="">
      <xdr:nvSpPr>
        <xdr:cNvPr id="3095" name="AutoShape 23">
          <a:extLst>
            <a:ext uri="{FF2B5EF4-FFF2-40B4-BE49-F238E27FC236}">
              <a16:creationId xmlns:a16="http://schemas.microsoft.com/office/drawing/2014/main" id="{ADC12819-FEF9-46B6-B4B2-2FAF27A43F1F}"/>
            </a:ext>
          </a:extLst>
        </xdr:cNvPr>
        <xdr:cNvSpPr>
          <a:spLocks noChangeArrowheads="1"/>
        </xdr:cNvSpPr>
      </xdr:nvSpPr>
      <xdr:spPr bwMode="auto">
        <a:xfrm rot="-23327666">
          <a:off x="4375150" y="10604500"/>
          <a:ext cx="565150" cy="241300"/>
        </a:xfrm>
        <a:prstGeom prst="rightArrow">
          <a:avLst>
            <a:gd name="adj1" fmla="val 50000"/>
            <a:gd name="adj2" fmla="val 58553"/>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101600</xdr:colOff>
      <xdr:row>54</xdr:row>
      <xdr:rowOff>152400</xdr:rowOff>
    </xdr:from>
    <xdr:to>
      <xdr:col>2</xdr:col>
      <xdr:colOff>82550</xdr:colOff>
      <xdr:row>56</xdr:row>
      <xdr:rowOff>63500</xdr:rowOff>
    </xdr:to>
    <xdr:sp macro="" textlink="">
      <xdr:nvSpPr>
        <xdr:cNvPr id="3097" name="Arc 25">
          <a:extLst>
            <a:ext uri="{FF2B5EF4-FFF2-40B4-BE49-F238E27FC236}">
              <a16:creationId xmlns:a16="http://schemas.microsoft.com/office/drawing/2014/main" id="{E720EA95-4E11-4D4C-BBF9-72BA93499C30}"/>
            </a:ext>
          </a:extLst>
        </xdr:cNvPr>
        <xdr:cNvSpPr>
          <a:spLocks/>
        </xdr:cNvSpPr>
      </xdr:nvSpPr>
      <xdr:spPr bwMode="auto">
        <a:xfrm flipH="1" flipV="1">
          <a:off x="647700" y="9512300"/>
          <a:ext cx="552450" cy="228600"/>
        </a:xfrm>
        <a:custGeom>
          <a:avLst/>
          <a:gdLst>
            <a:gd name="G0" fmla="+- 1970 0 0"/>
            <a:gd name="G1" fmla="+- 21600 0 0"/>
            <a:gd name="G2" fmla="+- 21600 0 0"/>
            <a:gd name="T0" fmla="*/ 0 w 23151"/>
            <a:gd name="T1" fmla="*/ 90 h 21600"/>
            <a:gd name="T2" fmla="*/ 23151 w 23151"/>
            <a:gd name="T3" fmla="*/ 17364 h 21600"/>
            <a:gd name="T4" fmla="*/ 1970 w 23151"/>
            <a:gd name="T5" fmla="*/ 21600 h 21600"/>
          </a:gdLst>
          <a:ahLst/>
          <a:cxnLst>
            <a:cxn ang="0">
              <a:pos x="T0" y="T1"/>
            </a:cxn>
            <a:cxn ang="0">
              <a:pos x="T2" y="T3"/>
            </a:cxn>
            <a:cxn ang="0">
              <a:pos x="T4" y="T5"/>
            </a:cxn>
          </a:cxnLst>
          <a:rect l="0" t="0" r="r" b="b"/>
          <a:pathLst>
            <a:path w="23151" h="21600" fill="none" extrusionOk="0">
              <a:moveTo>
                <a:pt x="0" y="90"/>
              </a:moveTo>
              <a:cubicBezTo>
                <a:pt x="654" y="30"/>
                <a:pt x="1312" y="0"/>
                <a:pt x="1970" y="0"/>
              </a:cubicBezTo>
              <a:cubicBezTo>
                <a:pt x="12266" y="0"/>
                <a:pt x="21131" y="7267"/>
                <a:pt x="23150" y="17364"/>
              </a:cubicBezTo>
            </a:path>
            <a:path w="23151" h="21600" stroke="0" extrusionOk="0">
              <a:moveTo>
                <a:pt x="0" y="90"/>
              </a:moveTo>
              <a:cubicBezTo>
                <a:pt x="654" y="30"/>
                <a:pt x="1312" y="0"/>
                <a:pt x="1970" y="0"/>
              </a:cubicBezTo>
              <a:cubicBezTo>
                <a:pt x="12266" y="0"/>
                <a:pt x="21131" y="7267"/>
                <a:pt x="23150" y="17364"/>
              </a:cubicBezTo>
              <a:lnTo>
                <a:pt x="1970" y="2160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38100</xdr:colOff>
      <xdr:row>63</xdr:row>
      <xdr:rowOff>57150</xdr:rowOff>
    </xdr:from>
    <xdr:to>
      <xdr:col>6</xdr:col>
      <xdr:colOff>565150</xdr:colOff>
      <xdr:row>64</xdr:row>
      <xdr:rowOff>133350</xdr:rowOff>
    </xdr:to>
    <xdr:sp macro="" textlink="">
      <xdr:nvSpPr>
        <xdr:cNvPr id="3098" name="Arc 26">
          <a:extLst>
            <a:ext uri="{FF2B5EF4-FFF2-40B4-BE49-F238E27FC236}">
              <a16:creationId xmlns:a16="http://schemas.microsoft.com/office/drawing/2014/main" id="{9729681F-6D14-457E-A228-D9556BF5AD32}"/>
            </a:ext>
          </a:extLst>
        </xdr:cNvPr>
        <xdr:cNvSpPr>
          <a:spLocks/>
        </xdr:cNvSpPr>
      </xdr:nvSpPr>
      <xdr:spPr bwMode="auto">
        <a:xfrm flipH="1" flipV="1">
          <a:off x="3041650" y="11042650"/>
          <a:ext cx="527050" cy="234950"/>
        </a:xfrm>
        <a:custGeom>
          <a:avLst/>
          <a:gdLst>
            <a:gd name="G0" fmla="+- 1970 0 0"/>
            <a:gd name="G1" fmla="+- 21600 0 0"/>
            <a:gd name="G2" fmla="+- 21600 0 0"/>
            <a:gd name="T0" fmla="*/ 0 w 23151"/>
            <a:gd name="T1" fmla="*/ 90 h 21600"/>
            <a:gd name="T2" fmla="*/ 23151 w 23151"/>
            <a:gd name="T3" fmla="*/ 17364 h 21600"/>
            <a:gd name="T4" fmla="*/ 1970 w 23151"/>
            <a:gd name="T5" fmla="*/ 21600 h 21600"/>
          </a:gdLst>
          <a:ahLst/>
          <a:cxnLst>
            <a:cxn ang="0">
              <a:pos x="T0" y="T1"/>
            </a:cxn>
            <a:cxn ang="0">
              <a:pos x="T2" y="T3"/>
            </a:cxn>
            <a:cxn ang="0">
              <a:pos x="T4" y="T5"/>
            </a:cxn>
          </a:cxnLst>
          <a:rect l="0" t="0" r="r" b="b"/>
          <a:pathLst>
            <a:path w="23151" h="21600" fill="none" extrusionOk="0">
              <a:moveTo>
                <a:pt x="0" y="90"/>
              </a:moveTo>
              <a:cubicBezTo>
                <a:pt x="654" y="30"/>
                <a:pt x="1312" y="0"/>
                <a:pt x="1970" y="0"/>
              </a:cubicBezTo>
              <a:cubicBezTo>
                <a:pt x="12266" y="0"/>
                <a:pt x="21131" y="7267"/>
                <a:pt x="23150" y="17364"/>
              </a:cubicBezTo>
            </a:path>
            <a:path w="23151" h="21600" stroke="0" extrusionOk="0">
              <a:moveTo>
                <a:pt x="0" y="90"/>
              </a:moveTo>
              <a:cubicBezTo>
                <a:pt x="654" y="30"/>
                <a:pt x="1312" y="0"/>
                <a:pt x="1970" y="0"/>
              </a:cubicBezTo>
              <a:cubicBezTo>
                <a:pt x="12266" y="0"/>
                <a:pt x="21131" y="7267"/>
                <a:pt x="23150" y="17364"/>
              </a:cubicBezTo>
              <a:lnTo>
                <a:pt x="1970" y="2160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12700</xdr:colOff>
      <xdr:row>47</xdr:row>
      <xdr:rowOff>57150</xdr:rowOff>
    </xdr:from>
    <xdr:to>
      <xdr:col>6</xdr:col>
      <xdr:colOff>533400</xdr:colOff>
      <xdr:row>48</xdr:row>
      <xdr:rowOff>120650</xdr:rowOff>
    </xdr:to>
    <xdr:sp macro="" textlink="">
      <xdr:nvSpPr>
        <xdr:cNvPr id="3099" name="Arc 27">
          <a:extLst>
            <a:ext uri="{FF2B5EF4-FFF2-40B4-BE49-F238E27FC236}">
              <a16:creationId xmlns:a16="http://schemas.microsoft.com/office/drawing/2014/main" id="{0E87E8BC-45C2-4207-B42D-94B5EE09A2EC}"/>
            </a:ext>
          </a:extLst>
        </xdr:cNvPr>
        <xdr:cNvSpPr>
          <a:spLocks/>
        </xdr:cNvSpPr>
      </xdr:nvSpPr>
      <xdr:spPr bwMode="auto">
        <a:xfrm flipH="1" flipV="1">
          <a:off x="3016250" y="8096250"/>
          <a:ext cx="520700" cy="234950"/>
        </a:xfrm>
        <a:custGeom>
          <a:avLst/>
          <a:gdLst>
            <a:gd name="G0" fmla="+- 1970 0 0"/>
            <a:gd name="G1" fmla="+- 21600 0 0"/>
            <a:gd name="G2" fmla="+- 21600 0 0"/>
            <a:gd name="T0" fmla="*/ 0 w 23151"/>
            <a:gd name="T1" fmla="*/ 90 h 21600"/>
            <a:gd name="T2" fmla="*/ 23151 w 23151"/>
            <a:gd name="T3" fmla="*/ 17364 h 21600"/>
            <a:gd name="T4" fmla="*/ 1970 w 23151"/>
            <a:gd name="T5" fmla="*/ 21600 h 21600"/>
          </a:gdLst>
          <a:ahLst/>
          <a:cxnLst>
            <a:cxn ang="0">
              <a:pos x="T0" y="T1"/>
            </a:cxn>
            <a:cxn ang="0">
              <a:pos x="T2" y="T3"/>
            </a:cxn>
            <a:cxn ang="0">
              <a:pos x="T4" y="T5"/>
            </a:cxn>
          </a:cxnLst>
          <a:rect l="0" t="0" r="r" b="b"/>
          <a:pathLst>
            <a:path w="23151" h="21600" fill="none" extrusionOk="0">
              <a:moveTo>
                <a:pt x="0" y="90"/>
              </a:moveTo>
              <a:cubicBezTo>
                <a:pt x="654" y="30"/>
                <a:pt x="1312" y="0"/>
                <a:pt x="1970" y="0"/>
              </a:cubicBezTo>
              <a:cubicBezTo>
                <a:pt x="12266" y="0"/>
                <a:pt x="21131" y="7267"/>
                <a:pt x="23150" y="17364"/>
              </a:cubicBezTo>
            </a:path>
            <a:path w="23151" h="21600" stroke="0" extrusionOk="0">
              <a:moveTo>
                <a:pt x="0" y="90"/>
              </a:moveTo>
              <a:cubicBezTo>
                <a:pt x="654" y="30"/>
                <a:pt x="1312" y="0"/>
                <a:pt x="1970" y="0"/>
              </a:cubicBezTo>
              <a:cubicBezTo>
                <a:pt x="12266" y="0"/>
                <a:pt x="21131" y="7267"/>
                <a:pt x="23150" y="17364"/>
              </a:cubicBezTo>
              <a:lnTo>
                <a:pt x="1970" y="2160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12700</xdr:colOff>
      <xdr:row>54</xdr:row>
      <xdr:rowOff>76200</xdr:rowOff>
    </xdr:from>
    <xdr:to>
      <xdr:col>10</xdr:col>
      <xdr:colOff>488950</xdr:colOff>
      <xdr:row>55</xdr:row>
      <xdr:rowOff>152400</xdr:rowOff>
    </xdr:to>
    <xdr:sp macro="" textlink="">
      <xdr:nvSpPr>
        <xdr:cNvPr id="3100" name="Arc 28">
          <a:extLst>
            <a:ext uri="{FF2B5EF4-FFF2-40B4-BE49-F238E27FC236}">
              <a16:creationId xmlns:a16="http://schemas.microsoft.com/office/drawing/2014/main" id="{1663F2B8-661D-415A-8A18-57B4269EC820}"/>
            </a:ext>
          </a:extLst>
        </xdr:cNvPr>
        <xdr:cNvSpPr>
          <a:spLocks/>
        </xdr:cNvSpPr>
      </xdr:nvSpPr>
      <xdr:spPr bwMode="auto">
        <a:xfrm flipH="1" flipV="1">
          <a:off x="5454650" y="9436100"/>
          <a:ext cx="476250" cy="234950"/>
        </a:xfrm>
        <a:custGeom>
          <a:avLst/>
          <a:gdLst>
            <a:gd name="G0" fmla="+- 0 0 0"/>
            <a:gd name="G1" fmla="+- 21600 0 0"/>
            <a:gd name="G2" fmla="+- 21600 0 0"/>
            <a:gd name="T0" fmla="*/ 0 w 21181"/>
            <a:gd name="T1" fmla="*/ 0 h 21600"/>
            <a:gd name="T2" fmla="*/ 21181 w 21181"/>
            <a:gd name="T3" fmla="*/ 17364 h 21600"/>
            <a:gd name="T4" fmla="*/ 0 w 21181"/>
            <a:gd name="T5" fmla="*/ 21600 h 21600"/>
          </a:gdLst>
          <a:ahLst/>
          <a:cxnLst>
            <a:cxn ang="0">
              <a:pos x="T0" y="T1"/>
            </a:cxn>
            <a:cxn ang="0">
              <a:pos x="T2" y="T3"/>
            </a:cxn>
            <a:cxn ang="0">
              <a:pos x="T4" y="T5"/>
            </a:cxn>
          </a:cxnLst>
          <a:rect l="0" t="0" r="r" b="b"/>
          <a:pathLst>
            <a:path w="21181" h="21600" fill="none" extrusionOk="0">
              <a:moveTo>
                <a:pt x="0" y="0"/>
              </a:moveTo>
              <a:cubicBezTo>
                <a:pt x="10296" y="0"/>
                <a:pt x="19161" y="7267"/>
                <a:pt x="21180" y="17364"/>
              </a:cubicBezTo>
            </a:path>
            <a:path w="21181" h="21600" stroke="0" extrusionOk="0">
              <a:moveTo>
                <a:pt x="0" y="0"/>
              </a:moveTo>
              <a:cubicBezTo>
                <a:pt x="10296" y="0"/>
                <a:pt x="19161" y="7267"/>
                <a:pt x="21180" y="17364"/>
              </a:cubicBezTo>
              <a:lnTo>
                <a:pt x="0" y="21600"/>
              </a:lnTo>
              <a:close/>
            </a:path>
          </a:pathLst>
        </a:cu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3.xml><?xml version="1.0" encoding="utf-8"?>
<c:userShapes xmlns:c="http://schemas.openxmlformats.org/drawingml/2006/chart">
  <cdr:relSizeAnchor xmlns:cdr="http://schemas.openxmlformats.org/drawingml/2006/chartDrawing">
    <cdr:from>
      <cdr:x>0.42165</cdr:x>
      <cdr:y>0.65581</cdr:y>
    </cdr:from>
    <cdr:to>
      <cdr:x>0.44506</cdr:x>
      <cdr:y>0.96475</cdr:y>
    </cdr:to>
    <cdr:sp macro="" textlink="">
      <cdr:nvSpPr>
        <cdr:cNvPr id="4097" name="Text Box 1">
          <a:extLst xmlns:a="http://schemas.openxmlformats.org/drawingml/2006/main">
            <a:ext uri="{FF2B5EF4-FFF2-40B4-BE49-F238E27FC236}">
              <a16:creationId xmlns:a16="http://schemas.microsoft.com/office/drawing/2014/main" id="{8165E9D5-3DE7-443B-80CE-5568FF119AC5}"/>
            </a:ext>
          </a:extLst>
        </cdr:cNvPr>
        <cdr:cNvSpPr txBox="1">
          <a:spLocks xmlns:a="http://schemas.openxmlformats.org/drawingml/2006/main" noChangeArrowheads="1"/>
        </cdr:cNvSpPr>
      </cdr:nvSpPr>
      <cdr:spPr bwMode="auto">
        <a:xfrm xmlns:a="http://schemas.openxmlformats.org/drawingml/2006/main">
          <a:off x="2963961" y="2277907"/>
          <a:ext cx="164536" cy="1073091"/>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vertOverflow="clip" vert="wordArtVert" wrap="square" lIns="36576" tIns="0" rIns="0" bIns="0" anchor="t" upright="1"/>
        <a:lstStyle xmlns:a="http://schemas.openxmlformats.org/drawingml/2006/main"/>
        <a:p xmlns:a="http://schemas.openxmlformats.org/drawingml/2006/main">
          <a:pPr algn="l" rtl="0">
            <a:defRPr sz="1000"/>
          </a:pPr>
          <a:r>
            <a:rPr lang="en-GB" sz="825" b="0" i="0" u="none" strike="noStrike" baseline="0">
              <a:solidFill>
                <a:srgbClr val="000000"/>
              </a:solidFill>
              <a:latin typeface="Arial"/>
              <a:cs typeface="Arial"/>
            </a:rPr>
            <a:t>Equator</a:t>
          </a:r>
        </a:p>
      </cdr:txBody>
    </cdr:sp>
  </cdr:relSizeAnchor>
</c:userShapes>
</file>

<file path=xl/drawings/drawing4.xml><?xml version="1.0" encoding="utf-8"?>
<xdr:wsDr xmlns:xdr="http://schemas.openxmlformats.org/drawingml/2006/spreadsheetDrawing" xmlns:a="http://schemas.openxmlformats.org/drawingml/2006/main">
  <xdr:twoCellAnchor>
    <xdr:from>
      <xdr:col>4</xdr:col>
      <xdr:colOff>31750</xdr:colOff>
      <xdr:row>11</xdr:row>
      <xdr:rowOff>82550</xdr:rowOff>
    </xdr:from>
    <xdr:to>
      <xdr:col>14</xdr:col>
      <xdr:colOff>565150</xdr:colOff>
      <xdr:row>29</xdr:row>
      <xdr:rowOff>266700</xdr:rowOff>
    </xdr:to>
    <xdr:graphicFrame macro="">
      <xdr:nvGraphicFramePr>
        <xdr:cNvPr id="1025" name="Chart 1">
          <a:extLst>
            <a:ext uri="{FF2B5EF4-FFF2-40B4-BE49-F238E27FC236}">
              <a16:creationId xmlns:a16="http://schemas.microsoft.com/office/drawing/2014/main" id="{669D027D-53C0-420B-9167-F1F9D0DC8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xdr:colOff>
      <xdr:row>13</xdr:row>
      <xdr:rowOff>76200</xdr:rowOff>
    </xdr:from>
    <xdr:to>
      <xdr:col>10</xdr:col>
      <xdr:colOff>76200</xdr:colOff>
      <xdr:row>22</xdr:row>
      <xdr:rowOff>133350</xdr:rowOff>
    </xdr:to>
    <xdr:sp macro="" textlink="">
      <xdr:nvSpPr>
        <xdr:cNvPr id="1037" name="Line 13">
          <a:extLst>
            <a:ext uri="{FF2B5EF4-FFF2-40B4-BE49-F238E27FC236}">
              <a16:creationId xmlns:a16="http://schemas.microsoft.com/office/drawing/2014/main" id="{048D3387-9986-464C-BD8A-2613CDA93E98}"/>
            </a:ext>
          </a:extLst>
        </xdr:cNvPr>
        <xdr:cNvSpPr>
          <a:spLocks noChangeShapeType="1"/>
        </xdr:cNvSpPr>
      </xdr:nvSpPr>
      <xdr:spPr bwMode="auto">
        <a:xfrm flipV="1">
          <a:off x="5518150" y="2171700"/>
          <a:ext cx="0" cy="1663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xdr:col>
      <xdr:colOff>76200</xdr:colOff>
      <xdr:row>13</xdr:row>
      <xdr:rowOff>76200</xdr:rowOff>
    </xdr:from>
    <xdr:to>
      <xdr:col>9</xdr:col>
      <xdr:colOff>76200</xdr:colOff>
      <xdr:row>22</xdr:row>
      <xdr:rowOff>152400</xdr:rowOff>
    </xdr:to>
    <xdr:sp macro="" textlink="">
      <xdr:nvSpPr>
        <xdr:cNvPr id="1038" name="Line 14">
          <a:extLst>
            <a:ext uri="{FF2B5EF4-FFF2-40B4-BE49-F238E27FC236}">
              <a16:creationId xmlns:a16="http://schemas.microsoft.com/office/drawing/2014/main" id="{E2AB7EC5-3522-4B59-AA7F-AA59D6913448}"/>
            </a:ext>
          </a:extLst>
        </xdr:cNvPr>
        <xdr:cNvSpPr>
          <a:spLocks noChangeShapeType="1"/>
        </xdr:cNvSpPr>
      </xdr:nvSpPr>
      <xdr:spPr bwMode="auto">
        <a:xfrm flipV="1">
          <a:off x="4908550" y="2171700"/>
          <a:ext cx="0" cy="16827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57150</xdr:colOff>
      <xdr:row>13</xdr:row>
      <xdr:rowOff>76200</xdr:rowOff>
    </xdr:from>
    <xdr:to>
      <xdr:col>11</xdr:col>
      <xdr:colOff>57150</xdr:colOff>
      <xdr:row>22</xdr:row>
      <xdr:rowOff>152400</xdr:rowOff>
    </xdr:to>
    <xdr:sp macro="" textlink="">
      <xdr:nvSpPr>
        <xdr:cNvPr id="1039" name="Line 15">
          <a:extLst>
            <a:ext uri="{FF2B5EF4-FFF2-40B4-BE49-F238E27FC236}">
              <a16:creationId xmlns:a16="http://schemas.microsoft.com/office/drawing/2014/main" id="{D6479C8E-4E51-4A7C-B529-F70A09211560}"/>
            </a:ext>
          </a:extLst>
        </xdr:cNvPr>
        <xdr:cNvSpPr>
          <a:spLocks noChangeShapeType="1"/>
        </xdr:cNvSpPr>
      </xdr:nvSpPr>
      <xdr:spPr bwMode="auto">
        <a:xfrm flipV="1">
          <a:off x="6108700" y="2171700"/>
          <a:ext cx="0" cy="16827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603250</xdr:colOff>
      <xdr:row>16</xdr:row>
      <xdr:rowOff>38100</xdr:rowOff>
    </xdr:from>
    <xdr:to>
      <xdr:col>9</xdr:col>
      <xdr:colOff>152400</xdr:colOff>
      <xdr:row>22</xdr:row>
      <xdr:rowOff>139700</xdr:rowOff>
    </xdr:to>
    <xdr:sp macro="" textlink="">
      <xdr:nvSpPr>
        <xdr:cNvPr id="1041" name="Text Box 17">
          <a:extLst>
            <a:ext uri="{FF2B5EF4-FFF2-40B4-BE49-F238E27FC236}">
              <a16:creationId xmlns:a16="http://schemas.microsoft.com/office/drawing/2014/main" id="{FFAE7508-ECED-4557-8C5B-79DA6F377496}"/>
            </a:ext>
          </a:extLst>
        </xdr:cNvPr>
        <xdr:cNvSpPr txBox="1">
          <a:spLocks noChangeArrowheads="1"/>
        </xdr:cNvSpPr>
      </xdr:nvSpPr>
      <xdr:spPr bwMode="auto">
        <a:xfrm>
          <a:off x="4826000" y="2787650"/>
          <a:ext cx="158750" cy="1054100"/>
        </a:xfrm>
        <a:prstGeom prst="rect">
          <a:avLst/>
        </a:prstGeom>
        <a:solidFill>
          <a:srgbClr xmlns:mc="http://schemas.openxmlformats.org/markup-compatibility/2006" xmlns:a14="http://schemas.microsoft.com/office/drawing/2010/main" val="C0C0C0" mc:Ignorable="a14" a14:legacySpreadsheetColorIndex="22"/>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vert="vert270" wrap="square" lIns="36576" tIns="0" rIns="36576" bIns="22860" anchor="ctr" upright="1"/>
        <a:lstStyle/>
        <a:p>
          <a:pPr algn="l" rtl="0">
            <a:defRPr sz="1000"/>
          </a:pPr>
          <a:r>
            <a:rPr lang="en-GB" sz="1000" b="0" i="0" u="none" strike="noStrike" baseline="0">
              <a:solidFill>
                <a:srgbClr val="000000"/>
              </a:solidFill>
              <a:latin typeface="Arial"/>
              <a:cs typeface="Arial"/>
            </a:rPr>
            <a:t>Tropic of Cancer</a:t>
          </a:r>
        </a:p>
      </xdr:txBody>
    </xdr:sp>
    <xdr:clientData/>
  </xdr:twoCellAnchor>
  <xdr:twoCellAnchor>
    <xdr:from>
      <xdr:col>10</xdr:col>
      <xdr:colOff>552450</xdr:colOff>
      <xdr:row>16</xdr:row>
      <xdr:rowOff>0</xdr:rowOff>
    </xdr:from>
    <xdr:to>
      <xdr:col>11</xdr:col>
      <xdr:colOff>146050</xdr:colOff>
      <xdr:row>22</xdr:row>
      <xdr:rowOff>152400</xdr:rowOff>
    </xdr:to>
    <xdr:sp macro="" textlink="">
      <xdr:nvSpPr>
        <xdr:cNvPr id="1043" name="Text Box 19">
          <a:extLst>
            <a:ext uri="{FF2B5EF4-FFF2-40B4-BE49-F238E27FC236}">
              <a16:creationId xmlns:a16="http://schemas.microsoft.com/office/drawing/2014/main" id="{E0FE6B08-7877-4105-81C0-88C2C274862C}"/>
            </a:ext>
          </a:extLst>
        </xdr:cNvPr>
        <xdr:cNvSpPr txBox="1">
          <a:spLocks noChangeArrowheads="1"/>
        </xdr:cNvSpPr>
      </xdr:nvSpPr>
      <xdr:spPr bwMode="auto">
        <a:xfrm>
          <a:off x="5994400" y="2749550"/>
          <a:ext cx="203200" cy="1104900"/>
        </a:xfrm>
        <a:prstGeom prst="rect">
          <a:avLst/>
        </a:prstGeom>
        <a:solidFill>
          <a:srgbClr xmlns:mc="http://schemas.openxmlformats.org/markup-compatibility/2006" xmlns:a14="http://schemas.microsoft.com/office/drawing/2010/main" val="C0C0C0" mc:Ignorable="a14" a14:legacySpreadsheetColorIndex="22"/>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vert="vert270" wrap="square" lIns="36576" tIns="22860" rIns="0" bIns="0" anchor="t" upright="1"/>
        <a:lstStyle/>
        <a:p>
          <a:pPr algn="r" rtl="0">
            <a:defRPr sz="1000"/>
          </a:pPr>
          <a:r>
            <a:rPr lang="en-GB" sz="1000" b="0" i="0" u="none" strike="noStrike" baseline="0">
              <a:solidFill>
                <a:srgbClr val="000000"/>
              </a:solidFill>
              <a:latin typeface="Arial"/>
              <a:cs typeface="Arial"/>
            </a:rPr>
            <a:t>Tropic of Capricorn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114300</xdr:colOff>
      <xdr:row>11</xdr:row>
      <xdr:rowOff>25400</xdr:rowOff>
    </xdr:from>
    <xdr:to>
      <xdr:col>6</xdr:col>
      <xdr:colOff>508000</xdr:colOff>
      <xdr:row>16</xdr:row>
      <xdr:rowOff>38100</xdr:rowOff>
    </xdr:to>
    <xdr:sp macro="" textlink="">
      <xdr:nvSpPr>
        <xdr:cNvPr id="2064" name="Oval 16">
          <a:extLst>
            <a:ext uri="{FF2B5EF4-FFF2-40B4-BE49-F238E27FC236}">
              <a16:creationId xmlns:a16="http://schemas.microsoft.com/office/drawing/2014/main" id="{7B99096C-C90F-4678-B0B7-6DCA93AAF327}"/>
            </a:ext>
          </a:extLst>
        </xdr:cNvPr>
        <xdr:cNvSpPr>
          <a:spLocks noChangeArrowheads="1"/>
        </xdr:cNvSpPr>
      </xdr:nvSpPr>
      <xdr:spPr bwMode="auto">
        <a:xfrm>
          <a:off x="3175000" y="2133600"/>
          <a:ext cx="1003300" cy="996950"/>
        </a:xfrm>
        <a:prstGeom prst="ellipse">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1</xdr:col>
      <xdr:colOff>152400</xdr:colOff>
      <xdr:row>11</xdr:row>
      <xdr:rowOff>82550</xdr:rowOff>
    </xdr:from>
    <xdr:to>
      <xdr:col>2</xdr:col>
      <xdr:colOff>50800</xdr:colOff>
      <xdr:row>15</xdr:row>
      <xdr:rowOff>88900</xdr:rowOff>
    </xdr:to>
    <xdr:grpSp>
      <xdr:nvGrpSpPr>
        <xdr:cNvPr id="2067" name="Group 19">
          <a:extLst>
            <a:ext uri="{FF2B5EF4-FFF2-40B4-BE49-F238E27FC236}">
              <a16:creationId xmlns:a16="http://schemas.microsoft.com/office/drawing/2014/main" id="{38883182-CBF4-402C-A15C-04B9102B1F1C}"/>
            </a:ext>
          </a:extLst>
        </xdr:cNvPr>
        <xdr:cNvGrpSpPr>
          <a:grpSpLocks/>
        </xdr:cNvGrpSpPr>
      </xdr:nvGrpSpPr>
      <xdr:grpSpPr bwMode="auto">
        <a:xfrm>
          <a:off x="762000" y="2190750"/>
          <a:ext cx="508000" cy="647700"/>
          <a:chOff x="71" y="241"/>
          <a:chExt cx="53" cy="68"/>
        </a:xfrm>
      </xdr:grpSpPr>
      <xdr:sp macro="" textlink="">
        <xdr:nvSpPr>
          <xdr:cNvPr id="2065" name="Oval 17">
            <a:extLst>
              <a:ext uri="{FF2B5EF4-FFF2-40B4-BE49-F238E27FC236}">
                <a16:creationId xmlns:a16="http://schemas.microsoft.com/office/drawing/2014/main" id="{0732ACE1-5CFC-4470-81A9-ED189E68CD26}"/>
              </a:ext>
            </a:extLst>
          </xdr:cNvPr>
          <xdr:cNvSpPr>
            <a:spLocks noChangeArrowheads="1"/>
          </xdr:cNvSpPr>
        </xdr:nvSpPr>
        <xdr:spPr bwMode="auto">
          <a:xfrm>
            <a:off x="71" y="255"/>
            <a:ext cx="53" cy="49"/>
          </a:xfrm>
          <a:prstGeom prst="ellipse">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FF" mc:Ignorable="a14" a14:legacySpreadsheetColorIndex="12"/>
            </a:solidFill>
            <a:round/>
            <a:headEnd/>
            <a:tailEnd/>
          </a:ln>
          <a:effectLst>
            <a:prstShdw prst="shdw11">
              <a:srgbClr val="808080"/>
            </a:prstShdw>
          </a:effectLst>
        </xdr:spPr>
      </xdr:sp>
      <xdr:sp macro="" textlink="">
        <xdr:nvSpPr>
          <xdr:cNvPr id="2066" name="Line 18">
            <a:extLst>
              <a:ext uri="{FF2B5EF4-FFF2-40B4-BE49-F238E27FC236}">
                <a16:creationId xmlns:a16="http://schemas.microsoft.com/office/drawing/2014/main" id="{AADB9256-7244-45D3-8D59-5705D77E7380}"/>
              </a:ext>
            </a:extLst>
          </xdr:cNvPr>
          <xdr:cNvSpPr>
            <a:spLocks noChangeShapeType="1"/>
          </xdr:cNvSpPr>
        </xdr:nvSpPr>
        <xdr:spPr bwMode="auto">
          <a:xfrm flipV="1">
            <a:off x="84" y="241"/>
            <a:ext cx="31" cy="6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5</xdr:col>
      <xdr:colOff>412750</xdr:colOff>
      <xdr:row>20</xdr:row>
      <xdr:rowOff>6350</xdr:rowOff>
    </xdr:from>
    <xdr:to>
      <xdr:col>6</xdr:col>
      <xdr:colOff>317500</xdr:colOff>
      <xdr:row>24</xdr:row>
      <xdr:rowOff>6350</xdr:rowOff>
    </xdr:to>
    <xdr:grpSp>
      <xdr:nvGrpSpPr>
        <xdr:cNvPr id="2068" name="Group 20">
          <a:extLst>
            <a:ext uri="{FF2B5EF4-FFF2-40B4-BE49-F238E27FC236}">
              <a16:creationId xmlns:a16="http://schemas.microsoft.com/office/drawing/2014/main" id="{D7A754F3-F72B-44C5-91F2-614CC09DD8C2}"/>
            </a:ext>
          </a:extLst>
        </xdr:cNvPr>
        <xdr:cNvGrpSpPr>
          <a:grpSpLocks/>
        </xdr:cNvGrpSpPr>
      </xdr:nvGrpSpPr>
      <xdr:grpSpPr bwMode="auto">
        <a:xfrm>
          <a:off x="3473450" y="3733800"/>
          <a:ext cx="514350" cy="635000"/>
          <a:chOff x="71" y="241"/>
          <a:chExt cx="53" cy="68"/>
        </a:xfrm>
      </xdr:grpSpPr>
      <xdr:sp macro="" textlink="">
        <xdr:nvSpPr>
          <xdr:cNvPr id="2069" name="Oval 21">
            <a:extLst>
              <a:ext uri="{FF2B5EF4-FFF2-40B4-BE49-F238E27FC236}">
                <a16:creationId xmlns:a16="http://schemas.microsoft.com/office/drawing/2014/main" id="{8756ED5E-9BA8-443C-97DF-92802142CFCF}"/>
              </a:ext>
            </a:extLst>
          </xdr:cNvPr>
          <xdr:cNvSpPr>
            <a:spLocks noChangeArrowheads="1"/>
          </xdr:cNvSpPr>
        </xdr:nvSpPr>
        <xdr:spPr bwMode="auto">
          <a:xfrm>
            <a:off x="71" y="255"/>
            <a:ext cx="53" cy="49"/>
          </a:xfrm>
          <a:prstGeom prst="ellipse">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FF" mc:Ignorable="a14" a14:legacySpreadsheetColorIndex="12"/>
            </a:solidFill>
            <a:round/>
            <a:headEnd/>
            <a:tailEnd/>
          </a:ln>
          <a:effectLst>
            <a:outerShdw sy="-100000" rotWithShape="0">
              <a:srgbClr val="808080"/>
            </a:outerShdw>
          </a:effectLst>
        </xdr:spPr>
      </xdr:sp>
      <xdr:sp macro="" textlink="">
        <xdr:nvSpPr>
          <xdr:cNvPr id="2070" name="Line 22">
            <a:extLst>
              <a:ext uri="{FF2B5EF4-FFF2-40B4-BE49-F238E27FC236}">
                <a16:creationId xmlns:a16="http://schemas.microsoft.com/office/drawing/2014/main" id="{739147B3-CE11-47AC-8E7E-6F44281DB147}"/>
              </a:ext>
            </a:extLst>
          </xdr:cNvPr>
          <xdr:cNvSpPr>
            <a:spLocks noChangeShapeType="1"/>
          </xdr:cNvSpPr>
        </xdr:nvSpPr>
        <xdr:spPr bwMode="auto">
          <a:xfrm flipV="1">
            <a:off x="84" y="241"/>
            <a:ext cx="31" cy="6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5</xdr:col>
      <xdr:colOff>266700</xdr:colOff>
      <xdr:row>4</xdr:row>
      <xdr:rowOff>0</xdr:rowOff>
    </xdr:from>
    <xdr:to>
      <xdr:col>6</xdr:col>
      <xdr:colOff>171450</xdr:colOff>
      <xdr:row>8</xdr:row>
      <xdr:rowOff>0</xdr:rowOff>
    </xdr:to>
    <xdr:grpSp>
      <xdr:nvGrpSpPr>
        <xdr:cNvPr id="2071" name="Group 23">
          <a:extLst>
            <a:ext uri="{FF2B5EF4-FFF2-40B4-BE49-F238E27FC236}">
              <a16:creationId xmlns:a16="http://schemas.microsoft.com/office/drawing/2014/main" id="{BB6B467D-E622-4A72-AFFE-CB9AE4205E52}"/>
            </a:ext>
          </a:extLst>
        </xdr:cNvPr>
        <xdr:cNvGrpSpPr>
          <a:grpSpLocks/>
        </xdr:cNvGrpSpPr>
      </xdr:nvGrpSpPr>
      <xdr:grpSpPr bwMode="auto">
        <a:xfrm>
          <a:off x="3327400" y="825500"/>
          <a:ext cx="514350" cy="641350"/>
          <a:chOff x="71" y="241"/>
          <a:chExt cx="53" cy="68"/>
        </a:xfrm>
      </xdr:grpSpPr>
      <xdr:sp macro="" textlink="">
        <xdr:nvSpPr>
          <xdr:cNvPr id="2072" name="Oval 24">
            <a:extLst>
              <a:ext uri="{FF2B5EF4-FFF2-40B4-BE49-F238E27FC236}">
                <a16:creationId xmlns:a16="http://schemas.microsoft.com/office/drawing/2014/main" id="{7607CF76-137C-4EC4-925C-32EC359FDDB5}"/>
              </a:ext>
            </a:extLst>
          </xdr:cNvPr>
          <xdr:cNvSpPr>
            <a:spLocks noChangeArrowheads="1"/>
          </xdr:cNvSpPr>
        </xdr:nvSpPr>
        <xdr:spPr bwMode="auto">
          <a:xfrm>
            <a:off x="71" y="255"/>
            <a:ext cx="53" cy="49"/>
          </a:xfrm>
          <a:prstGeom prst="ellipse">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FF" mc:Ignorable="a14" a14:legacySpreadsheetColorIndex="12"/>
            </a:solidFill>
            <a:round/>
            <a:headEnd/>
            <a:tailEnd/>
          </a:ln>
          <a:effectLst>
            <a:outerShdw dist="107763" dir="18900000" algn="ctr" rotWithShape="0">
              <a:srgbClr val="808080"/>
            </a:outerShdw>
          </a:effectLst>
        </xdr:spPr>
      </xdr:sp>
      <xdr:sp macro="" textlink="">
        <xdr:nvSpPr>
          <xdr:cNvPr id="2073" name="Line 25">
            <a:extLst>
              <a:ext uri="{FF2B5EF4-FFF2-40B4-BE49-F238E27FC236}">
                <a16:creationId xmlns:a16="http://schemas.microsoft.com/office/drawing/2014/main" id="{C6684777-8949-40F9-BA0E-3CC06898F0A0}"/>
              </a:ext>
            </a:extLst>
          </xdr:cNvPr>
          <xdr:cNvSpPr>
            <a:spLocks noChangeShapeType="1"/>
          </xdr:cNvSpPr>
        </xdr:nvSpPr>
        <xdr:spPr bwMode="auto">
          <a:xfrm flipV="1">
            <a:off x="84" y="241"/>
            <a:ext cx="31" cy="6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ffectLst>
            <a:outerShdw dist="107763" dir="18900000" algn="ctr" rotWithShape="0">
              <a:srgbClr val="808080"/>
            </a:outerShdw>
          </a:effectLst>
          <a:extLst>
            <a:ext uri="{909E8E84-426E-40DD-AFC4-6F175D3DCCD1}">
              <a14:hiddenFill xmlns:a14="http://schemas.microsoft.com/office/drawing/2010/main">
                <a:noFill/>
              </a14:hiddenFill>
            </a:ext>
          </a:extLst>
        </xdr:spPr>
      </xdr:sp>
    </xdr:grpSp>
    <xdr:clientData/>
  </xdr:twoCellAnchor>
  <xdr:twoCellAnchor>
    <xdr:from>
      <xdr:col>9</xdr:col>
      <xdr:colOff>565150</xdr:colOff>
      <xdr:row>11</xdr:row>
      <xdr:rowOff>38100</xdr:rowOff>
    </xdr:from>
    <xdr:to>
      <xdr:col>10</xdr:col>
      <xdr:colOff>476250</xdr:colOff>
      <xdr:row>15</xdr:row>
      <xdr:rowOff>38100</xdr:rowOff>
    </xdr:to>
    <xdr:grpSp>
      <xdr:nvGrpSpPr>
        <xdr:cNvPr id="2074" name="Group 26">
          <a:extLst>
            <a:ext uri="{FF2B5EF4-FFF2-40B4-BE49-F238E27FC236}">
              <a16:creationId xmlns:a16="http://schemas.microsoft.com/office/drawing/2014/main" id="{1158E69E-F7D1-4D00-8917-19983B3E1BD3}"/>
            </a:ext>
          </a:extLst>
        </xdr:cNvPr>
        <xdr:cNvGrpSpPr>
          <a:grpSpLocks/>
        </xdr:cNvGrpSpPr>
      </xdr:nvGrpSpPr>
      <xdr:grpSpPr bwMode="auto">
        <a:xfrm>
          <a:off x="6083300" y="2146300"/>
          <a:ext cx="520700" cy="641350"/>
          <a:chOff x="71" y="241"/>
          <a:chExt cx="53" cy="68"/>
        </a:xfrm>
      </xdr:grpSpPr>
      <xdr:sp macro="" textlink="">
        <xdr:nvSpPr>
          <xdr:cNvPr id="2075" name="Oval 27">
            <a:extLst>
              <a:ext uri="{FF2B5EF4-FFF2-40B4-BE49-F238E27FC236}">
                <a16:creationId xmlns:a16="http://schemas.microsoft.com/office/drawing/2014/main" id="{E24C4240-8C40-4834-876E-521D0D8B994B}"/>
              </a:ext>
            </a:extLst>
          </xdr:cNvPr>
          <xdr:cNvSpPr>
            <a:spLocks noChangeArrowheads="1"/>
          </xdr:cNvSpPr>
        </xdr:nvSpPr>
        <xdr:spPr bwMode="auto">
          <a:xfrm>
            <a:off x="71" y="255"/>
            <a:ext cx="53" cy="49"/>
          </a:xfrm>
          <a:prstGeom prst="ellipse">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FF" mc:Ignorable="a14" a14:legacySpreadsheetColorIndex="12"/>
            </a:solidFill>
            <a:round/>
            <a:headEnd/>
            <a:tailEnd/>
          </a:ln>
          <a:effectLst>
            <a:outerShdw sy="50000" kx="-2453608" algn="br" rotWithShape="0">
              <a:srgbClr val="808080"/>
            </a:outerShdw>
          </a:effectLst>
        </xdr:spPr>
      </xdr:sp>
      <xdr:sp macro="" textlink="">
        <xdr:nvSpPr>
          <xdr:cNvPr id="2076" name="Line 28">
            <a:extLst>
              <a:ext uri="{FF2B5EF4-FFF2-40B4-BE49-F238E27FC236}">
                <a16:creationId xmlns:a16="http://schemas.microsoft.com/office/drawing/2014/main" id="{FBCD423D-D863-4F27-ABBB-B06C087F30C5}"/>
              </a:ext>
            </a:extLst>
          </xdr:cNvPr>
          <xdr:cNvSpPr>
            <a:spLocks noChangeShapeType="1"/>
          </xdr:cNvSpPr>
        </xdr:nvSpPr>
        <xdr:spPr bwMode="auto">
          <a:xfrm flipV="1">
            <a:off x="84" y="241"/>
            <a:ext cx="31" cy="68"/>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2</xdr:col>
      <xdr:colOff>527050</xdr:colOff>
      <xdr:row>18</xdr:row>
      <xdr:rowOff>120650</xdr:rowOff>
    </xdr:from>
    <xdr:to>
      <xdr:col>3</xdr:col>
      <xdr:colOff>482600</xdr:colOff>
      <xdr:row>20</xdr:row>
      <xdr:rowOff>38100</xdr:rowOff>
    </xdr:to>
    <xdr:sp macro="" textlink="">
      <xdr:nvSpPr>
        <xdr:cNvPr id="2082" name="AutoShape 34">
          <a:extLst>
            <a:ext uri="{FF2B5EF4-FFF2-40B4-BE49-F238E27FC236}">
              <a16:creationId xmlns:a16="http://schemas.microsoft.com/office/drawing/2014/main" id="{ADA78D3C-8CAC-47C0-9E97-819502CE6A45}"/>
            </a:ext>
          </a:extLst>
        </xdr:cNvPr>
        <xdr:cNvSpPr>
          <a:spLocks noChangeArrowheads="1"/>
        </xdr:cNvSpPr>
      </xdr:nvSpPr>
      <xdr:spPr bwMode="auto">
        <a:xfrm rot="-19654735">
          <a:off x="1746250" y="3530600"/>
          <a:ext cx="704850" cy="234950"/>
        </a:xfrm>
        <a:prstGeom prst="rightArrow">
          <a:avLst>
            <a:gd name="adj1" fmla="val 50000"/>
            <a:gd name="adj2" fmla="val 7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76200</xdr:colOff>
      <xdr:row>6</xdr:row>
      <xdr:rowOff>57150</xdr:rowOff>
    </xdr:from>
    <xdr:to>
      <xdr:col>9</xdr:col>
      <xdr:colOff>31750</xdr:colOff>
      <xdr:row>7</xdr:row>
      <xdr:rowOff>127000</xdr:rowOff>
    </xdr:to>
    <xdr:sp macro="" textlink="">
      <xdr:nvSpPr>
        <xdr:cNvPr id="2083" name="AutoShape 35">
          <a:extLst>
            <a:ext uri="{FF2B5EF4-FFF2-40B4-BE49-F238E27FC236}">
              <a16:creationId xmlns:a16="http://schemas.microsoft.com/office/drawing/2014/main" id="{E3D229C6-B1DA-4BC6-8BA4-09E6FB2795AC}"/>
            </a:ext>
          </a:extLst>
        </xdr:cNvPr>
        <xdr:cNvSpPr>
          <a:spLocks noChangeArrowheads="1"/>
        </xdr:cNvSpPr>
      </xdr:nvSpPr>
      <xdr:spPr bwMode="auto">
        <a:xfrm rot="-30817734">
          <a:off x="4984750" y="1206500"/>
          <a:ext cx="565150" cy="222250"/>
        </a:xfrm>
        <a:prstGeom prst="rightArrow">
          <a:avLst>
            <a:gd name="adj1" fmla="val 50000"/>
            <a:gd name="adj2" fmla="val 63571"/>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38100</xdr:colOff>
      <xdr:row>7</xdr:row>
      <xdr:rowOff>25400</xdr:rowOff>
    </xdr:from>
    <xdr:to>
      <xdr:col>4</xdr:col>
      <xdr:colOff>209550</xdr:colOff>
      <xdr:row>8</xdr:row>
      <xdr:rowOff>107950</xdr:rowOff>
    </xdr:to>
    <xdr:sp macro="" textlink="">
      <xdr:nvSpPr>
        <xdr:cNvPr id="2084" name="AutoShape 36">
          <a:extLst>
            <a:ext uri="{FF2B5EF4-FFF2-40B4-BE49-F238E27FC236}">
              <a16:creationId xmlns:a16="http://schemas.microsoft.com/office/drawing/2014/main" id="{FF37FCD9-6A02-49F7-9B89-B08C1B671210}"/>
            </a:ext>
          </a:extLst>
        </xdr:cNvPr>
        <xdr:cNvSpPr>
          <a:spLocks noChangeArrowheads="1"/>
        </xdr:cNvSpPr>
      </xdr:nvSpPr>
      <xdr:spPr bwMode="auto">
        <a:xfrm rot="-12713437">
          <a:off x="2057400" y="1327150"/>
          <a:ext cx="603250" cy="247650"/>
        </a:xfrm>
        <a:prstGeom prst="rightArrow">
          <a:avLst>
            <a:gd name="adj1" fmla="val 50000"/>
            <a:gd name="adj2" fmla="val 6089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152400</xdr:colOff>
      <xdr:row>18</xdr:row>
      <xdr:rowOff>95250</xdr:rowOff>
    </xdr:from>
    <xdr:to>
      <xdr:col>9</xdr:col>
      <xdr:colOff>107950</xdr:colOff>
      <xdr:row>20</xdr:row>
      <xdr:rowOff>19050</xdr:rowOff>
    </xdr:to>
    <xdr:sp macro="" textlink="">
      <xdr:nvSpPr>
        <xdr:cNvPr id="2085" name="AutoShape 37">
          <a:extLst>
            <a:ext uri="{FF2B5EF4-FFF2-40B4-BE49-F238E27FC236}">
              <a16:creationId xmlns:a16="http://schemas.microsoft.com/office/drawing/2014/main" id="{55FC5CC6-796E-45B5-9E77-D3D8CADF2E3F}"/>
            </a:ext>
          </a:extLst>
        </xdr:cNvPr>
        <xdr:cNvSpPr>
          <a:spLocks noChangeArrowheads="1"/>
        </xdr:cNvSpPr>
      </xdr:nvSpPr>
      <xdr:spPr bwMode="auto">
        <a:xfrm rot="-23327666">
          <a:off x="5060950" y="3505200"/>
          <a:ext cx="565150" cy="241300"/>
        </a:xfrm>
        <a:prstGeom prst="rightArrow">
          <a:avLst>
            <a:gd name="adj1" fmla="val 50000"/>
            <a:gd name="adj2" fmla="val 58553"/>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showGridLines="0" showRowColHeaders="0" showOutlineSymbols="0" zoomScale="120" workbookViewId="0">
      <selection activeCell="A10" sqref="A10"/>
    </sheetView>
  </sheetViews>
  <sheetFormatPr defaultColWidth="9.1796875" defaultRowHeight="15.5" x14ac:dyDescent="0.35"/>
  <cols>
    <col min="1" max="1" width="9.1796875" style="81"/>
    <col min="2" max="2" width="68.26953125" style="81" customWidth="1"/>
    <col min="3" max="3" width="11.453125" style="81" customWidth="1"/>
    <col min="4" max="4" width="3.453125" style="81" customWidth="1"/>
    <col min="5" max="16384" width="9.1796875" style="81"/>
  </cols>
  <sheetData>
    <row r="1" spans="1:4" ht="20.25" customHeight="1" x14ac:dyDescent="0.35">
      <c r="A1" s="97"/>
      <c r="B1" s="107" t="s">
        <v>46</v>
      </c>
      <c r="C1" s="98"/>
      <c r="D1" s="108"/>
    </row>
    <row r="2" spans="1:4" ht="22.5" customHeight="1" x14ac:dyDescent="0.35">
      <c r="A2" s="109" t="s">
        <v>72</v>
      </c>
      <c r="B2" s="87"/>
      <c r="C2" s="87"/>
      <c r="D2" s="110"/>
    </row>
    <row r="3" spans="1:4" ht="19.5" customHeight="1" thickBot="1" x14ac:dyDescent="0.4">
      <c r="A3" s="100" t="s">
        <v>71</v>
      </c>
      <c r="B3" s="101"/>
      <c r="C3" s="101"/>
      <c r="D3" s="102"/>
    </row>
    <row r="4" spans="1:4" ht="19.5" customHeight="1" x14ac:dyDescent="0.35">
      <c r="A4" s="103" t="s">
        <v>76</v>
      </c>
      <c r="B4" s="104"/>
      <c r="C4" s="104"/>
      <c r="D4" s="99"/>
    </row>
    <row r="5" spans="1:4" ht="19.5" customHeight="1" thickBot="1" x14ac:dyDescent="0.4">
      <c r="A5" s="113" t="s">
        <v>51</v>
      </c>
      <c r="B5" s="105"/>
      <c r="C5" s="105"/>
      <c r="D5" s="106"/>
    </row>
    <row r="6" spans="1:4" ht="19.5" customHeight="1" x14ac:dyDescent="0.35">
      <c r="A6" s="103" t="s">
        <v>75</v>
      </c>
      <c r="B6" s="104"/>
      <c r="C6" s="104"/>
      <c r="D6" s="99"/>
    </row>
    <row r="7" spans="1:4" ht="19.5" customHeight="1" thickBot="1" x14ac:dyDescent="0.4">
      <c r="A7" s="112" t="s">
        <v>74</v>
      </c>
      <c r="B7" s="101"/>
      <c r="C7" s="101"/>
      <c r="D7" s="102"/>
    </row>
    <row r="8" spans="1:4" ht="7.5" customHeight="1" x14ac:dyDescent="0.35">
      <c r="A8" s="88"/>
      <c r="B8" s="82"/>
      <c r="C8" s="82"/>
      <c r="D8" s="89"/>
    </row>
    <row r="9" spans="1:4" x14ac:dyDescent="0.35">
      <c r="A9" s="83" t="s">
        <v>47</v>
      </c>
      <c r="B9" s="83" t="s">
        <v>48</v>
      </c>
      <c r="C9" s="83" t="s">
        <v>49</v>
      </c>
      <c r="D9" s="84"/>
    </row>
    <row r="10" spans="1:4" ht="64.5" customHeight="1" x14ac:dyDescent="0.35">
      <c r="A10" s="84" t="s">
        <v>60</v>
      </c>
      <c r="B10" s="90" t="s">
        <v>55</v>
      </c>
      <c r="C10" s="91" t="s">
        <v>54</v>
      </c>
      <c r="D10" s="84"/>
    </row>
    <row r="11" spans="1:4" ht="46" customHeight="1" x14ac:dyDescent="0.35">
      <c r="A11" s="84"/>
      <c r="B11" s="93" t="s">
        <v>52</v>
      </c>
      <c r="C11" s="93" t="s">
        <v>53</v>
      </c>
      <c r="D11" s="84"/>
    </row>
    <row r="12" spans="1:4" ht="46" customHeight="1" x14ac:dyDescent="0.35">
      <c r="A12" s="84"/>
      <c r="B12" s="93" t="s">
        <v>70</v>
      </c>
      <c r="C12" s="93" t="s">
        <v>77</v>
      </c>
      <c r="D12" s="84"/>
    </row>
    <row r="13" spans="1:4" ht="46" customHeight="1" x14ac:dyDescent="0.35">
      <c r="A13" s="84" t="s">
        <v>60</v>
      </c>
      <c r="B13" s="94" t="s">
        <v>56</v>
      </c>
      <c r="C13" s="86"/>
      <c r="D13" s="84"/>
    </row>
    <row r="14" spans="1:4" ht="46" customHeight="1" x14ac:dyDescent="0.35">
      <c r="A14" s="84"/>
      <c r="B14" s="93" t="s">
        <v>73</v>
      </c>
      <c r="C14" s="91" t="s">
        <v>57</v>
      </c>
      <c r="D14" s="84"/>
    </row>
    <row r="15" spans="1:4" ht="61.5" customHeight="1" x14ac:dyDescent="0.35">
      <c r="A15" s="84" t="s">
        <v>62</v>
      </c>
      <c r="B15" s="92" t="s">
        <v>59</v>
      </c>
      <c r="C15" s="92" t="s">
        <v>58</v>
      </c>
      <c r="D15" s="84"/>
    </row>
    <row r="16" spans="1:4" ht="46" customHeight="1" x14ac:dyDescent="0.35">
      <c r="A16" s="84" t="s">
        <v>65</v>
      </c>
      <c r="B16" s="93" t="s">
        <v>69</v>
      </c>
      <c r="C16" s="93" t="s">
        <v>63</v>
      </c>
      <c r="D16" s="84"/>
    </row>
    <row r="17" spans="1:4" ht="46" customHeight="1" x14ac:dyDescent="0.35">
      <c r="A17" s="84" t="s">
        <v>60</v>
      </c>
      <c r="B17" s="96" t="s">
        <v>66</v>
      </c>
      <c r="C17" s="111" t="s">
        <v>64</v>
      </c>
      <c r="D17" s="84"/>
    </row>
    <row r="18" spans="1:4" ht="46" customHeight="1" x14ac:dyDescent="0.35">
      <c r="A18" s="84"/>
      <c r="B18" s="85"/>
      <c r="C18" s="85"/>
      <c r="D18" s="84"/>
    </row>
    <row r="19" spans="1:4" ht="46" customHeight="1" x14ac:dyDescent="0.35">
      <c r="A19" s="84"/>
      <c r="B19" s="86"/>
      <c r="C19" s="86"/>
      <c r="D19" s="84"/>
    </row>
    <row r="20" spans="1:4" ht="25.5" customHeight="1" x14ac:dyDescent="0.35">
      <c r="A20" s="84"/>
      <c r="B20" s="95" t="s">
        <v>68</v>
      </c>
      <c r="C20" s="84"/>
      <c r="D20" s="84"/>
    </row>
    <row r="21" spans="1:4" ht="46" customHeight="1" x14ac:dyDescent="0.35">
      <c r="A21" s="84" t="s">
        <v>61</v>
      </c>
      <c r="B21" s="95" t="s">
        <v>67</v>
      </c>
      <c r="C21" s="84"/>
      <c r="D21" s="84"/>
    </row>
    <row r="22" spans="1:4" ht="49.5" customHeight="1" x14ac:dyDescent="0.35">
      <c r="A22" s="114" t="s">
        <v>50</v>
      </c>
      <c r="B22" s="115"/>
      <c r="C22" s="115"/>
      <c r="D22" s="116"/>
    </row>
    <row r="23" spans="1:4" ht="40.5" customHeight="1" x14ac:dyDescent="0.35"/>
    <row r="24" spans="1:4" ht="40.5" customHeight="1" x14ac:dyDescent="0.35"/>
    <row r="25" spans="1:4" ht="40.5" customHeight="1" x14ac:dyDescent="0.35"/>
    <row r="26" spans="1:4" ht="40.5" customHeight="1" x14ac:dyDescent="0.35"/>
    <row r="27" spans="1:4" ht="40.5" customHeight="1" x14ac:dyDescent="0.35"/>
    <row r="28" spans="1:4" ht="40.5" customHeight="1" x14ac:dyDescent="0.35"/>
    <row r="29" spans="1:4" ht="40.5" customHeight="1" x14ac:dyDescent="0.35"/>
    <row r="30" spans="1:4" ht="40.5" customHeight="1" x14ac:dyDescent="0.35"/>
  </sheetData>
  <sheetProtection sheet="1" objects="1" scenarios="1"/>
  <mergeCells count="1">
    <mergeCell ref="A22:D22"/>
  </mergeCells>
  <pageMargins left="0.75" right="0.75" top="1" bottom="1" header="0.5" footer="0.5"/>
  <pageSetup orientation="portrait" horizontalDpi="180" verticalDpi="0" copies="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9"/>
  <sheetViews>
    <sheetView showGridLines="0" showRowColHeaders="0" topLeftCell="A6" zoomScale="80" zoomScaleNormal="100" workbookViewId="0">
      <selection activeCell="M34" sqref="M34"/>
    </sheetView>
  </sheetViews>
  <sheetFormatPr defaultRowHeight="12.5" x14ac:dyDescent="0.25"/>
  <cols>
    <col min="1" max="1" width="7.81640625" customWidth="1"/>
    <col min="2" max="3" width="8.1796875" customWidth="1"/>
    <col min="4" max="4" width="8.81640625" customWidth="1"/>
    <col min="5" max="5" width="10" customWidth="1"/>
    <col min="6" max="6" width="11" hidden="1" customWidth="1"/>
    <col min="14" max="14" width="20.81640625" customWidth="1"/>
  </cols>
  <sheetData>
    <row r="1" spans="1:14" ht="21" customHeight="1" x14ac:dyDescent="0.35">
      <c r="A1" s="73" t="s">
        <v>42</v>
      </c>
      <c r="B1" s="73"/>
      <c r="C1" s="73"/>
      <c r="D1" s="73"/>
      <c r="E1" s="73"/>
      <c r="F1" s="73"/>
      <c r="G1" s="73"/>
      <c r="H1" s="73" t="s">
        <v>43</v>
      </c>
      <c r="I1" s="73"/>
      <c r="J1" s="73"/>
      <c r="K1" s="73"/>
      <c r="L1" s="73"/>
      <c r="M1" s="73"/>
      <c r="N1" s="73"/>
    </row>
    <row r="2" spans="1:14" ht="6" customHeight="1" x14ac:dyDescent="0.25">
      <c r="A2" s="44"/>
      <c r="B2" s="44"/>
      <c r="C2" s="44"/>
      <c r="D2" s="44"/>
      <c r="E2" s="44"/>
      <c r="F2" s="44"/>
      <c r="G2" s="44"/>
      <c r="H2" s="44"/>
      <c r="I2" s="44"/>
      <c r="J2" s="44"/>
      <c r="K2" s="44"/>
      <c r="L2" s="44"/>
      <c r="M2" s="44"/>
      <c r="N2" s="44"/>
    </row>
    <row r="3" spans="1:14" ht="13" x14ac:dyDescent="0.3">
      <c r="A3" s="45" t="s">
        <v>78</v>
      </c>
      <c r="C3" s="44"/>
      <c r="D3" s="44"/>
      <c r="E3" s="44"/>
      <c r="F3" s="44"/>
      <c r="G3" s="44"/>
      <c r="H3" s="44"/>
      <c r="I3" s="44"/>
      <c r="J3" s="44"/>
      <c r="K3" s="44"/>
      <c r="L3" s="44"/>
      <c r="M3" s="44"/>
      <c r="N3" s="44"/>
    </row>
    <row r="4" spans="1:14" x14ac:dyDescent="0.25">
      <c r="A4" s="44" t="s">
        <v>24</v>
      </c>
      <c r="C4" s="44"/>
      <c r="D4" s="44"/>
      <c r="E4" s="44"/>
      <c r="F4" s="44"/>
      <c r="G4" s="44"/>
      <c r="H4" s="44"/>
      <c r="I4" s="44"/>
      <c r="J4" s="44"/>
      <c r="K4" s="44"/>
      <c r="L4" s="44"/>
      <c r="M4" s="44"/>
      <c r="N4" s="44"/>
    </row>
    <row r="5" spans="1:14" x14ac:dyDescent="0.25">
      <c r="A5" s="44" t="s">
        <v>31</v>
      </c>
      <c r="C5" s="44"/>
      <c r="D5" s="44"/>
      <c r="E5" s="44"/>
      <c r="F5" s="44"/>
      <c r="G5" s="44"/>
      <c r="H5" s="44"/>
      <c r="I5" s="44"/>
      <c r="J5" s="44"/>
      <c r="K5" s="44"/>
      <c r="L5" s="44"/>
      <c r="M5" s="44"/>
      <c r="N5" s="44"/>
    </row>
    <row r="6" spans="1:14" x14ac:dyDescent="0.25">
      <c r="A6" s="44" t="s">
        <v>25</v>
      </c>
      <c r="C6" s="44"/>
      <c r="D6" s="44"/>
      <c r="E6" s="44"/>
      <c r="F6" s="44"/>
      <c r="G6" s="44"/>
      <c r="H6" s="44"/>
      <c r="I6" s="44"/>
      <c r="J6" s="44"/>
      <c r="K6" s="44"/>
      <c r="L6" s="44"/>
      <c r="M6" s="44"/>
      <c r="N6" s="44"/>
    </row>
    <row r="7" spans="1:14" x14ac:dyDescent="0.25">
      <c r="A7" s="44" t="s">
        <v>26</v>
      </c>
      <c r="C7" s="44"/>
      <c r="D7" s="44"/>
      <c r="E7" s="44"/>
      <c r="F7" s="44"/>
      <c r="G7" s="44"/>
      <c r="H7" s="44"/>
      <c r="I7" s="44"/>
      <c r="J7" s="44"/>
      <c r="K7" s="44"/>
      <c r="L7" s="44"/>
      <c r="M7" s="44"/>
      <c r="N7" s="44"/>
    </row>
    <row r="8" spans="1:14" x14ac:dyDescent="0.25">
      <c r="A8" s="44" t="s">
        <v>27</v>
      </c>
      <c r="C8" s="44"/>
      <c r="D8" s="44"/>
      <c r="E8" s="44"/>
      <c r="F8" s="44"/>
      <c r="G8" s="44"/>
      <c r="H8" s="44"/>
      <c r="I8" s="44"/>
      <c r="J8" s="44"/>
      <c r="K8" s="44"/>
      <c r="L8" s="44"/>
      <c r="M8" s="44"/>
      <c r="N8" s="44"/>
    </row>
    <row r="9" spans="1:14" x14ac:dyDescent="0.25">
      <c r="A9" s="44" t="s">
        <v>36</v>
      </c>
      <c r="C9" s="44"/>
      <c r="D9" s="44"/>
      <c r="E9" s="44"/>
      <c r="F9" s="44"/>
      <c r="G9" s="44"/>
      <c r="H9" s="44"/>
      <c r="I9" s="44"/>
      <c r="J9" s="44"/>
      <c r="K9" s="44"/>
      <c r="L9" s="44"/>
      <c r="M9" s="44"/>
      <c r="N9" s="44"/>
    </row>
    <row r="10" spans="1:14" x14ac:dyDescent="0.25">
      <c r="A10" s="44" t="s">
        <v>28</v>
      </c>
      <c r="C10" s="44"/>
      <c r="D10" s="44"/>
      <c r="E10" s="44"/>
      <c r="F10" s="44"/>
      <c r="G10" s="44"/>
      <c r="H10" s="44"/>
      <c r="I10" s="44"/>
      <c r="J10" s="44"/>
      <c r="K10" s="44"/>
      <c r="L10" s="44"/>
      <c r="M10" s="44"/>
      <c r="N10" s="44"/>
    </row>
    <row r="11" spans="1:14" x14ac:dyDescent="0.25">
      <c r="A11" s="44" t="s">
        <v>29</v>
      </c>
      <c r="C11" s="44"/>
      <c r="D11" s="44"/>
      <c r="E11" s="44"/>
      <c r="F11" s="44"/>
      <c r="G11" s="44"/>
      <c r="H11" s="44"/>
      <c r="I11" s="44"/>
      <c r="J11" s="44"/>
      <c r="K11" s="44"/>
      <c r="L11" s="44"/>
      <c r="M11" s="44"/>
      <c r="N11" s="44"/>
    </row>
    <row r="12" spans="1:14" s="44" customFormat="1" x14ac:dyDescent="0.25"/>
    <row r="13" spans="1:14" s="44" customFormat="1" x14ac:dyDescent="0.25"/>
    <row r="14" spans="1:14" s="44" customFormat="1" x14ac:dyDescent="0.25"/>
    <row r="15" spans="1:14" s="44" customFormat="1" ht="13" thickBot="1" x14ac:dyDescent="0.3"/>
    <row r="16" spans="1:14" s="44" customFormat="1" ht="25.5" thickBot="1" x14ac:dyDescent="0.3">
      <c r="A16" s="46" t="s">
        <v>0</v>
      </c>
      <c r="B16" s="47" t="s">
        <v>1</v>
      </c>
      <c r="C16" s="47" t="s">
        <v>2</v>
      </c>
      <c r="D16" s="48" t="s">
        <v>3</v>
      </c>
      <c r="E16" s="49" t="s">
        <v>30</v>
      </c>
      <c r="F16" s="49" t="s">
        <v>4</v>
      </c>
    </row>
    <row r="17" spans="1:15" s="44" customFormat="1" x14ac:dyDescent="0.25">
      <c r="A17" s="50" t="s">
        <v>5</v>
      </c>
      <c r="B17" s="51"/>
      <c r="C17" s="51"/>
      <c r="D17" s="51"/>
      <c r="E17" s="52" t="e">
        <f>IF($D$22*COS(RADIANS(75-#REF!))&lt;0,0, $D$22*COS(RADIANS(75-#REF!)))</f>
        <v>#REF!</v>
      </c>
      <c r="F17" s="52" t="e">
        <f>IF($D$22*COS((75+#REF!)*3.14/180)&gt;0,$D$22*COS((75+#REF!)*3.14/180),0)</f>
        <v>#REF!</v>
      </c>
    </row>
    <row r="18" spans="1:15" s="44" customFormat="1" x14ac:dyDescent="0.25">
      <c r="A18" s="53" t="s">
        <v>6</v>
      </c>
      <c r="B18" s="54"/>
      <c r="C18" s="54"/>
      <c r="D18" s="54"/>
      <c r="E18" s="52" t="e">
        <f>$D$22*COS(RADIANS(60-#REF!))</f>
        <v>#REF!</v>
      </c>
      <c r="F18" s="52" t="e">
        <f>$D$22*COS((60+#REF!)*3.14/180)</f>
        <v>#REF!</v>
      </c>
    </row>
    <row r="19" spans="1:15" s="44" customFormat="1" x14ac:dyDescent="0.25">
      <c r="A19" s="53" t="s">
        <v>7</v>
      </c>
      <c r="B19" s="54"/>
      <c r="C19" s="54"/>
      <c r="D19" s="54"/>
      <c r="E19" s="52" t="e">
        <f>$D$22*COS(RADIANS(45-#REF!))</f>
        <v>#REF!</v>
      </c>
      <c r="F19" s="52" t="e">
        <f>$D$22*COS((45+#REF!)*3.14/180)</f>
        <v>#REF!</v>
      </c>
    </row>
    <row r="20" spans="1:15" s="44" customFormat="1" x14ac:dyDescent="0.25">
      <c r="A20" s="53" t="s">
        <v>8</v>
      </c>
      <c r="B20" s="54"/>
      <c r="C20" s="54"/>
      <c r="D20" s="54"/>
      <c r="E20" s="52" t="e">
        <f>$D$22*COS(RADIANS(30-#REF!))</f>
        <v>#REF!</v>
      </c>
      <c r="F20" s="52" t="e">
        <f>$D$22*COS((30+#REF!)*3.14/180)</f>
        <v>#REF!</v>
      </c>
    </row>
    <row r="21" spans="1:15" s="44" customFormat="1" x14ac:dyDescent="0.25">
      <c r="A21" s="53" t="s">
        <v>9</v>
      </c>
      <c r="B21" s="54"/>
      <c r="C21" s="54"/>
      <c r="D21" s="54"/>
      <c r="E21" s="52" t="e">
        <f>$D$22*COS(RADIANS(15-#REF!))</f>
        <v>#REF!</v>
      </c>
      <c r="F21" s="52" t="e">
        <f>$D$22*COS((15+#REF!)*3.14/180)</f>
        <v>#REF!</v>
      </c>
    </row>
    <row r="22" spans="1:15" s="44" customFormat="1" x14ac:dyDescent="0.25">
      <c r="A22" s="53" t="s">
        <v>15</v>
      </c>
      <c r="B22" s="54"/>
      <c r="C22" s="54"/>
      <c r="D22" s="54"/>
      <c r="E22" s="52" t="e">
        <f>$D$22*COS(RADIANS(0-#REF!))</f>
        <v>#REF!</v>
      </c>
      <c r="F22" s="52" t="e">
        <f>$D$22*COS((0+#REF!)*3.14/180)</f>
        <v>#REF!</v>
      </c>
    </row>
    <row r="23" spans="1:15" s="44" customFormat="1" x14ac:dyDescent="0.25">
      <c r="A23" s="53" t="s">
        <v>10</v>
      </c>
      <c r="B23" s="54"/>
      <c r="C23" s="54"/>
      <c r="D23" s="54"/>
      <c r="E23" s="52" t="e">
        <f>$D$22*COS(RADIANS(-15-#REF!))</f>
        <v>#REF!</v>
      </c>
      <c r="F23" s="52" t="e">
        <f>$D$22*COS((-15+#REF!)*3.14/180)</f>
        <v>#REF!</v>
      </c>
    </row>
    <row r="24" spans="1:15" s="44" customFormat="1" x14ac:dyDescent="0.25">
      <c r="A24" s="53" t="s">
        <v>11</v>
      </c>
      <c r="B24" s="54"/>
      <c r="C24" s="54"/>
      <c r="D24" s="54"/>
      <c r="E24" s="52" t="e">
        <f>$D$22*COS(RADIANS(-30-#REF!))</f>
        <v>#REF!</v>
      </c>
      <c r="F24" s="52" t="e">
        <f>$D$22*COS((-30+#REF!)*3.14/180)</f>
        <v>#REF!</v>
      </c>
    </row>
    <row r="25" spans="1:15" s="44" customFormat="1" x14ac:dyDescent="0.25">
      <c r="A25" s="53" t="s">
        <v>12</v>
      </c>
      <c r="B25" s="54"/>
      <c r="C25" s="54"/>
      <c r="D25" s="54"/>
      <c r="E25" s="52" t="e">
        <f>$D$22*COS(RADIANS(-45-#REF!))</f>
        <v>#REF!</v>
      </c>
      <c r="F25" s="52" t="e">
        <f>$D$22*COS((-45+#REF!)*3.14/180)</f>
        <v>#REF!</v>
      </c>
    </row>
    <row r="26" spans="1:15" s="44" customFormat="1" x14ac:dyDescent="0.25">
      <c r="A26" s="53" t="s">
        <v>13</v>
      </c>
      <c r="B26" s="54"/>
      <c r="C26" s="54"/>
      <c r="D26" s="54"/>
      <c r="E26" s="52" t="e">
        <f>$D$22*COS(RADIANS(-60-#REF!))</f>
        <v>#REF!</v>
      </c>
      <c r="F26" s="52" t="e">
        <f>$D$22*COS((-60+#REF!)*3.14/180)</f>
        <v>#REF!</v>
      </c>
    </row>
    <row r="27" spans="1:15" s="44" customFormat="1" x14ac:dyDescent="0.25">
      <c r="A27" s="53" t="s">
        <v>14</v>
      </c>
      <c r="B27" s="54"/>
      <c r="C27" s="54"/>
      <c r="D27" s="54"/>
      <c r="E27" s="52" t="e">
        <f>IF($D$22*COS(RADIANS(-75-#REF!))&gt;0,$D$22*COS(RADIANS(-75-#REF!)),0)</f>
        <v>#REF!</v>
      </c>
      <c r="F27" s="52" t="e">
        <f>$D$22*COS((-75+#REF!)*3.14/180)</f>
        <v>#REF!</v>
      </c>
    </row>
    <row r="28" spans="1:15" s="44" customFormat="1" x14ac:dyDescent="0.25"/>
    <row r="29" spans="1:15" s="44" customFormat="1" x14ac:dyDescent="0.25"/>
    <row r="30" spans="1:15" s="44" customFormat="1" ht="13" thickBot="1" x14ac:dyDescent="0.3"/>
    <row r="31" spans="1:15" s="44" customFormat="1" ht="12.75" customHeight="1" thickBot="1" x14ac:dyDescent="0.3">
      <c r="A31" s="74" t="s">
        <v>38</v>
      </c>
      <c r="B31" s="75"/>
      <c r="C31" s="75"/>
      <c r="D31" s="76"/>
      <c r="E31" s="55"/>
      <c r="F31" s="55"/>
      <c r="G31" s="55"/>
      <c r="H31" s="55"/>
      <c r="I31" s="55"/>
      <c r="J31" s="55"/>
      <c r="K31" s="55"/>
      <c r="L31" s="55"/>
      <c r="M31" s="55"/>
      <c r="N31" s="55"/>
      <c r="O31" s="56"/>
    </row>
    <row r="32" spans="1:15" s="44" customFormat="1" x14ac:dyDescent="0.25">
      <c r="B32" s="57"/>
      <c r="C32" s="57"/>
      <c r="D32" s="57"/>
      <c r="E32" s="55"/>
      <c r="F32" s="55"/>
      <c r="G32" s="55"/>
      <c r="H32" s="55"/>
      <c r="I32" s="55"/>
      <c r="J32" s="55"/>
      <c r="K32" s="55"/>
      <c r="L32" s="55"/>
      <c r="M32" s="55"/>
      <c r="N32" s="55"/>
      <c r="O32" s="56"/>
    </row>
    <row r="33" spans="1:15" s="44" customFormat="1" x14ac:dyDescent="0.25">
      <c r="A33" s="62"/>
      <c r="B33" s="57" t="s">
        <v>37</v>
      </c>
      <c r="C33" s="57"/>
      <c r="D33" s="57"/>
      <c r="E33" s="57"/>
      <c r="F33" s="57"/>
      <c r="G33" s="57"/>
      <c r="H33" s="57"/>
      <c r="I33" s="57"/>
      <c r="J33" s="57"/>
      <c r="K33" s="57"/>
      <c r="L33" s="57"/>
      <c r="M33" s="57"/>
      <c r="N33" s="57"/>
      <c r="O33" s="59"/>
    </row>
    <row r="34" spans="1:15" s="44" customFormat="1" ht="20.25" customHeight="1" x14ac:dyDescent="0.25">
      <c r="A34" s="62"/>
      <c r="B34" s="57"/>
      <c r="C34" s="58"/>
      <c r="D34" s="58"/>
      <c r="E34" s="58"/>
      <c r="F34" s="58"/>
      <c r="G34" s="58"/>
      <c r="H34" s="58"/>
      <c r="I34" s="58"/>
      <c r="J34" s="58"/>
      <c r="K34" s="58"/>
      <c r="L34" s="58"/>
      <c r="M34" s="58"/>
      <c r="N34" s="58"/>
      <c r="O34" s="59"/>
    </row>
    <row r="35" spans="1:15" s="44" customFormat="1" x14ac:dyDescent="0.25">
      <c r="A35" s="62"/>
      <c r="B35" s="57" t="s">
        <v>45</v>
      </c>
      <c r="C35" s="57"/>
      <c r="D35" s="57"/>
      <c r="E35" s="57"/>
      <c r="F35" s="57"/>
      <c r="G35" s="57"/>
      <c r="H35" s="57"/>
      <c r="I35" s="57"/>
      <c r="J35" s="57"/>
      <c r="K35" s="57"/>
      <c r="L35" s="57"/>
      <c r="M35" s="57"/>
      <c r="N35" s="57"/>
      <c r="O35" s="59"/>
    </row>
    <row r="36" spans="1:15" s="44" customFormat="1" ht="18" customHeight="1" x14ac:dyDescent="0.25">
      <c r="A36" s="62"/>
      <c r="B36" s="57"/>
      <c r="C36" s="58"/>
      <c r="D36" s="58"/>
      <c r="E36" s="58"/>
      <c r="F36" s="58"/>
      <c r="G36" s="58"/>
      <c r="H36" s="58"/>
      <c r="I36" s="58"/>
      <c r="J36" s="58"/>
      <c r="K36" s="58"/>
      <c r="L36" s="58"/>
      <c r="M36" s="58"/>
      <c r="N36" s="57"/>
      <c r="O36" s="59"/>
    </row>
    <row r="37" spans="1:15" s="44" customFormat="1" x14ac:dyDescent="0.25">
      <c r="A37" s="62"/>
      <c r="B37" s="57" t="s">
        <v>33</v>
      </c>
      <c r="C37" s="57"/>
      <c r="D37" s="57"/>
      <c r="E37" s="57"/>
      <c r="F37" s="57"/>
      <c r="G37" s="57"/>
      <c r="H37" s="57"/>
      <c r="I37" s="57"/>
      <c r="J37" s="57"/>
      <c r="K37" s="57"/>
      <c r="L37" s="57"/>
      <c r="M37" s="57"/>
      <c r="N37" s="57"/>
      <c r="O37" s="59"/>
    </row>
    <row r="38" spans="1:15" s="44" customFormat="1" ht="18.75" customHeight="1" x14ac:dyDescent="0.25">
      <c r="A38" s="62"/>
      <c r="B38" s="57"/>
      <c r="C38" s="58"/>
      <c r="D38" s="58"/>
      <c r="E38" s="58"/>
      <c r="F38" s="58"/>
      <c r="G38" s="58"/>
      <c r="H38" s="58"/>
      <c r="I38" s="58"/>
      <c r="J38" s="58"/>
      <c r="K38" s="58"/>
      <c r="L38" s="58"/>
      <c r="M38" s="58"/>
      <c r="N38" s="58"/>
      <c r="O38" s="59"/>
    </row>
    <row r="39" spans="1:15" s="44" customFormat="1" x14ac:dyDescent="0.25">
      <c r="A39" s="62"/>
      <c r="B39" s="57" t="s">
        <v>34</v>
      </c>
      <c r="C39" s="57"/>
      <c r="D39" s="57"/>
      <c r="E39" s="57"/>
      <c r="F39" s="57"/>
      <c r="G39" s="57"/>
      <c r="H39" s="57"/>
      <c r="I39" s="57"/>
      <c r="J39" s="57"/>
      <c r="K39" s="57"/>
      <c r="L39" s="57"/>
      <c r="M39" s="57"/>
      <c r="N39" s="57"/>
      <c r="O39" s="59"/>
    </row>
    <row r="40" spans="1:15" s="44" customFormat="1" x14ac:dyDescent="0.25">
      <c r="A40" s="62"/>
      <c r="B40" s="57"/>
      <c r="C40" s="58"/>
      <c r="D40" s="58"/>
      <c r="E40" s="58"/>
      <c r="F40" s="58"/>
      <c r="G40" s="58"/>
      <c r="H40" s="58"/>
      <c r="I40" s="58"/>
      <c r="J40" s="58"/>
      <c r="K40" s="58"/>
      <c r="L40" s="58"/>
      <c r="M40" s="58"/>
      <c r="N40" s="58"/>
      <c r="O40" s="59"/>
    </row>
    <row r="41" spans="1:15" s="44" customFormat="1" x14ac:dyDescent="0.25">
      <c r="A41" s="62"/>
      <c r="B41" s="57" t="s">
        <v>41</v>
      </c>
      <c r="C41" s="57"/>
      <c r="D41" s="57"/>
      <c r="E41" s="57"/>
      <c r="F41" s="57"/>
      <c r="G41" s="57"/>
      <c r="H41" s="57"/>
      <c r="I41" s="57"/>
      <c r="J41" s="57"/>
      <c r="K41" s="57"/>
      <c r="L41" s="57"/>
      <c r="M41" s="57"/>
      <c r="N41" s="57"/>
      <c r="O41" s="59"/>
    </row>
    <row r="42" spans="1:15" s="44" customFormat="1" ht="13" thickBot="1" x14ac:dyDescent="0.3">
      <c r="A42" s="62"/>
      <c r="B42" s="57"/>
      <c r="C42" s="57"/>
      <c r="D42" s="57"/>
      <c r="E42" s="57"/>
      <c r="F42" s="57"/>
      <c r="G42" s="57"/>
      <c r="H42" s="57"/>
      <c r="I42" s="57"/>
      <c r="J42" s="57"/>
      <c r="K42" s="57"/>
      <c r="L42" s="57"/>
      <c r="M42" s="57"/>
      <c r="N42" s="60"/>
      <c r="O42" s="61"/>
    </row>
    <row r="43" spans="1:15" s="44" customFormat="1" ht="20.5" thickBot="1" x14ac:dyDescent="0.45">
      <c r="A43" s="117" t="s">
        <v>18</v>
      </c>
      <c r="B43" s="118"/>
      <c r="C43" s="118"/>
      <c r="D43" s="118"/>
      <c r="E43" s="118"/>
      <c r="F43" s="118"/>
      <c r="G43" s="118"/>
      <c r="H43" s="118"/>
      <c r="I43" s="118"/>
      <c r="J43" s="118"/>
      <c r="K43" s="118"/>
      <c r="L43" s="118"/>
      <c r="M43" s="119"/>
    </row>
    <row r="44" spans="1:15" x14ac:dyDescent="0.25">
      <c r="A44" s="65"/>
      <c r="B44" s="66"/>
      <c r="C44" s="66"/>
      <c r="D44" s="67"/>
    </row>
    <row r="45" spans="1:15" ht="13" x14ac:dyDescent="0.3">
      <c r="A45" s="65"/>
      <c r="B45" s="71" t="s">
        <v>19</v>
      </c>
      <c r="C45" s="66"/>
      <c r="D45" s="67"/>
    </row>
    <row r="46" spans="1:15" ht="13" x14ac:dyDescent="0.3">
      <c r="A46" s="65"/>
      <c r="B46" s="71" t="s">
        <v>20</v>
      </c>
      <c r="C46" s="66"/>
      <c r="D46" s="67"/>
    </row>
    <row r="47" spans="1:15" ht="13" x14ac:dyDescent="0.3">
      <c r="A47" s="65"/>
      <c r="B47" s="71" t="s">
        <v>21</v>
      </c>
      <c r="C47" s="66"/>
      <c r="D47" s="67"/>
    </row>
    <row r="48" spans="1:15" ht="13.5" thickBot="1" x14ac:dyDescent="0.35">
      <c r="A48" s="68"/>
      <c r="B48" s="72" t="s">
        <v>22</v>
      </c>
      <c r="C48" s="69"/>
      <c r="D48" s="70"/>
    </row>
    <row r="50" spans="3:12" ht="13" thickBot="1" x14ac:dyDescent="0.3"/>
    <row r="51" spans="3:12" ht="27.5" thickBot="1" x14ac:dyDescent="0.3">
      <c r="G51" s="63"/>
      <c r="H51" s="64"/>
    </row>
    <row r="57" spans="3:12" ht="13" thickBot="1" x14ac:dyDescent="0.3"/>
    <row r="58" spans="3:12" ht="27.5" thickBot="1" x14ac:dyDescent="0.3">
      <c r="C58" s="63"/>
      <c r="D58" s="64"/>
      <c r="K58" s="63"/>
      <c r="L58" s="64"/>
    </row>
    <row r="68" spans="7:8" ht="13" thickBot="1" x14ac:dyDescent="0.3"/>
    <row r="69" spans="7:8" ht="27.5" thickBot="1" x14ac:dyDescent="0.3">
      <c r="G69" s="63"/>
      <c r="H69" s="64"/>
    </row>
  </sheetData>
  <sheetProtection sheet="1" objects="1" scenarios="1"/>
  <mergeCells count="1">
    <mergeCell ref="A43:M43"/>
  </mergeCells>
  <pageMargins left="0.75" right="0.75" top="1" bottom="1" header="0.5" footer="0.5"/>
  <pageSetup scale="85" fitToHeight="2" orientation="landscape" horizontalDpi="180" verticalDpi="0" copies="0" r:id="rId1"/>
  <headerFooter alignWithMargins="0"/>
  <rowBreaks count="1" manualBreakCount="1">
    <brk id="41"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O47"/>
  <sheetViews>
    <sheetView showGridLines="0" showRowColHeaders="0" tabSelected="1" showOutlineSymbols="0" zoomScale="80" workbookViewId="0">
      <selection activeCell="D30" sqref="D30"/>
    </sheetView>
  </sheetViews>
  <sheetFormatPr defaultRowHeight="12.5" x14ac:dyDescent="0.25"/>
  <cols>
    <col min="1" max="1" width="7.81640625" customWidth="1"/>
    <col min="2" max="3" width="8.1796875" customWidth="1"/>
    <col min="4" max="4" width="8.81640625" customWidth="1"/>
    <col min="5" max="5" width="10" customWidth="1"/>
    <col min="6" max="6" width="11" hidden="1" customWidth="1"/>
    <col min="14" max="14" width="20.81640625" customWidth="1"/>
  </cols>
  <sheetData>
    <row r="1" spans="1:15" ht="21" customHeight="1" x14ac:dyDescent="0.4">
      <c r="A1" s="120" t="s">
        <v>17</v>
      </c>
      <c r="B1" s="120"/>
      <c r="C1" s="120"/>
      <c r="D1" s="120"/>
      <c r="E1" s="120"/>
      <c r="F1" s="120"/>
      <c r="G1" s="120"/>
      <c r="H1" s="120"/>
      <c r="I1" s="120"/>
      <c r="J1" s="120"/>
      <c r="K1" s="120"/>
      <c r="L1" s="120"/>
      <c r="M1" s="120"/>
      <c r="N1" s="120"/>
      <c r="O1" s="27"/>
    </row>
    <row r="2" spans="1:15" ht="6" customHeight="1" x14ac:dyDescent="0.25">
      <c r="A2" s="5"/>
      <c r="B2" s="5"/>
      <c r="C2" s="5"/>
      <c r="D2" s="5"/>
      <c r="E2" s="5"/>
      <c r="F2" s="5"/>
      <c r="G2" s="5"/>
      <c r="H2" s="5"/>
      <c r="I2" s="5"/>
      <c r="J2" s="5"/>
      <c r="K2" s="5"/>
      <c r="L2" s="5"/>
      <c r="M2" s="5"/>
      <c r="N2" s="5"/>
      <c r="O2" s="5"/>
    </row>
    <row r="3" spans="1:15" ht="13" x14ac:dyDescent="0.3">
      <c r="A3" s="5"/>
      <c r="B3" s="6" t="s">
        <v>23</v>
      </c>
      <c r="C3" s="5"/>
      <c r="D3" s="5"/>
      <c r="E3" s="5"/>
      <c r="F3" s="5"/>
      <c r="G3" s="5"/>
      <c r="H3" s="5"/>
      <c r="I3" s="5"/>
      <c r="J3" s="5"/>
      <c r="K3" s="5"/>
      <c r="L3" s="5"/>
      <c r="M3" s="5"/>
      <c r="N3" s="5"/>
      <c r="O3" s="5"/>
    </row>
    <row r="4" spans="1:15" x14ac:dyDescent="0.25">
      <c r="A4" s="5"/>
      <c r="B4" s="5" t="s">
        <v>24</v>
      </c>
      <c r="C4" s="5"/>
      <c r="D4" s="5"/>
      <c r="E4" s="5"/>
      <c r="F4" s="5"/>
      <c r="G4" s="5"/>
      <c r="H4" s="5"/>
      <c r="I4" s="5"/>
      <c r="J4" s="5"/>
      <c r="K4" s="5"/>
      <c r="L4" s="5"/>
      <c r="M4" s="5"/>
      <c r="N4" s="5"/>
      <c r="O4" s="5"/>
    </row>
    <row r="5" spans="1:15" x14ac:dyDescent="0.25">
      <c r="A5" s="5"/>
      <c r="B5" s="5" t="s">
        <v>31</v>
      </c>
      <c r="C5" s="5"/>
      <c r="D5" s="5"/>
      <c r="E5" s="5"/>
      <c r="F5" s="5"/>
      <c r="G5" s="5"/>
      <c r="H5" s="5"/>
      <c r="I5" s="5"/>
      <c r="J5" s="5"/>
      <c r="K5" s="5"/>
      <c r="L5" s="5"/>
      <c r="M5" s="5"/>
      <c r="N5" s="5"/>
      <c r="O5" s="5"/>
    </row>
    <row r="6" spans="1:15" x14ac:dyDescent="0.25">
      <c r="A6" s="5"/>
      <c r="B6" s="5" t="s">
        <v>25</v>
      </c>
      <c r="C6" s="5"/>
      <c r="D6" s="5"/>
      <c r="E6" s="5"/>
      <c r="F6" s="5"/>
      <c r="G6" s="5"/>
      <c r="H6" s="5"/>
      <c r="I6" s="5"/>
      <c r="J6" s="5"/>
      <c r="K6" s="5"/>
      <c r="L6" s="5"/>
      <c r="M6" s="5"/>
      <c r="N6" s="5"/>
      <c r="O6" s="5"/>
    </row>
    <row r="7" spans="1:15" x14ac:dyDescent="0.25">
      <c r="A7" s="5"/>
      <c r="B7" s="5" t="s">
        <v>26</v>
      </c>
      <c r="C7" s="5"/>
      <c r="D7" s="5"/>
      <c r="E7" s="5"/>
      <c r="F7" s="5"/>
      <c r="G7" s="5"/>
      <c r="H7" s="5"/>
      <c r="I7" s="5"/>
      <c r="J7" s="5"/>
      <c r="K7" s="5"/>
      <c r="L7" s="5"/>
      <c r="M7" s="5"/>
      <c r="N7" s="5"/>
      <c r="O7" s="5"/>
    </row>
    <row r="8" spans="1:15" x14ac:dyDescent="0.25">
      <c r="A8" s="5"/>
      <c r="B8" s="5" t="s">
        <v>27</v>
      </c>
      <c r="C8" s="5"/>
      <c r="D8" s="5"/>
      <c r="E8" s="5"/>
      <c r="F8" s="5"/>
      <c r="G8" s="5"/>
      <c r="H8" s="5"/>
      <c r="I8" s="5"/>
      <c r="J8" s="5"/>
      <c r="K8" s="5"/>
      <c r="L8" s="5"/>
      <c r="M8" s="5"/>
      <c r="N8" s="5"/>
      <c r="O8" s="5"/>
    </row>
    <row r="9" spans="1:15" x14ac:dyDescent="0.25">
      <c r="A9" s="5"/>
      <c r="B9" s="5" t="s">
        <v>36</v>
      </c>
      <c r="C9" s="5"/>
      <c r="D9" s="5"/>
      <c r="E9" s="5"/>
      <c r="F9" s="5"/>
      <c r="G9" s="5"/>
      <c r="H9" s="5"/>
      <c r="I9" s="5"/>
      <c r="J9" s="5"/>
      <c r="K9" s="5"/>
      <c r="L9" s="5"/>
      <c r="M9" s="5"/>
      <c r="N9" s="5"/>
      <c r="O9" s="5"/>
    </row>
    <row r="10" spans="1:15" x14ac:dyDescent="0.25">
      <c r="A10" s="5"/>
      <c r="B10" s="5" t="s">
        <v>28</v>
      </c>
      <c r="C10" s="5"/>
      <c r="D10" s="5"/>
      <c r="E10" s="5"/>
      <c r="F10" s="5"/>
      <c r="G10" s="5"/>
      <c r="H10" s="5"/>
      <c r="I10" s="5"/>
      <c r="J10" s="5"/>
      <c r="K10" s="5"/>
      <c r="L10" s="5"/>
      <c r="M10" s="5"/>
      <c r="N10" s="5"/>
      <c r="O10" s="5"/>
    </row>
    <row r="11" spans="1:15" x14ac:dyDescent="0.25">
      <c r="A11" s="5"/>
      <c r="B11" s="5" t="s">
        <v>29</v>
      </c>
      <c r="C11" s="5"/>
      <c r="D11" s="5"/>
      <c r="E11" s="5"/>
      <c r="F11" s="5"/>
      <c r="G11" s="5"/>
      <c r="H11" s="5"/>
      <c r="I11" s="5"/>
      <c r="J11" s="5"/>
      <c r="K11" s="5"/>
      <c r="L11" s="5"/>
      <c r="M11" s="5"/>
      <c r="N11" s="5"/>
      <c r="O11" s="5"/>
    </row>
    <row r="12" spans="1:15" x14ac:dyDescent="0.25">
      <c r="A12" s="5"/>
      <c r="B12" s="5"/>
      <c r="C12" s="5"/>
      <c r="D12" s="5"/>
      <c r="E12" s="5"/>
      <c r="F12" s="5"/>
      <c r="G12" s="5"/>
      <c r="H12" s="5"/>
      <c r="I12" s="5"/>
      <c r="J12" s="5"/>
      <c r="K12" s="5"/>
      <c r="L12" s="5"/>
      <c r="M12" s="5"/>
      <c r="N12" s="5"/>
      <c r="O12" s="5"/>
    </row>
    <row r="13" spans="1:15" x14ac:dyDescent="0.25">
      <c r="A13" s="29"/>
      <c r="B13" s="29"/>
      <c r="C13" s="29"/>
      <c r="D13" s="29"/>
    </row>
    <row r="14" spans="1:15" ht="13" x14ac:dyDescent="0.3">
      <c r="A14" s="29"/>
      <c r="B14" s="79" t="s">
        <v>44</v>
      </c>
      <c r="C14" s="29"/>
      <c r="D14" s="29"/>
    </row>
    <row r="15" spans="1:15" ht="13" thickBot="1" x14ac:dyDescent="0.3">
      <c r="A15" s="29"/>
      <c r="B15" s="29"/>
      <c r="C15" s="29"/>
      <c r="D15" s="29"/>
    </row>
    <row r="16" spans="1:15" ht="25.5" thickBot="1" x14ac:dyDescent="0.3">
      <c r="A16" s="41" t="s">
        <v>0</v>
      </c>
      <c r="B16" s="42" t="s">
        <v>1</v>
      </c>
      <c r="C16" s="42" t="s">
        <v>2</v>
      </c>
      <c r="D16" s="43" t="s">
        <v>3</v>
      </c>
      <c r="E16" s="1" t="s">
        <v>30</v>
      </c>
      <c r="F16" s="1" t="s">
        <v>4</v>
      </c>
    </row>
    <row r="17" spans="1:15" x14ac:dyDescent="0.25">
      <c r="A17" s="23" t="s">
        <v>5</v>
      </c>
      <c r="B17" s="3"/>
      <c r="C17" s="3"/>
      <c r="D17" s="3"/>
      <c r="E17" s="2">
        <f>IF($E$28*COS(RADIANS(75-G32))&lt;0,0, $E$28*COS(RADIANS(75-G32)))</f>
        <v>0</v>
      </c>
      <c r="F17" s="2">
        <f>IF($D$22*COS((75+G32)*3.14/180)&gt;0,$D$22*COS((75+G32)*3.14/180),0)</f>
        <v>0</v>
      </c>
    </row>
    <row r="18" spans="1:15" x14ac:dyDescent="0.25">
      <c r="A18" s="24" t="s">
        <v>6</v>
      </c>
      <c r="B18" s="4"/>
      <c r="C18" s="4"/>
      <c r="D18" s="4"/>
      <c r="E18" s="2">
        <f>$E$28*COS(RADIANS(60-G32))</f>
        <v>6.3393799710027823</v>
      </c>
      <c r="F18" s="2">
        <f>$D$22*COS((60+G32)*3.14/180)</f>
        <v>0</v>
      </c>
    </row>
    <row r="19" spans="1:15" x14ac:dyDescent="0.25">
      <c r="A19" s="24" t="s">
        <v>7</v>
      </c>
      <c r="B19" s="4"/>
      <c r="C19" s="4"/>
      <c r="D19" s="4"/>
      <c r="E19" s="2">
        <f>$E$28*COS(RADIANS(45-G32))</f>
        <v>20.524068696560647</v>
      </c>
      <c r="F19" s="2">
        <f>$D$22*COS((45+G32)*3.14/180)</f>
        <v>0</v>
      </c>
    </row>
    <row r="20" spans="1:15" x14ac:dyDescent="0.25">
      <c r="A20" s="24" t="s">
        <v>8</v>
      </c>
      <c r="B20" s="4"/>
      <c r="C20" s="4"/>
      <c r="D20" s="4"/>
      <c r="E20" s="2">
        <f>$E$28*COS(RADIANS(30-G32))</f>
        <v>33.310076058075119</v>
      </c>
      <c r="F20" s="2">
        <f>$D$22*COS((30+G32)*3.14/180)</f>
        <v>0</v>
      </c>
    </row>
    <row r="21" spans="1:15" x14ac:dyDescent="0.25">
      <c r="A21" s="24" t="s">
        <v>9</v>
      </c>
      <c r="B21" s="4"/>
      <c r="C21" s="4"/>
      <c r="D21" s="4"/>
      <c r="E21" s="2">
        <f>$E$28*COS(RADIANS(15-G32))</f>
        <v>43.826056783735183</v>
      </c>
      <c r="F21" s="2">
        <f>$D$22*COS((15+G32)*3.14/180)</f>
        <v>0</v>
      </c>
    </row>
    <row r="22" spans="1:15" x14ac:dyDescent="0.25">
      <c r="A22" s="24" t="s">
        <v>15</v>
      </c>
      <c r="B22" s="4"/>
      <c r="C22" s="4"/>
      <c r="D22" s="4"/>
      <c r="E22" s="2">
        <f>$E$28*COS(RADIANS(0-G32))</f>
        <v>51.355364165566947</v>
      </c>
      <c r="F22" s="2">
        <f>$D$22*COS((0+G32)*3.14/180)</f>
        <v>0</v>
      </c>
    </row>
    <row r="23" spans="1:15" x14ac:dyDescent="0.25">
      <c r="A23" s="24" t="s">
        <v>10</v>
      </c>
      <c r="B23" s="4"/>
      <c r="C23" s="4"/>
      <c r="D23" s="4"/>
      <c r="E23" s="2">
        <f>$E$28*COS(RADIANS(-15-G32))</f>
        <v>55.384888348267339</v>
      </c>
      <c r="F23" s="2">
        <f>$D$22*COS((-15+G32)*3.14/180)</f>
        <v>0</v>
      </c>
    </row>
    <row r="24" spans="1:15" x14ac:dyDescent="0.25">
      <c r="A24" s="24" t="s">
        <v>11</v>
      </c>
      <c r="B24" s="4"/>
      <c r="C24" s="4"/>
      <c r="D24" s="4"/>
      <c r="E24" s="2">
        <f>$E$28*COS(RADIANS(-30-G32))</f>
        <v>55.640023917888897</v>
      </c>
      <c r="F24" s="2">
        <f>$D$22*COS((-30+G32)*3.14/180)</f>
        <v>0</v>
      </c>
    </row>
    <row r="25" spans="1:15" x14ac:dyDescent="0.25">
      <c r="A25" s="24" t="s">
        <v>12</v>
      </c>
      <c r="B25" s="4"/>
      <c r="C25" s="4"/>
      <c r="D25" s="4"/>
      <c r="E25" s="2">
        <f>$E$28*COS(RADIANS(-45-G32))</f>
        <v>52.103383806993378</v>
      </c>
      <c r="F25" s="2">
        <f>$D$22*COS((-45+G32)*3.14/180)</f>
        <v>0</v>
      </c>
    </row>
    <row r="26" spans="1:15" x14ac:dyDescent="0.25">
      <c r="A26" s="24" t="s">
        <v>13</v>
      </c>
      <c r="B26" s="4"/>
      <c r="C26" s="4"/>
      <c r="D26" s="4"/>
      <c r="E26" s="2">
        <f>$E$28*COS(RADIANS(-60-G32))</f>
        <v>45.015984194564169</v>
      </c>
      <c r="F26" s="2">
        <f>$D$22*COS((-60+G32)*3.14/180)</f>
        <v>0</v>
      </c>
    </row>
    <row r="27" spans="1:15" x14ac:dyDescent="0.25">
      <c r="A27" s="24" t="s">
        <v>14</v>
      </c>
      <c r="B27" s="4"/>
      <c r="C27" s="4"/>
      <c r="D27" s="4"/>
      <c r="E27" s="2">
        <f>IF($E$28*COS(RADIANS(-75-G32))&gt;0,$E$28*COS(RADIANS(-75-G32)),0)</f>
        <v>34.860819651706692</v>
      </c>
      <c r="F27" s="2">
        <f>$D$22*COS((-75+G32)*3.14/180)</f>
        <v>0</v>
      </c>
    </row>
    <row r="28" spans="1:15" x14ac:dyDescent="0.25">
      <c r="A28" s="29"/>
      <c r="B28" s="29"/>
      <c r="C28" s="29"/>
      <c r="D28" s="29"/>
      <c r="E28">
        <f>IF(D22=0,56,D22)</f>
        <v>56</v>
      </c>
    </row>
    <row r="29" spans="1:15" x14ac:dyDescent="0.25">
      <c r="A29" s="29"/>
      <c r="B29" s="29"/>
      <c r="C29" s="29"/>
      <c r="D29" s="29"/>
    </row>
    <row r="30" spans="1:15" ht="22.5" customHeight="1" x14ac:dyDescent="0.25">
      <c r="A30" s="29"/>
      <c r="B30" s="29"/>
      <c r="C30" s="29"/>
      <c r="D30" s="29"/>
    </row>
    <row r="31" spans="1:15" ht="17.5" x14ac:dyDescent="0.35">
      <c r="A31" s="18" t="s">
        <v>39</v>
      </c>
      <c r="B31" s="19"/>
      <c r="C31" s="19"/>
      <c r="D31" s="19"/>
      <c r="E31" s="19"/>
      <c r="F31" s="19"/>
      <c r="G31" s="19"/>
      <c r="H31" s="19"/>
      <c r="I31" s="19"/>
      <c r="J31" s="19"/>
      <c r="K31" s="19"/>
      <c r="L31" s="19"/>
      <c r="M31" s="19"/>
      <c r="N31" s="19"/>
      <c r="O31" s="20"/>
    </row>
    <row r="32" spans="1:15" ht="15.5" x14ac:dyDescent="0.35">
      <c r="A32" s="38" t="s">
        <v>32</v>
      </c>
      <c r="B32" s="25"/>
      <c r="C32" s="25"/>
      <c r="D32" s="25"/>
      <c r="E32" s="25"/>
      <c r="F32" s="25" t="s">
        <v>16</v>
      </c>
      <c r="G32" s="77">
        <v>-23.5</v>
      </c>
      <c r="H32" s="25" t="s">
        <v>40</v>
      </c>
      <c r="I32" s="25"/>
      <c r="J32" s="25"/>
      <c r="K32" s="25"/>
      <c r="L32" s="25"/>
      <c r="M32" s="25"/>
      <c r="N32" s="25"/>
      <c r="O32" s="39"/>
    </row>
    <row r="33" spans="1:15" x14ac:dyDescent="0.25">
      <c r="A33" s="40"/>
      <c r="B33" s="21"/>
      <c r="C33" s="21"/>
      <c r="D33" s="21"/>
      <c r="E33" s="21"/>
      <c r="F33" s="21"/>
      <c r="G33" s="21"/>
      <c r="H33" s="21"/>
      <c r="I33" s="21"/>
      <c r="J33" s="21"/>
      <c r="K33" s="21"/>
      <c r="L33" s="21"/>
      <c r="M33" s="21"/>
      <c r="N33" s="21"/>
      <c r="O33" s="22"/>
    </row>
    <row r="34" spans="1:15" ht="15.5" x14ac:dyDescent="0.35">
      <c r="A34" s="78" t="s">
        <v>38</v>
      </c>
      <c r="B34" s="31"/>
      <c r="C34" s="31"/>
      <c r="D34" s="31"/>
      <c r="E34" s="31"/>
      <c r="F34" s="31"/>
      <c r="G34" s="31"/>
      <c r="H34" s="31"/>
      <c r="I34" s="31"/>
      <c r="J34" s="31"/>
      <c r="K34" s="31"/>
      <c r="L34" s="31"/>
      <c r="M34" s="31"/>
      <c r="N34" s="31"/>
      <c r="O34" s="32"/>
    </row>
    <row r="35" spans="1:15" ht="23.25" customHeight="1" x14ac:dyDescent="0.25">
      <c r="A35" s="33"/>
      <c r="B35" s="28"/>
      <c r="C35" s="28"/>
      <c r="D35" s="28"/>
      <c r="E35" s="28"/>
      <c r="F35" s="28"/>
      <c r="G35" s="28"/>
      <c r="H35" s="28"/>
      <c r="I35" s="28"/>
      <c r="J35" s="28"/>
      <c r="K35" s="28"/>
      <c r="L35" s="28"/>
      <c r="M35" s="28"/>
      <c r="N35" s="28"/>
      <c r="O35" s="34"/>
    </row>
    <row r="36" spans="1:15" ht="15.5" x14ac:dyDescent="0.35">
      <c r="A36" s="33"/>
      <c r="B36" s="80" t="s">
        <v>37</v>
      </c>
      <c r="C36" s="28"/>
      <c r="D36" s="28"/>
      <c r="E36" s="28"/>
      <c r="F36" s="28"/>
      <c r="G36" s="28"/>
      <c r="H36" s="28"/>
      <c r="I36" s="28"/>
      <c r="J36" s="28"/>
      <c r="K36" s="28"/>
      <c r="L36" s="28"/>
      <c r="M36" s="28"/>
      <c r="N36" s="28"/>
      <c r="O36" s="34"/>
    </row>
    <row r="37" spans="1:15" ht="24.75" customHeight="1" x14ac:dyDescent="0.25">
      <c r="A37" s="33"/>
      <c r="B37" s="28"/>
      <c r="C37" s="26"/>
      <c r="D37" s="26"/>
      <c r="E37" s="26"/>
      <c r="F37" s="26"/>
      <c r="G37" s="26"/>
      <c r="H37" s="26"/>
      <c r="I37" s="26"/>
      <c r="J37" s="26"/>
      <c r="K37" s="26"/>
      <c r="L37" s="26"/>
      <c r="M37" s="26"/>
      <c r="N37" s="26"/>
      <c r="O37" s="34"/>
    </row>
    <row r="38" spans="1:15" ht="15.5" x14ac:dyDescent="0.35">
      <c r="A38" s="33"/>
      <c r="B38" s="80" t="s">
        <v>45</v>
      </c>
      <c r="C38" s="28"/>
      <c r="D38" s="28"/>
      <c r="E38" s="28"/>
      <c r="F38" s="28"/>
      <c r="G38" s="28"/>
      <c r="H38" s="28"/>
      <c r="I38" s="28"/>
      <c r="J38" s="28"/>
      <c r="K38" s="28"/>
      <c r="L38" s="28"/>
      <c r="M38" s="28"/>
      <c r="N38" s="28"/>
      <c r="O38" s="34"/>
    </row>
    <row r="39" spans="1:15" ht="24.75" customHeight="1" x14ac:dyDescent="0.25">
      <c r="A39" s="33"/>
      <c r="B39" s="28"/>
      <c r="C39" s="26"/>
      <c r="D39" s="26"/>
      <c r="E39" s="26"/>
      <c r="F39" s="26"/>
      <c r="G39" s="26"/>
      <c r="H39" s="26"/>
      <c r="I39" s="26"/>
      <c r="J39" s="26"/>
      <c r="K39" s="26"/>
      <c r="L39" s="26"/>
      <c r="M39" s="26"/>
      <c r="N39" s="30"/>
      <c r="O39" s="34"/>
    </row>
    <row r="40" spans="1:15" ht="15.5" x14ac:dyDescent="0.35">
      <c r="A40" s="33"/>
      <c r="B40" s="80" t="s">
        <v>33</v>
      </c>
      <c r="C40" s="28"/>
      <c r="D40" s="28"/>
      <c r="E40" s="28"/>
      <c r="F40" s="28"/>
      <c r="G40" s="28"/>
      <c r="H40" s="28"/>
      <c r="I40" s="28"/>
      <c r="J40" s="28"/>
      <c r="K40" s="28"/>
      <c r="L40" s="28"/>
      <c r="M40" s="28"/>
      <c r="N40" s="28"/>
      <c r="O40" s="34"/>
    </row>
    <row r="41" spans="1:15" x14ac:dyDescent="0.25">
      <c r="A41" s="33"/>
      <c r="B41" s="28"/>
      <c r="C41" s="26"/>
      <c r="D41" s="26"/>
      <c r="E41" s="26"/>
      <c r="F41" s="26"/>
      <c r="G41" s="26"/>
      <c r="H41" s="26"/>
      <c r="I41" s="26"/>
      <c r="J41" s="26"/>
      <c r="K41" s="26"/>
      <c r="L41" s="26"/>
      <c r="M41" s="26"/>
      <c r="N41" s="26"/>
      <c r="O41" s="34"/>
    </row>
    <row r="42" spans="1:15" x14ac:dyDescent="0.25">
      <c r="A42" s="33"/>
      <c r="B42" s="28"/>
      <c r="C42" s="26"/>
      <c r="D42" s="26"/>
      <c r="E42" s="26"/>
      <c r="F42" s="26"/>
      <c r="G42" s="26"/>
      <c r="H42" s="26"/>
      <c r="I42" s="26"/>
      <c r="J42" s="26"/>
      <c r="K42" s="26"/>
      <c r="L42" s="26"/>
      <c r="M42" s="26"/>
      <c r="N42" s="26"/>
      <c r="O42" s="34"/>
    </row>
    <row r="43" spans="1:15" ht="15.5" x14ac:dyDescent="0.35">
      <c r="A43" s="33"/>
      <c r="B43" s="80" t="s">
        <v>34</v>
      </c>
      <c r="C43" s="28"/>
      <c r="D43" s="28"/>
      <c r="E43" s="28"/>
      <c r="F43" s="28"/>
      <c r="G43" s="28"/>
      <c r="H43" s="28"/>
      <c r="I43" s="28"/>
      <c r="J43" s="28"/>
      <c r="K43" s="28"/>
      <c r="L43" s="28"/>
      <c r="M43" s="28"/>
      <c r="N43" s="28"/>
      <c r="O43" s="34"/>
    </row>
    <row r="44" spans="1:15" x14ac:dyDescent="0.25">
      <c r="A44" s="33"/>
      <c r="B44" s="28"/>
      <c r="C44" s="26"/>
      <c r="D44" s="26"/>
      <c r="E44" s="26"/>
      <c r="F44" s="26"/>
      <c r="G44" s="26"/>
      <c r="H44" s="26"/>
      <c r="I44" s="26"/>
      <c r="J44" s="26"/>
      <c r="K44" s="26"/>
      <c r="L44" s="26"/>
      <c r="M44" s="26"/>
      <c r="N44" s="26"/>
      <c r="O44" s="34"/>
    </row>
    <row r="45" spans="1:15" x14ac:dyDescent="0.25">
      <c r="A45" s="33"/>
      <c r="B45" s="28"/>
      <c r="C45" s="26"/>
      <c r="D45" s="26"/>
      <c r="E45" s="26"/>
      <c r="F45" s="26"/>
      <c r="G45" s="26"/>
      <c r="H45" s="26"/>
      <c r="I45" s="26"/>
      <c r="J45" s="26"/>
      <c r="K45" s="26"/>
      <c r="L45" s="26"/>
      <c r="M45" s="26"/>
      <c r="N45" s="26"/>
      <c r="O45" s="34"/>
    </row>
    <row r="46" spans="1:15" ht="15.5" x14ac:dyDescent="0.35">
      <c r="A46" s="33"/>
      <c r="B46" s="80" t="s">
        <v>35</v>
      </c>
      <c r="C46" s="28"/>
      <c r="D46" s="28"/>
      <c r="E46" s="28"/>
      <c r="F46" s="28"/>
      <c r="G46" s="28"/>
      <c r="H46" s="28"/>
      <c r="I46" s="28"/>
      <c r="J46" s="28"/>
      <c r="K46" s="28"/>
      <c r="L46" s="28"/>
      <c r="M46" s="28"/>
      <c r="N46" s="28"/>
      <c r="O46" s="34"/>
    </row>
    <row r="47" spans="1:15" x14ac:dyDescent="0.25">
      <c r="A47" s="35"/>
      <c r="B47" s="36"/>
      <c r="C47" s="36"/>
      <c r="D47" s="36"/>
      <c r="E47" s="36"/>
      <c r="F47" s="36"/>
      <c r="G47" s="36"/>
      <c r="H47" s="36"/>
      <c r="I47" s="36"/>
      <c r="J47" s="36"/>
      <c r="K47" s="36"/>
      <c r="L47" s="36"/>
      <c r="M47" s="36"/>
      <c r="N47" s="36"/>
      <c r="O47" s="37"/>
    </row>
  </sheetData>
  <sheetProtection sheet="1" objects="1" scenarios="1"/>
  <mergeCells count="1">
    <mergeCell ref="A1:N1"/>
  </mergeCells>
  <pageMargins left="0.75" right="0.63" top="0.54" bottom="0.37" header="0.5" footer="0.38"/>
  <pageSetup scale="97" orientation="landscape" horizontalDpi="180" verticalDpi="0" copies="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showGridLines="0" showRowColHeaders="0" showOutlineSymbols="0" topLeftCell="A2" zoomScale="90" workbookViewId="0">
      <selection activeCell="J25" sqref="J25"/>
    </sheetView>
  </sheetViews>
  <sheetFormatPr defaultRowHeight="12.5" x14ac:dyDescent="0.25"/>
  <cols>
    <col min="3" max="3" width="11.453125" customWidth="1"/>
    <col min="4" max="4" width="6.1796875" customWidth="1"/>
    <col min="7" max="7" width="12.26953125" customWidth="1"/>
    <col min="8" max="8" width="5.453125" customWidth="1"/>
    <col min="11" max="11" width="13" customWidth="1"/>
    <col min="12" max="12" width="5.453125" customWidth="1"/>
  </cols>
  <sheetData>
    <row r="1" spans="1:13" ht="27.75" customHeight="1" thickBot="1" x14ac:dyDescent="0.45">
      <c r="A1" s="120" t="s">
        <v>18</v>
      </c>
      <c r="B1" s="120"/>
      <c r="C1" s="120"/>
      <c r="D1" s="120"/>
      <c r="E1" s="120"/>
      <c r="F1" s="120"/>
      <c r="G1" s="120"/>
      <c r="H1" s="120"/>
      <c r="I1" s="120"/>
      <c r="J1" s="120"/>
      <c r="K1" s="120"/>
      <c r="L1" s="120"/>
      <c r="M1" s="120"/>
    </row>
    <row r="2" spans="1:13" x14ac:dyDescent="0.25">
      <c r="A2" s="7"/>
      <c r="B2" s="8"/>
      <c r="C2" s="8"/>
      <c r="D2" s="9"/>
    </row>
    <row r="3" spans="1:13" x14ac:dyDescent="0.25">
      <c r="A3" s="10"/>
      <c r="B3" s="11" t="s">
        <v>19</v>
      </c>
      <c r="C3" s="11"/>
      <c r="D3" s="12"/>
    </row>
    <row r="4" spans="1:13" x14ac:dyDescent="0.25">
      <c r="A4" s="10"/>
      <c r="B4" s="11" t="s">
        <v>20</v>
      </c>
      <c r="C4" s="11"/>
      <c r="D4" s="12"/>
    </row>
    <row r="5" spans="1:13" x14ac:dyDescent="0.25">
      <c r="A5" s="10"/>
      <c r="B5" s="11" t="s">
        <v>21</v>
      </c>
      <c r="C5" s="11"/>
      <c r="D5" s="12"/>
    </row>
    <row r="6" spans="1:13" ht="13" thickBot="1" x14ac:dyDescent="0.3">
      <c r="A6" s="13"/>
      <c r="B6" s="14" t="s">
        <v>22</v>
      </c>
      <c r="C6" s="14"/>
      <c r="D6" s="15"/>
    </row>
    <row r="7" spans="1:13" ht="12" customHeight="1" x14ac:dyDescent="0.25"/>
    <row r="8" spans="1:13" ht="13" thickBot="1" x14ac:dyDescent="0.3"/>
    <row r="9" spans="1:13" ht="25.5" customHeight="1" thickBot="1" x14ac:dyDescent="0.3">
      <c r="G9" s="17"/>
      <c r="H9" s="16" t="str">
        <f>IF(G9="autumnal equinox", "J","K")</f>
        <v>K</v>
      </c>
    </row>
    <row r="15" spans="1:13" ht="13" thickBot="1" x14ac:dyDescent="0.3"/>
    <row r="16" spans="1:13" ht="27" customHeight="1" thickBot="1" x14ac:dyDescent="0.3">
      <c r="C16" s="17"/>
      <c r="D16" s="16" t="str">
        <f>IF(C16="summer solstice", "J","K")</f>
        <v>K</v>
      </c>
      <c r="K16" s="17"/>
      <c r="L16" s="16" t="str">
        <f>IF(K16="winter solstice", "J","K")</f>
        <v>K</v>
      </c>
    </row>
    <row r="26" spans="7:8" ht="13" thickBot="1" x14ac:dyDescent="0.3"/>
    <row r="27" spans="7:8" ht="25.5" customHeight="1" thickBot="1" x14ac:dyDescent="0.3">
      <c r="G27" s="17"/>
      <c r="H27" s="16" t="str">
        <f>IF(G27="vernal equinox", "J","K")</f>
        <v>K</v>
      </c>
    </row>
  </sheetData>
  <sheetProtection sheet="1" objects="1" scenarios="1"/>
  <mergeCells count="1">
    <mergeCell ref="A1:M1"/>
  </mergeCells>
  <pageMargins left="0.75" right="0.75" top="1" bottom="1" header="0.5" footer="0.5"/>
  <pageSetup orientation="landscape" horizontalDpi="180" verticalDpi="0" copies="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Lesson Plan</vt:lpstr>
      <vt:lpstr>Lab Sheet</vt:lpstr>
      <vt:lpstr>Light Intensity Lab</vt:lpstr>
      <vt:lpstr>Sun Diagram</vt:lpstr>
    </vt:vector>
  </TitlesOfParts>
  <Company>CFHS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Harlan Devore</dc:creator>
  <cp:lastModifiedBy>Carina Negreanu</cp:lastModifiedBy>
  <cp:lastPrinted>2000-10-13T01:03:52Z</cp:lastPrinted>
  <dcterms:created xsi:type="dcterms:W3CDTF">2000-10-11T05:27:47Z</dcterms:created>
  <dcterms:modified xsi:type="dcterms:W3CDTF">2020-01-27T12:43:51Z</dcterms:modified>
</cp:coreProperties>
</file>