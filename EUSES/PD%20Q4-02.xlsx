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76A0C3A-8B0A-486F-BE5B-317304D1E9BD}" xr6:coauthVersionLast="45" xr6:coauthVersionMax="45" xr10:uidLastSave="{00000000-0000-0000-0000-000000000000}"/>
  <bookViews>
    <workbookView xWindow="1900" yWindow="1900" windowWidth="28800" windowHeight="15460"/>
  </bookViews>
  <sheets>
    <sheet name="Q4-02 Ore Prdn" sheetId="1" r:id="rId1"/>
    <sheet name="Q4-02 Ore Prdn Mn C" sheetId="4" r:id="rId2"/>
    <sheet name="Q4-02 Alloys Prdn" sheetId="5" r:id="rId3"/>
  </sheets>
  <definedNames>
    <definedName name="_xlnm.Print_Area" localSheetId="2">'Q4-02 Alloys Prdn'!$A$1:$H$38</definedName>
    <definedName name="_xlnm.Print_Area" localSheetId="0">'Q4-02 Ore Prdn'!$A$1:$H$41</definedName>
    <definedName name="_xlnm.Print_Area" localSheetId="1">'Q4-02 Ore Prdn Mn C'!$A$1:$H$40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" i="5" l="1"/>
  <c r="G10" i="5" s="1"/>
  <c r="G14" i="5" s="1"/>
  <c r="F11" i="5"/>
  <c r="G11" i="5"/>
  <c r="F12" i="5"/>
  <c r="G12" i="5"/>
  <c r="F13" i="5"/>
  <c r="G13" i="5"/>
  <c r="B14" i="5"/>
  <c r="C14" i="5"/>
  <c r="D14" i="5"/>
  <c r="F14" i="5" s="1"/>
  <c r="E14" i="5"/>
  <c r="H14" i="5"/>
  <c r="F17" i="5"/>
  <c r="G17" i="5" s="1"/>
  <c r="F18" i="5"/>
  <c r="G18" i="5"/>
  <c r="F19" i="5"/>
  <c r="G19" i="5" s="1"/>
  <c r="F20" i="5"/>
  <c r="G20" i="5"/>
  <c r="B21" i="5"/>
  <c r="C21" i="5"/>
  <c r="D21" i="5"/>
  <c r="E21" i="5"/>
  <c r="F21" i="5"/>
  <c r="H21" i="5"/>
  <c r="F24" i="5"/>
  <c r="F31" i="5" s="1"/>
  <c r="F25" i="5"/>
  <c r="G25" i="5"/>
  <c r="F26" i="5"/>
  <c r="G26" i="5"/>
  <c r="F27" i="5"/>
  <c r="G27" i="5"/>
  <c r="G34" i="5" s="1"/>
  <c r="B28" i="5"/>
  <c r="F28" i="5" s="1"/>
  <c r="C28" i="5"/>
  <c r="D28" i="5"/>
  <c r="E28" i="5"/>
  <c r="H28" i="5"/>
  <c r="B31" i="5"/>
  <c r="C31" i="5"/>
  <c r="D31" i="5"/>
  <c r="E31" i="5"/>
  <c r="H31" i="5"/>
  <c r="B32" i="5"/>
  <c r="C32" i="5"/>
  <c r="D32" i="5"/>
  <c r="E32" i="5"/>
  <c r="F32" i="5" s="1"/>
  <c r="G32" i="5"/>
  <c r="H32" i="5"/>
  <c r="B33" i="5"/>
  <c r="F33" i="5" s="1"/>
  <c r="C33" i="5"/>
  <c r="D33" i="5"/>
  <c r="E33" i="5"/>
  <c r="H33" i="5"/>
  <c r="B34" i="5"/>
  <c r="C34" i="5"/>
  <c r="D34" i="5"/>
  <c r="E34" i="5"/>
  <c r="F34" i="5"/>
  <c r="H34" i="5"/>
  <c r="C35" i="5"/>
  <c r="D35" i="5"/>
  <c r="H35" i="5"/>
  <c r="F10" i="1"/>
  <c r="G10" i="1" s="1"/>
  <c r="G14" i="1" s="1"/>
  <c r="F11" i="1"/>
  <c r="G11" i="1"/>
  <c r="F12" i="1"/>
  <c r="G12" i="1"/>
  <c r="F13" i="1"/>
  <c r="G13" i="1"/>
  <c r="B14" i="1"/>
  <c r="C14" i="1"/>
  <c r="D14" i="1"/>
  <c r="E14" i="1"/>
  <c r="H14" i="1"/>
  <c r="F17" i="1"/>
  <c r="G17" i="1"/>
  <c r="F18" i="1"/>
  <c r="G18" i="1"/>
  <c r="G32" i="1" s="1"/>
  <c r="F19" i="1"/>
  <c r="G19" i="1"/>
  <c r="F20" i="1"/>
  <c r="G20" i="1" s="1"/>
  <c r="B21" i="1"/>
  <c r="C21" i="1"/>
  <c r="D21" i="1"/>
  <c r="E21" i="1"/>
  <c r="F21" i="1" s="1"/>
  <c r="H21" i="1"/>
  <c r="F24" i="1"/>
  <c r="F31" i="1" s="1"/>
  <c r="G24" i="1"/>
  <c r="G31" i="1" s="1"/>
  <c r="F25" i="1"/>
  <c r="G25" i="1"/>
  <c r="F26" i="1"/>
  <c r="G26" i="1"/>
  <c r="G33" i="1" s="1"/>
  <c r="F27" i="1"/>
  <c r="G27" i="1" s="1"/>
  <c r="B28" i="1"/>
  <c r="F28" i="1" s="1"/>
  <c r="C28" i="1"/>
  <c r="D28" i="1"/>
  <c r="E28" i="1"/>
  <c r="H28" i="1"/>
  <c r="B31" i="1"/>
  <c r="C31" i="1"/>
  <c r="D31" i="1"/>
  <c r="E31" i="1"/>
  <c r="H31" i="1"/>
  <c r="B32" i="1"/>
  <c r="C32" i="1"/>
  <c r="D32" i="1"/>
  <c r="E32" i="1"/>
  <c r="F32" i="1"/>
  <c r="H32" i="1"/>
  <c r="H35" i="1" s="1"/>
  <c r="B33" i="1"/>
  <c r="B35" i="1" s="1"/>
  <c r="C33" i="1"/>
  <c r="C35" i="1" s="1"/>
  <c r="D33" i="1"/>
  <c r="E33" i="1"/>
  <c r="H33" i="1"/>
  <c r="B34" i="1"/>
  <c r="C34" i="1"/>
  <c r="D34" i="1"/>
  <c r="E34" i="1"/>
  <c r="F34" i="1"/>
  <c r="H34" i="1"/>
  <c r="D35" i="1"/>
  <c r="E35" i="1"/>
  <c r="F10" i="4"/>
  <c r="G10" i="4"/>
  <c r="F11" i="4"/>
  <c r="G11" i="4" s="1"/>
  <c r="F12" i="4"/>
  <c r="G12" i="4"/>
  <c r="F13" i="4"/>
  <c r="G13" i="4"/>
  <c r="B14" i="4"/>
  <c r="C14" i="4"/>
  <c r="D14" i="4"/>
  <c r="E14" i="4"/>
  <c r="F14" i="4"/>
  <c r="H14" i="4"/>
  <c r="G14" i="4" s="1"/>
  <c r="F17" i="4"/>
  <c r="G17" i="4"/>
  <c r="G21" i="4" s="1"/>
  <c r="F18" i="4"/>
  <c r="G18" i="4"/>
  <c r="G32" i="4" s="1"/>
  <c r="F19" i="4"/>
  <c r="G19" i="4"/>
  <c r="G33" i="4" s="1"/>
  <c r="F20" i="4"/>
  <c r="G20" i="4" s="1"/>
  <c r="G34" i="4" s="1"/>
  <c r="B21" i="4"/>
  <c r="C21" i="4"/>
  <c r="D21" i="4"/>
  <c r="E21" i="4"/>
  <c r="F21" i="4"/>
  <c r="H21" i="4"/>
  <c r="F24" i="4"/>
  <c r="F31" i="4" s="1"/>
  <c r="G24" i="4"/>
  <c r="G28" i="4" s="1"/>
  <c r="F25" i="4"/>
  <c r="G25" i="4"/>
  <c r="F26" i="4"/>
  <c r="G26" i="4"/>
  <c r="F27" i="4"/>
  <c r="G27" i="4"/>
  <c r="B28" i="4"/>
  <c r="F28" i="4" s="1"/>
  <c r="C28" i="4"/>
  <c r="D28" i="4"/>
  <c r="E28" i="4"/>
  <c r="H28" i="4"/>
  <c r="B31" i="4"/>
  <c r="C31" i="4"/>
  <c r="D31" i="4"/>
  <c r="E31" i="4"/>
  <c r="H31" i="4"/>
  <c r="B32" i="4"/>
  <c r="C32" i="4"/>
  <c r="D32" i="4"/>
  <c r="E32" i="4"/>
  <c r="F32" i="4"/>
  <c r="H32" i="4"/>
  <c r="B33" i="4"/>
  <c r="F33" i="4" s="1"/>
  <c r="C33" i="4"/>
  <c r="C35" i="4" s="1"/>
  <c r="D33" i="4"/>
  <c r="D35" i="4" s="1"/>
  <c r="E33" i="4"/>
  <c r="H33" i="4"/>
  <c r="B34" i="4"/>
  <c r="C34" i="4"/>
  <c r="D34" i="4"/>
  <c r="E34" i="4"/>
  <c r="F34" i="4"/>
  <c r="H34" i="4"/>
  <c r="E35" i="4"/>
  <c r="H35" i="4"/>
  <c r="G21" i="1" l="1"/>
  <c r="G21" i="5"/>
  <c r="G33" i="5"/>
  <c r="G34" i="1"/>
  <c r="G35" i="1" s="1"/>
  <c r="E35" i="5"/>
  <c r="B35" i="5"/>
  <c r="F35" i="5" s="1"/>
  <c r="G24" i="5"/>
  <c r="B35" i="4"/>
  <c r="F35" i="4" s="1"/>
  <c r="F33" i="1"/>
  <c r="G28" i="1"/>
  <c r="G31" i="4"/>
  <c r="G35" i="4" s="1"/>
  <c r="G28" i="5" l="1"/>
  <c r="G31" i="5"/>
  <c r="G35" i="5" s="1"/>
</calcChain>
</file>

<file path=xl/sharedStrings.xml><?xml version="1.0" encoding="utf-8"?>
<sst xmlns="http://schemas.openxmlformats.org/spreadsheetml/2006/main" count="105" uniqueCount="29">
  <si>
    <t>INTERNATIONAL MANGANESE INSTITUTE</t>
  </si>
  <si>
    <t>Americas</t>
  </si>
  <si>
    <t>Africa</t>
  </si>
  <si>
    <t>Actual Reported</t>
  </si>
  <si>
    <t>Estimates</t>
  </si>
  <si>
    <t>&lt; 30% Mn</t>
  </si>
  <si>
    <t>TOTAL</t>
  </si>
  <si>
    <t>&gt; 30% and &lt; 44% Mn</t>
  </si>
  <si>
    <t>&gt; 44% Mn</t>
  </si>
  <si>
    <t>All grades</t>
  </si>
  <si>
    <t>GRAND    TOTAL</t>
  </si>
  <si>
    <t>IMnI PRODUCTION DATA            QUARTERLY REPORT</t>
  </si>
  <si>
    <t>All ALLOYS</t>
  </si>
  <si>
    <r>
      <t>1</t>
    </r>
    <r>
      <rPr>
        <i/>
        <sz val="10"/>
        <rFont val="Arial"/>
        <family val="2"/>
      </rPr>
      <t xml:space="preserve">  :  Saleable production includes all alloys over3 mm and concentrates but excludes intermediate products (fines, slags, liquid products) so as to avoid accounting for Mn units twice.</t>
    </r>
  </si>
  <si>
    <t>Q1-2002</t>
  </si>
  <si>
    <t>Q2-2002</t>
  </si>
  <si>
    <t>Q3-2002</t>
  </si>
  <si>
    <t>Q4-2002</t>
  </si>
  <si>
    <t>Europe</t>
  </si>
  <si>
    <t>Asia + Oceania</t>
  </si>
  <si>
    <t>IMnI PRODUCTION DATA      QUARTERLY REPORT</t>
  </si>
  <si>
    <r>
      <t>FERRO-ALLOYS Saleable Production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                 ( metric ton )</t>
    </r>
  </si>
  <si>
    <t>2002 Ore Mn Content                      ( metric ton )</t>
  </si>
  <si>
    <r>
      <t>2002 Mn Ore Production figures               ( dry metric ton</t>
    </r>
    <r>
      <rPr>
        <b/>
        <vertAlign val="superscript"/>
        <sz val="18"/>
        <rFont val="Arial"/>
        <family val="2"/>
      </rPr>
      <t>1</t>
    </r>
    <r>
      <rPr>
        <b/>
        <sz val="18"/>
        <rFont val="Arial"/>
        <family val="2"/>
      </rPr>
      <t xml:space="preserve"> )</t>
    </r>
  </si>
  <si>
    <r>
      <t>1</t>
    </r>
    <r>
      <rPr>
        <i/>
        <sz val="10"/>
        <rFont val="Arial"/>
        <family val="2"/>
      </rPr>
      <t>: dry metric tons (air-dried to 105ºC)</t>
    </r>
  </si>
  <si>
    <r>
      <t>HC FeMn</t>
    </r>
    <r>
      <rPr>
        <b/>
        <vertAlign val="superscript"/>
        <sz val="10"/>
        <rFont val="Arial"/>
        <family val="2"/>
      </rPr>
      <t>2</t>
    </r>
  </si>
  <si>
    <r>
      <t>SiMn</t>
    </r>
    <r>
      <rPr>
        <b/>
        <vertAlign val="superscript"/>
        <sz val="10"/>
        <rFont val="Arial"/>
        <family val="2"/>
      </rPr>
      <t>4</t>
    </r>
  </si>
  <si>
    <r>
      <t>REFINED FeMn</t>
    </r>
    <r>
      <rPr>
        <b/>
        <vertAlign val="superscript"/>
        <sz val="10"/>
        <rFont val="Arial"/>
        <family val="2"/>
      </rPr>
      <t>3</t>
    </r>
  </si>
  <si>
    <r>
      <t>2</t>
    </r>
    <r>
      <rPr>
        <i/>
        <sz val="10"/>
        <rFont val="Arial"/>
        <family val="2"/>
      </rPr>
      <t xml:space="preserve"> :  High Carbon Ferromanganese (&gt;2%C)                         </t>
    </r>
    <r>
      <rPr>
        <i/>
        <vertAlign val="superscript"/>
        <sz val="10"/>
        <rFont val="Arial"/>
        <family val="2"/>
      </rPr>
      <t xml:space="preserve"> 3 </t>
    </r>
    <r>
      <rPr>
        <i/>
        <sz val="10"/>
        <rFont val="Arial"/>
        <family val="2"/>
      </rPr>
      <t xml:space="preserve"> :  Low and Medium Carbon Ferromanganese (£ 2%C)                             </t>
    </r>
    <r>
      <rPr>
        <i/>
        <vertAlign val="superscript"/>
        <sz val="10"/>
        <rFont val="Arial"/>
        <family val="2"/>
      </rPr>
      <t>4</t>
    </r>
    <r>
      <rPr>
        <i/>
        <sz val="10"/>
        <rFont val="Arial"/>
        <family val="2"/>
      </rPr>
      <t xml:space="preserve">  :  Ferro-silicomanganese all grades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</si>
</sst>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vertAlign val="superscript"/>
      <sz val="12"/>
      <name val="Arial"/>
      <family val="2"/>
    </font>
    <font>
      <i/>
      <vertAlign val="superscript"/>
      <sz val="10"/>
      <name val="Arial"/>
      <family val="2"/>
    </font>
    <font>
      <b/>
      <sz val="11"/>
      <color indexed="10"/>
      <name val="Arial"/>
      <family val="2"/>
    </font>
    <font>
      <b/>
      <sz val="11"/>
      <color indexed="19"/>
      <name val="Arial"/>
      <family val="2"/>
    </font>
    <font>
      <b/>
      <vertAlign val="superscript"/>
      <sz val="10"/>
      <name val="Arial"/>
      <family val="2"/>
    </font>
    <font>
      <b/>
      <sz val="18"/>
      <name val="Arial"/>
      <family val="2"/>
    </font>
    <font>
      <b/>
      <vertAlign val="superscript"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  <fill>
      <patternFill patternType="solid">
        <fgColor indexed="2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10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10"/>
      </top>
      <bottom style="double">
        <color indexed="64"/>
      </bottom>
      <diagonal/>
    </border>
    <border>
      <left style="thin">
        <color indexed="64"/>
      </left>
      <right/>
      <top style="medium">
        <color indexed="10"/>
      </top>
      <bottom style="double">
        <color indexed="64"/>
      </bottom>
      <diagonal/>
    </border>
    <border>
      <left style="thick">
        <color indexed="64"/>
      </left>
      <right/>
      <top style="medium">
        <color indexed="10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10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1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10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1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10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1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0" fontId="0" fillId="0" borderId="0" xfId="0" applyProtection="1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/>
    <xf numFmtId="0" fontId="5" fillId="0" borderId="4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3" fontId="0" fillId="0" borderId="11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3" borderId="13" xfId="0" applyNumberFormat="1" applyFill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3" borderId="17" xfId="0" applyNumberFormat="1" applyFill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3" fontId="0" fillId="0" borderId="20" xfId="0" applyNumberFormat="1" applyBorder="1" applyAlignment="1">
      <alignment horizontal="center"/>
    </xf>
    <xf numFmtId="3" fontId="0" fillId="3" borderId="21" xfId="0" applyNumberFormat="1" applyFill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22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3" fontId="5" fillId="0" borderId="4" xfId="0" applyNumberFormat="1" applyFont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3" fontId="5" fillId="0" borderId="6" xfId="0" applyNumberFormat="1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3" fontId="5" fillId="0" borderId="4" xfId="0" applyNumberFormat="1" applyFont="1" applyFill="1" applyBorder="1" applyAlignment="1">
      <alignment horizontal="center"/>
    </xf>
    <xf numFmtId="3" fontId="5" fillId="0" borderId="5" xfId="0" applyNumberFormat="1" applyFont="1" applyFill="1" applyBorder="1" applyAlignment="1">
      <alignment horizontal="center"/>
    </xf>
    <xf numFmtId="3" fontId="5" fillId="0" borderId="6" xfId="0" applyNumberFormat="1" applyFont="1" applyFill="1" applyBorder="1" applyAlignment="1">
      <alignment horizontal="center"/>
    </xf>
    <xf numFmtId="3" fontId="1" fillId="0" borderId="9" xfId="0" applyNumberFormat="1" applyFont="1" applyFill="1" applyBorder="1" applyAlignment="1">
      <alignment horizontal="center"/>
    </xf>
    <xf numFmtId="0" fontId="0" fillId="0" borderId="0" xfId="0" applyAlignment="1" applyProtection="1">
      <alignment horizontal="center"/>
    </xf>
    <xf numFmtId="0" fontId="0" fillId="0" borderId="0" xfId="0" applyAlignment="1">
      <alignment horizontal="center"/>
    </xf>
    <xf numFmtId="3" fontId="0" fillId="0" borderId="23" xfId="0" applyNumberFormat="1" applyBorder="1" applyAlignment="1">
      <alignment horizontal="center"/>
    </xf>
    <xf numFmtId="3" fontId="0" fillId="3" borderId="24" xfId="0" applyNumberFormat="1" applyFill="1" applyBorder="1" applyAlignment="1">
      <alignment horizontal="center"/>
    </xf>
    <xf numFmtId="3" fontId="0" fillId="0" borderId="25" xfId="0" applyNumberFormat="1" applyBorder="1" applyAlignment="1">
      <alignment horizontal="center"/>
    </xf>
    <xf numFmtId="3" fontId="0" fillId="0" borderId="0" xfId="0" applyNumberFormat="1" applyProtection="1"/>
    <xf numFmtId="3" fontId="0" fillId="0" borderId="0" xfId="0" applyNumberFormat="1"/>
    <xf numFmtId="3" fontId="0" fillId="0" borderId="1" xfId="0" applyNumberFormat="1" applyBorder="1"/>
    <xf numFmtId="3" fontId="1" fillId="0" borderId="2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 wrapText="1"/>
    </xf>
    <xf numFmtId="3" fontId="1" fillId="2" borderId="8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/>
    </xf>
    <xf numFmtId="3" fontId="1" fillId="0" borderId="0" xfId="0" applyNumberFormat="1" applyFont="1"/>
    <xf numFmtId="3" fontId="2" fillId="0" borderId="11" xfId="0" applyNumberFormat="1" applyFont="1" applyBorder="1" applyAlignment="1">
      <alignment horizontal="center"/>
    </xf>
    <xf numFmtId="3" fontId="1" fillId="0" borderId="26" xfId="0" applyNumberFormat="1" applyFont="1" applyBorder="1" applyAlignment="1">
      <alignment horizontal="center"/>
    </xf>
    <xf numFmtId="3" fontId="1" fillId="0" borderId="27" xfId="0" applyNumberFormat="1" applyFont="1" applyBorder="1" applyAlignment="1">
      <alignment horizontal="center"/>
    </xf>
    <xf numFmtId="3" fontId="1" fillId="3" borderId="28" xfId="0" applyNumberFormat="1" applyFont="1" applyFill="1" applyBorder="1" applyAlignment="1">
      <alignment horizontal="center"/>
    </xf>
    <xf numFmtId="3" fontId="1" fillId="0" borderId="29" xfId="0" applyNumberFormat="1" applyFont="1" applyBorder="1" applyAlignment="1">
      <alignment horizontal="center"/>
    </xf>
    <xf numFmtId="3" fontId="0" fillId="0" borderId="30" xfId="0" applyNumberFormat="1" applyBorder="1" applyAlignment="1">
      <alignment horizontal="center"/>
    </xf>
    <xf numFmtId="3" fontId="0" fillId="0" borderId="31" xfId="0" applyNumberFormat="1" applyBorder="1" applyAlignment="1">
      <alignment horizontal="center"/>
    </xf>
    <xf numFmtId="3" fontId="0" fillId="0" borderId="32" xfId="0" applyNumberFormat="1" applyBorder="1" applyAlignment="1">
      <alignment horizontal="center"/>
    </xf>
    <xf numFmtId="3" fontId="0" fillId="0" borderId="33" xfId="0" applyNumberFormat="1" applyBorder="1" applyAlignment="1">
      <alignment horizontal="center"/>
    </xf>
    <xf numFmtId="3" fontId="0" fillId="0" borderId="34" xfId="0" applyNumberFormat="1" applyBorder="1" applyAlignment="1">
      <alignment horizontal="center"/>
    </xf>
    <xf numFmtId="3" fontId="0" fillId="0" borderId="35" xfId="0" applyNumberFormat="1" applyBorder="1" applyAlignment="1">
      <alignment horizontal="center"/>
    </xf>
    <xf numFmtId="3" fontId="0" fillId="0" borderId="36" xfId="0" applyNumberFormat="1" applyBorder="1" applyAlignment="1">
      <alignment horizontal="center"/>
    </xf>
    <xf numFmtId="3" fontId="0" fillId="0" borderId="37" xfId="0" applyNumberFormat="1" applyBorder="1" applyAlignment="1">
      <alignment horizontal="center"/>
    </xf>
    <xf numFmtId="3" fontId="2" fillId="0" borderId="23" xfId="0" applyNumberFormat="1" applyFont="1" applyBorder="1" applyAlignment="1">
      <alignment horizontal="center"/>
    </xf>
    <xf numFmtId="3" fontId="2" fillId="0" borderId="25" xfId="0" applyNumberFormat="1" applyFont="1" applyBorder="1" applyAlignment="1">
      <alignment horizontal="center"/>
    </xf>
    <xf numFmtId="3" fontId="2" fillId="0" borderId="38" xfId="0" applyNumberFormat="1" applyFont="1" applyBorder="1" applyAlignment="1">
      <alignment horizontal="center"/>
    </xf>
    <xf numFmtId="3" fontId="2" fillId="0" borderId="23" xfId="0" applyNumberFormat="1" applyFont="1" applyFill="1" applyBorder="1" applyAlignment="1">
      <alignment horizontal="center"/>
    </xf>
    <xf numFmtId="3" fontId="2" fillId="0" borderId="25" xfId="0" applyNumberFormat="1" applyFont="1" applyFill="1" applyBorder="1" applyAlignment="1">
      <alignment horizontal="center"/>
    </xf>
    <xf numFmtId="3" fontId="2" fillId="0" borderId="38" xfId="0" applyNumberFormat="1" applyFont="1" applyFill="1" applyBorder="1" applyAlignment="1">
      <alignment horizontal="center"/>
    </xf>
    <xf numFmtId="3" fontId="1" fillId="0" borderId="39" xfId="0" applyNumberFormat="1" applyFont="1" applyBorder="1" applyAlignment="1">
      <alignment horizontal="center"/>
    </xf>
    <xf numFmtId="3" fontId="1" fillId="0" borderId="39" xfId="0" applyNumberFormat="1" applyFont="1" applyFill="1" applyBorder="1" applyAlignment="1">
      <alignment horizontal="center"/>
    </xf>
    <xf numFmtId="3" fontId="2" fillId="0" borderId="40" xfId="0" applyNumberFormat="1" applyFont="1" applyFill="1" applyBorder="1" applyAlignment="1">
      <alignment horizontal="center"/>
    </xf>
    <xf numFmtId="3" fontId="2" fillId="0" borderId="5" xfId="0" applyNumberFormat="1" applyFont="1" applyFill="1" applyBorder="1" applyAlignment="1">
      <alignment horizontal="center"/>
    </xf>
    <xf numFmtId="3" fontId="2" fillId="0" borderId="30" xfId="0" applyNumberFormat="1" applyFont="1" applyFill="1" applyBorder="1" applyAlignment="1">
      <alignment horizontal="center"/>
    </xf>
    <xf numFmtId="3" fontId="2" fillId="0" borderId="11" xfId="0" applyNumberFormat="1" applyFont="1" applyFill="1" applyBorder="1" applyAlignment="1">
      <alignment horizontal="center"/>
    </xf>
    <xf numFmtId="3" fontId="2" fillId="0" borderId="15" xfId="0" applyNumberFormat="1" applyFont="1" applyFill="1" applyBorder="1" applyAlignment="1">
      <alignment horizontal="center"/>
    </xf>
    <xf numFmtId="3" fontId="2" fillId="0" borderId="31" xfId="0" applyNumberFormat="1" applyFont="1" applyFill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3" fontId="2" fillId="0" borderId="18" xfId="0" applyNumberFormat="1" applyFont="1" applyFill="1" applyBorder="1" applyAlignment="1">
      <alignment horizontal="center"/>
    </xf>
    <xf numFmtId="3" fontId="2" fillId="0" borderId="41" xfId="0" applyNumberFormat="1" applyFont="1" applyFill="1" applyBorder="1" applyAlignment="1">
      <alignment horizontal="center"/>
    </xf>
    <xf numFmtId="3" fontId="0" fillId="0" borderId="41" xfId="0" applyNumberFormat="1" applyBorder="1" applyAlignment="1">
      <alignment horizontal="center"/>
    </xf>
    <xf numFmtId="3" fontId="0" fillId="3" borderId="42" xfId="0" applyNumberFormat="1" applyFill="1" applyBorder="1" applyAlignment="1">
      <alignment horizontal="center"/>
    </xf>
    <xf numFmtId="3" fontId="0" fillId="3" borderId="43" xfId="0" applyNumberFormat="1" applyFill="1" applyBorder="1" applyAlignment="1">
      <alignment horizontal="center"/>
    </xf>
    <xf numFmtId="3" fontId="0" fillId="0" borderId="40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1" fillId="0" borderId="0" xfId="0" applyFont="1" applyAlignment="1" applyProtection="1">
      <alignment horizontal="center" vertical="center" wrapText="1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" fillId="0" borderId="0" xfId="0" applyFont="1" applyAlignment="1" applyProtection="1">
      <alignment horizontal="center" vertical="center" wrapText="1"/>
    </xf>
    <xf numFmtId="0" fontId="3" fillId="0" borderId="44" xfId="0" applyFont="1" applyBorder="1" applyAlignment="1" applyProtection="1">
      <alignment horizontal="center" vertical="center" wrapText="1"/>
    </xf>
    <xf numFmtId="0" fontId="3" fillId="0" borderId="45" xfId="0" applyFont="1" applyBorder="1" applyAlignment="1" applyProtection="1">
      <alignment horizontal="center" vertical="center" wrapText="1"/>
    </xf>
    <xf numFmtId="0" fontId="3" fillId="0" borderId="46" xfId="0" applyFont="1" applyBorder="1" applyAlignment="1" applyProtection="1">
      <alignment horizontal="center" vertical="center" wrapText="1"/>
    </xf>
    <xf numFmtId="0" fontId="3" fillId="0" borderId="47" xfId="0" applyFont="1" applyBorder="1" applyAlignment="1" applyProtection="1">
      <alignment horizontal="center" vertical="center" wrapText="1"/>
    </xf>
    <xf numFmtId="0" fontId="3" fillId="0" borderId="48" xfId="0" applyFont="1" applyBorder="1" applyAlignment="1" applyProtection="1">
      <alignment horizontal="center" vertical="center" wrapText="1"/>
    </xf>
    <xf numFmtId="0" fontId="3" fillId="0" borderId="49" xfId="0" applyFont="1" applyBorder="1" applyAlignment="1" applyProtection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1" fillId="0" borderId="44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1" fillId="0" borderId="47" xfId="0" applyFont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3" fontId="1" fillId="0" borderId="50" xfId="0" applyNumberFormat="1" applyFont="1" applyBorder="1" applyAlignment="1">
      <alignment horizontal="left" vertical="center"/>
    </xf>
    <xf numFmtId="3" fontId="1" fillId="0" borderId="51" xfId="0" applyNumberFormat="1" applyFont="1" applyBorder="1" applyAlignment="1">
      <alignment horizontal="left" vertical="center"/>
    </xf>
    <xf numFmtId="3" fontId="1" fillId="0" borderId="52" xfId="0" applyNumberFormat="1" applyFont="1" applyBorder="1" applyAlignment="1">
      <alignment horizontal="left" vertical="center"/>
    </xf>
    <xf numFmtId="3" fontId="1" fillId="0" borderId="53" xfId="0" applyNumberFormat="1" applyFont="1" applyBorder="1" applyAlignment="1">
      <alignment horizontal="left" vertical="center"/>
    </xf>
    <xf numFmtId="3" fontId="1" fillId="0" borderId="0" xfId="0" applyNumberFormat="1" applyFont="1" applyBorder="1" applyAlignment="1">
      <alignment horizontal="left" vertical="center"/>
    </xf>
    <xf numFmtId="3" fontId="1" fillId="0" borderId="54" xfId="0" applyNumberFormat="1" applyFont="1" applyBorder="1" applyAlignment="1">
      <alignment horizontal="left" vertical="center"/>
    </xf>
    <xf numFmtId="3" fontId="1" fillId="0" borderId="0" xfId="0" applyNumberFormat="1" applyFont="1" applyAlignment="1"/>
    <xf numFmtId="3" fontId="2" fillId="0" borderId="0" xfId="0" applyNumberFormat="1" applyFont="1" applyAlignment="1"/>
    <xf numFmtId="3" fontId="1" fillId="0" borderId="0" xfId="0" applyNumberFormat="1" applyFont="1" applyAlignment="1">
      <alignment horizontal="left"/>
    </xf>
    <xf numFmtId="3" fontId="11" fillId="0" borderId="0" xfId="0" applyNumberFormat="1" applyFont="1" applyAlignment="1" applyProtection="1">
      <alignment horizontal="center" vertical="center" wrapText="1"/>
    </xf>
    <xf numFmtId="3" fontId="1" fillId="0" borderId="44" xfId="0" applyNumberFormat="1" applyFont="1" applyBorder="1" applyAlignment="1">
      <alignment horizontal="left" vertical="center"/>
    </xf>
    <xf numFmtId="3" fontId="1" fillId="0" borderId="45" xfId="0" applyNumberFormat="1" applyFont="1" applyBorder="1" applyAlignment="1">
      <alignment horizontal="left" vertical="center"/>
    </xf>
    <xf numFmtId="3" fontId="1" fillId="0" borderId="46" xfId="0" applyNumberFormat="1" applyFont="1" applyBorder="1" applyAlignment="1">
      <alignment horizontal="left" vertical="center"/>
    </xf>
    <xf numFmtId="3" fontId="1" fillId="0" borderId="47" xfId="0" applyNumberFormat="1" applyFont="1" applyBorder="1" applyAlignment="1">
      <alignment horizontal="left" vertical="center"/>
    </xf>
    <xf numFmtId="3" fontId="1" fillId="0" borderId="48" xfId="0" applyNumberFormat="1" applyFont="1" applyBorder="1" applyAlignment="1">
      <alignment horizontal="left" vertical="center"/>
    </xf>
    <xf numFmtId="3" fontId="1" fillId="0" borderId="49" xfId="0" applyNumberFormat="1" applyFont="1" applyBorder="1" applyAlignment="1">
      <alignment horizontal="left" vertical="center"/>
    </xf>
    <xf numFmtId="3" fontId="9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left"/>
    </xf>
    <xf numFmtId="3" fontId="2" fillId="0" borderId="0" xfId="0" applyNumberFormat="1" applyFont="1" applyAlignment="1" applyProtection="1">
      <alignment horizontal="center" vertical="center" wrapText="1"/>
    </xf>
    <xf numFmtId="3" fontId="3" fillId="0" borderId="44" xfId="0" applyNumberFormat="1" applyFont="1" applyBorder="1" applyAlignment="1" applyProtection="1">
      <alignment horizontal="center" vertical="center" wrapText="1"/>
    </xf>
    <xf numFmtId="3" fontId="3" fillId="0" borderId="45" xfId="0" applyNumberFormat="1" applyFont="1" applyBorder="1" applyAlignment="1" applyProtection="1">
      <alignment horizontal="center" vertical="center" wrapText="1"/>
    </xf>
    <xf numFmtId="3" fontId="3" fillId="0" borderId="46" xfId="0" applyNumberFormat="1" applyFont="1" applyBorder="1" applyAlignment="1" applyProtection="1">
      <alignment horizontal="center" vertical="center" wrapText="1"/>
    </xf>
    <xf numFmtId="3" fontId="3" fillId="0" borderId="47" xfId="0" applyNumberFormat="1" applyFont="1" applyBorder="1" applyAlignment="1" applyProtection="1">
      <alignment horizontal="center" vertical="center" wrapText="1"/>
    </xf>
    <xf numFmtId="3" fontId="3" fillId="0" borderId="48" xfId="0" applyNumberFormat="1" applyFont="1" applyBorder="1" applyAlignment="1" applyProtection="1">
      <alignment horizontal="center" vertical="center" wrapText="1"/>
    </xf>
    <xf numFmtId="3" fontId="3" fillId="0" borderId="49" xfId="0" applyNumberFormat="1" applyFont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50" xfId="0" applyFont="1" applyBorder="1" applyAlignment="1">
      <alignment horizontal="left" vertical="center"/>
    </xf>
    <xf numFmtId="0" fontId="1" fillId="0" borderId="51" xfId="0" applyFont="1" applyBorder="1" applyAlignment="1">
      <alignment horizontal="left" vertical="center"/>
    </xf>
    <xf numFmtId="0" fontId="1" fillId="0" borderId="52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5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J39"/>
  <sheetViews>
    <sheetView tabSelected="1" zoomScale="80" zoomScaleNormal="100" workbookViewId="0">
      <pane ySplit="7" topLeftCell="A11" activePane="bottomLeft" state="frozen"/>
      <selection pane="bottomLeft" activeCell="K34" sqref="K34"/>
    </sheetView>
  </sheetViews>
  <sheetFormatPr defaultRowHeight="12.5" x14ac:dyDescent="0.25"/>
  <cols>
    <col min="1" max="1" width="14.453125" customWidth="1"/>
    <col min="2" max="2" width="15.453125" style="46" customWidth="1"/>
    <col min="3" max="3" width="14.54296875" style="46" customWidth="1"/>
    <col min="4" max="8" width="13.7265625" style="46" customWidth="1"/>
    <col min="9" max="256" width="10.90625" customWidth="1"/>
  </cols>
  <sheetData>
    <row r="1" spans="1:8" ht="13" thickBot="1" x14ac:dyDescent="0.3">
      <c r="A1" s="97" t="s">
        <v>0</v>
      </c>
      <c r="B1" s="97"/>
      <c r="C1" s="97"/>
      <c r="D1" s="45"/>
      <c r="E1" s="45"/>
      <c r="F1" s="45"/>
    </row>
    <row r="2" spans="1:8" ht="24" customHeight="1" x14ac:dyDescent="0.25">
      <c r="A2" s="98" t="s">
        <v>11</v>
      </c>
      <c r="B2" s="99"/>
      <c r="C2" s="100"/>
      <c r="D2" s="45"/>
      <c r="E2" s="94" t="s">
        <v>23</v>
      </c>
      <c r="F2" s="94"/>
      <c r="G2" s="94"/>
      <c r="H2" s="94"/>
    </row>
    <row r="3" spans="1:8" ht="27" customHeight="1" thickBot="1" x14ac:dyDescent="0.3">
      <c r="A3" s="101"/>
      <c r="B3" s="102"/>
      <c r="C3" s="103"/>
      <c r="D3" s="45"/>
      <c r="E3" s="94"/>
      <c r="F3" s="94"/>
      <c r="G3" s="94"/>
      <c r="H3" s="94"/>
    </row>
    <row r="4" spans="1:8" ht="14" x14ac:dyDescent="0.3">
      <c r="A4" s="95"/>
      <c r="B4" s="95"/>
    </row>
    <row r="5" spans="1:8" ht="14" x14ac:dyDescent="0.3">
      <c r="A5" s="96"/>
      <c r="B5" s="96"/>
    </row>
    <row r="6" spans="1:8" ht="13" thickBot="1" x14ac:dyDescent="0.3"/>
    <row r="7" spans="1:8" ht="32.25" customHeight="1" thickBot="1" x14ac:dyDescent="0.3">
      <c r="A7" s="3"/>
      <c r="B7" s="4" t="s">
        <v>18</v>
      </c>
      <c r="C7" s="4" t="s">
        <v>2</v>
      </c>
      <c r="D7" s="4" t="s">
        <v>1</v>
      </c>
      <c r="E7" s="15" t="s">
        <v>19</v>
      </c>
      <c r="F7" s="16" t="s">
        <v>10</v>
      </c>
      <c r="G7" s="17" t="s">
        <v>3</v>
      </c>
      <c r="H7" s="6" t="s">
        <v>4</v>
      </c>
    </row>
    <row r="8" spans="1:8" x14ac:dyDescent="0.25">
      <c r="A8" s="108" t="s">
        <v>5</v>
      </c>
      <c r="B8" s="109"/>
      <c r="C8" s="109"/>
      <c r="D8" s="109"/>
      <c r="E8" s="109"/>
      <c r="F8" s="109"/>
      <c r="G8" s="109"/>
      <c r="H8" s="110"/>
    </row>
    <row r="9" spans="1:8" ht="13" thickBot="1" x14ac:dyDescent="0.3">
      <c r="A9" s="111"/>
      <c r="B9" s="112"/>
      <c r="C9" s="112"/>
      <c r="D9" s="112"/>
      <c r="E9" s="112"/>
      <c r="F9" s="112"/>
      <c r="G9" s="112"/>
      <c r="H9" s="113"/>
    </row>
    <row r="10" spans="1:8" ht="13" x14ac:dyDescent="0.3">
      <c r="A10" s="37" t="s">
        <v>14</v>
      </c>
      <c r="B10" s="21">
        <v>6350</v>
      </c>
      <c r="C10" s="21">
        <v>230273</v>
      </c>
      <c r="D10" s="21">
        <v>74520</v>
      </c>
      <c r="E10" s="22">
        <v>1200699</v>
      </c>
      <c r="F10" s="23">
        <f>SUM(B10:E10)</f>
        <v>1511842</v>
      </c>
      <c r="G10" s="24">
        <f>F10-H10</f>
        <v>462425</v>
      </c>
      <c r="H10" s="25">
        <v>1049417</v>
      </c>
    </row>
    <row r="11" spans="1:8" ht="13" x14ac:dyDescent="0.3">
      <c r="A11" s="38" t="s">
        <v>15</v>
      </c>
      <c r="B11" s="26">
        <v>6350</v>
      </c>
      <c r="C11" s="26">
        <v>297098</v>
      </c>
      <c r="D11" s="26">
        <v>101540</v>
      </c>
      <c r="E11" s="27">
        <v>1221710</v>
      </c>
      <c r="F11" s="28">
        <f>SUM(B11:E11)</f>
        <v>1626698</v>
      </c>
      <c r="G11" s="29">
        <f>F11-H11</f>
        <v>636584</v>
      </c>
      <c r="H11" s="30">
        <v>990114</v>
      </c>
    </row>
    <row r="12" spans="1:8" ht="13" x14ac:dyDescent="0.3">
      <c r="A12" s="38" t="s">
        <v>16</v>
      </c>
      <c r="B12" s="26">
        <v>6350</v>
      </c>
      <c r="C12" s="26">
        <v>272876</v>
      </c>
      <c r="D12" s="26">
        <v>102355</v>
      </c>
      <c r="E12" s="27">
        <v>1221710</v>
      </c>
      <c r="F12" s="28">
        <f>SUM(B12:E12)</f>
        <v>1603291</v>
      </c>
      <c r="G12" s="29">
        <f>F12-H12</f>
        <v>626347</v>
      </c>
      <c r="H12" s="30">
        <v>976944</v>
      </c>
    </row>
    <row r="13" spans="1:8" ht="13.5" thickBot="1" x14ac:dyDescent="0.35">
      <c r="A13" s="39" t="s">
        <v>17</v>
      </c>
      <c r="B13" s="31">
        <v>6350</v>
      </c>
      <c r="C13" s="31">
        <v>268802</v>
      </c>
      <c r="D13" s="31">
        <v>97444</v>
      </c>
      <c r="E13" s="32">
        <v>1174261</v>
      </c>
      <c r="F13" s="33">
        <f>SUM(B13:E13)</f>
        <v>1546857</v>
      </c>
      <c r="G13" s="64">
        <f>F13-H13</f>
        <v>617743</v>
      </c>
      <c r="H13" s="35">
        <v>929114</v>
      </c>
    </row>
    <row r="14" spans="1:8" ht="13.5" thickBot="1" x14ac:dyDescent="0.35">
      <c r="A14" s="40" t="s">
        <v>6</v>
      </c>
      <c r="B14" s="60">
        <f t="shared" ref="B14:H14" si="0">SUM(B10:B13)</f>
        <v>25400</v>
      </c>
      <c r="C14" s="60">
        <f t="shared" si="0"/>
        <v>1069049</v>
      </c>
      <c r="D14" s="60">
        <f t="shared" si="0"/>
        <v>375859</v>
      </c>
      <c r="E14" s="61">
        <f t="shared" si="0"/>
        <v>4818380</v>
      </c>
      <c r="F14" s="62">
        <v>6288687</v>
      </c>
      <c r="G14" s="40">
        <f t="shared" si="0"/>
        <v>2343099</v>
      </c>
      <c r="H14" s="63">
        <f t="shared" si="0"/>
        <v>3945589</v>
      </c>
    </row>
    <row r="15" spans="1:8" s="7" customFormat="1" ht="13" thickTop="1" x14ac:dyDescent="0.25">
      <c r="A15" s="114" t="s">
        <v>7</v>
      </c>
      <c r="B15" s="115"/>
      <c r="C15" s="115"/>
      <c r="D15" s="115"/>
      <c r="E15" s="115"/>
      <c r="F15" s="115"/>
      <c r="G15" s="115"/>
      <c r="H15" s="116"/>
    </row>
    <row r="16" spans="1:8" s="7" customFormat="1" ht="13" thickBot="1" x14ac:dyDescent="0.3">
      <c r="A16" s="117"/>
      <c r="B16" s="118"/>
      <c r="C16" s="118"/>
      <c r="D16" s="118"/>
      <c r="E16" s="118"/>
      <c r="F16" s="118"/>
      <c r="G16" s="118"/>
      <c r="H16" s="119"/>
    </row>
    <row r="17" spans="1:8" ht="13" x14ac:dyDescent="0.3">
      <c r="A17" s="37" t="s">
        <v>14</v>
      </c>
      <c r="B17" s="21">
        <v>814400</v>
      </c>
      <c r="C17" s="21">
        <v>230223</v>
      </c>
      <c r="D17" s="21">
        <v>207180</v>
      </c>
      <c r="E17" s="22">
        <v>342529</v>
      </c>
      <c r="F17" s="23">
        <f>SUM(B17:E17)</f>
        <v>1594332</v>
      </c>
      <c r="G17" s="24">
        <f>F17-H17</f>
        <v>524189</v>
      </c>
      <c r="H17" s="25">
        <v>1070143</v>
      </c>
    </row>
    <row r="18" spans="1:8" ht="13" x14ac:dyDescent="0.3">
      <c r="A18" s="38" t="s">
        <v>15</v>
      </c>
      <c r="B18" s="26">
        <v>862300</v>
      </c>
      <c r="C18" s="26">
        <v>268756</v>
      </c>
      <c r="D18" s="26">
        <v>258306</v>
      </c>
      <c r="E18" s="27">
        <v>275735</v>
      </c>
      <c r="F18" s="28">
        <f>SUM(B18:E18)</f>
        <v>1665097</v>
      </c>
      <c r="G18" s="29">
        <f>F18-H18</f>
        <v>729628</v>
      </c>
      <c r="H18" s="30">
        <v>935469</v>
      </c>
    </row>
    <row r="19" spans="1:8" ht="13" x14ac:dyDescent="0.3">
      <c r="A19" s="38" t="s">
        <v>16</v>
      </c>
      <c r="B19" s="26">
        <v>898910</v>
      </c>
      <c r="C19" s="26">
        <v>376331</v>
      </c>
      <c r="D19" s="26">
        <v>132429</v>
      </c>
      <c r="E19" s="27">
        <v>241573</v>
      </c>
      <c r="F19" s="28">
        <f>SUM(B19:E19)</f>
        <v>1649243</v>
      </c>
      <c r="G19" s="29">
        <f>F19-H19</f>
        <v>591221</v>
      </c>
      <c r="H19" s="30">
        <v>1058022</v>
      </c>
    </row>
    <row r="20" spans="1:8" ht="13.5" thickBot="1" x14ac:dyDescent="0.35">
      <c r="A20" s="39" t="s">
        <v>17</v>
      </c>
      <c r="B20" s="31">
        <v>827340</v>
      </c>
      <c r="C20" s="31">
        <v>327958</v>
      </c>
      <c r="D20" s="31">
        <v>175202</v>
      </c>
      <c r="E20" s="32">
        <v>261620</v>
      </c>
      <c r="F20" s="33">
        <f>SUM(B20:E20)</f>
        <v>1592120</v>
      </c>
      <c r="G20" s="64">
        <f>F20-H20</f>
        <v>561230</v>
      </c>
      <c r="H20" s="35">
        <v>1030890</v>
      </c>
    </row>
    <row r="21" spans="1:8" ht="13.5" thickBot="1" x14ac:dyDescent="0.35">
      <c r="A21" s="40" t="s">
        <v>6</v>
      </c>
      <c r="B21" s="60">
        <f>SUM(B17:B20)</f>
        <v>3402950</v>
      </c>
      <c r="C21" s="60">
        <f>SUM(C17:C20)</f>
        <v>1203268</v>
      </c>
      <c r="D21" s="60">
        <f>SUM(D17:D20)</f>
        <v>773117</v>
      </c>
      <c r="E21" s="61">
        <f>SUM(E17:E20)</f>
        <v>1121457</v>
      </c>
      <c r="F21" s="62">
        <f>SUM(B21:E21)</f>
        <v>6500792</v>
      </c>
      <c r="G21" s="40">
        <f>SUM(G17:G20)</f>
        <v>2406268</v>
      </c>
      <c r="H21" s="63">
        <f>SUM(H17:H20)</f>
        <v>4094524</v>
      </c>
    </row>
    <row r="22" spans="1:8" ht="13" thickTop="1" x14ac:dyDescent="0.25">
      <c r="A22" s="114" t="s">
        <v>8</v>
      </c>
      <c r="B22" s="115"/>
      <c r="C22" s="115"/>
      <c r="D22" s="115"/>
      <c r="E22" s="115"/>
      <c r="F22" s="115"/>
      <c r="G22" s="115"/>
      <c r="H22" s="116"/>
    </row>
    <row r="23" spans="1:8" ht="13" thickBot="1" x14ac:dyDescent="0.3">
      <c r="A23" s="117"/>
      <c r="B23" s="118"/>
      <c r="C23" s="118"/>
      <c r="D23" s="118"/>
      <c r="E23" s="118"/>
      <c r="F23" s="118"/>
      <c r="G23" s="118"/>
      <c r="H23" s="119"/>
    </row>
    <row r="24" spans="1:8" ht="13" x14ac:dyDescent="0.3">
      <c r="A24" s="41" t="s">
        <v>14</v>
      </c>
      <c r="B24" s="21">
        <v>3400</v>
      </c>
      <c r="C24" s="21">
        <v>1097114</v>
      </c>
      <c r="D24" s="21">
        <v>292504</v>
      </c>
      <c r="E24" s="22">
        <v>568375</v>
      </c>
      <c r="F24" s="23">
        <f>SUM(B24:E24)</f>
        <v>1961393</v>
      </c>
      <c r="G24" s="24">
        <f>F24-H24</f>
        <v>1848406</v>
      </c>
      <c r="H24" s="25">
        <v>112987</v>
      </c>
    </row>
    <row r="25" spans="1:8" ht="13" x14ac:dyDescent="0.3">
      <c r="A25" s="42" t="s">
        <v>15</v>
      </c>
      <c r="B25" s="26">
        <v>2900</v>
      </c>
      <c r="C25" s="26">
        <v>1048687</v>
      </c>
      <c r="D25" s="26">
        <v>281761</v>
      </c>
      <c r="E25" s="27">
        <v>499313</v>
      </c>
      <c r="F25" s="28">
        <f>SUM(B25:E25)</f>
        <v>1832661</v>
      </c>
      <c r="G25" s="29">
        <f>F25-H25</f>
        <v>1746140</v>
      </c>
      <c r="H25" s="30">
        <v>86521</v>
      </c>
    </row>
    <row r="26" spans="1:8" ht="13" x14ac:dyDescent="0.3">
      <c r="A26" s="42" t="s">
        <v>16</v>
      </c>
      <c r="B26" s="26">
        <v>34790</v>
      </c>
      <c r="C26" s="26">
        <v>1018568</v>
      </c>
      <c r="D26" s="26">
        <v>436697</v>
      </c>
      <c r="E26" s="27">
        <v>749989</v>
      </c>
      <c r="F26" s="28">
        <f>SUM(B26:E26)</f>
        <v>2240044</v>
      </c>
      <c r="G26" s="29">
        <f>F26-H26</f>
        <v>2138142</v>
      </c>
      <c r="H26" s="30">
        <v>101902</v>
      </c>
    </row>
    <row r="27" spans="1:8" ht="13.5" thickBot="1" x14ac:dyDescent="0.35">
      <c r="A27" s="43" t="s">
        <v>17</v>
      </c>
      <c r="B27" s="31">
        <v>14160</v>
      </c>
      <c r="C27" s="31">
        <v>973339</v>
      </c>
      <c r="D27" s="31">
        <v>412783</v>
      </c>
      <c r="E27" s="32">
        <v>731221</v>
      </c>
      <c r="F27" s="33">
        <f>SUM(B27:E27)</f>
        <v>2131503</v>
      </c>
      <c r="G27" s="64">
        <f>F27-H27</f>
        <v>2026146</v>
      </c>
      <c r="H27" s="35">
        <v>105357</v>
      </c>
    </row>
    <row r="28" spans="1:8" ht="13.5" thickBot="1" x14ac:dyDescent="0.35">
      <c r="A28" s="44" t="s">
        <v>6</v>
      </c>
      <c r="B28" s="60">
        <f>SUM(B24:B27)</f>
        <v>55250</v>
      </c>
      <c r="C28" s="60">
        <f>SUM(C24:C27)</f>
        <v>4137708</v>
      </c>
      <c r="D28" s="60">
        <f>SUM(D24:D27)</f>
        <v>1423745</v>
      </c>
      <c r="E28" s="61">
        <f>SUM(E24:E27)</f>
        <v>2548898</v>
      </c>
      <c r="F28" s="62">
        <f>SUM(B28:E28)</f>
        <v>8165601</v>
      </c>
      <c r="G28" s="40">
        <f>SUM(G24:G27)</f>
        <v>7758834</v>
      </c>
      <c r="H28" s="63">
        <f>SUM(H24:H27)</f>
        <v>406767</v>
      </c>
    </row>
    <row r="29" spans="1:8" ht="13" thickTop="1" x14ac:dyDescent="0.25">
      <c r="A29" s="114" t="s">
        <v>9</v>
      </c>
      <c r="B29" s="115"/>
      <c r="C29" s="115"/>
      <c r="D29" s="115"/>
      <c r="E29" s="115"/>
      <c r="F29" s="115"/>
      <c r="G29" s="115"/>
      <c r="H29" s="116"/>
    </row>
    <row r="30" spans="1:8" ht="13" thickBot="1" x14ac:dyDescent="0.3">
      <c r="A30" s="117"/>
      <c r="B30" s="118"/>
      <c r="C30" s="118"/>
      <c r="D30" s="118"/>
      <c r="E30" s="118"/>
      <c r="F30" s="118"/>
      <c r="G30" s="118"/>
      <c r="H30" s="119"/>
    </row>
    <row r="31" spans="1:8" ht="13" x14ac:dyDescent="0.3">
      <c r="A31" s="41" t="s">
        <v>14</v>
      </c>
      <c r="B31" s="21">
        <f>SUM(B24,B17,B10)</f>
        <v>824150</v>
      </c>
      <c r="C31" s="21">
        <f t="shared" ref="C31:H31" si="1">SUM(C24,C17,C10)</f>
        <v>1557610</v>
      </c>
      <c r="D31" s="21">
        <f t="shared" si="1"/>
        <v>574204</v>
      </c>
      <c r="E31" s="22">
        <f t="shared" si="1"/>
        <v>2111603</v>
      </c>
      <c r="F31" s="48">
        <f t="shared" si="1"/>
        <v>5067567</v>
      </c>
      <c r="G31" s="47">
        <f t="shared" si="1"/>
        <v>2835020</v>
      </c>
      <c r="H31" s="25">
        <f t="shared" si="1"/>
        <v>2232547</v>
      </c>
    </row>
    <row r="32" spans="1:8" ht="13" x14ac:dyDescent="0.3">
      <c r="A32" s="42" t="s">
        <v>15</v>
      </c>
      <c r="B32" s="26">
        <f>SUM(B25,B18,B11)</f>
        <v>871550</v>
      </c>
      <c r="C32" s="26">
        <f t="shared" ref="C32:E34" si="2">SUM(C25,C18,C11)</f>
        <v>1614541</v>
      </c>
      <c r="D32" s="26">
        <f t="shared" si="2"/>
        <v>641607</v>
      </c>
      <c r="E32" s="26">
        <f t="shared" si="2"/>
        <v>1996758</v>
      </c>
      <c r="F32" s="90">
        <f>SUM(B32:E32)</f>
        <v>5124456</v>
      </c>
      <c r="G32" s="49">
        <f t="shared" ref="G32:H34" si="3">SUM(G25,G18,G11)</f>
        <v>3112352</v>
      </c>
      <c r="H32" s="30">
        <f t="shared" si="3"/>
        <v>2012104</v>
      </c>
    </row>
    <row r="33" spans="1:10" ht="13" x14ac:dyDescent="0.3">
      <c r="A33" s="42" t="s">
        <v>16</v>
      </c>
      <c r="B33" s="26">
        <f>SUM(B26,B19,B12)</f>
        <v>940050</v>
      </c>
      <c r="C33" s="26">
        <f t="shared" si="2"/>
        <v>1667775</v>
      </c>
      <c r="D33" s="26">
        <f t="shared" si="2"/>
        <v>671481</v>
      </c>
      <c r="E33" s="26">
        <f t="shared" si="2"/>
        <v>2213272</v>
      </c>
      <c r="F33" s="90">
        <f>SUM(B33:E33)</f>
        <v>5492578</v>
      </c>
      <c r="G33" s="49">
        <f t="shared" si="3"/>
        <v>3355710</v>
      </c>
      <c r="H33" s="30">
        <f t="shared" si="3"/>
        <v>2136868</v>
      </c>
    </row>
    <row r="34" spans="1:10" ht="13.5" thickBot="1" x14ac:dyDescent="0.35">
      <c r="A34" s="43" t="s">
        <v>17</v>
      </c>
      <c r="B34" s="65">
        <f>SUM(B27,B20,B13)</f>
        <v>847850</v>
      </c>
      <c r="C34" s="26">
        <f t="shared" si="2"/>
        <v>1570099</v>
      </c>
      <c r="D34" s="26">
        <f t="shared" si="2"/>
        <v>685429</v>
      </c>
      <c r="E34" s="26">
        <f t="shared" si="2"/>
        <v>2167102</v>
      </c>
      <c r="F34" s="91">
        <f>SUM(B34:E34)</f>
        <v>5270480</v>
      </c>
      <c r="G34" s="49">
        <f t="shared" si="3"/>
        <v>3205119</v>
      </c>
      <c r="H34" s="89">
        <f t="shared" si="3"/>
        <v>2065361</v>
      </c>
    </row>
    <row r="35" spans="1:10" ht="13.5" thickBot="1" x14ac:dyDescent="0.35">
      <c r="A35" s="44" t="s">
        <v>6</v>
      </c>
      <c r="B35" s="60">
        <f>SUM(B31:B34)</f>
        <v>3483600</v>
      </c>
      <c r="C35" s="60">
        <f>SUM(C31:C34)</f>
        <v>6410025</v>
      </c>
      <c r="D35" s="60">
        <f>SUM(D31:D34)</f>
        <v>2572721</v>
      </c>
      <c r="E35" s="61">
        <f>SUM(E31:E34)</f>
        <v>8488735</v>
      </c>
      <c r="F35" s="62">
        <v>20955080</v>
      </c>
      <c r="G35" s="40">
        <f>SUM(G31:G34)</f>
        <v>12508201</v>
      </c>
      <c r="H35" s="63">
        <f>SUM(H31:H34)</f>
        <v>8446880</v>
      </c>
    </row>
    <row r="36" spans="1:10" ht="13" thickTop="1" x14ac:dyDescent="0.25"/>
    <row r="37" spans="1:10" ht="15" x14ac:dyDescent="0.3">
      <c r="A37" s="107" t="s">
        <v>24</v>
      </c>
      <c r="B37" s="107"/>
      <c r="C37" s="107"/>
      <c r="D37" s="107"/>
      <c r="E37" s="107"/>
      <c r="F37" s="107"/>
      <c r="G37" s="107"/>
      <c r="H37" s="107"/>
      <c r="I37" s="11"/>
      <c r="J37" s="11"/>
    </row>
    <row r="38" spans="1:10" ht="13" x14ac:dyDescent="0.3">
      <c r="A38" s="104"/>
      <c r="B38" s="105"/>
      <c r="C38" s="105"/>
      <c r="D38" s="105"/>
      <c r="E38" s="105"/>
      <c r="F38" s="105"/>
      <c r="G38" s="105"/>
      <c r="H38" s="105"/>
    </row>
    <row r="39" spans="1:10" ht="13" x14ac:dyDescent="0.3">
      <c r="A39" s="106"/>
      <c r="B39" s="106"/>
      <c r="C39" s="36"/>
      <c r="D39" s="36"/>
      <c r="E39" s="36"/>
      <c r="F39" s="36"/>
      <c r="G39" s="36"/>
      <c r="H39" s="36"/>
    </row>
  </sheetData>
  <mergeCells count="12">
    <mergeCell ref="A39:B39"/>
    <mergeCell ref="A37:H37"/>
    <mergeCell ref="A8:H9"/>
    <mergeCell ref="A15:H16"/>
    <mergeCell ref="A22:H23"/>
    <mergeCell ref="A29:H30"/>
    <mergeCell ref="E2:H3"/>
    <mergeCell ref="A4:B4"/>
    <mergeCell ref="A5:B5"/>
    <mergeCell ref="A1:C1"/>
    <mergeCell ref="A2:C3"/>
    <mergeCell ref="A38:H38"/>
  </mergeCells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79" orientation="landscape" verticalDpi="300" r:id="rId1"/>
  <headerFooter alignWithMargins="0">
    <oddFooter>&amp;LPrinted:&amp;D&amp;RJ.Z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H38"/>
  <sheetViews>
    <sheetView zoomScale="80" zoomScaleNormal="100" workbookViewId="0">
      <pane ySplit="7" topLeftCell="A11" activePane="bottomLeft" state="frozen"/>
      <selection pane="bottomLeft" activeCell="L34" sqref="L34"/>
    </sheetView>
  </sheetViews>
  <sheetFormatPr defaultRowHeight="12.5" x14ac:dyDescent="0.25"/>
  <cols>
    <col min="1" max="8" width="13.7265625" style="51" customWidth="1"/>
    <col min="9" max="256" width="10.90625" customWidth="1"/>
  </cols>
  <sheetData>
    <row r="1" spans="1:8" ht="13" thickBot="1" x14ac:dyDescent="0.3">
      <c r="A1" s="132" t="s">
        <v>0</v>
      </c>
      <c r="B1" s="132"/>
      <c r="C1" s="132"/>
      <c r="D1" s="50"/>
      <c r="E1" s="50"/>
      <c r="F1" s="50"/>
    </row>
    <row r="2" spans="1:8" ht="24" customHeight="1" x14ac:dyDescent="0.25">
      <c r="A2" s="133" t="s">
        <v>11</v>
      </c>
      <c r="B2" s="134"/>
      <c r="C2" s="135"/>
      <c r="D2" s="50"/>
      <c r="E2" s="123" t="s">
        <v>22</v>
      </c>
      <c r="F2" s="123"/>
      <c r="G2" s="123"/>
      <c r="H2" s="123"/>
    </row>
    <row r="3" spans="1:8" ht="24" customHeight="1" thickBot="1" x14ac:dyDescent="0.3">
      <c r="A3" s="136"/>
      <c r="B3" s="137"/>
      <c r="C3" s="138"/>
      <c r="D3" s="50"/>
      <c r="E3" s="123"/>
      <c r="F3" s="123"/>
      <c r="G3" s="123"/>
      <c r="H3" s="123"/>
    </row>
    <row r="4" spans="1:8" ht="14" x14ac:dyDescent="0.3">
      <c r="A4" s="130"/>
      <c r="B4" s="130"/>
    </row>
    <row r="5" spans="1:8" ht="14" x14ac:dyDescent="0.3">
      <c r="A5" s="131"/>
      <c r="B5" s="131"/>
    </row>
    <row r="6" spans="1:8" ht="13" thickBot="1" x14ac:dyDescent="0.3"/>
    <row r="7" spans="1:8" ht="32.25" customHeight="1" thickBot="1" x14ac:dyDescent="0.3">
      <c r="A7" s="52"/>
      <c r="B7" s="53" t="s">
        <v>18</v>
      </c>
      <c r="C7" s="53" t="s">
        <v>2</v>
      </c>
      <c r="D7" s="53" t="s">
        <v>1</v>
      </c>
      <c r="E7" s="54" t="s">
        <v>19</v>
      </c>
      <c r="F7" s="55" t="s">
        <v>10</v>
      </c>
      <c r="G7" s="56" t="s">
        <v>3</v>
      </c>
      <c r="H7" s="57" t="s">
        <v>4</v>
      </c>
    </row>
    <row r="8" spans="1:8" x14ac:dyDescent="0.25">
      <c r="A8" s="124" t="s">
        <v>5</v>
      </c>
      <c r="B8" s="125"/>
      <c r="C8" s="125"/>
      <c r="D8" s="125"/>
      <c r="E8" s="125"/>
      <c r="F8" s="125"/>
      <c r="G8" s="125"/>
      <c r="H8" s="126"/>
    </row>
    <row r="9" spans="1:8" ht="13" thickBot="1" x14ac:dyDescent="0.3">
      <c r="A9" s="127"/>
      <c r="B9" s="128"/>
      <c r="C9" s="128"/>
      <c r="D9" s="128"/>
      <c r="E9" s="128"/>
      <c r="F9" s="128"/>
      <c r="G9" s="128"/>
      <c r="H9" s="129"/>
    </row>
    <row r="10" spans="1:8" ht="13" x14ac:dyDescent="0.3">
      <c r="A10" s="37" t="s">
        <v>14</v>
      </c>
      <c r="B10" s="21">
        <v>1888</v>
      </c>
      <c r="C10" s="21">
        <v>67710</v>
      </c>
      <c r="D10" s="21">
        <v>22266</v>
      </c>
      <c r="E10" s="22">
        <v>317827</v>
      </c>
      <c r="F10" s="23">
        <f>SUM(B10:E10)</f>
        <v>409691</v>
      </c>
      <c r="G10" s="24">
        <f>F10-H10</f>
        <v>140549</v>
      </c>
      <c r="H10" s="25">
        <v>269142</v>
      </c>
    </row>
    <row r="11" spans="1:8" ht="13" x14ac:dyDescent="0.3">
      <c r="A11" s="38" t="s">
        <v>15</v>
      </c>
      <c r="B11" s="26">
        <v>1888</v>
      </c>
      <c r="C11" s="26">
        <v>87990</v>
      </c>
      <c r="D11" s="26">
        <v>30251</v>
      </c>
      <c r="E11" s="27">
        <v>324131</v>
      </c>
      <c r="F11" s="28">
        <f>SUM(B11:E11)</f>
        <v>444260</v>
      </c>
      <c r="G11" s="29">
        <f>F11-H11</f>
        <v>112125</v>
      </c>
      <c r="H11" s="30">
        <v>332135</v>
      </c>
    </row>
    <row r="12" spans="1:8" ht="13" x14ac:dyDescent="0.3">
      <c r="A12" s="38" t="s">
        <v>16</v>
      </c>
      <c r="B12" s="26">
        <v>1888</v>
      </c>
      <c r="C12" s="26">
        <v>80408</v>
      </c>
      <c r="D12" s="26">
        <v>29716</v>
      </c>
      <c r="E12" s="27">
        <v>324131</v>
      </c>
      <c r="F12" s="28">
        <f>SUM(B12:E12)</f>
        <v>436143</v>
      </c>
      <c r="G12" s="29">
        <f>F12-H12</f>
        <v>177674</v>
      </c>
      <c r="H12" s="30">
        <v>258469</v>
      </c>
    </row>
    <row r="13" spans="1:8" ht="13.5" thickBot="1" x14ac:dyDescent="0.35">
      <c r="A13" s="39" t="s">
        <v>17</v>
      </c>
      <c r="B13" s="31">
        <v>1888</v>
      </c>
      <c r="C13" s="31">
        <v>79198</v>
      </c>
      <c r="D13" s="31">
        <v>28758</v>
      </c>
      <c r="E13" s="32">
        <v>309600</v>
      </c>
      <c r="F13" s="33">
        <f>SUM(B13:E13)</f>
        <v>419444</v>
      </c>
      <c r="G13" s="34">
        <f>F13-H13</f>
        <v>160690</v>
      </c>
      <c r="H13" s="35">
        <v>258754</v>
      </c>
    </row>
    <row r="14" spans="1:8" s="1" customFormat="1" ht="13.5" thickBot="1" x14ac:dyDescent="0.35">
      <c r="A14" s="40" t="s">
        <v>6</v>
      </c>
      <c r="B14" s="60">
        <f>SUM(B10:B13)</f>
        <v>7552</v>
      </c>
      <c r="C14" s="60">
        <f>SUM(C10:C13)</f>
        <v>315306</v>
      </c>
      <c r="D14" s="60">
        <f>SUM(D10:D13)</f>
        <v>110991</v>
      </c>
      <c r="E14" s="61">
        <f>SUM(E10:E13)</f>
        <v>1275689</v>
      </c>
      <c r="F14" s="62">
        <f>SUM(B14:E14)</f>
        <v>1709538</v>
      </c>
      <c r="G14" s="40">
        <f>F14-H14</f>
        <v>591038</v>
      </c>
      <c r="H14" s="63">
        <f>SUM(H10:H13)</f>
        <v>1118500</v>
      </c>
    </row>
    <row r="15" spans="1:8" s="7" customFormat="1" ht="13" thickTop="1" x14ac:dyDescent="0.25">
      <c r="A15" s="114" t="s">
        <v>7</v>
      </c>
      <c r="B15" s="115"/>
      <c r="C15" s="115"/>
      <c r="D15" s="115"/>
      <c r="E15" s="115"/>
      <c r="F15" s="115"/>
      <c r="G15" s="115"/>
      <c r="H15" s="116"/>
    </row>
    <row r="16" spans="1:8" s="7" customFormat="1" ht="13" thickBot="1" x14ac:dyDescent="0.3">
      <c r="A16" s="117"/>
      <c r="B16" s="118"/>
      <c r="C16" s="118"/>
      <c r="D16" s="118"/>
      <c r="E16" s="118"/>
      <c r="F16" s="118"/>
      <c r="G16" s="118"/>
      <c r="H16" s="119"/>
    </row>
    <row r="17" spans="1:8" ht="13" x14ac:dyDescent="0.3">
      <c r="A17" s="37" t="s">
        <v>14</v>
      </c>
      <c r="B17" s="21">
        <v>301330</v>
      </c>
      <c r="C17" s="21">
        <v>88603</v>
      </c>
      <c r="D17" s="21">
        <v>81522</v>
      </c>
      <c r="E17" s="22">
        <v>130187</v>
      </c>
      <c r="F17" s="23">
        <f>SUM(B17:E17)</f>
        <v>601642</v>
      </c>
      <c r="G17" s="24">
        <f>F17-H17</f>
        <v>116629</v>
      </c>
      <c r="H17" s="25">
        <v>485013</v>
      </c>
    </row>
    <row r="18" spans="1:8" ht="13" x14ac:dyDescent="0.3">
      <c r="A18" s="38" t="s">
        <v>15</v>
      </c>
      <c r="B18" s="26">
        <v>319053</v>
      </c>
      <c r="C18" s="26">
        <v>102820</v>
      </c>
      <c r="D18" s="26">
        <v>102916</v>
      </c>
      <c r="E18" s="27">
        <v>104087</v>
      </c>
      <c r="F18" s="28">
        <f>SUM(B18:E18)</f>
        <v>628876</v>
      </c>
      <c r="G18" s="29">
        <f>F18-H18</f>
        <v>208283</v>
      </c>
      <c r="H18" s="30">
        <v>420593</v>
      </c>
    </row>
    <row r="19" spans="1:8" ht="13" x14ac:dyDescent="0.3">
      <c r="A19" s="38" t="s">
        <v>16</v>
      </c>
      <c r="B19" s="26">
        <v>332598</v>
      </c>
      <c r="C19" s="26">
        <v>143644</v>
      </c>
      <c r="D19" s="26">
        <v>54504</v>
      </c>
      <c r="E19" s="27">
        <v>91660</v>
      </c>
      <c r="F19" s="28">
        <f>SUM(B19:E19)</f>
        <v>622406</v>
      </c>
      <c r="G19" s="29">
        <f>F19-H19</f>
        <v>223651</v>
      </c>
      <c r="H19" s="30">
        <v>398755</v>
      </c>
    </row>
    <row r="20" spans="1:8" ht="13.5" thickBot="1" x14ac:dyDescent="0.35">
      <c r="A20" s="39" t="s">
        <v>17</v>
      </c>
      <c r="B20" s="31">
        <v>285398</v>
      </c>
      <c r="C20" s="31">
        <v>125884</v>
      </c>
      <c r="D20" s="31">
        <v>72073</v>
      </c>
      <c r="E20" s="32">
        <v>93526</v>
      </c>
      <c r="F20" s="33">
        <f>SUM(B20:E20)</f>
        <v>576881</v>
      </c>
      <c r="G20" s="64">
        <f>F20-H20</f>
        <v>189601</v>
      </c>
      <c r="H20" s="35">
        <v>387280</v>
      </c>
    </row>
    <row r="21" spans="1:8" s="1" customFormat="1" ht="13.5" thickBot="1" x14ac:dyDescent="0.35">
      <c r="A21" s="40" t="s">
        <v>6</v>
      </c>
      <c r="B21" s="60">
        <f>SUM(B17:B20)</f>
        <v>1238379</v>
      </c>
      <c r="C21" s="60">
        <f>SUM(C17:C20)</f>
        <v>460951</v>
      </c>
      <c r="D21" s="60">
        <f>SUM(D17:D20)</f>
        <v>311015</v>
      </c>
      <c r="E21" s="61">
        <f>SUM(E17:E20)</f>
        <v>419460</v>
      </c>
      <c r="F21" s="62">
        <f>SUM(B21:E21)</f>
        <v>2429805</v>
      </c>
      <c r="G21" s="40">
        <f>SUM(G17:G20)</f>
        <v>738164</v>
      </c>
      <c r="H21" s="63">
        <f>SUM(H17:H20)</f>
        <v>1691641</v>
      </c>
    </row>
    <row r="22" spans="1:8" ht="13" thickTop="1" x14ac:dyDescent="0.25">
      <c r="A22" s="114" t="s">
        <v>8</v>
      </c>
      <c r="B22" s="115"/>
      <c r="C22" s="115"/>
      <c r="D22" s="115"/>
      <c r="E22" s="115"/>
      <c r="F22" s="115"/>
      <c r="G22" s="115"/>
      <c r="H22" s="116"/>
    </row>
    <row r="23" spans="1:8" ht="13" thickBot="1" x14ac:dyDescent="0.3">
      <c r="A23" s="117"/>
      <c r="B23" s="118"/>
      <c r="C23" s="118"/>
      <c r="D23" s="118"/>
      <c r="E23" s="118"/>
      <c r="F23" s="118"/>
      <c r="G23" s="118"/>
      <c r="H23" s="119"/>
    </row>
    <row r="24" spans="1:8" ht="13" x14ac:dyDescent="0.3">
      <c r="A24" s="41" t="s">
        <v>14</v>
      </c>
      <c r="B24" s="21">
        <v>1627</v>
      </c>
      <c r="C24" s="21">
        <v>571406</v>
      </c>
      <c r="D24" s="21">
        <v>126091</v>
      </c>
      <c r="E24" s="22">
        <v>270408</v>
      </c>
      <c r="F24" s="23">
        <f>SUM(B24:E24)</f>
        <v>969532</v>
      </c>
      <c r="G24" s="24">
        <f>F24-H24</f>
        <v>872840</v>
      </c>
      <c r="H24" s="25">
        <v>96692</v>
      </c>
    </row>
    <row r="25" spans="1:8" ht="13" x14ac:dyDescent="0.3">
      <c r="A25" s="42" t="s">
        <v>15</v>
      </c>
      <c r="B25" s="26">
        <v>1343</v>
      </c>
      <c r="C25" s="26">
        <v>508562</v>
      </c>
      <c r="D25" s="26">
        <v>121496</v>
      </c>
      <c r="E25" s="27">
        <v>241382</v>
      </c>
      <c r="F25" s="28">
        <f>SUM(B25:E25)</f>
        <v>872783</v>
      </c>
      <c r="G25" s="29">
        <f>F25-H25</f>
        <v>783929</v>
      </c>
      <c r="H25" s="30">
        <v>88854</v>
      </c>
    </row>
    <row r="26" spans="1:8" ht="13" x14ac:dyDescent="0.3">
      <c r="A26" s="42" t="s">
        <v>16</v>
      </c>
      <c r="B26" s="26">
        <v>16244</v>
      </c>
      <c r="C26" s="26">
        <v>501786</v>
      </c>
      <c r="D26" s="26">
        <v>189134</v>
      </c>
      <c r="E26" s="27">
        <v>386940</v>
      </c>
      <c r="F26" s="28">
        <f>SUM(B26:E26)</f>
        <v>1094104</v>
      </c>
      <c r="G26" s="29">
        <f>F26-H26</f>
        <v>1036114</v>
      </c>
      <c r="H26" s="30">
        <v>57990</v>
      </c>
    </row>
    <row r="27" spans="1:8" ht="13.5" thickBot="1" x14ac:dyDescent="0.35">
      <c r="A27" s="43" t="s">
        <v>17</v>
      </c>
      <c r="B27" s="31">
        <v>7061</v>
      </c>
      <c r="C27" s="31">
        <v>482487</v>
      </c>
      <c r="D27" s="31">
        <v>179150</v>
      </c>
      <c r="E27" s="32">
        <v>377750</v>
      </c>
      <c r="F27" s="33">
        <f>SUM(B27:E27)</f>
        <v>1046448</v>
      </c>
      <c r="G27" s="64">
        <f>F27-H27</f>
        <v>995159</v>
      </c>
      <c r="H27" s="35">
        <v>51289</v>
      </c>
    </row>
    <row r="28" spans="1:8" s="1" customFormat="1" ht="13.5" thickBot="1" x14ac:dyDescent="0.35">
      <c r="A28" s="44" t="s">
        <v>6</v>
      </c>
      <c r="B28" s="60">
        <f>SUM(B24:B27)</f>
        <v>26275</v>
      </c>
      <c r="C28" s="60">
        <f>SUM(C24:C27)</f>
        <v>2064241</v>
      </c>
      <c r="D28" s="60">
        <f>SUM(D24:D27)</f>
        <v>615871</v>
      </c>
      <c r="E28" s="61">
        <f>SUM(E24:E27)</f>
        <v>1276480</v>
      </c>
      <c r="F28" s="62">
        <f>SUM(B28:E28)</f>
        <v>3982867</v>
      </c>
      <c r="G28" s="40">
        <f>SUM(G24:G27)</f>
        <v>3688042</v>
      </c>
      <c r="H28" s="63">
        <f>SUM(H24:H27)</f>
        <v>294825</v>
      </c>
    </row>
    <row r="29" spans="1:8" ht="13" thickTop="1" x14ac:dyDescent="0.25">
      <c r="A29" s="114" t="s">
        <v>9</v>
      </c>
      <c r="B29" s="115"/>
      <c r="C29" s="115"/>
      <c r="D29" s="115"/>
      <c r="E29" s="115"/>
      <c r="F29" s="115"/>
      <c r="G29" s="115"/>
      <c r="H29" s="116"/>
    </row>
    <row r="30" spans="1:8" ht="13" thickBot="1" x14ac:dyDescent="0.3">
      <c r="A30" s="117"/>
      <c r="B30" s="118"/>
      <c r="C30" s="118"/>
      <c r="D30" s="118"/>
      <c r="E30" s="118"/>
      <c r="F30" s="118"/>
      <c r="G30" s="118"/>
      <c r="H30" s="119"/>
    </row>
    <row r="31" spans="1:8" ht="13" x14ac:dyDescent="0.3">
      <c r="A31" s="41" t="s">
        <v>14</v>
      </c>
      <c r="B31" s="68">
        <f t="shared" ref="B31:E34" si="0">SUM(B17,B24,B10)</f>
        <v>304845</v>
      </c>
      <c r="C31" s="68">
        <f t="shared" si="0"/>
        <v>727719</v>
      </c>
      <c r="D31" s="68">
        <f t="shared" si="0"/>
        <v>229879</v>
      </c>
      <c r="E31" s="69">
        <f t="shared" si="0"/>
        <v>718422</v>
      </c>
      <c r="F31" s="23">
        <f>SUM(F24,F17,F10)</f>
        <v>1980865</v>
      </c>
      <c r="G31" s="70">
        <f>SUM(G24,G17,G10)</f>
        <v>1130018</v>
      </c>
      <c r="H31" s="71">
        <f>SUM(H24,H17,H10)</f>
        <v>850847</v>
      </c>
    </row>
    <row r="32" spans="1:8" ht="13" x14ac:dyDescent="0.3">
      <c r="A32" s="42" t="s">
        <v>15</v>
      </c>
      <c r="B32" s="26">
        <f t="shared" si="0"/>
        <v>322284</v>
      </c>
      <c r="C32" s="26">
        <f t="shared" si="0"/>
        <v>699372</v>
      </c>
      <c r="D32" s="26">
        <f t="shared" si="0"/>
        <v>254663</v>
      </c>
      <c r="E32" s="66">
        <f>SUM(E18,E25,E11)</f>
        <v>669600</v>
      </c>
      <c r="F32" s="90">
        <f>SUM(B32:E32)</f>
        <v>1945919</v>
      </c>
      <c r="G32" s="49">
        <f t="shared" ref="G32:H34" si="1">SUM(G18,G25,G11)</f>
        <v>1104337</v>
      </c>
      <c r="H32" s="30">
        <f t="shared" si="1"/>
        <v>841582</v>
      </c>
    </row>
    <row r="33" spans="1:8" ht="13" x14ac:dyDescent="0.3">
      <c r="A33" s="42" t="s">
        <v>16</v>
      </c>
      <c r="B33" s="26">
        <f t="shared" si="0"/>
        <v>350730</v>
      </c>
      <c r="C33" s="26">
        <f t="shared" si="0"/>
        <v>725838</v>
      </c>
      <c r="D33" s="26">
        <f t="shared" si="0"/>
        <v>273354</v>
      </c>
      <c r="E33" s="66">
        <f>SUM(E19,E26,E12)</f>
        <v>802731</v>
      </c>
      <c r="F33" s="90">
        <f>SUM(B33:E33)</f>
        <v>2152653</v>
      </c>
      <c r="G33" s="49">
        <f t="shared" si="1"/>
        <v>1437439</v>
      </c>
      <c r="H33" s="30">
        <f t="shared" si="1"/>
        <v>715214</v>
      </c>
    </row>
    <row r="34" spans="1:8" ht="13.5" thickBot="1" x14ac:dyDescent="0.35">
      <c r="A34" s="43" t="s">
        <v>17</v>
      </c>
      <c r="B34" s="65">
        <f t="shared" si="0"/>
        <v>294347</v>
      </c>
      <c r="C34" s="65">
        <f t="shared" si="0"/>
        <v>687569</v>
      </c>
      <c r="D34" s="65">
        <f t="shared" si="0"/>
        <v>279981</v>
      </c>
      <c r="E34" s="67">
        <f>SUM(E20,E27,E13)</f>
        <v>780876</v>
      </c>
      <c r="F34" s="91">
        <f>SUM(B34:E34)</f>
        <v>2042773</v>
      </c>
      <c r="G34" s="92">
        <f t="shared" si="1"/>
        <v>1345450</v>
      </c>
      <c r="H34" s="89">
        <f t="shared" si="1"/>
        <v>697323</v>
      </c>
    </row>
    <row r="35" spans="1:8" s="1" customFormat="1" ht="13.5" thickBot="1" x14ac:dyDescent="0.35">
      <c r="A35" s="44" t="s">
        <v>6</v>
      </c>
      <c r="B35" s="60">
        <f>SUM(B31:B34)</f>
        <v>1272206</v>
      </c>
      <c r="C35" s="60">
        <f>SUM(C31:C34)</f>
        <v>2840498</v>
      </c>
      <c r="D35" s="60">
        <f>SUM(D31:D34)</f>
        <v>1037877</v>
      </c>
      <c r="E35" s="61">
        <f>SUM(E31:E34)</f>
        <v>2971629</v>
      </c>
      <c r="F35" s="62">
        <f>SUM(B35:E35)</f>
        <v>8122210</v>
      </c>
      <c r="G35" s="40">
        <f>SUM(G31:G34)</f>
        <v>5017244</v>
      </c>
      <c r="H35" s="63">
        <f>SUM(H31:H34)</f>
        <v>3104966</v>
      </c>
    </row>
    <row r="36" spans="1:8" ht="13" thickTop="1" x14ac:dyDescent="0.25"/>
    <row r="37" spans="1:8" ht="13" x14ac:dyDescent="0.3">
      <c r="A37" s="120"/>
      <c r="B37" s="121"/>
      <c r="C37" s="121"/>
      <c r="D37" s="121"/>
      <c r="E37" s="121"/>
      <c r="F37" s="121"/>
      <c r="G37" s="121"/>
      <c r="H37" s="121"/>
    </row>
    <row r="38" spans="1:8" ht="13" x14ac:dyDescent="0.3">
      <c r="A38" s="122"/>
      <c r="B38" s="122"/>
      <c r="C38" s="58"/>
      <c r="D38" s="58"/>
      <c r="E38" s="58"/>
      <c r="F38" s="58"/>
      <c r="G38" s="58"/>
      <c r="H38" s="58"/>
    </row>
  </sheetData>
  <mergeCells count="11">
    <mergeCell ref="A1:C1"/>
    <mergeCell ref="A2:C3"/>
    <mergeCell ref="A29:H30"/>
    <mergeCell ref="A37:H37"/>
    <mergeCell ref="A38:B38"/>
    <mergeCell ref="E2:H3"/>
    <mergeCell ref="A8:H9"/>
    <mergeCell ref="A15:H16"/>
    <mergeCell ref="A22:H23"/>
    <mergeCell ref="A4:B4"/>
    <mergeCell ref="A5:B5"/>
  </mergeCells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1" orientation="landscape" verticalDpi="300" r:id="rId1"/>
  <headerFooter alignWithMargins="0">
    <oddFooter>&amp;LPrinted:&amp;D&amp;RJ.Z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H40"/>
  <sheetViews>
    <sheetView zoomScale="80" zoomScaleNormal="100" workbookViewId="0">
      <pane ySplit="7" topLeftCell="A12" activePane="bottomLeft" state="frozen"/>
      <selection pane="bottomLeft" activeCell="M31" sqref="M31"/>
    </sheetView>
  </sheetViews>
  <sheetFormatPr defaultRowHeight="12.5" x14ac:dyDescent="0.25"/>
  <cols>
    <col min="1" max="1" width="12.54296875" customWidth="1"/>
    <col min="2" max="3" width="13.1796875" customWidth="1"/>
    <col min="4" max="4" width="11.7265625" customWidth="1"/>
    <col min="5" max="5" width="12.7265625" customWidth="1"/>
    <col min="6" max="8" width="11.7265625" customWidth="1"/>
    <col min="9" max="256" width="10.90625" customWidth="1"/>
  </cols>
  <sheetData>
    <row r="1" spans="1:8" ht="13" thickBot="1" x14ac:dyDescent="0.3">
      <c r="A1" s="97" t="s">
        <v>0</v>
      </c>
      <c r="B1" s="97"/>
      <c r="C1" s="97"/>
      <c r="D1" s="2"/>
      <c r="E1" s="2"/>
      <c r="F1" s="2"/>
    </row>
    <row r="2" spans="1:8" ht="24" customHeight="1" x14ac:dyDescent="0.25">
      <c r="A2" s="98" t="s">
        <v>20</v>
      </c>
      <c r="B2" s="99"/>
      <c r="C2" s="100"/>
      <c r="D2" s="2"/>
      <c r="E2" s="139" t="s">
        <v>21</v>
      </c>
      <c r="F2" s="139"/>
      <c r="G2" s="139"/>
      <c r="H2" s="139"/>
    </row>
    <row r="3" spans="1:8" ht="17.25" customHeight="1" thickBot="1" x14ac:dyDescent="0.3">
      <c r="A3" s="101"/>
      <c r="B3" s="102"/>
      <c r="C3" s="103"/>
      <c r="D3" s="2"/>
      <c r="E3" s="139"/>
      <c r="F3" s="139"/>
      <c r="G3" s="139"/>
      <c r="H3" s="139"/>
    </row>
    <row r="4" spans="1:8" ht="14" x14ac:dyDescent="0.3">
      <c r="A4" s="95"/>
      <c r="B4" s="95"/>
      <c r="E4" s="93"/>
    </row>
    <row r="5" spans="1:8" ht="14" x14ac:dyDescent="0.3">
      <c r="A5" s="96"/>
      <c r="B5" s="96"/>
    </row>
    <row r="6" spans="1:8" ht="13" thickBot="1" x14ac:dyDescent="0.3"/>
    <row r="7" spans="1:8" ht="32.25" customHeight="1" thickBot="1" x14ac:dyDescent="0.3">
      <c r="A7" s="3"/>
      <c r="B7" s="20" t="s">
        <v>18</v>
      </c>
      <c r="C7" s="4" t="s">
        <v>2</v>
      </c>
      <c r="D7" s="4" t="s">
        <v>1</v>
      </c>
      <c r="E7" s="5" t="s">
        <v>19</v>
      </c>
      <c r="F7" s="16" t="s">
        <v>10</v>
      </c>
      <c r="G7" s="17" t="s">
        <v>3</v>
      </c>
      <c r="H7" s="6" t="s">
        <v>4</v>
      </c>
    </row>
    <row r="8" spans="1:8" x14ac:dyDescent="0.25">
      <c r="A8" s="108" t="s">
        <v>25</v>
      </c>
      <c r="B8" s="109"/>
      <c r="C8" s="109"/>
      <c r="D8" s="109"/>
      <c r="E8" s="109"/>
      <c r="F8" s="109"/>
      <c r="G8" s="109"/>
      <c r="H8" s="110"/>
    </row>
    <row r="9" spans="1:8" ht="13" thickBot="1" x14ac:dyDescent="0.3">
      <c r="A9" s="111"/>
      <c r="B9" s="112"/>
      <c r="C9" s="112"/>
      <c r="D9" s="112"/>
      <c r="E9" s="112"/>
      <c r="F9" s="112"/>
      <c r="G9" s="112"/>
      <c r="H9" s="113"/>
    </row>
    <row r="10" spans="1:8" ht="13" x14ac:dyDescent="0.3">
      <c r="A10" s="8" t="s">
        <v>14</v>
      </c>
      <c r="B10" s="72">
        <v>214933</v>
      </c>
      <c r="C10" s="21">
        <v>115917</v>
      </c>
      <c r="D10" s="21">
        <v>57056</v>
      </c>
      <c r="E10" s="21">
        <v>422276</v>
      </c>
      <c r="F10" s="23">
        <f>SUM(B10:E10)</f>
        <v>810182</v>
      </c>
      <c r="G10" s="24">
        <f>F10-H10</f>
        <v>397486</v>
      </c>
      <c r="H10" s="25">
        <v>412696</v>
      </c>
    </row>
    <row r="11" spans="1:8" ht="13" x14ac:dyDescent="0.3">
      <c r="A11" s="9" t="s">
        <v>15</v>
      </c>
      <c r="B11" s="73">
        <v>179494</v>
      </c>
      <c r="C11" s="26">
        <v>118488</v>
      </c>
      <c r="D11" s="26">
        <v>42867</v>
      </c>
      <c r="E11" s="26">
        <v>417517</v>
      </c>
      <c r="F11" s="28">
        <f>SUM(B11:E11)</f>
        <v>758366</v>
      </c>
      <c r="G11" s="29">
        <f>F11-H11</f>
        <v>418661</v>
      </c>
      <c r="H11" s="30">
        <v>339705</v>
      </c>
    </row>
    <row r="12" spans="1:8" ht="13" x14ac:dyDescent="0.3">
      <c r="A12" s="9" t="s">
        <v>16</v>
      </c>
      <c r="B12" s="73">
        <v>201440</v>
      </c>
      <c r="C12" s="26">
        <v>110557</v>
      </c>
      <c r="D12" s="26">
        <v>68291</v>
      </c>
      <c r="E12" s="26">
        <v>399776</v>
      </c>
      <c r="F12" s="28">
        <f>SUM(B12:E12)</f>
        <v>780064</v>
      </c>
      <c r="G12" s="29">
        <f>F12-H12</f>
        <v>428051</v>
      </c>
      <c r="H12" s="30">
        <v>352013</v>
      </c>
    </row>
    <row r="13" spans="1:8" ht="13.5" thickBot="1" x14ac:dyDescent="0.35">
      <c r="A13" s="10" t="s">
        <v>17</v>
      </c>
      <c r="B13" s="74">
        <v>227942</v>
      </c>
      <c r="C13" s="31">
        <v>135431</v>
      </c>
      <c r="D13" s="31">
        <v>47582</v>
      </c>
      <c r="E13" s="31">
        <v>438777</v>
      </c>
      <c r="F13" s="33">
        <f>SUM(B13:E13)</f>
        <v>849732</v>
      </c>
      <c r="G13" s="64">
        <f>F13-H13</f>
        <v>491875</v>
      </c>
      <c r="H13" s="35">
        <v>357857</v>
      </c>
    </row>
    <row r="14" spans="1:8" s="1" customFormat="1" ht="13.5" thickBot="1" x14ac:dyDescent="0.35">
      <c r="A14" s="18" t="s">
        <v>6</v>
      </c>
      <c r="B14" s="78">
        <f>SUM(B10:B13)</f>
        <v>823809</v>
      </c>
      <c r="C14" s="60">
        <f>SUM(C10:C13)</f>
        <v>480393</v>
      </c>
      <c r="D14" s="60">
        <f>SUM(D10:D13)</f>
        <v>215796</v>
      </c>
      <c r="E14" s="60">
        <f>SUM(E10:E13)</f>
        <v>1678346</v>
      </c>
      <c r="F14" s="62">
        <f>SUM(B14:E14)</f>
        <v>3198344</v>
      </c>
      <c r="G14" s="40">
        <f>SUM(G10:G13)</f>
        <v>1736073</v>
      </c>
      <c r="H14" s="63">
        <f>SUM(H10:H13)</f>
        <v>1462271</v>
      </c>
    </row>
    <row r="15" spans="1:8" s="7" customFormat="1" ht="13" thickTop="1" x14ac:dyDescent="0.25">
      <c r="A15" s="142" t="s">
        <v>27</v>
      </c>
      <c r="B15" s="143"/>
      <c r="C15" s="143"/>
      <c r="D15" s="143"/>
      <c r="E15" s="143"/>
      <c r="F15" s="143"/>
      <c r="G15" s="143"/>
      <c r="H15" s="144"/>
    </row>
    <row r="16" spans="1:8" s="7" customFormat="1" ht="13" thickBot="1" x14ac:dyDescent="0.3">
      <c r="A16" s="145"/>
      <c r="B16" s="146"/>
      <c r="C16" s="146"/>
      <c r="D16" s="146"/>
      <c r="E16" s="146"/>
      <c r="F16" s="146"/>
      <c r="G16" s="146"/>
      <c r="H16" s="147"/>
    </row>
    <row r="17" spans="1:8" ht="13" x14ac:dyDescent="0.3">
      <c r="A17" s="8" t="s">
        <v>14</v>
      </c>
      <c r="B17" s="72">
        <v>45833</v>
      </c>
      <c r="C17" s="59">
        <v>30131</v>
      </c>
      <c r="D17" s="21">
        <v>29789</v>
      </c>
      <c r="E17" s="21">
        <v>56334</v>
      </c>
      <c r="F17" s="23">
        <f>SUM(B17:E17)</f>
        <v>162087</v>
      </c>
      <c r="G17" s="24">
        <f>F17-H17</f>
        <v>110315</v>
      </c>
      <c r="H17" s="25">
        <v>51772</v>
      </c>
    </row>
    <row r="18" spans="1:8" ht="13" x14ac:dyDescent="0.3">
      <c r="A18" s="9" t="s">
        <v>15</v>
      </c>
      <c r="B18" s="73">
        <v>44083</v>
      </c>
      <c r="C18" s="26">
        <v>32968</v>
      </c>
      <c r="D18" s="26">
        <v>30911</v>
      </c>
      <c r="E18" s="26">
        <v>59337</v>
      </c>
      <c r="F18" s="28">
        <f>SUM(B18:E18)</f>
        <v>167299</v>
      </c>
      <c r="G18" s="29">
        <f>F18-H18</f>
        <v>113668</v>
      </c>
      <c r="H18" s="30">
        <v>53631</v>
      </c>
    </row>
    <row r="19" spans="1:8" ht="13" x14ac:dyDescent="0.3">
      <c r="A19" s="9" t="s">
        <v>16</v>
      </c>
      <c r="B19" s="73">
        <v>51489</v>
      </c>
      <c r="C19" s="26">
        <v>38592</v>
      </c>
      <c r="D19" s="26">
        <v>29911</v>
      </c>
      <c r="E19" s="26">
        <v>54664</v>
      </c>
      <c r="F19" s="28">
        <f>SUM(B19:E19)</f>
        <v>174656</v>
      </c>
      <c r="G19" s="29">
        <f>F19-H19</f>
        <v>127674</v>
      </c>
      <c r="H19" s="30">
        <v>46982</v>
      </c>
    </row>
    <row r="20" spans="1:8" ht="13.5" thickBot="1" x14ac:dyDescent="0.35">
      <c r="A20" s="10" t="s">
        <v>17</v>
      </c>
      <c r="B20" s="74">
        <v>54366</v>
      </c>
      <c r="C20" s="31">
        <v>42721</v>
      </c>
      <c r="D20" s="31">
        <v>39064</v>
      </c>
      <c r="E20" s="31">
        <v>63059</v>
      </c>
      <c r="F20" s="33">
        <f>SUM(B20:E20)</f>
        <v>199210</v>
      </c>
      <c r="G20" s="64">
        <f>F20-H20</f>
        <v>149834</v>
      </c>
      <c r="H20" s="35">
        <v>49376</v>
      </c>
    </row>
    <row r="21" spans="1:8" s="1" customFormat="1" ht="13.5" thickBot="1" x14ac:dyDescent="0.35">
      <c r="A21" s="18" t="s">
        <v>6</v>
      </c>
      <c r="B21" s="78">
        <f>SUM(B17:B20)</f>
        <v>195771</v>
      </c>
      <c r="C21" s="60">
        <f>SUM(C17:C20)</f>
        <v>144412</v>
      </c>
      <c r="D21" s="60">
        <f>SUM(D17:D20)</f>
        <v>129675</v>
      </c>
      <c r="E21" s="60">
        <f>SUM(E17:E20)</f>
        <v>233394</v>
      </c>
      <c r="F21" s="62">
        <f>SUM(B21:E21)</f>
        <v>703252</v>
      </c>
      <c r="G21" s="40">
        <f>SUM(G17:G20)</f>
        <v>501491</v>
      </c>
      <c r="H21" s="63">
        <f>SUM(H17:H20)</f>
        <v>201761</v>
      </c>
    </row>
    <row r="22" spans="1:8" ht="13" thickTop="1" x14ac:dyDescent="0.25">
      <c r="A22" s="142" t="s">
        <v>26</v>
      </c>
      <c r="B22" s="143"/>
      <c r="C22" s="143"/>
      <c r="D22" s="143"/>
      <c r="E22" s="143"/>
      <c r="F22" s="143"/>
      <c r="G22" s="143"/>
      <c r="H22" s="144"/>
    </row>
    <row r="23" spans="1:8" ht="13" thickBot="1" x14ac:dyDescent="0.3">
      <c r="A23" s="145"/>
      <c r="B23" s="146"/>
      <c r="C23" s="146"/>
      <c r="D23" s="146"/>
      <c r="E23" s="146"/>
      <c r="F23" s="146"/>
      <c r="G23" s="146"/>
      <c r="H23" s="147"/>
    </row>
    <row r="24" spans="1:8" ht="13" x14ac:dyDescent="0.3">
      <c r="A24" s="12" t="s">
        <v>14</v>
      </c>
      <c r="B24" s="75">
        <v>361357</v>
      </c>
      <c r="C24" s="21">
        <v>48750</v>
      </c>
      <c r="D24" s="21">
        <v>80434</v>
      </c>
      <c r="E24" s="21">
        <v>540676</v>
      </c>
      <c r="F24" s="23">
        <f>SUM(B24:E24)</f>
        <v>1031217</v>
      </c>
      <c r="G24" s="24">
        <f>F24-H24</f>
        <v>538639</v>
      </c>
      <c r="H24" s="86">
        <v>492578</v>
      </c>
    </row>
    <row r="25" spans="1:8" ht="13" x14ac:dyDescent="0.3">
      <c r="A25" s="13" t="s">
        <v>15</v>
      </c>
      <c r="B25" s="76">
        <v>424522</v>
      </c>
      <c r="C25" s="26">
        <v>53505</v>
      </c>
      <c r="D25" s="26">
        <v>93897</v>
      </c>
      <c r="E25" s="26">
        <v>553720</v>
      </c>
      <c r="F25" s="28">
        <f>SUM(B25:E25)</f>
        <v>1125644</v>
      </c>
      <c r="G25" s="29">
        <f>F25-H25</f>
        <v>628052</v>
      </c>
      <c r="H25" s="30">
        <v>497592</v>
      </c>
    </row>
    <row r="26" spans="1:8" ht="13" x14ac:dyDescent="0.3">
      <c r="A26" s="13" t="s">
        <v>16</v>
      </c>
      <c r="B26" s="76">
        <v>439056</v>
      </c>
      <c r="C26" s="26">
        <v>61485</v>
      </c>
      <c r="D26" s="26">
        <v>92317</v>
      </c>
      <c r="E26" s="26">
        <v>530813</v>
      </c>
      <c r="F26" s="28">
        <f>SUM(B26:E26)</f>
        <v>1123671</v>
      </c>
      <c r="G26" s="29">
        <f>F26-H26</f>
        <v>550867</v>
      </c>
      <c r="H26" s="30">
        <v>572804</v>
      </c>
    </row>
    <row r="27" spans="1:8" ht="13.5" thickBot="1" x14ac:dyDescent="0.35">
      <c r="A27" s="14" t="s">
        <v>17</v>
      </c>
      <c r="B27" s="77">
        <v>421191</v>
      </c>
      <c r="C27" s="31">
        <v>65867</v>
      </c>
      <c r="D27" s="31">
        <v>102353</v>
      </c>
      <c r="E27" s="31">
        <v>523729</v>
      </c>
      <c r="F27" s="33">
        <f>SUM(B27:E27)</f>
        <v>1113140</v>
      </c>
      <c r="G27" s="64">
        <f>F27-H27</f>
        <v>555204</v>
      </c>
      <c r="H27" s="35">
        <v>557936</v>
      </c>
    </row>
    <row r="28" spans="1:8" s="1" customFormat="1" ht="13.5" thickBot="1" x14ac:dyDescent="0.35">
      <c r="A28" s="19" t="s">
        <v>6</v>
      </c>
      <c r="B28" s="79">
        <f>SUM(B24:B27)</f>
        <v>1646126</v>
      </c>
      <c r="C28" s="60">
        <f>SUM(C24:C27)</f>
        <v>229607</v>
      </c>
      <c r="D28" s="60">
        <f>SUM(D24:D27)</f>
        <v>369001</v>
      </c>
      <c r="E28" s="60">
        <f>SUM(E24:E27)</f>
        <v>2148938</v>
      </c>
      <c r="F28" s="62">
        <f>SUM(B28:E28)</f>
        <v>4393672</v>
      </c>
      <c r="G28" s="40">
        <f>SUM(G24:G27)</f>
        <v>2272762</v>
      </c>
      <c r="H28" s="63">
        <f>SUM(H24:H27)</f>
        <v>2120910</v>
      </c>
    </row>
    <row r="29" spans="1:8" ht="13" thickTop="1" x14ac:dyDescent="0.25">
      <c r="A29" s="142" t="s">
        <v>12</v>
      </c>
      <c r="B29" s="143"/>
      <c r="C29" s="143"/>
      <c r="D29" s="143"/>
      <c r="E29" s="143"/>
      <c r="F29" s="143"/>
      <c r="G29" s="143"/>
      <c r="H29" s="144"/>
    </row>
    <row r="30" spans="1:8" ht="13" thickBot="1" x14ac:dyDescent="0.3">
      <c r="A30" s="145"/>
      <c r="B30" s="146"/>
      <c r="C30" s="146"/>
      <c r="D30" s="146"/>
      <c r="E30" s="146"/>
      <c r="F30" s="146"/>
      <c r="G30" s="146"/>
      <c r="H30" s="147"/>
    </row>
    <row r="31" spans="1:8" ht="13" x14ac:dyDescent="0.3">
      <c r="A31" s="12" t="s">
        <v>14</v>
      </c>
      <c r="B31" s="83">
        <f>SUM(B24,B17,B10)</f>
        <v>622123</v>
      </c>
      <c r="C31" s="21">
        <f>SUM(C10,C17,C24)</f>
        <v>194798</v>
      </c>
      <c r="D31" s="21">
        <f>SUM(D10,D17,D24)</f>
        <v>167279</v>
      </c>
      <c r="E31" s="21">
        <f>SUM(E10,E17,E24)</f>
        <v>1019286</v>
      </c>
      <c r="F31" s="23">
        <f>SUM(F24,F17,F10)</f>
        <v>2003486</v>
      </c>
      <c r="G31" s="24">
        <f>SUM(G24,G17,G10)</f>
        <v>1046440</v>
      </c>
      <c r="H31" s="25">
        <f>SUM(H24,H17,H10)</f>
        <v>957046</v>
      </c>
    </row>
    <row r="32" spans="1:8" ht="13" x14ac:dyDescent="0.3">
      <c r="A32" s="13" t="s">
        <v>15</v>
      </c>
      <c r="B32" s="84">
        <f>SUM(B25,B18,B11)</f>
        <v>648099</v>
      </c>
      <c r="C32" s="76">
        <f t="shared" ref="C32:E34" si="0">SUM(C25,C18,C11)</f>
        <v>204961</v>
      </c>
      <c r="D32" s="76">
        <f t="shared" si="0"/>
        <v>167675</v>
      </c>
      <c r="E32" s="76">
        <f t="shared" si="0"/>
        <v>1030574</v>
      </c>
      <c r="F32" s="28">
        <f>SUM(B32:E32)</f>
        <v>2051309</v>
      </c>
      <c r="G32" s="81">
        <f t="shared" ref="G32:H34" si="1">SUM(G25,G18,G11)</f>
        <v>1160381</v>
      </c>
      <c r="H32" s="87">
        <f t="shared" si="1"/>
        <v>890928</v>
      </c>
    </row>
    <row r="33" spans="1:8" ht="13" x14ac:dyDescent="0.3">
      <c r="A33" s="13" t="s">
        <v>16</v>
      </c>
      <c r="B33" s="84">
        <f>SUM(B26,B19,B12)</f>
        <v>691985</v>
      </c>
      <c r="C33" s="76">
        <f t="shared" si="0"/>
        <v>210634</v>
      </c>
      <c r="D33" s="76">
        <f t="shared" si="0"/>
        <v>190519</v>
      </c>
      <c r="E33" s="76">
        <f t="shared" si="0"/>
        <v>985253</v>
      </c>
      <c r="F33" s="28">
        <f>SUM(B33:E33)</f>
        <v>2078391</v>
      </c>
      <c r="G33" s="81">
        <f t="shared" si="1"/>
        <v>1106592</v>
      </c>
      <c r="H33" s="87">
        <f t="shared" si="1"/>
        <v>971799</v>
      </c>
    </row>
    <row r="34" spans="1:8" ht="13.5" thickBot="1" x14ac:dyDescent="0.35">
      <c r="A34" s="14" t="s">
        <v>17</v>
      </c>
      <c r="B34" s="85">
        <f>SUM(B27,B20,B13)</f>
        <v>703499</v>
      </c>
      <c r="C34" s="80">
        <f t="shared" si="0"/>
        <v>244019</v>
      </c>
      <c r="D34" s="80">
        <f t="shared" si="0"/>
        <v>188999</v>
      </c>
      <c r="E34" s="80">
        <f t="shared" si="0"/>
        <v>1025565</v>
      </c>
      <c r="F34" s="33">
        <f>SUM(B34:E34)</f>
        <v>2162082</v>
      </c>
      <c r="G34" s="82">
        <f t="shared" si="1"/>
        <v>1196913</v>
      </c>
      <c r="H34" s="88">
        <f t="shared" si="1"/>
        <v>965169</v>
      </c>
    </row>
    <row r="35" spans="1:8" s="1" customFormat="1" ht="13.5" thickBot="1" x14ac:dyDescent="0.35">
      <c r="A35" s="19" t="s">
        <v>6</v>
      </c>
      <c r="B35" s="79">
        <f>SUM(B31:B34)</f>
        <v>2665706</v>
      </c>
      <c r="C35" s="60">
        <f>SUM(C31:C34)</f>
        <v>854412</v>
      </c>
      <c r="D35" s="60">
        <f>SUM(D31:D34)</f>
        <v>714472</v>
      </c>
      <c r="E35" s="60">
        <f>SUM(E31:E34)</f>
        <v>4060678</v>
      </c>
      <c r="F35" s="62">
        <f>SUM(B35:E35)</f>
        <v>8295268</v>
      </c>
      <c r="G35" s="40">
        <f>SUM(G31:G34)</f>
        <v>4510326</v>
      </c>
      <c r="H35" s="63">
        <f>SUM(H31:H34)</f>
        <v>3784942</v>
      </c>
    </row>
    <row r="36" spans="1:8" ht="13" thickTop="1" x14ac:dyDescent="0.25"/>
    <row r="37" spans="1:8" s="11" customFormat="1" ht="33" customHeight="1" x14ac:dyDescent="0.3">
      <c r="A37" s="140" t="s">
        <v>13</v>
      </c>
      <c r="B37" s="140"/>
      <c r="C37" s="140"/>
      <c r="D37" s="140"/>
      <c r="E37" s="140"/>
      <c r="F37" s="140"/>
      <c r="G37" s="140"/>
      <c r="H37" s="140"/>
    </row>
    <row r="38" spans="1:8" ht="30.75" customHeight="1" x14ac:dyDescent="0.25">
      <c r="A38" s="140" t="s">
        <v>28</v>
      </c>
      <c r="B38" s="141"/>
      <c r="C38" s="141"/>
      <c r="D38" s="141"/>
      <c r="E38" s="141"/>
      <c r="F38" s="141"/>
      <c r="G38" s="141"/>
      <c r="H38" s="141"/>
    </row>
    <row r="39" spans="1:8" ht="13" x14ac:dyDescent="0.3">
      <c r="A39" s="1"/>
    </row>
    <row r="40" spans="1:8" ht="13" x14ac:dyDescent="0.3">
      <c r="A40" s="1"/>
    </row>
  </sheetData>
  <mergeCells count="11">
    <mergeCell ref="A5:B5"/>
    <mergeCell ref="A1:C1"/>
    <mergeCell ref="A2:C3"/>
    <mergeCell ref="E2:H3"/>
    <mergeCell ref="A37:H37"/>
    <mergeCell ref="A38:H38"/>
    <mergeCell ref="A8:H9"/>
    <mergeCell ref="A15:H16"/>
    <mergeCell ref="A22:H23"/>
    <mergeCell ref="A29:H30"/>
    <mergeCell ref="A4:B4"/>
  </mergeCells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0" orientation="landscape" verticalDpi="300" r:id="rId1"/>
  <headerFooter alignWithMargins="0">
    <oddFooter>&amp;LPrinted:&amp;D&amp;RJ.Z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Q4-02 Ore Prdn</vt:lpstr>
      <vt:lpstr>Q4-02 Ore Prdn Mn C</vt:lpstr>
      <vt:lpstr>Q4-02 Alloys Prdn</vt:lpstr>
      <vt:lpstr>'Q4-02 Alloys Prdn'!Print_Area</vt:lpstr>
      <vt:lpstr>'Q4-02 Ore Prdn'!Print_Area</vt:lpstr>
      <vt:lpstr>'Q4-02 Ore Prdn Mn C'!Print_Area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IMnI (J.ZHOU)</dc:creator>
  <cp:lastModifiedBy>Carina Negreanu</cp:lastModifiedBy>
  <cp:lastPrinted>2003-12-19T15:38:22Z</cp:lastPrinted>
  <dcterms:created xsi:type="dcterms:W3CDTF">2003-04-11T13:46:23Z</dcterms:created>
  <dcterms:modified xsi:type="dcterms:W3CDTF">2020-01-27T11:57:35Z</dcterms:modified>
</cp:coreProperties>
</file>