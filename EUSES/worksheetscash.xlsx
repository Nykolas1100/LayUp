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76162DE-4FFA-410E-907D-9E85B153998B}" xr6:coauthVersionLast="45" xr6:coauthVersionMax="45" xr10:uidLastSave="{00000000-0000-0000-0000-000000000000}"/>
  <bookViews>
    <workbookView xWindow="1140" yWindow="1140" windowWidth="28800" windowHeight="15460" tabRatio="778"/>
  </bookViews>
  <sheets>
    <sheet name="Input Information" sheetId="1" r:id="rId1"/>
    <sheet name="Performance Measures" sheetId="3" r:id="rId2"/>
    <sheet name="Repayment Capacity" sheetId="4" r:id="rId3"/>
    <sheet name="Change" sheetId="5" r:id="rId4"/>
    <sheet name="Charts" sheetId="2" r:id="rId5"/>
  </sheets>
  <definedNames>
    <definedName name="_xlnm.Print_Area" localSheetId="0">'Input Information'!$A$1:$G$43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5" i="4" l="1"/>
  <c r="H12" i="3"/>
  <c r="H19" i="3"/>
  <c r="H18" i="3"/>
  <c r="E10" i="5"/>
  <c r="H17" i="3"/>
  <c r="D29" i="1"/>
  <c r="D15" i="3"/>
  <c r="H15" i="3"/>
  <c r="C5" i="5"/>
  <c r="D31" i="1"/>
  <c r="C8" i="5" s="1"/>
  <c r="D30" i="1"/>
  <c r="D32" i="1" s="1"/>
  <c r="D14" i="4" s="1"/>
  <c r="C6" i="5"/>
  <c r="C17" i="5"/>
  <c r="C19" i="5" s="1"/>
  <c r="C22" i="5" s="1"/>
  <c r="C11" i="5"/>
  <c r="C20" i="5" s="1"/>
  <c r="C18" i="5"/>
  <c r="E17" i="5"/>
  <c r="E18" i="5"/>
  <c r="E19" i="5" s="1"/>
  <c r="E22" i="5" s="1"/>
  <c r="E20" i="5"/>
  <c r="E21" i="5"/>
  <c r="C12" i="5"/>
  <c r="C21" i="5"/>
  <c r="D20" i="3"/>
  <c r="H20" i="3"/>
  <c r="D19" i="3"/>
  <c r="D18" i="3"/>
  <c r="D17" i="3"/>
  <c r="D16" i="3"/>
  <c r="H16" i="3"/>
  <c r="D12" i="3"/>
  <c r="D9" i="3"/>
  <c r="H9" i="3"/>
  <c r="D5" i="3"/>
  <c r="H5" i="3"/>
  <c r="D6" i="3"/>
  <c r="H6" i="3"/>
  <c r="D4" i="3"/>
  <c r="H4" i="3"/>
  <c r="D39" i="4"/>
  <c r="D16" i="4"/>
  <c r="D27" i="4" s="1"/>
  <c r="D17" i="4"/>
  <c r="D40" i="4"/>
  <c r="D22" i="4"/>
  <c r="D5" i="4"/>
  <c r="D4" i="4"/>
  <c r="D11" i="4" s="1"/>
  <c r="D6" i="4"/>
  <c r="D32" i="4"/>
  <c r="D30" i="4"/>
  <c r="D28" i="4"/>
  <c r="D26" i="4"/>
  <c r="D10" i="4"/>
  <c r="D9" i="4"/>
  <c r="C10" i="5" l="1"/>
  <c r="D25" i="4"/>
  <c r="D18" i="4"/>
  <c r="C13" i="5"/>
  <c r="D20" i="4" l="1"/>
  <c r="D29" i="4"/>
  <c r="D36" i="4" l="1"/>
  <c r="D31" i="4"/>
  <c r="D33" i="4" s="1"/>
</calcChain>
</file>

<file path=xl/sharedStrings.xml><?xml version="1.0" encoding="utf-8"?>
<sst xmlns="http://schemas.openxmlformats.org/spreadsheetml/2006/main" count="141" uniqueCount="130">
  <si>
    <t>Beginning</t>
  </si>
  <si>
    <t>Ending</t>
  </si>
  <si>
    <t>Cash</t>
  </si>
  <si>
    <t>I</t>
  </si>
  <si>
    <t>Accrued Interest</t>
  </si>
  <si>
    <t>Miscellaneous Data</t>
  </si>
  <si>
    <t>Net Farm Income</t>
  </si>
  <si>
    <t>Profitability</t>
  </si>
  <si>
    <t>Your Farm</t>
  </si>
  <si>
    <t>Strong/Weak</t>
  </si>
  <si>
    <t>Liquidity</t>
  </si>
  <si>
    <t>Solvency</t>
  </si>
  <si>
    <t>Financial Efficiency</t>
  </si>
  <si>
    <t>Financial Data</t>
  </si>
  <si>
    <t>Actual</t>
  </si>
  <si>
    <t>Projected</t>
  </si>
  <si>
    <t>Operating Profit Margin [(4+7)/1]</t>
  </si>
  <si>
    <t>A</t>
  </si>
  <si>
    <t>Asset Turnover Ratio [1/5]</t>
  </si>
  <si>
    <t>B</t>
  </si>
  <si>
    <t>Return on Assets [ (A*B)*100 ]</t>
  </si>
  <si>
    <t>C</t>
  </si>
  <si>
    <t>Interest Cost Adjustment [ 7/5 ]</t>
  </si>
  <si>
    <t>D</t>
  </si>
  <si>
    <t>Financial Structure [ 5/6 ]</t>
  </si>
  <si>
    <t>E</t>
  </si>
  <si>
    <t>F</t>
  </si>
  <si>
    <t>Current Ratio</t>
  </si>
  <si>
    <t>Working Capital</t>
  </si>
  <si>
    <t xml:space="preserve"> </t>
  </si>
  <si>
    <t>Term Debt Coverage Ratio</t>
  </si>
  <si>
    <t>Interest rate</t>
  </si>
  <si>
    <t>Years to repay term debt</t>
  </si>
  <si>
    <t>Term Debt Repayment Capacity</t>
  </si>
  <si>
    <t>Depreciation (Item c)</t>
  </si>
  <si>
    <t>Family Living Expenses (Item v)</t>
  </si>
  <si>
    <t>Net Income (1-2-3)</t>
  </si>
  <si>
    <t>Return on Equity [((C/100)-D)*E)*100]</t>
  </si>
  <si>
    <t>Worksheet 1. Input Information</t>
  </si>
  <si>
    <t>Worksheet 2. Financial Performance Measures</t>
  </si>
  <si>
    <t>Worksheet 4. Assessing the Effect of a Change on the Rates of Return</t>
  </si>
  <si>
    <t>Balance sheet date</t>
  </si>
  <si>
    <t>Depreciation (Schedule F, line 16)</t>
  </si>
  <si>
    <t>Total current farm assets</t>
  </si>
  <si>
    <t>Mortgage interest (Schedule F, line 23a)</t>
  </si>
  <si>
    <t>Other interest paid (Schedule F, line 23b)</t>
  </si>
  <si>
    <t>Total expenses (Schedule F, line 35)</t>
  </si>
  <si>
    <t>Total current farm liabilities</t>
  </si>
  <si>
    <t>Farm accounts payable and accrued exp.</t>
  </si>
  <si>
    <t>Total farm assets</t>
  </si>
  <si>
    <t>Total farm liabilities</t>
  </si>
  <si>
    <t>Owner's equity</t>
  </si>
  <si>
    <t>Breeding stock sales (Form 4797)</t>
  </si>
  <si>
    <t>Number of operators and employees (annual full-time equiv.)</t>
  </si>
  <si>
    <t>Interest (Item x minus operating interest)</t>
  </si>
  <si>
    <t>Current ratio [1/2 ]</t>
  </si>
  <si>
    <t>Working capital [3-4]</t>
  </si>
  <si>
    <t>Net farm income (Item z)</t>
  </si>
  <si>
    <t>Income for debt servicing and capital replacement [5+6+7-8]</t>
  </si>
  <si>
    <t>Cash used for capital replacement (from your records)</t>
  </si>
  <si>
    <t>Scheduled principal and interest payments on term debt (from your records)</t>
  </si>
  <si>
    <t>Income for debt servicing and capital replacement [14+15+16-17]</t>
  </si>
  <si>
    <t>Term debt repayment capacity [18-19]</t>
  </si>
  <si>
    <t>Term debt repayment margin [20-21]</t>
  </si>
  <si>
    <t>Amortization factor</t>
  </si>
  <si>
    <t>Additional term debt the margin would service [23/24]</t>
  </si>
  <si>
    <t xml:space="preserve">  (Other expenses minus depreciation)</t>
  </si>
  <si>
    <t>Schedule F Data                                                            Taxable Year:</t>
  </si>
  <si>
    <t xml:space="preserve">Balance Sheet </t>
  </si>
  <si>
    <t>G</t>
  </si>
  <si>
    <t>H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</si>
  <si>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</si>
  <si>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</si>
  <si>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</si>
  <si>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</si>
  <si>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</si>
  <si>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</si>
  <si>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</si>
  <si>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</si>
  <si>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</si>
  <si>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</si>
  <si>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</si>
  <si>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</si>
  <si>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</si>
  <si>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</si>
  <si>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</si>
  <si>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</si>
  <si>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</si>
  <si>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Gross revenues [A+B+T+(M-L)-(H-G)]</t>
  </si>
  <si>
    <t>Interest expense [D+E+(O-J)]</t>
  </si>
  <si>
    <t>Other expenses [A+F-(D+E)+(P-K)]</t>
  </si>
  <si>
    <t>Net farm income [W-X-Y]</t>
  </si>
  <si>
    <t>Current assets (Item M)</t>
  </si>
  <si>
    <t>Current liabilities (Item N)</t>
  </si>
  <si>
    <t>Net farm income (Item Z)</t>
  </si>
  <si>
    <t>Interest (Item X minus operating interest)</t>
  </si>
  <si>
    <t>Depreciation (Item C)</t>
  </si>
  <si>
    <t xml:space="preserve">  (Depreciation, interest, family living and income taxes)</t>
  </si>
  <si>
    <t>Gross Revenues (Item W)</t>
  </si>
  <si>
    <t>Fixed Costs (Items C+X+V)</t>
  </si>
  <si>
    <t>Variable Costs (Item Y-C)</t>
  </si>
  <si>
    <t>Total Farm Assets (Item Q)</t>
  </si>
  <si>
    <t>Owner's Equity (Item S)</t>
  </si>
  <si>
    <t>Interest Expense (Item X)</t>
  </si>
  <si>
    <t>Worksheet 3. Repayment Capacity Ratios and Measures</t>
  </si>
  <si>
    <t>Return on Assets [(Z+X-V)/Q]*100</t>
  </si>
  <si>
    <t>Return on Equity [(Z-V)/S]*100</t>
  </si>
  <si>
    <t>Operating Profit Margin [(Z+X-V)/W]*100</t>
  </si>
  <si>
    <t>Current Ratio [M/N]</t>
  </si>
  <si>
    <t>Debt-to-Asset Ratio [R/Q]*100</t>
  </si>
  <si>
    <t>Asset Turnover Ratio [W/Q]*100</t>
  </si>
  <si>
    <t>Revenue per Full Time Laborer [W/U]</t>
  </si>
  <si>
    <t xml:space="preserve">Operating Expense Ratio [ (Y-C)/W]*100 </t>
  </si>
  <si>
    <t xml:space="preserve">Depreciation Expense Ratio [C/W]*100 </t>
  </si>
  <si>
    <t xml:space="preserve">Interest Expense Ratio [X/W]*100 </t>
  </si>
  <si>
    <t>Net Farm Income Ratio [Z/W]*100</t>
  </si>
  <si>
    <t>included in the value on line F.</t>
  </si>
  <si>
    <t>if the operator and family members are paid a reasonable wage by the business and those wages are already</t>
  </si>
  <si>
    <t>Benchmark</t>
  </si>
  <si>
    <t>that 2000 total living expenses for the average three person farm family were $47,526.  Do not include a value here</t>
  </si>
  <si>
    <t>operations. These might include the sale of machinery, land, or other capital assets.</t>
  </si>
  <si>
    <r>
      <t>1</t>
    </r>
    <r>
      <rPr>
        <sz val="10"/>
        <rFont val="Arial"/>
      </rPr>
      <t xml:space="preserve"> If included in total cash operating expenses set to zero.</t>
    </r>
  </si>
  <si>
    <r>
      <t>2</t>
    </r>
    <r>
      <rPr>
        <sz val="10"/>
        <rFont val="Arial"/>
      </rPr>
      <t xml:space="preserve"> Remove from this number the revenue received from the sale of items that are not part of the the ordinary business</t>
    </r>
  </si>
  <si>
    <r>
      <t xml:space="preserve">3 </t>
    </r>
    <r>
      <rPr>
        <sz val="10"/>
        <rFont val="Arial"/>
      </rPr>
      <t>This number is used to approximate the value of unpaid family and operator labor. University of Illinois research indicates</t>
    </r>
  </si>
  <si>
    <r>
      <t>Cost of livestock sold (Schedule F, line 2</t>
    </r>
    <r>
      <rPr>
        <vertAlign val="superscript"/>
        <sz val="10"/>
        <rFont val="Arial"/>
        <family val="2"/>
      </rPr>
      <t>1</t>
    </r>
    <r>
      <rPr>
        <sz val="10"/>
        <rFont val="Arial"/>
      </rPr>
      <t>)</t>
    </r>
  </si>
  <si>
    <r>
      <t>Gross income (Schedule F, line 11</t>
    </r>
    <r>
      <rPr>
        <vertAlign val="superscript"/>
        <sz val="10"/>
        <rFont val="Arial"/>
        <family val="2"/>
      </rPr>
      <t>2</t>
    </r>
    <r>
      <rPr>
        <sz val="10"/>
        <rFont val="Arial"/>
      </rPr>
      <t>)</t>
    </r>
  </si>
  <si>
    <r>
      <t>Family living expenses (all families supported by the farm)</t>
    </r>
    <r>
      <rPr>
        <vertAlign val="superscript"/>
        <sz val="10"/>
        <rFont val="Arial"/>
        <family val="2"/>
      </rPr>
      <t>3</t>
    </r>
  </si>
  <si>
    <t>Family living expenses and taxes (Item V)</t>
  </si>
  <si>
    <t>Term debt repayment capacity [9-10]</t>
  </si>
  <si>
    <t>Term Debt Coverage Ratio [11/12 ]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</si>
</sst>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0" formatCode="_(&quot;$&quot;* #,##0.00_);_(&quot;$&quot;* \(#,##0.00\);_(&quot;$&quot;* &quot;-&quot;??_);_(@_)"/>
    <numFmt numFmtId="172" formatCode="0.000"/>
    <numFmt numFmtId="173" formatCode="0.000%"/>
    <numFmt numFmtId="174" formatCode="#,##0.0_);\(#,##0.0\)"/>
    <numFmt numFmtId="176" formatCode="0.00000"/>
    <numFmt numFmtId="178" formatCode="_(&quot;$&quot;* #,##0_);_(&quot;$&quot;* \(#,##0\);_(&quot;$&quot;* &quot;-&quot;??_);_(@_)"/>
    <numFmt numFmtId="179" formatCode="0.0%"/>
  </numFmts>
  <fonts count="12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b/>
      <i/>
      <sz val="12"/>
      <name val="Arial"/>
      <family val="2"/>
    </font>
    <font>
      <b/>
      <i/>
      <sz val="12"/>
      <name val="Arial"/>
      <family val="2"/>
    </font>
    <font>
      <sz val="10"/>
      <color indexed="12"/>
      <name val="Arial"/>
      <family val="2"/>
    </font>
    <font>
      <b/>
      <sz val="10"/>
      <name val="Arial"/>
      <family val="2"/>
    </font>
    <font>
      <sz val="10"/>
      <color indexed="56"/>
      <name val="Arial"/>
      <family val="2"/>
    </font>
    <font>
      <vertAlign val="superscript"/>
      <sz val="10"/>
      <name val="Arial"/>
      <family val="2"/>
    </font>
    <font>
      <b/>
      <sz val="10"/>
      <color indexed="24"/>
      <name val="Arial"/>
      <family val="2"/>
    </font>
    <font>
      <sz val="10"/>
      <color indexed="24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70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70" fontId="0" fillId="0" borderId="0" xfId="0" applyNumberFormat="1"/>
    <xf numFmtId="172" fontId="0" fillId="0" borderId="0" xfId="0" applyNumberFormat="1"/>
    <xf numFmtId="173" fontId="0" fillId="0" borderId="0" xfId="0" applyNumberFormat="1"/>
    <xf numFmtId="0" fontId="6" fillId="0" borderId="0" xfId="0" applyFont="1" applyAlignment="1">
      <alignment horizontal="center"/>
    </xf>
    <xf numFmtId="176" fontId="0" fillId="0" borderId="0" xfId="0" applyNumberFormat="1"/>
    <xf numFmtId="0" fontId="0" fillId="0" borderId="0" xfId="0" quotePrefix="1" applyAlignment="1">
      <alignment horizontal="center"/>
    </xf>
    <xf numFmtId="0" fontId="7" fillId="0" borderId="0" xfId="0" applyFont="1" applyProtection="1">
      <protection locked="0"/>
    </xf>
    <xf numFmtId="0" fontId="4" fillId="0" borderId="0" xfId="0" applyFont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0" borderId="0" xfId="0" applyFont="1" applyBorder="1"/>
    <xf numFmtId="0" fontId="0" fillId="0" borderId="0" xfId="0" applyBorder="1"/>
    <xf numFmtId="49" fontId="8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0" fillId="0" borderId="0" xfId="0" quotePrefix="1"/>
    <xf numFmtId="0" fontId="9" fillId="0" borderId="0" xfId="0" applyFont="1" applyAlignment="1" applyProtection="1">
      <alignment horizontal="center"/>
      <protection locked="0"/>
    </xf>
    <xf numFmtId="2" fontId="0" fillId="0" borderId="0" xfId="0" applyNumberFormat="1" applyAlignment="1">
      <alignment horizont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1" fillId="0" borderId="0" xfId="1" applyNumberFormat="1" applyFont="1" applyProtection="1">
      <protection locked="0"/>
    </xf>
    <xf numFmtId="178" fontId="0" fillId="0" borderId="0" xfId="0" applyNumberFormat="1"/>
    <xf numFmtId="178" fontId="0" fillId="0" borderId="0" xfId="0" applyNumberFormat="1" applyAlignment="1">
      <alignment horizontal="center"/>
    </xf>
    <xf numFmtId="0" fontId="0" fillId="0" borderId="0" xfId="0" applyNumberFormat="1"/>
    <xf numFmtId="0" fontId="6" fillId="0" borderId="0" xfId="0" applyFont="1"/>
    <xf numFmtId="178" fontId="0" fillId="0" borderId="0" xfId="0" applyNumberFormat="1" applyAlignment="1">
      <alignment horizontal="left"/>
    </xf>
    <xf numFmtId="0" fontId="11" fillId="0" borderId="0" xfId="0" applyFont="1" applyAlignment="1">
      <alignment horizontal="center"/>
    </xf>
    <xf numFmtId="172" fontId="6" fillId="0" borderId="0" xfId="0" applyNumberFormat="1" applyFont="1"/>
    <xf numFmtId="178" fontId="6" fillId="0" borderId="0" xfId="0" applyNumberFormat="1" applyFont="1"/>
    <xf numFmtId="0" fontId="11" fillId="0" borderId="0" xfId="1" applyNumberFormat="1" applyFont="1" applyProtection="1"/>
    <xf numFmtId="0" fontId="0" fillId="0" borderId="0" xfId="0" applyProtection="1"/>
    <xf numFmtId="179" fontId="0" fillId="0" borderId="0" xfId="0" applyNumberFormat="1" applyAlignment="1">
      <alignment horizontal="center"/>
    </xf>
    <xf numFmtId="178" fontId="5" fillId="2" borderId="0" xfId="0" applyNumberFormat="1" applyFont="1" applyFill="1" applyProtection="1">
      <protection locked="0"/>
    </xf>
    <xf numFmtId="178" fontId="5" fillId="2" borderId="0" xfId="1" applyNumberFormat="1" applyFont="1" applyFill="1" applyProtection="1">
      <protection locked="0"/>
    </xf>
    <xf numFmtId="0" fontId="5" fillId="2" borderId="0" xfId="0" applyFont="1" applyFill="1" applyProtection="1">
      <protection locked="0"/>
    </xf>
    <xf numFmtId="178" fontId="5" fillId="2" borderId="0" xfId="0" applyNumberFormat="1" applyFont="1" applyFill="1" applyAlignment="1" applyProtection="1">
      <alignment horizontal="left" indent="1"/>
      <protection locked="0"/>
    </xf>
    <xf numFmtId="179" fontId="5" fillId="2" borderId="0" xfId="0" applyNumberFormat="1" applyFont="1" applyFill="1" applyAlignment="1" applyProtection="1">
      <alignment horizontal="center"/>
      <protection locked="0"/>
    </xf>
    <xf numFmtId="2" fontId="5" fillId="2" borderId="0" xfId="0" applyNumberFormat="1" applyFont="1" applyFill="1" applyAlignment="1" applyProtection="1">
      <alignment horizontal="center"/>
      <protection locked="0"/>
    </xf>
    <xf numFmtId="178" fontId="5" fillId="2" borderId="0" xfId="0" applyNumberFormat="1" applyFont="1" applyFill="1" applyAlignment="1" applyProtection="1">
      <alignment horizontal="center"/>
      <protection locked="0"/>
    </xf>
    <xf numFmtId="10" fontId="7" fillId="2" borderId="0" xfId="0" applyNumberFormat="1" applyFont="1" applyFill="1" applyProtection="1">
      <protection locked="0"/>
    </xf>
    <xf numFmtId="174" fontId="7" fillId="2" borderId="0" xfId="0" applyNumberFormat="1" applyFont="1" applyFill="1" applyProtection="1">
      <protection locked="0"/>
    </xf>
    <xf numFmtId="178" fontId="7" fillId="2" borderId="0" xfId="0" applyNumberFormat="1" applyFont="1" applyFill="1" applyProtection="1">
      <protection locked="0"/>
    </xf>
    <xf numFmtId="179" fontId="0" fillId="0" borderId="0" xfId="3" applyNumberFormat="1" applyFont="1"/>
    <xf numFmtId="179" fontId="11" fillId="0" borderId="0" xfId="3" applyNumberFormat="1" applyFont="1" applyAlignment="1"/>
    <xf numFmtId="172" fontId="11" fillId="0" borderId="0" xfId="0" applyNumberFormat="1" applyFont="1"/>
    <xf numFmtId="179" fontId="11" fillId="0" borderId="0" xfId="0" applyNumberFormat="1" applyFont="1"/>
    <xf numFmtId="0" fontId="11" fillId="0" borderId="0" xfId="1" applyNumberFormat="1" applyFont="1" applyFill="1" applyProtection="1"/>
    <xf numFmtId="0" fontId="8" fillId="0" borderId="0" xfId="0" applyFont="1"/>
    <xf numFmtId="14" fontId="9" fillId="0" borderId="2" xfId="2" applyNumberFormat="1" applyFont="1" applyBorder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4">
    <cellStyle name="Currency" xfId="1" builtinId="4"/>
    <cellStyle name="Normal" xfId="0" builtinId="0"/>
    <cellStyle name="Normal_worksheetsaccrual" xfId="2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Where does the revenue go?</a:t>
            </a:r>
          </a:p>
        </c:rich>
      </c:tx>
      <c:layout>
        <c:manualLayout>
          <c:xMode val="edge"/>
          <c:yMode val="edge"/>
          <c:x val="0.15151985473342733"/>
          <c:y val="3.40919672293461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97934309979759"/>
          <c:y val="0.28220572873181021"/>
          <c:w val="0.56655250030759774"/>
          <c:h val="0.50948551026078481"/>
        </c:manualLayout>
      </c:layout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4"/>
              <c:pt idx="0">
                <c:v>Oper. expense ratio</c:v>
              </c:pt>
              <c:pt idx="1">
                <c:v> Dep. expense ratio</c:v>
              </c:pt>
              <c:pt idx="2">
                <c:v> Int. expense ratio</c:v>
              </c:pt>
              <c:pt idx="3">
                <c:v> Net farm income ratio</c:v>
              </c:pt>
            </c:strLit>
          </c:cat>
          <c:val>
            <c:numRef>
              <c:f>'Performance Measures'!$D$17:$D$20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3E-45E1-A4DA-AD4F5C3F120D}"/>
            </c:ext>
          </c:extLst>
        </c:ser>
        <c:ser>
          <c:idx val="2"/>
          <c:order val="1"/>
          <c:tx>
            <c:v>Benchmark</c:v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4"/>
              <c:pt idx="0">
                <c:v>Oper. expense ratio</c:v>
              </c:pt>
              <c:pt idx="1">
                <c:v> Dep. expense ratio</c:v>
              </c:pt>
              <c:pt idx="2">
                <c:v> Int. expense ratio</c:v>
              </c:pt>
              <c:pt idx="3">
                <c:v> Net farm income ratio</c:v>
              </c:pt>
            </c:strLit>
          </c:cat>
          <c:val>
            <c:numRef>
              <c:f>'Performance Measures'!$F$17:$F$20</c:f>
              <c:numCache>
                <c:formatCode>0.0%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283E-45E1-A4DA-AD4F5C3F1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8234079"/>
        <c:axId val="1"/>
      </c:barChart>
      <c:catAx>
        <c:axId val="1018234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8234079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729530272045106"/>
          <c:y val="0.44887756851972493"/>
          <c:w val="0.2582425350239283"/>
          <c:h val="0.164777841608506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Profitability Measures</a:t>
            </a:r>
          </a:p>
        </c:rich>
      </c:tx>
      <c:layout>
        <c:manualLayout>
          <c:xMode val="edge"/>
          <c:yMode val="edge"/>
          <c:x val="0.23229088843354032"/>
          <c:y val="3.448388356217001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829870278525456"/>
          <c:y val="0.24138718493519012"/>
          <c:w val="0.61681761335459862"/>
          <c:h val="0.62070990411906035"/>
        </c:manualLayout>
      </c:layout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'Input Information'!#REF!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'Input Information'!#REF!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12-45B0-B64F-BB10097F9E35}"/>
            </c:ext>
          </c:extLst>
        </c:ser>
        <c:ser>
          <c:idx val="1"/>
          <c:order val="1"/>
          <c:tx>
            <c:v>Benchmark</c:v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'Input Information'!#REF!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'Input Information'!#REF!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12-45B0-B64F-BB10097F9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8231679"/>
        <c:axId val="1"/>
      </c:barChart>
      <c:catAx>
        <c:axId val="1018231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8231679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611436255192457"/>
          <c:y val="0.49043745510641801"/>
          <c:w val="0.1994814409146787"/>
          <c:h val="0.1245251350856139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8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</xdr:colOff>
      <xdr:row>0</xdr:row>
      <xdr:rowOff>133350</xdr:rowOff>
    </xdr:from>
    <xdr:to>
      <xdr:col>8</xdr:col>
      <xdr:colOff>584200</xdr:colOff>
      <xdr:row>21</xdr:row>
      <xdr:rowOff>152400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0698BC60-8386-43C1-BFD6-54AC26ADED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12700</xdr:colOff>
      <xdr:row>23</xdr:row>
      <xdr:rowOff>0</xdr:rowOff>
    </xdr:from>
    <xdr:to>
      <xdr:col>8</xdr:col>
      <xdr:colOff>584200</xdr:colOff>
      <xdr:row>43</xdr:row>
      <xdr:rowOff>139700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290912FD-4327-46AE-A5CF-F7D879677D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4"/>
  <sheetViews>
    <sheetView tabSelected="1" zoomScaleNormal="100" workbookViewId="0">
      <selection sqref="A1:F1"/>
    </sheetView>
  </sheetViews>
  <sheetFormatPr defaultRowHeight="12.5" x14ac:dyDescent="0.25"/>
  <cols>
    <col min="1" max="1" width="4.453125" customWidth="1"/>
    <col min="2" max="2" width="56.1796875" customWidth="1"/>
    <col min="3" max="3" width="2.81640625" style="2" customWidth="1"/>
    <col min="4" max="4" width="14.7265625" customWidth="1"/>
    <col min="5" max="5" width="2.453125" style="2" customWidth="1"/>
    <col min="6" max="6" width="14.26953125" customWidth="1"/>
    <col min="7" max="7" width="3.7265625" customWidth="1"/>
    <col min="8" max="8" width="13.7265625" customWidth="1"/>
  </cols>
  <sheetData>
    <row r="1" spans="1:6" ht="15.5" x14ac:dyDescent="0.35">
      <c r="A1" s="55" t="s">
        <v>38</v>
      </c>
      <c r="B1" s="55"/>
      <c r="C1" s="55"/>
      <c r="D1" s="55"/>
      <c r="E1" s="55"/>
      <c r="F1" s="55"/>
    </row>
    <row r="3" spans="1:6" ht="13.5" thickBot="1" x14ac:dyDescent="0.35">
      <c r="A3" s="12" t="s">
        <v>67</v>
      </c>
      <c r="B3" s="13"/>
      <c r="D3" s="22"/>
    </row>
    <row r="4" spans="1:6" ht="14.5" x14ac:dyDescent="0.25">
      <c r="B4" t="s">
        <v>124</v>
      </c>
      <c r="C4" s="2" t="s">
        <v>17</v>
      </c>
      <c r="D4" s="38"/>
    </row>
    <row r="5" spans="1:6" ht="14.5" x14ac:dyDescent="0.25">
      <c r="B5" t="s">
        <v>125</v>
      </c>
      <c r="C5" s="2" t="s">
        <v>19</v>
      </c>
      <c r="D5" s="38"/>
    </row>
    <row r="6" spans="1:6" x14ac:dyDescent="0.25">
      <c r="B6" t="s">
        <v>42</v>
      </c>
      <c r="C6" s="25" t="s">
        <v>21</v>
      </c>
      <c r="D6" s="38"/>
    </row>
    <row r="7" spans="1:6" x14ac:dyDescent="0.25">
      <c r="B7" t="s">
        <v>44</v>
      </c>
      <c r="C7" s="2" t="s">
        <v>23</v>
      </c>
      <c r="D7" s="38"/>
    </row>
    <row r="8" spans="1:6" x14ac:dyDescent="0.25">
      <c r="B8" t="s">
        <v>45</v>
      </c>
      <c r="C8" s="2" t="s">
        <v>25</v>
      </c>
      <c r="D8" s="38"/>
    </row>
    <row r="9" spans="1:6" x14ac:dyDescent="0.25">
      <c r="B9" t="s">
        <v>46</v>
      </c>
      <c r="C9" s="25" t="s">
        <v>26</v>
      </c>
      <c r="D9" s="38"/>
    </row>
    <row r="10" spans="1:6" x14ac:dyDescent="0.25">
      <c r="D10" s="35"/>
    </row>
    <row r="11" spans="1:6" ht="13.5" thickBot="1" x14ac:dyDescent="0.35">
      <c r="A11" s="12" t="s">
        <v>68</v>
      </c>
      <c r="B11" s="13"/>
      <c r="D11" s="3" t="s">
        <v>0</v>
      </c>
      <c r="F11" s="3" t="s">
        <v>1</v>
      </c>
    </row>
    <row r="12" spans="1:6" ht="13" x14ac:dyDescent="0.3">
      <c r="A12" s="14"/>
      <c r="B12" s="15" t="s">
        <v>41</v>
      </c>
      <c r="D12" s="54"/>
      <c r="E12" s="20"/>
      <c r="F12" s="54"/>
    </row>
    <row r="13" spans="1:6" ht="9" customHeight="1" x14ac:dyDescent="0.3">
      <c r="A13" s="14"/>
      <c r="B13" s="15"/>
      <c r="D13" s="3"/>
      <c r="F13" s="3"/>
    </row>
    <row r="14" spans="1:6" x14ac:dyDescent="0.25">
      <c r="B14" t="s">
        <v>2</v>
      </c>
      <c r="C14" s="2" t="s">
        <v>69</v>
      </c>
      <c r="D14" s="38"/>
      <c r="E14" s="2" t="s">
        <v>73</v>
      </c>
      <c r="F14" s="38"/>
    </row>
    <row r="15" spans="1:6" x14ac:dyDescent="0.25">
      <c r="B15" t="s">
        <v>43</v>
      </c>
      <c r="C15" s="2" t="s">
        <v>70</v>
      </c>
      <c r="D15" s="38"/>
      <c r="E15" s="2" t="s">
        <v>74</v>
      </c>
      <c r="F15" s="38"/>
    </row>
    <row r="16" spans="1:6" x14ac:dyDescent="0.25">
      <c r="B16" t="s">
        <v>47</v>
      </c>
      <c r="C16" s="2" t="s">
        <v>3</v>
      </c>
      <c r="D16" s="38"/>
      <c r="E16" s="2" t="s">
        <v>75</v>
      </c>
      <c r="F16" s="38"/>
    </row>
    <row r="17" spans="1:6" x14ac:dyDescent="0.25">
      <c r="B17" t="s">
        <v>4</v>
      </c>
      <c r="C17" s="2" t="s">
        <v>71</v>
      </c>
      <c r="D17" s="38"/>
      <c r="E17" s="2" t="s">
        <v>76</v>
      </c>
      <c r="F17" s="38"/>
    </row>
    <row r="18" spans="1:6" x14ac:dyDescent="0.25">
      <c r="B18" t="s">
        <v>48</v>
      </c>
      <c r="C18" s="2" t="s">
        <v>72</v>
      </c>
      <c r="D18" s="38"/>
      <c r="E18" s="2" t="s">
        <v>77</v>
      </c>
      <c r="F18" s="38"/>
    </row>
    <row r="19" spans="1:6" x14ac:dyDescent="0.25">
      <c r="B19" t="s">
        <v>49</v>
      </c>
      <c r="D19" s="35"/>
      <c r="E19" s="2" t="s">
        <v>78</v>
      </c>
      <c r="F19" s="38"/>
    </row>
    <row r="20" spans="1:6" x14ac:dyDescent="0.25">
      <c r="B20" t="s">
        <v>50</v>
      </c>
      <c r="D20" s="26"/>
      <c r="E20" s="2" t="s">
        <v>79</v>
      </c>
      <c r="F20" s="38"/>
    </row>
    <row r="21" spans="1:6" x14ac:dyDescent="0.25">
      <c r="B21" t="s">
        <v>51</v>
      </c>
      <c r="D21" s="26"/>
      <c r="E21" s="2" t="s">
        <v>80</v>
      </c>
      <c r="F21" s="38"/>
    </row>
    <row r="22" spans="1:6" x14ac:dyDescent="0.25">
      <c r="D22" s="26"/>
      <c r="E22" s="26"/>
      <c r="F22" s="52"/>
    </row>
    <row r="23" spans="1:6" ht="13.5" thickBot="1" x14ac:dyDescent="0.35">
      <c r="A23" s="12" t="s">
        <v>5</v>
      </c>
      <c r="B23" s="13"/>
      <c r="D23" s="26"/>
      <c r="E23" s="26"/>
      <c r="F23" s="26"/>
    </row>
    <row r="24" spans="1:6" x14ac:dyDescent="0.25">
      <c r="B24" t="s">
        <v>52</v>
      </c>
      <c r="C24" s="25" t="s">
        <v>81</v>
      </c>
      <c r="D24" s="39"/>
      <c r="E24" s="26"/>
      <c r="F24" s="26"/>
    </row>
    <row r="25" spans="1:6" x14ac:dyDescent="0.25">
      <c r="B25" t="s">
        <v>53</v>
      </c>
      <c r="C25" s="2" t="s">
        <v>82</v>
      </c>
      <c r="D25" s="40"/>
      <c r="E25" s="26"/>
      <c r="F25" s="26"/>
    </row>
    <row r="26" spans="1:6" ht="14.5" x14ac:dyDescent="0.25">
      <c r="B26" t="s">
        <v>126</v>
      </c>
      <c r="C26" s="2" t="s">
        <v>83</v>
      </c>
      <c r="D26" s="41"/>
      <c r="E26" s="26"/>
      <c r="F26" s="26"/>
    </row>
    <row r="27" spans="1:6" x14ac:dyDescent="0.25">
      <c r="E27" s="26"/>
      <c r="F27" s="26"/>
    </row>
    <row r="28" spans="1:6" ht="13.5" thickBot="1" x14ac:dyDescent="0.35">
      <c r="A28" s="12" t="s">
        <v>6</v>
      </c>
      <c r="B28" s="13"/>
      <c r="E28" s="26"/>
      <c r="F28" s="26"/>
    </row>
    <row r="29" spans="1:6" x14ac:dyDescent="0.25">
      <c r="B29" t="s">
        <v>88</v>
      </c>
      <c r="C29" s="2" t="s">
        <v>84</v>
      </c>
      <c r="D29" s="31">
        <f>D4+D5+D24+(F15-F14)-(D15-D14)</f>
        <v>0</v>
      </c>
      <c r="E29" s="26"/>
    </row>
    <row r="30" spans="1:6" x14ac:dyDescent="0.25">
      <c r="B30" t="s">
        <v>89</v>
      </c>
      <c r="C30" s="2" t="s">
        <v>85</v>
      </c>
      <c r="D30" s="31">
        <f>D7+D8+(F17-D17)</f>
        <v>0</v>
      </c>
      <c r="E30" s="26"/>
    </row>
    <row r="31" spans="1:6" x14ac:dyDescent="0.25">
      <c r="B31" t="s">
        <v>90</v>
      </c>
      <c r="C31" s="2" t="s">
        <v>86</v>
      </c>
      <c r="D31" s="31">
        <f>D4+D9-(D7+D8)+(F18-D18)</f>
        <v>0</v>
      </c>
      <c r="E31" s="26"/>
    </row>
    <row r="32" spans="1:6" x14ac:dyDescent="0.25">
      <c r="B32" t="s">
        <v>91</v>
      </c>
      <c r="C32" s="2" t="s">
        <v>87</v>
      </c>
      <c r="D32" s="31">
        <f>D29-D30-D31</f>
        <v>0</v>
      </c>
      <c r="E32" s="26"/>
    </row>
    <row r="34" spans="1:8" ht="13" thickBot="1" x14ac:dyDescent="0.3">
      <c r="A34" s="13"/>
      <c r="B34" s="13"/>
      <c r="C34" s="19"/>
      <c r="D34" s="13"/>
      <c r="E34" s="19"/>
      <c r="F34" s="13"/>
      <c r="G34" s="13"/>
    </row>
    <row r="35" spans="1:8" ht="14.5" x14ac:dyDescent="0.25">
      <c r="A35" s="53" t="s">
        <v>121</v>
      </c>
      <c r="B35" s="17"/>
      <c r="C35" s="18"/>
      <c r="D35" s="17"/>
      <c r="E35" s="18"/>
      <c r="F35" s="17"/>
      <c r="G35" s="17"/>
      <c r="H35" s="17"/>
    </row>
    <row r="37" spans="1:8" ht="14.5" x14ac:dyDescent="0.25">
      <c r="A37" s="53" t="s">
        <v>122</v>
      </c>
    </row>
    <row r="38" spans="1:8" x14ac:dyDescent="0.25">
      <c r="A38" t="s">
        <v>120</v>
      </c>
    </row>
    <row r="40" spans="1:8" ht="14.5" x14ac:dyDescent="0.25">
      <c r="A40" s="16" t="s">
        <v>123</v>
      </c>
    </row>
    <row r="41" spans="1:8" x14ac:dyDescent="0.25">
      <c r="A41" s="17" t="s">
        <v>119</v>
      </c>
    </row>
    <row r="42" spans="1:8" x14ac:dyDescent="0.25">
      <c r="A42" s="17" t="s">
        <v>117</v>
      </c>
    </row>
    <row r="43" spans="1:8" x14ac:dyDescent="0.25">
      <c r="A43" s="17" t="s">
        <v>116</v>
      </c>
    </row>
    <row r="99" spans="8:8" x14ac:dyDescent="0.25">
      <c r="H99" s="4"/>
    </row>
    <row r="100" spans="8:8" x14ac:dyDescent="0.25">
      <c r="H100" s="4"/>
    </row>
    <row r="101" spans="8:8" x14ac:dyDescent="0.25">
      <c r="H101" s="4"/>
    </row>
    <row r="102" spans="8:8" x14ac:dyDescent="0.25">
      <c r="H102" s="4"/>
    </row>
    <row r="103" spans="8:8" x14ac:dyDescent="0.25">
      <c r="H103" s="4"/>
    </row>
    <row r="104" spans="8:8" x14ac:dyDescent="0.25">
      <c r="H104" s="4"/>
    </row>
    <row r="105" spans="8:8" x14ac:dyDescent="0.25">
      <c r="H105" s="4"/>
    </row>
    <row r="109" spans="8:8" x14ac:dyDescent="0.25">
      <c r="H109" s="5"/>
    </row>
    <row r="110" spans="8:8" x14ac:dyDescent="0.25">
      <c r="H110" s="5"/>
    </row>
    <row r="111" spans="8:8" x14ac:dyDescent="0.25">
      <c r="H111" s="6"/>
    </row>
    <row r="112" spans="8:8" x14ac:dyDescent="0.25">
      <c r="H112" s="5"/>
    </row>
    <row r="113" spans="8:8" x14ac:dyDescent="0.25">
      <c r="H113" s="5"/>
    </row>
    <row r="114" spans="8:8" x14ac:dyDescent="0.25">
      <c r="H114" s="6"/>
    </row>
  </sheetData>
  <sheetProtection sheet="1" objects="1" scenarios="1"/>
  <mergeCells count="1">
    <mergeCell ref="A1:F1"/>
  </mergeCells>
  <phoneticPr fontId="0" type="noConversion"/>
  <pageMargins left="0.75" right="0.75" top="1" bottom="1" header="0.5" footer="0.5"/>
  <pageSetup scale="92" orientation="portrait" horizontalDpi="300" verticalDpi="300" r:id="rId1"/>
  <headerFooter alignWithMargins="0"/>
  <rowBreaks count="2" manualBreakCount="2">
    <brk id="49" max="16383" man="1"/>
    <brk id="94" max="16383" man="1"/>
  </rowBreaks>
  <colBreaks count="1" manualBreakCount="1">
    <brk id="6" max="4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zoomScaleNormal="100" workbookViewId="0">
      <selection sqref="A1:H1"/>
    </sheetView>
  </sheetViews>
  <sheetFormatPr defaultRowHeight="12.5" x14ac:dyDescent="0.25"/>
  <cols>
    <col min="1" max="1" width="5.81640625" customWidth="1"/>
    <col min="2" max="2" width="38.81640625" customWidth="1"/>
    <col min="3" max="3" width="1.1796875" customWidth="1"/>
    <col min="4" max="4" width="13.54296875" customWidth="1"/>
    <col min="5" max="5" width="1.453125" customWidth="1"/>
    <col min="6" max="6" width="12.26953125" customWidth="1"/>
    <col min="7" max="7" width="1.54296875" customWidth="1"/>
    <col min="8" max="8" width="15.1796875" bestFit="1" customWidth="1"/>
  </cols>
  <sheetData>
    <row r="1" spans="1:8" ht="15.5" x14ac:dyDescent="0.35">
      <c r="A1" s="56" t="s">
        <v>39</v>
      </c>
      <c r="B1" s="56"/>
      <c r="C1" s="56"/>
      <c r="D1" s="56"/>
      <c r="E1" s="56"/>
      <c r="F1" s="56"/>
      <c r="G1" s="56"/>
      <c r="H1" s="56"/>
    </row>
    <row r="2" spans="1:8" x14ac:dyDescent="0.25">
      <c r="C2" s="2"/>
      <c r="E2" s="2"/>
    </row>
    <row r="3" spans="1:8" ht="13" x14ac:dyDescent="0.3">
      <c r="A3" s="1" t="s">
        <v>7</v>
      </c>
      <c r="C3" s="2"/>
      <c r="D3" s="3" t="s">
        <v>8</v>
      </c>
      <c r="E3" s="2"/>
      <c r="F3" s="3" t="s">
        <v>118</v>
      </c>
      <c r="H3" s="3" t="s">
        <v>9</v>
      </c>
    </row>
    <row r="4" spans="1:8" x14ac:dyDescent="0.25">
      <c r="B4" t="s">
        <v>105</v>
      </c>
      <c r="C4" s="2"/>
      <c r="D4" s="37" t="str">
        <f>IF('Input Information'!F19=0,"Must input data",(('Input Information'!D32+'Input Information'!D30-'Input Information'!D26)/'Input Information'!F19))</f>
        <v>Must input data</v>
      </c>
      <c r="E4" s="2"/>
      <c r="F4" s="42"/>
      <c r="H4" s="2" t="str">
        <f>IF(F4&lt;=0,"Input Benchmark",IF(D4&gt;F4, "strong","weak"))</f>
        <v>Input Benchmark</v>
      </c>
    </row>
    <row r="5" spans="1:8" x14ac:dyDescent="0.25">
      <c r="B5" t="s">
        <v>106</v>
      </c>
      <c r="C5" s="2"/>
      <c r="D5" s="37" t="str">
        <f>IF('Input Information'!F21=0,"Must input data",(('Input Information'!D32-'Input Information'!D26)/'Input Information'!F21))</f>
        <v>Must input data</v>
      </c>
      <c r="E5" s="2"/>
      <c r="F5" s="42"/>
      <c r="H5" s="2" t="str">
        <f>IF(F5&lt;=0,"Input Benchmark",IF(D5&gt;F5, "strong","weak"))</f>
        <v>Input Benchmark</v>
      </c>
    </row>
    <row r="6" spans="1:8" x14ac:dyDescent="0.25">
      <c r="B6" t="s">
        <v>107</v>
      </c>
      <c r="C6" s="2"/>
      <c r="D6" s="37" t="str">
        <f>IF('Input Information'!D29=0,"Must input data",(('Input Information'!D32+'Input Information'!D30-'Input Information'!D26)/'Input Information'!D29))</f>
        <v>Must input data</v>
      </c>
      <c r="E6" s="2"/>
      <c r="F6" s="42"/>
      <c r="H6" s="2" t="str">
        <f>IF(F6&lt;=0,"Input Benchmark",IF(D6&gt;F6, "strong","weak"))</f>
        <v>Input Benchmark</v>
      </c>
    </row>
    <row r="7" spans="1:8" x14ac:dyDescent="0.25">
      <c r="C7" s="2"/>
      <c r="F7" s="36"/>
    </row>
    <row r="8" spans="1:8" ht="13" x14ac:dyDescent="0.3">
      <c r="A8" s="1" t="s">
        <v>10</v>
      </c>
      <c r="C8" s="2"/>
      <c r="F8" s="36"/>
    </row>
    <row r="9" spans="1:8" x14ac:dyDescent="0.25">
      <c r="B9" t="s">
        <v>108</v>
      </c>
      <c r="C9" s="2"/>
      <c r="D9" s="23" t="str">
        <f>IF('Input Information'!F16=0,"Not applicable",('Input Information'!F15/'Input Information'!F16))</f>
        <v>Not applicable</v>
      </c>
      <c r="E9" s="2"/>
      <c r="F9" s="43"/>
      <c r="H9" s="2" t="str">
        <f>IF(F9&lt;=0,"Input Benchmark",IF(D9&gt;F9, "strong","weak"))</f>
        <v>Input Benchmark</v>
      </c>
    </row>
    <row r="10" spans="1:8" x14ac:dyDescent="0.25">
      <c r="C10" s="2"/>
      <c r="F10" s="36"/>
    </row>
    <row r="11" spans="1:8" ht="13" x14ac:dyDescent="0.3">
      <c r="A11" s="1" t="s">
        <v>11</v>
      </c>
      <c r="C11" s="2"/>
      <c r="F11" s="36"/>
    </row>
    <row r="12" spans="1:8" x14ac:dyDescent="0.25">
      <c r="B12" t="s">
        <v>109</v>
      </c>
      <c r="C12" s="2"/>
      <c r="D12" s="37" t="str">
        <f>IF('Input Information'!F19=0,"Must input data",('Input Information'!F20/'Input Information'!F19))</f>
        <v>Must input data</v>
      </c>
      <c r="E12" s="2"/>
      <c r="F12" s="42"/>
      <c r="H12" s="2" t="str">
        <f>IF(F12&lt;=0,"Input Benchmark",IF(D12&lt;F12, "strong","weak"))</f>
        <v>Input Benchmark</v>
      </c>
    </row>
    <row r="13" spans="1:8" x14ac:dyDescent="0.25">
      <c r="C13" s="2"/>
      <c r="F13" s="36"/>
    </row>
    <row r="14" spans="1:8" ht="13" x14ac:dyDescent="0.3">
      <c r="A14" s="1" t="s">
        <v>12</v>
      </c>
      <c r="C14" s="2"/>
      <c r="F14" s="36"/>
    </row>
    <row r="15" spans="1:8" x14ac:dyDescent="0.25">
      <c r="B15" t="s">
        <v>110</v>
      </c>
      <c r="C15" s="2"/>
      <c r="D15" s="37" t="str">
        <f>IF('Input Information'!F19=0,"Must input data",('Input Information'!D29/'Input Information'!F19))</f>
        <v>Must input data</v>
      </c>
      <c r="E15" s="2"/>
      <c r="F15" s="42"/>
      <c r="H15" s="2" t="str">
        <f t="shared" ref="H15:H20" si="0">IF(F15&lt;=0,"Input Benchmark",IF(D15&gt;F15, "strong","weak"))</f>
        <v>Input Benchmark</v>
      </c>
    </row>
    <row r="16" spans="1:8" x14ac:dyDescent="0.25">
      <c r="B16" t="s">
        <v>111</v>
      </c>
      <c r="C16" s="2"/>
      <c r="D16" s="28" t="str">
        <f>IF('Input Information'!D25=0,"Must input data",('Input Information'!D29/'Input Information'!D25))</f>
        <v>Must input data</v>
      </c>
      <c r="E16" s="2"/>
      <c r="F16" s="44"/>
      <c r="H16" s="2" t="str">
        <f t="shared" si="0"/>
        <v>Input Benchmark</v>
      </c>
    </row>
    <row r="17" spans="2:8" x14ac:dyDescent="0.25">
      <c r="B17" t="s">
        <v>112</v>
      </c>
      <c r="C17" s="2"/>
      <c r="D17" s="37" t="str">
        <f>IF('Input Information'!D29=0,"Must input data",(('Input Information'!D31-'Input Information'!D6)/'Input Information'!D29))</f>
        <v>Must input data</v>
      </c>
      <c r="E17" s="2"/>
      <c r="F17" s="42"/>
      <c r="H17" s="2" t="str">
        <f>IF(F17&lt;=0,"Input Benchmark",IF(D17&lt;F17, "strong","weak"))</f>
        <v>Input Benchmark</v>
      </c>
    </row>
    <row r="18" spans="2:8" x14ac:dyDescent="0.25">
      <c r="B18" t="s">
        <v>113</v>
      </c>
      <c r="C18" s="2"/>
      <c r="D18" s="37" t="str">
        <f>IF('Input Information'!D29=0,"Must input data",('Input Information'!D6/'Input Information'!D29))</f>
        <v>Must input data</v>
      </c>
      <c r="E18" s="2"/>
      <c r="F18" s="42"/>
      <c r="H18" s="2" t="str">
        <f>IF(F18&lt;=0,"Input Benchmark",IF(D18&lt;F18, "strong","weak"))</f>
        <v>Input Benchmark</v>
      </c>
    </row>
    <row r="19" spans="2:8" x14ac:dyDescent="0.25">
      <c r="B19" t="s">
        <v>114</v>
      </c>
      <c r="C19" s="2"/>
      <c r="D19" s="37" t="str">
        <f>IF('Input Information'!D29=0,"Must input data",('Input Information'!D30/'Input Information'!D29))</f>
        <v>Must input data</v>
      </c>
      <c r="E19" s="2"/>
      <c r="F19" s="42"/>
      <c r="H19" s="2" t="str">
        <f>IF(F19&lt;=0,"Input Benchmark",IF(D19&lt;F19, "strong","weak"))</f>
        <v>Input Benchmark</v>
      </c>
    </row>
    <row r="20" spans="2:8" x14ac:dyDescent="0.25">
      <c r="B20" t="s">
        <v>115</v>
      </c>
      <c r="C20" s="2"/>
      <c r="D20" s="37" t="str">
        <f>IF('Input Information'!D29=0,"Must input data",('Input Information'!D32/'Input Information'!D29))</f>
        <v>Must input data</v>
      </c>
      <c r="E20" s="2"/>
      <c r="F20" s="42"/>
      <c r="H20" s="2" t="str">
        <f t="shared" si="0"/>
        <v>Input Benchmark</v>
      </c>
    </row>
    <row r="21" spans="2:8" x14ac:dyDescent="0.25">
      <c r="C21" s="2"/>
    </row>
  </sheetData>
  <sheetProtection sheet="1" objects="1" scenarios="1"/>
  <mergeCells count="1">
    <mergeCell ref="A1:H1"/>
  </mergeCells>
  <phoneticPr fontId="0" type="noConversion"/>
  <pageMargins left="0.75" right="0.75" top="1" bottom="1" header="0.5" footer="0.5"/>
  <pageSetup scale="96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0"/>
  <sheetViews>
    <sheetView zoomScaleNormal="100" workbookViewId="0">
      <selection sqref="A1:D1"/>
    </sheetView>
  </sheetViews>
  <sheetFormatPr defaultRowHeight="12.5" x14ac:dyDescent="0.25"/>
  <cols>
    <col min="1" max="1" width="7.81640625" customWidth="1"/>
    <col min="2" max="2" width="63.7265625" customWidth="1"/>
    <col min="3" max="3" width="3.54296875" customWidth="1"/>
    <col min="4" max="4" width="15.81640625" customWidth="1"/>
  </cols>
  <sheetData>
    <row r="1" spans="1:4" ht="15.5" x14ac:dyDescent="0.35">
      <c r="A1" s="56" t="s">
        <v>104</v>
      </c>
      <c r="B1" s="56"/>
      <c r="C1" s="56"/>
      <c r="D1" s="56"/>
    </row>
    <row r="2" spans="1:4" x14ac:dyDescent="0.25">
      <c r="C2" s="2"/>
    </row>
    <row r="3" spans="1:4" ht="13" x14ac:dyDescent="0.3">
      <c r="A3" s="1" t="s">
        <v>27</v>
      </c>
      <c r="C3" s="2"/>
    </row>
    <row r="4" spans="1:4" x14ac:dyDescent="0.25">
      <c r="B4" t="s">
        <v>92</v>
      </c>
      <c r="C4" s="2">
        <v>1</v>
      </c>
      <c r="D4" s="27">
        <f>'Input Information'!F15</f>
        <v>0</v>
      </c>
    </row>
    <row r="5" spans="1:4" x14ac:dyDescent="0.25">
      <c r="B5" t="s">
        <v>93</v>
      </c>
      <c r="C5" s="9">
        <v>2</v>
      </c>
      <c r="D5" s="27">
        <f>'Input Information'!F16</f>
        <v>0</v>
      </c>
    </row>
    <row r="6" spans="1:4" x14ac:dyDescent="0.25">
      <c r="B6" t="s">
        <v>55</v>
      </c>
      <c r="C6" s="2"/>
      <c r="D6" s="5" t="str">
        <f>IF(D5=0,"Not Applicable",(D4/D5))</f>
        <v>Not Applicable</v>
      </c>
    </row>
    <row r="7" spans="1:4" x14ac:dyDescent="0.25">
      <c r="C7" s="2"/>
    </row>
    <row r="8" spans="1:4" ht="13" x14ac:dyDescent="0.3">
      <c r="A8" s="1" t="s">
        <v>28</v>
      </c>
      <c r="C8" s="2"/>
    </row>
    <row r="9" spans="1:4" x14ac:dyDescent="0.25">
      <c r="B9" t="s">
        <v>92</v>
      </c>
      <c r="C9" s="2">
        <v>3</v>
      </c>
      <c r="D9" s="27">
        <f>'Input Information'!F15</f>
        <v>0</v>
      </c>
    </row>
    <row r="10" spans="1:4" x14ac:dyDescent="0.25">
      <c r="B10" t="s">
        <v>93</v>
      </c>
      <c r="C10" s="2">
        <v>4</v>
      </c>
      <c r="D10" s="27">
        <f>'Input Information'!F16</f>
        <v>0</v>
      </c>
    </row>
    <row r="11" spans="1:4" x14ac:dyDescent="0.25">
      <c r="A11" t="s">
        <v>29</v>
      </c>
      <c r="B11" t="s">
        <v>56</v>
      </c>
      <c r="C11" s="2"/>
      <c r="D11" s="27">
        <f>D4-D5</f>
        <v>0</v>
      </c>
    </row>
    <row r="12" spans="1:4" x14ac:dyDescent="0.25">
      <c r="C12" s="2"/>
    </row>
    <row r="13" spans="1:4" ht="13" x14ac:dyDescent="0.3">
      <c r="A13" s="1" t="s">
        <v>30</v>
      </c>
      <c r="C13" s="2"/>
    </row>
    <row r="14" spans="1:4" x14ac:dyDescent="0.25">
      <c r="B14" t="s">
        <v>94</v>
      </c>
      <c r="C14" s="2">
        <v>5</v>
      </c>
      <c r="D14" s="27">
        <f>'Input Information'!D32</f>
        <v>0</v>
      </c>
    </row>
    <row r="15" spans="1:4" x14ac:dyDescent="0.25">
      <c r="B15" t="s">
        <v>95</v>
      </c>
      <c r="C15" s="2">
        <v>6</v>
      </c>
      <c r="D15" s="27">
        <f>+'Input Information'!D7</f>
        <v>0</v>
      </c>
    </row>
    <row r="16" spans="1:4" x14ac:dyDescent="0.25">
      <c r="B16" t="s">
        <v>96</v>
      </c>
      <c r="C16" s="2">
        <v>7</v>
      </c>
      <c r="D16" s="27">
        <f>'Input Information'!D6</f>
        <v>0</v>
      </c>
    </row>
    <row r="17" spans="1:4" x14ac:dyDescent="0.25">
      <c r="B17" t="s">
        <v>127</v>
      </c>
      <c r="C17" s="2">
        <v>8</v>
      </c>
      <c r="D17" s="27">
        <f>'Input Information'!D26</f>
        <v>0</v>
      </c>
    </row>
    <row r="18" spans="1:4" x14ac:dyDescent="0.25">
      <c r="B18" t="s">
        <v>58</v>
      </c>
      <c r="C18" s="2">
        <v>9</v>
      </c>
      <c r="D18" s="27">
        <f>D14+D15+D16-D17</f>
        <v>0</v>
      </c>
    </row>
    <row r="19" spans="1:4" x14ac:dyDescent="0.25">
      <c r="B19" t="s">
        <v>59</v>
      </c>
      <c r="C19" s="2">
        <v>10</v>
      </c>
      <c r="D19" s="38"/>
    </row>
    <row r="20" spans="1:4" x14ac:dyDescent="0.25">
      <c r="B20" t="s">
        <v>128</v>
      </c>
      <c r="C20" s="2">
        <v>11</v>
      </c>
      <c r="D20" s="27">
        <f>D18-D19</f>
        <v>0</v>
      </c>
    </row>
    <row r="21" spans="1:4" x14ac:dyDescent="0.25">
      <c r="B21" t="s">
        <v>60</v>
      </c>
      <c r="C21" s="2">
        <v>12</v>
      </c>
      <c r="D21" s="38"/>
    </row>
    <row r="22" spans="1:4" s="30" customFormat="1" ht="13" x14ac:dyDescent="0.3">
      <c r="B22" s="30" t="s">
        <v>129</v>
      </c>
      <c r="C22" s="7">
        <v>13</v>
      </c>
      <c r="D22" s="33" t="str">
        <f>IF(D21=0,"Not Applicable",(D20/D21))</f>
        <v>Not Applicable</v>
      </c>
    </row>
    <row r="23" spans="1:4" x14ac:dyDescent="0.25">
      <c r="C23" s="2"/>
    </row>
    <row r="24" spans="1:4" ht="13" x14ac:dyDescent="0.3">
      <c r="A24" s="1" t="s">
        <v>33</v>
      </c>
      <c r="C24" s="2"/>
    </row>
    <row r="25" spans="1:4" ht="13" x14ac:dyDescent="0.3">
      <c r="A25" s="1"/>
      <c r="B25" t="s">
        <v>57</v>
      </c>
      <c r="C25" s="2">
        <v>14</v>
      </c>
      <c r="D25" s="27">
        <f t="shared" ref="D25:D32" si="0">+D14</f>
        <v>0</v>
      </c>
    </row>
    <row r="26" spans="1:4" ht="13" x14ac:dyDescent="0.3">
      <c r="A26" s="1"/>
      <c r="B26" t="s">
        <v>54</v>
      </c>
      <c r="C26" s="2">
        <v>15</v>
      </c>
      <c r="D26" s="27">
        <f t="shared" si="0"/>
        <v>0</v>
      </c>
    </row>
    <row r="27" spans="1:4" ht="13" x14ac:dyDescent="0.3">
      <c r="A27" s="1"/>
      <c r="B27" t="s">
        <v>34</v>
      </c>
      <c r="C27" s="2">
        <v>16</v>
      </c>
      <c r="D27" s="27">
        <f t="shared" si="0"/>
        <v>0</v>
      </c>
    </row>
    <row r="28" spans="1:4" ht="13" x14ac:dyDescent="0.3">
      <c r="A28" s="1"/>
      <c r="B28" t="s">
        <v>35</v>
      </c>
      <c r="C28" s="2">
        <v>17</v>
      </c>
      <c r="D28" s="27">
        <f t="shared" si="0"/>
        <v>0</v>
      </c>
    </row>
    <row r="29" spans="1:4" ht="13" x14ac:dyDescent="0.3">
      <c r="A29" s="1"/>
      <c r="B29" t="s">
        <v>61</v>
      </c>
      <c r="C29" s="2">
        <v>18</v>
      </c>
      <c r="D29" s="27">
        <f t="shared" si="0"/>
        <v>0</v>
      </c>
    </row>
    <row r="30" spans="1:4" ht="13" x14ac:dyDescent="0.3">
      <c r="A30" s="1"/>
      <c r="B30" t="s">
        <v>59</v>
      </c>
      <c r="C30" s="2">
        <v>19</v>
      </c>
      <c r="D30" s="27">
        <f t="shared" si="0"/>
        <v>0</v>
      </c>
    </row>
    <row r="31" spans="1:4" ht="13" x14ac:dyDescent="0.3">
      <c r="A31" s="1"/>
      <c r="B31" t="s">
        <v>62</v>
      </c>
      <c r="C31" s="2">
        <v>20</v>
      </c>
      <c r="D31" s="27">
        <f t="shared" si="0"/>
        <v>0</v>
      </c>
    </row>
    <row r="32" spans="1:4" ht="13" x14ac:dyDescent="0.3">
      <c r="A32" s="1"/>
      <c r="B32" t="s">
        <v>60</v>
      </c>
      <c r="C32" s="2">
        <v>21</v>
      </c>
      <c r="D32" s="27">
        <f t="shared" si="0"/>
        <v>0</v>
      </c>
    </row>
    <row r="33" spans="1:4" s="30" customFormat="1" ht="13" x14ac:dyDescent="0.3">
      <c r="B33" s="30" t="s">
        <v>63</v>
      </c>
      <c r="C33" s="7">
        <v>22</v>
      </c>
      <c r="D33" s="34">
        <f>D31-D32</f>
        <v>0</v>
      </c>
    </row>
    <row r="34" spans="1:4" ht="13" x14ac:dyDescent="0.3">
      <c r="A34" s="1"/>
      <c r="C34" s="2"/>
    </row>
    <row r="35" spans="1:4" ht="13" x14ac:dyDescent="0.3">
      <c r="A35" s="1"/>
      <c r="C35" s="2"/>
    </row>
    <row r="36" spans="1:4" x14ac:dyDescent="0.25">
      <c r="B36" t="s">
        <v>63</v>
      </c>
      <c r="C36" s="2">
        <v>23</v>
      </c>
      <c r="D36" s="27">
        <f>D20-D21</f>
        <v>0</v>
      </c>
    </row>
    <row r="37" spans="1:4" x14ac:dyDescent="0.25">
      <c r="B37" t="s">
        <v>31</v>
      </c>
      <c r="C37" s="2"/>
      <c r="D37" s="45"/>
    </row>
    <row r="38" spans="1:4" x14ac:dyDescent="0.25">
      <c r="B38" t="s">
        <v>32</v>
      </c>
      <c r="C38" s="2"/>
      <c r="D38" s="46"/>
    </row>
    <row r="39" spans="1:4" x14ac:dyDescent="0.25">
      <c r="B39" t="s">
        <v>64</v>
      </c>
      <c r="C39" s="2">
        <v>24</v>
      </c>
      <c r="D39" s="8" t="str">
        <f>IF(D38=0,"Must input data",(D37/(1-(1+D37)^-D38)))</f>
        <v>Must input data</v>
      </c>
    </row>
    <row r="40" spans="1:4" x14ac:dyDescent="0.25">
      <c r="B40" t="s">
        <v>65</v>
      </c>
      <c r="C40" s="2">
        <v>25</v>
      </c>
      <c r="D40" s="31" t="str">
        <f>IF(D39="Must input data","Must input data",(D36/D39))</f>
        <v>Must input data</v>
      </c>
    </row>
  </sheetData>
  <sheetProtection sheet="1" objects="1" scenarios="1"/>
  <mergeCells count="1">
    <mergeCell ref="A1:D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zoomScaleNormal="100" workbookViewId="0">
      <selection sqref="A1:E1"/>
    </sheetView>
  </sheetViews>
  <sheetFormatPr defaultRowHeight="12.5" x14ac:dyDescent="0.25"/>
  <cols>
    <col min="1" max="1" width="2.81640625" customWidth="1"/>
    <col min="2" max="2" width="47.1796875" customWidth="1"/>
    <col min="3" max="3" width="16.81640625" customWidth="1"/>
    <col min="4" max="4" width="2.453125" customWidth="1"/>
    <col min="5" max="5" width="17.26953125" customWidth="1"/>
  </cols>
  <sheetData>
    <row r="1" spans="1:6" ht="15.5" x14ac:dyDescent="0.35">
      <c r="A1" s="56" t="s">
        <v>40</v>
      </c>
      <c r="B1" s="56"/>
      <c r="C1" s="56"/>
      <c r="D1" s="56"/>
      <c r="E1" s="56"/>
    </row>
    <row r="2" spans="1:6" ht="15.5" x14ac:dyDescent="0.35">
      <c r="A2" s="11"/>
      <c r="B2" s="11"/>
      <c r="C2" s="11"/>
      <c r="D2" s="11"/>
      <c r="E2" s="11"/>
    </row>
    <row r="3" spans="1:6" x14ac:dyDescent="0.25">
      <c r="D3" s="2"/>
      <c r="E3" s="10"/>
    </row>
    <row r="4" spans="1:6" ht="13" x14ac:dyDescent="0.3">
      <c r="A4" s="1" t="s">
        <v>13</v>
      </c>
      <c r="C4" s="7" t="s">
        <v>14</v>
      </c>
      <c r="D4" s="2"/>
      <c r="E4" s="7" t="s">
        <v>15</v>
      </c>
    </row>
    <row r="5" spans="1:6" x14ac:dyDescent="0.25">
      <c r="A5" s="2">
        <v>1</v>
      </c>
      <c r="B5" t="s">
        <v>98</v>
      </c>
      <c r="C5" s="27">
        <f>'Input Information'!D29</f>
        <v>0</v>
      </c>
      <c r="D5" s="28"/>
      <c r="E5" s="47"/>
    </row>
    <row r="6" spans="1:6" x14ac:dyDescent="0.25">
      <c r="A6" s="2">
        <v>2</v>
      </c>
      <c r="B6" t="s">
        <v>99</v>
      </c>
      <c r="C6" s="27">
        <f>'Input Information'!D30+'Input Information'!D26+'Input Information'!D6</f>
        <v>0</v>
      </c>
      <c r="D6" s="28"/>
      <c r="E6" s="47"/>
    </row>
    <row r="7" spans="1:6" x14ac:dyDescent="0.25">
      <c r="A7" s="2"/>
      <c r="B7" t="s">
        <v>97</v>
      </c>
      <c r="C7" s="29"/>
      <c r="D7" s="29"/>
      <c r="E7" s="29"/>
    </row>
    <row r="8" spans="1:6" x14ac:dyDescent="0.25">
      <c r="A8" s="2">
        <v>3</v>
      </c>
      <c r="B8" t="s">
        <v>100</v>
      </c>
      <c r="C8" s="27">
        <f>'Input Information'!D31-'Input Information'!D6</f>
        <v>0</v>
      </c>
      <c r="D8" s="28"/>
      <c r="E8" s="47"/>
    </row>
    <row r="9" spans="1:6" x14ac:dyDescent="0.25">
      <c r="A9" s="2"/>
      <c r="B9" s="21" t="s">
        <v>66</v>
      </c>
      <c r="C9" s="29"/>
      <c r="D9" s="29"/>
      <c r="E9" s="29"/>
      <c r="F9" s="27"/>
    </row>
    <row r="10" spans="1:6" x14ac:dyDescent="0.25">
      <c r="A10" s="2">
        <v>4</v>
      </c>
      <c r="B10" t="s">
        <v>36</v>
      </c>
      <c r="C10" s="27">
        <f>C5-C6-C8</f>
        <v>0</v>
      </c>
      <c r="D10" s="28"/>
      <c r="E10" s="27">
        <f>E5-E6-E8</f>
        <v>0</v>
      </c>
    </row>
    <row r="11" spans="1:6" x14ac:dyDescent="0.25">
      <c r="A11" s="2">
        <v>5</v>
      </c>
      <c r="B11" t="s">
        <v>101</v>
      </c>
      <c r="C11" s="27">
        <f>'Input Information'!F19</f>
        <v>0</v>
      </c>
      <c r="D11" s="28"/>
      <c r="E11" s="47"/>
    </row>
    <row r="12" spans="1:6" x14ac:dyDescent="0.25">
      <c r="A12" s="2">
        <v>6</v>
      </c>
      <c r="B12" t="s">
        <v>102</v>
      </c>
      <c r="C12" s="27">
        <f>'Input Information'!F21</f>
        <v>0</v>
      </c>
      <c r="D12" s="28"/>
      <c r="E12" s="47"/>
    </row>
    <row r="13" spans="1:6" x14ac:dyDescent="0.25">
      <c r="A13" s="2">
        <v>7</v>
      </c>
      <c r="B13" t="s">
        <v>103</v>
      </c>
      <c r="C13" s="27">
        <f>'Input Information'!D30</f>
        <v>0</v>
      </c>
      <c r="D13" s="28"/>
      <c r="E13" s="47"/>
    </row>
    <row r="14" spans="1:6" x14ac:dyDescent="0.25">
      <c r="A14" s="2"/>
      <c r="C14" s="29"/>
      <c r="D14" s="29"/>
      <c r="E14" s="29"/>
    </row>
    <row r="15" spans="1:6" x14ac:dyDescent="0.25">
      <c r="A15" s="2"/>
      <c r="C15" s="29"/>
      <c r="D15" s="29"/>
      <c r="E15" s="29"/>
    </row>
    <row r="16" spans="1:6" x14ac:dyDescent="0.25">
      <c r="A16" s="2"/>
      <c r="C16" s="29"/>
      <c r="D16" s="29"/>
      <c r="E16" s="29"/>
    </row>
    <row r="17" spans="1:5" x14ac:dyDescent="0.25">
      <c r="A17" s="2" t="s">
        <v>17</v>
      </c>
      <c r="B17" t="s">
        <v>16</v>
      </c>
      <c r="C17" s="48" t="str">
        <f>IF(C5=0,"Must input data",((C10+C13)/C5))</f>
        <v>Must input data</v>
      </c>
      <c r="D17" s="2"/>
      <c r="E17" s="48" t="str">
        <f>IF(E5=0,"Must input data",((E10+E13)/E5))</f>
        <v>Must input data</v>
      </c>
    </row>
    <row r="18" spans="1:5" x14ac:dyDescent="0.25">
      <c r="A18" s="2" t="s">
        <v>19</v>
      </c>
      <c r="B18" t="s">
        <v>18</v>
      </c>
      <c r="C18" s="48" t="str">
        <f>IF(C11=0,"Must input data",(C5/C11))</f>
        <v>Must input data</v>
      </c>
      <c r="D18" s="2"/>
      <c r="E18" s="48" t="str">
        <f>IF(E11=0,"Must input data",(E5/E11))</f>
        <v>Must input data</v>
      </c>
    </row>
    <row r="19" spans="1:5" x14ac:dyDescent="0.25">
      <c r="A19" s="32" t="s">
        <v>21</v>
      </c>
      <c r="B19" s="24" t="s">
        <v>20</v>
      </c>
      <c r="C19" s="49" t="e">
        <f>C17*C18</f>
        <v>#VALUE!</v>
      </c>
      <c r="D19" s="32"/>
      <c r="E19" s="49" t="e">
        <f>E17*E18</f>
        <v>#VALUE!</v>
      </c>
    </row>
    <row r="20" spans="1:5" x14ac:dyDescent="0.25">
      <c r="A20" s="32" t="s">
        <v>23</v>
      </c>
      <c r="B20" s="24" t="s">
        <v>22</v>
      </c>
      <c r="C20" s="50" t="str">
        <f>IF(C11=0,"Must input data",(C13/C11))</f>
        <v>Must input data</v>
      </c>
      <c r="D20" s="32"/>
      <c r="E20" s="50" t="str">
        <f>IF(E11=0,"Must input data",(E13/E11))</f>
        <v>Must input data</v>
      </c>
    </row>
    <row r="21" spans="1:5" x14ac:dyDescent="0.25">
      <c r="A21" s="32" t="s">
        <v>25</v>
      </c>
      <c r="B21" s="24" t="s">
        <v>24</v>
      </c>
      <c r="C21" s="50" t="str">
        <f>IF(C12=0,"Must input data",(C11/C12))</f>
        <v>Must input data</v>
      </c>
      <c r="D21" s="32"/>
      <c r="E21" s="50" t="str">
        <f>IF(E12=0,"Must input data",(E11/E12))</f>
        <v>Must input data</v>
      </c>
    </row>
    <row r="22" spans="1:5" x14ac:dyDescent="0.25">
      <c r="A22" s="32" t="s">
        <v>26</v>
      </c>
      <c r="B22" s="24" t="s">
        <v>37</v>
      </c>
      <c r="C22" s="51" t="e">
        <f>((C19-C20)*C21)</f>
        <v>#VALUE!</v>
      </c>
      <c r="D22" s="32"/>
      <c r="E22" s="51" t="e">
        <f>((E19-E20)*E21)</f>
        <v>#VALUE!</v>
      </c>
    </row>
    <row r="23" spans="1:5" x14ac:dyDescent="0.25">
      <c r="C23" s="24"/>
      <c r="D23" s="24"/>
      <c r="E23" s="24"/>
    </row>
    <row r="24" spans="1:5" x14ac:dyDescent="0.25">
      <c r="C24" s="24"/>
      <c r="D24" s="24"/>
      <c r="E24" s="24"/>
    </row>
    <row r="25" spans="1:5" x14ac:dyDescent="0.25">
      <c r="C25" s="24"/>
      <c r="D25" s="24"/>
      <c r="E25" s="24"/>
    </row>
    <row r="26" spans="1:5" x14ac:dyDescent="0.25">
      <c r="C26" s="24"/>
      <c r="D26" s="32"/>
      <c r="E26" s="24"/>
    </row>
    <row r="27" spans="1:5" x14ac:dyDescent="0.25">
      <c r="C27" s="24"/>
      <c r="D27" s="24"/>
      <c r="E27" s="24"/>
    </row>
    <row r="28" spans="1:5" x14ac:dyDescent="0.25">
      <c r="C28" s="24"/>
      <c r="D28" s="24"/>
      <c r="E28" s="24"/>
    </row>
    <row r="29" spans="1:5" x14ac:dyDescent="0.25">
      <c r="C29" s="24"/>
      <c r="D29" s="24"/>
      <c r="E29" s="24"/>
    </row>
  </sheetData>
  <sheetProtection sheet="1" objects="1" scenarios="1"/>
  <mergeCells count="1">
    <mergeCell ref="A1:E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Input Information</vt:lpstr>
      <vt:lpstr>Performance Measures</vt:lpstr>
      <vt:lpstr>Repayment Capacity</vt:lpstr>
      <vt:lpstr>Change</vt:lpstr>
      <vt:lpstr>Charts</vt:lpstr>
      <vt:lpstr>'Input Information'!Print_Area</vt:lpstr>
    </vt:vector>
  </TitlesOfParts>
  <Company>Dept. of Agricultural Economics, Purdue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Analysis Worksheets</dc:title>
  <dc:creator/>
  <cp:lastModifiedBy>Carina Negreanu</cp:lastModifiedBy>
  <cp:lastPrinted>2002-09-19T16:05:04Z</cp:lastPrinted>
  <dcterms:created xsi:type="dcterms:W3CDTF">1999-01-10T21:50:18Z</dcterms:created>
  <dcterms:modified xsi:type="dcterms:W3CDTF">2020-01-27T12:50:54Z</dcterms:modified>
</cp:coreProperties>
</file>