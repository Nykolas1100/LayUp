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0DA3DF-1D5B-46B2-813C-96BEAEDC160C}" xr6:coauthVersionLast="45" xr6:coauthVersionMax="45" xr10:uidLastSave="{00000000-0000-0000-0000-000000000000}"/>
  <bookViews>
    <workbookView xWindow="2280" yWindow="2280" windowWidth="28800" windowHeight="15460"/>
  </bookViews>
  <sheets>
    <sheet name="ME250 Grades" sheetId="1" r:id="rId1"/>
  </sheets>
  <definedNames>
    <definedName name="_ATPRand1_Dlg_Results" localSheetId="0" hidden="1">{2;#N/A;"R7C2";#N/A;1;#N/A;68;#N/A;1;#N/A;#N/A;1;#N/A;60;#N/A;#N/A;#N/A;#N/A;#N/A}</definedName>
    <definedName name="_ATPRand1_Dlg_Types" localSheetId="0" hidden="1">{"Excel Help!1794";5;10;5;7;5;7;5;121;14;5;8;5;8;5;8;1;2;24}</definedName>
    <definedName name="_ATPRand1_Range1" localSheetId="0" hidden="1">'ME250 Grades'!#REF!</definedName>
    <definedName name="_ATPRandDistribution" localSheetId="0" hidden="1">1</definedName>
    <definedName name="Whole_Class">'ME250 Grades'!$9:$88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F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F9" i="1"/>
  <c r="F7" i="1" s="1"/>
  <c r="H9" i="1"/>
  <c r="H7" i="1" s="1"/>
  <c r="I9" i="1"/>
  <c r="J9" i="1"/>
  <c r="K9" i="1"/>
  <c r="F10" i="1"/>
  <c r="H10" i="1"/>
  <c r="I10" i="1" s="1"/>
  <c r="F11" i="1"/>
  <c r="H11" i="1"/>
  <c r="I11" i="1" s="1"/>
  <c r="F12" i="1"/>
  <c r="H12" i="1"/>
  <c r="I12" i="1" s="1"/>
  <c r="F13" i="1"/>
  <c r="H13" i="1"/>
  <c r="I13" i="1"/>
  <c r="J13" i="1"/>
  <c r="K13" i="1"/>
  <c r="F14" i="1"/>
  <c r="H14" i="1"/>
  <c r="I14" i="1" s="1"/>
  <c r="J14" i="1" s="1"/>
  <c r="K14" i="1" s="1"/>
  <c r="F15" i="1"/>
  <c r="H15" i="1"/>
  <c r="I15" i="1" s="1"/>
  <c r="F16" i="1"/>
  <c r="H16" i="1"/>
  <c r="I16" i="1" s="1"/>
  <c r="F17" i="1"/>
  <c r="H17" i="1"/>
  <c r="I17" i="1"/>
  <c r="J17" i="1"/>
  <c r="K17" i="1"/>
  <c r="F18" i="1"/>
  <c r="H18" i="1"/>
  <c r="I18" i="1" s="1"/>
  <c r="J18" i="1" s="1"/>
  <c r="K18" i="1" s="1"/>
  <c r="F19" i="1"/>
  <c r="J19" i="1" s="1"/>
  <c r="K19" i="1" s="1"/>
  <c r="H19" i="1"/>
  <c r="I19" i="1"/>
  <c r="F20" i="1"/>
  <c r="H20" i="1"/>
  <c r="I20" i="1" s="1"/>
  <c r="F21" i="1"/>
  <c r="H21" i="1"/>
  <c r="I21" i="1"/>
  <c r="J21" i="1"/>
  <c r="K21" i="1"/>
  <c r="F22" i="1"/>
  <c r="H22" i="1"/>
  <c r="I22" i="1" s="1"/>
  <c r="J22" i="1" s="1"/>
  <c r="K22" i="1" s="1"/>
  <c r="F23" i="1"/>
  <c r="J23" i="1" s="1"/>
  <c r="K23" i="1" s="1"/>
  <c r="I23" i="1"/>
  <c r="F24" i="1"/>
  <c r="H24" i="1"/>
  <c r="I24" i="1"/>
  <c r="J24" i="1" s="1"/>
  <c r="K24" i="1" s="1"/>
  <c r="F25" i="1"/>
  <c r="H25" i="1"/>
  <c r="I25" i="1" s="1"/>
  <c r="F26" i="1"/>
  <c r="J26" i="1" s="1"/>
  <c r="K26" i="1" s="1"/>
  <c r="H26" i="1"/>
  <c r="I26" i="1"/>
  <c r="F27" i="1"/>
  <c r="H27" i="1"/>
  <c r="I27" i="1" s="1"/>
  <c r="F28" i="1"/>
  <c r="H28" i="1"/>
  <c r="I28" i="1"/>
  <c r="J28" i="1" s="1"/>
  <c r="K28" i="1" s="1"/>
  <c r="F29" i="1"/>
  <c r="H29" i="1"/>
  <c r="I29" i="1" s="1"/>
  <c r="F30" i="1"/>
  <c r="J30" i="1" s="1"/>
  <c r="K30" i="1" s="1"/>
  <c r="H30" i="1"/>
  <c r="I30" i="1"/>
  <c r="F31" i="1"/>
  <c r="J31" i="1" s="1"/>
  <c r="K31" i="1" s="1"/>
  <c r="H31" i="1"/>
  <c r="I31" i="1" s="1"/>
  <c r="F32" i="1"/>
  <c r="H32" i="1"/>
  <c r="I32" i="1"/>
  <c r="J32" i="1" s="1"/>
  <c r="K32" i="1" s="1"/>
  <c r="F33" i="1"/>
  <c r="I33" i="1"/>
  <c r="J33" i="1" s="1"/>
  <c r="K33" i="1" s="1"/>
  <c r="F34" i="1"/>
  <c r="H34" i="1"/>
  <c r="I34" i="1" s="1"/>
  <c r="J34" i="1" s="1"/>
  <c r="K34" i="1" s="1"/>
  <c r="F35" i="1"/>
  <c r="J35" i="1" s="1"/>
  <c r="K35" i="1" s="1"/>
  <c r="H35" i="1"/>
  <c r="I35" i="1"/>
  <c r="F36" i="1"/>
  <c r="H36" i="1"/>
  <c r="I36" i="1"/>
  <c r="J36" i="1"/>
  <c r="K36" i="1" s="1"/>
  <c r="F37" i="1"/>
  <c r="H37" i="1"/>
  <c r="I37" i="1"/>
  <c r="J37" i="1" s="1"/>
  <c r="K37" i="1" s="1"/>
  <c r="F38" i="1"/>
  <c r="J38" i="1" s="1"/>
  <c r="K38" i="1" s="1"/>
  <c r="I38" i="1"/>
  <c r="F39" i="1"/>
  <c r="H39" i="1"/>
  <c r="H6" i="1" s="1"/>
  <c r="F40" i="1"/>
  <c r="H40" i="1"/>
  <c r="I40" i="1"/>
  <c r="J40" i="1"/>
  <c r="K40" i="1"/>
  <c r="F41" i="1"/>
  <c r="H41" i="1"/>
  <c r="I41" i="1"/>
  <c r="J41" i="1"/>
  <c r="K41" i="1" s="1"/>
  <c r="F42" i="1"/>
  <c r="H42" i="1"/>
  <c r="J42" i="1" s="1"/>
  <c r="K42" i="1" s="1"/>
  <c r="I42" i="1"/>
  <c r="F43" i="1"/>
  <c r="H43" i="1"/>
  <c r="I43" i="1" s="1"/>
  <c r="F44" i="1"/>
  <c r="H44" i="1"/>
  <c r="I44" i="1"/>
  <c r="J44" i="1"/>
  <c r="K44" i="1"/>
  <c r="F45" i="1"/>
  <c r="H45" i="1"/>
  <c r="I45" i="1"/>
  <c r="J45" i="1"/>
  <c r="K45" i="1" s="1"/>
  <c r="F46" i="1"/>
  <c r="H46" i="1"/>
  <c r="I46" i="1"/>
  <c r="J46" i="1" s="1"/>
  <c r="K46" i="1" s="1"/>
  <c r="F47" i="1"/>
  <c r="H47" i="1"/>
  <c r="I47" i="1" s="1"/>
  <c r="F48" i="1"/>
  <c r="I48" i="1"/>
  <c r="J48" i="1"/>
  <c r="K48" i="1"/>
  <c r="F49" i="1"/>
  <c r="H49" i="1"/>
  <c r="I49" i="1" s="1"/>
  <c r="J49" i="1" s="1"/>
  <c r="K49" i="1" s="1"/>
  <c r="F50" i="1"/>
  <c r="H50" i="1"/>
  <c r="I50" i="1"/>
  <c r="J50" i="1"/>
  <c r="K50" i="1" s="1"/>
  <c r="F51" i="1"/>
  <c r="H51" i="1"/>
  <c r="I51" i="1"/>
  <c r="J51" i="1" s="1"/>
  <c r="K51" i="1" s="1"/>
  <c r="F52" i="1"/>
  <c r="H52" i="1"/>
  <c r="I52" i="1" s="1"/>
  <c r="J52" i="1" s="1"/>
  <c r="K52" i="1" s="1"/>
  <c r="F53" i="1"/>
  <c r="H53" i="1"/>
  <c r="I53" i="1" s="1"/>
  <c r="J53" i="1" s="1"/>
  <c r="K53" i="1" s="1"/>
  <c r="F54" i="1"/>
  <c r="H54" i="1"/>
  <c r="I54" i="1"/>
  <c r="J54" i="1"/>
  <c r="K54" i="1" s="1"/>
  <c r="F55" i="1"/>
  <c r="H55" i="1"/>
  <c r="I55" i="1"/>
  <c r="J55" i="1" s="1"/>
  <c r="K55" i="1" s="1"/>
  <c r="F56" i="1"/>
  <c r="H56" i="1"/>
  <c r="I56" i="1" s="1"/>
  <c r="J56" i="1" s="1"/>
  <c r="K56" i="1" s="1"/>
  <c r="F57" i="1"/>
  <c r="H57" i="1"/>
  <c r="I57" i="1" s="1"/>
  <c r="J57" i="1" s="1"/>
  <c r="K57" i="1" s="1"/>
  <c r="F58" i="1"/>
  <c r="H58" i="1"/>
  <c r="I58" i="1"/>
  <c r="J58" i="1"/>
  <c r="K58" i="1" s="1"/>
  <c r="F59" i="1"/>
  <c r="H59" i="1"/>
  <c r="I59" i="1"/>
  <c r="J59" i="1"/>
  <c r="K59" i="1" s="1"/>
  <c r="F60" i="1"/>
  <c r="H60" i="1"/>
  <c r="I60" i="1" s="1"/>
  <c r="J60" i="1" s="1"/>
  <c r="K60" i="1" s="1"/>
  <c r="F61" i="1"/>
  <c r="H61" i="1"/>
  <c r="I61" i="1" s="1"/>
  <c r="J61" i="1" s="1"/>
  <c r="K61" i="1" s="1"/>
  <c r="F62" i="1"/>
  <c r="H62" i="1"/>
  <c r="I62" i="1"/>
  <c r="J62" i="1"/>
  <c r="K62" i="1" s="1"/>
  <c r="F63" i="1"/>
  <c r="H63" i="1"/>
  <c r="I63" i="1"/>
  <c r="J63" i="1"/>
  <c r="K63" i="1" s="1"/>
  <c r="F64" i="1"/>
  <c r="H64" i="1"/>
  <c r="I64" i="1" s="1"/>
  <c r="J64" i="1" s="1"/>
  <c r="K64" i="1" s="1"/>
  <c r="F65" i="1"/>
  <c r="H65" i="1"/>
  <c r="I65" i="1" s="1"/>
  <c r="J65" i="1" s="1"/>
  <c r="K65" i="1" s="1"/>
  <c r="F66" i="1"/>
  <c r="H66" i="1"/>
  <c r="I66" i="1"/>
  <c r="J66" i="1"/>
  <c r="K66" i="1" s="1"/>
  <c r="F67" i="1"/>
  <c r="H67" i="1"/>
  <c r="I67" i="1"/>
  <c r="J67" i="1"/>
  <c r="K67" i="1" s="1"/>
  <c r="F68" i="1"/>
  <c r="H68" i="1"/>
  <c r="I68" i="1" s="1"/>
  <c r="J68" i="1" s="1"/>
  <c r="K68" i="1" s="1"/>
  <c r="F69" i="1"/>
  <c r="H69" i="1"/>
  <c r="I69" i="1" s="1"/>
  <c r="J69" i="1" s="1"/>
  <c r="K69" i="1" s="1"/>
  <c r="F70" i="1"/>
  <c r="H70" i="1"/>
  <c r="I70" i="1"/>
  <c r="J70" i="1"/>
  <c r="K70" i="1" s="1"/>
  <c r="F71" i="1"/>
  <c r="H71" i="1"/>
  <c r="I71" i="1"/>
  <c r="J71" i="1"/>
  <c r="K71" i="1" s="1"/>
  <c r="F72" i="1"/>
  <c r="H72" i="1"/>
  <c r="I72" i="1" s="1"/>
  <c r="J72" i="1" s="1"/>
  <c r="K72" i="1" s="1"/>
  <c r="F73" i="1"/>
  <c r="H73" i="1"/>
  <c r="I73" i="1" s="1"/>
  <c r="J73" i="1" s="1"/>
  <c r="K73" i="1" s="1"/>
  <c r="F74" i="1"/>
  <c r="H74" i="1"/>
  <c r="I74" i="1"/>
  <c r="J74" i="1"/>
  <c r="K74" i="1" s="1"/>
  <c r="F75" i="1"/>
  <c r="H75" i="1"/>
  <c r="I75" i="1"/>
  <c r="J75" i="1" s="1"/>
  <c r="K75" i="1" s="1"/>
  <c r="F76" i="1"/>
  <c r="H76" i="1"/>
  <c r="I76" i="1" s="1"/>
  <c r="J76" i="1" s="1"/>
  <c r="K76" i="1" s="1"/>
  <c r="F77" i="1"/>
  <c r="H77" i="1"/>
  <c r="I77" i="1" s="1"/>
  <c r="J77" i="1" s="1"/>
  <c r="K77" i="1" s="1"/>
  <c r="F78" i="1"/>
  <c r="I78" i="1"/>
  <c r="J78" i="1"/>
  <c r="K78" i="1"/>
  <c r="F79" i="1"/>
  <c r="H79" i="1"/>
  <c r="I79" i="1" s="1"/>
  <c r="J79" i="1" s="1"/>
  <c r="K79" i="1" s="1"/>
  <c r="F80" i="1"/>
  <c r="J80" i="1" s="1"/>
  <c r="K80" i="1" s="1"/>
  <c r="H80" i="1"/>
  <c r="I80" i="1"/>
  <c r="F81" i="1"/>
  <c r="H81" i="1"/>
  <c r="J81" i="1" s="1"/>
  <c r="K81" i="1" s="1"/>
  <c r="I81" i="1"/>
  <c r="F82" i="1"/>
  <c r="H82" i="1"/>
  <c r="I82" i="1"/>
  <c r="J82" i="1"/>
  <c r="K82" i="1"/>
  <c r="F83" i="1"/>
  <c r="H83" i="1"/>
  <c r="I83" i="1" s="1"/>
  <c r="J83" i="1" s="1"/>
  <c r="K83" i="1" s="1"/>
  <c r="F84" i="1"/>
  <c r="J84" i="1" s="1"/>
  <c r="K84" i="1" s="1"/>
  <c r="H84" i="1"/>
  <c r="I84" i="1"/>
  <c r="F85" i="1"/>
  <c r="H85" i="1"/>
  <c r="I85" i="1" s="1"/>
  <c r="F86" i="1"/>
  <c r="H86" i="1"/>
  <c r="I86" i="1"/>
  <c r="J86" i="1"/>
  <c r="K86" i="1"/>
  <c r="F87" i="1"/>
  <c r="H87" i="1"/>
  <c r="I87" i="1" s="1"/>
  <c r="J87" i="1" s="1"/>
  <c r="K87" i="1" s="1"/>
  <c r="F88" i="1"/>
  <c r="J88" i="1" s="1"/>
  <c r="K88" i="1" s="1"/>
  <c r="H88" i="1"/>
  <c r="I88" i="1"/>
  <c r="J15" i="1" l="1"/>
  <c r="K15" i="1" s="1"/>
  <c r="J27" i="1"/>
  <c r="K27" i="1" s="1"/>
  <c r="J11" i="1"/>
  <c r="K11" i="1" s="1"/>
  <c r="J10" i="1"/>
  <c r="J47" i="1"/>
  <c r="K47" i="1" s="1"/>
  <c r="J43" i="1"/>
  <c r="K43" i="1" s="1"/>
  <c r="I39" i="1"/>
  <c r="I7" i="1" s="1"/>
  <c r="F6" i="1"/>
  <c r="J29" i="1"/>
  <c r="K29" i="1" s="1"/>
  <c r="J25" i="1"/>
  <c r="K25" i="1" s="1"/>
  <c r="I5" i="1"/>
  <c r="H5" i="1"/>
  <c r="J85" i="1"/>
  <c r="K85" i="1" s="1"/>
  <c r="J20" i="1"/>
  <c r="K20" i="1" s="1"/>
  <c r="J16" i="1"/>
  <c r="K16" i="1" s="1"/>
  <c r="J12" i="1"/>
  <c r="K12" i="1" s="1"/>
  <c r="F5" i="1"/>
  <c r="K10" i="1" l="1"/>
  <c r="J39" i="1"/>
  <c r="K39" i="1" s="1"/>
  <c r="I6" i="1"/>
  <c r="J5" i="1" l="1"/>
  <c r="J6" i="1"/>
  <c r="J7" i="1"/>
</calcChain>
</file>

<file path=xl/sharedStrings.xml><?xml version="1.0" encoding="utf-8"?>
<sst xmlns="http://schemas.openxmlformats.org/spreadsheetml/2006/main" count="106" uniqueCount="104">
  <si>
    <t>Final</t>
  </si>
  <si>
    <t>TOTAL</t>
  </si>
  <si>
    <t>Sliding</t>
  </si>
  <si>
    <t>Scale</t>
  </si>
  <si>
    <t>Percent:</t>
  </si>
  <si>
    <t>GRADE</t>
  </si>
  <si>
    <t>Cutoffs</t>
  </si>
  <si>
    <t>MAX:</t>
  </si>
  <si>
    <t>A:</t>
  </si>
  <si>
    <t>HI:</t>
  </si>
  <si>
    <t>B:</t>
  </si>
  <si>
    <t>AVG:</t>
  </si>
  <si>
    <t>C:</t>
  </si>
  <si>
    <t>LO:</t>
  </si>
  <si>
    <t>D:</t>
  </si>
  <si>
    <t>Masked ID</t>
  </si>
  <si>
    <t>Exam I</t>
  </si>
  <si>
    <t>Exam II</t>
  </si>
  <si>
    <t>Hmwks</t>
  </si>
  <si>
    <t>hmwk 1</t>
  </si>
  <si>
    <t>hmwk 2</t>
  </si>
  <si>
    <t>hmwk 3</t>
  </si>
  <si>
    <t>hmwk 4</t>
  </si>
  <si>
    <t>xxxxx6833</t>
  </si>
  <si>
    <t>xxxxx0981</t>
  </si>
  <si>
    <t>xxxxx0437</t>
  </si>
  <si>
    <t>xxxxx1867</t>
  </si>
  <si>
    <t>xxxxx2383</t>
  </si>
  <si>
    <t>xxxxx2560</t>
  </si>
  <si>
    <t>xxxxx4138</t>
  </si>
  <si>
    <t>xxxxx5117</t>
  </si>
  <si>
    <t>xxxxx6360</t>
  </si>
  <si>
    <t>xxxxx0408</t>
  </si>
  <si>
    <t>xxxxx9938</t>
  </si>
  <si>
    <t>xxxxx6970</t>
  </si>
  <si>
    <t>xxxxx4722</t>
  </si>
  <si>
    <t>xxxxx5663</t>
  </si>
  <si>
    <t>xxxxx8120</t>
  </si>
  <si>
    <t>xxxxx1800</t>
  </si>
  <si>
    <t>xxxxx5226</t>
  </si>
  <si>
    <t>xxxxx6284</t>
  </si>
  <si>
    <t>xxxxx8223</t>
  </si>
  <si>
    <t>xxxxx3172</t>
  </si>
  <si>
    <t>xxxxx8255</t>
  </si>
  <si>
    <t>xxxxx4634</t>
  </si>
  <si>
    <t>xxxxx6276</t>
  </si>
  <si>
    <t>xxxxx4552</t>
  </si>
  <si>
    <t>xxxxx6388</t>
  </si>
  <si>
    <t>xxxxx6676</t>
  </si>
  <si>
    <t>xxxxx7636</t>
  </si>
  <si>
    <t>xxxxx5419</t>
  </si>
  <si>
    <t>xxxxx0914</t>
  </si>
  <si>
    <t>xxxxx9026</t>
  </si>
  <si>
    <t>xxxxx7084</t>
  </si>
  <si>
    <t>xxxxx8885</t>
  </si>
  <si>
    <t>xxxxx3158</t>
  </si>
  <si>
    <t>xxxxx6184</t>
  </si>
  <si>
    <t>xxxxx6964</t>
  </si>
  <si>
    <t>xxxxx2723</t>
  </si>
  <si>
    <t>xxxxx2103</t>
  </si>
  <si>
    <t>xxxxx1533</t>
  </si>
  <si>
    <t>xxxxx1671</t>
  </si>
  <si>
    <t>xxxxx3436</t>
  </si>
  <si>
    <t>xxxxx3130</t>
  </si>
  <si>
    <t>xxxxx4436</t>
  </si>
  <si>
    <t>xxxxx9998</t>
  </si>
  <si>
    <t>xxxxx9365</t>
  </si>
  <si>
    <t>xxxxx2778</t>
  </si>
  <si>
    <t>xxxxx2319</t>
  </si>
  <si>
    <t>xxxxx2448</t>
  </si>
  <si>
    <t>xxxxx4146</t>
  </si>
  <si>
    <t>xxxxx4177</t>
  </si>
  <si>
    <t>xxxxx1165</t>
  </si>
  <si>
    <t>xxxxx3732</t>
  </si>
  <si>
    <t>xxxxx4601</t>
  </si>
  <si>
    <t>xxxxx9106</t>
  </si>
  <si>
    <t>xxxxx0350</t>
  </si>
  <si>
    <t>xxxxx4948</t>
  </si>
  <si>
    <t>xxxxx9329</t>
  </si>
  <si>
    <t>xxxxx4876</t>
  </si>
  <si>
    <t>xxxxx4690</t>
  </si>
  <si>
    <t>xxxxx5472</t>
  </si>
  <si>
    <t>xxxxx6271</t>
  </si>
  <si>
    <t>xxxxx4401</t>
  </si>
  <si>
    <t>xxxxx2305</t>
  </si>
  <si>
    <t>xxxxx6053</t>
  </si>
  <si>
    <t>xxxxx7688</t>
  </si>
  <si>
    <t>xxxxx9073</t>
  </si>
  <si>
    <t>xxxxx9130</t>
  </si>
  <si>
    <t>xxxxx8498</t>
  </si>
  <si>
    <t>xxxxx5900</t>
  </si>
  <si>
    <t>xxxxx7706</t>
  </si>
  <si>
    <t>xxxxx9490</t>
  </si>
  <si>
    <t>xxxxx6296</t>
  </si>
  <si>
    <t>xxxxx3870</t>
  </si>
  <si>
    <t>xxxxx7332</t>
  </si>
  <si>
    <t>xxxxx7166</t>
  </si>
  <si>
    <t>xxxxx4952</t>
  </si>
  <si>
    <t>xxxxx2550</t>
  </si>
  <si>
    <t>xxxxx2960</t>
  </si>
  <si>
    <t>xxxxx9356</t>
  </si>
  <si>
    <t>xxxxx7470</t>
  </si>
  <si>
    <t>xxxxx9845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</si>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</sst>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>
    <font>
      <sz val="10"/>
      <name val="Geneva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7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73" fontId="1" fillId="0" borderId="0" xfId="0" applyNumberFormat="1" applyFont="1" applyAlignment="1">
      <alignment horizontal="center"/>
    </xf>
    <xf numFmtId="173" fontId="4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workbookViewId="0">
      <selection activeCell="L27" sqref="L27"/>
    </sheetView>
  </sheetViews>
  <sheetFormatPr defaultColWidth="10.7265625" defaultRowHeight="12.5"/>
  <cols>
    <col min="1" max="1" width="10.26953125" style="1" customWidth="1"/>
    <col min="2" max="3" width="7.1796875" style="8" bestFit="1" customWidth="1"/>
    <col min="4" max="4" width="7.453125" style="8" bestFit="1" customWidth="1"/>
    <col min="5" max="5" width="7.1796875" style="8" bestFit="1" customWidth="1"/>
    <col min="6" max="6" width="7" style="11" bestFit="1" customWidth="1"/>
    <col min="7" max="8" width="8.26953125" style="11" bestFit="1" customWidth="1"/>
    <col min="9" max="9" width="8.26953125" style="8" bestFit="1" customWidth="1"/>
    <col min="10" max="10" width="8.453125" style="14" bestFit="1" customWidth="1"/>
    <col min="11" max="11" width="7.1796875" style="8" bestFit="1" customWidth="1"/>
    <col min="12" max="12" width="9.453125" style="14" bestFit="1" customWidth="1"/>
    <col min="13" max="16384" width="10.7265625" style="8"/>
  </cols>
  <sheetData>
    <row r="1" spans="1:12" s="3" customFormat="1" ht="13">
      <c r="A1" s="2" t="s">
        <v>15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18</v>
      </c>
      <c r="G1" s="5" t="s">
        <v>16</v>
      </c>
      <c r="H1" s="5" t="s">
        <v>17</v>
      </c>
      <c r="I1" s="3" t="s">
        <v>0</v>
      </c>
      <c r="J1" s="5" t="s">
        <v>1</v>
      </c>
      <c r="K1" s="6" t="s">
        <v>5</v>
      </c>
      <c r="L1" s="5" t="s">
        <v>2</v>
      </c>
    </row>
    <row r="2" spans="1:12" s="3" customFormat="1" ht="13">
      <c r="F2" s="4"/>
      <c r="G2" s="4"/>
      <c r="H2" s="4" t="s">
        <v>103</v>
      </c>
      <c r="I2" s="4" t="s">
        <v>103</v>
      </c>
      <c r="J2" s="4" t="s">
        <v>103</v>
      </c>
      <c r="K2" s="6"/>
      <c r="L2" s="5" t="s">
        <v>3</v>
      </c>
    </row>
    <row r="3" spans="1:12" ht="13">
      <c r="A3" s="7" t="s">
        <v>4</v>
      </c>
      <c r="F3" s="9">
        <v>25</v>
      </c>
      <c r="G3" s="9">
        <v>25</v>
      </c>
      <c r="H3" s="9">
        <v>25</v>
      </c>
      <c r="I3" s="8">
        <v>25</v>
      </c>
      <c r="J3" s="9">
        <f>SUM(F3:I3)</f>
        <v>100</v>
      </c>
      <c r="L3" s="5" t="s">
        <v>6</v>
      </c>
    </row>
    <row r="4" spans="1:12" ht="13">
      <c r="A4" s="7" t="s">
        <v>7</v>
      </c>
      <c r="B4" s="8">
        <v>100</v>
      </c>
      <c r="C4" s="8">
        <v>100</v>
      </c>
      <c r="D4" s="8">
        <v>100</v>
      </c>
      <c r="E4" s="8">
        <v>100</v>
      </c>
      <c r="F4" s="9">
        <f>SUM(B4:E4)</f>
        <v>400</v>
      </c>
      <c r="G4" s="9">
        <v>100</v>
      </c>
      <c r="H4" s="9">
        <v>100</v>
      </c>
      <c r="I4" s="8">
        <v>100</v>
      </c>
      <c r="J4" s="9">
        <v>100</v>
      </c>
      <c r="K4" s="10" t="s">
        <v>8</v>
      </c>
      <c r="L4" s="4">
        <v>89.5</v>
      </c>
    </row>
    <row r="5" spans="1:12" s="11" customFormat="1" ht="13">
      <c r="A5" s="12" t="s">
        <v>9</v>
      </c>
      <c r="B5" s="9">
        <f>MAX(B9:B198)</f>
        <v>100</v>
      </c>
      <c r="C5" s="9">
        <f t="shared" ref="C5:J5" si="0">MAX(C9:C198)</f>
        <v>100</v>
      </c>
      <c r="D5" s="9">
        <f t="shared" si="0"/>
        <v>100</v>
      </c>
      <c r="E5" s="9">
        <f t="shared" si="0"/>
        <v>100</v>
      </c>
      <c r="F5" s="9">
        <f t="shared" si="0"/>
        <v>100</v>
      </c>
      <c r="G5" s="9">
        <f t="shared" si="0"/>
        <v>100</v>
      </c>
      <c r="H5" s="9">
        <f t="shared" si="0"/>
        <v>100</v>
      </c>
      <c r="I5" s="9">
        <f t="shared" si="0"/>
        <v>100</v>
      </c>
      <c r="J5" s="9">
        <f t="shared" si="0"/>
        <v>99.0625</v>
      </c>
      <c r="K5" s="13" t="s">
        <v>10</v>
      </c>
      <c r="L5" s="4">
        <v>79.5</v>
      </c>
    </row>
    <row r="6" spans="1:12" s="11" customFormat="1" ht="13">
      <c r="A6" s="12" t="s">
        <v>11</v>
      </c>
      <c r="B6" s="9">
        <f>AVERAGE(B9:B198)</f>
        <v>72.567567567567565</v>
      </c>
      <c r="C6" s="9">
        <f t="shared" ref="C6:J6" si="1">AVERAGE(C9:C198)</f>
        <v>96.410256410256409</v>
      </c>
      <c r="D6" s="9">
        <f t="shared" si="1"/>
        <v>84.415584415584419</v>
      </c>
      <c r="E6" s="9">
        <f t="shared" si="1"/>
        <v>85.78947368421052</v>
      </c>
      <c r="F6" s="9">
        <f t="shared" si="1"/>
        <v>80.96875</v>
      </c>
      <c r="G6" s="9">
        <f t="shared" si="1"/>
        <v>76.412499999999994</v>
      </c>
      <c r="H6" s="9">
        <f t="shared" si="1"/>
        <v>85.974999999999994</v>
      </c>
      <c r="I6" s="9">
        <f t="shared" si="1"/>
        <v>81.193749999999994</v>
      </c>
      <c r="J6" s="9">
        <f t="shared" si="1"/>
        <v>81.137500000000003</v>
      </c>
      <c r="K6" s="13" t="s">
        <v>12</v>
      </c>
      <c r="L6" s="4">
        <v>69.5</v>
      </c>
    </row>
    <row r="7" spans="1:12" s="11" customFormat="1" ht="13">
      <c r="A7" s="7" t="s">
        <v>13</v>
      </c>
      <c r="B7" s="9">
        <f>MIN(B9:B198)</f>
        <v>5</v>
      </c>
      <c r="C7" s="9">
        <f t="shared" ref="C7:J7" si="2">MIN(C9:C198)</f>
        <v>45</v>
      </c>
      <c r="D7" s="9">
        <f t="shared" si="2"/>
        <v>10</v>
      </c>
      <c r="E7" s="9">
        <f t="shared" si="2"/>
        <v>25</v>
      </c>
      <c r="F7" s="9">
        <f t="shared" si="2"/>
        <v>6.25</v>
      </c>
      <c r="G7" s="9">
        <f t="shared" si="2"/>
        <v>52</v>
      </c>
      <c r="H7" s="9">
        <f t="shared" si="2"/>
        <v>62</v>
      </c>
      <c r="I7" s="9">
        <f t="shared" si="2"/>
        <v>57</v>
      </c>
      <c r="J7" s="9">
        <f t="shared" si="2"/>
        <v>51.0625</v>
      </c>
      <c r="K7" s="13" t="s">
        <v>14</v>
      </c>
      <c r="L7" s="4">
        <v>59.5</v>
      </c>
    </row>
    <row r="8" spans="1:12" ht="13">
      <c r="G8" s="14"/>
      <c r="H8" s="14"/>
      <c r="K8" s="3"/>
    </row>
    <row r="9" spans="1:12">
      <c r="A9" s="1" t="s">
        <v>76</v>
      </c>
      <c r="B9" s="8">
        <v>80</v>
      </c>
      <c r="C9" s="8">
        <v>45</v>
      </c>
      <c r="D9" s="8">
        <v>85</v>
      </c>
      <c r="E9" s="8">
        <v>80</v>
      </c>
      <c r="F9" s="9">
        <f t="shared" ref="F9:F40" si="3">SUM(B9:E9)/$F$4*100</f>
        <v>72.5</v>
      </c>
      <c r="G9" s="9">
        <v>71</v>
      </c>
      <c r="H9" s="9">
        <f t="shared" ref="H9:H84" si="4">G9+10</f>
        <v>81</v>
      </c>
      <c r="I9" s="9">
        <f t="shared" ref="I9:I88" si="5">AVERAGE(G9:H9)</f>
        <v>76</v>
      </c>
      <c r="J9" s="11">
        <f t="shared" ref="J9:J88" si="6">(F9/100*$F$3+G9/$G$4*$G$3+H9/$H$4*$H$3+I9/$I$4*$I$3)/$J$3*100</f>
        <v>75.125</v>
      </c>
      <c r="K9" s="8" t="str">
        <f t="shared" ref="K9:K88" si="7">IF(J9&gt;$L$4,"A",IF(J9&gt;$L$5,"B",IF(J9&gt;$L$6,"C",IF(J9&gt;$L$7,"D","F"))))</f>
        <v>C</v>
      </c>
      <c r="L9" s="1"/>
    </row>
    <row r="10" spans="1:12">
      <c r="A10" s="1" t="s">
        <v>32</v>
      </c>
      <c r="B10" s="8">
        <v>100</v>
      </c>
      <c r="C10" s="8">
        <v>100</v>
      </c>
      <c r="D10" s="8">
        <v>100</v>
      </c>
      <c r="E10" s="8">
        <v>100</v>
      </c>
      <c r="F10" s="9">
        <f t="shared" si="3"/>
        <v>100</v>
      </c>
      <c r="G10" s="9">
        <v>81</v>
      </c>
      <c r="H10" s="9">
        <f t="shared" si="4"/>
        <v>91</v>
      </c>
      <c r="I10" s="9">
        <f t="shared" si="5"/>
        <v>86</v>
      </c>
      <c r="J10" s="11">
        <f t="shared" si="6"/>
        <v>89.5</v>
      </c>
      <c r="K10" s="8" t="str">
        <f t="shared" si="7"/>
        <v>B</v>
      </c>
      <c r="L10" s="1"/>
    </row>
    <row r="11" spans="1:12">
      <c r="A11" s="1" t="s">
        <v>25</v>
      </c>
      <c r="B11" s="8">
        <v>60</v>
      </c>
      <c r="C11" s="8">
        <v>100</v>
      </c>
      <c r="D11" s="8">
        <v>90</v>
      </c>
      <c r="E11" s="8">
        <v>100</v>
      </c>
      <c r="F11" s="9">
        <f t="shared" si="3"/>
        <v>87.5</v>
      </c>
      <c r="G11" s="9">
        <v>87</v>
      </c>
      <c r="H11" s="9">
        <f t="shared" si="4"/>
        <v>97</v>
      </c>
      <c r="I11" s="9">
        <f t="shared" si="5"/>
        <v>92</v>
      </c>
      <c r="J11" s="11">
        <f t="shared" si="6"/>
        <v>90.875</v>
      </c>
      <c r="K11" s="8" t="str">
        <f t="shared" si="7"/>
        <v>A</v>
      </c>
      <c r="L11" s="1"/>
    </row>
    <row r="12" spans="1:12">
      <c r="A12" s="1" t="s">
        <v>51</v>
      </c>
      <c r="B12" s="8">
        <v>57</v>
      </c>
      <c r="C12" s="8">
        <v>95</v>
      </c>
      <c r="D12" s="8">
        <v>60</v>
      </c>
      <c r="E12" s="8">
        <v>55</v>
      </c>
      <c r="F12" s="9">
        <f t="shared" si="3"/>
        <v>66.75</v>
      </c>
      <c r="G12" s="9">
        <v>68</v>
      </c>
      <c r="H12" s="9">
        <f t="shared" si="4"/>
        <v>78</v>
      </c>
      <c r="I12" s="9">
        <f t="shared" si="5"/>
        <v>73</v>
      </c>
      <c r="J12" s="11">
        <f t="shared" si="6"/>
        <v>71.4375</v>
      </c>
      <c r="K12" s="8" t="str">
        <f t="shared" si="7"/>
        <v>C</v>
      </c>
      <c r="L12" s="1"/>
    </row>
    <row r="13" spans="1:12">
      <c r="A13" s="1" t="s">
        <v>24</v>
      </c>
      <c r="D13" s="8">
        <v>25</v>
      </c>
      <c r="F13" s="9">
        <f t="shared" si="3"/>
        <v>6.25</v>
      </c>
      <c r="G13" s="9">
        <v>61</v>
      </c>
      <c r="H13" s="9">
        <f>G13+10</f>
        <v>71</v>
      </c>
      <c r="I13" s="9">
        <f t="shared" si="5"/>
        <v>66</v>
      </c>
      <c r="J13" s="11">
        <f t="shared" si="6"/>
        <v>51.0625</v>
      </c>
      <c r="K13" s="8" t="str">
        <f t="shared" si="7"/>
        <v>F</v>
      </c>
      <c r="L13" s="1"/>
    </row>
    <row r="14" spans="1:12">
      <c r="A14" s="1" t="s">
        <v>72</v>
      </c>
      <c r="B14" s="8">
        <v>35</v>
      </c>
      <c r="C14" s="8">
        <v>85</v>
      </c>
      <c r="D14" s="8">
        <v>75</v>
      </c>
      <c r="E14" s="8">
        <v>35</v>
      </c>
      <c r="F14" s="9">
        <f t="shared" si="3"/>
        <v>57.499999999999993</v>
      </c>
      <c r="G14" s="9">
        <v>71</v>
      </c>
      <c r="H14" s="9">
        <f t="shared" si="4"/>
        <v>81</v>
      </c>
      <c r="I14" s="9">
        <f t="shared" si="5"/>
        <v>76</v>
      </c>
      <c r="J14" s="11">
        <f t="shared" si="6"/>
        <v>71.375</v>
      </c>
      <c r="K14" s="8" t="str">
        <f t="shared" si="7"/>
        <v>C</v>
      </c>
      <c r="L14" s="1"/>
    </row>
    <row r="15" spans="1:12">
      <c r="A15" s="1" t="s">
        <v>60</v>
      </c>
      <c r="B15" s="8">
        <v>60</v>
      </c>
      <c r="C15" s="8">
        <v>100</v>
      </c>
      <c r="D15" s="8">
        <v>85</v>
      </c>
      <c r="E15" s="8">
        <v>90</v>
      </c>
      <c r="F15" s="9">
        <f t="shared" si="3"/>
        <v>83.75</v>
      </c>
      <c r="G15" s="9">
        <v>81</v>
      </c>
      <c r="H15" s="9">
        <f t="shared" si="4"/>
        <v>91</v>
      </c>
      <c r="I15" s="9">
        <f t="shared" si="5"/>
        <v>86</v>
      </c>
      <c r="J15" s="11">
        <f t="shared" si="6"/>
        <v>85.4375</v>
      </c>
      <c r="K15" s="8" t="str">
        <f t="shared" si="7"/>
        <v>B</v>
      </c>
      <c r="L15" s="1"/>
    </row>
    <row r="16" spans="1:12">
      <c r="A16" s="1" t="s">
        <v>61</v>
      </c>
      <c r="B16" s="8">
        <v>65</v>
      </c>
      <c r="C16" s="8">
        <v>100</v>
      </c>
      <c r="D16" s="8">
        <v>90</v>
      </c>
      <c r="E16" s="8">
        <v>75</v>
      </c>
      <c r="F16" s="9">
        <f t="shared" si="3"/>
        <v>82.5</v>
      </c>
      <c r="G16" s="9">
        <v>74</v>
      </c>
      <c r="H16" s="9">
        <f t="shared" si="4"/>
        <v>84</v>
      </c>
      <c r="I16" s="9">
        <f t="shared" si="5"/>
        <v>79</v>
      </c>
      <c r="J16" s="11">
        <f t="shared" si="6"/>
        <v>79.875</v>
      </c>
      <c r="K16" s="8" t="str">
        <f t="shared" si="7"/>
        <v>B</v>
      </c>
      <c r="L16" s="1"/>
    </row>
    <row r="17" spans="1:12">
      <c r="A17" s="1" t="s">
        <v>38</v>
      </c>
      <c r="B17" s="8">
        <v>65</v>
      </c>
      <c r="C17" s="8">
        <v>100</v>
      </c>
      <c r="D17" s="8">
        <v>80</v>
      </c>
      <c r="E17" s="8">
        <v>95</v>
      </c>
      <c r="F17" s="9">
        <f t="shared" si="3"/>
        <v>85</v>
      </c>
      <c r="G17" s="9">
        <v>77</v>
      </c>
      <c r="H17" s="9">
        <f t="shared" si="4"/>
        <v>87</v>
      </c>
      <c r="I17" s="9">
        <f t="shared" si="5"/>
        <v>82</v>
      </c>
      <c r="J17" s="11">
        <f t="shared" si="6"/>
        <v>82.75</v>
      </c>
      <c r="K17" s="8" t="str">
        <f t="shared" si="7"/>
        <v>B</v>
      </c>
      <c r="L17" s="1"/>
    </row>
    <row r="18" spans="1:12">
      <c r="A18" s="1" t="s">
        <v>26</v>
      </c>
      <c r="B18" s="8">
        <v>90</v>
      </c>
      <c r="C18" s="8">
        <v>100</v>
      </c>
      <c r="D18" s="8">
        <v>90</v>
      </c>
      <c r="E18" s="8">
        <v>85</v>
      </c>
      <c r="F18" s="9">
        <f t="shared" si="3"/>
        <v>91.25</v>
      </c>
      <c r="G18" s="9">
        <v>71</v>
      </c>
      <c r="H18" s="9">
        <f>G18+10</f>
        <v>81</v>
      </c>
      <c r="I18" s="9">
        <f t="shared" si="5"/>
        <v>76</v>
      </c>
      <c r="J18" s="11">
        <f t="shared" si="6"/>
        <v>79.8125</v>
      </c>
      <c r="K18" s="8" t="str">
        <f t="shared" si="7"/>
        <v>B</v>
      </c>
      <c r="L18" s="1"/>
    </row>
    <row r="19" spans="1:12">
      <c r="A19" s="1" t="s">
        <v>59</v>
      </c>
      <c r="C19" s="8">
        <v>75</v>
      </c>
      <c r="D19" s="8">
        <v>10</v>
      </c>
      <c r="E19" s="8">
        <v>85</v>
      </c>
      <c r="F19" s="9">
        <f t="shared" si="3"/>
        <v>42.5</v>
      </c>
      <c r="G19" s="9">
        <v>58</v>
      </c>
      <c r="H19" s="9">
        <f t="shared" si="4"/>
        <v>68</v>
      </c>
      <c r="I19" s="9">
        <f t="shared" si="5"/>
        <v>63</v>
      </c>
      <c r="J19" s="11">
        <f t="shared" si="6"/>
        <v>57.875</v>
      </c>
      <c r="K19" s="8" t="str">
        <f t="shared" si="7"/>
        <v>F</v>
      </c>
      <c r="L19" s="1"/>
    </row>
    <row r="20" spans="1:12">
      <c r="A20" s="1" t="s">
        <v>84</v>
      </c>
      <c r="B20" s="8">
        <v>90</v>
      </c>
      <c r="C20" s="8">
        <v>100</v>
      </c>
      <c r="D20" s="8">
        <v>95</v>
      </c>
      <c r="E20" s="8">
        <v>95</v>
      </c>
      <c r="F20" s="9">
        <f t="shared" si="3"/>
        <v>95</v>
      </c>
      <c r="G20" s="9">
        <v>84</v>
      </c>
      <c r="H20" s="9">
        <f t="shared" si="4"/>
        <v>94</v>
      </c>
      <c r="I20" s="9">
        <f t="shared" si="5"/>
        <v>89</v>
      </c>
      <c r="J20" s="11">
        <f t="shared" si="6"/>
        <v>90.5</v>
      </c>
      <c r="K20" s="8" t="str">
        <f t="shared" si="7"/>
        <v>A</v>
      </c>
      <c r="L20" s="1"/>
    </row>
    <row r="21" spans="1:12">
      <c r="A21" s="1" t="s">
        <v>68</v>
      </c>
      <c r="B21" s="8">
        <v>45</v>
      </c>
      <c r="C21" s="8">
        <v>100</v>
      </c>
      <c r="D21" s="8">
        <v>95</v>
      </c>
      <c r="E21" s="8">
        <v>100</v>
      </c>
      <c r="F21" s="9">
        <f t="shared" si="3"/>
        <v>85</v>
      </c>
      <c r="G21" s="9">
        <v>77</v>
      </c>
      <c r="H21" s="9">
        <f t="shared" si="4"/>
        <v>87</v>
      </c>
      <c r="I21" s="9">
        <f t="shared" si="5"/>
        <v>82</v>
      </c>
      <c r="J21" s="11">
        <f t="shared" si="6"/>
        <v>82.75</v>
      </c>
      <c r="K21" s="8" t="str">
        <f t="shared" si="7"/>
        <v>B</v>
      </c>
      <c r="L21" s="1"/>
    </row>
    <row r="22" spans="1:12">
      <c r="A22" s="1" t="s">
        <v>27</v>
      </c>
      <c r="B22" s="8">
        <v>95</v>
      </c>
      <c r="C22" s="8">
        <v>95</v>
      </c>
      <c r="D22" s="8">
        <v>85</v>
      </c>
      <c r="E22" s="8">
        <v>90</v>
      </c>
      <c r="F22" s="9">
        <f t="shared" si="3"/>
        <v>91.25</v>
      </c>
      <c r="G22" s="9">
        <v>84</v>
      </c>
      <c r="H22" s="9">
        <f t="shared" si="4"/>
        <v>94</v>
      </c>
      <c r="I22" s="9">
        <f t="shared" si="5"/>
        <v>89</v>
      </c>
      <c r="J22" s="11">
        <f t="shared" si="6"/>
        <v>89.5625</v>
      </c>
      <c r="K22" s="8" t="str">
        <f t="shared" si="7"/>
        <v>A</v>
      </c>
      <c r="L22" s="1"/>
    </row>
    <row r="23" spans="1:12">
      <c r="A23" s="1" t="s">
        <v>69</v>
      </c>
      <c r="B23" s="8">
        <v>100</v>
      </c>
      <c r="C23" s="8">
        <v>90</v>
      </c>
      <c r="D23" s="8">
        <v>95</v>
      </c>
      <c r="E23" s="8">
        <v>85</v>
      </c>
      <c r="F23" s="9">
        <f t="shared" si="3"/>
        <v>92.5</v>
      </c>
      <c r="G23" s="9">
        <v>100</v>
      </c>
      <c r="H23" s="9">
        <v>100</v>
      </c>
      <c r="I23" s="9">
        <f t="shared" si="5"/>
        <v>100</v>
      </c>
      <c r="J23" s="11">
        <f t="shared" si="6"/>
        <v>98.125</v>
      </c>
      <c r="K23" s="8" t="str">
        <f t="shared" si="7"/>
        <v>A</v>
      </c>
      <c r="L23" s="1"/>
    </row>
    <row r="24" spans="1:12">
      <c r="A24" t="s">
        <v>98</v>
      </c>
      <c r="B24" s="8">
        <v>80</v>
      </c>
      <c r="C24" s="8">
        <v>100</v>
      </c>
      <c r="D24" s="8">
        <v>85</v>
      </c>
      <c r="E24" s="8">
        <v>95</v>
      </c>
      <c r="F24" s="9">
        <f t="shared" si="3"/>
        <v>90</v>
      </c>
      <c r="G24" s="9">
        <v>81</v>
      </c>
      <c r="H24" s="9">
        <f t="shared" si="4"/>
        <v>91</v>
      </c>
      <c r="I24" s="9">
        <f>AVERAGE(G24:H24)</f>
        <v>86</v>
      </c>
      <c r="J24" s="11">
        <f>(F24/100*$F$3+G24/$G$4*$G$3+H24/$H$4*$H$3+I24/$I$4*$I$3)/$J$3*100</f>
        <v>87</v>
      </c>
      <c r="K24" s="8" t="str">
        <f t="shared" si="7"/>
        <v>B</v>
      </c>
      <c r="L24" s="1"/>
    </row>
    <row r="25" spans="1:12">
      <c r="A25" s="1" t="s">
        <v>28</v>
      </c>
      <c r="B25" s="8">
        <v>82</v>
      </c>
      <c r="C25" s="8">
        <v>100</v>
      </c>
      <c r="D25" s="8">
        <v>50</v>
      </c>
      <c r="E25" s="8">
        <v>60</v>
      </c>
      <c r="F25" s="9">
        <f t="shared" si="3"/>
        <v>73</v>
      </c>
      <c r="G25" s="9">
        <v>68</v>
      </c>
      <c r="H25" s="9">
        <f t="shared" si="4"/>
        <v>78</v>
      </c>
      <c r="I25" s="9">
        <f t="shared" si="5"/>
        <v>73</v>
      </c>
      <c r="J25" s="11">
        <f t="shared" si="6"/>
        <v>73</v>
      </c>
      <c r="K25" s="8" t="str">
        <f t="shared" si="7"/>
        <v>C</v>
      </c>
      <c r="L25" s="1"/>
    </row>
    <row r="26" spans="1:12">
      <c r="A26" s="1" t="s">
        <v>58</v>
      </c>
      <c r="B26" s="8">
        <v>95</v>
      </c>
      <c r="C26" s="8">
        <v>85</v>
      </c>
      <c r="D26" s="8">
        <v>90</v>
      </c>
      <c r="E26" s="8">
        <v>75</v>
      </c>
      <c r="F26" s="9">
        <f t="shared" si="3"/>
        <v>86.25</v>
      </c>
      <c r="G26" s="9">
        <v>71</v>
      </c>
      <c r="H26" s="9">
        <f t="shared" si="4"/>
        <v>81</v>
      </c>
      <c r="I26" s="9">
        <f t="shared" si="5"/>
        <v>76</v>
      </c>
      <c r="J26" s="11">
        <f t="shared" si="6"/>
        <v>78.5625</v>
      </c>
      <c r="K26" s="8" t="str">
        <f t="shared" si="7"/>
        <v>C</v>
      </c>
      <c r="L26" s="1"/>
    </row>
    <row r="27" spans="1:12">
      <c r="A27" s="1" t="s">
        <v>67</v>
      </c>
      <c r="B27" s="8">
        <v>40</v>
      </c>
      <c r="C27" s="8">
        <v>100</v>
      </c>
      <c r="D27" s="8">
        <v>85</v>
      </c>
      <c r="E27" s="8">
        <v>90</v>
      </c>
      <c r="F27" s="9">
        <f t="shared" si="3"/>
        <v>78.75</v>
      </c>
      <c r="G27" s="9">
        <v>81</v>
      </c>
      <c r="H27" s="9">
        <f t="shared" si="4"/>
        <v>91</v>
      </c>
      <c r="I27" s="9">
        <f t="shared" si="5"/>
        <v>86</v>
      </c>
      <c r="J27" s="11">
        <f t="shared" si="6"/>
        <v>84.1875</v>
      </c>
      <c r="K27" s="8" t="str">
        <f t="shared" si="7"/>
        <v>B</v>
      </c>
      <c r="L27" s="1"/>
    </row>
    <row r="28" spans="1:12">
      <c r="A28" t="s">
        <v>99</v>
      </c>
      <c r="B28" s="8">
        <v>80</v>
      </c>
      <c r="C28" s="8">
        <v>100</v>
      </c>
      <c r="D28" s="8">
        <v>85</v>
      </c>
      <c r="E28" s="8">
        <v>95</v>
      </c>
      <c r="F28" s="9">
        <f t="shared" si="3"/>
        <v>90</v>
      </c>
      <c r="G28" s="9">
        <v>84</v>
      </c>
      <c r="H28" s="9">
        <f t="shared" si="4"/>
        <v>94</v>
      </c>
      <c r="I28" s="9">
        <f>AVERAGE(G28:H28)</f>
        <v>89</v>
      </c>
      <c r="J28" s="11">
        <f>(F28/100*$F$3+G28/$G$4*$G$3+H28/$H$4*$H$3+I28/$I$4*$I$3)/$J$3*100</f>
        <v>89.25</v>
      </c>
      <c r="K28" s="8" t="str">
        <f t="shared" si="7"/>
        <v>B</v>
      </c>
      <c r="L28" s="1"/>
    </row>
    <row r="29" spans="1:12">
      <c r="A29" s="1" t="s">
        <v>63</v>
      </c>
      <c r="B29" s="8">
        <v>30</v>
      </c>
      <c r="C29" s="8">
        <v>100</v>
      </c>
      <c r="D29" s="8">
        <v>75</v>
      </c>
      <c r="E29" s="8">
        <v>95</v>
      </c>
      <c r="F29" s="9">
        <f t="shared" si="3"/>
        <v>75</v>
      </c>
      <c r="G29" s="9">
        <v>74</v>
      </c>
      <c r="H29" s="9">
        <f t="shared" si="4"/>
        <v>84</v>
      </c>
      <c r="I29" s="9">
        <f>AVERAGE(G29:H29)</f>
        <v>79</v>
      </c>
      <c r="J29" s="11">
        <f>(F29/100*$F$3+G29/$G$4*$G$3+H29/$H$4*$H$3+I29/$I$4*$I$3)/$J$3*100</f>
        <v>78</v>
      </c>
      <c r="K29" s="8" t="str">
        <f>IF(J29&gt;$L$4,"A",IF(J29&gt;$L$5,"B",IF(J29&gt;$L$6,"C",IF(J29&gt;$L$7,"D","F"))))</f>
        <v>C</v>
      </c>
      <c r="L29" s="1"/>
    </row>
    <row r="30" spans="1:12">
      <c r="A30" s="1" t="s">
        <v>55</v>
      </c>
      <c r="B30" s="8">
        <v>95</v>
      </c>
      <c r="C30" s="8">
        <v>100</v>
      </c>
      <c r="D30" s="8">
        <v>100</v>
      </c>
      <c r="E30" s="8">
        <v>100</v>
      </c>
      <c r="F30" s="9">
        <f t="shared" si="3"/>
        <v>98.75</v>
      </c>
      <c r="G30" s="9">
        <v>74</v>
      </c>
      <c r="H30" s="9">
        <f t="shared" si="4"/>
        <v>84</v>
      </c>
      <c r="I30" s="9">
        <f t="shared" si="5"/>
        <v>79</v>
      </c>
      <c r="J30" s="11">
        <f t="shared" si="6"/>
        <v>83.9375</v>
      </c>
      <c r="K30" s="8" t="str">
        <f t="shared" si="7"/>
        <v>B</v>
      </c>
      <c r="L30" s="1"/>
    </row>
    <row r="31" spans="1:12">
      <c r="A31" s="1" t="s">
        <v>42</v>
      </c>
      <c r="B31" s="8">
        <v>85</v>
      </c>
      <c r="C31" s="8">
        <v>100</v>
      </c>
      <c r="D31" s="8">
        <v>90</v>
      </c>
      <c r="E31" s="8">
        <v>40</v>
      </c>
      <c r="F31" s="9">
        <f t="shared" si="3"/>
        <v>78.75</v>
      </c>
      <c r="G31" s="9">
        <v>77</v>
      </c>
      <c r="H31" s="9">
        <f t="shared" si="4"/>
        <v>87</v>
      </c>
      <c r="I31" s="9">
        <f t="shared" si="5"/>
        <v>82</v>
      </c>
      <c r="J31" s="11">
        <f t="shared" si="6"/>
        <v>81.1875</v>
      </c>
      <c r="K31" s="8" t="str">
        <f t="shared" si="7"/>
        <v>B</v>
      </c>
      <c r="L31" s="1"/>
    </row>
    <row r="32" spans="1:12">
      <c r="A32" s="1" t="s">
        <v>62</v>
      </c>
      <c r="B32" s="8">
        <v>65</v>
      </c>
      <c r="C32" s="8">
        <v>100</v>
      </c>
      <c r="D32" s="8">
        <v>85</v>
      </c>
      <c r="E32" s="8">
        <v>85</v>
      </c>
      <c r="F32" s="9">
        <f t="shared" si="3"/>
        <v>83.75</v>
      </c>
      <c r="G32" s="9">
        <v>77</v>
      </c>
      <c r="H32" s="9">
        <f t="shared" si="4"/>
        <v>87</v>
      </c>
      <c r="I32" s="9">
        <f t="shared" si="5"/>
        <v>82</v>
      </c>
      <c r="J32" s="11">
        <f t="shared" si="6"/>
        <v>82.4375</v>
      </c>
      <c r="K32" s="8" t="str">
        <f t="shared" si="7"/>
        <v>B</v>
      </c>
      <c r="L32" s="1"/>
    </row>
    <row r="33" spans="1:12">
      <c r="A33" s="1" t="s">
        <v>73</v>
      </c>
      <c r="B33" s="8">
        <v>100</v>
      </c>
      <c r="C33" s="8">
        <v>100</v>
      </c>
      <c r="D33" s="8">
        <v>100</v>
      </c>
      <c r="E33" s="8">
        <v>85</v>
      </c>
      <c r="F33" s="9">
        <f t="shared" si="3"/>
        <v>96.25</v>
      </c>
      <c r="G33" s="9">
        <v>100</v>
      </c>
      <c r="H33" s="9">
        <v>100</v>
      </c>
      <c r="I33" s="9">
        <f t="shared" si="5"/>
        <v>100</v>
      </c>
      <c r="J33" s="11">
        <f t="shared" si="6"/>
        <v>99.0625</v>
      </c>
      <c r="K33" s="8" t="str">
        <f t="shared" si="7"/>
        <v>A</v>
      </c>
      <c r="L33" s="1"/>
    </row>
    <row r="34" spans="1:12">
      <c r="A34" s="1" t="s">
        <v>94</v>
      </c>
      <c r="B34" s="8">
        <v>40</v>
      </c>
      <c r="C34" s="8">
        <v>100</v>
      </c>
      <c r="D34" s="8">
        <v>100</v>
      </c>
      <c r="E34" s="8">
        <v>80</v>
      </c>
      <c r="F34" s="9">
        <f t="shared" si="3"/>
        <v>80</v>
      </c>
      <c r="G34" s="9">
        <v>74</v>
      </c>
      <c r="H34" s="9">
        <f t="shared" si="4"/>
        <v>84</v>
      </c>
      <c r="I34" s="9">
        <f t="shared" si="5"/>
        <v>79</v>
      </c>
      <c r="J34" s="11">
        <f t="shared" si="6"/>
        <v>79.25</v>
      </c>
      <c r="K34" s="8" t="str">
        <f t="shared" si="7"/>
        <v>C</v>
      </c>
      <c r="L34" s="1"/>
    </row>
    <row r="35" spans="1:12">
      <c r="A35" s="1" t="s">
        <v>29</v>
      </c>
      <c r="B35" s="8">
        <v>95</v>
      </c>
      <c r="C35" s="8">
        <v>100</v>
      </c>
      <c r="D35" s="8">
        <v>80</v>
      </c>
      <c r="E35" s="8">
        <v>95</v>
      </c>
      <c r="F35" s="9">
        <f t="shared" si="3"/>
        <v>92.5</v>
      </c>
      <c r="G35" s="9">
        <v>90</v>
      </c>
      <c r="H35" s="9">
        <f t="shared" si="4"/>
        <v>100</v>
      </c>
      <c r="I35" s="9">
        <f t="shared" si="5"/>
        <v>95</v>
      </c>
      <c r="J35" s="11">
        <f t="shared" si="6"/>
        <v>94.375</v>
      </c>
      <c r="K35" s="8" t="str">
        <f t="shared" si="7"/>
        <v>A</v>
      </c>
      <c r="L35" s="1"/>
    </row>
    <row r="36" spans="1:12">
      <c r="A36" s="1" t="s">
        <v>70</v>
      </c>
      <c r="B36" s="8">
        <v>60</v>
      </c>
      <c r="C36" s="8">
        <v>100</v>
      </c>
      <c r="D36" s="8">
        <v>95</v>
      </c>
      <c r="E36" s="8">
        <v>85</v>
      </c>
      <c r="F36" s="9">
        <f t="shared" si="3"/>
        <v>85</v>
      </c>
      <c r="G36" s="9">
        <v>74</v>
      </c>
      <c r="H36" s="9">
        <f t="shared" si="4"/>
        <v>84</v>
      </c>
      <c r="I36" s="9">
        <f t="shared" si="5"/>
        <v>79</v>
      </c>
      <c r="J36" s="11">
        <f t="shared" si="6"/>
        <v>80.5</v>
      </c>
      <c r="K36" s="8" t="str">
        <f t="shared" si="7"/>
        <v>B</v>
      </c>
      <c r="L36" s="1"/>
    </row>
    <row r="37" spans="1:12">
      <c r="A37" s="1" t="s">
        <v>71</v>
      </c>
      <c r="B37" s="8">
        <v>82</v>
      </c>
      <c r="C37" s="8">
        <v>100</v>
      </c>
      <c r="D37" s="8">
        <v>90</v>
      </c>
      <c r="E37" s="8">
        <v>80</v>
      </c>
      <c r="F37" s="9">
        <f t="shared" si="3"/>
        <v>88</v>
      </c>
      <c r="G37" s="9">
        <v>77</v>
      </c>
      <c r="H37" s="9">
        <f t="shared" si="4"/>
        <v>87</v>
      </c>
      <c r="I37" s="9">
        <f t="shared" si="5"/>
        <v>82</v>
      </c>
      <c r="J37" s="11">
        <f t="shared" si="6"/>
        <v>83.5</v>
      </c>
      <c r="K37" s="8" t="str">
        <f t="shared" si="7"/>
        <v>B</v>
      </c>
      <c r="L37" s="1"/>
    </row>
    <row r="38" spans="1:12">
      <c r="A38" s="1" t="s">
        <v>83</v>
      </c>
      <c r="B38" s="8">
        <v>95</v>
      </c>
      <c r="C38" s="8">
        <v>100</v>
      </c>
      <c r="D38" s="8">
        <v>90</v>
      </c>
      <c r="E38" s="8">
        <v>100</v>
      </c>
      <c r="F38" s="9">
        <f t="shared" si="3"/>
        <v>96.25</v>
      </c>
      <c r="G38" s="9">
        <v>94</v>
      </c>
      <c r="H38" s="9">
        <v>100</v>
      </c>
      <c r="I38" s="9">
        <f t="shared" si="5"/>
        <v>97</v>
      </c>
      <c r="J38" s="11">
        <f t="shared" si="6"/>
        <v>96.8125</v>
      </c>
      <c r="K38" s="8" t="str">
        <f t="shared" si="7"/>
        <v>A</v>
      </c>
      <c r="L38" s="1"/>
    </row>
    <row r="39" spans="1:12">
      <c r="A39" s="1" t="s">
        <v>64</v>
      </c>
      <c r="B39" s="8">
        <v>95</v>
      </c>
      <c r="C39" s="8">
        <v>100</v>
      </c>
      <c r="D39" s="8">
        <v>90</v>
      </c>
      <c r="E39" s="8">
        <v>90</v>
      </c>
      <c r="F39" s="9">
        <f t="shared" si="3"/>
        <v>93.75</v>
      </c>
      <c r="G39" s="9">
        <v>87</v>
      </c>
      <c r="H39" s="9">
        <f t="shared" si="4"/>
        <v>97</v>
      </c>
      <c r="I39" s="9">
        <f t="shared" si="5"/>
        <v>92</v>
      </c>
      <c r="J39" s="11">
        <f t="shared" si="6"/>
        <v>92.4375</v>
      </c>
      <c r="K39" s="8" t="str">
        <f t="shared" si="7"/>
        <v>A</v>
      </c>
      <c r="L39" s="1"/>
    </row>
    <row r="40" spans="1:12">
      <c r="A40" s="1" t="s">
        <v>46</v>
      </c>
      <c r="B40" s="8">
        <v>95</v>
      </c>
      <c r="C40" s="8">
        <v>100</v>
      </c>
      <c r="D40" s="8">
        <v>95</v>
      </c>
      <c r="E40" s="8">
        <v>100</v>
      </c>
      <c r="F40" s="9">
        <f t="shared" si="3"/>
        <v>97.5</v>
      </c>
      <c r="G40" s="9">
        <v>84</v>
      </c>
      <c r="H40" s="9">
        <f t="shared" si="4"/>
        <v>94</v>
      </c>
      <c r="I40" s="9">
        <f>AVERAGE(G40:H40)</f>
        <v>89</v>
      </c>
      <c r="J40" s="11">
        <f>(F40/100*$F$3+G40/$G$4*$G$3+H40/$H$4*$H$3+I40/$I$4*$I$3)/$J$3*100</f>
        <v>91.125</v>
      </c>
      <c r="K40" s="8" t="str">
        <f t="shared" si="7"/>
        <v>A</v>
      </c>
      <c r="L40" s="1"/>
    </row>
    <row r="41" spans="1:12" ht="13">
      <c r="A41" s="1" t="s">
        <v>74</v>
      </c>
      <c r="B41" s="8">
        <v>75</v>
      </c>
      <c r="C41" s="8">
        <v>100</v>
      </c>
      <c r="D41" s="8">
        <v>85</v>
      </c>
      <c r="E41" s="8">
        <v>85</v>
      </c>
      <c r="F41" s="9">
        <f t="shared" ref="F41:F72" si="8">SUM(B41:E41)/$F$4*100</f>
        <v>86.25</v>
      </c>
      <c r="G41" s="9">
        <v>77</v>
      </c>
      <c r="H41" s="9">
        <f t="shared" si="4"/>
        <v>87</v>
      </c>
      <c r="I41" s="9">
        <f t="shared" si="5"/>
        <v>82</v>
      </c>
      <c r="J41" s="11">
        <f t="shared" si="6"/>
        <v>83.0625</v>
      </c>
      <c r="K41" s="8" t="str">
        <f t="shared" si="7"/>
        <v>B</v>
      </c>
      <c r="L41" s="2"/>
    </row>
    <row r="42" spans="1:12">
      <c r="A42" s="1" t="s">
        <v>44</v>
      </c>
      <c r="B42" s="8">
        <v>65</v>
      </c>
      <c r="C42" s="8">
        <v>100</v>
      </c>
      <c r="D42" s="8">
        <v>85</v>
      </c>
      <c r="E42" s="8">
        <v>100</v>
      </c>
      <c r="F42" s="9">
        <f t="shared" si="8"/>
        <v>87.5</v>
      </c>
      <c r="G42" s="9">
        <v>74</v>
      </c>
      <c r="H42" s="9">
        <f t="shared" si="4"/>
        <v>84</v>
      </c>
      <c r="I42" s="9">
        <f t="shared" si="5"/>
        <v>79</v>
      </c>
      <c r="J42" s="11">
        <f t="shared" si="6"/>
        <v>81.125</v>
      </c>
      <c r="K42" s="8" t="str">
        <f t="shared" si="7"/>
        <v>B</v>
      </c>
      <c r="L42" s="1"/>
    </row>
    <row r="43" spans="1:12">
      <c r="A43" s="1" t="s">
        <v>80</v>
      </c>
      <c r="B43" s="8">
        <v>65</v>
      </c>
      <c r="C43" s="8">
        <v>100</v>
      </c>
      <c r="D43" s="8">
        <v>95</v>
      </c>
      <c r="F43" s="9">
        <f t="shared" si="8"/>
        <v>65</v>
      </c>
      <c r="G43" s="9">
        <v>77</v>
      </c>
      <c r="H43" s="9">
        <f t="shared" si="4"/>
        <v>87</v>
      </c>
      <c r="I43" s="9">
        <f t="shared" si="5"/>
        <v>82</v>
      </c>
      <c r="J43" s="11">
        <f t="shared" si="6"/>
        <v>77.75</v>
      </c>
      <c r="K43" s="8" t="str">
        <f t="shared" si="7"/>
        <v>C</v>
      </c>
      <c r="L43" s="1"/>
    </row>
    <row r="44" spans="1:12">
      <c r="A44" s="1" t="s">
        <v>35</v>
      </c>
      <c r="B44" s="8">
        <v>85</v>
      </c>
      <c r="C44" s="8">
        <v>100</v>
      </c>
      <c r="D44" s="8">
        <v>100</v>
      </c>
      <c r="E44" s="8">
        <v>100</v>
      </c>
      <c r="F44" s="9">
        <f t="shared" si="8"/>
        <v>96.25</v>
      </c>
      <c r="G44" s="9">
        <v>71</v>
      </c>
      <c r="H44" s="9">
        <f t="shared" si="4"/>
        <v>81</v>
      </c>
      <c r="I44" s="9">
        <f t="shared" si="5"/>
        <v>76</v>
      </c>
      <c r="J44" s="11">
        <f t="shared" si="6"/>
        <v>81.0625</v>
      </c>
      <c r="K44" s="8" t="str">
        <f t="shared" si="7"/>
        <v>B</v>
      </c>
      <c r="L44" s="1"/>
    </row>
    <row r="45" spans="1:12">
      <c r="A45" s="1" t="s">
        <v>79</v>
      </c>
      <c r="B45" s="8">
        <v>55</v>
      </c>
      <c r="C45" s="8">
        <v>100</v>
      </c>
      <c r="D45" s="8">
        <v>90</v>
      </c>
      <c r="E45" s="8">
        <v>100</v>
      </c>
      <c r="F45" s="9">
        <f t="shared" si="8"/>
        <v>86.25</v>
      </c>
      <c r="G45" s="9">
        <v>77</v>
      </c>
      <c r="H45" s="9">
        <f t="shared" si="4"/>
        <v>87</v>
      </c>
      <c r="I45" s="9">
        <f t="shared" si="5"/>
        <v>82</v>
      </c>
      <c r="J45" s="11">
        <f t="shared" si="6"/>
        <v>83.0625</v>
      </c>
      <c r="K45" s="8" t="str">
        <f t="shared" si="7"/>
        <v>B</v>
      </c>
      <c r="L45" s="1"/>
    </row>
    <row r="46" spans="1:12">
      <c r="A46" s="1" t="s">
        <v>77</v>
      </c>
      <c r="B46" s="8">
        <v>20</v>
      </c>
      <c r="C46" s="8">
        <v>100</v>
      </c>
      <c r="D46" s="8">
        <v>70</v>
      </c>
      <c r="E46" s="8">
        <v>75</v>
      </c>
      <c r="F46" s="9">
        <f t="shared" si="8"/>
        <v>66.25</v>
      </c>
      <c r="G46" s="9">
        <v>74</v>
      </c>
      <c r="H46" s="9">
        <f t="shared" si="4"/>
        <v>84</v>
      </c>
      <c r="I46" s="9">
        <f t="shared" si="5"/>
        <v>79</v>
      </c>
      <c r="J46" s="11">
        <f t="shared" si="6"/>
        <v>75.8125</v>
      </c>
      <c r="K46" s="8" t="str">
        <f t="shared" si="7"/>
        <v>C</v>
      </c>
      <c r="L46" s="1"/>
    </row>
    <row r="47" spans="1:12">
      <c r="A47" s="1" t="s">
        <v>97</v>
      </c>
      <c r="B47" s="8">
        <v>60</v>
      </c>
      <c r="C47" s="8">
        <v>100</v>
      </c>
      <c r="D47" s="8">
        <v>75</v>
      </c>
      <c r="E47" s="8">
        <v>25</v>
      </c>
      <c r="F47" s="9">
        <f t="shared" si="8"/>
        <v>65</v>
      </c>
      <c r="G47" s="9">
        <v>61</v>
      </c>
      <c r="H47" s="9">
        <f t="shared" si="4"/>
        <v>71</v>
      </c>
      <c r="I47" s="9">
        <f>AVERAGE(G47:H47)</f>
        <v>66</v>
      </c>
      <c r="J47" s="11">
        <f>(F47/100*$F$3+G47/$G$4*$G$3+H47/$H$4*$H$3+I47/$I$4*$I$3)/$J$3*100</f>
        <v>65.75</v>
      </c>
      <c r="K47" s="8" t="str">
        <f t="shared" si="7"/>
        <v>D</v>
      </c>
      <c r="L47" s="1"/>
    </row>
    <row r="48" spans="1:12">
      <c r="A48" s="1" t="s">
        <v>30</v>
      </c>
      <c r="B48" s="8">
        <v>45</v>
      </c>
      <c r="C48" s="8">
        <v>100</v>
      </c>
      <c r="D48" s="8">
        <v>80</v>
      </c>
      <c r="E48" s="8">
        <v>90</v>
      </c>
      <c r="F48" s="9">
        <f t="shared" si="8"/>
        <v>78.75</v>
      </c>
      <c r="G48" s="9">
        <v>97</v>
      </c>
      <c r="H48" s="9">
        <v>100</v>
      </c>
      <c r="I48" s="9">
        <f t="shared" si="5"/>
        <v>98.5</v>
      </c>
      <c r="J48" s="11">
        <f t="shared" si="6"/>
        <v>93.5625</v>
      </c>
      <c r="K48" s="8" t="str">
        <f t="shared" si="7"/>
        <v>A</v>
      </c>
      <c r="L48" s="1"/>
    </row>
    <row r="49" spans="1:12">
      <c r="A49" s="1" t="s">
        <v>39</v>
      </c>
      <c r="B49" s="8">
        <v>22</v>
      </c>
      <c r="C49" s="8">
        <v>100</v>
      </c>
      <c r="D49" s="8">
        <v>90</v>
      </c>
      <c r="E49" s="8">
        <v>65</v>
      </c>
      <c r="F49" s="9">
        <f t="shared" si="8"/>
        <v>69.25</v>
      </c>
      <c r="G49" s="9">
        <v>74</v>
      </c>
      <c r="H49" s="9">
        <f t="shared" si="4"/>
        <v>84</v>
      </c>
      <c r="I49" s="9">
        <f t="shared" si="5"/>
        <v>79</v>
      </c>
      <c r="J49" s="11">
        <f t="shared" si="6"/>
        <v>76.5625</v>
      </c>
      <c r="K49" s="8" t="str">
        <f t="shared" si="7"/>
        <v>C</v>
      </c>
      <c r="L49" s="1"/>
    </row>
    <row r="50" spans="1:12">
      <c r="A50" s="1" t="s">
        <v>50</v>
      </c>
      <c r="B50" s="8">
        <v>100</v>
      </c>
      <c r="C50" s="8">
        <v>100</v>
      </c>
      <c r="D50" s="8">
        <v>80</v>
      </c>
      <c r="E50" s="8">
        <v>90</v>
      </c>
      <c r="F50" s="9">
        <f t="shared" si="8"/>
        <v>92.5</v>
      </c>
      <c r="G50" s="9">
        <v>58</v>
      </c>
      <c r="H50" s="9">
        <f t="shared" si="4"/>
        <v>68</v>
      </c>
      <c r="I50" s="9">
        <f t="shared" si="5"/>
        <v>63</v>
      </c>
      <c r="J50" s="11">
        <f t="shared" si="6"/>
        <v>70.375</v>
      </c>
      <c r="K50" s="8" t="str">
        <f t="shared" si="7"/>
        <v>C</v>
      </c>
      <c r="L50" s="1"/>
    </row>
    <row r="51" spans="1:12">
      <c r="A51" s="1" t="s">
        <v>81</v>
      </c>
      <c r="B51" s="8">
        <v>62</v>
      </c>
      <c r="C51" s="8">
        <v>85</v>
      </c>
      <c r="D51" s="8">
        <v>70</v>
      </c>
      <c r="E51" s="8">
        <v>90</v>
      </c>
      <c r="F51" s="9">
        <f t="shared" si="8"/>
        <v>76.75</v>
      </c>
      <c r="G51" s="9">
        <v>81</v>
      </c>
      <c r="H51" s="9">
        <f t="shared" si="4"/>
        <v>91</v>
      </c>
      <c r="I51" s="9">
        <f t="shared" si="5"/>
        <v>86</v>
      </c>
      <c r="J51" s="11">
        <f t="shared" si="6"/>
        <v>83.6875</v>
      </c>
      <c r="K51" s="8" t="str">
        <f t="shared" si="7"/>
        <v>B</v>
      </c>
      <c r="L51" s="1"/>
    </row>
    <row r="52" spans="1:12">
      <c r="A52" s="1" t="s">
        <v>36</v>
      </c>
      <c r="B52" s="8">
        <v>95</v>
      </c>
      <c r="C52" s="8">
        <v>100</v>
      </c>
      <c r="E52" s="8">
        <v>80</v>
      </c>
      <c r="F52" s="9">
        <f t="shared" si="8"/>
        <v>68.75</v>
      </c>
      <c r="G52" s="9">
        <v>77</v>
      </c>
      <c r="H52" s="9">
        <f t="shared" si="4"/>
        <v>87</v>
      </c>
      <c r="I52" s="9">
        <f t="shared" si="5"/>
        <v>82</v>
      </c>
      <c r="J52" s="11">
        <f t="shared" si="6"/>
        <v>78.6875</v>
      </c>
      <c r="K52" s="8" t="str">
        <f t="shared" si="7"/>
        <v>C</v>
      </c>
      <c r="L52" s="1"/>
    </row>
    <row r="53" spans="1:12">
      <c r="A53" s="1" t="s">
        <v>90</v>
      </c>
      <c r="E53" s="8">
        <v>90</v>
      </c>
      <c r="F53" s="9">
        <f t="shared" si="8"/>
        <v>22.5</v>
      </c>
      <c r="G53" s="9">
        <v>87</v>
      </c>
      <c r="H53" s="9">
        <f t="shared" si="4"/>
        <v>97</v>
      </c>
      <c r="I53" s="9">
        <f t="shared" si="5"/>
        <v>92</v>
      </c>
      <c r="J53" s="11">
        <f t="shared" si="6"/>
        <v>74.625</v>
      </c>
      <c r="K53" s="8" t="str">
        <f t="shared" si="7"/>
        <v>C</v>
      </c>
      <c r="L53" s="1"/>
    </row>
    <row r="54" spans="1:12">
      <c r="A54" s="1" t="s">
        <v>85</v>
      </c>
      <c r="B54" s="8">
        <v>95</v>
      </c>
      <c r="C54" s="8">
        <v>90</v>
      </c>
      <c r="D54" s="8">
        <v>80</v>
      </c>
      <c r="E54" s="8">
        <v>95</v>
      </c>
      <c r="F54" s="9">
        <f t="shared" si="8"/>
        <v>90</v>
      </c>
      <c r="G54" s="9">
        <v>81</v>
      </c>
      <c r="H54" s="9">
        <f t="shared" si="4"/>
        <v>91</v>
      </c>
      <c r="I54" s="9">
        <f t="shared" si="5"/>
        <v>86</v>
      </c>
      <c r="J54" s="11">
        <f t="shared" si="6"/>
        <v>87</v>
      </c>
      <c r="K54" s="8" t="str">
        <f t="shared" si="7"/>
        <v>B</v>
      </c>
      <c r="L54" s="1"/>
    </row>
    <row r="55" spans="1:12">
      <c r="A55" s="1" t="s">
        <v>56</v>
      </c>
      <c r="B55" s="8">
        <v>37</v>
      </c>
      <c r="C55" s="8">
        <v>100</v>
      </c>
      <c r="D55" s="8">
        <v>90</v>
      </c>
      <c r="E55" s="8">
        <v>100</v>
      </c>
      <c r="F55" s="9">
        <f t="shared" si="8"/>
        <v>81.75</v>
      </c>
      <c r="G55" s="9">
        <v>71</v>
      </c>
      <c r="H55" s="9">
        <f t="shared" si="4"/>
        <v>81</v>
      </c>
      <c r="I55" s="9">
        <f t="shared" si="5"/>
        <v>76</v>
      </c>
      <c r="J55" s="11">
        <f t="shared" si="6"/>
        <v>77.4375</v>
      </c>
      <c r="K55" s="8" t="str">
        <f t="shared" si="7"/>
        <v>C</v>
      </c>
      <c r="L55" s="1"/>
    </row>
    <row r="56" spans="1:12">
      <c r="A56" s="1" t="s">
        <v>82</v>
      </c>
      <c r="B56" s="8">
        <v>75</v>
      </c>
      <c r="C56" s="8">
        <v>100</v>
      </c>
      <c r="D56" s="8">
        <v>75</v>
      </c>
      <c r="E56" s="8">
        <v>90</v>
      </c>
      <c r="F56" s="9">
        <f t="shared" si="8"/>
        <v>85</v>
      </c>
      <c r="G56" s="9">
        <v>84</v>
      </c>
      <c r="H56" s="9">
        <f t="shared" si="4"/>
        <v>94</v>
      </c>
      <c r="I56" s="9">
        <f t="shared" si="5"/>
        <v>89</v>
      </c>
      <c r="J56" s="11">
        <f t="shared" si="6"/>
        <v>88</v>
      </c>
      <c r="K56" s="8" t="str">
        <f t="shared" si="7"/>
        <v>B</v>
      </c>
      <c r="L56" s="1"/>
    </row>
    <row r="57" spans="1:12">
      <c r="A57" s="1" t="s">
        <v>45</v>
      </c>
      <c r="B57" s="8">
        <v>80</v>
      </c>
      <c r="C57" s="8">
        <v>100</v>
      </c>
      <c r="D57" s="8">
        <v>95</v>
      </c>
      <c r="E57" s="8">
        <v>85</v>
      </c>
      <c r="F57" s="9">
        <f t="shared" si="8"/>
        <v>90</v>
      </c>
      <c r="G57" s="9">
        <v>61</v>
      </c>
      <c r="H57" s="9">
        <f t="shared" si="4"/>
        <v>71</v>
      </c>
      <c r="I57" s="9">
        <f t="shared" si="5"/>
        <v>66</v>
      </c>
      <c r="J57" s="11">
        <f t="shared" si="6"/>
        <v>72</v>
      </c>
      <c r="K57" s="8" t="str">
        <f t="shared" si="7"/>
        <v>C</v>
      </c>
      <c r="L57" s="1"/>
    </row>
    <row r="58" spans="1:12">
      <c r="A58" s="1" t="s">
        <v>40</v>
      </c>
      <c r="B58" s="8">
        <v>55</v>
      </c>
      <c r="C58" s="8">
        <v>100</v>
      </c>
      <c r="D58" s="8">
        <v>100</v>
      </c>
      <c r="E58" s="8">
        <v>85</v>
      </c>
      <c r="F58" s="9">
        <f t="shared" si="8"/>
        <v>85</v>
      </c>
      <c r="G58" s="9">
        <v>81</v>
      </c>
      <c r="H58" s="9">
        <f t="shared" si="4"/>
        <v>91</v>
      </c>
      <c r="I58" s="9">
        <f t="shared" si="5"/>
        <v>86</v>
      </c>
      <c r="J58" s="11">
        <f t="shared" si="6"/>
        <v>85.75</v>
      </c>
      <c r="K58" s="8" t="str">
        <f t="shared" si="7"/>
        <v>B</v>
      </c>
      <c r="L58" s="1"/>
    </row>
    <row r="59" spans="1:12">
      <c r="A59" s="1" t="s">
        <v>93</v>
      </c>
      <c r="B59" s="8">
        <v>100</v>
      </c>
      <c r="C59" s="8">
        <v>100</v>
      </c>
      <c r="D59" s="8">
        <v>95</v>
      </c>
      <c r="E59" s="8">
        <v>90</v>
      </c>
      <c r="F59" s="9">
        <f t="shared" si="8"/>
        <v>96.25</v>
      </c>
      <c r="G59" s="9">
        <v>77</v>
      </c>
      <c r="H59" s="9">
        <f t="shared" si="4"/>
        <v>87</v>
      </c>
      <c r="I59" s="9">
        <f t="shared" si="5"/>
        <v>82</v>
      </c>
      <c r="J59" s="11">
        <f t="shared" si="6"/>
        <v>85.5625</v>
      </c>
      <c r="K59" s="8" t="str">
        <f t="shared" si="7"/>
        <v>B</v>
      </c>
      <c r="L59" s="1"/>
    </row>
    <row r="60" spans="1:12">
      <c r="A60" s="1" t="s">
        <v>31</v>
      </c>
      <c r="B60" s="8">
        <v>80</v>
      </c>
      <c r="C60" s="8">
        <v>100</v>
      </c>
      <c r="D60" s="8">
        <v>100</v>
      </c>
      <c r="E60" s="8">
        <v>90</v>
      </c>
      <c r="F60" s="9">
        <f t="shared" si="8"/>
        <v>92.5</v>
      </c>
      <c r="G60" s="9">
        <v>87</v>
      </c>
      <c r="H60" s="9">
        <f t="shared" si="4"/>
        <v>97</v>
      </c>
      <c r="I60" s="9">
        <f t="shared" si="5"/>
        <v>92</v>
      </c>
      <c r="J60" s="11">
        <f t="shared" si="6"/>
        <v>92.125</v>
      </c>
      <c r="K60" s="8" t="str">
        <f t="shared" si="7"/>
        <v>A</v>
      </c>
      <c r="L60" s="1"/>
    </row>
    <row r="61" spans="1:12">
      <c r="A61" s="1" t="s">
        <v>47</v>
      </c>
      <c r="B61" s="8">
        <v>77</v>
      </c>
      <c r="C61" s="8">
        <v>100</v>
      </c>
      <c r="D61" s="8">
        <v>100</v>
      </c>
      <c r="E61" s="8">
        <v>60</v>
      </c>
      <c r="F61" s="9">
        <f t="shared" si="8"/>
        <v>84.25</v>
      </c>
      <c r="G61" s="9">
        <v>61</v>
      </c>
      <c r="H61" s="9">
        <f t="shared" si="4"/>
        <v>71</v>
      </c>
      <c r="I61" s="9">
        <f t="shared" si="5"/>
        <v>66</v>
      </c>
      <c r="J61" s="11">
        <f t="shared" si="6"/>
        <v>70.5625</v>
      </c>
      <c r="K61" s="8" t="str">
        <f t="shared" si="7"/>
        <v>C</v>
      </c>
      <c r="L61" s="1"/>
    </row>
    <row r="62" spans="1:12">
      <c r="A62" s="1" t="s">
        <v>48</v>
      </c>
      <c r="B62" s="8">
        <v>5</v>
      </c>
      <c r="C62" s="8">
        <v>75</v>
      </c>
      <c r="D62" s="8">
        <v>45</v>
      </c>
      <c r="E62" s="8">
        <v>65</v>
      </c>
      <c r="F62" s="9">
        <f t="shared" si="8"/>
        <v>47.5</v>
      </c>
      <c r="G62" s="9">
        <v>55</v>
      </c>
      <c r="H62" s="9">
        <f t="shared" si="4"/>
        <v>65</v>
      </c>
      <c r="I62" s="9">
        <f t="shared" si="5"/>
        <v>60</v>
      </c>
      <c r="J62" s="11">
        <f t="shared" si="6"/>
        <v>56.875</v>
      </c>
      <c r="K62" s="8" t="str">
        <f t="shared" si="7"/>
        <v>F</v>
      </c>
      <c r="L62" s="1"/>
    </row>
    <row r="63" spans="1:12">
      <c r="A63" s="1" t="s">
        <v>23</v>
      </c>
      <c r="B63" s="8">
        <v>100</v>
      </c>
      <c r="C63" s="8">
        <v>100</v>
      </c>
      <c r="D63" s="8">
        <v>75</v>
      </c>
      <c r="E63" s="8">
        <v>85</v>
      </c>
      <c r="F63" s="9">
        <f t="shared" si="8"/>
        <v>90</v>
      </c>
      <c r="G63" s="9">
        <v>71</v>
      </c>
      <c r="H63" s="9">
        <f t="shared" si="4"/>
        <v>81</v>
      </c>
      <c r="I63" s="9">
        <f t="shared" si="5"/>
        <v>76</v>
      </c>
      <c r="J63" s="11">
        <f t="shared" si="6"/>
        <v>79.5</v>
      </c>
      <c r="K63" s="8" t="str">
        <f t="shared" si="7"/>
        <v>C</v>
      </c>
      <c r="L63" s="1"/>
    </row>
    <row r="64" spans="1:12">
      <c r="A64" s="1" t="s">
        <v>57</v>
      </c>
      <c r="B64" s="8">
        <v>95</v>
      </c>
      <c r="C64" s="8">
        <v>100</v>
      </c>
      <c r="D64" s="8">
        <v>100</v>
      </c>
      <c r="E64" s="8">
        <v>95</v>
      </c>
      <c r="F64" s="9">
        <f t="shared" si="8"/>
        <v>97.5</v>
      </c>
      <c r="G64" s="9">
        <v>90</v>
      </c>
      <c r="H64" s="9">
        <f t="shared" si="4"/>
        <v>100</v>
      </c>
      <c r="I64" s="9">
        <f t="shared" si="5"/>
        <v>95</v>
      </c>
      <c r="J64" s="11">
        <f t="shared" si="6"/>
        <v>95.625</v>
      </c>
      <c r="K64" s="8" t="str">
        <f t="shared" si="7"/>
        <v>A</v>
      </c>
      <c r="L64" s="1"/>
    </row>
    <row r="65" spans="1:12">
      <c r="A65" s="1" t="s">
        <v>34</v>
      </c>
      <c r="B65" s="8">
        <v>82</v>
      </c>
      <c r="C65" s="8">
        <v>100</v>
      </c>
      <c r="D65" s="8">
        <v>70</v>
      </c>
      <c r="E65" s="8">
        <v>100</v>
      </c>
      <c r="F65" s="9">
        <f t="shared" si="8"/>
        <v>88</v>
      </c>
      <c r="G65" s="9">
        <v>77</v>
      </c>
      <c r="H65" s="9">
        <f t="shared" si="4"/>
        <v>87</v>
      </c>
      <c r="I65" s="9">
        <f t="shared" si="5"/>
        <v>82</v>
      </c>
      <c r="J65" s="11">
        <f t="shared" si="6"/>
        <v>83.5</v>
      </c>
      <c r="K65" s="8" t="str">
        <f t="shared" si="7"/>
        <v>B</v>
      </c>
      <c r="L65" s="1"/>
    </row>
    <row r="66" spans="1:12">
      <c r="A66" s="1" t="s">
        <v>53</v>
      </c>
      <c r="B66" s="8">
        <v>90</v>
      </c>
      <c r="C66" s="8">
        <v>100</v>
      </c>
      <c r="D66" s="8">
        <v>100</v>
      </c>
      <c r="E66" s="8">
        <v>90</v>
      </c>
      <c r="F66" s="9">
        <f t="shared" si="8"/>
        <v>95</v>
      </c>
      <c r="G66" s="9">
        <v>81</v>
      </c>
      <c r="H66" s="9">
        <f t="shared" si="4"/>
        <v>91</v>
      </c>
      <c r="I66" s="9">
        <f t="shared" si="5"/>
        <v>86</v>
      </c>
      <c r="J66" s="11">
        <f t="shared" si="6"/>
        <v>88.25</v>
      </c>
      <c r="K66" s="8" t="str">
        <f t="shared" si="7"/>
        <v>B</v>
      </c>
      <c r="L66" s="1"/>
    </row>
    <row r="67" spans="1:12">
      <c r="A67" s="1" t="s">
        <v>96</v>
      </c>
      <c r="B67" s="8">
        <v>22</v>
      </c>
      <c r="C67" s="8">
        <v>100</v>
      </c>
      <c r="D67" s="8">
        <v>90</v>
      </c>
      <c r="E67" s="8">
        <v>80</v>
      </c>
      <c r="F67" s="9">
        <f t="shared" si="8"/>
        <v>73</v>
      </c>
      <c r="G67" s="9">
        <v>61</v>
      </c>
      <c r="H67" s="9">
        <f t="shared" si="4"/>
        <v>71</v>
      </c>
      <c r="I67" s="9">
        <f t="shared" si="5"/>
        <v>66</v>
      </c>
      <c r="J67" s="11">
        <f t="shared" si="6"/>
        <v>67.75</v>
      </c>
      <c r="K67" s="8" t="str">
        <f t="shared" si="7"/>
        <v>D</v>
      </c>
      <c r="L67" s="1"/>
    </row>
    <row r="68" spans="1:12">
      <c r="A68" s="1" t="s">
        <v>95</v>
      </c>
      <c r="B68" s="8">
        <v>56</v>
      </c>
      <c r="C68" s="8">
        <v>100</v>
      </c>
      <c r="D68" s="8">
        <v>100</v>
      </c>
      <c r="E68" s="8">
        <v>95</v>
      </c>
      <c r="F68" s="9">
        <f t="shared" si="8"/>
        <v>87.75</v>
      </c>
      <c r="G68" s="9">
        <v>84</v>
      </c>
      <c r="H68" s="9">
        <f t="shared" si="4"/>
        <v>94</v>
      </c>
      <c r="I68" s="9">
        <f t="shared" si="5"/>
        <v>89</v>
      </c>
      <c r="J68" s="11">
        <f t="shared" si="6"/>
        <v>88.6875</v>
      </c>
      <c r="K68" s="8" t="str">
        <f t="shared" si="7"/>
        <v>B</v>
      </c>
      <c r="L68" s="1"/>
    </row>
    <row r="69" spans="1:12">
      <c r="A69" t="s">
        <v>101</v>
      </c>
      <c r="B69" s="8">
        <v>10</v>
      </c>
      <c r="C69" s="8">
        <v>60</v>
      </c>
      <c r="D69" s="8">
        <v>45</v>
      </c>
      <c r="E69" s="8">
        <v>75</v>
      </c>
      <c r="F69" s="9">
        <f t="shared" si="8"/>
        <v>47.5</v>
      </c>
      <c r="G69" s="9">
        <v>61</v>
      </c>
      <c r="H69" s="9">
        <f t="shared" si="4"/>
        <v>71</v>
      </c>
      <c r="I69" s="9">
        <f t="shared" ref="I69:I80" si="9">AVERAGE(G69:H69)</f>
        <v>66</v>
      </c>
      <c r="J69" s="11">
        <f t="shared" ref="J69:J80" si="10">(F69/100*$F$3+G69/$G$4*$G$3+H69/$H$4*$H$3+I69/$I$4*$I$3)/$J$3*100</f>
        <v>61.375</v>
      </c>
      <c r="K69" s="8" t="str">
        <f>IF(J69&gt;$L$4,"A",IF(J69&gt;$L$5,"B",IF(J69&gt;$L$6,"C",IF(J69&gt;$L$7,"D","F"))))</f>
        <v>D</v>
      </c>
      <c r="L69" s="1"/>
    </row>
    <row r="70" spans="1:12">
      <c r="A70" s="1" t="s">
        <v>49</v>
      </c>
      <c r="B70" s="8">
        <v>70</v>
      </c>
      <c r="C70" s="8">
        <v>100</v>
      </c>
      <c r="D70" s="8">
        <v>100</v>
      </c>
      <c r="E70" s="8">
        <v>95</v>
      </c>
      <c r="F70" s="9">
        <f t="shared" si="8"/>
        <v>91.25</v>
      </c>
      <c r="G70" s="9">
        <v>68</v>
      </c>
      <c r="H70" s="9">
        <f t="shared" si="4"/>
        <v>78</v>
      </c>
      <c r="I70" s="9">
        <f t="shared" si="9"/>
        <v>73</v>
      </c>
      <c r="J70" s="11">
        <f t="shared" si="10"/>
        <v>77.5625</v>
      </c>
      <c r="K70" s="8" t="str">
        <f t="shared" ref="K70:K86" si="11">IF(J70&gt;$L$4,"A",IF(J70&gt;$L$5,"B",IF(J70&gt;$L$6,"C",IF(J70&gt;$L$7,"D","F"))))</f>
        <v>C</v>
      </c>
      <c r="L70" s="1"/>
    </row>
    <row r="71" spans="1:12">
      <c r="A71" s="1" t="s">
        <v>86</v>
      </c>
      <c r="B71" s="8">
        <v>50</v>
      </c>
      <c r="C71" s="8">
        <v>100</v>
      </c>
      <c r="D71" s="8">
        <v>95</v>
      </c>
      <c r="E71" s="8">
        <v>100</v>
      </c>
      <c r="F71" s="9">
        <f t="shared" si="8"/>
        <v>86.25</v>
      </c>
      <c r="G71" s="8">
        <v>81</v>
      </c>
      <c r="H71" s="9">
        <f t="shared" si="4"/>
        <v>91</v>
      </c>
      <c r="I71" s="9">
        <f t="shared" si="9"/>
        <v>86</v>
      </c>
      <c r="J71" s="11">
        <f t="shared" si="10"/>
        <v>86.0625</v>
      </c>
      <c r="K71" s="8" t="str">
        <f t="shared" si="11"/>
        <v>B</v>
      </c>
      <c r="L71" s="8"/>
    </row>
    <row r="72" spans="1:12">
      <c r="A72" s="1" t="s">
        <v>91</v>
      </c>
      <c r="B72" s="8">
        <v>92</v>
      </c>
      <c r="C72" s="8">
        <v>100</v>
      </c>
      <c r="D72" s="8">
        <v>70</v>
      </c>
      <c r="E72" s="8">
        <v>90</v>
      </c>
      <c r="F72" s="9">
        <f t="shared" si="8"/>
        <v>88</v>
      </c>
      <c r="G72" s="9">
        <v>87</v>
      </c>
      <c r="H72" s="9">
        <f t="shared" si="4"/>
        <v>97</v>
      </c>
      <c r="I72" s="9">
        <f t="shared" si="9"/>
        <v>92</v>
      </c>
      <c r="J72" s="11">
        <f t="shared" si="10"/>
        <v>91</v>
      </c>
      <c r="K72" s="8" t="str">
        <f t="shared" si="11"/>
        <v>A</v>
      </c>
      <c r="L72" s="1"/>
    </row>
    <row r="73" spans="1:12">
      <c r="A73" s="1" t="s">
        <v>37</v>
      </c>
      <c r="B73" s="8">
        <v>95</v>
      </c>
      <c r="C73" s="8">
        <v>100</v>
      </c>
      <c r="D73" s="8">
        <v>100</v>
      </c>
      <c r="E73" s="8">
        <v>90</v>
      </c>
      <c r="F73" s="9">
        <f t="shared" ref="F73:F88" si="12">SUM(B73:E73)/$F$4*100</f>
        <v>96.25</v>
      </c>
      <c r="G73" s="9">
        <v>81</v>
      </c>
      <c r="H73" s="9">
        <f t="shared" si="4"/>
        <v>91</v>
      </c>
      <c r="I73" s="9">
        <f t="shared" si="9"/>
        <v>86</v>
      </c>
      <c r="J73" s="11">
        <f t="shared" si="10"/>
        <v>88.5625</v>
      </c>
      <c r="K73" s="8" t="str">
        <f t="shared" si="11"/>
        <v>B</v>
      </c>
      <c r="L73" s="1"/>
    </row>
    <row r="74" spans="1:12">
      <c r="A74" s="1" t="s">
        <v>41</v>
      </c>
      <c r="B74" s="8">
        <v>67</v>
      </c>
      <c r="C74" s="8">
        <v>100</v>
      </c>
      <c r="D74" s="8">
        <v>95</v>
      </c>
      <c r="E74" s="8">
        <v>95</v>
      </c>
      <c r="F74" s="9">
        <f t="shared" si="12"/>
        <v>89.25</v>
      </c>
      <c r="G74" s="9">
        <v>74</v>
      </c>
      <c r="H74" s="9">
        <f>G74+10</f>
        <v>84</v>
      </c>
      <c r="I74" s="9">
        <f t="shared" si="9"/>
        <v>79</v>
      </c>
      <c r="J74" s="11">
        <f t="shared" si="10"/>
        <v>81.5625</v>
      </c>
      <c r="K74" s="8" t="str">
        <f t="shared" si="11"/>
        <v>B</v>
      </c>
      <c r="L74" s="1"/>
    </row>
    <row r="75" spans="1:12">
      <c r="A75" s="1" t="s">
        <v>43</v>
      </c>
      <c r="C75" s="8">
        <v>85</v>
      </c>
      <c r="F75" s="9">
        <f t="shared" si="12"/>
        <v>21.25</v>
      </c>
      <c r="G75" s="9">
        <v>58</v>
      </c>
      <c r="H75" s="9">
        <f>G75+10</f>
        <v>68</v>
      </c>
      <c r="I75" s="9">
        <f t="shared" si="9"/>
        <v>63</v>
      </c>
      <c r="J75" s="11">
        <f t="shared" si="10"/>
        <v>52.5625</v>
      </c>
      <c r="K75" s="8" t="str">
        <f t="shared" si="11"/>
        <v>F</v>
      </c>
      <c r="L75" s="1"/>
    </row>
    <row r="76" spans="1:12">
      <c r="A76" s="1" t="s">
        <v>89</v>
      </c>
      <c r="B76" s="8">
        <v>85</v>
      </c>
      <c r="C76" s="8">
        <v>100</v>
      </c>
      <c r="D76" s="8">
        <v>100</v>
      </c>
      <c r="E76" s="8">
        <v>100</v>
      </c>
      <c r="F76" s="9">
        <f t="shared" si="12"/>
        <v>96.25</v>
      </c>
      <c r="G76" s="9">
        <v>71</v>
      </c>
      <c r="H76" s="9">
        <f>G76+10</f>
        <v>81</v>
      </c>
      <c r="I76" s="9">
        <f t="shared" si="9"/>
        <v>76</v>
      </c>
      <c r="J76" s="11">
        <f t="shared" si="10"/>
        <v>81.0625</v>
      </c>
      <c r="K76" s="8" t="str">
        <f t="shared" si="11"/>
        <v>B</v>
      </c>
      <c r="L76" s="1"/>
    </row>
    <row r="77" spans="1:12">
      <c r="A77" s="1" t="s">
        <v>54</v>
      </c>
      <c r="B77" s="8">
        <v>80</v>
      </c>
      <c r="C77" s="8">
        <v>100</v>
      </c>
      <c r="D77" s="8">
        <v>85</v>
      </c>
      <c r="E77" s="8">
        <v>75</v>
      </c>
      <c r="F77" s="9">
        <f t="shared" si="12"/>
        <v>85</v>
      </c>
      <c r="G77" s="9">
        <v>68</v>
      </c>
      <c r="H77" s="9">
        <f>G77+10</f>
        <v>78</v>
      </c>
      <c r="I77" s="9">
        <f t="shared" si="9"/>
        <v>73</v>
      </c>
      <c r="J77" s="11">
        <f t="shared" si="10"/>
        <v>76</v>
      </c>
      <c r="K77" s="8" t="str">
        <f t="shared" si="11"/>
        <v>C</v>
      </c>
      <c r="L77" s="1"/>
    </row>
    <row r="78" spans="1:12">
      <c r="A78" s="1" t="s">
        <v>52</v>
      </c>
      <c r="B78" s="8">
        <v>65</v>
      </c>
      <c r="C78" s="8">
        <v>100</v>
      </c>
      <c r="D78" s="8">
        <v>95</v>
      </c>
      <c r="E78" s="8">
        <v>100</v>
      </c>
      <c r="F78" s="9">
        <f t="shared" si="12"/>
        <v>90</v>
      </c>
      <c r="G78" s="9">
        <v>94</v>
      </c>
      <c r="H78" s="9">
        <v>100</v>
      </c>
      <c r="I78" s="9">
        <f t="shared" si="9"/>
        <v>97</v>
      </c>
      <c r="J78" s="11">
        <f t="shared" si="10"/>
        <v>95.25</v>
      </c>
      <c r="K78" s="8" t="str">
        <f t="shared" si="11"/>
        <v>A</v>
      </c>
      <c r="L78" s="1"/>
    </row>
    <row r="79" spans="1:12">
      <c r="A79" s="1" t="s">
        <v>87</v>
      </c>
      <c r="B79" s="8">
        <v>85</v>
      </c>
      <c r="C79" s="8">
        <v>90</v>
      </c>
      <c r="D79" s="8">
        <v>95</v>
      </c>
      <c r="E79" s="8">
        <v>100</v>
      </c>
      <c r="F79" s="9">
        <f t="shared" si="12"/>
        <v>92.5</v>
      </c>
      <c r="G79" s="8">
        <v>77</v>
      </c>
      <c r="H79" s="9">
        <f>G79+10</f>
        <v>87</v>
      </c>
      <c r="I79" s="9">
        <f t="shared" si="9"/>
        <v>82</v>
      </c>
      <c r="J79" s="11">
        <f t="shared" si="10"/>
        <v>84.625</v>
      </c>
      <c r="K79" s="8" t="str">
        <f t="shared" si="11"/>
        <v>B</v>
      </c>
      <c r="L79" s="8"/>
    </row>
    <row r="80" spans="1:12">
      <c r="A80" s="1" t="s">
        <v>75</v>
      </c>
      <c r="C80" s="8">
        <v>100</v>
      </c>
      <c r="D80" s="8">
        <v>80</v>
      </c>
      <c r="E80" s="8">
        <v>75</v>
      </c>
      <c r="F80" s="9">
        <f t="shared" si="12"/>
        <v>63.749999999999993</v>
      </c>
      <c r="G80" s="9">
        <v>77</v>
      </c>
      <c r="H80" s="9">
        <f>G80+10</f>
        <v>87</v>
      </c>
      <c r="I80" s="9">
        <f t="shared" si="9"/>
        <v>82</v>
      </c>
      <c r="J80" s="11">
        <f t="shared" si="10"/>
        <v>77.4375</v>
      </c>
      <c r="K80" s="8" t="str">
        <f t="shared" si="11"/>
        <v>C</v>
      </c>
      <c r="L80" s="1"/>
    </row>
    <row r="81" spans="1:12">
      <c r="A81" s="1" t="s">
        <v>88</v>
      </c>
      <c r="B81" s="8">
        <v>95</v>
      </c>
      <c r="C81" s="8">
        <v>100</v>
      </c>
      <c r="D81" s="8">
        <v>100</v>
      </c>
      <c r="E81" s="8">
        <v>90</v>
      </c>
      <c r="F81" s="9">
        <f t="shared" si="12"/>
        <v>96.25</v>
      </c>
      <c r="G81" s="9">
        <v>87</v>
      </c>
      <c r="H81" s="9">
        <f>G81+10</f>
        <v>97</v>
      </c>
      <c r="I81" s="9">
        <f t="shared" si="5"/>
        <v>92</v>
      </c>
      <c r="J81" s="11">
        <f t="shared" si="6"/>
        <v>93.0625</v>
      </c>
      <c r="K81" s="8" t="str">
        <f t="shared" si="11"/>
        <v>A</v>
      </c>
      <c r="L81" s="1"/>
    </row>
    <row r="82" spans="1:12">
      <c r="A82" s="1" t="s">
        <v>78</v>
      </c>
      <c r="B82" s="8">
        <v>95</v>
      </c>
      <c r="C82" s="8">
        <v>85</v>
      </c>
      <c r="D82" s="8">
        <v>80</v>
      </c>
      <c r="E82" s="8">
        <v>95</v>
      </c>
      <c r="F82" s="9">
        <f t="shared" si="12"/>
        <v>88.75</v>
      </c>
      <c r="G82" s="9">
        <v>74</v>
      </c>
      <c r="H82" s="9">
        <f>G82+10</f>
        <v>84</v>
      </c>
      <c r="I82" s="9">
        <f>AVERAGE(G82:H82)</f>
        <v>79</v>
      </c>
      <c r="J82" s="11">
        <f>(F82/100*$F$3+G82/$G$4*$G$3+H82/$H$4*$H$3+I82/$I$4*$I$3)/$J$3*100</f>
        <v>81.4375</v>
      </c>
      <c r="K82" s="8" t="str">
        <f t="shared" si="11"/>
        <v>B</v>
      </c>
      <c r="L82" s="1"/>
    </row>
    <row r="83" spans="1:12">
      <c r="A83" t="s">
        <v>100</v>
      </c>
      <c r="B83" s="8">
        <v>90</v>
      </c>
      <c r="C83" s="8">
        <v>100</v>
      </c>
      <c r="D83" s="8">
        <v>85</v>
      </c>
      <c r="E83" s="8">
        <v>90</v>
      </c>
      <c r="F83" s="9">
        <f t="shared" si="12"/>
        <v>91.25</v>
      </c>
      <c r="G83" s="9">
        <v>74</v>
      </c>
      <c r="H83" s="9">
        <f>G83+10</f>
        <v>84</v>
      </c>
      <c r="I83" s="9">
        <f>AVERAGE(G83:H83)</f>
        <v>79</v>
      </c>
      <c r="J83" s="11">
        <f>(F83/100*$F$3+G83/$G$4*$G$3+H83/$H$4*$H$3+I83/$I$4*$I$3)/$J$3*100</f>
        <v>82.0625</v>
      </c>
      <c r="K83" s="8" t="str">
        <f t="shared" si="11"/>
        <v>B</v>
      </c>
      <c r="L83" s="1"/>
    </row>
    <row r="84" spans="1:12">
      <c r="A84" s="1" t="s">
        <v>66</v>
      </c>
      <c r="B84" s="8">
        <v>95</v>
      </c>
      <c r="C84" s="8">
        <v>100</v>
      </c>
      <c r="D84" s="8">
        <v>90</v>
      </c>
      <c r="E84" s="8">
        <v>95</v>
      </c>
      <c r="F84" s="9">
        <f t="shared" si="12"/>
        <v>95</v>
      </c>
      <c r="G84" s="9">
        <v>68</v>
      </c>
      <c r="H84" s="9">
        <f t="shared" si="4"/>
        <v>78</v>
      </c>
      <c r="I84" s="9">
        <f>AVERAGE(G84:H84)</f>
        <v>73</v>
      </c>
      <c r="J84" s="11">
        <f>(F84/100*$F$3+G84/$G$4*$G$3+H84/$H$4*$H$3+I84/$I$4*$I$3)/$J$3*100</f>
        <v>78.5</v>
      </c>
      <c r="K84" s="8" t="str">
        <f t="shared" si="11"/>
        <v>C</v>
      </c>
      <c r="L84" s="1"/>
    </row>
    <row r="85" spans="1:12">
      <c r="A85" s="1" t="s">
        <v>92</v>
      </c>
      <c r="B85" s="8">
        <v>60</v>
      </c>
      <c r="C85" s="8">
        <v>100</v>
      </c>
      <c r="D85" s="8">
        <v>65</v>
      </c>
      <c r="E85" s="8">
        <v>75</v>
      </c>
      <c r="F85" s="9">
        <f t="shared" si="12"/>
        <v>75</v>
      </c>
      <c r="G85" s="9">
        <v>84</v>
      </c>
      <c r="H85" s="9">
        <f>G85+10</f>
        <v>94</v>
      </c>
      <c r="I85" s="9">
        <f>AVERAGE(G85:H85)</f>
        <v>89</v>
      </c>
      <c r="J85" s="11">
        <f>(F85/100*$F$3+G85/$G$4*$G$3+H85/$H$4*$H$3+I85/$I$4*$I$3)/$J$3*100</f>
        <v>85.5</v>
      </c>
      <c r="K85" s="8" t="str">
        <f t="shared" si="11"/>
        <v>B</v>
      </c>
      <c r="L85" s="1"/>
    </row>
    <row r="86" spans="1:12">
      <c r="A86" t="s">
        <v>102</v>
      </c>
      <c r="C86" s="8">
        <v>100</v>
      </c>
      <c r="D86" s="8">
        <v>75</v>
      </c>
      <c r="E86" s="8">
        <v>80</v>
      </c>
      <c r="F86" s="9">
        <f t="shared" si="12"/>
        <v>63.749999999999993</v>
      </c>
      <c r="G86" s="9">
        <v>52</v>
      </c>
      <c r="H86" s="9">
        <f>G86+10</f>
        <v>62</v>
      </c>
      <c r="I86" s="9">
        <f>AVERAGE(G86:H86)</f>
        <v>57</v>
      </c>
      <c r="J86" s="11">
        <f>(F86/100*$F$3+G86/$G$4*$G$3+H86/$H$4*$H$3+I86/$I$4*$I$3)/$J$3*100</f>
        <v>58.6875</v>
      </c>
      <c r="K86" s="8" t="str">
        <f t="shared" si="11"/>
        <v>F</v>
      </c>
      <c r="L86" s="1"/>
    </row>
    <row r="87" spans="1:12">
      <c r="A87" s="1" t="s">
        <v>33</v>
      </c>
      <c r="B87" s="8">
        <v>87</v>
      </c>
      <c r="C87" s="8">
        <v>100</v>
      </c>
      <c r="D87" s="8">
        <v>70</v>
      </c>
      <c r="F87" s="9">
        <f t="shared" si="12"/>
        <v>64.25</v>
      </c>
      <c r="G87" s="9">
        <v>74</v>
      </c>
      <c r="H87" s="9">
        <f>G87+10</f>
        <v>84</v>
      </c>
      <c r="I87" s="9">
        <f t="shared" si="5"/>
        <v>79</v>
      </c>
      <c r="J87" s="11">
        <f t="shared" si="6"/>
        <v>75.3125</v>
      </c>
      <c r="K87" s="8" t="str">
        <f t="shared" si="7"/>
        <v>C</v>
      </c>
      <c r="L87" s="1"/>
    </row>
    <row r="88" spans="1:12">
      <c r="A88" s="1" t="s">
        <v>65</v>
      </c>
      <c r="B88" s="8">
        <v>95</v>
      </c>
      <c r="C88" s="8">
        <v>80</v>
      </c>
      <c r="D88" s="8">
        <v>95</v>
      </c>
      <c r="E88" s="8">
        <v>85</v>
      </c>
      <c r="F88" s="9">
        <f t="shared" si="12"/>
        <v>88.75</v>
      </c>
      <c r="G88" s="9">
        <v>84</v>
      </c>
      <c r="H88" s="9">
        <f>G88+10</f>
        <v>94</v>
      </c>
      <c r="I88" s="9">
        <f t="shared" si="5"/>
        <v>89</v>
      </c>
      <c r="J88" s="11">
        <f t="shared" si="6"/>
        <v>88.9375</v>
      </c>
      <c r="K88" s="8" t="str">
        <f t="shared" si="7"/>
        <v>B</v>
      </c>
      <c r="L88" s="1"/>
    </row>
    <row r="89" spans="1:12">
      <c r="F89" s="9"/>
      <c r="G89" s="9"/>
      <c r="H89" s="9"/>
      <c r="I89" s="9"/>
      <c r="J89" s="11"/>
      <c r="L89" s="1"/>
    </row>
    <row r="90" spans="1:12">
      <c r="F90" s="9"/>
      <c r="G90" s="9"/>
      <c r="H90" s="9"/>
      <c r="I90" s="9"/>
      <c r="J90" s="11"/>
      <c r="L90" s="1"/>
    </row>
    <row r="91" spans="1:12">
      <c r="F91" s="9"/>
      <c r="G91" s="9"/>
      <c r="H91" s="9"/>
      <c r="I91" s="9"/>
      <c r="J91" s="11"/>
      <c r="L91" s="1"/>
    </row>
    <row r="92" spans="1:12">
      <c r="F92" s="9"/>
      <c r="G92" s="9"/>
      <c r="H92" s="9"/>
      <c r="I92" s="9"/>
      <c r="J92" s="11"/>
      <c r="L92" s="1"/>
    </row>
    <row r="93" spans="1:12">
      <c r="F93" s="9"/>
      <c r="G93" s="9"/>
      <c r="H93" s="9"/>
      <c r="I93" s="9"/>
      <c r="J93" s="11"/>
      <c r="L93" s="1"/>
    </row>
    <row r="94" spans="1:12">
      <c r="F94" s="9"/>
      <c r="G94" s="9"/>
      <c r="H94" s="9"/>
      <c r="I94" s="9"/>
      <c r="J94" s="11"/>
      <c r="L94" s="1"/>
    </row>
    <row r="95" spans="1:12">
      <c r="F95" s="9"/>
      <c r="G95" s="9"/>
      <c r="H95" s="9"/>
      <c r="I95" s="9"/>
      <c r="J95" s="11"/>
      <c r="L95" s="1"/>
    </row>
    <row r="96" spans="1:12">
      <c r="F96" s="9"/>
      <c r="G96" s="9"/>
      <c r="H96" s="9"/>
      <c r="I96" s="9"/>
      <c r="J96" s="11"/>
      <c r="L96" s="1"/>
    </row>
    <row r="97" spans="6:12">
      <c r="F97" s="9"/>
      <c r="G97" s="9"/>
      <c r="H97" s="9"/>
      <c r="I97" s="9"/>
      <c r="J97" s="11"/>
      <c r="L97" s="1"/>
    </row>
    <row r="98" spans="6:12">
      <c r="F98" s="9"/>
      <c r="G98" s="9"/>
      <c r="H98" s="9"/>
      <c r="I98" s="9"/>
      <c r="J98" s="11"/>
      <c r="L98" s="1"/>
    </row>
    <row r="99" spans="6:12">
      <c r="F99" s="9"/>
      <c r="G99" s="9"/>
      <c r="H99" s="9"/>
      <c r="I99" s="9"/>
      <c r="J99" s="11"/>
      <c r="L99" s="1"/>
    </row>
  </sheetData>
  <phoneticPr fontId="0" type="noConversion"/>
  <printOptions gridLines="1" gridLinesSet="0"/>
  <pageMargins left="0.5" right="0.5" top="0.75" bottom="0.5" header="0.5" footer="0.5"/>
  <pageSetup scale="85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ME250 Grades</vt:lpstr>
      <vt:lpstr>Whole_Class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G. Alciatore</dc:creator>
  <cp:lastModifiedBy>Carina Negreanu</cp:lastModifiedBy>
  <cp:lastPrinted>2000-12-14T18:40:33Z</cp:lastPrinted>
  <dcterms:created xsi:type="dcterms:W3CDTF">2000-01-21T20:09:23Z</dcterms:created>
  <dcterms:modified xsi:type="dcterms:W3CDTF">2020-01-27T11:50:52Z</dcterms:modified>
</cp:coreProperties>
</file>