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EDC4D32-81E5-41A0-8FB0-DEE4A0C0F9CE}" xr6:coauthVersionLast="45" xr6:coauthVersionMax="45" xr10:uidLastSave="{00000000-0000-0000-0000-000000000000}"/>
  <bookViews>
    <workbookView xWindow="3420" yWindow="3420" windowWidth="28800" windowHeight="15460"/>
  </bookViews>
  <sheets>
    <sheet name="Education Activities, p. 7" sheetId="1" r:id="rId1"/>
    <sheet name="Education Activities, p. 8" sheetId="2" r:id="rId2"/>
    <sheet name="Human Needs Activities, p. 9" sheetId="3" r:id="rId3"/>
    <sheet name="Human Needs Activities, p. 10" sheetId="4" r:id="rId4"/>
    <sheet name="Environment Activities, p. 11" sheetId="5" r:id="rId5"/>
    <sheet name="Environment Activities, p. 12" sheetId="6" r:id="rId6"/>
    <sheet name="Environment Activities, p. 13" sheetId="7" r:id="rId7"/>
    <sheet name="Public Safety, p. 14" sheetId="8" r:id="rId8"/>
    <sheet name="Member Development, p. 15" sheetId="9" r:id="rId9"/>
  </sheets>
  <definedNames>
    <definedName name="_xlnm.Print_Area" localSheetId="0">'Education Activities, p. 7'!$A$1:$G$20</definedName>
    <definedName name="_xlnm.Print_Area" localSheetId="1">'Education Activities, p. 8'!$A$1:$G$25</definedName>
    <definedName name="_xlnm.Print_Area" localSheetId="4">'Environment Activities, p. 11'!$A$1:$H$23</definedName>
    <definedName name="_xlnm.Print_Area" localSheetId="5">'Environment Activities, p. 12'!$A$1:$G$31</definedName>
    <definedName name="_xlnm.Print_Area" localSheetId="6">'Environment Activities, p. 13'!$A$1:$G$27</definedName>
    <definedName name="_xlnm.Print_Area" localSheetId="3">'Human Needs Activities, p. 10'!$A$1:$I$24</definedName>
    <definedName name="_xlnm.Print_Area" localSheetId="2">'Human Needs Activities, p. 9'!$A$1:$G$21</definedName>
    <definedName name="_xlnm.Print_Area" localSheetId="8">'Member Development, p. 15'!$A$1:$D$17</definedName>
    <definedName name="_xlnm.Print_Area" localSheetId="7">'Public Safety, p. 14'!$A$1:$I$24</definedName>
  </definedNames>
  <calcPr calcId="0" calcMode="manual" iterate="1" iterateCount="1" calcCompleted="0" calcOnSave="0"/>
</workbook>
</file>

<file path=xl/calcChain.xml><?xml version="1.0" encoding="utf-8"?>
<calcChain xmlns="http://schemas.openxmlformats.org/spreadsheetml/2006/main">
  <c r="J11" i="1" l="1"/>
  <c r="K11" i="1"/>
  <c r="J12" i="1"/>
  <c r="K12" i="1"/>
  <c r="J13" i="1"/>
  <c r="K13" i="1"/>
  <c r="J14" i="1"/>
  <c r="K14" i="1"/>
  <c r="J15" i="1"/>
  <c r="K15" i="1"/>
  <c r="J17" i="1"/>
  <c r="K17" i="1"/>
  <c r="J18" i="1"/>
  <c r="K18" i="1"/>
  <c r="J19" i="1"/>
  <c r="K19" i="1"/>
  <c r="K9" i="2"/>
  <c r="K10" i="2"/>
  <c r="K11" i="2"/>
  <c r="K13" i="2"/>
  <c r="K15" i="2"/>
  <c r="K16" i="2"/>
  <c r="K17" i="2"/>
  <c r="K18" i="2"/>
  <c r="K19" i="2"/>
  <c r="K20" i="2"/>
  <c r="K21" i="2"/>
  <c r="K22" i="2"/>
  <c r="L10" i="5"/>
  <c r="L11" i="5"/>
  <c r="L12" i="5"/>
  <c r="L13" i="5"/>
  <c r="L14" i="5"/>
  <c r="L15" i="5"/>
  <c r="L16" i="5"/>
  <c r="L18" i="5"/>
  <c r="L19" i="5"/>
  <c r="L20" i="5"/>
  <c r="L21" i="5"/>
  <c r="L22" i="5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9" i="7"/>
  <c r="L10" i="7"/>
  <c r="L11" i="7"/>
  <c r="L12" i="7"/>
  <c r="L13" i="7"/>
  <c r="L15" i="7"/>
  <c r="L16" i="7"/>
  <c r="L17" i="7"/>
  <c r="L19" i="7"/>
  <c r="L20" i="7"/>
  <c r="L22" i="7"/>
  <c r="L24" i="7"/>
  <c r="L26" i="7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K10" i="3"/>
  <c r="K11" i="3"/>
  <c r="K12" i="3"/>
  <c r="K13" i="3"/>
  <c r="K14" i="3"/>
  <c r="K15" i="3"/>
  <c r="K17" i="3"/>
  <c r="K19" i="3"/>
  <c r="K20" i="3"/>
  <c r="H8" i="9"/>
  <c r="H10" i="9"/>
  <c r="H11" i="9"/>
  <c r="H12" i="9"/>
  <c r="H13" i="9"/>
  <c r="H14" i="9"/>
  <c r="H15" i="9"/>
  <c r="H16" i="9"/>
  <c r="M9" i="8"/>
  <c r="M10" i="8"/>
  <c r="M11" i="8"/>
  <c r="M12" i="8"/>
  <c r="M13" i="8"/>
  <c r="M14" i="8"/>
  <c r="M15" i="8"/>
  <c r="M16" i="8"/>
  <c r="M17" i="8"/>
  <c r="M19" i="8"/>
  <c r="M20" i="8"/>
  <c r="M21" i="8"/>
  <c r="M22" i="8"/>
  <c r="M23" i="8"/>
</calcChain>
</file>

<file path=xl/sharedStrings.xml><?xml version="1.0" encoding="utf-8"?>
<sst xmlns="http://schemas.openxmlformats.org/spreadsheetml/2006/main" count="403" uniqueCount="297">
  <si>
    <t>A</t>
  </si>
  <si>
    <t>Education Support Activities</t>
  </si>
  <si>
    <t xml:space="preserve">Fill in the numbers requested, and, where possible, indicate results you have </t>
  </si>
  <si>
    <t xml:space="preserve">seen.  Leave blank those rows which are not applicable.  Feel free to add </t>
  </si>
  <si>
    <t>activities in the row labeled OTHER, or write them on an additional page.</t>
  </si>
  <si>
    <t>What results have you seen?</t>
  </si>
  <si>
    <t xml:space="preserve">Total </t>
  </si>
  <si>
    <t>For example:</t>
  </si>
  <si>
    <t xml:space="preserve">For each of the following activities you </t>
  </si>
  <si>
    <t xml:space="preserve">Total served </t>
  </si>
  <si>
    <t>AmeriCorps</t>
  </si>
  <si>
    <t>*Student class participation increased</t>
  </si>
  <si>
    <t>Special</t>
  </si>
  <si>
    <t xml:space="preserve">did under AmeriCorps, please complete </t>
  </si>
  <si>
    <t xml:space="preserve">or directly </t>
  </si>
  <si>
    <t xml:space="preserve"> Members </t>
  </si>
  <si>
    <t>*Number of students wanting tutors increased</t>
  </si>
  <si>
    <t xml:space="preserve"> characteristics </t>
  </si>
  <si>
    <t>the columns to the right.</t>
  </si>
  <si>
    <t>benefiting</t>
  </si>
  <si>
    <t>involved</t>
  </si>
  <si>
    <t>*Computer center now fully staffed with volunteers</t>
  </si>
  <si>
    <t xml:space="preserve">of clients or </t>
  </si>
  <si>
    <t>*Students more interested in environment</t>
  </si>
  <si>
    <t>beneficiaries</t>
  </si>
  <si>
    <t>*Results of assessment used to modify class focus</t>
  </si>
  <si>
    <t>Recruited peer (student) tutors</t>
  </si>
  <si>
    <t># of tutors:</t>
  </si>
  <si>
    <t>Trained peer (student) tutors</t>
  </si>
  <si>
    <t>Recruited volunteers for tutoring or other educational purposes</t>
  </si>
  <si>
    <t># of volunteers:</t>
  </si>
  <si>
    <t>Trained, placed, and/or followed-up volunteers who were providing services</t>
  </si>
  <si>
    <t>Developed curriculum or curriculum materials (Please specify subject areas)</t>
  </si>
  <si>
    <t># of students instructed:</t>
  </si>
  <si>
    <t>Performed case management (e.g., followed up student performance in different classes; worked with students' teachers to integrate instruction)</t>
  </si>
  <si>
    <t># of students:</t>
  </si>
  <si>
    <t>Assembled book collections, maintained libraries</t>
  </si>
  <si>
    <t>Other Student or Instructional Support (Please specify)</t>
  </si>
  <si>
    <t># of units: (specify unit)</t>
  </si>
  <si>
    <t>B</t>
  </si>
  <si>
    <t>Education Services</t>
  </si>
  <si>
    <t>Total served or directly benefiting</t>
  </si>
  <si>
    <t xml:space="preserve">What results have you seen?  </t>
  </si>
  <si>
    <t>Special characteristics of clients or beneficiaries</t>
  </si>
  <si>
    <t>For each of the following activities</t>
  </si>
  <si>
    <t xml:space="preserve">you did under AmeriCorps, please </t>
  </si>
  <si>
    <t>Members</t>
  </si>
  <si>
    <t>*&lt;number&gt; Grades increased</t>
  </si>
  <si>
    <t>complete the columns to the right</t>
  </si>
  <si>
    <t xml:space="preserve"> providing</t>
  </si>
  <si>
    <t>*&lt;number&gt; Homework turned in</t>
  </si>
  <si>
    <t xml:space="preserve"> services</t>
  </si>
  <si>
    <t>*&lt;number&gt; Parents passed GED tests</t>
  </si>
  <si>
    <t>Provided child care</t>
  </si>
  <si>
    <t>Taught students in Head Start or kindergarten</t>
  </si>
  <si>
    <t>Taught students in grades 1-12           What grade levels? (Please use box)</t>
  </si>
  <si>
    <t>Tutored students in grades 1-12          What grade levels? (Please use box)</t>
  </si>
  <si>
    <t>Mentored or counseled concerning school success or achievement</t>
  </si>
  <si>
    <t>Provided in-class enrichment (such as speakers, presentations)</t>
  </si>
  <si>
    <t>Provided out-of-class enrichment (such as field trips)</t>
  </si>
  <si>
    <t>Conducted home visits for instruction or follow-up of educational activities</t>
  </si>
  <si>
    <t>Organized or conducted service learning &amp; community education activities</t>
  </si>
  <si>
    <t>Worked with parents or families on parenting skills development</t>
  </si>
  <si>
    <t># of parents:</t>
  </si>
  <si>
    <t>Taught adults GED or basic skills development</t>
  </si>
  <si>
    <t># of adults:</t>
  </si>
  <si>
    <t>Other activities (Please specify)</t>
  </si>
  <si>
    <t>Human Needs Service Support</t>
  </si>
  <si>
    <t xml:space="preserve">Fill in the numbers requested, and, where possible, indicate results you </t>
  </si>
  <si>
    <t xml:space="preserve"> Activities</t>
  </si>
  <si>
    <t xml:space="preserve">have seen.  Leave blank those rows which are not applicable.  Feel free </t>
  </si>
  <si>
    <t>to add activities in the row labeled OTHER, or write them on an additional page.</t>
  </si>
  <si>
    <t xml:space="preserve">What results have you seen? </t>
  </si>
  <si>
    <t xml:space="preserve"> For example:</t>
  </si>
  <si>
    <t xml:space="preserve">For each of the following activities you did </t>
  </si>
  <si>
    <t>*&lt;number&gt; Homeless parents found jobs</t>
  </si>
  <si>
    <t xml:space="preserve">under AmeriCorps, please complete the </t>
  </si>
  <si>
    <t xml:space="preserve">Members </t>
  </si>
  <si>
    <t>*&lt;number&gt; Homeless HIV+ individuals fed</t>
  </si>
  <si>
    <t xml:space="preserve">columns to the right </t>
  </si>
  <si>
    <t xml:space="preserve">providing </t>
  </si>
  <si>
    <t>*&lt;number&gt; Permanent shelter found</t>
  </si>
  <si>
    <t>services</t>
  </si>
  <si>
    <t>*&lt;number&gt; Children allowed in school because immunized</t>
  </si>
  <si>
    <t>Adults or children were provided transportation in support of other human service activities</t>
  </si>
  <si>
    <t>Families were provided child care in support of other human service activities</t>
  </si>
  <si>
    <t># families:</t>
  </si>
  <si>
    <t>People were provided case management such as health appointments or follow up scheduling</t>
  </si>
  <si>
    <t>Volunteers recruited and coordinated for assistance in addressing human needs issues</t>
  </si>
  <si>
    <t># volunteers:</t>
  </si>
  <si>
    <t>People's specific support needs assessed or identified</t>
  </si>
  <si>
    <t>Informational materials developed (Please specify subject)</t>
  </si>
  <si>
    <t>Informational materials distributed (Please specify subject)</t>
  </si>
  <si>
    <t># who received:</t>
  </si>
  <si>
    <t>Organized or staffed a community event, fair, or benefit related to health or other human needs which people attended</t>
  </si>
  <si>
    <t># attending:</t>
  </si>
  <si>
    <t>Other Service Support Activities (Please specify)</t>
  </si>
  <si>
    <t xml:space="preserve"> </t>
  </si>
  <si>
    <t>Human Needs -- Direct Services</t>
  </si>
  <si>
    <t>Fill in the numbers requested, and, where possible, indicate results you have</t>
  </si>
  <si>
    <t xml:space="preserve"> seen.  Leave blank those rows which are not applicable.  Feel free to add</t>
  </si>
  <si>
    <t>Number of items</t>
  </si>
  <si>
    <t>For each of the following activities you did</t>
  </si>
  <si>
    <t xml:space="preserve">Special characteristics of </t>
  </si>
  <si>
    <t>*&lt;number&gt; Individuals found jobs</t>
  </si>
  <si>
    <t>clients or beneficiaries</t>
  </si>
  <si>
    <t>columns to the right</t>
  </si>
  <si>
    <t>*&lt;number&gt; Homeless individuals</t>
  </si>
  <si>
    <t>found permanent homes.</t>
  </si>
  <si>
    <t>People received independent living assistance (such as chores for seniors, social support for disabled)</t>
  </si>
  <si>
    <t>People counseled concerning job development or placement</t>
  </si>
  <si>
    <t>People counseled related to health and family matters (mental or physical health, or other matters)</t>
  </si>
  <si>
    <t>Homeless given shelter or vouchers for shelter</t>
  </si>
  <si>
    <t># people:</t>
  </si>
  <si>
    <t>Homeless placed in housing (permanent or transitional to permanent)</t>
  </si>
  <si>
    <t>Homeless given goods to help them, such as distributed clothes and food (shelter support)</t>
  </si>
  <si>
    <t>Organized or packed food or clothing for a food bank or clothing distribution center; provided furniture or other goods to recently homeless</t>
  </si>
  <si>
    <t># items:</t>
  </si>
  <si>
    <t>New homeowners or potential home owners are provided housing services and loan development</t>
  </si>
  <si>
    <t>Individuals received access to health care, diagnosis, and/or follow-up, and/or screened for needed care</t>
  </si>
  <si>
    <t>Pregnant women received access to prenatal care, screening or actual health services, and/or taught about children's health or development; families with young children provided health care or screening</t>
  </si>
  <si>
    <t>Adults or children immunized</t>
  </si>
  <si>
    <t># adults:</t>
  </si>
  <si>
    <t># children:</t>
  </si>
  <si>
    <t>Other Direct Services (Please specify)</t>
  </si>
  <si>
    <t xml:space="preserve"> (specify unit)</t>
  </si>
  <si>
    <t xml:space="preserve"> (specify type)</t>
  </si>
  <si>
    <t xml:space="preserve">Environment -- Support &amp; </t>
  </si>
  <si>
    <t>Emergency Response</t>
  </si>
  <si>
    <t xml:space="preserve">have seen. Leave blank those rows which are not applicable.  Feel free </t>
  </si>
  <si>
    <t>Total buildings, trail mileage, wild land acreage, etc.</t>
  </si>
  <si>
    <t>Estimated</t>
  </si>
  <si>
    <t>Special characteristics of work or its beneficiaries</t>
  </si>
  <si>
    <t xml:space="preserve"> number of </t>
  </si>
  <si>
    <t xml:space="preserve">people </t>
  </si>
  <si>
    <t>* Improved water quality standards</t>
  </si>
  <si>
    <t>the columns to the right</t>
  </si>
  <si>
    <t>served or</t>
  </si>
  <si>
    <t xml:space="preserve"> providing </t>
  </si>
  <si>
    <t>in mixed industrial &amp; residential</t>
  </si>
  <si>
    <t xml:space="preserve"> directly </t>
  </si>
  <si>
    <t xml:space="preserve">* Designed shelters to house 50 </t>
  </si>
  <si>
    <t>homeless people</t>
  </si>
  <si>
    <t>Assessed need for public or community building repair needs (e.g., for repair of public facilities, lead abatement)</t>
  </si>
  <si>
    <t># assessed:</t>
  </si>
  <si>
    <t>Assessed housing or building repair needs (e.g., for housing, pollution prevention or containment, or risk management)</t>
  </si>
  <si>
    <t>Assessed park trail or wild land area</t>
  </si>
  <si>
    <t xml:space="preserve"> maintenance needs (e.g., need for repair of</t>
  </si>
  <si>
    <t># of miles:</t>
  </si>
  <si>
    <t xml:space="preserve"> trail erosion, safety enhancement)</t>
  </si>
  <si>
    <t># of acres:</t>
  </si>
  <si>
    <t>Helped clients identify requirements to meet health or pollution standards (e.g., water quality or air quality guidelines)</t>
  </si>
  <si>
    <t>Distributed information about risks or prevention to the public  (Please specify type of risks)</t>
  </si>
  <si>
    <t># distributed:</t>
  </si>
  <si>
    <t>Provided safety training on environmental hazards (e.g., pesticide training)</t>
  </si>
  <si>
    <t># of trainings:</t>
  </si>
  <si>
    <t>Designed or drew up plans for picnic areas, community buildings, housing or shelters</t>
  </si>
  <si>
    <t># planned:</t>
  </si>
  <si>
    <t>Provided emergency assistance to individuals in need</t>
  </si>
  <si>
    <t>Performed emergency response (e.g., fought fires, performed search and rescue)</t>
  </si>
  <si>
    <t># emergencies:</t>
  </si>
  <si>
    <t>Other responses (Please specify)</t>
  </si>
  <si>
    <t># of units:  (specify unit)</t>
  </si>
  <si>
    <t>Neighborhood Environment</t>
  </si>
  <si>
    <t>Special characteristics of work or its beneficiaries?</t>
  </si>
  <si>
    <t>Total things/units built</t>
  </si>
  <si>
    <t xml:space="preserve">AmeriCorps </t>
  </si>
  <si>
    <t>(number of housing units</t>
  </si>
  <si>
    <t>people served</t>
  </si>
  <si>
    <t xml:space="preserve"> built, buildings renovated,</t>
  </si>
  <si>
    <t>or directly</t>
  </si>
  <si>
    <t xml:space="preserve"> areas cleared, trees planted)</t>
  </si>
  <si>
    <t>Constructed new homeless shelters or made old</t>
  </si>
  <si>
    <t># completed:</t>
  </si>
  <si>
    <t xml:space="preserve"> shelters habitable</t>
  </si>
  <si>
    <t xml:space="preserve"># in progress: </t>
  </si>
  <si>
    <t>Constructed low income housing or housing for</t>
  </si>
  <si>
    <t xml:space="preserve"> disabled or elderly </t>
  </si>
  <si>
    <t>Rehabilitated/renovated low income housing or</t>
  </si>
  <si>
    <t xml:space="preserve"> housing for disabled or elderly</t>
  </si>
  <si>
    <t>Rehabilitated, renovated, or repaired other</t>
  </si>
  <si>
    <t xml:space="preserve"> community buildings </t>
  </si>
  <si>
    <t>Weatherized or winterized homes and/or other</t>
  </si>
  <si>
    <t># homes, apts, etc.:</t>
  </si>
  <si>
    <t xml:space="preserve"> buildings</t>
  </si>
  <si>
    <t xml:space="preserve"># community buildings: </t>
  </si>
  <si>
    <t>Worked on business development activities or helped prepare redevelopment or business</t>
  </si>
  <si>
    <t># businesses attending:</t>
  </si>
  <si>
    <t xml:space="preserve"> development events</t>
  </si>
  <si>
    <t># communities:</t>
  </si>
  <si>
    <t>Cleaned up neighborhoods (indicate lbs or tons of</t>
  </si>
  <si>
    <t>Lbs:</t>
  </si>
  <si>
    <t xml:space="preserve"> trash removed and/or number of neighborhoods</t>
  </si>
  <si>
    <t>Tons:</t>
  </si>
  <si>
    <t xml:space="preserve"> cleared or in which graffiti removed)</t>
  </si>
  <si>
    <t># neighborhoods:</t>
  </si>
  <si>
    <t>Planted neighborhood gardens</t>
  </si>
  <si>
    <t># gardens:</t>
  </si>
  <si>
    <t>Planted trees in urban areas or rural towns (not wildlands)</t>
  </si>
  <si>
    <t>Total trees planted:</t>
  </si>
  <si>
    <t>Recycled consumables or improved energy efficiency in neighborhood  (Specify amount</t>
  </si>
  <si>
    <t>Lbs. recycled:</t>
  </si>
  <si>
    <t xml:space="preserve"> recycled, or # of devices/fixtures)</t>
  </si>
  <si>
    <t># of items:</t>
  </si>
  <si>
    <t>Eliminated or abated environmental risk in buildings, bases, parks or other areas.  (Please specify risk)</t>
  </si>
  <si>
    <t># of buildings:</t>
  </si>
  <si>
    <t># of areas:</t>
  </si>
  <si>
    <t>Other activities  (Please specify)</t>
  </si>
  <si>
    <t>C</t>
  </si>
  <si>
    <t>Natural Environment</t>
  </si>
  <si>
    <t xml:space="preserve">seen. Leave blank those rows which are not applicable.  Feel free to add </t>
  </si>
  <si>
    <t>For each of the following activities you</t>
  </si>
  <si>
    <t>Number of units</t>
  </si>
  <si>
    <t xml:space="preserve">Estimated </t>
  </si>
  <si>
    <t>Special characteristics of unit or work done</t>
  </si>
  <si>
    <t xml:space="preserve"> (e.g., trees planted, dams repaired,</t>
  </si>
  <si>
    <t xml:space="preserve">number of </t>
  </si>
  <si>
    <t xml:space="preserve"> areas abated, fish cultivated)</t>
  </si>
  <si>
    <t xml:space="preserve">people served </t>
  </si>
  <si>
    <t xml:space="preserve">Planted trees in wildlands or park lands </t>
  </si>
  <si>
    <t>(Specify acres or trees)</t>
  </si>
  <si>
    <t># of trees:</t>
  </si>
  <si>
    <t>Eliminated environmental risks in wild or park lands (Specify risk)</t>
  </si>
  <si>
    <t>Repaired dams or did other flood control activities  (Specify type of work)</t>
  </si>
  <si>
    <t># of dams or items:</t>
  </si>
  <si>
    <t>Restored or conserved rivers, river banks,</t>
  </si>
  <si>
    <t>Miles of river:</t>
  </si>
  <si>
    <t>beaches, and fish habitat</t>
  </si>
  <si>
    <t>Acres of habitat:</t>
  </si>
  <si>
    <t>Restored or conserved other public lands and fowl or fauna habitat (Specify type of habitat)</t>
  </si>
  <si>
    <t>Acres of habitat or land:</t>
  </si>
  <si>
    <t>Maintained or cleaned up trail &amp; other public park areas or roads</t>
  </si>
  <si>
    <t>Miles of trail or road:</t>
  </si>
  <si>
    <t>Sampled, mapped and/or monitored natural resources  (Specify resources and types of service)</t>
  </si>
  <si>
    <t># of activities or efforts:</t>
  </si>
  <si>
    <t>Provided other technical services (e.g., computer simulation)  (Specify type of service)</t>
  </si>
  <si>
    <t># of service activities:</t>
  </si>
  <si>
    <t>Trained others to prevent or better address environmental problems  (Specify type of training)</t>
  </si>
  <si>
    <t xml:space="preserve">Fill in the numbers requested, and, where possible, indicate results you  </t>
  </si>
  <si>
    <t>Public Safety</t>
  </si>
  <si>
    <t>to add activities in the row labeled OTHER, or add them on an additional page.</t>
  </si>
  <si>
    <t xml:space="preserve">For each of the following activities </t>
  </si>
  <si>
    <t xml:space="preserve">you did under AmeriCorps, please  </t>
  </si>
  <si>
    <t>Programs or groups</t>
  </si>
  <si>
    <t xml:space="preserve">Total served or directly </t>
  </si>
  <si>
    <t xml:space="preserve">Special characteristics </t>
  </si>
  <si>
    <t xml:space="preserve"> affected</t>
  </si>
  <si>
    <t>*Held first peaceful community event</t>
  </si>
  <si>
    <t xml:space="preserve"> of clients or</t>
  </si>
  <si>
    <t>providing</t>
  </si>
  <si>
    <t xml:space="preserve">*&lt;number&gt; Gang members now </t>
  </si>
  <si>
    <t xml:space="preserve"> beneficiaries</t>
  </si>
  <si>
    <t>service</t>
  </si>
  <si>
    <t>working as peer mediators</t>
  </si>
  <si>
    <t>Developed networks among ethnic or other groups previously not relating well</t>
  </si>
  <si>
    <t># community groups:</t>
  </si>
  <si>
    <t>Conducted neighborhood watch or violence prevention patrols, child or</t>
  </si>
  <si>
    <t># patrol groups:</t>
  </si>
  <si>
    <t># people escorted:</t>
  </si>
  <si>
    <t>senior escorts</t>
  </si>
  <si>
    <t># escorts:</t>
  </si>
  <si>
    <t>Started or continued community policing or police relations programs</t>
  </si>
  <si>
    <t xml:space="preserve"># programs: </t>
  </si>
  <si>
    <t>#individuals:</t>
  </si>
  <si>
    <t>Conducted or trained students in conflict mediation/ resolution programs in schools</t>
  </si>
  <si>
    <t># programs:</t>
  </si>
  <si>
    <t xml:space="preserve"># involved: </t>
  </si>
  <si>
    <t>Conducted or trained students, adults, or families in conflict mediation/ resolution out of school</t>
  </si>
  <si>
    <t>Organized and/or conducted after school sports &amp; violence avoidance activities</t>
  </si>
  <si>
    <t># who participated:</t>
  </si>
  <si>
    <t>Counseled individuals about substance abuse prevention or related issues</t>
  </si>
  <si>
    <t># counseled:</t>
  </si>
  <si>
    <t>Provided information about risks, safety measures, or victimization prevention to public, or answered hotline calls  (Specify type of risks)</t>
  </si>
  <si>
    <t># who received info:</t>
  </si>
  <si>
    <t>Conducted anti-victimization counseling, workshops in violence prevention, or help in negotiating the justice system</t>
  </si>
  <si>
    <t>#  individuals counseled or trained:</t>
  </si>
  <si>
    <t>Conducted child abuse prevention awareness training</t>
  </si>
  <si>
    <t>#  individuals trained:</t>
  </si>
  <si>
    <t>Conducted activities related to juvenile or adult offenders or ex-offenders</t>
  </si>
  <si>
    <t>#  juveniles:</t>
  </si>
  <si>
    <t>(e.g., career development for youth on probation)</t>
  </si>
  <si>
    <t># of units (please specify)</t>
  </si>
  <si>
    <t>Member Development</t>
  </si>
  <si>
    <t xml:space="preserve">Fill in the numbers requested and comment on any results you have seen.  </t>
  </si>
  <si>
    <t xml:space="preserve">Leave blank those rows that are not applicable.  Feel free to add accomplishments </t>
  </si>
  <si>
    <t>in the row labeled OTHER, or on an additional page.</t>
  </si>
  <si>
    <t>under AmeriCorps, please complete the</t>
  </si>
  <si>
    <t>*Members now employed by social service agencies</t>
  </si>
  <si>
    <t>trained</t>
  </si>
  <si>
    <t>Trained Members in life skills such as organizational skills, problem solving, working in teams, leadership skills, conflict resolution.  (Please describe skills in which members were trained.)</t>
  </si>
  <si>
    <t>Trained Members in technical skills related to carrying out their assignments</t>
  </si>
  <si>
    <t>Provided Members academic training toward getting their GED or high school diploma</t>
  </si>
  <si>
    <t>Provided Members career development training or counseling</t>
  </si>
  <si>
    <t>Trained Members in CPR, first aid, emergency response</t>
  </si>
  <si>
    <t>Trained Members in citizenship and civic responsibility</t>
  </si>
  <si>
    <t>Helped prepare Members for their post-AmeriCorps job search</t>
  </si>
  <si>
    <t>Other Member Development activities  (Please specify)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</si>
</sst>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name val="Arial"/>
    </font>
    <font>
      <b/>
      <sz val="10"/>
      <name val="Arial"/>
    </font>
    <font>
      <i/>
      <sz val="10"/>
      <name val="Arial"/>
    </font>
    <font>
      <b/>
      <i/>
      <sz val="10"/>
      <name val="Arial"/>
    </font>
    <font>
      <sz val="10"/>
      <name val="Arial"/>
    </font>
    <font>
      <sz val="16"/>
      <name val="Arial"/>
    </font>
    <font>
      <sz val="12"/>
      <name val="Arial"/>
    </font>
    <font>
      <b/>
      <sz val="12"/>
      <name val="Arial"/>
    </font>
    <font>
      <sz val="14"/>
      <name val="Arial"/>
    </font>
    <font>
      <sz val="9"/>
      <name val="Arial"/>
    </font>
    <font>
      <b/>
      <i/>
      <sz val="8"/>
      <name val="Arial"/>
    </font>
    <font>
      <i/>
      <sz val="9"/>
      <name val="Arial"/>
    </font>
    <font>
      <b/>
      <sz val="9"/>
      <name val="Arial"/>
    </font>
    <font>
      <sz val="8"/>
      <name val="Arial"/>
    </font>
    <font>
      <i/>
      <sz val="8"/>
      <name val="Arial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Continuous"/>
    </xf>
    <xf numFmtId="0" fontId="0" fillId="0" borderId="7" xfId="0" applyBorder="1" applyAlignment="1">
      <alignment horizontal="centerContinuous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 applyAlignment="1">
      <alignment horizontal="right"/>
    </xf>
    <xf numFmtId="0" fontId="0" fillId="0" borderId="8" xfId="0" applyBorder="1" applyAlignment="1">
      <alignment horizontal="centerContinuous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3" fillId="0" borderId="0" xfId="0" applyFont="1" applyBorder="1" applyAlignment="1">
      <alignment horizontal="left"/>
    </xf>
    <xf numFmtId="0" fontId="0" fillId="0" borderId="10" xfId="0" applyBorder="1"/>
    <xf numFmtId="0" fontId="0" fillId="0" borderId="1" xfId="0" applyBorder="1" applyAlignment="1" applyProtection="1">
      <alignment horizontal="centerContinuous" vertical="center"/>
      <protection locked="0"/>
    </xf>
    <xf numFmtId="0" fontId="0" fillId="0" borderId="8" xfId="0" applyBorder="1" applyAlignment="1" applyProtection="1">
      <alignment horizontal="centerContinuous" vertical="center"/>
      <protection locked="0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/>
    <xf numFmtId="0" fontId="3" fillId="0" borderId="4" xfId="0" applyFont="1" applyBorder="1"/>
    <xf numFmtId="0" fontId="10" fillId="0" borderId="4" xfId="0" applyFont="1" applyBorder="1"/>
    <xf numFmtId="0" fontId="10" fillId="0" borderId="7" xfId="0" applyFont="1" applyBorder="1"/>
    <xf numFmtId="0" fontId="10" fillId="0" borderId="0" xfId="0" applyFont="1" applyBorder="1"/>
    <xf numFmtId="0" fontId="11" fillId="0" borderId="0" xfId="0" applyFont="1" applyBorder="1"/>
    <xf numFmtId="0" fontId="0" fillId="0" borderId="1" xfId="0" applyBorder="1" applyAlignment="1">
      <alignment horizontal="center" vertical="center"/>
    </xf>
    <xf numFmtId="0" fontId="3" fillId="0" borderId="0" xfId="0" applyFont="1" applyBorder="1"/>
    <xf numFmtId="0" fontId="10" fillId="0" borderId="2" xfId="0" applyFont="1" applyBorder="1"/>
    <xf numFmtId="0" fontId="0" fillId="0" borderId="8" xfId="0" applyBorder="1" applyAlignment="1">
      <alignment horizontal="center" vertical="center"/>
    </xf>
    <xf numFmtId="0" fontId="3" fillId="0" borderId="3" xfId="0" applyFont="1" applyBorder="1"/>
    <xf numFmtId="0" fontId="10" fillId="0" borderId="3" xfId="0" applyFont="1" applyBorder="1"/>
    <xf numFmtId="0" fontId="10" fillId="0" borderId="9" xfId="0" applyFont="1" applyBorder="1"/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/>
    </xf>
    <xf numFmtId="0" fontId="12" fillId="0" borderId="11" xfId="0" applyFont="1" applyBorder="1" applyAlignment="1">
      <alignment horizontal="left"/>
    </xf>
    <xf numFmtId="0" fontId="0" fillId="0" borderId="1" xfId="0" applyBorder="1" applyAlignment="1"/>
    <xf numFmtId="0" fontId="3" fillId="0" borderId="2" xfId="0" applyFont="1" applyBorder="1"/>
    <xf numFmtId="0" fontId="12" fillId="0" borderId="11" xfId="0" applyFont="1" applyBorder="1" applyAlignment="1">
      <alignment horizontal="centerContinuous" vertical="center" wrapText="1"/>
    </xf>
    <xf numFmtId="0" fontId="0" fillId="0" borderId="2" xfId="0" applyBorder="1" applyAlignment="1">
      <alignment horizontal="centerContinuous" vertical="center" wrapText="1"/>
    </xf>
    <xf numFmtId="0" fontId="13" fillId="0" borderId="11" xfId="0" applyFont="1" applyBorder="1" applyAlignment="1">
      <alignment horizontal="left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Continuous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left"/>
    </xf>
    <xf numFmtId="0" fontId="12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13" fillId="0" borderId="9" xfId="0" applyFont="1" applyBorder="1" applyAlignment="1">
      <alignment horizontal="right" vertical="top" wrapText="1"/>
    </xf>
    <xf numFmtId="3" fontId="8" fillId="0" borderId="9" xfId="0" applyNumberFormat="1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justify" vertical="top" wrapText="1"/>
      <protection locked="0"/>
    </xf>
    <xf numFmtId="0" fontId="9" fillId="0" borderId="8" xfId="0" applyFont="1" applyBorder="1" applyAlignment="1" applyProtection="1">
      <alignment horizontal="justify" vertical="top" wrapText="1"/>
      <protection locked="0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13" fillId="0" borderId="14" xfId="0" applyFont="1" applyBorder="1" applyAlignment="1">
      <alignment horizontal="right" vertical="top" wrapText="1"/>
    </xf>
    <xf numFmtId="0" fontId="8" fillId="0" borderId="14" xfId="0" applyFont="1" applyBorder="1" applyAlignment="1" applyProtection="1">
      <alignment horizontal="center" vertical="center"/>
      <protection locked="0"/>
    </xf>
    <xf numFmtId="0" fontId="9" fillId="0" borderId="15" xfId="0" applyFont="1" applyBorder="1" applyAlignment="1" applyProtection="1">
      <alignment horizontal="justify" vertical="top" wrapText="1"/>
      <protection locked="0"/>
    </xf>
    <xf numFmtId="0" fontId="9" fillId="0" borderId="13" xfId="0" applyFont="1" applyBorder="1" applyAlignment="1" applyProtection="1">
      <alignment horizontal="justify" vertical="top" wrapText="1"/>
      <protection locked="0"/>
    </xf>
    <xf numFmtId="0" fontId="0" fillId="0" borderId="14" xfId="0" applyBorder="1" applyAlignment="1">
      <alignment vertical="center" wrapText="1"/>
    </xf>
    <xf numFmtId="0" fontId="0" fillId="0" borderId="5" xfId="0" applyBorder="1" applyAlignment="1">
      <alignment horizontal="centerContinuous" vertical="center"/>
    </xf>
    <xf numFmtId="0" fontId="0" fillId="0" borderId="2" xfId="0" applyBorder="1" applyAlignment="1">
      <alignment vertical="top" wrapText="1"/>
    </xf>
    <xf numFmtId="0" fontId="13" fillId="0" borderId="7" xfId="0" applyFont="1" applyBorder="1" applyAlignment="1">
      <alignment horizontal="right" vertical="top" wrapText="1"/>
    </xf>
    <xf numFmtId="0" fontId="8" fillId="0" borderId="5" xfId="0" applyFont="1" applyBorder="1" applyAlignment="1" applyProtection="1">
      <alignment horizontal="centerContinuous" vertical="center"/>
      <protection locked="0"/>
    </xf>
    <xf numFmtId="0" fontId="9" fillId="0" borderId="5" xfId="0" applyFont="1" applyBorder="1" applyAlignment="1" applyProtection="1">
      <alignment horizontal="justify" vertical="top" wrapText="1"/>
      <protection locked="0"/>
    </xf>
    <xf numFmtId="0" fontId="0" fillId="0" borderId="12" xfId="0" applyBorder="1" applyAlignment="1">
      <alignment horizontal="centerContinuous" vertical="center"/>
    </xf>
    <xf numFmtId="0" fontId="0" fillId="0" borderId="16" xfId="0" applyBorder="1" applyAlignment="1" applyProtection="1">
      <alignment wrapText="1"/>
      <protection locked="0"/>
    </xf>
    <xf numFmtId="0" fontId="0" fillId="0" borderId="8" xfId="0" applyBorder="1" applyAlignment="1" applyProtection="1">
      <alignment horizontal="justify" vertical="top" wrapText="1"/>
      <protection locked="0"/>
    </xf>
    <xf numFmtId="0" fontId="0" fillId="0" borderId="9" xfId="0" applyBorder="1" applyAlignment="1">
      <alignment vertical="top" wrapText="1"/>
    </xf>
    <xf numFmtId="0" fontId="0" fillId="0" borderId="6" xfId="0" applyBorder="1" applyAlignment="1">
      <alignment horizontal="centerContinuous" vertical="center"/>
    </xf>
    <xf numFmtId="0" fontId="0" fillId="0" borderId="17" xfId="0" applyBorder="1" applyAlignment="1">
      <alignment vertical="top" wrapText="1"/>
    </xf>
    <xf numFmtId="0" fontId="13" fillId="0" borderId="7" xfId="0" applyFont="1" applyFill="1" applyBorder="1" applyAlignment="1" applyProtection="1">
      <alignment horizontal="right" vertical="top" wrapText="1"/>
    </xf>
    <xf numFmtId="0" fontId="8" fillId="0" borderId="7" xfId="0" applyFont="1" applyFill="1" applyBorder="1" applyAlignment="1" applyProtection="1">
      <alignment horizontal="centerContinuous" vertical="center" wrapText="1"/>
      <protection locked="0"/>
    </xf>
    <xf numFmtId="0" fontId="0" fillId="0" borderId="16" xfId="0" applyBorder="1" applyAlignment="1" applyProtection="1">
      <alignment horizontal="justify" vertical="top" wrapText="1"/>
      <protection locked="0"/>
    </xf>
    <xf numFmtId="0" fontId="13" fillId="0" borderId="16" xfId="0" applyFont="1" applyBorder="1" applyAlignment="1" applyProtection="1">
      <alignment horizontal="left" vertical="top" wrapText="1"/>
      <protection locked="0"/>
    </xf>
    <xf numFmtId="0" fontId="0" fillId="0" borderId="9" xfId="0" applyBorder="1" applyAlignment="1" applyProtection="1">
      <alignment horizontal="centerContinuous" vertical="center" wrapText="1"/>
      <protection locked="0"/>
    </xf>
    <xf numFmtId="0" fontId="0" fillId="0" borderId="0" xfId="0" applyAlignment="1">
      <alignment horizontal="center" vertical="center"/>
    </xf>
    <xf numFmtId="0" fontId="7" fillId="0" borderId="5" xfId="0" applyFont="1" applyBorder="1"/>
    <xf numFmtId="0" fontId="3" fillId="0" borderId="6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13" fillId="0" borderId="0" xfId="0" applyFont="1" applyBorder="1"/>
    <xf numFmtId="0" fontId="3" fillId="0" borderId="1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12" fillId="0" borderId="6" xfId="0" applyFont="1" applyBorder="1" applyAlignment="1">
      <alignment horizontal="centerContinuous" vertical="center" wrapText="1"/>
    </xf>
    <xf numFmtId="0" fontId="0" fillId="0" borderId="7" xfId="0" applyBorder="1" applyAlignment="1">
      <alignment horizontal="centerContinuous" vertical="center" wrapText="1"/>
    </xf>
    <xf numFmtId="0" fontId="12" fillId="0" borderId="5" xfId="0" applyFont="1" applyBorder="1" applyAlignment="1">
      <alignment horizontal="centerContinuous" vertical="center" wrapText="1"/>
    </xf>
    <xf numFmtId="0" fontId="0" fillId="0" borderId="11" xfId="0" applyBorder="1" applyAlignment="1">
      <alignment horizontal="centerContinuous" vertical="center" wrapText="1"/>
    </xf>
    <xf numFmtId="0" fontId="0" fillId="0" borderId="1" xfId="0" applyBorder="1" applyAlignment="1">
      <alignment horizontal="centerContinuous" vertical="center" wrapText="1"/>
    </xf>
    <xf numFmtId="0" fontId="0" fillId="0" borderId="12" xfId="0" applyBorder="1" applyAlignment="1">
      <alignment horizontal="centerContinuous" vertical="center" wrapText="1"/>
    </xf>
    <xf numFmtId="0" fontId="0" fillId="0" borderId="9" xfId="0" applyBorder="1" applyAlignment="1">
      <alignment horizontal="centerContinuous" vertical="center" wrapText="1"/>
    </xf>
    <xf numFmtId="0" fontId="12" fillId="0" borderId="8" xfId="0" applyFont="1" applyBorder="1" applyAlignment="1">
      <alignment horizontal="center"/>
    </xf>
    <xf numFmtId="0" fontId="0" fillId="0" borderId="8" xfId="0" applyBorder="1" applyAlignment="1">
      <alignment horizontal="centerContinuous" vertical="center" wrapText="1"/>
    </xf>
    <xf numFmtId="0" fontId="8" fillId="0" borderId="15" xfId="0" applyFont="1" applyBorder="1" applyAlignment="1" applyProtection="1">
      <alignment horizontal="centerContinuous" vertical="center"/>
      <protection locked="0"/>
    </xf>
    <xf numFmtId="0" fontId="0" fillId="0" borderId="14" xfId="0" applyBorder="1" applyAlignment="1">
      <alignment horizontal="centerContinuous" vertical="center"/>
    </xf>
    <xf numFmtId="0" fontId="0" fillId="0" borderId="14" xfId="0" applyBorder="1" applyAlignment="1">
      <alignment wrapText="1"/>
    </xf>
    <xf numFmtId="0" fontId="0" fillId="0" borderId="7" xfId="0" applyBorder="1" applyAlignment="1">
      <alignment wrapText="1"/>
    </xf>
    <xf numFmtId="0" fontId="8" fillId="0" borderId="4" xfId="0" applyFont="1" applyBorder="1" applyAlignment="1" applyProtection="1">
      <alignment horizontal="centerContinuous" vertical="center"/>
      <protection locked="0"/>
    </xf>
    <xf numFmtId="0" fontId="0" fillId="0" borderId="7" xfId="0" applyBorder="1" applyAlignment="1">
      <alignment horizontal="centerContinuous" vertical="center"/>
    </xf>
    <xf numFmtId="0" fontId="8" fillId="0" borderId="7" xfId="0" applyFont="1" applyBorder="1" applyAlignment="1" applyProtection="1">
      <alignment horizontal="centerContinuous" vertical="center"/>
      <protection locked="0"/>
    </xf>
    <xf numFmtId="0" fontId="9" fillId="0" borderId="7" xfId="0" applyFont="1" applyBorder="1" applyAlignment="1" applyProtection="1">
      <alignment horizontal="justify" vertical="top" wrapText="1"/>
      <protection locked="0"/>
    </xf>
    <xf numFmtId="0" fontId="0" fillId="0" borderId="3" xfId="0" applyBorder="1" applyAlignment="1">
      <alignment horizontal="centerContinuous" vertical="center"/>
    </xf>
    <xf numFmtId="0" fontId="0" fillId="0" borderId="9" xfId="0" applyBorder="1" applyAlignment="1">
      <alignment horizontal="centerContinuous" vertical="center"/>
    </xf>
    <xf numFmtId="0" fontId="8" fillId="0" borderId="9" xfId="0" applyFont="1" applyBorder="1" applyAlignment="1" applyProtection="1">
      <alignment horizontal="centerContinuous" vertical="center"/>
      <protection locked="0"/>
    </xf>
    <xf numFmtId="0" fontId="9" fillId="0" borderId="9" xfId="0" applyFont="1" applyBorder="1" applyAlignment="1" applyProtection="1">
      <alignment horizontal="justify" vertical="top" wrapText="1"/>
      <protection locked="0"/>
    </xf>
    <xf numFmtId="0" fontId="0" fillId="0" borderId="11" xfId="0" applyBorder="1" applyAlignment="1">
      <alignment horizontal="centerContinuous" vertical="center"/>
    </xf>
    <xf numFmtId="0" fontId="0" fillId="0" borderId="18" xfId="0" applyBorder="1" applyAlignment="1">
      <alignment wrapText="1"/>
    </xf>
    <xf numFmtId="0" fontId="8" fillId="0" borderId="1" xfId="0" applyFont="1" applyBorder="1" applyAlignment="1" applyProtection="1">
      <alignment horizontal="centerContinuous" vertical="center"/>
      <protection locked="0"/>
    </xf>
    <xf numFmtId="0" fontId="9" fillId="0" borderId="0" xfId="0" applyFont="1" applyBorder="1" applyAlignment="1" applyProtection="1">
      <alignment horizontal="justify" vertical="top" wrapText="1"/>
      <protection locked="0"/>
    </xf>
    <xf numFmtId="0" fontId="9" fillId="0" borderId="1" xfId="0" applyFont="1" applyBorder="1" applyAlignment="1" applyProtection="1">
      <alignment horizontal="justify" vertical="top" wrapText="1"/>
      <protection locked="0"/>
    </xf>
    <xf numFmtId="0" fontId="4" fillId="0" borderId="16" xfId="0" applyFont="1" applyBorder="1" applyProtection="1">
      <protection locked="0"/>
    </xf>
    <xf numFmtId="0" fontId="8" fillId="0" borderId="8" xfId="0" applyFont="1" applyBorder="1" applyAlignment="1" applyProtection="1">
      <alignment horizontal="centerContinuous" vertical="center"/>
      <protection locked="0"/>
    </xf>
    <xf numFmtId="0" fontId="9" fillId="0" borderId="3" xfId="0" applyFont="1" applyBorder="1" applyAlignment="1" applyProtection="1">
      <alignment horizontal="justify" vertical="top" wrapText="1"/>
      <protection locked="0"/>
    </xf>
    <xf numFmtId="0" fontId="4" fillId="0" borderId="0" xfId="0" applyFont="1" applyBorder="1"/>
    <xf numFmtId="0" fontId="4" fillId="0" borderId="3" xfId="0" applyFont="1" applyBorder="1"/>
    <xf numFmtId="0" fontId="0" fillId="0" borderId="9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7" xfId="0" applyBorder="1" applyAlignment="1">
      <alignment vertical="center"/>
    </xf>
    <xf numFmtId="0" fontId="13" fillId="0" borderId="7" xfId="0" applyFont="1" applyBorder="1" applyAlignment="1" applyProtection="1">
      <alignment horizontal="right" vertical="center" wrapText="1"/>
    </xf>
    <xf numFmtId="0" fontId="0" fillId="0" borderId="19" xfId="0" applyBorder="1" applyAlignment="1" applyProtection="1">
      <alignment horizontal="left"/>
      <protection locked="0"/>
    </xf>
    <xf numFmtId="0" fontId="9" fillId="0" borderId="19" xfId="0" applyFont="1" applyBorder="1" applyAlignment="1" applyProtection="1">
      <alignment horizontal="left" vertical="center"/>
      <protection locked="0"/>
    </xf>
    <xf numFmtId="0" fontId="0" fillId="0" borderId="2" xfId="0" applyBorder="1" applyAlignment="1">
      <alignment horizontal="centerContinuous" vertical="center"/>
    </xf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justify" vertical="top" wrapText="1"/>
    </xf>
    <xf numFmtId="0" fontId="0" fillId="0" borderId="20" xfId="0" applyBorder="1" applyAlignment="1" applyProtection="1">
      <alignment horizontal="left"/>
      <protection locked="0"/>
    </xf>
    <xf numFmtId="0" fontId="9" fillId="0" borderId="20" xfId="0" applyFont="1" applyBorder="1" applyAlignment="1" applyProtection="1">
      <alignment horizontal="left" vertical="center"/>
      <protection locked="0"/>
    </xf>
    <xf numFmtId="0" fontId="0" fillId="0" borderId="21" xfId="0" applyBorder="1" applyAlignment="1" applyProtection="1">
      <alignment horizontal="left"/>
      <protection locked="0"/>
    </xf>
    <xf numFmtId="0" fontId="9" fillId="0" borderId="21" xfId="0" applyFont="1" applyBorder="1" applyAlignment="1" applyProtection="1">
      <alignment horizontal="left" vertical="center"/>
      <protection locked="0"/>
    </xf>
    <xf numFmtId="0" fontId="0" fillId="0" borderId="8" xfId="0" applyBorder="1" applyAlignment="1">
      <alignment horizontal="centerContinuous" vertical="center"/>
    </xf>
    <xf numFmtId="0" fontId="0" fillId="0" borderId="8" xfId="0" applyBorder="1" applyAlignment="1">
      <alignment horizontal="justify" vertical="top" wrapText="1"/>
    </xf>
    <xf numFmtId="0" fontId="7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2" xfId="0" applyFont="1" applyBorder="1"/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12" fillId="0" borderId="8" xfId="0" applyFont="1" applyBorder="1" applyAlignment="1">
      <alignment horizontal="center" vertical="top"/>
    </xf>
    <xf numFmtId="0" fontId="13" fillId="0" borderId="12" xfId="0" applyFont="1" applyBorder="1" applyAlignment="1">
      <alignment horizontal="left" wrapText="1"/>
    </xf>
    <xf numFmtId="0" fontId="5" fillId="0" borderId="15" xfId="0" applyFont="1" applyBorder="1" applyAlignment="1" applyProtection="1">
      <alignment horizontal="centerContinuous" vertical="center" wrapText="1"/>
      <protection locked="0"/>
    </xf>
    <xf numFmtId="0" fontId="0" fillId="0" borderId="14" xfId="0" applyBorder="1" applyAlignment="1">
      <alignment horizontal="centerContinuous" vertical="center" wrapText="1"/>
    </xf>
    <xf numFmtId="0" fontId="5" fillId="0" borderId="9" xfId="0" applyFont="1" applyBorder="1" applyAlignment="1" applyProtection="1">
      <alignment horizontal="center" vertical="center"/>
      <protection locked="0"/>
    </xf>
    <xf numFmtId="0" fontId="13" fillId="0" borderId="14" xfId="0" applyFont="1" applyBorder="1" applyAlignment="1">
      <alignment horizontal="right" vertical="top"/>
    </xf>
    <xf numFmtId="0" fontId="5" fillId="0" borderId="14" xfId="0" applyFont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Continuous" vertical="center" wrapText="1"/>
      <protection locked="0"/>
    </xf>
    <xf numFmtId="0" fontId="5" fillId="0" borderId="4" xfId="0" applyFont="1" applyBorder="1" applyAlignment="1" applyProtection="1">
      <alignment horizontal="centerContinuous" vertical="center" wrapText="1"/>
      <protection locked="0"/>
    </xf>
    <xf numFmtId="0" fontId="5" fillId="0" borderId="5" xfId="0" applyFont="1" applyBorder="1" applyAlignment="1" applyProtection="1">
      <alignment horizontal="centerContinuous" vertical="center"/>
      <protection locked="0"/>
    </xf>
    <xf numFmtId="0" fontId="0" fillId="0" borderId="3" xfId="0" applyBorder="1" applyAlignment="1">
      <alignment horizontal="centerContinuous" vertical="center" wrapText="1"/>
    </xf>
    <xf numFmtId="0" fontId="5" fillId="0" borderId="8" xfId="0" applyFont="1" applyBorder="1" applyAlignment="1" applyProtection="1">
      <alignment horizontal="centerContinuous" vertical="center"/>
      <protection locked="0"/>
    </xf>
    <xf numFmtId="0" fontId="0" fillId="0" borderId="22" xfId="0" applyBorder="1" applyAlignment="1">
      <alignment wrapText="1"/>
    </xf>
    <xf numFmtId="0" fontId="13" fillId="0" borderId="2" xfId="0" applyFont="1" applyBorder="1" applyAlignment="1" applyProtection="1">
      <alignment horizontal="right" vertical="top" wrapText="1"/>
    </xf>
    <xf numFmtId="0" fontId="5" fillId="0" borderId="2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justify" vertical="top" wrapText="1"/>
      <protection locked="0"/>
    </xf>
    <xf numFmtId="0" fontId="13" fillId="0" borderId="9" xfId="0" applyFont="1" applyBorder="1" applyAlignment="1" applyProtection="1">
      <alignment horizontal="right" vertical="top" wrapText="1"/>
    </xf>
    <xf numFmtId="0" fontId="13" fillId="0" borderId="14" xfId="0" applyFont="1" applyBorder="1" applyAlignment="1" applyProtection="1">
      <alignment horizontal="right" vertical="top" wrapText="1"/>
    </xf>
    <xf numFmtId="0" fontId="0" fillId="0" borderId="17" xfId="0" applyBorder="1" applyAlignment="1">
      <alignment wrapText="1"/>
    </xf>
    <xf numFmtId="0" fontId="13" fillId="0" borderId="5" xfId="0" applyFont="1" applyBorder="1" applyAlignment="1" applyProtection="1">
      <alignment horizontal="right" vertical="top" wrapText="1"/>
    </xf>
    <xf numFmtId="0" fontId="5" fillId="0" borderId="7" xfId="0" applyFont="1" applyBorder="1" applyAlignment="1" applyProtection="1">
      <alignment horizontal="centerContinuous" vertical="center" wrapText="1"/>
      <protection locked="0"/>
    </xf>
    <xf numFmtId="0" fontId="5" fillId="0" borderId="5" xfId="0" applyFont="1" applyBorder="1" applyAlignment="1" applyProtection="1">
      <alignment horizontal="centerContinuous" vertical="center" wrapText="1"/>
      <protection locked="0"/>
    </xf>
    <xf numFmtId="0" fontId="0" fillId="0" borderId="16" xfId="0" applyBorder="1" applyAlignment="1" applyProtection="1">
      <alignment horizontal="left" wrapText="1"/>
      <protection locked="0"/>
    </xf>
    <xf numFmtId="0" fontId="9" fillId="0" borderId="16" xfId="0" applyFont="1" applyBorder="1" applyAlignment="1" applyProtection="1">
      <alignment horizontal="left" vertical="center" wrapText="1"/>
      <protection locked="0"/>
    </xf>
    <xf numFmtId="0" fontId="0" fillId="0" borderId="8" xfId="0" applyBorder="1" applyAlignment="1" applyProtection="1">
      <alignment horizontal="centerContinuous" vertical="center" wrapText="1"/>
      <protection locked="0"/>
    </xf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centerContinuous" vertical="center" wrapText="1"/>
    </xf>
    <xf numFmtId="0" fontId="12" fillId="0" borderId="7" xfId="0" applyFont="1" applyBorder="1" applyAlignment="1">
      <alignment horizontal="center"/>
    </xf>
    <xf numFmtId="0" fontId="0" fillId="0" borderId="1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8" xfId="0" applyBorder="1" applyAlignment="1">
      <alignment horizontal="center" vertical="center" wrapText="1"/>
    </xf>
    <xf numFmtId="0" fontId="5" fillId="0" borderId="12" xfId="0" applyFont="1" applyBorder="1" applyAlignment="1" applyProtection="1">
      <alignment horizontal="centerContinuous" vertical="center"/>
    </xf>
    <xf numFmtId="0" fontId="5" fillId="0" borderId="9" xfId="0" applyFont="1" applyBorder="1" applyAlignment="1" applyProtection="1">
      <alignment horizontal="centerContinuous" vertical="center"/>
    </xf>
    <xf numFmtId="0" fontId="5" fillId="0" borderId="15" xfId="0" applyFont="1" applyBorder="1" applyAlignment="1" applyProtection="1">
      <alignment horizontal="centerContinuous" vertical="center"/>
      <protection locked="0"/>
    </xf>
    <xf numFmtId="0" fontId="5" fillId="0" borderId="15" xfId="0" applyFont="1" applyBorder="1" applyAlignment="1" applyProtection="1">
      <alignment horizontal="centerContinuous" vertical="center"/>
    </xf>
    <xf numFmtId="0" fontId="5" fillId="0" borderId="14" xfId="0" applyFont="1" applyBorder="1" applyAlignment="1" applyProtection="1">
      <alignment horizontal="centerContinuous" vertical="center"/>
    </xf>
    <xf numFmtId="0" fontId="0" fillId="0" borderId="15" xfId="0" applyBorder="1" applyAlignment="1" applyProtection="1"/>
    <xf numFmtId="0" fontId="0" fillId="0" borderId="14" xfId="0" applyBorder="1" applyAlignment="1" applyProtection="1"/>
    <xf numFmtId="0" fontId="13" fillId="0" borderId="13" xfId="0" applyFont="1" applyBorder="1" applyAlignment="1" applyProtection="1">
      <alignment horizontal="right" vertical="top"/>
    </xf>
    <xf numFmtId="0" fontId="0" fillId="0" borderId="5" xfId="0" applyBorder="1" applyAlignment="1">
      <alignment horizontal="left" vertical="center" wrapText="1"/>
    </xf>
    <xf numFmtId="0" fontId="13" fillId="0" borderId="6" xfId="0" applyFont="1" applyBorder="1" applyAlignment="1">
      <alignment horizontal="right" vertical="top"/>
    </xf>
    <xf numFmtId="0" fontId="13" fillId="0" borderId="5" xfId="0" applyFont="1" applyBorder="1" applyAlignment="1">
      <alignment horizontal="right" vertical="top" wrapText="1"/>
    </xf>
    <xf numFmtId="0" fontId="0" fillId="0" borderId="8" xfId="0" applyBorder="1" applyAlignment="1">
      <alignment horizontal="left" vertical="center" wrapText="1"/>
    </xf>
    <xf numFmtId="0" fontId="0" fillId="0" borderId="12" xfId="0" applyBorder="1" applyAlignment="1">
      <alignment horizontal="right" vertical="top"/>
    </xf>
    <xf numFmtId="0" fontId="0" fillId="0" borderId="8" xfId="0" applyBorder="1" applyAlignment="1">
      <alignment horizontal="right" vertical="top" wrapText="1"/>
    </xf>
    <xf numFmtId="0" fontId="0" fillId="0" borderId="14" xfId="0" applyBorder="1" applyAlignment="1" applyProtection="1">
      <alignment horizontal="centerContinuous" vertical="center"/>
      <protection locked="0"/>
    </xf>
    <xf numFmtId="0" fontId="0" fillId="0" borderId="6" xfId="0" applyBorder="1" applyAlignment="1" applyProtection="1"/>
    <xf numFmtId="0" fontId="0" fillId="0" borderId="7" xfId="0" applyBorder="1" applyAlignment="1" applyProtection="1"/>
    <xf numFmtId="0" fontId="13" fillId="0" borderId="13" xfId="0" applyFont="1" applyBorder="1" applyAlignment="1">
      <alignment horizontal="right" vertical="top" wrapText="1"/>
    </xf>
    <xf numFmtId="0" fontId="5" fillId="0" borderId="13" xfId="0" applyFont="1" applyBorder="1" applyAlignment="1" applyProtection="1">
      <alignment horizontal="center" vertical="center"/>
      <protection locked="0"/>
    </xf>
    <xf numFmtId="0" fontId="0" fillId="0" borderId="12" xfId="0" applyBorder="1" applyAlignment="1" applyProtection="1"/>
    <xf numFmtId="0" fontId="0" fillId="0" borderId="9" xfId="0" applyBorder="1" applyAlignment="1" applyProtection="1"/>
    <xf numFmtId="0" fontId="13" fillId="0" borderId="5" xfId="0" applyFont="1" applyBorder="1" applyAlignment="1" applyProtection="1">
      <alignment horizontal="right" wrapText="1"/>
    </xf>
    <xf numFmtId="0" fontId="13" fillId="0" borderId="19" xfId="0" applyFont="1" applyBorder="1" applyAlignment="1" applyProtection="1">
      <alignment horizontal="justify" vertical="top" wrapText="1"/>
      <protection locked="0"/>
    </xf>
    <xf numFmtId="0" fontId="14" fillId="0" borderId="23" xfId="0" applyFont="1" applyBorder="1" applyAlignment="1" applyProtection="1">
      <alignment horizontal="right" vertical="top" wrapText="1"/>
    </xf>
    <xf numFmtId="0" fontId="14" fillId="0" borderId="23" xfId="0" applyFont="1" applyBorder="1" applyAlignment="1" applyProtection="1">
      <alignment horizontal="right" vertical="center" wrapText="1"/>
    </xf>
    <xf numFmtId="0" fontId="0" fillId="0" borderId="21" xfId="0" applyBorder="1" applyAlignment="1" applyProtection="1">
      <alignment horizontal="justify" vertical="top" wrapText="1"/>
      <protection locked="0"/>
    </xf>
    <xf numFmtId="0" fontId="13" fillId="0" borderId="24" xfId="0" applyFont="1" applyBorder="1" applyAlignment="1" applyProtection="1">
      <alignment horizontal="center" vertical="center" wrapText="1"/>
      <protection locked="0"/>
    </xf>
    <xf numFmtId="0" fontId="13" fillId="0" borderId="16" xfId="0" applyFont="1" applyBorder="1" applyAlignment="1" applyProtection="1">
      <alignment horizontal="center" vertical="center" wrapText="1"/>
      <protection locked="0"/>
    </xf>
    <xf numFmtId="0" fontId="12" fillId="0" borderId="9" xfId="0" applyFont="1" applyBorder="1" applyAlignment="1">
      <alignment horizontal="center"/>
    </xf>
    <xf numFmtId="0" fontId="0" fillId="0" borderId="9" xfId="0" applyBorder="1" applyAlignment="1">
      <alignment vertical="center" wrapText="1"/>
    </xf>
    <xf numFmtId="0" fontId="9" fillId="0" borderId="14" xfId="0" applyFont="1" applyBorder="1" applyAlignment="1" applyProtection="1">
      <alignment horizontal="justify" vertical="top" wrapText="1"/>
      <protection locked="0"/>
    </xf>
    <xf numFmtId="0" fontId="0" fillId="0" borderId="5" xfId="0" applyBorder="1" applyAlignment="1">
      <alignment vertical="center" wrapText="1"/>
    </xf>
    <xf numFmtId="0" fontId="6" fillId="0" borderId="13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vertical="center" wrapText="1"/>
    </xf>
    <xf numFmtId="0" fontId="9" fillId="0" borderId="11" xfId="0" applyFont="1" applyBorder="1" applyAlignment="1" applyProtection="1">
      <alignment horizontal="justify" vertical="top" wrapText="1"/>
      <protection locked="0"/>
    </xf>
    <xf numFmtId="0" fontId="0" fillId="0" borderId="8" xfId="0" applyBorder="1" applyAlignment="1">
      <alignment vertical="center" wrapText="1"/>
    </xf>
    <xf numFmtId="0" fontId="8" fillId="0" borderId="15" xfId="0" applyFont="1" applyFill="1" applyBorder="1" applyAlignment="1">
      <alignment horizontal="centerContinuous" vertical="center"/>
    </xf>
    <xf numFmtId="0" fontId="8" fillId="0" borderId="14" xfId="0" applyFont="1" applyFill="1" applyBorder="1" applyAlignment="1">
      <alignment horizontal="centerContinuous" vertical="center"/>
    </xf>
    <xf numFmtId="0" fontId="0" fillId="0" borderId="17" xfId="0" applyBorder="1" applyAlignment="1">
      <alignment vertical="center" wrapText="1"/>
    </xf>
    <xf numFmtId="0" fontId="13" fillId="0" borderId="16" xfId="0" applyFont="1" applyBorder="1" applyAlignment="1" applyProtection="1">
      <alignment horizontal="justify" vertical="top"/>
      <protection locked="0"/>
    </xf>
    <xf numFmtId="0" fontId="13" fillId="0" borderId="2" xfId="0" applyFont="1" applyBorder="1" applyAlignment="1">
      <alignment horizontal="right" vertical="top" wrapText="1"/>
    </xf>
    <xf numFmtId="0" fontId="4" fillId="0" borderId="8" xfId="0" applyFont="1" applyBorder="1" applyAlignment="1">
      <alignment horizontal="left" vertical="center" wrapText="1"/>
    </xf>
    <xf numFmtId="0" fontId="13" fillId="0" borderId="15" xfId="0" applyFont="1" applyBorder="1" applyAlignment="1" applyProtection="1">
      <alignment horizontal="right" vertical="top" wrapText="1"/>
    </xf>
    <xf numFmtId="0" fontId="8" fillId="0" borderId="13" xfId="0" applyFont="1" applyBorder="1" applyAlignment="1" applyProtection="1">
      <alignment horizontal="center" vertical="center"/>
      <protection locked="0"/>
    </xf>
    <xf numFmtId="0" fontId="9" fillId="0" borderId="15" xfId="0" applyFont="1" applyBorder="1" applyAlignment="1" applyProtection="1">
      <alignment horizontal="left" vertical="top" wrapText="1"/>
      <protection locked="0"/>
    </xf>
    <xf numFmtId="0" fontId="13" fillId="0" borderId="17" xfId="0" applyFont="1" applyBorder="1" applyAlignment="1" applyProtection="1">
      <alignment horizontal="right" vertical="center" wrapText="1"/>
    </xf>
    <xf numFmtId="0" fontId="8" fillId="0" borderId="7" xfId="0" applyFont="1" applyBorder="1" applyAlignment="1" applyProtection="1">
      <alignment horizontal="centerContinuous" vertical="center" wrapText="1"/>
      <protection locked="0"/>
    </xf>
    <xf numFmtId="0" fontId="8" fillId="0" borderId="5" xfId="0" applyFont="1" applyBorder="1" applyAlignment="1" applyProtection="1">
      <alignment horizontal="centerContinuous" vertical="center" wrapText="1"/>
      <protection locked="0"/>
    </xf>
    <xf numFmtId="0" fontId="3" fillId="0" borderId="6" xfId="0" applyFont="1" applyBorder="1" applyAlignment="1"/>
    <xf numFmtId="0" fontId="3" fillId="0" borderId="4" xfId="0" applyFont="1" applyBorder="1" applyAlignment="1"/>
    <xf numFmtId="0" fontId="3" fillId="0" borderId="7" xfId="0" applyFont="1" applyBorder="1" applyAlignment="1"/>
    <xf numFmtId="0" fontId="10" fillId="0" borderId="0" xfId="0" applyFont="1" applyBorder="1" applyAlignment="1">
      <alignment horizontal="left"/>
    </xf>
    <xf numFmtId="0" fontId="3" fillId="0" borderId="11" xfId="0" applyFont="1" applyBorder="1" applyAlignment="1"/>
    <xf numFmtId="0" fontId="3" fillId="0" borderId="0" xfId="0" applyFont="1" applyBorder="1" applyAlignment="1"/>
    <xf numFmtId="0" fontId="3" fillId="0" borderId="2" xfId="0" applyFont="1" applyBorder="1" applyAlignment="1"/>
    <xf numFmtId="0" fontId="3" fillId="0" borderId="12" xfId="0" applyFont="1" applyBorder="1" applyAlignment="1"/>
    <xf numFmtId="0" fontId="3" fillId="0" borderId="3" xfId="0" applyFont="1" applyBorder="1" applyAlignment="1"/>
    <xf numFmtId="0" fontId="3" fillId="0" borderId="9" xfId="0" applyFont="1" applyBorder="1" applyAlignment="1"/>
    <xf numFmtId="0" fontId="12" fillId="0" borderId="11" xfId="0" applyFont="1" applyBorder="1" applyAlignment="1">
      <alignment horizontal="centerContinuous"/>
    </xf>
    <xf numFmtId="0" fontId="12" fillId="0" borderId="2" xfId="0" applyFont="1" applyBorder="1" applyAlignment="1">
      <alignment horizontal="centerContinuous"/>
    </xf>
    <xf numFmtId="0" fontId="9" fillId="0" borderId="11" xfId="0" applyFont="1" applyBorder="1" applyAlignment="1">
      <alignment horizontal="centerContinuous"/>
    </xf>
    <xf numFmtId="0" fontId="9" fillId="0" borderId="2" xfId="0" applyFont="1" applyBorder="1" applyAlignment="1">
      <alignment horizontal="centerContinuous"/>
    </xf>
    <xf numFmtId="0" fontId="13" fillId="0" borderId="8" xfId="0" applyFont="1" applyBorder="1" applyAlignment="1">
      <alignment horizontal="right" vertical="top" wrapText="1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 applyProtection="1">
      <alignment horizontal="justify" vertical="top" wrapText="1"/>
      <protection locked="0"/>
    </xf>
    <xf numFmtId="0" fontId="0" fillId="0" borderId="5" xfId="0" applyBorder="1" applyAlignment="1">
      <alignment horizontal="center" vertical="center"/>
    </xf>
    <xf numFmtId="0" fontId="6" fillId="0" borderId="5" xfId="0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justify" vertical="top"/>
      <protection locked="0"/>
    </xf>
    <xf numFmtId="0" fontId="0" fillId="0" borderId="8" xfId="0" applyBorder="1" applyAlignment="1" applyProtection="1">
      <alignment horizontal="justify" vertical="top"/>
      <protection locked="0"/>
    </xf>
    <xf numFmtId="0" fontId="0" fillId="0" borderId="6" xfId="0" applyBorder="1" applyAlignment="1">
      <alignment wrapText="1"/>
    </xf>
    <xf numFmtId="0" fontId="9" fillId="0" borderId="16" xfId="0" applyFont="1" applyBorder="1" applyAlignment="1" applyProtection="1">
      <alignment horizontal="justify" vertical="top" wrapText="1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left" vertical="center" wrapText="1"/>
      <protection locked="0"/>
    </xf>
    <xf numFmtId="0" fontId="12" fillId="0" borderId="5" xfId="0" applyFont="1" applyBorder="1" applyAlignment="1">
      <alignment horizontal="left" vertical="center" wrapText="1"/>
    </xf>
    <xf numFmtId="0" fontId="8" fillId="0" borderId="13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left" vertical="center" wrapText="1"/>
      <protection locked="0"/>
    </xf>
    <xf numFmtId="0" fontId="2" fillId="0" borderId="8" xfId="0" applyFont="1" applyBorder="1" applyAlignment="1">
      <alignment vertical="center" wrapText="1"/>
    </xf>
    <xf numFmtId="0" fontId="0" fillId="0" borderId="8" xfId="0" applyBorder="1" applyAlignment="1" applyProtection="1">
      <alignment horizontal="left" vertical="center" wrapText="1"/>
      <protection locked="0"/>
    </xf>
    <xf numFmtId="0" fontId="13" fillId="0" borderId="5" xfId="0" applyFont="1" applyBorder="1" applyAlignment="1" applyProtection="1">
      <alignment horizontal="justify" vertical="top" wrapText="1"/>
      <protection locked="0"/>
    </xf>
    <xf numFmtId="0" fontId="9" fillId="0" borderId="16" xfId="0" applyFont="1" applyBorder="1" applyAlignment="1" applyProtection="1">
      <alignment horizontal="fill" vertical="center" wrapText="1"/>
      <protection locked="0"/>
    </xf>
    <xf numFmtId="0" fontId="0" fillId="0" borderId="25" xfId="0" applyBorder="1" applyAlignment="1">
      <alignment horizontal="left" vertical="center" wrapText="1"/>
    </xf>
    <xf numFmtId="0" fontId="0" fillId="0" borderId="16" xfId="0" applyBorder="1" applyAlignment="1" applyProtection="1">
      <alignment horizontal="left" vertical="center" wrapText="1"/>
      <protection locked="0"/>
    </xf>
    <xf numFmtId="0" fontId="13" fillId="0" borderId="26" xfId="0" applyFont="1" applyBorder="1" applyAlignment="1">
      <alignment horizontal="right" vertical="top" wrapText="1"/>
    </xf>
    <xf numFmtId="0" fontId="0" fillId="0" borderId="8" xfId="0" applyBorder="1" applyAlignment="1" applyProtection="1">
      <alignment wrapText="1"/>
      <protection locked="0"/>
    </xf>
    <xf numFmtId="0" fontId="13" fillId="0" borderId="14" xfId="0" applyFont="1" applyBorder="1" applyAlignment="1" applyProtection="1">
      <alignment horizontal="justify" vertical="top" wrapText="1"/>
      <protection locked="0"/>
    </xf>
    <xf numFmtId="0" fontId="0" fillId="0" borderId="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9" xfId="0" applyBorder="1" applyAlignment="1">
      <alignment horizontal="right" vertical="top" wrapText="1"/>
    </xf>
    <xf numFmtId="0" fontId="0" fillId="0" borderId="12" xfId="0" applyBorder="1" applyAlignment="1"/>
    <xf numFmtId="0" fontId="0" fillId="0" borderId="16" xfId="0" applyBorder="1" applyProtection="1">
      <protection locked="0"/>
    </xf>
    <xf numFmtId="0" fontId="0" fillId="0" borderId="9" xfId="0" applyBorder="1" applyAlignment="1"/>
    <xf numFmtId="0" fontId="0" fillId="0" borderId="27" xfId="0" applyBorder="1" applyAlignment="1" applyProtection="1">
      <alignment wrapText="1"/>
      <protection locked="0"/>
    </xf>
    <xf numFmtId="0" fontId="0" fillId="0" borderId="0" xfId="0" applyBorder="1" applyAlignment="1">
      <alignment horizontal="center" vertical="center"/>
    </xf>
    <xf numFmtId="0" fontId="7" fillId="0" borderId="1" xfId="0" applyFont="1" applyBorder="1"/>
    <xf numFmtId="0" fontId="0" fillId="0" borderId="7" xfId="0" applyBorder="1" applyAlignment="1">
      <alignment horizontal="center" vertical="center" wrapText="1"/>
    </xf>
    <xf numFmtId="0" fontId="12" fillId="0" borderId="2" xfId="0" applyFont="1" applyBorder="1"/>
    <xf numFmtId="0" fontId="1" fillId="0" borderId="11" xfId="0" applyFont="1" applyBorder="1" applyAlignment="1">
      <alignment horizontal="centerContinuous" vertical="center" wrapText="1"/>
    </xf>
    <xf numFmtId="0" fontId="1" fillId="0" borderId="2" xfId="0" applyFont="1" applyBorder="1" applyAlignment="1">
      <alignment horizontal="centerContinuous" vertical="center" wrapText="1"/>
    </xf>
    <xf numFmtId="0" fontId="13" fillId="0" borderId="2" xfId="0" applyFont="1" applyBorder="1"/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8" fillId="0" borderId="15" xfId="0" applyFont="1" applyBorder="1" applyAlignment="1" applyProtection="1">
      <alignment horizontal="centerContinuous" vertical="center"/>
    </xf>
    <xf numFmtId="0" fontId="0" fillId="0" borderId="4" xfId="0" applyBorder="1" applyAlignment="1" applyProtection="1"/>
    <xf numFmtId="0" fontId="9" fillId="0" borderId="16" xfId="0" applyFont="1" applyBorder="1" applyAlignment="1" applyProtection="1">
      <alignment horizontal="fill" vertical="top" wrapText="1"/>
      <protection locked="0"/>
    </xf>
    <xf numFmtId="0" fontId="0" fillId="0" borderId="3" xfId="0" applyBorder="1" applyAlignment="1" applyProtection="1"/>
    <xf numFmtId="0" fontId="9" fillId="0" borderId="5" xfId="0" applyFont="1" applyBorder="1" applyAlignment="1" applyProtection="1">
      <alignment horizontal="left" vertical="top" wrapText="1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0" fillId="0" borderId="17" xfId="0" applyBorder="1" applyAlignment="1">
      <alignment horizontal="left" vertical="center" wrapText="1"/>
    </xf>
    <xf numFmtId="0" fontId="13" fillId="0" borderId="5" xfId="0" applyFont="1" applyFill="1" applyBorder="1" applyAlignment="1" applyProtection="1">
      <alignment horizontal="right" vertical="center" wrapText="1"/>
    </xf>
    <xf numFmtId="0" fontId="0" fillId="0" borderId="7" xfId="0" applyBorder="1" applyAlignment="1" applyProtection="1">
      <alignment horizontal="left" vertical="center" wrapText="1"/>
      <protection locked="0"/>
    </xf>
    <xf numFmtId="0" fontId="0" fillId="0" borderId="5" xfId="0" applyBorder="1" applyAlignment="1" applyProtection="1">
      <alignment horizontal="centerContinuous" vertical="center" wrapText="1"/>
      <protection locked="0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4" fillId="0" borderId="5" xfId="0" applyFont="1" applyBorder="1" applyAlignment="1" applyProtection="1">
      <alignment horizontal="justify" vertical="top" wrapText="1"/>
      <protection locked="0"/>
    </xf>
    <xf numFmtId="0" fontId="13" fillId="0" borderId="16" xfId="0" applyFont="1" applyBorder="1" applyAlignment="1" applyProtection="1">
      <alignment horizontal="justify" vertical="top" wrapText="1"/>
      <protection locked="0"/>
    </xf>
    <xf numFmtId="0" fontId="8" fillId="0" borderId="9" xfId="0" applyFont="1" applyBorder="1" applyAlignment="1" applyProtection="1">
      <alignment horizontal="center" vertical="center" wrapText="1"/>
      <protection locked="0"/>
    </xf>
    <xf numFmtId="0" fontId="4" fillId="0" borderId="13" xfId="0" applyFont="1" applyBorder="1" applyAlignment="1" applyProtection="1">
      <alignment horizontal="center" vertical="top" wrapText="1"/>
      <protection locked="0"/>
    </xf>
    <xf numFmtId="0" fontId="8" fillId="0" borderId="14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>
      <alignment horizontal="centerContinuous" vertical="center"/>
    </xf>
    <xf numFmtId="0" fontId="15" fillId="0" borderId="1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9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82550</xdr:colOff>
      <xdr:row>8</xdr:row>
      <xdr:rowOff>76200</xdr:rowOff>
    </xdr:from>
    <xdr:to>
      <xdr:col>3</xdr:col>
      <xdr:colOff>615950</xdr:colOff>
      <xdr:row>8</xdr:row>
      <xdr:rowOff>279400</xdr:rowOff>
    </xdr:to>
    <xdr:sp macro="" textlink="">
      <xdr:nvSpPr>
        <xdr:cNvPr id="1025" name="Drawing 1">
          <a:extLst>
            <a:ext uri="{FF2B5EF4-FFF2-40B4-BE49-F238E27FC236}">
              <a16:creationId xmlns:a16="http://schemas.microsoft.com/office/drawing/2014/main" id="{58077EA4-C245-4A75-A943-C2BAC772709A}"/>
            </a:ext>
          </a:extLst>
        </xdr:cNvPr>
        <xdr:cNvSpPr>
          <a:spLocks/>
        </xdr:cNvSpPr>
      </xdr:nvSpPr>
      <xdr:spPr bwMode="auto">
        <a:xfrm>
          <a:off x="3251200" y="1733550"/>
          <a:ext cx="1079500" cy="203200"/>
        </a:xfrm>
        <a:custGeom>
          <a:avLst/>
          <a:gdLst>
            <a:gd name="T0" fmla="*/ 12288 w 16384"/>
            <a:gd name="T1" fmla="*/ 0 h 16384"/>
            <a:gd name="T2" fmla="*/ 12288 w 16384"/>
            <a:gd name="T3" fmla="*/ 4096 h 16384"/>
            <a:gd name="T4" fmla="*/ 0 w 16384"/>
            <a:gd name="T5" fmla="*/ 4096 h 16384"/>
            <a:gd name="T6" fmla="*/ 0 w 16384"/>
            <a:gd name="T7" fmla="*/ 12288 h 16384"/>
            <a:gd name="T8" fmla="*/ 12288 w 16384"/>
            <a:gd name="T9" fmla="*/ 12288 h 16384"/>
            <a:gd name="T10" fmla="*/ 12288 w 16384"/>
            <a:gd name="T11" fmla="*/ 16384 h 16384"/>
            <a:gd name="T12" fmla="*/ 16384 w 16384"/>
            <a:gd name="T13" fmla="*/ 8191 h 16384"/>
            <a:gd name="T14" fmla="*/ 12288 w 16384"/>
            <a:gd name="T15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</a:cxnLst>
          <a:rect l="0" t="0" r="r" b="b"/>
          <a:pathLst>
            <a:path w="16384" h="16384">
              <a:moveTo>
                <a:pt x="12288" y="0"/>
              </a:moveTo>
              <a:lnTo>
                <a:pt x="12288" y="4096"/>
              </a:lnTo>
              <a:lnTo>
                <a:pt x="0" y="4096"/>
              </a:lnTo>
              <a:lnTo>
                <a:pt x="0" y="12288"/>
              </a:lnTo>
              <a:lnTo>
                <a:pt x="12288" y="12288"/>
              </a:lnTo>
              <a:lnTo>
                <a:pt x="12288" y="16384"/>
              </a:lnTo>
              <a:lnTo>
                <a:pt x="16384" y="8191"/>
              </a:lnTo>
              <a:lnTo>
                <a:pt x="12288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82550</xdr:colOff>
      <xdr:row>9</xdr:row>
      <xdr:rowOff>63500</xdr:rowOff>
    </xdr:from>
    <xdr:to>
      <xdr:col>3</xdr:col>
      <xdr:colOff>628650</xdr:colOff>
      <xdr:row>9</xdr:row>
      <xdr:rowOff>254000</xdr:rowOff>
    </xdr:to>
    <xdr:sp macro="" textlink="">
      <xdr:nvSpPr>
        <xdr:cNvPr id="1026" name="Drawing 2">
          <a:extLst>
            <a:ext uri="{FF2B5EF4-FFF2-40B4-BE49-F238E27FC236}">
              <a16:creationId xmlns:a16="http://schemas.microsoft.com/office/drawing/2014/main" id="{551553A2-6C3A-4E03-B4FA-47E4A0CEECED}"/>
            </a:ext>
          </a:extLst>
        </xdr:cNvPr>
        <xdr:cNvSpPr>
          <a:spLocks/>
        </xdr:cNvSpPr>
      </xdr:nvSpPr>
      <xdr:spPr bwMode="auto">
        <a:xfrm>
          <a:off x="3251200" y="2216150"/>
          <a:ext cx="1092200" cy="190500"/>
        </a:xfrm>
        <a:custGeom>
          <a:avLst/>
          <a:gdLst>
            <a:gd name="T0" fmla="*/ 12288 w 16384"/>
            <a:gd name="T1" fmla="*/ 0 h 16384"/>
            <a:gd name="T2" fmla="*/ 12288 w 16384"/>
            <a:gd name="T3" fmla="*/ 4096 h 16384"/>
            <a:gd name="T4" fmla="*/ 0 w 16384"/>
            <a:gd name="T5" fmla="*/ 4096 h 16384"/>
            <a:gd name="T6" fmla="*/ 0 w 16384"/>
            <a:gd name="T7" fmla="*/ 12288 h 16384"/>
            <a:gd name="T8" fmla="*/ 12288 w 16384"/>
            <a:gd name="T9" fmla="*/ 12288 h 16384"/>
            <a:gd name="T10" fmla="*/ 12288 w 16384"/>
            <a:gd name="T11" fmla="*/ 16384 h 16384"/>
            <a:gd name="T12" fmla="*/ 16384 w 16384"/>
            <a:gd name="T13" fmla="*/ 8191 h 16384"/>
            <a:gd name="T14" fmla="*/ 12288 w 16384"/>
            <a:gd name="T15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</a:cxnLst>
          <a:rect l="0" t="0" r="r" b="b"/>
          <a:pathLst>
            <a:path w="16384" h="16384">
              <a:moveTo>
                <a:pt x="12288" y="0"/>
              </a:moveTo>
              <a:lnTo>
                <a:pt x="12288" y="4096"/>
              </a:lnTo>
              <a:lnTo>
                <a:pt x="0" y="4096"/>
              </a:lnTo>
              <a:lnTo>
                <a:pt x="0" y="12288"/>
              </a:lnTo>
              <a:lnTo>
                <a:pt x="12288" y="12288"/>
              </a:lnTo>
              <a:lnTo>
                <a:pt x="12288" y="16384"/>
              </a:lnTo>
              <a:lnTo>
                <a:pt x="16384" y="8191"/>
              </a:lnTo>
              <a:lnTo>
                <a:pt x="12288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82550</xdr:colOff>
      <xdr:row>10</xdr:row>
      <xdr:rowOff>63500</xdr:rowOff>
    </xdr:from>
    <xdr:to>
      <xdr:col>3</xdr:col>
      <xdr:colOff>603250</xdr:colOff>
      <xdr:row>10</xdr:row>
      <xdr:rowOff>279400</xdr:rowOff>
    </xdr:to>
    <xdr:sp macro="" textlink="">
      <xdr:nvSpPr>
        <xdr:cNvPr id="1027" name="Drawing 3">
          <a:extLst>
            <a:ext uri="{FF2B5EF4-FFF2-40B4-BE49-F238E27FC236}">
              <a16:creationId xmlns:a16="http://schemas.microsoft.com/office/drawing/2014/main" id="{99E16426-FC8C-473F-918F-7F425BBD48A5}"/>
            </a:ext>
          </a:extLst>
        </xdr:cNvPr>
        <xdr:cNvSpPr>
          <a:spLocks/>
        </xdr:cNvSpPr>
      </xdr:nvSpPr>
      <xdr:spPr bwMode="auto">
        <a:xfrm>
          <a:off x="3251200" y="2540000"/>
          <a:ext cx="1066800" cy="215900"/>
        </a:xfrm>
        <a:custGeom>
          <a:avLst/>
          <a:gdLst>
            <a:gd name="T0" fmla="*/ 12288 w 16384"/>
            <a:gd name="T1" fmla="*/ 0 h 16384"/>
            <a:gd name="T2" fmla="*/ 12288 w 16384"/>
            <a:gd name="T3" fmla="*/ 4096 h 16384"/>
            <a:gd name="T4" fmla="*/ 0 w 16384"/>
            <a:gd name="T5" fmla="*/ 4096 h 16384"/>
            <a:gd name="T6" fmla="*/ 0 w 16384"/>
            <a:gd name="T7" fmla="*/ 12288 h 16384"/>
            <a:gd name="T8" fmla="*/ 12288 w 16384"/>
            <a:gd name="T9" fmla="*/ 12288 h 16384"/>
            <a:gd name="T10" fmla="*/ 12288 w 16384"/>
            <a:gd name="T11" fmla="*/ 16384 h 16384"/>
            <a:gd name="T12" fmla="*/ 16384 w 16384"/>
            <a:gd name="T13" fmla="*/ 8191 h 16384"/>
            <a:gd name="T14" fmla="*/ 12288 w 16384"/>
            <a:gd name="T15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</a:cxnLst>
          <a:rect l="0" t="0" r="r" b="b"/>
          <a:pathLst>
            <a:path w="16384" h="16384">
              <a:moveTo>
                <a:pt x="12288" y="0"/>
              </a:moveTo>
              <a:lnTo>
                <a:pt x="12288" y="4096"/>
              </a:lnTo>
              <a:lnTo>
                <a:pt x="0" y="4096"/>
              </a:lnTo>
              <a:lnTo>
                <a:pt x="0" y="12288"/>
              </a:lnTo>
              <a:lnTo>
                <a:pt x="12288" y="12288"/>
              </a:lnTo>
              <a:lnTo>
                <a:pt x="12288" y="16384"/>
              </a:lnTo>
              <a:lnTo>
                <a:pt x="16384" y="8191"/>
              </a:lnTo>
              <a:lnTo>
                <a:pt x="12288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69850</xdr:colOff>
      <xdr:row>11</xdr:row>
      <xdr:rowOff>63500</xdr:rowOff>
    </xdr:from>
    <xdr:to>
      <xdr:col>3</xdr:col>
      <xdr:colOff>615950</xdr:colOff>
      <xdr:row>11</xdr:row>
      <xdr:rowOff>254000</xdr:rowOff>
    </xdr:to>
    <xdr:sp macro="" textlink="">
      <xdr:nvSpPr>
        <xdr:cNvPr id="1028" name="Drawing 4">
          <a:extLst>
            <a:ext uri="{FF2B5EF4-FFF2-40B4-BE49-F238E27FC236}">
              <a16:creationId xmlns:a16="http://schemas.microsoft.com/office/drawing/2014/main" id="{887132AD-2636-4EE9-9981-D06702EA17ED}"/>
            </a:ext>
          </a:extLst>
        </xdr:cNvPr>
        <xdr:cNvSpPr>
          <a:spLocks/>
        </xdr:cNvSpPr>
      </xdr:nvSpPr>
      <xdr:spPr bwMode="auto">
        <a:xfrm>
          <a:off x="3238500" y="3041650"/>
          <a:ext cx="1092200" cy="190500"/>
        </a:xfrm>
        <a:custGeom>
          <a:avLst/>
          <a:gdLst>
            <a:gd name="T0" fmla="*/ 12288 w 16384"/>
            <a:gd name="T1" fmla="*/ 0 h 16384"/>
            <a:gd name="T2" fmla="*/ 12288 w 16384"/>
            <a:gd name="T3" fmla="*/ 4096 h 16384"/>
            <a:gd name="T4" fmla="*/ 0 w 16384"/>
            <a:gd name="T5" fmla="*/ 4096 h 16384"/>
            <a:gd name="T6" fmla="*/ 0 w 16384"/>
            <a:gd name="T7" fmla="*/ 12288 h 16384"/>
            <a:gd name="T8" fmla="*/ 12288 w 16384"/>
            <a:gd name="T9" fmla="*/ 12288 h 16384"/>
            <a:gd name="T10" fmla="*/ 12288 w 16384"/>
            <a:gd name="T11" fmla="*/ 16384 h 16384"/>
            <a:gd name="T12" fmla="*/ 16384 w 16384"/>
            <a:gd name="T13" fmla="*/ 8191 h 16384"/>
            <a:gd name="T14" fmla="*/ 12288 w 16384"/>
            <a:gd name="T15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</a:cxnLst>
          <a:rect l="0" t="0" r="r" b="b"/>
          <a:pathLst>
            <a:path w="16384" h="16384">
              <a:moveTo>
                <a:pt x="12288" y="0"/>
              </a:moveTo>
              <a:lnTo>
                <a:pt x="12288" y="4096"/>
              </a:lnTo>
              <a:lnTo>
                <a:pt x="0" y="4096"/>
              </a:lnTo>
              <a:lnTo>
                <a:pt x="0" y="12288"/>
              </a:lnTo>
              <a:lnTo>
                <a:pt x="12288" y="12288"/>
              </a:lnTo>
              <a:lnTo>
                <a:pt x="12288" y="16384"/>
              </a:lnTo>
              <a:lnTo>
                <a:pt x="16384" y="8191"/>
              </a:lnTo>
              <a:lnTo>
                <a:pt x="12288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82550</xdr:colOff>
      <xdr:row>12</xdr:row>
      <xdr:rowOff>63500</xdr:rowOff>
    </xdr:from>
    <xdr:to>
      <xdr:col>3</xdr:col>
      <xdr:colOff>654050</xdr:colOff>
      <xdr:row>12</xdr:row>
      <xdr:rowOff>279400</xdr:rowOff>
    </xdr:to>
    <xdr:sp macro="" textlink="">
      <xdr:nvSpPr>
        <xdr:cNvPr id="1029" name="Drawing 5">
          <a:extLst>
            <a:ext uri="{FF2B5EF4-FFF2-40B4-BE49-F238E27FC236}">
              <a16:creationId xmlns:a16="http://schemas.microsoft.com/office/drawing/2014/main" id="{E77BF50F-E7A8-4EAD-A709-5447B2A53CB7}"/>
            </a:ext>
          </a:extLst>
        </xdr:cNvPr>
        <xdr:cNvSpPr>
          <a:spLocks/>
        </xdr:cNvSpPr>
      </xdr:nvSpPr>
      <xdr:spPr bwMode="auto">
        <a:xfrm>
          <a:off x="3251200" y="3333750"/>
          <a:ext cx="1117600" cy="215900"/>
        </a:xfrm>
        <a:custGeom>
          <a:avLst/>
          <a:gdLst>
            <a:gd name="T0" fmla="*/ 12288 w 16384"/>
            <a:gd name="T1" fmla="*/ 0 h 16384"/>
            <a:gd name="T2" fmla="*/ 12288 w 16384"/>
            <a:gd name="T3" fmla="*/ 4096 h 16384"/>
            <a:gd name="T4" fmla="*/ 0 w 16384"/>
            <a:gd name="T5" fmla="*/ 4096 h 16384"/>
            <a:gd name="T6" fmla="*/ 0 w 16384"/>
            <a:gd name="T7" fmla="*/ 12288 h 16384"/>
            <a:gd name="T8" fmla="*/ 12288 w 16384"/>
            <a:gd name="T9" fmla="*/ 12288 h 16384"/>
            <a:gd name="T10" fmla="*/ 12288 w 16384"/>
            <a:gd name="T11" fmla="*/ 16384 h 16384"/>
            <a:gd name="T12" fmla="*/ 16384 w 16384"/>
            <a:gd name="T13" fmla="*/ 8191 h 16384"/>
            <a:gd name="T14" fmla="*/ 12288 w 16384"/>
            <a:gd name="T15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</a:cxnLst>
          <a:rect l="0" t="0" r="r" b="b"/>
          <a:pathLst>
            <a:path w="16384" h="16384">
              <a:moveTo>
                <a:pt x="12288" y="0"/>
              </a:moveTo>
              <a:lnTo>
                <a:pt x="12288" y="4096"/>
              </a:lnTo>
              <a:lnTo>
                <a:pt x="0" y="4096"/>
              </a:lnTo>
              <a:lnTo>
                <a:pt x="0" y="12288"/>
              </a:lnTo>
              <a:lnTo>
                <a:pt x="12288" y="12288"/>
              </a:lnTo>
              <a:lnTo>
                <a:pt x="12288" y="16384"/>
              </a:lnTo>
              <a:lnTo>
                <a:pt x="16384" y="8191"/>
              </a:lnTo>
              <a:lnTo>
                <a:pt x="12288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82550</xdr:colOff>
      <xdr:row>13</xdr:row>
      <xdr:rowOff>63500</xdr:rowOff>
    </xdr:from>
    <xdr:to>
      <xdr:col>3</xdr:col>
      <xdr:colOff>660400</xdr:colOff>
      <xdr:row>13</xdr:row>
      <xdr:rowOff>279400</xdr:rowOff>
    </xdr:to>
    <xdr:sp macro="" textlink="">
      <xdr:nvSpPr>
        <xdr:cNvPr id="1030" name="Drawing 6">
          <a:extLst>
            <a:ext uri="{FF2B5EF4-FFF2-40B4-BE49-F238E27FC236}">
              <a16:creationId xmlns:a16="http://schemas.microsoft.com/office/drawing/2014/main" id="{BA9F77A7-D746-4079-8550-EC1444381B9A}"/>
            </a:ext>
          </a:extLst>
        </xdr:cNvPr>
        <xdr:cNvSpPr>
          <a:spLocks/>
        </xdr:cNvSpPr>
      </xdr:nvSpPr>
      <xdr:spPr bwMode="auto">
        <a:xfrm>
          <a:off x="3251200" y="3657600"/>
          <a:ext cx="1123950" cy="215900"/>
        </a:xfrm>
        <a:custGeom>
          <a:avLst/>
          <a:gdLst>
            <a:gd name="T0" fmla="*/ 12288 w 16384"/>
            <a:gd name="T1" fmla="*/ 0 h 16384"/>
            <a:gd name="T2" fmla="*/ 12288 w 16384"/>
            <a:gd name="T3" fmla="*/ 4096 h 16384"/>
            <a:gd name="T4" fmla="*/ 0 w 16384"/>
            <a:gd name="T5" fmla="*/ 4096 h 16384"/>
            <a:gd name="T6" fmla="*/ 0 w 16384"/>
            <a:gd name="T7" fmla="*/ 12288 h 16384"/>
            <a:gd name="T8" fmla="*/ 12288 w 16384"/>
            <a:gd name="T9" fmla="*/ 12288 h 16384"/>
            <a:gd name="T10" fmla="*/ 12288 w 16384"/>
            <a:gd name="T11" fmla="*/ 16384 h 16384"/>
            <a:gd name="T12" fmla="*/ 16384 w 16384"/>
            <a:gd name="T13" fmla="*/ 8191 h 16384"/>
            <a:gd name="T14" fmla="*/ 12288 w 16384"/>
            <a:gd name="T15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</a:cxnLst>
          <a:rect l="0" t="0" r="r" b="b"/>
          <a:pathLst>
            <a:path w="16384" h="16384">
              <a:moveTo>
                <a:pt x="12288" y="0"/>
              </a:moveTo>
              <a:lnTo>
                <a:pt x="12288" y="4096"/>
              </a:lnTo>
              <a:lnTo>
                <a:pt x="0" y="4096"/>
              </a:lnTo>
              <a:lnTo>
                <a:pt x="0" y="12288"/>
              </a:lnTo>
              <a:lnTo>
                <a:pt x="12288" y="12288"/>
              </a:lnTo>
              <a:lnTo>
                <a:pt x="12288" y="16384"/>
              </a:lnTo>
              <a:lnTo>
                <a:pt x="16384" y="8191"/>
              </a:lnTo>
              <a:lnTo>
                <a:pt x="12288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82550</xdr:colOff>
      <xdr:row>16</xdr:row>
      <xdr:rowOff>38100</xdr:rowOff>
    </xdr:from>
    <xdr:to>
      <xdr:col>3</xdr:col>
      <xdr:colOff>641350</xdr:colOff>
      <xdr:row>16</xdr:row>
      <xdr:rowOff>241300</xdr:rowOff>
    </xdr:to>
    <xdr:sp macro="" textlink="">
      <xdr:nvSpPr>
        <xdr:cNvPr id="1031" name="Drawing 7">
          <a:extLst>
            <a:ext uri="{FF2B5EF4-FFF2-40B4-BE49-F238E27FC236}">
              <a16:creationId xmlns:a16="http://schemas.microsoft.com/office/drawing/2014/main" id="{C45212A6-D3A6-4110-9D68-45A46B5713FB}"/>
            </a:ext>
          </a:extLst>
        </xdr:cNvPr>
        <xdr:cNvSpPr>
          <a:spLocks/>
        </xdr:cNvSpPr>
      </xdr:nvSpPr>
      <xdr:spPr bwMode="auto">
        <a:xfrm>
          <a:off x="3251200" y="4489450"/>
          <a:ext cx="1104900" cy="203200"/>
        </a:xfrm>
        <a:custGeom>
          <a:avLst/>
          <a:gdLst>
            <a:gd name="T0" fmla="*/ 12288 w 16384"/>
            <a:gd name="T1" fmla="*/ 0 h 16384"/>
            <a:gd name="T2" fmla="*/ 12288 w 16384"/>
            <a:gd name="T3" fmla="*/ 4096 h 16384"/>
            <a:gd name="T4" fmla="*/ 0 w 16384"/>
            <a:gd name="T5" fmla="*/ 4096 h 16384"/>
            <a:gd name="T6" fmla="*/ 0 w 16384"/>
            <a:gd name="T7" fmla="*/ 12288 h 16384"/>
            <a:gd name="T8" fmla="*/ 12288 w 16384"/>
            <a:gd name="T9" fmla="*/ 12288 h 16384"/>
            <a:gd name="T10" fmla="*/ 12288 w 16384"/>
            <a:gd name="T11" fmla="*/ 16384 h 16384"/>
            <a:gd name="T12" fmla="*/ 16384 w 16384"/>
            <a:gd name="T13" fmla="*/ 8191 h 16384"/>
            <a:gd name="T14" fmla="*/ 12288 w 16384"/>
            <a:gd name="T15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</a:cxnLst>
          <a:rect l="0" t="0" r="r" b="b"/>
          <a:pathLst>
            <a:path w="16384" h="16384">
              <a:moveTo>
                <a:pt x="12288" y="0"/>
              </a:moveTo>
              <a:lnTo>
                <a:pt x="12288" y="4096"/>
              </a:lnTo>
              <a:lnTo>
                <a:pt x="0" y="4096"/>
              </a:lnTo>
              <a:lnTo>
                <a:pt x="0" y="12288"/>
              </a:lnTo>
              <a:lnTo>
                <a:pt x="12288" y="12288"/>
              </a:lnTo>
              <a:lnTo>
                <a:pt x="12288" y="16384"/>
              </a:lnTo>
              <a:lnTo>
                <a:pt x="16384" y="8191"/>
              </a:lnTo>
              <a:lnTo>
                <a:pt x="12288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82550</xdr:colOff>
      <xdr:row>17</xdr:row>
      <xdr:rowOff>50800</xdr:rowOff>
    </xdr:from>
    <xdr:to>
      <xdr:col>3</xdr:col>
      <xdr:colOff>641350</xdr:colOff>
      <xdr:row>17</xdr:row>
      <xdr:rowOff>279400</xdr:rowOff>
    </xdr:to>
    <xdr:sp macro="" textlink="">
      <xdr:nvSpPr>
        <xdr:cNvPr id="1032" name="Drawing 8">
          <a:extLst>
            <a:ext uri="{FF2B5EF4-FFF2-40B4-BE49-F238E27FC236}">
              <a16:creationId xmlns:a16="http://schemas.microsoft.com/office/drawing/2014/main" id="{BF63324A-9833-447E-BEFC-6C4D00C6D04C}"/>
            </a:ext>
          </a:extLst>
        </xdr:cNvPr>
        <xdr:cNvSpPr>
          <a:spLocks/>
        </xdr:cNvSpPr>
      </xdr:nvSpPr>
      <xdr:spPr bwMode="auto">
        <a:xfrm>
          <a:off x="3251200" y="4832350"/>
          <a:ext cx="1104900" cy="228600"/>
        </a:xfrm>
        <a:custGeom>
          <a:avLst/>
          <a:gdLst>
            <a:gd name="T0" fmla="*/ 12288 w 16384"/>
            <a:gd name="T1" fmla="*/ 0 h 16384"/>
            <a:gd name="T2" fmla="*/ 12288 w 16384"/>
            <a:gd name="T3" fmla="*/ 4096 h 16384"/>
            <a:gd name="T4" fmla="*/ 0 w 16384"/>
            <a:gd name="T5" fmla="*/ 4096 h 16384"/>
            <a:gd name="T6" fmla="*/ 0 w 16384"/>
            <a:gd name="T7" fmla="*/ 12288 h 16384"/>
            <a:gd name="T8" fmla="*/ 12288 w 16384"/>
            <a:gd name="T9" fmla="*/ 12288 h 16384"/>
            <a:gd name="T10" fmla="*/ 12288 w 16384"/>
            <a:gd name="T11" fmla="*/ 16384 h 16384"/>
            <a:gd name="T12" fmla="*/ 16384 w 16384"/>
            <a:gd name="T13" fmla="*/ 8191 h 16384"/>
            <a:gd name="T14" fmla="*/ 12288 w 16384"/>
            <a:gd name="T15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</a:cxnLst>
          <a:rect l="0" t="0" r="r" b="b"/>
          <a:pathLst>
            <a:path w="16384" h="16384">
              <a:moveTo>
                <a:pt x="12288" y="0"/>
              </a:moveTo>
              <a:lnTo>
                <a:pt x="12288" y="4096"/>
              </a:lnTo>
              <a:lnTo>
                <a:pt x="0" y="4096"/>
              </a:lnTo>
              <a:lnTo>
                <a:pt x="0" y="12288"/>
              </a:lnTo>
              <a:lnTo>
                <a:pt x="12288" y="12288"/>
              </a:lnTo>
              <a:lnTo>
                <a:pt x="12288" y="16384"/>
              </a:lnTo>
              <a:lnTo>
                <a:pt x="16384" y="8191"/>
              </a:lnTo>
              <a:lnTo>
                <a:pt x="12288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82550</xdr:colOff>
      <xdr:row>18</xdr:row>
      <xdr:rowOff>215900</xdr:rowOff>
    </xdr:from>
    <xdr:to>
      <xdr:col>3</xdr:col>
      <xdr:colOff>641350</xdr:colOff>
      <xdr:row>18</xdr:row>
      <xdr:rowOff>431800</xdr:rowOff>
    </xdr:to>
    <xdr:sp macro="" textlink="">
      <xdr:nvSpPr>
        <xdr:cNvPr id="1033" name="Drawing 9">
          <a:extLst>
            <a:ext uri="{FF2B5EF4-FFF2-40B4-BE49-F238E27FC236}">
              <a16:creationId xmlns:a16="http://schemas.microsoft.com/office/drawing/2014/main" id="{C4805301-7029-46FA-8B6F-1314266E16B5}"/>
            </a:ext>
          </a:extLst>
        </xdr:cNvPr>
        <xdr:cNvSpPr>
          <a:spLocks/>
        </xdr:cNvSpPr>
      </xdr:nvSpPr>
      <xdr:spPr bwMode="auto">
        <a:xfrm>
          <a:off x="3251200" y="5511800"/>
          <a:ext cx="1104900" cy="215900"/>
        </a:xfrm>
        <a:custGeom>
          <a:avLst/>
          <a:gdLst>
            <a:gd name="T0" fmla="*/ 12288 w 16384"/>
            <a:gd name="T1" fmla="*/ 0 h 16384"/>
            <a:gd name="T2" fmla="*/ 12288 w 16384"/>
            <a:gd name="T3" fmla="*/ 4096 h 16384"/>
            <a:gd name="T4" fmla="*/ 0 w 16384"/>
            <a:gd name="T5" fmla="*/ 4096 h 16384"/>
            <a:gd name="T6" fmla="*/ 0 w 16384"/>
            <a:gd name="T7" fmla="*/ 12288 h 16384"/>
            <a:gd name="T8" fmla="*/ 12288 w 16384"/>
            <a:gd name="T9" fmla="*/ 12288 h 16384"/>
            <a:gd name="T10" fmla="*/ 12288 w 16384"/>
            <a:gd name="T11" fmla="*/ 16384 h 16384"/>
            <a:gd name="T12" fmla="*/ 16384 w 16384"/>
            <a:gd name="T13" fmla="*/ 8191 h 16384"/>
            <a:gd name="T14" fmla="*/ 12288 w 16384"/>
            <a:gd name="T15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</a:cxnLst>
          <a:rect l="0" t="0" r="r" b="b"/>
          <a:pathLst>
            <a:path w="16384" h="16384">
              <a:moveTo>
                <a:pt x="12288" y="0"/>
              </a:moveTo>
              <a:lnTo>
                <a:pt x="12288" y="4096"/>
              </a:lnTo>
              <a:lnTo>
                <a:pt x="0" y="4096"/>
              </a:lnTo>
              <a:lnTo>
                <a:pt x="0" y="12288"/>
              </a:lnTo>
              <a:lnTo>
                <a:pt x="12288" y="12288"/>
              </a:lnTo>
              <a:lnTo>
                <a:pt x="12288" y="16384"/>
              </a:lnTo>
              <a:lnTo>
                <a:pt x="16384" y="8191"/>
              </a:lnTo>
              <a:lnTo>
                <a:pt x="12288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69850</xdr:colOff>
      <xdr:row>19</xdr:row>
      <xdr:rowOff>152400</xdr:rowOff>
    </xdr:from>
    <xdr:to>
      <xdr:col>3</xdr:col>
      <xdr:colOff>641350</xdr:colOff>
      <xdr:row>20</xdr:row>
      <xdr:rowOff>76200</xdr:rowOff>
    </xdr:to>
    <xdr:sp macro="" textlink="">
      <xdr:nvSpPr>
        <xdr:cNvPr id="1034" name="Drawing 10">
          <a:extLst>
            <a:ext uri="{FF2B5EF4-FFF2-40B4-BE49-F238E27FC236}">
              <a16:creationId xmlns:a16="http://schemas.microsoft.com/office/drawing/2014/main" id="{94D78F49-FCAB-4B2E-AAFC-20EA64688ABD}"/>
            </a:ext>
          </a:extLst>
        </xdr:cNvPr>
        <xdr:cNvSpPr>
          <a:spLocks/>
        </xdr:cNvSpPr>
      </xdr:nvSpPr>
      <xdr:spPr bwMode="auto">
        <a:xfrm>
          <a:off x="3238500" y="6286500"/>
          <a:ext cx="1117600" cy="152400"/>
        </a:xfrm>
        <a:custGeom>
          <a:avLst/>
          <a:gdLst>
            <a:gd name="T0" fmla="*/ 12288 w 16384"/>
            <a:gd name="T1" fmla="*/ 0 h 16384"/>
            <a:gd name="T2" fmla="*/ 12288 w 16384"/>
            <a:gd name="T3" fmla="*/ 4096 h 16384"/>
            <a:gd name="T4" fmla="*/ 0 w 16384"/>
            <a:gd name="T5" fmla="*/ 4096 h 16384"/>
            <a:gd name="T6" fmla="*/ 0 w 16384"/>
            <a:gd name="T7" fmla="*/ 12288 h 16384"/>
            <a:gd name="T8" fmla="*/ 12288 w 16384"/>
            <a:gd name="T9" fmla="*/ 12288 h 16384"/>
            <a:gd name="T10" fmla="*/ 12288 w 16384"/>
            <a:gd name="T11" fmla="*/ 16384 h 16384"/>
            <a:gd name="T12" fmla="*/ 16384 w 16384"/>
            <a:gd name="T13" fmla="*/ 8191 h 16384"/>
            <a:gd name="T14" fmla="*/ 12288 w 16384"/>
            <a:gd name="T15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</a:cxnLst>
          <a:rect l="0" t="0" r="r" b="b"/>
          <a:pathLst>
            <a:path w="16384" h="16384">
              <a:moveTo>
                <a:pt x="12288" y="0"/>
              </a:moveTo>
              <a:lnTo>
                <a:pt x="12288" y="4096"/>
              </a:lnTo>
              <a:lnTo>
                <a:pt x="0" y="4096"/>
              </a:lnTo>
              <a:lnTo>
                <a:pt x="0" y="12288"/>
              </a:lnTo>
              <a:lnTo>
                <a:pt x="12288" y="12288"/>
              </a:lnTo>
              <a:lnTo>
                <a:pt x="12288" y="16384"/>
              </a:lnTo>
              <a:lnTo>
                <a:pt x="16384" y="8191"/>
              </a:lnTo>
              <a:lnTo>
                <a:pt x="12288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19</xdr:row>
      <xdr:rowOff>50800</xdr:rowOff>
    </xdr:from>
    <xdr:to>
      <xdr:col>3</xdr:col>
      <xdr:colOff>679450</xdr:colOff>
      <xdr:row>19</xdr:row>
      <xdr:rowOff>330200</xdr:rowOff>
    </xdr:to>
    <xdr:sp macro="" textlink="">
      <xdr:nvSpPr>
        <xdr:cNvPr id="2049" name="Drawing 1">
          <a:extLst>
            <a:ext uri="{FF2B5EF4-FFF2-40B4-BE49-F238E27FC236}">
              <a16:creationId xmlns:a16="http://schemas.microsoft.com/office/drawing/2014/main" id="{A9D5BAEC-4880-4FC7-8D87-A6C535A0B16B}"/>
            </a:ext>
          </a:extLst>
        </xdr:cNvPr>
        <xdr:cNvSpPr>
          <a:spLocks/>
        </xdr:cNvSpPr>
      </xdr:nvSpPr>
      <xdr:spPr bwMode="auto">
        <a:xfrm>
          <a:off x="3206750" y="5486400"/>
          <a:ext cx="1320800" cy="279400"/>
        </a:xfrm>
        <a:custGeom>
          <a:avLst/>
          <a:gdLst>
            <a:gd name="T0" fmla="*/ 12288 w 16384"/>
            <a:gd name="T1" fmla="*/ 0 h 16384"/>
            <a:gd name="T2" fmla="*/ 12288 w 16384"/>
            <a:gd name="T3" fmla="*/ 4096 h 16384"/>
            <a:gd name="T4" fmla="*/ 0 w 16384"/>
            <a:gd name="T5" fmla="*/ 4096 h 16384"/>
            <a:gd name="T6" fmla="*/ 0 w 16384"/>
            <a:gd name="T7" fmla="*/ 12288 h 16384"/>
            <a:gd name="T8" fmla="*/ 12288 w 16384"/>
            <a:gd name="T9" fmla="*/ 12288 h 16384"/>
            <a:gd name="T10" fmla="*/ 12288 w 16384"/>
            <a:gd name="T11" fmla="*/ 16384 h 16384"/>
            <a:gd name="T12" fmla="*/ 16384 w 16384"/>
            <a:gd name="T13" fmla="*/ 8191 h 16384"/>
            <a:gd name="T14" fmla="*/ 12288 w 16384"/>
            <a:gd name="T15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</a:cxnLst>
          <a:rect l="0" t="0" r="r" b="b"/>
          <a:pathLst>
            <a:path w="16384" h="16384">
              <a:moveTo>
                <a:pt x="12288" y="0"/>
              </a:moveTo>
              <a:lnTo>
                <a:pt x="12288" y="4096"/>
              </a:lnTo>
              <a:lnTo>
                <a:pt x="0" y="4096"/>
              </a:lnTo>
              <a:lnTo>
                <a:pt x="0" y="12288"/>
              </a:lnTo>
              <a:lnTo>
                <a:pt x="12288" y="12288"/>
              </a:lnTo>
              <a:lnTo>
                <a:pt x="12288" y="16384"/>
              </a:lnTo>
              <a:lnTo>
                <a:pt x="16384" y="8191"/>
              </a:lnTo>
              <a:lnTo>
                <a:pt x="12288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171450</xdr:colOff>
      <xdr:row>14</xdr:row>
      <xdr:rowOff>101600</xdr:rowOff>
    </xdr:from>
    <xdr:to>
      <xdr:col>3</xdr:col>
      <xdr:colOff>679450</xdr:colOff>
      <xdr:row>14</xdr:row>
      <xdr:rowOff>393700</xdr:rowOff>
    </xdr:to>
    <xdr:sp macro="" textlink="">
      <xdr:nvSpPr>
        <xdr:cNvPr id="2050" name="Drawing 2">
          <a:extLst>
            <a:ext uri="{FF2B5EF4-FFF2-40B4-BE49-F238E27FC236}">
              <a16:creationId xmlns:a16="http://schemas.microsoft.com/office/drawing/2014/main" id="{451B006F-23F1-4921-B8D5-52F1B0761204}"/>
            </a:ext>
          </a:extLst>
        </xdr:cNvPr>
        <xdr:cNvSpPr>
          <a:spLocks/>
        </xdr:cNvSpPr>
      </xdr:nvSpPr>
      <xdr:spPr bwMode="auto">
        <a:xfrm>
          <a:off x="3206750" y="3505200"/>
          <a:ext cx="1320800" cy="292100"/>
        </a:xfrm>
        <a:custGeom>
          <a:avLst/>
          <a:gdLst>
            <a:gd name="T0" fmla="*/ 12288 w 16384"/>
            <a:gd name="T1" fmla="*/ 0 h 16384"/>
            <a:gd name="T2" fmla="*/ 12288 w 16384"/>
            <a:gd name="T3" fmla="*/ 4096 h 16384"/>
            <a:gd name="T4" fmla="*/ 0 w 16384"/>
            <a:gd name="T5" fmla="*/ 4096 h 16384"/>
            <a:gd name="T6" fmla="*/ 0 w 16384"/>
            <a:gd name="T7" fmla="*/ 12288 h 16384"/>
            <a:gd name="T8" fmla="*/ 12288 w 16384"/>
            <a:gd name="T9" fmla="*/ 12288 h 16384"/>
            <a:gd name="T10" fmla="*/ 12288 w 16384"/>
            <a:gd name="T11" fmla="*/ 16384 h 16384"/>
            <a:gd name="T12" fmla="*/ 16384 w 16384"/>
            <a:gd name="T13" fmla="*/ 8191 h 16384"/>
            <a:gd name="T14" fmla="*/ 12288 w 16384"/>
            <a:gd name="T15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</a:cxnLst>
          <a:rect l="0" t="0" r="r" b="b"/>
          <a:pathLst>
            <a:path w="16384" h="16384">
              <a:moveTo>
                <a:pt x="12288" y="0"/>
              </a:moveTo>
              <a:lnTo>
                <a:pt x="12288" y="4096"/>
              </a:lnTo>
              <a:lnTo>
                <a:pt x="0" y="4096"/>
              </a:lnTo>
              <a:lnTo>
                <a:pt x="0" y="12288"/>
              </a:lnTo>
              <a:lnTo>
                <a:pt x="12288" y="12288"/>
              </a:lnTo>
              <a:lnTo>
                <a:pt x="12288" y="16384"/>
              </a:lnTo>
              <a:lnTo>
                <a:pt x="16384" y="8191"/>
              </a:lnTo>
              <a:lnTo>
                <a:pt x="12288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298450</xdr:colOff>
      <xdr:row>14</xdr:row>
      <xdr:rowOff>88900</xdr:rowOff>
    </xdr:from>
    <xdr:to>
      <xdr:col>3</xdr:col>
      <xdr:colOff>704850</xdr:colOff>
      <xdr:row>14</xdr:row>
      <xdr:rowOff>355600</xdr:rowOff>
    </xdr:to>
    <xdr:sp macro="" textlink="">
      <xdr:nvSpPr>
        <xdr:cNvPr id="3073" name="Drawing 1">
          <a:extLst>
            <a:ext uri="{FF2B5EF4-FFF2-40B4-BE49-F238E27FC236}">
              <a16:creationId xmlns:a16="http://schemas.microsoft.com/office/drawing/2014/main" id="{305D4286-5758-43BE-8279-B7AB5C7438F8}"/>
            </a:ext>
          </a:extLst>
        </xdr:cNvPr>
        <xdr:cNvSpPr>
          <a:spLocks/>
        </xdr:cNvSpPr>
      </xdr:nvSpPr>
      <xdr:spPr bwMode="auto">
        <a:xfrm>
          <a:off x="2825750" y="3505200"/>
          <a:ext cx="1276350" cy="266700"/>
        </a:xfrm>
        <a:custGeom>
          <a:avLst/>
          <a:gdLst>
            <a:gd name="T0" fmla="*/ 12288 w 16384"/>
            <a:gd name="T1" fmla="*/ 0 h 16384"/>
            <a:gd name="T2" fmla="*/ 12288 w 16384"/>
            <a:gd name="T3" fmla="*/ 4096 h 16384"/>
            <a:gd name="T4" fmla="*/ 0 w 16384"/>
            <a:gd name="T5" fmla="*/ 4096 h 16384"/>
            <a:gd name="T6" fmla="*/ 0 w 16384"/>
            <a:gd name="T7" fmla="*/ 12288 h 16384"/>
            <a:gd name="T8" fmla="*/ 12288 w 16384"/>
            <a:gd name="T9" fmla="*/ 12288 h 16384"/>
            <a:gd name="T10" fmla="*/ 12288 w 16384"/>
            <a:gd name="T11" fmla="*/ 16384 h 16384"/>
            <a:gd name="T12" fmla="*/ 16384 w 16384"/>
            <a:gd name="T13" fmla="*/ 8191 h 16384"/>
            <a:gd name="T14" fmla="*/ 12288 w 16384"/>
            <a:gd name="T15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</a:cxnLst>
          <a:rect l="0" t="0" r="r" b="b"/>
          <a:pathLst>
            <a:path w="16384" h="16384">
              <a:moveTo>
                <a:pt x="12288" y="0"/>
              </a:moveTo>
              <a:lnTo>
                <a:pt x="12288" y="4096"/>
              </a:lnTo>
              <a:lnTo>
                <a:pt x="0" y="4096"/>
              </a:lnTo>
              <a:lnTo>
                <a:pt x="0" y="12288"/>
              </a:lnTo>
              <a:lnTo>
                <a:pt x="12288" y="12288"/>
              </a:lnTo>
              <a:lnTo>
                <a:pt x="12288" y="16384"/>
              </a:lnTo>
              <a:lnTo>
                <a:pt x="16384" y="8191"/>
              </a:lnTo>
              <a:lnTo>
                <a:pt x="12288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298450</xdr:colOff>
      <xdr:row>15</xdr:row>
      <xdr:rowOff>38100</xdr:rowOff>
    </xdr:from>
    <xdr:to>
      <xdr:col>3</xdr:col>
      <xdr:colOff>704850</xdr:colOff>
      <xdr:row>15</xdr:row>
      <xdr:rowOff>304800</xdr:rowOff>
    </xdr:to>
    <xdr:sp macro="" textlink="">
      <xdr:nvSpPr>
        <xdr:cNvPr id="3074" name="Drawing 2">
          <a:extLst>
            <a:ext uri="{FF2B5EF4-FFF2-40B4-BE49-F238E27FC236}">
              <a16:creationId xmlns:a16="http://schemas.microsoft.com/office/drawing/2014/main" id="{D8C35B5E-B061-415B-A14F-97F8D28707A2}"/>
            </a:ext>
          </a:extLst>
        </xdr:cNvPr>
        <xdr:cNvSpPr>
          <a:spLocks/>
        </xdr:cNvSpPr>
      </xdr:nvSpPr>
      <xdr:spPr bwMode="auto">
        <a:xfrm>
          <a:off x="2825750" y="3917950"/>
          <a:ext cx="1276350" cy="266700"/>
        </a:xfrm>
        <a:custGeom>
          <a:avLst/>
          <a:gdLst>
            <a:gd name="T0" fmla="*/ 12288 w 16384"/>
            <a:gd name="T1" fmla="*/ 0 h 16384"/>
            <a:gd name="T2" fmla="*/ 12288 w 16384"/>
            <a:gd name="T3" fmla="*/ 4096 h 16384"/>
            <a:gd name="T4" fmla="*/ 0 w 16384"/>
            <a:gd name="T5" fmla="*/ 4096 h 16384"/>
            <a:gd name="T6" fmla="*/ 0 w 16384"/>
            <a:gd name="T7" fmla="*/ 12288 h 16384"/>
            <a:gd name="T8" fmla="*/ 12288 w 16384"/>
            <a:gd name="T9" fmla="*/ 12288 h 16384"/>
            <a:gd name="T10" fmla="*/ 12288 w 16384"/>
            <a:gd name="T11" fmla="*/ 16384 h 16384"/>
            <a:gd name="T12" fmla="*/ 16384 w 16384"/>
            <a:gd name="T13" fmla="*/ 8191 h 16384"/>
            <a:gd name="T14" fmla="*/ 12288 w 16384"/>
            <a:gd name="T15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</a:cxnLst>
          <a:rect l="0" t="0" r="r" b="b"/>
          <a:pathLst>
            <a:path w="16384" h="16384">
              <a:moveTo>
                <a:pt x="12288" y="0"/>
              </a:moveTo>
              <a:lnTo>
                <a:pt x="12288" y="4096"/>
              </a:lnTo>
              <a:lnTo>
                <a:pt x="0" y="4096"/>
              </a:lnTo>
              <a:lnTo>
                <a:pt x="0" y="12288"/>
              </a:lnTo>
              <a:lnTo>
                <a:pt x="12288" y="12288"/>
              </a:lnTo>
              <a:lnTo>
                <a:pt x="12288" y="16384"/>
              </a:lnTo>
              <a:lnTo>
                <a:pt x="16384" y="8191"/>
              </a:lnTo>
              <a:lnTo>
                <a:pt x="12288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292100</xdr:colOff>
      <xdr:row>16</xdr:row>
      <xdr:rowOff>431800</xdr:rowOff>
    </xdr:from>
    <xdr:to>
      <xdr:col>3</xdr:col>
      <xdr:colOff>698500</xdr:colOff>
      <xdr:row>17</xdr:row>
      <xdr:rowOff>50800</xdr:rowOff>
    </xdr:to>
    <xdr:sp macro="" textlink="">
      <xdr:nvSpPr>
        <xdr:cNvPr id="3075" name="Drawing 3">
          <a:extLst>
            <a:ext uri="{FF2B5EF4-FFF2-40B4-BE49-F238E27FC236}">
              <a16:creationId xmlns:a16="http://schemas.microsoft.com/office/drawing/2014/main" id="{22407CCE-93B2-4203-9F2C-E667D7121EE7}"/>
            </a:ext>
          </a:extLst>
        </xdr:cNvPr>
        <xdr:cNvSpPr>
          <a:spLocks/>
        </xdr:cNvSpPr>
      </xdr:nvSpPr>
      <xdr:spPr bwMode="auto">
        <a:xfrm>
          <a:off x="2819400" y="4660900"/>
          <a:ext cx="1276350" cy="266700"/>
        </a:xfrm>
        <a:custGeom>
          <a:avLst/>
          <a:gdLst>
            <a:gd name="T0" fmla="*/ 12288 w 16384"/>
            <a:gd name="T1" fmla="*/ 0 h 16384"/>
            <a:gd name="T2" fmla="*/ 12288 w 16384"/>
            <a:gd name="T3" fmla="*/ 4096 h 16384"/>
            <a:gd name="T4" fmla="*/ 0 w 16384"/>
            <a:gd name="T5" fmla="*/ 4096 h 16384"/>
            <a:gd name="T6" fmla="*/ 0 w 16384"/>
            <a:gd name="T7" fmla="*/ 12288 h 16384"/>
            <a:gd name="T8" fmla="*/ 12288 w 16384"/>
            <a:gd name="T9" fmla="*/ 12288 h 16384"/>
            <a:gd name="T10" fmla="*/ 12288 w 16384"/>
            <a:gd name="T11" fmla="*/ 16384 h 16384"/>
            <a:gd name="T12" fmla="*/ 16384 w 16384"/>
            <a:gd name="T13" fmla="*/ 8191 h 16384"/>
            <a:gd name="T14" fmla="*/ 12288 w 16384"/>
            <a:gd name="T15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</a:cxnLst>
          <a:rect l="0" t="0" r="r" b="b"/>
          <a:pathLst>
            <a:path w="16384" h="16384">
              <a:moveTo>
                <a:pt x="12288" y="0"/>
              </a:moveTo>
              <a:lnTo>
                <a:pt x="12288" y="4096"/>
              </a:lnTo>
              <a:lnTo>
                <a:pt x="0" y="4096"/>
              </a:lnTo>
              <a:lnTo>
                <a:pt x="0" y="12288"/>
              </a:lnTo>
              <a:lnTo>
                <a:pt x="12288" y="12288"/>
              </a:lnTo>
              <a:lnTo>
                <a:pt x="12288" y="16384"/>
              </a:lnTo>
              <a:lnTo>
                <a:pt x="16384" y="8191"/>
              </a:lnTo>
              <a:lnTo>
                <a:pt x="12288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298450</xdr:colOff>
      <xdr:row>18</xdr:row>
      <xdr:rowOff>190500</xdr:rowOff>
    </xdr:from>
    <xdr:to>
      <xdr:col>3</xdr:col>
      <xdr:colOff>698500</xdr:colOff>
      <xdr:row>18</xdr:row>
      <xdr:rowOff>457200</xdr:rowOff>
    </xdr:to>
    <xdr:sp macro="" textlink="">
      <xdr:nvSpPr>
        <xdr:cNvPr id="3076" name="Drawing 4">
          <a:extLst>
            <a:ext uri="{FF2B5EF4-FFF2-40B4-BE49-F238E27FC236}">
              <a16:creationId xmlns:a16="http://schemas.microsoft.com/office/drawing/2014/main" id="{0FEDBBB4-93E2-4E86-92F2-7B39146F796B}"/>
            </a:ext>
          </a:extLst>
        </xdr:cNvPr>
        <xdr:cNvSpPr>
          <a:spLocks/>
        </xdr:cNvSpPr>
      </xdr:nvSpPr>
      <xdr:spPr bwMode="auto">
        <a:xfrm>
          <a:off x="2825750" y="5486400"/>
          <a:ext cx="1270000" cy="266700"/>
        </a:xfrm>
        <a:custGeom>
          <a:avLst/>
          <a:gdLst>
            <a:gd name="T0" fmla="*/ 12288 w 16384"/>
            <a:gd name="T1" fmla="*/ 0 h 16384"/>
            <a:gd name="T2" fmla="*/ 12288 w 16384"/>
            <a:gd name="T3" fmla="*/ 4096 h 16384"/>
            <a:gd name="T4" fmla="*/ 0 w 16384"/>
            <a:gd name="T5" fmla="*/ 4096 h 16384"/>
            <a:gd name="T6" fmla="*/ 0 w 16384"/>
            <a:gd name="T7" fmla="*/ 12288 h 16384"/>
            <a:gd name="T8" fmla="*/ 12288 w 16384"/>
            <a:gd name="T9" fmla="*/ 12288 h 16384"/>
            <a:gd name="T10" fmla="*/ 12288 w 16384"/>
            <a:gd name="T11" fmla="*/ 16384 h 16384"/>
            <a:gd name="T12" fmla="*/ 16384 w 16384"/>
            <a:gd name="T13" fmla="*/ 8191 h 16384"/>
            <a:gd name="T14" fmla="*/ 12288 w 16384"/>
            <a:gd name="T15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</a:cxnLst>
          <a:rect l="0" t="0" r="r" b="b"/>
          <a:pathLst>
            <a:path w="16384" h="16384">
              <a:moveTo>
                <a:pt x="12288" y="0"/>
              </a:moveTo>
              <a:lnTo>
                <a:pt x="12288" y="4096"/>
              </a:lnTo>
              <a:lnTo>
                <a:pt x="0" y="4096"/>
              </a:lnTo>
              <a:lnTo>
                <a:pt x="0" y="12288"/>
              </a:lnTo>
              <a:lnTo>
                <a:pt x="12288" y="12288"/>
              </a:lnTo>
              <a:lnTo>
                <a:pt x="12288" y="16384"/>
              </a:lnTo>
              <a:lnTo>
                <a:pt x="16384" y="8191"/>
              </a:lnTo>
              <a:lnTo>
                <a:pt x="12288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298450</xdr:colOff>
      <xdr:row>19</xdr:row>
      <xdr:rowOff>50800</xdr:rowOff>
    </xdr:from>
    <xdr:to>
      <xdr:col>3</xdr:col>
      <xdr:colOff>698500</xdr:colOff>
      <xdr:row>19</xdr:row>
      <xdr:rowOff>317500</xdr:rowOff>
    </xdr:to>
    <xdr:sp macro="" textlink="">
      <xdr:nvSpPr>
        <xdr:cNvPr id="3077" name="Drawing 5">
          <a:extLst>
            <a:ext uri="{FF2B5EF4-FFF2-40B4-BE49-F238E27FC236}">
              <a16:creationId xmlns:a16="http://schemas.microsoft.com/office/drawing/2014/main" id="{F60122C9-C4ED-4B06-8C28-6ACCCFF468CA}"/>
            </a:ext>
          </a:extLst>
        </xdr:cNvPr>
        <xdr:cNvSpPr>
          <a:spLocks/>
        </xdr:cNvSpPr>
      </xdr:nvSpPr>
      <xdr:spPr bwMode="auto">
        <a:xfrm>
          <a:off x="2825750" y="5975350"/>
          <a:ext cx="1270000" cy="266700"/>
        </a:xfrm>
        <a:custGeom>
          <a:avLst/>
          <a:gdLst>
            <a:gd name="T0" fmla="*/ 12288 w 16384"/>
            <a:gd name="T1" fmla="*/ 0 h 16384"/>
            <a:gd name="T2" fmla="*/ 12288 w 16384"/>
            <a:gd name="T3" fmla="*/ 4096 h 16384"/>
            <a:gd name="T4" fmla="*/ 0 w 16384"/>
            <a:gd name="T5" fmla="*/ 4096 h 16384"/>
            <a:gd name="T6" fmla="*/ 0 w 16384"/>
            <a:gd name="T7" fmla="*/ 12288 h 16384"/>
            <a:gd name="T8" fmla="*/ 12288 w 16384"/>
            <a:gd name="T9" fmla="*/ 12288 h 16384"/>
            <a:gd name="T10" fmla="*/ 12288 w 16384"/>
            <a:gd name="T11" fmla="*/ 16384 h 16384"/>
            <a:gd name="T12" fmla="*/ 16384 w 16384"/>
            <a:gd name="T13" fmla="*/ 8191 h 16384"/>
            <a:gd name="T14" fmla="*/ 12288 w 16384"/>
            <a:gd name="T15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</a:cxnLst>
          <a:rect l="0" t="0" r="r" b="b"/>
          <a:pathLst>
            <a:path w="16384" h="16384">
              <a:moveTo>
                <a:pt x="12288" y="0"/>
              </a:moveTo>
              <a:lnTo>
                <a:pt x="12288" y="4096"/>
              </a:lnTo>
              <a:lnTo>
                <a:pt x="0" y="4096"/>
              </a:lnTo>
              <a:lnTo>
                <a:pt x="0" y="12288"/>
              </a:lnTo>
              <a:lnTo>
                <a:pt x="12288" y="12288"/>
              </a:lnTo>
              <a:lnTo>
                <a:pt x="12288" y="16384"/>
              </a:lnTo>
              <a:lnTo>
                <a:pt x="16384" y="8191"/>
              </a:lnTo>
              <a:lnTo>
                <a:pt x="12288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298450</xdr:colOff>
      <xdr:row>20</xdr:row>
      <xdr:rowOff>165100</xdr:rowOff>
    </xdr:from>
    <xdr:to>
      <xdr:col>3</xdr:col>
      <xdr:colOff>685800</xdr:colOff>
      <xdr:row>21</xdr:row>
      <xdr:rowOff>127000</xdr:rowOff>
    </xdr:to>
    <xdr:sp macro="" textlink="">
      <xdr:nvSpPr>
        <xdr:cNvPr id="3078" name="Drawing 6">
          <a:extLst>
            <a:ext uri="{FF2B5EF4-FFF2-40B4-BE49-F238E27FC236}">
              <a16:creationId xmlns:a16="http://schemas.microsoft.com/office/drawing/2014/main" id="{B78763FB-83F6-4837-8425-2AF2ADCE3CCC}"/>
            </a:ext>
          </a:extLst>
        </xdr:cNvPr>
        <xdr:cNvSpPr>
          <a:spLocks/>
        </xdr:cNvSpPr>
      </xdr:nvSpPr>
      <xdr:spPr bwMode="auto">
        <a:xfrm>
          <a:off x="2825750" y="6451600"/>
          <a:ext cx="1257300" cy="285750"/>
        </a:xfrm>
        <a:custGeom>
          <a:avLst/>
          <a:gdLst>
            <a:gd name="T0" fmla="*/ 12288 w 16384"/>
            <a:gd name="T1" fmla="*/ 0 h 16384"/>
            <a:gd name="T2" fmla="*/ 12288 w 16384"/>
            <a:gd name="T3" fmla="*/ 4096 h 16384"/>
            <a:gd name="T4" fmla="*/ 0 w 16384"/>
            <a:gd name="T5" fmla="*/ 4096 h 16384"/>
            <a:gd name="T6" fmla="*/ 0 w 16384"/>
            <a:gd name="T7" fmla="*/ 12288 h 16384"/>
            <a:gd name="T8" fmla="*/ 12288 w 16384"/>
            <a:gd name="T9" fmla="*/ 12288 h 16384"/>
            <a:gd name="T10" fmla="*/ 12288 w 16384"/>
            <a:gd name="T11" fmla="*/ 16384 h 16384"/>
            <a:gd name="T12" fmla="*/ 16384 w 16384"/>
            <a:gd name="T13" fmla="*/ 8191 h 16384"/>
            <a:gd name="T14" fmla="*/ 12288 w 16384"/>
            <a:gd name="T15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</a:cxnLst>
          <a:rect l="0" t="0" r="r" b="b"/>
          <a:pathLst>
            <a:path w="16384" h="16384">
              <a:moveTo>
                <a:pt x="12288" y="0"/>
              </a:moveTo>
              <a:lnTo>
                <a:pt x="12288" y="4096"/>
              </a:lnTo>
              <a:lnTo>
                <a:pt x="0" y="4096"/>
              </a:lnTo>
              <a:lnTo>
                <a:pt x="0" y="12288"/>
              </a:lnTo>
              <a:lnTo>
                <a:pt x="12288" y="12288"/>
              </a:lnTo>
              <a:lnTo>
                <a:pt x="12288" y="16384"/>
              </a:lnTo>
              <a:lnTo>
                <a:pt x="16384" y="8191"/>
              </a:lnTo>
              <a:lnTo>
                <a:pt x="12288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4"/>
  <sheetViews>
    <sheetView showGridLines="0" tabSelected="1" workbookViewId="0">
      <selection activeCell="F8" sqref="F8"/>
    </sheetView>
  </sheetViews>
  <sheetFormatPr defaultColWidth="8.81640625" defaultRowHeight="12.5" x14ac:dyDescent="0.25"/>
  <cols>
    <col min="1" max="1" width="3.453125" style="88" customWidth="1"/>
    <col min="2" max="2" width="37.1796875" style="7" customWidth="1"/>
    <col min="3" max="3" width="10.1796875" customWidth="1"/>
    <col min="4" max="4" width="10.453125" customWidth="1"/>
    <col min="5" max="5" width="11.81640625" customWidth="1"/>
    <col min="6" max="6" width="40.453125" customWidth="1"/>
    <col min="7" max="7" width="29.81640625" customWidth="1"/>
    <col min="9" max="11" width="0" hidden="1" customWidth="1"/>
  </cols>
  <sheetData>
    <row r="1" spans="1:44" ht="15.5" x14ac:dyDescent="0.35">
      <c r="A1" s="26" t="s">
        <v>0</v>
      </c>
      <c r="B1" s="27" t="s">
        <v>1</v>
      </c>
      <c r="C1" s="28" t="s">
        <v>2</v>
      </c>
      <c r="D1" s="29"/>
      <c r="E1" s="29"/>
      <c r="F1" s="29"/>
      <c r="G1" s="30"/>
      <c r="H1" s="31"/>
      <c r="I1" s="32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</row>
    <row r="2" spans="1:44" ht="13" x14ac:dyDescent="0.3">
      <c r="A2" s="33"/>
      <c r="C2" s="34" t="s">
        <v>3</v>
      </c>
      <c r="D2" s="31"/>
      <c r="E2" s="31"/>
      <c r="F2" s="31"/>
      <c r="G2" s="35"/>
      <c r="H2" s="31"/>
      <c r="I2" s="32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</row>
    <row r="3" spans="1:44" s="8" customFormat="1" ht="13" x14ac:dyDescent="0.3">
      <c r="A3" s="36"/>
      <c r="B3" s="15"/>
      <c r="C3" s="37" t="s">
        <v>4</v>
      </c>
      <c r="D3" s="31"/>
      <c r="E3" s="38"/>
      <c r="F3" s="38"/>
      <c r="G3" s="39"/>
      <c r="H3" s="31"/>
      <c r="I3" s="32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</row>
    <row r="4" spans="1:44" x14ac:dyDescent="0.25">
      <c r="A4" s="33"/>
      <c r="C4" s="40"/>
      <c r="D4" s="41"/>
      <c r="E4" s="7"/>
      <c r="F4" s="42" t="s">
        <v>5</v>
      </c>
      <c r="G4" s="43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x14ac:dyDescent="0.25">
      <c r="A5" s="33"/>
      <c r="C5" s="44"/>
      <c r="D5" s="45"/>
      <c r="E5" s="46" t="s">
        <v>6</v>
      </c>
      <c r="F5" s="47" t="s">
        <v>7</v>
      </c>
      <c r="G5" s="48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</row>
    <row r="6" spans="1:44" ht="12.75" customHeight="1" x14ac:dyDescent="0.3">
      <c r="A6" s="33"/>
      <c r="B6" s="49" t="s">
        <v>8</v>
      </c>
      <c r="C6" s="50" t="s">
        <v>9</v>
      </c>
      <c r="D6" s="51"/>
      <c r="E6" s="46" t="s">
        <v>10</v>
      </c>
      <c r="F6" s="52" t="s">
        <v>11</v>
      </c>
      <c r="G6" s="53" t="s">
        <v>12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</row>
    <row r="7" spans="1:44" ht="12.75" customHeight="1" x14ac:dyDescent="0.3">
      <c r="A7" s="33"/>
      <c r="B7" s="49" t="s">
        <v>13</v>
      </c>
      <c r="C7" s="50" t="s">
        <v>14</v>
      </c>
      <c r="D7" s="51"/>
      <c r="E7" s="46" t="s">
        <v>15</v>
      </c>
      <c r="F7" s="52" t="s">
        <v>16</v>
      </c>
      <c r="G7" s="53" t="s">
        <v>17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</row>
    <row r="8" spans="1:44" ht="12.75" customHeight="1" x14ac:dyDescent="0.3">
      <c r="A8" s="33"/>
      <c r="B8" s="49" t="s">
        <v>18</v>
      </c>
      <c r="C8" s="50" t="s">
        <v>19</v>
      </c>
      <c r="D8" s="54"/>
      <c r="E8" s="46" t="s">
        <v>20</v>
      </c>
      <c r="F8" s="52" t="s">
        <v>21</v>
      </c>
      <c r="G8" s="53" t="s">
        <v>22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</row>
    <row r="9" spans="1:44" ht="13.5" customHeight="1" x14ac:dyDescent="0.25">
      <c r="A9" s="33"/>
      <c r="E9" s="6"/>
      <c r="F9" s="52" t="s">
        <v>23</v>
      </c>
      <c r="G9" s="53" t="s">
        <v>24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</row>
    <row r="10" spans="1:44" s="5" customFormat="1" x14ac:dyDescent="0.25">
      <c r="A10" s="36"/>
      <c r="B10" s="15"/>
      <c r="C10" s="55"/>
      <c r="D10" s="56"/>
      <c r="E10" s="15"/>
      <c r="F10" s="57" t="s">
        <v>25</v>
      </c>
      <c r="G10" s="58"/>
    </row>
    <row r="11" spans="1:44" s="8" customFormat="1" ht="33" customHeight="1" x14ac:dyDescent="0.25">
      <c r="A11" s="36">
        <v>1</v>
      </c>
      <c r="B11" s="59" t="s">
        <v>26</v>
      </c>
      <c r="C11" s="60" t="s">
        <v>27</v>
      </c>
      <c r="D11" s="61"/>
      <c r="E11" s="62"/>
      <c r="F11" s="63"/>
      <c r="G11" s="64"/>
      <c r="H11" s="5"/>
      <c r="I11" s="5">
        <v>6</v>
      </c>
      <c r="J11" s="5">
        <f>A11</f>
        <v>1</v>
      </c>
      <c r="K11" s="5">
        <f ca="1">'Education Activities, p. 7'!D22</f>
        <v>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</row>
    <row r="12" spans="1:44" s="23" customFormat="1" ht="33" customHeight="1" x14ac:dyDescent="0.25">
      <c r="A12" s="65">
        <v>2</v>
      </c>
      <c r="B12" s="66" t="s">
        <v>28</v>
      </c>
      <c r="C12" s="67" t="s">
        <v>27</v>
      </c>
      <c r="D12" s="68"/>
      <c r="E12" s="68"/>
      <c r="F12" s="69"/>
      <c r="G12" s="70"/>
      <c r="H12" s="5"/>
      <c r="I12" s="5">
        <v>6</v>
      </c>
      <c r="J12" s="5">
        <f>A12</f>
        <v>2</v>
      </c>
      <c r="K12" s="5">
        <f ca="1">'Education Activities, p. 7'!D22</f>
        <v>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</row>
    <row r="13" spans="1:44" s="23" customFormat="1" ht="33" customHeight="1" x14ac:dyDescent="0.25">
      <c r="A13" s="65">
        <v>3</v>
      </c>
      <c r="B13" s="71" t="s">
        <v>29</v>
      </c>
      <c r="C13" s="67" t="s">
        <v>30</v>
      </c>
      <c r="D13" s="68"/>
      <c r="E13" s="68"/>
      <c r="F13" s="69"/>
      <c r="G13" s="70"/>
      <c r="H13" s="5"/>
      <c r="I13" s="5">
        <v>6</v>
      </c>
      <c r="J13" s="5">
        <f>A13</f>
        <v>3</v>
      </c>
      <c r="K13" s="5">
        <f ca="1">'Education Activities, p. 7'!D22</f>
        <v>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s="23" customFormat="1" ht="33" customHeight="1" x14ac:dyDescent="0.25">
      <c r="A14" s="65">
        <v>4</v>
      </c>
      <c r="B14" s="71" t="s">
        <v>31</v>
      </c>
      <c r="C14" s="67" t="s">
        <v>30</v>
      </c>
      <c r="D14" s="68"/>
      <c r="E14" s="68"/>
      <c r="F14" s="69"/>
      <c r="G14" s="70"/>
      <c r="H14" s="5"/>
      <c r="I14" s="5">
        <v>6</v>
      </c>
      <c r="J14" s="5">
        <f>A14</f>
        <v>4</v>
      </c>
      <c r="K14" s="5">
        <f ca="1">'Education Activities, p. 7'!D22</f>
        <v>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6.25" customHeight="1" thickBot="1" x14ac:dyDescent="0.3">
      <c r="A15" s="72">
        <v>5</v>
      </c>
      <c r="B15" s="73" t="s">
        <v>32</v>
      </c>
      <c r="C15" s="74" t="s">
        <v>33</v>
      </c>
      <c r="D15" s="75"/>
      <c r="E15" s="75"/>
      <c r="F15" s="76"/>
      <c r="G15" s="76"/>
      <c r="H15" s="5"/>
      <c r="I15" s="5">
        <v>6</v>
      </c>
      <c r="J15" s="5">
        <f>A15</f>
        <v>5</v>
      </c>
      <c r="K15" s="5">
        <f ca="1">'Education Activities, p. 7'!D22</f>
        <v>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s="8" customFormat="1" ht="25.5" customHeight="1" thickBot="1" x14ac:dyDescent="0.3">
      <c r="A16" s="77"/>
      <c r="B16" s="78"/>
      <c r="C16" s="60"/>
      <c r="D16" s="25"/>
      <c r="E16" s="25"/>
      <c r="F16" s="79"/>
      <c r="G16" s="79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s="8" customFormat="1" ht="51" customHeight="1" x14ac:dyDescent="0.25">
      <c r="A17" s="36">
        <v>6</v>
      </c>
      <c r="B17" s="80" t="s">
        <v>34</v>
      </c>
      <c r="C17" s="60" t="s">
        <v>35</v>
      </c>
      <c r="D17" s="62"/>
      <c r="E17" s="62"/>
      <c r="F17" s="69"/>
      <c r="G17" s="70"/>
      <c r="H17" s="5"/>
      <c r="I17" s="5">
        <v>6</v>
      </c>
      <c r="J17" s="5">
        <f>A17</f>
        <v>6</v>
      </c>
      <c r="K17" s="5">
        <f ca="1">'Education Activities, p. 7'!D22</f>
        <v>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s="23" customFormat="1" ht="33" customHeight="1" x14ac:dyDescent="0.25">
      <c r="A18" s="65">
        <v>7</v>
      </c>
      <c r="B18" s="71" t="s">
        <v>36</v>
      </c>
      <c r="C18" s="67" t="s">
        <v>35</v>
      </c>
      <c r="D18" s="68"/>
      <c r="E18" s="68"/>
      <c r="F18" s="69"/>
      <c r="G18" s="70"/>
      <c r="H18" s="5"/>
      <c r="I18" s="5">
        <v>6</v>
      </c>
      <c r="J18" s="5">
        <f>A18</f>
        <v>7</v>
      </c>
      <c r="K18" s="5">
        <f ca="1">'Education Activities, p. 7'!D22</f>
        <v>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ht="27.75" customHeight="1" thickBot="1" x14ac:dyDescent="0.3">
      <c r="A19" s="81">
        <v>8</v>
      </c>
      <c r="B19" s="82" t="s">
        <v>37</v>
      </c>
      <c r="C19" s="83" t="s">
        <v>38</v>
      </c>
      <c r="D19" s="84"/>
      <c r="E19" s="75"/>
      <c r="F19" s="76"/>
      <c r="G19" s="76"/>
      <c r="H19" s="5"/>
      <c r="I19" s="5">
        <v>6</v>
      </c>
      <c r="J19" s="5">
        <f>A19</f>
        <v>8</v>
      </c>
      <c r="K19" s="5">
        <f ca="1">'Education Activities, p. 7'!D22</f>
        <v>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</row>
    <row r="20" spans="1:44" ht="42" customHeight="1" thickBot="1" x14ac:dyDescent="0.3">
      <c r="A20" s="77"/>
      <c r="B20" s="85"/>
      <c r="C20" s="86"/>
      <c r="D20" s="87"/>
      <c r="E20" s="25"/>
      <c r="F20" s="79"/>
      <c r="G20" s="79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</row>
    <row r="21" spans="1:44" x14ac:dyDescent="0.25">
      <c r="B21" s="5"/>
      <c r="C21" s="5"/>
      <c r="D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44" x14ac:dyDescent="0.25">
      <c r="B22" s="5"/>
      <c r="C22" s="5"/>
      <c r="D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44" x14ac:dyDescent="0.25">
      <c r="B23" s="5"/>
      <c r="C23" s="5"/>
      <c r="D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44" x14ac:dyDescent="0.25">
      <c r="B24" s="5"/>
      <c r="C24" s="5"/>
      <c r="D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44" x14ac:dyDescent="0.25">
      <c r="B25" s="5"/>
      <c r="C25" s="5"/>
      <c r="D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44" x14ac:dyDescent="0.25">
      <c r="B26" s="5"/>
      <c r="C26" s="5"/>
      <c r="D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44" x14ac:dyDescent="0.25">
      <c r="B27" s="5"/>
      <c r="C27" s="5"/>
      <c r="D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44" x14ac:dyDescent="0.25">
      <c r="B28" s="5"/>
      <c r="C28" s="5"/>
      <c r="D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44" x14ac:dyDescent="0.25">
      <c r="B29" s="5"/>
      <c r="C29" s="5"/>
      <c r="D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44" x14ac:dyDescent="0.25">
      <c r="B30" s="5"/>
      <c r="C30" s="5"/>
      <c r="D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44" x14ac:dyDescent="0.25">
      <c r="B31" s="5"/>
      <c r="C31" s="5"/>
      <c r="D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44" x14ac:dyDescent="0.25">
      <c r="B32" s="5"/>
      <c r="C32" s="5"/>
      <c r="D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x14ac:dyDescent="0.25">
      <c r="B33" s="5"/>
      <c r="C33" s="5"/>
      <c r="D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x14ac:dyDescent="0.25">
      <c r="B34" s="5"/>
      <c r="C34" s="5"/>
      <c r="D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x14ac:dyDescent="0.25">
      <c r="B35" s="5"/>
      <c r="C35" s="5"/>
      <c r="D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x14ac:dyDescent="0.25">
      <c r="B36" s="5"/>
      <c r="C36" s="5"/>
      <c r="D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x14ac:dyDescent="0.25">
      <c r="B37" s="5"/>
      <c r="C37" s="5"/>
      <c r="D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x14ac:dyDescent="0.25">
      <c r="B38" s="5"/>
      <c r="C38" s="5"/>
      <c r="D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x14ac:dyDescent="0.25">
      <c r="B39" s="5"/>
      <c r="C39" s="5"/>
      <c r="D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x14ac:dyDescent="0.25">
      <c r="B40" s="5"/>
      <c r="C40" s="5"/>
      <c r="D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x14ac:dyDescent="0.25">
      <c r="B41" s="5"/>
      <c r="C41" s="5"/>
      <c r="D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x14ac:dyDescent="0.25">
      <c r="B42" s="5"/>
      <c r="C42" s="5"/>
      <c r="D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x14ac:dyDescent="0.25">
      <c r="B43" s="5"/>
      <c r="C43" s="5"/>
      <c r="D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x14ac:dyDescent="0.25">
      <c r="B44" s="5"/>
      <c r="C44" s="5"/>
      <c r="D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x14ac:dyDescent="0.25">
      <c r="B45" s="5"/>
      <c r="C45" s="5"/>
      <c r="D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x14ac:dyDescent="0.25">
      <c r="B46" s="5"/>
      <c r="C46" s="5"/>
      <c r="D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x14ac:dyDescent="0.25">
      <c r="B47" s="5"/>
      <c r="C47" s="5"/>
      <c r="D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x14ac:dyDescent="0.25">
      <c r="B48" s="5"/>
      <c r="C48" s="5"/>
      <c r="D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x14ac:dyDescent="0.25">
      <c r="B49" s="5"/>
      <c r="C49" s="5"/>
      <c r="D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x14ac:dyDescent="0.25">
      <c r="B50" s="5"/>
      <c r="C50" s="5"/>
      <c r="D50" s="5"/>
    </row>
    <row r="51" spans="2:26" x14ac:dyDescent="0.25">
      <c r="B51" s="5"/>
      <c r="C51" s="5"/>
      <c r="D51" s="5"/>
    </row>
    <row r="52" spans="2:26" x14ac:dyDescent="0.25">
      <c r="B52" s="5"/>
      <c r="C52" s="5"/>
      <c r="D52" s="5"/>
    </row>
    <row r="53" spans="2:26" x14ac:dyDescent="0.25">
      <c r="B53" s="5"/>
      <c r="C53" s="5"/>
      <c r="D53" s="5"/>
    </row>
    <row r="54" spans="2:26" x14ac:dyDescent="0.25">
      <c r="B54" s="5"/>
      <c r="C54" s="5"/>
      <c r="D54" s="5"/>
    </row>
  </sheetData>
  <sheetProtection password="C98B" sheet="1" objects="1"/>
  <pageMargins left="0.27" right="0.23" top="1" bottom="1" header="0.5" footer="0.5"/>
  <pageSetup scale="90" orientation="landscape" horizontalDpi="300" verticalDpi="300"/>
  <headerFooter alignWithMargins="0">
    <oddHeader>&amp;C&amp;"Arial,Bold"&amp;12Education Activities</oddHeader>
    <oddFooter>&amp;C-6-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8"/>
  <sheetViews>
    <sheetView showGridLines="0" workbookViewId="0">
      <selection activeCell="B17" sqref="B17"/>
    </sheetView>
  </sheetViews>
  <sheetFormatPr defaultColWidth="8.81640625" defaultRowHeight="12.5" x14ac:dyDescent="0.25"/>
  <cols>
    <col min="1" max="1" width="2.81640625" customWidth="1"/>
    <col min="2" max="2" width="34.453125" customWidth="1"/>
    <col min="3" max="3" width="10.36328125" customWidth="1"/>
    <col min="4" max="4" width="11.453125" customWidth="1"/>
    <col min="5" max="5" width="11" customWidth="1"/>
    <col min="6" max="6" width="27.453125" customWidth="1"/>
    <col min="7" max="7" width="32.1796875" customWidth="1"/>
    <col min="8" max="8" width="10.453125" customWidth="1"/>
    <col min="9" max="9" width="9.453125" style="7" hidden="1" customWidth="1"/>
    <col min="10" max="11" width="0" hidden="1" customWidth="1"/>
  </cols>
  <sheetData>
    <row r="1" spans="1:30" ht="15.5" x14ac:dyDescent="0.35">
      <c r="A1" s="89" t="s">
        <v>39</v>
      </c>
      <c r="B1" s="27" t="s">
        <v>40</v>
      </c>
      <c r="C1" s="90" t="s">
        <v>2</v>
      </c>
      <c r="D1" s="91"/>
      <c r="E1" s="91"/>
      <c r="F1" s="91"/>
      <c r="G1" s="92"/>
      <c r="H1" s="31"/>
      <c r="I1" s="31"/>
      <c r="J1" s="31"/>
      <c r="K1" s="9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13" x14ac:dyDescent="0.3">
      <c r="A2" s="6"/>
      <c r="B2" s="7"/>
      <c r="C2" s="94" t="s">
        <v>3</v>
      </c>
      <c r="D2" s="22"/>
      <c r="E2" s="22"/>
      <c r="F2" s="22"/>
      <c r="G2" s="95"/>
      <c r="H2" s="31"/>
      <c r="I2" s="31"/>
      <c r="J2" s="31"/>
      <c r="K2" s="93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s="8" customFormat="1" ht="13" x14ac:dyDescent="0.3">
      <c r="A3" s="14"/>
      <c r="B3" s="15"/>
      <c r="C3" s="96" t="s">
        <v>4</v>
      </c>
      <c r="D3" s="97"/>
      <c r="E3" s="97"/>
      <c r="F3" s="97"/>
      <c r="G3" s="98"/>
      <c r="H3" s="31"/>
      <c r="I3" s="31"/>
      <c r="J3" s="31"/>
      <c r="K3" s="93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24" customHeight="1" x14ac:dyDescent="0.25">
      <c r="A4" s="6"/>
      <c r="C4" s="99" t="s">
        <v>41</v>
      </c>
      <c r="D4" s="100"/>
      <c r="E4" s="46" t="s">
        <v>6</v>
      </c>
      <c r="F4" s="42" t="s">
        <v>42</v>
      </c>
      <c r="G4" s="101" t="s">
        <v>43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30" ht="13" x14ac:dyDescent="0.3">
      <c r="A5" s="6"/>
      <c r="B5" s="49" t="s">
        <v>44</v>
      </c>
      <c r="C5" s="102"/>
      <c r="D5" s="51"/>
      <c r="E5" s="46" t="s">
        <v>10</v>
      </c>
      <c r="F5" s="47" t="s">
        <v>7</v>
      </c>
      <c r="G5" s="103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30" ht="13" x14ac:dyDescent="0.3">
      <c r="A6" s="6"/>
      <c r="B6" s="49" t="s">
        <v>45</v>
      </c>
      <c r="C6" s="102"/>
      <c r="D6" s="51"/>
      <c r="E6" s="46" t="s">
        <v>46</v>
      </c>
      <c r="F6" s="52" t="s">
        <v>47</v>
      </c>
      <c r="G6" s="103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30" ht="13" x14ac:dyDescent="0.3">
      <c r="A7" s="6"/>
      <c r="B7" s="49" t="s">
        <v>48</v>
      </c>
      <c r="C7" s="102"/>
      <c r="D7" s="51"/>
      <c r="E7" s="46" t="s">
        <v>49</v>
      </c>
      <c r="F7" s="52" t="s">
        <v>50</v>
      </c>
      <c r="G7" s="103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30" x14ac:dyDescent="0.25">
      <c r="A8" s="6"/>
      <c r="B8" s="14"/>
      <c r="C8" s="104"/>
      <c r="D8" s="105"/>
      <c r="E8" s="106" t="s">
        <v>51</v>
      </c>
      <c r="F8" s="57" t="s">
        <v>52</v>
      </c>
      <c r="G8" s="107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30" s="8" customFormat="1" ht="25.5" customHeight="1" x14ac:dyDescent="0.25">
      <c r="A9" s="65">
        <v>1</v>
      </c>
      <c r="B9" s="15" t="s">
        <v>53</v>
      </c>
      <c r="C9" s="108"/>
      <c r="D9" s="109"/>
      <c r="E9" s="62"/>
      <c r="F9" s="63"/>
      <c r="G9" s="64"/>
      <c r="H9" s="5"/>
      <c r="I9" s="5">
        <v>7</v>
      </c>
      <c r="J9" s="5">
        <v>1</v>
      </c>
      <c r="K9" s="5">
        <f ca="1">'Education Activities, p. 8'!D22</f>
        <v>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30" s="23" customFormat="1" ht="25.5" customHeight="1" x14ac:dyDescent="0.25">
      <c r="A10" s="65">
        <v>2</v>
      </c>
      <c r="B10" s="110" t="s">
        <v>54</v>
      </c>
      <c r="C10" s="108"/>
      <c r="D10" s="109"/>
      <c r="E10" s="68"/>
      <c r="F10" s="69"/>
      <c r="G10" s="70"/>
      <c r="H10" s="5"/>
      <c r="I10" s="5">
        <v>7</v>
      </c>
      <c r="J10" s="5">
        <v>2</v>
      </c>
      <c r="K10" s="5">
        <f ca="1">'Education Activities, p. 8'!D22</f>
        <v>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30" s="8" customFormat="1" ht="26.25" customHeight="1" thickBot="1" x14ac:dyDescent="0.3">
      <c r="A11" s="72">
        <v>3</v>
      </c>
      <c r="B11" s="111" t="s">
        <v>55</v>
      </c>
      <c r="C11" s="112"/>
      <c r="D11" s="113"/>
      <c r="E11" s="114"/>
      <c r="F11" s="76"/>
      <c r="G11" s="115"/>
      <c r="H11" s="5"/>
      <c r="I11" s="5">
        <v>7</v>
      </c>
      <c r="J11" s="5">
        <v>3</v>
      </c>
      <c r="K11" s="5">
        <f ca="1">'Education Activities, p. 8'!D22</f>
        <v>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30" s="8" customFormat="1" ht="13.5" customHeight="1" thickBot="1" x14ac:dyDescent="0.3">
      <c r="A12" s="77"/>
      <c r="B12" s="78"/>
      <c r="C12" s="116"/>
      <c r="D12" s="117"/>
      <c r="E12" s="118"/>
      <c r="F12" s="64"/>
      <c r="G12" s="119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30" ht="26.25" customHeight="1" thickBot="1" x14ac:dyDescent="0.3">
      <c r="A13" s="120">
        <v>4</v>
      </c>
      <c r="B13" s="121" t="s">
        <v>56</v>
      </c>
      <c r="C13" s="112"/>
      <c r="D13" s="113"/>
      <c r="E13" s="122"/>
      <c r="F13" s="123"/>
      <c r="G13" s="124"/>
      <c r="H13" s="5"/>
      <c r="I13" s="5">
        <v>7</v>
      </c>
      <c r="J13" s="5">
        <v>4</v>
      </c>
      <c r="K13" s="5">
        <f ca="1">'Education Activities, p. 8'!D22</f>
        <v>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30" s="129" customFormat="1" ht="13.5" customHeight="1" thickBot="1" x14ac:dyDescent="0.3">
      <c r="A14" s="77"/>
      <c r="B14" s="125"/>
      <c r="C14" s="116"/>
      <c r="D14" s="117"/>
      <c r="E14" s="126"/>
      <c r="F14" s="127"/>
      <c r="G14" s="64"/>
      <c r="H14" s="128"/>
      <c r="I14" s="128"/>
      <c r="J14" s="128"/>
      <c r="K14" s="5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</row>
    <row r="15" spans="1:30" s="8" customFormat="1" ht="25.5" customHeight="1" x14ac:dyDescent="0.25">
      <c r="A15" s="36">
        <v>5</v>
      </c>
      <c r="B15" s="130" t="s">
        <v>57</v>
      </c>
      <c r="C15" s="108"/>
      <c r="D15" s="109"/>
      <c r="E15" s="68"/>
      <c r="F15" s="69"/>
      <c r="G15" s="70"/>
      <c r="H15" s="5"/>
      <c r="I15" s="5">
        <v>7</v>
      </c>
      <c r="J15" s="5">
        <v>5</v>
      </c>
      <c r="K15" s="5">
        <f ca="1">'Education Activities, p. 8'!D22</f>
        <v>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30" s="23" customFormat="1" ht="25.5" customHeight="1" x14ac:dyDescent="0.25">
      <c r="A16" s="65">
        <v>6</v>
      </c>
      <c r="B16" s="110" t="s">
        <v>58</v>
      </c>
      <c r="C16" s="108"/>
      <c r="D16" s="109"/>
      <c r="E16" s="68"/>
      <c r="F16" s="69"/>
      <c r="G16" s="70"/>
      <c r="H16" s="5"/>
      <c r="I16" s="5">
        <v>7</v>
      </c>
      <c r="J16" s="5">
        <v>6</v>
      </c>
      <c r="K16" s="5">
        <f ca="1">'Education Activities, p. 8'!D22</f>
        <v>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30" s="23" customFormat="1" ht="25.5" customHeight="1" x14ac:dyDescent="0.25">
      <c r="A17" s="65">
        <v>7</v>
      </c>
      <c r="B17" s="110" t="s">
        <v>59</v>
      </c>
      <c r="C17" s="108"/>
      <c r="D17" s="109"/>
      <c r="E17" s="68"/>
      <c r="F17" s="69"/>
      <c r="G17" s="70"/>
      <c r="H17" s="5"/>
      <c r="I17" s="5">
        <v>7</v>
      </c>
      <c r="J17" s="5">
        <v>7</v>
      </c>
      <c r="K17" s="5">
        <f ca="1">'Education Activities, p. 8'!D22</f>
        <v>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30" s="23" customFormat="1" ht="25.5" customHeight="1" x14ac:dyDescent="0.25">
      <c r="A18" s="65">
        <v>8</v>
      </c>
      <c r="B18" s="110" t="s">
        <v>60</v>
      </c>
      <c r="C18" s="108"/>
      <c r="D18" s="109"/>
      <c r="E18" s="68"/>
      <c r="F18" s="69"/>
      <c r="G18" s="70"/>
      <c r="H18" s="5"/>
      <c r="I18" s="5">
        <v>7</v>
      </c>
      <c r="J18" s="5">
        <v>8</v>
      </c>
      <c r="K18" s="5">
        <f ca="1">'Education Activities, p. 8'!D22</f>
        <v>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30" s="23" customFormat="1" ht="25.5" customHeight="1" x14ac:dyDescent="0.25">
      <c r="A19" s="65">
        <v>9</v>
      </c>
      <c r="B19" s="131" t="s">
        <v>61</v>
      </c>
      <c r="C19" s="67" t="s">
        <v>35</v>
      </c>
      <c r="D19" s="68"/>
      <c r="E19" s="68"/>
      <c r="F19" s="69"/>
      <c r="G19" s="70"/>
      <c r="H19" s="5"/>
      <c r="I19" s="5">
        <v>7</v>
      </c>
      <c r="J19" s="5">
        <v>9</v>
      </c>
      <c r="K19" s="5">
        <f ca="1">'Education Activities, p. 8'!D22</f>
        <v>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30" s="23" customFormat="1" ht="25.5" customHeight="1" x14ac:dyDescent="0.25">
      <c r="A20" s="65">
        <v>10</v>
      </c>
      <c r="B20" s="110" t="s">
        <v>62</v>
      </c>
      <c r="C20" s="67" t="s">
        <v>63</v>
      </c>
      <c r="D20" s="68"/>
      <c r="E20" s="68"/>
      <c r="F20" s="69"/>
      <c r="G20" s="70"/>
      <c r="H20" s="5"/>
      <c r="I20" s="5">
        <v>7</v>
      </c>
      <c r="J20" s="5">
        <v>10</v>
      </c>
      <c r="K20" s="5">
        <f ca="1">'Education Activities, p. 8'!D22</f>
        <v>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30" s="23" customFormat="1" ht="25.5" customHeight="1" x14ac:dyDescent="0.25">
      <c r="A21" s="65">
        <v>11</v>
      </c>
      <c r="B21" s="110" t="s">
        <v>64</v>
      </c>
      <c r="C21" s="67" t="s">
        <v>65</v>
      </c>
      <c r="D21" s="68"/>
      <c r="E21" s="68"/>
      <c r="F21" s="69"/>
      <c r="G21" s="70"/>
      <c r="H21" s="5"/>
      <c r="I21" s="5">
        <v>7</v>
      </c>
      <c r="J21" s="5">
        <v>11</v>
      </c>
      <c r="K21" s="5">
        <f ca="1">'Education Activities, p. 8'!D22</f>
        <v>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30" ht="26.25" customHeight="1" thickBot="1" x14ac:dyDescent="0.3">
      <c r="A22" s="81">
        <v>12</v>
      </c>
      <c r="B22" s="132" t="s">
        <v>66</v>
      </c>
      <c r="C22" s="133" t="s">
        <v>38</v>
      </c>
      <c r="D22" s="114"/>
      <c r="E22" s="75"/>
      <c r="F22" s="76"/>
      <c r="G22" s="76"/>
      <c r="H22" s="5"/>
      <c r="I22" s="5">
        <v>7</v>
      </c>
      <c r="J22" s="5">
        <v>12</v>
      </c>
      <c r="K22" s="5">
        <f ca="1">'Education Activities, p. 8'!D22</f>
        <v>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30" ht="12.75" customHeight="1" x14ac:dyDescent="0.25">
      <c r="A23" s="120"/>
      <c r="B23" s="134"/>
      <c r="C23" s="135"/>
      <c r="D23" s="136"/>
      <c r="E23" s="137"/>
      <c r="F23" s="138"/>
      <c r="G23" s="138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30" ht="12.75" customHeight="1" x14ac:dyDescent="0.25">
      <c r="A24" s="120"/>
      <c r="B24" s="139"/>
      <c r="C24" s="140"/>
      <c r="D24" s="136"/>
      <c r="E24" s="137"/>
      <c r="F24" s="138"/>
      <c r="G24" s="138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30" ht="13.5" customHeight="1" thickBot="1" x14ac:dyDescent="0.3">
      <c r="A25" s="77"/>
      <c r="B25" s="141"/>
      <c r="C25" s="142"/>
      <c r="D25" s="117"/>
      <c r="E25" s="143"/>
      <c r="F25" s="144"/>
      <c r="G25" s="144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30" x14ac:dyDescent="0.25"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x14ac:dyDescent="0.25"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x14ac:dyDescent="0.25"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x14ac:dyDescent="0.25"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x14ac:dyDescent="0.25"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x14ac:dyDescent="0.25"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x14ac:dyDescent="0.25"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9:30" x14ac:dyDescent="0.25"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9:30" x14ac:dyDescent="0.25"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9:30" x14ac:dyDescent="0.25"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9:30" x14ac:dyDescent="0.25"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9:30" x14ac:dyDescent="0.25"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9:30" x14ac:dyDescent="0.25"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9:30" x14ac:dyDescent="0.25"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9:30" x14ac:dyDescent="0.25"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9:30" x14ac:dyDescent="0.25"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9:30" x14ac:dyDescent="0.25"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9:30" x14ac:dyDescent="0.25"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9:30" x14ac:dyDescent="0.25"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9:30" x14ac:dyDescent="0.25"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9:30" x14ac:dyDescent="0.25"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9:30" x14ac:dyDescent="0.25"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9:30" x14ac:dyDescent="0.25"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9:30" x14ac:dyDescent="0.25"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9:30" x14ac:dyDescent="0.25"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9:30" x14ac:dyDescent="0.25"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9:30" x14ac:dyDescent="0.25"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9:30" x14ac:dyDescent="0.25"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9:30" x14ac:dyDescent="0.25"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9:30" x14ac:dyDescent="0.25"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9:30" x14ac:dyDescent="0.25"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9:30" x14ac:dyDescent="0.25"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9:30" x14ac:dyDescent="0.25"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</sheetData>
  <sheetProtection password="C98B" sheet="1" objects="1"/>
  <pageMargins left="0.75" right="0.75" top="1" bottom="1" header="0.5" footer="0.5"/>
  <pageSetup scale="95" orientation="landscape" horizontalDpi="300" verticalDpi="300"/>
  <headerFooter alignWithMargins="0">
    <oddHeader>&amp;C&amp;"Arial,Bold"&amp;12Education Activities</oddHeader>
    <oddFooter>&amp;C-7-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3"/>
  <sheetViews>
    <sheetView showGridLines="0" topLeftCell="B1" workbookViewId="0">
      <selection activeCell="B14" sqref="B14"/>
    </sheetView>
  </sheetViews>
  <sheetFormatPr defaultColWidth="8.81640625" defaultRowHeight="12.5" x14ac:dyDescent="0.25"/>
  <cols>
    <col min="1" max="1" width="2.81640625" style="175" customWidth="1"/>
    <col min="2" max="2" width="39.453125" customWidth="1"/>
    <col min="3" max="3" width="10.36328125" customWidth="1"/>
    <col min="4" max="4" width="10.81640625" customWidth="1"/>
    <col min="5" max="5" width="11.453125" customWidth="1"/>
    <col min="6" max="6" width="37.36328125" customWidth="1"/>
    <col min="7" max="7" width="24.81640625" customWidth="1"/>
    <col min="8" max="8" width="15.1796875" customWidth="1"/>
    <col min="9" max="11" width="0" hidden="1" customWidth="1"/>
  </cols>
  <sheetData>
    <row r="1" spans="1:40" ht="15" customHeight="1" x14ac:dyDescent="0.35">
      <c r="A1" s="145" t="s">
        <v>0</v>
      </c>
      <c r="B1" s="27" t="s">
        <v>67</v>
      </c>
      <c r="C1" s="90" t="s">
        <v>68</v>
      </c>
      <c r="D1" s="91"/>
      <c r="E1" s="91"/>
      <c r="F1" s="91"/>
      <c r="G1" s="92"/>
      <c r="H1" s="31"/>
      <c r="I1" s="31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0" ht="12.75" customHeight="1" x14ac:dyDescent="0.35">
      <c r="A2" s="146"/>
      <c r="B2" s="147" t="s">
        <v>69</v>
      </c>
      <c r="C2" s="94" t="s">
        <v>70</v>
      </c>
      <c r="D2" s="22"/>
      <c r="E2" s="22"/>
      <c r="F2" s="22"/>
      <c r="G2" s="95"/>
      <c r="H2" s="31"/>
      <c r="I2" s="31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0" s="8" customFormat="1" ht="13" x14ac:dyDescent="0.3">
      <c r="A3" s="148"/>
      <c r="B3" s="15"/>
      <c r="C3" s="96" t="s">
        <v>71</v>
      </c>
      <c r="D3" s="97"/>
      <c r="E3" s="97"/>
      <c r="F3" s="97"/>
      <c r="G3" s="98"/>
      <c r="H3" s="31"/>
      <c r="I3" s="31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 spans="1:40" ht="24" customHeight="1" x14ac:dyDescent="0.25">
      <c r="A4" s="149"/>
      <c r="B4" s="13"/>
      <c r="C4" s="99" t="s">
        <v>41</v>
      </c>
      <c r="D4" s="100"/>
      <c r="E4" s="13"/>
      <c r="F4" s="42" t="s">
        <v>72</v>
      </c>
      <c r="G4" s="101" t="s">
        <v>43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40" x14ac:dyDescent="0.25">
      <c r="A5" s="146"/>
      <c r="B5" s="7"/>
      <c r="C5" s="102"/>
      <c r="D5" s="51"/>
      <c r="E5" s="46" t="s">
        <v>6</v>
      </c>
      <c r="F5" s="47" t="s">
        <v>73</v>
      </c>
      <c r="G5" s="103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40" ht="13" x14ac:dyDescent="0.3">
      <c r="A6" s="146"/>
      <c r="B6" s="49" t="s">
        <v>74</v>
      </c>
      <c r="C6" s="102"/>
      <c r="D6" s="51"/>
      <c r="E6" s="46" t="s">
        <v>10</v>
      </c>
      <c r="F6" s="52" t="s">
        <v>75</v>
      </c>
      <c r="G6" s="103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40" ht="13" x14ac:dyDescent="0.3">
      <c r="A7" s="146"/>
      <c r="B7" s="49" t="s">
        <v>76</v>
      </c>
      <c r="C7" s="102"/>
      <c r="D7" s="51"/>
      <c r="E7" s="46" t="s">
        <v>77</v>
      </c>
      <c r="F7" s="52" t="s">
        <v>78</v>
      </c>
      <c r="G7" s="103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40" ht="13" x14ac:dyDescent="0.3">
      <c r="A8" s="146"/>
      <c r="B8" s="49" t="s">
        <v>79</v>
      </c>
      <c r="C8" s="102"/>
      <c r="D8" s="51"/>
      <c r="E8" s="46" t="s">
        <v>80</v>
      </c>
      <c r="F8" s="52" t="s">
        <v>81</v>
      </c>
      <c r="G8" s="103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40" s="5" customFormat="1" ht="22.5" customHeight="1" x14ac:dyDescent="0.25">
      <c r="A9" s="148"/>
      <c r="B9" s="15"/>
      <c r="C9" s="104"/>
      <c r="D9" s="105"/>
      <c r="E9" s="150" t="s">
        <v>82</v>
      </c>
      <c r="F9" s="151" t="s">
        <v>83</v>
      </c>
      <c r="G9" s="107"/>
    </row>
    <row r="10" spans="1:40" s="8" customFormat="1" ht="25.5" customHeight="1" x14ac:dyDescent="0.25">
      <c r="A10" s="36">
        <v>1</v>
      </c>
      <c r="B10" s="130" t="s">
        <v>84</v>
      </c>
      <c r="C10" s="152"/>
      <c r="D10" s="153"/>
      <c r="E10" s="154"/>
      <c r="F10" s="63"/>
      <c r="G10" s="64"/>
      <c r="H10" s="5"/>
      <c r="I10" s="5">
        <v>8</v>
      </c>
      <c r="J10" s="5">
        <v>1</v>
      </c>
      <c r="K10" s="5">
        <f ca="1">'Human Needs Activities, p. 9'!D22</f>
        <v>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r="11" spans="1:40" s="23" customFormat="1" ht="25.5" customHeight="1" x14ac:dyDescent="0.25">
      <c r="A11" s="65">
        <v>2</v>
      </c>
      <c r="B11" s="110" t="s">
        <v>85</v>
      </c>
      <c r="C11" s="155" t="s">
        <v>86</v>
      </c>
      <c r="D11" s="156"/>
      <c r="E11" s="156"/>
      <c r="F11" s="69"/>
      <c r="G11" s="70"/>
      <c r="H11" s="5"/>
      <c r="I11" s="5">
        <v>8</v>
      </c>
      <c r="J11" s="5">
        <v>2</v>
      </c>
      <c r="K11" s="5">
        <f ca="1">'Human Needs Activities, p. 9'!D22</f>
        <v>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spans="1:40" s="23" customFormat="1" ht="27" customHeight="1" x14ac:dyDescent="0.25">
      <c r="A12" s="65">
        <v>3</v>
      </c>
      <c r="B12" s="110" t="s">
        <v>87</v>
      </c>
      <c r="C12" s="152"/>
      <c r="D12" s="153"/>
      <c r="E12" s="156"/>
      <c r="F12" s="69"/>
      <c r="G12" s="70"/>
      <c r="H12" s="5"/>
      <c r="I12" s="5">
        <v>8</v>
      </c>
      <c r="J12" s="5">
        <v>3</v>
      </c>
      <c r="K12" s="5">
        <f ca="1">'Human Needs Activities, p. 9'!D22</f>
        <v>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spans="1:40" s="23" customFormat="1" ht="25.5" customHeight="1" x14ac:dyDescent="0.25">
      <c r="A13" s="65">
        <v>4</v>
      </c>
      <c r="B13" s="110" t="s">
        <v>88</v>
      </c>
      <c r="C13" s="67" t="s">
        <v>89</v>
      </c>
      <c r="D13" s="156"/>
      <c r="E13" s="156"/>
      <c r="F13" s="69"/>
      <c r="G13" s="70"/>
      <c r="H13" s="5"/>
      <c r="I13" s="5">
        <v>8</v>
      </c>
      <c r="J13" s="5">
        <v>4</v>
      </c>
      <c r="K13" s="5">
        <f ca="1">'Human Needs Activities, p. 9'!D22</f>
        <v>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40" s="23" customFormat="1" ht="25.5" customHeight="1" x14ac:dyDescent="0.25">
      <c r="A14" s="65">
        <v>5</v>
      </c>
      <c r="B14" s="110" t="s">
        <v>90</v>
      </c>
      <c r="C14" s="152"/>
      <c r="D14" s="157"/>
      <c r="E14" s="156"/>
      <c r="F14" s="69"/>
      <c r="G14" s="70"/>
      <c r="H14" s="5"/>
      <c r="I14" s="5">
        <v>8</v>
      </c>
      <c r="J14" s="5">
        <v>5</v>
      </c>
      <c r="K14" s="5">
        <f ca="1">'Human Needs Activities, p. 9'!D22</f>
        <v>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1:40" s="23" customFormat="1" ht="26.25" customHeight="1" thickBot="1" x14ac:dyDescent="0.3">
      <c r="A15" s="72">
        <v>6</v>
      </c>
      <c r="B15" s="111" t="s">
        <v>91</v>
      </c>
      <c r="C15" s="158"/>
      <c r="D15" s="100"/>
      <c r="E15" s="159"/>
      <c r="F15" s="76"/>
      <c r="G15" s="76"/>
      <c r="H15" s="5"/>
      <c r="I15" s="5">
        <v>8</v>
      </c>
      <c r="J15" s="5">
        <v>6</v>
      </c>
      <c r="K15" s="5">
        <f ca="1">'Human Needs Activities, p. 9'!D22</f>
        <v>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40" s="8" customFormat="1" ht="28.5" customHeight="1" thickBot="1" x14ac:dyDescent="0.3">
      <c r="A16" s="77"/>
      <c r="B16" s="78"/>
      <c r="C16" s="160"/>
      <c r="D16" s="105"/>
      <c r="E16" s="161"/>
      <c r="F16" s="144"/>
      <c r="G16" s="144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s="5" customFormat="1" ht="26.25" customHeight="1" thickBot="1" x14ac:dyDescent="0.3">
      <c r="A17" s="81">
        <v>7</v>
      </c>
      <c r="B17" s="162" t="s">
        <v>92</v>
      </c>
      <c r="C17" s="163" t="s">
        <v>93</v>
      </c>
      <c r="D17" s="159"/>
      <c r="E17" s="164"/>
      <c r="F17" s="165"/>
      <c r="G17" s="76"/>
      <c r="I17" s="5">
        <v>8</v>
      </c>
      <c r="J17" s="5">
        <v>7</v>
      </c>
      <c r="K17" s="5">
        <f ca="1">'Human Needs Activities, p. 9'!D22</f>
        <v>0</v>
      </c>
    </row>
    <row r="18" spans="1:39" s="8" customFormat="1" ht="29.25" customHeight="1" thickBot="1" x14ac:dyDescent="0.3">
      <c r="A18" s="77"/>
      <c r="B18" s="78"/>
      <c r="C18" s="166"/>
      <c r="D18" s="25"/>
      <c r="E18" s="154"/>
      <c r="F18" s="63"/>
      <c r="G18" s="64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s="23" customFormat="1" ht="38.25" customHeight="1" x14ac:dyDescent="0.25">
      <c r="A19" s="65">
        <v>8</v>
      </c>
      <c r="B19" s="130" t="s">
        <v>94</v>
      </c>
      <c r="C19" s="167" t="s">
        <v>95</v>
      </c>
      <c r="D19" s="156"/>
      <c r="E19" s="156"/>
      <c r="F19" s="69"/>
      <c r="G19" s="70"/>
      <c r="H19" s="5"/>
      <c r="I19" s="5">
        <v>8</v>
      </c>
      <c r="J19" s="5">
        <v>8</v>
      </c>
      <c r="K19" s="5">
        <f ca="1">'Human Needs Activities, p. 9'!D22</f>
        <v>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ht="28.5" customHeight="1" thickBot="1" x14ac:dyDescent="0.3">
      <c r="A20" s="81">
        <v>9</v>
      </c>
      <c r="B20" s="168" t="s">
        <v>96</v>
      </c>
      <c r="C20" s="169" t="s">
        <v>38</v>
      </c>
      <c r="D20" s="170"/>
      <c r="E20" s="171"/>
      <c r="F20" s="76"/>
      <c r="G20" s="76"/>
      <c r="H20" s="5"/>
      <c r="I20" s="5">
        <v>8</v>
      </c>
      <c r="J20" s="5">
        <v>9</v>
      </c>
      <c r="K20" s="5">
        <f ca="1">'Human Needs Activities, p. 9'!D22</f>
        <v>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ht="63" customHeight="1" thickBot="1" x14ac:dyDescent="0.3">
      <c r="A21" s="77"/>
      <c r="B21" s="172"/>
      <c r="C21" s="173"/>
      <c r="D21" s="87"/>
      <c r="E21" s="174"/>
      <c r="F21" s="79"/>
      <c r="G21" s="79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39" x14ac:dyDescent="0.25">
      <c r="A22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39" x14ac:dyDescent="0.25">
      <c r="A23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39" x14ac:dyDescent="0.25">
      <c r="A24" s="175" t="s">
        <v>97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39" x14ac:dyDescent="0.25"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39" x14ac:dyDescent="0.25"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39" x14ac:dyDescent="0.25"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39" x14ac:dyDescent="0.25"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39" x14ac:dyDescent="0.25"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39" x14ac:dyDescent="0.25"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39" x14ac:dyDescent="0.25"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39" x14ac:dyDescent="0.25"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0:24" x14ac:dyDescent="0.25"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0:24" x14ac:dyDescent="0.25"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0:24" x14ac:dyDescent="0.25"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0:24" x14ac:dyDescent="0.25"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0:24" x14ac:dyDescent="0.25"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0:24" x14ac:dyDescent="0.25"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0:24" x14ac:dyDescent="0.25"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0:24" x14ac:dyDescent="0.25"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0:24" x14ac:dyDescent="0.25"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0:24" x14ac:dyDescent="0.25"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0:24" x14ac:dyDescent="0.25"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0:24" x14ac:dyDescent="0.25"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0:24" x14ac:dyDescent="0.25"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0:24" x14ac:dyDescent="0.25"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0:24" x14ac:dyDescent="0.25"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0:24" x14ac:dyDescent="0.25"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0:24" x14ac:dyDescent="0.25"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0:24" x14ac:dyDescent="0.25"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0:24" x14ac:dyDescent="0.25"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0:24" x14ac:dyDescent="0.25"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0:24" x14ac:dyDescent="0.25"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0:24" x14ac:dyDescent="0.25"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0:24" x14ac:dyDescent="0.25"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0:24" x14ac:dyDescent="0.25"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0:24" x14ac:dyDescent="0.25"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0:24" x14ac:dyDescent="0.25"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0:24" x14ac:dyDescent="0.25"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0:24" x14ac:dyDescent="0.25"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0:24" x14ac:dyDescent="0.25"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0:24" x14ac:dyDescent="0.25"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0:24" x14ac:dyDescent="0.25"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</sheetData>
  <sheetProtection password="C98B" sheet="1" objects="1"/>
  <pageMargins left="0.75" right="0.75" top="1" bottom="1" header="0.5" footer="0.5"/>
  <pageSetup scale="90" orientation="landscape" horizontalDpi="300" verticalDpi="300"/>
  <headerFooter alignWithMargins="0">
    <oddHeader>&amp;C&amp;"Arial,Bold"&amp;12Human Needs Activities</oddHeader>
    <oddFooter>&amp;C-8-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12"/>
  <sheetViews>
    <sheetView showGridLines="0" workbookViewId="0">
      <selection activeCell="B14" sqref="B14"/>
    </sheetView>
  </sheetViews>
  <sheetFormatPr defaultColWidth="8.81640625" defaultRowHeight="12.5" x14ac:dyDescent="0.25"/>
  <cols>
    <col min="1" max="1" width="3" style="175" customWidth="1"/>
    <col min="2" max="2" width="42.36328125" customWidth="1"/>
    <col min="3" max="3" width="7.81640625" customWidth="1"/>
    <col min="4" max="4" width="9.81640625" customWidth="1"/>
    <col min="5" max="5" width="8" customWidth="1"/>
    <col min="6" max="6" width="9.36328125" customWidth="1"/>
    <col min="7" max="7" width="10.81640625" customWidth="1"/>
    <col min="8" max="8" width="28.81640625" customWidth="1"/>
    <col min="9" max="9" width="25.1796875" customWidth="1"/>
    <col min="10" max="10" width="9.453125" customWidth="1"/>
    <col min="11" max="13" width="0" hidden="1" customWidth="1"/>
  </cols>
  <sheetData>
    <row r="1" spans="1:45" ht="15.5" x14ac:dyDescent="0.35">
      <c r="A1" s="145" t="s">
        <v>39</v>
      </c>
      <c r="B1" s="27" t="s">
        <v>98</v>
      </c>
      <c r="C1" s="90" t="s">
        <v>99</v>
      </c>
      <c r="D1" s="91"/>
      <c r="E1" s="91"/>
      <c r="F1" s="91"/>
      <c r="G1" s="91"/>
      <c r="H1" s="91"/>
      <c r="I1" s="92"/>
      <c r="J1" s="31"/>
      <c r="K1" s="31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45" ht="13" x14ac:dyDescent="0.3">
      <c r="A2" s="146"/>
      <c r="B2" s="7"/>
      <c r="C2" s="94" t="s">
        <v>100</v>
      </c>
      <c r="D2" s="22"/>
      <c r="E2" s="22"/>
      <c r="F2" s="22"/>
      <c r="G2" s="22"/>
      <c r="H2" s="22"/>
      <c r="I2" s="95"/>
      <c r="J2" s="31"/>
      <c r="K2" s="31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spans="1:45" s="8" customFormat="1" ht="13" x14ac:dyDescent="0.3">
      <c r="A3" s="148"/>
      <c r="B3" s="15"/>
      <c r="C3" s="96" t="s">
        <v>4</v>
      </c>
      <c r="D3" s="97"/>
      <c r="E3" s="97"/>
      <c r="F3" s="97"/>
      <c r="G3" s="97"/>
      <c r="H3" s="97"/>
      <c r="I3" s="98"/>
      <c r="J3" s="31"/>
      <c r="K3" s="31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45" ht="38.25" customHeight="1" x14ac:dyDescent="0.25">
      <c r="A4" s="149"/>
      <c r="B4" s="13"/>
      <c r="C4" s="176" t="s">
        <v>101</v>
      </c>
      <c r="D4" s="111"/>
      <c r="E4" s="99" t="s">
        <v>41</v>
      </c>
      <c r="F4" s="100"/>
      <c r="G4" s="177" t="s">
        <v>6</v>
      </c>
      <c r="H4" s="42" t="s">
        <v>5</v>
      </c>
      <c r="I4" s="10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</row>
    <row r="5" spans="1:45" ht="12.75" customHeight="1" x14ac:dyDescent="0.3">
      <c r="A5" s="146"/>
      <c r="B5" s="49" t="s">
        <v>102</v>
      </c>
      <c r="C5" s="178"/>
      <c r="D5" s="179"/>
      <c r="E5" s="102"/>
      <c r="F5" s="51"/>
      <c r="G5" s="46" t="s">
        <v>10</v>
      </c>
      <c r="H5" s="47" t="s">
        <v>7</v>
      </c>
      <c r="I5" s="53" t="s">
        <v>103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</row>
    <row r="6" spans="1:45" ht="13" x14ac:dyDescent="0.3">
      <c r="A6" s="146"/>
      <c r="B6" s="49" t="s">
        <v>76</v>
      </c>
      <c r="C6" s="178"/>
      <c r="D6" s="179"/>
      <c r="E6" s="102"/>
      <c r="F6" s="51"/>
      <c r="G6" s="46" t="s">
        <v>77</v>
      </c>
      <c r="H6" s="52" t="s">
        <v>104</v>
      </c>
      <c r="I6" s="180" t="s">
        <v>105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</row>
    <row r="7" spans="1:45" ht="13" x14ac:dyDescent="0.3">
      <c r="A7" s="146"/>
      <c r="B7" s="49" t="s">
        <v>106</v>
      </c>
      <c r="C7" s="178"/>
      <c r="D7" s="179"/>
      <c r="E7" s="102"/>
      <c r="F7" s="51"/>
      <c r="G7" s="46" t="s">
        <v>80</v>
      </c>
      <c r="H7" s="52" t="s">
        <v>107</v>
      </c>
      <c r="I7" s="181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</row>
    <row r="8" spans="1:45" s="5" customFormat="1" x14ac:dyDescent="0.25">
      <c r="A8" s="148"/>
      <c r="B8" s="8"/>
      <c r="C8" s="182"/>
      <c r="D8" s="130"/>
      <c r="E8" s="104"/>
      <c r="F8" s="105"/>
      <c r="G8" s="106" t="s">
        <v>82</v>
      </c>
      <c r="H8" s="57" t="s">
        <v>108</v>
      </c>
      <c r="I8" s="183"/>
    </row>
    <row r="9" spans="1:45" s="8" customFormat="1" ht="39" customHeight="1" x14ac:dyDescent="0.25">
      <c r="A9" s="36">
        <v>1</v>
      </c>
      <c r="B9" s="130" t="s">
        <v>109</v>
      </c>
      <c r="C9" s="184"/>
      <c r="D9" s="185"/>
      <c r="E9" s="186"/>
      <c r="F9" s="109"/>
      <c r="G9" s="154"/>
      <c r="H9" s="63"/>
      <c r="I9" s="64"/>
      <c r="J9" s="5"/>
      <c r="K9" s="5">
        <v>9</v>
      </c>
      <c r="L9" s="5">
        <v>1</v>
      </c>
      <c r="M9" s="5">
        <f ca="1">'Human Needs Activities, p. 10'!D22</f>
        <v>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5" s="23" customFormat="1" ht="25.5" customHeight="1" x14ac:dyDescent="0.25">
      <c r="A10" s="65">
        <v>2</v>
      </c>
      <c r="B10" s="110" t="s">
        <v>110</v>
      </c>
      <c r="C10" s="187"/>
      <c r="D10" s="188"/>
      <c r="E10" s="186"/>
      <c r="F10" s="109"/>
      <c r="G10" s="156"/>
      <c r="H10" s="69"/>
      <c r="I10" s="70"/>
      <c r="J10" s="5"/>
      <c r="K10" s="5">
        <v>9</v>
      </c>
      <c r="L10" s="5">
        <v>2</v>
      </c>
      <c r="M10" s="5">
        <f ca="1">'Human Needs Activities, p. 10'!D22</f>
        <v>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5" s="23" customFormat="1" ht="39.75" customHeight="1" x14ac:dyDescent="0.25">
      <c r="A11" s="65">
        <v>3</v>
      </c>
      <c r="B11" s="110" t="s">
        <v>111</v>
      </c>
      <c r="C11" s="187"/>
      <c r="D11" s="188"/>
      <c r="E11" s="186"/>
      <c r="F11" s="109"/>
      <c r="G11" s="156"/>
      <c r="H11" s="69"/>
      <c r="I11" s="70"/>
      <c r="J11" s="5"/>
      <c r="K11" s="5">
        <v>9</v>
      </c>
      <c r="L11" s="5">
        <v>3</v>
      </c>
      <c r="M11" s="5">
        <f ca="1">'Human Needs Activities, p. 10'!D22</f>
        <v>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5" s="23" customFormat="1" ht="23.25" customHeight="1" x14ac:dyDescent="0.25">
      <c r="A12" s="65">
        <v>4</v>
      </c>
      <c r="B12" s="71" t="s">
        <v>112</v>
      </c>
      <c r="C12" s="189"/>
      <c r="D12" s="190"/>
      <c r="E12" s="167" t="s">
        <v>113</v>
      </c>
      <c r="F12" s="156"/>
      <c r="G12" s="156"/>
      <c r="H12" s="69"/>
      <c r="I12" s="70"/>
      <c r="J12" s="5"/>
      <c r="K12" s="5">
        <v>9</v>
      </c>
      <c r="L12" s="5">
        <v>4</v>
      </c>
      <c r="M12" s="5">
        <f ca="1">'Human Needs Activities, p. 10'!D22</f>
        <v>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5" s="23" customFormat="1" ht="25.5" customHeight="1" x14ac:dyDescent="0.25">
      <c r="A13" s="65">
        <v>5</v>
      </c>
      <c r="B13" s="110" t="s">
        <v>114</v>
      </c>
      <c r="C13" s="187"/>
      <c r="D13" s="188"/>
      <c r="E13" s="191" t="s">
        <v>113</v>
      </c>
      <c r="F13" s="109"/>
      <c r="G13" s="156"/>
      <c r="H13" s="69"/>
      <c r="I13" s="70"/>
      <c r="J13" s="5"/>
      <c r="K13" s="5">
        <v>9</v>
      </c>
      <c r="L13" s="5">
        <v>5</v>
      </c>
      <c r="M13" s="5">
        <f ca="1">'Human Needs Activities, p. 10'!D22</f>
        <v>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5" s="23" customFormat="1" ht="25.5" customHeight="1" x14ac:dyDescent="0.25">
      <c r="A14" s="65">
        <v>6</v>
      </c>
      <c r="B14" s="111" t="s">
        <v>115</v>
      </c>
      <c r="C14" s="187"/>
      <c r="D14" s="188"/>
      <c r="E14" s="186"/>
      <c r="F14" s="109"/>
      <c r="G14" s="156"/>
      <c r="H14" s="69"/>
      <c r="I14" s="70"/>
      <c r="J14" s="5"/>
      <c r="K14" s="5">
        <v>9</v>
      </c>
      <c r="L14" s="5">
        <v>6</v>
      </c>
      <c r="M14" s="5">
        <f ca="1">'Human Needs Activities, p. 10'!D22</f>
        <v>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5" ht="22.5" customHeight="1" x14ac:dyDescent="0.25">
      <c r="A15" s="72">
        <v>7</v>
      </c>
      <c r="B15" s="192" t="s">
        <v>116</v>
      </c>
      <c r="C15" s="193" t="s">
        <v>117</v>
      </c>
      <c r="D15" s="159"/>
      <c r="E15" s="194" t="s">
        <v>113</v>
      </c>
      <c r="F15" s="159"/>
      <c r="G15" s="159"/>
      <c r="H15" s="76"/>
      <c r="I15" s="76"/>
      <c r="J15" s="5"/>
      <c r="K15" s="5">
        <v>9</v>
      </c>
      <c r="L15" s="5">
        <v>7</v>
      </c>
      <c r="M15" s="5">
        <f ca="1">'Human Needs Activities, p. 10'!D22</f>
        <v>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</row>
    <row r="16" spans="1:45" ht="19.5" customHeight="1" x14ac:dyDescent="0.25">
      <c r="A16" s="143"/>
      <c r="B16" s="195"/>
      <c r="C16" s="196"/>
      <c r="D16" s="161"/>
      <c r="E16" s="197"/>
      <c r="F16" s="25"/>
      <c r="G16" s="143"/>
      <c r="H16" s="144"/>
      <c r="I16" s="64"/>
      <c r="J16" s="5"/>
      <c r="K16" s="5">
        <v>9</v>
      </c>
      <c r="L16" s="5">
        <v>7.1</v>
      </c>
      <c r="M16" s="5">
        <f ca="1">'Human Needs Activities, p. 10'!D22</f>
        <v>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5" s="23" customFormat="1" ht="26.25" customHeight="1" x14ac:dyDescent="0.25">
      <c r="A17" s="65">
        <v>8</v>
      </c>
      <c r="B17" s="130" t="s">
        <v>118</v>
      </c>
      <c r="C17" s="189"/>
      <c r="D17" s="190"/>
      <c r="E17" s="67" t="s">
        <v>113</v>
      </c>
      <c r="F17" s="156"/>
      <c r="G17" s="156"/>
      <c r="H17" s="69"/>
      <c r="I17" s="70"/>
      <c r="J17" s="5"/>
      <c r="K17" s="5">
        <v>9</v>
      </c>
      <c r="L17" s="5">
        <v>8</v>
      </c>
      <c r="M17" s="5">
        <f ca="1">'Human Needs Activities, p. 10'!D22</f>
        <v>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5" s="23" customFormat="1" ht="40.5" customHeight="1" x14ac:dyDescent="0.25">
      <c r="A18" s="65">
        <v>9</v>
      </c>
      <c r="B18" s="110" t="s">
        <v>119</v>
      </c>
      <c r="C18" s="187"/>
      <c r="D18" s="188"/>
      <c r="E18" s="186"/>
      <c r="F18" s="198"/>
      <c r="G18" s="156"/>
      <c r="H18" s="69"/>
      <c r="I18" s="70"/>
      <c r="J18" s="5"/>
      <c r="K18" s="5">
        <v>9</v>
      </c>
      <c r="L18" s="5">
        <v>9</v>
      </c>
      <c r="M18" s="5">
        <f ca="1">'Human Needs Activities, p. 10'!D22</f>
        <v>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5" s="23" customFormat="1" ht="66" customHeight="1" x14ac:dyDescent="0.25">
      <c r="A19" s="65">
        <v>10</v>
      </c>
      <c r="B19" s="110" t="s">
        <v>120</v>
      </c>
      <c r="C19" s="187"/>
      <c r="D19" s="188"/>
      <c r="E19" s="186"/>
      <c r="F19" s="198"/>
      <c r="G19" s="156"/>
      <c r="H19" s="69"/>
      <c r="I19" s="70"/>
      <c r="J19" s="5"/>
      <c r="K19" s="5">
        <v>9</v>
      </c>
      <c r="L19" s="5">
        <v>10</v>
      </c>
      <c r="M19" s="5">
        <f ca="1">'Human Needs Activities, p. 10'!D22</f>
        <v>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5" ht="18" customHeight="1" x14ac:dyDescent="0.25">
      <c r="A20" s="72">
        <v>11</v>
      </c>
      <c r="B20" s="192" t="s">
        <v>121</v>
      </c>
      <c r="C20" s="199"/>
      <c r="D20" s="200"/>
      <c r="E20" s="201" t="s">
        <v>122</v>
      </c>
      <c r="F20" s="202"/>
      <c r="G20" s="171"/>
      <c r="H20" s="76"/>
      <c r="I20" s="76"/>
      <c r="J20" s="5"/>
      <c r="K20" s="5">
        <v>9</v>
      </c>
      <c r="L20" s="5">
        <v>11</v>
      </c>
      <c r="M20" s="5">
        <f ca="1">'Human Needs Activities, p. 10'!D22</f>
        <v>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</row>
    <row r="21" spans="1:45" s="8" customFormat="1" ht="18.75" customHeight="1" x14ac:dyDescent="0.25">
      <c r="A21" s="143"/>
      <c r="B21" s="195"/>
      <c r="C21" s="203"/>
      <c r="D21" s="204"/>
      <c r="E21" s="60" t="s">
        <v>123</v>
      </c>
      <c r="F21" s="154"/>
      <c r="G21" s="107"/>
      <c r="H21" s="144"/>
      <c r="I21" s="79"/>
      <c r="J21" s="5"/>
      <c r="K21" s="5">
        <v>9</v>
      </c>
      <c r="L21" s="5">
        <v>11.1</v>
      </c>
      <c r="M21" s="5">
        <f ca="1">'Human Needs Activities, p. 10'!D22</f>
        <v>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5" ht="14.25" customHeight="1" thickBot="1" x14ac:dyDescent="0.3">
      <c r="A22" s="72">
        <v>12</v>
      </c>
      <c r="B22" s="18" t="s">
        <v>124</v>
      </c>
      <c r="C22" s="205" t="s">
        <v>117</v>
      </c>
      <c r="D22" s="170"/>
      <c r="E22" s="133" t="s">
        <v>113</v>
      </c>
      <c r="F22" s="170"/>
      <c r="G22" s="171"/>
      <c r="H22" s="76"/>
      <c r="I22" s="76"/>
      <c r="J22" s="5"/>
      <c r="K22" s="5">
        <v>9</v>
      </c>
      <c r="L22" s="5">
        <v>12</v>
      </c>
      <c r="M22" s="5">
        <f ca="1">'Human Needs Activities, p. 10'!D22</f>
        <v>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</row>
    <row r="23" spans="1:45" ht="21" customHeight="1" thickBot="1" x14ac:dyDescent="0.3">
      <c r="A23" s="120"/>
      <c r="B23" s="206"/>
      <c r="C23" s="207" t="s">
        <v>125</v>
      </c>
      <c r="D23" s="51"/>
      <c r="E23" s="208" t="s">
        <v>126</v>
      </c>
      <c r="F23" s="51"/>
      <c r="G23" s="103"/>
      <c r="H23" s="138"/>
      <c r="I23" s="138"/>
      <c r="J23" s="5"/>
      <c r="K23" s="5">
        <v>9</v>
      </c>
      <c r="L23" s="5">
        <v>12.1</v>
      </c>
      <c r="M23" s="5">
        <f ca="1">'Human Needs Activities, p. 10'!D22</f>
        <v>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</row>
    <row r="24" spans="1:45" ht="36.75" customHeight="1" thickBot="1" x14ac:dyDescent="0.3">
      <c r="A24" s="77"/>
      <c r="B24" s="209"/>
      <c r="C24" s="210"/>
      <c r="D24" s="160"/>
      <c r="E24" s="211"/>
      <c r="F24" s="105"/>
      <c r="G24" s="107"/>
      <c r="H24" s="144"/>
      <c r="I24" s="14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</row>
    <row r="25" spans="1:45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</row>
    <row r="26" spans="1:45" x14ac:dyDescent="0.25"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</row>
    <row r="27" spans="1:45" x14ac:dyDescent="0.25"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</row>
    <row r="28" spans="1:45" x14ac:dyDescent="0.25"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</row>
    <row r="29" spans="1:45" x14ac:dyDescent="0.25"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</row>
    <row r="30" spans="1:45" x14ac:dyDescent="0.25"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</row>
    <row r="31" spans="1:45" x14ac:dyDescent="0.25"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</row>
    <row r="32" spans="1:45" x14ac:dyDescent="0.25"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</row>
    <row r="33" spans="12:45" x14ac:dyDescent="0.25"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</row>
    <row r="34" spans="12:45" x14ac:dyDescent="0.25"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</row>
    <row r="35" spans="12:45" x14ac:dyDescent="0.25"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</row>
    <row r="36" spans="12:45" x14ac:dyDescent="0.25"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</row>
    <row r="37" spans="12:45" x14ac:dyDescent="0.25"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</row>
    <row r="38" spans="12:45" x14ac:dyDescent="0.25"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</row>
    <row r="39" spans="12:45" x14ac:dyDescent="0.25"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</row>
    <row r="40" spans="12:45" x14ac:dyDescent="0.25"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</row>
    <row r="41" spans="12:45" x14ac:dyDescent="0.25"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</row>
    <row r="42" spans="12:45" x14ac:dyDescent="0.25"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</row>
    <row r="43" spans="12:45" x14ac:dyDescent="0.25"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</row>
    <row r="44" spans="12:45" x14ac:dyDescent="0.25"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</row>
    <row r="45" spans="12:45" x14ac:dyDescent="0.25"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</row>
    <row r="46" spans="12:45" x14ac:dyDescent="0.25"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</row>
    <row r="47" spans="12:45" x14ac:dyDescent="0.25"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</row>
    <row r="48" spans="12:45" x14ac:dyDescent="0.25"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</row>
    <row r="49" spans="12:45" x14ac:dyDescent="0.25"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</row>
    <row r="50" spans="12:45" x14ac:dyDescent="0.25"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</row>
    <row r="51" spans="12:45" x14ac:dyDescent="0.25"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</row>
    <row r="52" spans="12:45" x14ac:dyDescent="0.25"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</row>
    <row r="53" spans="12:45" x14ac:dyDescent="0.25"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</row>
    <row r="54" spans="12:45" x14ac:dyDescent="0.25"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</row>
    <row r="55" spans="12:45" x14ac:dyDescent="0.25"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</row>
    <row r="56" spans="12:45" x14ac:dyDescent="0.25"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</row>
    <row r="57" spans="12:45" x14ac:dyDescent="0.25"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</row>
    <row r="58" spans="12:45" x14ac:dyDescent="0.25"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</row>
    <row r="59" spans="12:45" x14ac:dyDescent="0.25"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</row>
    <row r="60" spans="12:45" x14ac:dyDescent="0.25"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</row>
    <row r="61" spans="12:45" x14ac:dyDescent="0.25"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</row>
    <row r="62" spans="12:45" x14ac:dyDescent="0.25"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</row>
    <row r="63" spans="12:45" x14ac:dyDescent="0.25"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</row>
    <row r="64" spans="12:45" x14ac:dyDescent="0.25"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</row>
    <row r="65" spans="12:45" x14ac:dyDescent="0.25"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</row>
    <row r="66" spans="12:45" x14ac:dyDescent="0.25"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</row>
    <row r="67" spans="12:45" x14ac:dyDescent="0.25"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</row>
    <row r="68" spans="12:45" x14ac:dyDescent="0.25"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</row>
    <row r="69" spans="12:45" x14ac:dyDescent="0.25"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</row>
    <row r="70" spans="12:45" x14ac:dyDescent="0.25"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</row>
    <row r="71" spans="12:45" x14ac:dyDescent="0.25"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</row>
    <row r="72" spans="12:45" x14ac:dyDescent="0.25"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</row>
    <row r="73" spans="12:45" x14ac:dyDescent="0.25"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</row>
    <row r="74" spans="12:45" x14ac:dyDescent="0.25"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</row>
    <row r="75" spans="12:45" x14ac:dyDescent="0.25"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</row>
    <row r="76" spans="12:45" x14ac:dyDescent="0.25"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</row>
    <row r="77" spans="12:45" x14ac:dyDescent="0.25"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</row>
    <row r="78" spans="12:45" x14ac:dyDescent="0.25"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</row>
    <row r="79" spans="12:45" x14ac:dyDescent="0.25"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</row>
    <row r="80" spans="12:45" x14ac:dyDescent="0.25"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</row>
    <row r="81" spans="12:45" x14ac:dyDescent="0.25"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</row>
    <row r="82" spans="12:45" x14ac:dyDescent="0.25"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</row>
    <row r="83" spans="12:45" x14ac:dyDescent="0.25"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</row>
    <row r="84" spans="12:45" x14ac:dyDescent="0.25"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</row>
    <row r="85" spans="12:45" x14ac:dyDescent="0.25"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</row>
    <row r="86" spans="12:45" x14ac:dyDescent="0.25"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</row>
    <row r="87" spans="12:45" x14ac:dyDescent="0.25"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</row>
    <row r="88" spans="12:45" x14ac:dyDescent="0.25"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</row>
    <row r="89" spans="12:45" x14ac:dyDescent="0.25"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</row>
    <row r="90" spans="12:45" x14ac:dyDescent="0.25"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</row>
    <row r="91" spans="12:45" x14ac:dyDescent="0.25"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</row>
    <row r="92" spans="12:45" x14ac:dyDescent="0.25"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</row>
    <row r="93" spans="12:45" x14ac:dyDescent="0.25"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</row>
    <row r="94" spans="12:45" x14ac:dyDescent="0.25"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</row>
    <row r="95" spans="12:45" x14ac:dyDescent="0.25"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</row>
    <row r="96" spans="12:45" x14ac:dyDescent="0.25"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</row>
    <row r="97" spans="12:45" x14ac:dyDescent="0.25"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</row>
    <row r="98" spans="12:45" x14ac:dyDescent="0.25"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</row>
    <row r="99" spans="12:45" x14ac:dyDescent="0.25"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</row>
    <row r="100" spans="12:45" x14ac:dyDescent="0.25"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</row>
    <row r="101" spans="12:45" x14ac:dyDescent="0.25"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</row>
    <row r="102" spans="12:45" x14ac:dyDescent="0.25"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</row>
    <row r="103" spans="12:45" x14ac:dyDescent="0.25"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</row>
    <row r="104" spans="12:45" x14ac:dyDescent="0.25"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</row>
    <row r="105" spans="12:45" x14ac:dyDescent="0.25"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</row>
    <row r="106" spans="12:45" x14ac:dyDescent="0.25"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</row>
    <row r="107" spans="12:45" x14ac:dyDescent="0.25"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</row>
    <row r="108" spans="12:45" x14ac:dyDescent="0.25"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</row>
    <row r="109" spans="12:45" x14ac:dyDescent="0.25"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</row>
    <row r="110" spans="12:45" x14ac:dyDescent="0.25"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</row>
    <row r="111" spans="12:45" x14ac:dyDescent="0.25"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</row>
    <row r="112" spans="12:45" x14ac:dyDescent="0.25"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</row>
    <row r="113" spans="12:45" x14ac:dyDescent="0.25"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</row>
    <row r="114" spans="12:45" x14ac:dyDescent="0.25"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</row>
    <row r="115" spans="12:45" x14ac:dyDescent="0.25"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</row>
    <row r="116" spans="12:45" x14ac:dyDescent="0.25"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</row>
    <row r="117" spans="12:45" x14ac:dyDescent="0.25"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</row>
    <row r="118" spans="12:45" x14ac:dyDescent="0.25"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</row>
    <row r="119" spans="12:45" x14ac:dyDescent="0.25"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</row>
    <row r="120" spans="12:45" x14ac:dyDescent="0.25"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</row>
    <row r="121" spans="12:45" x14ac:dyDescent="0.25"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</row>
    <row r="122" spans="12:45" x14ac:dyDescent="0.25"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</row>
    <row r="123" spans="12:45" x14ac:dyDescent="0.25"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</row>
    <row r="124" spans="12:45" x14ac:dyDescent="0.25"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</row>
    <row r="125" spans="12:45" x14ac:dyDescent="0.25"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</row>
    <row r="126" spans="12:45" x14ac:dyDescent="0.25"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</row>
    <row r="127" spans="12:45" x14ac:dyDescent="0.25"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</row>
    <row r="128" spans="12:45" x14ac:dyDescent="0.25"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</row>
    <row r="129" spans="12:45" x14ac:dyDescent="0.25"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</row>
    <row r="130" spans="12:45" x14ac:dyDescent="0.25"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</row>
    <row r="131" spans="12:45" x14ac:dyDescent="0.25"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</row>
    <row r="132" spans="12:45" x14ac:dyDescent="0.25"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</row>
    <row r="133" spans="12:45" x14ac:dyDescent="0.25"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</row>
    <row r="134" spans="12:45" x14ac:dyDescent="0.25"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</row>
    <row r="135" spans="12:45" x14ac:dyDescent="0.25"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</row>
    <row r="136" spans="12:45" x14ac:dyDescent="0.25"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</row>
    <row r="137" spans="12:45" x14ac:dyDescent="0.25"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</row>
    <row r="138" spans="12:45" x14ac:dyDescent="0.25"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</row>
    <row r="139" spans="12:45" x14ac:dyDescent="0.25"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</row>
    <row r="140" spans="12:45" x14ac:dyDescent="0.25"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</row>
    <row r="141" spans="12:45" x14ac:dyDescent="0.25"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</row>
    <row r="142" spans="12:45" x14ac:dyDescent="0.25"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</row>
    <row r="143" spans="12:45" x14ac:dyDescent="0.25"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</row>
    <row r="144" spans="12:45" x14ac:dyDescent="0.25"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</row>
    <row r="145" spans="12:45" x14ac:dyDescent="0.25"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</row>
    <row r="146" spans="12:45" x14ac:dyDescent="0.25"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</row>
    <row r="147" spans="12:45" x14ac:dyDescent="0.25"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</row>
    <row r="148" spans="12:45" x14ac:dyDescent="0.25"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</row>
    <row r="149" spans="12:45" x14ac:dyDescent="0.25"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</row>
    <row r="150" spans="12:45" x14ac:dyDescent="0.25"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</row>
    <row r="151" spans="12:45" x14ac:dyDescent="0.25"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</row>
    <row r="152" spans="12:45" x14ac:dyDescent="0.25"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</row>
    <row r="153" spans="12:45" x14ac:dyDescent="0.25"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</row>
    <row r="154" spans="12:45" x14ac:dyDescent="0.25"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</row>
    <row r="155" spans="12:45" x14ac:dyDescent="0.25"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</row>
    <row r="156" spans="12:45" x14ac:dyDescent="0.25"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</row>
    <row r="157" spans="12:45" x14ac:dyDescent="0.25"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</row>
    <row r="158" spans="12:45" x14ac:dyDescent="0.25"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</row>
    <row r="159" spans="12:45" x14ac:dyDescent="0.25"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</row>
    <row r="160" spans="12:45" x14ac:dyDescent="0.25"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</row>
    <row r="161" spans="12:45" x14ac:dyDescent="0.25"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</row>
    <row r="162" spans="12:45" x14ac:dyDescent="0.25"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</row>
    <row r="163" spans="12:45" x14ac:dyDescent="0.25"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</row>
    <row r="164" spans="12:45" x14ac:dyDescent="0.25"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</row>
    <row r="165" spans="12:45" x14ac:dyDescent="0.25"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</row>
    <row r="166" spans="12:45" x14ac:dyDescent="0.25"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</row>
    <row r="167" spans="12:45" x14ac:dyDescent="0.25"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</row>
    <row r="168" spans="12:45" x14ac:dyDescent="0.25"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</row>
    <row r="169" spans="12:45" x14ac:dyDescent="0.25"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</row>
    <row r="170" spans="12:45" x14ac:dyDescent="0.25"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</row>
    <row r="171" spans="12:45" x14ac:dyDescent="0.25"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</row>
    <row r="172" spans="12:45" x14ac:dyDescent="0.25"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</row>
    <row r="173" spans="12:45" x14ac:dyDescent="0.25"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</row>
    <row r="174" spans="12:45" x14ac:dyDescent="0.25"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</row>
    <row r="175" spans="12:45" x14ac:dyDescent="0.25"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</row>
    <row r="176" spans="12:45" x14ac:dyDescent="0.25"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</row>
    <row r="177" spans="12:45" x14ac:dyDescent="0.25"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</row>
    <row r="178" spans="12:45" x14ac:dyDescent="0.25"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</row>
    <row r="179" spans="12:45" x14ac:dyDescent="0.25"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</row>
    <row r="180" spans="12:45" x14ac:dyDescent="0.25"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</row>
    <row r="181" spans="12:45" x14ac:dyDescent="0.25"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</row>
    <row r="182" spans="12:45" x14ac:dyDescent="0.25"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</row>
    <row r="183" spans="12:45" x14ac:dyDescent="0.25"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</row>
    <row r="184" spans="12:45" x14ac:dyDescent="0.25"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</row>
    <row r="185" spans="12:45" x14ac:dyDescent="0.25"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</row>
    <row r="186" spans="12:45" x14ac:dyDescent="0.25"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</row>
    <row r="187" spans="12:45" x14ac:dyDescent="0.25"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</row>
    <row r="188" spans="12:45" x14ac:dyDescent="0.25"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</row>
    <row r="189" spans="12:45" x14ac:dyDescent="0.25"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</row>
    <row r="190" spans="12:45" x14ac:dyDescent="0.25"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</row>
    <row r="191" spans="12:45" x14ac:dyDescent="0.25"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</row>
    <row r="192" spans="12:45" x14ac:dyDescent="0.25"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</row>
    <row r="193" spans="12:45" x14ac:dyDescent="0.25"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</row>
    <row r="194" spans="12:45" x14ac:dyDescent="0.25"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</row>
    <row r="195" spans="12:45" x14ac:dyDescent="0.25"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</row>
    <row r="196" spans="12:45" x14ac:dyDescent="0.25"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</row>
    <row r="197" spans="12:45" x14ac:dyDescent="0.25"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</row>
    <row r="198" spans="12:45" x14ac:dyDescent="0.25"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</row>
    <row r="199" spans="12:45" x14ac:dyDescent="0.25"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</row>
    <row r="200" spans="12:45" x14ac:dyDescent="0.25"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</row>
    <row r="201" spans="12:45" x14ac:dyDescent="0.25"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</row>
    <row r="202" spans="12:45" x14ac:dyDescent="0.25"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</row>
    <row r="203" spans="12:45" x14ac:dyDescent="0.25"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</row>
    <row r="204" spans="12:45" x14ac:dyDescent="0.25"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</row>
    <row r="205" spans="12:45" x14ac:dyDescent="0.25"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</row>
    <row r="206" spans="12:45" x14ac:dyDescent="0.25"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</row>
    <row r="207" spans="12:45" x14ac:dyDescent="0.25"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</row>
    <row r="208" spans="12:45" x14ac:dyDescent="0.25"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</row>
    <row r="209" spans="12:45" x14ac:dyDescent="0.25"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</row>
    <row r="210" spans="12:45" x14ac:dyDescent="0.25"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</row>
    <row r="211" spans="12:45" x14ac:dyDescent="0.25"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</row>
    <row r="212" spans="12:45" x14ac:dyDescent="0.25"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</row>
  </sheetData>
  <sheetProtection password="C98B" sheet="1" objects="1"/>
  <pageMargins left="0.44" right="0.42" top="0.57999999999999996" bottom="0.44" header="0.23" footer="0.37"/>
  <pageSetup scale="90" orientation="landscape" horizontalDpi="300" verticalDpi="300"/>
  <headerFooter alignWithMargins="0">
    <oddHeader>&amp;C&amp;"Arial,Bold"&amp;12Human Needs Activities</oddHeader>
    <oddFooter>&amp;C-9-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9"/>
  <sheetViews>
    <sheetView showGridLines="0" topLeftCell="A11" workbookViewId="0">
      <selection activeCell="D21" sqref="D21"/>
    </sheetView>
  </sheetViews>
  <sheetFormatPr defaultColWidth="8.81640625" defaultRowHeight="12.5" x14ac:dyDescent="0.25"/>
  <cols>
    <col min="1" max="1" width="2.81640625" style="175" customWidth="1"/>
    <col min="2" max="2" width="40.6328125" customWidth="1"/>
    <col min="3" max="3" width="11.6328125" customWidth="1"/>
    <col min="4" max="4" width="11.36328125" customWidth="1"/>
    <col min="5" max="5" width="10.81640625" customWidth="1"/>
    <col min="6" max="6" width="10.453125" customWidth="1"/>
    <col min="7" max="7" width="27.453125" customWidth="1"/>
    <col min="8" max="8" width="30" customWidth="1"/>
    <col min="9" max="9" width="9.36328125" customWidth="1"/>
    <col min="10" max="10" width="9.453125" hidden="1" customWidth="1"/>
    <col min="11" max="12" width="0" hidden="1" customWidth="1"/>
  </cols>
  <sheetData>
    <row r="1" spans="1:52" ht="15.5" x14ac:dyDescent="0.35">
      <c r="A1" s="145" t="s">
        <v>0</v>
      </c>
      <c r="B1" s="27" t="s">
        <v>127</v>
      </c>
      <c r="C1" s="90" t="s">
        <v>68</v>
      </c>
      <c r="D1" s="91"/>
      <c r="E1" s="91"/>
      <c r="F1" s="91"/>
      <c r="G1" s="91"/>
      <c r="H1" s="92"/>
      <c r="I1" s="31"/>
      <c r="J1" s="31"/>
      <c r="K1" s="31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</row>
    <row r="2" spans="1:52" ht="14.25" customHeight="1" x14ac:dyDescent="0.35">
      <c r="A2" s="146"/>
      <c r="B2" s="147" t="s">
        <v>128</v>
      </c>
      <c r="C2" s="94" t="s">
        <v>129</v>
      </c>
      <c r="D2" s="22"/>
      <c r="E2" s="22"/>
      <c r="F2" s="22"/>
      <c r="G2" s="22"/>
      <c r="H2" s="95"/>
      <c r="I2" s="31"/>
      <c r="J2" s="31"/>
      <c r="K2" s="31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 ht="12" customHeight="1" x14ac:dyDescent="0.3">
      <c r="A3" s="148"/>
      <c r="B3" s="15"/>
      <c r="C3" s="96" t="s">
        <v>71</v>
      </c>
      <c r="D3" s="97"/>
      <c r="E3" s="97"/>
      <c r="F3" s="97"/>
      <c r="G3" s="97"/>
      <c r="H3" s="98"/>
      <c r="I3" s="31"/>
      <c r="J3" s="31"/>
      <c r="K3" s="31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spans="1:52" ht="36" customHeight="1" x14ac:dyDescent="0.25">
      <c r="A4" s="149"/>
      <c r="B4" s="9"/>
      <c r="C4" s="99" t="s">
        <v>130</v>
      </c>
      <c r="D4" s="100"/>
      <c r="E4" s="177" t="s">
        <v>131</v>
      </c>
      <c r="F4" s="177" t="s">
        <v>6</v>
      </c>
      <c r="G4" s="42" t="s">
        <v>5</v>
      </c>
      <c r="H4" s="101" t="s">
        <v>132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2" ht="13" x14ac:dyDescent="0.3">
      <c r="A5" s="146"/>
      <c r="B5" s="49" t="s">
        <v>8</v>
      </c>
      <c r="C5" s="102"/>
      <c r="D5" s="51"/>
      <c r="E5" s="46" t="s">
        <v>133</v>
      </c>
      <c r="F5" s="46" t="s">
        <v>10</v>
      </c>
      <c r="G5" s="47" t="s">
        <v>7</v>
      </c>
      <c r="H5" s="103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2" ht="13" x14ac:dyDescent="0.3">
      <c r="A6" s="146"/>
      <c r="B6" s="49" t="s">
        <v>13</v>
      </c>
      <c r="C6" s="102"/>
      <c r="D6" s="51"/>
      <c r="E6" s="46" t="s">
        <v>134</v>
      </c>
      <c r="F6" s="46" t="s">
        <v>46</v>
      </c>
      <c r="G6" s="52" t="s">
        <v>135</v>
      </c>
      <c r="H6" s="103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2" ht="13" x14ac:dyDescent="0.3">
      <c r="A7" s="146"/>
      <c r="B7" s="49" t="s">
        <v>136</v>
      </c>
      <c r="C7" s="102"/>
      <c r="D7" s="51"/>
      <c r="E7" s="46" t="s">
        <v>137</v>
      </c>
      <c r="F7" s="46" t="s">
        <v>138</v>
      </c>
      <c r="G7" s="52" t="s">
        <v>139</v>
      </c>
      <c r="H7" s="103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2" x14ac:dyDescent="0.25">
      <c r="A8" s="146"/>
      <c r="B8" s="7"/>
      <c r="C8" s="102"/>
      <c r="D8" s="51"/>
      <c r="E8" s="46" t="s">
        <v>140</v>
      </c>
      <c r="F8" s="46" t="s">
        <v>82</v>
      </c>
      <c r="G8" s="52" t="s">
        <v>141</v>
      </c>
      <c r="H8" s="103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2" s="5" customFormat="1" x14ac:dyDescent="0.25">
      <c r="A9" s="148"/>
      <c r="B9" s="15"/>
      <c r="C9" s="104"/>
      <c r="D9" s="105"/>
      <c r="E9" s="212" t="s">
        <v>19</v>
      </c>
      <c r="F9" s="8"/>
      <c r="G9" s="57" t="s">
        <v>142</v>
      </c>
      <c r="H9" s="107"/>
    </row>
    <row r="10" spans="1:52" s="8" customFormat="1" ht="40.5" customHeight="1" x14ac:dyDescent="0.25">
      <c r="A10" s="36">
        <v>1</v>
      </c>
      <c r="B10" s="213" t="s">
        <v>143</v>
      </c>
      <c r="C10" s="60" t="s">
        <v>144</v>
      </c>
      <c r="D10" s="62"/>
      <c r="E10" s="62"/>
      <c r="F10" s="62"/>
      <c r="G10" s="64"/>
      <c r="H10" s="119"/>
      <c r="I10" s="5"/>
      <c r="J10" s="5">
        <v>10</v>
      </c>
      <c r="K10" s="5">
        <v>1</v>
      </c>
      <c r="L10" s="5">
        <f ca="1">'Environment Activities, p. 11'!D22</f>
        <v>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2" s="23" customFormat="1" ht="41.25" customHeight="1" x14ac:dyDescent="0.25">
      <c r="A11" s="65">
        <v>2</v>
      </c>
      <c r="B11" s="71" t="s">
        <v>145</v>
      </c>
      <c r="C11" s="67" t="s">
        <v>144</v>
      </c>
      <c r="D11" s="68"/>
      <c r="E11" s="68"/>
      <c r="F11" s="68"/>
      <c r="G11" s="70"/>
      <c r="H11" s="214"/>
      <c r="I11" s="5"/>
      <c r="J11" s="5">
        <v>10</v>
      </c>
      <c r="K11" s="5">
        <v>2</v>
      </c>
      <c r="L11" s="5">
        <f ca="1">'Environment Activities, p. 11'!D22</f>
        <v>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2" ht="15" customHeight="1" x14ac:dyDescent="0.25">
      <c r="A12" s="72">
        <v>3</v>
      </c>
      <c r="B12" s="215" t="s">
        <v>146</v>
      </c>
      <c r="C12" s="201" t="s">
        <v>144</v>
      </c>
      <c r="D12" s="216"/>
      <c r="E12" s="75"/>
      <c r="F12" s="75"/>
      <c r="G12" s="165"/>
      <c r="H12" s="76"/>
      <c r="I12" s="5"/>
      <c r="J12" s="5">
        <v>10</v>
      </c>
      <c r="K12" s="5">
        <v>3</v>
      </c>
      <c r="L12" s="5">
        <f ca="1">'Environment Activities, p. 11'!D22</f>
        <v>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2" ht="15" customHeight="1" x14ac:dyDescent="0.25">
      <c r="A13" s="137"/>
      <c r="B13" s="217" t="s">
        <v>147</v>
      </c>
      <c r="C13" s="194" t="s">
        <v>148</v>
      </c>
      <c r="D13" s="216"/>
      <c r="E13" s="122"/>
      <c r="F13" s="122"/>
      <c r="G13" s="218"/>
      <c r="H13" s="124"/>
      <c r="I13" s="5"/>
      <c r="J13" s="5">
        <v>10</v>
      </c>
      <c r="K13" s="5">
        <v>3.1</v>
      </c>
      <c r="L13" s="5">
        <f ca="1">'Environment Activities, p. 11'!D22</f>
        <v>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2" s="8" customFormat="1" ht="15" customHeight="1" x14ac:dyDescent="0.25">
      <c r="A14" s="143"/>
      <c r="B14" s="219" t="s">
        <v>149</v>
      </c>
      <c r="C14" s="194" t="s">
        <v>150</v>
      </c>
      <c r="D14" s="216"/>
      <c r="E14" s="126"/>
      <c r="F14" s="126"/>
      <c r="G14" s="63"/>
      <c r="H14" s="64"/>
      <c r="I14" s="5"/>
      <c r="J14" s="5">
        <v>10</v>
      </c>
      <c r="K14" s="5">
        <v>3.2</v>
      </c>
      <c r="L14" s="5">
        <f ca="1">'Environment Activities, p. 11'!D22</f>
        <v>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2" s="23" customFormat="1" ht="40.5" customHeight="1" x14ac:dyDescent="0.25">
      <c r="A15" s="65">
        <v>4</v>
      </c>
      <c r="B15" s="71" t="s">
        <v>151</v>
      </c>
      <c r="C15" s="220"/>
      <c r="D15" s="221"/>
      <c r="E15" s="68"/>
      <c r="F15" s="68"/>
      <c r="G15" s="70"/>
      <c r="H15" s="214"/>
      <c r="I15" s="5"/>
      <c r="J15" s="5">
        <v>10</v>
      </c>
      <c r="K15" s="5">
        <v>4</v>
      </c>
      <c r="L15" s="5">
        <f ca="1">'Environment Activities, p. 11'!D22</f>
        <v>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2" ht="31.5" customHeight="1" thickBot="1" x14ac:dyDescent="0.3">
      <c r="A16" s="81">
        <v>5</v>
      </c>
      <c r="B16" s="222" t="s">
        <v>152</v>
      </c>
      <c r="C16" s="74" t="s">
        <v>153</v>
      </c>
      <c r="D16" s="75"/>
      <c r="E16" s="75"/>
      <c r="F16" s="75"/>
      <c r="G16" s="165"/>
      <c r="H16" s="76"/>
      <c r="I16" s="5"/>
      <c r="J16" s="5">
        <v>10</v>
      </c>
      <c r="K16" s="5">
        <v>5</v>
      </c>
      <c r="L16" s="5">
        <f ca="1">'Environment Activities, p. 11'!D22</f>
        <v>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2" s="8" customFormat="1" ht="25.5" customHeight="1" thickBot="1" x14ac:dyDescent="0.3">
      <c r="A17" s="120"/>
      <c r="B17" s="223"/>
      <c r="C17" s="224"/>
      <c r="D17" s="122"/>
      <c r="E17" s="122"/>
      <c r="F17" s="122"/>
      <c r="G17" s="218"/>
      <c r="H17" s="12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2" s="8" customFormat="1" ht="32.25" customHeight="1" x14ac:dyDescent="0.25">
      <c r="A18" s="65">
        <v>6</v>
      </c>
      <c r="B18" s="225" t="s">
        <v>154</v>
      </c>
      <c r="C18" s="226" t="s">
        <v>155</v>
      </c>
      <c r="D18" s="227"/>
      <c r="E18" s="227"/>
      <c r="F18" s="227"/>
      <c r="G18" s="228"/>
      <c r="H18" s="70"/>
      <c r="I18" s="5"/>
      <c r="J18" s="5">
        <v>10</v>
      </c>
      <c r="K18" s="5">
        <v>6</v>
      </c>
      <c r="L18" s="5">
        <f ca="1">'Environment Activities, p. 11'!D22</f>
        <v>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2" s="8" customFormat="1" ht="30.75" customHeight="1" x14ac:dyDescent="0.25">
      <c r="A19" s="36">
        <v>7</v>
      </c>
      <c r="B19" s="213" t="s">
        <v>156</v>
      </c>
      <c r="C19" s="60" t="s">
        <v>157</v>
      </c>
      <c r="D19" s="62"/>
      <c r="E19" s="62"/>
      <c r="F19" s="62"/>
      <c r="G19" s="70"/>
      <c r="H19" s="119"/>
      <c r="I19" s="5"/>
      <c r="J19" s="5">
        <v>10</v>
      </c>
      <c r="K19" s="5">
        <v>7</v>
      </c>
      <c r="L19" s="5">
        <f ca="1">'Environment Activities, p. 11'!D22</f>
        <v>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2" s="23" customFormat="1" ht="30" customHeight="1" x14ac:dyDescent="0.25">
      <c r="A20" s="65">
        <v>8</v>
      </c>
      <c r="B20" s="71" t="s">
        <v>158</v>
      </c>
      <c r="C20" s="220"/>
      <c r="D20" s="221"/>
      <c r="E20" s="68"/>
      <c r="F20" s="68"/>
      <c r="G20" s="70"/>
      <c r="H20" s="214"/>
      <c r="I20" s="5"/>
      <c r="J20" s="5">
        <v>10</v>
      </c>
      <c r="K20" s="5">
        <v>8</v>
      </c>
      <c r="L20" s="5">
        <f ca="1">'Environment Activities, p. 11'!D22</f>
        <v>0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2" s="23" customFormat="1" ht="34.5" customHeight="1" x14ac:dyDescent="0.25">
      <c r="A21" s="65">
        <v>9</v>
      </c>
      <c r="B21" s="71" t="s">
        <v>159</v>
      </c>
      <c r="C21" s="67" t="s">
        <v>160</v>
      </c>
      <c r="D21" s="68"/>
      <c r="E21" s="68"/>
      <c r="F21" s="68"/>
      <c r="G21" s="70"/>
      <c r="H21" s="214"/>
      <c r="I21" s="5"/>
      <c r="J21" s="5">
        <v>10</v>
      </c>
      <c r="K21" s="5">
        <v>9</v>
      </c>
      <c r="L21" s="5">
        <f ca="1">'Environment Activities, p. 11'!D22</f>
        <v>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2" ht="22.5" customHeight="1" thickBot="1" x14ac:dyDescent="0.3">
      <c r="A22" s="81">
        <v>10</v>
      </c>
      <c r="B22" s="222" t="s">
        <v>161</v>
      </c>
      <c r="C22" s="229" t="s">
        <v>162</v>
      </c>
      <c r="D22" s="230"/>
      <c r="E22" s="231"/>
      <c r="F22" s="231"/>
      <c r="G22" s="76"/>
      <c r="H22" s="76"/>
      <c r="I22" s="5"/>
      <c r="J22" s="5">
        <v>10</v>
      </c>
      <c r="K22" s="5">
        <v>10</v>
      </c>
      <c r="L22" s="5">
        <f ca="1">'Environment Activities, p. 11'!D22</f>
        <v>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2" ht="54.75" customHeight="1" thickBot="1" x14ac:dyDescent="0.3">
      <c r="A23" s="77"/>
      <c r="B23" s="223"/>
      <c r="C23" s="173"/>
      <c r="D23" s="105"/>
      <c r="E23" s="107"/>
      <c r="F23" s="107"/>
      <c r="G23" s="144"/>
      <c r="H23" s="14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2" x14ac:dyDescent="0.25"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x14ac:dyDescent="0.25"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x14ac:dyDescent="0.25"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x14ac:dyDescent="0.25"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x14ac:dyDescent="0.25"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x14ac:dyDescent="0.25"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x14ac:dyDescent="0.25"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x14ac:dyDescent="0.25"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x14ac:dyDescent="0.25"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0:52" x14ac:dyDescent="0.25"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</row>
    <row r="34" spans="10:52" x14ac:dyDescent="0.25"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0:52" x14ac:dyDescent="0.25"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0:52" x14ac:dyDescent="0.25"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0:52" x14ac:dyDescent="0.25"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0:52" x14ac:dyDescent="0.25"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0:52" x14ac:dyDescent="0.25"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</row>
    <row r="40" spans="10:52" x14ac:dyDescent="0.25"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0:52" x14ac:dyDescent="0.25"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0:52" x14ac:dyDescent="0.25"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0:52" x14ac:dyDescent="0.25"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0:52" x14ac:dyDescent="0.25"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</row>
    <row r="45" spans="10:52" x14ac:dyDescent="0.25"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</row>
    <row r="46" spans="10:52" x14ac:dyDescent="0.25"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</row>
    <row r="47" spans="10:52" x14ac:dyDescent="0.25"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</row>
    <row r="48" spans="10:52" x14ac:dyDescent="0.25"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</row>
    <row r="49" spans="10:52" x14ac:dyDescent="0.25"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</row>
    <row r="50" spans="10:52" x14ac:dyDescent="0.25"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</row>
    <row r="51" spans="10:52" x14ac:dyDescent="0.25"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</row>
    <row r="52" spans="10:52" x14ac:dyDescent="0.25"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</row>
    <row r="53" spans="10:52" x14ac:dyDescent="0.25"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 spans="10:52" x14ac:dyDescent="0.25"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</row>
    <row r="55" spans="10:52" x14ac:dyDescent="0.25"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</row>
    <row r="56" spans="10:52" x14ac:dyDescent="0.25"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0:52" x14ac:dyDescent="0.25"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0:52" x14ac:dyDescent="0.25"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0:52" x14ac:dyDescent="0.25"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</sheetData>
  <pageMargins left="0.75" right="0.75" top="1" bottom="0.73" header="0.5" footer="0.5"/>
  <pageSetup scale="85" orientation="landscape" horizontalDpi="300" verticalDpi="300"/>
  <headerFooter alignWithMargins="0">
    <oddHeader>&amp;C&amp;"Arial,Bold"&amp;12Environment Activities</oddHeader>
    <oddFooter>&amp;C-10-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88"/>
  <sheetViews>
    <sheetView showGridLines="0" workbookViewId="0">
      <selection activeCell="B19" sqref="B19"/>
    </sheetView>
  </sheetViews>
  <sheetFormatPr defaultColWidth="8.81640625" defaultRowHeight="12.5" x14ac:dyDescent="0.25"/>
  <cols>
    <col min="1" max="1" width="3" style="175" customWidth="1"/>
    <col min="2" max="2" width="42" customWidth="1"/>
    <col min="3" max="3" width="14.453125" style="1" customWidth="1"/>
    <col min="4" max="4" width="15.453125" customWidth="1"/>
    <col min="5" max="5" width="14" customWidth="1"/>
    <col min="6" max="6" width="12.453125" customWidth="1"/>
    <col min="7" max="7" width="41.6328125" customWidth="1"/>
    <col min="8" max="9" width="8" customWidth="1"/>
    <col min="10" max="10" width="11.1796875" hidden="1" customWidth="1"/>
    <col min="11" max="12" width="0" hidden="1" customWidth="1"/>
  </cols>
  <sheetData>
    <row r="1" spans="1:50" ht="15.5" x14ac:dyDescent="0.35">
      <c r="A1" s="145" t="s">
        <v>39</v>
      </c>
      <c r="B1" s="27" t="s">
        <v>163</v>
      </c>
      <c r="C1" s="232" t="s">
        <v>68</v>
      </c>
      <c r="D1" s="233"/>
      <c r="E1" s="233"/>
      <c r="F1" s="233"/>
      <c r="G1" s="234"/>
      <c r="H1" s="235"/>
      <c r="I1" s="235"/>
      <c r="J1" s="31"/>
      <c r="K1" s="31"/>
      <c r="L1" s="31"/>
      <c r="M1" s="31"/>
      <c r="N1" s="31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0" ht="13" x14ac:dyDescent="0.3">
      <c r="A2" s="146"/>
      <c r="B2" s="7"/>
      <c r="C2" s="236" t="s">
        <v>129</v>
      </c>
      <c r="D2" s="237"/>
      <c r="E2" s="237"/>
      <c r="F2" s="237"/>
      <c r="G2" s="238"/>
      <c r="H2" s="235"/>
      <c r="I2" s="235"/>
      <c r="J2" s="31"/>
      <c r="K2" s="31"/>
      <c r="L2" s="31"/>
      <c r="M2" s="31"/>
      <c r="N2" s="31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s="8" customFormat="1" ht="13" x14ac:dyDescent="0.3">
      <c r="A3" s="148"/>
      <c r="B3" s="15"/>
      <c r="C3" s="239" t="s">
        <v>71</v>
      </c>
      <c r="D3" s="240"/>
      <c r="E3" s="240"/>
      <c r="F3" s="240"/>
      <c r="G3" s="241"/>
      <c r="H3" s="235"/>
      <c r="I3" s="235"/>
      <c r="J3" s="31"/>
      <c r="K3" s="31"/>
      <c r="L3" s="31"/>
      <c r="M3" s="31"/>
      <c r="N3" s="31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ht="24" customHeight="1" x14ac:dyDescent="0.25">
      <c r="A4" s="146"/>
      <c r="B4" s="5"/>
      <c r="C4" s="11"/>
      <c r="D4" s="12"/>
      <c r="E4" s="46" t="s">
        <v>131</v>
      </c>
      <c r="F4" s="46" t="s">
        <v>6</v>
      </c>
      <c r="G4" s="101" t="s">
        <v>164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50" ht="13" x14ac:dyDescent="0.3">
      <c r="A5" s="146"/>
      <c r="B5" s="49" t="s">
        <v>8</v>
      </c>
      <c r="C5" s="242" t="s">
        <v>165</v>
      </c>
      <c r="D5" s="243"/>
      <c r="E5" s="46" t="s">
        <v>133</v>
      </c>
      <c r="F5" s="46" t="s">
        <v>166</v>
      </c>
      <c r="G5" s="103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50" ht="13" x14ac:dyDescent="0.3">
      <c r="A6" s="146"/>
      <c r="B6" s="49" t="s">
        <v>13</v>
      </c>
      <c r="C6" s="244" t="s">
        <v>167</v>
      </c>
      <c r="D6" s="245"/>
      <c r="E6" s="46" t="s">
        <v>168</v>
      </c>
      <c r="F6" s="46" t="s">
        <v>77</v>
      </c>
      <c r="G6" s="103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50" ht="13" x14ac:dyDescent="0.3">
      <c r="A7" s="146"/>
      <c r="B7" s="49" t="s">
        <v>136</v>
      </c>
      <c r="C7" s="244" t="s">
        <v>169</v>
      </c>
      <c r="D7" s="245"/>
      <c r="E7" s="46" t="s">
        <v>170</v>
      </c>
      <c r="F7" s="46" t="s">
        <v>80</v>
      </c>
      <c r="G7" s="103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50" x14ac:dyDescent="0.25">
      <c r="A8" s="146"/>
      <c r="B8" s="7"/>
      <c r="C8" s="244" t="s">
        <v>171</v>
      </c>
      <c r="D8" s="245"/>
      <c r="E8" s="212" t="s">
        <v>19</v>
      </c>
      <c r="F8" s="46" t="s">
        <v>82</v>
      </c>
      <c r="G8" s="107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50" ht="17.25" customHeight="1" x14ac:dyDescent="0.25">
      <c r="A9" s="72">
        <v>1</v>
      </c>
      <c r="B9" s="192" t="s">
        <v>172</v>
      </c>
      <c r="C9" s="201" t="s">
        <v>173</v>
      </c>
      <c r="D9" s="216"/>
      <c r="E9" s="75"/>
      <c r="F9" s="75"/>
      <c r="G9" s="76"/>
      <c r="H9" s="5"/>
      <c r="I9" s="5"/>
      <c r="J9" s="5">
        <v>11</v>
      </c>
      <c r="K9" s="5">
        <v>1</v>
      </c>
      <c r="L9" s="5">
        <f ca="1">'Environment Activities, p. 12'!D22</f>
        <v>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50" s="8" customFormat="1" ht="17.25" customHeight="1" x14ac:dyDescent="0.25">
      <c r="A10" s="143"/>
      <c r="B10" s="195" t="s">
        <v>174</v>
      </c>
      <c r="C10" s="246" t="s">
        <v>175</v>
      </c>
      <c r="D10" s="247"/>
      <c r="E10" s="25"/>
      <c r="F10" s="25"/>
      <c r="G10" s="79"/>
      <c r="H10" s="5"/>
      <c r="I10" s="5"/>
      <c r="J10" s="5">
        <v>11</v>
      </c>
      <c r="K10" s="5">
        <v>1.1000000000000001</v>
      </c>
      <c r="L10" s="5">
        <f ca="1">'Environment Activities, p. 12'!D22</f>
        <v>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50" ht="17.25" customHeight="1" x14ac:dyDescent="0.25">
      <c r="A11" s="72">
        <v>2</v>
      </c>
      <c r="B11" s="192" t="s">
        <v>176</v>
      </c>
      <c r="C11" s="201" t="s">
        <v>173</v>
      </c>
      <c r="D11" s="248"/>
      <c r="E11" s="75"/>
      <c r="F11" s="75"/>
      <c r="G11" s="76"/>
      <c r="H11" s="5"/>
      <c r="I11" s="5"/>
      <c r="J11" s="5">
        <v>11</v>
      </c>
      <c r="K11" s="5">
        <v>2</v>
      </c>
      <c r="L11" s="5">
        <f ca="1">'Environment Activities, p. 12'!D22</f>
        <v>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50" s="8" customFormat="1" ht="17.25" customHeight="1" x14ac:dyDescent="0.25">
      <c r="A12" s="143"/>
      <c r="B12" s="195" t="s">
        <v>177</v>
      </c>
      <c r="C12" s="246" t="s">
        <v>175</v>
      </c>
      <c r="D12" s="248"/>
      <c r="E12" s="25"/>
      <c r="F12" s="25"/>
      <c r="G12" s="79"/>
      <c r="H12" s="5"/>
      <c r="I12" s="5"/>
      <c r="J12" s="5">
        <v>11</v>
      </c>
      <c r="K12" s="5">
        <v>2.1</v>
      </c>
      <c r="L12" s="5">
        <f ca="1">'Environment Activities, p. 12'!D22</f>
        <v>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50" ht="17.25" customHeight="1" x14ac:dyDescent="0.25">
      <c r="A13" s="72">
        <v>3</v>
      </c>
      <c r="B13" s="192" t="s">
        <v>178</v>
      </c>
      <c r="C13" s="201" t="s">
        <v>173</v>
      </c>
      <c r="D13" s="216"/>
      <c r="E13" s="75"/>
      <c r="F13" s="75"/>
      <c r="G13" s="76"/>
      <c r="H13" s="5"/>
      <c r="I13" s="5"/>
      <c r="J13" s="5">
        <v>11</v>
      </c>
      <c r="K13" s="5">
        <v>3</v>
      </c>
      <c r="L13" s="5">
        <f ca="1">'Environment Activities, p. 12'!D22</f>
        <v>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50" s="8" customFormat="1" ht="17.25" customHeight="1" x14ac:dyDescent="0.25">
      <c r="A14" s="143"/>
      <c r="B14" s="195" t="s">
        <v>179</v>
      </c>
      <c r="C14" s="246" t="s">
        <v>175</v>
      </c>
      <c r="D14" s="248"/>
      <c r="E14" s="25"/>
      <c r="F14" s="25"/>
      <c r="G14" s="79"/>
      <c r="H14" s="5"/>
      <c r="I14" s="5"/>
      <c r="J14" s="5">
        <v>11</v>
      </c>
      <c r="K14" s="5">
        <v>3.1</v>
      </c>
      <c r="L14" s="5">
        <f ca="1">'Environment Activities, p. 12'!D22</f>
        <v>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50" ht="17.25" customHeight="1" x14ac:dyDescent="0.25">
      <c r="A15" s="72">
        <v>4</v>
      </c>
      <c r="B15" s="192" t="s">
        <v>180</v>
      </c>
      <c r="C15" s="201" t="s">
        <v>173</v>
      </c>
      <c r="D15" s="216"/>
      <c r="E15" s="75"/>
      <c r="F15" s="75"/>
      <c r="G15" s="76"/>
      <c r="H15" s="5"/>
      <c r="I15" s="5"/>
      <c r="J15" s="5">
        <v>11</v>
      </c>
      <c r="K15" s="5">
        <v>4</v>
      </c>
      <c r="L15" s="5">
        <f ca="1">'Environment Activities, p. 12'!D22</f>
        <v>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50" s="8" customFormat="1" ht="17.25" customHeight="1" x14ac:dyDescent="0.25">
      <c r="A16" s="143"/>
      <c r="B16" s="195" t="s">
        <v>181</v>
      </c>
      <c r="C16" s="246" t="s">
        <v>175</v>
      </c>
      <c r="D16" s="216"/>
      <c r="E16" s="25"/>
      <c r="F16" s="25"/>
      <c r="G16" s="79"/>
      <c r="H16" s="5"/>
      <c r="I16" s="5"/>
      <c r="J16" s="5">
        <v>11</v>
      </c>
      <c r="K16" s="5">
        <v>4.0999999999999996</v>
      </c>
      <c r="L16" s="5">
        <f ca="1">'Environment Activities, p. 12'!D22</f>
        <v>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9" ht="17.25" customHeight="1" x14ac:dyDescent="0.25">
      <c r="A17" s="72">
        <v>5</v>
      </c>
      <c r="B17" s="192" t="s">
        <v>182</v>
      </c>
      <c r="C17" s="201" t="s">
        <v>183</v>
      </c>
      <c r="D17" s="216"/>
      <c r="E17" s="75"/>
      <c r="F17" s="75"/>
      <c r="G17" s="76"/>
      <c r="H17" s="5"/>
      <c r="I17" s="5"/>
      <c r="J17" s="5">
        <v>11</v>
      </c>
      <c r="K17" s="5">
        <v>5</v>
      </c>
      <c r="L17" s="5">
        <f ca="1">'Environment Activities, p. 12'!D22</f>
        <v>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9" s="8" customFormat="1" ht="24.75" customHeight="1" x14ac:dyDescent="0.25">
      <c r="A18" s="143"/>
      <c r="B18" s="195" t="s">
        <v>184</v>
      </c>
      <c r="C18" s="201" t="s">
        <v>185</v>
      </c>
      <c r="D18" s="216"/>
      <c r="E18" s="25"/>
      <c r="F18" s="25"/>
      <c r="G18" s="79"/>
      <c r="H18" s="5"/>
      <c r="I18" s="5"/>
      <c r="J18" s="5">
        <v>11</v>
      </c>
      <c r="K18" s="5">
        <v>5.0999999999999996</v>
      </c>
      <c r="L18" s="5">
        <f ca="1">'Environment Activities, p. 12'!D22</f>
        <v>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9" ht="22.5" customHeight="1" x14ac:dyDescent="0.25">
      <c r="A19" s="72">
        <v>6</v>
      </c>
      <c r="B19" s="192" t="s">
        <v>186</v>
      </c>
      <c r="C19" s="201" t="s">
        <v>187</v>
      </c>
      <c r="D19" s="216"/>
      <c r="E19" s="75"/>
      <c r="F19" s="75"/>
      <c r="G19" s="76"/>
      <c r="H19" s="5"/>
      <c r="I19" s="5"/>
      <c r="J19" s="5">
        <v>11</v>
      </c>
      <c r="K19" s="5">
        <v>6</v>
      </c>
      <c r="L19" s="5">
        <f ca="1">'Environment Activities, p. 12'!D22</f>
        <v>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9" s="8" customFormat="1" ht="19.5" customHeight="1" x14ac:dyDescent="0.25">
      <c r="A20" s="143"/>
      <c r="B20" s="195" t="s">
        <v>188</v>
      </c>
      <c r="C20" s="201" t="s">
        <v>189</v>
      </c>
      <c r="D20" s="216"/>
      <c r="E20" s="25"/>
      <c r="F20" s="25"/>
      <c r="G20" s="79"/>
      <c r="H20" s="5"/>
      <c r="I20" s="5"/>
      <c r="J20" s="5">
        <v>11</v>
      </c>
      <c r="K20" s="5">
        <v>6.1</v>
      </c>
      <c r="L20" s="5">
        <f ca="1">'Environment Activities, p. 12'!D22</f>
        <v>0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spans="1:49" ht="17.25" customHeight="1" x14ac:dyDescent="0.25">
      <c r="A21" s="72">
        <v>7</v>
      </c>
      <c r="B21" s="192" t="s">
        <v>190</v>
      </c>
      <c r="C21" s="201" t="s">
        <v>191</v>
      </c>
      <c r="D21" s="216"/>
      <c r="E21" s="75"/>
      <c r="F21" s="75"/>
      <c r="G21" s="76"/>
      <c r="H21" s="5"/>
      <c r="I21" s="5"/>
      <c r="J21" s="5">
        <v>11</v>
      </c>
      <c r="K21" s="5">
        <v>7</v>
      </c>
      <c r="L21" s="5">
        <f ca="1">'Environment Activities, p. 12'!D22</f>
        <v>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9" ht="17.25" customHeight="1" x14ac:dyDescent="0.25">
      <c r="A22" s="137"/>
      <c r="B22" s="249" t="s">
        <v>192</v>
      </c>
      <c r="C22" s="201" t="s">
        <v>193</v>
      </c>
      <c r="D22" s="216"/>
      <c r="E22" s="24"/>
      <c r="F22" s="24"/>
      <c r="G22" s="250"/>
      <c r="H22" s="5"/>
      <c r="I22" s="5"/>
      <c r="J22" s="5">
        <v>11</v>
      </c>
      <c r="K22" s="5">
        <v>7.1</v>
      </c>
      <c r="L22" s="5">
        <f ca="1">'Environment Activities, p. 12'!D22</f>
        <v>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1:49" s="8" customFormat="1" ht="17.25" customHeight="1" x14ac:dyDescent="0.25">
      <c r="A23" s="143"/>
      <c r="B23" s="195" t="s">
        <v>194</v>
      </c>
      <c r="C23" s="201" t="s">
        <v>195</v>
      </c>
      <c r="D23" s="216"/>
      <c r="E23" s="25"/>
      <c r="F23" s="25"/>
      <c r="G23" s="79"/>
      <c r="H23" s="5"/>
      <c r="I23" s="5"/>
      <c r="J23" s="5">
        <v>11</v>
      </c>
      <c r="K23" s="5">
        <v>7.2</v>
      </c>
      <c r="L23" s="5">
        <f ca="1">'Environment Activities, p. 12'!D22</f>
        <v>0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spans="1:49" ht="28.5" customHeight="1" x14ac:dyDescent="0.25">
      <c r="A24" s="251">
        <v>8</v>
      </c>
      <c r="B24" s="192" t="s">
        <v>196</v>
      </c>
      <c r="C24" s="194" t="s">
        <v>197</v>
      </c>
      <c r="D24" s="252"/>
      <c r="E24" s="253"/>
      <c r="F24" s="253"/>
      <c r="G24" s="254"/>
      <c r="H24" s="5"/>
      <c r="I24" s="5"/>
      <c r="J24" s="5">
        <v>11</v>
      </c>
      <c r="K24" s="5">
        <v>8</v>
      </c>
      <c r="L24" s="5">
        <f ca="1">'Environment Activities, p. 12'!D22</f>
        <v>0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9" ht="27.75" customHeight="1" x14ac:dyDescent="0.25">
      <c r="A25" s="251">
        <v>9</v>
      </c>
      <c r="B25" s="192" t="s">
        <v>198</v>
      </c>
      <c r="C25" s="194" t="s">
        <v>199</v>
      </c>
      <c r="D25" s="252"/>
      <c r="E25" s="253"/>
      <c r="F25" s="253"/>
      <c r="G25" s="254"/>
      <c r="H25" s="5"/>
      <c r="I25" s="5"/>
      <c r="J25" s="5">
        <v>11</v>
      </c>
      <c r="K25" s="5">
        <v>9</v>
      </c>
      <c r="L25" s="5">
        <f ca="1">'Environment Activities, p. 12'!D22</f>
        <v>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9" ht="26.25" customHeight="1" x14ac:dyDescent="0.25">
      <c r="A26" s="72">
        <v>10</v>
      </c>
      <c r="B26" s="192" t="s">
        <v>200</v>
      </c>
      <c r="C26" s="201" t="s">
        <v>201</v>
      </c>
      <c r="D26" s="216"/>
      <c r="E26" s="75"/>
      <c r="F26" s="75"/>
      <c r="G26" s="254"/>
      <c r="H26" s="5"/>
      <c r="I26" s="5"/>
      <c r="J26" s="5">
        <v>11</v>
      </c>
      <c r="K26" s="5">
        <v>10</v>
      </c>
      <c r="L26" s="5">
        <f ca="1">'Environment Activities, p. 12'!D22</f>
        <v>0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9" s="8" customFormat="1" ht="18.75" customHeight="1" x14ac:dyDescent="0.25">
      <c r="A27" s="143"/>
      <c r="B27" s="195" t="s">
        <v>202</v>
      </c>
      <c r="C27" s="201" t="s">
        <v>203</v>
      </c>
      <c r="D27" s="216"/>
      <c r="E27" s="25"/>
      <c r="F27" s="25"/>
      <c r="G27" s="255"/>
      <c r="H27" s="5"/>
      <c r="I27" s="5"/>
      <c r="J27" s="5">
        <v>11</v>
      </c>
      <c r="K27" s="5">
        <v>10.1</v>
      </c>
      <c r="L27" s="5">
        <f ca="1">'Environment Activities, p. 12'!D22</f>
        <v>0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spans="1:49" ht="41.25" customHeight="1" thickBot="1" x14ac:dyDescent="0.3">
      <c r="A28" s="81">
        <v>11</v>
      </c>
      <c r="B28" s="256" t="s">
        <v>204</v>
      </c>
      <c r="C28" s="201" t="s">
        <v>205</v>
      </c>
      <c r="D28" s="216"/>
      <c r="E28" s="75"/>
      <c r="F28" s="75"/>
      <c r="G28" s="76"/>
      <c r="H28" s="3"/>
      <c r="I28" s="3"/>
      <c r="J28" s="5">
        <v>11</v>
      </c>
      <c r="K28" s="3">
        <v>11</v>
      </c>
      <c r="L28" s="5">
        <f ca="1">'Environment Activities, p. 12'!D22</f>
        <v>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9" s="8" customFormat="1" ht="40.5" customHeight="1" thickBot="1" x14ac:dyDescent="0.3">
      <c r="A29" s="77"/>
      <c r="B29" s="257"/>
      <c r="C29" s="194" t="s">
        <v>206</v>
      </c>
      <c r="D29" s="258"/>
      <c r="E29" s="25"/>
      <c r="F29" s="25"/>
      <c r="G29" s="79"/>
      <c r="H29" s="3"/>
      <c r="I29" s="3"/>
      <c r="J29" s="5">
        <v>11</v>
      </c>
      <c r="K29" s="3">
        <v>11.1</v>
      </c>
      <c r="L29" s="5">
        <f ca="1">'Environment Activities, p. 12'!D22</f>
        <v>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9" ht="21.75" customHeight="1" thickBot="1" x14ac:dyDescent="0.3">
      <c r="A30" s="81">
        <v>12</v>
      </c>
      <c r="B30" s="162" t="s">
        <v>207</v>
      </c>
      <c r="C30" s="229" t="s">
        <v>162</v>
      </c>
      <c r="D30" s="230"/>
      <c r="E30" s="231"/>
      <c r="F30" s="231"/>
      <c r="G30" s="76"/>
      <c r="H30" s="5"/>
      <c r="I30" s="5"/>
      <c r="J30" s="5">
        <v>11</v>
      </c>
      <c r="K30" s="5">
        <v>12</v>
      </c>
      <c r="L30" s="5">
        <f ca="1">'Environment Activities, p. 12'!D22</f>
        <v>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pans="1:49" ht="33.75" customHeight="1" thickBot="1" x14ac:dyDescent="0.3">
      <c r="A31" s="77"/>
      <c r="B31" s="257"/>
      <c r="C31" s="259"/>
      <c r="D31" s="87"/>
      <c r="E31" s="174"/>
      <c r="F31" s="174"/>
      <c r="G31" s="79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9" x14ac:dyDescent="0.25">
      <c r="A32" s="4"/>
      <c r="B32" s="5"/>
      <c r="C32" s="16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50" x14ac:dyDescent="0.25">
      <c r="A33" s="4"/>
      <c r="B33" s="5"/>
      <c r="C33" s="16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0" x14ac:dyDescent="0.25"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0" x14ac:dyDescent="0.25"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spans="1:50" x14ac:dyDescent="0.25"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0" x14ac:dyDescent="0.25"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spans="1:50" x14ac:dyDescent="0.25"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spans="1:50" x14ac:dyDescent="0.25"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spans="1:50" x14ac:dyDescent="0.25"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spans="1:50" x14ac:dyDescent="0.25"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spans="1:50" x14ac:dyDescent="0.25"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spans="1:50" x14ac:dyDescent="0.25"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x14ac:dyDescent="0.25"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x14ac:dyDescent="0.25"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x14ac:dyDescent="0.25"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x14ac:dyDescent="0.25"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x14ac:dyDescent="0.25"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0:50" x14ac:dyDescent="0.25"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0:50" x14ac:dyDescent="0.25"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0:50" x14ac:dyDescent="0.25"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0:50" x14ac:dyDescent="0.25"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0:50" x14ac:dyDescent="0.25"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0:50" x14ac:dyDescent="0.25"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spans="10:50" x14ac:dyDescent="0.25"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spans="10:50" x14ac:dyDescent="0.25"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0:50" x14ac:dyDescent="0.25"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spans="10:50" x14ac:dyDescent="0.25"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0:50" x14ac:dyDescent="0.25"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spans="10:50" x14ac:dyDescent="0.25"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0:50" x14ac:dyDescent="0.25"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0:50" x14ac:dyDescent="0.25"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0:50" x14ac:dyDescent="0.25"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0:50" x14ac:dyDescent="0.25"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spans="10:50" x14ac:dyDescent="0.25"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spans="10:50" x14ac:dyDescent="0.25"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spans="10:50" x14ac:dyDescent="0.25"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spans="10:50" x14ac:dyDescent="0.25"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spans="10:50" x14ac:dyDescent="0.25"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0:50" x14ac:dyDescent="0.25"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spans="10:50" x14ac:dyDescent="0.25"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spans="10:50" x14ac:dyDescent="0.25"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spans="10:50" x14ac:dyDescent="0.25"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spans="10:50" x14ac:dyDescent="0.25"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spans="10:50" x14ac:dyDescent="0.25"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0:50" x14ac:dyDescent="0.25"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0:50" x14ac:dyDescent="0.25"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spans="10:50" x14ac:dyDescent="0.25"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0:50" x14ac:dyDescent="0.25"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0:50" x14ac:dyDescent="0.25"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0:50" x14ac:dyDescent="0.25"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spans="10:50" x14ac:dyDescent="0.25"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spans="10:50" x14ac:dyDescent="0.25"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spans="10:50" x14ac:dyDescent="0.25"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spans="10:50" x14ac:dyDescent="0.25"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spans="10:50" x14ac:dyDescent="0.25"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spans="10:50" x14ac:dyDescent="0.25"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spans="10:50" x14ac:dyDescent="0.25"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spans="10:50" x14ac:dyDescent="0.25"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spans="10:50" x14ac:dyDescent="0.25"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0:50" x14ac:dyDescent="0.25"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 spans="10:50" x14ac:dyDescent="0.25"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spans="10:50" x14ac:dyDescent="0.25"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spans="10:50" x14ac:dyDescent="0.25"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0:50" x14ac:dyDescent="0.25"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spans="10:50" x14ac:dyDescent="0.25"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spans="10:50" x14ac:dyDescent="0.25"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spans="10:50" x14ac:dyDescent="0.25"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spans="10:50" x14ac:dyDescent="0.25"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spans="10:50" x14ac:dyDescent="0.25"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spans="10:50" x14ac:dyDescent="0.25"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spans="10:50" x14ac:dyDescent="0.25"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0:50" x14ac:dyDescent="0.25"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spans="10:50" x14ac:dyDescent="0.25"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spans="10:50" x14ac:dyDescent="0.25"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spans="10:50" x14ac:dyDescent="0.25"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spans="10:50" x14ac:dyDescent="0.25"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spans="10:50" x14ac:dyDescent="0.25"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spans="10:50" x14ac:dyDescent="0.25"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 spans="10:50" x14ac:dyDescent="0.25"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spans="10:50" x14ac:dyDescent="0.25"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 spans="10:50" x14ac:dyDescent="0.25"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 spans="10:50" x14ac:dyDescent="0.25"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 spans="10:50" x14ac:dyDescent="0.25"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 spans="10:50" x14ac:dyDescent="0.25"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 spans="10:50" x14ac:dyDescent="0.25"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 spans="10:50" x14ac:dyDescent="0.25"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 spans="10:50" x14ac:dyDescent="0.25"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 spans="10:50" x14ac:dyDescent="0.25"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 spans="10:50" x14ac:dyDescent="0.25"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 spans="10:50" x14ac:dyDescent="0.25"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spans="10:50" x14ac:dyDescent="0.25"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 spans="10:50" x14ac:dyDescent="0.25"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 spans="10:50" x14ac:dyDescent="0.25"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 spans="10:50" x14ac:dyDescent="0.25"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 spans="10:50" x14ac:dyDescent="0.25"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 spans="10:50" x14ac:dyDescent="0.25"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 spans="10:50" x14ac:dyDescent="0.25"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 spans="10:50" x14ac:dyDescent="0.25"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 spans="10:50" x14ac:dyDescent="0.25"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 spans="10:50" x14ac:dyDescent="0.25"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 spans="10:50" x14ac:dyDescent="0.25"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 spans="10:50" x14ac:dyDescent="0.25"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 spans="10:50" x14ac:dyDescent="0.25"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 spans="10:50" x14ac:dyDescent="0.25"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 spans="10:50" x14ac:dyDescent="0.25"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 spans="10:50" x14ac:dyDescent="0.25"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 spans="10:50" x14ac:dyDescent="0.25"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 spans="10:50" x14ac:dyDescent="0.25"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 spans="10:50" x14ac:dyDescent="0.25"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 spans="10:50" x14ac:dyDescent="0.25"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 spans="10:50" x14ac:dyDescent="0.25"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 spans="10:50" x14ac:dyDescent="0.25"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 spans="10:50" x14ac:dyDescent="0.25"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 spans="11:50" x14ac:dyDescent="0.25"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 spans="11:50" x14ac:dyDescent="0.25"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 spans="11:50" x14ac:dyDescent="0.25"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 spans="11:50" x14ac:dyDescent="0.25"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 spans="11:50" x14ac:dyDescent="0.25"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 spans="11:50" x14ac:dyDescent="0.25"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 spans="11:50" x14ac:dyDescent="0.25"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 spans="11:50" x14ac:dyDescent="0.25"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 spans="11:50" x14ac:dyDescent="0.25"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 spans="11:50" x14ac:dyDescent="0.25"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 spans="11:50" x14ac:dyDescent="0.25"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 spans="11:50" x14ac:dyDescent="0.25"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 spans="11:50" x14ac:dyDescent="0.25"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 spans="11:50" x14ac:dyDescent="0.25"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 spans="11:50" x14ac:dyDescent="0.25"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 spans="11:50" x14ac:dyDescent="0.25"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 spans="11:50" x14ac:dyDescent="0.25"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 spans="11:50" x14ac:dyDescent="0.25"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 spans="11:50" x14ac:dyDescent="0.25"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 spans="11:50" x14ac:dyDescent="0.25"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 spans="11:50" x14ac:dyDescent="0.25"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 spans="11:50" x14ac:dyDescent="0.25"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 spans="11:50" x14ac:dyDescent="0.25"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 spans="11:50" x14ac:dyDescent="0.25"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 spans="11:50" x14ac:dyDescent="0.25"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 spans="11:50" x14ac:dyDescent="0.25"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 spans="11:50" x14ac:dyDescent="0.25"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 spans="11:50" x14ac:dyDescent="0.25"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 spans="11:50" x14ac:dyDescent="0.25"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 spans="11:50" x14ac:dyDescent="0.25"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 spans="11:50" x14ac:dyDescent="0.25"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 spans="11:50" x14ac:dyDescent="0.25"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 spans="11:50" x14ac:dyDescent="0.25"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 spans="11:50" x14ac:dyDescent="0.25"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 spans="11:50" x14ac:dyDescent="0.25"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 spans="11:50" x14ac:dyDescent="0.25"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 spans="11:50" x14ac:dyDescent="0.25"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 spans="11:50" x14ac:dyDescent="0.25"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 spans="11:50" x14ac:dyDescent="0.25"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 spans="11:50" x14ac:dyDescent="0.25"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 spans="11:50" x14ac:dyDescent="0.25"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 spans="11:50" x14ac:dyDescent="0.25"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 spans="11:50" x14ac:dyDescent="0.25"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 spans="11:50" x14ac:dyDescent="0.25"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 spans="11:50" x14ac:dyDescent="0.25"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 spans="11:50" x14ac:dyDescent="0.25"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 spans="11:50" x14ac:dyDescent="0.25"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 spans="11:50" x14ac:dyDescent="0.25"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 spans="11:50" x14ac:dyDescent="0.25"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 spans="11:50" x14ac:dyDescent="0.25"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 spans="11:50" x14ac:dyDescent="0.25"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 spans="11:50" x14ac:dyDescent="0.25"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 spans="11:50" x14ac:dyDescent="0.25"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 spans="11:50" x14ac:dyDescent="0.25"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 spans="11:50" x14ac:dyDescent="0.25"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 spans="11:50" x14ac:dyDescent="0.25"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 spans="11:50" x14ac:dyDescent="0.25"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 spans="11:50" x14ac:dyDescent="0.25"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 spans="11:50" x14ac:dyDescent="0.25"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 spans="11:50" x14ac:dyDescent="0.25"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 spans="11:50" x14ac:dyDescent="0.25"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 spans="11:50" x14ac:dyDescent="0.25"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 spans="11:50" x14ac:dyDescent="0.25"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 spans="11:50" x14ac:dyDescent="0.25"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 spans="11:50" x14ac:dyDescent="0.25"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 spans="11:50" x14ac:dyDescent="0.25"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 spans="11:50" x14ac:dyDescent="0.25"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 spans="11:50" x14ac:dyDescent="0.25"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 spans="11:50" x14ac:dyDescent="0.25"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 spans="11:50" x14ac:dyDescent="0.25"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 spans="11:50" x14ac:dyDescent="0.25"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 spans="11:50" x14ac:dyDescent="0.25"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 spans="11:50" x14ac:dyDescent="0.25"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 spans="11:50" x14ac:dyDescent="0.25"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 spans="11:50" x14ac:dyDescent="0.25"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 spans="11:50" x14ac:dyDescent="0.25"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 spans="11:50" x14ac:dyDescent="0.25"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 spans="11:50" x14ac:dyDescent="0.25"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 spans="11:50" x14ac:dyDescent="0.25"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 spans="11:50" x14ac:dyDescent="0.25"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 spans="11:50" x14ac:dyDescent="0.25"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 spans="11:50" x14ac:dyDescent="0.25"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 spans="11:50" x14ac:dyDescent="0.25"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 spans="11:50" x14ac:dyDescent="0.25"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 spans="11:50" x14ac:dyDescent="0.25"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 spans="11:50" x14ac:dyDescent="0.25"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 spans="11:50" x14ac:dyDescent="0.25"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 spans="11:50" x14ac:dyDescent="0.25"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 spans="11:50" x14ac:dyDescent="0.25"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 spans="11:50" x14ac:dyDescent="0.25"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 spans="11:50" x14ac:dyDescent="0.25"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 spans="11:50" x14ac:dyDescent="0.25"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 spans="11:50" x14ac:dyDescent="0.25"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 spans="11:50" x14ac:dyDescent="0.25"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 spans="11:50" x14ac:dyDescent="0.25"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 spans="11:50" x14ac:dyDescent="0.25"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 spans="11:50" x14ac:dyDescent="0.25"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 spans="11:50" x14ac:dyDescent="0.25"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 spans="11:50" x14ac:dyDescent="0.25"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 spans="11:50" x14ac:dyDescent="0.25"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 spans="11:50" x14ac:dyDescent="0.25"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 spans="11:50" x14ac:dyDescent="0.25"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 spans="11:50" x14ac:dyDescent="0.25"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 spans="11:50" x14ac:dyDescent="0.25"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 spans="11:50" x14ac:dyDescent="0.25"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 spans="11:50" x14ac:dyDescent="0.25"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 spans="11:50" x14ac:dyDescent="0.25"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 spans="11:50" x14ac:dyDescent="0.25"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 spans="11:50" x14ac:dyDescent="0.25"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 spans="11:50" x14ac:dyDescent="0.25"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 spans="11:50" x14ac:dyDescent="0.25"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 spans="11:50" x14ac:dyDescent="0.25"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 spans="11:50" x14ac:dyDescent="0.25"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 spans="11:50" x14ac:dyDescent="0.25"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 spans="11:50" x14ac:dyDescent="0.25"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spans="11:50" x14ac:dyDescent="0.25"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spans="11:50" x14ac:dyDescent="0.25"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 spans="11:50" x14ac:dyDescent="0.25"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 spans="11:50" x14ac:dyDescent="0.25"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 spans="11:50" x14ac:dyDescent="0.25"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 spans="11:50" x14ac:dyDescent="0.25"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 spans="11:50" x14ac:dyDescent="0.25"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 spans="11:50" x14ac:dyDescent="0.25"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 spans="11:50" x14ac:dyDescent="0.25"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 spans="11:50" x14ac:dyDescent="0.25"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 spans="11:50" x14ac:dyDescent="0.25"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 spans="11:50" x14ac:dyDescent="0.25"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 spans="11:50" x14ac:dyDescent="0.25"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 spans="11:50" x14ac:dyDescent="0.25"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 spans="11:50" x14ac:dyDescent="0.25"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 spans="11:50" x14ac:dyDescent="0.25"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 spans="11:50" x14ac:dyDescent="0.25"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 spans="11:50" x14ac:dyDescent="0.25"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 spans="11:50" x14ac:dyDescent="0.25"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 spans="11:50" x14ac:dyDescent="0.25"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 spans="11:50" x14ac:dyDescent="0.25"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 spans="11:50" x14ac:dyDescent="0.25"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 spans="11:50" x14ac:dyDescent="0.25"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 spans="11:50" x14ac:dyDescent="0.25"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 spans="11:50" x14ac:dyDescent="0.25"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 spans="11:50" x14ac:dyDescent="0.25"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 spans="11:50" x14ac:dyDescent="0.25"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 spans="11:50" x14ac:dyDescent="0.25"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 spans="11:50" x14ac:dyDescent="0.25"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</sheetData>
  <printOptions horizontalCentered="1" verticalCentered="1"/>
  <pageMargins left="0.75" right="0.75" top="0.43" bottom="0.37" header="0.3" footer="0.3"/>
  <pageSetup scale="85" orientation="landscape" horizontalDpi="300" verticalDpi="300"/>
  <headerFooter alignWithMargins="0">
    <oddHeader>&amp;C&amp;"Arial,Bold"&amp;12Environment Activities</oddHeader>
    <oddFooter>&amp;C-11-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44"/>
  <sheetViews>
    <sheetView showGridLines="0" topLeftCell="A21" workbookViewId="0">
      <selection activeCell="B36" sqref="B36"/>
    </sheetView>
  </sheetViews>
  <sheetFormatPr defaultColWidth="8.81640625" defaultRowHeight="12.5" x14ac:dyDescent="0.25"/>
  <cols>
    <col min="1" max="1" width="3" style="175" customWidth="1"/>
    <col min="2" max="2" width="39.81640625" customWidth="1"/>
    <col min="3" max="3" width="13.453125" customWidth="1"/>
    <col min="4" max="4" width="18.81640625" customWidth="1"/>
    <col min="5" max="5" width="15" customWidth="1"/>
    <col min="6" max="6" width="12.453125" customWidth="1"/>
    <col min="7" max="7" width="37.81640625" customWidth="1"/>
    <col min="8" max="8" width="8.36328125" customWidth="1"/>
    <col min="9" max="9" width="10.1796875" customWidth="1"/>
    <col min="10" max="12" width="0" hidden="1" customWidth="1"/>
  </cols>
  <sheetData>
    <row r="1" spans="1:97" ht="15.5" x14ac:dyDescent="0.35">
      <c r="A1" s="145" t="s">
        <v>208</v>
      </c>
      <c r="B1" s="27" t="s">
        <v>209</v>
      </c>
      <c r="C1" s="90" t="s">
        <v>99</v>
      </c>
      <c r="D1" s="91"/>
      <c r="E1" s="91"/>
      <c r="F1" s="91"/>
      <c r="G1" s="92"/>
      <c r="H1" s="31"/>
      <c r="I1" s="31"/>
      <c r="J1" s="31"/>
      <c r="K1" s="31"/>
      <c r="L1" s="31"/>
      <c r="M1" s="31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</row>
    <row r="2" spans="1:97" ht="13" x14ac:dyDescent="0.3">
      <c r="A2" s="146"/>
      <c r="B2" s="7"/>
      <c r="C2" s="94" t="s">
        <v>210</v>
      </c>
      <c r="D2" s="22"/>
      <c r="E2" s="22"/>
      <c r="F2" s="22"/>
      <c r="G2" s="95"/>
      <c r="H2" s="31"/>
      <c r="I2" s="31"/>
      <c r="J2" s="31"/>
      <c r="K2" s="31"/>
      <c r="L2" s="31"/>
      <c r="M2" s="31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</row>
    <row r="3" spans="1:97" ht="13" x14ac:dyDescent="0.3">
      <c r="A3" s="148"/>
      <c r="B3" s="15"/>
      <c r="C3" s="96" t="s">
        <v>4</v>
      </c>
      <c r="D3" s="97"/>
      <c r="E3" s="97"/>
      <c r="F3" s="97"/>
      <c r="G3" s="98"/>
      <c r="H3" s="31"/>
      <c r="I3" s="31"/>
      <c r="J3" s="31"/>
      <c r="K3" s="31"/>
      <c r="L3" s="31"/>
      <c r="M3" s="31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</row>
    <row r="4" spans="1:97" ht="12.75" customHeight="1" x14ac:dyDescent="0.3">
      <c r="A4" s="146"/>
      <c r="B4" s="34" t="s">
        <v>211</v>
      </c>
      <c r="C4" s="314" t="s">
        <v>212</v>
      </c>
      <c r="D4" s="111"/>
      <c r="E4" s="46" t="s">
        <v>213</v>
      </c>
      <c r="F4" s="46" t="s">
        <v>6</v>
      </c>
      <c r="G4" s="260" t="s">
        <v>214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</row>
    <row r="5" spans="1:97" ht="13" x14ac:dyDescent="0.3">
      <c r="A5" s="146"/>
      <c r="B5" s="34" t="s">
        <v>13</v>
      </c>
      <c r="C5" s="315" t="s">
        <v>215</v>
      </c>
      <c r="D5" s="179"/>
      <c r="E5" s="46" t="s">
        <v>216</v>
      </c>
      <c r="F5" s="46" t="s">
        <v>166</v>
      </c>
      <c r="G5" s="249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</row>
    <row r="6" spans="1:97" ht="13" x14ac:dyDescent="0.3">
      <c r="A6" s="146"/>
      <c r="B6" s="34" t="s">
        <v>136</v>
      </c>
      <c r="C6" s="315" t="s">
        <v>217</v>
      </c>
      <c r="D6" s="179"/>
      <c r="E6" s="46" t="s">
        <v>218</v>
      </c>
      <c r="F6" s="46" t="s">
        <v>77</v>
      </c>
      <c r="G6" s="249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</row>
    <row r="7" spans="1:97" x14ac:dyDescent="0.25">
      <c r="A7" s="146"/>
      <c r="B7" s="5"/>
      <c r="C7" s="178"/>
      <c r="D7" s="179"/>
      <c r="E7" s="46" t="s">
        <v>14</v>
      </c>
      <c r="F7" s="46" t="s">
        <v>80</v>
      </c>
      <c r="G7" s="249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</row>
    <row r="8" spans="1:97" s="8" customFormat="1" x14ac:dyDescent="0.25">
      <c r="A8" s="148"/>
      <c r="B8" s="5"/>
      <c r="C8" s="182"/>
      <c r="D8" s="130"/>
      <c r="E8" s="212" t="s">
        <v>19</v>
      </c>
      <c r="F8" s="212" t="s">
        <v>82</v>
      </c>
      <c r="G8" s="19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</row>
    <row r="9" spans="1:97" s="8" customFormat="1" ht="14.25" customHeight="1" x14ac:dyDescent="0.35">
      <c r="A9" s="72">
        <v>1</v>
      </c>
      <c r="B9" s="192" t="s">
        <v>219</v>
      </c>
      <c r="C9" s="60" t="s">
        <v>150</v>
      </c>
      <c r="D9" s="261"/>
      <c r="E9" s="231"/>
      <c r="F9" s="231"/>
      <c r="G9" s="262"/>
      <c r="H9" s="5"/>
      <c r="I9" s="5"/>
      <c r="J9" s="5">
        <v>12</v>
      </c>
      <c r="K9" s="5">
        <v>1</v>
      </c>
      <c r="L9" s="5">
        <f ca="1">'Environment Activities, p. 13'!$D22</f>
        <v>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</row>
    <row r="10" spans="1:97" s="8" customFormat="1" ht="14.25" customHeight="1" x14ac:dyDescent="0.25">
      <c r="A10" s="17"/>
      <c r="B10" s="263" t="s">
        <v>220</v>
      </c>
      <c r="C10" s="60" t="s">
        <v>221</v>
      </c>
      <c r="D10" s="62"/>
      <c r="E10" s="174"/>
      <c r="F10" s="174"/>
      <c r="G10" s="264"/>
      <c r="H10" s="5"/>
      <c r="I10" s="5"/>
      <c r="J10" s="5">
        <v>12</v>
      </c>
      <c r="K10" s="5">
        <v>1.1000000000000001</v>
      </c>
      <c r="L10" s="5">
        <f ca="1">'Environment Activities, p. 13'!$D23</f>
        <v>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</row>
    <row r="11" spans="1:97" ht="28.5" customHeight="1" thickBot="1" x14ac:dyDescent="0.3">
      <c r="A11" s="72">
        <v>2</v>
      </c>
      <c r="B11" s="20" t="s">
        <v>222</v>
      </c>
      <c r="C11" s="74" t="s">
        <v>150</v>
      </c>
      <c r="D11" s="227"/>
      <c r="E11" s="231"/>
      <c r="F11" s="231"/>
      <c r="G11" s="265"/>
      <c r="H11" s="5"/>
      <c r="I11" s="5"/>
      <c r="J11" s="5">
        <v>12</v>
      </c>
      <c r="K11" s="5">
        <v>2</v>
      </c>
      <c r="L11" s="5">
        <f ca="1">'Environment Activities, p. 13'!$D24</f>
        <v>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</row>
    <row r="12" spans="1:97" s="8" customFormat="1" ht="21.75" customHeight="1" thickBot="1" x14ac:dyDescent="0.3">
      <c r="A12" s="77"/>
      <c r="B12" s="266"/>
      <c r="C12" s="74" t="s">
        <v>148</v>
      </c>
      <c r="D12" s="227"/>
      <c r="E12" s="174"/>
      <c r="F12" s="174"/>
      <c r="G12" s="79"/>
      <c r="H12" s="5"/>
      <c r="I12" s="5"/>
      <c r="J12" s="5">
        <v>12</v>
      </c>
      <c r="K12" s="5">
        <v>2.1</v>
      </c>
      <c r="L12" s="5">
        <f ca="1">'Environment Activities, p. 13'!$D25</f>
        <v>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</row>
    <row r="13" spans="1:97" ht="30.75" customHeight="1" thickBot="1" x14ac:dyDescent="0.3">
      <c r="A13" s="72">
        <v>3</v>
      </c>
      <c r="B13" s="267" t="s">
        <v>223</v>
      </c>
      <c r="C13" s="194" t="s">
        <v>224</v>
      </c>
      <c r="D13" s="231"/>
      <c r="E13" s="231"/>
      <c r="F13" s="231"/>
      <c r="G13" s="265"/>
      <c r="H13" s="5"/>
      <c r="I13" s="5"/>
      <c r="J13" s="5">
        <v>12</v>
      </c>
      <c r="K13" s="5">
        <v>3</v>
      </c>
      <c r="L13" s="5" t="e">
        <f ca="1">'Environment Activities, p. 13'!#REF!</f>
        <v>#REF!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</row>
    <row r="14" spans="1:97" s="8" customFormat="1" ht="21" customHeight="1" thickBot="1" x14ac:dyDescent="0.3">
      <c r="A14" s="77"/>
      <c r="B14" s="268"/>
      <c r="D14" s="174"/>
      <c r="E14" s="174"/>
      <c r="F14" s="174"/>
      <c r="G14" s="79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</row>
    <row r="15" spans="1:97" ht="17.25" customHeight="1" x14ac:dyDescent="0.25">
      <c r="A15" s="72">
        <v>4</v>
      </c>
      <c r="B15" s="267" t="s">
        <v>225</v>
      </c>
      <c r="C15" s="201" t="s">
        <v>226</v>
      </c>
      <c r="D15" s="227"/>
      <c r="E15" s="75"/>
      <c r="F15" s="231"/>
      <c r="G15" s="265"/>
      <c r="H15" s="5"/>
      <c r="I15" s="5"/>
      <c r="J15" s="5">
        <v>12</v>
      </c>
      <c r="K15" s="5">
        <v>4</v>
      </c>
      <c r="L15" s="5">
        <f ca="1">'Environment Activities, p. 13'!$D27</f>
        <v>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</row>
    <row r="16" spans="1:97" s="8" customFormat="1" ht="18" customHeight="1" x14ac:dyDescent="0.25">
      <c r="A16" s="143"/>
      <c r="B16" s="195" t="s">
        <v>227</v>
      </c>
      <c r="C16" s="201" t="s">
        <v>228</v>
      </c>
      <c r="D16" s="227"/>
      <c r="E16" s="25"/>
      <c r="F16" s="174"/>
      <c r="G16" s="79"/>
      <c r="H16" s="5"/>
      <c r="I16" s="5"/>
      <c r="J16" s="5">
        <v>12</v>
      </c>
      <c r="K16" s="5">
        <v>4.0999999999999996</v>
      </c>
      <c r="L16" s="5">
        <f ca="1">'Environment Activities, p. 13'!$D28</f>
        <v>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</row>
    <row r="17" spans="1:96" ht="39" customHeight="1" thickBot="1" x14ac:dyDescent="0.3">
      <c r="A17" s="72">
        <v>5</v>
      </c>
      <c r="B17" s="192" t="s">
        <v>229</v>
      </c>
      <c r="C17" s="194" t="s">
        <v>230</v>
      </c>
      <c r="D17" s="231"/>
      <c r="E17" s="231"/>
      <c r="F17" s="231"/>
      <c r="G17" s="265"/>
      <c r="H17" s="5"/>
      <c r="I17" s="5"/>
      <c r="J17" s="5">
        <v>12</v>
      </c>
      <c r="K17" s="5">
        <v>5</v>
      </c>
      <c r="L17" s="5">
        <f ca="1">'Environment Activities, p. 13'!$D29</f>
        <v>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</row>
    <row r="18" spans="1:96" s="8" customFormat="1" ht="21" customHeight="1" thickBot="1" x14ac:dyDescent="0.3">
      <c r="A18" s="77"/>
      <c r="B18" s="268"/>
      <c r="C18" s="269"/>
      <c r="D18" s="270"/>
      <c r="E18" s="174"/>
      <c r="F18" s="174"/>
      <c r="G18" s="79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</row>
    <row r="19" spans="1:96" s="23" customFormat="1" ht="25.5" customHeight="1" x14ac:dyDescent="0.25">
      <c r="A19" s="65">
        <v>6</v>
      </c>
      <c r="B19" s="21" t="s">
        <v>231</v>
      </c>
      <c r="C19" s="67" t="s">
        <v>232</v>
      </c>
      <c r="D19" s="68"/>
      <c r="E19" s="68"/>
      <c r="F19" s="68"/>
      <c r="G19" s="271"/>
      <c r="H19" s="5"/>
      <c r="I19" s="5"/>
      <c r="J19" s="5">
        <v>12</v>
      </c>
      <c r="K19" s="5">
        <v>6</v>
      </c>
      <c r="L19" s="5">
        <f ca="1">'Environment Activities, p. 13'!$D31</f>
        <v>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</row>
    <row r="20" spans="1:96" ht="38.25" customHeight="1" thickBot="1" x14ac:dyDescent="0.3">
      <c r="A20" s="72">
        <v>7</v>
      </c>
      <c r="B20" s="272" t="s">
        <v>233</v>
      </c>
      <c r="C20" s="194" t="s">
        <v>234</v>
      </c>
      <c r="D20" s="231"/>
      <c r="E20" s="231"/>
      <c r="F20" s="231"/>
      <c r="G20" s="265"/>
      <c r="H20" s="5"/>
      <c r="I20" s="5"/>
      <c r="J20" s="5">
        <v>12</v>
      </c>
      <c r="K20" s="5">
        <v>7</v>
      </c>
      <c r="L20" s="5">
        <f ca="1">'Environment Activities, p. 13'!$D32</f>
        <v>0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</row>
    <row r="21" spans="1:96" s="8" customFormat="1" ht="27" customHeight="1" thickBot="1" x14ac:dyDescent="0.3">
      <c r="A21" s="77"/>
      <c r="B21" s="257"/>
      <c r="C21" s="60"/>
      <c r="D21" s="174"/>
      <c r="E21" s="174"/>
      <c r="F21" s="174"/>
      <c r="G21" s="79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</row>
    <row r="22" spans="1:96" s="8" customFormat="1" ht="36.75" customHeight="1" thickBot="1" x14ac:dyDescent="0.3">
      <c r="A22" s="81">
        <v>8</v>
      </c>
      <c r="B22" s="273" t="s">
        <v>235</v>
      </c>
      <c r="C22" s="74" t="s">
        <v>236</v>
      </c>
      <c r="D22" s="231"/>
      <c r="E22" s="231"/>
      <c r="F22" s="231"/>
      <c r="G22" s="265"/>
      <c r="H22" s="5"/>
      <c r="I22" s="5"/>
      <c r="J22" s="5">
        <v>12</v>
      </c>
      <c r="K22" s="5">
        <v>8</v>
      </c>
      <c r="L22" s="5">
        <f ca="1">'Environment Activities, p. 13'!$D34</f>
        <v>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</row>
    <row r="23" spans="1:96" s="8" customFormat="1" ht="21.75" customHeight="1" thickBot="1" x14ac:dyDescent="0.3">
      <c r="A23" s="77"/>
      <c r="B23" s="268"/>
      <c r="C23" s="274"/>
      <c r="D23" s="174"/>
      <c r="E23" s="174"/>
      <c r="F23" s="174"/>
      <c r="G23" s="79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</row>
    <row r="24" spans="1:96" s="8" customFormat="1" ht="38.25" customHeight="1" thickBot="1" x14ac:dyDescent="0.3">
      <c r="A24" s="81">
        <v>9</v>
      </c>
      <c r="B24" s="273" t="s">
        <v>237</v>
      </c>
      <c r="C24" s="74" t="s">
        <v>155</v>
      </c>
      <c r="D24" s="231"/>
      <c r="E24" s="231"/>
      <c r="F24" s="231"/>
      <c r="G24" s="265"/>
      <c r="H24" s="5"/>
      <c r="I24" s="5"/>
      <c r="J24" s="5">
        <v>12</v>
      </c>
      <c r="K24" s="5">
        <v>9</v>
      </c>
      <c r="L24" s="5">
        <f ca="1">'Environment Activities, p. 13'!$D36</f>
        <v>0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</row>
    <row r="25" spans="1:96" s="23" customFormat="1" ht="21.75" customHeight="1" thickBot="1" x14ac:dyDescent="0.3">
      <c r="A25" s="275"/>
      <c r="B25" s="276"/>
      <c r="C25" s="277"/>
      <c r="D25" s="174"/>
      <c r="E25" s="270"/>
      <c r="F25" s="270"/>
      <c r="G25" s="270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</row>
    <row r="26" spans="1:96" ht="23.25" customHeight="1" thickBot="1" x14ac:dyDescent="0.3">
      <c r="A26" s="81">
        <v>10</v>
      </c>
      <c r="B26" s="249" t="s">
        <v>207</v>
      </c>
      <c r="C26" s="83" t="s">
        <v>38</v>
      </c>
      <c r="D26" s="230"/>
      <c r="E26" s="75"/>
      <c r="F26" s="231"/>
      <c r="G26" s="265"/>
      <c r="H26" s="5"/>
      <c r="I26" s="5"/>
      <c r="J26" s="5">
        <v>12</v>
      </c>
      <c r="K26" s="5">
        <v>10</v>
      </c>
      <c r="L26" s="5">
        <f ca="1">'Environment Activities, p. 13'!$D38</f>
        <v>0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</row>
    <row r="27" spans="1:96" s="5" customFormat="1" ht="28.5" customHeight="1" thickBot="1" x14ac:dyDescent="0.3">
      <c r="A27" s="77"/>
      <c r="B27" s="278"/>
      <c r="C27" s="86"/>
      <c r="D27" s="87"/>
      <c r="E27" s="25"/>
      <c r="F27" s="174"/>
      <c r="G27" s="79"/>
    </row>
    <row r="28" spans="1:96" x14ac:dyDescent="0.25">
      <c r="A28" s="279"/>
      <c r="B28" s="5"/>
      <c r="C28" s="16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</row>
    <row r="29" spans="1:96" x14ac:dyDescent="0.25">
      <c r="A29" s="27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</row>
    <row r="30" spans="1:96" x14ac:dyDescent="0.25">
      <c r="A30" s="279" t="s">
        <v>97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</row>
    <row r="31" spans="1:96" x14ac:dyDescent="0.25">
      <c r="A31" s="27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</row>
    <row r="32" spans="1:96" x14ac:dyDescent="0.25">
      <c r="A32" s="27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</row>
    <row r="33" spans="1:56" x14ac:dyDescent="0.25">
      <c r="A33" s="279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</row>
    <row r="34" spans="1:56" x14ac:dyDescent="0.25">
      <c r="A34" s="27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</row>
    <row r="35" spans="1:56" x14ac:dyDescent="0.25">
      <c r="A35" s="27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</row>
    <row r="36" spans="1:56" x14ac:dyDescent="0.25">
      <c r="A36" s="27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</row>
    <row r="37" spans="1:56" x14ac:dyDescent="0.25">
      <c r="A37" s="279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</row>
    <row r="38" spans="1:56" x14ac:dyDescent="0.2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</row>
    <row r="39" spans="1:56" x14ac:dyDescent="0.25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</row>
    <row r="40" spans="1:56" x14ac:dyDescent="0.2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</row>
    <row r="41" spans="1:56" x14ac:dyDescent="0.2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</row>
    <row r="42" spans="1:56" x14ac:dyDescent="0.2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</row>
    <row r="43" spans="1:56" x14ac:dyDescent="0.2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spans="1:56" x14ac:dyDescent="0.2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spans="1:56" x14ac:dyDescent="0.2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spans="1:56" x14ac:dyDescent="0.2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spans="1:56" x14ac:dyDescent="0.2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spans="1:56" x14ac:dyDescent="0.2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</row>
    <row r="49" spans="1:36" x14ac:dyDescent="0.2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</row>
    <row r="50" spans="1:36" x14ac:dyDescent="0.2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</row>
    <row r="51" spans="1:36" x14ac:dyDescent="0.2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x14ac:dyDescent="0.2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x14ac:dyDescent="0.25"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spans="1:36" x14ac:dyDescent="0.25"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spans="1:36" x14ac:dyDescent="0.25"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spans="1:36" x14ac:dyDescent="0.25"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36" x14ac:dyDescent="0.25"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</row>
    <row r="59" spans="1:36" x14ac:dyDescent="0.25"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</row>
    <row r="61" spans="1:36" x14ac:dyDescent="0.25"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</row>
    <row r="62" spans="1:36" x14ac:dyDescent="0.25"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</row>
    <row r="63" spans="1:36" x14ac:dyDescent="0.25"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x14ac:dyDescent="0.25"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</row>
    <row r="65" spans="10:36" x14ac:dyDescent="0.25"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</row>
    <row r="66" spans="10:36" x14ac:dyDescent="0.25"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</row>
    <row r="67" spans="10:36" x14ac:dyDescent="0.25"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</row>
    <row r="68" spans="10:36" x14ac:dyDescent="0.25"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</row>
    <row r="69" spans="10:36" x14ac:dyDescent="0.25"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</row>
    <row r="70" spans="10:36" x14ac:dyDescent="0.25"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</row>
    <row r="71" spans="10:36" x14ac:dyDescent="0.25"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</row>
    <row r="72" spans="10:36" x14ac:dyDescent="0.25"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</row>
    <row r="73" spans="10:36" x14ac:dyDescent="0.25"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</row>
    <row r="74" spans="10:36" x14ac:dyDescent="0.25"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</row>
    <row r="75" spans="10:36" x14ac:dyDescent="0.25"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</row>
    <row r="76" spans="10:36" x14ac:dyDescent="0.25"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</row>
    <row r="77" spans="10:36" x14ac:dyDescent="0.25"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</row>
    <row r="78" spans="10:36" x14ac:dyDescent="0.25"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</row>
    <row r="79" spans="10:36" x14ac:dyDescent="0.25"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</row>
    <row r="80" spans="10:36" x14ac:dyDescent="0.25"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</row>
    <row r="81" spans="10:36" x14ac:dyDescent="0.25"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</row>
    <row r="82" spans="10:36" x14ac:dyDescent="0.25"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</row>
    <row r="83" spans="10:36" x14ac:dyDescent="0.25"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</row>
    <row r="84" spans="10:36" x14ac:dyDescent="0.25"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</row>
    <row r="85" spans="10:36" x14ac:dyDescent="0.25"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</row>
    <row r="86" spans="10:36" x14ac:dyDescent="0.25"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</row>
    <row r="87" spans="10:36" x14ac:dyDescent="0.25"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</row>
    <row r="88" spans="10:36" x14ac:dyDescent="0.25"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</row>
    <row r="89" spans="10:36" x14ac:dyDescent="0.25"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</row>
    <row r="90" spans="10:36" x14ac:dyDescent="0.25"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</row>
    <row r="91" spans="10:36" x14ac:dyDescent="0.25"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</row>
    <row r="92" spans="10:36" x14ac:dyDescent="0.25"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</row>
    <row r="93" spans="10:36" x14ac:dyDescent="0.25"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</row>
    <row r="94" spans="10:36" x14ac:dyDescent="0.25"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</row>
    <row r="95" spans="10:36" x14ac:dyDescent="0.25"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</row>
    <row r="96" spans="10:36" x14ac:dyDescent="0.25"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7" spans="10:36" x14ac:dyDescent="0.25"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</row>
    <row r="98" spans="10:36" x14ac:dyDescent="0.25"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</row>
    <row r="99" spans="10:36" x14ac:dyDescent="0.25"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</row>
    <row r="100" spans="10:36" x14ac:dyDescent="0.25"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</row>
    <row r="101" spans="10:36" x14ac:dyDescent="0.25"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</row>
    <row r="102" spans="10:36" x14ac:dyDescent="0.25"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</row>
    <row r="103" spans="10:36" x14ac:dyDescent="0.25"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</row>
    <row r="104" spans="10:36" x14ac:dyDescent="0.25"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</row>
    <row r="105" spans="10:36" x14ac:dyDescent="0.25"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</row>
    <row r="106" spans="10:36" x14ac:dyDescent="0.25"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</row>
    <row r="107" spans="10:36" x14ac:dyDescent="0.25"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</row>
    <row r="108" spans="10:36" x14ac:dyDescent="0.25"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</row>
    <row r="109" spans="10:36" x14ac:dyDescent="0.25"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</row>
    <row r="110" spans="10:36" x14ac:dyDescent="0.25"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</row>
    <row r="111" spans="10:36" x14ac:dyDescent="0.25"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</row>
    <row r="112" spans="10:36" x14ac:dyDescent="0.25"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</row>
    <row r="113" spans="10:36" x14ac:dyDescent="0.25"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</row>
    <row r="114" spans="10:36" x14ac:dyDescent="0.25"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</row>
    <row r="115" spans="10:36" x14ac:dyDescent="0.25"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</row>
    <row r="116" spans="10:36" x14ac:dyDescent="0.25"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</row>
    <row r="117" spans="10:36" x14ac:dyDescent="0.25"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</row>
    <row r="118" spans="10:36" x14ac:dyDescent="0.25"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</row>
    <row r="119" spans="10:36" x14ac:dyDescent="0.25"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</row>
    <row r="120" spans="10:36" x14ac:dyDescent="0.25"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</row>
    <row r="121" spans="10:36" x14ac:dyDescent="0.25"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</row>
    <row r="122" spans="10:36" x14ac:dyDescent="0.25"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</row>
    <row r="123" spans="10:36" x14ac:dyDescent="0.25"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</row>
    <row r="124" spans="10:36" x14ac:dyDescent="0.25"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</row>
    <row r="125" spans="10:36" x14ac:dyDescent="0.25"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</row>
    <row r="126" spans="10:36" x14ac:dyDescent="0.25"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</row>
    <row r="127" spans="10:36" x14ac:dyDescent="0.25"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</row>
    <row r="128" spans="10:36" x14ac:dyDescent="0.25"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</row>
    <row r="129" spans="10:36" x14ac:dyDescent="0.25"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</row>
    <row r="130" spans="10:36" x14ac:dyDescent="0.25"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</row>
    <row r="131" spans="10:36" x14ac:dyDescent="0.25"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</row>
    <row r="132" spans="10:36" x14ac:dyDescent="0.25"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</row>
    <row r="133" spans="10:36" x14ac:dyDescent="0.25"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</row>
    <row r="134" spans="10:36" x14ac:dyDescent="0.25"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</row>
    <row r="135" spans="10:36" x14ac:dyDescent="0.25"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</row>
    <row r="136" spans="10:36" x14ac:dyDescent="0.25"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</row>
    <row r="137" spans="10:36" x14ac:dyDescent="0.25"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</row>
    <row r="138" spans="10:36" x14ac:dyDescent="0.25"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</row>
    <row r="139" spans="10:36" x14ac:dyDescent="0.25"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</row>
    <row r="140" spans="10:36" x14ac:dyDescent="0.25"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</row>
    <row r="141" spans="10:36" x14ac:dyDescent="0.25"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</row>
    <row r="142" spans="10:36" x14ac:dyDescent="0.25"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</row>
    <row r="143" spans="10:36" x14ac:dyDescent="0.25"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</row>
    <row r="144" spans="10:36" x14ac:dyDescent="0.25"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</row>
  </sheetData>
  <printOptions horizontalCentered="1" verticalCentered="1"/>
  <pageMargins left="0.5" right="0.5" top="0.75" bottom="0.49" header="0.5" footer="0.28000000000000003"/>
  <pageSetup scale="90" orientation="landscape" horizontalDpi="300" verticalDpi="300"/>
  <headerFooter alignWithMargins="0">
    <oddHeader>&amp;C&amp;"Arial,Bold"&amp;12Environment Activities</oddHeader>
    <oddFooter>&amp;C-12-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86"/>
  <sheetViews>
    <sheetView showGridLines="0" workbookViewId="0">
      <selection activeCell="D15" sqref="D15"/>
    </sheetView>
  </sheetViews>
  <sheetFormatPr defaultColWidth="8.81640625" defaultRowHeight="12.5" x14ac:dyDescent="0.25"/>
  <cols>
    <col min="1" max="1" width="3" customWidth="1"/>
    <col min="2" max="2" width="33.1796875" customWidth="1"/>
    <col min="3" max="6" width="12.453125" customWidth="1"/>
    <col min="7" max="7" width="10.453125" customWidth="1"/>
    <col min="8" max="8" width="30.453125" customWidth="1"/>
    <col min="9" max="9" width="25.6328125" customWidth="1"/>
    <col min="10" max="10" width="12.6328125" customWidth="1"/>
    <col min="11" max="11" width="9" hidden="1" customWidth="1"/>
    <col min="12" max="13" width="0" hidden="1" customWidth="1"/>
  </cols>
  <sheetData>
    <row r="1" spans="1:66" ht="13" x14ac:dyDescent="0.3">
      <c r="A1" s="10"/>
      <c r="B1" s="10"/>
      <c r="C1" s="90" t="s">
        <v>238</v>
      </c>
      <c r="D1" s="91"/>
      <c r="E1" s="91"/>
      <c r="F1" s="91"/>
      <c r="G1" s="91"/>
      <c r="H1" s="91"/>
      <c r="I1" s="92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spans="1:66" ht="13.5" customHeight="1" x14ac:dyDescent="0.35">
      <c r="A2" s="6"/>
      <c r="B2" s="280" t="s">
        <v>239</v>
      </c>
      <c r="C2" s="94" t="s">
        <v>70</v>
      </c>
      <c r="D2" s="22"/>
      <c r="E2" s="22"/>
      <c r="F2" s="22"/>
      <c r="G2" s="22"/>
      <c r="H2" s="22"/>
      <c r="I2" s="9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</row>
    <row r="3" spans="1:66" s="8" customFormat="1" ht="13" x14ac:dyDescent="0.3">
      <c r="A3" s="14"/>
      <c r="B3" s="15"/>
      <c r="C3" s="96" t="s">
        <v>240</v>
      </c>
      <c r="D3" s="97"/>
      <c r="E3" s="97"/>
      <c r="F3" s="97"/>
      <c r="G3" s="97"/>
      <c r="H3" s="97"/>
      <c r="I3" s="98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</row>
    <row r="4" spans="1:66" ht="12.75" customHeight="1" x14ac:dyDescent="0.3">
      <c r="A4" s="6"/>
      <c r="B4" s="49" t="s">
        <v>241</v>
      </c>
      <c r="D4" s="281"/>
      <c r="F4" s="13"/>
      <c r="G4" s="46" t="s">
        <v>6</v>
      </c>
      <c r="H4" s="282" t="s">
        <v>5</v>
      </c>
      <c r="I4" s="10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</row>
    <row r="5" spans="1:66" ht="12.75" customHeight="1" x14ac:dyDescent="0.3">
      <c r="A5" s="6"/>
      <c r="B5" s="34" t="s">
        <v>242</v>
      </c>
      <c r="C5" s="283" t="s">
        <v>243</v>
      </c>
      <c r="D5" s="284"/>
      <c r="E5" s="50" t="s">
        <v>244</v>
      </c>
      <c r="F5" s="54"/>
      <c r="G5" s="46" t="s">
        <v>10</v>
      </c>
      <c r="H5" s="282" t="s">
        <v>7</v>
      </c>
      <c r="I5" s="53" t="s">
        <v>245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</row>
    <row r="6" spans="1:66" ht="13" x14ac:dyDescent="0.3">
      <c r="A6" s="6"/>
      <c r="B6" s="34" t="s">
        <v>48</v>
      </c>
      <c r="C6" s="283" t="s">
        <v>246</v>
      </c>
      <c r="D6" s="284"/>
      <c r="E6" s="283" t="s">
        <v>19</v>
      </c>
      <c r="F6" s="284"/>
      <c r="G6" s="46" t="s">
        <v>77</v>
      </c>
      <c r="H6" s="285" t="s">
        <v>247</v>
      </c>
      <c r="I6" s="180" t="s">
        <v>248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</row>
    <row r="7" spans="1:66" ht="12.75" customHeight="1" x14ac:dyDescent="0.25">
      <c r="A7" s="6"/>
      <c r="B7" s="6"/>
      <c r="C7" s="286"/>
      <c r="D7" s="287"/>
      <c r="G7" s="288" t="s">
        <v>249</v>
      </c>
      <c r="H7" s="285" t="s">
        <v>250</v>
      </c>
      <c r="I7" s="180" t="s">
        <v>251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</row>
    <row r="8" spans="1:66" x14ac:dyDescent="0.25">
      <c r="A8" s="6"/>
      <c r="B8" s="5"/>
      <c r="C8" s="289"/>
      <c r="D8" s="290"/>
      <c r="E8" s="289"/>
      <c r="F8" s="287"/>
      <c r="G8" s="46" t="s">
        <v>252</v>
      </c>
      <c r="H8" s="285" t="s">
        <v>253</v>
      </c>
      <c r="I8" s="183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</row>
    <row r="9" spans="1:66" ht="27.75" customHeight="1" x14ac:dyDescent="0.25">
      <c r="A9" s="251">
        <v>1</v>
      </c>
      <c r="B9" s="192" t="s">
        <v>254</v>
      </c>
      <c r="C9" s="201" t="s">
        <v>255</v>
      </c>
      <c r="D9" s="227"/>
      <c r="E9" s="201" t="s">
        <v>113</v>
      </c>
      <c r="F9" s="253"/>
      <c r="G9" s="253"/>
      <c r="H9" s="76"/>
      <c r="I9" s="76"/>
      <c r="J9" s="5"/>
      <c r="K9" s="5">
        <v>13</v>
      </c>
      <c r="L9" s="5">
        <v>1</v>
      </c>
      <c r="M9" s="5">
        <f ca="1">'Public Safety, p. 14'!$D22</f>
        <v>0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</row>
    <row r="10" spans="1:66" ht="21.75" customHeight="1" x14ac:dyDescent="0.25">
      <c r="A10" s="72">
        <v>2</v>
      </c>
      <c r="B10" s="192" t="s">
        <v>256</v>
      </c>
      <c r="C10" s="201" t="s">
        <v>257</v>
      </c>
      <c r="D10" s="227"/>
      <c r="E10" s="201" t="s">
        <v>258</v>
      </c>
      <c r="F10" s="231"/>
      <c r="G10" s="231"/>
      <c r="H10" s="76"/>
      <c r="I10" s="76"/>
      <c r="J10" s="5"/>
      <c r="K10" s="5">
        <v>13</v>
      </c>
      <c r="L10" s="5">
        <v>2</v>
      </c>
      <c r="M10" s="5">
        <f ca="1">'Public Safety, p. 14'!$D22</f>
        <v>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</row>
    <row r="11" spans="1:66" ht="16.5" customHeight="1" x14ac:dyDescent="0.25">
      <c r="A11" s="143"/>
      <c r="B11" s="195" t="s">
        <v>259</v>
      </c>
      <c r="C11" s="201" t="s">
        <v>260</v>
      </c>
      <c r="D11" s="227"/>
      <c r="E11" s="291"/>
      <c r="F11" s="174"/>
      <c r="G11" s="174"/>
      <c r="H11" s="79"/>
      <c r="I11" s="79"/>
      <c r="J11" s="5"/>
      <c r="K11" s="5">
        <v>13</v>
      </c>
      <c r="L11" s="5">
        <v>2.1</v>
      </c>
      <c r="M11" s="5">
        <f ca="1">'Public Safety, p. 14'!$D22</f>
        <v>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</row>
    <row r="12" spans="1:66" ht="27" customHeight="1" x14ac:dyDescent="0.25">
      <c r="A12" s="251">
        <v>3</v>
      </c>
      <c r="B12" s="192" t="s">
        <v>261</v>
      </c>
      <c r="C12" s="201" t="s">
        <v>262</v>
      </c>
      <c r="D12" s="227"/>
      <c r="E12" s="201" t="s">
        <v>263</v>
      </c>
      <c r="F12" s="253"/>
      <c r="G12" s="253"/>
      <c r="H12" s="76"/>
      <c r="I12" s="76"/>
      <c r="J12" s="5"/>
      <c r="K12" s="5">
        <v>13</v>
      </c>
      <c r="L12" s="5">
        <v>3</v>
      </c>
      <c r="M12" s="5">
        <f ca="1">'Public Safety, p. 14'!$D22</f>
        <v>0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</row>
    <row r="13" spans="1:66" ht="36" customHeight="1" x14ac:dyDescent="0.25">
      <c r="A13" s="251">
        <v>4</v>
      </c>
      <c r="B13" s="192" t="s">
        <v>264</v>
      </c>
      <c r="C13" s="201" t="s">
        <v>265</v>
      </c>
      <c r="D13" s="227"/>
      <c r="E13" s="201" t="s">
        <v>266</v>
      </c>
      <c r="F13" s="253"/>
      <c r="G13" s="253"/>
      <c r="H13" s="76"/>
      <c r="I13" s="76"/>
      <c r="J13" s="5"/>
      <c r="K13" s="5">
        <v>13</v>
      </c>
      <c r="L13" s="5">
        <v>4</v>
      </c>
      <c r="M13" s="5">
        <f ca="1">'Public Safety, p. 14'!$D22</f>
        <v>0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</row>
    <row r="14" spans="1:66" ht="38.25" customHeight="1" x14ac:dyDescent="0.25">
      <c r="A14" s="251">
        <v>5</v>
      </c>
      <c r="B14" s="192" t="s">
        <v>267</v>
      </c>
      <c r="C14" s="201" t="s">
        <v>265</v>
      </c>
      <c r="D14" s="227"/>
      <c r="E14" s="201" t="s">
        <v>266</v>
      </c>
      <c r="F14" s="253"/>
      <c r="G14" s="227"/>
      <c r="H14" s="70"/>
      <c r="I14" s="70"/>
      <c r="J14" s="5"/>
      <c r="K14" s="5">
        <v>13</v>
      </c>
      <c r="L14" s="5">
        <v>5</v>
      </c>
      <c r="M14" s="5">
        <f ca="1">'Public Safety, p. 14'!$D22</f>
        <v>0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</row>
    <row r="15" spans="1:66" s="8" customFormat="1" ht="36.75" customHeight="1" x14ac:dyDescent="0.25">
      <c r="A15" s="65">
        <v>6</v>
      </c>
      <c r="B15" s="292" t="s">
        <v>268</v>
      </c>
      <c r="C15" s="189"/>
      <c r="D15" s="190"/>
      <c r="E15" s="201" t="s">
        <v>269</v>
      </c>
      <c r="F15" s="227"/>
      <c r="G15" s="62"/>
      <c r="H15" s="119"/>
      <c r="I15" s="119"/>
      <c r="J15" s="5"/>
      <c r="K15" s="5">
        <v>13</v>
      </c>
      <c r="L15" s="5">
        <v>6</v>
      </c>
      <c r="M15" s="5">
        <f ca="1">'Public Safety, p. 14'!$D22</f>
        <v>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</row>
    <row r="16" spans="1:66" s="23" customFormat="1" ht="27.75" customHeight="1" x14ac:dyDescent="0.25">
      <c r="A16" s="65">
        <v>7</v>
      </c>
      <c r="B16" s="293" t="s">
        <v>270</v>
      </c>
      <c r="C16" s="294"/>
      <c r="D16" s="190"/>
      <c r="E16" s="201" t="s">
        <v>271</v>
      </c>
      <c r="F16" s="68"/>
      <c r="G16" s="68"/>
      <c r="H16" s="214"/>
      <c r="I16" s="214"/>
      <c r="J16" s="5"/>
      <c r="K16" s="5">
        <v>13</v>
      </c>
      <c r="L16" s="5">
        <v>7</v>
      </c>
      <c r="M16" s="5">
        <f ca="1">'Public Safety, p. 14'!$D22</f>
        <v>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</row>
    <row r="17" spans="1:66" ht="51" customHeight="1" thickBot="1" x14ac:dyDescent="0.3">
      <c r="A17" s="72">
        <v>8</v>
      </c>
      <c r="B17" s="19" t="s">
        <v>272</v>
      </c>
      <c r="C17" s="295"/>
      <c r="D17" s="200"/>
      <c r="E17" s="74" t="s">
        <v>273</v>
      </c>
      <c r="F17" s="231"/>
      <c r="G17" s="231"/>
      <c r="H17" s="76"/>
      <c r="I17" s="76"/>
      <c r="J17" s="5"/>
      <c r="K17" s="5">
        <v>13</v>
      </c>
      <c r="L17" s="5">
        <v>8</v>
      </c>
      <c r="M17" s="5">
        <f ca="1">'Public Safety, p. 14'!$D22</f>
        <v>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</row>
    <row r="18" spans="1:66" s="8" customFormat="1" ht="33" customHeight="1" thickBot="1" x14ac:dyDescent="0.3">
      <c r="A18" s="77"/>
      <c r="B18" s="296"/>
      <c r="C18" s="297"/>
      <c r="D18" s="204"/>
      <c r="E18" s="60"/>
      <c r="F18" s="174"/>
      <c r="G18" s="174"/>
      <c r="H18" s="79"/>
      <c r="I18" s="79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</row>
    <row r="19" spans="1:66" s="8" customFormat="1" ht="49.5" customHeight="1" x14ac:dyDescent="0.25">
      <c r="A19" s="36">
        <v>9</v>
      </c>
      <c r="B19" s="21" t="s">
        <v>274</v>
      </c>
      <c r="C19" s="189"/>
      <c r="D19" s="190"/>
      <c r="E19" s="246" t="s">
        <v>275</v>
      </c>
      <c r="F19" s="62"/>
      <c r="G19" s="62"/>
      <c r="H19" s="119"/>
      <c r="I19" s="119"/>
      <c r="J19" s="5"/>
      <c r="K19" s="5">
        <v>13</v>
      </c>
      <c r="L19" s="5">
        <v>9</v>
      </c>
      <c r="M19" s="5">
        <f ca="1">'Public Safety, p. 14'!$D22</f>
        <v>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</row>
    <row r="20" spans="1:66" s="5" customFormat="1" ht="28.5" customHeight="1" x14ac:dyDescent="0.25">
      <c r="A20" s="251">
        <v>10</v>
      </c>
      <c r="B20" s="192" t="s">
        <v>276</v>
      </c>
      <c r="C20" s="199"/>
      <c r="D20" s="200"/>
      <c r="E20" s="194" t="s">
        <v>277</v>
      </c>
      <c r="F20" s="253"/>
      <c r="G20" s="253"/>
      <c r="H20" s="298"/>
      <c r="I20" s="298"/>
      <c r="K20" s="5">
        <v>13</v>
      </c>
      <c r="L20" s="5">
        <v>10</v>
      </c>
      <c r="M20" s="5">
        <f ca="1">'Public Safety, p. 14'!$D22</f>
        <v>0</v>
      </c>
    </row>
    <row r="21" spans="1:66" ht="25.5" customHeight="1" x14ac:dyDescent="0.25">
      <c r="A21" s="72">
        <v>11</v>
      </c>
      <c r="B21" s="192" t="s">
        <v>278</v>
      </c>
      <c r="C21" s="199"/>
      <c r="D21" s="200"/>
      <c r="E21" s="201" t="s">
        <v>279</v>
      </c>
      <c r="F21" s="227"/>
      <c r="G21" s="231"/>
      <c r="H21" s="76"/>
      <c r="I21" s="76"/>
      <c r="J21" s="5"/>
      <c r="K21" s="5">
        <v>13</v>
      </c>
      <c r="L21" s="5">
        <v>11</v>
      </c>
      <c r="M21" s="5">
        <f ca="1">'Public Safety, p. 14'!$D22</f>
        <v>0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</row>
    <row r="22" spans="1:66" s="8" customFormat="1" ht="25.5" customHeight="1" x14ac:dyDescent="0.25">
      <c r="A22" s="143"/>
      <c r="B22" s="195" t="s">
        <v>280</v>
      </c>
      <c r="C22" s="203"/>
      <c r="D22" s="204"/>
      <c r="E22" s="201" t="s">
        <v>122</v>
      </c>
      <c r="F22" s="299"/>
      <c r="G22" s="174"/>
      <c r="H22" s="79"/>
      <c r="I22" s="79"/>
      <c r="J22" s="5"/>
      <c r="K22" s="5">
        <v>13</v>
      </c>
      <c r="L22" s="5">
        <v>11.1</v>
      </c>
      <c r="M22" s="5">
        <f ca="1">'Public Safety, p. 14'!$D22</f>
        <v>0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</row>
    <row r="23" spans="1:66" ht="23.25" customHeight="1" thickBot="1" x14ac:dyDescent="0.3">
      <c r="A23" s="81">
        <v>12</v>
      </c>
      <c r="B23" s="300" t="s">
        <v>207</v>
      </c>
      <c r="C23" s="301" t="s">
        <v>281</v>
      </c>
      <c r="D23" s="302"/>
      <c r="E23" s="303"/>
      <c r="F23" s="303"/>
      <c r="G23" s="231"/>
      <c r="H23" s="76"/>
      <c r="I23" s="76"/>
      <c r="J23" s="5"/>
      <c r="K23" s="5">
        <v>13</v>
      </c>
      <c r="L23" s="5">
        <v>12</v>
      </c>
      <c r="M23" s="5">
        <f ca="1">'Public Safety, p. 14'!$D22</f>
        <v>0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</row>
    <row r="24" spans="1:66" ht="37.5" customHeight="1" thickBot="1" x14ac:dyDescent="0.3">
      <c r="A24" s="77"/>
      <c r="B24" s="209"/>
      <c r="C24" s="268"/>
      <c r="D24" s="21"/>
      <c r="E24" s="107"/>
      <c r="F24" s="174"/>
      <c r="G24" s="174"/>
      <c r="H24" s="79"/>
      <c r="I24" s="79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</row>
    <row r="25" spans="1:66" x14ac:dyDescent="0.25">
      <c r="B25" s="5"/>
      <c r="C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</row>
    <row r="26" spans="1:66" x14ac:dyDescent="0.25"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</row>
    <row r="27" spans="1:66" x14ac:dyDescent="0.25"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</row>
    <row r="28" spans="1:66" x14ac:dyDescent="0.25"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</row>
    <row r="29" spans="1:66" x14ac:dyDescent="0.25"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</row>
    <row r="30" spans="1:66" x14ac:dyDescent="0.25"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</row>
    <row r="31" spans="1:66" x14ac:dyDescent="0.25"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</row>
    <row r="32" spans="1:66" x14ac:dyDescent="0.25"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</row>
    <row r="33" spans="12:66" x14ac:dyDescent="0.25"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</row>
    <row r="34" spans="12:66" x14ac:dyDescent="0.25"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</row>
    <row r="35" spans="12:66" x14ac:dyDescent="0.25"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</row>
    <row r="36" spans="12:66" x14ac:dyDescent="0.25"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</row>
    <row r="37" spans="12:66" x14ac:dyDescent="0.25"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</row>
    <row r="38" spans="12:66" x14ac:dyDescent="0.25"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</row>
    <row r="39" spans="12:66" x14ac:dyDescent="0.25"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</row>
    <row r="40" spans="12:66" x14ac:dyDescent="0.25"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</row>
    <row r="41" spans="12:66" x14ac:dyDescent="0.25"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</row>
    <row r="42" spans="12:66" x14ac:dyDescent="0.25"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</row>
    <row r="43" spans="12:66" x14ac:dyDescent="0.25"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</row>
    <row r="44" spans="12:66" x14ac:dyDescent="0.25"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</row>
    <row r="45" spans="12:66" x14ac:dyDescent="0.25"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</row>
    <row r="46" spans="12:66" x14ac:dyDescent="0.25"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</row>
    <row r="47" spans="12:66" x14ac:dyDescent="0.25"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</row>
    <row r="48" spans="12:66" x14ac:dyDescent="0.25"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</row>
    <row r="49" spans="12:66" x14ac:dyDescent="0.25"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</row>
    <row r="50" spans="12:66" x14ac:dyDescent="0.25"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</row>
    <row r="51" spans="12:66" x14ac:dyDescent="0.25"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</row>
    <row r="52" spans="12:66" x14ac:dyDescent="0.25"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</row>
    <row r="53" spans="12:66" x14ac:dyDescent="0.25"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</row>
    <row r="54" spans="12:66" x14ac:dyDescent="0.25"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</row>
    <row r="55" spans="12:66" x14ac:dyDescent="0.25"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</row>
    <row r="56" spans="12:66" x14ac:dyDescent="0.25"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</row>
    <row r="57" spans="12:66" x14ac:dyDescent="0.25"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</row>
    <row r="58" spans="12:66" x14ac:dyDescent="0.25"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</row>
    <row r="59" spans="12:66" x14ac:dyDescent="0.25"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</row>
    <row r="60" spans="12:66" x14ac:dyDescent="0.25"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</row>
    <row r="61" spans="12:66" x14ac:dyDescent="0.25"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</row>
    <row r="62" spans="12:66" x14ac:dyDescent="0.25"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</row>
    <row r="63" spans="12:66" x14ac:dyDescent="0.25"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</row>
    <row r="64" spans="12:66" x14ac:dyDescent="0.25"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</row>
    <row r="65" spans="12:66" x14ac:dyDescent="0.25"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</row>
    <row r="66" spans="12:66" x14ac:dyDescent="0.25"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</row>
    <row r="67" spans="12:66" x14ac:dyDescent="0.25"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</row>
    <row r="68" spans="12:66" x14ac:dyDescent="0.25"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</row>
    <row r="69" spans="12:66" x14ac:dyDescent="0.25"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</row>
    <row r="70" spans="12:66" x14ac:dyDescent="0.25"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</row>
    <row r="71" spans="12:66" x14ac:dyDescent="0.25"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</row>
    <row r="72" spans="12:66" x14ac:dyDescent="0.25"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</row>
    <row r="73" spans="12:66" x14ac:dyDescent="0.25"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</row>
    <row r="74" spans="12:66" x14ac:dyDescent="0.25"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</row>
    <row r="75" spans="12:66" x14ac:dyDescent="0.25"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</row>
    <row r="76" spans="12:66" x14ac:dyDescent="0.25"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</row>
    <row r="77" spans="12:66" x14ac:dyDescent="0.25"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</row>
    <row r="78" spans="12:66" x14ac:dyDescent="0.25"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</row>
    <row r="79" spans="12:66" x14ac:dyDescent="0.25"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</row>
    <row r="80" spans="12:66" x14ac:dyDescent="0.25"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</row>
    <row r="81" spans="12:66" x14ac:dyDescent="0.25"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</row>
    <row r="82" spans="12:66" x14ac:dyDescent="0.25"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</row>
    <row r="83" spans="12:66" x14ac:dyDescent="0.25"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</row>
    <row r="84" spans="12:66" x14ac:dyDescent="0.25"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</row>
    <row r="85" spans="12:66" x14ac:dyDescent="0.25"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</row>
    <row r="86" spans="12:66" x14ac:dyDescent="0.25"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</row>
  </sheetData>
  <printOptions horizontalCentered="1" verticalCentered="1"/>
  <pageMargins left="0.49" right="0.5" top="0.64" bottom="0.67" header="0.5" footer="0.5"/>
  <pageSetup scale="85" orientation="landscape" horizontalDpi="300" verticalDpi="300"/>
  <headerFooter alignWithMargins="0">
    <oddHeader>&amp;C&amp;"Arial,Bold"&amp;12Public Safety</oddHeader>
    <oddFooter>&amp;C-13-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21"/>
  <sheetViews>
    <sheetView showGridLines="0" workbookViewId="0">
      <selection activeCell="D8" sqref="D8"/>
    </sheetView>
  </sheetViews>
  <sheetFormatPr defaultColWidth="8.81640625" defaultRowHeight="12.5" x14ac:dyDescent="0.25"/>
  <cols>
    <col min="1" max="1" width="2" customWidth="1"/>
    <col min="2" max="2" width="46.6328125" customWidth="1"/>
    <col min="3" max="3" width="18.1796875" customWidth="1"/>
    <col min="4" max="4" width="56.81640625" style="2" customWidth="1"/>
    <col min="6" max="8" width="0" hidden="1" customWidth="1"/>
  </cols>
  <sheetData>
    <row r="1" spans="1:164" ht="15.5" x14ac:dyDescent="0.35">
      <c r="A1" s="10"/>
      <c r="B1" s="27" t="s">
        <v>282</v>
      </c>
      <c r="C1" s="90" t="s">
        <v>283</v>
      </c>
      <c r="D1" s="92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</row>
    <row r="2" spans="1:164" ht="13" x14ac:dyDescent="0.3">
      <c r="A2" s="6"/>
      <c r="B2" s="7"/>
      <c r="C2" s="94" t="s">
        <v>284</v>
      </c>
      <c r="D2" s="9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</row>
    <row r="3" spans="1:164" s="8" customFormat="1" ht="13" x14ac:dyDescent="0.3">
      <c r="A3" s="14"/>
      <c r="B3" s="15"/>
      <c r="C3" s="96" t="s">
        <v>285</v>
      </c>
      <c r="D3" s="98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</row>
    <row r="4" spans="1:164" ht="13" x14ac:dyDescent="0.3">
      <c r="A4" s="6"/>
      <c r="B4" s="49" t="s">
        <v>74</v>
      </c>
      <c r="C4" s="304" t="s">
        <v>6</v>
      </c>
      <c r="D4" s="305" t="s">
        <v>5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</row>
    <row r="5" spans="1:164" ht="13" x14ac:dyDescent="0.3">
      <c r="A5" s="6"/>
      <c r="B5" s="49" t="s">
        <v>286</v>
      </c>
      <c r="C5" s="304" t="s">
        <v>10</v>
      </c>
      <c r="D5" s="306" t="s">
        <v>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</row>
    <row r="6" spans="1:164" ht="13" x14ac:dyDescent="0.3">
      <c r="A6" s="6"/>
      <c r="B6" s="49" t="s">
        <v>106</v>
      </c>
      <c r="C6" s="304" t="s">
        <v>46</v>
      </c>
      <c r="D6" s="307" t="s">
        <v>287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</row>
    <row r="7" spans="1:164" s="5" customFormat="1" ht="13" x14ac:dyDescent="0.3">
      <c r="A7" s="14"/>
      <c r="B7" s="15"/>
      <c r="C7" s="308" t="s">
        <v>288</v>
      </c>
      <c r="D7" s="148"/>
    </row>
    <row r="8" spans="1:164" ht="52.5" customHeight="1" thickBot="1" x14ac:dyDescent="0.3">
      <c r="A8" s="81">
        <v>1</v>
      </c>
      <c r="B8" s="300" t="s">
        <v>289</v>
      </c>
      <c r="C8" s="230"/>
      <c r="D8" s="309"/>
      <c r="E8" s="5"/>
      <c r="F8" s="5">
        <v>14</v>
      </c>
      <c r="G8" s="5">
        <v>1</v>
      </c>
      <c r="H8" s="5">
        <f ca="1">'Member Development, p. 15'!$D22</f>
        <v>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</row>
    <row r="9" spans="1:164" ht="43.5" customHeight="1" thickBot="1" x14ac:dyDescent="0.3">
      <c r="A9" s="77"/>
      <c r="B9" s="310"/>
      <c r="C9" s="87"/>
      <c r="D9" s="79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</row>
    <row r="10" spans="1:164" s="8" customFormat="1" ht="28.5" customHeight="1" x14ac:dyDescent="0.25">
      <c r="A10" s="36">
        <v>2</v>
      </c>
      <c r="B10" s="21" t="s">
        <v>290</v>
      </c>
      <c r="C10" s="311"/>
      <c r="D10" s="312"/>
      <c r="E10" s="5"/>
      <c r="F10" s="5">
        <v>14</v>
      </c>
      <c r="G10" s="5">
        <v>2</v>
      </c>
      <c r="H10" s="5">
        <f ca="1">'Member Development, p. 15'!$D22</f>
        <v>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164" s="23" customFormat="1" ht="28.5" customHeight="1" x14ac:dyDescent="0.25">
      <c r="A11" s="65">
        <v>3</v>
      </c>
      <c r="B11" s="293" t="s">
        <v>291</v>
      </c>
      <c r="C11" s="313"/>
      <c r="D11" s="312"/>
      <c r="E11" s="5"/>
      <c r="F11" s="5">
        <v>14</v>
      </c>
      <c r="G11" s="5">
        <v>3</v>
      </c>
      <c r="H11" s="5">
        <f ca="1">'Member Development, p. 15'!$D22</f>
        <v>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164" s="23" customFormat="1" ht="30" customHeight="1" x14ac:dyDescent="0.25">
      <c r="A12" s="65">
        <v>4</v>
      </c>
      <c r="B12" s="293" t="s">
        <v>292</v>
      </c>
      <c r="C12" s="313"/>
      <c r="D12" s="312"/>
      <c r="E12" s="5"/>
      <c r="F12" s="5">
        <v>14</v>
      </c>
      <c r="G12" s="5">
        <v>4</v>
      </c>
      <c r="H12" s="5">
        <f ca="1">'Member Development, p. 15'!$D22</f>
        <v>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164" s="23" customFormat="1" ht="30.75" customHeight="1" x14ac:dyDescent="0.25">
      <c r="A13" s="65">
        <v>5</v>
      </c>
      <c r="B13" s="293" t="s">
        <v>293</v>
      </c>
      <c r="C13" s="313"/>
      <c r="D13" s="312"/>
      <c r="E13" s="5"/>
      <c r="F13" s="5">
        <v>14</v>
      </c>
      <c r="G13" s="5">
        <v>5</v>
      </c>
      <c r="H13" s="5">
        <f ca="1">'Member Development, p. 15'!$D22</f>
        <v>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164" s="23" customFormat="1" ht="27.75" customHeight="1" x14ac:dyDescent="0.25">
      <c r="A14" s="65">
        <v>6</v>
      </c>
      <c r="B14" s="293" t="s">
        <v>294</v>
      </c>
      <c r="C14" s="313"/>
      <c r="D14" s="312"/>
      <c r="E14" s="5"/>
      <c r="F14" s="5">
        <v>14</v>
      </c>
      <c r="G14" s="5">
        <v>6</v>
      </c>
      <c r="H14" s="5">
        <f ca="1">'Member Development, p. 15'!$D22</f>
        <v>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164" s="23" customFormat="1" ht="29.25" customHeight="1" x14ac:dyDescent="0.25">
      <c r="A15" s="65">
        <v>7</v>
      </c>
      <c r="B15" s="293" t="s">
        <v>295</v>
      </c>
      <c r="C15" s="313"/>
      <c r="D15" s="312"/>
      <c r="E15" s="5"/>
      <c r="F15" s="5">
        <v>14</v>
      </c>
      <c r="G15" s="5">
        <v>7</v>
      </c>
      <c r="H15" s="5">
        <f ca="1">'Member Development, p. 15'!$D22</f>
        <v>0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164" s="2" customFormat="1" ht="20.25" customHeight="1" thickBot="1" x14ac:dyDescent="0.3">
      <c r="A16" s="81">
        <v>8</v>
      </c>
      <c r="B16" s="300" t="s">
        <v>296</v>
      </c>
      <c r="C16" s="230"/>
      <c r="D16" s="309"/>
      <c r="E16" s="3"/>
      <c r="F16" s="3">
        <v>14</v>
      </c>
      <c r="G16" s="3">
        <v>8</v>
      </c>
      <c r="H16" s="5">
        <f ca="1">'Member Development, p. 15'!$D22</f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</row>
    <row r="17" spans="1:162" s="2" customFormat="1" ht="53.25" customHeight="1" thickBot="1" x14ac:dyDescent="0.3">
      <c r="A17" s="77"/>
      <c r="B17" s="310"/>
      <c r="C17" s="87"/>
      <c r="D17" s="79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</row>
    <row r="18" spans="1:162" x14ac:dyDescent="0.25"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162" x14ac:dyDescent="0.25"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162" x14ac:dyDescent="0.25"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162" x14ac:dyDescent="0.25"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</sheetData>
  <sheetProtection password="C98B" sheet="1" objects="1"/>
  <pageMargins left="0.75" right="0.75" top="1" bottom="1" header="0.5" footer="0.5"/>
  <pageSetup orientation="landscape" horizontalDpi="300" verticalDpi="300"/>
  <headerFooter alignWithMargins="0">
    <oddHeader xml:space="preserve">&amp;C&amp;"Arial,Bold"&amp;12Member Development </oddHeader>
    <oddFooter>&amp;C-14-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Education Activities, p. 7</vt:lpstr>
      <vt:lpstr>Education Activities, p. 8</vt:lpstr>
      <vt:lpstr>Human Needs Activities, p. 9</vt:lpstr>
      <vt:lpstr>Human Needs Activities, p. 10</vt:lpstr>
      <vt:lpstr>Environment Activities, p. 11</vt:lpstr>
      <vt:lpstr>Environment Activities, p. 12</vt:lpstr>
      <vt:lpstr>Environment Activities, p. 13</vt:lpstr>
      <vt:lpstr>Public Safety, p. 14</vt:lpstr>
      <vt:lpstr>Member Development, p. 15</vt:lpstr>
      <vt:lpstr>'Education Activities, p. 7'!Print_Area</vt:lpstr>
      <vt:lpstr>'Education Activities, p. 8'!Print_Area</vt:lpstr>
      <vt:lpstr>'Environment Activities, p. 11'!Print_Area</vt:lpstr>
      <vt:lpstr>'Environment Activities, p. 12'!Print_Area</vt:lpstr>
      <vt:lpstr>'Environment Activities, p. 13'!Print_Area</vt:lpstr>
      <vt:lpstr>'Human Needs Activities, p. 10'!Print_Area</vt:lpstr>
      <vt:lpstr>'Human Needs Activities, p. 9'!Print_Area</vt:lpstr>
      <vt:lpstr>'Member Development, p. 15'!Print_Area</vt:lpstr>
      <vt:lpstr>'Public Safety, p. 14'!Print_Area</vt:lpstr>
    </vt:vector>
  </TitlesOfParts>
  <Company>Corporation for National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Corporation for Nat'l Service</dc:creator>
  <cp:lastModifiedBy>Carina Negreanu</cp:lastModifiedBy>
  <cp:lastPrinted>2000-04-12T20:35:00Z</cp:lastPrinted>
  <dcterms:created xsi:type="dcterms:W3CDTF">1998-01-30T12:11:17Z</dcterms:created>
  <dcterms:modified xsi:type="dcterms:W3CDTF">2020-01-27T11:30:02Z</dcterms:modified>
</cp:coreProperties>
</file>