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9E3E1B9-2BB1-40B0-8984-763DCE28F5B3}" xr6:coauthVersionLast="45" xr6:coauthVersionMax="45" xr10:uidLastSave="{00000000-0000-0000-0000-000000000000}"/>
  <bookViews>
    <workbookView xWindow="2280" yWindow="2280" windowWidth="28800" windowHeight="15460" tabRatio="340"/>
  </bookViews>
  <sheets>
    <sheet name="PHYS102-010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G6" i="1"/>
  <c r="I6" i="1"/>
  <c r="R6" i="1"/>
  <c r="S6" i="1"/>
  <c r="E7" i="1"/>
  <c r="I7" i="1"/>
  <c r="I105" i="1" s="1"/>
  <c r="N7" i="1"/>
  <c r="R7" i="1"/>
  <c r="S7" i="1"/>
  <c r="G8" i="1"/>
  <c r="G105" i="1" s="1"/>
  <c r="S8" i="1"/>
  <c r="M10" i="1"/>
  <c r="M105" i="1" s="1"/>
  <c r="S10" i="1"/>
  <c r="M11" i="1"/>
  <c r="S12" i="1"/>
  <c r="S105" i="1" s="1"/>
  <c r="E13" i="1"/>
  <c r="G13" i="1"/>
  <c r="I13" i="1"/>
  <c r="R13" i="1"/>
  <c r="R105" i="1" s="1"/>
  <c r="E15" i="1"/>
  <c r="F15" i="1"/>
  <c r="G15" i="1"/>
  <c r="I15" i="1"/>
  <c r="R15" i="1"/>
  <c r="S15" i="1"/>
  <c r="E16" i="1"/>
  <c r="I16" i="1"/>
  <c r="E17" i="1"/>
  <c r="I17" i="1"/>
  <c r="N17" i="1"/>
  <c r="N105" i="1" s="1"/>
  <c r="S17" i="1"/>
  <c r="M18" i="1"/>
  <c r="S18" i="1"/>
  <c r="M19" i="1"/>
  <c r="E20" i="1"/>
  <c r="I20" i="1"/>
  <c r="S20" i="1"/>
  <c r="M21" i="1"/>
  <c r="S21" i="1"/>
  <c r="M22" i="1"/>
  <c r="F23" i="1"/>
  <c r="G23" i="1"/>
  <c r="I23" i="1"/>
  <c r="N23" i="1"/>
  <c r="R23" i="1"/>
  <c r="S23" i="1"/>
  <c r="M25" i="1"/>
  <c r="S25" i="1"/>
  <c r="M26" i="1"/>
  <c r="S26" i="1"/>
  <c r="E27" i="1"/>
  <c r="G27" i="1"/>
  <c r="I27" i="1"/>
  <c r="K27" i="1"/>
  <c r="K105" i="1" s="1"/>
  <c r="R27" i="1"/>
  <c r="S27" i="1"/>
  <c r="M28" i="1"/>
  <c r="S28" i="1"/>
  <c r="E29" i="1"/>
  <c r="E105" i="1" s="1"/>
  <c r="F29" i="1"/>
  <c r="G29" i="1"/>
  <c r="I29" i="1"/>
  <c r="N29" i="1"/>
  <c r="R29" i="1"/>
  <c r="S29" i="1"/>
  <c r="R30" i="1"/>
  <c r="S30" i="1"/>
  <c r="M31" i="1"/>
  <c r="S31" i="1"/>
  <c r="M32" i="1"/>
  <c r="S33" i="1"/>
  <c r="E34" i="1"/>
  <c r="G34" i="1"/>
  <c r="I34" i="1"/>
  <c r="R34" i="1"/>
  <c r="S34" i="1"/>
  <c r="P35" i="1"/>
  <c r="P105" i="1" s="1"/>
  <c r="M36" i="1"/>
  <c r="S36" i="1"/>
  <c r="S37" i="1"/>
  <c r="M38" i="1"/>
  <c r="M39" i="1"/>
  <c r="S39" i="1"/>
  <c r="E40" i="1"/>
  <c r="G40" i="1"/>
  <c r="I40" i="1"/>
  <c r="R40" i="1"/>
  <c r="S40" i="1"/>
  <c r="E41" i="1"/>
  <c r="G41" i="1"/>
  <c r="I41" i="1"/>
  <c r="R41" i="1"/>
  <c r="S41" i="1"/>
  <c r="E43" i="1"/>
  <c r="G43" i="1"/>
  <c r="G44" i="1"/>
  <c r="G45" i="1"/>
  <c r="I45" i="1"/>
  <c r="R45" i="1"/>
  <c r="S46" i="1"/>
  <c r="E47" i="1"/>
  <c r="G47" i="1"/>
  <c r="I47" i="1"/>
  <c r="K47" i="1"/>
  <c r="S47" i="1"/>
  <c r="E48" i="1"/>
  <c r="M48" i="1"/>
  <c r="S48" i="1"/>
  <c r="E50" i="1"/>
  <c r="G50" i="1"/>
  <c r="I50" i="1"/>
  <c r="R50" i="1"/>
  <c r="M51" i="1"/>
  <c r="R52" i="1"/>
  <c r="M53" i="1"/>
  <c r="S53" i="1"/>
  <c r="E55" i="1"/>
  <c r="F55" i="1"/>
  <c r="G55" i="1"/>
  <c r="I55" i="1"/>
  <c r="R55" i="1"/>
  <c r="E56" i="1"/>
  <c r="G56" i="1"/>
  <c r="I56" i="1"/>
  <c r="R56" i="1"/>
  <c r="S56" i="1"/>
  <c r="S57" i="1"/>
  <c r="R59" i="1"/>
  <c r="E60" i="1"/>
  <c r="G60" i="1"/>
  <c r="R60" i="1"/>
  <c r="M61" i="1"/>
  <c r="S61" i="1"/>
  <c r="S62" i="1"/>
  <c r="S63" i="1"/>
  <c r="E64" i="1"/>
  <c r="F64" i="1"/>
  <c r="G64" i="1"/>
  <c r="I64" i="1"/>
  <c r="N64" i="1"/>
  <c r="R64" i="1"/>
  <c r="S64" i="1"/>
  <c r="E65" i="1"/>
  <c r="G65" i="1"/>
  <c r="I65" i="1"/>
  <c r="M66" i="1"/>
  <c r="E67" i="1"/>
  <c r="E68" i="1"/>
  <c r="G68" i="1"/>
  <c r="I68" i="1"/>
  <c r="R68" i="1"/>
  <c r="E69" i="1"/>
  <c r="G69" i="1"/>
  <c r="I69" i="1"/>
  <c r="S69" i="1"/>
  <c r="M70" i="1"/>
  <c r="S70" i="1"/>
  <c r="G71" i="1"/>
  <c r="N71" i="1"/>
  <c r="S71" i="1"/>
  <c r="E72" i="1"/>
  <c r="G72" i="1"/>
  <c r="I72" i="1"/>
  <c r="R72" i="1"/>
  <c r="S72" i="1"/>
  <c r="E73" i="1"/>
  <c r="R73" i="1"/>
  <c r="E75" i="1"/>
  <c r="I75" i="1"/>
  <c r="E76" i="1"/>
  <c r="G76" i="1"/>
  <c r="I76" i="1"/>
  <c r="R76" i="1"/>
  <c r="S76" i="1"/>
  <c r="E77" i="1"/>
  <c r="F77" i="1"/>
  <c r="E78" i="1"/>
  <c r="K78" i="1"/>
  <c r="S79" i="1"/>
  <c r="E80" i="1"/>
  <c r="I80" i="1"/>
  <c r="R80" i="1"/>
  <c r="E81" i="1"/>
  <c r="F81" i="1"/>
  <c r="G81" i="1"/>
  <c r="I81" i="1"/>
  <c r="R81" i="1"/>
  <c r="M82" i="1"/>
  <c r="E83" i="1"/>
  <c r="F83" i="1"/>
  <c r="N83" i="1"/>
  <c r="R83" i="1"/>
  <c r="S83" i="1"/>
  <c r="M84" i="1"/>
  <c r="S84" i="1"/>
  <c r="F85" i="1"/>
  <c r="G85" i="1"/>
  <c r="S85" i="1"/>
  <c r="S86" i="1"/>
  <c r="F88" i="1"/>
  <c r="S88" i="1"/>
  <c r="E89" i="1"/>
  <c r="K89" i="1"/>
  <c r="S89" i="1"/>
  <c r="E90" i="1"/>
  <c r="G90" i="1"/>
  <c r="I90" i="1"/>
  <c r="N90" i="1"/>
  <c r="F91" i="1"/>
  <c r="I91" i="1"/>
  <c r="K92" i="1"/>
  <c r="E93" i="1"/>
  <c r="F93" i="1"/>
  <c r="I93" i="1"/>
  <c r="S93" i="1"/>
  <c r="M94" i="1"/>
  <c r="N94" i="1"/>
  <c r="F95" i="1"/>
  <c r="I95" i="1"/>
  <c r="R95" i="1"/>
  <c r="E98" i="1"/>
  <c r="G98" i="1"/>
  <c r="I98" i="1"/>
  <c r="E99" i="1"/>
  <c r="F99" i="1"/>
  <c r="S99" i="1"/>
  <c r="E100" i="1"/>
  <c r="G100" i="1"/>
  <c r="L101" i="1"/>
  <c r="L105" i="1" s="1"/>
  <c r="S101" i="1"/>
  <c r="E102" i="1"/>
  <c r="G102" i="1"/>
  <c r="I102" i="1"/>
  <c r="R102" i="1"/>
  <c r="S102" i="1"/>
  <c r="S103" i="1"/>
  <c r="S104" i="1"/>
  <c r="F105" i="1"/>
  <c r="H105" i="1"/>
  <c r="J105" i="1"/>
  <c r="O105" i="1"/>
  <c r="Q105" i="1"/>
  <c r="T105" i="1"/>
  <c r="U105" i="1"/>
</calcChain>
</file>

<file path=xl/sharedStrings.xml><?xml version="1.0" encoding="utf-8"?>
<sst xmlns="http://schemas.openxmlformats.org/spreadsheetml/2006/main" count="423" uniqueCount="171">
  <si>
    <t>Term:</t>
  </si>
  <si>
    <t>0208 -- Fall 2002</t>
  </si>
  <si>
    <t>Instructor(s):</t>
  </si>
  <si>
    <t>Brill, Dieter</t>
  </si>
  <si>
    <t>Course:</t>
  </si>
  <si>
    <t>PHYS102</t>
  </si>
  <si>
    <t>Title:</t>
  </si>
  <si>
    <t>PHYSICS OF MUSIC</t>
  </si>
  <si>
    <t>LTSC</t>
  </si>
  <si>
    <t>LETTERS&amp;SCI</t>
  </si>
  <si>
    <t>CMPS</t>
  </si>
  <si>
    <t>COMPUTER SCI</t>
  </si>
  <si>
    <t>JOUR</t>
  </si>
  <si>
    <t>JOURNALISM</t>
  </si>
  <si>
    <t>BSOS</t>
  </si>
  <si>
    <t>CRIM-JUSTICE</t>
  </si>
  <si>
    <t>ARHU</t>
  </si>
  <si>
    <t>AMER STUDIES</t>
  </si>
  <si>
    <t>MUS PROF WND</t>
  </si>
  <si>
    <t>MUS PROF STR</t>
  </si>
  <si>
    <t>EDUC</t>
  </si>
  <si>
    <t>ED-ELEM-PRE</t>
  </si>
  <si>
    <t>JAPANESE</t>
  </si>
  <si>
    <t>THEATRE</t>
  </si>
  <si>
    <t>MUS PROF ED</t>
  </si>
  <si>
    <t>COMM</t>
  </si>
  <si>
    <t>MATHEMATICS</t>
  </si>
  <si>
    <t>MUS LIB JAZZ</t>
  </si>
  <si>
    <t>ENGLISH</t>
  </si>
  <si>
    <t>BMGT</t>
  </si>
  <si>
    <t>GEN BUSINESS</t>
  </si>
  <si>
    <t>ECONOMICS</t>
  </si>
  <si>
    <t>AGNR</t>
  </si>
  <si>
    <t>AGR&amp;RES ECON</t>
  </si>
  <si>
    <t>GOVT &amp; POLIT</t>
  </si>
  <si>
    <t>HEAR+SPCH SC</t>
  </si>
  <si>
    <t>UGST</t>
  </si>
  <si>
    <t>INDIV STUDY</t>
  </si>
  <si>
    <t>MUS PROF PIA</t>
  </si>
  <si>
    <t>FINANCE</t>
  </si>
  <si>
    <t>MUS LIB WNDS</t>
  </si>
  <si>
    <t>ACA ACH PROG</t>
  </si>
  <si>
    <t>HISTORY</t>
  </si>
  <si>
    <t>College</t>
  </si>
  <si>
    <t>Major</t>
  </si>
  <si>
    <t>Semester Letter Grade</t>
  </si>
  <si>
    <t>Homework 1</t>
  </si>
  <si>
    <t>Code Word</t>
  </si>
  <si>
    <t>Tommy</t>
  </si>
  <si>
    <t>somwhatme</t>
  </si>
  <si>
    <t>mosaic</t>
  </si>
  <si>
    <t>Klop</t>
  </si>
  <si>
    <t>Shonuff</t>
  </si>
  <si>
    <t>eight</t>
  </si>
  <si>
    <t>orange</t>
  </si>
  <si>
    <t>Kaos</t>
  </si>
  <si>
    <t>Barberry</t>
  </si>
  <si>
    <t>asdfqwerty</t>
  </si>
  <si>
    <t>mantis</t>
  </si>
  <si>
    <t>fireball</t>
  </si>
  <si>
    <t>Himbo</t>
  </si>
  <si>
    <t>sideburns</t>
  </si>
  <si>
    <t>jamawaka</t>
  </si>
  <si>
    <t>wolfgang</t>
  </si>
  <si>
    <t>Cruthaim</t>
  </si>
  <si>
    <t>mercurius417</t>
  </si>
  <si>
    <t>Tenstrin</t>
  </si>
  <si>
    <t>Mng</t>
  </si>
  <si>
    <t>chessie</t>
  </si>
  <si>
    <t>password</t>
  </si>
  <si>
    <t>Barbados</t>
  </si>
  <si>
    <t>Geetar</t>
  </si>
  <si>
    <t>lipstic</t>
  </si>
  <si>
    <t>nixhex</t>
  </si>
  <si>
    <t>esilvani</t>
  </si>
  <si>
    <t>BigAti2ude</t>
  </si>
  <si>
    <t>bartlett</t>
  </si>
  <si>
    <t>joesmith</t>
  </si>
  <si>
    <t>Drock</t>
  </si>
  <si>
    <t>joebob</t>
  </si>
  <si>
    <t>history</t>
  </si>
  <si>
    <t>Walterz</t>
  </si>
  <si>
    <t>ewvic</t>
  </si>
  <si>
    <t>chuckles</t>
  </si>
  <si>
    <t>agazi</t>
  </si>
  <si>
    <t>comm.</t>
  </si>
  <si>
    <t>baseball21</t>
  </si>
  <si>
    <t>hydra</t>
  </si>
  <si>
    <t>mazar1</t>
  </si>
  <si>
    <t>societee</t>
  </si>
  <si>
    <t>bucci</t>
  </si>
  <si>
    <t>sensation0520</t>
  </si>
  <si>
    <t>1ax01</t>
  </si>
  <si>
    <t>chick</t>
  </si>
  <si>
    <t>hchoi</t>
  </si>
  <si>
    <t>green</t>
  </si>
  <si>
    <t>beemer</t>
  </si>
  <si>
    <t>crook</t>
  </si>
  <si>
    <t>climb</t>
  </si>
  <si>
    <t>hypothesis</t>
  </si>
  <si>
    <t>parkway</t>
  </si>
  <si>
    <t>cj</t>
  </si>
  <si>
    <t>shakti</t>
  </si>
  <si>
    <t>diamond</t>
  </si>
  <si>
    <t>pooky</t>
  </si>
  <si>
    <t>diva</t>
  </si>
  <si>
    <t>jessica</t>
  </si>
  <si>
    <t>zipper</t>
  </si>
  <si>
    <t>caseface</t>
  </si>
  <si>
    <t>bosox</t>
  </si>
  <si>
    <t>2 hilary</t>
  </si>
  <si>
    <t>facetious</t>
  </si>
  <si>
    <t>binz</t>
  </si>
  <si>
    <t>hanover</t>
  </si>
  <si>
    <t>atdi</t>
  </si>
  <si>
    <t>agin</t>
  </si>
  <si>
    <t>warrenton</t>
  </si>
  <si>
    <t>deskjet</t>
  </si>
  <si>
    <t>elaine</t>
  </si>
  <si>
    <t>dixon</t>
  </si>
  <si>
    <t>lago</t>
  </si>
  <si>
    <t>jonesware</t>
  </si>
  <si>
    <t>spottingzoe</t>
  </si>
  <si>
    <t>musicluv1</t>
  </si>
  <si>
    <t>jeffcap</t>
  </si>
  <si>
    <t>shaq</t>
  </si>
  <si>
    <t>lins18</t>
  </si>
  <si>
    <t>dontknow1</t>
  </si>
  <si>
    <t>Bolivia</t>
  </si>
  <si>
    <t>Stasleem</t>
  </si>
  <si>
    <t>PRIMITIVITY</t>
  </si>
  <si>
    <t>bighungryjo</t>
  </si>
  <si>
    <t>jimjames</t>
  </si>
  <si>
    <t>zoso</t>
  </si>
  <si>
    <t>GUILOV</t>
  </si>
  <si>
    <t>Homework 2</t>
  </si>
  <si>
    <t>K622</t>
  </si>
  <si>
    <t>EYLEM</t>
  </si>
  <si>
    <t>Homework 3</t>
  </si>
  <si>
    <t>QUIZ</t>
  </si>
  <si>
    <t>flyboy</t>
  </si>
  <si>
    <t>superduper</t>
  </si>
  <si>
    <t>switch</t>
  </si>
  <si>
    <t>Homework 4</t>
  </si>
  <si>
    <t>first exam</t>
  </si>
  <si>
    <t>Mona</t>
  </si>
  <si>
    <t>Homework 5</t>
  </si>
  <si>
    <t>Homework 6</t>
  </si>
  <si>
    <t>Homework 7</t>
  </si>
  <si>
    <t>Homework 8</t>
  </si>
  <si>
    <t>second exam Pt II</t>
  </si>
  <si>
    <t>Pt I</t>
  </si>
  <si>
    <t>2nd Ex total</t>
  </si>
  <si>
    <t>gazuga</t>
  </si>
  <si>
    <t>Homework 9</t>
  </si>
  <si>
    <t>Homework 10</t>
  </si>
  <si>
    <t>Homework 11</t>
  </si>
  <si>
    <t>Final II</t>
  </si>
  <si>
    <t>skizac</t>
  </si>
  <si>
    <t>J6669</t>
  </si>
  <si>
    <t>F</t>
  </si>
  <si>
    <t>D/C</t>
  </si>
  <si>
    <t>C</t>
  </si>
  <si>
    <t>C/D</t>
  </si>
  <si>
    <t>B/C</t>
  </si>
  <si>
    <t>B</t>
  </si>
  <si>
    <t>C/B</t>
  </si>
  <si>
    <t>B/A</t>
  </si>
  <si>
    <t>A</t>
  </si>
  <si>
    <t>A/B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</si>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</sst>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8"/>
      <name val="Arial"/>
      <family val="2"/>
    </font>
    <font>
      <b/>
      <i/>
      <sz val="8"/>
      <color indexed="16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0" fillId="0" borderId="0" xfId="0" applyBorder="1"/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1" xfId="0" applyFont="1" applyFill="1" applyBorder="1" applyAlignment="1"/>
    <xf numFmtId="0" fontId="4" fillId="3" borderId="1" xfId="0" applyFont="1" applyFill="1" applyBorder="1" applyAlignment="1"/>
    <xf numFmtId="0" fontId="4" fillId="3" borderId="2" xfId="0" applyFont="1" applyFill="1" applyBorder="1" applyAlignment="1"/>
    <xf numFmtId="0" fontId="1" fillId="2" borderId="0" xfId="0" applyFont="1" applyFill="1" applyAlignment="1"/>
    <xf numFmtId="0" fontId="0" fillId="0" borderId="1" xfId="0" applyBorder="1"/>
    <xf numFmtId="0" fontId="1" fillId="3" borderId="0" xfId="0" applyFont="1" applyFill="1" applyAlignment="1"/>
    <xf numFmtId="0" fontId="0" fillId="0" borderId="2" xfId="0" applyBorder="1"/>
    <xf numFmtId="0" fontId="0" fillId="0" borderId="1" xfId="0" applyBorder="1" applyAlignment="1">
      <alignment textRotation="90" wrapText="1" shrinkToFit="1"/>
    </xf>
    <xf numFmtId="0" fontId="0" fillId="0" borderId="4" xfId="0" applyBorder="1" applyAlignment="1">
      <alignment textRotation="90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0E0E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tabSelected="1" workbookViewId="0">
      <selection activeCell="S6" sqref="S6"/>
    </sheetView>
  </sheetViews>
  <sheetFormatPr defaultRowHeight="12.5" x14ac:dyDescent="0.25"/>
  <cols>
    <col min="1" max="1" width="19.26953125" customWidth="1"/>
    <col min="2" max="2" width="9" hidden="1" customWidth="1"/>
    <col min="3" max="3" width="16.1796875" hidden="1" customWidth="1"/>
    <col min="4" max="11" width="4.81640625" customWidth="1"/>
    <col min="12" max="21" width="4.7265625" customWidth="1"/>
  </cols>
  <sheetData>
    <row r="1" spans="1:21" ht="12.75" customHeight="1" x14ac:dyDescent="0.25">
      <c r="A1" s="5"/>
      <c r="B1" s="5" t="s">
        <v>0</v>
      </c>
      <c r="C1" s="5" t="s">
        <v>1</v>
      </c>
      <c r="D1" s="16" t="s">
        <v>45</v>
      </c>
      <c r="E1" s="16" t="s">
        <v>46</v>
      </c>
      <c r="F1" s="16" t="s">
        <v>135</v>
      </c>
      <c r="G1" s="16" t="s">
        <v>138</v>
      </c>
      <c r="H1" s="16" t="s">
        <v>139</v>
      </c>
      <c r="I1" s="16" t="s">
        <v>143</v>
      </c>
      <c r="J1" s="16" t="s">
        <v>144</v>
      </c>
      <c r="K1" s="16" t="s">
        <v>146</v>
      </c>
      <c r="L1" s="16" t="s">
        <v>147</v>
      </c>
      <c r="M1" s="16" t="s">
        <v>148</v>
      </c>
      <c r="N1" s="16" t="s">
        <v>149</v>
      </c>
      <c r="O1" s="16" t="s">
        <v>150</v>
      </c>
      <c r="P1" s="16" t="s">
        <v>151</v>
      </c>
      <c r="Q1" s="16" t="s">
        <v>152</v>
      </c>
      <c r="R1" s="16" t="s">
        <v>154</v>
      </c>
      <c r="S1" s="16" t="s">
        <v>155</v>
      </c>
      <c r="T1" s="16" t="s">
        <v>156</v>
      </c>
      <c r="U1" s="16" t="s">
        <v>157</v>
      </c>
    </row>
    <row r="2" spans="1:21" x14ac:dyDescent="0.25">
      <c r="A2" s="5"/>
      <c r="B2" s="5" t="s">
        <v>2</v>
      </c>
      <c r="C2" s="5" t="s">
        <v>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x14ac:dyDescent="0.25">
      <c r="A3" s="5"/>
      <c r="B3" s="5" t="s">
        <v>4</v>
      </c>
      <c r="C3" s="5" t="s">
        <v>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x14ac:dyDescent="0.25">
      <c r="A4" s="5"/>
      <c r="B4" s="5" t="s">
        <v>6</v>
      </c>
      <c r="C4" s="5" t="s">
        <v>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5" customHeight="1" thickBot="1" x14ac:dyDescent="0.3">
      <c r="A5" s="6" t="s">
        <v>47</v>
      </c>
      <c r="B5" s="6" t="s">
        <v>43</v>
      </c>
      <c r="C5" s="6" t="s">
        <v>44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15" customHeight="1" x14ac:dyDescent="0.25">
      <c r="A6" s="1">
        <v>1</v>
      </c>
      <c r="B6" s="1" t="s">
        <v>14</v>
      </c>
      <c r="C6" s="1" t="s">
        <v>34</v>
      </c>
      <c r="D6" t="s">
        <v>165</v>
      </c>
      <c r="E6" s="1">
        <f>27.5/35*100</f>
        <v>78.571428571428569</v>
      </c>
      <c r="F6" s="1">
        <v>61</v>
      </c>
      <c r="G6" s="1">
        <f>32/40*100</f>
        <v>80</v>
      </c>
      <c r="H6" s="1">
        <v>100</v>
      </c>
      <c r="I6" s="1">
        <f>28/40*100</f>
        <v>70</v>
      </c>
      <c r="J6" s="1">
        <v>82</v>
      </c>
      <c r="K6" s="2">
        <v>100</v>
      </c>
      <c r="L6" s="2">
        <v>90</v>
      </c>
      <c r="M6" s="2">
        <v>96</v>
      </c>
      <c r="N6" s="2">
        <v>92</v>
      </c>
      <c r="O6" s="2">
        <v>48</v>
      </c>
      <c r="P6" s="2">
        <v>23</v>
      </c>
      <c r="Q6" s="2">
        <v>71</v>
      </c>
      <c r="R6" s="2">
        <f>13/15*100</f>
        <v>86.666666666666671</v>
      </c>
      <c r="S6" s="2">
        <f>13/15*100</f>
        <v>86.666666666666671</v>
      </c>
      <c r="T6" s="4"/>
      <c r="U6" s="2">
        <v>60</v>
      </c>
    </row>
    <row r="7" spans="1:21" ht="15" customHeight="1" x14ac:dyDescent="0.25">
      <c r="A7" s="1">
        <v>2915</v>
      </c>
      <c r="B7" s="1" t="s">
        <v>36</v>
      </c>
      <c r="C7" s="1" t="s">
        <v>37</v>
      </c>
      <c r="D7" t="s">
        <v>165</v>
      </c>
      <c r="E7" s="1">
        <f>16/35*100</f>
        <v>45.714285714285715</v>
      </c>
      <c r="F7" s="1"/>
      <c r="G7" s="1"/>
      <c r="H7" s="1">
        <v>85</v>
      </c>
      <c r="I7" s="1">
        <f>3/4*100</f>
        <v>75</v>
      </c>
      <c r="J7" s="1">
        <v>74</v>
      </c>
      <c r="K7" s="2">
        <v>100</v>
      </c>
      <c r="L7" s="2">
        <v>100</v>
      </c>
      <c r="M7" s="2"/>
      <c r="N7" s="2">
        <f>22/25*100</f>
        <v>88</v>
      </c>
      <c r="O7" s="2">
        <v>48</v>
      </c>
      <c r="P7" s="2">
        <v>19</v>
      </c>
      <c r="Q7" s="2">
        <v>67</v>
      </c>
      <c r="R7" s="2">
        <f>10/15*100</f>
        <v>66.666666666666657</v>
      </c>
      <c r="S7" s="2">
        <f>11/15*100</f>
        <v>73.333333333333329</v>
      </c>
      <c r="T7" s="4">
        <v>100</v>
      </c>
      <c r="U7" s="2">
        <v>66</v>
      </c>
    </row>
    <row r="8" spans="1:21" ht="15" customHeight="1" x14ac:dyDescent="0.25">
      <c r="A8" s="1">
        <v>9790</v>
      </c>
      <c r="B8" s="1" t="s">
        <v>10</v>
      </c>
      <c r="C8" s="1" t="s">
        <v>26</v>
      </c>
      <c r="D8" t="s">
        <v>169</v>
      </c>
      <c r="E8" s="1"/>
      <c r="F8" s="1"/>
      <c r="G8" s="1">
        <f>34/40*100</f>
        <v>85</v>
      </c>
      <c r="H8" s="1">
        <v>95</v>
      </c>
      <c r="I8" s="1">
        <v>100</v>
      </c>
      <c r="J8" s="1">
        <v>93</v>
      </c>
      <c r="K8" s="2">
        <v>100</v>
      </c>
      <c r="L8" s="2">
        <v>100</v>
      </c>
      <c r="M8" s="2">
        <v>100</v>
      </c>
      <c r="N8" s="2">
        <v>100</v>
      </c>
      <c r="O8" s="2">
        <v>64</v>
      </c>
      <c r="P8" s="2">
        <v>23</v>
      </c>
      <c r="Q8" s="2">
        <v>87</v>
      </c>
      <c r="R8" s="2">
        <v>100</v>
      </c>
      <c r="S8" s="2">
        <f>100</f>
        <v>100</v>
      </c>
      <c r="T8" s="4">
        <v>100</v>
      </c>
      <c r="U8" s="2">
        <v>70</v>
      </c>
    </row>
    <row r="9" spans="1:21" ht="15" customHeight="1" x14ac:dyDescent="0.25">
      <c r="A9" s="1" t="s">
        <v>92</v>
      </c>
      <c r="B9" s="1" t="s">
        <v>8</v>
      </c>
      <c r="C9" s="1" t="s">
        <v>9</v>
      </c>
      <c r="D9" t="s">
        <v>166</v>
      </c>
      <c r="E9" s="1">
        <v>86.6</v>
      </c>
      <c r="F9" s="1">
        <v>58</v>
      </c>
      <c r="G9" s="1">
        <v>60</v>
      </c>
      <c r="H9" s="1">
        <v>70</v>
      </c>
      <c r="I9" s="1">
        <v>62.5</v>
      </c>
      <c r="J9" s="1">
        <v>75</v>
      </c>
      <c r="K9" s="2">
        <v>100</v>
      </c>
      <c r="L9" s="2">
        <v>80</v>
      </c>
      <c r="M9" s="2">
        <v>92</v>
      </c>
      <c r="N9" s="2">
        <v>100</v>
      </c>
      <c r="O9" s="2">
        <v>44</v>
      </c>
      <c r="P9" s="2">
        <v>13</v>
      </c>
      <c r="Q9" s="2">
        <v>57</v>
      </c>
      <c r="R9" s="4">
        <v>34</v>
      </c>
      <c r="S9" s="2">
        <v>100</v>
      </c>
      <c r="T9" s="4"/>
      <c r="U9" s="2">
        <v>50</v>
      </c>
    </row>
    <row r="10" spans="1:21" ht="15" customHeight="1" x14ac:dyDescent="0.25">
      <c r="A10" s="3" t="s">
        <v>110</v>
      </c>
      <c r="B10" s="3" t="s">
        <v>16</v>
      </c>
      <c r="C10" s="3" t="s">
        <v>28</v>
      </c>
      <c r="D10" t="s">
        <v>165</v>
      </c>
      <c r="E10" s="3">
        <v>93.3</v>
      </c>
      <c r="F10" s="3">
        <v>79</v>
      </c>
      <c r="G10" s="3">
        <v>82.5</v>
      </c>
      <c r="H10" s="3">
        <v>90</v>
      </c>
      <c r="I10" s="3">
        <v>62.5</v>
      </c>
      <c r="J10" s="3">
        <v>75</v>
      </c>
      <c r="K10" s="4">
        <v>100</v>
      </c>
      <c r="L10" s="4">
        <v>100</v>
      </c>
      <c r="M10" s="4">
        <f>21/25*100</f>
        <v>84</v>
      </c>
      <c r="N10" s="4">
        <v>100</v>
      </c>
      <c r="O10" s="4">
        <v>56</v>
      </c>
      <c r="P10" s="4">
        <v>12</v>
      </c>
      <c r="Q10" s="2">
        <v>68</v>
      </c>
      <c r="R10" s="2">
        <v>100</v>
      </c>
      <c r="S10" s="4">
        <f>100</f>
        <v>100</v>
      </c>
      <c r="T10" s="2"/>
      <c r="U10" s="4">
        <v>57</v>
      </c>
    </row>
    <row r="11" spans="1:21" ht="15" customHeight="1" x14ac:dyDescent="0.25">
      <c r="A11" s="1" t="s">
        <v>84</v>
      </c>
      <c r="B11" s="1" t="s">
        <v>10</v>
      </c>
      <c r="C11" s="1" t="s">
        <v>11</v>
      </c>
      <c r="D11" t="s">
        <v>164</v>
      </c>
      <c r="E11" s="1">
        <v>67</v>
      </c>
      <c r="F11" s="1">
        <v>84</v>
      </c>
      <c r="G11" s="1">
        <v>60</v>
      </c>
      <c r="H11" s="1">
        <v>70</v>
      </c>
      <c r="I11" s="1">
        <v>47.5</v>
      </c>
      <c r="J11" s="1">
        <v>81</v>
      </c>
      <c r="K11" s="2">
        <v>85</v>
      </c>
      <c r="L11" s="2">
        <v>95</v>
      </c>
      <c r="M11" s="2">
        <f>22/25*100</f>
        <v>88</v>
      </c>
      <c r="N11" s="2">
        <v>80</v>
      </c>
      <c r="O11" s="2">
        <v>48</v>
      </c>
      <c r="P11" s="2">
        <v>18</v>
      </c>
      <c r="Q11" s="2">
        <v>66</v>
      </c>
      <c r="R11" s="2">
        <v>74</v>
      </c>
      <c r="S11" s="2"/>
      <c r="T11" s="2"/>
      <c r="U11" s="2">
        <v>50</v>
      </c>
    </row>
    <row r="12" spans="1:21" ht="15" customHeight="1" x14ac:dyDescent="0.25">
      <c r="A12" s="1" t="s">
        <v>115</v>
      </c>
      <c r="B12" s="1" t="s">
        <v>8</v>
      </c>
      <c r="C12" s="1" t="s">
        <v>9</v>
      </c>
      <c r="D12" t="s">
        <v>165</v>
      </c>
      <c r="E12" s="1">
        <v>90</v>
      </c>
      <c r="F12" s="1">
        <v>100</v>
      </c>
      <c r="G12" s="1">
        <v>90</v>
      </c>
      <c r="H12" s="1">
        <v>75</v>
      </c>
      <c r="I12" s="1">
        <v>97.5</v>
      </c>
      <c r="J12" s="1">
        <v>81</v>
      </c>
      <c r="K12" s="2">
        <v>100</v>
      </c>
      <c r="L12" s="2">
        <v>100</v>
      </c>
      <c r="M12" s="2">
        <v>100</v>
      </c>
      <c r="N12" s="2">
        <v>100</v>
      </c>
      <c r="O12" s="2">
        <v>52</v>
      </c>
      <c r="P12" s="2">
        <v>20</v>
      </c>
      <c r="Q12" s="2">
        <v>72</v>
      </c>
      <c r="R12" s="4">
        <v>80</v>
      </c>
      <c r="S12" s="2">
        <f>100</f>
        <v>100</v>
      </c>
      <c r="T12" s="4"/>
      <c r="U12" s="2">
        <v>51</v>
      </c>
    </row>
    <row r="13" spans="1:21" ht="15" customHeight="1" x14ac:dyDescent="0.25">
      <c r="A13" s="3" t="s">
        <v>57</v>
      </c>
      <c r="B13" s="3" t="s">
        <v>10</v>
      </c>
      <c r="C13" s="3" t="s">
        <v>11</v>
      </c>
      <c r="D13" t="s">
        <v>165</v>
      </c>
      <c r="E13" s="3">
        <f>21/35*100</f>
        <v>60</v>
      </c>
      <c r="F13" s="3">
        <v>48</v>
      </c>
      <c r="G13" s="3">
        <f>19/40*100</f>
        <v>47.5</v>
      </c>
      <c r="H13" s="3">
        <v>75</v>
      </c>
      <c r="I13" s="3">
        <f>18/40*100</f>
        <v>45</v>
      </c>
      <c r="J13" s="3">
        <v>85</v>
      </c>
      <c r="K13" s="4">
        <v>75</v>
      </c>
      <c r="L13" s="4">
        <v>100</v>
      </c>
      <c r="M13" s="4">
        <v>92</v>
      </c>
      <c r="N13" s="4">
        <v>100</v>
      </c>
      <c r="O13" s="4">
        <v>38</v>
      </c>
      <c r="P13" s="4">
        <v>19</v>
      </c>
      <c r="Q13" s="2">
        <v>57</v>
      </c>
      <c r="R13" s="4">
        <f>10/15*100</f>
        <v>66.666666666666657</v>
      </c>
      <c r="S13" s="4">
        <v>100</v>
      </c>
      <c r="T13" s="2"/>
      <c r="U13" s="4">
        <v>61</v>
      </c>
    </row>
    <row r="14" spans="1:21" ht="15" customHeight="1" x14ac:dyDescent="0.3">
      <c r="A14" s="1" t="s">
        <v>114</v>
      </c>
      <c r="B14" s="1" t="s">
        <v>8</v>
      </c>
      <c r="C14" s="1" t="s">
        <v>9</v>
      </c>
      <c r="D14" t="s">
        <v>169</v>
      </c>
      <c r="E14" s="1">
        <v>45.3</v>
      </c>
      <c r="F14" s="1">
        <v>57</v>
      </c>
      <c r="G14" s="1">
        <v>83.75</v>
      </c>
      <c r="H14" s="1">
        <v>95</v>
      </c>
      <c r="I14" s="1">
        <v>80</v>
      </c>
      <c r="J14" s="1">
        <v>99</v>
      </c>
      <c r="K14" s="2">
        <v>97.5</v>
      </c>
      <c r="L14" s="2">
        <v>100</v>
      </c>
      <c r="M14" s="2">
        <v>92</v>
      </c>
      <c r="N14" s="8">
        <v>0</v>
      </c>
      <c r="O14" s="2">
        <v>66</v>
      </c>
      <c r="P14" s="2">
        <v>29</v>
      </c>
      <c r="Q14" s="2">
        <v>95</v>
      </c>
      <c r="R14" s="4">
        <v>100</v>
      </c>
      <c r="S14" s="2"/>
      <c r="T14" s="4"/>
      <c r="U14" s="2">
        <v>71</v>
      </c>
    </row>
    <row r="15" spans="1:21" ht="15" customHeight="1" x14ac:dyDescent="0.25">
      <c r="A15" s="3" t="s">
        <v>70</v>
      </c>
      <c r="B15" s="3" t="s">
        <v>14</v>
      </c>
      <c r="C15" s="3" t="s">
        <v>34</v>
      </c>
      <c r="D15" t="s">
        <v>165</v>
      </c>
      <c r="E15" s="3">
        <f>27.5/35*100</f>
        <v>78.571428571428569</v>
      </c>
      <c r="F15" s="3">
        <f>34.5*2</f>
        <v>69</v>
      </c>
      <c r="G15" s="3">
        <f>32/40*100</f>
        <v>80</v>
      </c>
      <c r="H15" s="3">
        <v>90</v>
      </c>
      <c r="I15" s="3">
        <f>(31/40)*100</f>
        <v>77.5</v>
      </c>
      <c r="J15" s="3">
        <v>85</v>
      </c>
      <c r="K15" s="4">
        <v>100</v>
      </c>
      <c r="L15" s="4">
        <v>90</v>
      </c>
      <c r="M15" s="4">
        <v>84</v>
      </c>
      <c r="N15" s="4">
        <v>100</v>
      </c>
      <c r="O15" s="4">
        <v>54</v>
      </c>
      <c r="P15" s="4">
        <v>27</v>
      </c>
      <c r="Q15" s="2">
        <v>81</v>
      </c>
      <c r="R15" s="15">
        <f>14/15*100</f>
        <v>93.333333333333329</v>
      </c>
      <c r="S15" s="4">
        <f>13/15*100</f>
        <v>86.666666666666671</v>
      </c>
      <c r="T15" s="4">
        <v>100</v>
      </c>
      <c r="U15" s="4">
        <v>55</v>
      </c>
    </row>
    <row r="16" spans="1:21" ht="15" customHeight="1" x14ac:dyDescent="0.25">
      <c r="A16" s="3" t="s">
        <v>56</v>
      </c>
      <c r="B16" s="3" t="s">
        <v>14</v>
      </c>
      <c r="C16" s="3" t="s">
        <v>35</v>
      </c>
      <c r="D16" t="s">
        <v>165</v>
      </c>
      <c r="E16" s="3">
        <f>17.5/35*100</f>
        <v>50</v>
      </c>
      <c r="F16" s="3">
        <v>100</v>
      </c>
      <c r="G16" s="3">
        <v>100</v>
      </c>
      <c r="H16" s="3">
        <v>90</v>
      </c>
      <c r="I16" s="3">
        <f>37/40*100</f>
        <v>92.5</v>
      </c>
      <c r="J16" s="3">
        <v>76</v>
      </c>
      <c r="K16" s="4">
        <v>100</v>
      </c>
      <c r="L16" s="4">
        <v>100</v>
      </c>
      <c r="M16" s="4">
        <v>100</v>
      </c>
      <c r="N16" s="4">
        <v>100</v>
      </c>
      <c r="O16" s="4">
        <v>46</v>
      </c>
      <c r="P16" s="4">
        <v>17</v>
      </c>
      <c r="Q16" s="2">
        <v>63</v>
      </c>
      <c r="R16" s="4">
        <v>100</v>
      </c>
      <c r="S16" s="4">
        <v>100</v>
      </c>
      <c r="T16" s="2">
        <v>100</v>
      </c>
      <c r="U16" s="4">
        <v>57</v>
      </c>
    </row>
    <row r="17" spans="1:21" ht="15" customHeight="1" x14ac:dyDescent="0.25">
      <c r="A17" s="3" t="s">
        <v>76</v>
      </c>
      <c r="B17" s="3" t="s">
        <v>8</v>
      </c>
      <c r="C17" s="3" t="s">
        <v>9</v>
      </c>
      <c r="D17" t="s">
        <v>164</v>
      </c>
      <c r="E17" s="3">
        <f>23.5/35*100</f>
        <v>67.142857142857139</v>
      </c>
      <c r="F17" s="3">
        <v>33</v>
      </c>
      <c r="G17" s="3"/>
      <c r="H17" s="3">
        <v>50</v>
      </c>
      <c r="I17" s="3">
        <f>24/40*100</f>
        <v>60</v>
      </c>
      <c r="J17" s="3">
        <v>76</v>
      </c>
      <c r="K17" s="4">
        <v>100</v>
      </c>
      <c r="L17" s="4">
        <v>90</v>
      </c>
      <c r="M17" s="4"/>
      <c r="N17" s="4">
        <f>22/25*100</f>
        <v>88</v>
      </c>
      <c r="O17" s="4">
        <v>52</v>
      </c>
      <c r="P17" s="4">
        <v>21</v>
      </c>
      <c r="Q17" s="2">
        <v>73</v>
      </c>
      <c r="R17" s="4">
        <v>93.3</v>
      </c>
      <c r="S17" s="4">
        <f>13/15*100</f>
        <v>86.666666666666671</v>
      </c>
      <c r="T17" s="2"/>
      <c r="U17" s="4">
        <v>52</v>
      </c>
    </row>
    <row r="18" spans="1:21" ht="15" customHeight="1" x14ac:dyDescent="0.25">
      <c r="A18" s="3" t="s">
        <v>86</v>
      </c>
      <c r="B18" s="3" t="s">
        <v>10</v>
      </c>
      <c r="C18" s="3" t="s">
        <v>11</v>
      </c>
      <c r="D18" t="s">
        <v>165</v>
      </c>
      <c r="E18" s="3">
        <v>95</v>
      </c>
      <c r="F18" s="3">
        <v>99</v>
      </c>
      <c r="G18" s="3">
        <v>93.5</v>
      </c>
      <c r="H18" s="3">
        <v>85</v>
      </c>
      <c r="I18" s="3">
        <v>87.5</v>
      </c>
      <c r="J18" s="3">
        <v>90</v>
      </c>
      <c r="K18" s="4">
        <v>100</v>
      </c>
      <c r="L18" s="4">
        <v>100</v>
      </c>
      <c r="M18" s="4">
        <f>23/25*100</f>
        <v>92</v>
      </c>
      <c r="N18" s="4">
        <v>92</v>
      </c>
      <c r="O18" s="4">
        <v>54</v>
      </c>
      <c r="P18" s="4">
        <v>13</v>
      </c>
      <c r="Q18" s="2">
        <v>67</v>
      </c>
      <c r="R18" s="4">
        <v>100</v>
      </c>
      <c r="S18" s="4">
        <f>14/15*100</f>
        <v>93.333333333333329</v>
      </c>
      <c r="T18" s="4"/>
      <c r="U18" s="4">
        <v>55</v>
      </c>
    </row>
    <row r="19" spans="1:21" ht="15" customHeight="1" x14ac:dyDescent="0.25">
      <c r="A19" s="1" t="s">
        <v>96</v>
      </c>
      <c r="B19" s="1" t="s">
        <v>8</v>
      </c>
      <c r="C19" s="1" t="s">
        <v>9</v>
      </c>
      <c r="D19" t="s">
        <v>165</v>
      </c>
      <c r="E19" s="1">
        <v>67</v>
      </c>
      <c r="F19" s="1">
        <v>67</v>
      </c>
      <c r="G19" s="1">
        <v>73.75</v>
      </c>
      <c r="H19" s="1">
        <v>75</v>
      </c>
      <c r="I19" s="1">
        <v>55</v>
      </c>
      <c r="J19" s="1">
        <v>77</v>
      </c>
      <c r="K19" s="2">
        <v>100</v>
      </c>
      <c r="L19" s="2">
        <v>100</v>
      </c>
      <c r="M19" s="2">
        <f>20/25*100</f>
        <v>80</v>
      </c>
      <c r="N19" s="2">
        <v>92</v>
      </c>
      <c r="O19" s="2">
        <v>44</v>
      </c>
      <c r="P19" s="2">
        <v>18</v>
      </c>
      <c r="Q19" s="2">
        <v>62</v>
      </c>
      <c r="R19" s="4">
        <v>87</v>
      </c>
      <c r="S19" s="2">
        <v>100</v>
      </c>
      <c r="T19" s="4"/>
      <c r="U19" s="2">
        <v>58</v>
      </c>
    </row>
    <row r="20" spans="1:21" ht="15" customHeight="1" x14ac:dyDescent="0.25">
      <c r="A20" s="1" t="s">
        <v>75</v>
      </c>
      <c r="B20" s="1" t="s">
        <v>8</v>
      </c>
      <c r="C20" s="1" t="s">
        <v>9</v>
      </c>
      <c r="D20" t="s">
        <v>167</v>
      </c>
      <c r="E20" s="1">
        <f>23.5/35*100</f>
        <v>67.142857142857139</v>
      </c>
      <c r="F20" s="1">
        <v>100</v>
      </c>
      <c r="G20" s="1">
        <v>100</v>
      </c>
      <c r="H20" s="1">
        <v>70</v>
      </c>
      <c r="I20" s="1">
        <f>35/40*100</f>
        <v>87.5</v>
      </c>
      <c r="J20" s="1">
        <v>90</v>
      </c>
      <c r="K20" s="2">
        <v>100</v>
      </c>
      <c r="L20" s="2">
        <v>100</v>
      </c>
      <c r="M20" s="2">
        <v>96</v>
      </c>
      <c r="N20" s="2">
        <v>100</v>
      </c>
      <c r="O20" s="2">
        <v>56</v>
      </c>
      <c r="P20" s="2">
        <v>18</v>
      </c>
      <c r="Q20" s="2">
        <v>74</v>
      </c>
      <c r="R20" s="2">
        <v>93.3</v>
      </c>
      <c r="S20" s="2">
        <f>14/15*100</f>
        <v>93.333333333333329</v>
      </c>
      <c r="T20" s="2">
        <v>100</v>
      </c>
      <c r="U20" s="2">
        <v>58</v>
      </c>
    </row>
    <row r="21" spans="1:21" ht="15" customHeight="1" x14ac:dyDescent="0.25">
      <c r="A21" s="1" t="s">
        <v>131</v>
      </c>
      <c r="B21" s="1" t="s">
        <v>10</v>
      </c>
      <c r="C21" s="1" t="s">
        <v>11</v>
      </c>
      <c r="D21" t="s">
        <v>165</v>
      </c>
      <c r="E21" s="1">
        <v>80</v>
      </c>
      <c r="F21" s="1"/>
      <c r="G21" s="1">
        <v>60</v>
      </c>
      <c r="H21" s="1">
        <v>80</v>
      </c>
      <c r="I21" s="1">
        <v>67.5</v>
      </c>
      <c r="J21" s="1">
        <v>87</v>
      </c>
      <c r="K21" s="2">
        <v>93.75</v>
      </c>
      <c r="L21" s="2">
        <v>70</v>
      </c>
      <c r="M21" s="2">
        <f>22/25*100</f>
        <v>88</v>
      </c>
      <c r="N21" s="2"/>
      <c r="O21" s="2">
        <v>48</v>
      </c>
      <c r="P21" s="2">
        <v>19</v>
      </c>
      <c r="Q21" s="2">
        <v>67</v>
      </c>
      <c r="R21" s="2"/>
      <c r="S21" s="2">
        <f>13/15*100</f>
        <v>86.666666666666671</v>
      </c>
      <c r="T21" s="2"/>
      <c r="U21" s="2">
        <v>69</v>
      </c>
    </row>
    <row r="22" spans="1:21" ht="15" customHeight="1" x14ac:dyDescent="0.3">
      <c r="A22" s="3" t="s">
        <v>112</v>
      </c>
      <c r="B22" s="3" t="s">
        <v>10</v>
      </c>
      <c r="C22" s="3" t="s">
        <v>26</v>
      </c>
      <c r="D22" t="s">
        <v>165</v>
      </c>
      <c r="E22" s="3">
        <v>59</v>
      </c>
      <c r="F22" s="3">
        <v>82</v>
      </c>
      <c r="G22" s="3">
        <v>77.5</v>
      </c>
      <c r="H22" s="3">
        <v>90</v>
      </c>
      <c r="I22" s="3">
        <v>82.5</v>
      </c>
      <c r="J22" s="3">
        <v>77</v>
      </c>
      <c r="K22" s="4">
        <v>100</v>
      </c>
      <c r="L22" s="4">
        <v>100</v>
      </c>
      <c r="M22" s="4">
        <f>23/25*100</f>
        <v>92</v>
      </c>
      <c r="N22" s="11">
        <v>0</v>
      </c>
      <c r="O22" s="4">
        <v>51</v>
      </c>
      <c r="P22" s="4">
        <v>18</v>
      </c>
      <c r="Q22" s="2">
        <v>69</v>
      </c>
      <c r="R22" s="2">
        <v>100</v>
      </c>
      <c r="S22" s="4"/>
      <c r="T22" s="2"/>
      <c r="U22" s="4">
        <v>52</v>
      </c>
    </row>
    <row r="23" spans="1:21" ht="15" customHeight="1" x14ac:dyDescent="0.25">
      <c r="A23" s="1" t="s">
        <v>128</v>
      </c>
      <c r="B23" s="1" t="s">
        <v>10</v>
      </c>
      <c r="C23" s="1" t="s">
        <v>26</v>
      </c>
      <c r="D23" t="s">
        <v>165</v>
      </c>
      <c r="E23" s="1">
        <v>66.7</v>
      </c>
      <c r="F23" s="1">
        <f>21.5*2</f>
        <v>43</v>
      </c>
      <c r="G23" s="1">
        <f>28/40*100</f>
        <v>70</v>
      </c>
      <c r="H23" s="1">
        <v>80</v>
      </c>
      <c r="I23" s="1">
        <f>25/30*100</f>
        <v>83.333333333333343</v>
      </c>
      <c r="J23" s="2">
        <v>81</v>
      </c>
      <c r="K23" s="2">
        <v>100</v>
      </c>
      <c r="L23" s="2">
        <v>90</v>
      </c>
      <c r="M23" s="2">
        <v>92</v>
      </c>
      <c r="N23" s="2">
        <f>21/25*100</f>
        <v>84</v>
      </c>
      <c r="O23" s="2">
        <v>36</v>
      </c>
      <c r="P23" s="2">
        <v>24</v>
      </c>
      <c r="Q23" s="2">
        <v>60</v>
      </c>
      <c r="R23" s="2">
        <f>13/15*100</f>
        <v>86.666666666666671</v>
      </c>
      <c r="S23" s="2">
        <f>14/15*100</f>
        <v>93.333333333333329</v>
      </c>
      <c r="T23" s="4">
        <v>100</v>
      </c>
      <c r="U23" s="2">
        <v>52</v>
      </c>
    </row>
    <row r="24" spans="1:21" ht="15" customHeight="1" x14ac:dyDescent="0.25">
      <c r="A24" s="14" t="s">
        <v>109</v>
      </c>
      <c r="B24" s="3" t="s">
        <v>29</v>
      </c>
      <c r="C24" s="3" t="s">
        <v>30</v>
      </c>
      <c r="D24" t="s">
        <v>165</v>
      </c>
      <c r="E24" s="3">
        <v>92.7</v>
      </c>
      <c r="F24" s="3">
        <v>86</v>
      </c>
      <c r="G24" s="3">
        <v>82.5</v>
      </c>
      <c r="H24" s="3">
        <v>90</v>
      </c>
      <c r="I24" s="3">
        <v>61.3</v>
      </c>
      <c r="J24" s="4">
        <v>78</v>
      </c>
      <c r="K24" s="4">
        <v>88.75</v>
      </c>
      <c r="L24" s="4">
        <v>100</v>
      </c>
      <c r="M24" s="4">
        <v>92</v>
      </c>
      <c r="N24" s="4">
        <v>100</v>
      </c>
      <c r="O24" s="4">
        <v>46</v>
      </c>
      <c r="P24" s="4">
        <v>21</v>
      </c>
      <c r="Q24" s="2">
        <v>67</v>
      </c>
      <c r="R24" s="2">
        <v>100</v>
      </c>
      <c r="S24" s="4">
        <v>100</v>
      </c>
      <c r="T24" s="2"/>
      <c r="U24" s="4">
        <v>51</v>
      </c>
    </row>
    <row r="25" spans="1:21" ht="15" customHeight="1" x14ac:dyDescent="0.25">
      <c r="A25" s="3" t="s">
        <v>90</v>
      </c>
      <c r="B25" s="3" t="s">
        <v>16</v>
      </c>
      <c r="C25" s="3" t="s">
        <v>17</v>
      </c>
      <c r="D25" t="s">
        <v>165</v>
      </c>
      <c r="E25" s="3">
        <v>25.2</v>
      </c>
      <c r="F25" s="3">
        <v>66</v>
      </c>
      <c r="G25" s="3">
        <v>68.75</v>
      </c>
      <c r="H25" s="3">
        <v>80</v>
      </c>
      <c r="I25" s="3">
        <v>87.5</v>
      </c>
      <c r="J25" s="3">
        <v>83</v>
      </c>
      <c r="K25" s="4">
        <v>95</v>
      </c>
      <c r="L25" s="4">
        <v>100</v>
      </c>
      <c r="M25" s="4">
        <f>20/25*100</f>
        <v>80</v>
      </c>
      <c r="N25" s="4">
        <v>64</v>
      </c>
      <c r="O25" s="4">
        <v>46</v>
      </c>
      <c r="P25" s="4">
        <v>18</v>
      </c>
      <c r="Q25" s="2">
        <v>64</v>
      </c>
      <c r="R25" s="2">
        <v>80</v>
      </c>
      <c r="S25" s="4">
        <f>12/15*100</f>
        <v>80</v>
      </c>
      <c r="T25" s="2"/>
      <c r="U25" s="4">
        <v>51</v>
      </c>
    </row>
    <row r="26" spans="1:21" ht="15" customHeight="1" x14ac:dyDescent="0.25">
      <c r="A26" s="1" t="s">
        <v>108</v>
      </c>
      <c r="B26" s="1" t="s">
        <v>16</v>
      </c>
      <c r="C26" s="1" t="s">
        <v>18</v>
      </c>
      <c r="D26" t="s">
        <v>167</v>
      </c>
      <c r="E26" s="1">
        <v>92.7</v>
      </c>
      <c r="F26" s="1">
        <v>98</v>
      </c>
      <c r="G26" s="1">
        <v>85</v>
      </c>
      <c r="H26" s="1"/>
      <c r="I26" s="1"/>
      <c r="J26" s="1">
        <v>87</v>
      </c>
      <c r="K26" s="2">
        <v>100</v>
      </c>
      <c r="L26" s="2">
        <v>100</v>
      </c>
      <c r="M26" s="2">
        <f>20/25*100</f>
        <v>80</v>
      </c>
      <c r="N26" s="2">
        <v>100</v>
      </c>
      <c r="O26" s="2">
        <v>62</v>
      </c>
      <c r="P26" s="2">
        <v>21</v>
      </c>
      <c r="Q26" s="2">
        <v>83</v>
      </c>
      <c r="R26" s="4">
        <v>100</v>
      </c>
      <c r="S26" s="2">
        <f>100</f>
        <v>100</v>
      </c>
      <c r="T26" s="4"/>
      <c r="U26" s="2">
        <v>69</v>
      </c>
    </row>
    <row r="27" spans="1:21" ht="15" customHeight="1" x14ac:dyDescent="0.25">
      <c r="A27" s="1" t="s">
        <v>68</v>
      </c>
      <c r="B27" s="1" t="s">
        <v>20</v>
      </c>
      <c r="C27" s="1" t="s">
        <v>21</v>
      </c>
      <c r="D27" t="s">
        <v>165</v>
      </c>
      <c r="E27" s="1">
        <f>23/35*100</f>
        <v>65.714285714285708</v>
      </c>
      <c r="F27" s="1">
        <v>84</v>
      </c>
      <c r="G27" s="1">
        <f>33/40*100</f>
        <v>82.5</v>
      </c>
      <c r="H27" s="1">
        <v>80</v>
      </c>
      <c r="I27" s="1">
        <f>26/40*100</f>
        <v>65</v>
      </c>
      <c r="J27" s="1">
        <v>88</v>
      </c>
      <c r="K27" s="2">
        <f>38/40*100</f>
        <v>95</v>
      </c>
      <c r="L27" s="2">
        <v>100</v>
      </c>
      <c r="M27" s="2">
        <v>96</v>
      </c>
      <c r="N27" s="2">
        <v>100</v>
      </c>
      <c r="O27" s="2">
        <v>50</v>
      </c>
      <c r="P27" s="2">
        <v>15</v>
      </c>
      <c r="Q27" s="2">
        <v>65</v>
      </c>
      <c r="R27" s="2">
        <f>12/15*100</f>
        <v>80</v>
      </c>
      <c r="S27" s="2">
        <f>14/15*100</f>
        <v>93.333333333333329</v>
      </c>
      <c r="T27" s="2">
        <v>100</v>
      </c>
      <c r="U27" s="2">
        <v>55</v>
      </c>
    </row>
    <row r="28" spans="1:21" ht="15" customHeight="1" x14ac:dyDescent="0.25">
      <c r="A28" s="3" t="s">
        <v>93</v>
      </c>
      <c r="B28" s="3" t="s">
        <v>16</v>
      </c>
      <c r="C28" s="3" t="s">
        <v>18</v>
      </c>
      <c r="D28" t="s">
        <v>165</v>
      </c>
      <c r="E28" s="3">
        <v>62</v>
      </c>
      <c r="F28" s="3">
        <v>61</v>
      </c>
      <c r="G28" s="3">
        <v>35</v>
      </c>
      <c r="H28" s="3">
        <v>80</v>
      </c>
      <c r="I28" s="3">
        <v>46.3</v>
      </c>
      <c r="J28" s="3">
        <v>73</v>
      </c>
      <c r="K28" s="4">
        <v>78.75</v>
      </c>
      <c r="L28" s="4">
        <v>100</v>
      </c>
      <c r="M28" s="4">
        <f>18/25*100</f>
        <v>72</v>
      </c>
      <c r="N28" s="4">
        <v>92</v>
      </c>
      <c r="O28" s="4">
        <v>38</v>
      </c>
      <c r="P28" s="4">
        <v>21</v>
      </c>
      <c r="Q28" s="2">
        <v>59</v>
      </c>
      <c r="R28" s="2">
        <v>80</v>
      </c>
      <c r="S28" s="4">
        <f>11/15*100</f>
        <v>73.333333333333329</v>
      </c>
      <c r="T28" s="4"/>
      <c r="U28" s="4">
        <v>58</v>
      </c>
    </row>
    <row r="29" spans="1:21" ht="15" customHeight="1" x14ac:dyDescent="0.25">
      <c r="A29" s="1" t="s">
        <v>83</v>
      </c>
      <c r="B29" s="1" t="s">
        <v>8</v>
      </c>
      <c r="C29" s="1" t="s">
        <v>9</v>
      </c>
      <c r="D29" t="s">
        <v>165</v>
      </c>
      <c r="E29" s="1">
        <f>17.5/35*100</f>
        <v>50</v>
      </c>
      <c r="F29" s="1">
        <f>31.5*2</f>
        <v>63</v>
      </c>
      <c r="G29" s="1">
        <f>32/40*100</f>
        <v>80</v>
      </c>
      <c r="H29" s="1">
        <v>55</v>
      </c>
      <c r="I29" s="1">
        <f>21/40*100</f>
        <v>52.5</v>
      </c>
      <c r="J29" s="1">
        <v>73</v>
      </c>
      <c r="K29" s="2">
        <v>100</v>
      </c>
      <c r="L29" s="2">
        <v>100</v>
      </c>
      <c r="M29" s="2">
        <v>100</v>
      </c>
      <c r="N29" s="2">
        <f>20/25*100</f>
        <v>80</v>
      </c>
      <c r="O29" s="2">
        <v>56</v>
      </c>
      <c r="P29" s="2">
        <v>16</v>
      </c>
      <c r="Q29" s="2">
        <v>72</v>
      </c>
      <c r="R29" s="2">
        <f>13/15*100</f>
        <v>86.666666666666671</v>
      </c>
      <c r="S29" s="2">
        <f>14/15*100</f>
        <v>93.333333333333329</v>
      </c>
      <c r="T29" s="4">
        <v>87</v>
      </c>
      <c r="U29" s="2">
        <v>51</v>
      </c>
    </row>
    <row r="30" spans="1:21" ht="15" customHeight="1" x14ac:dyDescent="0.25">
      <c r="A30" s="3" t="s">
        <v>101</v>
      </c>
      <c r="B30" s="3" t="s">
        <v>10</v>
      </c>
      <c r="C30" s="3" t="s">
        <v>11</v>
      </c>
      <c r="D30" t="s">
        <v>165</v>
      </c>
      <c r="E30" s="3">
        <v>97.4</v>
      </c>
      <c r="F30" s="3">
        <v>79</v>
      </c>
      <c r="G30" s="3">
        <v>40</v>
      </c>
      <c r="H30" s="3">
        <v>75</v>
      </c>
      <c r="I30" s="3">
        <v>75</v>
      </c>
      <c r="J30" s="3">
        <v>77</v>
      </c>
      <c r="K30" s="4">
        <v>90</v>
      </c>
      <c r="L30" s="4">
        <v>75</v>
      </c>
      <c r="M30" s="4">
        <v>92</v>
      </c>
      <c r="N30" s="4">
        <v>96</v>
      </c>
      <c r="O30" s="4">
        <v>44</v>
      </c>
      <c r="P30" s="4">
        <v>21</v>
      </c>
      <c r="Q30" s="2">
        <v>65</v>
      </c>
      <c r="R30" s="4">
        <f>10/15*100</f>
        <v>66.666666666666657</v>
      </c>
      <c r="S30" s="4">
        <f>13/15*100</f>
        <v>86.666666666666671</v>
      </c>
      <c r="T30" s="2"/>
      <c r="U30" s="4">
        <v>57</v>
      </c>
    </row>
    <row r="31" spans="1:21" ht="15" customHeight="1" x14ac:dyDescent="0.25">
      <c r="A31" s="3" t="s">
        <v>98</v>
      </c>
      <c r="B31" s="3" t="s">
        <v>8</v>
      </c>
      <c r="C31" s="3" t="s">
        <v>9</v>
      </c>
      <c r="D31" t="s">
        <v>167</v>
      </c>
      <c r="E31" s="3">
        <v>80</v>
      </c>
      <c r="F31" s="3">
        <v>64</v>
      </c>
      <c r="G31" s="3">
        <v>85</v>
      </c>
      <c r="H31" s="3">
        <v>85</v>
      </c>
      <c r="I31" s="3">
        <v>50</v>
      </c>
      <c r="J31" s="3">
        <v>84</v>
      </c>
      <c r="K31" s="4">
        <v>93.75</v>
      </c>
      <c r="L31" s="4">
        <v>100</v>
      </c>
      <c r="M31" s="4">
        <f>22/25*100</f>
        <v>88</v>
      </c>
      <c r="N31" s="4">
        <v>92</v>
      </c>
      <c r="O31" s="4">
        <v>62</v>
      </c>
      <c r="P31" s="4">
        <v>21</v>
      </c>
      <c r="Q31" s="2">
        <v>83</v>
      </c>
      <c r="R31" s="4">
        <v>87</v>
      </c>
      <c r="S31" s="4">
        <f>14/15*100</f>
        <v>93.333333333333329</v>
      </c>
      <c r="T31" s="4"/>
      <c r="U31" s="4">
        <v>59</v>
      </c>
    </row>
    <row r="32" spans="1:21" ht="15" customHeight="1" x14ac:dyDescent="0.25">
      <c r="A32" s="1" t="s">
        <v>85</v>
      </c>
      <c r="B32" s="1" t="s">
        <v>16</v>
      </c>
      <c r="C32" s="1" t="s">
        <v>25</v>
      </c>
      <c r="D32" t="s">
        <v>166</v>
      </c>
      <c r="E32" s="1">
        <v>70</v>
      </c>
      <c r="F32" s="1">
        <v>47</v>
      </c>
      <c r="G32" s="1">
        <v>50</v>
      </c>
      <c r="H32" s="1">
        <v>70</v>
      </c>
      <c r="I32" s="1">
        <v>67.5</v>
      </c>
      <c r="J32" s="1">
        <v>74</v>
      </c>
      <c r="K32" s="2">
        <v>95</v>
      </c>
      <c r="L32" s="2">
        <v>100</v>
      </c>
      <c r="M32" s="2">
        <f>23/25*100</f>
        <v>92</v>
      </c>
      <c r="N32" s="2">
        <v>100</v>
      </c>
      <c r="O32" s="2">
        <v>38</v>
      </c>
      <c r="P32" s="2">
        <v>18</v>
      </c>
      <c r="Q32" s="2">
        <v>56</v>
      </c>
      <c r="R32" s="4">
        <v>94</v>
      </c>
      <c r="S32" s="2">
        <v>100</v>
      </c>
      <c r="T32" s="4"/>
      <c r="U32" s="2">
        <v>46</v>
      </c>
    </row>
    <row r="33" spans="1:21" ht="15" customHeight="1" x14ac:dyDescent="0.25">
      <c r="A33" s="3" t="s">
        <v>97</v>
      </c>
      <c r="B33" s="3" t="s">
        <v>20</v>
      </c>
      <c r="C33" s="3" t="s">
        <v>21</v>
      </c>
      <c r="D33" t="s">
        <v>164</v>
      </c>
      <c r="E33" s="3">
        <v>38</v>
      </c>
      <c r="F33" s="3"/>
      <c r="G33" s="3"/>
      <c r="H33" s="3"/>
      <c r="I33" s="3"/>
      <c r="J33" s="3">
        <v>71</v>
      </c>
      <c r="K33" s="4">
        <v>67.5</v>
      </c>
      <c r="L33" s="4">
        <v>100</v>
      </c>
      <c r="M33" s="4"/>
      <c r="N33" s="4">
        <v>72</v>
      </c>
      <c r="O33" s="4">
        <v>17</v>
      </c>
      <c r="P33" s="4">
        <v>46</v>
      </c>
      <c r="Q33" s="2">
        <v>63</v>
      </c>
      <c r="R33" s="4"/>
      <c r="S33" s="4">
        <f>14/15*100</f>
        <v>93.333333333333329</v>
      </c>
      <c r="T33" s="4"/>
      <c r="U33" s="4">
        <v>71</v>
      </c>
    </row>
    <row r="34" spans="1:21" ht="15" customHeight="1" x14ac:dyDescent="0.25">
      <c r="A34" s="3" t="s">
        <v>64</v>
      </c>
      <c r="B34" s="3" t="s">
        <v>16</v>
      </c>
      <c r="C34" s="3" t="s">
        <v>38</v>
      </c>
      <c r="D34" t="s">
        <v>169</v>
      </c>
      <c r="E34" s="3">
        <f>22/35*100</f>
        <v>62.857142857142854</v>
      </c>
      <c r="F34" s="3">
        <v>72</v>
      </c>
      <c r="G34" s="3">
        <f>34/40*100</f>
        <v>85</v>
      </c>
      <c r="H34" s="3">
        <v>90</v>
      </c>
      <c r="I34" s="3">
        <f>36/40*100</f>
        <v>90</v>
      </c>
      <c r="J34" s="3">
        <v>88</v>
      </c>
      <c r="K34" s="4">
        <v>100</v>
      </c>
      <c r="L34" s="4">
        <v>100</v>
      </c>
      <c r="M34" s="4">
        <v>96</v>
      </c>
      <c r="N34" s="4">
        <v>100</v>
      </c>
      <c r="O34" s="4">
        <v>68</v>
      </c>
      <c r="P34" s="4">
        <v>28</v>
      </c>
      <c r="Q34" s="2">
        <v>96</v>
      </c>
      <c r="R34" s="4">
        <f>14/15*100</f>
        <v>93.333333333333329</v>
      </c>
      <c r="S34" s="4">
        <f>14/15*100</f>
        <v>93.333333333333329</v>
      </c>
      <c r="T34" s="2">
        <v>100</v>
      </c>
      <c r="U34" s="4">
        <v>63</v>
      </c>
    </row>
    <row r="35" spans="1:21" ht="15" customHeight="1" x14ac:dyDescent="0.25">
      <c r="A35" s="3" t="s">
        <v>117</v>
      </c>
      <c r="B35" s="3" t="s">
        <v>8</v>
      </c>
      <c r="C35" s="3" t="s">
        <v>9</v>
      </c>
      <c r="D35" t="s">
        <v>166</v>
      </c>
      <c r="E35" s="3">
        <v>77.7</v>
      </c>
      <c r="F35" s="3">
        <v>66</v>
      </c>
      <c r="G35" s="3"/>
      <c r="H35" s="3"/>
      <c r="I35" s="3">
        <v>65</v>
      </c>
      <c r="J35" s="3">
        <v>84</v>
      </c>
      <c r="K35" s="4"/>
      <c r="L35" s="4"/>
      <c r="M35" s="4"/>
      <c r="N35" s="4"/>
      <c r="O35" s="4">
        <v>52</v>
      </c>
      <c r="P35" s="4">
        <f>14+1+12</f>
        <v>27</v>
      </c>
      <c r="Q35" s="2">
        <v>79</v>
      </c>
      <c r="R35" s="4"/>
      <c r="S35" s="4"/>
      <c r="T35" s="2"/>
      <c r="U35" s="4">
        <v>59</v>
      </c>
    </row>
    <row r="36" spans="1:21" ht="15" customHeight="1" x14ac:dyDescent="0.25">
      <c r="A36" s="3" t="s">
        <v>103</v>
      </c>
      <c r="B36" s="3" t="s">
        <v>16</v>
      </c>
      <c r="C36" s="3" t="s">
        <v>22</v>
      </c>
      <c r="D36" t="s">
        <v>167</v>
      </c>
      <c r="E36" s="3">
        <v>90</v>
      </c>
      <c r="F36" s="3">
        <v>95</v>
      </c>
      <c r="G36" s="3">
        <v>97.5</v>
      </c>
      <c r="H36" s="3">
        <v>100</v>
      </c>
      <c r="I36" s="3">
        <v>67.5</v>
      </c>
      <c r="J36" s="1">
        <v>82</v>
      </c>
      <c r="K36" s="4">
        <v>100</v>
      </c>
      <c r="L36" s="4">
        <v>100</v>
      </c>
      <c r="M36" s="4">
        <f>23/25*100</f>
        <v>92</v>
      </c>
      <c r="N36" s="4">
        <v>100</v>
      </c>
      <c r="O36" s="4">
        <v>60</v>
      </c>
      <c r="P36" s="4">
        <v>19</v>
      </c>
      <c r="Q36" s="2">
        <v>79</v>
      </c>
      <c r="R36" s="4">
        <v>87</v>
      </c>
      <c r="S36" s="4">
        <f>14/15*100</f>
        <v>93.333333333333329</v>
      </c>
      <c r="T36" s="2"/>
      <c r="U36" s="4">
        <v>62</v>
      </c>
    </row>
    <row r="37" spans="1:21" ht="15" customHeight="1" x14ac:dyDescent="0.25">
      <c r="A37" s="1" t="s">
        <v>105</v>
      </c>
      <c r="B37" s="1" t="s">
        <v>8</v>
      </c>
      <c r="C37" s="1" t="s">
        <v>9</v>
      </c>
      <c r="D37" t="s">
        <v>163</v>
      </c>
      <c r="E37" s="1">
        <v>38.6</v>
      </c>
      <c r="F37" s="1"/>
      <c r="G37" s="1">
        <v>40</v>
      </c>
      <c r="H37" s="1">
        <v>60</v>
      </c>
      <c r="I37" s="1"/>
      <c r="J37" s="1">
        <v>53</v>
      </c>
      <c r="K37" s="2">
        <v>56.25</v>
      </c>
      <c r="L37" s="2"/>
      <c r="M37" s="2"/>
      <c r="N37" s="2"/>
      <c r="O37" s="2">
        <v>38</v>
      </c>
      <c r="P37" s="2">
        <v>9</v>
      </c>
      <c r="Q37" s="2">
        <v>47</v>
      </c>
      <c r="R37" s="2">
        <v>94</v>
      </c>
      <c r="S37" s="2">
        <f>12/15*100</f>
        <v>80</v>
      </c>
      <c r="T37" s="2"/>
      <c r="U37" s="2">
        <v>53</v>
      </c>
    </row>
    <row r="38" spans="1:21" ht="15" customHeight="1" x14ac:dyDescent="0.25">
      <c r="A38" s="1" t="s">
        <v>119</v>
      </c>
      <c r="B38" s="1" t="s">
        <v>8</v>
      </c>
      <c r="C38" s="1" t="s">
        <v>9</v>
      </c>
      <c r="D38" t="s">
        <v>162</v>
      </c>
      <c r="E38" s="1">
        <v>48</v>
      </c>
      <c r="F38" s="1">
        <v>71</v>
      </c>
      <c r="G38" s="1">
        <v>5</v>
      </c>
      <c r="H38" s="1">
        <v>80</v>
      </c>
      <c r="I38" s="1">
        <v>48.8</v>
      </c>
      <c r="J38" s="1">
        <v>70</v>
      </c>
      <c r="K38" s="2">
        <v>76.25</v>
      </c>
      <c r="L38" s="2">
        <v>100</v>
      </c>
      <c r="M38" s="2">
        <f>23/25*100</f>
        <v>92</v>
      </c>
      <c r="N38" s="2">
        <v>72</v>
      </c>
      <c r="O38" s="2">
        <v>42</v>
      </c>
      <c r="P38" s="2">
        <v>13</v>
      </c>
      <c r="Q38" s="2">
        <v>55</v>
      </c>
      <c r="R38" s="2"/>
      <c r="S38" s="2"/>
      <c r="T38" s="4"/>
      <c r="U38" s="2">
        <v>48</v>
      </c>
    </row>
    <row r="39" spans="1:21" ht="15" customHeight="1" x14ac:dyDescent="0.25">
      <c r="A39" s="3" t="s">
        <v>127</v>
      </c>
      <c r="B39" s="3" t="s">
        <v>8</v>
      </c>
      <c r="C39" s="3" t="s">
        <v>8</v>
      </c>
      <c r="D39" t="s">
        <v>165</v>
      </c>
      <c r="E39" s="3">
        <v>90</v>
      </c>
      <c r="F39" s="3">
        <v>78</v>
      </c>
      <c r="G39" s="3">
        <v>95</v>
      </c>
      <c r="H39" s="3">
        <v>90</v>
      </c>
      <c r="I39" s="3">
        <v>77.5</v>
      </c>
      <c r="J39" s="3">
        <v>77</v>
      </c>
      <c r="K39" s="4">
        <v>85</v>
      </c>
      <c r="L39" s="4">
        <v>95</v>
      </c>
      <c r="M39" s="4">
        <f>22/25*100</f>
        <v>88</v>
      </c>
      <c r="N39" s="4">
        <v>92</v>
      </c>
      <c r="O39" s="4">
        <v>52</v>
      </c>
      <c r="P39" s="4">
        <v>19</v>
      </c>
      <c r="Q39" s="2">
        <v>71</v>
      </c>
      <c r="R39" s="2">
        <v>67</v>
      </c>
      <c r="S39" s="4">
        <f>13/15*100</f>
        <v>86.666666666666671</v>
      </c>
      <c r="T39" s="2"/>
      <c r="U39" s="4">
        <v>64</v>
      </c>
    </row>
    <row r="40" spans="1:21" ht="15" customHeight="1" x14ac:dyDescent="0.25">
      <c r="A40" s="1" t="s">
        <v>78</v>
      </c>
      <c r="B40" s="1" t="s">
        <v>8</v>
      </c>
      <c r="C40" s="1" t="s">
        <v>9</v>
      </c>
      <c r="D40" t="s">
        <v>167</v>
      </c>
      <c r="E40" s="1">
        <f>27.5/35*100</f>
        <v>78.571428571428569</v>
      </c>
      <c r="F40" s="1">
        <v>61</v>
      </c>
      <c r="G40" s="1">
        <f>28/40*100</f>
        <v>70</v>
      </c>
      <c r="H40" s="1">
        <v>100</v>
      </c>
      <c r="I40" s="1">
        <f>29/40*100</f>
        <v>72.5</v>
      </c>
      <c r="J40" s="1">
        <v>93</v>
      </c>
      <c r="K40" s="2">
        <v>100</v>
      </c>
      <c r="L40" s="2">
        <v>100</v>
      </c>
      <c r="M40" s="2">
        <v>100</v>
      </c>
      <c r="N40" s="2">
        <v>100</v>
      </c>
      <c r="O40" s="2">
        <v>54</v>
      </c>
      <c r="P40" s="2">
        <v>26</v>
      </c>
      <c r="Q40" s="2">
        <v>80</v>
      </c>
      <c r="R40" s="2">
        <f>14/15*100</f>
        <v>93.333333333333329</v>
      </c>
      <c r="S40" s="2">
        <f>12/15*100</f>
        <v>80</v>
      </c>
      <c r="T40" s="2">
        <v>60</v>
      </c>
      <c r="U40" s="2">
        <v>65</v>
      </c>
    </row>
    <row r="41" spans="1:21" ht="15" customHeight="1" x14ac:dyDescent="0.25">
      <c r="A41" s="1" t="s">
        <v>53</v>
      </c>
      <c r="B41" s="1" t="s">
        <v>16</v>
      </c>
      <c r="C41" s="1" t="s">
        <v>24</v>
      </c>
      <c r="D41" t="s">
        <v>165</v>
      </c>
      <c r="E41" s="1">
        <f>30/35*100</f>
        <v>85.714285714285708</v>
      </c>
      <c r="F41" s="1">
        <v>52</v>
      </c>
      <c r="G41" s="1">
        <f>28/40*100</f>
        <v>70</v>
      </c>
      <c r="H41" s="1">
        <v>80</v>
      </c>
      <c r="I41" s="1">
        <f>37/40*100</f>
        <v>92.5</v>
      </c>
      <c r="J41" s="1">
        <v>78</v>
      </c>
      <c r="K41" s="2">
        <v>100</v>
      </c>
      <c r="L41" s="2">
        <v>100</v>
      </c>
      <c r="M41" s="2">
        <v>92</v>
      </c>
      <c r="N41" s="2">
        <v>92</v>
      </c>
      <c r="O41" s="2">
        <v>56</v>
      </c>
      <c r="P41" s="2">
        <v>18</v>
      </c>
      <c r="Q41" s="2">
        <v>74</v>
      </c>
      <c r="R41" s="2">
        <f>14/15*100</f>
        <v>93.333333333333329</v>
      </c>
      <c r="S41" s="2">
        <f>14/15*100</f>
        <v>93.333333333333329</v>
      </c>
      <c r="T41" s="4"/>
      <c r="U41" s="2">
        <v>53</v>
      </c>
    </row>
    <row r="42" spans="1:21" ht="15" customHeight="1" x14ac:dyDescent="0.25">
      <c r="A42" s="3" t="s">
        <v>118</v>
      </c>
      <c r="B42" s="3" t="s">
        <v>8</v>
      </c>
      <c r="C42" s="3" t="s">
        <v>9</v>
      </c>
      <c r="D42" t="s">
        <v>162</v>
      </c>
      <c r="E42" s="3">
        <v>38.700000000000003</v>
      </c>
      <c r="F42" s="3">
        <v>51</v>
      </c>
      <c r="G42" s="3">
        <v>50</v>
      </c>
      <c r="H42" s="3"/>
      <c r="I42" s="3"/>
      <c r="J42" s="3">
        <v>79</v>
      </c>
      <c r="K42" s="4"/>
      <c r="L42" s="4">
        <v>90</v>
      </c>
      <c r="M42" s="4"/>
      <c r="N42" s="4"/>
      <c r="O42" s="4">
        <v>42</v>
      </c>
      <c r="P42" s="4">
        <v>14</v>
      </c>
      <c r="Q42" s="2">
        <v>56</v>
      </c>
      <c r="R42" s="2">
        <v>34</v>
      </c>
      <c r="S42" s="4"/>
      <c r="T42" s="2"/>
      <c r="U42" s="4">
        <v>51</v>
      </c>
    </row>
    <row r="43" spans="1:21" ht="15" customHeight="1" x14ac:dyDescent="0.25">
      <c r="A43" s="1" t="s">
        <v>74</v>
      </c>
      <c r="B43" s="1" t="s">
        <v>8</v>
      </c>
      <c r="C43" s="1" t="s">
        <v>9</v>
      </c>
      <c r="D43" t="s">
        <v>168</v>
      </c>
      <c r="E43" s="1">
        <f>25/35*100</f>
        <v>71.428571428571431</v>
      </c>
      <c r="F43" s="1">
        <v>90</v>
      </c>
      <c r="G43" s="1">
        <f>38/40*100</f>
        <v>95</v>
      </c>
      <c r="H43" s="1">
        <v>100</v>
      </c>
      <c r="I43" s="1">
        <v>100</v>
      </c>
      <c r="J43" s="1">
        <v>92</v>
      </c>
      <c r="K43" s="2">
        <v>87.5</v>
      </c>
      <c r="L43" s="2">
        <v>100</v>
      </c>
      <c r="M43" s="2">
        <v>100</v>
      </c>
      <c r="N43" s="2">
        <v>100</v>
      </c>
      <c r="O43" s="2">
        <v>62</v>
      </c>
      <c r="P43" s="2">
        <v>30</v>
      </c>
      <c r="Q43" s="2">
        <v>92</v>
      </c>
      <c r="R43" s="2">
        <v>100</v>
      </c>
      <c r="S43" s="2">
        <v>100</v>
      </c>
      <c r="T43" s="4">
        <v>100</v>
      </c>
      <c r="U43" s="2">
        <v>67</v>
      </c>
    </row>
    <row r="44" spans="1:21" ht="15" customHeight="1" x14ac:dyDescent="0.3">
      <c r="A44" s="3" t="s">
        <v>82</v>
      </c>
      <c r="B44" s="3" t="s">
        <v>10</v>
      </c>
      <c r="C44" s="3" t="s">
        <v>11</v>
      </c>
      <c r="D44" t="s">
        <v>168</v>
      </c>
      <c r="E44" s="3">
        <v>100</v>
      </c>
      <c r="F44" s="3">
        <v>100</v>
      </c>
      <c r="G44" s="3">
        <f>32/40*100</f>
        <v>80</v>
      </c>
      <c r="H44" s="3">
        <v>90</v>
      </c>
      <c r="I44" s="10">
        <v>100</v>
      </c>
      <c r="J44" s="3">
        <v>98</v>
      </c>
      <c r="K44" s="4">
        <v>100</v>
      </c>
      <c r="L44" s="4">
        <v>100</v>
      </c>
      <c r="M44" s="4">
        <v>100</v>
      </c>
      <c r="N44" s="4">
        <v>100</v>
      </c>
      <c r="O44" s="4">
        <v>64</v>
      </c>
      <c r="P44" s="4">
        <v>25</v>
      </c>
      <c r="Q44" s="2">
        <v>89</v>
      </c>
      <c r="R44" s="4">
        <v>100</v>
      </c>
      <c r="S44" s="4">
        <v>100</v>
      </c>
      <c r="T44" s="4">
        <v>100</v>
      </c>
      <c r="U44" s="4">
        <v>67</v>
      </c>
    </row>
    <row r="45" spans="1:21" ht="15" customHeight="1" x14ac:dyDescent="0.25">
      <c r="A45" s="13" t="s">
        <v>137</v>
      </c>
      <c r="B45" s="13" t="s">
        <v>10</v>
      </c>
      <c r="C45" s="13" t="s">
        <v>11</v>
      </c>
      <c r="D45" t="s">
        <v>165</v>
      </c>
      <c r="E45" s="13">
        <v>84</v>
      </c>
      <c r="F45" s="13">
        <v>71</v>
      </c>
      <c r="G45" s="3">
        <f>34/40*100</f>
        <v>85</v>
      </c>
      <c r="H45" s="3">
        <v>80</v>
      </c>
      <c r="I45" s="3">
        <f>21/40*100</f>
        <v>52.5</v>
      </c>
      <c r="J45" s="3">
        <v>76</v>
      </c>
      <c r="K45" s="4"/>
      <c r="L45" s="4">
        <v>80</v>
      </c>
      <c r="M45" s="4"/>
      <c r="N45" s="4">
        <v>100</v>
      </c>
      <c r="O45" s="4">
        <v>48</v>
      </c>
      <c r="P45" s="4">
        <v>20</v>
      </c>
      <c r="Q45" s="2">
        <v>68</v>
      </c>
      <c r="R45" s="4">
        <f>12/15*100</f>
        <v>80</v>
      </c>
      <c r="S45" s="4">
        <v>100</v>
      </c>
      <c r="T45" s="2"/>
      <c r="U45" s="4">
        <v>58</v>
      </c>
    </row>
    <row r="46" spans="1:21" ht="15" customHeight="1" x14ac:dyDescent="0.25">
      <c r="A46" s="3" t="s">
        <v>111</v>
      </c>
      <c r="B46" s="3" t="s">
        <v>8</v>
      </c>
      <c r="C46" s="3" t="s">
        <v>9</v>
      </c>
      <c r="D46" t="s">
        <v>162</v>
      </c>
      <c r="E46" s="3">
        <v>43.3</v>
      </c>
      <c r="F46" s="3">
        <v>47</v>
      </c>
      <c r="G46" s="3">
        <v>32.5</v>
      </c>
      <c r="H46" s="3">
        <v>80</v>
      </c>
      <c r="I46" s="3">
        <v>85</v>
      </c>
      <c r="J46" s="3">
        <v>65</v>
      </c>
      <c r="K46" s="4">
        <v>90</v>
      </c>
      <c r="L46" s="4">
        <v>100</v>
      </c>
      <c r="M46" s="4">
        <v>88</v>
      </c>
      <c r="N46" s="4">
        <v>72</v>
      </c>
      <c r="O46" s="4">
        <v>36</v>
      </c>
      <c r="P46" s="4">
        <v>10</v>
      </c>
      <c r="Q46" s="2">
        <v>46</v>
      </c>
      <c r="R46" s="2">
        <v>84</v>
      </c>
      <c r="S46" s="4">
        <f>11/15*100</f>
        <v>73.333333333333329</v>
      </c>
      <c r="T46" s="2"/>
      <c r="U46" s="4">
        <v>41</v>
      </c>
    </row>
    <row r="47" spans="1:21" ht="15" customHeight="1" x14ac:dyDescent="0.25">
      <c r="A47" s="1" t="s">
        <v>59</v>
      </c>
      <c r="B47" s="1" t="s">
        <v>14</v>
      </c>
      <c r="C47" s="1" t="s">
        <v>34</v>
      </c>
      <c r="D47" t="s">
        <v>162</v>
      </c>
      <c r="E47" s="1">
        <f>21/35*100</f>
        <v>60</v>
      </c>
      <c r="F47" s="1"/>
      <c r="G47" s="1">
        <f>10/40*100</f>
        <v>25</v>
      </c>
      <c r="H47" s="1">
        <v>70</v>
      </c>
      <c r="I47" s="1">
        <f>13/40*100</f>
        <v>32.5</v>
      </c>
      <c r="J47" s="1">
        <v>73</v>
      </c>
      <c r="K47" s="2">
        <f>25/40*100</f>
        <v>62.5</v>
      </c>
      <c r="L47" s="2"/>
      <c r="M47" s="2">
        <v>84</v>
      </c>
      <c r="N47" s="2"/>
      <c r="O47" s="2">
        <v>58</v>
      </c>
      <c r="P47" s="2">
        <v>16</v>
      </c>
      <c r="Q47" s="2">
        <v>74</v>
      </c>
      <c r="R47" s="2"/>
      <c r="S47" s="2">
        <f>12/15*100</f>
        <v>80</v>
      </c>
      <c r="T47" s="4"/>
      <c r="U47" s="2">
        <v>48</v>
      </c>
    </row>
    <row r="48" spans="1:21" ht="15" customHeight="1" x14ac:dyDescent="0.25">
      <c r="A48" s="1" t="s">
        <v>140</v>
      </c>
      <c r="B48" s="1" t="s">
        <v>10</v>
      </c>
      <c r="C48" s="1" t="s">
        <v>11</v>
      </c>
      <c r="D48" t="s">
        <v>162</v>
      </c>
      <c r="E48" s="1">
        <f>22/25*100</f>
        <v>88</v>
      </c>
      <c r="F48" s="1">
        <v>70</v>
      </c>
      <c r="G48" s="1">
        <v>30</v>
      </c>
      <c r="H48" s="1">
        <v>65</v>
      </c>
      <c r="I48" s="1">
        <v>81.3</v>
      </c>
      <c r="J48" s="1">
        <v>76</v>
      </c>
      <c r="K48" s="2">
        <v>62.5</v>
      </c>
      <c r="L48" s="2">
        <v>100</v>
      </c>
      <c r="M48" s="2">
        <f>18/25*100</f>
        <v>72</v>
      </c>
      <c r="N48" s="2"/>
      <c r="O48" s="2">
        <v>26</v>
      </c>
      <c r="P48" s="2">
        <v>4</v>
      </c>
      <c r="Q48" s="2">
        <v>30</v>
      </c>
      <c r="R48" s="2">
        <v>67</v>
      </c>
      <c r="S48" s="2">
        <f>14/15*100</f>
        <v>93.333333333333329</v>
      </c>
      <c r="T48" s="2"/>
      <c r="U48" s="2">
        <v>46</v>
      </c>
    </row>
    <row r="49" spans="1:21" ht="15" customHeight="1" x14ac:dyDescent="0.25">
      <c r="A49" s="3" t="s">
        <v>153</v>
      </c>
      <c r="B49" s="3" t="s">
        <v>10</v>
      </c>
      <c r="C49" s="3" t="s">
        <v>11</v>
      </c>
      <c r="D49" t="s">
        <v>166</v>
      </c>
      <c r="E49" s="3"/>
      <c r="F49" s="3"/>
      <c r="G49" s="3"/>
      <c r="H49" s="3"/>
      <c r="I49" s="3"/>
      <c r="J49" s="3">
        <v>88</v>
      </c>
      <c r="K49" s="4"/>
      <c r="L49" s="4"/>
      <c r="M49" s="4"/>
      <c r="N49" s="4">
        <v>92</v>
      </c>
      <c r="O49" s="4">
        <v>66</v>
      </c>
      <c r="P49" s="4">
        <v>29</v>
      </c>
      <c r="Q49" s="2">
        <v>95</v>
      </c>
      <c r="R49" s="2">
        <v>74</v>
      </c>
      <c r="S49" s="4"/>
      <c r="T49" s="4"/>
      <c r="U49" s="4">
        <v>57</v>
      </c>
    </row>
    <row r="50" spans="1:21" ht="15" customHeight="1" x14ac:dyDescent="0.25">
      <c r="A50" s="1" t="s">
        <v>71</v>
      </c>
      <c r="B50" s="1" t="s">
        <v>8</v>
      </c>
      <c r="C50" s="1" t="s">
        <v>9</v>
      </c>
      <c r="D50" t="s">
        <v>162</v>
      </c>
      <c r="E50" s="1">
        <f>19.5/35*100</f>
        <v>55.714285714285715</v>
      </c>
      <c r="F50" s="1">
        <v>29</v>
      </c>
      <c r="G50" s="1">
        <f>12/40*100</f>
        <v>30</v>
      </c>
      <c r="H50" s="1">
        <v>70</v>
      </c>
      <c r="I50" s="1">
        <f>24/40*100</f>
        <v>60</v>
      </c>
      <c r="J50" s="1">
        <v>70</v>
      </c>
      <c r="K50" s="2"/>
      <c r="L50" s="2">
        <v>90</v>
      </c>
      <c r="M50" s="2">
        <v>92</v>
      </c>
      <c r="N50" s="2"/>
      <c r="O50" s="2">
        <v>42</v>
      </c>
      <c r="P50" s="2">
        <v>19</v>
      </c>
      <c r="Q50" s="2">
        <v>61</v>
      </c>
      <c r="R50" s="2">
        <f>5/15*100</f>
        <v>33.333333333333329</v>
      </c>
      <c r="S50" s="2"/>
      <c r="T50" s="4"/>
      <c r="U50" s="2">
        <v>47</v>
      </c>
    </row>
    <row r="51" spans="1:21" ht="15" customHeight="1" x14ac:dyDescent="0.25">
      <c r="A51" s="1" t="s">
        <v>95</v>
      </c>
      <c r="B51" s="1" t="s">
        <v>16</v>
      </c>
      <c r="C51" s="1" t="s">
        <v>19</v>
      </c>
      <c r="D51" t="s">
        <v>166</v>
      </c>
      <c r="E51" s="1">
        <v>80</v>
      </c>
      <c r="F51" s="1">
        <v>76</v>
      </c>
      <c r="G51" s="1">
        <v>72.5</v>
      </c>
      <c r="H51" s="1">
        <v>80</v>
      </c>
      <c r="I51" s="1">
        <v>85</v>
      </c>
      <c r="J51" s="1">
        <v>76</v>
      </c>
      <c r="K51" s="2">
        <v>93.75</v>
      </c>
      <c r="L51" s="2">
        <v>100</v>
      </c>
      <c r="M51" s="2">
        <f>20/25*100</f>
        <v>80</v>
      </c>
      <c r="N51" s="2">
        <v>84</v>
      </c>
      <c r="O51" s="2">
        <v>52</v>
      </c>
      <c r="P51" s="2">
        <v>16</v>
      </c>
      <c r="Q51" s="2">
        <v>68</v>
      </c>
      <c r="R51" s="2">
        <v>87</v>
      </c>
      <c r="S51" s="2">
        <v>100</v>
      </c>
      <c r="T51" s="4"/>
      <c r="U51" s="2">
        <v>42</v>
      </c>
    </row>
    <row r="52" spans="1:21" ht="15" customHeight="1" x14ac:dyDescent="0.3">
      <c r="A52" s="1" t="s">
        <v>134</v>
      </c>
      <c r="B52" s="1" t="s">
        <v>14</v>
      </c>
      <c r="C52" s="1" t="s">
        <v>31</v>
      </c>
      <c r="D52" t="s">
        <v>165</v>
      </c>
      <c r="E52" s="7">
        <v>73.400000000000006</v>
      </c>
      <c r="F52" s="1">
        <v>82</v>
      </c>
      <c r="G52" s="1">
        <v>90</v>
      </c>
      <c r="H52" s="1"/>
      <c r="I52" s="9">
        <v>100</v>
      </c>
      <c r="J52" s="7">
        <v>85</v>
      </c>
      <c r="K52" s="8">
        <v>87.5</v>
      </c>
      <c r="L52" s="2">
        <v>100</v>
      </c>
      <c r="M52" s="2">
        <v>100</v>
      </c>
      <c r="N52" s="2">
        <v>100</v>
      </c>
      <c r="O52" s="2">
        <v>58</v>
      </c>
      <c r="P52" s="2">
        <v>21</v>
      </c>
      <c r="Q52" s="2">
        <v>80</v>
      </c>
      <c r="R52" s="2">
        <f>14/15*100</f>
        <v>93.333333333333329</v>
      </c>
      <c r="S52" s="2">
        <v>100</v>
      </c>
      <c r="T52" s="4"/>
      <c r="U52" s="2">
        <v>48</v>
      </c>
    </row>
    <row r="53" spans="1:21" ht="15" customHeight="1" x14ac:dyDescent="0.25">
      <c r="A53" s="3" t="s">
        <v>113</v>
      </c>
      <c r="B53" s="3" t="s">
        <v>20</v>
      </c>
      <c r="C53" s="3" t="s">
        <v>21</v>
      </c>
      <c r="D53" t="s">
        <v>162</v>
      </c>
      <c r="E53" s="3">
        <v>42</v>
      </c>
      <c r="F53" s="3">
        <v>43</v>
      </c>
      <c r="G53" s="3">
        <v>26.5</v>
      </c>
      <c r="H53" s="3">
        <v>65</v>
      </c>
      <c r="I53" s="3">
        <v>57.5</v>
      </c>
      <c r="J53" s="3">
        <v>64</v>
      </c>
      <c r="K53" s="4">
        <v>25</v>
      </c>
      <c r="L53" s="4">
        <v>100</v>
      </c>
      <c r="M53" s="4">
        <f>18/25*100</f>
        <v>72</v>
      </c>
      <c r="N53" s="4">
        <v>88</v>
      </c>
      <c r="O53" s="4">
        <v>42</v>
      </c>
      <c r="P53" s="4">
        <v>12</v>
      </c>
      <c r="Q53" s="2">
        <v>54</v>
      </c>
      <c r="R53" s="2">
        <v>80</v>
      </c>
      <c r="S53" s="4">
        <f>12/15*100</f>
        <v>80</v>
      </c>
      <c r="T53" s="2"/>
      <c r="U53" s="4">
        <v>42</v>
      </c>
    </row>
    <row r="54" spans="1:21" ht="15" customHeight="1" x14ac:dyDescent="0.25">
      <c r="A54" s="1" t="s">
        <v>94</v>
      </c>
      <c r="B54" s="1" t="s">
        <v>16</v>
      </c>
      <c r="C54" s="1" t="s">
        <v>19</v>
      </c>
      <c r="D54" t="s">
        <v>160</v>
      </c>
      <c r="E54" s="1">
        <v>60</v>
      </c>
      <c r="F54" s="1"/>
      <c r="G54" s="1"/>
      <c r="H54" s="1">
        <v>65</v>
      </c>
      <c r="I54" s="1"/>
      <c r="J54" s="1">
        <v>42</v>
      </c>
      <c r="K54" s="2"/>
      <c r="L54" s="2"/>
      <c r="M54" s="2"/>
      <c r="N54" s="2"/>
      <c r="O54" s="2"/>
      <c r="P54" s="2"/>
      <c r="Q54" s="2"/>
      <c r="R54" s="4">
        <v>54</v>
      </c>
      <c r="S54" s="2"/>
      <c r="T54" s="2"/>
      <c r="U54" s="2">
        <v>36</v>
      </c>
    </row>
    <row r="55" spans="1:21" ht="15" customHeight="1" x14ac:dyDescent="0.25">
      <c r="A55" s="1" t="s">
        <v>60</v>
      </c>
      <c r="B55" s="1" t="s">
        <v>10</v>
      </c>
      <c r="C55" s="1" t="s">
        <v>11</v>
      </c>
      <c r="D55" t="s">
        <v>165</v>
      </c>
      <c r="E55" s="1">
        <f>23.5/35*100</f>
        <v>67.142857142857139</v>
      </c>
      <c r="F55" s="1">
        <f>27.5*2</f>
        <v>55</v>
      </c>
      <c r="G55" s="1">
        <f>39/40*100</f>
        <v>97.5</v>
      </c>
      <c r="H55" s="1">
        <v>75</v>
      </c>
      <c r="I55" s="1">
        <f>31/40*100</f>
        <v>77.5</v>
      </c>
      <c r="J55" s="1">
        <v>77</v>
      </c>
      <c r="K55" s="2">
        <v>100</v>
      </c>
      <c r="L55" s="2">
        <v>100</v>
      </c>
      <c r="M55" s="2">
        <v>100</v>
      </c>
      <c r="N55" s="2">
        <v>100</v>
      </c>
      <c r="O55" s="2">
        <v>52</v>
      </c>
      <c r="P55" s="2">
        <v>28</v>
      </c>
      <c r="Q55" s="2">
        <v>80</v>
      </c>
      <c r="R55" s="2">
        <f>13/15*100</f>
        <v>86.666666666666671</v>
      </c>
      <c r="S55" s="2"/>
      <c r="T55" s="2">
        <v>100</v>
      </c>
      <c r="U55" s="2">
        <v>57</v>
      </c>
    </row>
    <row r="56" spans="1:21" ht="15" customHeight="1" x14ac:dyDescent="0.25">
      <c r="A56" s="1" t="s">
        <v>80</v>
      </c>
      <c r="B56" s="1" t="s">
        <v>16</v>
      </c>
      <c r="C56" s="1" t="s">
        <v>42</v>
      </c>
      <c r="D56" t="s">
        <v>166</v>
      </c>
      <c r="E56" s="1">
        <f>13.5/35*100</f>
        <v>38.571428571428577</v>
      </c>
      <c r="F56" s="1">
        <v>86</v>
      </c>
      <c r="G56" s="1">
        <f>31/40*100</f>
        <v>77.5</v>
      </c>
      <c r="H56" s="1">
        <v>50</v>
      </c>
      <c r="I56" s="1">
        <f>26/40*100</f>
        <v>65</v>
      </c>
      <c r="J56" s="1">
        <v>75</v>
      </c>
      <c r="K56" s="2">
        <v>100</v>
      </c>
      <c r="L56" s="2">
        <v>100</v>
      </c>
      <c r="M56" s="2">
        <v>92</v>
      </c>
      <c r="N56" s="2">
        <v>100</v>
      </c>
      <c r="O56" s="2">
        <v>42</v>
      </c>
      <c r="P56" s="2">
        <v>7</v>
      </c>
      <c r="Q56" s="2">
        <v>49</v>
      </c>
      <c r="R56" s="2">
        <f>14/15*100</f>
        <v>93.333333333333329</v>
      </c>
      <c r="S56" s="2">
        <f>14/15*100</f>
        <v>93.333333333333329</v>
      </c>
      <c r="T56" s="2"/>
      <c r="U56" s="2">
        <v>42</v>
      </c>
    </row>
    <row r="57" spans="1:21" ht="15" customHeight="1" x14ac:dyDescent="0.25">
      <c r="A57" s="1" t="s">
        <v>87</v>
      </c>
      <c r="B57" s="1" t="s">
        <v>8</v>
      </c>
      <c r="C57" s="1" t="s">
        <v>9</v>
      </c>
      <c r="D57" t="s">
        <v>167</v>
      </c>
      <c r="E57" s="1">
        <v>73.3</v>
      </c>
      <c r="F57" s="1">
        <v>84</v>
      </c>
      <c r="G57" s="1">
        <v>100</v>
      </c>
      <c r="H57" s="1">
        <v>90</v>
      </c>
      <c r="I57" s="1">
        <v>31</v>
      </c>
      <c r="J57" s="1">
        <v>90</v>
      </c>
      <c r="K57" s="2">
        <v>100</v>
      </c>
      <c r="L57" s="2">
        <v>80</v>
      </c>
      <c r="M57" s="2"/>
      <c r="N57" s="2"/>
      <c r="O57" s="2">
        <v>58</v>
      </c>
      <c r="P57" s="2">
        <v>21</v>
      </c>
      <c r="Q57" s="2">
        <v>79</v>
      </c>
      <c r="R57" s="2">
        <v>80</v>
      </c>
      <c r="S57" s="2">
        <f>14/15*100</f>
        <v>93.333333333333329</v>
      </c>
      <c r="T57" s="2"/>
      <c r="U57" s="2">
        <v>66</v>
      </c>
    </row>
    <row r="58" spans="1:21" ht="15" customHeight="1" x14ac:dyDescent="0.25">
      <c r="A58" s="3" t="s">
        <v>99</v>
      </c>
      <c r="B58" s="3" t="s">
        <v>10</v>
      </c>
      <c r="C58" s="3" t="s">
        <v>11</v>
      </c>
      <c r="D58" t="s">
        <v>160</v>
      </c>
      <c r="E58" s="3">
        <v>100</v>
      </c>
      <c r="F58" s="3"/>
      <c r="G58" s="3">
        <v>62.5</v>
      </c>
      <c r="H58" s="3">
        <v>100</v>
      </c>
      <c r="I58" s="3"/>
      <c r="J58" s="3">
        <v>99</v>
      </c>
      <c r="K58" s="4"/>
      <c r="L58" s="4"/>
      <c r="M58" s="4"/>
      <c r="N58" s="4"/>
      <c r="O58" s="4"/>
      <c r="P58" s="4"/>
      <c r="Q58" s="2"/>
      <c r="R58" s="4"/>
      <c r="S58" s="4"/>
      <c r="T58" s="4"/>
      <c r="U58" s="4"/>
    </row>
    <row r="59" spans="1:21" ht="15" customHeight="1" x14ac:dyDescent="0.25">
      <c r="A59" s="3" t="s">
        <v>159</v>
      </c>
      <c r="B59" s="3" t="s">
        <v>36</v>
      </c>
      <c r="C59" s="3" t="s">
        <v>41</v>
      </c>
      <c r="D59" t="s">
        <v>161</v>
      </c>
      <c r="E59" s="3"/>
      <c r="F59" s="3"/>
      <c r="G59" s="3"/>
      <c r="H59" s="3"/>
      <c r="I59" s="3"/>
      <c r="J59" s="3">
        <v>72</v>
      </c>
      <c r="K59" s="4"/>
      <c r="L59" s="4">
        <v>100</v>
      </c>
      <c r="M59" s="4"/>
      <c r="N59" s="4"/>
      <c r="O59" s="4">
        <v>50</v>
      </c>
      <c r="P59" s="4">
        <v>18</v>
      </c>
      <c r="Q59" s="2">
        <v>68</v>
      </c>
      <c r="R59" s="4">
        <f>7/15*100</f>
        <v>46.666666666666664</v>
      </c>
      <c r="S59" s="4"/>
      <c r="T59" s="2">
        <v>80</v>
      </c>
      <c r="U59" s="4">
        <v>39</v>
      </c>
    </row>
    <row r="60" spans="1:21" ht="15" customHeight="1" x14ac:dyDescent="0.25">
      <c r="A60" s="3" t="s">
        <v>62</v>
      </c>
      <c r="B60" s="3" t="s">
        <v>8</v>
      </c>
      <c r="C60" s="3" t="s">
        <v>9</v>
      </c>
      <c r="D60" t="s">
        <v>168</v>
      </c>
      <c r="E60" s="3">
        <f>26.5/35*100</f>
        <v>75.714285714285708</v>
      </c>
      <c r="F60" s="3">
        <v>72</v>
      </c>
      <c r="G60" s="3">
        <f>24/40*100</f>
        <v>60</v>
      </c>
      <c r="H60" s="3">
        <v>90</v>
      </c>
      <c r="I60" s="3">
        <v>100</v>
      </c>
      <c r="J60" s="3">
        <v>97</v>
      </c>
      <c r="K60" s="4">
        <v>100</v>
      </c>
      <c r="L60" s="4">
        <v>100</v>
      </c>
      <c r="M60" s="4">
        <v>100</v>
      </c>
      <c r="N60" s="4">
        <v>100</v>
      </c>
      <c r="O60" s="4">
        <v>66</v>
      </c>
      <c r="P60" s="4">
        <v>27</v>
      </c>
      <c r="Q60" s="2">
        <v>93</v>
      </c>
      <c r="R60" s="4">
        <f>14/15*100</f>
        <v>93.333333333333329</v>
      </c>
      <c r="S60" s="4">
        <v>100</v>
      </c>
      <c r="T60" s="4">
        <v>94</v>
      </c>
      <c r="U60" s="4">
        <v>72</v>
      </c>
    </row>
    <row r="61" spans="1:21" ht="15" customHeight="1" x14ac:dyDescent="0.25">
      <c r="A61" s="1" t="s">
        <v>124</v>
      </c>
      <c r="B61" s="1" t="s">
        <v>8</v>
      </c>
      <c r="C61" s="1" t="s">
        <v>9</v>
      </c>
      <c r="D61" t="s">
        <v>165</v>
      </c>
      <c r="E61" s="1">
        <v>62</v>
      </c>
      <c r="F61" s="1">
        <v>68</v>
      </c>
      <c r="G61" s="1">
        <v>45</v>
      </c>
      <c r="H61" s="1">
        <v>85</v>
      </c>
      <c r="I61" s="1">
        <v>47.5</v>
      </c>
      <c r="J61" s="1">
        <v>79</v>
      </c>
      <c r="K61" s="2">
        <v>63.75</v>
      </c>
      <c r="L61" s="2">
        <v>100</v>
      </c>
      <c r="M61" s="2">
        <f>20/25*100</f>
        <v>80</v>
      </c>
      <c r="N61" s="2">
        <v>84</v>
      </c>
      <c r="O61" s="2">
        <v>48</v>
      </c>
      <c r="P61" s="2">
        <v>23</v>
      </c>
      <c r="Q61" s="2">
        <v>71</v>
      </c>
      <c r="R61" s="4">
        <v>100</v>
      </c>
      <c r="S61" s="2">
        <f>14/15*100</f>
        <v>93.333333333333329</v>
      </c>
      <c r="T61" s="4"/>
      <c r="U61" s="2">
        <v>60</v>
      </c>
    </row>
    <row r="62" spans="1:21" ht="15" customHeight="1" x14ac:dyDescent="0.25">
      <c r="A62" s="1" t="s">
        <v>106</v>
      </c>
      <c r="B62" s="1" t="s">
        <v>8</v>
      </c>
      <c r="C62" s="1" t="s">
        <v>9</v>
      </c>
      <c r="D62" t="s">
        <v>167</v>
      </c>
      <c r="E62" s="1">
        <v>58.6</v>
      </c>
      <c r="F62" s="1">
        <v>90</v>
      </c>
      <c r="G62" s="1">
        <v>90</v>
      </c>
      <c r="H62" s="1">
        <v>100</v>
      </c>
      <c r="I62" s="1">
        <v>95</v>
      </c>
      <c r="J62" s="1">
        <v>95</v>
      </c>
      <c r="K62" s="2">
        <v>50</v>
      </c>
      <c r="L62" s="2">
        <v>100</v>
      </c>
      <c r="M62" s="2">
        <v>88</v>
      </c>
      <c r="N62" s="2">
        <v>100</v>
      </c>
      <c r="O62" s="2">
        <v>56</v>
      </c>
      <c r="P62" s="2">
        <v>23</v>
      </c>
      <c r="Q62" s="2">
        <v>79</v>
      </c>
      <c r="R62" s="2">
        <v>60</v>
      </c>
      <c r="S62" s="2">
        <f>14/15*100</f>
        <v>93.333333333333329</v>
      </c>
      <c r="T62" s="4"/>
      <c r="U62" s="2">
        <v>60</v>
      </c>
    </row>
    <row r="63" spans="1:21" ht="15" customHeight="1" x14ac:dyDescent="0.25">
      <c r="A63" s="1" t="s">
        <v>132</v>
      </c>
      <c r="B63" s="1" t="s">
        <v>16</v>
      </c>
      <c r="C63" s="1" t="s">
        <v>23</v>
      </c>
      <c r="D63" t="s">
        <v>161</v>
      </c>
      <c r="E63" s="1">
        <v>85</v>
      </c>
      <c r="F63" s="1"/>
      <c r="G63" s="1"/>
      <c r="H63" s="1">
        <v>40</v>
      </c>
      <c r="I63" s="1"/>
      <c r="J63" s="1">
        <v>65</v>
      </c>
      <c r="K63" s="2"/>
      <c r="L63" s="2"/>
      <c r="M63" s="2"/>
      <c r="N63" s="2"/>
      <c r="O63" s="2">
        <v>28</v>
      </c>
      <c r="P63" s="2">
        <v>3</v>
      </c>
      <c r="Q63" s="2">
        <v>31</v>
      </c>
      <c r="R63" s="2">
        <v>94</v>
      </c>
      <c r="S63" s="2">
        <f>14/15*100</f>
        <v>93.333333333333329</v>
      </c>
      <c r="T63" s="2">
        <v>74</v>
      </c>
      <c r="U63" s="2">
        <v>36</v>
      </c>
    </row>
    <row r="64" spans="1:21" ht="15" customHeight="1" x14ac:dyDescent="0.25">
      <c r="A64" s="3" t="s">
        <v>79</v>
      </c>
      <c r="B64" s="3" t="s">
        <v>10</v>
      </c>
      <c r="C64" s="3" t="s">
        <v>11</v>
      </c>
      <c r="D64" t="s">
        <v>164</v>
      </c>
      <c r="E64" s="3">
        <f>20.5/35*100</f>
        <v>58.571428571428577</v>
      </c>
      <c r="F64" s="3">
        <f>37.5*2</f>
        <v>75</v>
      </c>
      <c r="G64" s="3">
        <f>25/40*100</f>
        <v>62.5</v>
      </c>
      <c r="H64" s="3">
        <v>90</v>
      </c>
      <c r="I64" s="3">
        <f>27/40*100</f>
        <v>67.5</v>
      </c>
      <c r="J64" s="3">
        <v>80</v>
      </c>
      <c r="K64" s="4">
        <v>95</v>
      </c>
      <c r="L64" s="4">
        <v>80</v>
      </c>
      <c r="M64" s="4">
        <v>80</v>
      </c>
      <c r="N64" s="4">
        <f>20/25*100</f>
        <v>80</v>
      </c>
      <c r="O64" s="4">
        <v>38</v>
      </c>
      <c r="P64" s="4">
        <v>11</v>
      </c>
      <c r="Q64" s="2">
        <v>49</v>
      </c>
      <c r="R64" s="4">
        <f>93.3</f>
        <v>93.3</v>
      </c>
      <c r="S64" s="4">
        <f>13/15*100</f>
        <v>86.666666666666671</v>
      </c>
      <c r="T64" s="4">
        <v>94</v>
      </c>
      <c r="U64" s="4">
        <v>51</v>
      </c>
    </row>
    <row r="65" spans="1:21" ht="15" customHeight="1" x14ac:dyDescent="0.25">
      <c r="A65" s="3" t="s">
        <v>77</v>
      </c>
      <c r="B65" s="3" t="s">
        <v>8</v>
      </c>
      <c r="C65" s="3" t="s">
        <v>9</v>
      </c>
      <c r="D65" t="s">
        <v>165</v>
      </c>
      <c r="E65" s="3">
        <f>22.5/35*100</f>
        <v>64.285714285714292</v>
      </c>
      <c r="F65" s="3">
        <v>43</v>
      </c>
      <c r="G65" s="3">
        <f>28/40*100</f>
        <v>70</v>
      </c>
      <c r="H65" s="3">
        <v>85</v>
      </c>
      <c r="I65" s="3">
        <f>38/40*100</f>
        <v>95</v>
      </c>
      <c r="J65" s="3">
        <v>86</v>
      </c>
      <c r="K65" s="4">
        <v>100</v>
      </c>
      <c r="L65" s="4">
        <v>100</v>
      </c>
      <c r="M65" s="4">
        <v>96</v>
      </c>
      <c r="N65" s="4">
        <v>100</v>
      </c>
      <c r="O65" s="4">
        <v>48</v>
      </c>
      <c r="P65" s="4">
        <v>18</v>
      </c>
      <c r="Q65" s="2">
        <v>66</v>
      </c>
      <c r="R65" s="4">
        <v>93.3</v>
      </c>
      <c r="S65" s="4">
        <v>100</v>
      </c>
      <c r="T65" s="4">
        <v>100</v>
      </c>
      <c r="U65" s="4">
        <v>59</v>
      </c>
    </row>
    <row r="66" spans="1:21" ht="15" customHeight="1" x14ac:dyDescent="0.25">
      <c r="A66" s="1" t="s">
        <v>121</v>
      </c>
      <c r="B66" s="1" t="s">
        <v>8</v>
      </c>
      <c r="C66" s="1" t="s">
        <v>9</v>
      </c>
      <c r="D66" t="s">
        <v>161</v>
      </c>
      <c r="E66" s="1">
        <v>32</v>
      </c>
      <c r="F66" s="1"/>
      <c r="G66" s="1">
        <v>38.75</v>
      </c>
      <c r="H66" s="1">
        <v>75</v>
      </c>
      <c r="I66" s="1"/>
      <c r="J66" s="1">
        <v>58</v>
      </c>
      <c r="K66" s="2"/>
      <c r="L66" s="2">
        <v>100</v>
      </c>
      <c r="M66" s="2">
        <f>21/25*100</f>
        <v>84</v>
      </c>
      <c r="N66" s="2">
        <v>72</v>
      </c>
      <c r="O66" s="2">
        <v>24</v>
      </c>
      <c r="P66" s="2">
        <v>19</v>
      </c>
      <c r="Q66" s="2">
        <v>43</v>
      </c>
      <c r="R66" s="4">
        <v>94</v>
      </c>
      <c r="S66" s="2"/>
      <c r="T66" s="4"/>
      <c r="U66" s="2">
        <v>37</v>
      </c>
    </row>
    <row r="67" spans="1:21" ht="15" customHeight="1" x14ac:dyDescent="0.25">
      <c r="A67" s="3" t="s">
        <v>136</v>
      </c>
      <c r="B67" s="3" t="s">
        <v>16</v>
      </c>
      <c r="C67" s="3" t="s">
        <v>40</v>
      </c>
      <c r="D67" t="s">
        <v>162</v>
      </c>
      <c r="E67" s="3">
        <f>18/25*100</f>
        <v>72</v>
      </c>
      <c r="F67" s="3">
        <v>24</v>
      </c>
      <c r="G67" s="3"/>
      <c r="H67" s="3">
        <v>80</v>
      </c>
      <c r="I67" s="3"/>
      <c r="J67" s="3">
        <v>73</v>
      </c>
      <c r="K67" s="4"/>
      <c r="L67" s="4">
        <v>90</v>
      </c>
      <c r="M67" s="4">
        <v>100</v>
      </c>
      <c r="N67" s="4"/>
      <c r="O67" s="4">
        <v>54</v>
      </c>
      <c r="P67" s="4">
        <v>17</v>
      </c>
      <c r="Q67" s="2">
        <v>71</v>
      </c>
      <c r="R67" s="4"/>
      <c r="S67" s="4"/>
      <c r="T67" s="2">
        <v>54</v>
      </c>
      <c r="U67" s="4">
        <v>49</v>
      </c>
    </row>
    <row r="68" spans="1:21" ht="15" customHeight="1" x14ac:dyDescent="0.25">
      <c r="A68" s="3" t="s">
        <v>55</v>
      </c>
      <c r="B68" s="3" t="s">
        <v>8</v>
      </c>
      <c r="C68" s="3" t="s">
        <v>9</v>
      </c>
      <c r="D68" t="s">
        <v>162</v>
      </c>
      <c r="E68" s="3">
        <f>19/35*100</f>
        <v>54.285714285714285</v>
      </c>
      <c r="F68" s="3">
        <v>12</v>
      </c>
      <c r="G68" s="3">
        <f>24/40*100</f>
        <v>60</v>
      </c>
      <c r="H68" s="3">
        <v>85</v>
      </c>
      <c r="I68" s="3">
        <f>18/40*100</f>
        <v>45</v>
      </c>
      <c r="J68" s="3">
        <v>68</v>
      </c>
      <c r="K68" s="4">
        <v>95</v>
      </c>
      <c r="L68" s="4"/>
      <c r="M68" s="4">
        <v>92</v>
      </c>
      <c r="N68" s="4"/>
      <c r="O68" s="4">
        <v>38</v>
      </c>
      <c r="P68" s="4">
        <v>17</v>
      </c>
      <c r="Q68" s="2">
        <v>55</v>
      </c>
      <c r="R68" s="4">
        <f>11/15*100</f>
        <v>73.333333333333329</v>
      </c>
      <c r="S68" s="4"/>
      <c r="T68" s="2"/>
      <c r="U68" s="4">
        <v>52</v>
      </c>
    </row>
    <row r="69" spans="1:21" ht="15" customHeight="1" x14ac:dyDescent="0.25">
      <c r="A69" s="3" t="s">
        <v>51</v>
      </c>
      <c r="B69" s="3" t="s">
        <v>8</v>
      </c>
      <c r="C69" s="3" t="s">
        <v>9</v>
      </c>
      <c r="D69" t="s">
        <v>166</v>
      </c>
      <c r="E69" s="3">
        <f>17.5/35*100</f>
        <v>50</v>
      </c>
      <c r="F69" s="3">
        <v>76</v>
      </c>
      <c r="G69" s="3">
        <f>23/40*100</f>
        <v>57.499999999999993</v>
      </c>
      <c r="H69" s="3">
        <v>80</v>
      </c>
      <c r="I69" s="3">
        <f>30/40*100</f>
        <v>75</v>
      </c>
      <c r="J69" s="3">
        <v>74</v>
      </c>
      <c r="K69" s="4">
        <v>95</v>
      </c>
      <c r="L69" s="4">
        <v>90</v>
      </c>
      <c r="M69" s="4">
        <v>96</v>
      </c>
      <c r="N69" s="4">
        <v>52</v>
      </c>
      <c r="O69" s="4">
        <v>46</v>
      </c>
      <c r="P69" s="4">
        <v>6</v>
      </c>
      <c r="Q69" s="2">
        <v>52</v>
      </c>
      <c r="R69" s="4"/>
      <c r="S69" s="4">
        <f>12/15*100</f>
        <v>80</v>
      </c>
      <c r="T69" s="2"/>
      <c r="U69" s="4">
        <v>50</v>
      </c>
    </row>
    <row r="70" spans="1:21" ht="15" customHeight="1" x14ac:dyDescent="0.25">
      <c r="A70" s="1" t="s">
        <v>120</v>
      </c>
      <c r="B70" s="1" t="s">
        <v>10</v>
      </c>
      <c r="C70" s="1" t="s">
        <v>11</v>
      </c>
      <c r="D70" t="s">
        <v>167</v>
      </c>
      <c r="E70" s="1">
        <v>43.3</v>
      </c>
      <c r="F70" s="1">
        <v>88</v>
      </c>
      <c r="G70" s="1">
        <v>82.5</v>
      </c>
      <c r="H70" s="1">
        <v>100</v>
      </c>
      <c r="I70" s="1">
        <v>42.5</v>
      </c>
      <c r="J70" s="1">
        <v>83</v>
      </c>
      <c r="K70" s="2"/>
      <c r="L70" s="2">
        <v>100</v>
      </c>
      <c r="M70" s="2">
        <f>22/25*100</f>
        <v>88</v>
      </c>
      <c r="N70" s="2">
        <v>92</v>
      </c>
      <c r="O70" s="2">
        <v>66</v>
      </c>
      <c r="P70" s="2">
        <v>25</v>
      </c>
      <c r="Q70" s="2">
        <v>91</v>
      </c>
      <c r="R70" s="4">
        <v>40</v>
      </c>
      <c r="S70" s="2">
        <f>12/15*100</f>
        <v>80</v>
      </c>
      <c r="T70" s="4"/>
      <c r="U70" s="2">
        <v>65</v>
      </c>
    </row>
    <row r="71" spans="1:21" ht="15" customHeight="1" x14ac:dyDescent="0.25">
      <c r="A71" s="3" t="s">
        <v>126</v>
      </c>
      <c r="B71" s="3" t="s">
        <v>8</v>
      </c>
      <c r="C71" s="3" t="s">
        <v>9</v>
      </c>
      <c r="D71" t="s">
        <v>166</v>
      </c>
      <c r="E71" s="3">
        <v>73.3</v>
      </c>
      <c r="F71" s="3">
        <v>48</v>
      </c>
      <c r="G71" s="3">
        <f>31/40*100</f>
        <v>77.5</v>
      </c>
      <c r="H71" s="3">
        <v>60</v>
      </c>
      <c r="I71" s="3">
        <v>72.5</v>
      </c>
      <c r="J71" s="3">
        <v>72</v>
      </c>
      <c r="K71" s="4">
        <v>95</v>
      </c>
      <c r="L71" s="4">
        <v>100</v>
      </c>
      <c r="M71" s="4">
        <v>96</v>
      </c>
      <c r="N71" s="4">
        <f>23/25*100</f>
        <v>92</v>
      </c>
      <c r="O71" s="4">
        <v>40</v>
      </c>
      <c r="P71" s="4">
        <v>13</v>
      </c>
      <c r="Q71" s="2">
        <v>53</v>
      </c>
      <c r="R71" s="2">
        <v>100</v>
      </c>
      <c r="S71" s="4">
        <f>14/15*100</f>
        <v>93.333333333333329</v>
      </c>
      <c r="T71" s="4"/>
      <c r="U71" s="4">
        <v>46</v>
      </c>
    </row>
    <row r="72" spans="1:21" ht="15" customHeight="1" x14ac:dyDescent="0.25">
      <c r="A72" s="3" t="s">
        <v>72</v>
      </c>
      <c r="B72" s="3" t="s">
        <v>8</v>
      </c>
      <c r="C72" s="3" t="s">
        <v>9</v>
      </c>
      <c r="D72" t="s">
        <v>166</v>
      </c>
      <c r="E72" s="3">
        <f>21/35*100</f>
        <v>60</v>
      </c>
      <c r="F72" s="3">
        <v>62</v>
      </c>
      <c r="G72" s="3">
        <f>16/40*100</f>
        <v>40</v>
      </c>
      <c r="H72" s="3">
        <v>85</v>
      </c>
      <c r="I72" s="3">
        <f>19/40*100</f>
        <v>47.5</v>
      </c>
      <c r="J72" s="3">
        <v>65</v>
      </c>
      <c r="K72" s="4">
        <v>100</v>
      </c>
      <c r="L72" s="4">
        <v>90</v>
      </c>
      <c r="M72" s="4">
        <v>96</v>
      </c>
      <c r="N72" s="4">
        <v>92</v>
      </c>
      <c r="O72" s="4">
        <v>40</v>
      </c>
      <c r="P72" s="4">
        <v>7</v>
      </c>
      <c r="Q72" s="2">
        <v>47</v>
      </c>
      <c r="R72" s="4">
        <f>12/15*100</f>
        <v>80</v>
      </c>
      <c r="S72" s="4">
        <f>14/15*100</f>
        <v>93.333333333333329</v>
      </c>
      <c r="T72" s="2">
        <v>74</v>
      </c>
      <c r="U72" s="4">
        <v>48</v>
      </c>
    </row>
    <row r="73" spans="1:21" ht="15" customHeight="1" x14ac:dyDescent="0.25">
      <c r="A73" s="1" t="s">
        <v>58</v>
      </c>
      <c r="B73" s="1" t="s">
        <v>10</v>
      </c>
      <c r="C73" s="1" t="s">
        <v>11</v>
      </c>
      <c r="D73" t="s">
        <v>166</v>
      </c>
      <c r="E73" s="1">
        <f>25/35*100</f>
        <v>71.428571428571431</v>
      </c>
      <c r="F73" s="1">
        <v>28</v>
      </c>
      <c r="G73" s="1"/>
      <c r="H73" s="1"/>
      <c r="I73" s="1"/>
      <c r="J73" s="1">
        <v>88</v>
      </c>
      <c r="K73" s="2"/>
      <c r="L73" s="2"/>
      <c r="M73" s="2">
        <v>100</v>
      </c>
      <c r="N73" s="2"/>
      <c r="O73" s="2">
        <v>54</v>
      </c>
      <c r="P73" s="2">
        <v>21</v>
      </c>
      <c r="Q73" s="2">
        <v>75</v>
      </c>
      <c r="R73" s="4">
        <f>13/15*100</f>
        <v>86.666666666666671</v>
      </c>
      <c r="S73" s="2"/>
      <c r="T73" s="4"/>
      <c r="U73" s="2">
        <v>56</v>
      </c>
    </row>
    <row r="74" spans="1:21" ht="15" customHeight="1" x14ac:dyDescent="0.25">
      <c r="A74" s="1" t="s">
        <v>88</v>
      </c>
      <c r="B74" s="1" t="s">
        <v>10</v>
      </c>
      <c r="C74" s="1" t="s">
        <v>11</v>
      </c>
      <c r="D74" t="s">
        <v>164</v>
      </c>
      <c r="E74" s="1">
        <v>65</v>
      </c>
      <c r="F74" s="1">
        <v>66</v>
      </c>
      <c r="G74" s="1">
        <v>57.5</v>
      </c>
      <c r="H74" s="1">
        <v>80</v>
      </c>
      <c r="I74" s="1">
        <v>95</v>
      </c>
      <c r="J74" s="1">
        <v>72</v>
      </c>
      <c r="K74" s="2">
        <v>93.75</v>
      </c>
      <c r="L74" s="2">
        <v>100</v>
      </c>
      <c r="M74" s="2">
        <v>92</v>
      </c>
      <c r="N74" s="2">
        <v>96</v>
      </c>
      <c r="O74" s="2">
        <v>54</v>
      </c>
      <c r="P74" s="2">
        <v>12</v>
      </c>
      <c r="Q74" s="2">
        <v>66</v>
      </c>
      <c r="R74" s="2">
        <v>100</v>
      </c>
      <c r="S74" s="2">
        <v>100</v>
      </c>
      <c r="T74" s="2"/>
      <c r="U74" s="2">
        <v>47</v>
      </c>
    </row>
    <row r="75" spans="1:21" ht="15" customHeight="1" x14ac:dyDescent="0.25">
      <c r="A75" s="1" t="s">
        <v>65</v>
      </c>
      <c r="B75" s="1" t="s">
        <v>10</v>
      </c>
      <c r="C75" s="1" t="s">
        <v>11</v>
      </c>
      <c r="D75" t="s">
        <v>165</v>
      </c>
      <c r="E75" s="1">
        <f>23.5/35*100</f>
        <v>67.142857142857139</v>
      </c>
      <c r="F75" s="1">
        <v>74</v>
      </c>
      <c r="G75" s="1">
        <v>95</v>
      </c>
      <c r="H75" s="1">
        <v>95</v>
      </c>
      <c r="I75" s="1">
        <f>21/40*100</f>
        <v>52.5</v>
      </c>
      <c r="J75" s="1">
        <v>80</v>
      </c>
      <c r="K75" s="2">
        <v>100</v>
      </c>
      <c r="L75" s="2">
        <v>100</v>
      </c>
      <c r="M75" s="2">
        <v>92</v>
      </c>
      <c r="N75" s="2">
        <v>100</v>
      </c>
      <c r="O75" s="2">
        <v>62</v>
      </c>
      <c r="P75" s="2">
        <v>18</v>
      </c>
      <c r="Q75" s="2">
        <v>80</v>
      </c>
      <c r="R75" s="2">
        <v>100</v>
      </c>
      <c r="S75" s="2">
        <v>100</v>
      </c>
      <c r="T75" s="4">
        <v>100</v>
      </c>
      <c r="U75" s="2">
        <v>58</v>
      </c>
    </row>
    <row r="76" spans="1:21" ht="15" customHeight="1" x14ac:dyDescent="0.25">
      <c r="A76" s="12" t="s">
        <v>67</v>
      </c>
      <c r="B76" s="12" t="s">
        <v>29</v>
      </c>
      <c r="C76" s="12" t="s">
        <v>39</v>
      </c>
      <c r="D76" t="s">
        <v>165</v>
      </c>
      <c r="E76" s="12">
        <f>23/35*100</f>
        <v>65.714285714285708</v>
      </c>
      <c r="F76" s="12">
        <v>69</v>
      </c>
      <c r="G76" s="1">
        <f>23/40*100</f>
        <v>57.499999999999993</v>
      </c>
      <c r="H76" s="1">
        <v>90</v>
      </c>
      <c r="I76" s="1">
        <f>27/40*100</f>
        <v>67.5</v>
      </c>
      <c r="J76" s="1">
        <v>73</v>
      </c>
      <c r="K76" s="2">
        <v>100</v>
      </c>
      <c r="L76" s="2">
        <v>100</v>
      </c>
      <c r="M76" s="2">
        <v>96</v>
      </c>
      <c r="N76" s="2">
        <v>100</v>
      </c>
      <c r="O76" s="2">
        <v>50</v>
      </c>
      <c r="P76" s="2">
        <v>13</v>
      </c>
      <c r="Q76" s="2">
        <v>63</v>
      </c>
      <c r="R76" s="2">
        <f>13/15*100</f>
        <v>86.666666666666671</v>
      </c>
      <c r="S76" s="2">
        <f>12/15*100</f>
        <v>80</v>
      </c>
      <c r="T76" s="4">
        <v>87</v>
      </c>
      <c r="U76" s="2">
        <v>56</v>
      </c>
    </row>
    <row r="77" spans="1:21" ht="15" customHeight="1" x14ac:dyDescent="0.3">
      <c r="A77" s="3" t="s">
        <v>145</v>
      </c>
      <c r="B77" s="3" t="s">
        <v>16</v>
      </c>
      <c r="C77" s="3" t="s">
        <v>28</v>
      </c>
      <c r="D77" t="s">
        <v>162</v>
      </c>
      <c r="E77" s="3">
        <f>18/25*100</f>
        <v>72</v>
      </c>
      <c r="F77" s="3">
        <f>27.5*2</f>
        <v>55</v>
      </c>
      <c r="G77" s="3"/>
      <c r="H77" s="3">
        <v>50</v>
      </c>
      <c r="I77" s="3"/>
      <c r="J77" s="3">
        <v>72</v>
      </c>
      <c r="K77" s="4">
        <v>100</v>
      </c>
      <c r="L77" s="4">
        <v>90</v>
      </c>
      <c r="M77" s="4">
        <v>88</v>
      </c>
      <c r="N77" s="11">
        <v>0</v>
      </c>
      <c r="O77" s="4">
        <v>42</v>
      </c>
      <c r="P77" s="4">
        <v>9</v>
      </c>
      <c r="Q77" s="2">
        <v>51</v>
      </c>
      <c r="R77" s="4"/>
      <c r="S77" s="4">
        <v>100</v>
      </c>
      <c r="T77" s="2">
        <v>34</v>
      </c>
      <c r="U77" s="4">
        <v>46</v>
      </c>
    </row>
    <row r="78" spans="1:21" ht="15" customHeight="1" x14ac:dyDescent="0.25">
      <c r="A78" s="1" t="s">
        <v>50</v>
      </c>
      <c r="B78" s="1" t="s">
        <v>16</v>
      </c>
      <c r="C78" s="1" t="s">
        <v>23</v>
      </c>
      <c r="D78" t="s">
        <v>163</v>
      </c>
      <c r="E78" s="1">
        <f>15/35*100</f>
        <v>42.857142857142854</v>
      </c>
      <c r="F78" s="1"/>
      <c r="G78" s="1"/>
      <c r="H78" s="1">
        <v>75</v>
      </c>
      <c r="I78" s="1"/>
      <c r="J78" s="1">
        <v>75</v>
      </c>
      <c r="K78" s="2">
        <f>28/40*100</f>
        <v>70</v>
      </c>
      <c r="L78" s="2">
        <v>100</v>
      </c>
      <c r="M78" s="2"/>
      <c r="N78" s="2"/>
      <c r="O78" s="2">
        <v>40</v>
      </c>
      <c r="P78" s="2">
        <v>20</v>
      </c>
      <c r="Q78" s="2">
        <v>60</v>
      </c>
      <c r="R78" s="2">
        <v>80</v>
      </c>
      <c r="S78" s="2"/>
      <c r="T78" s="4"/>
      <c r="U78" s="2">
        <v>45</v>
      </c>
    </row>
    <row r="79" spans="1:21" ht="15" customHeight="1" x14ac:dyDescent="0.25">
      <c r="A79" s="1" t="s">
        <v>123</v>
      </c>
      <c r="B79" s="1" t="s">
        <v>16</v>
      </c>
      <c r="C79" s="1" t="s">
        <v>24</v>
      </c>
      <c r="D79" t="s">
        <v>165</v>
      </c>
      <c r="E79" s="1">
        <v>56</v>
      </c>
      <c r="F79" s="1">
        <v>67</v>
      </c>
      <c r="G79" s="1">
        <v>42.5</v>
      </c>
      <c r="H79" s="1">
        <v>80</v>
      </c>
      <c r="I79" s="1">
        <v>62.5</v>
      </c>
      <c r="J79" s="1">
        <v>73</v>
      </c>
      <c r="K79" s="2">
        <v>100</v>
      </c>
      <c r="L79" s="2">
        <v>100</v>
      </c>
      <c r="M79" s="2">
        <v>100</v>
      </c>
      <c r="N79" s="2">
        <v>100</v>
      </c>
      <c r="O79" s="2">
        <v>46</v>
      </c>
      <c r="P79" s="2">
        <v>14</v>
      </c>
      <c r="Q79" s="2">
        <v>60</v>
      </c>
      <c r="R79" s="4">
        <v>100</v>
      </c>
      <c r="S79" s="2">
        <f>14/15*100</f>
        <v>93.333333333333329</v>
      </c>
      <c r="T79" s="4"/>
      <c r="U79" s="2">
        <v>58</v>
      </c>
    </row>
    <row r="80" spans="1:21" ht="15" customHeight="1" x14ac:dyDescent="0.25">
      <c r="A80" s="1" t="s">
        <v>73</v>
      </c>
      <c r="B80" s="1" t="s">
        <v>14</v>
      </c>
      <c r="C80" s="1" t="s">
        <v>31</v>
      </c>
      <c r="D80" t="s">
        <v>165</v>
      </c>
      <c r="E80" s="1">
        <f>29/35*100</f>
        <v>82.857142857142861</v>
      </c>
      <c r="F80" s="1">
        <v>89</v>
      </c>
      <c r="G80" s="1">
        <v>87.5</v>
      </c>
      <c r="H80" s="1">
        <v>90</v>
      </c>
      <c r="I80" s="1">
        <f>19/40*100</f>
        <v>47.5</v>
      </c>
      <c r="J80" s="1">
        <v>95</v>
      </c>
      <c r="K80" s="2"/>
      <c r="L80" s="2">
        <v>80</v>
      </c>
      <c r="M80" s="2"/>
      <c r="N80" s="2"/>
      <c r="O80" s="2">
        <v>48</v>
      </c>
      <c r="P80" s="2">
        <v>27</v>
      </c>
      <c r="Q80" s="2">
        <v>75</v>
      </c>
      <c r="R80" s="12">
        <f>14/15*100</f>
        <v>93.333333333333329</v>
      </c>
      <c r="S80" s="2">
        <v>100</v>
      </c>
      <c r="T80" s="2">
        <v>87</v>
      </c>
      <c r="U80" s="2">
        <v>61</v>
      </c>
    </row>
    <row r="81" spans="1:21" ht="15" customHeight="1" x14ac:dyDescent="0.25">
      <c r="A81" s="3" t="s">
        <v>54</v>
      </c>
      <c r="B81" s="3" t="s">
        <v>12</v>
      </c>
      <c r="C81" s="3" t="s">
        <v>13</v>
      </c>
      <c r="D81" t="s">
        <v>167</v>
      </c>
      <c r="E81" s="3">
        <f>25/35*100</f>
        <v>71.428571428571431</v>
      </c>
      <c r="F81" s="3">
        <f>20/30*100</f>
        <v>66.666666666666657</v>
      </c>
      <c r="G81" s="3">
        <f>23/40*100</f>
        <v>57.499999999999993</v>
      </c>
      <c r="H81" s="3">
        <v>90</v>
      </c>
      <c r="I81" s="3">
        <f>24/40*100</f>
        <v>60</v>
      </c>
      <c r="J81" s="3">
        <v>95</v>
      </c>
      <c r="K81" s="4"/>
      <c r="L81" s="4">
        <v>100</v>
      </c>
      <c r="M81" s="4">
        <v>100</v>
      </c>
      <c r="N81" s="4"/>
      <c r="O81" s="4">
        <v>58</v>
      </c>
      <c r="P81" s="4">
        <v>24</v>
      </c>
      <c r="Q81" s="2">
        <v>82</v>
      </c>
      <c r="R81" s="4">
        <f>14/15*100</f>
        <v>93.333333333333329</v>
      </c>
      <c r="S81" s="4">
        <v>100</v>
      </c>
      <c r="T81" s="2"/>
      <c r="U81" s="4">
        <v>66</v>
      </c>
    </row>
    <row r="82" spans="1:21" ht="15" customHeight="1" x14ac:dyDescent="0.25">
      <c r="A82" s="3" t="s">
        <v>100</v>
      </c>
      <c r="B82" s="3" t="s">
        <v>16</v>
      </c>
      <c r="C82" s="3" t="s">
        <v>23</v>
      </c>
      <c r="D82" t="s">
        <v>162</v>
      </c>
      <c r="E82" s="3">
        <v>53.2</v>
      </c>
      <c r="F82" s="3">
        <v>41</v>
      </c>
      <c r="G82" s="3">
        <v>38.75</v>
      </c>
      <c r="H82" s="3">
        <v>50</v>
      </c>
      <c r="I82" s="3">
        <v>50</v>
      </c>
      <c r="J82" s="3">
        <v>62</v>
      </c>
      <c r="K82" s="4">
        <v>76.25</v>
      </c>
      <c r="L82" s="4">
        <v>80</v>
      </c>
      <c r="M82" s="4">
        <f>23/25*100</f>
        <v>92</v>
      </c>
      <c r="N82" s="4">
        <v>80</v>
      </c>
      <c r="O82" s="4">
        <v>50</v>
      </c>
      <c r="P82" s="4">
        <v>14</v>
      </c>
      <c r="Q82" s="2">
        <v>64</v>
      </c>
      <c r="R82" s="4"/>
      <c r="S82" s="4"/>
      <c r="T82" s="2"/>
      <c r="U82" s="4">
        <v>46</v>
      </c>
    </row>
    <row r="83" spans="1:21" ht="15" customHeight="1" x14ac:dyDescent="0.25">
      <c r="A83" s="3" t="s">
        <v>69</v>
      </c>
      <c r="B83" s="3" t="s">
        <v>8</v>
      </c>
      <c r="C83" s="3" t="s">
        <v>9</v>
      </c>
      <c r="D83" t="s">
        <v>165</v>
      </c>
      <c r="E83" s="3">
        <f>22.5/35*100</f>
        <v>64.285714285714292</v>
      </c>
      <c r="F83" s="3">
        <f>28*2</f>
        <v>56</v>
      </c>
      <c r="G83" s="3">
        <v>57.5</v>
      </c>
      <c r="H83" s="3">
        <v>65</v>
      </c>
      <c r="I83" s="3">
        <v>85</v>
      </c>
      <c r="J83" s="3">
        <v>71</v>
      </c>
      <c r="K83" s="4">
        <v>100</v>
      </c>
      <c r="L83" s="4">
        <v>90</v>
      </c>
      <c r="M83" s="4">
        <v>96</v>
      </c>
      <c r="N83" s="4">
        <f>22/25*100</f>
        <v>88</v>
      </c>
      <c r="O83" s="4">
        <v>32</v>
      </c>
      <c r="P83" s="4">
        <v>15</v>
      </c>
      <c r="Q83" s="2">
        <v>47</v>
      </c>
      <c r="R83" s="4">
        <f>13/15*100</f>
        <v>86.666666666666671</v>
      </c>
      <c r="S83" s="4">
        <f>13/15*100</f>
        <v>86.666666666666671</v>
      </c>
      <c r="T83" s="2">
        <v>87</v>
      </c>
      <c r="U83" s="4">
        <v>61</v>
      </c>
    </row>
    <row r="84" spans="1:21" ht="15" customHeight="1" x14ac:dyDescent="0.25">
      <c r="A84" s="1" t="s">
        <v>104</v>
      </c>
      <c r="B84" s="1" t="s">
        <v>8</v>
      </c>
      <c r="C84" s="1" t="s">
        <v>9</v>
      </c>
      <c r="D84" t="s">
        <v>162</v>
      </c>
      <c r="E84" s="1">
        <v>53.2</v>
      </c>
      <c r="F84" s="1">
        <v>6</v>
      </c>
      <c r="G84" s="1">
        <v>22.5</v>
      </c>
      <c r="H84" s="1">
        <v>35</v>
      </c>
      <c r="I84" s="1">
        <v>75</v>
      </c>
      <c r="J84" s="1">
        <v>73</v>
      </c>
      <c r="K84" s="2">
        <v>100</v>
      </c>
      <c r="L84" s="2">
        <v>100</v>
      </c>
      <c r="M84" s="2">
        <f>23/25*100</f>
        <v>92</v>
      </c>
      <c r="N84" s="2">
        <v>92</v>
      </c>
      <c r="O84" s="2">
        <v>34</v>
      </c>
      <c r="P84" s="2">
        <v>10</v>
      </c>
      <c r="Q84" s="2">
        <v>44</v>
      </c>
      <c r="R84" s="2"/>
      <c r="S84" s="2">
        <f>14/15*100</f>
        <v>93.333333333333329</v>
      </c>
      <c r="T84" s="4"/>
      <c r="U84" s="2">
        <v>48</v>
      </c>
    </row>
    <row r="85" spans="1:21" ht="15" customHeight="1" x14ac:dyDescent="0.25">
      <c r="A85" s="1" t="s">
        <v>130</v>
      </c>
      <c r="B85" s="1" t="s">
        <v>16</v>
      </c>
      <c r="C85" s="1" t="s">
        <v>19</v>
      </c>
      <c r="D85" t="s">
        <v>165</v>
      </c>
      <c r="E85" s="1">
        <v>61.7</v>
      </c>
      <c r="F85" s="1">
        <f>37.5*2</f>
        <v>75</v>
      </c>
      <c r="G85" s="1">
        <f>19/40*100</f>
        <v>47.5</v>
      </c>
      <c r="H85" s="1">
        <v>65</v>
      </c>
      <c r="I85" s="1"/>
      <c r="J85" s="1">
        <v>86</v>
      </c>
      <c r="K85" s="2">
        <v>81.25</v>
      </c>
      <c r="L85" s="2"/>
      <c r="M85" s="2">
        <v>92</v>
      </c>
      <c r="N85" s="2"/>
      <c r="O85" s="2">
        <v>50</v>
      </c>
      <c r="P85" s="2">
        <v>16</v>
      </c>
      <c r="Q85" s="2">
        <v>66</v>
      </c>
      <c r="R85" s="2"/>
      <c r="S85" s="2">
        <f>13/15*100</f>
        <v>86.666666666666671</v>
      </c>
      <c r="T85" s="2">
        <v>100</v>
      </c>
      <c r="U85" s="2">
        <v>61</v>
      </c>
    </row>
    <row r="86" spans="1:21" ht="15" customHeight="1" x14ac:dyDescent="0.25">
      <c r="A86" s="3" t="s">
        <v>91</v>
      </c>
      <c r="B86" s="3" t="s">
        <v>14</v>
      </c>
      <c r="C86" s="3" t="s">
        <v>15</v>
      </c>
      <c r="D86" t="s">
        <v>163</v>
      </c>
      <c r="E86" s="3">
        <v>46</v>
      </c>
      <c r="F86" s="3">
        <v>46</v>
      </c>
      <c r="G86" s="3">
        <v>20</v>
      </c>
      <c r="H86" s="3">
        <v>75</v>
      </c>
      <c r="I86" s="3"/>
      <c r="J86" s="3">
        <v>57</v>
      </c>
      <c r="K86" s="4">
        <v>67.5</v>
      </c>
      <c r="L86" s="4">
        <v>75</v>
      </c>
      <c r="M86" s="4">
        <v>92</v>
      </c>
      <c r="N86" s="4">
        <v>80</v>
      </c>
      <c r="O86" s="4">
        <v>38</v>
      </c>
      <c r="P86" s="4">
        <v>12</v>
      </c>
      <c r="Q86" s="2">
        <v>50</v>
      </c>
      <c r="R86" s="4">
        <v>67</v>
      </c>
      <c r="S86" s="4">
        <f>12/15*100</f>
        <v>80</v>
      </c>
      <c r="T86" s="2"/>
      <c r="U86" s="4">
        <v>39</v>
      </c>
    </row>
    <row r="87" spans="1:21" ht="15" customHeight="1" x14ac:dyDescent="0.25">
      <c r="A87" s="3" t="s">
        <v>102</v>
      </c>
      <c r="B87" s="3" t="s">
        <v>16</v>
      </c>
      <c r="C87" s="3" t="s">
        <v>23</v>
      </c>
      <c r="D87" t="s">
        <v>167</v>
      </c>
      <c r="E87" s="3">
        <v>100</v>
      </c>
      <c r="F87" s="3">
        <v>100</v>
      </c>
      <c r="G87" s="3">
        <v>90</v>
      </c>
      <c r="H87" s="3">
        <v>100</v>
      </c>
      <c r="I87" s="3">
        <v>100</v>
      </c>
      <c r="J87" s="3">
        <v>88</v>
      </c>
      <c r="K87" s="4">
        <v>93.75</v>
      </c>
      <c r="L87" s="4">
        <v>100</v>
      </c>
      <c r="M87" s="4">
        <v>100</v>
      </c>
      <c r="N87" s="4">
        <v>100</v>
      </c>
      <c r="O87" s="4">
        <v>58</v>
      </c>
      <c r="P87" s="4">
        <v>25</v>
      </c>
      <c r="Q87" s="2">
        <v>83</v>
      </c>
      <c r="R87" s="4"/>
      <c r="S87" s="4">
        <v>100</v>
      </c>
      <c r="T87" s="2"/>
      <c r="U87" s="4">
        <v>57</v>
      </c>
    </row>
    <row r="88" spans="1:21" ht="15" customHeight="1" x14ac:dyDescent="0.25">
      <c r="A88" s="3" t="s">
        <v>125</v>
      </c>
      <c r="B88" s="3" t="s">
        <v>32</v>
      </c>
      <c r="C88" s="3" t="s">
        <v>33</v>
      </c>
      <c r="D88" t="s">
        <v>164</v>
      </c>
      <c r="E88" s="3">
        <v>69.3</v>
      </c>
      <c r="F88" s="3">
        <f>21.5*2</f>
        <v>43</v>
      </c>
      <c r="G88" s="3">
        <v>62.5</v>
      </c>
      <c r="H88" s="3">
        <v>75</v>
      </c>
      <c r="I88" s="3">
        <v>58.8</v>
      </c>
      <c r="J88" s="3">
        <v>78</v>
      </c>
      <c r="K88" s="4">
        <v>87.5</v>
      </c>
      <c r="L88" s="4">
        <v>100</v>
      </c>
      <c r="M88" s="4">
        <v>84</v>
      </c>
      <c r="N88" s="4">
        <v>100</v>
      </c>
      <c r="O88" s="4">
        <v>52</v>
      </c>
      <c r="P88" s="4">
        <v>15</v>
      </c>
      <c r="Q88" s="2">
        <v>67</v>
      </c>
      <c r="R88" s="2">
        <v>100</v>
      </c>
      <c r="S88" s="4">
        <f>14/15*100</f>
        <v>93.333333333333329</v>
      </c>
      <c r="T88" s="2"/>
      <c r="U88" s="4">
        <v>46</v>
      </c>
    </row>
    <row r="89" spans="1:21" ht="15" customHeight="1" x14ac:dyDescent="0.25">
      <c r="A89" s="3" t="s">
        <v>52</v>
      </c>
      <c r="B89" s="3" t="s">
        <v>8</v>
      </c>
      <c r="C89" s="3" t="s">
        <v>9</v>
      </c>
      <c r="D89" t="s">
        <v>165</v>
      </c>
      <c r="E89" s="3">
        <f>22.5/35*100</f>
        <v>64.285714285714292</v>
      </c>
      <c r="F89" s="3">
        <v>40</v>
      </c>
      <c r="G89" s="3">
        <v>47.5</v>
      </c>
      <c r="H89" s="3">
        <v>80</v>
      </c>
      <c r="I89" s="3">
        <v>47.5</v>
      </c>
      <c r="J89" s="3">
        <v>67</v>
      </c>
      <c r="K89" s="4">
        <f>38/40*100</f>
        <v>95</v>
      </c>
      <c r="L89" s="4">
        <v>100</v>
      </c>
      <c r="M89" s="4">
        <v>100</v>
      </c>
      <c r="N89" s="4">
        <v>88</v>
      </c>
      <c r="O89" s="4">
        <v>50</v>
      </c>
      <c r="P89" s="4">
        <v>21</v>
      </c>
      <c r="Q89" s="2">
        <v>71</v>
      </c>
      <c r="R89" s="2">
        <v>100</v>
      </c>
      <c r="S89" s="4">
        <f>14/15*100</f>
        <v>93.333333333333329</v>
      </c>
      <c r="T89" s="4"/>
      <c r="U89" s="4">
        <v>56</v>
      </c>
    </row>
    <row r="90" spans="1:21" ht="15" customHeight="1" x14ac:dyDescent="0.25">
      <c r="A90" s="1" t="s">
        <v>61</v>
      </c>
      <c r="B90" s="1" t="s">
        <v>8</v>
      </c>
      <c r="C90" s="1" t="s">
        <v>9</v>
      </c>
      <c r="D90" t="s">
        <v>167</v>
      </c>
      <c r="E90" s="1">
        <f>29/35*100</f>
        <v>82.857142857142861</v>
      </c>
      <c r="F90" s="1">
        <v>100</v>
      </c>
      <c r="G90" s="1">
        <f>34/40*100</f>
        <v>85</v>
      </c>
      <c r="H90" s="1">
        <v>100</v>
      </c>
      <c r="I90" s="1">
        <f>30/40*100</f>
        <v>75</v>
      </c>
      <c r="J90" s="1">
        <v>88</v>
      </c>
      <c r="K90" s="2">
        <v>100</v>
      </c>
      <c r="L90" s="2">
        <v>100</v>
      </c>
      <c r="M90" s="2">
        <v>92</v>
      </c>
      <c r="N90" s="2">
        <f>20/25*100</f>
        <v>80</v>
      </c>
      <c r="O90" s="2">
        <v>54</v>
      </c>
      <c r="P90" s="2">
        <v>27</v>
      </c>
      <c r="Q90" s="2">
        <v>81</v>
      </c>
      <c r="R90" s="2">
        <v>100</v>
      </c>
      <c r="S90" s="2">
        <v>100</v>
      </c>
      <c r="T90" s="4">
        <v>100</v>
      </c>
      <c r="U90" s="2">
        <v>63</v>
      </c>
    </row>
    <row r="91" spans="1:21" ht="15" customHeight="1" x14ac:dyDescent="0.25">
      <c r="A91" s="3" t="s">
        <v>158</v>
      </c>
      <c r="B91" s="3" t="s">
        <v>10</v>
      </c>
      <c r="C91" s="3" t="s">
        <v>11</v>
      </c>
      <c r="D91" t="s">
        <v>167</v>
      </c>
      <c r="E91" s="3"/>
      <c r="F91" s="3">
        <f>23.5*2</f>
        <v>47</v>
      </c>
      <c r="G91" s="3"/>
      <c r="H91" s="3">
        <v>100</v>
      </c>
      <c r="I91" s="3">
        <f>32/40*100</f>
        <v>80</v>
      </c>
      <c r="J91" s="3">
        <v>93</v>
      </c>
      <c r="K91" s="4">
        <v>100</v>
      </c>
      <c r="L91" s="4">
        <v>100</v>
      </c>
      <c r="M91" s="4"/>
      <c r="N91" s="4">
        <v>100</v>
      </c>
      <c r="O91" s="4">
        <v>66</v>
      </c>
      <c r="P91" s="4">
        <v>24</v>
      </c>
      <c r="Q91" s="2">
        <v>90</v>
      </c>
      <c r="R91" s="4">
        <v>100</v>
      </c>
      <c r="S91" s="4">
        <v>100</v>
      </c>
      <c r="T91" s="2">
        <v>54</v>
      </c>
      <c r="U91" s="4">
        <v>70</v>
      </c>
    </row>
    <row r="92" spans="1:21" ht="15" customHeight="1" x14ac:dyDescent="0.25">
      <c r="A92" s="3" t="s">
        <v>89</v>
      </c>
      <c r="B92" s="3" t="s">
        <v>8</v>
      </c>
      <c r="C92" s="3" t="s">
        <v>9</v>
      </c>
      <c r="D92" t="s">
        <v>162</v>
      </c>
      <c r="E92" s="3">
        <v>43.6</v>
      </c>
      <c r="F92" s="3">
        <v>76</v>
      </c>
      <c r="G92" s="3">
        <v>60</v>
      </c>
      <c r="H92" s="3">
        <v>60</v>
      </c>
      <c r="I92" s="1">
        <v>12.5</v>
      </c>
      <c r="J92" s="3">
        <v>66</v>
      </c>
      <c r="K92" s="4">
        <f>35/40*100</f>
        <v>87.5</v>
      </c>
      <c r="L92" s="4">
        <v>100</v>
      </c>
      <c r="M92" s="4">
        <v>100</v>
      </c>
      <c r="N92" s="4">
        <v>100</v>
      </c>
      <c r="O92" s="4">
        <v>44</v>
      </c>
      <c r="P92" s="4">
        <v>17</v>
      </c>
      <c r="Q92" s="2">
        <v>61</v>
      </c>
      <c r="R92" s="4">
        <v>67</v>
      </c>
      <c r="S92" s="4">
        <v>100</v>
      </c>
      <c r="T92" s="4"/>
      <c r="U92" s="4">
        <v>43</v>
      </c>
    </row>
    <row r="93" spans="1:21" ht="15" customHeight="1" x14ac:dyDescent="0.25">
      <c r="A93" s="1" t="s">
        <v>49</v>
      </c>
      <c r="B93" s="1" t="s">
        <v>16</v>
      </c>
      <c r="C93" s="1" t="s">
        <v>25</v>
      </c>
      <c r="D93" t="s">
        <v>167</v>
      </c>
      <c r="E93" s="1">
        <f>31/35*100</f>
        <v>88.571428571428569</v>
      </c>
      <c r="F93" s="1">
        <f>43.5*2</f>
        <v>87</v>
      </c>
      <c r="G93" s="1">
        <v>100</v>
      </c>
      <c r="H93" s="1">
        <v>90</v>
      </c>
      <c r="I93" s="1">
        <f>38/40*100</f>
        <v>95</v>
      </c>
      <c r="J93" s="1">
        <v>93</v>
      </c>
      <c r="K93" s="2">
        <v>100</v>
      </c>
      <c r="L93" s="2">
        <v>100</v>
      </c>
      <c r="M93" s="2">
        <v>100</v>
      </c>
      <c r="N93" s="2">
        <v>100</v>
      </c>
      <c r="O93" s="2">
        <v>58</v>
      </c>
      <c r="P93" s="2">
        <v>25</v>
      </c>
      <c r="Q93" s="2">
        <v>83</v>
      </c>
      <c r="R93" s="4">
        <v>44</v>
      </c>
      <c r="S93" s="2">
        <f>14/15*100</f>
        <v>93.333333333333329</v>
      </c>
      <c r="T93" s="2"/>
      <c r="U93" s="2">
        <v>61</v>
      </c>
    </row>
    <row r="94" spans="1:21" ht="15" customHeight="1" x14ac:dyDescent="0.25">
      <c r="A94" s="3" t="s">
        <v>122</v>
      </c>
      <c r="B94" s="3" t="s">
        <v>16</v>
      </c>
      <c r="C94" s="3" t="s">
        <v>27</v>
      </c>
      <c r="D94" t="s">
        <v>162</v>
      </c>
      <c r="E94" s="3">
        <v>45</v>
      </c>
      <c r="F94" s="3">
        <v>57</v>
      </c>
      <c r="G94" s="3">
        <v>62.5</v>
      </c>
      <c r="H94" s="3">
        <v>70</v>
      </c>
      <c r="I94" s="3">
        <v>73.8</v>
      </c>
      <c r="J94" s="3">
        <v>68</v>
      </c>
      <c r="K94" s="4">
        <v>95</v>
      </c>
      <c r="L94" s="4">
        <v>100</v>
      </c>
      <c r="M94" s="4">
        <f>18/25*100</f>
        <v>72</v>
      </c>
      <c r="N94" s="4">
        <f>18/25*100</f>
        <v>72</v>
      </c>
      <c r="O94" s="4">
        <v>42</v>
      </c>
      <c r="P94" s="4">
        <v>14</v>
      </c>
      <c r="Q94" s="2">
        <v>56</v>
      </c>
      <c r="R94" s="2">
        <v>67</v>
      </c>
      <c r="S94" s="4"/>
      <c r="T94" s="2"/>
      <c r="U94" s="4">
        <v>48</v>
      </c>
    </row>
    <row r="95" spans="1:21" ht="15" customHeight="1" x14ac:dyDescent="0.25">
      <c r="A95" s="1" t="s">
        <v>129</v>
      </c>
      <c r="B95" s="1" t="s">
        <v>8</v>
      </c>
      <c r="C95" s="1" t="s">
        <v>9</v>
      </c>
      <c r="D95" t="s">
        <v>163</v>
      </c>
      <c r="E95" s="1">
        <v>68.3</v>
      </c>
      <c r="F95" s="1">
        <f>37.5*2</f>
        <v>75</v>
      </c>
      <c r="G95" s="1">
        <v>50</v>
      </c>
      <c r="H95" s="1">
        <v>90</v>
      </c>
      <c r="I95" s="1">
        <f>22/40*100</f>
        <v>55.000000000000007</v>
      </c>
      <c r="J95" s="1">
        <v>68</v>
      </c>
      <c r="K95" s="2">
        <v>100</v>
      </c>
      <c r="L95" s="2"/>
      <c r="M95" s="2">
        <v>96</v>
      </c>
      <c r="N95" s="2"/>
      <c r="O95" s="2">
        <v>36</v>
      </c>
      <c r="P95" s="2">
        <v>8</v>
      </c>
      <c r="Q95" s="2">
        <v>44</v>
      </c>
      <c r="R95" s="2">
        <f>10/15*100</f>
        <v>66.666666666666657</v>
      </c>
      <c r="S95" s="2"/>
      <c r="T95" s="2"/>
      <c r="U95" s="2">
        <v>45</v>
      </c>
    </row>
    <row r="96" spans="1:21" ht="15" customHeight="1" x14ac:dyDescent="0.25">
      <c r="A96" s="1" t="s">
        <v>141</v>
      </c>
      <c r="B96" s="1" t="s">
        <v>8</v>
      </c>
      <c r="C96" s="1" t="s">
        <v>9</v>
      </c>
      <c r="D96" t="s">
        <v>160</v>
      </c>
      <c r="E96" s="1"/>
      <c r="F96" s="1"/>
      <c r="G96" s="1"/>
      <c r="H96" s="1">
        <v>45</v>
      </c>
      <c r="I96" s="1"/>
      <c r="J96" s="1">
        <v>46</v>
      </c>
      <c r="K96" s="2"/>
      <c r="L96" s="2"/>
      <c r="M96" s="2"/>
      <c r="N96" s="2"/>
      <c r="O96" s="2"/>
      <c r="P96" s="2"/>
      <c r="Q96" s="2"/>
      <c r="R96" s="2"/>
      <c r="S96" s="2"/>
      <c r="T96" s="4"/>
      <c r="U96" s="2">
        <v>28</v>
      </c>
    </row>
    <row r="97" spans="1:21" ht="15" customHeight="1" x14ac:dyDescent="0.25">
      <c r="A97" s="1" t="s">
        <v>142</v>
      </c>
      <c r="B97" s="1" t="s">
        <v>10</v>
      </c>
      <c r="C97" s="1" t="s">
        <v>11</v>
      </c>
      <c r="D97" t="s">
        <v>166</v>
      </c>
      <c r="E97" s="1"/>
      <c r="F97" s="1"/>
      <c r="G97" s="1"/>
      <c r="H97" s="1">
        <v>70</v>
      </c>
      <c r="I97" s="1"/>
      <c r="J97" s="1">
        <v>77</v>
      </c>
      <c r="K97" s="2"/>
      <c r="L97" s="2"/>
      <c r="M97" s="2"/>
      <c r="N97" s="2"/>
      <c r="O97" s="2">
        <v>62</v>
      </c>
      <c r="P97" s="2">
        <v>23</v>
      </c>
      <c r="Q97" s="2">
        <v>85</v>
      </c>
      <c r="R97" s="4">
        <v>100</v>
      </c>
      <c r="S97" s="2">
        <v>100</v>
      </c>
      <c r="T97" s="2"/>
      <c r="U97" s="2">
        <v>62</v>
      </c>
    </row>
    <row r="98" spans="1:21" ht="15" customHeight="1" x14ac:dyDescent="0.25">
      <c r="A98" s="3" t="s">
        <v>66</v>
      </c>
      <c r="B98" s="3" t="s">
        <v>10</v>
      </c>
      <c r="C98" s="3" t="s">
        <v>11</v>
      </c>
      <c r="D98" t="s">
        <v>167</v>
      </c>
      <c r="E98" s="3">
        <f>30/35*100</f>
        <v>85.714285714285708</v>
      </c>
      <c r="F98" s="3">
        <v>86</v>
      </c>
      <c r="G98" s="3">
        <f>35/40*100</f>
        <v>87.5</v>
      </c>
      <c r="H98" s="3">
        <v>60</v>
      </c>
      <c r="I98" s="3">
        <f>34/40*100</f>
        <v>85</v>
      </c>
      <c r="J98" s="3">
        <v>87</v>
      </c>
      <c r="K98" s="4">
        <v>100</v>
      </c>
      <c r="L98" s="4">
        <v>100</v>
      </c>
      <c r="M98" s="4">
        <v>100</v>
      </c>
      <c r="N98" s="4"/>
      <c r="O98" s="4">
        <v>62</v>
      </c>
      <c r="P98" s="4">
        <v>26</v>
      </c>
      <c r="Q98" s="2">
        <v>88</v>
      </c>
      <c r="R98" s="4">
        <v>100</v>
      </c>
      <c r="S98" s="4">
        <v>100</v>
      </c>
      <c r="T98" s="2">
        <v>94</v>
      </c>
      <c r="U98" s="4">
        <v>61</v>
      </c>
    </row>
    <row r="99" spans="1:21" ht="15" customHeight="1" x14ac:dyDescent="0.25">
      <c r="A99" s="1" t="s">
        <v>48</v>
      </c>
      <c r="B99" s="1" t="s">
        <v>10</v>
      </c>
      <c r="C99" s="1" t="s">
        <v>11</v>
      </c>
      <c r="D99" t="s">
        <v>167</v>
      </c>
      <c r="E99" s="1">
        <f>30/35*100</f>
        <v>85.714285714285708</v>
      </c>
      <c r="F99" s="1">
        <f>46*2</f>
        <v>92</v>
      </c>
      <c r="G99" s="1">
        <v>100</v>
      </c>
      <c r="H99" s="1">
        <v>90</v>
      </c>
      <c r="I99" s="1">
        <v>87.5</v>
      </c>
      <c r="J99" s="1">
        <v>89</v>
      </c>
      <c r="K99" s="2">
        <v>92.5</v>
      </c>
      <c r="L99" s="2">
        <v>100</v>
      </c>
      <c r="M99" s="2">
        <v>100</v>
      </c>
      <c r="N99" s="2">
        <v>96</v>
      </c>
      <c r="O99" s="2">
        <v>56</v>
      </c>
      <c r="P99" s="2">
        <v>17</v>
      </c>
      <c r="Q99" s="2">
        <v>73</v>
      </c>
      <c r="R99" s="2">
        <v>100</v>
      </c>
      <c r="S99" s="2">
        <f>100</f>
        <v>100</v>
      </c>
      <c r="T99" s="2"/>
      <c r="U99" s="2">
        <v>61</v>
      </c>
    </row>
    <row r="100" spans="1:21" ht="15" customHeight="1" x14ac:dyDescent="0.25">
      <c r="A100" s="1" t="s">
        <v>81</v>
      </c>
      <c r="B100" s="1" t="s">
        <v>8</v>
      </c>
      <c r="C100" s="1" t="s">
        <v>9</v>
      </c>
      <c r="D100" t="s">
        <v>166</v>
      </c>
      <c r="E100" s="1">
        <f>9.5/35*100</f>
        <v>27.142857142857142</v>
      </c>
      <c r="F100" s="1"/>
      <c r="G100" s="1">
        <f>21/40*100</f>
        <v>52.5</v>
      </c>
      <c r="H100" s="1">
        <v>90</v>
      </c>
      <c r="I100" s="1"/>
      <c r="J100" s="1">
        <v>81</v>
      </c>
      <c r="K100" s="2"/>
      <c r="L100" s="2">
        <v>100</v>
      </c>
      <c r="M100" s="2"/>
      <c r="N100" s="2"/>
      <c r="O100" s="2">
        <v>44</v>
      </c>
      <c r="P100" s="2">
        <v>16</v>
      </c>
      <c r="Q100" s="2">
        <v>60</v>
      </c>
      <c r="R100" s="2"/>
      <c r="S100" s="2"/>
      <c r="T100" s="4"/>
      <c r="U100" s="2">
        <v>65</v>
      </c>
    </row>
    <row r="101" spans="1:21" ht="15" customHeight="1" x14ac:dyDescent="0.25">
      <c r="A101" s="1" t="s">
        <v>116</v>
      </c>
      <c r="B101" s="1" t="s">
        <v>8</v>
      </c>
      <c r="C101" s="1" t="s">
        <v>9</v>
      </c>
      <c r="D101" t="s">
        <v>167</v>
      </c>
      <c r="E101" s="1">
        <v>42.7</v>
      </c>
      <c r="F101" s="1">
        <v>76</v>
      </c>
      <c r="G101" s="1">
        <v>40</v>
      </c>
      <c r="H101" s="1">
        <v>70</v>
      </c>
      <c r="I101" s="1">
        <v>70</v>
      </c>
      <c r="J101" s="1">
        <v>97</v>
      </c>
      <c r="K101" s="2">
        <v>68.75</v>
      </c>
      <c r="L101" s="2">
        <f>18/20*100</f>
        <v>90</v>
      </c>
      <c r="M101" s="2">
        <v>92</v>
      </c>
      <c r="N101" s="2">
        <v>92</v>
      </c>
      <c r="O101" s="2">
        <v>62</v>
      </c>
      <c r="P101" s="2">
        <v>20</v>
      </c>
      <c r="Q101" s="2">
        <v>82</v>
      </c>
      <c r="R101" s="4">
        <v>94</v>
      </c>
      <c r="S101" s="2">
        <f>14/15*100</f>
        <v>93.333333333333329</v>
      </c>
      <c r="T101" s="4"/>
      <c r="U101" s="2">
        <v>63</v>
      </c>
    </row>
    <row r="102" spans="1:21" ht="15" customHeight="1" x14ac:dyDescent="0.25">
      <c r="A102" s="3" t="s">
        <v>63</v>
      </c>
      <c r="B102" s="3" t="s">
        <v>36</v>
      </c>
      <c r="C102" s="3" t="s">
        <v>37</v>
      </c>
      <c r="D102" t="s">
        <v>165</v>
      </c>
      <c r="E102" s="3">
        <f>25/35*100</f>
        <v>71.428571428571431</v>
      </c>
      <c r="F102" s="3">
        <v>52</v>
      </c>
      <c r="G102" s="3">
        <f>38/40*100</f>
        <v>95</v>
      </c>
      <c r="H102" s="3">
        <v>90</v>
      </c>
      <c r="I102" s="3">
        <f>36/40*100</f>
        <v>90</v>
      </c>
      <c r="J102" s="3">
        <v>78</v>
      </c>
      <c r="K102" s="4">
        <v>100</v>
      </c>
      <c r="L102" s="4">
        <v>100</v>
      </c>
      <c r="M102" s="4"/>
      <c r="N102" s="4">
        <v>100</v>
      </c>
      <c r="O102" s="4">
        <v>48</v>
      </c>
      <c r="P102" s="4">
        <v>27</v>
      </c>
      <c r="Q102" s="2">
        <v>75</v>
      </c>
      <c r="R102" s="4">
        <f>12/15*100</f>
        <v>80</v>
      </c>
      <c r="S102" s="4">
        <f>12/15*100</f>
        <v>80</v>
      </c>
      <c r="T102" s="2">
        <v>100</v>
      </c>
      <c r="U102" s="4">
        <v>65</v>
      </c>
    </row>
    <row r="103" spans="1:21" ht="15" customHeight="1" x14ac:dyDescent="0.25">
      <c r="A103" s="3" t="s">
        <v>107</v>
      </c>
      <c r="B103" s="3" t="s">
        <v>10</v>
      </c>
      <c r="C103" s="3" t="s">
        <v>11</v>
      </c>
      <c r="D103" t="s">
        <v>169</v>
      </c>
      <c r="E103" s="3">
        <v>91.6</v>
      </c>
      <c r="F103" s="3">
        <v>100</v>
      </c>
      <c r="G103" s="3">
        <v>100</v>
      </c>
      <c r="H103" s="3">
        <v>100</v>
      </c>
      <c r="I103" s="3">
        <v>95</v>
      </c>
      <c r="J103" s="3">
        <v>93</v>
      </c>
      <c r="K103" s="4">
        <v>95</v>
      </c>
      <c r="L103" s="4">
        <v>100</v>
      </c>
      <c r="M103" s="4">
        <v>88</v>
      </c>
      <c r="N103" s="4">
        <v>100</v>
      </c>
      <c r="O103" s="4">
        <v>62</v>
      </c>
      <c r="P103" s="4">
        <v>29</v>
      </c>
      <c r="Q103" s="2">
        <v>91</v>
      </c>
      <c r="R103" s="4">
        <v>100</v>
      </c>
      <c r="S103" s="4">
        <f>100</f>
        <v>100</v>
      </c>
      <c r="T103" s="2"/>
      <c r="U103" s="4">
        <v>63</v>
      </c>
    </row>
    <row r="104" spans="1:21" ht="15" customHeight="1" x14ac:dyDescent="0.25">
      <c r="A104" s="3" t="s">
        <v>133</v>
      </c>
      <c r="B104" s="3" t="s">
        <v>8</v>
      </c>
      <c r="C104" s="3" t="s">
        <v>9</v>
      </c>
      <c r="D104" t="s">
        <v>166</v>
      </c>
      <c r="E104" s="3">
        <v>42.66</v>
      </c>
      <c r="F104" s="3">
        <v>43</v>
      </c>
      <c r="G104" s="3"/>
      <c r="H104" s="3">
        <v>90</v>
      </c>
      <c r="I104" s="3"/>
      <c r="J104" s="3">
        <v>82</v>
      </c>
      <c r="K104" s="4"/>
      <c r="L104" s="4">
        <v>90</v>
      </c>
      <c r="M104" s="4"/>
      <c r="N104" s="4"/>
      <c r="O104" s="4">
        <v>44</v>
      </c>
      <c r="P104" s="4">
        <v>21</v>
      </c>
      <c r="Q104" s="2">
        <v>65</v>
      </c>
      <c r="R104" s="4"/>
      <c r="S104" s="4">
        <f>11/15*100</f>
        <v>73.333333333333329</v>
      </c>
      <c r="T104" s="4"/>
      <c r="U104" s="4">
        <v>54</v>
      </c>
    </row>
    <row r="105" spans="1:21" x14ac:dyDescent="0.25">
      <c r="A105" s="3" t="s">
        <v>170</v>
      </c>
      <c r="E105">
        <f t="shared" ref="E105:U105" si="0">AVERAGE(E6:E104)</f>
        <v>66.543041474654387</v>
      </c>
      <c r="F105">
        <f t="shared" si="0"/>
        <v>67.200803212851412</v>
      </c>
      <c r="G105">
        <f t="shared" si="0"/>
        <v>67.093373493975903</v>
      </c>
      <c r="H105">
        <f t="shared" si="0"/>
        <v>79.395604395604394</v>
      </c>
      <c r="I105">
        <f t="shared" si="0"/>
        <v>70.72320675105486</v>
      </c>
      <c r="J105">
        <f t="shared" si="0"/>
        <v>78.787878787878782</v>
      </c>
      <c r="K105">
        <f t="shared" si="0"/>
        <v>90.984375</v>
      </c>
      <c r="L105">
        <f t="shared" si="0"/>
        <v>96.04651162790698</v>
      </c>
      <c r="M105">
        <f t="shared" si="0"/>
        <v>91.692307692307693</v>
      </c>
      <c r="N105">
        <f t="shared" si="0"/>
        <v>88.270270270270274</v>
      </c>
      <c r="O105">
        <f t="shared" si="0"/>
        <v>49.3125</v>
      </c>
      <c r="P105">
        <f t="shared" si="0"/>
        <v>18.822916666666668</v>
      </c>
      <c r="Q105">
        <f t="shared" si="0"/>
        <v>68.145833333333329</v>
      </c>
      <c r="R105">
        <f t="shared" si="0"/>
        <v>84.227309236947804</v>
      </c>
      <c r="S105">
        <f t="shared" si="0"/>
        <v>92.380952380952365</v>
      </c>
      <c r="T105">
        <f t="shared" si="0"/>
        <v>88.666666666666671</v>
      </c>
      <c r="U105">
        <f t="shared" si="0"/>
        <v>54.867346938775512</v>
      </c>
    </row>
  </sheetData>
  <mergeCells count="18">
    <mergeCell ref="U1:U5"/>
    <mergeCell ref="H1:H5"/>
    <mergeCell ref="I1:I5"/>
    <mergeCell ref="J1:J5"/>
    <mergeCell ref="D1:D5"/>
    <mergeCell ref="E1:E5"/>
    <mergeCell ref="F1:F5"/>
    <mergeCell ref="G1:G5"/>
    <mergeCell ref="R1:R5"/>
    <mergeCell ref="S1:S5"/>
    <mergeCell ref="T1:T5"/>
    <mergeCell ref="K1:K5"/>
    <mergeCell ref="P1:P5"/>
    <mergeCell ref="Q1:Q5"/>
    <mergeCell ref="L1:L5"/>
    <mergeCell ref="M1:M5"/>
    <mergeCell ref="N1:N5"/>
    <mergeCell ref="O1:O5"/>
  </mergeCells>
  <phoneticPr fontId="0" type="noConversion"/>
  <pageMargins left="0.5" right="0.5" top="0.7" bottom="0.65" header="0" footer="0.5"/>
  <pageSetup orientation="landscape" r:id="rId1"/>
  <headerFooter alignWithMargins="0"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PHYS102-0101</vt:lpstr>
    </vt:vector>
  </TitlesOfParts>
  <Company>UMCP Physics Dept 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Maryland</dc:creator>
  <cp:lastModifiedBy>Carina Negreanu</cp:lastModifiedBy>
  <dcterms:created xsi:type="dcterms:W3CDTF">2002-09-09T16:55:10Z</dcterms:created>
  <dcterms:modified xsi:type="dcterms:W3CDTF">2020-01-27T11:58:45Z</dcterms:modified>
</cp:coreProperties>
</file>