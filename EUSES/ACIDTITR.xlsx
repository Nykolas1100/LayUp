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E2A84E2-1E2E-4DBC-915D-749CB92C62BB}" xr6:coauthVersionLast="45" xr6:coauthVersionMax="45" xr10:uidLastSave="{00000000-0000-0000-0000-000000000000}"/>
  <bookViews>
    <workbookView xWindow="3420" yWindow="3420" windowWidth="28800" windowHeight="15460" tabRatio="565"/>
  </bookViews>
  <sheets>
    <sheet name="Data fitting application" sheetId="2" r:id="rId1"/>
    <sheet name="Chart" sheetId="3" r:id="rId2"/>
    <sheet name="Statistics" sheetId="4" r:id="rId3"/>
  </sheets>
  <definedNames>
    <definedName name="solver_adj" localSheetId="0" hidden="1">'Data fitting application'!$B$1,'Data fitting application'!$B$3</definedName>
    <definedName name="solver_drv" localSheetId="0" hidden="1">1</definedName>
    <definedName name="solver_est" localSheetId="0" hidden="1">1</definedName>
    <definedName name="solver_itr" localSheetId="0" hidden="1">100</definedName>
    <definedName name="solver_lin" localSheetId="0" hidden="1">0</definedName>
    <definedName name="solver_num" localSheetId="0" hidden="1">0</definedName>
    <definedName name="solver_nwt" localSheetId="0" hidden="1">1</definedName>
    <definedName name="solver_opt" localSheetId="0" hidden="1">'Data fitting application'!$D$3</definedName>
    <definedName name="solver_pre" localSheetId="0" hidden="1">0.000001</definedName>
    <definedName name="solver_scl" localSheetId="0" hidden="1">0</definedName>
    <definedName name="solver_sho" localSheetId="0" hidden="1">0</definedName>
    <definedName name="solver_tim" localSheetId="0" hidden="1">100</definedName>
    <definedName name="solver_tol" localSheetId="0" hidden="1">0.00000001</definedName>
    <definedName name="solver_typ" localSheetId="0" hidden="1">2</definedName>
    <definedName name="solver_val" localSheetId="0" hidden="1">0</definedName>
  </definedNames>
  <calcPr calcId="0"/>
</workbook>
</file>

<file path=xl/calcChain.xml><?xml version="1.0" encoding="utf-8"?>
<calcChain xmlns="http://schemas.openxmlformats.org/spreadsheetml/2006/main">
  <c r="C26" i="3" l="1"/>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D3" i="2"/>
  <c r="C8" i="2"/>
  <c r="D8" i="2"/>
  <c r="C9" i="2"/>
  <c r="D9" i="2"/>
  <c r="C10" i="2"/>
  <c r="D10" i="2"/>
  <c r="C11" i="2"/>
  <c r="D11" i="2"/>
  <c r="C12" i="2"/>
  <c r="D12" i="2"/>
  <c r="C13" i="2"/>
  <c r="D13" i="2"/>
  <c r="C14" i="2"/>
  <c r="D14" i="2"/>
  <c r="C15" i="2"/>
  <c r="D15" i="2"/>
  <c r="C16" i="2"/>
  <c r="D16" i="2"/>
  <c r="C17" i="2"/>
  <c r="D17" i="2"/>
  <c r="C18" i="2"/>
  <c r="D18" i="2"/>
  <c r="C19" i="2"/>
  <c r="D19" i="2"/>
  <c r="C20" i="2"/>
  <c r="D20" i="2"/>
  <c r="C21" i="2"/>
  <c r="D21" i="2"/>
  <c r="C22" i="2"/>
  <c r="D22" i="2"/>
  <c r="C23" i="2"/>
  <c r="D23" i="2"/>
  <c r="C24" i="2"/>
  <c r="D24" i="2"/>
  <c r="C25" i="2"/>
  <c r="D25" i="2"/>
  <c r="B6" i="4"/>
  <c r="F6" i="4"/>
  <c r="B7" i="4"/>
  <c r="B8" i="4"/>
  <c r="F13" i="4"/>
  <c r="G13" i="4"/>
  <c r="I13" i="4"/>
  <c r="F14" i="4"/>
  <c r="G14" i="4"/>
  <c r="I14" i="4"/>
  <c r="F15" i="4"/>
  <c r="G15" i="4"/>
  <c r="I15" i="4"/>
  <c r="F16" i="4"/>
  <c r="G16" i="4"/>
  <c r="I16" i="4"/>
  <c r="F17" i="4"/>
  <c r="G17" i="4"/>
  <c r="I17" i="4"/>
  <c r="F18" i="4"/>
  <c r="G18" i="4"/>
  <c r="I18" i="4"/>
  <c r="F19" i="4"/>
  <c r="G19" i="4"/>
  <c r="I19" i="4"/>
  <c r="F20" i="4"/>
  <c r="G20" i="4"/>
  <c r="I20" i="4"/>
  <c r="F21" i="4"/>
  <c r="G21" i="4"/>
  <c r="I21" i="4"/>
  <c r="F22" i="4"/>
  <c r="G22" i="4"/>
  <c r="I22" i="4"/>
  <c r="F23" i="4"/>
  <c r="G23" i="4"/>
  <c r="I23" i="4"/>
  <c r="F24" i="4"/>
  <c r="G24" i="4"/>
  <c r="I24" i="4"/>
  <c r="F25" i="4"/>
  <c r="G25" i="4"/>
  <c r="I25" i="4"/>
  <c r="F26" i="4"/>
  <c r="G26" i="4"/>
  <c r="I26" i="4"/>
  <c r="F27" i="4"/>
  <c r="G27" i="4"/>
  <c r="I27" i="4"/>
  <c r="F28" i="4"/>
  <c r="G28" i="4"/>
  <c r="I28" i="4"/>
  <c r="F29" i="4"/>
  <c r="G29" i="4"/>
  <c r="I29" i="4"/>
  <c r="F30" i="4"/>
  <c r="G30" i="4"/>
  <c r="I30" i="4"/>
  <c r="F31" i="4"/>
  <c r="G31" i="4"/>
  <c r="I31" i="4"/>
</calcChain>
</file>

<file path=xl/sharedStrings.xml><?xml version="1.0" encoding="utf-8"?>
<sst xmlns="http://schemas.openxmlformats.org/spreadsheetml/2006/main" count="32" uniqueCount="21">
  <si>
    <t>Cacid</t>
  </si>
  <si>
    <t>Cbase</t>
  </si>
  <si>
    <t>Vacid</t>
  </si>
  <si>
    <t>pKa</t>
  </si>
  <si>
    <t>SS</t>
  </si>
  <si>
    <t>Experimental data</t>
  </si>
  <si>
    <t>Fitted</t>
  </si>
  <si>
    <t>Square</t>
  </si>
  <si>
    <t>Vbase ml</t>
  </si>
  <si>
    <t>pH</t>
  </si>
  <si>
    <t>deviation</t>
  </si>
  <si>
    <t>Vbase</t>
  </si>
  <si>
    <t>Statistics</t>
  </si>
  <si>
    <r>
      <t>R</t>
    </r>
    <r>
      <rPr>
        <vertAlign val="superscript"/>
        <sz val="12"/>
        <rFont val="Book Antiqua"/>
        <family val="1"/>
      </rPr>
      <t>2</t>
    </r>
  </si>
  <si>
    <r>
      <t>y</t>
    </r>
    <r>
      <rPr>
        <vertAlign val="subscript"/>
        <sz val="12"/>
        <rFont val="Book Antiqua"/>
        <family val="1"/>
      </rPr>
      <t>mean</t>
    </r>
  </si>
  <si>
    <t>C of D</t>
  </si>
  <si>
    <t>MSC</t>
  </si>
  <si>
    <t xml:space="preserve">             Data</t>
  </si>
  <si>
    <r>
      <t>y</t>
    </r>
    <r>
      <rPr>
        <vertAlign val="subscript"/>
        <sz val="12"/>
        <rFont val="Book Antiqua"/>
        <family val="1"/>
      </rPr>
      <t>obs</t>
    </r>
    <r>
      <rPr>
        <vertAlign val="superscript"/>
        <sz val="12"/>
        <rFont val="Book Antiqua"/>
        <family val="1"/>
      </rPr>
      <t>2</t>
    </r>
  </si>
  <si>
    <r>
      <t>(y</t>
    </r>
    <r>
      <rPr>
        <vertAlign val="subscript"/>
        <sz val="12"/>
        <rFont val="Book Antiqua"/>
        <family val="1"/>
      </rPr>
      <t>obs</t>
    </r>
    <r>
      <rPr>
        <sz val="12"/>
        <rFont val="Book Antiqua"/>
      </rPr>
      <t xml:space="preserve"> - y</t>
    </r>
    <r>
      <rPr>
        <vertAlign val="subscript"/>
        <sz val="12"/>
        <rFont val="Book Antiqua"/>
        <family val="1"/>
      </rPr>
      <t>cal</t>
    </r>
    <r>
      <rPr>
        <sz val="12"/>
        <rFont val="Book Antiqua"/>
      </rPr>
      <t>)</t>
    </r>
    <r>
      <rPr>
        <vertAlign val="superscript"/>
        <sz val="12"/>
        <rFont val="Book Antiqua"/>
        <family val="1"/>
      </rPr>
      <t>2</t>
    </r>
  </si>
  <si>
    <r>
      <t>(y</t>
    </r>
    <r>
      <rPr>
        <vertAlign val="subscript"/>
        <sz val="12"/>
        <rFont val="Book Antiqua"/>
        <family val="1"/>
      </rPr>
      <t xml:space="preserve">obs - </t>
    </r>
    <r>
      <rPr>
        <sz val="12"/>
        <rFont val="Book Antiqua"/>
        <family val="1"/>
      </rPr>
      <t>y</t>
    </r>
    <r>
      <rPr>
        <vertAlign val="subscript"/>
        <sz val="12"/>
        <rFont val="Book Antiqua"/>
        <family val="1"/>
      </rPr>
      <t>mean)</t>
    </r>
    <r>
      <rPr>
        <vertAlign val="superscript"/>
        <sz val="12"/>
        <rFont val="Book Antiqua"/>
        <family val="1"/>
      </rPr>
      <t>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</si>
</sst>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2"/>
      <name val="Book Antiqua"/>
    </font>
    <font>
      <vertAlign val="superscript"/>
      <sz val="12"/>
      <name val="Book Antiqua"/>
      <family val="1"/>
    </font>
    <font>
      <vertAlign val="subscript"/>
      <sz val="12"/>
      <name val="Book Antiqua"/>
      <family val="1"/>
    </font>
    <font>
      <sz val="12"/>
      <name val="Book Antiqua"/>
      <family val="1"/>
    </font>
    <font>
      <sz val="12"/>
      <color indexed="9"/>
      <name val="Book Antiqua"/>
      <family val="1"/>
    </font>
  </fonts>
  <fills count="8">
    <fill>
      <patternFill patternType="none"/>
    </fill>
    <fill>
      <patternFill patternType="gray125"/>
    </fill>
    <fill>
      <patternFill patternType="solid">
        <fgColor indexed="42"/>
        <bgColor indexed="64"/>
      </patternFill>
    </fill>
    <fill>
      <patternFill patternType="solid">
        <fgColor indexed="27"/>
        <bgColor indexed="64"/>
      </patternFill>
    </fill>
    <fill>
      <patternFill patternType="solid">
        <fgColor indexed="45"/>
        <bgColor indexed="64"/>
      </patternFill>
    </fill>
    <fill>
      <patternFill patternType="solid">
        <fgColor indexed="26"/>
        <bgColor indexed="64"/>
      </patternFill>
    </fill>
    <fill>
      <patternFill patternType="solid">
        <fgColor indexed="29"/>
        <bgColor indexed="64"/>
      </patternFill>
    </fill>
    <fill>
      <patternFill patternType="solid">
        <fgColor indexed="48"/>
        <bgColor indexed="64"/>
      </patternFill>
    </fill>
  </fills>
  <borders count="13">
    <border>
      <left/>
      <right/>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s>
  <cellStyleXfs count="1">
    <xf numFmtId="0" fontId="0" fillId="0" borderId="0"/>
  </cellStyleXfs>
  <cellXfs count="30">
    <xf numFmtId="0" fontId="0" fillId="0" borderId="0" xfId="0"/>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xf numFmtId="0" fontId="0" fillId="0" borderId="1" xfId="0" applyBorder="1"/>
    <xf numFmtId="0" fontId="0" fillId="0" borderId="7" xfId="0" applyBorder="1"/>
    <xf numFmtId="0" fontId="0" fillId="0" borderId="8" xfId="0" applyBorder="1"/>
    <xf numFmtId="0" fontId="0" fillId="0" borderId="2" xfId="0" applyBorder="1"/>
    <xf numFmtId="0" fontId="0" fillId="0" borderId="3" xfId="0" applyBorder="1"/>
    <xf numFmtId="0" fontId="0" fillId="0" borderId="9" xfId="0" applyBorder="1"/>
    <xf numFmtId="0" fontId="0" fillId="0" borderId="10" xfId="0" applyBorder="1"/>
    <xf numFmtId="0" fontId="0" fillId="0" borderId="11" xfId="0" applyBorder="1"/>
    <xf numFmtId="0" fontId="0" fillId="2" borderId="0" xfId="0" applyFill="1"/>
    <xf numFmtId="0" fontId="0" fillId="3" borderId="0" xfId="0" applyFill="1"/>
    <xf numFmtId="0" fontId="0" fillId="4" borderId="0" xfId="0" applyFill="1"/>
    <xf numFmtId="0" fontId="0" fillId="5" borderId="0" xfId="0" applyFill="1" applyBorder="1"/>
    <xf numFmtId="0" fontId="0" fillId="0" borderId="0" xfId="0" applyBorder="1"/>
    <xf numFmtId="0" fontId="0" fillId="2" borderId="12" xfId="0" applyFill="1" applyBorder="1"/>
    <xf numFmtId="0" fontId="0" fillId="3" borderId="12" xfId="0" applyFill="1" applyBorder="1" applyAlignment="1">
      <alignment horizontal="right"/>
    </xf>
    <xf numFmtId="0" fontId="0" fillId="4" borderId="0" xfId="0" applyFill="1" applyBorder="1" applyAlignment="1">
      <alignment horizontal="center"/>
    </xf>
    <xf numFmtId="0" fontId="0" fillId="4" borderId="12" xfId="0" applyFill="1" applyBorder="1" applyAlignment="1">
      <alignment horizontal="center"/>
    </xf>
    <xf numFmtId="0" fontId="0" fillId="6" borderId="0" xfId="0" applyFill="1" applyBorder="1" applyAlignment="1">
      <alignment horizontal="center"/>
    </xf>
    <xf numFmtId="0" fontId="0" fillId="6" borderId="12" xfId="0" applyFill="1" applyBorder="1" applyAlignment="1">
      <alignment horizontal="center"/>
    </xf>
    <xf numFmtId="0" fontId="0" fillId="6" borderId="0" xfId="0" applyFill="1"/>
    <xf numFmtId="0" fontId="4" fillId="7" borderId="0" xfId="0" applyFont="1" applyFill="1" applyAlignment="1">
      <alignment horizontal="left"/>
    </xf>
    <xf numFmtId="0" fontId="4" fillId="7" borderId="0" xfId="0" applyFont="1" applyFill="1" applyAlignment="1">
      <alignment horizontal="right"/>
    </xf>
    <xf numFmtId="0" fontId="0" fillId="0" borderId="0" xfId="0" applyFill="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776121405950316"/>
          <c:y val="8.76317884211818E-2"/>
          <c:w val="0.75104485623801265"/>
          <c:h val="0.6426331150886665"/>
        </c:manualLayout>
      </c:layout>
      <c:scatterChart>
        <c:scatterStyle val="lineMarker"/>
        <c:varyColors val="0"/>
        <c:ser>
          <c:idx val="0"/>
          <c:order val="0"/>
          <c:spPr>
            <a:ln w="19050">
              <a:noFill/>
            </a:ln>
          </c:spPr>
          <c:marker>
            <c:symbol val="circle"/>
            <c:size val="5"/>
            <c:spPr>
              <a:solidFill>
                <a:srgbClr val="000000"/>
              </a:solidFill>
              <a:ln>
                <a:solidFill>
                  <a:srgbClr val="000000"/>
                </a:solidFill>
                <a:prstDash val="solid"/>
              </a:ln>
            </c:spPr>
          </c:marker>
          <c:xVal>
            <c:numRef>
              <c:f>Chart!$A$8:$A$126</c:f>
              <c:numCache>
                <c:formatCode>General</c:formatCode>
                <c:ptCount val="119"/>
                <c:pt idx="0">
                  <c:v>0</c:v>
                </c:pt>
                <c:pt idx="1">
                  <c:v>5</c:v>
                </c:pt>
                <c:pt idx="2">
                  <c:v>10</c:v>
                </c:pt>
                <c:pt idx="3">
                  <c:v>15</c:v>
                </c:pt>
                <c:pt idx="4">
                  <c:v>20</c:v>
                </c:pt>
                <c:pt idx="5">
                  <c:v>22</c:v>
                </c:pt>
                <c:pt idx="6">
                  <c:v>24</c:v>
                </c:pt>
                <c:pt idx="7">
                  <c:v>24.5</c:v>
                </c:pt>
                <c:pt idx="8">
                  <c:v>25</c:v>
                </c:pt>
                <c:pt idx="9">
                  <c:v>25.5</c:v>
                </c:pt>
                <c:pt idx="10">
                  <c:v>25.8</c:v>
                </c:pt>
                <c:pt idx="11">
                  <c:v>26</c:v>
                </c:pt>
                <c:pt idx="12">
                  <c:v>26.5</c:v>
                </c:pt>
                <c:pt idx="13">
                  <c:v>27</c:v>
                </c:pt>
                <c:pt idx="14">
                  <c:v>30</c:v>
                </c:pt>
                <c:pt idx="15">
                  <c:v>35</c:v>
                </c:pt>
                <c:pt idx="16">
                  <c:v>40</c:v>
                </c:pt>
                <c:pt idx="17">
                  <c:v>50</c:v>
                </c:pt>
                <c:pt idx="18">
                  <c:v>0</c:v>
                </c:pt>
                <c:pt idx="19">
                  <c:v>0.5</c:v>
                </c:pt>
                <c:pt idx="20">
                  <c:v>1</c:v>
                </c:pt>
                <c:pt idx="21">
                  <c:v>1.5</c:v>
                </c:pt>
                <c:pt idx="22">
                  <c:v>2</c:v>
                </c:pt>
                <c:pt idx="23">
                  <c:v>2.5</c:v>
                </c:pt>
                <c:pt idx="24">
                  <c:v>3</c:v>
                </c:pt>
                <c:pt idx="25">
                  <c:v>3.5</c:v>
                </c:pt>
                <c:pt idx="26">
                  <c:v>4</c:v>
                </c:pt>
                <c:pt idx="27">
                  <c:v>4.5</c:v>
                </c:pt>
                <c:pt idx="28">
                  <c:v>5</c:v>
                </c:pt>
                <c:pt idx="29">
                  <c:v>5.5</c:v>
                </c:pt>
                <c:pt idx="30">
                  <c:v>6</c:v>
                </c:pt>
                <c:pt idx="31">
                  <c:v>6.5</c:v>
                </c:pt>
                <c:pt idx="32">
                  <c:v>7</c:v>
                </c:pt>
                <c:pt idx="33">
                  <c:v>7.5</c:v>
                </c:pt>
                <c:pt idx="34">
                  <c:v>8</c:v>
                </c:pt>
                <c:pt idx="35">
                  <c:v>8.5</c:v>
                </c:pt>
                <c:pt idx="36">
                  <c:v>9</c:v>
                </c:pt>
                <c:pt idx="37">
                  <c:v>9.5</c:v>
                </c:pt>
                <c:pt idx="38">
                  <c:v>10</c:v>
                </c:pt>
                <c:pt idx="39">
                  <c:v>10.5</c:v>
                </c:pt>
                <c:pt idx="40">
                  <c:v>11</c:v>
                </c:pt>
                <c:pt idx="41">
                  <c:v>11.5</c:v>
                </c:pt>
                <c:pt idx="42">
                  <c:v>12</c:v>
                </c:pt>
                <c:pt idx="43">
                  <c:v>12.5</c:v>
                </c:pt>
                <c:pt idx="44">
                  <c:v>13</c:v>
                </c:pt>
                <c:pt idx="45">
                  <c:v>13.5</c:v>
                </c:pt>
                <c:pt idx="46">
                  <c:v>14</c:v>
                </c:pt>
                <c:pt idx="47">
                  <c:v>14.5</c:v>
                </c:pt>
                <c:pt idx="48">
                  <c:v>15</c:v>
                </c:pt>
                <c:pt idx="49">
                  <c:v>15.5</c:v>
                </c:pt>
                <c:pt idx="50">
                  <c:v>16</c:v>
                </c:pt>
                <c:pt idx="51">
                  <c:v>16.5</c:v>
                </c:pt>
                <c:pt idx="52">
                  <c:v>17</c:v>
                </c:pt>
                <c:pt idx="53">
                  <c:v>17.5</c:v>
                </c:pt>
                <c:pt idx="54">
                  <c:v>18</c:v>
                </c:pt>
                <c:pt idx="55">
                  <c:v>18.5</c:v>
                </c:pt>
                <c:pt idx="56">
                  <c:v>19</c:v>
                </c:pt>
                <c:pt idx="57">
                  <c:v>19.5</c:v>
                </c:pt>
                <c:pt idx="58">
                  <c:v>20</c:v>
                </c:pt>
                <c:pt idx="59">
                  <c:v>20.5</c:v>
                </c:pt>
                <c:pt idx="60">
                  <c:v>21</c:v>
                </c:pt>
                <c:pt idx="61">
                  <c:v>21.5</c:v>
                </c:pt>
                <c:pt idx="62">
                  <c:v>22</c:v>
                </c:pt>
                <c:pt idx="63">
                  <c:v>22.5</c:v>
                </c:pt>
                <c:pt idx="64">
                  <c:v>23</c:v>
                </c:pt>
                <c:pt idx="65">
                  <c:v>23.5</c:v>
                </c:pt>
                <c:pt idx="66">
                  <c:v>24</c:v>
                </c:pt>
                <c:pt idx="67">
                  <c:v>24.5</c:v>
                </c:pt>
                <c:pt idx="68">
                  <c:v>25</c:v>
                </c:pt>
                <c:pt idx="69">
                  <c:v>25.5</c:v>
                </c:pt>
                <c:pt idx="70">
                  <c:v>26</c:v>
                </c:pt>
                <c:pt idx="71">
                  <c:v>26.5</c:v>
                </c:pt>
                <c:pt idx="72">
                  <c:v>27</c:v>
                </c:pt>
                <c:pt idx="73">
                  <c:v>27.5</c:v>
                </c:pt>
                <c:pt idx="74">
                  <c:v>28</c:v>
                </c:pt>
                <c:pt idx="75">
                  <c:v>28.5</c:v>
                </c:pt>
                <c:pt idx="76">
                  <c:v>29</c:v>
                </c:pt>
                <c:pt idx="77">
                  <c:v>29.5</c:v>
                </c:pt>
                <c:pt idx="78">
                  <c:v>30</c:v>
                </c:pt>
                <c:pt idx="79">
                  <c:v>30.5</c:v>
                </c:pt>
                <c:pt idx="80">
                  <c:v>31</c:v>
                </c:pt>
                <c:pt idx="81">
                  <c:v>31.5</c:v>
                </c:pt>
                <c:pt idx="82">
                  <c:v>32</c:v>
                </c:pt>
                <c:pt idx="83">
                  <c:v>32.5</c:v>
                </c:pt>
                <c:pt idx="84">
                  <c:v>33</c:v>
                </c:pt>
                <c:pt idx="85">
                  <c:v>33.5</c:v>
                </c:pt>
                <c:pt idx="86">
                  <c:v>34</c:v>
                </c:pt>
                <c:pt idx="87">
                  <c:v>34.5</c:v>
                </c:pt>
                <c:pt idx="88">
                  <c:v>35</c:v>
                </c:pt>
                <c:pt idx="89">
                  <c:v>35.5</c:v>
                </c:pt>
                <c:pt idx="90">
                  <c:v>36</c:v>
                </c:pt>
                <c:pt idx="91">
                  <c:v>36.5</c:v>
                </c:pt>
                <c:pt idx="92">
                  <c:v>37</c:v>
                </c:pt>
                <c:pt idx="93">
                  <c:v>37.5</c:v>
                </c:pt>
                <c:pt idx="94">
                  <c:v>38</c:v>
                </c:pt>
                <c:pt idx="95">
                  <c:v>38.5</c:v>
                </c:pt>
                <c:pt idx="96">
                  <c:v>39</c:v>
                </c:pt>
                <c:pt idx="97">
                  <c:v>39.5</c:v>
                </c:pt>
                <c:pt idx="98">
                  <c:v>40</c:v>
                </c:pt>
                <c:pt idx="99">
                  <c:v>40.5</c:v>
                </c:pt>
                <c:pt idx="100">
                  <c:v>41</c:v>
                </c:pt>
                <c:pt idx="101">
                  <c:v>41.5</c:v>
                </c:pt>
                <c:pt idx="102">
                  <c:v>42</c:v>
                </c:pt>
                <c:pt idx="103">
                  <c:v>42.5</c:v>
                </c:pt>
                <c:pt idx="104">
                  <c:v>43</c:v>
                </c:pt>
                <c:pt idx="105">
                  <c:v>43.5</c:v>
                </c:pt>
                <c:pt idx="106">
                  <c:v>44</c:v>
                </c:pt>
                <c:pt idx="107">
                  <c:v>44.5</c:v>
                </c:pt>
                <c:pt idx="108">
                  <c:v>45</c:v>
                </c:pt>
                <c:pt idx="109">
                  <c:v>45.5</c:v>
                </c:pt>
                <c:pt idx="110">
                  <c:v>46</c:v>
                </c:pt>
                <c:pt idx="111">
                  <c:v>46.5</c:v>
                </c:pt>
                <c:pt idx="112">
                  <c:v>47</c:v>
                </c:pt>
                <c:pt idx="113">
                  <c:v>47.5</c:v>
                </c:pt>
                <c:pt idx="114">
                  <c:v>48</c:v>
                </c:pt>
                <c:pt idx="115">
                  <c:v>48.5</c:v>
                </c:pt>
                <c:pt idx="116">
                  <c:v>49</c:v>
                </c:pt>
                <c:pt idx="117">
                  <c:v>49.5</c:v>
                </c:pt>
                <c:pt idx="118">
                  <c:v>50</c:v>
                </c:pt>
              </c:numCache>
            </c:numRef>
          </c:xVal>
          <c:yVal>
            <c:numRef>
              <c:f>Chart!$B$8:$B$126</c:f>
              <c:numCache>
                <c:formatCode>General</c:formatCode>
                <c:ptCount val="119"/>
                <c:pt idx="0">
                  <c:v>2.89</c:v>
                </c:pt>
                <c:pt idx="1">
                  <c:v>3.8</c:v>
                </c:pt>
                <c:pt idx="2">
                  <c:v>4.33</c:v>
                </c:pt>
                <c:pt idx="3">
                  <c:v>4.7300000000000004</c:v>
                </c:pt>
                <c:pt idx="4">
                  <c:v>5.19</c:v>
                </c:pt>
                <c:pt idx="5">
                  <c:v>5.43</c:v>
                </c:pt>
                <c:pt idx="6">
                  <c:v>5.84</c:v>
                </c:pt>
                <c:pt idx="7">
                  <c:v>6.05</c:v>
                </c:pt>
                <c:pt idx="8">
                  <c:v>6.38</c:v>
                </c:pt>
                <c:pt idx="9">
                  <c:v>7.69</c:v>
                </c:pt>
                <c:pt idx="10">
                  <c:v>10.3</c:v>
                </c:pt>
                <c:pt idx="11">
                  <c:v>10.64</c:v>
                </c:pt>
                <c:pt idx="12">
                  <c:v>11.02</c:v>
                </c:pt>
                <c:pt idx="13">
                  <c:v>11.2</c:v>
                </c:pt>
                <c:pt idx="14">
                  <c:v>11.66</c:v>
                </c:pt>
                <c:pt idx="15">
                  <c:v>11.92</c:v>
                </c:pt>
                <c:pt idx="16">
                  <c:v>12.05</c:v>
                </c:pt>
                <c:pt idx="17">
                  <c:v>12.19</c:v>
                </c:pt>
              </c:numCache>
            </c:numRef>
          </c:yVal>
          <c:smooth val="0"/>
          <c:extLst>
            <c:ext xmlns:c16="http://schemas.microsoft.com/office/drawing/2014/chart" uri="{C3380CC4-5D6E-409C-BE32-E72D297353CC}">
              <c16:uniqueId val="{00000000-887B-467E-9E57-370F24B7B254}"/>
            </c:ext>
          </c:extLst>
        </c:ser>
        <c:ser>
          <c:idx val="1"/>
          <c:order val="1"/>
          <c:spPr>
            <a:ln w="12700">
              <a:solidFill>
                <a:srgbClr val="000000"/>
              </a:solidFill>
              <a:prstDash val="solid"/>
            </a:ln>
          </c:spPr>
          <c:marker>
            <c:symbol val="none"/>
          </c:marker>
          <c:xVal>
            <c:numRef>
              <c:f>Chart!$A$8:$A$126</c:f>
              <c:numCache>
                <c:formatCode>General</c:formatCode>
                <c:ptCount val="119"/>
                <c:pt idx="0">
                  <c:v>0</c:v>
                </c:pt>
                <c:pt idx="1">
                  <c:v>5</c:v>
                </c:pt>
                <c:pt idx="2">
                  <c:v>10</c:v>
                </c:pt>
                <c:pt idx="3">
                  <c:v>15</c:v>
                </c:pt>
                <c:pt idx="4">
                  <c:v>20</c:v>
                </c:pt>
                <c:pt idx="5">
                  <c:v>22</c:v>
                </c:pt>
                <c:pt idx="6">
                  <c:v>24</c:v>
                </c:pt>
                <c:pt idx="7">
                  <c:v>24.5</c:v>
                </c:pt>
                <c:pt idx="8">
                  <c:v>25</c:v>
                </c:pt>
                <c:pt idx="9">
                  <c:v>25.5</c:v>
                </c:pt>
                <c:pt idx="10">
                  <c:v>25.8</c:v>
                </c:pt>
                <c:pt idx="11">
                  <c:v>26</c:v>
                </c:pt>
                <c:pt idx="12">
                  <c:v>26.5</c:v>
                </c:pt>
                <c:pt idx="13">
                  <c:v>27</c:v>
                </c:pt>
                <c:pt idx="14">
                  <c:v>30</c:v>
                </c:pt>
                <c:pt idx="15">
                  <c:v>35</c:v>
                </c:pt>
                <c:pt idx="16">
                  <c:v>40</c:v>
                </c:pt>
                <c:pt idx="17">
                  <c:v>50</c:v>
                </c:pt>
                <c:pt idx="18">
                  <c:v>0</c:v>
                </c:pt>
                <c:pt idx="19">
                  <c:v>0.5</c:v>
                </c:pt>
                <c:pt idx="20">
                  <c:v>1</c:v>
                </c:pt>
                <c:pt idx="21">
                  <c:v>1.5</c:v>
                </c:pt>
                <c:pt idx="22">
                  <c:v>2</c:v>
                </c:pt>
                <c:pt idx="23">
                  <c:v>2.5</c:v>
                </c:pt>
                <c:pt idx="24">
                  <c:v>3</c:v>
                </c:pt>
                <c:pt idx="25">
                  <c:v>3.5</c:v>
                </c:pt>
                <c:pt idx="26">
                  <c:v>4</c:v>
                </c:pt>
                <c:pt idx="27">
                  <c:v>4.5</c:v>
                </c:pt>
                <c:pt idx="28">
                  <c:v>5</c:v>
                </c:pt>
                <c:pt idx="29">
                  <c:v>5.5</c:v>
                </c:pt>
                <c:pt idx="30">
                  <c:v>6</c:v>
                </c:pt>
                <c:pt idx="31">
                  <c:v>6.5</c:v>
                </c:pt>
                <c:pt idx="32">
                  <c:v>7</c:v>
                </c:pt>
                <c:pt idx="33">
                  <c:v>7.5</c:v>
                </c:pt>
                <c:pt idx="34">
                  <c:v>8</c:v>
                </c:pt>
                <c:pt idx="35">
                  <c:v>8.5</c:v>
                </c:pt>
                <c:pt idx="36">
                  <c:v>9</c:v>
                </c:pt>
                <c:pt idx="37">
                  <c:v>9.5</c:v>
                </c:pt>
                <c:pt idx="38">
                  <c:v>10</c:v>
                </c:pt>
                <c:pt idx="39">
                  <c:v>10.5</c:v>
                </c:pt>
                <c:pt idx="40">
                  <c:v>11</c:v>
                </c:pt>
                <c:pt idx="41">
                  <c:v>11.5</c:v>
                </c:pt>
                <c:pt idx="42">
                  <c:v>12</c:v>
                </c:pt>
                <c:pt idx="43">
                  <c:v>12.5</c:v>
                </c:pt>
                <c:pt idx="44">
                  <c:v>13</c:v>
                </c:pt>
                <c:pt idx="45">
                  <c:v>13.5</c:v>
                </c:pt>
                <c:pt idx="46">
                  <c:v>14</c:v>
                </c:pt>
                <c:pt idx="47">
                  <c:v>14.5</c:v>
                </c:pt>
                <c:pt idx="48">
                  <c:v>15</c:v>
                </c:pt>
                <c:pt idx="49">
                  <c:v>15.5</c:v>
                </c:pt>
                <c:pt idx="50">
                  <c:v>16</c:v>
                </c:pt>
                <c:pt idx="51">
                  <c:v>16.5</c:v>
                </c:pt>
                <c:pt idx="52">
                  <c:v>17</c:v>
                </c:pt>
                <c:pt idx="53">
                  <c:v>17.5</c:v>
                </c:pt>
                <c:pt idx="54">
                  <c:v>18</c:v>
                </c:pt>
                <c:pt idx="55">
                  <c:v>18.5</c:v>
                </c:pt>
                <c:pt idx="56">
                  <c:v>19</c:v>
                </c:pt>
                <c:pt idx="57">
                  <c:v>19.5</c:v>
                </c:pt>
                <c:pt idx="58">
                  <c:v>20</c:v>
                </c:pt>
                <c:pt idx="59">
                  <c:v>20.5</c:v>
                </c:pt>
                <c:pt idx="60">
                  <c:v>21</c:v>
                </c:pt>
                <c:pt idx="61">
                  <c:v>21.5</c:v>
                </c:pt>
                <c:pt idx="62">
                  <c:v>22</c:v>
                </c:pt>
                <c:pt idx="63">
                  <c:v>22.5</c:v>
                </c:pt>
                <c:pt idx="64">
                  <c:v>23</c:v>
                </c:pt>
                <c:pt idx="65">
                  <c:v>23.5</c:v>
                </c:pt>
                <c:pt idx="66">
                  <c:v>24</c:v>
                </c:pt>
                <c:pt idx="67">
                  <c:v>24.5</c:v>
                </c:pt>
                <c:pt idx="68">
                  <c:v>25</c:v>
                </c:pt>
                <c:pt idx="69">
                  <c:v>25.5</c:v>
                </c:pt>
                <c:pt idx="70">
                  <c:v>26</c:v>
                </c:pt>
                <c:pt idx="71">
                  <c:v>26.5</c:v>
                </c:pt>
                <c:pt idx="72">
                  <c:v>27</c:v>
                </c:pt>
                <c:pt idx="73">
                  <c:v>27.5</c:v>
                </c:pt>
                <c:pt idx="74">
                  <c:v>28</c:v>
                </c:pt>
                <c:pt idx="75">
                  <c:v>28.5</c:v>
                </c:pt>
                <c:pt idx="76">
                  <c:v>29</c:v>
                </c:pt>
                <c:pt idx="77">
                  <c:v>29.5</c:v>
                </c:pt>
                <c:pt idx="78">
                  <c:v>30</c:v>
                </c:pt>
                <c:pt idx="79">
                  <c:v>30.5</c:v>
                </c:pt>
                <c:pt idx="80">
                  <c:v>31</c:v>
                </c:pt>
                <c:pt idx="81">
                  <c:v>31.5</c:v>
                </c:pt>
                <c:pt idx="82">
                  <c:v>32</c:v>
                </c:pt>
                <c:pt idx="83">
                  <c:v>32.5</c:v>
                </c:pt>
                <c:pt idx="84">
                  <c:v>33</c:v>
                </c:pt>
                <c:pt idx="85">
                  <c:v>33.5</c:v>
                </c:pt>
                <c:pt idx="86">
                  <c:v>34</c:v>
                </c:pt>
                <c:pt idx="87">
                  <c:v>34.5</c:v>
                </c:pt>
                <c:pt idx="88">
                  <c:v>35</c:v>
                </c:pt>
                <c:pt idx="89">
                  <c:v>35.5</c:v>
                </c:pt>
                <c:pt idx="90">
                  <c:v>36</c:v>
                </c:pt>
                <c:pt idx="91">
                  <c:v>36.5</c:v>
                </c:pt>
                <c:pt idx="92">
                  <c:v>37</c:v>
                </c:pt>
                <c:pt idx="93">
                  <c:v>37.5</c:v>
                </c:pt>
                <c:pt idx="94">
                  <c:v>38</c:v>
                </c:pt>
                <c:pt idx="95">
                  <c:v>38.5</c:v>
                </c:pt>
                <c:pt idx="96">
                  <c:v>39</c:v>
                </c:pt>
                <c:pt idx="97">
                  <c:v>39.5</c:v>
                </c:pt>
                <c:pt idx="98">
                  <c:v>40</c:v>
                </c:pt>
                <c:pt idx="99">
                  <c:v>40.5</c:v>
                </c:pt>
                <c:pt idx="100">
                  <c:v>41</c:v>
                </c:pt>
                <c:pt idx="101">
                  <c:v>41.5</c:v>
                </c:pt>
                <c:pt idx="102">
                  <c:v>42</c:v>
                </c:pt>
                <c:pt idx="103">
                  <c:v>42.5</c:v>
                </c:pt>
                <c:pt idx="104">
                  <c:v>43</c:v>
                </c:pt>
                <c:pt idx="105">
                  <c:v>43.5</c:v>
                </c:pt>
                <c:pt idx="106">
                  <c:v>44</c:v>
                </c:pt>
                <c:pt idx="107">
                  <c:v>44.5</c:v>
                </c:pt>
                <c:pt idx="108">
                  <c:v>45</c:v>
                </c:pt>
                <c:pt idx="109">
                  <c:v>45.5</c:v>
                </c:pt>
                <c:pt idx="110">
                  <c:v>46</c:v>
                </c:pt>
                <c:pt idx="111">
                  <c:v>46.5</c:v>
                </c:pt>
                <c:pt idx="112">
                  <c:v>47</c:v>
                </c:pt>
                <c:pt idx="113">
                  <c:v>47.5</c:v>
                </c:pt>
                <c:pt idx="114">
                  <c:v>48</c:v>
                </c:pt>
                <c:pt idx="115">
                  <c:v>48.5</c:v>
                </c:pt>
                <c:pt idx="116">
                  <c:v>49</c:v>
                </c:pt>
                <c:pt idx="117">
                  <c:v>49.5</c:v>
                </c:pt>
                <c:pt idx="118">
                  <c:v>50</c:v>
                </c:pt>
              </c:numCache>
            </c:numRef>
          </c:xVal>
          <c:yVal>
            <c:numRef>
              <c:f>Chart!$C$8:$C$126</c:f>
              <c:numCache>
                <c:formatCode>General</c:formatCode>
                <c:ptCount val="119"/>
                <c:pt idx="18">
                  <c:v>2.8047377215104969</c:v>
                </c:pt>
                <c:pt idx="19">
                  <c:v>3.0720851861517127</c:v>
                </c:pt>
                <c:pt idx="20">
                  <c:v>3.2801294065664397</c:v>
                </c:pt>
                <c:pt idx="21">
                  <c:v>3.436197913184825</c:v>
                </c:pt>
                <c:pt idx="22">
                  <c:v>3.5585677670800266</c:v>
                </c:pt>
                <c:pt idx="23">
                  <c:v>3.6590120602503773</c:v>
                </c:pt>
                <c:pt idx="24">
                  <c:v>3.744452091645877</c:v>
                </c:pt>
                <c:pt idx="25">
                  <c:v>3.819118171305206</c:v>
                </c:pt>
                <c:pt idx="26">
                  <c:v>3.88573825520265</c:v>
                </c:pt>
                <c:pt idx="27">
                  <c:v>3.9461603842196515</c:v>
                </c:pt>
                <c:pt idx="28">
                  <c:v>4.0016905696227232</c:v>
                </c:pt>
                <c:pt idx="29">
                  <c:v>4.0532840373165122</c:v>
                </c:pt>
                <c:pt idx="30">
                  <c:v>4.1016616899349128</c:v>
                </c:pt>
                <c:pt idx="31">
                  <c:v>4.1473814247089793</c:v>
                </c:pt>
                <c:pt idx="32">
                  <c:v>4.1908850173563179</c:v>
                </c:pt>
                <c:pt idx="33">
                  <c:v>4.2325294924281991</c:v>
                </c:pt>
                <c:pt idx="34">
                  <c:v>4.272608798558605</c:v>
                </c:pt>
                <c:pt idx="35">
                  <c:v>4.3113691732634667</c:v>
                </c:pt>
                <c:pt idx="36">
                  <c:v>4.3490207713787568</c:v>
                </c:pt>
                <c:pt idx="37">
                  <c:v>4.385744762078355</c:v>
                </c:pt>
                <c:pt idx="38">
                  <c:v>4.4217010579183462</c:v>
                </c:pt>
                <c:pt idx="39">
                  <c:v>4.4570324460556119</c:v>
                </c:pt>
                <c:pt idx="40">
                  <c:v>4.4918686520667652</c:v>
                </c:pt>
                <c:pt idx="41">
                  <c:v>4.5263295184630854</c:v>
                </c:pt>
                <c:pt idx="42">
                  <c:v>4.5605276698944461</c:v>
                </c:pt>
                <c:pt idx="43">
                  <c:v>4.594570819705682</c:v>
                </c:pt>
                <c:pt idx="44">
                  <c:v>4.628563836239957</c:v>
                </c:pt>
                <c:pt idx="45">
                  <c:v>4.6626106609129963</c:v>
                </c:pt>
                <c:pt idx="46">
                  <c:v>4.6968170383628634</c:v>
                </c:pt>
                <c:pt idx="47">
                  <c:v>4.7312901781783108</c:v>
                </c:pt>
                <c:pt idx="48">
                  <c:v>4.7661435838408037</c:v>
                </c:pt>
                <c:pt idx="49">
                  <c:v>4.8014978979468559</c:v>
                </c:pt>
                <c:pt idx="50">
                  <c:v>4.8374839581377103</c:v>
                </c:pt>
                <c:pt idx="51">
                  <c:v>4.8742460710209503</c:v>
                </c:pt>
                <c:pt idx="52">
                  <c:v>4.9119460462901117</c:v>
                </c:pt>
                <c:pt idx="53">
                  <c:v>4.9507682864734583</c:v>
                </c:pt>
                <c:pt idx="54">
                  <c:v>4.9909268318937583</c:v>
                </c:pt>
                <c:pt idx="55">
                  <c:v>5.032673100203505</c:v>
                </c:pt>
                <c:pt idx="56">
                  <c:v>5.0763090501635864</c:v>
                </c:pt>
                <c:pt idx="57">
                  <c:v>5.122203159764692</c:v>
                </c:pt>
                <c:pt idx="58">
                  <c:v>5.1708143288006756</c:v>
                </c:pt>
                <c:pt idx="59">
                  <c:v>5.2227268511169909</c:v>
                </c:pt>
                <c:pt idx="60">
                  <c:v>5.278703610736831</c:v>
                </c:pt>
                <c:pt idx="61">
                  <c:v>5.3397716675796234</c:v>
                </c:pt>
                <c:pt idx="62">
                  <c:v>5.4073608801586177</c:v>
                </c:pt>
                <c:pt idx="63">
                  <c:v>5.4835557685250222</c:v>
                </c:pt>
                <c:pt idx="64">
                  <c:v>5.5715707596556996</c:v>
                </c:pt>
                <c:pt idx="65">
                  <c:v>5.6767606330029947</c:v>
                </c:pt>
                <c:pt idx="66">
                  <c:v>5.8090867352395126</c:v>
                </c:pt>
                <c:pt idx="67">
                  <c:v>5.9906493432865853</c:v>
                </c:pt>
                <c:pt idx="68">
                  <c:v>6.2901784542137094</c:v>
                </c:pt>
                <c:pt idx="69">
                  <c:v>7.6256541189576588</c:v>
                </c:pt>
                <c:pt idx="70">
                  <c:v>10.96959396345728</c:v>
                </c:pt>
                <c:pt idx="71">
                  <c:v>11.277424150293989</c:v>
                </c:pt>
                <c:pt idx="72">
                  <c:v>11.452938022036774</c:v>
                </c:pt>
                <c:pt idx="73">
                  <c:v>11.575519155902228</c:v>
                </c:pt>
                <c:pt idx="74">
                  <c:v>11.669388103816392</c:v>
                </c:pt>
                <c:pt idx="75">
                  <c:v>11.745206697098238</c:v>
                </c:pt>
                <c:pt idx="76">
                  <c:v>11.808624193501226</c:v>
                </c:pt>
                <c:pt idx="77">
                  <c:v>11.862995816832747</c:v>
                </c:pt>
                <c:pt idx="78">
                  <c:v>11.910479356286134</c:v>
                </c:pt>
                <c:pt idx="79">
                  <c:v>11.952544172757078</c:v>
                </c:pt>
                <c:pt idx="80">
                  <c:v>11.990236135076572</c:v>
                </c:pt>
                <c:pt idx="81">
                  <c:v>12.02432614414322</c:v>
                </c:pt>
                <c:pt idx="82">
                  <c:v>12.055398762346616</c:v>
                </c:pt>
                <c:pt idx="83">
                  <c:v>12.083907782788451</c:v>
                </c:pt>
                <c:pt idx="84">
                  <c:v>12.110212415730691</c:v>
                </c:pt>
                <c:pt idx="85">
                  <c:v>12.134602274936276</c:v>
                </c:pt>
                <c:pt idx="86">
                  <c:v>12.157313538747101</c:v>
                </c:pt>
                <c:pt idx="87">
                  <c:v>12.178541897212508</c:v>
                </c:pt>
                <c:pt idx="88">
                  <c:v>12.198451085503896</c:v>
                </c:pt>
                <c:pt idx="89">
                  <c:v>12.217179487215148</c:v>
                </c:pt>
                <c:pt idx="90">
                  <c:v>12.234845105076026</c:v>
                </c:pt>
                <c:pt idx="91">
                  <c:v>12.251549368165747</c:v>
                </c:pt>
                <c:pt idx="92">
                  <c:v>12.26738008946788</c:v>
                </c:pt>
                <c:pt idx="93">
                  <c:v>12.282413791962503</c:v>
                </c:pt>
                <c:pt idx="94">
                  <c:v>12.296717558507368</c:v>
                </c:pt>
                <c:pt idx="95">
                  <c:v>12.31035051791984</c:v>
                </c:pt>
                <c:pt idx="96">
                  <c:v>12.323365049869269</c:v>
                </c:pt>
                <c:pt idx="97">
                  <c:v>12.335807770097508</c:v>
                </c:pt>
                <c:pt idx="98">
                  <c:v>12.347720342334028</c:v>
                </c:pt>
                <c:pt idx="99">
                  <c:v>12.359140152241459</c:v>
                </c:pt>
                <c:pt idx="100">
                  <c:v>12.370100870597687</c:v>
                </c:pt>
                <c:pt idx="101">
                  <c:v>12.380632926860667</c:v>
                </c:pt>
                <c:pt idx="102">
                  <c:v>12.390763909697304</c:v>
                </c:pt>
                <c:pt idx="103">
                  <c:v>12.400518907585575</c:v>
                </c:pt>
                <c:pt idx="104">
                  <c:v>12.409920799933662</c:v>
                </c:pt>
                <c:pt idx="105">
                  <c:v>12.41899050709643</c:v>
                </c:pt>
                <c:pt idx="106">
                  <c:v>12.427747206059248</c:v>
                </c:pt>
                <c:pt idx="107">
                  <c:v>12.436208517293091</c:v>
                </c:pt>
                <c:pt idx="108">
                  <c:v>12.444390667282285</c:v>
                </c:pt>
                <c:pt idx="109">
                  <c:v>12.45230863042714</c:v>
                </c:pt>
                <c:pt idx="110">
                  <c:v>12.459976253382742</c:v>
                </c:pt>
                <c:pt idx="111">
                  <c:v>12.467406063976558</c:v>
                </c:pt>
                <c:pt idx="112">
                  <c:v>12.474610666753247</c:v>
                </c:pt>
                <c:pt idx="113">
                  <c:v>12.481600700629819</c:v>
                </c:pt>
                <c:pt idx="114">
                  <c:v>12.488386485439634</c:v>
                </c:pt>
                <c:pt idx="115">
                  <c:v>12.494977643364907</c:v>
                </c:pt>
                <c:pt idx="116">
                  <c:v>12.501383160488457</c:v>
                </c:pt>
                <c:pt idx="117">
                  <c:v>12.507611441455715</c:v>
                </c:pt>
                <c:pt idx="118">
                  <c:v>12.513670358241198</c:v>
                </c:pt>
              </c:numCache>
            </c:numRef>
          </c:yVal>
          <c:smooth val="0"/>
          <c:extLst>
            <c:ext xmlns:c16="http://schemas.microsoft.com/office/drawing/2014/chart" uri="{C3380CC4-5D6E-409C-BE32-E72D297353CC}">
              <c16:uniqueId val="{00000001-887B-467E-9E57-370F24B7B254}"/>
            </c:ext>
          </c:extLst>
        </c:ser>
        <c:dLbls>
          <c:showLegendKey val="0"/>
          <c:showVal val="0"/>
          <c:showCatName val="0"/>
          <c:showSerName val="0"/>
          <c:showPercent val="0"/>
          <c:showBubbleSize val="0"/>
        </c:dLbls>
        <c:axId val="695715919"/>
        <c:axId val="1"/>
      </c:scatterChart>
      <c:valAx>
        <c:axId val="695715919"/>
        <c:scaling>
          <c:orientation val="minMax"/>
        </c:scaling>
        <c:delete val="0"/>
        <c:axPos val="b"/>
        <c:title>
          <c:tx>
            <c:rich>
              <a:bodyPr/>
              <a:lstStyle/>
              <a:p>
                <a:pPr>
                  <a:defRPr sz="2000" b="1" i="0" u="none" strike="noStrike" baseline="0">
                    <a:solidFill>
                      <a:srgbClr val="000000"/>
                    </a:solidFill>
                    <a:latin typeface="Book Antiqua"/>
                    <a:ea typeface="Book Antiqua"/>
                    <a:cs typeface="Book Antiqua"/>
                  </a:defRPr>
                </a:pPr>
                <a:r>
                  <a:rPr lang="en-GB" sz="2000" b="1" i="0" u="none" strike="noStrike" baseline="0">
                    <a:solidFill>
                      <a:srgbClr val="000000"/>
                    </a:solidFill>
                    <a:latin typeface="Book Antiqua"/>
                  </a:rPr>
                  <a:t>V</a:t>
                </a:r>
                <a:r>
                  <a:rPr lang="en-GB" sz="2000" b="1" i="0" u="none" strike="noStrike" baseline="-25000">
                    <a:solidFill>
                      <a:srgbClr val="000000"/>
                    </a:solidFill>
                    <a:latin typeface="Book Antiqua"/>
                  </a:rPr>
                  <a:t>Base</a:t>
                </a:r>
                <a:r>
                  <a:rPr lang="en-GB" sz="2000" b="1" i="0" u="none" strike="noStrike" baseline="0">
                    <a:solidFill>
                      <a:srgbClr val="000000"/>
                    </a:solidFill>
                    <a:latin typeface="Book Antiqua"/>
                  </a:rPr>
                  <a:t> (mL)</a:t>
                </a:r>
              </a:p>
            </c:rich>
          </c:tx>
          <c:layout>
            <c:manualLayout>
              <c:xMode val="edge"/>
              <c:yMode val="edge"/>
              <c:x val="0.43130655693378622"/>
              <c:y val="0.84882555843262364"/>
            </c:manualLayout>
          </c:layout>
          <c:overlay val="0"/>
          <c:spPr>
            <a:noFill/>
            <a:ln w="25400">
              <a:noFill/>
            </a:ln>
          </c:spPr>
        </c:title>
        <c:numFmt formatCode="General" sourceLinked="1"/>
        <c:majorTickMark val="in"/>
        <c:minorTickMark val="none"/>
        <c:tickLblPos val="nextTo"/>
        <c:spPr>
          <a:ln w="38100">
            <a:solidFill>
              <a:srgbClr val="000000"/>
            </a:solidFill>
            <a:prstDash val="solid"/>
          </a:ln>
        </c:spPr>
        <c:txPr>
          <a:bodyPr rot="0" vert="horz"/>
          <a:lstStyle/>
          <a:p>
            <a:pPr>
              <a:defRPr sz="1600" b="1" i="0" u="none" strike="noStrike" baseline="0">
                <a:solidFill>
                  <a:srgbClr val="000000"/>
                </a:solidFill>
                <a:latin typeface="Book Antiqua"/>
                <a:ea typeface="Book Antiqua"/>
                <a:cs typeface="Book Antiqua"/>
              </a:defRPr>
            </a:pPr>
            <a:endParaRPr lang="en-US"/>
          </a:p>
        </c:txPr>
        <c:crossAx val="1"/>
        <c:crosses val="autoZero"/>
        <c:crossBetween val="midCat"/>
      </c:valAx>
      <c:valAx>
        <c:axId val="1"/>
        <c:scaling>
          <c:orientation val="minMax"/>
        </c:scaling>
        <c:delete val="0"/>
        <c:axPos val="l"/>
        <c:title>
          <c:tx>
            <c:rich>
              <a:bodyPr/>
              <a:lstStyle/>
              <a:p>
                <a:pPr>
                  <a:defRPr sz="2000" b="1" i="0" u="none" strike="noStrike" baseline="0">
                    <a:solidFill>
                      <a:srgbClr val="000000"/>
                    </a:solidFill>
                    <a:latin typeface="Book Antiqua"/>
                    <a:ea typeface="Book Antiqua"/>
                    <a:cs typeface="Book Antiqua"/>
                  </a:defRPr>
                </a:pPr>
                <a:r>
                  <a:rPr lang="en-GB"/>
                  <a:t>pH</a:t>
                </a:r>
              </a:p>
            </c:rich>
          </c:tx>
          <c:layout>
            <c:manualLayout>
              <c:xMode val="edge"/>
              <c:yMode val="edge"/>
              <c:x val="1.0884708061420473E-2"/>
              <c:y val="0.35224542404592679"/>
            </c:manualLayout>
          </c:layout>
          <c:overlay val="0"/>
          <c:spPr>
            <a:noFill/>
            <a:ln w="25400">
              <a:noFill/>
            </a:ln>
          </c:spPr>
        </c:title>
        <c:numFmt formatCode="General" sourceLinked="1"/>
        <c:majorTickMark val="in"/>
        <c:minorTickMark val="none"/>
        <c:tickLblPos val="nextTo"/>
        <c:spPr>
          <a:ln w="38100">
            <a:solidFill>
              <a:srgbClr val="000000"/>
            </a:solidFill>
            <a:prstDash val="solid"/>
          </a:ln>
        </c:spPr>
        <c:txPr>
          <a:bodyPr rot="0" vert="horz"/>
          <a:lstStyle/>
          <a:p>
            <a:pPr>
              <a:defRPr sz="1600" b="1" i="0" u="none" strike="noStrike" baseline="0">
                <a:solidFill>
                  <a:srgbClr val="000000"/>
                </a:solidFill>
                <a:latin typeface="Book Antiqua"/>
                <a:ea typeface="Book Antiqua"/>
                <a:cs typeface="Book Antiqua"/>
              </a:defRPr>
            </a:pPr>
            <a:endParaRPr lang="en-US"/>
          </a:p>
        </c:txPr>
        <c:crossAx val="695715919"/>
        <c:crosses val="autoZero"/>
        <c:crossBetween val="midCat"/>
      </c:valAx>
      <c:spPr>
        <a:solidFill>
          <a:srgbClr val="FFFFFF"/>
        </a:solidFill>
        <a:ln w="38100">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Book Antiqua"/>
          <a:ea typeface="Book Antiqua"/>
          <a:cs typeface="Book Antiqua"/>
        </a:defRPr>
      </a:pPr>
      <a:endParaRPr lang="en-US"/>
    </a:p>
  </c:txPr>
  <c:printSettings>
    <c:headerFooter alignWithMargins="0">
      <c:oddFooter>&amp;CFigure 4</c:oddFooter>
    </c:headerFooter>
    <c:pageMargins b="3.1496062992125986" l="0.98425196850393704" r="0.98425196850393704" t="3.1496062992125986" header="0.51181102362204722" footer="0.51181102362204722"/>
    <c:pageSetup paperSize="9" orientation="portrait" horizontalDpi="0" verticalDpi="0" copies="0"/>
  </c:printSettings>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266700</xdr:colOff>
      <xdr:row>0</xdr:row>
      <xdr:rowOff>107950</xdr:rowOff>
    </xdr:from>
    <xdr:to>
      <xdr:col>10</xdr:col>
      <xdr:colOff>120650</xdr:colOff>
      <xdr:row>15</xdr:row>
      <xdr:rowOff>82550</xdr:rowOff>
    </xdr:to>
    <xdr:sp macro="" textlink="">
      <xdr:nvSpPr>
        <xdr:cNvPr id="1025" name="Text 1">
          <a:extLst>
            <a:ext uri="{FF2B5EF4-FFF2-40B4-BE49-F238E27FC236}">
              <a16:creationId xmlns:a16="http://schemas.microsoft.com/office/drawing/2014/main" id="{9FB3D243-3D5C-4D9B-947F-739BD74B2EF9}"/>
            </a:ext>
          </a:extLst>
        </xdr:cNvPr>
        <xdr:cNvSpPr txBox="1">
          <a:spLocks noChangeArrowheads="1"/>
        </xdr:cNvSpPr>
      </xdr:nvSpPr>
      <xdr:spPr bwMode="auto">
        <a:xfrm>
          <a:off x="2959100" y="107950"/>
          <a:ext cx="3892550" cy="2933700"/>
        </a:xfrm>
        <a:prstGeom prst="rect">
          <a:avLst/>
        </a:prstGeom>
        <a:solidFill>
          <a:srgbClr xmlns:mc="http://schemas.openxmlformats.org/markup-compatibility/2006" xmlns:a14="http://schemas.microsoft.com/office/drawing/2010/main" val="FFFFC0" mc:Ignorable="a14" a14:legacySpreadsheetColorIndex="26"/>
        </a:solidFill>
        <a:ln w="24765" cap="flat">
          <a:solidFill>
            <a:srgbClr xmlns:mc="http://schemas.openxmlformats.org/markup-compatibility/2006" xmlns:a14="http://schemas.microsoft.com/office/drawing/2010/main" val="000000" mc:Ignorable="a14" a14:legacySpreadsheetColorIndex="8"/>
          </a:solidFill>
          <a:prstDash val="solid"/>
          <a:miter lim="800000"/>
          <a:headEnd/>
          <a:tailEnd/>
        </a:ln>
      </xdr:spPr>
      <xdr:txBody>
        <a:bodyPr vertOverflow="clip" wrap="square" lIns="36576" tIns="32004" rIns="0" bIns="0" anchor="t" upright="1"/>
        <a:lstStyle/>
        <a:p>
          <a:pPr algn="l" rtl="0">
            <a:defRPr sz="1000"/>
          </a:pPr>
          <a:r>
            <a:rPr lang="en-GB" sz="1000" b="0" i="0" u="none" strike="noStrike" baseline="0">
              <a:solidFill>
                <a:srgbClr val="000000"/>
              </a:solidFill>
              <a:latin typeface="Book Antiqua"/>
            </a:rPr>
            <a:t>On this sheet pH vs added volume of base titration data,  obtained for sodium hydroxide titrated against acetic acid, is contained in the range A8:B25. In the range C8:C25 simulated pH values are evaluated using the user defined function pH with arguments based  upon guess values for the acid concentration in cell B1 and pKa value in B3 as well as known values for the acid concentration (B2) and concentration of base (D1). The pH function definiton is contained in the sheet labelled 'Function definitons'. The initial gues value for the pH is 2 for each pH evalution. In the range D8:D25 the square of the deviation between the experimental pH value and simulated pH value are shown. The sum of the square deviations is evaluated in D3. Call up Solver from  the Tools menu. You will observe that Solver is instructed to minimze D3 by changing the values of cells B1 and B3. To fit the data to the model simply click on the button marked "Solve". After a few moments the best fit values will be returned in these cells. As Solver is operating look in the bottom left hand corner to see how the contents of D3 alter for each iteration.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698500</xdr:colOff>
      <xdr:row>3</xdr:row>
      <xdr:rowOff>190500</xdr:rowOff>
    </xdr:from>
    <xdr:to>
      <xdr:col>9</xdr:col>
      <xdr:colOff>590550</xdr:colOff>
      <xdr:row>22</xdr:row>
      <xdr:rowOff>146050</xdr:rowOff>
    </xdr:to>
    <xdr:graphicFrame macro="">
      <xdr:nvGraphicFramePr>
        <xdr:cNvPr id="2049" name="Chart 1">
          <a:extLst>
            <a:ext uri="{FF2B5EF4-FFF2-40B4-BE49-F238E27FC236}">
              <a16:creationId xmlns:a16="http://schemas.microsoft.com/office/drawing/2014/main" id="{EFB3E18D-062F-431D-B935-C67BD3FFC1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31750</xdr:colOff>
      <xdr:row>1</xdr:row>
      <xdr:rowOff>44450</xdr:rowOff>
    </xdr:from>
    <xdr:to>
      <xdr:col>8</xdr:col>
      <xdr:colOff>247650</xdr:colOff>
      <xdr:row>2</xdr:row>
      <xdr:rowOff>190500</xdr:rowOff>
    </xdr:to>
    <xdr:sp macro="" textlink="">
      <xdr:nvSpPr>
        <xdr:cNvPr id="2050" name="Text 2">
          <a:extLst>
            <a:ext uri="{FF2B5EF4-FFF2-40B4-BE49-F238E27FC236}">
              <a16:creationId xmlns:a16="http://schemas.microsoft.com/office/drawing/2014/main" id="{BD502990-68F0-40A1-B049-7236F73ABE34}"/>
            </a:ext>
          </a:extLst>
        </xdr:cNvPr>
        <xdr:cNvSpPr txBox="1">
          <a:spLocks noChangeArrowheads="1"/>
        </xdr:cNvSpPr>
      </xdr:nvSpPr>
      <xdr:spPr bwMode="auto">
        <a:xfrm>
          <a:off x="2114550" y="241300"/>
          <a:ext cx="3581400" cy="342900"/>
        </a:xfrm>
        <a:prstGeom prst="rect">
          <a:avLst/>
        </a:prstGeom>
        <a:solidFill>
          <a:srgbClr xmlns:mc="http://schemas.openxmlformats.org/markup-compatibility/2006" xmlns:a14="http://schemas.microsoft.com/office/drawing/2010/main" val="FFFFC0" mc:Ignorable="a14" a14:legacySpreadsheetColorIndex="26"/>
        </a:solidFill>
        <a:ln w="24765" cap="flat">
          <a:solidFill>
            <a:srgbClr xmlns:mc="http://schemas.openxmlformats.org/markup-compatibility/2006" xmlns:a14="http://schemas.microsoft.com/office/drawing/2010/main" val="000000" mc:Ignorable="a14" a14:legacySpreadsheetColorIndex="8"/>
          </a:solidFill>
          <a:prstDash val="solid"/>
          <a:miter lim="800000"/>
          <a:headEnd/>
          <a:tailEnd/>
        </a:ln>
      </xdr:spPr>
      <xdr:txBody>
        <a:bodyPr vertOverflow="clip" wrap="square" lIns="36576" tIns="32004" rIns="0" bIns="0" anchor="t" upright="1"/>
        <a:lstStyle/>
        <a:p>
          <a:pPr algn="l" rtl="0">
            <a:defRPr sz="1000"/>
          </a:pPr>
          <a:r>
            <a:rPr lang="en-GB" sz="1000" b="0" i="0" u="none" strike="noStrike" baseline="0">
              <a:solidFill>
                <a:srgbClr val="000000"/>
              </a:solidFill>
              <a:latin typeface="Book Antiqua"/>
            </a:rPr>
            <a:t>The data from the previous sheet is used to create this chart using the best fit parameters obtained using Solver.</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31750</xdr:colOff>
      <xdr:row>1</xdr:row>
      <xdr:rowOff>6350</xdr:rowOff>
    </xdr:from>
    <xdr:to>
      <xdr:col>6</xdr:col>
      <xdr:colOff>177800</xdr:colOff>
      <xdr:row>2</xdr:row>
      <xdr:rowOff>12700</xdr:rowOff>
    </xdr:to>
    <xdr:sp macro="" textlink="">
      <xdr:nvSpPr>
        <xdr:cNvPr id="3073" name="Text 1">
          <a:extLst>
            <a:ext uri="{FF2B5EF4-FFF2-40B4-BE49-F238E27FC236}">
              <a16:creationId xmlns:a16="http://schemas.microsoft.com/office/drawing/2014/main" id="{68A12CB2-1BF3-4C4F-BDE1-4C3582A3E0E8}"/>
            </a:ext>
          </a:extLst>
        </xdr:cNvPr>
        <xdr:cNvSpPr txBox="1">
          <a:spLocks noChangeArrowheads="1"/>
        </xdr:cNvSpPr>
      </xdr:nvSpPr>
      <xdr:spPr bwMode="auto">
        <a:xfrm>
          <a:off x="1447800" y="203200"/>
          <a:ext cx="2165350" cy="203200"/>
        </a:xfrm>
        <a:prstGeom prst="rect">
          <a:avLst/>
        </a:prstGeom>
        <a:solidFill>
          <a:srgbClr xmlns:mc="http://schemas.openxmlformats.org/markup-compatibility/2006" xmlns:a14="http://schemas.microsoft.com/office/drawing/2010/main" val="FFFFC0" mc:Ignorable="a14" a14:legacySpreadsheetColorIndex="26"/>
        </a:solidFill>
        <a:ln w="24765" cap="flat">
          <a:solidFill>
            <a:srgbClr xmlns:mc="http://schemas.openxmlformats.org/markup-compatibility/2006" xmlns:a14="http://schemas.microsoft.com/office/drawing/2010/main" val="000000" mc:Ignorable="a14" a14:legacySpreadsheetColorIndex="8"/>
          </a:solidFill>
          <a:prstDash val="solid"/>
          <a:miter lim="800000"/>
          <a:headEnd/>
          <a:tailEnd/>
        </a:ln>
      </xdr:spPr>
      <xdr:txBody>
        <a:bodyPr vertOverflow="clip" wrap="square" lIns="36576" tIns="32004" rIns="0" bIns="0" anchor="t" upright="1"/>
        <a:lstStyle/>
        <a:p>
          <a:pPr algn="l" rtl="0">
            <a:defRPr sz="1000"/>
          </a:pPr>
          <a:r>
            <a:rPr lang="en-GB" sz="1000" b="0" i="0" u="none" strike="noStrike" baseline="0">
              <a:solidFill>
                <a:srgbClr val="000000"/>
              </a:solidFill>
              <a:latin typeface="Book Antiqua"/>
            </a:rPr>
            <a:t>Calculation of goodness of fit statistics.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tabSelected="1" workbookViewId="0"/>
  </sheetViews>
  <sheetFormatPr defaultColWidth="8.83203125" defaultRowHeight="15.5" x14ac:dyDescent="0.35"/>
  <sheetData>
    <row r="1" spans="1:7" x14ac:dyDescent="0.35">
      <c r="A1" s="28" t="s">
        <v>0</v>
      </c>
      <c r="B1" s="27">
        <v>0.1</v>
      </c>
      <c r="C1" s="28" t="s">
        <v>1</v>
      </c>
      <c r="D1" s="27">
        <v>0.1</v>
      </c>
    </row>
    <row r="2" spans="1:7" x14ac:dyDescent="0.35">
      <c r="A2" s="28" t="s">
        <v>2</v>
      </c>
      <c r="B2" s="27">
        <v>25</v>
      </c>
      <c r="C2" s="28"/>
      <c r="D2" s="27"/>
    </row>
    <row r="3" spans="1:7" x14ac:dyDescent="0.35">
      <c r="A3" s="28" t="s">
        <v>3</v>
      </c>
      <c r="B3" s="27">
        <v>5</v>
      </c>
      <c r="C3" s="28" t="s">
        <v>4</v>
      </c>
      <c r="D3" s="27">
        <f>SUM(D8:D25)</f>
        <v>20.868073702570083</v>
      </c>
    </row>
    <row r="6" spans="1:7" x14ac:dyDescent="0.35">
      <c r="A6" s="18" t="s">
        <v>5</v>
      </c>
      <c r="B6" s="18"/>
      <c r="C6" s="22" t="s">
        <v>6</v>
      </c>
      <c r="D6" s="24" t="s">
        <v>7</v>
      </c>
      <c r="E6" s="19"/>
    </row>
    <row r="7" spans="1:7" ht="16" thickBot="1" x14ac:dyDescent="0.4">
      <c r="A7" s="20" t="s">
        <v>8</v>
      </c>
      <c r="B7" s="21" t="s">
        <v>9</v>
      </c>
      <c r="C7" s="23" t="s">
        <v>9</v>
      </c>
      <c r="D7" s="25" t="s">
        <v>10</v>
      </c>
      <c r="E7" s="19"/>
    </row>
    <row r="8" spans="1:7" x14ac:dyDescent="0.35">
      <c r="A8" s="15">
        <v>0</v>
      </c>
      <c r="B8" s="16">
        <v>2.89</v>
      </c>
      <c r="C8" s="17">
        <f t="shared" ref="C8:C9" si="0">pH($B$1,$B$2,$B$3,$D$1,A8,2)</f>
        <v>3.002171461142912</v>
      </c>
      <c r="D8" s="26">
        <f>(B8-C8)^2</f>
        <v>1.2582436694935788E-2</v>
      </c>
    </row>
    <row r="9" spans="1:7" x14ac:dyDescent="0.35">
      <c r="A9" s="15">
        <v>5</v>
      </c>
      <c r="B9" s="16">
        <v>3.8</v>
      </c>
      <c r="C9" s="17">
        <f t="shared" si="0"/>
        <v>4.3992378325051842</v>
      </c>
      <c r="D9" s="26">
        <f t="shared" ref="D9:D24" si="1">(B9-C9)^2</f>
        <v>0.35908597990551139</v>
      </c>
    </row>
    <row r="10" spans="1:7" x14ac:dyDescent="0.35">
      <c r="A10" s="15">
        <v>10</v>
      </c>
      <c r="B10" s="16">
        <v>4.33</v>
      </c>
      <c r="C10" s="17">
        <f t="shared" ref="C10:C24" si="2">pH($B$1,$B$2,$B$3,$D$1,A10,2)</f>
        <v>4.8242883629422488</v>
      </c>
      <c r="D10" s="26">
        <f t="shared" si="1"/>
        <v>0.24432098574012823</v>
      </c>
    </row>
    <row r="11" spans="1:7" x14ac:dyDescent="0.35">
      <c r="A11" s="15">
        <v>15</v>
      </c>
      <c r="B11" s="16">
        <v>4.7300000000000004</v>
      </c>
      <c r="C11" s="17">
        <f t="shared" si="2"/>
        <v>5.176284147301037</v>
      </c>
      <c r="D11" s="26">
        <f t="shared" si="1"/>
        <v>0.19916954013221333</v>
      </c>
    </row>
    <row r="12" spans="1:7" x14ac:dyDescent="0.35">
      <c r="A12" s="15">
        <v>20</v>
      </c>
      <c r="B12" s="16">
        <v>5.19</v>
      </c>
      <c r="C12" s="17">
        <f t="shared" si="2"/>
        <v>5.6021819171449394</v>
      </c>
      <c r="D12" s="26">
        <f t="shared" si="1"/>
        <v>0.16989393282127738</v>
      </c>
    </row>
    <row r="13" spans="1:7" x14ac:dyDescent="0.35">
      <c r="A13" s="15">
        <v>22</v>
      </c>
      <c r="B13" s="16">
        <v>5.43</v>
      </c>
      <c r="C13" s="17">
        <f t="shared" si="2"/>
        <v>5.8654061255628331</v>
      </c>
      <c r="D13" s="26">
        <f t="shared" si="1"/>
        <v>0.18957849417763786</v>
      </c>
    </row>
    <row r="14" spans="1:7" x14ac:dyDescent="0.35">
      <c r="A14" s="15">
        <v>24</v>
      </c>
      <c r="B14" s="16">
        <v>5.84</v>
      </c>
      <c r="C14" s="17">
        <f t="shared" si="2"/>
        <v>6.3802982681735871</v>
      </c>
      <c r="D14" s="26">
        <f t="shared" si="1"/>
        <v>0.29192221859137762</v>
      </c>
    </row>
    <row r="15" spans="1:7" x14ac:dyDescent="0.35">
      <c r="A15" s="15">
        <v>24.5</v>
      </c>
      <c r="B15" s="16">
        <v>6.05</v>
      </c>
      <c r="C15" s="17">
        <f t="shared" si="2"/>
        <v>6.6902640992590818</v>
      </c>
      <c r="D15" s="26">
        <f t="shared" si="1"/>
        <v>0.40993811680004361</v>
      </c>
    </row>
    <row r="16" spans="1:7" x14ac:dyDescent="0.35">
      <c r="A16" s="15">
        <v>25</v>
      </c>
      <c r="B16" s="16">
        <v>6.38</v>
      </c>
      <c r="C16" s="17">
        <f t="shared" si="2"/>
        <v>8.8494976254945232</v>
      </c>
      <c r="D16" s="26">
        <f t="shared" si="1"/>
        <v>6.0984185223230893</v>
      </c>
      <c r="F16" s="29"/>
      <c r="G16" s="29"/>
    </row>
    <row r="17" spans="1:7" x14ac:dyDescent="0.35">
      <c r="A17" s="15">
        <v>25.5</v>
      </c>
      <c r="B17" s="16">
        <v>7.69</v>
      </c>
      <c r="C17" s="17">
        <f t="shared" si="2"/>
        <v>10.99570056082724</v>
      </c>
      <c r="D17" s="26">
        <f t="shared" si="1"/>
        <v>10.927656197853526</v>
      </c>
      <c r="F17" s="29"/>
      <c r="G17" s="29"/>
    </row>
    <row r="18" spans="1:7" x14ac:dyDescent="0.35">
      <c r="A18" s="15">
        <v>25.8</v>
      </c>
      <c r="B18" s="16">
        <v>10.3</v>
      </c>
      <c r="C18" s="17">
        <f t="shared" si="2"/>
        <v>11.197234867545161</v>
      </c>
      <c r="D18" s="26">
        <f t="shared" si="1"/>
        <v>0.80503040753878119</v>
      </c>
      <c r="F18" s="29"/>
      <c r="G18" s="29"/>
    </row>
    <row r="19" spans="1:7" x14ac:dyDescent="0.35">
      <c r="A19" s="15">
        <v>26</v>
      </c>
      <c r="B19" s="16">
        <v>10.64</v>
      </c>
      <c r="C19" s="17">
        <f t="shared" si="2"/>
        <v>11.292435362121793</v>
      </c>
      <c r="D19" s="26">
        <f t="shared" si="1"/>
        <v>0.42567190174699471</v>
      </c>
    </row>
    <row r="20" spans="1:7" x14ac:dyDescent="0.35">
      <c r="A20" s="15">
        <v>26.5</v>
      </c>
      <c r="B20" s="16">
        <v>11.02</v>
      </c>
      <c r="C20" s="17">
        <f t="shared" si="2"/>
        <v>11.46428651563377</v>
      </c>
      <c r="D20" s="26">
        <f t="shared" si="1"/>
        <v>0.19739050797399643</v>
      </c>
    </row>
    <row r="21" spans="1:7" x14ac:dyDescent="0.35">
      <c r="A21" s="15">
        <v>27</v>
      </c>
      <c r="B21" s="16">
        <v>11.2</v>
      </c>
      <c r="C21" s="17">
        <f t="shared" si="2"/>
        <v>11.58502806309307</v>
      </c>
      <c r="D21" s="26">
        <f t="shared" si="1"/>
        <v>0.14824660936920145</v>
      </c>
    </row>
    <row r="22" spans="1:7" x14ac:dyDescent="0.35">
      <c r="A22" s="15">
        <v>30</v>
      </c>
      <c r="B22" s="16">
        <v>11.66</v>
      </c>
      <c r="C22" s="17">
        <f t="shared" si="2"/>
        <v>11.958607553710209</v>
      </c>
      <c r="D22" s="26">
        <f t="shared" si="1"/>
        <v>8.9166471132795272E-2</v>
      </c>
    </row>
    <row r="23" spans="1:7" x14ac:dyDescent="0.35">
      <c r="A23" s="15">
        <v>35</v>
      </c>
      <c r="B23" s="16">
        <v>11.92</v>
      </c>
      <c r="C23" s="17">
        <f t="shared" si="2"/>
        <v>12.221848792978214</v>
      </c>
      <c r="D23" s="26">
        <f t="shared" si="1"/>
        <v>9.1112693822404889E-2</v>
      </c>
    </row>
    <row r="24" spans="1:7" x14ac:dyDescent="0.35">
      <c r="A24" s="15">
        <v>40</v>
      </c>
      <c r="B24" s="16">
        <v>12.05</v>
      </c>
      <c r="C24" s="17">
        <f t="shared" si="2"/>
        <v>12.363177933785426</v>
      </c>
      <c r="D24" s="26">
        <f t="shared" si="1"/>
        <v>9.8080418210108336E-2</v>
      </c>
    </row>
    <row r="25" spans="1:7" x14ac:dyDescent="0.35">
      <c r="A25" s="15">
        <v>50</v>
      </c>
      <c r="B25" s="16">
        <v>12.19</v>
      </c>
      <c r="C25" s="17">
        <f>pH($B$1,$B$2,$B$3,$D$1,A25,2)</f>
        <v>12.522878758313079</v>
      </c>
      <c r="D25" s="26">
        <f>(B25-C25)^2</f>
        <v>0.11080826773605726</v>
      </c>
    </row>
  </sheetData>
  <printOptions gridLines="1" gridLinesSet="0"/>
  <pageMargins left="0.75" right="0.75" top="1" bottom="1" header="0.5" footer="0.5"/>
  <pageSetup paperSize="9" orientation="portrait" horizontalDpi="0" verticalDpi="0" copies="0" r:id="rId1"/>
  <headerFooter alignWithMargins="0">
    <oddHeader>&amp;A</oddHeader>
    <oddFooter>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6"/>
  <sheetViews>
    <sheetView workbookViewId="0"/>
  </sheetViews>
  <sheetFormatPr defaultColWidth="8.83203125" defaultRowHeight="15.5" x14ac:dyDescent="0.35"/>
  <cols>
    <col min="3" max="3" width="9.6640625" customWidth="1"/>
  </cols>
  <sheetData>
    <row r="1" spans="1:4" x14ac:dyDescent="0.35">
      <c r="A1" t="s">
        <v>0</v>
      </c>
      <c r="B1">
        <v>0.10209798517092671</v>
      </c>
      <c r="C1" t="s">
        <v>1</v>
      </c>
      <c r="D1">
        <v>0.1</v>
      </c>
    </row>
    <row r="2" spans="1:4" x14ac:dyDescent="0.35">
      <c r="A2" t="s">
        <v>2</v>
      </c>
      <c r="B2">
        <v>25</v>
      </c>
    </row>
    <row r="3" spans="1:4" x14ac:dyDescent="0.35">
      <c r="A3" t="s">
        <v>3</v>
      </c>
      <c r="B3">
        <v>4.6117723699258866</v>
      </c>
    </row>
    <row r="7" spans="1:4" x14ac:dyDescent="0.35">
      <c r="A7" t="s">
        <v>11</v>
      </c>
      <c r="B7" t="s">
        <v>9</v>
      </c>
      <c r="C7" t="s">
        <v>6</v>
      </c>
    </row>
    <row r="8" spans="1:4" x14ac:dyDescent="0.35">
      <c r="A8">
        <v>0</v>
      </c>
      <c r="B8">
        <v>2.89</v>
      </c>
    </row>
    <row r="9" spans="1:4" x14ac:dyDescent="0.35">
      <c r="A9">
        <v>5</v>
      </c>
      <c r="B9">
        <v>3.8</v>
      </c>
    </row>
    <row r="10" spans="1:4" x14ac:dyDescent="0.35">
      <c r="A10">
        <v>10</v>
      </c>
      <c r="B10">
        <v>4.33</v>
      </c>
    </row>
    <row r="11" spans="1:4" x14ac:dyDescent="0.35">
      <c r="A11">
        <v>15</v>
      </c>
      <c r="B11">
        <v>4.7300000000000004</v>
      </c>
    </row>
    <row r="12" spans="1:4" x14ac:dyDescent="0.35">
      <c r="A12">
        <v>20</v>
      </c>
      <c r="B12">
        <v>5.19</v>
      </c>
    </row>
    <row r="13" spans="1:4" x14ac:dyDescent="0.35">
      <c r="A13">
        <v>22</v>
      </c>
      <c r="B13">
        <v>5.43</v>
      </c>
    </row>
    <row r="14" spans="1:4" x14ac:dyDescent="0.35">
      <c r="A14">
        <v>24</v>
      </c>
      <c r="B14">
        <v>5.84</v>
      </c>
    </row>
    <row r="15" spans="1:4" x14ac:dyDescent="0.35">
      <c r="A15">
        <v>24.5</v>
      </c>
      <c r="B15">
        <v>6.05</v>
      </c>
    </row>
    <row r="16" spans="1:4" x14ac:dyDescent="0.35">
      <c r="A16">
        <v>25</v>
      </c>
      <c r="B16">
        <v>6.38</v>
      </c>
    </row>
    <row r="17" spans="1:3" x14ac:dyDescent="0.35">
      <c r="A17">
        <v>25.5</v>
      </c>
      <c r="B17">
        <v>7.69</v>
      </c>
    </row>
    <row r="18" spans="1:3" x14ac:dyDescent="0.35">
      <c r="A18">
        <v>25.8</v>
      </c>
      <c r="B18">
        <v>10.3</v>
      </c>
    </row>
    <row r="19" spans="1:3" x14ac:dyDescent="0.35">
      <c r="A19">
        <v>26</v>
      </c>
      <c r="B19">
        <v>10.64</v>
      </c>
    </row>
    <row r="20" spans="1:3" x14ac:dyDescent="0.35">
      <c r="A20">
        <v>26.5</v>
      </c>
      <c r="B20">
        <v>11.02</v>
      </c>
    </row>
    <row r="21" spans="1:3" x14ac:dyDescent="0.35">
      <c r="A21">
        <v>27</v>
      </c>
      <c r="B21">
        <v>11.2</v>
      </c>
    </row>
    <row r="22" spans="1:3" x14ac:dyDescent="0.35">
      <c r="A22">
        <v>30</v>
      </c>
      <c r="B22">
        <v>11.66</v>
      </c>
    </row>
    <row r="23" spans="1:3" x14ac:dyDescent="0.35">
      <c r="A23">
        <v>35</v>
      </c>
      <c r="B23">
        <v>11.92</v>
      </c>
    </row>
    <row r="24" spans="1:3" x14ac:dyDescent="0.35">
      <c r="A24">
        <v>40</v>
      </c>
      <c r="B24">
        <v>12.05</v>
      </c>
    </row>
    <row r="25" spans="1:3" x14ac:dyDescent="0.35">
      <c r="A25">
        <v>50</v>
      </c>
      <c r="B25">
        <v>12.19</v>
      </c>
    </row>
    <row r="26" spans="1:3" x14ac:dyDescent="0.35">
      <c r="A26">
        <v>0</v>
      </c>
      <c r="C26">
        <f t="shared" ref="C26:C41" si="0">pH($B$1,$B$2,$B$3,$D$1,A26,2)</f>
        <v>2.8047377215104969</v>
      </c>
    </row>
    <row r="27" spans="1:3" x14ac:dyDescent="0.35">
      <c r="A27">
        <v>0.5</v>
      </c>
      <c r="C27">
        <f t="shared" si="0"/>
        <v>3.0720851861517127</v>
      </c>
    </row>
    <row r="28" spans="1:3" x14ac:dyDescent="0.35">
      <c r="A28">
        <v>1</v>
      </c>
      <c r="C28">
        <f t="shared" si="0"/>
        <v>3.2801294065664397</v>
      </c>
    </row>
    <row r="29" spans="1:3" x14ac:dyDescent="0.35">
      <c r="A29">
        <v>1.5</v>
      </c>
      <c r="C29">
        <f t="shared" si="0"/>
        <v>3.436197913184825</v>
      </c>
    </row>
    <row r="30" spans="1:3" x14ac:dyDescent="0.35">
      <c r="A30">
        <v>2</v>
      </c>
      <c r="C30">
        <f t="shared" si="0"/>
        <v>3.5585677670800266</v>
      </c>
    </row>
    <row r="31" spans="1:3" x14ac:dyDescent="0.35">
      <c r="A31">
        <v>2.5</v>
      </c>
      <c r="C31">
        <f t="shared" si="0"/>
        <v>3.6590120602503773</v>
      </c>
    </row>
    <row r="32" spans="1:3" x14ac:dyDescent="0.35">
      <c r="A32">
        <v>3</v>
      </c>
      <c r="C32">
        <f t="shared" si="0"/>
        <v>3.744452091645877</v>
      </c>
    </row>
    <row r="33" spans="1:3" x14ac:dyDescent="0.35">
      <c r="A33">
        <v>3.5</v>
      </c>
      <c r="C33">
        <f t="shared" si="0"/>
        <v>3.819118171305206</v>
      </c>
    </row>
    <row r="34" spans="1:3" x14ac:dyDescent="0.35">
      <c r="A34">
        <v>4</v>
      </c>
      <c r="C34">
        <f t="shared" si="0"/>
        <v>3.88573825520265</v>
      </c>
    </row>
    <row r="35" spans="1:3" x14ac:dyDescent="0.35">
      <c r="A35">
        <v>4.5</v>
      </c>
      <c r="C35">
        <f t="shared" si="0"/>
        <v>3.9461603842196515</v>
      </c>
    </row>
    <row r="36" spans="1:3" x14ac:dyDescent="0.35">
      <c r="A36">
        <v>5</v>
      </c>
      <c r="C36">
        <f t="shared" si="0"/>
        <v>4.0016905696227232</v>
      </c>
    </row>
    <row r="37" spans="1:3" x14ac:dyDescent="0.35">
      <c r="A37">
        <v>5.5</v>
      </c>
      <c r="C37">
        <f t="shared" si="0"/>
        <v>4.0532840373165122</v>
      </c>
    </row>
    <row r="38" spans="1:3" x14ac:dyDescent="0.35">
      <c r="A38">
        <v>6</v>
      </c>
      <c r="C38">
        <f t="shared" si="0"/>
        <v>4.1016616899349128</v>
      </c>
    </row>
    <row r="39" spans="1:3" x14ac:dyDescent="0.35">
      <c r="A39">
        <v>6.5</v>
      </c>
      <c r="C39">
        <f t="shared" si="0"/>
        <v>4.1473814247089793</v>
      </c>
    </row>
    <row r="40" spans="1:3" x14ac:dyDescent="0.35">
      <c r="A40">
        <v>7</v>
      </c>
      <c r="C40">
        <f t="shared" si="0"/>
        <v>4.1908850173563179</v>
      </c>
    </row>
    <row r="41" spans="1:3" x14ac:dyDescent="0.35">
      <c r="A41">
        <v>7.5</v>
      </c>
      <c r="C41">
        <f t="shared" si="0"/>
        <v>4.2325294924281991</v>
      </c>
    </row>
    <row r="42" spans="1:3" x14ac:dyDescent="0.35">
      <c r="A42">
        <v>8</v>
      </c>
      <c r="C42">
        <f t="shared" ref="C42:C57" si="1">pH($B$1,$B$2,$B$3,$D$1,A42,2)</f>
        <v>4.272608798558605</v>
      </c>
    </row>
    <row r="43" spans="1:3" x14ac:dyDescent="0.35">
      <c r="A43">
        <v>8.5</v>
      </c>
      <c r="C43">
        <f t="shared" si="1"/>
        <v>4.3113691732634667</v>
      </c>
    </row>
    <row r="44" spans="1:3" x14ac:dyDescent="0.35">
      <c r="A44">
        <v>9</v>
      </c>
      <c r="C44">
        <f t="shared" si="1"/>
        <v>4.3490207713787568</v>
      </c>
    </row>
    <row r="45" spans="1:3" x14ac:dyDescent="0.35">
      <c r="A45">
        <v>9.5</v>
      </c>
      <c r="C45">
        <f t="shared" si="1"/>
        <v>4.385744762078355</v>
      </c>
    </row>
    <row r="46" spans="1:3" x14ac:dyDescent="0.35">
      <c r="A46">
        <v>10</v>
      </c>
      <c r="C46">
        <f t="shared" si="1"/>
        <v>4.4217010579183462</v>
      </c>
    </row>
    <row r="47" spans="1:3" x14ac:dyDescent="0.35">
      <c r="A47">
        <v>10.5</v>
      </c>
      <c r="C47">
        <f t="shared" si="1"/>
        <v>4.4570324460556119</v>
      </c>
    </row>
    <row r="48" spans="1:3" x14ac:dyDescent="0.35">
      <c r="A48">
        <v>11</v>
      </c>
      <c r="C48">
        <f t="shared" si="1"/>
        <v>4.4918686520667652</v>
      </c>
    </row>
    <row r="49" spans="1:3" x14ac:dyDescent="0.35">
      <c r="A49">
        <v>11.5</v>
      </c>
      <c r="C49">
        <f t="shared" si="1"/>
        <v>4.5263295184630854</v>
      </c>
    </row>
    <row r="50" spans="1:3" x14ac:dyDescent="0.35">
      <c r="A50">
        <v>12</v>
      </c>
      <c r="C50">
        <f t="shared" si="1"/>
        <v>4.5605276698944461</v>
      </c>
    </row>
    <row r="51" spans="1:3" x14ac:dyDescent="0.35">
      <c r="A51">
        <v>12.5</v>
      </c>
      <c r="C51">
        <f t="shared" si="1"/>
        <v>4.594570819705682</v>
      </c>
    </row>
    <row r="52" spans="1:3" x14ac:dyDescent="0.35">
      <c r="A52">
        <v>13</v>
      </c>
      <c r="C52">
        <f t="shared" si="1"/>
        <v>4.628563836239957</v>
      </c>
    </row>
    <row r="53" spans="1:3" x14ac:dyDescent="0.35">
      <c r="A53">
        <v>13.5</v>
      </c>
      <c r="C53">
        <f t="shared" si="1"/>
        <v>4.6626106609129963</v>
      </c>
    </row>
    <row r="54" spans="1:3" x14ac:dyDescent="0.35">
      <c r="A54">
        <v>14</v>
      </c>
      <c r="C54">
        <f t="shared" si="1"/>
        <v>4.6968170383628634</v>
      </c>
    </row>
    <row r="55" spans="1:3" x14ac:dyDescent="0.35">
      <c r="A55">
        <v>14.5</v>
      </c>
      <c r="C55">
        <f t="shared" si="1"/>
        <v>4.7312901781783108</v>
      </c>
    </row>
    <row r="56" spans="1:3" x14ac:dyDescent="0.35">
      <c r="A56">
        <v>15</v>
      </c>
      <c r="C56">
        <f t="shared" si="1"/>
        <v>4.7661435838408037</v>
      </c>
    </row>
    <row r="57" spans="1:3" x14ac:dyDescent="0.35">
      <c r="A57">
        <v>15.5</v>
      </c>
      <c r="C57">
        <f t="shared" si="1"/>
        <v>4.8014978979468559</v>
      </c>
    </row>
    <row r="58" spans="1:3" x14ac:dyDescent="0.35">
      <c r="A58">
        <v>16</v>
      </c>
      <c r="C58">
        <f t="shared" ref="C58:C73" si="2">pH($B$1,$B$2,$B$3,$D$1,A58,2)</f>
        <v>4.8374839581377103</v>
      </c>
    </row>
    <row r="59" spans="1:3" x14ac:dyDescent="0.35">
      <c r="A59">
        <v>16.5</v>
      </c>
      <c r="C59">
        <f t="shared" si="2"/>
        <v>4.8742460710209503</v>
      </c>
    </row>
    <row r="60" spans="1:3" x14ac:dyDescent="0.35">
      <c r="A60">
        <v>17</v>
      </c>
      <c r="C60">
        <f t="shared" si="2"/>
        <v>4.9119460462901117</v>
      </c>
    </row>
    <row r="61" spans="1:3" x14ac:dyDescent="0.35">
      <c r="A61">
        <v>17.5</v>
      </c>
      <c r="C61">
        <f t="shared" si="2"/>
        <v>4.9507682864734583</v>
      </c>
    </row>
    <row r="62" spans="1:3" x14ac:dyDescent="0.35">
      <c r="A62">
        <v>18</v>
      </c>
      <c r="C62">
        <f t="shared" si="2"/>
        <v>4.9909268318937583</v>
      </c>
    </row>
    <row r="63" spans="1:3" x14ac:dyDescent="0.35">
      <c r="A63">
        <v>18.5</v>
      </c>
      <c r="C63">
        <f t="shared" si="2"/>
        <v>5.032673100203505</v>
      </c>
    </row>
    <row r="64" spans="1:3" x14ac:dyDescent="0.35">
      <c r="A64">
        <v>19</v>
      </c>
      <c r="C64">
        <f t="shared" si="2"/>
        <v>5.0763090501635864</v>
      </c>
    </row>
    <row r="65" spans="1:3" x14ac:dyDescent="0.35">
      <c r="A65">
        <v>19.5</v>
      </c>
      <c r="C65">
        <f t="shared" si="2"/>
        <v>5.122203159764692</v>
      </c>
    </row>
    <row r="66" spans="1:3" x14ac:dyDescent="0.35">
      <c r="A66">
        <v>20</v>
      </c>
      <c r="C66">
        <f t="shared" si="2"/>
        <v>5.1708143288006756</v>
      </c>
    </row>
    <row r="67" spans="1:3" x14ac:dyDescent="0.35">
      <c r="A67">
        <v>20.5</v>
      </c>
      <c r="C67">
        <f t="shared" si="2"/>
        <v>5.2227268511169909</v>
      </c>
    </row>
    <row r="68" spans="1:3" x14ac:dyDescent="0.35">
      <c r="A68">
        <v>21</v>
      </c>
      <c r="C68">
        <f t="shared" si="2"/>
        <v>5.278703610736831</v>
      </c>
    </row>
    <row r="69" spans="1:3" x14ac:dyDescent="0.35">
      <c r="A69">
        <v>21.5</v>
      </c>
      <c r="C69">
        <f t="shared" si="2"/>
        <v>5.3397716675796234</v>
      </c>
    </row>
    <row r="70" spans="1:3" x14ac:dyDescent="0.35">
      <c r="A70">
        <v>22</v>
      </c>
      <c r="C70">
        <f t="shared" si="2"/>
        <v>5.4073608801586177</v>
      </c>
    </row>
    <row r="71" spans="1:3" x14ac:dyDescent="0.35">
      <c r="A71">
        <v>22.5</v>
      </c>
      <c r="C71">
        <f t="shared" si="2"/>
        <v>5.4835557685250222</v>
      </c>
    </row>
    <row r="72" spans="1:3" x14ac:dyDescent="0.35">
      <c r="A72">
        <v>23</v>
      </c>
      <c r="C72">
        <f t="shared" si="2"/>
        <v>5.5715707596556996</v>
      </c>
    </row>
    <row r="73" spans="1:3" x14ac:dyDescent="0.35">
      <c r="A73">
        <v>23.5</v>
      </c>
      <c r="C73">
        <f t="shared" si="2"/>
        <v>5.6767606330029947</v>
      </c>
    </row>
    <row r="74" spans="1:3" x14ac:dyDescent="0.35">
      <c r="A74">
        <v>24</v>
      </c>
      <c r="C74">
        <f t="shared" ref="C74:C91" si="3">pH($B$1,$B$2,$B$3,$D$1,A74,2)</f>
        <v>5.8090867352395126</v>
      </c>
    </row>
    <row r="75" spans="1:3" x14ac:dyDescent="0.35">
      <c r="A75">
        <v>24.5</v>
      </c>
      <c r="C75">
        <f t="shared" si="3"/>
        <v>5.9906493432865853</v>
      </c>
    </row>
    <row r="76" spans="1:3" x14ac:dyDescent="0.35">
      <c r="A76">
        <v>25</v>
      </c>
      <c r="C76">
        <f t="shared" si="3"/>
        <v>6.2901784542137094</v>
      </c>
    </row>
    <row r="77" spans="1:3" x14ac:dyDescent="0.35">
      <c r="A77">
        <v>25.5</v>
      </c>
      <c r="C77">
        <f t="shared" si="3"/>
        <v>7.6256541189576588</v>
      </c>
    </row>
    <row r="78" spans="1:3" x14ac:dyDescent="0.35">
      <c r="A78">
        <v>26</v>
      </c>
      <c r="C78">
        <f t="shared" si="3"/>
        <v>10.96959396345728</v>
      </c>
    </row>
    <row r="79" spans="1:3" x14ac:dyDescent="0.35">
      <c r="A79">
        <v>26.5</v>
      </c>
      <c r="C79">
        <f t="shared" si="3"/>
        <v>11.277424150293989</v>
      </c>
    </row>
    <row r="80" spans="1:3" x14ac:dyDescent="0.35">
      <c r="A80">
        <v>27</v>
      </c>
      <c r="C80">
        <f t="shared" si="3"/>
        <v>11.452938022036774</v>
      </c>
    </row>
    <row r="81" spans="1:3" x14ac:dyDescent="0.35">
      <c r="A81">
        <v>27.5</v>
      </c>
      <c r="C81">
        <f t="shared" si="3"/>
        <v>11.575519155902228</v>
      </c>
    </row>
    <row r="82" spans="1:3" x14ac:dyDescent="0.35">
      <c r="A82">
        <v>28</v>
      </c>
      <c r="C82">
        <f t="shared" si="3"/>
        <v>11.669388103816392</v>
      </c>
    </row>
    <row r="83" spans="1:3" x14ac:dyDescent="0.35">
      <c r="A83">
        <v>28.5</v>
      </c>
      <c r="C83">
        <f t="shared" si="3"/>
        <v>11.745206697098238</v>
      </c>
    </row>
    <row r="84" spans="1:3" x14ac:dyDescent="0.35">
      <c r="A84">
        <v>29</v>
      </c>
      <c r="C84">
        <f t="shared" si="3"/>
        <v>11.808624193501226</v>
      </c>
    </row>
    <row r="85" spans="1:3" x14ac:dyDescent="0.35">
      <c r="A85">
        <v>29.5</v>
      </c>
      <c r="C85">
        <f t="shared" si="3"/>
        <v>11.862995816832747</v>
      </c>
    </row>
    <row r="86" spans="1:3" x14ac:dyDescent="0.35">
      <c r="A86">
        <v>30</v>
      </c>
      <c r="C86">
        <f t="shared" si="3"/>
        <v>11.910479356286134</v>
      </c>
    </row>
    <row r="87" spans="1:3" x14ac:dyDescent="0.35">
      <c r="A87">
        <v>30.5</v>
      </c>
      <c r="C87">
        <f t="shared" si="3"/>
        <v>11.952544172757078</v>
      </c>
    </row>
    <row r="88" spans="1:3" x14ac:dyDescent="0.35">
      <c r="A88">
        <v>31</v>
      </c>
      <c r="C88">
        <f t="shared" si="3"/>
        <v>11.990236135076572</v>
      </c>
    </row>
    <row r="89" spans="1:3" x14ac:dyDescent="0.35">
      <c r="A89">
        <v>31.5</v>
      </c>
      <c r="C89">
        <f t="shared" si="3"/>
        <v>12.02432614414322</v>
      </c>
    </row>
    <row r="90" spans="1:3" x14ac:dyDescent="0.35">
      <c r="A90">
        <v>32</v>
      </c>
      <c r="C90">
        <f>pH($B$1,$B$2,$B$3,$D$1,A90,2)</f>
        <v>12.055398762346616</v>
      </c>
    </row>
    <row r="91" spans="1:3" x14ac:dyDescent="0.35">
      <c r="A91">
        <v>32.5</v>
      </c>
      <c r="C91">
        <f t="shared" si="3"/>
        <v>12.083907782788451</v>
      </c>
    </row>
    <row r="92" spans="1:3" x14ac:dyDescent="0.35">
      <c r="A92">
        <v>33</v>
      </c>
      <c r="C92">
        <f t="shared" ref="C92:C107" si="4">pH($B$1,$B$2,$B$3,$D$1,A92,2)</f>
        <v>12.110212415730691</v>
      </c>
    </row>
    <row r="93" spans="1:3" x14ac:dyDescent="0.35">
      <c r="A93">
        <v>33.5</v>
      </c>
      <c r="C93">
        <f t="shared" si="4"/>
        <v>12.134602274936276</v>
      </c>
    </row>
    <row r="94" spans="1:3" x14ac:dyDescent="0.35">
      <c r="A94">
        <v>34</v>
      </c>
      <c r="C94">
        <f t="shared" si="4"/>
        <v>12.157313538747101</v>
      </c>
    </row>
    <row r="95" spans="1:3" x14ac:dyDescent="0.35">
      <c r="A95">
        <v>34.5</v>
      </c>
      <c r="C95">
        <f t="shared" si="4"/>
        <v>12.178541897212508</v>
      </c>
    </row>
    <row r="96" spans="1:3" x14ac:dyDescent="0.35">
      <c r="A96">
        <v>35</v>
      </c>
      <c r="C96">
        <f t="shared" si="4"/>
        <v>12.198451085503896</v>
      </c>
    </row>
    <row r="97" spans="1:3" x14ac:dyDescent="0.35">
      <c r="A97">
        <v>35.5</v>
      </c>
      <c r="C97">
        <f t="shared" si="4"/>
        <v>12.217179487215148</v>
      </c>
    </row>
    <row r="98" spans="1:3" x14ac:dyDescent="0.35">
      <c r="A98">
        <v>36</v>
      </c>
      <c r="C98">
        <f t="shared" si="4"/>
        <v>12.234845105076026</v>
      </c>
    </row>
    <row r="99" spans="1:3" x14ac:dyDescent="0.35">
      <c r="A99">
        <v>36.5</v>
      </c>
      <c r="C99">
        <f t="shared" si="4"/>
        <v>12.251549368165747</v>
      </c>
    </row>
    <row r="100" spans="1:3" x14ac:dyDescent="0.35">
      <c r="A100">
        <v>37</v>
      </c>
      <c r="C100">
        <f t="shared" si="4"/>
        <v>12.26738008946788</v>
      </c>
    </row>
    <row r="101" spans="1:3" x14ac:dyDescent="0.35">
      <c r="A101">
        <v>37.5</v>
      </c>
      <c r="C101">
        <f t="shared" si="4"/>
        <v>12.282413791962503</v>
      </c>
    </row>
    <row r="102" spans="1:3" x14ac:dyDescent="0.35">
      <c r="A102">
        <v>38</v>
      </c>
      <c r="C102">
        <f t="shared" si="4"/>
        <v>12.296717558507368</v>
      </c>
    </row>
    <row r="103" spans="1:3" x14ac:dyDescent="0.35">
      <c r="A103">
        <v>38.5</v>
      </c>
      <c r="C103">
        <f t="shared" si="4"/>
        <v>12.31035051791984</v>
      </c>
    </row>
    <row r="104" spans="1:3" x14ac:dyDescent="0.35">
      <c r="A104">
        <v>39</v>
      </c>
      <c r="C104">
        <f t="shared" si="4"/>
        <v>12.323365049869269</v>
      </c>
    </row>
    <row r="105" spans="1:3" x14ac:dyDescent="0.35">
      <c r="A105">
        <v>39.5</v>
      </c>
      <c r="C105">
        <f t="shared" si="4"/>
        <v>12.335807770097508</v>
      </c>
    </row>
    <row r="106" spans="1:3" x14ac:dyDescent="0.35">
      <c r="A106">
        <v>40</v>
      </c>
      <c r="C106">
        <f t="shared" si="4"/>
        <v>12.347720342334028</v>
      </c>
    </row>
    <row r="107" spans="1:3" x14ac:dyDescent="0.35">
      <c r="A107">
        <v>40.5</v>
      </c>
      <c r="C107">
        <f t="shared" si="4"/>
        <v>12.359140152241459</v>
      </c>
    </row>
    <row r="108" spans="1:3" x14ac:dyDescent="0.35">
      <c r="A108">
        <v>41</v>
      </c>
      <c r="C108">
        <f t="shared" ref="C108:C123" si="5">pH($B$1,$B$2,$B$3,$D$1,A108,2)</f>
        <v>12.370100870597687</v>
      </c>
    </row>
    <row r="109" spans="1:3" x14ac:dyDescent="0.35">
      <c r="A109">
        <v>41.5</v>
      </c>
      <c r="C109">
        <f t="shared" si="5"/>
        <v>12.380632926860667</v>
      </c>
    </row>
    <row r="110" spans="1:3" x14ac:dyDescent="0.35">
      <c r="A110">
        <v>42</v>
      </c>
      <c r="C110">
        <f t="shared" si="5"/>
        <v>12.390763909697304</v>
      </c>
    </row>
    <row r="111" spans="1:3" x14ac:dyDescent="0.35">
      <c r="A111">
        <v>42.5</v>
      </c>
      <c r="C111">
        <f t="shared" si="5"/>
        <v>12.400518907585575</v>
      </c>
    </row>
    <row r="112" spans="1:3" x14ac:dyDescent="0.35">
      <c r="A112">
        <v>43</v>
      </c>
      <c r="C112">
        <f t="shared" si="5"/>
        <v>12.409920799933662</v>
      </c>
    </row>
    <row r="113" spans="1:3" x14ac:dyDescent="0.35">
      <c r="A113">
        <v>43.5</v>
      </c>
      <c r="C113">
        <f t="shared" si="5"/>
        <v>12.41899050709643</v>
      </c>
    </row>
    <row r="114" spans="1:3" x14ac:dyDescent="0.35">
      <c r="A114">
        <v>44</v>
      </c>
      <c r="C114">
        <f t="shared" si="5"/>
        <v>12.427747206059248</v>
      </c>
    </row>
    <row r="115" spans="1:3" x14ac:dyDescent="0.35">
      <c r="A115">
        <v>44.5</v>
      </c>
      <c r="C115">
        <f t="shared" si="5"/>
        <v>12.436208517293091</v>
      </c>
    </row>
    <row r="116" spans="1:3" x14ac:dyDescent="0.35">
      <c r="A116">
        <v>45</v>
      </c>
      <c r="C116">
        <f t="shared" si="5"/>
        <v>12.444390667282285</v>
      </c>
    </row>
    <row r="117" spans="1:3" x14ac:dyDescent="0.35">
      <c r="A117">
        <v>45.5</v>
      </c>
      <c r="C117">
        <f t="shared" si="5"/>
        <v>12.45230863042714</v>
      </c>
    </row>
    <row r="118" spans="1:3" x14ac:dyDescent="0.35">
      <c r="A118">
        <v>46</v>
      </c>
      <c r="C118">
        <f t="shared" si="5"/>
        <v>12.459976253382742</v>
      </c>
    </row>
    <row r="119" spans="1:3" x14ac:dyDescent="0.35">
      <c r="A119">
        <v>46.5</v>
      </c>
      <c r="C119">
        <f t="shared" si="5"/>
        <v>12.467406063976558</v>
      </c>
    </row>
    <row r="120" spans="1:3" x14ac:dyDescent="0.35">
      <c r="A120">
        <v>47</v>
      </c>
      <c r="C120">
        <f t="shared" si="5"/>
        <v>12.474610666753247</v>
      </c>
    </row>
    <row r="121" spans="1:3" x14ac:dyDescent="0.35">
      <c r="A121">
        <v>47.5</v>
      </c>
      <c r="C121">
        <f t="shared" si="5"/>
        <v>12.481600700629819</v>
      </c>
    </row>
    <row r="122" spans="1:3" x14ac:dyDescent="0.35">
      <c r="A122">
        <v>48</v>
      </c>
      <c r="C122">
        <f t="shared" si="5"/>
        <v>12.488386485439634</v>
      </c>
    </row>
    <row r="123" spans="1:3" x14ac:dyDescent="0.35">
      <c r="A123">
        <v>48.5</v>
      </c>
      <c r="C123">
        <f t="shared" si="5"/>
        <v>12.494977643364907</v>
      </c>
    </row>
    <row r="124" spans="1:3" x14ac:dyDescent="0.35">
      <c r="A124">
        <v>49</v>
      </c>
      <c r="C124">
        <f t="shared" ref="C124:C126" si="6">pH($B$1,$B$2,$B$3,$D$1,A124,2)</f>
        <v>12.501383160488457</v>
      </c>
    </row>
    <row r="125" spans="1:3" x14ac:dyDescent="0.35">
      <c r="A125">
        <v>49.5</v>
      </c>
      <c r="C125">
        <f t="shared" si="6"/>
        <v>12.507611441455715</v>
      </c>
    </row>
    <row r="126" spans="1:3" x14ac:dyDescent="0.35">
      <c r="A126">
        <v>50</v>
      </c>
      <c r="C126">
        <f t="shared" si="6"/>
        <v>12.513670358241198</v>
      </c>
    </row>
  </sheetData>
  <printOptions gridLines="1" gridLinesSet="0"/>
  <pageMargins left="0.75" right="0.75" top="1" bottom="1" header="0.5" footer="0.5"/>
  <pageSetup paperSize="9" orientation="portrait" horizontalDpi="0" verticalDpi="0" copies="0" r:id="rId1"/>
  <headerFooter alignWithMargins="0">
    <oddHeader>&amp;A</oddHeader>
    <oddFooter>Page &amp;P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31"/>
  <sheetViews>
    <sheetView workbookViewId="0"/>
  </sheetViews>
  <sheetFormatPr defaultColWidth="8.83203125" defaultRowHeight="15.5" x14ac:dyDescent="0.35"/>
  <cols>
    <col min="3" max="3" width="0.9140625" customWidth="1"/>
  </cols>
  <sheetData>
    <row r="2" spans="1:9" x14ac:dyDescent="0.35">
      <c r="A2" t="s">
        <v>12</v>
      </c>
    </row>
    <row r="6" spans="1:9" ht="19.5" x14ac:dyDescent="0.45">
      <c r="A6" t="s">
        <v>13</v>
      </c>
      <c r="B6">
        <f>(F31-G31)/F31</f>
        <v>0.99937061340072941</v>
      </c>
      <c r="E6" t="s">
        <v>14</v>
      </c>
      <c r="F6">
        <f>AVERAGE(B13:B30)</f>
        <v>7.9616666666666669</v>
      </c>
    </row>
    <row r="7" spans="1:9" x14ac:dyDescent="0.35">
      <c r="A7" t="s">
        <v>15</v>
      </c>
      <c r="B7">
        <f>(I31-G31)/I31</f>
        <v>0.99554914382839599</v>
      </c>
    </row>
    <row r="8" spans="1:9" x14ac:dyDescent="0.35">
      <c r="A8" t="s">
        <v>16</v>
      </c>
      <c r="B8">
        <f>LN(I31/G31)-2*2/COUNT(A13:A30)</f>
        <v>5.1924365809746629</v>
      </c>
    </row>
    <row r="10" spans="1:9" ht="16" thickBot="1" x14ac:dyDescent="0.4"/>
    <row r="11" spans="1:9" ht="16" thickBot="1" x14ac:dyDescent="0.4">
      <c r="A11" s="4" t="s">
        <v>17</v>
      </c>
      <c r="B11" s="5"/>
      <c r="C11" s="1"/>
      <c r="D11" s="1" t="s">
        <v>6</v>
      </c>
    </row>
    <row r="12" spans="1:9" ht="20" thickBot="1" x14ac:dyDescent="0.5">
      <c r="A12" s="2" t="s">
        <v>11</v>
      </c>
      <c r="B12" s="3" t="s">
        <v>9</v>
      </c>
      <c r="C12" s="3"/>
      <c r="D12" s="3" t="s">
        <v>9</v>
      </c>
      <c r="F12" t="s">
        <v>18</v>
      </c>
      <c r="G12" t="s">
        <v>19</v>
      </c>
      <c r="I12" t="s">
        <v>20</v>
      </c>
    </row>
    <row r="13" spans="1:9" x14ac:dyDescent="0.35">
      <c r="A13" s="6">
        <v>0</v>
      </c>
      <c r="B13" s="7">
        <v>2.89</v>
      </c>
      <c r="C13" s="7"/>
      <c r="D13" s="12">
        <v>2.8047377215104969</v>
      </c>
      <c r="F13">
        <f>B13^2</f>
        <v>8.3521000000000001</v>
      </c>
      <c r="G13">
        <f>(B13-D13)^2</f>
        <v>7.2696561332215972E-3</v>
      </c>
      <c r="I13">
        <f>(B13-$F$6)^2</f>
        <v>25.721802777777782</v>
      </c>
    </row>
    <row r="14" spans="1:9" x14ac:dyDescent="0.35">
      <c r="A14" s="8">
        <v>5</v>
      </c>
      <c r="B14" s="9">
        <v>3.8</v>
      </c>
      <c r="C14" s="9"/>
      <c r="D14" s="13">
        <v>4.0016905696227232</v>
      </c>
      <c r="F14">
        <f t="shared" ref="F14:F29" si="0">B14^2</f>
        <v>14.44</v>
      </c>
      <c r="G14">
        <f t="shared" ref="G14:G29" si="1">(B14-D14)^2</f>
        <v>4.0679085874738619E-2</v>
      </c>
      <c r="I14">
        <f t="shared" ref="I14:I29" si="2">(B14-$F$6)^2</f>
        <v>17.319469444444447</v>
      </c>
    </row>
    <row r="15" spans="1:9" x14ac:dyDescent="0.35">
      <c r="A15" s="8">
        <v>10</v>
      </c>
      <c r="B15" s="9">
        <v>4.33</v>
      </c>
      <c r="C15" s="9"/>
      <c r="D15" s="13">
        <v>4.4217010579183462</v>
      </c>
      <c r="F15">
        <f t="shared" si="0"/>
        <v>18.748899999999999</v>
      </c>
      <c r="G15">
        <f t="shared" si="1"/>
        <v>8.4090840233438761E-3</v>
      </c>
      <c r="I15">
        <f t="shared" si="2"/>
        <v>13.189002777777779</v>
      </c>
    </row>
    <row r="16" spans="1:9" x14ac:dyDescent="0.35">
      <c r="A16" s="8">
        <v>15</v>
      </c>
      <c r="B16" s="9">
        <v>4.7300000000000004</v>
      </c>
      <c r="C16" s="9"/>
      <c r="D16" s="13">
        <v>4.7661435838408037</v>
      </c>
      <c r="F16">
        <f t="shared" si="0"/>
        <v>22.372900000000005</v>
      </c>
      <c r="G16">
        <f t="shared" si="1"/>
        <v>1.306358652857177E-3</v>
      </c>
      <c r="I16">
        <f t="shared" si="2"/>
        <v>10.443669444444444</v>
      </c>
    </row>
    <row r="17" spans="1:9" x14ac:dyDescent="0.35">
      <c r="A17" s="8">
        <v>20</v>
      </c>
      <c r="B17" s="9">
        <v>5.19</v>
      </c>
      <c r="C17" s="9"/>
      <c r="D17" s="13">
        <v>5.1708143288006756</v>
      </c>
      <c r="F17">
        <f t="shared" si="0"/>
        <v>26.936100000000003</v>
      </c>
      <c r="G17">
        <f t="shared" si="1"/>
        <v>3.6808997936860086E-4</v>
      </c>
      <c r="I17">
        <f t="shared" si="2"/>
        <v>7.6821361111111104</v>
      </c>
    </row>
    <row r="18" spans="1:9" x14ac:dyDescent="0.35">
      <c r="A18" s="8">
        <v>22</v>
      </c>
      <c r="B18" s="9">
        <v>5.43</v>
      </c>
      <c r="C18" s="9"/>
      <c r="D18" s="13">
        <v>5.4073608801586177</v>
      </c>
      <c r="F18">
        <f t="shared" si="0"/>
        <v>29.484899999999996</v>
      </c>
      <c r="G18">
        <f t="shared" si="1"/>
        <v>5.1252974719245641E-4</v>
      </c>
      <c r="I18">
        <f t="shared" si="2"/>
        <v>6.4093361111111138</v>
      </c>
    </row>
    <row r="19" spans="1:9" x14ac:dyDescent="0.35">
      <c r="A19" s="8">
        <v>24</v>
      </c>
      <c r="B19" s="9">
        <v>5.84</v>
      </c>
      <c r="C19" s="9"/>
      <c r="D19" s="13">
        <v>5.8090867352395126</v>
      </c>
      <c r="F19">
        <f t="shared" si="0"/>
        <v>34.105599999999995</v>
      </c>
      <c r="G19">
        <f t="shared" si="1"/>
        <v>9.5562993815198475E-4</v>
      </c>
      <c r="I19">
        <f t="shared" si="2"/>
        <v>4.5014694444444459</v>
      </c>
    </row>
    <row r="20" spans="1:9" x14ac:dyDescent="0.35">
      <c r="A20" s="8">
        <v>24.5</v>
      </c>
      <c r="B20" s="9">
        <v>6.05</v>
      </c>
      <c r="C20" s="9"/>
      <c r="D20" s="13">
        <v>5.9906493432865853</v>
      </c>
      <c r="F20">
        <f t="shared" si="0"/>
        <v>36.602499999999999</v>
      </c>
      <c r="G20">
        <f t="shared" si="1"/>
        <v>3.5225004523135798E-3</v>
      </c>
      <c r="I20">
        <f t="shared" si="2"/>
        <v>3.6544694444444459</v>
      </c>
    </row>
    <row r="21" spans="1:9" x14ac:dyDescent="0.35">
      <c r="A21" s="8">
        <v>25</v>
      </c>
      <c r="B21" s="9">
        <v>6.38</v>
      </c>
      <c r="C21" s="9"/>
      <c r="D21" s="13">
        <v>6.2901784542137094</v>
      </c>
      <c r="F21">
        <f t="shared" si="0"/>
        <v>40.7044</v>
      </c>
      <c r="G21">
        <f t="shared" si="1"/>
        <v>8.0679100874386876E-3</v>
      </c>
      <c r="I21">
        <f t="shared" si="2"/>
        <v>2.5016694444444454</v>
      </c>
    </row>
    <row r="22" spans="1:9" x14ac:dyDescent="0.35">
      <c r="A22" s="8">
        <v>25.5</v>
      </c>
      <c r="B22" s="9">
        <v>7.69</v>
      </c>
      <c r="C22" s="9"/>
      <c r="D22" s="13">
        <v>7.6256541189576588</v>
      </c>
      <c r="F22">
        <f t="shared" si="0"/>
        <v>59.136100000000006</v>
      </c>
      <c r="G22">
        <f t="shared" si="1"/>
        <v>4.1403924071151789E-3</v>
      </c>
      <c r="I22">
        <f t="shared" si="2"/>
        <v>7.3802777777777689E-2</v>
      </c>
    </row>
    <row r="23" spans="1:9" x14ac:dyDescent="0.35">
      <c r="A23" s="8">
        <v>25.8</v>
      </c>
      <c r="B23" s="9">
        <v>10.3</v>
      </c>
      <c r="C23" s="9"/>
      <c r="D23" s="13">
        <v>10.73429409399489</v>
      </c>
      <c r="F23">
        <f t="shared" si="0"/>
        <v>106.09000000000002</v>
      </c>
      <c r="G23">
        <f t="shared" si="1"/>
        <v>0.18861136007884202</v>
      </c>
      <c r="I23">
        <f t="shared" si="2"/>
        <v>5.4678027777777798</v>
      </c>
    </row>
    <row r="24" spans="1:9" x14ac:dyDescent="0.35">
      <c r="A24" s="8">
        <v>26</v>
      </c>
      <c r="B24" s="9">
        <v>10.64</v>
      </c>
      <c r="C24" s="9"/>
      <c r="D24" s="13">
        <v>10.96959396345728</v>
      </c>
      <c r="F24">
        <f t="shared" si="0"/>
        <v>113.20960000000001</v>
      </c>
      <c r="G24">
        <f t="shared" si="1"/>
        <v>0.10863218074747838</v>
      </c>
      <c r="I24">
        <f t="shared" si="2"/>
        <v>7.1734694444444465</v>
      </c>
    </row>
    <row r="25" spans="1:9" x14ac:dyDescent="0.35">
      <c r="A25" s="8">
        <v>26.5</v>
      </c>
      <c r="B25" s="9">
        <v>11.02</v>
      </c>
      <c r="C25" s="9"/>
      <c r="D25" s="13">
        <v>11.277424150293989</v>
      </c>
      <c r="F25">
        <f t="shared" si="0"/>
        <v>121.4404</v>
      </c>
      <c r="G25">
        <f t="shared" si="1"/>
        <v>6.6267193154582307E-2</v>
      </c>
      <c r="I25">
        <f t="shared" si="2"/>
        <v>9.3534027777777737</v>
      </c>
    </row>
    <row r="26" spans="1:9" x14ac:dyDescent="0.35">
      <c r="A26" s="8">
        <v>27</v>
      </c>
      <c r="B26" s="9">
        <v>11.2</v>
      </c>
      <c r="C26" s="9"/>
      <c r="D26" s="13">
        <v>11.452938022036774</v>
      </c>
      <c r="F26">
        <f t="shared" si="0"/>
        <v>125.43999999999998</v>
      </c>
      <c r="G26">
        <f t="shared" si="1"/>
        <v>6.3977642991875833E-2</v>
      </c>
      <c r="I26">
        <f t="shared" si="2"/>
        <v>10.486802777777772</v>
      </c>
    </row>
    <row r="27" spans="1:9" x14ac:dyDescent="0.35">
      <c r="A27" s="8">
        <v>30</v>
      </c>
      <c r="B27" s="9">
        <v>11.66</v>
      </c>
      <c r="C27" s="9"/>
      <c r="D27" s="13">
        <v>11.910479356286134</v>
      </c>
      <c r="F27">
        <f t="shared" si="0"/>
        <v>135.9556</v>
      </c>
      <c r="G27">
        <f t="shared" si="1"/>
        <v>6.2739907925515745E-2</v>
      </c>
      <c r="I27">
        <f t="shared" si="2"/>
        <v>13.677669444444444</v>
      </c>
    </row>
    <row r="28" spans="1:9" x14ac:dyDescent="0.35">
      <c r="A28" s="8">
        <v>35</v>
      </c>
      <c r="B28" s="9">
        <v>11.92</v>
      </c>
      <c r="C28" s="9"/>
      <c r="D28" s="13">
        <v>12.198451085503896</v>
      </c>
      <c r="F28">
        <f t="shared" si="0"/>
        <v>142.0864</v>
      </c>
      <c r="G28">
        <f t="shared" si="1"/>
        <v>7.7535007018297977E-2</v>
      </c>
      <c r="I28">
        <f t="shared" si="2"/>
        <v>15.668402777777775</v>
      </c>
    </row>
    <row r="29" spans="1:9" x14ac:dyDescent="0.35">
      <c r="A29" s="8">
        <v>40</v>
      </c>
      <c r="B29" s="9">
        <v>12.05</v>
      </c>
      <c r="C29" s="9"/>
      <c r="D29" s="13">
        <v>12.347720342334028</v>
      </c>
      <c r="F29">
        <f t="shared" si="0"/>
        <v>145.20250000000001</v>
      </c>
      <c r="G29">
        <f t="shared" si="1"/>
        <v>8.8637402239490695E-2</v>
      </c>
      <c r="I29">
        <f t="shared" si="2"/>
        <v>16.714469444444447</v>
      </c>
    </row>
    <row r="30" spans="1:9" ht="16" thickBot="1" x14ac:dyDescent="0.4">
      <c r="A30" s="10">
        <v>50</v>
      </c>
      <c r="B30" s="11">
        <v>12.19</v>
      </c>
      <c r="C30" s="11"/>
      <c r="D30" s="14">
        <v>12.513670358241198</v>
      </c>
      <c r="F30">
        <f>B30^2</f>
        <v>148.59609999999998</v>
      </c>
      <c r="G30">
        <f>(B30-D30)^2</f>
        <v>0.10476250080398571</v>
      </c>
      <c r="I30">
        <f>(B30-$F$6)^2</f>
        <v>17.878802777777771</v>
      </c>
    </row>
    <row r="31" spans="1:9" x14ac:dyDescent="0.35">
      <c r="F31">
        <f t="shared" ref="F31:G31" si="3">SUM(F13:F30)</f>
        <v>1328.9041</v>
      </c>
      <c r="G31">
        <f t="shared" si="3"/>
        <v>0.83639443225581045</v>
      </c>
      <c r="I31">
        <f>SUM(I13:I30)</f>
        <v>187.91764999999998</v>
      </c>
    </row>
  </sheetData>
  <printOptions gridLines="1" gridLinesSet="0"/>
  <pageMargins left="0.75" right="0.75" top="1" bottom="1" header="0.5" footer="0.5"/>
  <pageSetup paperSize="9" orientation="portrait" horizontalDpi="0" verticalDpi="0" copies="0" r:id="rId1"/>
  <headerFooter alignWithMargins="0">
    <oddHeader>&amp;A</oddHeader>
    <oddFooter>Page &amp;P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fitting application</vt:lpstr>
      <vt:lpstr>Chart</vt:lpstr>
      <vt:lpstr>Statistics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 Steve Leharne</dc:creator>
  <cp:keywords/>
  <dc:description/>
  <cp:lastModifiedBy>Carina Negreanu</cp:lastModifiedBy>
  <dcterms:created xsi:type="dcterms:W3CDTF">2020-01-27T11:13:26Z</dcterms:created>
  <dcterms:modified xsi:type="dcterms:W3CDTF">2020-01-27T11:13:26Z</dcterms:modified>
</cp:coreProperties>
</file>