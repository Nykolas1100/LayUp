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0C0770-E40D-442F-9A34-C2B84E82482F}" xr6:coauthVersionLast="45" xr6:coauthVersionMax="45" xr10:uidLastSave="{00000000-0000-0000-0000-000000000000}"/>
  <bookViews>
    <workbookView xWindow="4560" yWindow="4560" windowWidth="28800" windowHeight="15460" activeTab="1"/>
  </bookViews>
  <sheets>
    <sheet name="Chart1" sheetId="1" r:id="rId1"/>
    <sheet name="SCD-G2" sheetId="2" r:id="rId2"/>
  </sheets>
  <definedNames>
    <definedName name="\a">'SCD-G2'!#REF!</definedName>
    <definedName name="\b">'SCD-G2'!#REF!</definedName>
    <definedName name="\c">'SCD-G2'!#REF!</definedName>
    <definedName name="\d">'SCD-G2'!#REF!</definedName>
    <definedName name="\e">'SCD-G2'!#REF!</definedName>
    <definedName name="\i">'SCD-G2'!#REF!</definedName>
    <definedName name="\j">'SCD-G2'!#REF!</definedName>
    <definedName name="\l">'SCD-G2'!#REF!</definedName>
    <definedName name="\m">'SCD-G2'!#REF!</definedName>
    <definedName name="\o">'SCD-G2'!#REF!</definedName>
    <definedName name="\p">'SCD-G2'!#REF!</definedName>
    <definedName name="\t">'SCD-G2'!#REF!</definedName>
    <definedName name="\u">'SCD-G2'!#REF!</definedName>
    <definedName name="\x">'SCD-G2'!#REF!</definedName>
    <definedName name="\y">'SCD-G2'!$AL$7335:$AN$7342</definedName>
    <definedName name="\z">'SCD-G2'!$AL$7330:$AN$7333</definedName>
    <definedName name="_1P">'SCD-G2'!$A$17:$S$87</definedName>
    <definedName name="_2P">'SCD-G2'!$A$102:$S$163</definedName>
    <definedName name="_8P">'SCD-G2'!$A$6876:$S$6978</definedName>
    <definedName name="_8R">'SCD-G2'!#REF!</definedName>
    <definedName name="_9P">'SCD-G2'!$A$6980:$S$7092</definedName>
    <definedName name="_9R">'SCD-G2'!#REF!</definedName>
    <definedName name="_Regression_Int" localSheetId="1" hidden="1">1</definedName>
    <definedName name="A">'SCD-G2'!$AL$7322</definedName>
    <definedName name="B">'SCD-G2'!$AL$7323</definedName>
    <definedName name="C_">'SCD-G2'!#REF!</definedName>
    <definedName name="D">'SCD-G2'!$AL$7324</definedName>
    <definedName name="E">'SCD-G2'!$AN$7350</definedName>
    <definedName name="F">'SCD-G2'!$AN$7348</definedName>
    <definedName name="FINAID">'SCD-G2'!#REF!</definedName>
    <definedName name="G">'SCD-G2'!$AN$7354</definedName>
    <definedName name="H">'SCD-G2'!$A$4:$S$15</definedName>
    <definedName name="HEADER">'SCD-G2'!$A$4:$S$16</definedName>
    <definedName name="HOSPITAL">'SCD-G2'!$AD$510:$IV$6641</definedName>
    <definedName name="I">'SCD-G2'!$AN$7356</definedName>
    <definedName name="L">'SCD-G2'!$F$6895:$S$6895</definedName>
    <definedName name="L2_">'SCD-G2'!$AL$7323:$AM$7323</definedName>
    <definedName name="L3_">'SCD-G2'!$AL$7324</definedName>
    <definedName name="M">'SCD-G2'!$F$6900:$S$6900</definedName>
    <definedName name="MACRO">'SCD-G2'!$AK$7319:$AM$7319</definedName>
    <definedName name="O">'SCD-G2'!#REF!</definedName>
    <definedName name="_xlnm.Print_Area" localSheetId="1">'SCD-G2'!$A$1:$S$163</definedName>
    <definedName name="Print_Area_MI">'SCD-G2'!$A$17:$S$87</definedName>
    <definedName name="T">'SCD-G2'!#REF!</definedName>
    <definedName name="U">'SCD-G2'!#REF!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2" l="1"/>
  <c r="G25" i="2"/>
  <c r="G26" i="2"/>
  <c r="G28" i="2"/>
  <c r="G29" i="2"/>
  <c r="G30" i="2"/>
  <c r="G31" i="2"/>
  <c r="G33" i="2"/>
  <c r="I33" i="2"/>
  <c r="K33" i="2"/>
  <c r="K159" i="2" s="1"/>
  <c r="K163" i="2" s="1"/>
  <c r="M33" i="2"/>
  <c r="M159" i="2" s="1"/>
  <c r="M163" i="2" s="1"/>
  <c r="O33" i="2"/>
  <c r="O159" i="2" s="1"/>
  <c r="O163" i="2" s="1"/>
  <c r="Q33" i="2"/>
  <c r="Q159" i="2" s="1"/>
  <c r="Q163" i="2" s="1"/>
  <c r="G37" i="2"/>
  <c r="G57" i="2" s="1"/>
  <c r="G38" i="2"/>
  <c r="G39" i="2"/>
  <c r="G40" i="2"/>
  <c r="G41" i="2"/>
  <c r="G42" i="2"/>
  <c r="G43" i="2"/>
  <c r="G44" i="2"/>
  <c r="G46" i="2"/>
  <c r="G47" i="2"/>
  <c r="G48" i="2"/>
  <c r="G49" i="2"/>
  <c r="G50" i="2"/>
  <c r="G51" i="2"/>
  <c r="G52" i="2"/>
  <c r="G53" i="2"/>
  <c r="G54" i="2"/>
  <c r="G55" i="2"/>
  <c r="I57" i="2"/>
  <c r="K57" i="2"/>
  <c r="M57" i="2"/>
  <c r="O57" i="2"/>
  <c r="Q57" i="2"/>
  <c r="S57" i="2"/>
  <c r="S159" i="2" s="1"/>
  <c r="S163" i="2" s="1"/>
  <c r="G61" i="2"/>
  <c r="G128" i="2" s="1"/>
  <c r="G62" i="2"/>
  <c r="G63" i="2"/>
  <c r="G64" i="2"/>
  <c r="G65" i="2"/>
  <c r="G66" i="2"/>
  <c r="G67" i="2"/>
  <c r="G68" i="2"/>
  <c r="G69" i="2"/>
  <c r="G70" i="2"/>
  <c r="G71" i="2"/>
  <c r="G72" i="2"/>
  <c r="G75" i="2"/>
  <c r="G76" i="2"/>
  <c r="G77" i="2"/>
  <c r="G78" i="2"/>
  <c r="A90" i="2"/>
  <c r="A91" i="2"/>
  <c r="A94" i="2"/>
  <c r="A95" i="2"/>
  <c r="G110" i="2"/>
  <c r="G111" i="2"/>
  <c r="G112" i="2"/>
  <c r="G113" i="2"/>
  <c r="G114" i="2"/>
  <c r="G115" i="2"/>
  <c r="G116" i="2"/>
  <c r="G117" i="2"/>
  <c r="G118" i="2"/>
  <c r="I119" i="2"/>
  <c r="G119" i="2" s="1"/>
  <c r="Q119" i="2"/>
  <c r="Q128" i="2" s="1"/>
  <c r="G120" i="2"/>
  <c r="G121" i="2"/>
  <c r="G122" i="2"/>
  <c r="G123" i="2"/>
  <c r="G124" i="2"/>
  <c r="G125" i="2"/>
  <c r="G126" i="2"/>
  <c r="I128" i="2"/>
  <c r="I159" i="2" s="1"/>
  <c r="I163" i="2" s="1"/>
  <c r="K128" i="2"/>
  <c r="M128" i="2"/>
  <c r="O128" i="2"/>
  <c r="G132" i="2"/>
  <c r="G133" i="2"/>
  <c r="G135" i="2"/>
  <c r="G136" i="2"/>
  <c r="G137" i="2"/>
  <c r="G139" i="2"/>
  <c r="G140" i="2"/>
  <c r="G141" i="2"/>
  <c r="G142" i="2"/>
  <c r="G143" i="2"/>
  <c r="M144" i="2"/>
  <c r="G144" i="2" s="1"/>
  <c r="G146" i="2" s="1"/>
  <c r="Q144" i="2"/>
  <c r="Q146" i="2" s="1"/>
  <c r="I146" i="2"/>
  <c r="K146" i="2"/>
  <c r="M146" i="2"/>
  <c r="O146" i="2"/>
  <c r="S146" i="2"/>
  <c r="G150" i="2"/>
  <c r="M152" i="2"/>
  <c r="G152" i="2" s="1"/>
  <c r="G157" i="2" s="1"/>
  <c r="Q152" i="2"/>
  <c r="G153" i="2"/>
  <c r="K154" i="2"/>
  <c r="G154" i="2" s="1"/>
  <c r="Q154" i="2"/>
  <c r="G155" i="2"/>
  <c r="I157" i="2"/>
  <c r="K157" i="2"/>
  <c r="M157" i="2"/>
  <c r="O157" i="2"/>
  <c r="Q157" i="2"/>
  <c r="G161" i="2"/>
  <c r="G159" i="2" l="1"/>
  <c r="G163" i="2" s="1"/>
</calcChain>
</file>

<file path=xl/sharedStrings.xml><?xml version="1.0" encoding="utf-8"?>
<sst xmlns="http://schemas.openxmlformats.org/spreadsheetml/2006/main" count="160" uniqueCount="114">
  <si>
    <t>CURRENT FUNDS EXPENDITURES BY DEPARTMENT - FINANCIAL AID</t>
  </si>
  <si>
    <t>Schedule G-1</t>
  </si>
  <si>
    <t>Current Funds</t>
  </si>
  <si>
    <t>Distribution</t>
  </si>
  <si>
    <t>Salaries</t>
  </si>
  <si>
    <t>Other</t>
  </si>
  <si>
    <t>Less:</t>
  </si>
  <si>
    <t>Total</t>
  </si>
  <si>
    <t>Unrestricted</t>
  </si>
  <si>
    <t>Restricted</t>
  </si>
  <si>
    <t>and Wages</t>
  </si>
  <si>
    <t>Expenditures</t>
  </si>
  <si>
    <t>General</t>
  </si>
  <si>
    <t>Designated</t>
  </si>
  <si>
    <t>STUDENT FINANCIAL AID</t>
  </si>
  <si>
    <t>GRADUATE SCHOOL OF INTERNATIONAL</t>
  </si>
  <si>
    <t>RELATIONS AND PACIFIC STUDIES</t>
  </si>
  <si>
    <t>--</t>
  </si>
  <si>
    <t>Computer science and engineering</t>
  </si>
  <si>
    <t>Electrical and computer engineering</t>
  </si>
  <si>
    <t xml:space="preserve">Total                            </t>
  </si>
  <si>
    <t>SCHOOL OF MEDICINE</t>
  </si>
  <si>
    <t/>
  </si>
  <si>
    <t xml:space="preserve">Dean's office                      </t>
  </si>
  <si>
    <t>Anesthesiology</t>
  </si>
  <si>
    <t>Bioengineering</t>
  </si>
  <si>
    <t xml:space="preserve">Biology--medical                   </t>
  </si>
  <si>
    <t>Chemistry--medical</t>
  </si>
  <si>
    <t xml:space="preserve">Medicine                           </t>
  </si>
  <si>
    <t xml:space="preserve">Neurosciences                      </t>
  </si>
  <si>
    <t>Organized research units</t>
  </si>
  <si>
    <t xml:space="preserve">Cancer center                      </t>
  </si>
  <si>
    <t>Institute for research on aging</t>
  </si>
  <si>
    <t>Ophthalmology</t>
  </si>
  <si>
    <t xml:space="preserve">Pathology                          </t>
  </si>
  <si>
    <t xml:space="preserve">Pediatrics                         </t>
  </si>
  <si>
    <t>Pharmacology</t>
  </si>
  <si>
    <t xml:space="preserve">Psychiatry                         </t>
  </si>
  <si>
    <t>Radiology</t>
  </si>
  <si>
    <t xml:space="preserve">Reproductive medicine              </t>
  </si>
  <si>
    <t xml:space="preserve">Surgery                            </t>
  </si>
  <si>
    <t>CAMPUS-WIDE DEPARTMENTS</t>
  </si>
  <si>
    <t>Anthropology</t>
  </si>
  <si>
    <t>Communication</t>
  </si>
  <si>
    <t>Contemporary issues</t>
  </si>
  <si>
    <t>Economics</t>
  </si>
  <si>
    <t>Ethnic Studies</t>
  </si>
  <si>
    <t>History</t>
  </si>
  <si>
    <t>Linguistics</t>
  </si>
  <si>
    <t>Mathematics</t>
  </si>
  <si>
    <t xml:space="preserve">Music                              </t>
  </si>
  <si>
    <t>Centers</t>
  </si>
  <si>
    <t>Institutes</t>
  </si>
  <si>
    <t>Biomedical engineering</t>
  </si>
  <si>
    <t>Cognitive science</t>
  </si>
  <si>
    <t>Neural computation</t>
  </si>
  <si>
    <t>Nonlinear science</t>
  </si>
  <si>
    <t>Pure and applied physical sciences</t>
  </si>
  <si>
    <t>(continued)</t>
  </si>
  <si>
    <t>Philosophy</t>
  </si>
  <si>
    <t xml:space="preserve">Physics                            </t>
  </si>
  <si>
    <t xml:space="preserve">Political science                  </t>
  </si>
  <si>
    <t>Psychology</t>
  </si>
  <si>
    <t xml:space="preserve">Sociology                          </t>
  </si>
  <si>
    <t>Theatre</t>
  </si>
  <si>
    <t>SCRIPPS INSTITUTION OF OCEANOGRAPHY</t>
  </si>
  <si>
    <t>California space</t>
  </si>
  <si>
    <t>Marine resources</t>
  </si>
  <si>
    <t>Research divisions</t>
  </si>
  <si>
    <t>Marine biology research division</t>
  </si>
  <si>
    <t>Marine life research</t>
  </si>
  <si>
    <t>Marine research division</t>
  </si>
  <si>
    <t>Physical oceanography research division</t>
  </si>
  <si>
    <t>OTHER</t>
  </si>
  <si>
    <t>Eleanor roosevelt college</t>
  </si>
  <si>
    <t>Office of graduate studies</t>
  </si>
  <si>
    <t>and research</t>
  </si>
  <si>
    <t>Student financial services</t>
  </si>
  <si>
    <t>Total Student Financial Aid</t>
  </si>
  <si>
    <t xml:space="preserve"> </t>
  </si>
  <si>
    <t>Atmospheric sciences</t>
  </si>
  <si>
    <t>California space-general campus</t>
  </si>
  <si>
    <t>JACOBS SCHOOL OF ENGINEERING</t>
  </si>
  <si>
    <t>Chemistry and biochemistry</t>
  </si>
  <si>
    <t>Human development program</t>
  </si>
  <si>
    <t>Teacher education program</t>
  </si>
  <si>
    <t>Recharges</t>
  </si>
  <si>
    <t>Student aid-ogsr</t>
  </si>
  <si>
    <t>(unaudited)</t>
  </si>
  <si>
    <t>Geosciences research division</t>
  </si>
  <si>
    <t>Molecular medicine</t>
  </si>
  <si>
    <t>Visual arts</t>
  </si>
  <si>
    <t>Iberian-latin american studies</t>
  </si>
  <si>
    <t>Magnetic recording</t>
  </si>
  <si>
    <t>Research in language</t>
  </si>
  <si>
    <t>United states-mexican studies</t>
  </si>
  <si>
    <t>Biological sciences</t>
  </si>
  <si>
    <t>Summer session</t>
  </si>
  <si>
    <t>UNIVERSITY OF CALIFORNIA, SAN DIEGO</t>
  </si>
  <si>
    <t>2001-2002</t>
  </si>
  <si>
    <t>Marine physical laboratory</t>
  </si>
  <si>
    <t>Global conflict and cooperation</t>
  </si>
  <si>
    <t>Cellular and molecular medicine</t>
  </si>
  <si>
    <t xml:space="preserve">Family and preventive medicine                 </t>
  </si>
  <si>
    <t>Mechanical and aerospace engineering</t>
  </si>
  <si>
    <t>Structural systems project</t>
  </si>
  <si>
    <t>and information technology</t>
  </si>
  <si>
    <t>California institute--telecommunications</t>
  </si>
  <si>
    <t xml:space="preserve">The SIO department                 </t>
  </si>
  <si>
    <t>San diego supercomputer center</t>
  </si>
  <si>
    <t>Organized research unit</t>
  </si>
  <si>
    <t>Integrative oceanography division</t>
  </si>
  <si>
    <t>Less:  scholarship allowance (note e)</t>
  </si>
  <si>
    <t>Subtotal Student Financial 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</si>
</sst>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#,##0;\(#,##0\)"/>
    <numFmt numFmtId="175" formatCode="_(&quot;$&quot;* #,##0_);_(&quot;$&quot;* \(#,##0\);_(&quot;$&quot;* &quot;--&quot;_);_(@_)"/>
    <numFmt numFmtId="176" formatCode="_(* #,##0_);_(* \(#,##0\);_(* &quot;--&quot;_);_(@_)"/>
  </numFmts>
  <fonts count="5" x14ac:knownFonts="1">
    <font>
      <sz val="10"/>
      <name val="MS Sans Serif"/>
      <family val="2"/>
    </font>
    <font>
      <sz val="10"/>
      <name val="Arial"/>
      <family val="2"/>
    </font>
    <font>
      <sz val="9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37" fontId="0" fillId="0" borderId="0"/>
  </cellStyleXfs>
  <cellXfs count="51">
    <xf numFmtId="37" fontId="0" fillId="0" borderId="0" xfId="0"/>
    <xf numFmtId="37" fontId="2" fillId="0" borderId="0" xfId="0" applyFont="1"/>
    <xf numFmtId="37" fontId="2" fillId="0" borderId="0" xfId="0" applyFont="1" applyFill="1"/>
    <xf numFmtId="37" fontId="2" fillId="0" borderId="0" xfId="0" applyFont="1" applyAlignment="1">
      <alignment horizontal="centerContinuous"/>
    </xf>
    <xf numFmtId="173" fontId="3" fillId="0" borderId="0" xfId="0" applyNumberFormat="1" applyFont="1" applyAlignment="1">
      <alignment horizontal="center"/>
    </xf>
    <xf numFmtId="173" fontId="3" fillId="0" borderId="0" xfId="0" applyNumberFormat="1" applyFont="1" applyAlignment="1" applyProtection="1">
      <alignment horizontal="center"/>
    </xf>
    <xf numFmtId="173" fontId="3" fillId="0" borderId="0" xfId="0" quotePrefix="1" applyNumberFormat="1" applyFont="1" applyAlignment="1">
      <alignment horizontal="center"/>
    </xf>
    <xf numFmtId="173" fontId="3" fillId="0" borderId="0" xfId="0" applyNumberFormat="1" applyFont="1" applyAlignment="1" applyProtection="1">
      <alignment horizontal="centerContinuous"/>
    </xf>
    <xf numFmtId="173" fontId="3" fillId="0" borderId="0" xfId="0" applyNumberFormat="1" applyFont="1" applyAlignment="1">
      <alignment horizontal="centerContinuous"/>
    </xf>
    <xf numFmtId="173" fontId="3" fillId="0" borderId="0" xfId="0" quotePrefix="1" applyNumberFormat="1" applyFont="1" applyAlignment="1" applyProtection="1">
      <alignment horizontal="centerContinuous"/>
    </xf>
    <xf numFmtId="173" fontId="3" fillId="0" borderId="0" xfId="0" quotePrefix="1" applyNumberFormat="1" applyFont="1" applyAlignment="1">
      <alignment horizontal="centerContinuous"/>
    </xf>
    <xf numFmtId="173" fontId="3" fillId="0" borderId="1" xfId="0" applyNumberFormat="1" applyFont="1" applyBorder="1" applyAlignment="1">
      <alignment horizontal="center"/>
    </xf>
    <xf numFmtId="173" fontId="3" fillId="0" borderId="0" xfId="0" applyNumberFormat="1" applyFont="1" applyAlignment="1">
      <alignment horizontal="right"/>
    </xf>
    <xf numFmtId="173" fontId="3" fillId="0" borderId="1" xfId="0" applyNumberFormat="1" applyFont="1" applyBorder="1" applyAlignment="1" applyProtection="1">
      <alignment horizontal="center"/>
    </xf>
    <xf numFmtId="173" fontId="3" fillId="0" borderId="0" xfId="0" applyNumberFormat="1" applyFont="1" applyBorder="1" applyAlignment="1" applyProtection="1">
      <alignment horizontal="center"/>
    </xf>
    <xf numFmtId="173" fontId="3" fillId="0" borderId="0" xfId="0" applyNumberFormat="1" applyFont="1" applyBorder="1" applyAlignment="1">
      <alignment horizontal="center"/>
    </xf>
    <xf numFmtId="173" fontId="3" fillId="0" borderId="2" xfId="0" applyNumberFormat="1" applyFont="1" applyBorder="1" applyAlignment="1">
      <alignment horizontal="center"/>
    </xf>
    <xf numFmtId="173" fontId="3" fillId="0" borderId="0" xfId="0" applyNumberFormat="1" applyFont="1" applyAlignment="1">
      <alignment horizontal="left"/>
    </xf>
    <xf numFmtId="173" fontId="3" fillId="0" borderId="0" xfId="0" applyNumberFormat="1" applyFont="1" applyAlignment="1" applyProtection="1">
      <alignment horizontal="right"/>
    </xf>
    <xf numFmtId="173" fontId="4" fillId="0" borderId="0" xfId="0" applyNumberFormat="1" applyFont="1" applyAlignment="1" applyProtection="1">
      <alignment horizontal="left"/>
    </xf>
    <xf numFmtId="173" fontId="4" fillId="0" borderId="0" xfId="0" applyNumberFormat="1" applyFont="1" applyAlignment="1">
      <alignment horizontal="left"/>
    </xf>
    <xf numFmtId="173" fontId="3" fillId="0" borderId="0" xfId="0" applyNumberFormat="1" applyFont="1" applyAlignment="1" applyProtection="1">
      <alignment horizontal="left"/>
    </xf>
    <xf numFmtId="175" fontId="3" fillId="0" borderId="0" xfId="0" applyNumberFormat="1" applyFont="1" applyAlignment="1" applyProtection="1">
      <alignment horizontal="right"/>
    </xf>
    <xf numFmtId="175" fontId="3" fillId="0" borderId="2" xfId="0" applyNumberFormat="1" applyFont="1" applyFill="1" applyBorder="1" applyAlignment="1" applyProtection="1">
      <alignment horizontal="right"/>
    </xf>
    <xf numFmtId="175" fontId="3" fillId="0" borderId="2" xfId="0" applyNumberFormat="1" applyFont="1" applyBorder="1" applyAlignment="1" applyProtection="1">
      <alignment horizontal="right"/>
    </xf>
    <xf numFmtId="175" fontId="3" fillId="0" borderId="0" xfId="0" applyNumberFormat="1" applyFont="1" applyBorder="1" applyAlignment="1" applyProtection="1">
      <alignment horizontal="right"/>
    </xf>
    <xf numFmtId="173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76" fontId="3" fillId="0" borderId="0" xfId="0" applyNumberFormat="1" applyFont="1" applyAlignment="1">
      <alignment horizontal="right"/>
    </xf>
    <xf numFmtId="176" fontId="3" fillId="0" borderId="0" xfId="0" applyNumberFormat="1" applyFont="1" applyFill="1" applyBorder="1" applyAlignment="1" applyProtection="1">
      <alignment horizontal="right"/>
    </xf>
    <xf numFmtId="176" fontId="3" fillId="0" borderId="0" xfId="0" applyNumberFormat="1" applyFont="1" applyAlignment="1" applyProtection="1">
      <alignment horizontal="right"/>
    </xf>
    <xf numFmtId="173" fontId="3" fillId="0" borderId="0" xfId="0" applyNumberFormat="1" applyFont="1"/>
    <xf numFmtId="37" fontId="3" fillId="0" borderId="0" xfId="0" applyFont="1" applyAlignment="1" applyProtection="1">
      <alignment horizontal="left"/>
    </xf>
    <xf numFmtId="37" fontId="3" fillId="0" borderId="0" xfId="0" applyFont="1" applyAlignment="1">
      <alignment horizontal="left"/>
    </xf>
    <xf numFmtId="176" fontId="3" fillId="0" borderId="0" xfId="0" applyNumberFormat="1" applyFont="1" applyBorder="1" applyAlignment="1" applyProtection="1">
      <alignment horizontal="right"/>
    </xf>
    <xf numFmtId="176" fontId="3" fillId="0" borderId="2" xfId="0" applyNumberFormat="1" applyFont="1" applyFill="1" applyBorder="1" applyAlignment="1" applyProtection="1">
      <alignment horizontal="right"/>
    </xf>
    <xf numFmtId="176" fontId="3" fillId="0" borderId="2" xfId="0" applyNumberFormat="1" applyFont="1" applyBorder="1" applyAlignment="1" applyProtection="1">
      <alignment horizontal="right"/>
    </xf>
    <xf numFmtId="176" fontId="3" fillId="0" borderId="0" xfId="0" applyNumberFormat="1" applyFont="1" applyBorder="1" applyAlignment="1">
      <alignment horizontal="right"/>
    </xf>
    <xf numFmtId="173" fontId="3" fillId="0" borderId="0" xfId="0" quotePrefix="1" applyNumberFormat="1" applyFont="1" applyAlignment="1" applyProtection="1">
      <alignment horizontal="left"/>
    </xf>
    <xf numFmtId="173" fontId="3" fillId="0" borderId="0" xfId="0" applyNumberFormat="1" applyFont="1" applyBorder="1" applyAlignment="1">
      <alignment horizontal="right"/>
    </xf>
    <xf numFmtId="173" fontId="3" fillId="0" borderId="0" xfId="0" applyNumberFormat="1" applyFont="1" applyFill="1" applyAlignment="1">
      <alignment horizontal="center"/>
    </xf>
    <xf numFmtId="173" fontId="3" fillId="0" borderId="0" xfId="0" applyNumberFormat="1" applyFont="1" applyFill="1" applyAlignment="1">
      <alignment horizontal="centerContinuous"/>
    </xf>
    <xf numFmtId="173" fontId="3" fillId="0" borderId="1" xfId="0" applyNumberFormat="1" applyFont="1" applyFill="1" applyBorder="1" applyAlignment="1">
      <alignment horizontal="center"/>
    </xf>
    <xf numFmtId="173" fontId="3" fillId="0" borderId="0" xfId="0" applyNumberFormat="1" applyFont="1" applyFill="1" applyBorder="1" applyAlignment="1">
      <alignment horizontal="center"/>
    </xf>
    <xf numFmtId="173" fontId="3" fillId="0" borderId="2" xfId="0" applyNumberFormat="1" applyFont="1" applyFill="1" applyBorder="1" applyAlignment="1">
      <alignment horizontal="center"/>
    </xf>
    <xf numFmtId="173" fontId="3" fillId="0" borderId="0" xfId="0" quotePrefix="1" applyNumberFormat="1" applyFont="1" applyAlignment="1">
      <alignment horizontal="left"/>
    </xf>
    <xf numFmtId="175" fontId="3" fillId="0" borderId="0" xfId="0" applyNumberFormat="1" applyFont="1" applyFill="1" applyBorder="1" applyAlignment="1" applyProtection="1">
      <alignment horizontal="right"/>
    </xf>
    <xf numFmtId="173" fontId="3" fillId="0" borderId="0" xfId="0" applyNumberFormat="1" applyFont="1" applyBorder="1" applyAlignment="1" applyProtection="1">
      <alignment horizontal="right"/>
    </xf>
    <xf numFmtId="175" fontId="3" fillId="0" borderId="0" xfId="0" applyNumberFormat="1" applyFont="1" applyAlignment="1">
      <alignment horizontal="right"/>
    </xf>
    <xf numFmtId="176" fontId="2" fillId="0" borderId="0" xfId="0" applyNumberFormat="1" applyFont="1"/>
    <xf numFmtId="175" fontId="3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UNIVERSITY OF CALIFORNIA, SAN DIEGO
1994-95
CURRENT FUNDS EXPENDITURES BY DEPARTMENT-FINANCIAL AID
</a:t>
            </a:r>
          </a:p>
        </c:rich>
      </c:tx>
      <c:layout>
        <c:manualLayout>
          <c:xMode val="edge"/>
          <c:yMode val="edge"/>
          <c:x val="0.19056603773584907"/>
          <c:y val="1.969057665260197E-2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905660377358492"/>
          <c:y val="0.41209563994374121"/>
          <c:w val="0.60660377358490569"/>
          <c:h val="0.33966244725738398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explosion val="12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677-46A1-A712-984B58B834CD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77-46A1-A712-984B58B834CD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677-46A1-A712-984B58B834CD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77-46A1-A712-984B58B834CD}"/>
              </c:ext>
            </c:extLst>
          </c:dPt>
          <c:dPt>
            <c:idx val="4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677-46A1-A712-984B58B834CD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77-46A1-A712-984B58B834CD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f>'SCD-G2'!$F$166:$F$171</c:f>
              <c:numCache>
                <c:formatCode>#,##0;\(#,##0\)</c:formatCode>
                <c:ptCount val="6"/>
              </c:numCache>
            </c:numRef>
          </c:cat>
          <c:val>
            <c:numRef>
              <c:f>'SCD-G2'!$G$166:$G$171</c:f>
              <c:numCache>
                <c:formatCode>#,##0;\(#,##0\)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5677-46A1-A712-984B58B834C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25" right="0.25" top="0.25" bottom="0.25" header="0.5" footer="0.5"/>
  <pageSetup firstPageNumber="39" orientation="portrait" useFirstPageNumber="1" horizontalDpi="4294967292" verticalDpi="300" r:id="rId1"/>
  <headerFooter alignWithMargins="0">
    <oddFooter>&amp;C&amp;"HELV,Regular"&amp;8&amp;P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731000" cy="9029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D3B72-50B5-496C-B72B-69BFDAED0D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42" transitionEvaluation="1" transitionEntry="1"/>
  <dimension ref="A1:AF164"/>
  <sheetViews>
    <sheetView showGridLines="0" tabSelected="1" topLeftCell="A142" workbookViewId="0">
      <selection activeCell="A166" sqref="A166:IV65536"/>
    </sheetView>
  </sheetViews>
  <sheetFormatPr defaultColWidth="9.7265625" defaultRowHeight="11.15" customHeight="1" x14ac:dyDescent="0.25"/>
  <cols>
    <col min="1" max="4" width="1.26953125" style="17" customWidth="1"/>
    <col min="5" max="5" width="33.453125" style="17" customWidth="1"/>
    <col min="6" max="6" width="1.26953125" style="12" customWidth="1"/>
    <col min="7" max="7" width="13.81640625" style="12" customWidth="1"/>
    <col min="8" max="8" width="1.26953125" style="12" customWidth="1"/>
    <col min="9" max="9" width="13" style="12" customWidth="1"/>
    <col min="10" max="10" width="1.26953125" style="12" customWidth="1"/>
    <col min="11" max="11" width="14.7265625" style="12" customWidth="1"/>
    <col min="12" max="12" width="1.26953125" style="12" customWidth="1"/>
    <col min="13" max="13" width="13.81640625" style="12" customWidth="1"/>
    <col min="14" max="14" width="1.26953125" style="12" customWidth="1"/>
    <col min="15" max="15" width="11.7265625" style="12" customWidth="1"/>
    <col min="16" max="16" width="1.26953125" style="12" customWidth="1"/>
    <col min="17" max="17" width="14.26953125" style="12" customWidth="1"/>
    <col min="18" max="18" width="1.7265625" style="12" customWidth="1"/>
    <col min="19" max="19" width="7.26953125" style="12" customWidth="1"/>
    <col min="20" max="21" width="3.7265625" style="12" customWidth="1"/>
    <col min="22" max="22" width="8.7265625" style="12" customWidth="1"/>
    <col min="23" max="23" width="16.26953125" style="12" customWidth="1"/>
    <col min="24" max="24" width="6.7265625" style="12" customWidth="1"/>
    <col min="25" max="25" width="14.26953125" style="12" customWidth="1"/>
    <col min="26" max="26" width="3.7265625" style="12" customWidth="1"/>
    <col min="27" max="27" width="6.1796875" style="12" customWidth="1"/>
    <col min="28" max="28" width="8.453125" style="12" customWidth="1"/>
    <col min="29" max="29" width="10.81640625" style="12" customWidth="1"/>
    <col min="30" max="230" width="9.26953125" style="12" customWidth="1"/>
    <col min="231" max="16384" width="9.7265625" style="12"/>
  </cols>
  <sheetData>
    <row r="1" spans="1:19" s="4" customFormat="1" ht="11.15" customHeight="1" x14ac:dyDescent="0.25"/>
    <row r="2" spans="1:19" s="4" customFormat="1" ht="11.15" customHeight="1" x14ac:dyDescent="0.25">
      <c r="A2" s="5"/>
      <c r="J2" s="6"/>
    </row>
    <row r="3" spans="1:19" s="4" customFormat="1" ht="11.15" customHeight="1" x14ac:dyDescent="0.25">
      <c r="A3" s="5"/>
      <c r="E3" s="1"/>
    </row>
    <row r="4" spans="1:19" s="4" customFormat="1" ht="11.15" customHeight="1" x14ac:dyDescent="0.25">
      <c r="A4" s="7" t="s">
        <v>98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s="4" customFormat="1" ht="11.15" customHeight="1" x14ac:dyDescent="0.25">
      <c r="A5" s="9" t="s">
        <v>99</v>
      </c>
      <c r="B5" s="8"/>
      <c r="C5" s="8"/>
      <c r="D5" s="8"/>
      <c r="E5" s="8"/>
      <c r="F5" s="8"/>
      <c r="G5" s="3"/>
      <c r="H5" s="8"/>
      <c r="I5" s="8"/>
      <c r="J5" s="10"/>
      <c r="K5" s="8"/>
      <c r="L5" s="8"/>
      <c r="M5" s="8"/>
      <c r="N5" s="8"/>
      <c r="O5" s="8"/>
      <c r="P5" s="8"/>
      <c r="Q5" s="8"/>
      <c r="R5" s="8"/>
      <c r="S5" s="8"/>
    </row>
    <row r="6" spans="1:19" s="4" customFormat="1" ht="11.1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s="4" customFormat="1" ht="11.15" customHeight="1" x14ac:dyDescent="0.25">
      <c r="S7" s="12" t="s">
        <v>1</v>
      </c>
    </row>
    <row r="8" spans="1:19" s="4" customFormat="1" ht="11.15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10"/>
      <c r="K8" s="8"/>
      <c r="L8" s="8"/>
      <c r="M8" s="8"/>
      <c r="N8" s="8"/>
      <c r="O8" s="8"/>
      <c r="P8" s="8"/>
      <c r="Q8" s="8"/>
      <c r="R8" s="8"/>
      <c r="S8" s="10"/>
    </row>
    <row r="9" spans="1:19" s="4" customFormat="1" ht="11.15" customHeight="1" x14ac:dyDescent="0.25">
      <c r="A9" s="10" t="s">
        <v>88</v>
      </c>
      <c r="B9" s="8"/>
      <c r="C9" s="8"/>
      <c r="D9" s="8"/>
      <c r="E9" s="8"/>
      <c r="F9" s="8"/>
      <c r="G9" s="8"/>
      <c r="H9" s="8"/>
      <c r="I9" s="8"/>
      <c r="J9" s="10"/>
      <c r="K9" s="8"/>
      <c r="L9" s="8"/>
      <c r="M9" s="8"/>
      <c r="N9" s="8"/>
      <c r="O9" s="8"/>
      <c r="P9" s="8"/>
      <c r="Q9" s="8"/>
      <c r="R9" s="8"/>
      <c r="S9" s="10"/>
    </row>
    <row r="10" spans="1:19" s="4" customFormat="1" ht="11.15" customHeight="1" x14ac:dyDescent="0.25">
      <c r="A10" s="13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s="4" customFormat="1" ht="11.15" customHeight="1" x14ac:dyDescent="0.25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s="4" customFormat="1" ht="11.15" customHeight="1" x14ac:dyDescent="0.25">
      <c r="I12" s="16"/>
      <c r="J12" s="16"/>
      <c r="K12" s="16" t="s">
        <v>2</v>
      </c>
      <c r="L12" s="16"/>
      <c r="M12" s="16"/>
      <c r="O12" s="16"/>
      <c r="P12" s="16"/>
      <c r="Q12" s="16" t="s">
        <v>3</v>
      </c>
      <c r="R12" s="16"/>
      <c r="S12" s="16"/>
    </row>
    <row r="13" spans="1:19" s="4" customFormat="1" ht="11.15" customHeight="1" x14ac:dyDescent="0.25">
      <c r="O13" s="4" t="s">
        <v>4</v>
      </c>
      <c r="Q13" s="4" t="s">
        <v>5</v>
      </c>
      <c r="S13" s="4" t="s">
        <v>6</v>
      </c>
    </row>
    <row r="14" spans="1:19" s="4" customFormat="1" ht="11.15" customHeight="1" x14ac:dyDescent="0.25">
      <c r="A14" s="5"/>
      <c r="G14" s="16" t="s">
        <v>7</v>
      </c>
      <c r="I14" s="16"/>
      <c r="J14" s="16" t="s">
        <v>8</v>
      </c>
      <c r="K14" s="16"/>
      <c r="M14" s="16" t="s">
        <v>9</v>
      </c>
      <c r="O14" s="16" t="s">
        <v>10</v>
      </c>
      <c r="Q14" s="16" t="s">
        <v>11</v>
      </c>
      <c r="S14" s="16" t="s">
        <v>86</v>
      </c>
    </row>
    <row r="15" spans="1:19" s="4" customFormat="1" ht="11.15" customHeight="1" x14ac:dyDescent="0.25">
      <c r="E15" s="1"/>
      <c r="I15" s="16" t="s">
        <v>12</v>
      </c>
      <c r="K15" s="16" t="s">
        <v>13</v>
      </c>
    </row>
    <row r="17" spans="1:22" ht="11.15" customHeight="1" x14ac:dyDescent="0.25">
      <c r="U17" s="18"/>
      <c r="V17" s="18"/>
    </row>
    <row r="18" spans="1:22" ht="11.15" customHeight="1" x14ac:dyDescent="0.25">
      <c r="A18" s="19" t="s">
        <v>14</v>
      </c>
      <c r="B18" s="20"/>
      <c r="U18" s="18"/>
      <c r="V18" s="18"/>
    </row>
    <row r="20" spans="1:22" ht="11.15" customHeight="1" x14ac:dyDescent="0.25">
      <c r="B20" s="21" t="s">
        <v>15</v>
      </c>
    </row>
    <row r="21" spans="1:22" ht="11.15" customHeight="1" x14ac:dyDescent="0.25">
      <c r="C21" s="21" t="s">
        <v>16</v>
      </c>
      <c r="D21" s="21"/>
      <c r="F21" s="22"/>
      <c r="G21" s="23">
        <f>K21+M21+I21</f>
        <v>299077</v>
      </c>
      <c r="H21" s="22"/>
      <c r="I21" s="24">
        <v>0</v>
      </c>
      <c r="J21" s="22"/>
      <c r="K21" s="24">
        <v>29665</v>
      </c>
      <c r="L21" s="25">
        <v>0</v>
      </c>
      <c r="M21" s="24">
        <v>269412</v>
      </c>
      <c r="N21" s="25">
        <v>0</v>
      </c>
      <c r="O21" s="24">
        <v>2859</v>
      </c>
      <c r="P21" s="25">
        <v>0</v>
      </c>
      <c r="Q21" s="24">
        <v>296218</v>
      </c>
      <c r="R21" s="22"/>
      <c r="S21" s="24">
        <v>0</v>
      </c>
      <c r="U21" s="18"/>
      <c r="V21" s="18"/>
    </row>
    <row r="22" spans="1:22" ht="11.15" customHeight="1" x14ac:dyDescent="0.25">
      <c r="G22" s="26"/>
      <c r="U22" s="18"/>
      <c r="V22" s="18"/>
    </row>
    <row r="23" spans="1:22" ht="11.15" customHeight="1" x14ac:dyDescent="0.25">
      <c r="B23" s="21" t="s">
        <v>82</v>
      </c>
      <c r="G23" s="26"/>
      <c r="U23" s="18"/>
      <c r="V23" s="18"/>
    </row>
    <row r="24" spans="1:22" ht="11.15" customHeight="1" x14ac:dyDescent="0.25">
      <c r="B24" s="21"/>
      <c r="C24" s="21"/>
      <c r="D24" s="21"/>
      <c r="G24" s="27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U24" s="18"/>
      <c r="V24" s="18"/>
    </row>
    <row r="25" spans="1:22" ht="11.15" customHeight="1" x14ac:dyDescent="0.25">
      <c r="B25" s="21"/>
      <c r="C25" s="21" t="s">
        <v>104</v>
      </c>
      <c r="D25" s="21"/>
      <c r="G25" s="29">
        <f t="shared" ref="G25:G31" si="0">K25+M25+I25</f>
        <v>34959</v>
      </c>
      <c r="H25" s="28"/>
      <c r="I25" s="30">
        <v>1059</v>
      </c>
      <c r="J25" s="28"/>
      <c r="K25" s="30">
        <v>0</v>
      </c>
      <c r="L25" s="30">
        <v>0</v>
      </c>
      <c r="M25" s="30">
        <v>33900</v>
      </c>
      <c r="N25" s="30">
        <v>0</v>
      </c>
      <c r="O25" s="30">
        <v>0</v>
      </c>
      <c r="P25" s="30">
        <v>0</v>
      </c>
      <c r="Q25" s="30">
        <v>34959</v>
      </c>
      <c r="R25" s="28"/>
      <c r="S25" s="30">
        <v>0</v>
      </c>
      <c r="U25" s="18"/>
      <c r="V25" s="18"/>
    </row>
    <row r="26" spans="1:22" ht="11.15" customHeight="1" x14ac:dyDescent="0.25">
      <c r="B26" s="31"/>
      <c r="C26" s="31" t="s">
        <v>25</v>
      </c>
      <c r="G26" s="29">
        <f t="shared" si="0"/>
        <v>931564</v>
      </c>
      <c r="H26" s="28"/>
      <c r="I26" s="30">
        <v>68621</v>
      </c>
      <c r="J26" s="28"/>
      <c r="K26" s="30">
        <v>0</v>
      </c>
      <c r="L26" s="30">
        <v>0</v>
      </c>
      <c r="M26" s="30">
        <v>862943</v>
      </c>
      <c r="N26" s="30">
        <v>0</v>
      </c>
      <c r="O26" s="30">
        <v>0</v>
      </c>
      <c r="P26" s="30">
        <v>0</v>
      </c>
      <c r="Q26" s="30">
        <v>931564</v>
      </c>
      <c r="R26" s="28"/>
      <c r="S26" s="30">
        <v>0</v>
      </c>
      <c r="U26" s="18"/>
      <c r="V26" s="18"/>
    </row>
    <row r="27" spans="1:22" ht="11.15" customHeight="1" x14ac:dyDescent="0.25">
      <c r="B27" s="31"/>
      <c r="C27" s="32" t="s">
        <v>107</v>
      </c>
      <c r="D27" s="33"/>
      <c r="E27" s="33"/>
    </row>
    <row r="28" spans="1:22" ht="11.15" customHeight="1" x14ac:dyDescent="0.25">
      <c r="B28" s="31"/>
      <c r="C28" s="32"/>
      <c r="D28" s="33" t="s">
        <v>106</v>
      </c>
      <c r="E28" s="33"/>
      <c r="G28" s="29">
        <f>K28+M28+I28</f>
        <v>1218607</v>
      </c>
      <c r="H28" s="28"/>
      <c r="I28" s="30">
        <v>0</v>
      </c>
      <c r="J28" s="28"/>
      <c r="K28" s="30">
        <v>0</v>
      </c>
      <c r="L28" s="30">
        <v>0</v>
      </c>
      <c r="M28" s="30">
        <v>1218607</v>
      </c>
      <c r="N28" s="30">
        <v>0</v>
      </c>
      <c r="O28" s="30">
        <v>0</v>
      </c>
      <c r="P28" s="30">
        <v>0</v>
      </c>
      <c r="Q28" s="30">
        <v>1218607</v>
      </c>
      <c r="R28" s="28"/>
      <c r="S28" s="30">
        <v>0</v>
      </c>
      <c r="U28" s="18"/>
      <c r="V28" s="18"/>
    </row>
    <row r="29" spans="1:22" ht="11.15" customHeight="1" x14ac:dyDescent="0.25">
      <c r="B29" s="21"/>
      <c r="C29" s="21" t="s">
        <v>18</v>
      </c>
      <c r="D29" s="21"/>
      <c r="G29" s="29">
        <f t="shared" si="0"/>
        <v>129974</v>
      </c>
      <c r="H29" s="28"/>
      <c r="I29" s="30">
        <v>58617</v>
      </c>
      <c r="J29" s="28"/>
      <c r="K29" s="30">
        <v>0</v>
      </c>
      <c r="L29" s="30">
        <v>0</v>
      </c>
      <c r="M29" s="30">
        <v>71357</v>
      </c>
      <c r="N29" s="30">
        <v>0</v>
      </c>
      <c r="O29" s="30">
        <v>0</v>
      </c>
      <c r="P29" s="30">
        <v>0</v>
      </c>
      <c r="Q29" s="30">
        <v>129974</v>
      </c>
      <c r="R29" s="28"/>
      <c r="S29" s="30">
        <v>0</v>
      </c>
      <c r="U29" s="18"/>
      <c r="V29" s="18"/>
    </row>
    <row r="30" spans="1:22" ht="11.15" customHeight="1" x14ac:dyDescent="0.25">
      <c r="B30" s="21"/>
      <c r="C30" s="21" t="s">
        <v>19</v>
      </c>
      <c r="D30" s="21"/>
      <c r="G30" s="29">
        <f t="shared" si="0"/>
        <v>123138</v>
      </c>
      <c r="H30" s="28"/>
      <c r="I30" s="34">
        <v>35337</v>
      </c>
      <c r="J30" s="34"/>
      <c r="K30" s="34">
        <v>0</v>
      </c>
      <c r="L30" s="34">
        <v>0</v>
      </c>
      <c r="M30" s="34">
        <v>87801</v>
      </c>
      <c r="N30" s="34">
        <v>0</v>
      </c>
      <c r="O30" s="34">
        <v>0</v>
      </c>
      <c r="P30" s="34">
        <v>0</v>
      </c>
      <c r="Q30" s="34">
        <v>123138</v>
      </c>
      <c r="R30" s="34"/>
      <c r="S30" s="34">
        <v>0</v>
      </c>
      <c r="U30" s="18"/>
      <c r="V30" s="18"/>
    </row>
    <row r="31" spans="1:22" ht="11.15" customHeight="1" x14ac:dyDescent="0.25">
      <c r="B31" s="21"/>
      <c r="C31" s="21" t="s">
        <v>105</v>
      </c>
      <c r="D31" s="21"/>
      <c r="G31" s="35">
        <f t="shared" si="0"/>
        <v>12714</v>
      </c>
      <c r="H31" s="28"/>
      <c r="I31" s="36">
        <v>5000</v>
      </c>
      <c r="J31" s="28"/>
      <c r="K31" s="36">
        <v>3631</v>
      </c>
      <c r="L31" s="28"/>
      <c r="M31" s="36">
        <v>4083</v>
      </c>
      <c r="N31" s="28"/>
      <c r="O31" s="36" t="s">
        <v>17</v>
      </c>
      <c r="P31" s="28"/>
      <c r="Q31" s="36">
        <v>12714</v>
      </c>
      <c r="S31" s="36" t="s">
        <v>17</v>
      </c>
      <c r="U31" s="18"/>
      <c r="V31" s="18"/>
    </row>
    <row r="32" spans="1:22" ht="11.15" customHeight="1" x14ac:dyDescent="0.25">
      <c r="G32" s="27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U32" s="18"/>
      <c r="V32" s="18"/>
    </row>
    <row r="33" spans="1:22" ht="11.15" customHeight="1" x14ac:dyDescent="0.25">
      <c r="B33" s="21"/>
      <c r="C33" s="21" t="s">
        <v>20</v>
      </c>
      <c r="D33" s="21"/>
      <c r="G33" s="35">
        <f>SUM(G24:G31)</f>
        <v>2450956</v>
      </c>
      <c r="H33" s="37"/>
      <c r="I33" s="36">
        <f>SUM(I24:I31)</f>
        <v>168634</v>
      </c>
      <c r="J33" s="37"/>
      <c r="K33" s="36">
        <f>SUM(K24:K31)</f>
        <v>3631</v>
      </c>
      <c r="L33" s="37"/>
      <c r="M33" s="36">
        <f>SUM(M24:M31)</f>
        <v>2278691</v>
      </c>
      <c r="N33" s="37"/>
      <c r="O33" s="36">
        <f>SUM(O24:O31)</f>
        <v>0</v>
      </c>
      <c r="P33" s="37"/>
      <c r="Q33" s="36">
        <f>SUM(Q24:Q31)</f>
        <v>2450956</v>
      </c>
      <c r="R33" s="37"/>
      <c r="S33" s="36" t="s">
        <v>17</v>
      </c>
      <c r="U33" s="18"/>
      <c r="V33" s="18"/>
    </row>
    <row r="34" spans="1:22" ht="11.15" customHeight="1" x14ac:dyDescent="0.25">
      <c r="G34" s="26"/>
      <c r="U34" s="18"/>
      <c r="V34" s="18"/>
    </row>
    <row r="35" spans="1:22" ht="11.15" customHeight="1" x14ac:dyDescent="0.25">
      <c r="A35" s="31"/>
      <c r="B35" s="21" t="s">
        <v>21</v>
      </c>
      <c r="G35" s="26"/>
      <c r="U35" s="18"/>
      <c r="V35" s="18"/>
    </row>
    <row r="36" spans="1:22" ht="11.15" customHeight="1" x14ac:dyDescent="0.25">
      <c r="A36" s="21" t="s">
        <v>22</v>
      </c>
      <c r="G36" s="26"/>
      <c r="U36" s="18"/>
      <c r="V36" s="18"/>
    </row>
    <row r="37" spans="1:22" ht="11.15" customHeight="1" x14ac:dyDescent="0.25">
      <c r="A37" s="31"/>
      <c r="C37" s="38" t="s">
        <v>23</v>
      </c>
      <c r="D37" s="38"/>
      <c r="G37" s="29">
        <f>K37+M37+I37</f>
        <v>4305793</v>
      </c>
      <c r="H37" s="28"/>
      <c r="I37" s="30">
        <v>0</v>
      </c>
      <c r="J37" s="28"/>
      <c r="K37" s="30">
        <v>1117753</v>
      </c>
      <c r="L37" s="28"/>
      <c r="M37" s="30">
        <v>3188040</v>
      </c>
      <c r="N37" s="28"/>
      <c r="O37" s="30">
        <v>0</v>
      </c>
      <c r="P37" s="28"/>
      <c r="Q37" s="30">
        <v>4305793</v>
      </c>
      <c r="R37" s="28"/>
      <c r="S37" s="30">
        <v>0</v>
      </c>
      <c r="U37" s="18"/>
      <c r="V37" s="18"/>
    </row>
    <row r="38" spans="1:22" ht="11.15" customHeight="1" x14ac:dyDescent="0.25">
      <c r="A38" s="31"/>
      <c r="B38" s="31"/>
      <c r="C38" s="21" t="s">
        <v>24</v>
      </c>
      <c r="D38" s="21"/>
      <c r="G38" s="29">
        <f>K38+M38+I38</f>
        <v>142404</v>
      </c>
      <c r="H38" s="28"/>
      <c r="I38" s="30">
        <v>0</v>
      </c>
      <c r="J38" s="28"/>
      <c r="K38" s="30">
        <v>3752</v>
      </c>
      <c r="L38" s="28"/>
      <c r="M38" s="30">
        <v>138652</v>
      </c>
      <c r="N38" s="28"/>
      <c r="O38" s="30">
        <v>46998</v>
      </c>
      <c r="P38" s="28"/>
      <c r="Q38" s="30">
        <v>95406</v>
      </c>
      <c r="R38" s="28"/>
      <c r="S38" s="30">
        <v>0</v>
      </c>
      <c r="U38" s="18"/>
      <c r="V38" s="18"/>
    </row>
    <row r="39" spans="1:22" ht="11.15" hidden="1" customHeight="1" x14ac:dyDescent="0.25">
      <c r="A39" s="31"/>
      <c r="C39" s="38" t="s">
        <v>26</v>
      </c>
      <c r="D39" s="38"/>
      <c r="G39" s="29">
        <f t="shared" ref="G39:G44" si="1">K39+M39+I39</f>
        <v>0</v>
      </c>
      <c r="H39" s="28"/>
      <c r="I39" s="30">
        <v>0</v>
      </c>
      <c r="J39" s="28"/>
      <c r="K39" s="30">
        <v>0</v>
      </c>
      <c r="L39" s="28"/>
      <c r="M39" s="30">
        <v>0</v>
      </c>
      <c r="N39" s="28"/>
      <c r="O39" s="30">
        <v>0</v>
      </c>
      <c r="P39" s="28"/>
      <c r="Q39" s="30">
        <v>0</v>
      </c>
      <c r="R39" s="28"/>
      <c r="S39" s="30">
        <v>0</v>
      </c>
      <c r="U39" s="18"/>
      <c r="V39" s="18"/>
    </row>
    <row r="40" spans="1:22" ht="11.15" customHeight="1" x14ac:dyDescent="0.25">
      <c r="A40" s="31"/>
      <c r="C40" s="21" t="s">
        <v>27</v>
      </c>
      <c r="D40" s="21"/>
      <c r="G40" s="29">
        <f t="shared" si="1"/>
        <v>16144</v>
      </c>
      <c r="H40" s="28"/>
      <c r="I40" s="30">
        <v>0</v>
      </c>
      <c r="J40" s="28"/>
      <c r="K40" s="30">
        <v>0</v>
      </c>
      <c r="L40" s="28"/>
      <c r="M40" s="30">
        <v>16144</v>
      </c>
      <c r="N40" s="28"/>
      <c r="O40" s="30">
        <v>0</v>
      </c>
      <c r="P40" s="28"/>
      <c r="Q40" s="30">
        <v>16144</v>
      </c>
      <c r="R40" s="28"/>
      <c r="S40" s="30">
        <v>0</v>
      </c>
      <c r="U40" s="18"/>
      <c r="V40" s="18"/>
    </row>
    <row r="41" spans="1:22" ht="11.15" customHeight="1" x14ac:dyDescent="0.25">
      <c r="A41" s="31"/>
      <c r="C41" s="21" t="s">
        <v>102</v>
      </c>
      <c r="D41" s="21"/>
      <c r="G41" s="29">
        <f t="shared" si="1"/>
        <v>726617</v>
      </c>
      <c r="H41" s="28"/>
      <c r="I41" s="30">
        <v>29834</v>
      </c>
      <c r="J41" s="28"/>
      <c r="K41" s="30">
        <v>42019</v>
      </c>
      <c r="L41" s="28"/>
      <c r="M41" s="30">
        <v>654764</v>
      </c>
      <c r="N41" s="28"/>
      <c r="O41" s="30">
        <v>252</v>
      </c>
      <c r="P41" s="28"/>
      <c r="Q41" s="30">
        <v>726365</v>
      </c>
      <c r="R41" s="28"/>
      <c r="S41" s="30">
        <v>0</v>
      </c>
      <c r="U41" s="18"/>
      <c r="V41" s="18"/>
    </row>
    <row r="42" spans="1:22" ht="11.15" customHeight="1" x14ac:dyDescent="0.25">
      <c r="A42" s="31"/>
      <c r="C42" s="21" t="s">
        <v>103</v>
      </c>
      <c r="D42" s="21"/>
      <c r="G42" s="29">
        <f t="shared" si="1"/>
        <v>111257</v>
      </c>
      <c r="H42" s="28"/>
      <c r="I42" s="30">
        <v>0</v>
      </c>
      <c r="J42" s="28"/>
      <c r="K42" s="30">
        <v>45215</v>
      </c>
      <c r="L42" s="28"/>
      <c r="M42" s="30">
        <v>66042</v>
      </c>
      <c r="N42" s="28"/>
      <c r="O42" s="30">
        <v>5405</v>
      </c>
      <c r="P42" s="28"/>
      <c r="Q42" s="30">
        <v>105852</v>
      </c>
      <c r="R42" s="28"/>
      <c r="S42" s="30">
        <v>0</v>
      </c>
      <c r="U42" s="18"/>
      <c r="V42" s="18"/>
    </row>
    <row r="43" spans="1:22" ht="11.15" customHeight="1" x14ac:dyDescent="0.25">
      <c r="A43" s="31"/>
      <c r="C43" s="38" t="s">
        <v>28</v>
      </c>
      <c r="D43" s="38"/>
      <c r="G43" s="29">
        <f t="shared" si="1"/>
        <v>3273405</v>
      </c>
      <c r="H43" s="28"/>
      <c r="I43" s="30">
        <v>20878</v>
      </c>
      <c r="J43" s="28"/>
      <c r="K43" s="30">
        <v>7505</v>
      </c>
      <c r="L43" s="28"/>
      <c r="M43" s="30">
        <v>3245022</v>
      </c>
      <c r="N43" s="28"/>
      <c r="O43" s="30">
        <v>4669</v>
      </c>
      <c r="P43" s="28"/>
      <c r="Q43" s="30">
        <v>3268736</v>
      </c>
      <c r="R43" s="28"/>
      <c r="S43" s="30">
        <v>0</v>
      </c>
      <c r="U43" s="18"/>
      <c r="V43" s="18"/>
    </row>
    <row r="44" spans="1:22" ht="11.15" customHeight="1" x14ac:dyDescent="0.25">
      <c r="A44" s="31"/>
      <c r="C44" s="38" t="s">
        <v>29</v>
      </c>
      <c r="D44" s="38"/>
      <c r="G44" s="29">
        <f t="shared" si="1"/>
        <v>999589</v>
      </c>
      <c r="H44" s="28"/>
      <c r="I44" s="30">
        <v>6147</v>
      </c>
      <c r="J44" s="28"/>
      <c r="K44" s="30">
        <v>50895</v>
      </c>
      <c r="L44" s="28"/>
      <c r="M44" s="30">
        <v>942547</v>
      </c>
      <c r="N44" s="28"/>
      <c r="O44" s="30">
        <v>45518</v>
      </c>
      <c r="P44" s="28"/>
      <c r="Q44" s="30">
        <v>954071</v>
      </c>
      <c r="R44" s="28"/>
      <c r="S44" s="30">
        <v>0</v>
      </c>
      <c r="U44" s="18"/>
      <c r="V44" s="18"/>
    </row>
    <row r="45" spans="1:22" ht="11.15" customHeight="1" x14ac:dyDescent="0.25">
      <c r="A45" s="31"/>
      <c r="C45" s="21" t="s">
        <v>110</v>
      </c>
      <c r="D45" s="21"/>
      <c r="G45" s="29"/>
      <c r="H45" s="28"/>
      <c r="I45" s="30"/>
      <c r="J45" s="28"/>
      <c r="K45" s="30"/>
      <c r="L45" s="28"/>
      <c r="M45" s="30"/>
      <c r="N45" s="28"/>
      <c r="O45" s="30"/>
      <c r="P45" s="28"/>
      <c r="Q45" s="30"/>
      <c r="R45" s="28"/>
      <c r="S45" s="28"/>
      <c r="U45" s="18"/>
      <c r="V45" s="18"/>
    </row>
    <row r="46" spans="1:22" ht="11.15" customHeight="1" x14ac:dyDescent="0.25">
      <c r="A46" s="31"/>
      <c r="D46" s="38" t="s">
        <v>31</v>
      </c>
      <c r="E46" s="38"/>
      <c r="G46" s="29">
        <f t="shared" ref="G46:G55" si="2">K46+M46+I46</f>
        <v>64478</v>
      </c>
      <c r="H46" s="28"/>
      <c r="I46" s="30">
        <v>11697</v>
      </c>
      <c r="J46" s="28"/>
      <c r="K46" s="30">
        <v>0</v>
      </c>
      <c r="L46" s="28"/>
      <c r="M46" s="30">
        <v>52781</v>
      </c>
      <c r="N46" s="28"/>
      <c r="O46" s="30">
        <v>-7933</v>
      </c>
      <c r="P46" s="28"/>
      <c r="Q46" s="30">
        <v>72411</v>
      </c>
      <c r="R46" s="28"/>
      <c r="S46" s="30">
        <v>0</v>
      </c>
      <c r="U46" s="18"/>
      <c r="V46" s="18"/>
    </row>
    <row r="47" spans="1:22" ht="11.15" hidden="1" customHeight="1" x14ac:dyDescent="0.25">
      <c r="D47" s="21" t="s">
        <v>32</v>
      </c>
      <c r="E47" s="21"/>
      <c r="G47" s="29">
        <f t="shared" si="2"/>
        <v>0</v>
      </c>
      <c r="H47" s="28"/>
      <c r="I47" s="30">
        <v>0</v>
      </c>
      <c r="J47" s="28"/>
      <c r="K47" s="30">
        <v>0</v>
      </c>
      <c r="L47" s="28"/>
      <c r="M47" s="30">
        <v>0</v>
      </c>
      <c r="N47" s="28"/>
      <c r="O47" s="30">
        <v>0</v>
      </c>
      <c r="P47" s="28"/>
      <c r="Q47" s="30">
        <v>0</v>
      </c>
      <c r="R47" s="28"/>
      <c r="S47" s="30">
        <v>0</v>
      </c>
      <c r="U47" s="18"/>
      <c r="V47" s="18"/>
    </row>
    <row r="48" spans="1:22" ht="11.15" customHeight="1" x14ac:dyDescent="0.25">
      <c r="A48" s="31"/>
      <c r="C48" s="21" t="s">
        <v>33</v>
      </c>
      <c r="D48" s="21"/>
      <c r="G48" s="29">
        <f t="shared" si="2"/>
        <v>132279</v>
      </c>
      <c r="H48" s="28"/>
      <c r="I48" s="30">
        <v>0</v>
      </c>
      <c r="J48" s="28"/>
      <c r="K48" s="30">
        <v>0</v>
      </c>
      <c r="L48" s="28"/>
      <c r="M48" s="30">
        <v>132279</v>
      </c>
      <c r="N48" s="28"/>
      <c r="O48" s="30">
        <v>0</v>
      </c>
      <c r="P48" s="28"/>
      <c r="Q48" s="30">
        <v>132279</v>
      </c>
      <c r="R48" s="28"/>
      <c r="S48" s="30">
        <v>0</v>
      </c>
      <c r="U48" s="18"/>
      <c r="V48" s="18"/>
    </row>
    <row r="49" spans="1:29" ht="11.15" customHeight="1" x14ac:dyDescent="0.25">
      <c r="A49" s="31"/>
      <c r="C49" s="21" t="s">
        <v>34</v>
      </c>
      <c r="D49" s="21"/>
      <c r="G49" s="29">
        <f t="shared" si="2"/>
        <v>631931</v>
      </c>
      <c r="H49" s="28"/>
      <c r="I49" s="30">
        <v>0</v>
      </c>
      <c r="J49" s="28"/>
      <c r="K49" s="30">
        <v>71997</v>
      </c>
      <c r="L49" s="28"/>
      <c r="M49" s="30">
        <v>559934</v>
      </c>
      <c r="N49" s="28"/>
      <c r="O49" s="30">
        <v>162651</v>
      </c>
      <c r="P49" s="28"/>
      <c r="Q49" s="30">
        <v>469280</v>
      </c>
      <c r="R49" s="28"/>
      <c r="S49" s="30">
        <v>0</v>
      </c>
      <c r="U49" s="18"/>
      <c r="V49" s="18"/>
    </row>
    <row r="50" spans="1:29" ht="11.15" customHeight="1" x14ac:dyDescent="0.25">
      <c r="A50" s="31"/>
      <c r="C50" s="21" t="s">
        <v>35</v>
      </c>
      <c r="D50" s="21"/>
      <c r="G50" s="29">
        <f t="shared" si="2"/>
        <v>148383</v>
      </c>
      <c r="H50" s="28"/>
      <c r="I50" s="30">
        <v>0</v>
      </c>
      <c r="J50" s="28"/>
      <c r="K50" s="30">
        <v>0</v>
      </c>
      <c r="L50" s="28"/>
      <c r="M50" s="30">
        <v>148383</v>
      </c>
      <c r="N50" s="28"/>
      <c r="O50" s="30">
        <v>-1856</v>
      </c>
      <c r="P50" s="28"/>
      <c r="Q50" s="30">
        <v>150239</v>
      </c>
      <c r="R50" s="28"/>
      <c r="S50" s="30">
        <v>0</v>
      </c>
      <c r="U50" s="18"/>
      <c r="V50" s="18"/>
    </row>
    <row r="51" spans="1:29" ht="11.15" customHeight="1" x14ac:dyDescent="0.25">
      <c r="C51" s="21" t="s">
        <v>36</v>
      </c>
      <c r="D51" s="21"/>
      <c r="G51" s="29">
        <f t="shared" si="2"/>
        <v>953781</v>
      </c>
      <c r="H51" s="28"/>
      <c r="I51" s="30">
        <v>93338</v>
      </c>
      <c r="J51" s="28"/>
      <c r="K51" s="30">
        <v>0</v>
      </c>
      <c r="L51" s="28"/>
      <c r="M51" s="30">
        <v>860443</v>
      </c>
      <c r="N51" s="28"/>
      <c r="O51" s="30">
        <v>0</v>
      </c>
      <c r="P51" s="28"/>
      <c r="Q51" s="30">
        <v>953781</v>
      </c>
      <c r="R51" s="28"/>
      <c r="S51" s="30">
        <v>0</v>
      </c>
      <c r="U51" s="18"/>
      <c r="V51" s="18"/>
    </row>
    <row r="52" spans="1:29" ht="11.15" customHeight="1" x14ac:dyDescent="0.25">
      <c r="A52" s="31"/>
      <c r="C52" s="38" t="s">
        <v>37</v>
      </c>
      <c r="D52" s="38"/>
      <c r="G52" s="29">
        <f t="shared" si="2"/>
        <v>541721</v>
      </c>
      <c r="H52" s="28"/>
      <c r="I52" s="30">
        <v>0</v>
      </c>
      <c r="J52" s="28"/>
      <c r="K52" s="30">
        <v>55519</v>
      </c>
      <c r="L52" s="28"/>
      <c r="M52" s="30">
        <v>486202</v>
      </c>
      <c r="N52" s="28"/>
      <c r="O52" s="30">
        <v>1857</v>
      </c>
      <c r="P52" s="28"/>
      <c r="Q52" s="30">
        <v>539864</v>
      </c>
      <c r="R52" s="28"/>
      <c r="S52" s="30">
        <v>0</v>
      </c>
      <c r="U52" s="18"/>
      <c r="V52" s="18"/>
    </row>
    <row r="53" spans="1:29" ht="11.15" customHeight="1" x14ac:dyDescent="0.25">
      <c r="C53" s="21" t="s">
        <v>38</v>
      </c>
      <c r="D53" s="21"/>
      <c r="G53" s="29">
        <f t="shared" si="2"/>
        <v>49778</v>
      </c>
      <c r="H53" s="28"/>
      <c r="I53" s="30">
        <v>0</v>
      </c>
      <c r="J53" s="28"/>
      <c r="K53" s="30">
        <v>49778</v>
      </c>
      <c r="L53" s="28"/>
      <c r="M53" s="30">
        <v>0</v>
      </c>
      <c r="N53" s="28"/>
      <c r="O53" s="30">
        <v>0</v>
      </c>
      <c r="P53" s="28"/>
      <c r="Q53" s="30">
        <v>49778</v>
      </c>
      <c r="R53" s="28"/>
      <c r="S53" s="30">
        <v>0</v>
      </c>
      <c r="U53" s="18"/>
      <c r="V53" s="18"/>
    </row>
    <row r="54" spans="1:29" ht="11.15" customHeight="1" x14ac:dyDescent="0.25">
      <c r="A54" s="31"/>
      <c r="C54" s="38" t="s">
        <v>39</v>
      </c>
      <c r="D54" s="38"/>
      <c r="G54" s="29">
        <f t="shared" si="2"/>
        <v>566710</v>
      </c>
      <c r="H54" s="28"/>
      <c r="I54" s="30">
        <v>0</v>
      </c>
      <c r="J54" s="28"/>
      <c r="K54" s="30">
        <v>362283</v>
      </c>
      <c r="L54" s="28"/>
      <c r="M54" s="30">
        <v>204427</v>
      </c>
      <c r="N54" s="28"/>
      <c r="O54" s="30">
        <v>163758</v>
      </c>
      <c r="P54" s="28"/>
      <c r="Q54" s="30">
        <v>402952</v>
      </c>
      <c r="R54" s="28"/>
      <c r="S54" s="30">
        <v>0</v>
      </c>
      <c r="U54" s="18"/>
      <c r="V54" s="18"/>
    </row>
    <row r="55" spans="1:29" ht="11.15" customHeight="1" x14ac:dyDescent="0.25">
      <c r="A55" s="1"/>
      <c r="C55" s="38" t="s">
        <v>40</v>
      </c>
      <c r="D55" s="38"/>
      <c r="G55" s="35">
        <f t="shared" si="2"/>
        <v>629425</v>
      </c>
      <c r="H55" s="28"/>
      <c r="I55" s="36">
        <v>0</v>
      </c>
      <c r="J55" s="28"/>
      <c r="K55" s="36">
        <v>346578</v>
      </c>
      <c r="L55" s="28"/>
      <c r="M55" s="36">
        <v>282847</v>
      </c>
      <c r="N55" s="28"/>
      <c r="O55" s="36">
        <v>126810</v>
      </c>
      <c r="P55" s="28"/>
      <c r="Q55" s="36">
        <v>502615</v>
      </c>
      <c r="R55" s="28"/>
      <c r="S55" s="36">
        <v>0</v>
      </c>
      <c r="U55" s="18"/>
      <c r="V55" s="18"/>
    </row>
    <row r="56" spans="1:29" ht="11.15" customHeight="1" x14ac:dyDescent="0.25">
      <c r="G56" s="27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U56" s="18"/>
      <c r="V56" s="18"/>
    </row>
    <row r="57" spans="1:29" ht="11.15" customHeight="1" x14ac:dyDescent="0.25">
      <c r="A57" s="31"/>
      <c r="B57" s="21"/>
      <c r="C57" s="21" t="s">
        <v>20</v>
      </c>
      <c r="D57" s="21"/>
      <c r="G57" s="35">
        <f>SUM(G37:G55)</f>
        <v>13293695</v>
      </c>
      <c r="H57" s="37"/>
      <c r="I57" s="36">
        <f>SUM(I37:I55)</f>
        <v>161894</v>
      </c>
      <c r="J57" s="37"/>
      <c r="K57" s="36">
        <f>SUM(K37:K55)</f>
        <v>2153294</v>
      </c>
      <c r="L57" s="37"/>
      <c r="M57" s="36">
        <f>SUM(M37:M55)</f>
        <v>10978507</v>
      </c>
      <c r="N57" s="37"/>
      <c r="O57" s="36">
        <f>SUM(O37:O55)</f>
        <v>548129</v>
      </c>
      <c r="P57" s="37"/>
      <c r="Q57" s="36">
        <f>SUM(Q37:Q55)</f>
        <v>12745566</v>
      </c>
      <c r="R57" s="37"/>
      <c r="S57" s="36">
        <f>SUM(S37:S55)</f>
        <v>0</v>
      </c>
      <c r="T57" s="39"/>
      <c r="U57" s="18"/>
      <c r="V57" s="18"/>
      <c r="W57" s="1"/>
      <c r="X57" s="1"/>
      <c r="Y57" s="1"/>
      <c r="Z57" s="1"/>
      <c r="AA57" s="1"/>
      <c r="AB57" s="1"/>
      <c r="AC57" s="1"/>
    </row>
    <row r="58" spans="1:29" ht="11.15" customHeight="1" x14ac:dyDescent="0.25">
      <c r="A58" s="21" t="s">
        <v>22</v>
      </c>
      <c r="G58" s="27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U58" s="18"/>
      <c r="V58" s="18"/>
    </row>
    <row r="59" spans="1:29" ht="11.15" customHeight="1" x14ac:dyDescent="0.25">
      <c r="A59" s="21"/>
      <c r="B59" s="21" t="s">
        <v>41</v>
      </c>
      <c r="G59" s="27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U59" s="18"/>
      <c r="V59" s="18"/>
    </row>
    <row r="60" spans="1:29" ht="11.15" customHeight="1" x14ac:dyDescent="0.25">
      <c r="A60" s="21" t="s">
        <v>22</v>
      </c>
      <c r="G60" s="27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U60" s="18"/>
      <c r="V60" s="18"/>
    </row>
    <row r="61" spans="1:29" ht="11.15" hidden="1" customHeight="1" x14ac:dyDescent="0.25">
      <c r="B61" s="21" t="s">
        <v>42</v>
      </c>
      <c r="C61" s="31"/>
      <c r="D61" s="31"/>
      <c r="G61" s="29">
        <f t="shared" ref="G61:G69" si="3">K61+M61+I61</f>
        <v>0</v>
      </c>
      <c r="H61" s="30"/>
      <c r="I61" s="30" t="s">
        <v>17</v>
      </c>
      <c r="J61" s="28"/>
      <c r="K61" s="30" t="s">
        <v>17</v>
      </c>
      <c r="L61" s="28"/>
      <c r="M61" s="30" t="s">
        <v>17</v>
      </c>
      <c r="N61" s="28"/>
      <c r="O61" s="30" t="s">
        <v>17</v>
      </c>
      <c r="P61" s="28"/>
      <c r="Q61" s="30" t="s">
        <v>17</v>
      </c>
      <c r="R61" s="28"/>
      <c r="S61" s="30" t="s">
        <v>17</v>
      </c>
      <c r="U61" s="18"/>
      <c r="V61" s="18"/>
    </row>
    <row r="62" spans="1:29" ht="11.15" customHeight="1" x14ac:dyDescent="0.25">
      <c r="A62" s="31"/>
      <c r="B62" s="21"/>
      <c r="C62" s="21" t="s">
        <v>96</v>
      </c>
      <c r="D62" s="21"/>
      <c r="G62" s="29">
        <f t="shared" si="3"/>
        <v>2550247</v>
      </c>
      <c r="H62" s="28"/>
      <c r="I62" s="30">
        <v>70544</v>
      </c>
      <c r="J62" s="28"/>
      <c r="K62" s="30">
        <v>-15</v>
      </c>
      <c r="L62" s="28"/>
      <c r="M62" s="30">
        <v>2479718</v>
      </c>
      <c r="N62" s="28"/>
      <c r="O62" s="30">
        <v>3334</v>
      </c>
      <c r="P62" s="28"/>
      <c r="Q62" s="30">
        <v>2546913</v>
      </c>
      <c r="R62" s="28"/>
      <c r="S62" s="30">
        <v>0</v>
      </c>
      <c r="U62" s="18"/>
      <c r="V62" s="18"/>
    </row>
    <row r="63" spans="1:29" ht="11.15" customHeight="1" x14ac:dyDescent="0.25">
      <c r="A63" s="31"/>
      <c r="B63" s="21"/>
      <c r="C63" s="21" t="s">
        <v>83</v>
      </c>
      <c r="D63" s="21"/>
      <c r="G63" s="29">
        <f t="shared" si="3"/>
        <v>2013801</v>
      </c>
      <c r="H63" s="28"/>
      <c r="I63" s="30">
        <v>312661</v>
      </c>
      <c r="J63" s="28"/>
      <c r="K63" s="30">
        <v>5041</v>
      </c>
      <c r="L63" s="28"/>
      <c r="M63" s="30">
        <v>1696099</v>
      </c>
      <c r="N63" s="28"/>
      <c r="O63" s="30">
        <v>3500</v>
      </c>
      <c r="P63" s="28"/>
      <c r="Q63" s="30">
        <v>2010301</v>
      </c>
      <c r="R63" s="28"/>
      <c r="S63" s="30">
        <v>0</v>
      </c>
      <c r="U63" s="18"/>
      <c r="V63" s="18"/>
    </row>
    <row r="64" spans="1:29" ht="11.15" customHeight="1" x14ac:dyDescent="0.25">
      <c r="B64" s="21"/>
      <c r="C64" s="21" t="s">
        <v>43</v>
      </c>
      <c r="D64" s="21"/>
      <c r="G64" s="29">
        <f t="shared" si="3"/>
        <v>42005</v>
      </c>
      <c r="H64" s="28"/>
      <c r="I64" s="30">
        <v>42005</v>
      </c>
      <c r="J64" s="28"/>
      <c r="K64" s="30">
        <v>0</v>
      </c>
      <c r="L64" s="28"/>
      <c r="M64" s="30">
        <v>0</v>
      </c>
      <c r="N64" s="28"/>
      <c r="O64" s="30">
        <v>0</v>
      </c>
      <c r="P64" s="28"/>
      <c r="Q64" s="30">
        <v>42005</v>
      </c>
      <c r="R64" s="28"/>
      <c r="S64" s="30">
        <v>0</v>
      </c>
      <c r="U64" s="18"/>
      <c r="V64" s="18"/>
    </row>
    <row r="65" spans="1:22" ht="11.15" hidden="1" customHeight="1" x14ac:dyDescent="0.25">
      <c r="B65" s="21"/>
      <c r="C65" s="21" t="s">
        <v>44</v>
      </c>
      <c r="D65" s="21"/>
      <c r="G65" s="29">
        <f t="shared" si="3"/>
        <v>0</v>
      </c>
      <c r="H65" s="28"/>
      <c r="I65" s="30">
        <v>0</v>
      </c>
      <c r="J65" s="28"/>
      <c r="K65" s="30">
        <v>0</v>
      </c>
      <c r="L65" s="28"/>
      <c r="M65" s="30">
        <v>0</v>
      </c>
      <c r="N65" s="28"/>
      <c r="O65" s="30">
        <v>0</v>
      </c>
      <c r="P65" s="28"/>
      <c r="Q65" s="30">
        <v>0</v>
      </c>
      <c r="R65" s="28"/>
      <c r="S65" s="30">
        <v>0</v>
      </c>
      <c r="U65" s="18"/>
      <c r="V65" s="18"/>
    </row>
    <row r="66" spans="1:22" ht="11.15" customHeight="1" x14ac:dyDescent="0.25">
      <c r="B66" s="21"/>
      <c r="C66" s="21" t="s">
        <v>45</v>
      </c>
      <c r="D66" s="21"/>
      <c r="G66" s="29">
        <f t="shared" si="3"/>
        <v>14480</v>
      </c>
      <c r="H66" s="28"/>
      <c r="I66" s="30">
        <v>0</v>
      </c>
      <c r="J66" s="28"/>
      <c r="K66" s="30">
        <v>0</v>
      </c>
      <c r="L66" s="28"/>
      <c r="M66" s="30">
        <v>14480</v>
      </c>
      <c r="N66" s="28"/>
      <c r="O66" s="30">
        <v>0</v>
      </c>
      <c r="P66" s="28"/>
      <c r="Q66" s="30">
        <v>14480</v>
      </c>
      <c r="R66" s="28"/>
      <c r="S66" s="30">
        <v>0</v>
      </c>
      <c r="U66" s="18"/>
      <c r="V66" s="18"/>
    </row>
    <row r="67" spans="1:22" ht="11.15" customHeight="1" x14ac:dyDescent="0.25">
      <c r="B67" s="21"/>
      <c r="C67" s="21" t="s">
        <v>46</v>
      </c>
      <c r="D67" s="21"/>
      <c r="G67" s="29">
        <f t="shared" si="3"/>
        <v>32807</v>
      </c>
      <c r="H67" s="28"/>
      <c r="I67" s="30">
        <v>32807</v>
      </c>
      <c r="J67" s="28"/>
      <c r="K67" s="30">
        <v>0</v>
      </c>
      <c r="L67" s="28"/>
      <c r="M67" s="30">
        <v>0</v>
      </c>
      <c r="N67" s="28"/>
      <c r="O67" s="30">
        <v>0</v>
      </c>
      <c r="P67" s="28"/>
      <c r="Q67" s="30">
        <v>32807</v>
      </c>
      <c r="R67" s="28"/>
      <c r="S67" s="30">
        <v>0</v>
      </c>
      <c r="U67" s="18"/>
      <c r="V67" s="18"/>
    </row>
    <row r="68" spans="1:22" ht="10.15" customHeight="1" x14ac:dyDescent="0.25">
      <c r="B68" s="21"/>
      <c r="C68" s="21" t="s">
        <v>47</v>
      </c>
      <c r="D68" s="21"/>
      <c r="G68" s="29">
        <f t="shared" si="3"/>
        <v>95253</v>
      </c>
      <c r="H68" s="28"/>
      <c r="I68" s="30">
        <v>20000</v>
      </c>
      <c r="J68" s="28"/>
      <c r="K68" s="30">
        <v>0</v>
      </c>
      <c r="L68" s="28"/>
      <c r="M68" s="30">
        <v>75253</v>
      </c>
      <c r="N68" s="28"/>
      <c r="O68" s="30">
        <v>0</v>
      </c>
      <c r="P68" s="28"/>
      <c r="Q68" s="30">
        <v>95253</v>
      </c>
      <c r="R68" s="28"/>
      <c r="S68" s="30">
        <v>0</v>
      </c>
      <c r="U68" s="18"/>
      <c r="V68" s="18"/>
    </row>
    <row r="69" spans="1:22" ht="0.65" hidden="1" customHeight="1" x14ac:dyDescent="0.25">
      <c r="B69" s="21"/>
      <c r="C69" s="21" t="s">
        <v>84</v>
      </c>
      <c r="D69" s="21"/>
      <c r="G69" s="29">
        <f t="shared" si="3"/>
        <v>0</v>
      </c>
      <c r="H69" s="28"/>
      <c r="I69" s="30">
        <v>0</v>
      </c>
      <c r="J69" s="28"/>
      <c r="K69" s="30">
        <v>0</v>
      </c>
      <c r="L69" s="28"/>
      <c r="M69" s="30">
        <v>0</v>
      </c>
      <c r="N69" s="28"/>
      <c r="O69" s="30">
        <v>0</v>
      </c>
      <c r="P69" s="28"/>
      <c r="Q69" s="30">
        <v>0</v>
      </c>
      <c r="R69" s="28"/>
      <c r="S69" s="30">
        <v>0</v>
      </c>
      <c r="U69" s="18"/>
      <c r="V69" s="18"/>
    </row>
    <row r="70" spans="1:22" ht="10.9" hidden="1" customHeight="1" x14ac:dyDescent="0.25">
      <c r="B70" s="21"/>
      <c r="C70" s="21" t="s">
        <v>48</v>
      </c>
      <c r="D70" s="21"/>
      <c r="G70" s="29">
        <f>K70+M70+I70</f>
        <v>0</v>
      </c>
      <c r="H70" s="28"/>
      <c r="I70" s="30">
        <v>0</v>
      </c>
      <c r="J70" s="28"/>
      <c r="K70" s="30">
        <v>0</v>
      </c>
      <c r="L70" s="28"/>
      <c r="M70" s="30">
        <v>0</v>
      </c>
      <c r="N70" s="28"/>
      <c r="O70" s="30">
        <v>0</v>
      </c>
      <c r="P70" s="28"/>
      <c r="Q70" s="30">
        <v>0</v>
      </c>
      <c r="R70" s="28"/>
      <c r="S70" s="30" t="s">
        <v>79</v>
      </c>
      <c r="U70" s="18"/>
      <c r="V70" s="18"/>
    </row>
    <row r="71" spans="1:22" ht="11.15" customHeight="1" x14ac:dyDescent="0.25">
      <c r="B71" s="21"/>
      <c r="C71" s="21" t="s">
        <v>49</v>
      </c>
      <c r="D71" s="21"/>
      <c r="G71" s="29">
        <f>K71+M71+I71</f>
        <v>-10511</v>
      </c>
      <c r="H71" s="28"/>
      <c r="I71" s="30">
        <v>0</v>
      </c>
      <c r="J71" s="28"/>
      <c r="K71" s="30">
        <v>0</v>
      </c>
      <c r="L71" s="28"/>
      <c r="M71" s="30">
        <v>-10511</v>
      </c>
      <c r="N71" s="28"/>
      <c r="O71" s="30">
        <v>0</v>
      </c>
      <c r="P71" s="28"/>
      <c r="Q71" s="30">
        <v>-10511</v>
      </c>
      <c r="R71" s="28"/>
      <c r="S71" s="30">
        <v>0</v>
      </c>
      <c r="U71" s="18"/>
      <c r="V71" s="18"/>
    </row>
    <row r="72" spans="1:22" ht="11.15" customHeight="1" x14ac:dyDescent="0.25">
      <c r="A72" s="31"/>
      <c r="B72" s="38"/>
      <c r="C72" s="38" t="s">
        <v>50</v>
      </c>
      <c r="D72" s="38"/>
      <c r="G72" s="29">
        <f>K72+M72+I72</f>
        <v>67031</v>
      </c>
      <c r="H72" s="28"/>
      <c r="I72" s="30">
        <v>0</v>
      </c>
      <c r="J72" s="28"/>
      <c r="K72" s="30">
        <v>16853</v>
      </c>
      <c r="L72" s="28"/>
      <c r="M72" s="30">
        <v>50178</v>
      </c>
      <c r="N72" s="28"/>
      <c r="O72" s="30">
        <v>1475</v>
      </c>
      <c r="P72" s="28"/>
      <c r="Q72" s="30">
        <v>65556</v>
      </c>
      <c r="R72" s="28"/>
      <c r="S72" s="30">
        <v>0</v>
      </c>
      <c r="U72" s="18"/>
      <c r="V72" s="18"/>
    </row>
    <row r="73" spans="1:22" ht="11.15" customHeight="1" x14ac:dyDescent="0.25">
      <c r="B73" s="21"/>
      <c r="C73" s="21" t="s">
        <v>30</v>
      </c>
      <c r="D73" s="21"/>
      <c r="G73" s="27"/>
      <c r="H73" s="28"/>
      <c r="I73" s="30"/>
      <c r="J73" s="28"/>
      <c r="K73" s="28"/>
      <c r="L73" s="28"/>
      <c r="M73" s="28"/>
      <c r="N73" s="28"/>
      <c r="O73" s="28"/>
      <c r="P73" s="28"/>
      <c r="Q73" s="28"/>
      <c r="R73" s="28"/>
      <c r="S73" s="28"/>
      <c r="U73" s="18"/>
      <c r="V73" s="18"/>
    </row>
    <row r="74" spans="1:22" ht="11.15" customHeight="1" x14ac:dyDescent="0.25">
      <c r="C74" s="21"/>
      <c r="D74" s="21" t="s">
        <v>51</v>
      </c>
      <c r="E74" s="21"/>
      <c r="G74" s="27"/>
      <c r="H74" s="28"/>
      <c r="I74" s="30"/>
      <c r="J74" s="28"/>
      <c r="K74" s="28"/>
      <c r="L74" s="28"/>
      <c r="M74" s="28"/>
      <c r="N74" s="28"/>
      <c r="O74" s="28"/>
      <c r="P74" s="28"/>
      <c r="Q74" s="28"/>
      <c r="R74" s="28"/>
      <c r="S74" s="28"/>
      <c r="U74" s="18"/>
      <c r="V74" s="18"/>
    </row>
    <row r="75" spans="1:22" ht="11.15" customHeight="1" x14ac:dyDescent="0.25">
      <c r="E75" s="21" t="s">
        <v>92</v>
      </c>
      <c r="G75" s="29">
        <f>K75+M75+I75</f>
        <v>82586</v>
      </c>
      <c r="H75" s="28"/>
      <c r="I75" s="30">
        <v>0</v>
      </c>
      <c r="J75" s="28"/>
      <c r="K75" s="30">
        <v>10521</v>
      </c>
      <c r="L75" s="28"/>
      <c r="M75" s="30">
        <v>72065</v>
      </c>
      <c r="N75" s="28"/>
      <c r="O75" s="30">
        <v>0</v>
      </c>
      <c r="P75" s="28"/>
      <c r="Q75" s="30">
        <v>82586</v>
      </c>
      <c r="R75" s="28"/>
      <c r="S75" s="30">
        <v>0</v>
      </c>
      <c r="U75" s="18"/>
      <c r="V75" s="18"/>
    </row>
    <row r="76" spans="1:22" ht="11.15" customHeight="1" x14ac:dyDescent="0.25">
      <c r="E76" s="21" t="s">
        <v>93</v>
      </c>
      <c r="G76" s="29">
        <f>K76+M76+I76</f>
        <v>132487</v>
      </c>
      <c r="H76" s="28"/>
      <c r="I76" s="30">
        <v>0</v>
      </c>
      <c r="J76" s="28"/>
      <c r="K76" s="30">
        <v>0</v>
      </c>
      <c r="L76" s="28"/>
      <c r="M76" s="30">
        <v>132487</v>
      </c>
      <c r="N76" s="28"/>
      <c r="O76" s="30">
        <v>0</v>
      </c>
      <c r="P76" s="28"/>
      <c r="Q76" s="30">
        <v>132487</v>
      </c>
      <c r="R76" s="28"/>
      <c r="S76" s="30">
        <v>0</v>
      </c>
      <c r="U76" s="18"/>
      <c r="V76" s="18"/>
    </row>
    <row r="77" spans="1:22" ht="11.15" customHeight="1" x14ac:dyDescent="0.25">
      <c r="E77" s="21" t="s">
        <v>94</v>
      </c>
      <c r="G77" s="29">
        <f>K77+M77+I77</f>
        <v>203117</v>
      </c>
      <c r="H77" s="28"/>
      <c r="I77" s="30">
        <v>0</v>
      </c>
      <c r="J77" s="28"/>
      <c r="K77" s="30">
        <v>0</v>
      </c>
      <c r="L77" s="28"/>
      <c r="M77" s="30">
        <v>203117</v>
      </c>
      <c r="N77" s="28"/>
      <c r="O77" s="30">
        <v>0</v>
      </c>
      <c r="P77" s="28"/>
      <c r="Q77" s="30">
        <v>203117</v>
      </c>
      <c r="R77" s="28"/>
      <c r="S77" s="30">
        <v>0</v>
      </c>
      <c r="U77" s="18"/>
      <c r="V77" s="18"/>
    </row>
    <row r="78" spans="1:22" ht="11.15" customHeight="1" x14ac:dyDescent="0.25">
      <c r="E78" s="21" t="s">
        <v>95</v>
      </c>
      <c r="G78" s="29">
        <f>K78+M78+I78</f>
        <v>458800</v>
      </c>
      <c r="H78" s="28"/>
      <c r="I78" s="30">
        <v>205436</v>
      </c>
      <c r="J78" s="28"/>
      <c r="K78" s="30">
        <v>0</v>
      </c>
      <c r="L78" s="28"/>
      <c r="M78" s="30">
        <v>253364</v>
      </c>
      <c r="N78" s="28"/>
      <c r="O78" s="30">
        <v>0</v>
      </c>
      <c r="P78" s="28"/>
      <c r="Q78" s="30">
        <v>458800</v>
      </c>
      <c r="R78" s="28"/>
      <c r="S78" s="30">
        <v>0</v>
      </c>
      <c r="U78" s="18"/>
      <c r="V78" s="18"/>
    </row>
    <row r="79" spans="1:22" ht="11.15" customHeight="1" x14ac:dyDescent="0.25">
      <c r="G79" s="26"/>
    </row>
    <row r="80" spans="1:22" ht="11.15" customHeight="1" x14ac:dyDescent="0.25">
      <c r="G80" s="26"/>
    </row>
    <row r="81" spans="1:22" ht="11.15" customHeight="1" x14ac:dyDescent="0.25">
      <c r="G81" s="26"/>
    </row>
    <row r="82" spans="1:22" ht="11.15" customHeight="1" x14ac:dyDescent="0.25">
      <c r="G82" s="26"/>
    </row>
    <row r="83" spans="1:22" ht="11.15" customHeight="1" x14ac:dyDescent="0.25">
      <c r="G83" s="26"/>
    </row>
    <row r="84" spans="1:22" ht="11.15" customHeight="1" x14ac:dyDescent="0.25">
      <c r="G84" s="26"/>
    </row>
    <row r="85" spans="1:22" ht="11.15" hidden="1" customHeight="1" x14ac:dyDescent="0.25">
      <c r="G85" s="26"/>
    </row>
    <row r="86" spans="1:22" ht="11.15" customHeight="1" x14ac:dyDescent="0.25">
      <c r="G86" s="26"/>
    </row>
    <row r="87" spans="1:22" ht="11.15" customHeight="1" x14ac:dyDescent="0.25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U87" s="18"/>
      <c r="V87" s="18"/>
    </row>
    <row r="88" spans="1:22" s="4" customFormat="1" ht="11.15" customHeight="1" x14ac:dyDescent="0.25">
      <c r="G88" s="40"/>
      <c r="U88" s="18"/>
      <c r="V88" s="18"/>
    </row>
    <row r="89" spans="1:22" s="4" customFormat="1" ht="11.15" customHeight="1" x14ac:dyDescent="0.25">
      <c r="A89" s="5"/>
      <c r="G89" s="40"/>
      <c r="U89" s="18"/>
      <c r="V89" s="18"/>
    </row>
    <row r="90" spans="1:22" s="4" customFormat="1" ht="11.15" customHeight="1" x14ac:dyDescent="0.25">
      <c r="A90" s="7" t="str">
        <f>A4</f>
        <v>UNIVERSITY OF CALIFORNIA, SAN DIEGO</v>
      </c>
      <c r="B90" s="8"/>
      <c r="C90" s="8"/>
      <c r="D90" s="8"/>
      <c r="E90" s="8"/>
      <c r="F90" s="8"/>
      <c r="G90" s="4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U90" s="18"/>
      <c r="V90" s="18"/>
    </row>
    <row r="91" spans="1:22" s="4" customFormat="1" ht="11.15" customHeight="1" x14ac:dyDescent="0.25">
      <c r="A91" s="7" t="str">
        <f>A5</f>
        <v>2001-2002</v>
      </c>
      <c r="B91" s="8"/>
      <c r="C91" s="8"/>
      <c r="D91" s="8"/>
      <c r="E91" s="8"/>
      <c r="F91" s="8"/>
      <c r="G91" s="41"/>
      <c r="H91" s="8"/>
      <c r="I91" s="8"/>
      <c r="J91" s="10"/>
      <c r="K91" s="8"/>
      <c r="L91" s="8"/>
      <c r="M91" s="8"/>
      <c r="N91" s="8"/>
      <c r="O91" s="8"/>
      <c r="P91" s="8"/>
      <c r="Q91" s="8"/>
      <c r="R91" s="8"/>
      <c r="S91" s="8"/>
      <c r="U91" s="18"/>
      <c r="V91" s="18"/>
    </row>
    <row r="92" spans="1:22" s="4" customFormat="1" ht="11.15" customHeight="1" x14ac:dyDescent="0.25">
      <c r="A92" s="11"/>
      <c r="B92" s="11"/>
      <c r="C92" s="11"/>
      <c r="D92" s="11"/>
      <c r="E92" s="11"/>
      <c r="F92" s="11"/>
      <c r="G92" s="42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U92" s="18"/>
      <c r="V92" s="18"/>
    </row>
    <row r="93" spans="1:22" s="4" customFormat="1" ht="11.15" customHeight="1" x14ac:dyDescent="0.25">
      <c r="G93" s="40"/>
      <c r="S93" s="12" t="s">
        <v>1</v>
      </c>
      <c r="U93" s="18"/>
      <c r="V93" s="18"/>
    </row>
    <row r="94" spans="1:22" s="4" customFormat="1" ht="11.15" customHeight="1" x14ac:dyDescent="0.25">
      <c r="A94" s="8" t="str">
        <f>A8</f>
        <v>CURRENT FUNDS EXPENDITURES BY DEPARTMENT - FINANCIAL AID</v>
      </c>
      <c r="B94" s="8"/>
      <c r="C94" s="8"/>
      <c r="D94" s="8"/>
      <c r="E94" s="8"/>
      <c r="F94" s="8"/>
      <c r="G94" s="41"/>
      <c r="H94" s="8"/>
      <c r="I94" s="8"/>
      <c r="J94" s="10"/>
      <c r="K94" s="8"/>
      <c r="L94" s="8"/>
      <c r="M94" s="8"/>
      <c r="N94" s="8"/>
      <c r="O94" s="8"/>
      <c r="P94" s="8"/>
      <c r="Q94" s="8"/>
      <c r="R94" s="8"/>
      <c r="S94" s="10"/>
      <c r="U94" s="18"/>
      <c r="V94" s="18"/>
    </row>
    <row r="95" spans="1:22" s="4" customFormat="1" ht="11.15" customHeight="1" x14ac:dyDescent="0.25">
      <c r="A95" s="8" t="str">
        <f>A9</f>
        <v>(unaudited)</v>
      </c>
      <c r="B95" s="8"/>
      <c r="C95" s="8"/>
      <c r="D95" s="8"/>
      <c r="E95" s="8"/>
      <c r="F95" s="8"/>
      <c r="G95" s="41"/>
      <c r="H95" s="8"/>
      <c r="I95" s="8"/>
      <c r="J95" s="10"/>
      <c r="K95" s="8"/>
      <c r="L95" s="8"/>
      <c r="M95" s="8"/>
      <c r="N95" s="8"/>
      <c r="O95" s="8"/>
      <c r="P95" s="8"/>
      <c r="Q95" s="8"/>
      <c r="R95" s="8"/>
      <c r="S95" s="10"/>
      <c r="U95" s="18"/>
      <c r="V95" s="18"/>
    </row>
    <row r="96" spans="1:22" s="4" customFormat="1" ht="11.15" customHeight="1" x14ac:dyDescent="0.25">
      <c r="A96" s="13"/>
      <c r="B96" s="11"/>
      <c r="C96" s="11"/>
      <c r="D96" s="11"/>
      <c r="E96" s="11"/>
      <c r="F96" s="11"/>
      <c r="G96" s="42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U96" s="18"/>
      <c r="V96" s="18"/>
    </row>
    <row r="97" spans="1:22" s="4" customFormat="1" ht="11.15" customHeight="1" x14ac:dyDescent="0.25">
      <c r="A97" s="14"/>
      <c r="B97" s="15"/>
      <c r="C97" s="15"/>
      <c r="D97" s="15"/>
      <c r="E97" s="15"/>
      <c r="F97" s="15"/>
      <c r="G97" s="43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U97" s="18"/>
      <c r="V97" s="18"/>
    </row>
    <row r="98" spans="1:22" s="4" customFormat="1" ht="11.15" customHeight="1" x14ac:dyDescent="0.25">
      <c r="G98" s="40"/>
      <c r="I98" s="16"/>
      <c r="J98" s="16"/>
      <c r="K98" s="16" t="s">
        <v>2</v>
      </c>
      <c r="L98" s="16"/>
      <c r="M98" s="16"/>
      <c r="O98" s="16"/>
      <c r="P98" s="16"/>
      <c r="Q98" s="16" t="s">
        <v>3</v>
      </c>
      <c r="R98" s="16"/>
      <c r="S98" s="16"/>
      <c r="U98" s="18"/>
      <c r="V98" s="18"/>
    </row>
    <row r="99" spans="1:22" s="4" customFormat="1" ht="11.15" customHeight="1" x14ac:dyDescent="0.25">
      <c r="G99" s="40"/>
      <c r="O99" s="4" t="s">
        <v>4</v>
      </c>
      <c r="Q99" s="4" t="s">
        <v>5</v>
      </c>
      <c r="S99" s="4" t="s">
        <v>6</v>
      </c>
      <c r="U99" s="18"/>
      <c r="V99" s="18"/>
    </row>
    <row r="100" spans="1:22" s="4" customFormat="1" ht="11.15" customHeight="1" x14ac:dyDescent="0.25">
      <c r="A100" s="5"/>
      <c r="G100" s="44" t="s">
        <v>7</v>
      </c>
      <c r="I100" s="16"/>
      <c r="J100" s="16" t="s">
        <v>8</v>
      </c>
      <c r="K100" s="16"/>
      <c r="M100" s="16" t="s">
        <v>9</v>
      </c>
      <c r="O100" s="16" t="s">
        <v>10</v>
      </c>
      <c r="Q100" s="16" t="s">
        <v>11</v>
      </c>
      <c r="S100" s="16" t="s">
        <v>86</v>
      </c>
      <c r="U100" s="18"/>
      <c r="V100" s="18"/>
    </row>
    <row r="101" spans="1:22" s="4" customFormat="1" ht="11.15" customHeight="1" x14ac:dyDescent="0.25">
      <c r="G101" s="40"/>
      <c r="I101" s="16" t="s">
        <v>12</v>
      </c>
      <c r="K101" s="16" t="s">
        <v>13</v>
      </c>
      <c r="U101" s="18"/>
      <c r="V101" s="18"/>
    </row>
    <row r="102" spans="1:22" ht="11.15" customHeight="1" x14ac:dyDescent="0.25">
      <c r="G102" s="26"/>
      <c r="U102" s="18"/>
      <c r="V102" s="18"/>
    </row>
    <row r="103" spans="1:22" ht="11.15" customHeight="1" x14ac:dyDescent="0.25">
      <c r="A103" s="19" t="s">
        <v>14</v>
      </c>
      <c r="G103" s="26"/>
      <c r="U103" s="18"/>
      <c r="V103" s="18"/>
    </row>
    <row r="104" spans="1:22" ht="11.15" customHeight="1" x14ac:dyDescent="0.25">
      <c r="B104" s="21" t="s">
        <v>58</v>
      </c>
      <c r="G104" s="26"/>
      <c r="U104" s="18"/>
      <c r="V104" s="18"/>
    </row>
    <row r="105" spans="1:22" ht="11.15" customHeight="1" x14ac:dyDescent="0.25">
      <c r="B105" s="21"/>
      <c r="G105" s="26"/>
      <c r="U105" s="18"/>
      <c r="V105" s="18"/>
    </row>
    <row r="106" spans="1:22" ht="11.15" customHeight="1" x14ac:dyDescent="0.25">
      <c r="B106" s="21" t="s">
        <v>41</v>
      </c>
      <c r="G106" s="26"/>
      <c r="U106" s="18"/>
      <c r="V106" s="18"/>
    </row>
    <row r="107" spans="1:22" ht="11.15" customHeight="1" x14ac:dyDescent="0.25">
      <c r="D107" s="21" t="s">
        <v>58</v>
      </c>
      <c r="G107" s="26"/>
      <c r="U107" s="18"/>
      <c r="V107" s="18"/>
    </row>
    <row r="108" spans="1:22" ht="11.15" customHeight="1" x14ac:dyDescent="0.25">
      <c r="G108" s="26"/>
      <c r="U108" s="18"/>
      <c r="V108" s="18"/>
    </row>
    <row r="109" spans="1:22" ht="11.15" customHeight="1" x14ac:dyDescent="0.25">
      <c r="C109" s="21" t="s">
        <v>52</v>
      </c>
      <c r="D109" s="31"/>
      <c r="E109" s="12"/>
      <c r="G109" s="29"/>
      <c r="H109" s="28"/>
      <c r="I109" s="28"/>
      <c r="J109" s="28"/>
      <c r="K109" s="30"/>
      <c r="L109" s="28"/>
      <c r="M109" s="30"/>
      <c r="N109" s="28"/>
      <c r="O109" s="28"/>
      <c r="P109" s="28"/>
      <c r="Q109" s="30"/>
      <c r="R109" s="28"/>
      <c r="S109" s="28"/>
      <c r="U109" s="18"/>
      <c r="V109" s="18"/>
    </row>
    <row r="110" spans="1:22" ht="11.15" customHeight="1" x14ac:dyDescent="0.25">
      <c r="C110" s="21"/>
      <c r="D110" s="45" t="s">
        <v>53</v>
      </c>
      <c r="E110" s="12"/>
      <c r="G110" s="46">
        <f t="shared" ref="G110:G115" si="4">K110+M110+I110</f>
        <v>48123</v>
      </c>
      <c r="H110" s="28"/>
      <c r="I110" s="22">
        <v>0</v>
      </c>
      <c r="J110" s="28"/>
      <c r="K110" s="22">
        <v>0</v>
      </c>
      <c r="L110" s="28"/>
      <c r="M110" s="22">
        <v>48123</v>
      </c>
      <c r="N110" s="28"/>
      <c r="O110" s="22">
        <v>0</v>
      </c>
      <c r="P110" s="28"/>
      <c r="Q110" s="22">
        <v>48123</v>
      </c>
      <c r="R110" s="28"/>
      <c r="S110" s="22">
        <v>0</v>
      </c>
      <c r="U110" s="18"/>
      <c r="V110" s="18"/>
    </row>
    <row r="111" spans="1:22" ht="11.15" customHeight="1" x14ac:dyDescent="0.25">
      <c r="C111" s="21"/>
      <c r="D111" s="21" t="s">
        <v>81</v>
      </c>
      <c r="E111" s="12"/>
      <c r="G111" s="29">
        <f t="shared" si="4"/>
        <v>75594</v>
      </c>
      <c r="H111" s="28"/>
      <c r="I111" s="30">
        <v>0</v>
      </c>
      <c r="J111" s="28"/>
      <c r="K111" s="30">
        <v>0</v>
      </c>
      <c r="L111" s="28"/>
      <c r="M111" s="30">
        <v>75594</v>
      </c>
      <c r="N111" s="28"/>
      <c r="O111" s="30">
        <v>0</v>
      </c>
      <c r="P111" s="28"/>
      <c r="Q111" s="30">
        <v>75594</v>
      </c>
      <c r="R111" s="28"/>
      <c r="S111" s="30">
        <v>0</v>
      </c>
      <c r="U111" s="18"/>
      <c r="V111" s="18"/>
    </row>
    <row r="112" spans="1:22" ht="12.65" hidden="1" customHeight="1" x14ac:dyDescent="0.25">
      <c r="D112" s="21" t="s">
        <v>101</v>
      </c>
      <c r="E112" s="12"/>
      <c r="G112" s="29">
        <f t="shared" si="4"/>
        <v>0</v>
      </c>
      <c r="H112" s="28"/>
      <c r="I112" s="30">
        <v>0</v>
      </c>
      <c r="J112" s="28"/>
      <c r="K112" s="30">
        <v>0</v>
      </c>
      <c r="L112" s="28"/>
      <c r="M112" s="30">
        <v>0</v>
      </c>
      <c r="N112" s="28"/>
      <c r="O112" s="30">
        <v>0</v>
      </c>
      <c r="P112" s="28"/>
      <c r="Q112" s="30">
        <v>0</v>
      </c>
      <c r="R112" s="28"/>
      <c r="S112" s="30">
        <v>0</v>
      </c>
      <c r="U112" s="18"/>
      <c r="V112" s="18"/>
    </row>
    <row r="113" spans="1:29" ht="12" customHeight="1" x14ac:dyDescent="0.25">
      <c r="D113" s="21" t="s">
        <v>55</v>
      </c>
      <c r="E113" s="12"/>
      <c r="G113" s="29">
        <f t="shared" si="4"/>
        <v>435032</v>
      </c>
      <c r="H113" s="28"/>
      <c r="I113" s="30">
        <v>0</v>
      </c>
      <c r="J113" s="28"/>
      <c r="K113" s="30">
        <v>0</v>
      </c>
      <c r="L113" s="28"/>
      <c r="M113" s="30">
        <v>435032</v>
      </c>
      <c r="N113" s="28"/>
      <c r="O113" s="30">
        <v>0</v>
      </c>
      <c r="P113" s="28"/>
      <c r="Q113" s="30">
        <v>435032</v>
      </c>
      <c r="R113" s="28"/>
      <c r="S113" s="30">
        <v>0</v>
      </c>
      <c r="U113" s="18"/>
      <c r="V113" s="18"/>
    </row>
    <row r="114" spans="1:29" ht="10.9" hidden="1" customHeight="1" x14ac:dyDescent="0.25">
      <c r="D114" s="21" t="s">
        <v>56</v>
      </c>
      <c r="E114" s="12"/>
      <c r="G114" s="29">
        <f t="shared" si="4"/>
        <v>0</v>
      </c>
      <c r="H114" s="28"/>
      <c r="I114" s="30" t="s">
        <v>17</v>
      </c>
      <c r="J114" s="28"/>
      <c r="K114" s="30" t="s">
        <v>17</v>
      </c>
      <c r="L114" s="28"/>
      <c r="M114" s="30" t="s">
        <v>17</v>
      </c>
      <c r="N114" s="28"/>
      <c r="O114" s="30" t="s">
        <v>17</v>
      </c>
      <c r="P114" s="28"/>
      <c r="Q114" s="30" t="s">
        <v>17</v>
      </c>
      <c r="R114" s="28"/>
      <c r="S114" s="30" t="s">
        <v>17</v>
      </c>
      <c r="U114" s="18"/>
      <c r="V114" s="18"/>
    </row>
    <row r="115" spans="1:29" ht="11.15" customHeight="1" x14ac:dyDescent="0.25">
      <c r="D115" s="21" t="s">
        <v>57</v>
      </c>
      <c r="E115" s="12"/>
      <c r="G115" s="29">
        <f t="shared" si="4"/>
        <v>30000</v>
      </c>
      <c r="H115" s="28"/>
      <c r="I115" s="30" t="s">
        <v>17</v>
      </c>
      <c r="J115" s="28"/>
      <c r="K115" s="30" t="s">
        <v>17</v>
      </c>
      <c r="L115" s="28"/>
      <c r="M115" s="30">
        <v>30000</v>
      </c>
      <c r="N115" s="28"/>
      <c r="O115" s="30" t="s">
        <v>17</v>
      </c>
      <c r="P115" s="28"/>
      <c r="Q115" s="30">
        <v>30000</v>
      </c>
      <c r="R115" s="28"/>
      <c r="S115" s="30" t="s">
        <v>17</v>
      </c>
      <c r="U115" s="18"/>
      <c r="V115" s="18"/>
    </row>
    <row r="116" spans="1:29" ht="11.15" customHeight="1" x14ac:dyDescent="0.25">
      <c r="C116" s="21" t="s">
        <v>54</v>
      </c>
      <c r="D116" s="21"/>
      <c r="E116" s="12"/>
      <c r="G116" s="29">
        <f>K116+M116+I116</f>
        <v>16754</v>
      </c>
      <c r="H116" s="28"/>
      <c r="I116" s="30">
        <v>0</v>
      </c>
      <c r="J116" s="28"/>
      <c r="K116" s="30">
        <v>0</v>
      </c>
      <c r="L116" s="28"/>
      <c r="M116" s="30">
        <v>16754</v>
      </c>
      <c r="N116" s="28"/>
      <c r="O116" s="30">
        <v>0</v>
      </c>
      <c r="P116" s="28"/>
      <c r="Q116" s="30">
        <v>16754</v>
      </c>
      <c r="R116" s="28"/>
      <c r="S116" s="30">
        <v>0</v>
      </c>
      <c r="U116" s="18"/>
      <c r="V116" s="18"/>
    </row>
    <row r="117" spans="1:29" ht="12.65" customHeight="1" x14ac:dyDescent="0.25">
      <c r="C117" s="21" t="s">
        <v>90</v>
      </c>
      <c r="D117" s="21"/>
      <c r="E117" s="12"/>
      <c r="G117" s="29">
        <f>K117+M117+I117</f>
        <v>136831</v>
      </c>
      <c r="H117" s="28"/>
      <c r="I117" s="30">
        <v>0</v>
      </c>
      <c r="J117" s="28"/>
      <c r="K117" s="30">
        <v>0</v>
      </c>
      <c r="L117" s="28"/>
      <c r="M117" s="30">
        <v>136831</v>
      </c>
      <c r="N117" s="28"/>
      <c r="O117" s="30">
        <v>2820</v>
      </c>
      <c r="P117" s="28"/>
      <c r="Q117" s="30">
        <v>134011</v>
      </c>
      <c r="R117" s="28"/>
      <c r="S117" s="30">
        <v>0</v>
      </c>
      <c r="U117" s="18"/>
      <c r="V117" s="18"/>
    </row>
    <row r="118" spans="1:29" ht="11.15" customHeight="1" x14ac:dyDescent="0.25">
      <c r="B118" s="45"/>
      <c r="C118" s="45" t="s">
        <v>59</v>
      </c>
      <c r="E118" s="21"/>
      <c r="G118" s="29">
        <f t="shared" ref="G118:G126" si="5">K118+M118+I118</f>
        <v>15096</v>
      </c>
      <c r="H118" s="28"/>
      <c r="I118" s="30">
        <v>0</v>
      </c>
      <c r="J118" s="28"/>
      <c r="K118" s="30">
        <v>0</v>
      </c>
      <c r="L118" s="28"/>
      <c r="M118" s="30">
        <v>15096</v>
      </c>
      <c r="N118" s="28"/>
      <c r="O118" s="30">
        <v>13322</v>
      </c>
      <c r="P118" s="28"/>
      <c r="Q118" s="30">
        <v>1774</v>
      </c>
      <c r="R118" s="28"/>
      <c r="S118" s="30">
        <v>0</v>
      </c>
      <c r="U118" s="18"/>
      <c r="V118" s="18"/>
    </row>
    <row r="119" spans="1:29" ht="11.15" customHeight="1" x14ac:dyDescent="0.25">
      <c r="A119" s="31"/>
      <c r="B119" s="38"/>
      <c r="C119" s="38" t="s">
        <v>60</v>
      </c>
      <c r="G119" s="29">
        <f>K119+M119+I119</f>
        <v>223666</v>
      </c>
      <c r="H119" s="28"/>
      <c r="I119" s="30">
        <f>3016+6</f>
        <v>3022</v>
      </c>
      <c r="J119" s="28"/>
      <c r="K119" s="30">
        <v>1649</v>
      </c>
      <c r="L119" s="28"/>
      <c r="M119" s="30">
        <v>218995</v>
      </c>
      <c r="N119" s="28"/>
      <c r="O119" s="30">
        <v>0</v>
      </c>
      <c r="P119" s="28"/>
      <c r="Q119" s="30">
        <f>223660+6</f>
        <v>223666</v>
      </c>
      <c r="R119" s="28"/>
      <c r="S119" s="30">
        <v>0</v>
      </c>
      <c r="U119" s="18"/>
      <c r="V119" s="18"/>
    </row>
    <row r="120" spans="1:29" ht="11.15" customHeight="1" x14ac:dyDescent="0.25">
      <c r="A120" s="31"/>
      <c r="B120" s="38"/>
      <c r="C120" s="38" t="s">
        <v>61</v>
      </c>
      <c r="G120" s="29">
        <f t="shared" si="5"/>
        <v>36240</v>
      </c>
      <c r="H120" s="28"/>
      <c r="I120" s="30">
        <v>0</v>
      </c>
      <c r="J120" s="28"/>
      <c r="K120" s="30">
        <v>36000</v>
      </c>
      <c r="L120" s="28"/>
      <c r="M120" s="30">
        <v>240</v>
      </c>
      <c r="N120" s="28"/>
      <c r="O120" s="30">
        <v>0</v>
      </c>
      <c r="P120" s="28"/>
      <c r="Q120" s="30">
        <v>36240</v>
      </c>
      <c r="R120" s="28"/>
      <c r="S120" s="30">
        <v>0</v>
      </c>
      <c r="U120" s="18"/>
      <c r="V120" s="18"/>
    </row>
    <row r="121" spans="1:29" ht="11.15" customHeight="1" x14ac:dyDescent="0.25">
      <c r="A121" s="31"/>
      <c r="B121" s="21"/>
      <c r="C121" s="21" t="s">
        <v>62</v>
      </c>
      <c r="D121" s="31"/>
      <c r="G121" s="29">
        <f t="shared" si="5"/>
        <v>62892</v>
      </c>
      <c r="H121" s="28"/>
      <c r="I121" s="30">
        <v>0</v>
      </c>
      <c r="J121" s="28"/>
      <c r="K121" s="30">
        <v>0</v>
      </c>
      <c r="L121" s="28"/>
      <c r="M121" s="30">
        <v>62892</v>
      </c>
      <c r="N121" s="28"/>
      <c r="O121" s="30">
        <v>0</v>
      </c>
      <c r="P121" s="28"/>
      <c r="Q121" s="30">
        <v>62892</v>
      </c>
      <c r="R121" s="28"/>
      <c r="S121" s="30">
        <v>0</v>
      </c>
      <c r="U121" s="18"/>
      <c r="V121" s="18"/>
    </row>
    <row r="122" spans="1:29" ht="11.15" customHeight="1" x14ac:dyDescent="0.25">
      <c r="A122" s="31"/>
      <c r="B122" s="21"/>
      <c r="C122" s="21" t="s">
        <v>63</v>
      </c>
      <c r="G122" s="29">
        <f t="shared" si="5"/>
        <v>73953</v>
      </c>
      <c r="H122" s="28"/>
      <c r="I122" s="30">
        <v>57392</v>
      </c>
      <c r="J122" s="28"/>
      <c r="K122" s="30">
        <v>13300</v>
      </c>
      <c r="L122" s="28"/>
      <c r="M122" s="30">
        <v>3261</v>
      </c>
      <c r="N122" s="28"/>
      <c r="O122" s="30">
        <v>0</v>
      </c>
      <c r="P122" s="28"/>
      <c r="Q122" s="30">
        <v>73953</v>
      </c>
      <c r="R122" s="28"/>
      <c r="S122" s="30">
        <v>0</v>
      </c>
      <c r="U122" s="18"/>
      <c r="V122" s="18"/>
    </row>
    <row r="123" spans="1:29" ht="11.15" customHeight="1" x14ac:dyDescent="0.25">
      <c r="A123" s="31"/>
      <c r="B123" s="21"/>
      <c r="C123" s="21" t="s">
        <v>109</v>
      </c>
      <c r="G123" s="29">
        <f t="shared" si="5"/>
        <v>7595</v>
      </c>
      <c r="H123" s="28"/>
      <c r="I123" s="30">
        <v>0</v>
      </c>
      <c r="J123" s="28"/>
      <c r="K123" s="30">
        <v>0</v>
      </c>
      <c r="L123" s="28"/>
      <c r="M123" s="30">
        <v>7595</v>
      </c>
      <c r="N123" s="28"/>
      <c r="O123" s="30">
        <v>189</v>
      </c>
      <c r="P123" s="28"/>
      <c r="Q123" s="30">
        <v>7406</v>
      </c>
      <c r="R123" s="28"/>
      <c r="S123" s="30">
        <v>0</v>
      </c>
      <c r="U123" s="18"/>
      <c r="V123" s="18"/>
    </row>
    <row r="124" spans="1:29" ht="11.15" customHeight="1" x14ac:dyDescent="0.25">
      <c r="A124" s="31"/>
      <c r="B124" s="21"/>
      <c r="C124" s="21" t="s">
        <v>85</v>
      </c>
      <c r="G124" s="29">
        <f t="shared" si="5"/>
        <v>174292</v>
      </c>
      <c r="H124" s="28"/>
      <c r="I124" s="30">
        <v>84000</v>
      </c>
      <c r="J124" s="28"/>
      <c r="K124" s="30">
        <v>0</v>
      </c>
      <c r="L124" s="28"/>
      <c r="M124" s="30">
        <v>90292</v>
      </c>
      <c r="N124" s="28"/>
      <c r="O124" s="30">
        <v>0</v>
      </c>
      <c r="P124" s="28"/>
      <c r="Q124" s="30">
        <v>174292</v>
      </c>
      <c r="R124" s="28"/>
      <c r="S124" s="30">
        <v>0</v>
      </c>
      <c r="U124" s="18"/>
      <c r="V124" s="18"/>
    </row>
    <row r="125" spans="1:29" ht="11.15" customHeight="1" x14ac:dyDescent="0.25">
      <c r="A125" s="31"/>
      <c r="B125" s="21"/>
      <c r="C125" s="21" t="s">
        <v>64</v>
      </c>
      <c r="G125" s="29">
        <f>K125+M125+I125</f>
        <v>141091</v>
      </c>
      <c r="H125" s="28"/>
      <c r="I125" s="30">
        <v>78028</v>
      </c>
      <c r="J125" s="28"/>
      <c r="K125" s="30">
        <v>0</v>
      </c>
      <c r="L125" s="28"/>
      <c r="M125" s="30">
        <v>63063</v>
      </c>
      <c r="N125" s="28"/>
      <c r="O125" s="30">
        <v>13870</v>
      </c>
      <c r="P125" s="28"/>
      <c r="Q125" s="30">
        <v>127221</v>
      </c>
      <c r="R125" s="28"/>
      <c r="S125" s="30">
        <v>0</v>
      </c>
      <c r="U125" s="18"/>
      <c r="V125" s="18"/>
    </row>
    <row r="126" spans="1:29" ht="11.15" customHeight="1" x14ac:dyDescent="0.25">
      <c r="A126" s="31"/>
      <c r="B126" s="21"/>
      <c r="C126" s="21" t="s">
        <v>91</v>
      </c>
      <c r="D126" s="31"/>
      <c r="G126" s="35">
        <f t="shared" si="5"/>
        <v>8067</v>
      </c>
      <c r="H126" s="28"/>
      <c r="I126" s="36">
        <v>8000</v>
      </c>
      <c r="J126" s="28"/>
      <c r="K126" s="36">
        <v>0</v>
      </c>
      <c r="L126" s="28"/>
      <c r="M126" s="36">
        <v>67</v>
      </c>
      <c r="N126" s="28"/>
      <c r="O126" s="36">
        <v>0</v>
      </c>
      <c r="P126" s="28"/>
      <c r="Q126" s="36">
        <v>8067</v>
      </c>
      <c r="R126" s="28"/>
      <c r="S126" s="36">
        <v>0</v>
      </c>
      <c r="U126" s="18"/>
      <c r="V126" s="18"/>
    </row>
    <row r="127" spans="1:29" ht="11.15" customHeight="1" x14ac:dyDescent="0.25">
      <c r="G127" s="27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U127" s="18"/>
      <c r="V127" s="18"/>
    </row>
    <row r="128" spans="1:29" ht="11.15" customHeight="1" x14ac:dyDescent="0.25">
      <c r="A128" s="31"/>
      <c r="B128" s="38"/>
      <c r="C128" s="38" t="s">
        <v>20</v>
      </c>
      <c r="G128" s="35">
        <f>SUM(G61:G126)</f>
        <v>7167329</v>
      </c>
      <c r="H128" s="28"/>
      <c r="I128" s="36">
        <f>SUM(I61:I126)</f>
        <v>913895</v>
      </c>
      <c r="J128" s="28"/>
      <c r="K128" s="36">
        <f>SUM(K61:K126)</f>
        <v>83349</v>
      </c>
      <c r="L128" s="28"/>
      <c r="M128" s="36">
        <f>SUM(M61:M126)</f>
        <v>6170085</v>
      </c>
      <c r="N128" s="28"/>
      <c r="O128" s="36">
        <f>SUM(O61:O126)</f>
        <v>38510</v>
      </c>
      <c r="P128" s="28"/>
      <c r="Q128" s="36">
        <f>SUM(Q61:Q126)</f>
        <v>7128819</v>
      </c>
      <c r="R128" s="28"/>
      <c r="S128" s="36" t="s">
        <v>17</v>
      </c>
      <c r="U128" s="18"/>
      <c r="V128" s="18"/>
      <c r="W128" s="47"/>
      <c r="X128" s="47"/>
      <c r="Y128" s="47"/>
      <c r="Z128" s="47"/>
      <c r="AA128" s="47"/>
      <c r="AB128" s="47"/>
      <c r="AC128" s="47"/>
    </row>
    <row r="129" spans="1:22" ht="11.15" customHeight="1" x14ac:dyDescent="0.25">
      <c r="G129" s="26"/>
      <c r="S129" s="48"/>
      <c r="U129" s="18"/>
      <c r="V129" s="18"/>
    </row>
    <row r="130" spans="1:22" ht="11.15" customHeight="1" x14ac:dyDescent="0.25">
      <c r="A130" s="31"/>
      <c r="B130" s="21" t="s">
        <v>65</v>
      </c>
      <c r="G130" s="26"/>
      <c r="U130" s="18"/>
      <c r="V130" s="18"/>
    </row>
    <row r="131" spans="1:22" ht="10.15" customHeight="1" x14ac:dyDescent="0.25">
      <c r="G131" s="26"/>
      <c r="U131" s="18"/>
      <c r="V131" s="18"/>
    </row>
    <row r="132" spans="1:22" ht="10.9" hidden="1" customHeight="1" x14ac:dyDescent="0.25">
      <c r="D132" s="17" t="s">
        <v>80</v>
      </c>
      <c r="G132" s="29">
        <f>K132+M132+I132</f>
        <v>0</v>
      </c>
      <c r="I132" s="30">
        <v>0</v>
      </c>
      <c r="K132" s="30">
        <v>0</v>
      </c>
      <c r="M132" s="30">
        <v>0</v>
      </c>
      <c r="O132" s="30">
        <v>0</v>
      </c>
      <c r="Q132" s="30">
        <v>0</v>
      </c>
      <c r="S132" s="30">
        <v>0</v>
      </c>
      <c r="U132" s="18"/>
      <c r="V132" s="18"/>
    </row>
    <row r="133" spans="1:22" ht="11.15" customHeight="1" x14ac:dyDescent="0.25">
      <c r="C133" s="17" t="s">
        <v>111</v>
      </c>
      <c r="F133" s="22"/>
      <c r="G133" s="29">
        <f>K133+M133+I133</f>
        <v>22943</v>
      </c>
      <c r="H133" s="30"/>
      <c r="I133" s="30">
        <v>0</v>
      </c>
      <c r="J133" s="30"/>
      <c r="K133" s="30">
        <v>0</v>
      </c>
      <c r="L133" s="30"/>
      <c r="M133" s="30">
        <v>22943</v>
      </c>
      <c r="N133" s="30"/>
      <c r="O133" s="30">
        <v>0</v>
      </c>
      <c r="P133" s="30"/>
      <c r="Q133" s="30">
        <v>22943</v>
      </c>
      <c r="R133" s="30"/>
      <c r="S133" s="30">
        <v>0</v>
      </c>
      <c r="U133" s="18"/>
      <c r="V133" s="18"/>
    </row>
    <row r="134" spans="1:22" ht="11.5" customHeight="1" x14ac:dyDescent="0.25">
      <c r="C134" s="21" t="s">
        <v>52</v>
      </c>
      <c r="D134" s="21"/>
      <c r="G134" s="29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U134" s="18"/>
      <c r="V134" s="18"/>
    </row>
    <row r="135" spans="1:22" ht="10.5" customHeight="1" x14ac:dyDescent="0.25">
      <c r="D135" s="21" t="s">
        <v>66</v>
      </c>
      <c r="E135" s="21"/>
      <c r="F135" s="18"/>
      <c r="G135" s="29">
        <f>K135+M135+I135</f>
        <v>6230</v>
      </c>
      <c r="H135" s="30"/>
      <c r="I135" s="30">
        <v>0</v>
      </c>
      <c r="J135" s="30"/>
      <c r="K135" s="30">
        <v>0</v>
      </c>
      <c r="L135" s="30"/>
      <c r="M135" s="30">
        <v>6230</v>
      </c>
      <c r="N135" s="30"/>
      <c r="O135" s="30">
        <v>0</v>
      </c>
      <c r="P135" s="30"/>
      <c r="Q135" s="30">
        <v>6230</v>
      </c>
      <c r="R135" s="49"/>
      <c r="S135" s="30">
        <v>0</v>
      </c>
      <c r="U135" s="18"/>
      <c r="V135" s="18"/>
    </row>
    <row r="136" spans="1:22" ht="11.15" customHeight="1" x14ac:dyDescent="0.25">
      <c r="A136" s="21" t="s">
        <v>22</v>
      </c>
      <c r="D136" s="21" t="s">
        <v>67</v>
      </c>
      <c r="E136" s="21"/>
      <c r="G136" s="29">
        <f>K136+M136+I136</f>
        <v>215074</v>
      </c>
      <c r="H136" s="28"/>
      <c r="I136" s="30">
        <v>0</v>
      </c>
      <c r="J136" s="28"/>
      <c r="K136" s="30">
        <v>0</v>
      </c>
      <c r="L136" s="28"/>
      <c r="M136" s="30">
        <v>215074</v>
      </c>
      <c r="N136" s="28"/>
      <c r="O136" s="30">
        <v>0</v>
      </c>
      <c r="P136" s="28"/>
      <c r="Q136" s="30">
        <v>215074</v>
      </c>
      <c r="R136" s="28"/>
      <c r="S136" s="30">
        <v>0</v>
      </c>
      <c r="U136" s="18"/>
      <c r="V136" s="18"/>
    </row>
    <row r="137" spans="1:22" ht="11.15" customHeight="1" x14ac:dyDescent="0.25">
      <c r="C137" s="21" t="s">
        <v>100</v>
      </c>
      <c r="D137" s="21"/>
      <c r="E137" s="21"/>
      <c r="G137" s="29">
        <f>K137+M137+I137</f>
        <v>30234</v>
      </c>
      <c r="H137" s="28"/>
      <c r="I137" s="30">
        <v>0</v>
      </c>
      <c r="J137" s="28"/>
      <c r="K137" s="30">
        <v>0</v>
      </c>
      <c r="L137" s="28"/>
      <c r="M137" s="30">
        <v>30234</v>
      </c>
      <c r="N137" s="28"/>
      <c r="O137" s="30">
        <v>0</v>
      </c>
      <c r="P137" s="28"/>
      <c r="Q137" s="30">
        <v>30234</v>
      </c>
      <c r="R137" s="28"/>
      <c r="S137" s="30">
        <v>0</v>
      </c>
      <c r="U137" s="18"/>
      <c r="V137" s="18"/>
    </row>
    <row r="138" spans="1:22" ht="11.15" customHeight="1" x14ac:dyDescent="0.25">
      <c r="A138" s="21"/>
      <c r="C138" s="17" t="s">
        <v>68</v>
      </c>
      <c r="E138" s="21"/>
      <c r="G138" s="29"/>
      <c r="H138" s="28"/>
      <c r="I138" s="30"/>
      <c r="J138" s="28"/>
      <c r="K138" s="30"/>
      <c r="L138" s="28"/>
      <c r="M138" s="30"/>
      <c r="N138" s="28"/>
      <c r="O138" s="30"/>
      <c r="P138" s="28"/>
      <c r="Q138" s="30"/>
      <c r="R138" s="28"/>
      <c r="S138" s="30"/>
      <c r="U138" s="18"/>
      <c r="V138" s="18"/>
    </row>
    <row r="139" spans="1:22" ht="11.15" hidden="1" customHeight="1" x14ac:dyDescent="0.25">
      <c r="C139" s="1"/>
      <c r="D139" s="17" t="s">
        <v>89</v>
      </c>
      <c r="G139" s="29">
        <f t="shared" ref="G139:G144" si="6">K139+M139+I139</f>
        <v>0</v>
      </c>
      <c r="H139" s="28"/>
      <c r="I139" s="30">
        <v>0</v>
      </c>
      <c r="J139" s="28"/>
      <c r="K139" s="30">
        <v>0</v>
      </c>
      <c r="L139" s="28"/>
      <c r="M139" s="30">
        <v>0</v>
      </c>
      <c r="N139" s="28"/>
      <c r="O139" s="30">
        <v>0</v>
      </c>
      <c r="P139" s="28"/>
      <c r="Q139" s="30">
        <v>0</v>
      </c>
      <c r="R139" s="28"/>
      <c r="S139" s="30">
        <v>0</v>
      </c>
      <c r="U139" s="18"/>
      <c r="V139" s="18"/>
    </row>
    <row r="140" spans="1:22" ht="10.15" customHeight="1" x14ac:dyDescent="0.25">
      <c r="C140" s="1"/>
      <c r="D140" s="21" t="s">
        <v>69</v>
      </c>
      <c r="E140" s="21"/>
      <c r="G140" s="29">
        <f t="shared" si="6"/>
        <v>36679</v>
      </c>
      <c r="H140" s="28"/>
      <c r="I140" s="30">
        <v>0</v>
      </c>
      <c r="J140" s="28"/>
      <c r="K140" s="30">
        <v>0</v>
      </c>
      <c r="L140" s="28"/>
      <c r="M140" s="30">
        <v>36679</v>
      </c>
      <c r="N140" s="28"/>
      <c r="O140" s="30">
        <v>0</v>
      </c>
      <c r="P140" s="28"/>
      <c r="Q140" s="30">
        <v>36679</v>
      </c>
      <c r="R140" s="28"/>
      <c r="S140" s="30">
        <v>0</v>
      </c>
      <c r="U140" s="18"/>
      <c r="V140" s="18"/>
    </row>
    <row r="141" spans="1:22" ht="10.9" hidden="1" customHeight="1" x14ac:dyDescent="0.25">
      <c r="C141" s="1"/>
      <c r="D141" s="17" t="s">
        <v>70</v>
      </c>
      <c r="G141" s="29">
        <f t="shared" si="6"/>
        <v>0</v>
      </c>
      <c r="H141" s="28"/>
      <c r="I141" s="30">
        <v>0</v>
      </c>
      <c r="J141" s="28"/>
      <c r="K141" s="30">
        <v>0</v>
      </c>
      <c r="L141" s="28"/>
      <c r="M141" s="30">
        <v>0</v>
      </c>
      <c r="N141" s="28"/>
      <c r="O141" s="30">
        <v>0</v>
      </c>
      <c r="P141" s="28"/>
      <c r="Q141" s="30">
        <v>0</v>
      </c>
      <c r="R141" s="28"/>
      <c r="S141" s="30">
        <v>0</v>
      </c>
      <c r="U141" s="18"/>
      <c r="V141" s="18"/>
    </row>
    <row r="142" spans="1:22" ht="11.15" customHeight="1" x14ac:dyDescent="0.25">
      <c r="C142" s="1"/>
      <c r="D142" s="21" t="s">
        <v>71</v>
      </c>
      <c r="E142" s="21"/>
      <c r="G142" s="29">
        <f t="shared" si="6"/>
        <v>74177</v>
      </c>
      <c r="H142" s="28"/>
      <c r="I142" s="30">
        <v>0</v>
      </c>
      <c r="J142" s="28"/>
      <c r="K142" s="30">
        <v>0</v>
      </c>
      <c r="L142" s="28"/>
      <c r="M142" s="30">
        <v>74177</v>
      </c>
      <c r="N142" s="28"/>
      <c r="O142" s="30">
        <v>0</v>
      </c>
      <c r="P142" s="28"/>
      <c r="Q142" s="30">
        <v>74177</v>
      </c>
      <c r="R142" s="28"/>
      <c r="S142" s="30">
        <v>0</v>
      </c>
      <c r="U142" s="18"/>
      <c r="V142" s="18"/>
    </row>
    <row r="143" spans="1:22" ht="11.15" customHeight="1" x14ac:dyDescent="0.25">
      <c r="B143" s="1"/>
      <c r="C143" s="1"/>
      <c r="D143" s="17" t="s">
        <v>72</v>
      </c>
      <c r="G143" s="29">
        <f t="shared" si="6"/>
        <v>6184</v>
      </c>
      <c r="H143" s="28"/>
      <c r="I143" s="30">
        <v>0</v>
      </c>
      <c r="J143" s="28"/>
      <c r="K143" s="30">
        <v>0</v>
      </c>
      <c r="L143" s="28"/>
      <c r="M143" s="30">
        <v>6184</v>
      </c>
      <c r="N143" s="28"/>
      <c r="O143" s="30">
        <v>0</v>
      </c>
      <c r="P143" s="28"/>
      <c r="Q143" s="30">
        <v>6184</v>
      </c>
      <c r="R143" s="28"/>
      <c r="S143" s="30">
        <v>0</v>
      </c>
      <c r="U143" s="18"/>
      <c r="V143" s="18"/>
    </row>
    <row r="144" spans="1:22" ht="11.15" customHeight="1" x14ac:dyDescent="0.25">
      <c r="A144" s="31"/>
      <c r="B144" s="31"/>
      <c r="C144" s="21" t="s">
        <v>108</v>
      </c>
      <c r="D144" s="21"/>
      <c r="G144" s="35">
        <f t="shared" si="6"/>
        <v>340545</v>
      </c>
      <c r="H144" s="28"/>
      <c r="I144" s="36">
        <v>18568</v>
      </c>
      <c r="J144" s="28"/>
      <c r="K144" s="36">
        <v>0</v>
      </c>
      <c r="L144" s="28"/>
      <c r="M144" s="36">
        <f>323066-1089</f>
        <v>321977</v>
      </c>
      <c r="N144" s="28"/>
      <c r="O144" s="36">
        <v>0</v>
      </c>
      <c r="P144" s="28"/>
      <c r="Q144" s="36">
        <f>341634-1087-2</f>
        <v>340545</v>
      </c>
      <c r="R144" s="28"/>
      <c r="S144" s="36">
        <v>0</v>
      </c>
      <c r="U144" s="18"/>
      <c r="V144" s="18"/>
    </row>
    <row r="145" spans="1:32" ht="11.15" customHeight="1" x14ac:dyDescent="0.25">
      <c r="G145" s="27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U145" s="18"/>
      <c r="V145" s="18"/>
    </row>
    <row r="146" spans="1:32" ht="11.15" customHeight="1" x14ac:dyDescent="0.25">
      <c r="A146" s="31"/>
      <c r="C146" s="21" t="s">
        <v>20</v>
      </c>
      <c r="D146" s="21"/>
      <c r="G146" s="35">
        <f>SUM(G132:G144)</f>
        <v>732066</v>
      </c>
      <c r="H146" s="28"/>
      <c r="I146" s="36">
        <f>SUM(I132:I144)</f>
        <v>18568</v>
      </c>
      <c r="J146" s="28"/>
      <c r="K146" s="36">
        <f>SUM(K132:K144)</f>
        <v>0</v>
      </c>
      <c r="L146" s="28"/>
      <c r="M146" s="36">
        <f>SUM(M132:M144)</f>
        <v>713498</v>
      </c>
      <c r="N146" s="28"/>
      <c r="O146" s="36">
        <f>SUM(O132:O144)</f>
        <v>0</v>
      </c>
      <c r="P146" s="28"/>
      <c r="Q146" s="36">
        <f>SUM(Q132:Q144)</f>
        <v>732066</v>
      </c>
      <c r="R146" s="28"/>
      <c r="S146" s="36">
        <f>SUM(S132:S144)</f>
        <v>0</v>
      </c>
      <c r="U146" s="18"/>
      <c r="V146" s="18"/>
      <c r="W146" s="47"/>
      <c r="X146" s="47"/>
      <c r="Y146" s="47"/>
      <c r="Z146" s="47"/>
      <c r="AA146" s="47"/>
      <c r="AB146" s="47"/>
      <c r="AC146" s="47"/>
      <c r="AD146" s="1"/>
      <c r="AE146" s="47"/>
      <c r="AF146" s="1"/>
    </row>
    <row r="147" spans="1:32" ht="11.15" customHeight="1" x14ac:dyDescent="0.25">
      <c r="G147" s="27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U147" s="18"/>
      <c r="V147" s="18"/>
    </row>
    <row r="148" spans="1:32" ht="11.15" customHeight="1" x14ac:dyDescent="0.25">
      <c r="A148" s="21"/>
      <c r="B148" s="21" t="s">
        <v>73</v>
      </c>
      <c r="G148" s="27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U148" s="18"/>
      <c r="V148" s="18"/>
    </row>
    <row r="149" spans="1:32" ht="11.15" customHeight="1" x14ac:dyDescent="0.25">
      <c r="A149" s="21" t="s">
        <v>22</v>
      </c>
      <c r="G149" s="27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U149" s="18"/>
      <c r="V149" s="18"/>
    </row>
    <row r="150" spans="1:32" ht="11.15" customHeight="1" x14ac:dyDescent="0.25">
      <c r="C150" s="21" t="s">
        <v>74</v>
      </c>
      <c r="D150" s="21"/>
      <c r="G150" s="29">
        <f>K150+M150+I150</f>
        <v>7740</v>
      </c>
      <c r="H150" s="28"/>
      <c r="I150" s="30">
        <v>0</v>
      </c>
      <c r="J150" s="28"/>
      <c r="K150" s="30">
        <v>2000</v>
      </c>
      <c r="L150" s="28"/>
      <c r="M150" s="30">
        <v>5740</v>
      </c>
      <c r="N150" s="28"/>
      <c r="O150" s="30">
        <v>0</v>
      </c>
      <c r="P150" s="28"/>
      <c r="Q150" s="30">
        <v>7740</v>
      </c>
      <c r="R150" s="28"/>
      <c r="S150" s="30">
        <v>0</v>
      </c>
      <c r="U150" s="18"/>
      <c r="V150" s="18"/>
    </row>
    <row r="151" spans="1:32" ht="11.15" customHeight="1" x14ac:dyDescent="0.25">
      <c r="C151" s="21" t="s">
        <v>75</v>
      </c>
      <c r="D151" s="21"/>
      <c r="G151" s="27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U151" s="18"/>
      <c r="V151" s="18"/>
    </row>
    <row r="152" spans="1:32" ht="11.15" customHeight="1" x14ac:dyDescent="0.25">
      <c r="D152" s="21" t="s">
        <v>76</v>
      </c>
      <c r="E152" s="21"/>
      <c r="G152" s="29">
        <f>K152+M152+I152</f>
        <v>9157087</v>
      </c>
      <c r="H152" s="28"/>
      <c r="I152" s="30">
        <v>2614617</v>
      </c>
      <c r="J152" s="28"/>
      <c r="K152" s="30">
        <v>3056794</v>
      </c>
      <c r="L152" s="28"/>
      <c r="M152" s="30">
        <f>3318156+167520</f>
        <v>3485676</v>
      </c>
      <c r="N152" s="28"/>
      <c r="O152" s="30">
        <v>33096</v>
      </c>
      <c r="P152" s="28"/>
      <c r="Q152" s="30">
        <f>8989567+134424</f>
        <v>9123991</v>
      </c>
      <c r="R152" s="28"/>
      <c r="S152" s="30">
        <v>0</v>
      </c>
      <c r="U152" s="18"/>
      <c r="V152" s="18"/>
    </row>
    <row r="153" spans="1:32" ht="11.15" hidden="1" customHeight="1" x14ac:dyDescent="0.25">
      <c r="C153" s="21" t="s">
        <v>87</v>
      </c>
      <c r="D153" s="21"/>
      <c r="G153" s="29">
        <f>K153+M153+I153</f>
        <v>0</v>
      </c>
      <c r="H153" s="28"/>
      <c r="I153" s="30">
        <v>0</v>
      </c>
      <c r="J153" s="28"/>
      <c r="K153" s="30">
        <v>0</v>
      </c>
      <c r="L153" s="28"/>
      <c r="M153" s="30">
        <v>0</v>
      </c>
      <c r="N153" s="28"/>
      <c r="O153" s="30">
        <v>0</v>
      </c>
      <c r="P153" s="28"/>
      <c r="Q153" s="30">
        <v>0</v>
      </c>
      <c r="R153" s="28"/>
      <c r="S153" s="30">
        <v>0</v>
      </c>
      <c r="U153" s="18"/>
      <c r="V153" s="18"/>
    </row>
    <row r="154" spans="1:32" ht="11.15" customHeight="1" x14ac:dyDescent="0.25">
      <c r="C154" s="21" t="s">
        <v>77</v>
      </c>
      <c r="D154" s="21"/>
      <c r="G154" s="29">
        <f>K154+M154+I154</f>
        <v>33060634</v>
      </c>
      <c r="H154" s="28"/>
      <c r="I154" s="30">
        <v>-434</v>
      </c>
      <c r="J154" s="28"/>
      <c r="K154" s="30">
        <f>-19139450+29941372</f>
        <v>10801922</v>
      </c>
      <c r="L154" s="28"/>
      <c r="M154" s="30">
        <v>22259146</v>
      </c>
      <c r="N154" s="28"/>
      <c r="O154" s="30">
        <v>0</v>
      </c>
      <c r="P154" s="28"/>
      <c r="Q154" s="30">
        <f>3119262+29941372</f>
        <v>33060634</v>
      </c>
      <c r="R154" s="28"/>
      <c r="S154" s="30">
        <v>0</v>
      </c>
      <c r="U154" s="18"/>
      <c r="V154" s="18"/>
    </row>
    <row r="155" spans="1:32" ht="12.75" customHeight="1" x14ac:dyDescent="0.25">
      <c r="C155" s="21" t="s">
        <v>97</v>
      </c>
      <c r="D155" s="21"/>
      <c r="G155" s="36">
        <f>K155+M155+I155</f>
        <v>7000</v>
      </c>
      <c r="H155" s="28"/>
      <c r="I155" s="36">
        <v>0</v>
      </c>
      <c r="J155" s="28"/>
      <c r="K155" s="36">
        <v>7000</v>
      </c>
      <c r="L155" s="28"/>
      <c r="M155" s="36">
        <v>0</v>
      </c>
      <c r="N155" s="28"/>
      <c r="O155" s="36">
        <v>0</v>
      </c>
      <c r="P155" s="28"/>
      <c r="Q155" s="36">
        <v>7000</v>
      </c>
      <c r="R155" s="28"/>
      <c r="S155" s="36">
        <v>0</v>
      </c>
      <c r="U155" s="18"/>
      <c r="V155" s="18"/>
    </row>
    <row r="156" spans="1:32" ht="11.15" customHeight="1" x14ac:dyDescent="0.25"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U156" s="18"/>
      <c r="V156" s="18"/>
    </row>
    <row r="157" spans="1:32" ht="11.15" customHeight="1" x14ac:dyDescent="0.25">
      <c r="C157" s="21" t="s">
        <v>7</v>
      </c>
      <c r="D157" s="21"/>
      <c r="G157" s="36">
        <f>SUM(G150:G155)</f>
        <v>42232461</v>
      </c>
      <c r="H157" s="28"/>
      <c r="I157" s="36">
        <f>SUM(I150:I155)</f>
        <v>2614183</v>
      </c>
      <c r="J157" s="28"/>
      <c r="K157" s="36">
        <f>SUM(K150:K155)</f>
        <v>13867716</v>
      </c>
      <c r="L157" s="28"/>
      <c r="M157" s="36">
        <f>SUM(M150:M155)</f>
        <v>25750562</v>
      </c>
      <c r="N157" s="28"/>
      <c r="O157" s="36">
        <f>SUM(O150:O155)</f>
        <v>33096</v>
      </c>
      <c r="P157" s="28"/>
      <c r="Q157" s="36">
        <f>SUM(Q150:Q155)</f>
        <v>42199365</v>
      </c>
      <c r="R157" s="28"/>
      <c r="S157" s="36" t="s">
        <v>17</v>
      </c>
      <c r="U157" s="18"/>
      <c r="V157" s="18"/>
      <c r="W157" s="47"/>
      <c r="X157" s="47"/>
      <c r="Y157" s="47"/>
      <c r="Z157" s="47"/>
      <c r="AA157" s="47"/>
      <c r="AB157" s="47"/>
      <c r="AC157" s="47"/>
      <c r="AD157" s="1"/>
    </row>
    <row r="158" spans="1:32" ht="11.15" customHeight="1" x14ac:dyDescent="0.25">
      <c r="C158" s="21"/>
      <c r="D158" s="21"/>
      <c r="G158" s="34"/>
      <c r="H158" s="28"/>
      <c r="I158" s="34"/>
      <c r="J158" s="28"/>
      <c r="K158" s="34"/>
      <c r="L158" s="28"/>
      <c r="M158" s="34"/>
      <c r="N158" s="28"/>
      <c r="O158" s="34"/>
      <c r="P158" s="28"/>
      <c r="Q158" s="34"/>
      <c r="R158" s="28"/>
      <c r="S158" s="34"/>
      <c r="U158" s="18"/>
      <c r="V158" s="18"/>
      <c r="W158" s="47"/>
      <c r="X158" s="47"/>
      <c r="Y158" s="47"/>
      <c r="Z158" s="47"/>
      <c r="AA158" s="47"/>
      <c r="AB158" s="47"/>
      <c r="AC158" s="47"/>
      <c r="AD158" s="1"/>
    </row>
    <row r="159" spans="1:32" ht="11.15" customHeight="1" x14ac:dyDescent="0.25">
      <c r="B159" s="17" t="s">
        <v>113</v>
      </c>
      <c r="D159" s="21"/>
      <c r="G159" s="34">
        <f>G21+G33+G57+G128+G146+G157</f>
        <v>66175584</v>
      </c>
      <c r="H159" s="28"/>
      <c r="I159" s="34">
        <f>I21+I33+I57+I128+I146+I157</f>
        <v>3877174</v>
      </c>
      <c r="J159" s="28"/>
      <c r="K159" s="34">
        <f>K21+K33+K57+K128+K146+K157</f>
        <v>16137655</v>
      </c>
      <c r="L159" s="28"/>
      <c r="M159" s="34">
        <f>M21+M33+M57+M128+M146+M157</f>
        <v>46160755</v>
      </c>
      <c r="N159" s="28"/>
      <c r="O159" s="34">
        <f>O21+O33+O57+O128+O146+O157</f>
        <v>622594</v>
      </c>
      <c r="P159" s="28"/>
      <c r="Q159" s="34">
        <f>Q21+Q33+Q57+Q128+Q146+Q157</f>
        <v>65552990</v>
      </c>
      <c r="R159" s="28"/>
      <c r="S159" s="34">
        <f>S21+S33+S57+S128+S146+S157</f>
        <v>0</v>
      </c>
      <c r="U159" s="18"/>
      <c r="V159" s="18"/>
      <c r="W159" s="47"/>
      <c r="X159" s="47"/>
      <c r="Y159" s="47"/>
      <c r="Z159" s="47"/>
      <c r="AA159" s="47"/>
      <c r="AB159" s="47"/>
      <c r="AC159" s="47"/>
      <c r="AD159" s="1"/>
    </row>
    <row r="160" spans="1:32" ht="11.15" customHeight="1" x14ac:dyDescent="0.25">
      <c r="B160" s="12"/>
      <c r="D160" s="21"/>
      <c r="G160" s="34"/>
      <c r="H160" s="28"/>
      <c r="I160" s="34"/>
      <c r="J160" s="28"/>
      <c r="K160" s="34"/>
      <c r="L160" s="28"/>
      <c r="M160" s="34"/>
      <c r="N160" s="28"/>
      <c r="O160" s="34"/>
      <c r="P160" s="28"/>
      <c r="Q160" s="34"/>
      <c r="R160" s="28"/>
      <c r="S160" s="34"/>
      <c r="U160" s="18"/>
      <c r="V160" s="18"/>
      <c r="W160" s="47"/>
      <c r="X160" s="47"/>
      <c r="Y160" s="47"/>
      <c r="Z160" s="47"/>
      <c r="AA160" s="47"/>
      <c r="AB160" s="47"/>
      <c r="AC160" s="47"/>
      <c r="AD160" s="1"/>
    </row>
    <row r="161" spans="2:31" ht="11.15" customHeight="1" x14ac:dyDescent="0.25">
      <c r="B161" s="12"/>
      <c r="C161" s="21" t="s">
        <v>112</v>
      </c>
      <c r="D161" s="21"/>
      <c r="G161" s="36">
        <f>K161+M161+I161</f>
        <v>-29941372</v>
      </c>
      <c r="H161" s="28"/>
      <c r="I161" s="36">
        <v>0</v>
      </c>
      <c r="J161" s="28"/>
      <c r="K161" s="36">
        <v>-29941372</v>
      </c>
      <c r="L161" s="28"/>
      <c r="M161" s="36">
        <v>0</v>
      </c>
      <c r="N161" s="28"/>
      <c r="O161" s="36">
        <v>0</v>
      </c>
      <c r="P161" s="28"/>
      <c r="Q161" s="36">
        <v>-29941372</v>
      </c>
      <c r="R161" s="28"/>
      <c r="S161" s="36">
        <v>0</v>
      </c>
      <c r="U161" s="18"/>
      <c r="V161" s="18"/>
    </row>
    <row r="162" spans="2:31" ht="11.15" customHeight="1" x14ac:dyDescent="0.25">
      <c r="U162" s="18"/>
      <c r="V162" s="18"/>
      <c r="W162" s="39"/>
    </row>
    <row r="163" spans="2:31" ht="11.15" customHeight="1" thickBot="1" x14ac:dyDescent="0.3">
      <c r="B163" s="21" t="s">
        <v>78</v>
      </c>
      <c r="F163" s="22"/>
      <c r="G163" s="50">
        <f>G159+G161</f>
        <v>36234212</v>
      </c>
      <c r="H163" s="22"/>
      <c r="I163" s="50">
        <f>I159+I161</f>
        <v>3877174</v>
      </c>
      <c r="J163" s="22"/>
      <c r="K163" s="50">
        <f>K159+K161</f>
        <v>-13803717</v>
      </c>
      <c r="L163" s="22"/>
      <c r="M163" s="50">
        <f>M159+M161</f>
        <v>46160755</v>
      </c>
      <c r="N163" s="22"/>
      <c r="O163" s="50">
        <f>O159+O161</f>
        <v>622594</v>
      </c>
      <c r="P163" s="22"/>
      <c r="Q163" s="50">
        <f>Q159+Q161</f>
        <v>35611618</v>
      </c>
      <c r="R163" s="22"/>
      <c r="S163" s="50">
        <f>S159+S161</f>
        <v>0</v>
      </c>
      <c r="U163" s="18"/>
      <c r="V163" s="18"/>
      <c r="W163" s="47"/>
      <c r="X163" s="39"/>
      <c r="Y163" s="47"/>
      <c r="Z163" s="47"/>
      <c r="AA163" s="47"/>
      <c r="AB163" s="47"/>
      <c r="AC163" s="47"/>
      <c r="AD163" s="1"/>
      <c r="AE163" s="39"/>
    </row>
    <row r="164" spans="2:31" ht="11.15" customHeight="1" thickTop="1" x14ac:dyDescent="0.25"/>
  </sheetData>
  <phoneticPr fontId="0" type="noConversion"/>
  <printOptions horizontalCentered="1" gridLinesSet="0"/>
  <pageMargins left="0" right="0" top="0.25" bottom="0.25" header="0.5" footer="0.5"/>
  <pageSetup scale="76" firstPageNumber="36" orientation="portrait" useFirstPageNumber="1" horizontalDpi="300" verticalDpi="4294967292" r:id="rId1"/>
  <headerFooter alignWithMargins="0">
    <oddFooter>&amp;C&amp;"Tahoma,Regular"&amp;8&amp;P</oddFooter>
  </headerFooter>
  <rowBreaks count="1" manualBreakCount="1"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5" baseType="lpstr">
      <vt:lpstr>SCD-G2</vt:lpstr>
      <vt:lpstr>Chart1</vt:lpstr>
      <vt:lpstr>\y</vt:lpstr>
      <vt:lpstr>\z</vt:lpstr>
      <vt:lpstr>_1P</vt:lpstr>
      <vt:lpstr>_2P</vt:lpstr>
      <vt:lpstr>_8P</vt:lpstr>
      <vt:lpstr>_9P</vt:lpstr>
      <vt:lpstr>A</vt:lpstr>
      <vt:lpstr>B</vt:lpstr>
      <vt:lpstr>D</vt:lpstr>
      <vt:lpstr>E</vt:lpstr>
      <vt:lpstr>F</vt:lpstr>
      <vt:lpstr>G</vt:lpstr>
      <vt:lpstr>H</vt:lpstr>
      <vt:lpstr>HEADER</vt:lpstr>
      <vt:lpstr>HOSPITAL</vt:lpstr>
      <vt:lpstr>I</vt:lpstr>
      <vt:lpstr>L</vt:lpstr>
      <vt:lpstr>L2_</vt:lpstr>
      <vt:lpstr>L3_</vt:lpstr>
      <vt:lpstr>M</vt:lpstr>
      <vt:lpstr>MACRO</vt:lpstr>
      <vt:lpstr>'SCD-G2'!Print_Area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Carina Negreanu</cp:lastModifiedBy>
  <cp:lastPrinted>2002-11-20T22:46:53Z</cp:lastPrinted>
  <dcterms:created xsi:type="dcterms:W3CDTF">1998-08-28T20:56:28Z</dcterms:created>
  <dcterms:modified xsi:type="dcterms:W3CDTF">2020-01-27T12:38:39Z</dcterms:modified>
</cp:coreProperties>
</file>