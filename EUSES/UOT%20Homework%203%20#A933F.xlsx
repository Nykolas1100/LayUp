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65891F-5118-4537-85B6-085DD31285FC}" xr6:coauthVersionLast="45" xr6:coauthVersionMax="45" xr10:uidLastSave="{00000000-0000-0000-0000-000000000000}"/>
  <bookViews>
    <workbookView xWindow="4560" yWindow="4560" windowWidth="28800" windowHeight="15460" activeTab="1"/>
  </bookViews>
  <sheets>
    <sheet name="Graph3" sheetId="6" r:id="rId1"/>
    <sheet name="Sheet1" sheetId="1" r:id="rId2"/>
    <sheet name="Sheet2" sheetId="2" r:id="rId3"/>
    <sheet name="Sheet3" sheetId="3" r:id="rId4"/>
  </sheets>
  <definedNames>
    <definedName name="_xlnm.Print_Area" localSheetId="1">Sheet1!$A$1:$V$49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1" i="1" l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O31" i="1"/>
  <c r="P31" i="1"/>
  <c r="B41" i="1"/>
  <c r="C41" i="1"/>
</calcChain>
</file>

<file path=xl/sharedStrings.xml><?xml version="1.0" encoding="utf-8"?>
<sst xmlns="http://schemas.openxmlformats.org/spreadsheetml/2006/main" count="65" uniqueCount="41">
  <si>
    <t>ＰＶｃ</t>
    <phoneticPr fontId="3"/>
  </si>
  <si>
    <t>ＰＶｂ</t>
    <phoneticPr fontId="3"/>
  </si>
  <si>
    <t>ＮＰＶ</t>
    <phoneticPr fontId="3"/>
  </si>
  <si>
    <t>Selection of the best project among mutually exclusive alternative projects</t>
    <phoneticPr fontId="3"/>
  </si>
  <si>
    <t>Year</t>
    <phoneticPr fontId="3"/>
  </si>
  <si>
    <t>Cost</t>
    <phoneticPr fontId="3"/>
  </si>
  <si>
    <t>Benefit</t>
    <phoneticPr fontId="3"/>
  </si>
  <si>
    <t>Cash</t>
    <phoneticPr fontId="3"/>
  </si>
  <si>
    <t>Flow</t>
    <phoneticPr fontId="3"/>
  </si>
  <si>
    <t>Present Value</t>
    <phoneticPr fontId="3"/>
  </si>
  <si>
    <t>Benfit</t>
    <phoneticPr fontId="3"/>
  </si>
  <si>
    <t>NPV</t>
    <phoneticPr fontId="3"/>
  </si>
  <si>
    <t>of Cash Flow</t>
    <phoneticPr fontId="3"/>
  </si>
  <si>
    <t>PVc</t>
    <phoneticPr fontId="3"/>
  </si>
  <si>
    <t>PVb</t>
    <phoneticPr fontId="3"/>
  </si>
  <si>
    <t>Discount Rate</t>
    <phoneticPr fontId="3"/>
  </si>
  <si>
    <t>at 10%</t>
    <phoneticPr fontId="3"/>
  </si>
  <si>
    <t>(n)</t>
    <phoneticPr fontId="3"/>
  </si>
  <si>
    <t>?</t>
    <phoneticPr fontId="3"/>
  </si>
  <si>
    <t>BCR(10%)=PVb/PVc=</t>
    <phoneticPr fontId="3"/>
  </si>
  <si>
    <t>IRR=</t>
    <phoneticPr fontId="3"/>
  </si>
  <si>
    <t>Homework Assignment No.3</t>
    <phoneticPr fontId="3"/>
  </si>
  <si>
    <t>Net Present Values</t>
    <phoneticPr fontId="3"/>
  </si>
  <si>
    <t>Question 2</t>
    <phoneticPr fontId="3"/>
  </si>
  <si>
    <t xml:space="preserve">Hydropower Project Costs and Benefits </t>
    <phoneticPr fontId="3"/>
  </si>
  <si>
    <t>Thermal Power Project Costs and Benefits</t>
    <phoneticPr fontId="3"/>
  </si>
  <si>
    <t>Question 2  Find B/C Ratio at a discount rate of 10% .</t>
    <phoneticPr fontId="3"/>
  </si>
  <si>
    <t>Question 4  Which alternative project should be chosen? And why?</t>
    <phoneticPr fontId="3"/>
  </si>
  <si>
    <t>Question 3</t>
    <phoneticPr fontId="3"/>
  </si>
  <si>
    <t>?</t>
    <phoneticPr fontId="3"/>
  </si>
  <si>
    <t>Give them in a chart</t>
    <phoneticPr fontId="3"/>
  </si>
  <si>
    <t>See the "Graph3" below.</t>
    <phoneticPr fontId="3"/>
  </si>
  <si>
    <t>Hydropower</t>
    <phoneticPr fontId="3"/>
  </si>
  <si>
    <t>Thermal</t>
    <phoneticPr fontId="3"/>
  </si>
  <si>
    <t>Question 4 (describe)</t>
    <phoneticPr fontId="3"/>
  </si>
  <si>
    <t>Question 1  Fill out the shaded blanks of the following tables to find out their net present values and IRR</t>
    <phoneticPr fontId="3"/>
  </si>
  <si>
    <t>Question 3  From their net prsent values(at 0,5,10 15 %), give a chart.</t>
    <phoneticPr fontId="3"/>
  </si>
  <si>
    <t>Total</t>
    <phoneticPr fontId="3"/>
  </si>
  <si>
    <t>Question 2</t>
    <phoneticPr fontId="3"/>
  </si>
  <si>
    <t>BCR(10%)=ＰＶｂ/PVc=</t>
    <phoneticPr fontId="3"/>
  </si>
  <si>
    <t>IRR=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</si>
</sst>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85" formatCode="0_ "/>
  </numFmts>
  <fonts count="11">
    <font>
      <sz val="11"/>
      <name val="ＭＳ Ｐゴシック"/>
      <charset val="128"/>
    </font>
    <font>
      <sz val="11"/>
      <name val="ＭＳ Ｐゴシック"/>
      <charset val="128"/>
    </font>
    <font>
      <b/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38" fontId="1" fillId="0" borderId="0" applyFont="0" applyFill="0" applyBorder="0" applyAlignment="0" applyProtection="0"/>
  </cellStyleXfs>
  <cellXfs count="126">
    <xf numFmtId="0" fontId="0" fillId="0" borderId="0" xfId="0"/>
    <xf numFmtId="0" fontId="4" fillId="0" borderId="0" xfId="0" applyFont="1"/>
    <xf numFmtId="0" fontId="0" fillId="0" borderId="0" xfId="0" applyBorder="1"/>
    <xf numFmtId="0" fontId="5" fillId="0" borderId="0" xfId="0" applyFont="1"/>
    <xf numFmtId="0" fontId="5" fillId="0" borderId="1" xfId="0" applyFont="1" applyBorder="1"/>
    <xf numFmtId="0" fontId="5" fillId="0" borderId="0" xfId="0" applyFont="1" applyBorder="1"/>
    <xf numFmtId="1" fontId="5" fillId="0" borderId="0" xfId="0" applyNumberFormat="1" applyFont="1" applyBorder="1"/>
    <xf numFmtId="1" fontId="5" fillId="0" borderId="0" xfId="0" applyNumberFormat="1" applyFont="1"/>
    <xf numFmtId="176" fontId="5" fillId="0" borderId="0" xfId="0" applyNumberFormat="1" applyFont="1" applyBorder="1"/>
    <xf numFmtId="0" fontId="6" fillId="0" borderId="0" xfId="0" applyFont="1"/>
    <xf numFmtId="0" fontId="6" fillId="0" borderId="0" xfId="0" applyFont="1" applyAlignment="1">
      <alignment horizontal="left"/>
    </xf>
    <xf numFmtId="1" fontId="6" fillId="0" borderId="0" xfId="0" applyNumberFormat="1" applyFont="1" applyBorder="1"/>
    <xf numFmtId="0" fontId="5" fillId="0" borderId="2" xfId="0" applyFont="1" applyBorder="1"/>
    <xf numFmtId="10" fontId="6" fillId="0" borderId="0" xfId="0" applyNumberFormat="1" applyFont="1" applyBorder="1"/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76" fontId="6" fillId="0" borderId="0" xfId="0" applyNumberFormat="1" applyFont="1" applyAlignment="1">
      <alignment horizontal="left"/>
    </xf>
    <xf numFmtId="0" fontId="6" fillId="0" borderId="3" xfId="0" applyFont="1" applyBorder="1" applyAlignment="1">
      <alignment horizontal="center"/>
    </xf>
    <xf numFmtId="0" fontId="6" fillId="2" borderId="0" xfId="0" applyFont="1" applyFill="1"/>
    <xf numFmtId="40" fontId="6" fillId="2" borderId="0" xfId="2" applyNumberFormat="1" applyFont="1" applyFill="1" applyAlignment="1">
      <alignment horizontal="right"/>
    </xf>
    <xf numFmtId="0" fontId="6" fillId="2" borderId="0" xfId="0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0" fontId="2" fillId="0" borderId="0" xfId="0" applyFont="1" applyBorder="1"/>
    <xf numFmtId="0" fontId="5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5" fillId="0" borderId="7" xfId="0" applyFont="1" applyBorder="1" applyAlignment="1">
      <alignment horizontal="center"/>
    </xf>
    <xf numFmtId="10" fontId="6" fillId="0" borderId="0" xfId="1" applyNumberFormat="1" applyFont="1" applyAlignment="1">
      <alignment horizontal="right"/>
    </xf>
    <xf numFmtId="176" fontId="9" fillId="0" borderId="0" xfId="0" applyNumberFormat="1" applyFont="1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10" fontId="10" fillId="3" borderId="0" xfId="0" applyNumberFormat="1" applyFont="1" applyFill="1"/>
    <xf numFmtId="9" fontId="10" fillId="0" borderId="0" xfId="1" applyNumberFormat="1" applyFont="1" applyAlignment="1">
      <alignment horizontal="righ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" fontId="9" fillId="2" borderId="10" xfId="0" applyNumberFormat="1" applyFont="1" applyFill="1" applyBorder="1"/>
    <xf numFmtId="0" fontId="9" fillId="2" borderId="10" xfId="0" applyFont="1" applyFill="1" applyBorder="1"/>
    <xf numFmtId="176" fontId="9" fillId="2" borderId="10" xfId="0" applyNumberFormat="1" applyFont="1" applyFill="1" applyBorder="1"/>
    <xf numFmtId="176" fontId="9" fillId="0" borderId="10" xfId="0" applyNumberFormat="1" applyFont="1" applyBorder="1"/>
    <xf numFmtId="10" fontId="6" fillId="2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0" fillId="2" borderId="10" xfId="0" applyFill="1" applyBorder="1"/>
    <xf numFmtId="9" fontId="6" fillId="0" borderId="0" xfId="1" applyNumberFormat="1" applyFont="1" applyBorder="1" applyAlignment="1">
      <alignment horizontal="right"/>
    </xf>
    <xf numFmtId="9" fontId="6" fillId="0" borderId="10" xfId="0" applyNumberFormat="1" applyFont="1" applyBorder="1" applyAlignment="1">
      <alignment horizontal="center"/>
    </xf>
    <xf numFmtId="9" fontId="6" fillId="0" borderId="11" xfId="0" applyNumberFormat="1" applyFont="1" applyBorder="1" applyAlignment="1">
      <alignment horizontal="center"/>
    </xf>
    <xf numFmtId="0" fontId="0" fillId="2" borderId="11" xfId="0" applyFill="1" applyBorder="1"/>
    <xf numFmtId="185" fontId="6" fillId="2" borderId="12" xfId="1" applyNumberFormat="1" applyFont="1" applyFill="1" applyBorder="1"/>
    <xf numFmtId="1" fontId="6" fillId="2" borderId="13" xfId="0" applyNumberFormat="1" applyFont="1" applyFill="1" applyBorder="1"/>
    <xf numFmtId="9" fontId="4" fillId="0" borderId="14" xfId="0" applyNumberFormat="1" applyFont="1" applyBorder="1" applyAlignment="1">
      <alignment horizontal="center"/>
    </xf>
    <xf numFmtId="0" fontId="0" fillId="2" borderId="14" xfId="0" applyFill="1" applyBorder="1"/>
    <xf numFmtId="185" fontId="6" fillId="2" borderId="15" xfId="0" applyNumberFormat="1" applyFont="1" applyFill="1" applyBorder="1"/>
    <xf numFmtId="0" fontId="9" fillId="0" borderId="10" xfId="0" applyFont="1" applyBorder="1"/>
    <xf numFmtId="176" fontId="10" fillId="0" borderId="10" xfId="0" applyNumberFormat="1" applyFont="1" applyBorder="1"/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9" fillId="0" borderId="17" xfId="0" applyFont="1" applyBorder="1"/>
    <xf numFmtId="1" fontId="9" fillId="2" borderId="11" xfId="0" applyNumberFormat="1" applyFont="1" applyFill="1" applyBorder="1"/>
    <xf numFmtId="0" fontId="9" fillId="0" borderId="17" xfId="0" applyFont="1" applyFill="1" applyBorder="1"/>
    <xf numFmtId="0" fontId="9" fillId="0" borderId="18" xfId="0" applyFont="1" applyBorder="1"/>
    <xf numFmtId="0" fontId="9" fillId="0" borderId="12" xfId="0" applyFont="1" applyBorder="1"/>
    <xf numFmtId="1" fontId="10" fillId="2" borderId="12" xfId="0" applyNumberFormat="1" applyFont="1" applyFill="1" applyBorder="1"/>
    <xf numFmtId="185" fontId="10" fillId="2" borderId="12" xfId="0" applyNumberFormat="1" applyFont="1" applyFill="1" applyBorder="1"/>
    <xf numFmtId="185" fontId="10" fillId="2" borderId="12" xfId="1" applyNumberFormat="1" applyFont="1" applyFill="1" applyBorder="1"/>
    <xf numFmtId="1" fontId="10" fillId="2" borderId="13" xfId="0" applyNumberFormat="1" applyFont="1" applyFill="1" applyBorder="1"/>
    <xf numFmtId="176" fontId="9" fillId="2" borderId="17" xfId="0" applyNumberFormat="1" applyFont="1" applyFill="1" applyBorder="1"/>
    <xf numFmtId="176" fontId="9" fillId="2" borderId="18" xfId="0" applyNumberFormat="1" applyFont="1" applyFill="1" applyBorder="1"/>
    <xf numFmtId="176" fontId="10" fillId="0" borderId="12" xfId="0" applyNumberFormat="1" applyFont="1" applyBorder="1"/>
    <xf numFmtId="176" fontId="9" fillId="2" borderId="11" xfId="0" applyNumberFormat="1" applyFont="1" applyFill="1" applyBorder="1"/>
    <xf numFmtId="176" fontId="9" fillId="2" borderId="12" xfId="0" applyNumberFormat="1" applyFont="1" applyFill="1" applyBorder="1"/>
    <xf numFmtId="176" fontId="9" fillId="2" borderId="13" xfId="0" applyNumberFormat="1" applyFont="1" applyFill="1" applyBorder="1"/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0" fillId="0" borderId="12" xfId="0" applyFont="1" applyBorder="1"/>
    <xf numFmtId="0" fontId="9" fillId="0" borderId="21" xfId="0" applyFont="1" applyBorder="1"/>
    <xf numFmtId="0" fontId="9" fillId="0" borderId="22" xfId="0" applyFont="1" applyBorder="1"/>
    <xf numFmtId="1" fontId="9" fillId="2" borderId="22" xfId="0" applyNumberFormat="1" applyFont="1" applyFill="1" applyBorder="1"/>
    <xf numFmtId="0" fontId="9" fillId="2" borderId="22" xfId="0" applyFont="1" applyFill="1" applyBorder="1"/>
    <xf numFmtId="1" fontId="9" fillId="2" borderId="24" xfId="0" applyNumberFormat="1" applyFont="1" applyFill="1" applyBorder="1"/>
    <xf numFmtId="1" fontId="9" fillId="0" borderId="21" xfId="0" applyNumberFormat="1" applyFont="1" applyBorder="1"/>
    <xf numFmtId="1" fontId="10" fillId="0" borderId="22" xfId="0" applyNumberFormat="1" applyFont="1" applyBorder="1"/>
    <xf numFmtId="1" fontId="9" fillId="0" borderId="24" xfId="0" applyNumberFormat="1" applyFont="1" applyBorder="1"/>
    <xf numFmtId="0" fontId="6" fillId="0" borderId="18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9" fontId="6" fillId="0" borderId="25" xfId="0" applyNumberFormat="1" applyFont="1" applyBorder="1" applyAlignment="1">
      <alignment horizontal="center"/>
    </xf>
    <xf numFmtId="9" fontId="6" fillId="0" borderId="12" xfId="0" applyNumberFormat="1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9" fontId="5" fillId="0" borderId="28" xfId="0" applyNumberFormat="1" applyFont="1" applyBorder="1" applyAlignment="1">
      <alignment horizontal="center"/>
    </xf>
    <xf numFmtId="10" fontId="6" fillId="0" borderId="29" xfId="0" applyNumberFormat="1" applyFont="1" applyBorder="1" applyAlignment="1">
      <alignment horizontal="center"/>
    </xf>
    <xf numFmtId="9" fontId="6" fillId="0" borderId="29" xfId="0" applyNumberFormat="1" applyFont="1" applyBorder="1" applyAlignment="1">
      <alignment horizontal="center"/>
    </xf>
    <xf numFmtId="9" fontId="6" fillId="0" borderId="30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GB"/>
              <a:t>Net Present Values of Mutually Exclusive Projects</a:t>
            </a:r>
          </a:p>
        </c:rich>
      </c:tx>
      <c:layout>
        <c:manualLayout>
          <c:xMode val="edge"/>
          <c:yMode val="edge"/>
          <c:x val="0.1903448275862068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034482758620694E-2"/>
          <c:y val="0.16515837104072398"/>
          <c:w val="0.82068965517241377"/>
          <c:h val="0.67307692307692313"/>
        </c:manualLayout>
      </c:layout>
      <c:lineChart>
        <c:grouping val="standard"/>
        <c:varyColors val="0"/>
        <c:ser>
          <c:idx val="0"/>
          <c:order val="0"/>
          <c:tx>
            <c:strRef>
              <c:f>Sheet1!$J$46:$L$46</c:f>
              <c:strCache>
                <c:ptCount val="3"/>
                <c:pt idx="1">
                  <c:v>Thermal</c:v>
                </c:pt>
              </c:strCache>
            </c:strRef>
          </c:tx>
          <c:spPr>
            <a:ln w="38100">
              <a:pattFill prst="pct50">
                <a:fgClr>
                  <a:srgbClr val="80808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Sheet1!$M$45:$P$45</c:f>
              <c:numCache>
                <c:formatCode>0%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</c:numCache>
            </c:numRef>
          </c:cat>
          <c:val>
            <c:numRef>
              <c:f>Sheet1!$M$47:$P$47</c:f>
              <c:numCache>
                <c:formatCode>0_ 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9-404B-9D19-6360ADF9C021}"/>
            </c:ext>
          </c:extLst>
        </c:ser>
        <c:ser>
          <c:idx val="1"/>
          <c:order val="1"/>
          <c:tx>
            <c:strRef>
              <c:f>Sheet1!$J$47:$L$47</c:f>
              <c:strCache>
                <c:ptCount val="3"/>
                <c:pt idx="1">
                  <c:v>Hydropower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Sheet1!$M$45:$P$45</c:f>
              <c:numCache>
                <c:formatCode>0%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</c:numCache>
            </c:num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E9-404B-9D19-6360ADF9C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228079"/>
        <c:axId val="1"/>
      </c:lineChart>
      <c:catAx>
        <c:axId val="101822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GB"/>
                  <a:t>Discount Rate (%)</a:t>
                </a:r>
              </a:p>
            </c:rich>
          </c:tx>
          <c:layout>
            <c:manualLayout>
              <c:xMode val="edge"/>
              <c:yMode val="edge"/>
              <c:x val="0.40068965517241378"/>
              <c:y val="0.92420814479638014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GB"/>
                  <a:t>Net Present Value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280542986425339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018228079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800" b="1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2" workbookViewId="0"/>
  </sheetViews>
  <pageMargins left="0.75" right="0.75" top="1" bottom="1" header="0.51200000000000001" footer="0.51200000000000001"/>
  <pageSetup paperSize="9" orientation="landscape" horizontalDpi="4294967294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D8B9F-0444-42D8-A9D8-0D0C8199CE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0.09925</cdr:x>
      <cdr:y>0.60875</cdr:y>
    </cdr:from>
    <cdr:to>
      <cdr:x>0.29775</cdr:x>
      <cdr:y>0.66325</cdr:y>
    </cdr:to>
    <cdr:sp macro="" textlink="">
      <cdr:nvSpPr>
        <cdr:cNvPr id="3074" name="Text Box 2">
          <a:extLst xmlns:a="http://schemas.openxmlformats.org/drawingml/2006/main">
            <a:ext uri="{FF2B5EF4-FFF2-40B4-BE49-F238E27FC236}">
              <a16:creationId xmlns:a16="http://schemas.microsoft.com/office/drawing/2014/main" id="{C3B3B821-8A79-4354-9EFC-5BADD56BC5A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13844" y="3417157"/>
          <a:ext cx="1827689" cy="3059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cdr:spPr>
      <cdr:txBody>
        <a:bodyPr xmlns:a="http://schemas.openxmlformats.org/drawingml/2006/main" vertOverflow="clip" wrap="square" lIns="54864" tIns="32004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Thermal Power</a:t>
          </a:r>
        </a:p>
      </cdr:txBody>
    </cdr:sp>
  </cdr:relSizeAnchor>
  <cdr:relSizeAnchor xmlns:cdr="http://schemas.openxmlformats.org/drawingml/2006/chartDrawing">
    <cdr:from>
      <cdr:x>0.31175</cdr:x>
      <cdr:y>0.2595</cdr:y>
    </cdr:from>
    <cdr:to>
      <cdr:x>0.471</cdr:x>
      <cdr:y>0.31875</cdr:y>
    </cdr:to>
    <cdr:sp macro="" textlink="">
      <cdr:nvSpPr>
        <cdr:cNvPr id="3073" name="Text Box 1">
          <a:extLst xmlns:a="http://schemas.openxmlformats.org/drawingml/2006/main">
            <a:ext uri="{FF2B5EF4-FFF2-40B4-BE49-F238E27FC236}">
              <a16:creationId xmlns:a16="http://schemas.microsoft.com/office/drawing/2014/main" id="{B9558C7E-FA60-4705-B855-7E7DE7EF614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70438" y="1456677"/>
          <a:ext cx="1466295" cy="3325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cdr:spPr>
      <cdr:txBody>
        <a:bodyPr xmlns:a="http://schemas.openxmlformats.org/drawingml/2006/main" vertOverflow="clip" wrap="square" lIns="54864" tIns="32004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Hydropower</a:t>
          </a:r>
        </a:p>
      </cdr:txBody>
    </cdr:sp>
  </cdr:relSizeAnchor>
  <cdr:relSizeAnchor xmlns:cdr="http://schemas.openxmlformats.org/drawingml/2006/chartDrawing">
    <cdr:from>
      <cdr:x>0.2895</cdr:x>
      <cdr:y>0.31875</cdr:y>
    </cdr:from>
    <cdr:to>
      <cdr:x>0.31175</cdr:x>
      <cdr:y>0.35175</cdr:y>
    </cdr:to>
    <cdr:sp macro="" textlink="">
      <cdr:nvSpPr>
        <cdr:cNvPr id="3075" name="Line 3">
          <a:extLst xmlns:a="http://schemas.openxmlformats.org/drawingml/2006/main">
            <a:ext uri="{FF2B5EF4-FFF2-40B4-BE49-F238E27FC236}">
              <a16:creationId xmlns:a16="http://schemas.microsoft.com/office/drawing/2014/main" id="{9C1938BD-7D16-46E1-8837-11CC8C6BD3AF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2665571" y="1789271"/>
          <a:ext cx="204867" cy="18524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0.29875</cdr:x>
      <cdr:y>0.60075</cdr:y>
    </cdr:from>
    <cdr:to>
      <cdr:x>0.33875</cdr:x>
      <cdr:y>0.60875</cdr:y>
    </cdr:to>
    <cdr:sp macro="" textlink="">
      <cdr:nvSpPr>
        <cdr:cNvPr id="3076" name="Line 4">
          <a:extLst xmlns:a="http://schemas.openxmlformats.org/drawingml/2006/main">
            <a:ext uri="{FF2B5EF4-FFF2-40B4-BE49-F238E27FC236}">
              <a16:creationId xmlns:a16="http://schemas.microsoft.com/office/drawing/2014/main" id="{F2235298-697A-4C9A-A6D1-C6B64EDBC691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750741" y="3372250"/>
          <a:ext cx="368300" cy="4490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38100</xdr:rowOff>
        </xdr:from>
        <xdr:to>
          <xdr:col>12</xdr:col>
          <xdr:colOff>31750</xdr:colOff>
          <xdr:row>7</xdr:row>
          <xdr:rowOff>127000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8892498F-4BEF-4F10-94DE-34DB581EAD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16</xdr:col>
      <xdr:colOff>38100</xdr:colOff>
      <xdr:row>44</xdr:row>
      <xdr:rowOff>107950</xdr:rowOff>
    </xdr:from>
    <xdr:to>
      <xdr:col>17</xdr:col>
      <xdr:colOff>0</xdr:colOff>
      <xdr:row>44</xdr:row>
      <xdr:rowOff>107950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4B0AF050-8650-49A9-B694-8D09F4C1F0A3}"/>
            </a:ext>
          </a:extLst>
        </xdr:cNvPr>
        <xdr:cNvSpPr>
          <a:spLocks noChangeShapeType="1"/>
        </xdr:cNvSpPr>
      </xdr:nvSpPr>
      <xdr:spPr bwMode="auto">
        <a:xfrm>
          <a:off x="6578600" y="6394450"/>
          <a:ext cx="330200" cy="0"/>
        </a:xfrm>
        <a:prstGeom prst="line">
          <a:avLst/>
        </a:prstGeom>
        <a:noFill/>
        <a:ln w="222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88"/>
  <sheetViews>
    <sheetView tabSelected="1" zoomScale="75" workbookViewId="0">
      <selection activeCell="Y13" sqref="Y13"/>
    </sheetView>
  </sheetViews>
  <sheetFormatPr defaultRowHeight="13"/>
  <cols>
    <col min="1" max="1" width="4.26953125" customWidth="1"/>
    <col min="2" max="2" width="5" customWidth="1"/>
    <col min="3" max="3" width="6.26953125" customWidth="1"/>
    <col min="4" max="4" width="5.90625" customWidth="1"/>
    <col min="5" max="5" width="6.36328125" customWidth="1"/>
    <col min="6" max="6" width="7.08984375" customWidth="1"/>
    <col min="7" max="8" width="5.453125" customWidth="1"/>
    <col min="9" max="9" width="5.7265625" customWidth="1"/>
    <col min="10" max="10" width="5" customWidth="1"/>
    <col min="11" max="11" width="5.26953125" customWidth="1"/>
    <col min="12" max="12" width="5.08984375" customWidth="1"/>
    <col min="13" max="13" width="6.6328125" customWidth="1"/>
    <col min="14" max="14" width="6" customWidth="1"/>
    <col min="15" max="15" width="7.6328125" customWidth="1"/>
    <col min="16" max="16" width="6.453125" customWidth="1"/>
    <col min="17" max="17" width="5.26953125" customWidth="1"/>
    <col min="18" max="18" width="6.36328125" customWidth="1"/>
    <col min="19" max="19" width="6.6328125" customWidth="1"/>
    <col min="20" max="20" width="6.7265625" customWidth="1"/>
    <col min="21" max="21" width="5.6328125" customWidth="1"/>
    <col min="22" max="22" width="5.453125" customWidth="1"/>
  </cols>
  <sheetData>
    <row r="1" spans="1:22" ht="12" customHeight="1">
      <c r="A1" s="23" t="s">
        <v>21</v>
      </c>
      <c r="B1" s="3"/>
      <c r="C1" s="3"/>
      <c r="D1" s="3"/>
      <c r="E1" s="3"/>
      <c r="F1" s="3"/>
      <c r="G1" s="23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2" customHeight="1">
      <c r="A2" s="1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2" customHeight="1">
      <c r="A3" s="1" t="s">
        <v>26</v>
      </c>
      <c r="B3" s="3"/>
      <c r="C3" s="3"/>
      <c r="D3" s="3"/>
      <c r="E3" s="3"/>
      <c r="F3" s="3"/>
      <c r="G3" s="3"/>
      <c r="H3" s="3"/>
      <c r="I3" s="3"/>
      <c r="J3" s="1" t="s">
        <v>36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s="1" customFormat="1" ht="12" customHeight="1">
      <c r="A4" s="1" t="s">
        <v>27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s="1" customFormat="1" ht="12" customHeigh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12" customHeight="1" thickBot="1">
      <c r="A6" s="1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 t="s">
        <v>25</v>
      </c>
      <c r="O6" s="3"/>
      <c r="P6" s="3"/>
      <c r="Q6" s="3"/>
      <c r="R6" s="3"/>
      <c r="S6" s="3"/>
      <c r="T6" s="3"/>
      <c r="U6" s="3"/>
      <c r="V6" s="3"/>
    </row>
    <row r="7" spans="1:22" ht="12" customHeight="1">
      <c r="A7" s="59"/>
      <c r="B7" s="40"/>
      <c r="C7" s="40"/>
      <c r="D7" s="100" t="s">
        <v>9</v>
      </c>
      <c r="E7" s="101"/>
      <c r="F7" s="40" t="s">
        <v>7</v>
      </c>
      <c r="G7" s="104" t="s">
        <v>9</v>
      </c>
      <c r="H7" s="104"/>
      <c r="I7" s="105"/>
      <c r="J7" s="114"/>
      <c r="K7" s="115"/>
      <c r="L7" s="115"/>
      <c r="M7" s="116"/>
      <c r="N7" s="76"/>
      <c r="O7" s="40"/>
      <c r="P7" s="40"/>
      <c r="Q7" s="100" t="s">
        <v>9</v>
      </c>
      <c r="R7" s="104"/>
      <c r="S7" s="40" t="s">
        <v>7</v>
      </c>
      <c r="T7" s="104" t="s">
        <v>9</v>
      </c>
      <c r="U7" s="104"/>
      <c r="V7" s="105"/>
    </row>
    <row r="8" spans="1:22" ht="12" customHeight="1">
      <c r="A8" s="60" t="s">
        <v>17</v>
      </c>
      <c r="B8" s="39"/>
      <c r="C8" s="39"/>
      <c r="D8" s="102" t="s">
        <v>16</v>
      </c>
      <c r="E8" s="103"/>
      <c r="F8" s="39" t="s">
        <v>8</v>
      </c>
      <c r="G8" s="106" t="s">
        <v>12</v>
      </c>
      <c r="H8" s="106"/>
      <c r="I8" s="107"/>
      <c r="J8" s="117"/>
      <c r="K8" s="118"/>
      <c r="L8" s="118"/>
      <c r="M8" s="119"/>
      <c r="N8" s="77" t="s">
        <v>17</v>
      </c>
      <c r="O8" s="39"/>
      <c r="P8" s="39"/>
      <c r="Q8" s="108" t="s">
        <v>16</v>
      </c>
      <c r="R8" s="109"/>
      <c r="S8" s="39" t="s">
        <v>8</v>
      </c>
      <c r="T8" s="122" t="s">
        <v>12</v>
      </c>
      <c r="U8" s="122"/>
      <c r="V8" s="123"/>
    </row>
    <row r="9" spans="1:22" ht="12" customHeight="1" thickBot="1">
      <c r="A9" s="87" t="s">
        <v>4</v>
      </c>
      <c r="B9" s="88" t="s">
        <v>5</v>
      </c>
      <c r="C9" s="88" t="s">
        <v>6</v>
      </c>
      <c r="D9" s="89" t="s">
        <v>5</v>
      </c>
      <c r="E9" s="90" t="s">
        <v>6</v>
      </c>
      <c r="F9" s="91">
        <v>0</v>
      </c>
      <c r="G9" s="92">
        <v>0.05</v>
      </c>
      <c r="H9" s="92">
        <v>0.1</v>
      </c>
      <c r="I9" s="93">
        <v>0.15</v>
      </c>
      <c r="J9" s="94">
        <v>0.05</v>
      </c>
      <c r="K9" s="95">
        <v>7.17E-2</v>
      </c>
      <c r="L9" s="96">
        <v>0.1</v>
      </c>
      <c r="M9" s="97">
        <v>0.15</v>
      </c>
      <c r="N9" s="98" t="s">
        <v>4</v>
      </c>
      <c r="O9" s="88" t="s">
        <v>5</v>
      </c>
      <c r="P9" s="88" t="s">
        <v>6</v>
      </c>
      <c r="Q9" s="99" t="s">
        <v>5</v>
      </c>
      <c r="R9" s="19" t="s">
        <v>10</v>
      </c>
      <c r="S9" s="91">
        <v>0</v>
      </c>
      <c r="T9" s="92">
        <v>0.05</v>
      </c>
      <c r="U9" s="92">
        <v>0.1</v>
      </c>
      <c r="V9" s="93">
        <v>0.15</v>
      </c>
    </row>
    <row r="10" spans="1:22" ht="11.15" customHeight="1">
      <c r="A10" s="79">
        <v>0</v>
      </c>
      <c r="B10" s="80">
        <v>4000</v>
      </c>
      <c r="C10" s="80">
        <v>0</v>
      </c>
      <c r="D10" s="81"/>
      <c r="E10" s="81"/>
      <c r="F10" s="82"/>
      <c r="G10" s="81"/>
      <c r="H10" s="81"/>
      <c r="I10" s="83"/>
      <c r="J10" s="84">
        <v>1</v>
      </c>
      <c r="K10" s="85">
        <v>1</v>
      </c>
      <c r="L10" s="85">
        <v>1</v>
      </c>
      <c r="M10" s="86">
        <v>1</v>
      </c>
      <c r="N10" s="79">
        <v>0</v>
      </c>
      <c r="O10" s="80">
        <v>1800</v>
      </c>
      <c r="P10" s="80">
        <v>0</v>
      </c>
      <c r="Q10" s="81"/>
      <c r="R10" s="81"/>
      <c r="S10" s="82"/>
      <c r="T10" s="81"/>
      <c r="U10" s="81"/>
      <c r="V10" s="83"/>
    </row>
    <row r="11" spans="1:22" ht="11.15" customHeight="1">
      <c r="A11" s="61">
        <v>1</v>
      </c>
      <c r="B11" s="57">
        <v>1000</v>
      </c>
      <c r="C11" s="57">
        <v>0</v>
      </c>
      <c r="D11" s="41"/>
      <c r="E11" s="41"/>
      <c r="F11" s="42"/>
      <c r="G11" s="41"/>
      <c r="H11" s="41"/>
      <c r="I11" s="62"/>
      <c r="J11" s="70"/>
      <c r="K11" s="44">
        <f>+K10/1.0717</f>
        <v>0.93309694877297744</v>
      </c>
      <c r="L11" s="43"/>
      <c r="M11" s="73"/>
      <c r="N11" s="61">
        <v>1</v>
      </c>
      <c r="O11" s="57">
        <v>500</v>
      </c>
      <c r="P11" s="57">
        <v>750</v>
      </c>
      <c r="Q11" s="41"/>
      <c r="R11" s="41"/>
      <c r="S11" s="42"/>
      <c r="T11" s="41"/>
      <c r="U11" s="41"/>
      <c r="V11" s="62"/>
    </row>
    <row r="12" spans="1:22" ht="11.15" customHeight="1">
      <c r="A12" s="61">
        <v>2</v>
      </c>
      <c r="B12" s="57">
        <v>500</v>
      </c>
      <c r="C12" s="57">
        <v>0</v>
      </c>
      <c r="D12" s="41"/>
      <c r="E12" s="41"/>
      <c r="F12" s="42"/>
      <c r="G12" s="41"/>
      <c r="H12" s="41"/>
      <c r="I12" s="62"/>
      <c r="J12" s="70"/>
      <c r="K12" s="44">
        <f t="shared" ref="K12:K40" si="0">+K11/1.0717</f>
        <v>0.87066991580944042</v>
      </c>
      <c r="L12" s="43"/>
      <c r="M12" s="73"/>
      <c r="N12" s="61">
        <v>2</v>
      </c>
      <c r="O12" s="57">
        <v>500</v>
      </c>
      <c r="P12" s="57">
        <v>750</v>
      </c>
      <c r="Q12" s="41"/>
      <c r="R12" s="41"/>
      <c r="S12" s="42"/>
      <c r="T12" s="41"/>
      <c r="U12" s="41"/>
      <c r="V12" s="62"/>
    </row>
    <row r="13" spans="1:22" ht="11.15" customHeight="1">
      <c r="A13" s="61">
        <v>3</v>
      </c>
      <c r="B13" s="57">
        <v>300</v>
      </c>
      <c r="C13" s="57">
        <v>750</v>
      </c>
      <c r="D13" s="41"/>
      <c r="E13" s="41"/>
      <c r="F13" s="42"/>
      <c r="G13" s="41"/>
      <c r="H13" s="41"/>
      <c r="I13" s="62"/>
      <c r="J13" s="70"/>
      <c r="K13" s="44">
        <f t="shared" si="0"/>
        <v>0.81241944183021397</v>
      </c>
      <c r="L13" s="43"/>
      <c r="M13" s="73"/>
      <c r="N13" s="61">
        <v>3</v>
      </c>
      <c r="O13" s="57">
        <v>500</v>
      </c>
      <c r="P13" s="57">
        <v>750</v>
      </c>
      <c r="Q13" s="41"/>
      <c r="R13" s="41"/>
      <c r="S13" s="42"/>
      <c r="T13" s="41"/>
      <c r="U13" s="41"/>
      <c r="V13" s="62"/>
    </row>
    <row r="14" spans="1:22" ht="11.15" customHeight="1">
      <c r="A14" s="61">
        <v>4</v>
      </c>
      <c r="B14" s="57">
        <v>100</v>
      </c>
      <c r="C14" s="57">
        <v>750</v>
      </c>
      <c r="D14" s="41"/>
      <c r="E14" s="41"/>
      <c r="F14" s="42"/>
      <c r="G14" s="41"/>
      <c r="H14" s="41"/>
      <c r="I14" s="62"/>
      <c r="J14" s="70"/>
      <c r="K14" s="44">
        <f t="shared" si="0"/>
        <v>0.7580661022956181</v>
      </c>
      <c r="L14" s="43"/>
      <c r="M14" s="73"/>
      <c r="N14" s="61">
        <v>4</v>
      </c>
      <c r="O14" s="57">
        <v>500</v>
      </c>
      <c r="P14" s="57">
        <v>750</v>
      </c>
      <c r="Q14" s="41"/>
      <c r="R14" s="41"/>
      <c r="S14" s="42"/>
      <c r="T14" s="41"/>
      <c r="U14" s="41"/>
      <c r="V14" s="62"/>
    </row>
    <row r="15" spans="1:22" ht="11.15" customHeight="1">
      <c r="A15" s="61">
        <v>5</v>
      </c>
      <c r="B15" s="57">
        <v>100</v>
      </c>
      <c r="C15" s="57">
        <v>750</v>
      </c>
      <c r="D15" s="41"/>
      <c r="E15" s="41"/>
      <c r="F15" s="42"/>
      <c r="G15" s="41"/>
      <c r="H15" s="41"/>
      <c r="I15" s="62"/>
      <c r="J15" s="70"/>
      <c r="K15" s="44">
        <f t="shared" si="0"/>
        <v>0.70734916702026507</v>
      </c>
      <c r="L15" s="43"/>
      <c r="M15" s="73"/>
      <c r="N15" s="61">
        <v>5</v>
      </c>
      <c r="O15" s="57">
        <v>500</v>
      </c>
      <c r="P15" s="57">
        <v>750</v>
      </c>
      <c r="Q15" s="41"/>
      <c r="R15" s="41"/>
      <c r="S15" s="42"/>
      <c r="T15" s="41"/>
      <c r="U15" s="41"/>
      <c r="V15" s="62"/>
    </row>
    <row r="16" spans="1:22" ht="11.15" customHeight="1">
      <c r="A16" s="61">
        <v>6</v>
      </c>
      <c r="B16" s="57">
        <v>100</v>
      </c>
      <c r="C16" s="57">
        <v>750</v>
      </c>
      <c r="D16" s="41"/>
      <c r="E16" s="41"/>
      <c r="F16" s="42"/>
      <c r="G16" s="41"/>
      <c r="H16" s="41"/>
      <c r="I16" s="62"/>
      <c r="J16" s="70"/>
      <c r="K16" s="44">
        <f t="shared" si="0"/>
        <v>0.66002534946371649</v>
      </c>
      <c r="L16" s="43"/>
      <c r="M16" s="73"/>
      <c r="N16" s="61">
        <v>6</v>
      </c>
      <c r="O16" s="57">
        <v>500</v>
      </c>
      <c r="P16" s="57">
        <v>750</v>
      </c>
      <c r="Q16" s="41"/>
      <c r="R16" s="41"/>
      <c r="S16" s="42"/>
      <c r="T16" s="41"/>
      <c r="U16" s="41"/>
      <c r="V16" s="62"/>
    </row>
    <row r="17" spans="1:22" ht="11.15" customHeight="1">
      <c r="A17" s="61">
        <v>7</v>
      </c>
      <c r="B17" s="57">
        <v>100</v>
      </c>
      <c r="C17" s="57">
        <v>750</v>
      </c>
      <c r="D17" s="41"/>
      <c r="E17" s="41"/>
      <c r="F17" s="42"/>
      <c r="G17" s="41"/>
      <c r="H17" s="41"/>
      <c r="I17" s="62"/>
      <c r="J17" s="70"/>
      <c r="K17" s="44">
        <f t="shared" si="0"/>
        <v>0.61586763969741198</v>
      </c>
      <c r="L17" s="43"/>
      <c r="M17" s="73"/>
      <c r="N17" s="61">
        <v>7</v>
      </c>
      <c r="O17" s="57">
        <v>500</v>
      </c>
      <c r="P17" s="57">
        <v>750</v>
      </c>
      <c r="Q17" s="41"/>
      <c r="R17" s="41"/>
      <c r="S17" s="42"/>
      <c r="T17" s="41"/>
      <c r="U17" s="41"/>
      <c r="V17" s="62"/>
    </row>
    <row r="18" spans="1:22" ht="11.15" customHeight="1">
      <c r="A18" s="61">
        <v>8</v>
      </c>
      <c r="B18" s="57">
        <v>100</v>
      </c>
      <c r="C18" s="57">
        <v>750</v>
      </c>
      <c r="D18" s="41"/>
      <c r="E18" s="41"/>
      <c r="F18" s="42"/>
      <c r="G18" s="41"/>
      <c r="H18" s="41"/>
      <c r="I18" s="62"/>
      <c r="J18" s="70"/>
      <c r="K18" s="44">
        <f t="shared" si="0"/>
        <v>0.5746642154496705</v>
      </c>
      <c r="L18" s="43"/>
      <c r="M18" s="73"/>
      <c r="N18" s="61">
        <v>8</v>
      </c>
      <c r="O18" s="57">
        <v>500</v>
      </c>
      <c r="P18" s="57">
        <v>750</v>
      </c>
      <c r="Q18" s="41"/>
      <c r="R18" s="41"/>
      <c r="S18" s="42"/>
      <c r="T18" s="41"/>
      <c r="U18" s="41"/>
      <c r="V18" s="62"/>
    </row>
    <row r="19" spans="1:22" ht="11.15" customHeight="1">
      <c r="A19" s="61">
        <v>9</v>
      </c>
      <c r="B19" s="57">
        <v>100</v>
      </c>
      <c r="C19" s="57">
        <v>750</v>
      </c>
      <c r="D19" s="41"/>
      <c r="E19" s="41"/>
      <c r="F19" s="42"/>
      <c r="G19" s="41"/>
      <c r="H19" s="41"/>
      <c r="I19" s="62"/>
      <c r="J19" s="70"/>
      <c r="K19" s="44">
        <f t="shared" si="0"/>
        <v>0.53621742600510447</v>
      </c>
      <c r="L19" s="43"/>
      <c r="M19" s="73"/>
      <c r="N19" s="61">
        <v>9</v>
      </c>
      <c r="O19" s="57">
        <v>500</v>
      </c>
      <c r="P19" s="57">
        <v>750</v>
      </c>
      <c r="Q19" s="41"/>
      <c r="R19" s="41"/>
      <c r="S19" s="42"/>
      <c r="T19" s="41"/>
      <c r="U19" s="41"/>
      <c r="V19" s="62"/>
    </row>
    <row r="20" spans="1:22" ht="11.15" customHeight="1">
      <c r="A20" s="61">
        <v>10</v>
      </c>
      <c r="B20" s="57">
        <v>100</v>
      </c>
      <c r="C20" s="57">
        <v>750</v>
      </c>
      <c r="D20" s="41"/>
      <c r="E20" s="41"/>
      <c r="F20" s="42"/>
      <c r="G20" s="41"/>
      <c r="H20" s="41"/>
      <c r="I20" s="62"/>
      <c r="J20" s="70"/>
      <c r="K20" s="58">
        <f t="shared" si="0"/>
        <v>0.50034284408426277</v>
      </c>
      <c r="L20" s="43"/>
      <c r="M20" s="73"/>
      <c r="N20" s="61">
        <v>10</v>
      </c>
      <c r="O20" s="57">
        <v>1000</v>
      </c>
      <c r="P20" s="57">
        <v>750</v>
      </c>
      <c r="Q20" s="41"/>
      <c r="R20" s="41"/>
      <c r="S20" s="42"/>
      <c r="T20" s="41"/>
      <c r="U20" s="41"/>
      <c r="V20" s="62"/>
    </row>
    <row r="21" spans="1:22" ht="11.15" customHeight="1">
      <c r="A21" s="61">
        <v>11</v>
      </c>
      <c r="B21" s="57">
        <v>100</v>
      </c>
      <c r="C21" s="57">
        <v>750</v>
      </c>
      <c r="D21" s="41"/>
      <c r="E21" s="41"/>
      <c r="F21" s="42"/>
      <c r="G21" s="41"/>
      <c r="H21" s="41"/>
      <c r="I21" s="62"/>
      <c r="J21" s="70"/>
      <c r="K21" s="44">
        <f t="shared" si="0"/>
        <v>0.46686838115541918</v>
      </c>
      <c r="L21" s="43"/>
      <c r="M21" s="73"/>
      <c r="N21" s="61">
        <v>11</v>
      </c>
      <c r="O21" s="57">
        <v>500</v>
      </c>
      <c r="P21" s="57">
        <v>750</v>
      </c>
      <c r="Q21" s="41"/>
      <c r="R21" s="41"/>
      <c r="S21" s="42"/>
      <c r="T21" s="41"/>
      <c r="U21" s="41"/>
      <c r="V21" s="62"/>
    </row>
    <row r="22" spans="1:22" ht="11.15" customHeight="1">
      <c r="A22" s="61">
        <v>12</v>
      </c>
      <c r="B22" s="57">
        <v>100</v>
      </c>
      <c r="C22" s="57">
        <v>750</v>
      </c>
      <c r="D22" s="41"/>
      <c r="E22" s="41"/>
      <c r="F22" s="42"/>
      <c r="G22" s="41"/>
      <c r="H22" s="41"/>
      <c r="I22" s="62"/>
      <c r="J22" s="70"/>
      <c r="K22" s="44">
        <f t="shared" si="0"/>
        <v>0.43563346193470109</v>
      </c>
      <c r="L22" s="43"/>
      <c r="M22" s="73"/>
      <c r="N22" s="61">
        <v>12</v>
      </c>
      <c r="O22" s="57">
        <v>500</v>
      </c>
      <c r="P22" s="57">
        <v>750</v>
      </c>
      <c r="Q22" s="41"/>
      <c r="R22" s="41"/>
      <c r="S22" s="42"/>
      <c r="T22" s="41"/>
      <c r="U22" s="41"/>
      <c r="V22" s="62"/>
    </row>
    <row r="23" spans="1:22" ht="11.15" customHeight="1">
      <c r="A23" s="61">
        <v>13</v>
      </c>
      <c r="B23" s="57">
        <v>100</v>
      </c>
      <c r="C23" s="57">
        <v>750</v>
      </c>
      <c r="D23" s="41"/>
      <c r="E23" s="41"/>
      <c r="F23" s="42"/>
      <c r="G23" s="41"/>
      <c r="H23" s="41"/>
      <c r="I23" s="62"/>
      <c r="J23" s="70"/>
      <c r="K23" s="44">
        <f t="shared" si="0"/>
        <v>0.40648825411467859</v>
      </c>
      <c r="L23" s="43"/>
      <c r="M23" s="73"/>
      <c r="N23" s="61">
        <v>13</v>
      </c>
      <c r="O23" s="57">
        <v>500</v>
      </c>
      <c r="P23" s="57">
        <v>750</v>
      </c>
      <c r="Q23" s="41"/>
      <c r="R23" s="41"/>
      <c r="S23" s="42"/>
      <c r="T23" s="41"/>
      <c r="U23" s="41"/>
      <c r="V23" s="62"/>
    </row>
    <row r="24" spans="1:22" ht="11.15" customHeight="1">
      <c r="A24" s="61">
        <v>14</v>
      </c>
      <c r="B24" s="57">
        <v>100</v>
      </c>
      <c r="C24" s="57">
        <v>750</v>
      </c>
      <c r="D24" s="41"/>
      <c r="E24" s="41"/>
      <c r="F24" s="42"/>
      <c r="G24" s="41"/>
      <c r="H24" s="41"/>
      <c r="I24" s="62"/>
      <c r="J24" s="70"/>
      <c r="K24" s="44">
        <f t="shared" si="0"/>
        <v>0.37929294962646126</v>
      </c>
      <c r="L24" s="43"/>
      <c r="M24" s="73"/>
      <c r="N24" s="61">
        <v>14</v>
      </c>
      <c r="O24" s="57">
        <v>500</v>
      </c>
      <c r="P24" s="57">
        <v>750</v>
      </c>
      <c r="Q24" s="41"/>
      <c r="R24" s="41"/>
      <c r="S24" s="42"/>
      <c r="T24" s="41"/>
      <c r="U24" s="41"/>
      <c r="V24" s="62"/>
    </row>
    <row r="25" spans="1:22" ht="11.15" customHeight="1">
      <c r="A25" s="61">
        <v>15</v>
      </c>
      <c r="B25" s="57">
        <v>800</v>
      </c>
      <c r="C25" s="57">
        <v>750</v>
      </c>
      <c r="D25" s="41"/>
      <c r="E25" s="41"/>
      <c r="F25" s="42"/>
      <c r="G25" s="41"/>
      <c r="H25" s="41"/>
      <c r="I25" s="62"/>
      <c r="J25" s="70"/>
      <c r="K25" s="44">
        <f t="shared" si="0"/>
        <v>0.35391709398755361</v>
      </c>
      <c r="L25" s="43"/>
      <c r="M25" s="73"/>
      <c r="N25" s="61">
        <v>15</v>
      </c>
      <c r="O25" s="57">
        <v>500</v>
      </c>
      <c r="P25" s="57">
        <v>750</v>
      </c>
      <c r="Q25" s="41"/>
      <c r="R25" s="41"/>
      <c r="S25" s="42"/>
      <c r="T25" s="41"/>
      <c r="U25" s="41"/>
      <c r="V25" s="62"/>
    </row>
    <row r="26" spans="1:22" ht="11.15" customHeight="1">
      <c r="A26" s="61">
        <v>16</v>
      </c>
      <c r="B26" s="57">
        <v>100</v>
      </c>
      <c r="C26" s="57">
        <v>750</v>
      </c>
      <c r="D26" s="41"/>
      <c r="E26" s="41"/>
      <c r="F26" s="42"/>
      <c r="G26" s="41"/>
      <c r="H26" s="41"/>
      <c r="I26" s="62"/>
      <c r="J26" s="70"/>
      <c r="K26" s="44">
        <f t="shared" si="0"/>
        <v>0.33023896051838536</v>
      </c>
      <c r="L26" s="43"/>
      <c r="M26" s="73"/>
      <c r="N26" s="61">
        <v>16</v>
      </c>
      <c r="O26" s="57">
        <v>500</v>
      </c>
      <c r="P26" s="57">
        <v>750</v>
      </c>
      <c r="Q26" s="41"/>
      <c r="R26" s="41"/>
      <c r="S26" s="42"/>
      <c r="T26" s="41"/>
      <c r="U26" s="41"/>
      <c r="V26" s="62"/>
    </row>
    <row r="27" spans="1:22" ht="11.15" customHeight="1">
      <c r="A27" s="61">
        <v>17</v>
      </c>
      <c r="B27" s="57">
        <v>100</v>
      </c>
      <c r="C27" s="57">
        <v>750</v>
      </c>
      <c r="D27" s="41"/>
      <c r="E27" s="41"/>
      <c r="F27" s="42"/>
      <c r="G27" s="41"/>
      <c r="H27" s="41"/>
      <c r="I27" s="62"/>
      <c r="J27" s="70"/>
      <c r="K27" s="44">
        <f t="shared" si="0"/>
        <v>0.30814496642566513</v>
      </c>
      <c r="L27" s="43"/>
      <c r="M27" s="73"/>
      <c r="N27" s="61">
        <v>17</v>
      </c>
      <c r="O27" s="57">
        <v>500</v>
      </c>
      <c r="P27" s="57">
        <v>750</v>
      </c>
      <c r="Q27" s="41"/>
      <c r="R27" s="41"/>
      <c r="S27" s="42"/>
      <c r="T27" s="41"/>
      <c r="U27" s="41"/>
      <c r="V27" s="62"/>
    </row>
    <row r="28" spans="1:22" ht="11.15" customHeight="1">
      <c r="A28" s="61">
        <v>18</v>
      </c>
      <c r="B28" s="57">
        <v>100</v>
      </c>
      <c r="C28" s="57">
        <v>750</v>
      </c>
      <c r="D28" s="41"/>
      <c r="E28" s="41"/>
      <c r="F28" s="42"/>
      <c r="G28" s="41"/>
      <c r="H28" s="41"/>
      <c r="I28" s="62"/>
      <c r="J28" s="70"/>
      <c r="K28" s="44">
        <f t="shared" si="0"/>
        <v>0.28752912795153973</v>
      </c>
      <c r="L28" s="43"/>
      <c r="M28" s="73"/>
      <c r="N28" s="61">
        <v>18</v>
      </c>
      <c r="O28" s="57">
        <v>500</v>
      </c>
      <c r="P28" s="57">
        <v>750</v>
      </c>
      <c r="Q28" s="41"/>
      <c r="R28" s="41"/>
      <c r="S28" s="42"/>
      <c r="T28" s="41"/>
      <c r="U28" s="41"/>
      <c r="V28" s="62"/>
    </row>
    <row r="29" spans="1:22" ht="11.15" customHeight="1">
      <c r="A29" s="61">
        <v>19</v>
      </c>
      <c r="B29" s="57">
        <v>100</v>
      </c>
      <c r="C29" s="57">
        <v>750</v>
      </c>
      <c r="D29" s="41"/>
      <c r="E29" s="41"/>
      <c r="F29" s="42"/>
      <c r="G29" s="41"/>
      <c r="H29" s="41"/>
      <c r="I29" s="62"/>
      <c r="J29" s="70"/>
      <c r="K29" s="44">
        <f t="shared" si="0"/>
        <v>0.26829255197493673</v>
      </c>
      <c r="L29" s="43"/>
      <c r="M29" s="73"/>
      <c r="N29" s="61">
        <v>19</v>
      </c>
      <c r="O29" s="57">
        <v>500</v>
      </c>
      <c r="P29" s="57">
        <v>750</v>
      </c>
      <c r="Q29" s="41"/>
      <c r="R29" s="41"/>
      <c r="S29" s="42"/>
      <c r="T29" s="41"/>
      <c r="U29" s="41"/>
      <c r="V29" s="62"/>
    </row>
    <row r="30" spans="1:22" ht="11.15" customHeight="1">
      <c r="A30" s="63">
        <v>20</v>
      </c>
      <c r="B30" s="57">
        <v>100</v>
      </c>
      <c r="C30" s="57">
        <v>750</v>
      </c>
      <c r="D30" s="41"/>
      <c r="E30" s="41"/>
      <c r="F30" s="42"/>
      <c r="G30" s="41"/>
      <c r="H30" s="41"/>
      <c r="I30" s="62"/>
      <c r="J30" s="70"/>
      <c r="K30" s="58">
        <f t="shared" si="0"/>
        <v>0.25034296162632891</v>
      </c>
      <c r="L30" s="43"/>
      <c r="M30" s="73"/>
      <c r="N30" s="61">
        <v>20</v>
      </c>
      <c r="O30" s="57">
        <v>500</v>
      </c>
      <c r="P30" s="57">
        <v>1250</v>
      </c>
      <c r="Q30" s="41"/>
      <c r="R30" s="41"/>
      <c r="S30" s="42"/>
      <c r="T30" s="41"/>
      <c r="U30" s="41"/>
      <c r="V30" s="62"/>
    </row>
    <row r="31" spans="1:22" ht="11.15" customHeight="1" thickBot="1">
      <c r="A31" s="61">
        <v>21</v>
      </c>
      <c r="B31" s="57">
        <v>100</v>
      </c>
      <c r="C31" s="57">
        <v>750</v>
      </c>
      <c r="D31" s="41"/>
      <c r="E31" s="41"/>
      <c r="F31" s="42"/>
      <c r="G31" s="41"/>
      <c r="H31" s="41"/>
      <c r="I31" s="62"/>
      <c r="J31" s="70"/>
      <c r="K31" s="44">
        <f t="shared" si="0"/>
        <v>0.23359425364031808</v>
      </c>
      <c r="L31" s="43"/>
      <c r="M31" s="73"/>
      <c r="N31" s="64" t="s">
        <v>37</v>
      </c>
      <c r="O31" s="78">
        <f>SUM(O10:O30)</f>
        <v>12300</v>
      </c>
      <c r="P31" s="78">
        <f>SUM(P10:P30)</f>
        <v>15500</v>
      </c>
      <c r="Q31" s="66"/>
      <c r="R31" s="66"/>
      <c r="S31" s="67"/>
      <c r="T31" s="66"/>
      <c r="U31" s="66"/>
      <c r="V31" s="69"/>
    </row>
    <row r="32" spans="1:22" ht="11.15" customHeight="1">
      <c r="A32" s="61">
        <v>22</v>
      </c>
      <c r="B32" s="57">
        <v>100</v>
      </c>
      <c r="C32" s="57">
        <v>750</v>
      </c>
      <c r="D32" s="41"/>
      <c r="E32" s="41"/>
      <c r="F32" s="42"/>
      <c r="G32" s="41"/>
      <c r="H32" s="41"/>
      <c r="I32" s="62"/>
      <c r="J32" s="70"/>
      <c r="K32" s="44">
        <f t="shared" si="0"/>
        <v>0.21796608532268177</v>
      </c>
      <c r="L32" s="43"/>
      <c r="M32" s="73"/>
      <c r="N32" s="32"/>
      <c r="O32" s="33"/>
      <c r="P32" s="32"/>
      <c r="Q32" s="15" t="s">
        <v>0</v>
      </c>
      <c r="R32" s="15" t="s">
        <v>1</v>
      </c>
      <c r="S32" s="15" t="s">
        <v>11</v>
      </c>
      <c r="T32" s="15" t="s">
        <v>11</v>
      </c>
      <c r="U32" s="15" t="s">
        <v>11</v>
      </c>
      <c r="V32" s="15" t="s">
        <v>2</v>
      </c>
    </row>
    <row r="33" spans="1:22" ht="11.15" customHeight="1">
      <c r="A33" s="61">
        <v>23</v>
      </c>
      <c r="B33" s="57">
        <v>100</v>
      </c>
      <c r="C33" s="57">
        <v>750</v>
      </c>
      <c r="D33" s="41"/>
      <c r="E33" s="41"/>
      <c r="F33" s="42"/>
      <c r="G33" s="41"/>
      <c r="H33" s="41"/>
      <c r="I33" s="62"/>
      <c r="J33" s="70"/>
      <c r="K33" s="44">
        <f t="shared" si="0"/>
        <v>0.20338348915058482</v>
      </c>
      <c r="L33" s="43"/>
      <c r="M33" s="73"/>
      <c r="N33" s="32"/>
      <c r="O33" s="33"/>
      <c r="P33" s="34"/>
      <c r="Q33" s="120"/>
      <c r="R33" s="120"/>
      <c r="S33" s="35"/>
      <c r="T33" s="33"/>
      <c r="U33" s="33"/>
      <c r="V33" s="34"/>
    </row>
    <row r="34" spans="1:22" ht="11.15" customHeight="1">
      <c r="A34" s="61">
        <v>24</v>
      </c>
      <c r="B34" s="57">
        <v>100</v>
      </c>
      <c r="C34" s="57">
        <v>750</v>
      </c>
      <c r="D34" s="41"/>
      <c r="E34" s="41"/>
      <c r="F34" s="42"/>
      <c r="G34" s="41"/>
      <c r="H34" s="41"/>
      <c r="I34" s="62"/>
      <c r="J34" s="70"/>
      <c r="K34" s="44">
        <f t="shared" si="0"/>
        <v>0.18977651315721267</v>
      </c>
      <c r="L34" s="43"/>
      <c r="M34" s="73"/>
      <c r="N34" s="32"/>
      <c r="O34" s="9"/>
      <c r="P34" s="121" t="s">
        <v>38</v>
      </c>
      <c r="Q34" s="121"/>
      <c r="R34" s="121" t="s">
        <v>39</v>
      </c>
      <c r="S34" s="121"/>
      <c r="T34" s="121"/>
      <c r="U34" s="20" t="s">
        <v>18</v>
      </c>
      <c r="V34" s="34"/>
    </row>
    <row r="35" spans="1:22" ht="11.15" customHeight="1">
      <c r="A35" s="61">
        <v>25</v>
      </c>
      <c r="B35" s="57">
        <v>100</v>
      </c>
      <c r="C35" s="57">
        <v>750</v>
      </c>
      <c r="D35" s="41"/>
      <c r="E35" s="41"/>
      <c r="F35" s="42"/>
      <c r="G35" s="41"/>
      <c r="H35" s="41"/>
      <c r="I35" s="62"/>
      <c r="J35" s="70"/>
      <c r="K35" s="44">
        <f t="shared" si="0"/>
        <v>0.17707988537576994</v>
      </c>
      <c r="L35" s="43"/>
      <c r="M35" s="73"/>
      <c r="N35" s="32"/>
      <c r="O35" s="3"/>
      <c r="P35" s="18"/>
      <c r="Q35" s="18"/>
      <c r="R35" s="9" t="s">
        <v>40</v>
      </c>
      <c r="S35" s="21" t="s">
        <v>18</v>
      </c>
      <c r="T35" s="30"/>
      <c r="U35" s="48"/>
      <c r="V35" s="34"/>
    </row>
    <row r="36" spans="1:22" ht="11.15" customHeight="1">
      <c r="A36" s="61">
        <v>26</v>
      </c>
      <c r="B36" s="57">
        <v>100</v>
      </c>
      <c r="C36" s="57">
        <v>750</v>
      </c>
      <c r="D36" s="41"/>
      <c r="E36" s="41"/>
      <c r="F36" s="42"/>
      <c r="G36" s="41"/>
      <c r="H36" s="41"/>
      <c r="I36" s="62"/>
      <c r="J36" s="70"/>
      <c r="K36" s="44">
        <f t="shared" si="0"/>
        <v>0.16523270073319951</v>
      </c>
      <c r="L36" s="43"/>
      <c r="M36" s="73"/>
      <c r="N36" s="32"/>
      <c r="O36" s="32"/>
      <c r="P36" s="37"/>
      <c r="Q36" s="37"/>
      <c r="R36" s="32"/>
      <c r="S36" s="32"/>
      <c r="T36" s="32"/>
      <c r="U36" s="32"/>
      <c r="V36" s="34"/>
    </row>
    <row r="37" spans="1:22" ht="11.15" customHeight="1">
      <c r="A37" s="61">
        <v>27</v>
      </c>
      <c r="B37" s="57">
        <v>100</v>
      </c>
      <c r="C37" s="57">
        <v>750</v>
      </c>
      <c r="D37" s="41"/>
      <c r="E37" s="41"/>
      <c r="F37" s="42"/>
      <c r="G37" s="41"/>
      <c r="H37" s="41"/>
      <c r="I37" s="62"/>
      <c r="J37" s="70"/>
      <c r="K37" s="44">
        <f t="shared" si="0"/>
        <v>0.15417812889166699</v>
      </c>
      <c r="L37" s="43"/>
      <c r="M37" s="73"/>
      <c r="N37" s="32"/>
      <c r="O37" s="32"/>
      <c r="P37" s="32"/>
      <c r="Q37" s="33"/>
      <c r="R37" s="32"/>
      <c r="S37" s="32"/>
      <c r="T37" s="32"/>
      <c r="U37" s="32"/>
      <c r="V37" s="36"/>
    </row>
    <row r="38" spans="1:22" ht="11.15" customHeight="1">
      <c r="A38" s="61">
        <v>28</v>
      </c>
      <c r="B38" s="57">
        <v>100</v>
      </c>
      <c r="C38" s="57">
        <v>750</v>
      </c>
      <c r="D38" s="41"/>
      <c r="E38" s="41"/>
      <c r="F38" s="42"/>
      <c r="G38" s="41"/>
      <c r="H38" s="41"/>
      <c r="I38" s="62"/>
      <c r="J38" s="70"/>
      <c r="K38" s="44">
        <f t="shared" si="0"/>
        <v>0.14386314163634131</v>
      </c>
      <c r="L38" s="43"/>
      <c r="M38" s="73"/>
      <c r="N38" s="32"/>
      <c r="O38" s="32"/>
      <c r="P38" s="32"/>
      <c r="Q38" s="32"/>
      <c r="R38" s="32"/>
      <c r="S38" s="32"/>
      <c r="T38" s="32"/>
      <c r="U38" s="32"/>
      <c r="V38" s="32"/>
    </row>
    <row r="39" spans="1:22" ht="11.15" customHeight="1">
      <c r="A39" s="61">
        <v>29</v>
      </c>
      <c r="B39" s="57">
        <v>100</v>
      </c>
      <c r="C39" s="57">
        <v>750</v>
      </c>
      <c r="D39" s="41"/>
      <c r="E39" s="41"/>
      <c r="F39" s="42"/>
      <c r="G39" s="41"/>
      <c r="H39" s="41"/>
      <c r="I39" s="62"/>
      <c r="J39" s="70"/>
      <c r="K39" s="44">
        <f t="shared" si="0"/>
        <v>0.13423825850176477</v>
      </c>
      <c r="L39" s="43"/>
      <c r="M39" s="73"/>
      <c r="N39" s="32"/>
      <c r="O39" s="32"/>
      <c r="P39" s="32"/>
      <c r="Q39" s="32"/>
      <c r="R39" s="32"/>
      <c r="S39" s="32"/>
      <c r="T39" s="32"/>
      <c r="U39" s="32"/>
      <c r="V39" s="32"/>
    </row>
    <row r="40" spans="1:22" ht="11.15" customHeight="1" thickBot="1">
      <c r="A40" s="61">
        <v>30</v>
      </c>
      <c r="B40" s="57">
        <v>600</v>
      </c>
      <c r="C40" s="57">
        <v>750</v>
      </c>
      <c r="D40" s="41"/>
      <c r="E40" s="41"/>
      <c r="F40" s="42"/>
      <c r="G40" s="41"/>
      <c r="H40" s="41"/>
      <c r="I40" s="62"/>
      <c r="J40" s="71"/>
      <c r="K40" s="72">
        <f t="shared" si="0"/>
        <v>0.12525730941659491</v>
      </c>
      <c r="L40" s="74"/>
      <c r="M40" s="75"/>
      <c r="N40" s="32"/>
      <c r="O40" s="32"/>
      <c r="P40" s="32"/>
      <c r="Q40" s="32"/>
      <c r="R40" s="32"/>
      <c r="S40" s="32"/>
      <c r="T40" s="32"/>
      <c r="U40" s="32"/>
      <c r="V40" s="32"/>
    </row>
    <row r="41" spans="1:22" ht="11.15" customHeight="1" thickBot="1">
      <c r="A41" s="64" t="s">
        <v>37</v>
      </c>
      <c r="B41" s="65">
        <f>SUM(B10:B40)</f>
        <v>9700</v>
      </c>
      <c r="C41" s="65">
        <f>SUM(C10:C40)</f>
        <v>21000</v>
      </c>
      <c r="D41" s="66"/>
      <c r="E41" s="66"/>
      <c r="F41" s="67"/>
      <c r="G41" s="68"/>
      <c r="H41" s="68"/>
      <c r="I41" s="69"/>
      <c r="J41" s="38"/>
      <c r="K41" s="31"/>
      <c r="L41" s="31"/>
      <c r="M41" s="31"/>
      <c r="N41" s="32"/>
      <c r="O41" s="32"/>
      <c r="P41" s="32"/>
      <c r="Q41" s="32"/>
      <c r="R41" s="32"/>
      <c r="S41" s="32"/>
      <c r="T41" s="32"/>
      <c r="U41" s="32"/>
      <c r="V41" s="32"/>
    </row>
    <row r="42" spans="1:22" ht="11.15" customHeight="1" thickBot="1">
      <c r="B42" s="5"/>
      <c r="C42" s="5"/>
      <c r="D42" s="14" t="s">
        <v>13</v>
      </c>
      <c r="E42" s="16" t="s">
        <v>14</v>
      </c>
      <c r="F42" s="17" t="s">
        <v>11</v>
      </c>
      <c r="G42" s="17" t="s">
        <v>11</v>
      </c>
      <c r="H42" s="17" t="s">
        <v>11</v>
      </c>
      <c r="I42" s="16" t="s">
        <v>11</v>
      </c>
      <c r="J42" s="3"/>
      <c r="O42" s="2"/>
    </row>
    <row r="43" spans="1:22" ht="12" customHeight="1" thickBot="1">
      <c r="F43" s="13"/>
      <c r="I43" s="2"/>
      <c r="J43" s="25"/>
      <c r="K43" s="29"/>
      <c r="L43" s="26"/>
      <c r="M43" s="112" t="s">
        <v>22</v>
      </c>
      <c r="N43" s="112"/>
      <c r="O43" s="112"/>
      <c r="P43" s="113"/>
    </row>
    <row r="44" spans="1:22" ht="12" customHeight="1">
      <c r="A44" s="1" t="s">
        <v>23</v>
      </c>
      <c r="F44" s="5"/>
      <c r="I44" s="2"/>
      <c r="J44" s="11"/>
      <c r="K44" s="4"/>
      <c r="L44" s="27"/>
      <c r="M44" s="110" t="s">
        <v>15</v>
      </c>
      <c r="N44" s="110"/>
      <c r="O44" s="110"/>
      <c r="P44" s="111"/>
      <c r="R44" s="1" t="s">
        <v>28</v>
      </c>
    </row>
    <row r="45" spans="1:22" ht="12" customHeight="1" thickBot="1">
      <c r="A45" s="10" t="s">
        <v>19</v>
      </c>
      <c r="B45" s="10"/>
      <c r="C45" s="10"/>
      <c r="D45" s="10"/>
      <c r="E45" s="22" t="s">
        <v>18</v>
      </c>
      <c r="F45" s="5"/>
      <c r="I45" s="2"/>
      <c r="J45" s="6"/>
      <c r="K45" s="12"/>
      <c r="L45" s="28"/>
      <c r="M45" s="54">
        <v>0</v>
      </c>
      <c r="N45" s="49">
        <v>0.05</v>
      </c>
      <c r="O45" s="49">
        <v>0.1</v>
      </c>
      <c r="P45" s="50">
        <v>0.15</v>
      </c>
      <c r="R45" s="125" t="s">
        <v>30</v>
      </c>
      <c r="S45" s="125"/>
      <c r="T45" s="125"/>
      <c r="U45" s="125"/>
      <c r="V45" s="125"/>
    </row>
    <row r="46" spans="1:22" ht="12" customHeight="1" thickBot="1">
      <c r="A46" s="10" t="s">
        <v>20</v>
      </c>
      <c r="B46" s="46"/>
      <c r="C46" s="45" t="s">
        <v>18</v>
      </c>
      <c r="D46" s="10"/>
      <c r="E46" s="3"/>
      <c r="F46" s="5"/>
      <c r="J46" s="17"/>
      <c r="K46" s="124" t="s">
        <v>33</v>
      </c>
      <c r="L46" s="113"/>
      <c r="M46" s="55"/>
      <c r="N46" s="47"/>
      <c r="O46" s="47"/>
      <c r="P46" s="51"/>
      <c r="R46" s="125" t="s">
        <v>31</v>
      </c>
      <c r="S46" s="125"/>
      <c r="T46" s="125"/>
      <c r="U46" s="125"/>
      <c r="V46" s="125"/>
    </row>
    <row r="47" spans="1:22" ht="12" customHeight="1" thickBot="1">
      <c r="F47" s="3"/>
      <c r="J47" s="17"/>
      <c r="K47" s="124" t="s">
        <v>32</v>
      </c>
      <c r="L47" s="113"/>
      <c r="M47" s="56"/>
      <c r="N47" s="52"/>
      <c r="O47" s="52"/>
      <c r="P47" s="53"/>
      <c r="Q47" s="7"/>
      <c r="R47" s="6"/>
      <c r="S47" s="5"/>
      <c r="T47" s="5"/>
      <c r="U47" s="5"/>
      <c r="V47" s="6"/>
    </row>
    <row r="48" spans="1:22" ht="12" customHeight="1">
      <c r="A48" s="1" t="s">
        <v>34</v>
      </c>
      <c r="B48" s="3"/>
      <c r="C48" s="3"/>
      <c r="D48" s="3"/>
      <c r="E48" s="24" t="s">
        <v>29</v>
      </c>
      <c r="F48" s="3"/>
      <c r="P48" s="5"/>
      <c r="Q48" s="7"/>
      <c r="R48" s="6"/>
      <c r="S48" s="5"/>
      <c r="T48" s="5"/>
      <c r="U48" s="5"/>
      <c r="V48" s="6"/>
    </row>
    <row r="49" spans="1:22" ht="12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8"/>
      <c r="M49" s="8"/>
      <c r="N49" s="3"/>
      <c r="O49" s="5"/>
      <c r="P49" s="5"/>
      <c r="Q49" s="7"/>
      <c r="R49" s="6"/>
      <c r="S49" s="5"/>
      <c r="T49" s="5"/>
      <c r="U49" s="5"/>
      <c r="V49" s="6"/>
    </row>
    <row r="50" spans="1:22" ht="12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8"/>
      <c r="M50" s="8"/>
      <c r="N50" s="3"/>
      <c r="O50" s="5"/>
      <c r="P50" s="5"/>
      <c r="Q50" s="7"/>
      <c r="R50" s="6"/>
      <c r="S50" s="5"/>
      <c r="T50" s="5"/>
      <c r="U50" s="5"/>
      <c r="V50" s="6"/>
    </row>
    <row r="51" spans="1:22" ht="1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5"/>
      <c r="S51" s="5"/>
      <c r="T51" s="5"/>
      <c r="U51" s="5"/>
      <c r="V51" s="5"/>
    </row>
    <row r="52" spans="1:22" ht="1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5"/>
      <c r="S52" s="5"/>
      <c r="T52" s="5"/>
      <c r="U52" s="5"/>
      <c r="V52" s="5"/>
    </row>
    <row r="53" spans="1:22" ht="12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5"/>
      <c r="S53" s="5"/>
      <c r="T53" s="5"/>
      <c r="U53" s="5"/>
      <c r="V53" s="5"/>
    </row>
    <row r="54" spans="1:22" ht="12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5"/>
      <c r="S54" s="5"/>
      <c r="T54" s="5"/>
      <c r="U54" s="5"/>
      <c r="V54" s="5"/>
    </row>
    <row r="55" spans="1:22" ht="12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5"/>
      <c r="T55" s="5"/>
      <c r="U55" s="5"/>
      <c r="V55" s="5"/>
    </row>
    <row r="56" spans="1:22" ht="12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5"/>
      <c r="T56" s="5"/>
      <c r="U56" s="5"/>
      <c r="V56" s="5"/>
    </row>
    <row r="57" spans="1:22" ht="12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5"/>
      <c r="T57" s="5"/>
      <c r="U57" s="5"/>
      <c r="V57" s="5"/>
    </row>
    <row r="58" spans="1:22" ht="12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5"/>
      <c r="T58" s="5"/>
      <c r="U58" s="5"/>
      <c r="V58" s="5"/>
    </row>
    <row r="59" spans="1:22" ht="12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5"/>
      <c r="T59" s="5"/>
      <c r="U59" s="5"/>
      <c r="V59" s="5"/>
    </row>
    <row r="60" spans="1:22" ht="1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5"/>
      <c r="T60" s="5"/>
      <c r="U60" s="5"/>
      <c r="V60" s="5"/>
    </row>
    <row r="61" spans="1:22" ht="1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5"/>
      <c r="T61" s="5"/>
      <c r="U61" s="5"/>
      <c r="V61" s="5"/>
    </row>
    <row r="62" spans="1:22" ht="1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5"/>
      <c r="T62" s="5"/>
      <c r="U62" s="5"/>
      <c r="V62" s="5"/>
    </row>
    <row r="63" spans="1:22" ht="12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5"/>
      <c r="T63" s="5"/>
      <c r="U63" s="5"/>
      <c r="V63" s="5"/>
    </row>
    <row r="64" spans="1:22" ht="1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5"/>
      <c r="T64" s="5"/>
      <c r="U64" s="5"/>
      <c r="V64" s="5"/>
    </row>
    <row r="65" spans="1:22" ht="12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5"/>
      <c r="T65" s="5"/>
      <c r="U65" s="5"/>
      <c r="V65" s="5"/>
    </row>
    <row r="66" spans="1:22" ht="12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5"/>
      <c r="T66" s="5"/>
      <c r="U66" s="5"/>
      <c r="V66" s="5"/>
    </row>
    <row r="67" spans="1:22" ht="12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5"/>
      <c r="T67" s="5"/>
      <c r="U67" s="5"/>
      <c r="V67" s="5"/>
    </row>
    <row r="68" spans="1:22" ht="1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5"/>
      <c r="T68" s="5"/>
      <c r="U68" s="5"/>
      <c r="V68" s="5"/>
    </row>
    <row r="69" spans="1:22" ht="12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5"/>
      <c r="T69" s="5"/>
      <c r="U69" s="5"/>
      <c r="V69" s="5"/>
    </row>
    <row r="70" spans="1:22" ht="1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5"/>
      <c r="T70" s="5"/>
      <c r="U70" s="5"/>
      <c r="V70" s="5"/>
    </row>
    <row r="71" spans="1:22" ht="1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5"/>
      <c r="T71" s="5"/>
      <c r="U71" s="5"/>
      <c r="V71" s="5"/>
    </row>
    <row r="72" spans="1:22" ht="12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5"/>
      <c r="T72" s="5"/>
      <c r="U72" s="5"/>
      <c r="V72" s="5"/>
    </row>
    <row r="73" spans="1:22" ht="12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5"/>
      <c r="T73" s="5"/>
      <c r="U73" s="5"/>
      <c r="V73" s="5"/>
    </row>
    <row r="74" spans="1:22" ht="1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5"/>
      <c r="T74" s="5"/>
      <c r="U74" s="5"/>
      <c r="V74" s="5"/>
    </row>
    <row r="75" spans="1:22" ht="12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5"/>
      <c r="T75" s="5"/>
      <c r="U75" s="5"/>
      <c r="V75" s="5"/>
    </row>
    <row r="76" spans="1:22" ht="1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5"/>
      <c r="T76" s="5"/>
      <c r="U76" s="5"/>
      <c r="V76" s="5"/>
    </row>
    <row r="77" spans="1:22" ht="12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5"/>
      <c r="T77" s="5"/>
      <c r="U77" s="5"/>
      <c r="V77" s="5"/>
    </row>
    <row r="78" spans="1:22" ht="12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5"/>
      <c r="T78" s="5"/>
      <c r="U78" s="5"/>
      <c r="V78" s="5"/>
    </row>
    <row r="79" spans="1:22" ht="1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5"/>
      <c r="T79" s="5"/>
      <c r="U79" s="5"/>
      <c r="V79" s="5"/>
    </row>
    <row r="80" spans="1:22" ht="1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5"/>
      <c r="T80" s="5"/>
      <c r="U80" s="5"/>
      <c r="V80" s="5"/>
    </row>
    <row r="81" spans="1:22" ht="12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5"/>
      <c r="T81" s="5"/>
      <c r="U81" s="5"/>
      <c r="V81" s="5"/>
    </row>
    <row r="82" spans="1:22" ht="12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5"/>
      <c r="T82" s="5"/>
      <c r="U82" s="5"/>
      <c r="V82" s="5"/>
    </row>
    <row r="83" spans="1:22" ht="12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5"/>
      <c r="T83" s="5"/>
      <c r="U83" s="5"/>
      <c r="V83" s="5"/>
    </row>
    <row r="84" spans="1:22" ht="12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5"/>
      <c r="T84" s="5"/>
      <c r="U84" s="5"/>
      <c r="V84" s="5"/>
    </row>
    <row r="85" spans="1:22" ht="12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5"/>
      <c r="T85" s="5"/>
      <c r="U85" s="5"/>
      <c r="V85" s="5"/>
    </row>
    <row r="86" spans="1:22" ht="12" customHeight="1">
      <c r="S86" s="2"/>
      <c r="T86" s="2"/>
      <c r="U86" s="2"/>
      <c r="V86" s="2"/>
    </row>
    <row r="87" spans="1:22" ht="12" customHeight="1">
      <c r="S87" s="2"/>
      <c r="T87" s="2"/>
      <c r="U87" s="2"/>
      <c r="V87" s="2"/>
    </row>
    <row r="88" spans="1:22" ht="12" customHeight="1">
      <c r="S88" s="2"/>
      <c r="T88" s="2"/>
      <c r="U88" s="2"/>
      <c r="V88" s="2"/>
    </row>
    <row r="89" spans="1:22" ht="12" customHeight="1">
      <c r="S89" s="2"/>
      <c r="T89" s="2"/>
      <c r="U89" s="2"/>
      <c r="V89" s="2"/>
    </row>
    <row r="90" spans="1:22" ht="12" customHeight="1">
      <c r="S90" s="2"/>
      <c r="T90" s="2"/>
      <c r="U90" s="2"/>
      <c r="V90" s="2"/>
    </row>
    <row r="91" spans="1:22" ht="12" customHeight="1">
      <c r="S91" s="2"/>
      <c r="T91" s="2"/>
      <c r="U91" s="2"/>
      <c r="V91" s="2"/>
    </row>
    <row r="92" spans="1:22" ht="12" customHeight="1">
      <c r="S92" s="2"/>
      <c r="T92" s="2"/>
      <c r="U92" s="2"/>
      <c r="V92" s="2"/>
    </row>
    <row r="93" spans="1:22">
      <c r="S93" s="2"/>
      <c r="T93" s="2"/>
      <c r="U93" s="2"/>
      <c r="V93" s="2"/>
    </row>
    <row r="94" spans="1:22">
      <c r="S94" s="2"/>
      <c r="T94" s="2"/>
      <c r="U94" s="2"/>
      <c r="V94" s="2"/>
    </row>
    <row r="95" spans="1:22">
      <c r="S95" s="2"/>
      <c r="T95" s="2"/>
      <c r="U95" s="2"/>
      <c r="V95" s="2"/>
    </row>
    <row r="96" spans="1:22">
      <c r="S96" s="2"/>
      <c r="T96" s="2"/>
      <c r="U96" s="2"/>
      <c r="V96" s="2"/>
    </row>
    <row r="97" spans="19:21">
      <c r="S97" s="2"/>
      <c r="T97" s="2"/>
      <c r="U97" s="2"/>
    </row>
    <row r="98" spans="19:21">
      <c r="S98" s="2"/>
      <c r="T98" s="2"/>
      <c r="U98" s="2"/>
    </row>
    <row r="99" spans="19:21">
      <c r="S99" s="2"/>
      <c r="T99" s="2"/>
      <c r="U99" s="2"/>
    </row>
    <row r="100" spans="19:21">
      <c r="S100" s="2"/>
      <c r="T100" s="2"/>
      <c r="U100" s="2"/>
    </row>
    <row r="101" spans="19:21">
      <c r="S101" s="2"/>
      <c r="T101" s="2"/>
      <c r="U101" s="2"/>
    </row>
    <row r="102" spans="19:21">
      <c r="S102" s="2"/>
      <c r="T102" s="2"/>
      <c r="U102" s="2"/>
    </row>
    <row r="103" spans="19:21">
      <c r="S103" s="2"/>
      <c r="T103" s="2"/>
      <c r="U103" s="2"/>
    </row>
    <row r="104" spans="19:21">
      <c r="S104" s="2"/>
      <c r="T104" s="2"/>
      <c r="U104" s="2"/>
    </row>
    <row r="105" spans="19:21">
      <c r="S105" s="2"/>
      <c r="T105" s="2"/>
      <c r="U105" s="2"/>
    </row>
    <row r="106" spans="19:21">
      <c r="S106" s="2"/>
      <c r="T106" s="2"/>
      <c r="U106" s="2"/>
    </row>
    <row r="107" spans="19:21">
      <c r="S107" s="2"/>
      <c r="T107" s="2"/>
      <c r="U107" s="2"/>
    </row>
    <row r="108" spans="19:21">
      <c r="S108" s="2"/>
      <c r="T108" s="2"/>
      <c r="U108" s="2"/>
    </row>
    <row r="109" spans="19:21">
      <c r="S109" s="2"/>
      <c r="T109" s="2"/>
      <c r="U109" s="2"/>
    </row>
    <row r="110" spans="19:21">
      <c r="S110" s="2"/>
      <c r="T110" s="2"/>
      <c r="U110" s="2"/>
    </row>
    <row r="111" spans="19:21">
      <c r="S111" s="2"/>
      <c r="T111" s="2"/>
      <c r="U111" s="2"/>
    </row>
    <row r="112" spans="19:21">
      <c r="S112" s="2"/>
      <c r="T112" s="2"/>
      <c r="U112" s="2"/>
    </row>
    <row r="113" spans="19:21">
      <c r="S113" s="2"/>
      <c r="T113" s="2"/>
      <c r="U113" s="2"/>
    </row>
    <row r="114" spans="19:21">
      <c r="S114" s="2"/>
      <c r="T114" s="2"/>
      <c r="U114" s="2"/>
    </row>
    <row r="115" spans="19:21">
      <c r="S115" s="2"/>
      <c r="T115" s="2"/>
      <c r="U115" s="2"/>
    </row>
    <row r="116" spans="19:21">
      <c r="S116" s="2"/>
      <c r="T116" s="2"/>
      <c r="U116" s="2"/>
    </row>
    <row r="117" spans="19:21">
      <c r="S117" s="2"/>
      <c r="T117" s="2"/>
      <c r="U117" s="2"/>
    </row>
    <row r="118" spans="19:21">
      <c r="S118" s="2"/>
      <c r="T118" s="2"/>
      <c r="U118" s="2"/>
    </row>
    <row r="119" spans="19:21">
      <c r="S119" s="2"/>
      <c r="T119" s="2"/>
      <c r="U119" s="2"/>
    </row>
    <row r="120" spans="19:21">
      <c r="S120" s="2"/>
      <c r="T120" s="2"/>
      <c r="U120" s="2"/>
    </row>
    <row r="121" spans="19:21">
      <c r="S121" s="2"/>
      <c r="T121" s="2"/>
      <c r="U121" s="2"/>
    </row>
    <row r="122" spans="19:21">
      <c r="S122" s="2"/>
      <c r="T122" s="2"/>
      <c r="U122" s="2"/>
    </row>
    <row r="123" spans="19:21">
      <c r="S123" s="2"/>
      <c r="T123" s="2"/>
      <c r="U123" s="2"/>
    </row>
    <row r="124" spans="19:21">
      <c r="S124" s="2"/>
      <c r="T124" s="2"/>
      <c r="U124" s="2"/>
    </row>
    <row r="125" spans="19:21">
      <c r="S125" s="2"/>
      <c r="T125" s="2"/>
      <c r="U125" s="2"/>
    </row>
    <row r="126" spans="19:21">
      <c r="S126" s="2"/>
      <c r="T126" s="2"/>
      <c r="U126" s="2"/>
    </row>
    <row r="127" spans="19:21">
      <c r="S127" s="2"/>
      <c r="T127" s="2"/>
      <c r="U127" s="2"/>
    </row>
    <row r="128" spans="19:21">
      <c r="S128" s="2"/>
      <c r="T128" s="2"/>
      <c r="U128" s="2"/>
    </row>
    <row r="129" spans="19:21">
      <c r="S129" s="2"/>
      <c r="T129" s="2"/>
      <c r="U129" s="2"/>
    </row>
    <row r="130" spans="19:21">
      <c r="S130" s="2"/>
      <c r="T130" s="2"/>
      <c r="U130" s="2"/>
    </row>
    <row r="131" spans="19:21">
      <c r="S131" s="2"/>
      <c r="T131" s="2"/>
      <c r="U131" s="2"/>
    </row>
    <row r="132" spans="19:21">
      <c r="S132" s="2"/>
      <c r="T132" s="2"/>
      <c r="U132" s="2"/>
    </row>
    <row r="133" spans="19:21">
      <c r="S133" s="2"/>
      <c r="T133" s="2"/>
      <c r="U133" s="2"/>
    </row>
    <row r="134" spans="19:21">
      <c r="S134" s="2"/>
      <c r="T134" s="2"/>
      <c r="U134" s="2"/>
    </row>
    <row r="135" spans="19:21">
      <c r="S135" s="2"/>
      <c r="T135" s="2"/>
      <c r="U135" s="2"/>
    </row>
    <row r="136" spans="19:21">
      <c r="S136" s="2"/>
      <c r="T136" s="2"/>
      <c r="U136" s="2"/>
    </row>
    <row r="137" spans="19:21">
      <c r="S137" s="2"/>
      <c r="T137" s="2"/>
      <c r="U137" s="2"/>
    </row>
    <row r="138" spans="19:21">
      <c r="S138" s="2"/>
      <c r="T138" s="2"/>
      <c r="U138" s="2"/>
    </row>
    <row r="139" spans="19:21">
      <c r="S139" s="2"/>
      <c r="T139" s="2"/>
      <c r="U139" s="2"/>
    </row>
    <row r="140" spans="19:21">
      <c r="S140" s="2"/>
      <c r="T140" s="2"/>
      <c r="U140" s="2"/>
    </row>
    <row r="141" spans="19:21">
      <c r="S141" s="2"/>
      <c r="T141" s="2"/>
      <c r="U141" s="2"/>
    </row>
    <row r="142" spans="19:21">
      <c r="S142" s="2"/>
      <c r="T142" s="2"/>
      <c r="U142" s="2"/>
    </row>
    <row r="143" spans="19:21">
      <c r="S143" s="2"/>
      <c r="T143" s="2"/>
      <c r="U143" s="2"/>
    </row>
    <row r="144" spans="19:21">
      <c r="S144" s="2"/>
      <c r="T144" s="2"/>
      <c r="U144" s="2"/>
    </row>
    <row r="145" spans="19:21">
      <c r="S145" s="2"/>
      <c r="T145" s="2"/>
      <c r="U145" s="2"/>
    </row>
    <row r="146" spans="19:21">
      <c r="S146" s="2"/>
      <c r="T146" s="2"/>
      <c r="U146" s="2"/>
    </row>
    <row r="147" spans="19:21">
      <c r="S147" s="2"/>
      <c r="T147" s="2"/>
      <c r="U147" s="2"/>
    </row>
    <row r="148" spans="19:21">
      <c r="S148" s="2"/>
      <c r="T148" s="2"/>
      <c r="U148" s="2"/>
    </row>
    <row r="149" spans="19:21">
      <c r="S149" s="2"/>
      <c r="T149" s="2"/>
      <c r="U149" s="2"/>
    </row>
    <row r="150" spans="19:21">
      <c r="S150" s="2"/>
      <c r="T150" s="2"/>
      <c r="U150" s="2"/>
    </row>
    <row r="151" spans="19:21">
      <c r="S151" s="2"/>
      <c r="T151" s="2"/>
      <c r="U151" s="2"/>
    </row>
    <row r="152" spans="19:21">
      <c r="S152" s="2"/>
      <c r="T152" s="2"/>
      <c r="U152" s="2"/>
    </row>
    <row r="153" spans="19:21">
      <c r="S153" s="2"/>
      <c r="T153" s="2"/>
      <c r="U153" s="2"/>
    </row>
    <row r="154" spans="19:21">
      <c r="S154" s="2"/>
      <c r="T154" s="2"/>
      <c r="U154" s="2"/>
    </row>
    <row r="155" spans="19:21">
      <c r="S155" s="2"/>
      <c r="T155" s="2"/>
      <c r="U155" s="2"/>
    </row>
    <row r="156" spans="19:21">
      <c r="S156" s="2"/>
      <c r="T156" s="2"/>
      <c r="U156" s="2"/>
    </row>
    <row r="157" spans="19:21">
      <c r="S157" s="2"/>
      <c r="T157" s="2"/>
      <c r="U157" s="2"/>
    </row>
    <row r="158" spans="19:21">
      <c r="S158" s="2"/>
      <c r="T158" s="2"/>
      <c r="U158" s="2"/>
    </row>
    <row r="159" spans="19:21">
      <c r="S159" s="2"/>
      <c r="T159" s="2"/>
      <c r="U159" s="2"/>
    </row>
    <row r="160" spans="19:21">
      <c r="S160" s="2"/>
      <c r="T160" s="2"/>
      <c r="U160" s="2"/>
    </row>
    <row r="161" spans="19:21">
      <c r="S161" s="2"/>
      <c r="T161" s="2"/>
      <c r="U161" s="2"/>
    </row>
    <row r="162" spans="19:21">
      <c r="S162" s="2"/>
      <c r="T162" s="2"/>
      <c r="U162" s="2"/>
    </row>
    <row r="163" spans="19:21">
      <c r="S163" s="2"/>
      <c r="T163" s="2"/>
      <c r="U163" s="2"/>
    </row>
    <row r="164" spans="19:21">
      <c r="S164" s="2"/>
      <c r="T164" s="2"/>
      <c r="U164" s="2"/>
    </row>
    <row r="165" spans="19:21">
      <c r="S165" s="2"/>
      <c r="T165" s="2"/>
      <c r="U165" s="2"/>
    </row>
    <row r="166" spans="19:21">
      <c r="S166" s="2"/>
      <c r="T166" s="2"/>
      <c r="U166" s="2"/>
    </row>
    <row r="167" spans="19:21">
      <c r="S167" s="2"/>
      <c r="T167" s="2"/>
      <c r="U167" s="2"/>
    </row>
    <row r="168" spans="19:21">
      <c r="S168" s="2"/>
      <c r="T168" s="2"/>
      <c r="U168" s="2"/>
    </row>
    <row r="169" spans="19:21">
      <c r="S169" s="2"/>
      <c r="T169" s="2"/>
      <c r="U169" s="2"/>
    </row>
    <row r="170" spans="19:21">
      <c r="S170" s="2"/>
      <c r="T170" s="2"/>
      <c r="U170" s="2"/>
    </row>
    <row r="171" spans="19:21">
      <c r="S171" s="2"/>
      <c r="T171" s="2"/>
      <c r="U171" s="2"/>
    </row>
    <row r="172" spans="19:21">
      <c r="S172" s="2"/>
      <c r="T172" s="2"/>
      <c r="U172" s="2"/>
    </row>
    <row r="173" spans="19:21">
      <c r="S173" s="2"/>
      <c r="T173" s="2"/>
      <c r="U173" s="2"/>
    </row>
    <row r="174" spans="19:21">
      <c r="S174" s="2"/>
      <c r="T174" s="2"/>
      <c r="U174" s="2"/>
    </row>
    <row r="175" spans="19:21">
      <c r="S175" s="2"/>
      <c r="T175" s="2"/>
      <c r="U175" s="2"/>
    </row>
    <row r="176" spans="19:21">
      <c r="S176" s="2"/>
      <c r="T176" s="2"/>
      <c r="U176" s="2"/>
    </row>
    <row r="177" spans="19:21">
      <c r="S177" s="2"/>
      <c r="T177" s="2"/>
      <c r="U177" s="2"/>
    </row>
    <row r="178" spans="19:21">
      <c r="S178" s="2"/>
      <c r="T178" s="2"/>
      <c r="U178" s="2"/>
    </row>
    <row r="179" spans="19:21">
      <c r="S179" s="2"/>
      <c r="T179" s="2"/>
      <c r="U179" s="2"/>
    </row>
    <row r="180" spans="19:21">
      <c r="S180" s="2"/>
      <c r="T180" s="2"/>
      <c r="U180" s="2"/>
    </row>
    <row r="181" spans="19:21">
      <c r="S181" s="2"/>
      <c r="T181" s="2"/>
      <c r="U181" s="2"/>
    </row>
    <row r="182" spans="19:21">
      <c r="S182" s="2"/>
      <c r="T182" s="2"/>
      <c r="U182" s="2"/>
    </row>
    <row r="183" spans="19:21">
      <c r="S183" s="2"/>
      <c r="T183" s="2"/>
      <c r="U183" s="2"/>
    </row>
    <row r="184" spans="19:21">
      <c r="S184" s="2"/>
      <c r="T184" s="2"/>
      <c r="U184" s="2"/>
    </row>
    <row r="185" spans="19:21">
      <c r="S185" s="2"/>
      <c r="T185" s="2"/>
      <c r="U185" s="2"/>
    </row>
    <row r="186" spans="19:21">
      <c r="S186" s="2"/>
      <c r="T186" s="2"/>
      <c r="U186" s="2"/>
    </row>
    <row r="187" spans="19:21">
      <c r="S187" s="2"/>
      <c r="T187" s="2"/>
      <c r="U187" s="2"/>
    </row>
    <row r="188" spans="19:21">
      <c r="S188" s="2"/>
      <c r="T188" s="2"/>
      <c r="U188" s="2"/>
    </row>
    <row r="189" spans="19:21">
      <c r="S189" s="2"/>
      <c r="T189" s="2"/>
      <c r="U189" s="2"/>
    </row>
    <row r="190" spans="19:21">
      <c r="S190" s="2"/>
      <c r="T190" s="2"/>
      <c r="U190" s="2"/>
    </row>
    <row r="191" spans="19:21">
      <c r="S191" s="2"/>
      <c r="T191" s="2"/>
      <c r="U191" s="2"/>
    </row>
    <row r="192" spans="19:21">
      <c r="S192" s="2"/>
      <c r="T192" s="2"/>
      <c r="U192" s="2"/>
    </row>
    <row r="193" spans="19:21">
      <c r="S193" s="2"/>
      <c r="T193" s="2"/>
      <c r="U193" s="2"/>
    </row>
    <row r="194" spans="19:21">
      <c r="S194" s="2"/>
      <c r="T194" s="2"/>
      <c r="U194" s="2"/>
    </row>
    <row r="195" spans="19:21">
      <c r="S195" s="2"/>
      <c r="T195" s="2"/>
      <c r="U195" s="2"/>
    </row>
    <row r="196" spans="19:21">
      <c r="S196" s="2"/>
      <c r="T196" s="2"/>
      <c r="U196" s="2"/>
    </row>
    <row r="197" spans="19:21">
      <c r="S197" s="2"/>
      <c r="T197" s="2"/>
      <c r="U197" s="2"/>
    </row>
    <row r="198" spans="19:21">
      <c r="S198" s="2"/>
      <c r="T198" s="2"/>
      <c r="U198" s="2"/>
    </row>
    <row r="199" spans="19:21">
      <c r="S199" s="2"/>
      <c r="T199" s="2"/>
      <c r="U199" s="2"/>
    </row>
    <row r="200" spans="19:21">
      <c r="S200" s="2"/>
      <c r="T200" s="2"/>
      <c r="U200" s="2"/>
    </row>
    <row r="201" spans="19:21">
      <c r="S201" s="2"/>
      <c r="T201" s="2"/>
      <c r="U201" s="2"/>
    </row>
    <row r="202" spans="19:21">
      <c r="S202" s="2"/>
      <c r="T202" s="2"/>
      <c r="U202" s="2"/>
    </row>
    <row r="203" spans="19:21">
      <c r="S203" s="2"/>
      <c r="T203" s="2"/>
      <c r="U203" s="2"/>
    </row>
    <row r="204" spans="19:21">
      <c r="S204" s="2"/>
      <c r="T204" s="2"/>
      <c r="U204" s="2"/>
    </row>
    <row r="205" spans="19:21">
      <c r="S205" s="2"/>
      <c r="T205" s="2"/>
      <c r="U205" s="2"/>
    </row>
    <row r="206" spans="19:21">
      <c r="S206" s="2"/>
      <c r="T206" s="2"/>
      <c r="U206" s="2"/>
    </row>
    <row r="207" spans="19:21">
      <c r="S207" s="2"/>
      <c r="T207" s="2"/>
      <c r="U207" s="2"/>
    </row>
    <row r="208" spans="19:21">
      <c r="S208" s="2"/>
      <c r="T208" s="2"/>
      <c r="U208" s="2"/>
    </row>
    <row r="209" spans="19:21">
      <c r="S209" s="2"/>
      <c r="T209" s="2"/>
      <c r="U209" s="2"/>
    </row>
    <row r="210" spans="19:21">
      <c r="S210" s="2"/>
      <c r="T210" s="2"/>
      <c r="U210" s="2"/>
    </row>
    <row r="211" spans="19:21">
      <c r="S211" s="2"/>
      <c r="T211" s="2"/>
      <c r="U211" s="2"/>
    </row>
    <row r="212" spans="19:21">
      <c r="S212" s="2"/>
      <c r="T212" s="2"/>
      <c r="U212" s="2"/>
    </row>
    <row r="213" spans="19:21">
      <c r="S213" s="2"/>
      <c r="T213" s="2"/>
      <c r="U213" s="2"/>
    </row>
    <row r="214" spans="19:21">
      <c r="S214" s="2"/>
      <c r="T214" s="2"/>
      <c r="U214" s="2"/>
    </row>
    <row r="215" spans="19:21">
      <c r="S215" s="2"/>
      <c r="T215" s="2"/>
      <c r="U215" s="2"/>
    </row>
    <row r="216" spans="19:21">
      <c r="S216" s="2"/>
      <c r="T216" s="2"/>
      <c r="U216" s="2"/>
    </row>
    <row r="217" spans="19:21">
      <c r="S217" s="2"/>
      <c r="T217" s="2"/>
      <c r="U217" s="2"/>
    </row>
    <row r="218" spans="19:21">
      <c r="S218" s="2"/>
      <c r="T218" s="2"/>
      <c r="U218" s="2"/>
    </row>
    <row r="219" spans="19:21">
      <c r="S219" s="2"/>
      <c r="T219" s="2"/>
      <c r="U219" s="2"/>
    </row>
    <row r="220" spans="19:21">
      <c r="S220" s="2"/>
      <c r="T220" s="2"/>
      <c r="U220" s="2"/>
    </row>
    <row r="221" spans="19:21">
      <c r="S221" s="2"/>
      <c r="T221" s="2"/>
      <c r="U221" s="2"/>
    </row>
    <row r="222" spans="19:21">
      <c r="S222" s="2"/>
      <c r="T222" s="2"/>
      <c r="U222" s="2"/>
    </row>
    <row r="223" spans="19:21">
      <c r="S223" s="2"/>
      <c r="T223" s="2"/>
      <c r="U223" s="2"/>
    </row>
    <row r="224" spans="19:21">
      <c r="S224" s="2"/>
      <c r="T224" s="2"/>
      <c r="U224" s="2"/>
    </row>
    <row r="225" spans="19:21">
      <c r="S225" s="2"/>
      <c r="T225" s="2"/>
      <c r="U225" s="2"/>
    </row>
    <row r="226" spans="19:21">
      <c r="S226" s="2"/>
      <c r="T226" s="2"/>
      <c r="U226" s="2"/>
    </row>
    <row r="227" spans="19:21">
      <c r="S227" s="2"/>
      <c r="T227" s="2"/>
      <c r="U227" s="2"/>
    </row>
    <row r="228" spans="19:21">
      <c r="S228" s="2"/>
      <c r="T228" s="2"/>
      <c r="U228" s="2"/>
    </row>
    <row r="229" spans="19:21">
      <c r="S229" s="2"/>
      <c r="T229" s="2"/>
      <c r="U229" s="2"/>
    </row>
    <row r="230" spans="19:21">
      <c r="S230" s="2"/>
      <c r="T230" s="2"/>
      <c r="U230" s="2"/>
    </row>
    <row r="231" spans="19:21">
      <c r="S231" s="2"/>
      <c r="T231" s="2"/>
      <c r="U231" s="2"/>
    </row>
    <row r="232" spans="19:21">
      <c r="S232" s="2"/>
      <c r="T232" s="2"/>
      <c r="U232" s="2"/>
    </row>
    <row r="233" spans="19:21">
      <c r="S233" s="2"/>
      <c r="T233" s="2"/>
      <c r="U233" s="2"/>
    </row>
    <row r="234" spans="19:21">
      <c r="S234" s="2"/>
      <c r="T234" s="2"/>
      <c r="U234" s="2"/>
    </row>
    <row r="235" spans="19:21">
      <c r="S235" s="2"/>
      <c r="T235" s="2"/>
      <c r="U235" s="2"/>
    </row>
    <row r="236" spans="19:21">
      <c r="S236" s="2"/>
      <c r="T236" s="2"/>
      <c r="U236" s="2"/>
    </row>
    <row r="237" spans="19:21">
      <c r="S237" s="2"/>
      <c r="T237" s="2"/>
      <c r="U237" s="2"/>
    </row>
    <row r="238" spans="19:21">
      <c r="S238" s="2"/>
      <c r="T238" s="2"/>
      <c r="U238" s="2"/>
    </row>
    <row r="239" spans="19:21">
      <c r="S239" s="2"/>
      <c r="T239" s="2"/>
      <c r="U239" s="2"/>
    </row>
    <row r="240" spans="19:21">
      <c r="S240" s="2"/>
      <c r="T240" s="2"/>
      <c r="U240" s="2"/>
    </row>
    <row r="241" spans="19:21">
      <c r="S241" s="2"/>
      <c r="T241" s="2"/>
      <c r="U241" s="2"/>
    </row>
    <row r="242" spans="19:21">
      <c r="S242" s="2"/>
      <c r="T242" s="2"/>
      <c r="U242" s="2"/>
    </row>
    <row r="243" spans="19:21">
      <c r="S243" s="2"/>
      <c r="T243" s="2"/>
      <c r="U243" s="2"/>
    </row>
    <row r="244" spans="19:21">
      <c r="S244" s="2"/>
      <c r="T244" s="2"/>
      <c r="U244" s="2"/>
    </row>
    <row r="245" spans="19:21">
      <c r="S245" s="2"/>
      <c r="T245" s="2"/>
      <c r="U245" s="2"/>
    </row>
    <row r="246" spans="19:21">
      <c r="S246" s="2"/>
      <c r="T246" s="2"/>
      <c r="U246" s="2"/>
    </row>
    <row r="247" spans="19:21">
      <c r="S247" s="2"/>
      <c r="T247" s="2"/>
      <c r="U247" s="2"/>
    </row>
    <row r="248" spans="19:21">
      <c r="S248" s="2"/>
      <c r="T248" s="2"/>
      <c r="U248" s="2"/>
    </row>
    <row r="249" spans="19:21">
      <c r="S249" s="2"/>
      <c r="T249" s="2"/>
      <c r="U249" s="2"/>
    </row>
    <row r="250" spans="19:21">
      <c r="S250" s="2"/>
      <c r="T250" s="2"/>
      <c r="U250" s="2"/>
    </row>
    <row r="251" spans="19:21">
      <c r="S251" s="2"/>
      <c r="T251" s="2"/>
      <c r="U251" s="2"/>
    </row>
    <row r="252" spans="19:21">
      <c r="S252" s="2"/>
      <c r="T252" s="2"/>
      <c r="U252" s="2"/>
    </row>
    <row r="253" spans="19:21">
      <c r="S253" s="2"/>
      <c r="T253" s="2"/>
      <c r="U253" s="2"/>
    </row>
    <row r="254" spans="19:21">
      <c r="S254" s="2"/>
      <c r="T254" s="2"/>
      <c r="U254" s="2"/>
    </row>
    <row r="255" spans="19:21">
      <c r="S255" s="2"/>
      <c r="T255" s="2"/>
      <c r="U255" s="2"/>
    </row>
    <row r="256" spans="19:21">
      <c r="S256" s="2"/>
      <c r="T256" s="2"/>
      <c r="U256" s="2"/>
    </row>
    <row r="257" spans="19:21">
      <c r="S257" s="2"/>
      <c r="T257" s="2"/>
      <c r="U257" s="2"/>
    </row>
    <row r="258" spans="19:21">
      <c r="S258" s="2"/>
      <c r="T258" s="2"/>
      <c r="U258" s="2"/>
    </row>
    <row r="259" spans="19:21">
      <c r="S259" s="2"/>
      <c r="T259" s="2"/>
      <c r="U259" s="2"/>
    </row>
    <row r="260" spans="19:21">
      <c r="S260" s="2"/>
      <c r="T260" s="2"/>
      <c r="U260" s="2"/>
    </row>
    <row r="261" spans="19:21">
      <c r="S261" s="2"/>
      <c r="T261" s="2"/>
      <c r="U261" s="2"/>
    </row>
    <row r="262" spans="19:21">
      <c r="S262" s="2"/>
      <c r="T262" s="2"/>
      <c r="U262" s="2"/>
    </row>
    <row r="263" spans="19:21">
      <c r="S263" s="2"/>
      <c r="T263" s="2"/>
      <c r="U263" s="2"/>
    </row>
    <row r="264" spans="19:21">
      <c r="S264" s="2"/>
      <c r="T264" s="2"/>
      <c r="U264" s="2"/>
    </row>
    <row r="265" spans="19:21">
      <c r="S265" s="2"/>
      <c r="T265" s="2"/>
      <c r="U265" s="2"/>
    </row>
    <row r="266" spans="19:21">
      <c r="S266" s="2"/>
      <c r="T266" s="2"/>
      <c r="U266" s="2"/>
    </row>
    <row r="267" spans="19:21">
      <c r="S267" s="2"/>
      <c r="T267" s="2"/>
      <c r="U267" s="2"/>
    </row>
    <row r="268" spans="19:21">
      <c r="S268" s="2"/>
      <c r="T268" s="2"/>
      <c r="U268" s="2"/>
    </row>
    <row r="269" spans="19:21">
      <c r="S269" s="2"/>
      <c r="T269" s="2"/>
      <c r="U269" s="2"/>
    </row>
    <row r="270" spans="19:21">
      <c r="S270" s="2"/>
      <c r="T270" s="2"/>
      <c r="U270" s="2"/>
    </row>
    <row r="271" spans="19:21">
      <c r="S271" s="2"/>
      <c r="T271" s="2"/>
      <c r="U271" s="2"/>
    </row>
    <row r="272" spans="19:21">
      <c r="S272" s="2"/>
      <c r="T272" s="2"/>
      <c r="U272" s="2"/>
    </row>
    <row r="273" spans="19:21">
      <c r="S273" s="2"/>
      <c r="T273" s="2"/>
      <c r="U273" s="2"/>
    </row>
    <row r="274" spans="19:21">
      <c r="S274" s="2"/>
      <c r="T274" s="2"/>
      <c r="U274" s="2"/>
    </row>
    <row r="275" spans="19:21">
      <c r="S275" s="2"/>
      <c r="T275" s="2"/>
      <c r="U275" s="2"/>
    </row>
    <row r="276" spans="19:21">
      <c r="S276" s="2"/>
      <c r="T276" s="2"/>
      <c r="U276" s="2"/>
    </row>
    <row r="277" spans="19:21">
      <c r="S277" s="2"/>
      <c r="T277" s="2"/>
      <c r="U277" s="2"/>
    </row>
    <row r="278" spans="19:21">
      <c r="S278" s="2"/>
      <c r="T278" s="2"/>
      <c r="U278" s="2"/>
    </row>
    <row r="279" spans="19:21">
      <c r="S279" s="2"/>
      <c r="T279" s="2"/>
      <c r="U279" s="2"/>
    </row>
    <row r="280" spans="19:21">
      <c r="S280" s="2"/>
      <c r="T280" s="2"/>
      <c r="U280" s="2"/>
    </row>
    <row r="281" spans="19:21">
      <c r="S281" s="2"/>
      <c r="T281" s="2"/>
      <c r="U281" s="2"/>
    </row>
    <row r="282" spans="19:21">
      <c r="S282" s="2"/>
      <c r="T282" s="2"/>
      <c r="U282" s="2"/>
    </row>
    <row r="283" spans="19:21">
      <c r="S283" s="2"/>
      <c r="T283" s="2"/>
      <c r="U283" s="2"/>
    </row>
    <row r="284" spans="19:21">
      <c r="S284" s="2"/>
      <c r="T284" s="2"/>
      <c r="U284" s="2"/>
    </row>
    <row r="285" spans="19:21">
      <c r="S285" s="2"/>
      <c r="T285" s="2"/>
      <c r="U285" s="2"/>
    </row>
    <row r="286" spans="19:21">
      <c r="S286" s="2"/>
      <c r="T286" s="2"/>
      <c r="U286" s="2"/>
    </row>
    <row r="287" spans="19:21">
      <c r="S287" s="2"/>
      <c r="T287" s="2"/>
      <c r="U287" s="2"/>
    </row>
    <row r="288" spans="19:21">
      <c r="S288" s="2"/>
      <c r="T288" s="2"/>
      <c r="U288" s="2"/>
    </row>
    <row r="289" spans="19:21">
      <c r="S289" s="2"/>
      <c r="T289" s="2"/>
      <c r="U289" s="2"/>
    </row>
    <row r="290" spans="19:21">
      <c r="S290" s="2"/>
      <c r="T290" s="2"/>
      <c r="U290" s="2"/>
    </row>
    <row r="291" spans="19:21">
      <c r="S291" s="2"/>
      <c r="T291" s="2"/>
      <c r="U291" s="2"/>
    </row>
    <row r="292" spans="19:21">
      <c r="S292" s="2"/>
      <c r="T292" s="2"/>
      <c r="U292" s="2"/>
    </row>
    <row r="293" spans="19:21">
      <c r="S293" s="2"/>
      <c r="T293" s="2"/>
      <c r="U293" s="2"/>
    </row>
    <row r="294" spans="19:21">
      <c r="S294" s="2"/>
      <c r="T294" s="2"/>
      <c r="U294" s="2"/>
    </row>
    <row r="295" spans="19:21">
      <c r="S295" s="2"/>
      <c r="T295" s="2"/>
      <c r="U295" s="2"/>
    </row>
    <row r="296" spans="19:21">
      <c r="S296" s="2"/>
      <c r="T296" s="2"/>
      <c r="U296" s="2"/>
    </row>
    <row r="297" spans="19:21">
      <c r="S297" s="2"/>
      <c r="T297" s="2"/>
      <c r="U297" s="2"/>
    </row>
    <row r="298" spans="19:21">
      <c r="S298" s="2"/>
      <c r="T298" s="2"/>
      <c r="U298" s="2"/>
    </row>
    <row r="299" spans="19:21">
      <c r="S299" s="2"/>
      <c r="T299" s="2"/>
      <c r="U299" s="2"/>
    </row>
    <row r="300" spans="19:21">
      <c r="S300" s="2"/>
      <c r="T300" s="2"/>
      <c r="U300" s="2"/>
    </row>
    <row r="301" spans="19:21">
      <c r="S301" s="2"/>
      <c r="T301" s="2"/>
      <c r="U301" s="2"/>
    </row>
    <row r="302" spans="19:21">
      <c r="S302" s="2"/>
      <c r="T302" s="2"/>
      <c r="U302" s="2"/>
    </row>
    <row r="303" spans="19:21">
      <c r="S303" s="2"/>
      <c r="T303" s="2"/>
      <c r="U303" s="2"/>
    </row>
    <row r="304" spans="19:21">
      <c r="S304" s="2"/>
      <c r="T304" s="2"/>
      <c r="U304" s="2"/>
    </row>
    <row r="305" spans="19:21">
      <c r="S305" s="2"/>
      <c r="T305" s="2"/>
      <c r="U305" s="2"/>
    </row>
    <row r="306" spans="19:21">
      <c r="S306" s="2"/>
      <c r="T306" s="2"/>
      <c r="U306" s="2"/>
    </row>
    <row r="307" spans="19:21">
      <c r="S307" s="2"/>
      <c r="T307" s="2"/>
      <c r="U307" s="2"/>
    </row>
    <row r="308" spans="19:21">
      <c r="S308" s="2"/>
      <c r="T308" s="2"/>
      <c r="U308" s="2"/>
    </row>
    <row r="309" spans="19:21">
      <c r="S309" s="2"/>
      <c r="T309" s="2"/>
      <c r="U309" s="2"/>
    </row>
    <row r="310" spans="19:21">
      <c r="S310" s="2"/>
      <c r="T310" s="2"/>
      <c r="U310" s="2"/>
    </row>
    <row r="311" spans="19:21">
      <c r="S311" s="2"/>
      <c r="T311" s="2"/>
      <c r="U311" s="2"/>
    </row>
    <row r="312" spans="19:21">
      <c r="S312" s="2"/>
      <c r="T312" s="2"/>
      <c r="U312" s="2"/>
    </row>
    <row r="313" spans="19:21">
      <c r="S313" s="2"/>
      <c r="T313" s="2"/>
      <c r="U313" s="2"/>
    </row>
    <row r="314" spans="19:21">
      <c r="S314" s="2"/>
      <c r="T314" s="2"/>
      <c r="U314" s="2"/>
    </row>
    <row r="315" spans="19:21">
      <c r="S315" s="2"/>
      <c r="T315" s="2"/>
      <c r="U315" s="2"/>
    </row>
    <row r="316" spans="19:21">
      <c r="S316" s="2"/>
      <c r="T316" s="2"/>
      <c r="U316" s="2"/>
    </row>
    <row r="317" spans="19:21">
      <c r="S317" s="2"/>
      <c r="T317" s="2"/>
      <c r="U317" s="2"/>
    </row>
    <row r="318" spans="19:21">
      <c r="S318" s="2"/>
      <c r="T318" s="2"/>
      <c r="U318" s="2"/>
    </row>
    <row r="319" spans="19:21">
      <c r="S319" s="2"/>
      <c r="T319" s="2"/>
      <c r="U319" s="2"/>
    </row>
    <row r="320" spans="19:21">
      <c r="S320" s="2"/>
      <c r="T320" s="2"/>
      <c r="U320" s="2"/>
    </row>
    <row r="321" spans="19:21">
      <c r="S321" s="2"/>
      <c r="T321" s="2"/>
      <c r="U321" s="2"/>
    </row>
    <row r="322" spans="19:21">
      <c r="S322" s="2"/>
      <c r="T322" s="2"/>
      <c r="U322" s="2"/>
    </row>
    <row r="323" spans="19:21">
      <c r="S323" s="2"/>
      <c r="T323" s="2"/>
      <c r="U323" s="2"/>
    </row>
    <row r="324" spans="19:21">
      <c r="S324" s="2"/>
      <c r="T324" s="2"/>
      <c r="U324" s="2"/>
    </row>
    <row r="325" spans="19:21">
      <c r="S325" s="2"/>
      <c r="T325" s="2"/>
      <c r="U325" s="2"/>
    </row>
    <row r="326" spans="19:21">
      <c r="S326" s="2"/>
      <c r="T326" s="2"/>
      <c r="U326" s="2"/>
    </row>
    <row r="327" spans="19:21">
      <c r="S327" s="2"/>
      <c r="T327" s="2"/>
      <c r="U327" s="2"/>
    </row>
    <row r="328" spans="19:21">
      <c r="S328" s="2"/>
      <c r="T328" s="2"/>
      <c r="U328" s="2"/>
    </row>
    <row r="329" spans="19:21">
      <c r="S329" s="2"/>
      <c r="T329" s="2"/>
      <c r="U329" s="2"/>
    </row>
    <row r="330" spans="19:21">
      <c r="S330" s="2"/>
      <c r="T330" s="2"/>
      <c r="U330" s="2"/>
    </row>
    <row r="331" spans="19:21">
      <c r="S331" s="2"/>
      <c r="T331" s="2"/>
      <c r="U331" s="2"/>
    </row>
    <row r="332" spans="19:21">
      <c r="S332" s="2"/>
      <c r="T332" s="2"/>
      <c r="U332" s="2"/>
    </row>
    <row r="333" spans="19:21">
      <c r="S333" s="2"/>
      <c r="T333" s="2"/>
      <c r="U333" s="2"/>
    </row>
    <row r="334" spans="19:21">
      <c r="S334" s="2"/>
      <c r="T334" s="2"/>
      <c r="U334" s="2"/>
    </row>
    <row r="335" spans="19:21">
      <c r="S335" s="2"/>
      <c r="T335" s="2"/>
      <c r="U335" s="2"/>
    </row>
    <row r="336" spans="19:21">
      <c r="S336" s="2"/>
      <c r="T336" s="2"/>
      <c r="U336" s="2"/>
    </row>
    <row r="337" spans="19:21">
      <c r="S337" s="2"/>
      <c r="T337" s="2"/>
      <c r="U337" s="2"/>
    </row>
    <row r="338" spans="19:21">
      <c r="S338" s="2"/>
      <c r="T338" s="2"/>
      <c r="U338" s="2"/>
    </row>
    <row r="339" spans="19:21">
      <c r="S339" s="2"/>
      <c r="T339" s="2"/>
      <c r="U339" s="2"/>
    </row>
    <row r="340" spans="19:21">
      <c r="S340" s="2"/>
      <c r="T340" s="2"/>
      <c r="U340" s="2"/>
    </row>
    <row r="341" spans="19:21">
      <c r="S341" s="2"/>
      <c r="T341" s="2"/>
      <c r="U341" s="2"/>
    </row>
    <row r="342" spans="19:21">
      <c r="S342" s="2"/>
      <c r="T342" s="2"/>
      <c r="U342" s="2"/>
    </row>
    <row r="343" spans="19:21">
      <c r="S343" s="2"/>
      <c r="T343" s="2"/>
      <c r="U343" s="2"/>
    </row>
    <row r="344" spans="19:21">
      <c r="S344" s="2"/>
      <c r="T344" s="2"/>
      <c r="U344" s="2"/>
    </row>
    <row r="345" spans="19:21">
      <c r="S345" s="2"/>
      <c r="T345" s="2"/>
      <c r="U345" s="2"/>
    </row>
    <row r="346" spans="19:21">
      <c r="S346" s="2"/>
      <c r="T346" s="2"/>
      <c r="U346" s="2"/>
    </row>
    <row r="347" spans="19:21">
      <c r="S347" s="2"/>
      <c r="T347" s="2"/>
      <c r="U347" s="2"/>
    </row>
    <row r="348" spans="19:21">
      <c r="S348" s="2"/>
      <c r="T348" s="2"/>
      <c r="U348" s="2"/>
    </row>
    <row r="349" spans="19:21">
      <c r="S349" s="2"/>
      <c r="T349" s="2"/>
      <c r="U349" s="2"/>
    </row>
    <row r="350" spans="19:21">
      <c r="S350" s="2"/>
      <c r="T350" s="2"/>
      <c r="U350" s="2"/>
    </row>
    <row r="351" spans="19:21">
      <c r="S351" s="2"/>
      <c r="T351" s="2"/>
      <c r="U351" s="2"/>
    </row>
    <row r="352" spans="19:21">
      <c r="S352" s="2"/>
      <c r="T352" s="2"/>
      <c r="U352" s="2"/>
    </row>
    <row r="353" spans="19:21">
      <c r="S353" s="2"/>
      <c r="T353" s="2"/>
      <c r="U353" s="2"/>
    </row>
    <row r="354" spans="19:21">
      <c r="S354" s="2"/>
      <c r="T354" s="2"/>
      <c r="U354" s="2"/>
    </row>
    <row r="355" spans="19:21">
      <c r="S355" s="2"/>
      <c r="T355" s="2"/>
      <c r="U355" s="2"/>
    </row>
    <row r="356" spans="19:21">
      <c r="S356" s="2"/>
      <c r="T356" s="2"/>
      <c r="U356" s="2"/>
    </row>
    <row r="357" spans="19:21">
      <c r="S357" s="2"/>
      <c r="T357" s="2"/>
      <c r="U357" s="2"/>
    </row>
    <row r="358" spans="19:21">
      <c r="S358" s="2"/>
      <c r="T358" s="2"/>
      <c r="U358" s="2"/>
    </row>
    <row r="359" spans="19:21">
      <c r="S359" s="2"/>
      <c r="T359" s="2"/>
      <c r="U359" s="2"/>
    </row>
    <row r="360" spans="19:21">
      <c r="S360" s="2"/>
      <c r="T360" s="2"/>
      <c r="U360" s="2"/>
    </row>
    <row r="361" spans="19:21">
      <c r="S361" s="2"/>
      <c r="T361" s="2"/>
      <c r="U361" s="2"/>
    </row>
    <row r="362" spans="19:21">
      <c r="S362" s="2"/>
      <c r="T362" s="2"/>
      <c r="U362" s="2"/>
    </row>
    <row r="363" spans="19:21">
      <c r="S363" s="2"/>
      <c r="T363" s="2"/>
      <c r="U363" s="2"/>
    </row>
    <row r="364" spans="19:21">
      <c r="S364" s="2"/>
      <c r="T364" s="2"/>
      <c r="U364" s="2"/>
    </row>
    <row r="365" spans="19:21">
      <c r="S365" s="2"/>
      <c r="T365" s="2"/>
      <c r="U365" s="2"/>
    </row>
    <row r="366" spans="19:21">
      <c r="S366" s="2"/>
      <c r="T366" s="2"/>
      <c r="U366" s="2"/>
    </row>
    <row r="367" spans="19:21">
      <c r="S367" s="2"/>
      <c r="T367" s="2"/>
      <c r="U367" s="2"/>
    </row>
    <row r="368" spans="19:21">
      <c r="S368" s="2"/>
      <c r="T368" s="2"/>
      <c r="U368" s="2"/>
    </row>
    <row r="369" spans="19:21">
      <c r="S369" s="2"/>
      <c r="T369" s="2"/>
      <c r="U369" s="2"/>
    </row>
    <row r="370" spans="19:21">
      <c r="S370" s="2"/>
      <c r="T370" s="2"/>
      <c r="U370" s="2"/>
    </row>
    <row r="371" spans="19:21">
      <c r="S371" s="2"/>
      <c r="T371" s="2"/>
      <c r="U371" s="2"/>
    </row>
    <row r="372" spans="19:21">
      <c r="S372" s="2"/>
      <c r="T372" s="2"/>
      <c r="U372" s="2"/>
    </row>
    <row r="373" spans="19:21">
      <c r="S373" s="2"/>
      <c r="T373" s="2"/>
      <c r="U373" s="2"/>
    </row>
    <row r="374" spans="19:21">
      <c r="S374" s="2"/>
      <c r="T374" s="2"/>
      <c r="U374" s="2"/>
    </row>
    <row r="375" spans="19:21">
      <c r="S375" s="2"/>
      <c r="T375" s="2"/>
      <c r="U375" s="2"/>
    </row>
    <row r="376" spans="19:21">
      <c r="S376" s="2"/>
      <c r="T376" s="2"/>
      <c r="U376" s="2"/>
    </row>
    <row r="377" spans="19:21">
      <c r="S377" s="2"/>
      <c r="T377" s="2"/>
      <c r="U377" s="2"/>
    </row>
    <row r="378" spans="19:21">
      <c r="S378" s="2"/>
      <c r="T378" s="2"/>
      <c r="U378" s="2"/>
    </row>
    <row r="379" spans="19:21">
      <c r="S379" s="2"/>
      <c r="T379" s="2"/>
      <c r="U379" s="2"/>
    </row>
    <row r="380" spans="19:21">
      <c r="S380" s="2"/>
      <c r="T380" s="2"/>
      <c r="U380" s="2"/>
    </row>
    <row r="381" spans="19:21">
      <c r="S381" s="2"/>
      <c r="T381" s="2"/>
      <c r="U381" s="2"/>
    </row>
    <row r="382" spans="19:21">
      <c r="S382" s="2"/>
      <c r="T382" s="2"/>
      <c r="U382" s="2"/>
    </row>
    <row r="383" spans="19:21">
      <c r="S383" s="2"/>
      <c r="T383" s="2"/>
      <c r="U383" s="2"/>
    </row>
    <row r="384" spans="19:21">
      <c r="S384" s="2"/>
      <c r="T384" s="2"/>
      <c r="U384" s="2"/>
    </row>
    <row r="385" spans="19:21">
      <c r="S385" s="2"/>
      <c r="T385" s="2"/>
      <c r="U385" s="2"/>
    </row>
    <row r="386" spans="19:21">
      <c r="S386" s="2"/>
      <c r="T386" s="2"/>
      <c r="U386" s="2"/>
    </row>
    <row r="387" spans="19:21">
      <c r="S387" s="2"/>
      <c r="T387" s="2"/>
      <c r="U387" s="2"/>
    </row>
    <row r="388" spans="19:21">
      <c r="S388" s="2"/>
      <c r="T388" s="2"/>
      <c r="U388" s="2"/>
    </row>
    <row r="389" spans="19:21">
      <c r="S389" s="2"/>
      <c r="T389" s="2"/>
      <c r="U389" s="2"/>
    </row>
    <row r="390" spans="19:21">
      <c r="S390" s="2"/>
      <c r="T390" s="2"/>
      <c r="U390" s="2"/>
    </row>
    <row r="391" spans="19:21">
      <c r="S391" s="2"/>
      <c r="T391" s="2"/>
      <c r="U391" s="2"/>
    </row>
    <row r="392" spans="19:21">
      <c r="S392" s="2"/>
      <c r="T392" s="2"/>
      <c r="U392" s="2"/>
    </row>
    <row r="393" spans="19:21">
      <c r="S393" s="2"/>
      <c r="T393" s="2"/>
      <c r="U393" s="2"/>
    </row>
    <row r="394" spans="19:21">
      <c r="S394" s="2"/>
      <c r="T394" s="2"/>
      <c r="U394" s="2"/>
    </row>
    <row r="395" spans="19:21">
      <c r="S395" s="2"/>
      <c r="T395" s="2"/>
      <c r="U395" s="2"/>
    </row>
    <row r="396" spans="19:21">
      <c r="S396" s="2"/>
      <c r="T396" s="2"/>
      <c r="U396" s="2"/>
    </row>
    <row r="397" spans="19:21">
      <c r="S397" s="2"/>
      <c r="T397" s="2"/>
      <c r="U397" s="2"/>
    </row>
    <row r="398" spans="19:21">
      <c r="S398" s="2"/>
      <c r="T398" s="2"/>
      <c r="U398" s="2"/>
    </row>
    <row r="399" spans="19:21">
      <c r="S399" s="2"/>
      <c r="T399" s="2"/>
      <c r="U399" s="2"/>
    </row>
    <row r="400" spans="19:21">
      <c r="S400" s="2"/>
      <c r="T400" s="2"/>
      <c r="U400" s="2"/>
    </row>
    <row r="401" spans="19:21">
      <c r="S401" s="2"/>
      <c r="T401" s="2"/>
      <c r="U401" s="2"/>
    </row>
    <row r="402" spans="19:21">
      <c r="S402" s="2"/>
      <c r="T402" s="2"/>
      <c r="U402" s="2"/>
    </row>
    <row r="403" spans="19:21">
      <c r="S403" s="2"/>
      <c r="T403" s="2"/>
      <c r="U403" s="2"/>
    </row>
    <row r="404" spans="19:21">
      <c r="S404" s="2"/>
      <c r="T404" s="2"/>
      <c r="U404" s="2"/>
    </row>
    <row r="405" spans="19:21">
      <c r="S405" s="2"/>
      <c r="T405" s="2"/>
      <c r="U405" s="2"/>
    </row>
    <row r="406" spans="19:21">
      <c r="S406" s="2"/>
      <c r="T406" s="2"/>
      <c r="U406" s="2"/>
    </row>
    <row r="407" spans="19:21">
      <c r="S407" s="2"/>
      <c r="T407" s="2"/>
      <c r="U407" s="2"/>
    </row>
    <row r="408" spans="19:21">
      <c r="S408" s="2"/>
      <c r="T408" s="2"/>
      <c r="U408" s="2"/>
    </row>
    <row r="409" spans="19:21">
      <c r="S409" s="2"/>
      <c r="T409" s="2"/>
      <c r="U409" s="2"/>
    </row>
    <row r="410" spans="19:21">
      <c r="S410" s="2"/>
      <c r="T410" s="2"/>
      <c r="U410" s="2"/>
    </row>
    <row r="411" spans="19:21">
      <c r="S411" s="2"/>
      <c r="T411" s="2"/>
      <c r="U411" s="2"/>
    </row>
    <row r="412" spans="19:21">
      <c r="S412" s="2"/>
      <c r="T412" s="2"/>
      <c r="U412" s="2"/>
    </row>
    <row r="413" spans="19:21">
      <c r="S413" s="2"/>
      <c r="T413" s="2"/>
      <c r="U413" s="2"/>
    </row>
    <row r="414" spans="19:21">
      <c r="S414" s="2"/>
      <c r="T414" s="2"/>
      <c r="U414" s="2"/>
    </row>
    <row r="415" spans="19:21">
      <c r="S415" s="2"/>
      <c r="T415" s="2"/>
      <c r="U415" s="2"/>
    </row>
    <row r="416" spans="19:21">
      <c r="S416" s="2"/>
      <c r="T416" s="2"/>
      <c r="U416" s="2"/>
    </row>
    <row r="417" spans="19:21">
      <c r="S417" s="2"/>
      <c r="T417" s="2"/>
      <c r="U417" s="2"/>
    </row>
    <row r="418" spans="19:21">
      <c r="S418" s="2"/>
      <c r="T418" s="2"/>
      <c r="U418" s="2"/>
    </row>
    <row r="419" spans="19:21">
      <c r="S419" s="2"/>
      <c r="T419" s="2"/>
      <c r="U419" s="2"/>
    </row>
    <row r="420" spans="19:21">
      <c r="S420" s="2"/>
      <c r="T420" s="2"/>
      <c r="U420" s="2"/>
    </row>
    <row r="421" spans="19:21">
      <c r="S421" s="2"/>
      <c r="T421" s="2"/>
      <c r="U421" s="2"/>
    </row>
    <row r="422" spans="19:21">
      <c r="S422" s="2"/>
      <c r="T422" s="2"/>
      <c r="U422" s="2"/>
    </row>
    <row r="423" spans="19:21">
      <c r="S423" s="2"/>
      <c r="T423" s="2"/>
      <c r="U423" s="2"/>
    </row>
    <row r="424" spans="19:21">
      <c r="S424" s="2"/>
      <c r="T424" s="2"/>
      <c r="U424" s="2"/>
    </row>
    <row r="425" spans="19:21">
      <c r="S425" s="2"/>
      <c r="T425" s="2"/>
      <c r="U425" s="2"/>
    </row>
    <row r="426" spans="19:21">
      <c r="S426" s="2"/>
      <c r="T426" s="2"/>
      <c r="U426" s="2"/>
    </row>
    <row r="427" spans="19:21">
      <c r="S427" s="2"/>
      <c r="T427" s="2"/>
      <c r="U427" s="2"/>
    </row>
    <row r="428" spans="19:21">
      <c r="S428" s="2"/>
      <c r="T428" s="2"/>
      <c r="U428" s="2"/>
    </row>
    <row r="429" spans="19:21">
      <c r="S429" s="2"/>
      <c r="T429" s="2"/>
      <c r="U429" s="2"/>
    </row>
    <row r="430" spans="19:21">
      <c r="S430" s="2"/>
      <c r="T430" s="2"/>
      <c r="U430" s="2"/>
    </row>
    <row r="431" spans="19:21">
      <c r="S431" s="2"/>
      <c r="T431" s="2"/>
      <c r="U431" s="2"/>
    </row>
    <row r="432" spans="19:21">
      <c r="S432" s="2"/>
      <c r="T432" s="2"/>
      <c r="U432" s="2"/>
    </row>
    <row r="433" spans="19:21">
      <c r="S433" s="2"/>
      <c r="T433" s="2"/>
      <c r="U433" s="2"/>
    </row>
    <row r="434" spans="19:21">
      <c r="S434" s="2"/>
      <c r="T434" s="2"/>
      <c r="U434" s="2"/>
    </row>
    <row r="435" spans="19:21">
      <c r="S435" s="2"/>
      <c r="T435" s="2"/>
      <c r="U435" s="2"/>
    </row>
    <row r="436" spans="19:21">
      <c r="S436" s="2"/>
      <c r="T436" s="2"/>
      <c r="U436" s="2"/>
    </row>
    <row r="437" spans="19:21">
      <c r="S437" s="2"/>
      <c r="T437" s="2"/>
      <c r="U437" s="2"/>
    </row>
    <row r="438" spans="19:21">
      <c r="S438" s="2"/>
      <c r="T438" s="2"/>
      <c r="U438" s="2"/>
    </row>
    <row r="439" spans="19:21">
      <c r="S439" s="2"/>
      <c r="T439" s="2"/>
      <c r="U439" s="2"/>
    </row>
    <row r="440" spans="19:21">
      <c r="S440" s="2"/>
      <c r="T440" s="2"/>
      <c r="U440" s="2"/>
    </row>
    <row r="441" spans="19:21">
      <c r="S441" s="2"/>
      <c r="T441" s="2"/>
      <c r="U441" s="2"/>
    </row>
    <row r="442" spans="19:21">
      <c r="S442" s="2"/>
      <c r="T442" s="2"/>
      <c r="U442" s="2"/>
    </row>
    <row r="443" spans="19:21">
      <c r="S443" s="2"/>
      <c r="T443" s="2"/>
      <c r="U443" s="2"/>
    </row>
    <row r="444" spans="19:21">
      <c r="S444" s="2"/>
      <c r="T444" s="2"/>
      <c r="U444" s="2"/>
    </row>
    <row r="445" spans="19:21">
      <c r="S445" s="2"/>
      <c r="T445" s="2"/>
      <c r="U445" s="2"/>
    </row>
    <row r="446" spans="19:21">
      <c r="S446" s="2"/>
      <c r="T446" s="2"/>
      <c r="U446" s="2"/>
    </row>
    <row r="447" spans="19:21">
      <c r="S447" s="2"/>
      <c r="T447" s="2"/>
      <c r="U447" s="2"/>
    </row>
    <row r="448" spans="19:21">
      <c r="S448" s="2"/>
      <c r="T448" s="2"/>
      <c r="U448" s="2"/>
    </row>
    <row r="449" spans="19:21">
      <c r="S449" s="2"/>
      <c r="T449" s="2"/>
      <c r="U449" s="2"/>
    </row>
    <row r="450" spans="19:21">
      <c r="S450" s="2"/>
      <c r="T450" s="2"/>
      <c r="U450" s="2"/>
    </row>
    <row r="451" spans="19:21">
      <c r="S451" s="2"/>
      <c r="T451" s="2"/>
      <c r="U451" s="2"/>
    </row>
    <row r="452" spans="19:21">
      <c r="S452" s="2"/>
      <c r="T452" s="2"/>
      <c r="U452" s="2"/>
    </row>
    <row r="453" spans="19:21">
      <c r="S453" s="2"/>
      <c r="T453" s="2"/>
      <c r="U453" s="2"/>
    </row>
    <row r="454" spans="19:21">
      <c r="S454" s="2"/>
      <c r="T454" s="2"/>
      <c r="U454" s="2"/>
    </row>
    <row r="455" spans="19:21">
      <c r="S455" s="2"/>
      <c r="T455" s="2"/>
      <c r="U455" s="2"/>
    </row>
    <row r="456" spans="19:21">
      <c r="S456" s="2"/>
      <c r="T456" s="2"/>
      <c r="U456" s="2"/>
    </row>
    <row r="457" spans="19:21">
      <c r="S457" s="2"/>
      <c r="T457" s="2"/>
      <c r="U457" s="2"/>
    </row>
    <row r="458" spans="19:21">
      <c r="S458" s="2"/>
      <c r="T458" s="2"/>
      <c r="U458" s="2"/>
    </row>
    <row r="459" spans="19:21">
      <c r="S459" s="2"/>
      <c r="T459" s="2"/>
      <c r="U459" s="2"/>
    </row>
    <row r="460" spans="19:21">
      <c r="S460" s="2"/>
      <c r="T460" s="2"/>
      <c r="U460" s="2"/>
    </row>
    <row r="461" spans="19:21">
      <c r="S461" s="2"/>
      <c r="T461" s="2"/>
      <c r="U461" s="2"/>
    </row>
    <row r="462" spans="19:21">
      <c r="S462" s="2"/>
      <c r="T462" s="2"/>
      <c r="U462" s="2"/>
    </row>
    <row r="463" spans="19:21">
      <c r="S463" s="2"/>
      <c r="T463" s="2"/>
      <c r="U463" s="2"/>
    </row>
    <row r="464" spans="19:21">
      <c r="S464" s="2"/>
      <c r="T464" s="2"/>
      <c r="U464" s="2"/>
    </row>
    <row r="465" spans="19:21">
      <c r="S465" s="2"/>
      <c r="T465" s="2"/>
      <c r="U465" s="2"/>
    </row>
    <row r="466" spans="19:21">
      <c r="S466" s="2"/>
      <c r="T466" s="2"/>
      <c r="U466" s="2"/>
    </row>
    <row r="467" spans="19:21">
      <c r="S467" s="2"/>
      <c r="T467" s="2"/>
      <c r="U467" s="2"/>
    </row>
    <row r="468" spans="19:21">
      <c r="S468" s="2"/>
      <c r="T468" s="2"/>
      <c r="U468" s="2"/>
    </row>
    <row r="469" spans="19:21">
      <c r="S469" s="2"/>
      <c r="T469" s="2"/>
      <c r="U469" s="2"/>
    </row>
    <row r="470" spans="19:21">
      <c r="S470" s="2"/>
      <c r="T470" s="2"/>
      <c r="U470" s="2"/>
    </row>
    <row r="471" spans="19:21">
      <c r="S471" s="2"/>
      <c r="T471" s="2"/>
      <c r="U471" s="2"/>
    </row>
    <row r="472" spans="19:21">
      <c r="S472" s="2"/>
      <c r="T472" s="2"/>
      <c r="U472" s="2"/>
    </row>
    <row r="473" spans="19:21">
      <c r="S473" s="2"/>
      <c r="T473" s="2"/>
      <c r="U473" s="2"/>
    </row>
    <row r="474" spans="19:21">
      <c r="S474" s="2"/>
      <c r="T474" s="2"/>
      <c r="U474" s="2"/>
    </row>
    <row r="475" spans="19:21">
      <c r="S475" s="2"/>
      <c r="T475" s="2"/>
      <c r="U475" s="2"/>
    </row>
    <row r="476" spans="19:21">
      <c r="S476" s="2"/>
      <c r="T476" s="2"/>
      <c r="U476" s="2"/>
    </row>
    <row r="477" spans="19:21">
      <c r="S477" s="2"/>
      <c r="T477" s="2"/>
      <c r="U477" s="2"/>
    </row>
    <row r="478" spans="19:21">
      <c r="S478" s="2"/>
      <c r="T478" s="2"/>
      <c r="U478" s="2"/>
    </row>
    <row r="479" spans="19:21">
      <c r="S479" s="2"/>
      <c r="T479" s="2"/>
      <c r="U479" s="2"/>
    </row>
    <row r="480" spans="19:21">
      <c r="S480" s="2"/>
      <c r="T480" s="2"/>
      <c r="U480" s="2"/>
    </row>
    <row r="481" spans="19:21">
      <c r="S481" s="2"/>
      <c r="T481" s="2"/>
      <c r="U481" s="2"/>
    </row>
    <row r="482" spans="19:21">
      <c r="S482" s="2"/>
      <c r="T482" s="2"/>
      <c r="U482" s="2"/>
    </row>
    <row r="483" spans="19:21">
      <c r="S483" s="2"/>
      <c r="T483" s="2"/>
      <c r="U483" s="2"/>
    </row>
    <row r="484" spans="19:21">
      <c r="S484" s="2"/>
      <c r="T484" s="2"/>
      <c r="U484" s="2"/>
    </row>
    <row r="485" spans="19:21">
      <c r="S485" s="2"/>
      <c r="T485" s="2"/>
      <c r="U485" s="2"/>
    </row>
    <row r="486" spans="19:21">
      <c r="S486" s="2"/>
      <c r="T486" s="2"/>
      <c r="U486" s="2"/>
    </row>
    <row r="487" spans="19:21">
      <c r="S487" s="2"/>
      <c r="T487" s="2"/>
      <c r="U487" s="2"/>
    </row>
    <row r="488" spans="19:21">
      <c r="S488" s="2"/>
      <c r="T488" s="2"/>
      <c r="U488" s="2"/>
    </row>
  </sheetData>
  <mergeCells count="18">
    <mergeCell ref="K47:L47"/>
    <mergeCell ref="K46:L46"/>
    <mergeCell ref="P34:Q34"/>
    <mergeCell ref="R46:V46"/>
    <mergeCell ref="R45:V45"/>
    <mergeCell ref="M44:P44"/>
    <mergeCell ref="M43:P43"/>
    <mergeCell ref="J7:M8"/>
    <mergeCell ref="Q33:R33"/>
    <mergeCell ref="R34:T34"/>
    <mergeCell ref="T7:V7"/>
    <mergeCell ref="T8:V8"/>
    <mergeCell ref="D7:E7"/>
    <mergeCell ref="D8:E8"/>
    <mergeCell ref="G7:I7"/>
    <mergeCell ref="G8:I8"/>
    <mergeCell ref="Q7:R7"/>
    <mergeCell ref="Q8:R8"/>
  </mergeCells>
  <phoneticPr fontId="3"/>
  <pageMargins left="0.78740157480314965" right="0.78740157480314965" top="0.78740157480314965" bottom="0.39370078740157483" header="0.51181102362204722" footer="0.31496062992125984"/>
  <pageSetup paperSize="9" orientation="landscape" horizontalDpi="4294967294" verticalDpi="0" r:id="rId1"/>
  <headerFooter alignWithMargins="0">
    <oddHeader>&amp;RH15 Project Appraisal in Global Standard</oddHeader>
  </headerFooter>
  <drawing r:id="rId2"/>
  <legacyDrawing r:id="rId3"/>
  <oleObjects>
    <mc:AlternateContent xmlns:mc="http://schemas.openxmlformats.org/markup-compatibility/2006">
      <mc:Choice Requires="x14">
        <oleObject progId="Equation.3" shapeId="2050" r:id="rId4">
          <objectPr defaultSize="0" autoPict="0" r:id="rId5">
            <anchor moveWithCells="1">
              <from>
                <xdr:col>10</xdr:col>
                <xdr:colOff>114300</xdr:colOff>
                <xdr:row>6</xdr:row>
                <xdr:rowOff>38100</xdr:rowOff>
              </from>
              <to>
                <xdr:col>12</xdr:col>
                <xdr:colOff>31750</xdr:colOff>
                <xdr:row>7</xdr:row>
                <xdr:rowOff>127000</xdr:rowOff>
              </to>
            </anchor>
          </objectPr>
        </oleObject>
      </mc:Choice>
      <mc:Fallback>
        <oleObject progId="Equation.3" shapeId="2050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honeticPr fontId="3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honeticPr fontId="3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Graph3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Tsuneaki</dc:creator>
  <cp:lastModifiedBy>Carina Negreanu</cp:lastModifiedBy>
  <cp:lastPrinted>2003-07-08T09:50:42Z</cp:lastPrinted>
  <dcterms:created xsi:type="dcterms:W3CDTF">2003-07-03T01:22:20Z</dcterms:created>
  <dcterms:modified xsi:type="dcterms:W3CDTF">2020-01-27T12:48:35Z</dcterms:modified>
</cp:coreProperties>
</file>