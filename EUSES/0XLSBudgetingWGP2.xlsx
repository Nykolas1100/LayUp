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B632AFD-506E-4AD6-B247-1E9BF86A4E09}" xr6:coauthVersionLast="45" xr6:coauthVersionMax="45" xr10:uidLastSave="{00000000-0000-0000-0000-000000000000}"/>
  <bookViews>
    <workbookView xWindow="3420" yWindow="3420" windowWidth="28800" windowHeight="15460" tabRatio="721" activeTab="1"/>
  </bookViews>
  <sheets>
    <sheet name="budget" sheetId="1" r:id="rId1"/>
    <sheet name="budget items" sheetId="9" r:id="rId2"/>
    <sheet name=" budget example1" sheetId="2" r:id="rId3"/>
    <sheet name="tariff calculation" sheetId="6" r:id="rId4"/>
    <sheet name="tariff calculation example" sheetId="4" r:id="rId5"/>
  </sheets>
  <definedNames>
    <definedName name="_xlnm.Print_Area" localSheetId="2">' budget example1'!$A$1:$J$91</definedName>
    <definedName name="_xlnm.Print_Area" localSheetId="0">budget!$A$1:$L$60</definedName>
    <definedName name="_xlnm.Print_Area" localSheetId="1">'budget items'!$A$1:$F$197</definedName>
    <definedName name="_xlnm.Print_Area" localSheetId="4">'tariff calculation example'!$A$1:$J$68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4" i="2" l="1"/>
  <c r="J5" i="2"/>
  <c r="J6" i="2"/>
  <c r="J13" i="2"/>
  <c r="J17" i="2"/>
  <c r="A48" i="2"/>
  <c r="K49" i="2"/>
  <c r="J49" i="2" s="1"/>
  <c r="J51" i="2" s="1"/>
  <c r="J54" i="2"/>
  <c r="J60" i="2"/>
  <c r="I68" i="2"/>
  <c r="I83" i="2" s="1"/>
  <c r="I85" i="2" s="1"/>
  <c r="I89" i="2" s="1"/>
  <c r="J89" i="2" s="1"/>
  <c r="H77" i="2"/>
  <c r="G79" i="2"/>
  <c r="I81" i="2" s="1"/>
  <c r="G89" i="2"/>
  <c r="H89" i="2"/>
  <c r="G90" i="2"/>
  <c r="H90" i="2"/>
  <c r="I90" i="2" s="1"/>
  <c r="J90" i="2" s="1"/>
  <c r="G91" i="2"/>
  <c r="H91" i="2" s="1"/>
  <c r="I91" i="2" s="1"/>
  <c r="J91" i="2" s="1"/>
  <c r="J4" i="1"/>
  <c r="J46" i="1" s="1"/>
  <c r="J5" i="1"/>
  <c r="J6" i="1"/>
  <c r="I13" i="1"/>
  <c r="J13" i="1"/>
  <c r="J58" i="1"/>
  <c r="A5" i="9"/>
  <c r="A6" i="9"/>
  <c r="A9" i="9"/>
  <c r="A10" i="9"/>
  <c r="A13" i="9"/>
  <c r="A14" i="9"/>
  <c r="A18" i="9"/>
  <c r="A19" i="9" s="1"/>
  <c r="A22" i="9"/>
  <c r="A23" i="9"/>
  <c r="A26" i="9"/>
  <c r="A27" i="9"/>
  <c r="A31" i="9"/>
  <c r="A32" i="9"/>
  <c r="A37" i="9"/>
  <c r="A38" i="9"/>
  <c r="A39" i="9" s="1"/>
  <c r="A40" i="9" s="1"/>
  <c r="A41" i="9" s="1"/>
  <c r="A42" i="9" s="1"/>
  <c r="A43" i="9" s="1"/>
  <c r="A44" i="9" s="1"/>
  <c r="A45" i="9" s="1"/>
  <c r="A46" i="9" s="1"/>
  <c r="A47" i="9" s="1"/>
  <c r="A48" i="9" s="1"/>
  <c r="A49" i="9" s="1"/>
  <c r="A50" i="9" s="1"/>
  <c r="A54" i="9"/>
  <c r="A55" i="9"/>
  <c r="A56" i="9" s="1"/>
  <c r="A57" i="9"/>
  <c r="A58" i="9"/>
  <c r="A59" i="9"/>
  <c r="A60" i="9"/>
  <c r="A61" i="9"/>
  <c r="A62" i="9" s="1"/>
  <c r="A63" i="9" s="1"/>
  <c r="A64" i="9" s="1"/>
  <c r="A65" i="9" s="1"/>
  <c r="A66" i="9" s="1"/>
  <c r="A67" i="9" s="1"/>
  <c r="A68" i="9" s="1"/>
  <c r="A69" i="9" s="1"/>
  <c r="A73" i="9"/>
  <c r="A74" i="9"/>
  <c r="A75" i="9"/>
  <c r="A76" i="9" s="1"/>
  <c r="A77" i="9" s="1"/>
  <c r="A78" i="9" s="1"/>
  <c r="A79" i="9" s="1"/>
  <c r="A80" i="9" s="1"/>
  <c r="A81" i="9" s="1"/>
  <c r="A82" i="9" s="1"/>
  <c r="A83" i="9" s="1"/>
  <c r="A84" i="9" s="1"/>
  <c r="A85" i="9" s="1"/>
  <c r="A86" i="9" s="1"/>
  <c r="A87" i="9" s="1"/>
  <c r="A88" i="9" s="1"/>
  <c r="A92" i="9"/>
  <c r="A93" i="9"/>
  <c r="A94" i="9"/>
  <c r="A95" i="9"/>
  <c r="A96" i="9" s="1"/>
  <c r="A97" i="9" s="1"/>
  <c r="A98" i="9" s="1"/>
  <c r="A99" i="9" s="1"/>
  <c r="A100" i="9" s="1"/>
  <c r="A101" i="9" s="1"/>
  <c r="A102" i="9" s="1"/>
  <c r="A103" i="9" s="1"/>
  <c r="A104" i="9" s="1"/>
  <c r="A105" i="9" s="1"/>
  <c r="A109" i="9"/>
  <c r="A110" i="9"/>
  <c r="A111" i="9" s="1"/>
  <c r="A112" i="9" s="1"/>
  <c r="A113" i="9" s="1"/>
  <c r="A114" i="9" s="1"/>
  <c r="A115" i="9" s="1"/>
  <c r="A116" i="9" s="1"/>
  <c r="A117" i="9" s="1"/>
  <c r="A118" i="9" s="1"/>
  <c r="A122" i="9"/>
  <c r="A123" i="9"/>
  <c r="A124" i="9"/>
  <c r="A125" i="9" s="1"/>
  <c r="A126" i="9" s="1"/>
  <c r="A127" i="9" s="1"/>
  <c r="A128" i="9" s="1"/>
  <c r="A129" i="9" s="1"/>
  <c r="A130" i="9" s="1"/>
  <c r="A140" i="9"/>
  <c r="A145" i="9"/>
  <c r="A146" i="9"/>
  <c r="A147" i="9" s="1"/>
  <c r="A148" i="9" s="1"/>
  <c r="A149" i="9" s="1"/>
  <c r="A150" i="9" s="1"/>
  <c r="A151" i="9" s="1"/>
  <c r="A152" i="9" s="1"/>
  <c r="A153" i="9" s="1"/>
  <c r="A154" i="9" s="1"/>
  <c r="A155" i="9" s="1"/>
  <c r="A156" i="9" s="1"/>
  <c r="A157" i="9" s="1"/>
  <c r="A158" i="9" s="1"/>
  <c r="A162" i="9"/>
  <c r="A163" i="9"/>
  <c r="A164" i="9"/>
  <c r="A165" i="9"/>
  <c r="A166" i="9"/>
  <c r="A167" i="9"/>
  <c r="A168" i="9"/>
  <c r="A169" i="9"/>
  <c r="A174" i="9"/>
  <c r="A175" i="9"/>
  <c r="A176" i="9" s="1"/>
  <c r="A177" i="9" s="1"/>
  <c r="A178" i="9" s="1"/>
  <c r="A179" i="9" s="1"/>
  <c r="A184" i="9"/>
  <c r="A185" i="9"/>
  <c r="A186" i="9" s="1"/>
  <c r="A187" i="9" s="1"/>
  <c r="A188" i="9" s="1"/>
  <c r="A189" i="9" s="1"/>
  <c r="A190" i="9" s="1"/>
  <c r="A191" i="9" s="1"/>
  <c r="A192" i="9" s="1"/>
  <c r="A193" i="9" s="1"/>
  <c r="A194" i="9" s="1"/>
  <c r="A195" i="9" s="1"/>
  <c r="A196" i="9" s="1"/>
  <c r="A197" i="9" s="1"/>
  <c r="H9" i="6"/>
  <c r="F18" i="6"/>
  <c r="H20" i="6" s="1"/>
  <c r="H22" i="6" s="1"/>
  <c r="H24" i="6" s="1"/>
  <c r="G18" i="6"/>
  <c r="F33" i="6"/>
  <c r="G33" i="6"/>
  <c r="H33" i="6" s="1"/>
  <c r="I33" i="6" s="1"/>
  <c r="F34" i="6"/>
  <c r="G34" i="6" s="1"/>
  <c r="H34" i="6" s="1"/>
  <c r="I34" i="6" s="1"/>
  <c r="F35" i="6"/>
  <c r="G35" i="6"/>
  <c r="F36" i="6"/>
  <c r="G36" i="6"/>
  <c r="F37" i="6"/>
  <c r="G37" i="6"/>
  <c r="F38" i="6"/>
  <c r="G38" i="6"/>
  <c r="F39" i="6"/>
  <c r="G39" i="6" s="1"/>
  <c r="F40" i="6"/>
  <c r="G40" i="6"/>
  <c r="F41" i="6"/>
  <c r="G41" i="6"/>
  <c r="F26" i="4"/>
  <c r="G26" i="4" s="1"/>
  <c r="F27" i="4"/>
  <c r="G27" i="4"/>
  <c r="F28" i="4"/>
  <c r="G28" i="4"/>
  <c r="C36" i="4"/>
  <c r="H42" i="4" s="1"/>
  <c r="E39" i="4"/>
  <c r="F39" i="4"/>
  <c r="E40" i="4"/>
  <c r="F40" i="4" s="1"/>
  <c r="E41" i="4"/>
  <c r="F41" i="4"/>
  <c r="E42" i="4"/>
  <c r="E43" i="4"/>
  <c r="F43" i="4"/>
  <c r="E44" i="4"/>
  <c r="F44" i="4"/>
  <c r="G45" i="4"/>
  <c r="D57" i="4"/>
  <c r="D58" i="4"/>
  <c r="G30" i="4" l="1"/>
  <c r="I30" i="4" s="1"/>
  <c r="H41" i="6"/>
  <c r="I41" i="6" s="1"/>
  <c r="H38" i="6"/>
  <c r="I38" i="6" s="1"/>
  <c r="G42" i="4"/>
  <c r="H40" i="6"/>
  <c r="I40" i="6" s="1"/>
  <c r="H37" i="6"/>
  <c r="I37" i="6" s="1"/>
  <c r="H35" i="6"/>
  <c r="I35" i="6" s="1"/>
  <c r="H39" i="6"/>
  <c r="I39" i="6" s="1"/>
  <c r="H36" i="6"/>
  <c r="I36" i="6" s="1"/>
  <c r="I42" i="4" l="1"/>
  <c r="F5" i="4" s="1"/>
  <c r="G46" i="4"/>
  <c r="G49" i="4" s="1"/>
  <c r="F9" i="4" s="1"/>
  <c r="H6" i="4" l="1"/>
  <c r="G15" i="4"/>
  <c r="F15" i="4" s="1"/>
  <c r="H17" i="4" s="1"/>
  <c r="H19" i="4" l="1"/>
  <c r="H21" i="4" s="1"/>
  <c r="H27" i="4" l="1"/>
  <c r="H26" i="4"/>
  <c r="H28" i="4"/>
  <c r="F66" i="4" l="1"/>
  <c r="G66" i="4" s="1"/>
  <c r="I28" i="4"/>
  <c r="H66" i="4" s="1"/>
  <c r="I66" i="4" s="1"/>
  <c r="I26" i="4"/>
  <c r="H64" i="4" s="1"/>
  <c r="I64" i="4" s="1"/>
  <c r="I68" i="4" s="1"/>
  <c r="F64" i="4"/>
  <c r="G64" i="4" s="1"/>
  <c r="F65" i="4"/>
  <c r="G65" i="4" s="1"/>
  <c r="I27" i="4"/>
  <c r="H65" i="4" s="1"/>
  <c r="I65" i="4" s="1"/>
  <c r="G68" i="4" l="1"/>
</calcChain>
</file>

<file path=xl/comments1.xml><?xml version="1.0" encoding="utf-8"?>
<comments xmlns="http://schemas.openxmlformats.org/spreadsheetml/2006/main">
  <authors>
    <author>rougoor</author>
  </authors>
  <commentList>
    <comment ref="A3" authorId="0" shapeId="0">
      <text>
        <r>
          <rPr>
            <b/>
            <sz val="8"/>
            <color indexed="81"/>
            <rFont val="Tahoma"/>
          </rPr>
          <t>rougoor:</t>
        </r>
        <r>
          <rPr>
            <sz val="8"/>
            <color indexed="81"/>
            <rFont val="Tahoma"/>
          </rPr>
          <t xml:space="preserve">
list for every staff member the number of days and the tariff/day
</t>
        </r>
      </text>
    </comment>
    <comment ref="I4" authorId="0" shapeId="0">
      <text>
        <r>
          <rPr>
            <b/>
            <sz val="8"/>
            <color indexed="81"/>
            <rFont val="Tahoma"/>
          </rPr>
          <t>rougoor:</t>
        </r>
        <r>
          <rPr>
            <sz val="8"/>
            <color indexed="81"/>
            <rFont val="Tahoma"/>
          </rPr>
          <t xml:space="preserve">
a justification for the tariff must be produced
</t>
        </r>
      </text>
    </comment>
    <comment ref="A10" authorId="0" shapeId="0">
      <text>
        <r>
          <rPr>
            <b/>
            <sz val="8"/>
            <color indexed="81"/>
            <rFont val="Tahoma"/>
          </rPr>
          <t>rougoor:</t>
        </r>
        <r>
          <rPr>
            <sz val="8"/>
            <color indexed="81"/>
            <rFont val="Tahoma"/>
          </rPr>
          <t xml:space="preserve">
list all the travel that is forseen under this contract
</t>
        </r>
      </text>
    </comment>
    <comment ref="B13" authorId="0" shapeId="0">
      <text>
        <r>
          <rPr>
            <b/>
            <sz val="8"/>
            <color indexed="81"/>
            <rFont val="Tahoma"/>
          </rPr>
          <t>rougoor:</t>
        </r>
        <r>
          <rPr>
            <sz val="8"/>
            <color indexed="81"/>
            <rFont val="Tahoma"/>
          </rPr>
          <t xml:space="preserve">
for perdiems the UN-rate can be applied. Day of arrival and departure are calculated as 1/2 days
</t>
        </r>
      </text>
    </comment>
    <comment ref="A21" authorId="0" shapeId="0">
      <text>
        <r>
          <rPr>
            <b/>
            <sz val="8"/>
            <color indexed="81"/>
            <rFont val="Tahoma"/>
          </rPr>
          <t>rougoor:</t>
        </r>
        <r>
          <rPr>
            <sz val="8"/>
            <color indexed="81"/>
            <rFont val="Tahoma"/>
          </rPr>
          <t xml:space="preserve">
in principle operational costs should be covered by the tariff, so only in case of exceptional operational costs these can be claimed
</t>
        </r>
      </text>
    </comment>
    <comment ref="A26" authorId="0" shapeId="0">
      <text>
        <r>
          <rPr>
            <b/>
            <sz val="8"/>
            <color indexed="81"/>
            <rFont val="Tahoma"/>
          </rPr>
          <t>rougoor:</t>
        </r>
        <r>
          <rPr>
            <sz val="8"/>
            <color indexed="81"/>
            <rFont val="Tahoma"/>
          </rPr>
          <t xml:space="preserve">
the time inpu tby staff to be mentioned under staff costs</t>
        </r>
      </text>
    </comment>
    <comment ref="A43" authorId="0" shapeId="0">
      <text>
        <r>
          <rPr>
            <b/>
            <sz val="8"/>
            <color indexed="81"/>
            <rFont val="Tahoma"/>
          </rPr>
          <t>rougoor:</t>
        </r>
        <r>
          <rPr>
            <sz val="8"/>
            <color indexed="81"/>
            <rFont val="Tahoma"/>
          </rPr>
          <t xml:space="preserve">
unforeseen expenses can only be used after prior agreement with WI
</t>
        </r>
      </text>
    </comment>
  </commentList>
</comments>
</file>

<file path=xl/comments2.xml><?xml version="1.0" encoding="utf-8"?>
<comments xmlns="http://schemas.openxmlformats.org/spreadsheetml/2006/main">
  <authors>
    <author>rougoor</author>
  </authors>
  <commentList>
    <comment ref="A3" authorId="0" shapeId="0">
      <text>
        <r>
          <rPr>
            <b/>
            <sz val="8"/>
            <color indexed="81"/>
            <rFont val="Tahoma"/>
          </rPr>
          <t>rougoor:</t>
        </r>
        <r>
          <rPr>
            <sz val="8"/>
            <color indexed="81"/>
            <rFont val="Tahoma"/>
          </rPr>
          <t xml:space="preserve">
list for every consultant the number of days and the tariff/day
</t>
        </r>
      </text>
    </comment>
    <comment ref="I4" authorId="0" shapeId="0">
      <text>
        <r>
          <rPr>
            <b/>
            <sz val="8"/>
            <color indexed="81"/>
            <rFont val="Tahoma"/>
          </rPr>
          <t>rougoor:</t>
        </r>
        <r>
          <rPr>
            <sz val="8"/>
            <color indexed="81"/>
            <rFont val="Tahoma"/>
          </rPr>
          <t xml:space="preserve">
a calculation for the tariff must be produced
</t>
        </r>
      </text>
    </comment>
    <comment ref="A10" authorId="0" shapeId="0">
      <text>
        <r>
          <rPr>
            <b/>
            <sz val="8"/>
            <color indexed="81"/>
            <rFont val="Tahoma"/>
          </rPr>
          <t>rougoor:</t>
        </r>
        <r>
          <rPr>
            <sz val="8"/>
            <color indexed="81"/>
            <rFont val="Tahoma"/>
          </rPr>
          <t xml:space="preserve">
list all the travel that is forseen under this contract
</t>
        </r>
      </text>
    </comment>
    <comment ref="B13" authorId="0" shapeId="0">
      <text>
        <r>
          <rPr>
            <b/>
            <sz val="8"/>
            <color indexed="81"/>
            <rFont val="Tahoma"/>
          </rPr>
          <t>rougoor:</t>
        </r>
        <r>
          <rPr>
            <sz val="8"/>
            <color indexed="81"/>
            <rFont val="Tahoma"/>
          </rPr>
          <t xml:space="preserve">
for perdiems the UN-rate can be applied. Day of arrival and departure are calculated as 1/2 days
</t>
        </r>
      </text>
    </comment>
    <comment ref="A26" authorId="0" shapeId="0">
      <text>
        <r>
          <rPr>
            <b/>
            <sz val="8"/>
            <color indexed="81"/>
            <rFont val="Tahoma"/>
          </rPr>
          <t>rougoor:</t>
        </r>
        <r>
          <rPr>
            <sz val="8"/>
            <color indexed="81"/>
            <rFont val="Tahoma"/>
          </rPr>
          <t xml:space="preserve">
in principle operational costs should be covered by the tariff, so only in case of exceptional operational costs these canbe claimed
</t>
        </r>
      </text>
    </comment>
    <comment ref="A31" authorId="0" shapeId="0">
      <text>
        <r>
          <rPr>
            <b/>
            <sz val="8"/>
            <color indexed="81"/>
            <rFont val="Tahoma"/>
          </rPr>
          <t>rougoor:</t>
        </r>
        <r>
          <rPr>
            <sz val="8"/>
            <color indexed="81"/>
            <rFont val="Tahoma"/>
          </rPr>
          <t xml:space="preserve">
the time inputby staff to be mentioned under staff costs</t>
        </r>
      </text>
    </comment>
  </commentList>
</comments>
</file>

<file path=xl/sharedStrings.xml><?xml version="1.0" encoding="utf-8"?>
<sst xmlns="http://schemas.openxmlformats.org/spreadsheetml/2006/main" count="792" uniqueCount="458">
  <si>
    <t>Project income WI(DGIS)</t>
  </si>
  <si>
    <t>Travel costs economy class</t>
  </si>
  <si>
    <t>subtotal</t>
  </si>
  <si>
    <t>The cost of the staff time spent on contracted work: for calculation see below in table "EXAMPLE COMPANY"</t>
  </si>
  <si>
    <t>Salary costs of staff time that can not be charged to contracted work for calculation see below in table "EXAMPLE COMPANY"</t>
  </si>
  <si>
    <t>When the 3 consultants work 200 days on the project against the tariff/day  all the costs + a 5% risk premium are covered</t>
  </si>
  <si>
    <t>CHECKS AND BALANCES</t>
  </si>
  <si>
    <t>EXAMPLE COMPANY</t>
  </si>
  <si>
    <t xml:space="preserve">unforeseen </t>
  </si>
  <si>
    <t>Special Contribution</t>
  </si>
  <si>
    <t>Sundry Income</t>
  </si>
  <si>
    <t xml:space="preserve"> H.R. COSTS TO BE CHARGED AS TARIFF(INCLUDING OVERHEAD COSTS)</t>
  </si>
  <si>
    <t>DIRECT PROJECT COSTS</t>
  </si>
  <si>
    <t>OPERATIONAL COSTS (TO BE COVERED THROUGH TARIFF)</t>
  </si>
  <si>
    <t>Tariff calculation:</t>
  </si>
  <si>
    <t>Indirect salaries:</t>
  </si>
  <si>
    <t>Productivity loss :</t>
  </si>
  <si>
    <t>Productive working days/year:</t>
  </si>
  <si>
    <r>
      <t>Productivity:</t>
    </r>
    <r>
      <rPr>
        <sz val="10"/>
        <rFont val="Arial"/>
        <family val="2"/>
      </rPr>
      <t>productive days / total working days</t>
    </r>
  </si>
  <si>
    <t>productive days</t>
  </si>
  <si>
    <t>rounded tariff</t>
  </si>
  <si>
    <t>unrounded tariff</t>
  </si>
  <si>
    <t>budget line</t>
  </si>
  <si>
    <t>staff costs</t>
  </si>
  <si>
    <t>x</t>
  </si>
  <si>
    <t>tariff</t>
  </si>
  <si>
    <t>real costs</t>
  </si>
  <si>
    <t>rate</t>
  </si>
  <si>
    <t>travel:</t>
  </si>
  <si>
    <t>hotel costs</t>
  </si>
  <si>
    <t>per diems</t>
  </si>
  <si>
    <t>operational costs:</t>
  </si>
  <si>
    <t>communication</t>
  </si>
  <si>
    <t>publication:</t>
  </si>
  <si>
    <t>materials</t>
  </si>
  <si>
    <t># of days</t>
  </si>
  <si>
    <t>destination</t>
  </si>
  <si>
    <t>date</t>
  </si>
  <si>
    <t>departure</t>
  </si>
  <si>
    <t>return</t>
  </si>
  <si>
    <t>total # of days/nights</t>
  </si>
  <si>
    <t># of nights</t>
  </si>
  <si>
    <t>operational cost 1</t>
  </si>
  <si>
    <t>operational cost 2</t>
  </si>
  <si>
    <t>distribution</t>
  </si>
  <si>
    <t>Tariff should cover the following costs:</t>
  </si>
  <si>
    <t>the cost of the staff time spend on contracted work</t>
  </si>
  <si>
    <t>Direct salary costs:</t>
  </si>
  <si>
    <t>per year:</t>
  </si>
  <si>
    <t>office exploitation:</t>
  </si>
  <si>
    <t>salary costs that can not be charged to contracted work</t>
  </si>
  <si>
    <t>depreciation</t>
  </si>
  <si>
    <t>other exploitation costs</t>
  </si>
  <si>
    <t>risc coverage: max 5% total costs</t>
  </si>
  <si>
    <t xml:space="preserve">   Total Direct salary costs</t>
  </si>
  <si>
    <t xml:space="preserve">   Total Overhead</t>
  </si>
  <si>
    <t>Total costs</t>
  </si>
  <si>
    <t>Multiplyer applied in tariff:</t>
  </si>
  <si>
    <t>postage</t>
  </si>
  <si>
    <t>Monthly salary costs:</t>
  </si>
  <si>
    <t>salary</t>
  </si>
  <si>
    <t>other</t>
  </si>
  <si>
    <t>social  security</t>
  </si>
  <si>
    <t>tariff/day</t>
  </si>
  <si>
    <t>project material:</t>
  </si>
  <si>
    <t>training/workshop:</t>
  </si>
  <si>
    <t>training/workshop cost 1</t>
  </si>
  <si>
    <t>training/workshop cost 2</t>
  </si>
  <si>
    <t>training/workshop cost 3</t>
  </si>
  <si>
    <t>training/workshop cost 4</t>
  </si>
  <si>
    <t>result on exchange rates</t>
  </si>
  <si>
    <t>interest</t>
  </si>
  <si>
    <t>CD-rom</t>
  </si>
  <si>
    <t>accommodation</t>
  </si>
  <si>
    <t>venue</t>
  </si>
  <si>
    <t>Project material</t>
  </si>
  <si>
    <t>Costs related to contstruction work for a project</t>
  </si>
  <si>
    <t>Costs to purchase furniture</t>
  </si>
  <si>
    <t>Costs to purchase computers</t>
  </si>
  <si>
    <t>Cost to purchase computers software</t>
  </si>
  <si>
    <t>Cost to purchase telecommunication equipments, photocopier</t>
  </si>
  <si>
    <t>Cost of office equipment</t>
  </si>
  <si>
    <t>Cost to purchase field equipment</t>
  </si>
  <si>
    <t>Costs to purchase vehicles</t>
  </si>
  <si>
    <t>Costs to purchase motercycle</t>
  </si>
  <si>
    <t>Costs to purchase boats</t>
  </si>
  <si>
    <t>Costs to purchase books</t>
  </si>
  <si>
    <t>Other project material costs</t>
  </si>
  <si>
    <t>Office running costs</t>
  </si>
  <si>
    <t>letterheaded paper, business cards, envelops etc</t>
  </si>
  <si>
    <t>paper, notes books pens, pins, cartridges etc</t>
  </si>
  <si>
    <t>Purchase of small articles under EUR500</t>
  </si>
  <si>
    <t>cost of photocopying/ paper/cartridges etc</t>
  </si>
  <si>
    <t>cost of postage, mailing</t>
  </si>
  <si>
    <t>costs of special priority mailing</t>
  </si>
  <si>
    <t>costs of telephone fixed or mobile( could be split) would be nice to split also per person</t>
  </si>
  <si>
    <t>cost of fax would be nice to split also per person</t>
  </si>
  <si>
    <r>
      <t xml:space="preserve">cost of e-mail </t>
    </r>
    <r>
      <rPr>
        <sz val="10"/>
        <rFont val="Arial"/>
        <family val="2"/>
      </rPr>
      <t>would be nice to split also per person</t>
    </r>
  </si>
  <si>
    <t>renting of office equipment</t>
  </si>
  <si>
    <t>gasoil/petrol/etc for running cars/motercycles etc</t>
  </si>
  <si>
    <t>extra vehicle costs</t>
  </si>
  <si>
    <t>any other variable office running cost</t>
  </si>
  <si>
    <t>Other business costs</t>
  </si>
  <si>
    <t>under other business cost we post costs that are more related to our relation with the network, the outside world, the governance etc</t>
  </si>
  <si>
    <t>costs of developing and maintaining the website</t>
  </si>
  <si>
    <t>costs made for entertaining guests/business lunches etc</t>
  </si>
  <si>
    <t>costs of producing general marketing material: posters, flyers, exhibition material etc</t>
  </si>
  <si>
    <t>???</t>
  </si>
  <si>
    <t>costs of developing and maintaining a library</t>
  </si>
  <si>
    <t>subsriptions to periodicals</t>
  </si>
  <si>
    <t xml:space="preserve">costs to the organisation of governance </t>
  </si>
  <si>
    <t>any other busisness cost</t>
  </si>
  <si>
    <t>all the costs related with housing</t>
  </si>
  <si>
    <t>the rent</t>
  </si>
  <si>
    <t>costs  of services provides with the housing, cleaning costs, heating  etc</t>
  </si>
  <si>
    <t>costs for water electricity or costs of diesel to run a generator</t>
  </si>
  <si>
    <t>costs related to maintaining the building</t>
  </si>
  <si>
    <t>insurance of building and  inventory against fire/theft etc.</t>
  </si>
  <si>
    <t>other housing costs</t>
  </si>
  <si>
    <t>costs for service contracts/ regular maintenace etc.</t>
  </si>
  <si>
    <t>regular car maintenance</t>
  </si>
  <si>
    <t>It maintenace, updates ,virus scan programme etc</t>
  </si>
  <si>
    <t>cost of legal registration</t>
  </si>
  <si>
    <t>certain taxes that are not personnel taxes and also not income tax</t>
  </si>
  <si>
    <t>cost of accounting support</t>
  </si>
  <si>
    <t>cost of annual financial auditing of financial admin or projects</t>
  </si>
  <si>
    <t>contributions for memberships/subscription to certain information etc.</t>
  </si>
  <si>
    <t>liability insurance, computer crash insurance, theft insurance of portable computers</t>
  </si>
  <si>
    <t>3rd poarty insurance cars/motercycles</t>
  </si>
  <si>
    <t>cost of transfers etc although try to book these as part of the purchase etc</t>
  </si>
  <si>
    <t>interest paid or received on general bank accounts</t>
  </si>
  <si>
    <t>any other fixed cost</t>
  </si>
  <si>
    <t>for costs related to a publication except for staff time input</t>
  </si>
  <si>
    <t>all the costs of publushing a report except for time input</t>
  </si>
  <si>
    <t>all the costs of producing and mailing a newsletter except for time input</t>
  </si>
  <si>
    <t>all the costs of producing a book except for time input</t>
  </si>
  <si>
    <t>all the costs for producing a leaflet except for time input</t>
  </si>
  <si>
    <t>all the costs to produce a map except for time input</t>
  </si>
  <si>
    <t>all the costs to produce a slide series except for time input</t>
  </si>
  <si>
    <t>all the costs to produce a CDrom except for time input</t>
  </si>
  <si>
    <t>all the costs to produce a poster except for time input</t>
  </si>
  <si>
    <t>all the costsof a translation</t>
  </si>
  <si>
    <t>cost of photo processing</t>
  </si>
  <si>
    <t>printing costs These can be mentioned separate or  within newsletter/book/leaflet etc.</t>
  </si>
  <si>
    <t>cost of distribution .These can be mentioned separate or  within newsletter/book/leaflet etc.</t>
  </si>
  <si>
    <t>any other publication cost</t>
  </si>
  <si>
    <t>project material 1</t>
  </si>
  <si>
    <t>project material 2</t>
  </si>
  <si>
    <t>project material 3</t>
  </si>
  <si>
    <t>operational cost 3</t>
  </si>
  <si>
    <t>publication costs 1</t>
  </si>
  <si>
    <t>publication costs 2</t>
  </si>
  <si>
    <t>publication costs 3</t>
  </si>
  <si>
    <t>total salary costs/ months</t>
  </si>
  <si>
    <t>total salary costs/ day</t>
  </si>
  <si>
    <t>The tariff should cover the following costs:</t>
  </si>
  <si>
    <t>Tariff justification:</t>
  </si>
  <si>
    <t>John Johnson</t>
  </si>
  <si>
    <t>Ian Ianson</t>
  </si>
  <si>
    <t>Vera Verona</t>
  </si>
  <si>
    <t>02/07/2001</t>
  </si>
  <si>
    <t>07/07/2001</t>
  </si>
  <si>
    <t>Bangui</t>
  </si>
  <si>
    <t>travel costs economy class</t>
  </si>
  <si>
    <t>03/07/2001</t>
  </si>
  <si>
    <t>06/07/2001</t>
  </si>
  <si>
    <t>boat</t>
  </si>
  <si>
    <t>car</t>
  </si>
  <si>
    <t>100 binoculars</t>
  </si>
  <si>
    <t>gasoline for outboard motor</t>
  </si>
  <si>
    <t>ferry costs to and from island</t>
  </si>
  <si>
    <t>computer space rent</t>
  </si>
  <si>
    <t>editing and translating</t>
  </si>
  <si>
    <t>printing 5000 copies</t>
  </si>
  <si>
    <t>participants travel</t>
  </si>
  <si>
    <t>initials</t>
  </si>
  <si>
    <t>JJ</t>
  </si>
  <si>
    <t>II</t>
  </si>
  <si>
    <t>VV</t>
  </si>
  <si>
    <t>04/08/2001</t>
  </si>
  <si>
    <t>12/08/2001</t>
  </si>
  <si>
    <t>Kinshasa</t>
  </si>
  <si>
    <t>10/08/2001</t>
  </si>
  <si>
    <t>Specification</t>
  </si>
  <si>
    <t>notes</t>
  </si>
  <si>
    <t>support1</t>
  </si>
  <si>
    <t>support2</t>
  </si>
  <si>
    <t>Company with 5 staff of which 3 work full time on projects</t>
  </si>
  <si>
    <t>For this company full time means 200 working days/year</t>
  </si>
  <si>
    <t>Total # of days /year:</t>
  </si>
  <si>
    <t>Holidays/year:</t>
  </si>
  <si>
    <t>Public holidays/year:</t>
  </si>
  <si>
    <t>Other Overhead cost as mentioned above</t>
  </si>
  <si>
    <t>Indirect salary costs:</t>
  </si>
  <si>
    <t>200days * tariff</t>
  </si>
  <si>
    <t>200days *rounded tariff</t>
  </si>
  <si>
    <t>total salary costs/ year</t>
  </si>
  <si>
    <t>salary/month</t>
  </si>
  <si>
    <t>social  security/month</t>
  </si>
  <si>
    <t>other salary related costs/ month</t>
  </si>
  <si>
    <t>productivity adjustment:</t>
  </si>
  <si>
    <t>Rounded up day tariff in EUR</t>
  </si>
  <si>
    <r>
      <t xml:space="preserve">Monthly salary costs in </t>
    </r>
    <r>
      <rPr>
        <b/>
        <sz val="10"/>
        <rFont val="Arial"/>
        <family val="2"/>
      </rPr>
      <t>EUR</t>
    </r>
    <r>
      <rPr>
        <sz val="10"/>
        <rFont val="Arial"/>
      </rPr>
      <t>:</t>
    </r>
  </si>
  <si>
    <t>tariff / day</t>
  </si>
  <si>
    <t xml:space="preserve">The productivity is 200/260 = </t>
  </si>
  <si>
    <t>Productivity:</t>
  </si>
  <si>
    <t>in EUR</t>
  </si>
  <si>
    <t>per year</t>
  </si>
  <si>
    <t>permanent staff are all staff with a contract for an undefinite period( fixed contract)</t>
  </si>
  <si>
    <t>Head of Programme/department and member of management team , highest salary is no1 next highest no2 etc</t>
  </si>
  <si>
    <t>Administrative/Secretarial/Financial/IT support staff,  highest salary is no1 next highest no2 etc</t>
  </si>
  <si>
    <t>project staff have a contract for the duration of a (part of) project. After the project they are no longer on the payroll</t>
  </si>
  <si>
    <t>Project manager/director</t>
  </si>
  <si>
    <t>Other members of project management team,  highest salary is no1 next highest no2 etc</t>
  </si>
  <si>
    <t>Technical species/wetlands/database project officers,  highest salary is no1 next highest no2 etc</t>
  </si>
  <si>
    <t>Administrative/Secretarial/Financial/IT project support staff,  highest salary is no1 next highest no2 etc</t>
  </si>
  <si>
    <t>A subcontractor has his own business and invoices you for his time input according to an agreed fee.</t>
  </si>
  <si>
    <t>Travel</t>
  </si>
  <si>
    <t>Cost of permanent and project staff for travelling</t>
  </si>
  <si>
    <t>To book travel costs made on national trips</t>
  </si>
  <si>
    <t>To book travel costs made in the region(=surrounding countries)</t>
  </si>
  <si>
    <t>To book travel costs made on intercontionental/overseas trips</t>
  </si>
  <si>
    <t>Cost of accomodation while travelling</t>
  </si>
  <si>
    <t>Costs to pay for food and other small expenses while travelling</t>
  </si>
  <si>
    <t>Cost to arrange transport during a trip for ex. rent a 4wheel drive for a field trip</t>
  </si>
  <si>
    <t>Cost of vaccinations needed for international travel</t>
  </si>
  <si>
    <t>Costs of arranging visa for international travel</t>
  </si>
  <si>
    <t>Fees for participating in conferences</t>
  </si>
  <si>
    <t>Costs for business communication during travel</t>
  </si>
  <si>
    <t>costs of a travel insurance</t>
  </si>
  <si>
    <t>Any other travel cost not mentioned before</t>
  </si>
  <si>
    <t xml:space="preserve">Cost of buying consumables like </t>
  </si>
  <si>
    <t>fixed costs are costs that have to be paid also if the activities of the office are very low. You do not have a lot of influence on their height</t>
  </si>
  <si>
    <t>other activities</t>
  </si>
  <si>
    <t>for all costs related to an other activity</t>
  </si>
  <si>
    <t>other activity costs 1</t>
  </si>
  <si>
    <t>other activity costs 2</t>
  </si>
  <si>
    <t>other activity costs 3</t>
  </si>
  <si>
    <t>INCOME</t>
  </si>
  <si>
    <t>sale publications</t>
  </si>
  <si>
    <t>project income WI</t>
  </si>
  <si>
    <t>projects income other contributors</t>
  </si>
  <si>
    <t>to</t>
  </si>
  <si>
    <t>Time input project staff 1</t>
  </si>
  <si>
    <t>for coding see overview called budget items</t>
  </si>
  <si>
    <t>other travel costs</t>
  </si>
  <si>
    <t>Costs</t>
  </si>
  <si>
    <t>Income</t>
  </si>
  <si>
    <t>real income</t>
  </si>
  <si>
    <t>total costs</t>
  </si>
  <si>
    <t>total income</t>
  </si>
  <si>
    <t>451090/100</t>
  </si>
  <si>
    <t>Overhead:</t>
  </si>
  <si>
    <t>Time input subcontractor 1</t>
  </si>
  <si>
    <t>awareness campaign</t>
  </si>
  <si>
    <t>satellite pictures</t>
  </si>
  <si>
    <t>all the costs are covered by the charged tariff:</t>
  </si>
  <si>
    <t>Fill in salary costs for each staff member working for this contract</t>
  </si>
  <si>
    <t>other salary related costs</t>
  </si>
  <si>
    <t>subtotal to calculate risc coverage</t>
  </si>
  <si>
    <t>Staff member 1</t>
  </si>
  <si>
    <t>Staff member 2</t>
  </si>
  <si>
    <t>Staff member 3</t>
  </si>
  <si>
    <t>Staff member 4</t>
  </si>
  <si>
    <t>Staff member 5</t>
  </si>
  <si>
    <t>Staff member 6</t>
  </si>
  <si>
    <t>Staff member 7</t>
  </si>
  <si>
    <t>Staff member 8</t>
  </si>
  <si>
    <t>Staff member 9</t>
  </si>
  <si>
    <t>housing</t>
  </si>
  <si>
    <t>total in EUROs</t>
  </si>
  <si>
    <t>xx</t>
  </si>
  <si>
    <t>replace by appropriate budget item description</t>
  </si>
  <si>
    <t>depreciation assets</t>
  </si>
  <si>
    <t>Rounded up day tariff in EURO</t>
  </si>
  <si>
    <t>Total costs in Euros:</t>
  </si>
  <si>
    <t>Please fill in the yellow cells below</t>
  </si>
  <si>
    <t>Direct salary costs of your organisation in Euros:</t>
  </si>
  <si>
    <t>Overhead of your organisation in Euros:</t>
  </si>
  <si>
    <t>Cost of the staff time spend on contracted work by staff members of your organisation</t>
  </si>
  <si>
    <t>Salary costs that can not be charged to contracted work</t>
  </si>
  <si>
    <t>Notes:</t>
  </si>
  <si>
    <t>*No direct project costs should be included in the overhead for tariff calculation</t>
  </si>
  <si>
    <t>*Direct project related costs should be budgeted seperately in the budget</t>
  </si>
  <si>
    <t>*The costs of subcontractors are treated as direct project costs</t>
  </si>
  <si>
    <t>Multiplier to apply in the tariff (= total costs / direct salary costs):</t>
  </si>
  <si>
    <t>risk coverage: max 5% total costs</t>
  </si>
  <si>
    <t>office deployment:</t>
  </si>
  <si>
    <t>other deployment costs</t>
  </si>
  <si>
    <t>Using the above calculated multiplier the tariffs for the project staff are as follows:</t>
  </si>
  <si>
    <t>Office deployment:</t>
  </si>
  <si>
    <t>=total costs not project staff + unproductive days project staff</t>
  </si>
  <si>
    <t>Sickness/training/internal meetings/discontinuaty etc/year:</t>
  </si>
  <si>
    <t>Time input permanent staff 1</t>
  </si>
  <si>
    <t>total in EURO</t>
  </si>
  <si>
    <t>Monthly salary costs in EURO:</t>
  </si>
  <si>
    <t>=total costs project staff  * productive days / # working days per year</t>
  </si>
  <si>
    <t>200days * costs</t>
  </si>
  <si>
    <t xml:space="preserve">     total direct salary cost per  day:</t>
  </si>
  <si>
    <t>unforeseen max 5% budget</t>
  </si>
  <si>
    <t>Equipment</t>
  </si>
  <si>
    <t>Computers</t>
  </si>
  <si>
    <t>Vehicles</t>
  </si>
  <si>
    <t>p</t>
  </si>
  <si>
    <t>Permanent staff</t>
  </si>
  <si>
    <t>Manager 1</t>
  </si>
  <si>
    <t>ED,ID,Director sub-regional office</t>
  </si>
  <si>
    <t>Manager 2</t>
  </si>
  <si>
    <t>Manager 3</t>
  </si>
  <si>
    <t>Technical officer 1</t>
  </si>
  <si>
    <t>Technical species/wetlands/database officers highest salary is no1 next highest no2 etc</t>
  </si>
  <si>
    <t>Technical officer 2</t>
  </si>
  <si>
    <t>Technical officer 3</t>
  </si>
  <si>
    <t>Support officer 1</t>
  </si>
  <si>
    <t>Support officer 2</t>
  </si>
  <si>
    <t>Support officer 3</t>
  </si>
  <si>
    <t xml:space="preserve"> Temporary project staff</t>
  </si>
  <si>
    <t>Project manager 1</t>
  </si>
  <si>
    <t>Project manager 2</t>
  </si>
  <si>
    <t>Project manager 3</t>
  </si>
  <si>
    <t>Subcontractors</t>
  </si>
  <si>
    <t>Subcontractor 1</t>
  </si>
  <si>
    <t>To use for every subcontractor working for your office/project.A subcontractor is not on your paylist but invoices you</t>
  </si>
  <si>
    <t>Subcontractor 2</t>
  </si>
  <si>
    <t>Subcontractor 3</t>
  </si>
  <si>
    <t>Travel costs</t>
  </si>
  <si>
    <t>To book all travel costs</t>
  </si>
  <si>
    <t>Travel local</t>
  </si>
  <si>
    <t>Travel regional</t>
  </si>
  <si>
    <t>Travel intercontinental</t>
  </si>
  <si>
    <t>Accommodation</t>
  </si>
  <si>
    <t>Per diem</t>
  </si>
  <si>
    <t>Transportation</t>
  </si>
  <si>
    <t>Vaccination</t>
  </si>
  <si>
    <t>Visa</t>
  </si>
  <si>
    <t>Conference fee</t>
  </si>
  <si>
    <t>Communication in travelling</t>
  </si>
  <si>
    <t xml:space="preserve">Travel insurance </t>
  </si>
  <si>
    <t>Travel allowance</t>
  </si>
  <si>
    <t>????</t>
  </si>
  <si>
    <t>Other travel costs 1</t>
  </si>
  <si>
    <t xml:space="preserve">Other travel costs </t>
  </si>
  <si>
    <t>Costs of material bought for projects should in principle be treatened as direct project costs. Only in cases where the funders asks you to treat them as assets the value of the purchase should be activated and the assets should be depreciated.</t>
  </si>
  <si>
    <t>Building/construction material</t>
  </si>
  <si>
    <t>Furniture</t>
  </si>
  <si>
    <t>Office equipment</t>
  </si>
  <si>
    <t>Telecommunication equipment</t>
  </si>
  <si>
    <t>Field equipment</t>
  </si>
  <si>
    <t>Software</t>
  </si>
  <si>
    <t>Motercycle</t>
  </si>
  <si>
    <t>Boats</t>
  </si>
  <si>
    <t>Books</t>
  </si>
  <si>
    <t>Consumables</t>
  </si>
  <si>
    <t>Other projects material 1</t>
  </si>
  <si>
    <t>Other projects material 2</t>
  </si>
  <si>
    <t xml:space="preserve">Other projects material </t>
  </si>
  <si>
    <t>Office running costs are the costs made to run an office  like communications , letterheaded paper, stamps, photocopying etc</t>
  </si>
  <si>
    <t>Stationery</t>
  </si>
  <si>
    <t>Office supplies</t>
  </si>
  <si>
    <t>Small equipment</t>
  </si>
  <si>
    <t>Photocopies</t>
  </si>
  <si>
    <t>Postal costs</t>
  </si>
  <si>
    <t>Courier costs</t>
  </si>
  <si>
    <t>Telephone</t>
  </si>
  <si>
    <t>Fax</t>
  </si>
  <si>
    <t>E-mail</t>
  </si>
  <si>
    <t>Equipment rent</t>
  </si>
  <si>
    <t>Petrol</t>
  </si>
  <si>
    <t>Toll/parking</t>
  </si>
  <si>
    <t>Other office running costs 1</t>
  </si>
  <si>
    <t>Other office running costs 2</t>
  </si>
  <si>
    <t xml:space="preserve">Other office running costs </t>
  </si>
  <si>
    <t>Web maintenance</t>
  </si>
  <si>
    <t>Representation</t>
  </si>
  <si>
    <t>Marketing</t>
  </si>
  <si>
    <t>Public relations</t>
  </si>
  <si>
    <t>Library</t>
  </si>
  <si>
    <t>Periodicals</t>
  </si>
  <si>
    <t>Governance meetings</t>
  </si>
  <si>
    <t>Other business costs 1</t>
  </si>
  <si>
    <t>Other business costs 2</t>
  </si>
  <si>
    <t xml:space="preserve">Other business costs </t>
  </si>
  <si>
    <t>Office housing costs</t>
  </si>
  <si>
    <t>Office rent</t>
  </si>
  <si>
    <t>Service costs</t>
  </si>
  <si>
    <t>Energy/water costs</t>
  </si>
  <si>
    <t>Maintenance offices</t>
  </si>
  <si>
    <t>Insurance building and inventory</t>
  </si>
  <si>
    <t>Other office housing costs 1</t>
  </si>
  <si>
    <t>Other office housing costs 2</t>
  </si>
  <si>
    <t xml:space="preserve">Other office housing costs </t>
  </si>
  <si>
    <t>Other fixed costs</t>
  </si>
  <si>
    <t>Maintenance equipment</t>
  </si>
  <si>
    <t>Maintenance vehicles</t>
  </si>
  <si>
    <t>IT maintenance</t>
  </si>
  <si>
    <t>Legal costs</t>
  </si>
  <si>
    <t>Taxes (no personnel)</t>
  </si>
  <si>
    <t>Accounting</t>
  </si>
  <si>
    <t>Financial audit</t>
  </si>
  <si>
    <t>Contributions</t>
  </si>
  <si>
    <t>Business insurances</t>
  </si>
  <si>
    <t>Vehicle insurance</t>
  </si>
  <si>
    <t>Banking costs</t>
  </si>
  <si>
    <t>Interest</t>
  </si>
  <si>
    <t>Other fixed costs 1</t>
  </si>
  <si>
    <t>Other fixed costs 2</t>
  </si>
  <si>
    <t xml:space="preserve">Other fixed costs </t>
  </si>
  <si>
    <t>Publications</t>
  </si>
  <si>
    <t>Report</t>
  </si>
  <si>
    <t>Newsletter</t>
  </si>
  <si>
    <t>Leaflet</t>
  </si>
  <si>
    <t>Map</t>
  </si>
  <si>
    <t>Slides series</t>
  </si>
  <si>
    <t>Posters</t>
  </si>
  <si>
    <t>Editing</t>
  </si>
  <si>
    <t>Translations</t>
  </si>
  <si>
    <t>Photo processing</t>
  </si>
  <si>
    <t>Design</t>
  </si>
  <si>
    <t>Printing costs</t>
  </si>
  <si>
    <t>Distribution costs</t>
  </si>
  <si>
    <t xml:space="preserve">Other publication costs </t>
  </si>
  <si>
    <t>Other publication costs 2</t>
  </si>
  <si>
    <t>Other publication costs 3</t>
  </si>
  <si>
    <t>for all costs related to a training /workshop/cinference or seminar except for time input</t>
  </si>
  <si>
    <t>Food and drinks</t>
  </si>
  <si>
    <t>Per diems</t>
  </si>
  <si>
    <t>Venue</t>
  </si>
  <si>
    <t>Material</t>
  </si>
  <si>
    <t>Proceedings</t>
  </si>
  <si>
    <t>Translations (simultaneous)</t>
  </si>
  <si>
    <t>Interpretation</t>
  </si>
  <si>
    <t>Fees</t>
  </si>
  <si>
    <t>Other costs meetings/workshops 1</t>
  </si>
  <si>
    <t>Other costs meetings/workshops 2</t>
  </si>
  <si>
    <t xml:space="preserve">Other costs meetings/workshops </t>
  </si>
  <si>
    <t>Survey</t>
  </si>
  <si>
    <t>for all costs related to a survey except for time input</t>
  </si>
  <si>
    <t>Other survey costs 1</t>
  </si>
  <si>
    <t>Other survey costs 2</t>
  </si>
  <si>
    <t>Other survey costs 3</t>
  </si>
  <si>
    <t>Other activities</t>
  </si>
  <si>
    <t>Other activity costs 1</t>
  </si>
  <si>
    <t>Other activity costs 2</t>
  </si>
  <si>
    <t>Other activity costs 3</t>
  </si>
  <si>
    <t>Other activity costs 4</t>
  </si>
  <si>
    <t>Other activity costs 5</t>
  </si>
  <si>
    <t>Other activity costs 6</t>
  </si>
  <si>
    <t>Other activity costs 7</t>
  </si>
  <si>
    <t>Other activity costs 8</t>
  </si>
  <si>
    <t>Other activity costs 9</t>
  </si>
  <si>
    <t>Other activity costs 10</t>
  </si>
  <si>
    <t>Project Income</t>
  </si>
  <si>
    <t>Sale publications</t>
  </si>
  <si>
    <t>Special contribution</t>
  </si>
  <si>
    <t>Sundry income</t>
  </si>
  <si>
    <t>Result on exchange rates</t>
  </si>
  <si>
    <t>Training/workshops/meetings/conference/seminar</t>
  </si>
  <si>
    <t>Project income other donors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</si>
</sst>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0"/>
      <name val="Arial"/>
    </font>
    <font>
      <b/>
      <sz val="10"/>
      <name val="Arial"/>
    </font>
    <font>
      <sz val="8"/>
      <name val="Arial"/>
      <family val="2"/>
    </font>
    <font>
      <sz val="8"/>
      <color indexed="81"/>
      <name val="Tahoma"/>
    </font>
    <font>
      <b/>
      <sz val="8"/>
      <color indexed="81"/>
      <name val="Tahoma"/>
    </font>
    <font>
      <b/>
      <sz val="10"/>
      <name val="Arial"/>
      <family val="2"/>
    </font>
    <font>
      <sz val="10"/>
      <name val="Arial"/>
      <family val="2"/>
    </font>
    <font>
      <b/>
      <sz val="12"/>
      <name val="Arial"/>
      <family val="2"/>
    </font>
    <font>
      <b/>
      <sz val="8"/>
      <name val="Arial"/>
      <family val="2"/>
    </font>
    <font>
      <sz val="10"/>
      <name val="Courier"/>
      <family val="3"/>
    </font>
    <font>
      <b/>
      <sz val="10"/>
      <name val="Courier"/>
      <family val="3"/>
    </font>
    <font>
      <b/>
      <sz val="20"/>
      <name val="Arial"/>
      <family val="2"/>
    </font>
    <font>
      <sz val="8"/>
      <name val="Courier"/>
      <family val="3"/>
    </font>
    <font>
      <b/>
      <sz val="8"/>
      <name val="Courier"/>
      <family val="3"/>
    </font>
    <font>
      <i/>
      <sz val="8"/>
      <name val="Arial"/>
      <family val="2"/>
    </font>
    <font>
      <sz val="10"/>
      <name val="Arial"/>
    </font>
    <font>
      <sz val="10"/>
      <name val="Arial"/>
    </font>
  </fonts>
  <fills count="4">
    <fill>
      <patternFill patternType="none"/>
    </fill>
    <fill>
      <patternFill patternType="gray125"/>
    </fill>
    <fill>
      <patternFill patternType="solid">
        <fgColor indexed="22"/>
        <bgColor indexed="64"/>
      </patternFill>
    </fill>
    <fill>
      <patternFill patternType="solid">
        <fgColor indexed="43"/>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right/>
      <top style="thin">
        <color indexed="64"/>
      </top>
      <bottom/>
      <diagonal/>
    </border>
  </borders>
  <cellStyleXfs count="1">
    <xf numFmtId="0" fontId="0" fillId="0" borderId="0"/>
  </cellStyleXfs>
  <cellXfs count="184">
    <xf numFmtId="0" fontId="0" fillId="0" borderId="0" xfId="0"/>
    <xf numFmtId="0" fontId="0" fillId="0" borderId="0" xfId="0" applyAlignment="1">
      <alignment horizontal="center"/>
    </xf>
    <xf numFmtId="0" fontId="0" fillId="0" borderId="0" xfId="0" applyAlignment="1">
      <alignment horizontal="centerContinuous"/>
    </xf>
    <xf numFmtId="0" fontId="0" fillId="0" borderId="0" xfId="0" applyAlignment="1">
      <alignment horizontal="right"/>
    </xf>
    <xf numFmtId="0" fontId="0" fillId="0" borderId="1" xfId="0" applyBorder="1" applyAlignment="1">
      <alignment horizontal="centerContinuous"/>
    </xf>
    <xf numFmtId="0" fontId="0" fillId="0" borderId="0" xfId="0" applyBorder="1"/>
    <xf numFmtId="0" fontId="0" fillId="0" borderId="0" xfId="0" applyBorder="1" applyAlignment="1">
      <alignment horizontal="center"/>
    </xf>
    <xf numFmtId="0" fontId="0" fillId="0" borderId="0" xfId="0" applyBorder="1" applyAlignment="1">
      <alignment horizontal="centerContinuous"/>
    </xf>
    <xf numFmtId="0" fontId="2" fillId="0" borderId="0" xfId="0" applyFont="1"/>
    <xf numFmtId="0" fontId="2" fillId="0" borderId="0" xfId="0" applyFont="1" applyAlignment="1">
      <alignment horizontal="center"/>
    </xf>
    <xf numFmtId="0" fontId="2" fillId="0" borderId="0" xfId="0" applyFont="1" applyAlignment="1">
      <alignment horizontal="center" wrapText="1"/>
    </xf>
    <xf numFmtId="0" fontId="5" fillId="0" borderId="0" xfId="0" applyFont="1"/>
    <xf numFmtId="0" fontId="5" fillId="0" borderId="0" xfId="0" applyFont="1" applyAlignment="1">
      <alignment horizontal="centerContinuous"/>
    </xf>
    <xf numFmtId="0" fontId="0" fillId="0" borderId="0" xfId="0" applyAlignment="1">
      <alignment horizontal="center" wrapText="1"/>
    </xf>
    <xf numFmtId="0" fontId="0" fillId="0" borderId="2" xfId="0" applyBorder="1"/>
    <xf numFmtId="2" fontId="0" fillId="0" borderId="0" xfId="0" applyNumberFormat="1"/>
    <xf numFmtId="2" fontId="0" fillId="0" borderId="0" xfId="0" applyNumberFormat="1" applyAlignment="1">
      <alignment horizontal="center" wrapText="1"/>
    </xf>
    <xf numFmtId="0" fontId="5" fillId="0" borderId="0" xfId="0" applyFont="1" applyAlignment="1">
      <alignment horizontal="center" wrapText="1"/>
    </xf>
    <xf numFmtId="0" fontId="5" fillId="2" borderId="0" xfId="0" applyFont="1" applyFill="1" applyAlignment="1">
      <alignment horizontal="centerContinuous"/>
    </xf>
    <xf numFmtId="2" fontId="2" fillId="2" borderId="0" xfId="0" applyNumberFormat="1" applyFont="1" applyFill="1"/>
    <xf numFmtId="1" fontId="0" fillId="0" borderId="3" xfId="0" applyNumberFormat="1" applyBorder="1"/>
    <xf numFmtId="0" fontId="0" fillId="0" borderId="4" xfId="0" applyBorder="1"/>
    <xf numFmtId="0" fontId="0" fillId="0" borderId="4" xfId="0" applyBorder="1" applyAlignment="1">
      <alignment horizontal="center"/>
    </xf>
    <xf numFmtId="0" fontId="0" fillId="0" borderId="4" xfId="0" applyBorder="1" applyAlignment="1">
      <alignment horizontal="centerContinuous"/>
    </xf>
    <xf numFmtId="0" fontId="5" fillId="0" borderId="5" xfId="0" applyFont="1" applyBorder="1"/>
    <xf numFmtId="0" fontId="0" fillId="0" borderId="5" xfId="0" applyBorder="1"/>
    <xf numFmtId="0" fontId="5" fillId="0" borderId="0" xfId="0" applyFont="1" applyBorder="1" applyAlignment="1">
      <alignment horizontal="centerContinuous"/>
    </xf>
    <xf numFmtId="0" fontId="2" fillId="0" borderId="0" xfId="0" applyFont="1" applyBorder="1"/>
    <xf numFmtId="0" fontId="0" fillId="0" borderId="0" xfId="0" applyBorder="1" applyAlignment="1">
      <alignment horizontal="center" wrapText="1"/>
    </xf>
    <xf numFmtId="2" fontId="0" fillId="0" borderId="0" xfId="0" applyNumberFormat="1" applyBorder="1" applyAlignment="1">
      <alignment horizontal="center" wrapText="1"/>
    </xf>
    <xf numFmtId="1" fontId="5" fillId="0" borderId="6" xfId="0" applyNumberFormat="1" applyFont="1" applyBorder="1" applyAlignment="1">
      <alignment horizontal="center" wrapText="1"/>
    </xf>
    <xf numFmtId="2" fontId="0" fillId="0" borderId="0" xfId="0" applyNumberFormat="1" applyBorder="1"/>
    <xf numFmtId="0" fontId="0" fillId="0" borderId="7" xfId="0" applyBorder="1"/>
    <xf numFmtId="0" fontId="0" fillId="0" borderId="3" xfId="0" applyBorder="1"/>
    <xf numFmtId="0" fontId="0" fillId="0" borderId="3" xfId="0" applyBorder="1" applyAlignment="1">
      <alignment horizontal="center"/>
    </xf>
    <xf numFmtId="2" fontId="0" fillId="0" borderId="3" xfId="0" applyNumberFormat="1" applyBorder="1"/>
    <xf numFmtId="0" fontId="5" fillId="0" borderId="8" xfId="0" applyFont="1" applyBorder="1" applyAlignment="1">
      <alignment horizontal="centerContinuous"/>
    </xf>
    <xf numFmtId="2" fontId="0" fillId="0" borderId="0" xfId="0" applyNumberFormat="1" applyAlignment="1">
      <alignment horizontal="left"/>
    </xf>
    <xf numFmtId="0" fontId="0" fillId="0" borderId="0" xfId="0" applyAlignment="1">
      <alignment horizontal="left"/>
    </xf>
    <xf numFmtId="2" fontId="0" fillId="0" borderId="4" xfId="0" applyNumberFormat="1" applyBorder="1"/>
    <xf numFmtId="0" fontId="0" fillId="0" borderId="9" xfId="0" applyBorder="1"/>
    <xf numFmtId="0" fontId="0" fillId="0" borderId="6" xfId="0" applyBorder="1"/>
    <xf numFmtId="0" fontId="0" fillId="0" borderId="10" xfId="0" applyBorder="1"/>
    <xf numFmtId="0" fontId="5" fillId="0" borderId="0" xfId="0" applyFont="1" applyBorder="1"/>
    <xf numFmtId="0" fontId="5" fillId="0" borderId="4" xfId="0" applyFont="1" applyBorder="1"/>
    <xf numFmtId="0" fontId="5" fillId="0" borderId="3" xfId="0" applyFont="1" applyBorder="1"/>
    <xf numFmtId="0" fontId="2" fillId="0" borderId="0" xfId="0" quotePrefix="1" applyFont="1" applyAlignment="1">
      <alignment horizontal="center" wrapText="1"/>
    </xf>
    <xf numFmtId="0" fontId="0" fillId="0" borderId="1" xfId="0" applyBorder="1"/>
    <xf numFmtId="0" fontId="5" fillId="0" borderId="2" xfId="0" applyFont="1" applyBorder="1"/>
    <xf numFmtId="1" fontId="0" fillId="0" borderId="0" xfId="0" applyNumberFormat="1" applyBorder="1"/>
    <xf numFmtId="1" fontId="5" fillId="0" borderId="2" xfId="0" applyNumberFormat="1" applyFont="1" applyBorder="1"/>
    <xf numFmtId="0" fontId="5" fillId="0" borderId="0" xfId="0" applyFont="1" applyAlignment="1">
      <alignment horizontal="center"/>
    </xf>
    <xf numFmtId="0" fontId="0" fillId="0" borderId="0" xfId="0" applyProtection="1">
      <protection locked="0"/>
    </xf>
    <xf numFmtId="0" fontId="0" fillId="0" borderId="11" xfId="0" applyBorder="1"/>
    <xf numFmtId="0" fontId="0" fillId="0" borderId="12" xfId="0" applyBorder="1"/>
    <xf numFmtId="0" fontId="0" fillId="0" borderId="13" xfId="0" applyBorder="1"/>
    <xf numFmtId="0" fontId="0" fillId="0" borderId="2" xfId="0" applyBorder="1" applyAlignment="1">
      <alignment horizontal="center" wrapText="1"/>
    </xf>
    <xf numFmtId="1" fontId="0" fillId="3" borderId="11" xfId="0" applyNumberFormat="1" applyFill="1" applyBorder="1" applyProtection="1">
      <protection locked="0"/>
    </xf>
    <xf numFmtId="1" fontId="0" fillId="3" borderId="11" xfId="0" applyNumberFormat="1" applyFill="1" applyBorder="1" applyAlignment="1" applyProtection="1">
      <alignment horizontal="center"/>
      <protection locked="0"/>
    </xf>
    <xf numFmtId="1" fontId="5" fillId="2" borderId="10" xfId="0" applyNumberFormat="1" applyFont="1" applyFill="1" applyBorder="1"/>
    <xf numFmtId="1" fontId="0" fillId="3" borderId="2" xfId="0" applyNumberFormat="1" applyFill="1" applyBorder="1" applyProtection="1">
      <protection locked="0"/>
    </xf>
    <xf numFmtId="1" fontId="0" fillId="3" borderId="2" xfId="0" applyNumberFormat="1" applyFill="1" applyBorder="1" applyAlignment="1" applyProtection="1">
      <alignment horizontal="center"/>
      <protection locked="0"/>
    </xf>
    <xf numFmtId="1" fontId="0" fillId="2" borderId="2" xfId="0" applyNumberFormat="1" applyFill="1" applyBorder="1"/>
    <xf numFmtId="9" fontId="8" fillId="0" borderId="0" xfId="0" quotePrefix="1" applyNumberFormat="1" applyFont="1" applyBorder="1" applyAlignment="1">
      <alignment horizontal="center"/>
    </xf>
    <xf numFmtId="0" fontId="6" fillId="0" borderId="0" xfId="0" applyFont="1" applyFill="1"/>
    <xf numFmtId="0" fontId="11" fillId="0" borderId="0" xfId="0" applyFont="1"/>
    <xf numFmtId="0" fontId="5" fillId="0" borderId="0" xfId="0" applyFont="1" applyFill="1"/>
    <xf numFmtId="3" fontId="13" fillId="0" borderId="0" xfId="0" applyNumberFormat="1" applyFont="1"/>
    <xf numFmtId="3" fontId="12" fillId="0" borderId="0" xfId="0" applyNumberFormat="1" applyFont="1" applyAlignment="1">
      <alignment horizontal="left"/>
    </xf>
    <xf numFmtId="3" fontId="13" fillId="0" borderId="0" xfId="0" applyNumberFormat="1" applyFont="1" applyAlignment="1">
      <alignment horizontal="left"/>
    </xf>
    <xf numFmtId="3" fontId="9" fillId="0" borderId="0" xfId="0" applyNumberFormat="1" applyFont="1" applyAlignment="1">
      <alignment horizontal="left"/>
    </xf>
    <xf numFmtId="3" fontId="13" fillId="0" borderId="5" xfId="0" applyNumberFormat="1" applyFont="1" applyBorder="1"/>
    <xf numFmtId="1" fontId="5" fillId="0" borderId="0" xfId="0" applyNumberFormat="1" applyFont="1"/>
    <xf numFmtId="1" fontId="5" fillId="0" borderId="3" xfId="0" applyNumberFormat="1" applyFont="1" applyBorder="1"/>
    <xf numFmtId="1" fontId="5" fillId="0" borderId="9" xfId="0" applyNumberFormat="1" applyFont="1" applyBorder="1"/>
    <xf numFmtId="1" fontId="5" fillId="0" borderId="6" xfId="0" applyNumberFormat="1" applyFont="1" applyBorder="1"/>
    <xf numFmtId="1" fontId="5" fillId="0" borderId="10" xfId="0" applyNumberFormat="1" applyFont="1" applyBorder="1"/>
    <xf numFmtId="3" fontId="7" fillId="0" borderId="14" xfId="0" applyNumberFormat="1" applyFont="1" applyBorder="1"/>
    <xf numFmtId="3" fontId="6" fillId="0" borderId="5" xfId="0" applyNumberFormat="1" applyFont="1" applyBorder="1"/>
    <xf numFmtId="3" fontId="5" fillId="0" borderId="5" xfId="0" applyNumberFormat="1" applyFont="1" applyBorder="1"/>
    <xf numFmtId="3" fontId="5" fillId="0" borderId="7" xfId="0" applyNumberFormat="1" applyFont="1" applyBorder="1"/>
    <xf numFmtId="1" fontId="5" fillId="2" borderId="9" xfId="0" applyNumberFormat="1" applyFont="1" applyFill="1" applyBorder="1"/>
    <xf numFmtId="1" fontId="5" fillId="2" borderId="6" xfId="0" applyNumberFormat="1" applyFont="1" applyFill="1" applyBorder="1"/>
    <xf numFmtId="0" fontId="0" fillId="0" borderId="15" xfId="0" applyBorder="1" applyAlignment="1">
      <alignment horizontal="center" wrapText="1"/>
    </xf>
    <xf numFmtId="1" fontId="0" fillId="3" borderId="2" xfId="0" applyNumberFormat="1" applyFill="1" applyBorder="1"/>
    <xf numFmtId="1" fontId="0" fillId="3" borderId="2" xfId="0" applyNumberFormat="1" applyFill="1" applyBorder="1" applyAlignment="1">
      <alignment horizontal="center"/>
    </xf>
    <xf numFmtId="0" fontId="6" fillId="0" borderId="0" xfId="0" applyFont="1" applyFill="1" applyAlignment="1">
      <alignment horizontal="center"/>
    </xf>
    <xf numFmtId="0" fontId="14" fillId="0" borderId="0" xfId="0" applyFont="1" applyAlignment="1">
      <alignment horizontal="center"/>
    </xf>
    <xf numFmtId="0" fontId="0" fillId="3" borderId="2" xfId="0" applyFill="1" applyBorder="1"/>
    <xf numFmtId="1" fontId="0" fillId="3" borderId="15" xfId="0" applyNumberFormat="1" applyFill="1" applyBorder="1"/>
    <xf numFmtId="1" fontId="0" fillId="3" borderId="11" xfId="0" applyNumberFormat="1" applyFill="1" applyBorder="1"/>
    <xf numFmtId="0" fontId="0" fillId="0" borderId="15" xfId="0" applyBorder="1"/>
    <xf numFmtId="0" fontId="0" fillId="0" borderId="16" xfId="0" applyBorder="1"/>
    <xf numFmtId="0" fontId="5" fillId="0" borderId="0" xfId="0" applyFont="1" applyProtection="1"/>
    <xf numFmtId="0" fontId="0" fillId="0" borderId="0" xfId="0" applyProtection="1"/>
    <xf numFmtId="2" fontId="0" fillId="0" borderId="0" xfId="0" applyNumberFormat="1" applyProtection="1"/>
    <xf numFmtId="0" fontId="0" fillId="0" borderId="0" xfId="0" applyAlignment="1" applyProtection="1">
      <alignment horizontal="center"/>
    </xf>
    <xf numFmtId="0" fontId="0" fillId="0" borderId="0" xfId="0" applyAlignment="1" applyProtection="1">
      <alignment horizontal="centerContinuous"/>
    </xf>
    <xf numFmtId="0" fontId="5" fillId="2" borderId="0" xfId="0" applyFont="1" applyFill="1" applyAlignment="1" applyProtection="1">
      <alignment horizontal="centerContinuous"/>
    </xf>
    <xf numFmtId="2" fontId="2" fillId="2" borderId="0" xfId="0" applyNumberFormat="1" applyFont="1" applyFill="1" applyProtection="1"/>
    <xf numFmtId="0" fontId="5" fillId="0" borderId="0" xfId="0" applyFont="1" applyAlignment="1" applyProtection="1">
      <alignment horizontal="centerContinuous"/>
    </xf>
    <xf numFmtId="0" fontId="5" fillId="0" borderId="0" xfId="0" applyFont="1" applyFill="1" applyAlignment="1" applyProtection="1">
      <alignment horizontal="centerContinuous"/>
    </xf>
    <xf numFmtId="0" fontId="0" fillId="0" borderId="1" xfId="0" applyBorder="1" applyAlignment="1" applyProtection="1">
      <alignment horizontal="centerContinuous"/>
    </xf>
    <xf numFmtId="0" fontId="0" fillId="0" borderId="12" xfId="0" applyBorder="1" applyProtection="1"/>
    <xf numFmtId="0" fontId="0" fillId="0" borderId="13" xfId="0" applyBorder="1" applyProtection="1"/>
    <xf numFmtId="0" fontId="0" fillId="0" borderId="2" xfId="0" applyBorder="1" applyAlignment="1" applyProtection="1">
      <alignment horizontal="center" wrapText="1"/>
    </xf>
    <xf numFmtId="2" fontId="0" fillId="0" borderId="2" xfId="0" applyNumberFormat="1" applyBorder="1" applyAlignment="1" applyProtection="1">
      <alignment horizontal="center" wrapText="1"/>
    </xf>
    <xf numFmtId="0" fontId="0" fillId="0" borderId="2" xfId="0" applyBorder="1" applyProtection="1"/>
    <xf numFmtId="0" fontId="5" fillId="0" borderId="2" xfId="0" applyFont="1" applyBorder="1" applyAlignment="1" applyProtection="1">
      <alignment horizontal="center" wrapText="1"/>
    </xf>
    <xf numFmtId="0" fontId="0" fillId="0" borderId="11" xfId="0" applyBorder="1" applyProtection="1"/>
    <xf numFmtId="1" fontId="0" fillId="2" borderId="11" xfId="0" applyNumberFormat="1" applyFill="1" applyBorder="1" applyProtection="1"/>
    <xf numFmtId="1" fontId="5" fillId="2" borderId="10" xfId="0" applyNumberFormat="1" applyFont="1" applyFill="1" applyBorder="1" applyProtection="1"/>
    <xf numFmtId="1" fontId="0" fillId="2" borderId="2" xfId="0" applyNumberFormat="1" applyFill="1" applyBorder="1" applyProtection="1"/>
    <xf numFmtId="1" fontId="5" fillId="2" borderId="17" xfId="0" applyNumberFormat="1" applyFont="1" applyFill="1" applyBorder="1" applyProtection="1"/>
    <xf numFmtId="0" fontId="0" fillId="0" borderId="0" xfId="0" applyBorder="1" applyAlignment="1" applyProtection="1">
      <alignment horizontal="centerContinuous"/>
    </xf>
    <xf numFmtId="0" fontId="5" fillId="0" borderId="14" xfId="0" applyFont="1" applyBorder="1" applyProtection="1"/>
    <xf numFmtId="0" fontId="0" fillId="0" borderId="4" xfId="0" applyBorder="1" applyProtection="1"/>
    <xf numFmtId="0" fontId="0" fillId="0" borderId="9" xfId="0" applyBorder="1" applyProtection="1"/>
    <xf numFmtId="0" fontId="5" fillId="0" borderId="5" xfId="0" applyFont="1" applyBorder="1" applyProtection="1"/>
    <xf numFmtId="0" fontId="0" fillId="0" borderId="0" xfId="0" applyBorder="1" applyProtection="1"/>
    <xf numFmtId="0" fontId="0" fillId="0" borderId="6" xfId="0" applyBorder="1" applyProtection="1"/>
    <xf numFmtId="0" fontId="0" fillId="0" borderId="6" xfId="0" applyBorder="1" applyAlignment="1" applyProtection="1">
      <alignment horizontal="center"/>
    </xf>
    <xf numFmtId="0" fontId="0" fillId="0" borderId="7" xfId="0" applyBorder="1" applyProtection="1"/>
    <xf numFmtId="0" fontId="0" fillId="0" borderId="3" xfId="0" applyBorder="1" applyProtection="1"/>
    <xf numFmtId="0" fontId="0" fillId="0" borderId="10" xfId="0" applyBorder="1" applyAlignment="1" applyProtection="1">
      <alignment horizontal="center"/>
    </xf>
    <xf numFmtId="0" fontId="0" fillId="3" borderId="2" xfId="0" applyFill="1" applyBorder="1" applyProtection="1">
      <protection locked="0"/>
    </xf>
    <xf numFmtId="0" fontId="0" fillId="2" borderId="2" xfId="0" applyFill="1" applyBorder="1" applyProtection="1"/>
    <xf numFmtId="0" fontId="5" fillId="2" borderId="8" xfId="0" applyFont="1" applyFill="1" applyBorder="1" applyAlignment="1" applyProtection="1">
      <alignment horizontal="centerContinuous"/>
    </xf>
    <xf numFmtId="9" fontId="5" fillId="0" borderId="0" xfId="0" applyNumberFormat="1" applyFont="1" applyBorder="1"/>
    <xf numFmtId="9" fontId="5" fillId="0" borderId="2" xfId="0" applyNumberFormat="1" applyFont="1" applyBorder="1"/>
    <xf numFmtId="0" fontId="0" fillId="0" borderId="14" xfId="0" applyBorder="1"/>
    <xf numFmtId="0" fontId="0" fillId="0" borderId="18" xfId="0" applyBorder="1"/>
    <xf numFmtId="0" fontId="5" fillId="0" borderId="19" xfId="0" applyFont="1" applyBorder="1"/>
    <xf numFmtId="0" fontId="8" fillId="0" borderId="0" xfId="0" applyFont="1" applyAlignment="1">
      <alignment horizontal="center" wrapText="1"/>
    </xf>
    <xf numFmtId="3" fontId="8" fillId="0" borderId="0" xfId="0" applyNumberFormat="1" applyFont="1" applyAlignment="1">
      <alignment horizontal="center" wrapText="1"/>
    </xf>
    <xf numFmtId="3" fontId="6" fillId="0" borderId="0" xfId="0" applyNumberFormat="1" applyFont="1" applyAlignment="1">
      <alignment horizontal="center"/>
    </xf>
    <xf numFmtId="0" fontId="8" fillId="0" borderId="0" xfId="0" applyFont="1" applyAlignment="1">
      <alignment horizontal="center"/>
    </xf>
    <xf numFmtId="0" fontId="5" fillId="2" borderId="0" xfId="0" applyFont="1" applyFill="1" applyBorder="1" applyAlignment="1" applyProtection="1">
      <alignment horizontal="centerContinuous"/>
    </xf>
    <xf numFmtId="3" fontId="9" fillId="0" borderId="0" xfId="0" applyNumberFormat="1" applyFont="1" applyAlignment="1">
      <alignment horizontal="right"/>
    </xf>
    <xf numFmtId="3" fontId="10" fillId="0" borderId="0" xfId="0" applyNumberFormat="1" applyFont="1" applyAlignment="1">
      <alignment horizontal="right"/>
    </xf>
    <xf numFmtId="0" fontId="6" fillId="0" borderId="0" xfId="0" applyFont="1" applyAlignment="1">
      <alignment horizontal="right"/>
    </xf>
    <xf numFmtId="0" fontId="7" fillId="0" borderId="0" xfId="0" applyFont="1" applyAlignment="1">
      <alignment horizontal="center"/>
    </xf>
    <xf numFmtId="3" fontId="10" fillId="0" borderId="0" xfId="0" applyNumberFormat="1" applyFont="1" applyFill="1" applyAlignment="1">
      <alignment horizontal="right"/>
    </xf>
    <xf numFmtId="0" fontId="5" fillId="0" borderId="0" xfId="0" applyFont="1" applyFill="1" applyAlignment="1">
      <alignment horizontal="right"/>
    </xf>
    <xf numFmtId="0" fontId="1" fillId="0" borderId="0" xfId="0" applyFont="1" applyFill="1"/>
    <xf numFmtId="3" fontId="9" fillId="0" borderId="0" xfId="0" applyNumberFormat="1" applyFont="1" applyFill="1" applyAlignment="1">
      <alignment horizontal="right"/>
    </xf>
    <xf numFmtId="0" fontId="1" fillId="0" borderId="0" xfId="0" applyFont="1" applyFill="1" applyAlignment="1">
      <alignment wrapText="1"/>
    </xf>
    <xf numFmtId="0" fontId="6" fillId="0" borderId="0" xfId="0" applyFont="1" applyFill="1" applyAlignment="1">
      <alignment horizontal="right"/>
    </xf>
    <xf numFmtId="0" fontId="5" fillId="0" borderId="0" xfId="0" applyFont="1" applyFill="1" applyAlignment="1">
      <alignment wrapText="1"/>
    </xf>
    <xf numFmtId="0" fontId="6" fillId="0" borderId="0" xfId="0" applyFont="1" applyFill="1" applyAlignment="1">
      <alignment wrapText="1"/>
    </xf>
    <xf numFmtId="0" fontId="10" fillId="0" borderId="0" xfId="0" applyFont="1" applyFill="1"/>
    <xf numFmtId="0" fontId="6" fillId="0" borderId="0" xfId="0" applyFont="1" applyFill="1" applyAlignment="1">
      <alignment vertical="top" wrapText="1"/>
    </xf>
    <xf numFmtId="0" fontId="6" fillId="0" borderId="0" xfId="0" applyFont="1" applyFill="1" applyAlignment="1">
      <alignment horizontal="right" vertical="top" wrapText="1"/>
    </xf>
    <xf numFmtId="0" fontId="15" fillId="0" borderId="0" xfId="0" applyFont="1"/>
    <xf numFmtId="0" fontId="15" fillId="0" borderId="0" xfId="0" applyFont="1" applyAlignment="1">
      <alignment horizontal="right"/>
    </xf>
    <xf numFmtId="0" fontId="15" fillId="0" borderId="0" xfId="0" applyFont="1" applyFill="1"/>
    <xf numFmtId="0" fontId="15" fillId="0" borderId="0" xfId="0" applyFont="1" applyFill="1" applyAlignment="1">
      <alignment horizontal="right"/>
    </xf>
    <xf numFmtId="0" fontId="16" fillId="0" borderId="0" xfId="0" applyFont="1" applyFill="1"/>
    <xf numFmtId="0" fontId="6" fillId="0" borderId="0" xfId="0" applyFont="1" applyBorder="1" applyAlignment="1">
      <alignment horizontal="left" indent="1"/>
    </xf>
    <xf numFmtId="0" fontId="7" fillId="2" borderId="20" xfId="0" applyFont="1" applyFill="1" applyBorder="1"/>
    <xf numFmtId="0" fontId="0" fillId="2" borderId="17" xfId="0" applyFill="1" applyBorder="1"/>
    <xf numFmtId="0" fontId="6" fillId="0" borderId="4" xfId="0" applyFont="1" applyBorder="1" applyAlignment="1">
      <alignment horizontal="center" wrapText="1"/>
    </xf>
    <xf numFmtId="0" fontId="6" fillId="0" borderId="4" xfId="0" quotePrefix="1" applyFont="1" applyBorder="1" applyAlignment="1">
      <alignment horizontal="center" wrapText="1"/>
    </xf>
    <xf numFmtId="0" fontId="6" fillId="0" borderId="9" xfId="0" quotePrefix="1" applyFont="1" applyBorder="1" applyAlignment="1">
      <alignment horizontal="center" wrapText="1"/>
    </xf>
    <xf numFmtId="0" fontId="7" fillId="2" borderId="14" xfId="0" applyFont="1" applyFill="1" applyBorder="1"/>
    <xf numFmtId="0" fontId="0" fillId="2" borderId="9" xfId="0" applyFill="1" applyBorder="1"/>
    <xf numFmtId="1" fontId="0" fillId="0" borderId="2" xfId="0" applyNumberFormat="1" applyBorder="1"/>
    <xf numFmtId="2" fontId="0" fillId="0" borderId="2" xfId="0" applyNumberFormat="1" applyBorder="1"/>
    <xf numFmtId="0" fontId="5" fillId="0" borderId="3" xfId="0" applyFont="1" applyBorder="1" applyAlignment="1">
      <alignment horizontal="left" indent="1"/>
    </xf>
    <xf numFmtId="0" fontId="0" fillId="0" borderId="0" xfId="0" applyAlignment="1">
      <alignment horizontal="center"/>
    </xf>
    <xf numFmtId="0" fontId="8" fillId="3" borderId="1" xfId="0" applyFont="1" applyFill="1" applyBorder="1" applyAlignment="1" applyProtection="1">
      <alignment horizontal="center" wrapText="1"/>
    </xf>
    <xf numFmtId="2" fontId="0" fillId="0" borderId="0" xfId="0" quotePrefix="1" applyNumberFormat="1" applyAlignment="1" applyProtection="1">
      <alignment wrapText="1"/>
    </xf>
    <xf numFmtId="0" fontId="0" fillId="0" borderId="0" xfId="0" applyAlignment="1" applyProtection="1">
      <alignment wrapText="1"/>
    </xf>
    <xf numFmtId="0" fontId="5" fillId="0" borderId="20" xfId="0" applyFont="1" applyBorder="1" applyAlignment="1" applyProtection="1">
      <alignment horizontal="center"/>
    </xf>
    <xf numFmtId="0" fontId="5" fillId="0" borderId="21" xfId="0" applyFont="1" applyBorder="1" applyAlignment="1" applyProtection="1">
      <alignment horizontal="center"/>
    </xf>
    <xf numFmtId="0" fontId="5" fillId="0" borderId="17" xfId="0" applyFont="1" applyBorder="1" applyAlignment="1" applyProtection="1">
      <alignment horizontal="center"/>
    </xf>
    <xf numFmtId="0" fontId="5" fillId="0" borderId="14" xfId="0" applyFont="1" applyBorder="1" applyAlignment="1">
      <alignment wrapText="1"/>
    </xf>
    <xf numFmtId="0" fontId="0" fillId="0" borderId="4" xfId="0" applyBorder="1" applyAlignment="1">
      <alignment wrapText="1"/>
    </xf>
    <xf numFmtId="1" fontId="0" fillId="0" borderId="23" xfId="0" applyNumberFormat="1" applyBorder="1" applyAlignment="1"/>
    <xf numFmtId="0" fontId="0" fillId="0" borderId="3" xfId="0" applyBorder="1" applyAlignment="1"/>
    <xf numFmtId="0" fontId="2" fillId="0" borderId="0" xfId="0" applyFont="1" applyBorder="1" applyAlignment="1">
      <alignment wrapText="1"/>
    </xf>
    <xf numFmtId="0" fontId="8" fillId="3" borderId="1" xfId="0" applyFont="1" applyFill="1" applyBorder="1" applyAlignment="1">
      <alignment horizontal="center" wrapText="1"/>
    </xf>
    <xf numFmtId="0" fontId="0" fillId="0" borderId="0" xfId="0" applyAlignment="1">
      <alignment wrapText="1"/>
    </xf>
    <xf numFmtId="0" fontId="0" fillId="0" borderId="22" xfId="0" applyBorder="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590550</xdr:colOff>
      <xdr:row>31</xdr:row>
      <xdr:rowOff>19050</xdr:rowOff>
    </xdr:from>
    <xdr:to>
      <xdr:col>4</xdr:col>
      <xdr:colOff>590550</xdr:colOff>
      <xdr:row>31</xdr:row>
      <xdr:rowOff>425450</xdr:rowOff>
    </xdr:to>
    <xdr:sp macro="" textlink="">
      <xdr:nvSpPr>
        <xdr:cNvPr id="4098" name="Line 2">
          <a:extLst>
            <a:ext uri="{FF2B5EF4-FFF2-40B4-BE49-F238E27FC236}">
              <a16:creationId xmlns:a16="http://schemas.microsoft.com/office/drawing/2014/main" id="{D5D3CBBB-6832-4346-85CD-77451AF17F3C}"/>
            </a:ext>
          </a:extLst>
        </xdr:cNvPr>
        <xdr:cNvSpPr>
          <a:spLocks noChangeShapeType="1"/>
        </xdr:cNvSpPr>
      </xdr:nvSpPr>
      <xdr:spPr bwMode="auto">
        <a:xfrm>
          <a:off x="4921250" y="6064250"/>
          <a:ext cx="0" cy="406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615950</xdr:colOff>
      <xdr:row>31</xdr:row>
      <xdr:rowOff>19050</xdr:rowOff>
    </xdr:from>
    <xdr:to>
      <xdr:col>2</xdr:col>
      <xdr:colOff>615950</xdr:colOff>
      <xdr:row>31</xdr:row>
      <xdr:rowOff>419100</xdr:rowOff>
    </xdr:to>
    <xdr:sp macro="" textlink="">
      <xdr:nvSpPr>
        <xdr:cNvPr id="4099" name="Line 3">
          <a:extLst>
            <a:ext uri="{FF2B5EF4-FFF2-40B4-BE49-F238E27FC236}">
              <a16:creationId xmlns:a16="http://schemas.microsoft.com/office/drawing/2014/main" id="{F4E2B2C5-92F9-4271-B70A-6A18CFA25057}"/>
            </a:ext>
          </a:extLst>
        </xdr:cNvPr>
        <xdr:cNvSpPr>
          <a:spLocks noChangeShapeType="1"/>
        </xdr:cNvSpPr>
      </xdr:nvSpPr>
      <xdr:spPr bwMode="auto">
        <a:xfrm>
          <a:off x="2317750" y="6064250"/>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635000</xdr:colOff>
      <xdr:row>31</xdr:row>
      <xdr:rowOff>0</xdr:rowOff>
    </xdr:from>
    <xdr:to>
      <xdr:col>3</xdr:col>
      <xdr:colOff>635000</xdr:colOff>
      <xdr:row>31</xdr:row>
      <xdr:rowOff>438150</xdr:rowOff>
    </xdr:to>
    <xdr:sp macro="" textlink="">
      <xdr:nvSpPr>
        <xdr:cNvPr id="4100" name="Line 4">
          <a:extLst>
            <a:ext uri="{FF2B5EF4-FFF2-40B4-BE49-F238E27FC236}">
              <a16:creationId xmlns:a16="http://schemas.microsoft.com/office/drawing/2014/main" id="{5EF259C7-6D31-4F0D-94C3-4682733372F3}"/>
            </a:ext>
          </a:extLst>
        </xdr:cNvPr>
        <xdr:cNvSpPr>
          <a:spLocks noChangeShapeType="1"/>
        </xdr:cNvSpPr>
      </xdr:nvSpPr>
      <xdr:spPr bwMode="auto">
        <a:xfrm>
          <a:off x="3651250" y="6045200"/>
          <a:ext cx="0" cy="438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330200</xdr:colOff>
      <xdr:row>26</xdr:row>
      <xdr:rowOff>31750</xdr:rowOff>
    </xdr:from>
    <xdr:to>
      <xdr:col>7</xdr:col>
      <xdr:colOff>330200</xdr:colOff>
      <xdr:row>31</xdr:row>
      <xdr:rowOff>444500</xdr:rowOff>
    </xdr:to>
    <xdr:sp macro="" textlink="">
      <xdr:nvSpPr>
        <xdr:cNvPr id="4101" name="Line 5">
          <a:extLst>
            <a:ext uri="{FF2B5EF4-FFF2-40B4-BE49-F238E27FC236}">
              <a16:creationId xmlns:a16="http://schemas.microsoft.com/office/drawing/2014/main" id="{C0B38F95-D938-41AB-A153-1BBEBB5DFD63}"/>
            </a:ext>
          </a:extLst>
        </xdr:cNvPr>
        <xdr:cNvSpPr>
          <a:spLocks noChangeShapeType="1"/>
        </xdr:cNvSpPr>
      </xdr:nvSpPr>
      <xdr:spPr bwMode="auto">
        <a:xfrm>
          <a:off x="7258050" y="4927600"/>
          <a:ext cx="0" cy="1562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603250</xdr:colOff>
      <xdr:row>41</xdr:row>
      <xdr:rowOff>88900</xdr:rowOff>
    </xdr:from>
    <xdr:to>
      <xdr:col>8</xdr:col>
      <xdr:colOff>38100</xdr:colOff>
      <xdr:row>41</xdr:row>
      <xdr:rowOff>88900</xdr:rowOff>
    </xdr:to>
    <xdr:sp macro="" textlink="">
      <xdr:nvSpPr>
        <xdr:cNvPr id="3079" name="Line 7">
          <a:extLst>
            <a:ext uri="{FF2B5EF4-FFF2-40B4-BE49-F238E27FC236}">
              <a16:creationId xmlns:a16="http://schemas.microsoft.com/office/drawing/2014/main" id="{ED4760AE-5C17-4845-8C6D-61EC9E6CE6A9}"/>
            </a:ext>
          </a:extLst>
        </xdr:cNvPr>
        <xdr:cNvSpPr>
          <a:spLocks noChangeShapeType="1"/>
        </xdr:cNvSpPr>
      </xdr:nvSpPr>
      <xdr:spPr bwMode="auto">
        <a:xfrm>
          <a:off x="8413750" y="8477250"/>
          <a:ext cx="44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590550</xdr:colOff>
      <xdr:row>24</xdr:row>
      <xdr:rowOff>19050</xdr:rowOff>
    </xdr:from>
    <xdr:to>
      <xdr:col>4</xdr:col>
      <xdr:colOff>590550</xdr:colOff>
      <xdr:row>24</xdr:row>
      <xdr:rowOff>425450</xdr:rowOff>
    </xdr:to>
    <xdr:sp macro="" textlink="">
      <xdr:nvSpPr>
        <xdr:cNvPr id="3080" name="Line 8">
          <a:extLst>
            <a:ext uri="{FF2B5EF4-FFF2-40B4-BE49-F238E27FC236}">
              <a16:creationId xmlns:a16="http://schemas.microsoft.com/office/drawing/2014/main" id="{22E0574D-731B-4EBF-A7B9-4DE727355937}"/>
            </a:ext>
          </a:extLst>
        </xdr:cNvPr>
        <xdr:cNvSpPr>
          <a:spLocks noChangeShapeType="1"/>
        </xdr:cNvSpPr>
      </xdr:nvSpPr>
      <xdr:spPr bwMode="auto">
        <a:xfrm>
          <a:off x="5416550" y="4559300"/>
          <a:ext cx="0" cy="406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615950</xdr:colOff>
      <xdr:row>24</xdr:row>
      <xdr:rowOff>19050</xdr:rowOff>
    </xdr:from>
    <xdr:to>
      <xdr:col>2</xdr:col>
      <xdr:colOff>615950</xdr:colOff>
      <xdr:row>24</xdr:row>
      <xdr:rowOff>412750</xdr:rowOff>
    </xdr:to>
    <xdr:sp macro="" textlink="">
      <xdr:nvSpPr>
        <xdr:cNvPr id="3081" name="Line 9">
          <a:extLst>
            <a:ext uri="{FF2B5EF4-FFF2-40B4-BE49-F238E27FC236}">
              <a16:creationId xmlns:a16="http://schemas.microsoft.com/office/drawing/2014/main" id="{E9AED823-FE3F-4E68-BE76-60DE41791CA6}"/>
            </a:ext>
          </a:extLst>
        </xdr:cNvPr>
        <xdr:cNvSpPr>
          <a:spLocks noChangeShapeType="1"/>
        </xdr:cNvSpPr>
      </xdr:nvSpPr>
      <xdr:spPr bwMode="auto">
        <a:xfrm>
          <a:off x="2622550" y="4559300"/>
          <a:ext cx="0" cy="393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635000</xdr:colOff>
      <xdr:row>24</xdr:row>
      <xdr:rowOff>0</xdr:rowOff>
    </xdr:from>
    <xdr:to>
      <xdr:col>3</xdr:col>
      <xdr:colOff>635000</xdr:colOff>
      <xdr:row>24</xdr:row>
      <xdr:rowOff>431800</xdr:rowOff>
    </xdr:to>
    <xdr:sp macro="" textlink="">
      <xdr:nvSpPr>
        <xdr:cNvPr id="3082" name="Line 10">
          <a:extLst>
            <a:ext uri="{FF2B5EF4-FFF2-40B4-BE49-F238E27FC236}">
              <a16:creationId xmlns:a16="http://schemas.microsoft.com/office/drawing/2014/main" id="{8B9F7E4B-3144-4C46-B11D-C39971BA20E7}"/>
            </a:ext>
          </a:extLst>
        </xdr:cNvPr>
        <xdr:cNvSpPr>
          <a:spLocks noChangeShapeType="1"/>
        </xdr:cNvSpPr>
      </xdr:nvSpPr>
      <xdr:spPr bwMode="auto">
        <a:xfrm>
          <a:off x="4146550" y="4540250"/>
          <a:ext cx="0" cy="43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12700</xdr:rowOff>
    </xdr:from>
    <xdr:to>
      <xdr:col>8</xdr:col>
      <xdr:colOff>412750</xdr:colOff>
      <xdr:row>40</xdr:row>
      <xdr:rowOff>38100</xdr:rowOff>
    </xdr:to>
    <xdr:sp macro="" textlink="">
      <xdr:nvSpPr>
        <xdr:cNvPr id="3083" name="Line 11">
          <a:extLst>
            <a:ext uri="{FF2B5EF4-FFF2-40B4-BE49-F238E27FC236}">
              <a16:creationId xmlns:a16="http://schemas.microsoft.com/office/drawing/2014/main" id="{F343C1EE-8D28-46E0-902C-56E7738A3DB2}"/>
            </a:ext>
          </a:extLst>
        </xdr:cNvPr>
        <xdr:cNvSpPr>
          <a:spLocks noChangeShapeType="1"/>
        </xdr:cNvSpPr>
      </xdr:nvSpPr>
      <xdr:spPr bwMode="auto">
        <a:xfrm flipH="1" flipV="1">
          <a:off x="7029450" y="1155700"/>
          <a:ext cx="1803400" cy="7112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762000</xdr:colOff>
      <xdr:row>9</xdr:row>
      <xdr:rowOff>57150</xdr:rowOff>
    </xdr:from>
    <xdr:to>
      <xdr:col>6</xdr:col>
      <xdr:colOff>298450</xdr:colOff>
      <xdr:row>47</xdr:row>
      <xdr:rowOff>133350</xdr:rowOff>
    </xdr:to>
    <xdr:sp macro="" textlink="">
      <xdr:nvSpPr>
        <xdr:cNvPr id="3084" name="Line 12">
          <a:extLst>
            <a:ext uri="{FF2B5EF4-FFF2-40B4-BE49-F238E27FC236}">
              <a16:creationId xmlns:a16="http://schemas.microsoft.com/office/drawing/2014/main" id="{D00D8926-4F92-4C00-9C17-6AE6C5B5C5BB}"/>
            </a:ext>
          </a:extLst>
        </xdr:cNvPr>
        <xdr:cNvSpPr>
          <a:spLocks noChangeShapeType="1"/>
        </xdr:cNvSpPr>
      </xdr:nvSpPr>
      <xdr:spPr bwMode="auto">
        <a:xfrm flipH="1" flipV="1">
          <a:off x="6972300" y="1993900"/>
          <a:ext cx="355600" cy="7429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60"/>
  <sheetViews>
    <sheetView topLeftCell="A31" workbookViewId="0">
      <selection activeCell="B63" sqref="B63"/>
    </sheetView>
  </sheetViews>
  <sheetFormatPr defaultRowHeight="12.5" x14ac:dyDescent="0.25"/>
  <cols>
    <col min="1" max="1" width="13.81640625" style="68" customWidth="1"/>
    <col min="2" max="2" width="25.1796875" customWidth="1"/>
    <col min="3" max="3" width="7.1796875" style="1" customWidth="1"/>
    <col min="4" max="5" width="10.26953125" customWidth="1"/>
    <col min="6" max="6" width="10.26953125" style="1" customWidth="1"/>
    <col min="8" max="8" width="6.26953125" customWidth="1"/>
    <col min="9" max="9" width="7.81640625" style="2" customWidth="1"/>
    <col min="10" max="10" width="10.453125" customWidth="1"/>
    <col min="11" max="11" width="4.81640625" customWidth="1"/>
    <col min="12" max="12" width="6" style="87" customWidth="1"/>
  </cols>
  <sheetData>
    <row r="1" spans="1:12" ht="13" x14ac:dyDescent="0.3">
      <c r="A1" s="135" t="s">
        <v>22</v>
      </c>
      <c r="B1" s="11" t="s">
        <v>246</v>
      </c>
      <c r="C1" s="51"/>
    </row>
    <row r="2" spans="1:12" ht="40.5" customHeight="1" x14ac:dyDescent="0.3">
      <c r="A2" s="134" t="s">
        <v>244</v>
      </c>
      <c r="B2" s="133" t="s">
        <v>272</v>
      </c>
      <c r="C2" s="136" t="s">
        <v>175</v>
      </c>
      <c r="G2" s="10" t="s">
        <v>40</v>
      </c>
      <c r="J2" s="17" t="s">
        <v>270</v>
      </c>
      <c r="L2" s="87" t="s">
        <v>184</v>
      </c>
    </row>
    <row r="3" spans="1:12" x14ac:dyDescent="0.25">
      <c r="A3" s="68" t="s">
        <v>23</v>
      </c>
      <c r="L3" s="87">
        <v>1</v>
      </c>
    </row>
    <row r="4" spans="1:12" x14ac:dyDescent="0.25">
      <c r="A4" s="68">
        <v>400010</v>
      </c>
      <c r="B4" t="s">
        <v>293</v>
      </c>
      <c r="C4" s="1" t="s">
        <v>271</v>
      </c>
      <c r="G4" s="3" t="s">
        <v>35</v>
      </c>
      <c r="H4" s="1" t="s">
        <v>24</v>
      </c>
      <c r="I4" t="s">
        <v>25</v>
      </c>
      <c r="J4" t="e">
        <f>G4*I4</f>
        <v>#VALUE!</v>
      </c>
    </row>
    <row r="5" spans="1:12" x14ac:dyDescent="0.25">
      <c r="A5" s="68" t="s">
        <v>242</v>
      </c>
      <c r="B5" t="s">
        <v>243</v>
      </c>
      <c r="C5" s="1" t="s">
        <v>271</v>
      </c>
      <c r="G5" s="3" t="s">
        <v>35</v>
      </c>
      <c r="H5" s="1" t="s">
        <v>24</v>
      </c>
      <c r="I5" t="s">
        <v>25</v>
      </c>
      <c r="J5" t="e">
        <f>G5*I5</f>
        <v>#VALUE!</v>
      </c>
    </row>
    <row r="6" spans="1:12" x14ac:dyDescent="0.25">
      <c r="A6" s="68">
        <v>406030</v>
      </c>
      <c r="B6" t="s">
        <v>253</v>
      </c>
      <c r="C6" s="1" t="s">
        <v>271</v>
      </c>
      <c r="G6" s="3" t="s">
        <v>35</v>
      </c>
      <c r="H6" s="1" t="s">
        <v>24</v>
      </c>
      <c r="I6" t="s">
        <v>25</v>
      </c>
      <c r="J6" t="e">
        <f>G6*I6</f>
        <v>#VALUE!</v>
      </c>
    </row>
    <row r="7" spans="1:12" x14ac:dyDescent="0.25">
      <c r="E7" s="3"/>
    </row>
    <row r="8" spans="1:12" x14ac:dyDescent="0.25">
      <c r="G8" s="3"/>
      <c r="H8" s="3"/>
    </row>
    <row r="9" spans="1:12" x14ac:dyDescent="0.25">
      <c r="D9" s="169" t="s">
        <v>37</v>
      </c>
      <c r="E9" s="169"/>
      <c r="F9" t="s">
        <v>36</v>
      </c>
      <c r="H9" s="10"/>
      <c r="I9" s="2" t="s">
        <v>27</v>
      </c>
    </row>
    <row r="10" spans="1:12" x14ac:dyDescent="0.25">
      <c r="A10" s="68" t="s">
        <v>28</v>
      </c>
      <c r="D10" s="8" t="s">
        <v>38</v>
      </c>
      <c r="E10" s="9" t="s">
        <v>39</v>
      </c>
    </row>
    <row r="11" spans="1:12" x14ac:dyDescent="0.25">
      <c r="A11" s="68">
        <v>409010</v>
      </c>
      <c r="B11" t="s">
        <v>163</v>
      </c>
      <c r="C11" s="1" t="s">
        <v>271</v>
      </c>
      <c r="J11" t="s">
        <v>26</v>
      </c>
      <c r="L11" s="87">
        <v>2</v>
      </c>
    </row>
    <row r="12" spans="1:12" x14ac:dyDescent="0.25">
      <c r="A12" s="68" t="s">
        <v>242</v>
      </c>
      <c r="B12" t="s">
        <v>29</v>
      </c>
      <c r="C12" s="1" t="s">
        <v>271</v>
      </c>
      <c r="G12" t="s">
        <v>41</v>
      </c>
      <c r="J12" t="s">
        <v>26</v>
      </c>
      <c r="L12" s="87">
        <v>3</v>
      </c>
    </row>
    <row r="13" spans="1:12" x14ac:dyDescent="0.25">
      <c r="B13" t="s">
        <v>30</v>
      </c>
      <c r="C13" s="1" t="s">
        <v>271</v>
      </c>
      <c r="E13" s="3"/>
      <c r="G13" s="3" t="s">
        <v>35</v>
      </c>
      <c r="H13" s="1" t="s">
        <v>24</v>
      </c>
      <c r="I13" s="2" t="str">
        <f>I9</f>
        <v>rate</v>
      </c>
      <c r="J13" t="e">
        <f>G13*I13</f>
        <v>#VALUE!</v>
      </c>
      <c r="L13" s="87">
        <v>4</v>
      </c>
    </row>
    <row r="14" spans="1:12" x14ac:dyDescent="0.25">
      <c r="A14" s="68">
        <v>409150</v>
      </c>
      <c r="B14" t="s">
        <v>245</v>
      </c>
      <c r="C14" s="1" t="s">
        <v>271</v>
      </c>
      <c r="E14" s="3"/>
      <c r="G14" s="3"/>
      <c r="H14" s="1"/>
      <c r="J14" t="s">
        <v>26</v>
      </c>
    </row>
    <row r="15" spans="1:12" x14ac:dyDescent="0.25">
      <c r="E15" s="3"/>
    </row>
    <row r="16" spans="1:12" x14ac:dyDescent="0.25">
      <c r="A16" s="68" t="s">
        <v>64</v>
      </c>
      <c r="L16" s="87">
        <v>5</v>
      </c>
    </row>
    <row r="17" spans="1:12" x14ac:dyDescent="0.25">
      <c r="A17" s="68">
        <v>421010</v>
      </c>
      <c r="B17" t="s">
        <v>146</v>
      </c>
      <c r="J17" t="s">
        <v>26</v>
      </c>
    </row>
    <row r="18" spans="1:12" x14ac:dyDescent="0.25">
      <c r="A18" s="68" t="s">
        <v>242</v>
      </c>
      <c r="B18" t="s">
        <v>147</v>
      </c>
      <c r="J18" t="s">
        <v>26</v>
      </c>
    </row>
    <row r="19" spans="1:12" x14ac:dyDescent="0.25">
      <c r="A19" s="68">
        <v>421150</v>
      </c>
      <c r="B19" t="s">
        <v>148</v>
      </c>
      <c r="J19" t="s">
        <v>26</v>
      </c>
    </row>
    <row r="21" spans="1:12" x14ac:dyDescent="0.25">
      <c r="A21" s="68" t="s">
        <v>31</v>
      </c>
      <c r="L21" s="87">
        <v>6</v>
      </c>
    </row>
    <row r="22" spans="1:12" x14ac:dyDescent="0.25">
      <c r="A22" s="68">
        <v>430010</v>
      </c>
      <c r="B22" t="s">
        <v>42</v>
      </c>
      <c r="G22" s="3"/>
      <c r="H22" s="3"/>
      <c r="J22" t="s">
        <v>26</v>
      </c>
    </row>
    <row r="23" spans="1:12" x14ac:dyDescent="0.25">
      <c r="A23" s="68" t="s">
        <v>242</v>
      </c>
      <c r="B23" t="s">
        <v>43</v>
      </c>
      <c r="G23" s="3"/>
      <c r="H23" s="3"/>
      <c r="J23" t="s">
        <v>26</v>
      </c>
    </row>
    <row r="24" spans="1:12" x14ac:dyDescent="0.25">
      <c r="A24" s="68">
        <v>441150</v>
      </c>
      <c r="B24" t="s">
        <v>149</v>
      </c>
      <c r="G24" s="3"/>
      <c r="H24" s="3"/>
      <c r="J24" t="s">
        <v>26</v>
      </c>
    </row>
    <row r="25" spans="1:12" x14ac:dyDescent="0.25">
      <c r="G25" s="3"/>
      <c r="H25" s="3"/>
    </row>
    <row r="26" spans="1:12" x14ac:dyDescent="0.25">
      <c r="A26" s="68" t="s">
        <v>33</v>
      </c>
      <c r="L26" s="87">
        <v>7</v>
      </c>
    </row>
    <row r="27" spans="1:12" x14ac:dyDescent="0.25">
      <c r="A27" s="68">
        <v>451010</v>
      </c>
      <c r="B27" t="s">
        <v>150</v>
      </c>
      <c r="G27" s="3"/>
      <c r="H27" s="3"/>
      <c r="J27" t="s">
        <v>26</v>
      </c>
    </row>
    <row r="28" spans="1:12" x14ac:dyDescent="0.25">
      <c r="A28" s="68" t="s">
        <v>242</v>
      </c>
      <c r="B28" t="s">
        <v>151</v>
      </c>
      <c r="G28" s="3"/>
      <c r="H28" s="3"/>
      <c r="J28" t="s">
        <v>26</v>
      </c>
    </row>
    <row r="29" spans="1:12" x14ac:dyDescent="0.25">
      <c r="A29" s="68">
        <v>451170</v>
      </c>
      <c r="B29" t="s">
        <v>152</v>
      </c>
      <c r="G29" s="3"/>
      <c r="H29" s="3"/>
      <c r="J29" t="s">
        <v>26</v>
      </c>
    </row>
    <row r="30" spans="1:12" x14ac:dyDescent="0.25">
      <c r="G30" s="3"/>
      <c r="H30" s="3"/>
    </row>
    <row r="31" spans="1:12" x14ac:dyDescent="0.25">
      <c r="A31" s="68" t="s">
        <v>65</v>
      </c>
      <c r="L31" s="87">
        <v>8</v>
      </c>
    </row>
    <row r="32" spans="1:12" x14ac:dyDescent="0.25">
      <c r="A32" s="68">
        <v>452010</v>
      </c>
      <c r="B32" t="s">
        <v>66</v>
      </c>
      <c r="J32" t="s">
        <v>26</v>
      </c>
    </row>
    <row r="33" spans="1:12" x14ac:dyDescent="0.25">
      <c r="A33" s="68" t="s">
        <v>242</v>
      </c>
      <c r="B33" t="s">
        <v>67</v>
      </c>
      <c r="J33" t="s">
        <v>26</v>
      </c>
    </row>
    <row r="34" spans="1:12" x14ac:dyDescent="0.25">
      <c r="B34" t="s">
        <v>68</v>
      </c>
      <c r="J34" s="52" t="s">
        <v>26</v>
      </c>
    </row>
    <row r="35" spans="1:12" x14ac:dyDescent="0.25">
      <c r="A35" s="68">
        <v>452150</v>
      </c>
      <c r="B35" t="s">
        <v>69</v>
      </c>
    </row>
    <row r="37" spans="1:12" x14ac:dyDescent="0.25">
      <c r="A37" s="68" t="s">
        <v>233</v>
      </c>
    </row>
    <row r="38" spans="1:12" x14ac:dyDescent="0.25">
      <c r="A38" s="68">
        <v>454010</v>
      </c>
      <c r="B38" t="s">
        <v>235</v>
      </c>
      <c r="J38" t="s">
        <v>26</v>
      </c>
      <c r="L38" s="87">
        <v>9</v>
      </c>
    </row>
    <row r="39" spans="1:12" x14ac:dyDescent="0.25">
      <c r="A39" s="68" t="s">
        <v>242</v>
      </c>
      <c r="B39" t="s">
        <v>236</v>
      </c>
      <c r="J39" t="s">
        <v>26</v>
      </c>
    </row>
    <row r="40" spans="1:12" x14ac:dyDescent="0.25">
      <c r="A40" s="68">
        <v>454100</v>
      </c>
      <c r="B40" t="s">
        <v>237</v>
      </c>
      <c r="J40" t="s">
        <v>26</v>
      </c>
    </row>
    <row r="43" spans="1:12" x14ac:dyDescent="0.25">
      <c r="A43" s="68" t="s">
        <v>299</v>
      </c>
      <c r="L43" s="87">
        <v>10</v>
      </c>
    </row>
    <row r="44" spans="1:12" x14ac:dyDescent="0.25">
      <c r="B44" t="s">
        <v>8</v>
      </c>
      <c r="J44" t="s">
        <v>26</v>
      </c>
    </row>
    <row r="45" spans="1:12" x14ac:dyDescent="0.25">
      <c r="A45" s="69"/>
      <c r="J45" s="47"/>
    </row>
    <row r="46" spans="1:12" x14ac:dyDescent="0.25">
      <c r="H46" s="2" t="s">
        <v>249</v>
      </c>
      <c r="J46" t="e">
        <f>SUM(J4:J45)</f>
        <v>#VALUE!</v>
      </c>
    </row>
    <row r="47" spans="1:12" x14ac:dyDescent="0.25">
      <c r="A47" s="69"/>
    </row>
    <row r="48" spans="1:12" ht="13" x14ac:dyDescent="0.3">
      <c r="B48" s="11" t="s">
        <v>247</v>
      </c>
      <c r="C48" s="51"/>
    </row>
    <row r="49" spans="1:12" ht="13" x14ac:dyDescent="0.3">
      <c r="A49" s="70">
        <v>800012</v>
      </c>
      <c r="B49" s="64" t="s">
        <v>240</v>
      </c>
      <c r="C49" s="86"/>
      <c r="I49" s="12"/>
      <c r="J49" t="s">
        <v>248</v>
      </c>
      <c r="L49" s="87">
        <v>11</v>
      </c>
    </row>
    <row r="50" spans="1:12" x14ac:dyDescent="0.25">
      <c r="A50" s="70">
        <v>800013</v>
      </c>
      <c r="B50" s="64" t="s">
        <v>241</v>
      </c>
      <c r="C50" s="86"/>
      <c r="J50" t="s">
        <v>248</v>
      </c>
    </row>
    <row r="51" spans="1:12" x14ac:dyDescent="0.25">
      <c r="A51" s="70">
        <v>851010</v>
      </c>
      <c r="B51" t="s">
        <v>239</v>
      </c>
      <c r="J51" t="s">
        <v>248</v>
      </c>
    </row>
    <row r="52" spans="1:12" x14ac:dyDescent="0.25">
      <c r="A52" s="70">
        <v>860020</v>
      </c>
      <c r="B52" t="s">
        <v>9</v>
      </c>
      <c r="J52" t="s">
        <v>248</v>
      </c>
    </row>
    <row r="53" spans="1:12" x14ac:dyDescent="0.25">
      <c r="A53" s="70">
        <v>860040</v>
      </c>
      <c r="B53" t="s">
        <v>10</v>
      </c>
    </row>
    <row r="54" spans="1:12" x14ac:dyDescent="0.25">
      <c r="A54" s="70">
        <v>890010</v>
      </c>
      <c r="B54" s="64" t="s">
        <v>71</v>
      </c>
      <c r="C54" s="86"/>
      <c r="J54" t="s">
        <v>248</v>
      </c>
    </row>
    <row r="55" spans="1:12" ht="13" x14ac:dyDescent="0.3">
      <c r="A55" s="70">
        <v>890020</v>
      </c>
      <c r="B55" s="64" t="s">
        <v>70</v>
      </c>
      <c r="C55" s="86"/>
      <c r="I55" s="12"/>
      <c r="J55" t="s">
        <v>248</v>
      </c>
    </row>
    <row r="56" spans="1:12" ht="13" x14ac:dyDescent="0.3">
      <c r="A56" s="69"/>
      <c r="I56" s="12"/>
    </row>
    <row r="57" spans="1:12" x14ac:dyDescent="0.25">
      <c r="J57" s="47"/>
    </row>
    <row r="58" spans="1:12" x14ac:dyDescent="0.25">
      <c r="H58" s="2" t="s">
        <v>250</v>
      </c>
      <c r="J58">
        <f>SUM(J49:J57)</f>
        <v>0</v>
      </c>
    </row>
    <row r="60" spans="1:12" x14ac:dyDescent="0.25">
      <c r="D60" s="13"/>
      <c r="E60" s="13"/>
      <c r="F60" s="13"/>
    </row>
  </sheetData>
  <mergeCells count="1">
    <mergeCell ref="D9:E9"/>
  </mergeCells>
  <pageMargins left="0.75" right="0.75" top="1" bottom="1" header="0.5" footer="0.5"/>
  <pageSetup paperSize="9" scale="72" firstPageNumber="14" orientation="portrait" useFirstPageNumber="1" r:id="rId1"/>
  <headerFooter alignWithMargins="0">
    <oddHeader>&amp;C&amp;F &amp;A</oddHeader>
    <oddFooter>&amp;R&amp;P</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97"/>
  <sheetViews>
    <sheetView tabSelected="1" topLeftCell="A111" zoomScale="75" workbookViewId="0">
      <selection activeCell="F130" sqref="F130"/>
    </sheetView>
  </sheetViews>
  <sheetFormatPr defaultColWidth="9.1796875" defaultRowHeight="12.5" x14ac:dyDescent="0.25"/>
  <cols>
    <col min="1" max="1" width="10.54296875" style="139" customWidth="1"/>
    <col min="2" max="2" width="1.453125" style="138" customWidth="1"/>
    <col min="3" max="3" width="31.81640625" style="153" customWidth="1"/>
    <col min="4" max="4" width="7.26953125" style="154" customWidth="1"/>
    <col min="5" max="5" width="1.54296875" style="153" customWidth="1"/>
    <col min="6" max="6" width="95.81640625" style="153" customWidth="1"/>
    <col min="7" max="7" width="9" style="153" customWidth="1"/>
    <col min="8" max="16384" width="9.1796875" style="153"/>
  </cols>
  <sheetData>
    <row r="1" spans="1:6" ht="25" x14ac:dyDescent="0.5">
      <c r="C1" s="65" t="s">
        <v>11</v>
      </c>
      <c r="D1" s="140"/>
    </row>
    <row r="2" spans="1:6" ht="15.5" x14ac:dyDescent="0.35">
      <c r="C2" s="141"/>
    </row>
    <row r="3" spans="1:6" s="144" customFormat="1" ht="13" x14ac:dyDescent="0.3">
      <c r="A3" s="142">
        <v>400</v>
      </c>
      <c r="B3" s="142"/>
      <c r="C3" s="66" t="s">
        <v>304</v>
      </c>
      <c r="D3" s="143"/>
      <c r="F3" s="144" t="s">
        <v>208</v>
      </c>
    </row>
    <row r="4" spans="1:6" s="155" customFormat="1" x14ac:dyDescent="0.25">
      <c r="A4" s="142">
        <v>400010</v>
      </c>
      <c r="B4" s="145"/>
      <c r="C4" s="155" t="s">
        <v>305</v>
      </c>
      <c r="D4" s="156"/>
      <c r="F4" s="155" t="s">
        <v>306</v>
      </c>
    </row>
    <row r="5" spans="1:6" s="155" customFormat="1" x14ac:dyDescent="0.25">
      <c r="A5" s="142">
        <f>A4+10</f>
        <v>400020</v>
      </c>
      <c r="B5" s="145"/>
      <c r="C5" s="155" t="s">
        <v>307</v>
      </c>
      <c r="D5" s="156"/>
      <c r="F5" s="155" t="s">
        <v>209</v>
      </c>
    </row>
    <row r="6" spans="1:6" s="155" customFormat="1" x14ac:dyDescent="0.25">
      <c r="A6" s="142">
        <f>A5+10</f>
        <v>400030</v>
      </c>
      <c r="B6" s="145"/>
      <c r="C6" s="155" t="s">
        <v>308</v>
      </c>
      <c r="D6" s="156"/>
      <c r="F6" s="155" t="s">
        <v>209</v>
      </c>
    </row>
    <row r="7" spans="1:6" s="155" customFormat="1" x14ac:dyDescent="0.25">
      <c r="A7" s="142"/>
      <c r="B7" s="145"/>
      <c r="D7" s="156"/>
    </row>
    <row r="8" spans="1:6" s="155" customFormat="1" x14ac:dyDescent="0.25">
      <c r="A8" s="142">
        <v>401010</v>
      </c>
      <c r="B8" s="145"/>
      <c r="C8" s="155" t="s">
        <v>309</v>
      </c>
      <c r="D8" s="156"/>
      <c r="F8" s="155" t="s">
        <v>310</v>
      </c>
    </row>
    <row r="9" spans="1:6" s="155" customFormat="1" x14ac:dyDescent="0.25">
      <c r="A9" s="142">
        <f>A8+10</f>
        <v>401020</v>
      </c>
      <c r="B9" s="145"/>
      <c r="C9" s="155" t="s">
        <v>311</v>
      </c>
      <c r="D9" s="156"/>
      <c r="F9" s="155" t="s">
        <v>310</v>
      </c>
    </row>
    <row r="10" spans="1:6" s="155" customFormat="1" x14ac:dyDescent="0.25">
      <c r="A10" s="142">
        <f>A9+10</f>
        <v>401030</v>
      </c>
      <c r="B10" s="145"/>
      <c r="C10" s="155" t="s">
        <v>312</v>
      </c>
      <c r="D10" s="156"/>
      <c r="F10" s="155" t="s">
        <v>310</v>
      </c>
    </row>
    <row r="11" spans="1:6" s="155" customFormat="1" x14ac:dyDescent="0.25">
      <c r="A11" s="142"/>
      <c r="B11" s="145"/>
      <c r="D11" s="156"/>
    </row>
    <row r="12" spans="1:6" s="155" customFormat="1" x14ac:dyDescent="0.25">
      <c r="A12" s="142">
        <v>402010</v>
      </c>
      <c r="B12" s="145"/>
      <c r="C12" s="155" t="s">
        <v>313</v>
      </c>
      <c r="D12" s="156"/>
      <c r="F12" s="155" t="s">
        <v>210</v>
      </c>
    </row>
    <row r="13" spans="1:6" s="155" customFormat="1" x14ac:dyDescent="0.25">
      <c r="A13" s="142">
        <f>A12+10</f>
        <v>402020</v>
      </c>
      <c r="B13" s="145"/>
      <c r="C13" s="155" t="s">
        <v>314</v>
      </c>
      <c r="D13" s="156"/>
      <c r="F13" s="155" t="s">
        <v>210</v>
      </c>
    </row>
    <row r="14" spans="1:6" s="155" customFormat="1" x14ac:dyDescent="0.25">
      <c r="A14" s="142">
        <f>A13+10</f>
        <v>402030</v>
      </c>
      <c r="B14" s="145"/>
      <c r="C14" s="155" t="s">
        <v>315</v>
      </c>
      <c r="D14" s="156"/>
      <c r="F14" s="155" t="s">
        <v>210</v>
      </c>
    </row>
    <row r="15" spans="1:6" s="155" customFormat="1" x14ac:dyDescent="0.25">
      <c r="A15" s="142"/>
      <c r="B15" s="145"/>
      <c r="D15" s="156"/>
    </row>
    <row r="16" spans="1:6" s="144" customFormat="1" ht="26" x14ac:dyDescent="0.3">
      <c r="A16" s="142">
        <v>403</v>
      </c>
      <c r="B16" s="142"/>
      <c r="C16" s="66" t="s">
        <v>316</v>
      </c>
      <c r="D16" s="143"/>
      <c r="F16" s="146" t="s">
        <v>211</v>
      </c>
    </row>
    <row r="17" spans="1:6" s="155" customFormat="1" x14ac:dyDescent="0.25">
      <c r="A17" s="142">
        <v>403010</v>
      </c>
      <c r="B17" s="145"/>
      <c r="C17" s="155" t="s">
        <v>317</v>
      </c>
      <c r="D17" s="156" t="s">
        <v>303</v>
      </c>
      <c r="F17" s="155" t="s">
        <v>212</v>
      </c>
    </row>
    <row r="18" spans="1:6" s="155" customFormat="1" x14ac:dyDescent="0.25">
      <c r="A18" s="142">
        <f>A17+10</f>
        <v>403020</v>
      </c>
      <c r="B18" s="145"/>
      <c r="C18" s="155" t="s">
        <v>318</v>
      </c>
      <c r="D18" s="156" t="s">
        <v>303</v>
      </c>
      <c r="F18" s="155" t="s">
        <v>213</v>
      </c>
    </row>
    <row r="19" spans="1:6" s="155" customFormat="1" x14ac:dyDescent="0.25">
      <c r="A19" s="142">
        <f>A18+10</f>
        <v>403030</v>
      </c>
      <c r="B19" s="145"/>
      <c r="C19" s="155" t="s">
        <v>319</v>
      </c>
      <c r="D19" s="156" t="s">
        <v>303</v>
      </c>
      <c r="F19" s="155" t="s">
        <v>213</v>
      </c>
    </row>
    <row r="20" spans="1:6" s="155" customFormat="1" x14ac:dyDescent="0.25">
      <c r="A20" s="142"/>
      <c r="B20" s="145"/>
      <c r="D20" s="156"/>
    </row>
    <row r="21" spans="1:6" s="155" customFormat="1" x14ac:dyDescent="0.25">
      <c r="A21" s="142">
        <v>404010</v>
      </c>
      <c r="B21" s="145"/>
      <c r="C21" s="155" t="s">
        <v>309</v>
      </c>
      <c r="D21" s="156" t="s">
        <v>303</v>
      </c>
      <c r="F21" s="155" t="s">
        <v>214</v>
      </c>
    </row>
    <row r="22" spans="1:6" s="155" customFormat="1" x14ac:dyDescent="0.25">
      <c r="A22" s="142">
        <f>A21+10</f>
        <v>404020</v>
      </c>
      <c r="B22" s="145"/>
      <c r="C22" s="155" t="s">
        <v>311</v>
      </c>
      <c r="D22" s="156" t="s">
        <v>303</v>
      </c>
      <c r="F22" s="155" t="s">
        <v>214</v>
      </c>
    </row>
    <row r="23" spans="1:6" s="155" customFormat="1" x14ac:dyDescent="0.25">
      <c r="A23" s="142">
        <f>A22+10</f>
        <v>404030</v>
      </c>
      <c r="B23" s="145"/>
      <c r="C23" s="155" t="s">
        <v>312</v>
      </c>
      <c r="D23" s="156" t="s">
        <v>303</v>
      </c>
      <c r="F23" s="155" t="s">
        <v>214</v>
      </c>
    </row>
    <row r="24" spans="1:6" s="155" customFormat="1" x14ac:dyDescent="0.25">
      <c r="A24" s="142"/>
      <c r="B24" s="145"/>
      <c r="D24" s="156"/>
    </row>
    <row r="25" spans="1:6" s="155" customFormat="1" x14ac:dyDescent="0.25">
      <c r="A25" s="142">
        <v>405010</v>
      </c>
      <c r="B25" s="145"/>
      <c r="C25" s="155" t="s">
        <v>313</v>
      </c>
      <c r="D25" s="156" t="s">
        <v>303</v>
      </c>
      <c r="F25" s="155" t="s">
        <v>215</v>
      </c>
    </row>
    <row r="26" spans="1:6" s="155" customFormat="1" x14ac:dyDescent="0.25">
      <c r="A26" s="142">
        <f>A25+10</f>
        <v>405020</v>
      </c>
      <c r="B26" s="145"/>
      <c r="C26" s="155" t="s">
        <v>314</v>
      </c>
      <c r="D26" s="156" t="s">
        <v>303</v>
      </c>
      <c r="F26" s="155" t="s">
        <v>215</v>
      </c>
    </row>
    <row r="27" spans="1:6" s="155" customFormat="1" x14ac:dyDescent="0.25">
      <c r="A27" s="142">
        <f>A26+10</f>
        <v>405030</v>
      </c>
      <c r="B27" s="145"/>
      <c r="C27" s="155" t="s">
        <v>315</v>
      </c>
      <c r="D27" s="156" t="s">
        <v>303</v>
      </c>
      <c r="F27" s="155" t="s">
        <v>215</v>
      </c>
    </row>
    <row r="28" spans="1:6" s="155" customFormat="1" x14ac:dyDescent="0.25">
      <c r="A28" s="142"/>
      <c r="B28" s="145"/>
      <c r="D28" s="156"/>
    </row>
    <row r="29" spans="1:6" s="144" customFormat="1" ht="27.75" customHeight="1" x14ac:dyDescent="0.3">
      <c r="A29" s="142">
        <v>406</v>
      </c>
      <c r="B29" s="142"/>
      <c r="C29" s="66" t="s">
        <v>320</v>
      </c>
      <c r="D29" s="143"/>
      <c r="F29" s="146" t="s">
        <v>216</v>
      </c>
    </row>
    <row r="30" spans="1:6" s="155" customFormat="1" x14ac:dyDescent="0.25">
      <c r="A30" s="142">
        <v>406010</v>
      </c>
      <c r="B30" s="145"/>
      <c r="C30" s="155" t="s">
        <v>321</v>
      </c>
      <c r="D30" s="156" t="s">
        <v>303</v>
      </c>
      <c r="F30" s="155" t="s">
        <v>322</v>
      </c>
    </row>
    <row r="31" spans="1:6" s="155" customFormat="1" x14ac:dyDescent="0.25">
      <c r="A31" s="142">
        <f>A30+10</f>
        <v>406020</v>
      </c>
      <c r="B31" s="145"/>
      <c r="C31" s="155" t="s">
        <v>323</v>
      </c>
      <c r="D31" s="156" t="s">
        <v>303</v>
      </c>
      <c r="F31" s="155" t="s">
        <v>322</v>
      </c>
    </row>
    <row r="32" spans="1:6" s="155" customFormat="1" x14ac:dyDescent="0.25">
      <c r="A32" s="142">
        <f>A31+10</f>
        <v>406030</v>
      </c>
      <c r="B32" s="145"/>
      <c r="C32" s="155" t="s">
        <v>324</v>
      </c>
      <c r="D32" s="156" t="s">
        <v>303</v>
      </c>
      <c r="F32" s="155" t="s">
        <v>322</v>
      </c>
    </row>
    <row r="33" spans="1:6" s="155" customFormat="1" x14ac:dyDescent="0.25">
      <c r="A33" s="142"/>
      <c r="B33" s="145"/>
      <c r="D33" s="156"/>
    </row>
    <row r="34" spans="1:6" s="155" customFormat="1" ht="25" x14ac:dyDescent="0.5">
      <c r="A34" s="142"/>
      <c r="B34" s="145"/>
      <c r="C34" s="65" t="s">
        <v>12</v>
      </c>
      <c r="D34" s="156"/>
    </row>
    <row r="35" spans="1:6" s="144" customFormat="1" ht="13" x14ac:dyDescent="0.3">
      <c r="A35" s="142">
        <v>409</v>
      </c>
      <c r="B35" s="142"/>
      <c r="C35" s="66" t="s">
        <v>325</v>
      </c>
      <c r="D35" s="143"/>
      <c r="F35" s="144" t="s">
        <v>218</v>
      </c>
    </row>
    <row r="36" spans="1:6" s="155" customFormat="1" x14ac:dyDescent="0.25">
      <c r="A36" s="142">
        <v>409010</v>
      </c>
      <c r="B36" s="145"/>
      <c r="C36" s="155" t="s">
        <v>325</v>
      </c>
      <c r="D36" s="156" t="s">
        <v>303</v>
      </c>
      <c r="F36" s="155" t="s">
        <v>326</v>
      </c>
    </row>
    <row r="37" spans="1:6" s="155" customFormat="1" x14ac:dyDescent="0.25">
      <c r="A37" s="142">
        <f t="shared" ref="A37:A50" si="0">A36+10</f>
        <v>409020</v>
      </c>
      <c r="B37" s="145"/>
      <c r="C37" s="155" t="s">
        <v>327</v>
      </c>
      <c r="D37" s="156" t="s">
        <v>303</v>
      </c>
      <c r="F37" s="155" t="s">
        <v>219</v>
      </c>
    </row>
    <row r="38" spans="1:6" s="155" customFormat="1" x14ac:dyDescent="0.25">
      <c r="A38" s="142">
        <f t="shared" si="0"/>
        <v>409030</v>
      </c>
      <c r="B38" s="145"/>
      <c r="C38" s="155" t="s">
        <v>328</v>
      </c>
      <c r="D38" s="156" t="s">
        <v>303</v>
      </c>
      <c r="F38" s="155" t="s">
        <v>220</v>
      </c>
    </row>
    <row r="39" spans="1:6" s="155" customFormat="1" x14ac:dyDescent="0.25">
      <c r="A39" s="142">
        <f t="shared" si="0"/>
        <v>409040</v>
      </c>
      <c r="B39" s="145"/>
      <c r="C39" s="155" t="s">
        <v>329</v>
      </c>
      <c r="D39" s="156" t="s">
        <v>303</v>
      </c>
      <c r="F39" s="155" t="s">
        <v>221</v>
      </c>
    </row>
    <row r="40" spans="1:6" s="155" customFormat="1" x14ac:dyDescent="0.25">
      <c r="A40" s="142">
        <f t="shared" si="0"/>
        <v>409050</v>
      </c>
      <c r="B40" s="145"/>
      <c r="C40" s="155" t="s">
        <v>330</v>
      </c>
      <c r="D40" s="156" t="s">
        <v>303</v>
      </c>
      <c r="F40" s="155" t="s">
        <v>222</v>
      </c>
    </row>
    <row r="41" spans="1:6" s="155" customFormat="1" x14ac:dyDescent="0.25">
      <c r="A41" s="142">
        <f t="shared" si="0"/>
        <v>409060</v>
      </c>
      <c r="B41" s="145"/>
      <c r="C41" s="155" t="s">
        <v>331</v>
      </c>
      <c r="D41" s="156" t="s">
        <v>303</v>
      </c>
      <c r="F41" s="155" t="s">
        <v>223</v>
      </c>
    </row>
    <row r="42" spans="1:6" s="155" customFormat="1" x14ac:dyDescent="0.25">
      <c r="A42" s="142">
        <f t="shared" si="0"/>
        <v>409070</v>
      </c>
      <c r="B42" s="145"/>
      <c r="C42" s="155" t="s">
        <v>332</v>
      </c>
      <c r="D42" s="156" t="s">
        <v>303</v>
      </c>
      <c r="F42" s="155" t="s">
        <v>224</v>
      </c>
    </row>
    <row r="43" spans="1:6" s="155" customFormat="1" x14ac:dyDescent="0.25">
      <c r="A43" s="142">
        <f t="shared" si="0"/>
        <v>409080</v>
      </c>
      <c r="B43" s="145"/>
      <c r="C43" s="155" t="s">
        <v>333</v>
      </c>
      <c r="D43" s="156" t="s">
        <v>303</v>
      </c>
      <c r="F43" s="155" t="s">
        <v>225</v>
      </c>
    </row>
    <row r="44" spans="1:6" s="155" customFormat="1" x14ac:dyDescent="0.25">
      <c r="A44" s="142">
        <f t="shared" si="0"/>
        <v>409090</v>
      </c>
      <c r="B44" s="145"/>
      <c r="C44" s="155" t="s">
        <v>334</v>
      </c>
      <c r="D44" s="156" t="s">
        <v>303</v>
      </c>
      <c r="F44" s="155" t="s">
        <v>226</v>
      </c>
    </row>
    <row r="45" spans="1:6" s="155" customFormat="1" x14ac:dyDescent="0.25">
      <c r="A45" s="142">
        <f t="shared" si="0"/>
        <v>409100</v>
      </c>
      <c r="B45" s="145"/>
      <c r="C45" s="155" t="s">
        <v>335</v>
      </c>
      <c r="D45" s="156" t="s">
        <v>303</v>
      </c>
      <c r="F45" s="155" t="s">
        <v>227</v>
      </c>
    </row>
    <row r="46" spans="1:6" s="155" customFormat="1" x14ac:dyDescent="0.25">
      <c r="A46" s="142">
        <f t="shared" si="0"/>
        <v>409110</v>
      </c>
      <c r="B46" s="145"/>
      <c r="C46" s="155" t="s">
        <v>336</v>
      </c>
      <c r="D46" s="156" t="s">
        <v>303</v>
      </c>
      <c r="F46" s="155" t="s">
        <v>228</v>
      </c>
    </row>
    <row r="47" spans="1:6" s="155" customFormat="1" x14ac:dyDescent="0.25">
      <c r="A47" s="142">
        <f t="shared" si="0"/>
        <v>409120</v>
      </c>
      <c r="B47" s="145"/>
      <c r="C47" s="155" t="s">
        <v>337</v>
      </c>
      <c r="D47" s="156" t="s">
        <v>303</v>
      </c>
      <c r="F47" s="155" t="s">
        <v>229</v>
      </c>
    </row>
    <row r="48" spans="1:6" s="155" customFormat="1" x14ac:dyDescent="0.25">
      <c r="A48" s="142">
        <f t="shared" si="0"/>
        <v>409130</v>
      </c>
      <c r="B48" s="145"/>
      <c r="C48" s="155" t="s">
        <v>338</v>
      </c>
      <c r="D48" s="156" t="s">
        <v>303</v>
      </c>
      <c r="F48" s="155" t="s">
        <v>339</v>
      </c>
    </row>
    <row r="49" spans="1:6" s="155" customFormat="1" x14ac:dyDescent="0.25">
      <c r="A49" s="142">
        <f t="shared" si="0"/>
        <v>409140</v>
      </c>
      <c r="B49" s="145"/>
      <c r="C49" s="155" t="s">
        <v>340</v>
      </c>
      <c r="D49" s="156" t="s">
        <v>303</v>
      </c>
      <c r="F49" s="155" t="s">
        <v>230</v>
      </c>
    </row>
    <row r="50" spans="1:6" s="155" customFormat="1" x14ac:dyDescent="0.25">
      <c r="A50" s="142">
        <f t="shared" si="0"/>
        <v>409150</v>
      </c>
      <c r="B50" s="145"/>
      <c r="C50" s="155" t="s">
        <v>341</v>
      </c>
      <c r="D50" s="156" t="s">
        <v>303</v>
      </c>
      <c r="F50" s="155" t="s">
        <v>230</v>
      </c>
    </row>
    <row r="51" spans="1:6" s="155" customFormat="1" x14ac:dyDescent="0.25">
      <c r="A51" s="142"/>
      <c r="B51" s="145"/>
      <c r="D51" s="156"/>
    </row>
    <row r="52" spans="1:6" s="155" customFormat="1" ht="39" x14ac:dyDescent="0.3">
      <c r="A52" s="142">
        <v>421</v>
      </c>
      <c r="B52" s="142"/>
      <c r="C52" s="66" t="s">
        <v>75</v>
      </c>
      <c r="D52" s="143"/>
      <c r="F52" s="148" t="s">
        <v>342</v>
      </c>
    </row>
    <row r="53" spans="1:6" s="155" customFormat="1" x14ac:dyDescent="0.25">
      <c r="A53" s="142">
        <v>421010</v>
      </c>
      <c r="B53" s="145"/>
      <c r="C53" s="155" t="s">
        <v>343</v>
      </c>
      <c r="D53" s="156" t="s">
        <v>303</v>
      </c>
      <c r="F53" s="155" t="s">
        <v>76</v>
      </c>
    </row>
    <row r="54" spans="1:6" s="155" customFormat="1" x14ac:dyDescent="0.25">
      <c r="A54" s="142">
        <f t="shared" ref="A54:A69" si="1">A53+10</f>
        <v>421020</v>
      </c>
      <c r="B54" s="145"/>
      <c r="C54" s="155" t="s">
        <v>344</v>
      </c>
      <c r="D54" s="156" t="s">
        <v>303</v>
      </c>
      <c r="F54" s="155" t="s">
        <v>77</v>
      </c>
    </row>
    <row r="55" spans="1:6" s="155" customFormat="1" x14ac:dyDescent="0.25">
      <c r="A55" s="142">
        <f>A54+10</f>
        <v>421030</v>
      </c>
      <c r="B55" s="145"/>
      <c r="C55" s="155" t="s">
        <v>345</v>
      </c>
      <c r="D55" s="156" t="s">
        <v>303</v>
      </c>
      <c r="F55" s="155" t="s">
        <v>81</v>
      </c>
    </row>
    <row r="56" spans="1:6" s="155" customFormat="1" x14ac:dyDescent="0.25">
      <c r="A56" s="142">
        <f>A55+1</f>
        <v>421031</v>
      </c>
      <c r="B56" s="145"/>
      <c r="C56" s="155" t="s">
        <v>346</v>
      </c>
      <c r="D56" s="156" t="s">
        <v>303</v>
      </c>
      <c r="F56" s="155" t="s">
        <v>80</v>
      </c>
    </row>
    <row r="57" spans="1:6" s="155" customFormat="1" x14ac:dyDescent="0.25">
      <c r="A57" s="142">
        <f>A55+10</f>
        <v>421040</v>
      </c>
      <c r="B57" s="145"/>
      <c r="C57" s="155" t="s">
        <v>347</v>
      </c>
      <c r="D57" s="156" t="s">
        <v>303</v>
      </c>
      <c r="F57" s="155" t="s">
        <v>82</v>
      </c>
    </row>
    <row r="58" spans="1:6" s="155" customFormat="1" x14ac:dyDescent="0.25">
      <c r="A58" s="142">
        <f>A57+10</f>
        <v>421050</v>
      </c>
      <c r="B58" s="145"/>
      <c r="C58" s="155" t="s">
        <v>301</v>
      </c>
      <c r="D58" s="156" t="s">
        <v>303</v>
      </c>
      <c r="F58" s="155" t="s">
        <v>78</v>
      </c>
    </row>
    <row r="59" spans="1:6" s="155" customFormat="1" x14ac:dyDescent="0.25">
      <c r="A59" s="142">
        <f>A58+1</f>
        <v>421051</v>
      </c>
      <c r="B59" s="145"/>
      <c r="C59" s="155" t="s">
        <v>348</v>
      </c>
      <c r="D59" s="156" t="s">
        <v>303</v>
      </c>
      <c r="F59" s="155" t="s">
        <v>79</v>
      </c>
    </row>
    <row r="60" spans="1:6" s="155" customFormat="1" x14ac:dyDescent="0.25">
      <c r="A60" s="142">
        <f>A58+10</f>
        <v>421060</v>
      </c>
      <c r="B60" s="145"/>
      <c r="C60" s="155" t="s">
        <v>302</v>
      </c>
      <c r="D60" s="156" t="s">
        <v>303</v>
      </c>
      <c r="F60" s="155" t="s">
        <v>83</v>
      </c>
    </row>
    <row r="61" spans="1:6" s="155" customFormat="1" x14ac:dyDescent="0.25">
      <c r="A61" s="142">
        <f>A60+10</f>
        <v>421070</v>
      </c>
      <c r="B61" s="145"/>
      <c r="C61" s="155" t="s">
        <v>349</v>
      </c>
      <c r="D61" s="156" t="s">
        <v>303</v>
      </c>
      <c r="F61" s="155" t="s">
        <v>84</v>
      </c>
    </row>
    <row r="62" spans="1:6" s="155" customFormat="1" x14ac:dyDescent="0.25">
      <c r="A62" s="142">
        <f t="shared" si="1"/>
        <v>421080</v>
      </c>
      <c r="B62" s="145"/>
      <c r="D62" s="156" t="s">
        <v>303</v>
      </c>
    </row>
    <row r="63" spans="1:6" s="155" customFormat="1" x14ac:dyDescent="0.25">
      <c r="A63" s="142">
        <f t="shared" si="1"/>
        <v>421090</v>
      </c>
      <c r="B63" s="145"/>
      <c r="D63" s="156" t="s">
        <v>303</v>
      </c>
    </row>
    <row r="64" spans="1:6" s="155" customFormat="1" x14ac:dyDescent="0.25">
      <c r="A64" s="142">
        <f t="shared" si="1"/>
        <v>421100</v>
      </c>
      <c r="B64" s="145"/>
      <c r="C64" s="155" t="s">
        <v>350</v>
      </c>
      <c r="D64" s="156" t="s">
        <v>303</v>
      </c>
      <c r="F64" s="155" t="s">
        <v>85</v>
      </c>
    </row>
    <row r="65" spans="1:6" s="155" customFormat="1" x14ac:dyDescent="0.25">
      <c r="A65" s="142">
        <f t="shared" si="1"/>
        <v>421110</v>
      </c>
      <c r="B65" s="145"/>
      <c r="C65" s="155" t="s">
        <v>351</v>
      </c>
      <c r="D65" s="156" t="s">
        <v>303</v>
      </c>
      <c r="F65" s="155" t="s">
        <v>86</v>
      </c>
    </row>
    <row r="66" spans="1:6" s="155" customFormat="1" x14ac:dyDescent="0.25">
      <c r="A66" s="142">
        <f t="shared" si="1"/>
        <v>421120</v>
      </c>
      <c r="B66" s="145"/>
      <c r="C66" s="155" t="s">
        <v>352</v>
      </c>
      <c r="D66" s="156" t="s">
        <v>303</v>
      </c>
      <c r="F66" s="155" t="s">
        <v>231</v>
      </c>
    </row>
    <row r="67" spans="1:6" s="155" customFormat="1" x14ac:dyDescent="0.25">
      <c r="A67" s="142">
        <f t="shared" si="1"/>
        <v>421130</v>
      </c>
      <c r="B67" s="145"/>
      <c r="C67" s="155" t="s">
        <v>353</v>
      </c>
      <c r="D67" s="156" t="s">
        <v>303</v>
      </c>
      <c r="F67" s="155" t="s">
        <v>87</v>
      </c>
    </row>
    <row r="68" spans="1:6" s="155" customFormat="1" x14ac:dyDescent="0.25">
      <c r="A68" s="142">
        <f t="shared" si="1"/>
        <v>421140</v>
      </c>
      <c r="B68" s="145"/>
      <c r="C68" s="155" t="s">
        <v>354</v>
      </c>
      <c r="D68" s="156" t="s">
        <v>303</v>
      </c>
      <c r="F68" s="155" t="s">
        <v>87</v>
      </c>
    </row>
    <row r="69" spans="1:6" s="155" customFormat="1" x14ac:dyDescent="0.25">
      <c r="A69" s="142">
        <f t="shared" si="1"/>
        <v>421150</v>
      </c>
      <c r="B69" s="145"/>
      <c r="C69" s="155" t="s">
        <v>355</v>
      </c>
      <c r="D69" s="156" t="s">
        <v>303</v>
      </c>
      <c r="F69" s="155" t="s">
        <v>87</v>
      </c>
    </row>
    <row r="70" spans="1:6" s="155" customFormat="1" x14ac:dyDescent="0.25">
      <c r="A70" s="142"/>
      <c r="B70" s="145"/>
      <c r="D70" s="156"/>
    </row>
    <row r="71" spans="1:6" s="155" customFormat="1" ht="13" x14ac:dyDescent="0.3">
      <c r="A71" s="142">
        <v>451</v>
      </c>
      <c r="B71" s="142"/>
      <c r="C71" s="66" t="s">
        <v>407</v>
      </c>
      <c r="D71" s="143"/>
      <c r="F71" s="66" t="s">
        <v>132</v>
      </c>
    </row>
    <row r="72" spans="1:6" s="155" customFormat="1" x14ac:dyDescent="0.25">
      <c r="A72" s="142">
        <v>451010</v>
      </c>
      <c r="B72" s="145"/>
      <c r="C72" s="155" t="s">
        <v>408</v>
      </c>
      <c r="D72" s="156" t="s">
        <v>303</v>
      </c>
      <c r="F72" s="155" t="s">
        <v>133</v>
      </c>
    </row>
    <row r="73" spans="1:6" s="155" customFormat="1" x14ac:dyDescent="0.25">
      <c r="A73" s="142">
        <f t="shared" ref="A73:A128" si="2">A72+10</f>
        <v>451020</v>
      </c>
      <c r="B73" s="145"/>
      <c r="C73" s="155" t="s">
        <v>409</v>
      </c>
      <c r="D73" s="156" t="s">
        <v>303</v>
      </c>
      <c r="F73" s="155" t="s">
        <v>134</v>
      </c>
    </row>
    <row r="74" spans="1:6" s="155" customFormat="1" x14ac:dyDescent="0.25">
      <c r="A74" s="142">
        <f t="shared" si="2"/>
        <v>451030</v>
      </c>
      <c r="B74" s="145"/>
      <c r="C74" s="155" t="s">
        <v>351</v>
      </c>
      <c r="D74" s="156" t="s">
        <v>303</v>
      </c>
      <c r="F74" s="155" t="s">
        <v>135</v>
      </c>
    </row>
    <row r="75" spans="1:6" s="155" customFormat="1" x14ac:dyDescent="0.25">
      <c r="A75" s="142">
        <f t="shared" si="2"/>
        <v>451040</v>
      </c>
      <c r="B75" s="145"/>
      <c r="C75" s="155" t="s">
        <v>410</v>
      </c>
      <c r="D75" s="156" t="s">
        <v>303</v>
      </c>
      <c r="F75" s="155" t="s">
        <v>136</v>
      </c>
    </row>
    <row r="76" spans="1:6" s="155" customFormat="1" x14ac:dyDescent="0.25">
      <c r="A76" s="142">
        <f t="shared" si="2"/>
        <v>451050</v>
      </c>
      <c r="B76" s="145"/>
      <c r="C76" s="155" t="s">
        <v>411</v>
      </c>
      <c r="D76" s="156" t="s">
        <v>303</v>
      </c>
      <c r="F76" s="155" t="s">
        <v>137</v>
      </c>
    </row>
    <row r="77" spans="1:6" s="155" customFormat="1" x14ac:dyDescent="0.25">
      <c r="A77" s="142">
        <f t="shared" si="2"/>
        <v>451060</v>
      </c>
      <c r="B77" s="145"/>
      <c r="C77" s="155" t="s">
        <v>412</v>
      </c>
      <c r="D77" s="156" t="s">
        <v>303</v>
      </c>
      <c r="F77" s="155" t="s">
        <v>138</v>
      </c>
    </row>
    <row r="78" spans="1:6" s="155" customFormat="1" x14ac:dyDescent="0.25">
      <c r="A78" s="142">
        <f t="shared" si="2"/>
        <v>451070</v>
      </c>
      <c r="B78" s="145"/>
      <c r="C78" s="155" t="s">
        <v>72</v>
      </c>
      <c r="D78" s="156" t="s">
        <v>303</v>
      </c>
      <c r="F78" s="155" t="s">
        <v>139</v>
      </c>
    </row>
    <row r="79" spans="1:6" s="155" customFormat="1" x14ac:dyDescent="0.25">
      <c r="A79" s="142">
        <f t="shared" si="2"/>
        <v>451080</v>
      </c>
      <c r="B79" s="145"/>
      <c r="C79" s="155" t="s">
        <v>413</v>
      </c>
      <c r="D79" s="156" t="s">
        <v>303</v>
      </c>
      <c r="F79" s="155" t="s">
        <v>140</v>
      </c>
    </row>
    <row r="80" spans="1:6" s="155" customFormat="1" x14ac:dyDescent="0.25">
      <c r="A80" s="142">
        <f t="shared" si="2"/>
        <v>451090</v>
      </c>
      <c r="B80" s="145"/>
      <c r="C80" s="155" t="s">
        <v>414</v>
      </c>
      <c r="D80" s="156" t="s">
        <v>303</v>
      </c>
    </row>
    <row r="81" spans="1:6" s="155" customFormat="1" x14ac:dyDescent="0.25">
      <c r="A81" s="142">
        <f t="shared" si="2"/>
        <v>451100</v>
      </c>
      <c r="B81" s="145"/>
      <c r="C81" s="155" t="s">
        <v>415</v>
      </c>
      <c r="D81" s="156" t="s">
        <v>303</v>
      </c>
      <c r="F81" s="155" t="s">
        <v>141</v>
      </c>
    </row>
    <row r="82" spans="1:6" s="155" customFormat="1" x14ac:dyDescent="0.25">
      <c r="A82" s="142">
        <f t="shared" si="2"/>
        <v>451110</v>
      </c>
      <c r="B82" s="145"/>
      <c r="C82" s="155" t="s">
        <v>416</v>
      </c>
      <c r="D82" s="156" t="s">
        <v>303</v>
      </c>
      <c r="F82" s="155" t="s">
        <v>142</v>
      </c>
    </row>
    <row r="83" spans="1:6" s="155" customFormat="1" x14ac:dyDescent="0.25">
      <c r="A83" s="142">
        <f t="shared" si="2"/>
        <v>451120</v>
      </c>
      <c r="B83" s="145"/>
      <c r="C83" s="155" t="s">
        <v>417</v>
      </c>
      <c r="D83" s="156" t="s">
        <v>303</v>
      </c>
    </row>
    <row r="84" spans="1:6" s="155" customFormat="1" x14ac:dyDescent="0.25">
      <c r="A84" s="142">
        <f t="shared" si="2"/>
        <v>451130</v>
      </c>
      <c r="B84" s="145"/>
      <c r="C84" s="155" t="s">
        <v>418</v>
      </c>
      <c r="D84" s="156" t="s">
        <v>303</v>
      </c>
      <c r="F84" s="155" t="s">
        <v>143</v>
      </c>
    </row>
    <row r="85" spans="1:6" s="155" customFormat="1" x14ac:dyDescent="0.25">
      <c r="A85" s="142">
        <f t="shared" si="2"/>
        <v>451140</v>
      </c>
      <c r="B85" s="145"/>
      <c r="C85" s="155" t="s">
        <v>419</v>
      </c>
      <c r="D85" s="156" t="s">
        <v>303</v>
      </c>
      <c r="F85" s="155" t="s">
        <v>144</v>
      </c>
    </row>
    <row r="86" spans="1:6" s="155" customFormat="1" x14ac:dyDescent="0.25">
      <c r="A86" s="142">
        <f t="shared" si="2"/>
        <v>451150</v>
      </c>
      <c r="B86" s="145"/>
      <c r="C86" s="64" t="s">
        <v>420</v>
      </c>
      <c r="D86" s="156" t="s">
        <v>303</v>
      </c>
      <c r="F86" s="155" t="s">
        <v>145</v>
      </c>
    </row>
    <row r="87" spans="1:6" s="155" customFormat="1" x14ac:dyDescent="0.25">
      <c r="A87" s="142">
        <f t="shared" si="2"/>
        <v>451160</v>
      </c>
      <c r="B87" s="145"/>
      <c r="C87" s="155" t="s">
        <v>421</v>
      </c>
      <c r="D87" s="156" t="s">
        <v>303</v>
      </c>
      <c r="F87" s="155" t="s">
        <v>145</v>
      </c>
    </row>
    <row r="88" spans="1:6" s="155" customFormat="1" x14ac:dyDescent="0.25">
      <c r="A88" s="142">
        <f t="shared" si="2"/>
        <v>451170</v>
      </c>
      <c r="B88" s="145"/>
      <c r="C88" s="155" t="s">
        <v>422</v>
      </c>
      <c r="D88" s="156" t="s">
        <v>303</v>
      </c>
      <c r="F88" s="155" t="s">
        <v>145</v>
      </c>
    </row>
    <row r="89" spans="1:6" s="155" customFormat="1" x14ac:dyDescent="0.25">
      <c r="A89" s="142"/>
      <c r="B89" s="145"/>
      <c r="D89" s="156"/>
    </row>
    <row r="90" spans="1:6" s="155" customFormat="1" ht="13" x14ac:dyDescent="0.3">
      <c r="A90" s="142">
        <v>452</v>
      </c>
      <c r="B90" s="142"/>
      <c r="C90" s="66" t="s">
        <v>456</v>
      </c>
      <c r="D90" s="143"/>
      <c r="F90" s="66" t="s">
        <v>423</v>
      </c>
    </row>
    <row r="91" spans="1:6" s="155" customFormat="1" x14ac:dyDescent="0.25">
      <c r="A91" s="142">
        <v>452010</v>
      </c>
      <c r="B91" s="145"/>
      <c r="C91" s="155" t="s">
        <v>217</v>
      </c>
      <c r="D91" s="156" t="s">
        <v>303</v>
      </c>
    </row>
    <row r="92" spans="1:6" s="155" customFormat="1" x14ac:dyDescent="0.25">
      <c r="A92" s="142">
        <f t="shared" si="2"/>
        <v>452020</v>
      </c>
      <c r="B92" s="145"/>
      <c r="C92" s="155" t="s">
        <v>330</v>
      </c>
      <c r="D92" s="156" t="s">
        <v>303</v>
      </c>
    </row>
    <row r="93" spans="1:6" s="155" customFormat="1" x14ac:dyDescent="0.25">
      <c r="A93" s="142">
        <f t="shared" si="2"/>
        <v>452030</v>
      </c>
      <c r="B93" s="145"/>
      <c r="C93" s="155" t="s">
        <v>424</v>
      </c>
      <c r="D93" s="156" t="s">
        <v>303</v>
      </c>
    </row>
    <row r="94" spans="1:6" s="155" customFormat="1" x14ac:dyDescent="0.25">
      <c r="A94" s="142">
        <f t="shared" si="2"/>
        <v>452040</v>
      </c>
      <c r="B94" s="145"/>
      <c r="C94" s="155" t="s">
        <v>425</v>
      </c>
      <c r="D94" s="156" t="s">
        <v>303</v>
      </c>
    </row>
    <row r="95" spans="1:6" s="155" customFormat="1" x14ac:dyDescent="0.25">
      <c r="A95" s="142">
        <f t="shared" si="2"/>
        <v>452050</v>
      </c>
      <c r="B95" s="145"/>
      <c r="C95" s="155" t="s">
        <v>426</v>
      </c>
      <c r="D95" s="156" t="s">
        <v>303</v>
      </c>
    </row>
    <row r="96" spans="1:6" s="155" customFormat="1" x14ac:dyDescent="0.25">
      <c r="A96" s="142">
        <f t="shared" si="2"/>
        <v>452060</v>
      </c>
      <c r="B96" s="145"/>
      <c r="C96" s="155" t="s">
        <v>427</v>
      </c>
      <c r="D96" s="156" t="s">
        <v>303</v>
      </c>
    </row>
    <row r="97" spans="1:6" s="155" customFormat="1" x14ac:dyDescent="0.25">
      <c r="A97" s="142">
        <f t="shared" si="2"/>
        <v>452070</v>
      </c>
      <c r="B97" s="145"/>
      <c r="C97" s="155" t="s">
        <v>300</v>
      </c>
      <c r="D97" s="156" t="s">
        <v>303</v>
      </c>
    </row>
    <row r="98" spans="1:6" s="155" customFormat="1" x14ac:dyDescent="0.25">
      <c r="A98" s="142">
        <f t="shared" si="2"/>
        <v>452080</v>
      </c>
      <c r="B98" s="145"/>
      <c r="C98" s="155" t="s">
        <v>428</v>
      </c>
      <c r="D98" s="156" t="s">
        <v>303</v>
      </c>
    </row>
    <row r="99" spans="1:6" s="155" customFormat="1" x14ac:dyDescent="0.25">
      <c r="A99" s="142">
        <f t="shared" si="2"/>
        <v>452090</v>
      </c>
      <c r="B99" s="145"/>
      <c r="C99" s="155" t="s">
        <v>429</v>
      </c>
      <c r="D99" s="156" t="s">
        <v>303</v>
      </c>
    </row>
    <row r="100" spans="1:6" s="155" customFormat="1" x14ac:dyDescent="0.25">
      <c r="A100" s="142">
        <f t="shared" si="2"/>
        <v>452100</v>
      </c>
      <c r="B100" s="145"/>
      <c r="C100" s="155" t="s">
        <v>430</v>
      </c>
      <c r="D100" s="156" t="s">
        <v>303</v>
      </c>
    </row>
    <row r="101" spans="1:6" s="155" customFormat="1" x14ac:dyDescent="0.25">
      <c r="A101" s="142">
        <f t="shared" si="2"/>
        <v>452110</v>
      </c>
      <c r="B101" s="145"/>
      <c r="C101" s="155" t="s">
        <v>431</v>
      </c>
      <c r="D101" s="156" t="s">
        <v>303</v>
      </c>
    </row>
    <row r="102" spans="1:6" s="155" customFormat="1" x14ac:dyDescent="0.25">
      <c r="A102" s="142">
        <f t="shared" si="2"/>
        <v>452120</v>
      </c>
      <c r="B102" s="145"/>
      <c r="C102" s="155" t="s">
        <v>332</v>
      </c>
      <c r="D102" s="156" t="s">
        <v>303</v>
      </c>
    </row>
    <row r="103" spans="1:6" s="155" customFormat="1" x14ac:dyDescent="0.25">
      <c r="A103" s="142">
        <f t="shared" si="2"/>
        <v>452130</v>
      </c>
      <c r="B103" s="145"/>
      <c r="C103" s="155" t="s">
        <v>432</v>
      </c>
      <c r="D103" s="156" t="s">
        <v>303</v>
      </c>
    </row>
    <row r="104" spans="1:6" s="155" customFormat="1" x14ac:dyDescent="0.25">
      <c r="A104" s="142">
        <f t="shared" si="2"/>
        <v>452140</v>
      </c>
      <c r="B104" s="145"/>
      <c r="C104" s="155" t="s">
        <v>433</v>
      </c>
      <c r="D104" s="156" t="s">
        <v>303</v>
      </c>
    </row>
    <row r="105" spans="1:6" s="155" customFormat="1" x14ac:dyDescent="0.25">
      <c r="A105" s="142">
        <f t="shared" si="2"/>
        <v>452150</v>
      </c>
      <c r="B105" s="145"/>
      <c r="C105" s="155" t="s">
        <v>434</v>
      </c>
      <c r="D105" s="156" t="s">
        <v>303</v>
      </c>
    </row>
    <row r="106" spans="1:6" s="155" customFormat="1" x14ac:dyDescent="0.25">
      <c r="A106" s="142"/>
      <c r="B106" s="145"/>
      <c r="D106" s="156"/>
    </row>
    <row r="107" spans="1:6" s="155" customFormat="1" ht="13" x14ac:dyDescent="0.3">
      <c r="A107" s="142">
        <v>453</v>
      </c>
      <c r="B107" s="142"/>
      <c r="C107" s="66" t="s">
        <v>435</v>
      </c>
      <c r="D107" s="143"/>
      <c r="F107" s="66" t="s">
        <v>436</v>
      </c>
    </row>
    <row r="108" spans="1:6" s="155" customFormat="1" x14ac:dyDescent="0.25">
      <c r="A108" s="142">
        <v>453010</v>
      </c>
      <c r="B108" s="145"/>
      <c r="C108" s="155" t="s">
        <v>217</v>
      </c>
      <c r="D108" s="156" t="s">
        <v>303</v>
      </c>
    </row>
    <row r="109" spans="1:6" s="155" customFormat="1" x14ac:dyDescent="0.25">
      <c r="A109" s="142">
        <f t="shared" si="2"/>
        <v>453020</v>
      </c>
      <c r="B109" s="145"/>
      <c r="C109" s="155" t="s">
        <v>330</v>
      </c>
      <c r="D109" s="156" t="s">
        <v>303</v>
      </c>
    </row>
    <row r="110" spans="1:6" s="155" customFormat="1" x14ac:dyDescent="0.25">
      <c r="A110" s="142">
        <f t="shared" si="2"/>
        <v>453030</v>
      </c>
      <c r="B110" s="145"/>
      <c r="C110" s="155" t="s">
        <v>424</v>
      </c>
      <c r="D110" s="156" t="s">
        <v>303</v>
      </c>
    </row>
    <row r="111" spans="1:6" s="155" customFormat="1" x14ac:dyDescent="0.25">
      <c r="A111" s="142">
        <f t="shared" si="2"/>
        <v>453040</v>
      </c>
      <c r="B111" s="145"/>
      <c r="C111" s="155" t="s">
        <v>425</v>
      </c>
      <c r="D111" s="156" t="s">
        <v>303</v>
      </c>
    </row>
    <row r="112" spans="1:6" s="155" customFormat="1" x14ac:dyDescent="0.25">
      <c r="A112" s="142">
        <f t="shared" si="2"/>
        <v>453050</v>
      </c>
      <c r="B112" s="145"/>
      <c r="C112" s="155" t="s">
        <v>427</v>
      </c>
      <c r="D112" s="156" t="s">
        <v>303</v>
      </c>
    </row>
    <row r="113" spans="1:6" s="155" customFormat="1" x14ac:dyDescent="0.25">
      <c r="A113" s="142">
        <f t="shared" si="2"/>
        <v>453060</v>
      </c>
      <c r="B113" s="145"/>
      <c r="C113" s="155" t="s">
        <v>300</v>
      </c>
      <c r="D113" s="156" t="s">
        <v>303</v>
      </c>
    </row>
    <row r="114" spans="1:6" s="155" customFormat="1" x14ac:dyDescent="0.25">
      <c r="A114" s="142">
        <f t="shared" si="2"/>
        <v>453070</v>
      </c>
      <c r="B114" s="145"/>
      <c r="C114" s="155" t="s">
        <v>430</v>
      </c>
      <c r="D114" s="156" t="s">
        <v>303</v>
      </c>
    </row>
    <row r="115" spans="1:6" s="155" customFormat="1" x14ac:dyDescent="0.25">
      <c r="A115" s="142">
        <f t="shared" si="2"/>
        <v>453080</v>
      </c>
      <c r="B115" s="145"/>
      <c r="C115" s="155" t="s">
        <v>431</v>
      </c>
      <c r="D115" s="156" t="s">
        <v>303</v>
      </c>
    </row>
    <row r="116" spans="1:6" s="155" customFormat="1" x14ac:dyDescent="0.25">
      <c r="A116" s="142">
        <f t="shared" si="2"/>
        <v>453090</v>
      </c>
      <c r="B116" s="145"/>
      <c r="C116" s="155" t="s">
        <v>437</v>
      </c>
      <c r="D116" s="156" t="s">
        <v>303</v>
      </c>
    </row>
    <row r="117" spans="1:6" s="155" customFormat="1" x14ac:dyDescent="0.25">
      <c r="A117" s="142">
        <f t="shared" si="2"/>
        <v>453100</v>
      </c>
      <c r="B117" s="145"/>
      <c r="C117" s="155" t="s">
        <v>438</v>
      </c>
      <c r="D117" s="156" t="s">
        <v>303</v>
      </c>
    </row>
    <row r="118" spans="1:6" s="155" customFormat="1" x14ac:dyDescent="0.25">
      <c r="A118" s="142">
        <f t="shared" si="2"/>
        <v>453110</v>
      </c>
      <c r="B118" s="145"/>
      <c r="C118" s="155" t="s">
        <v>439</v>
      </c>
      <c r="D118" s="156" t="s">
        <v>303</v>
      </c>
    </row>
    <row r="119" spans="1:6" s="155" customFormat="1" x14ac:dyDescent="0.25">
      <c r="A119" s="142"/>
      <c r="B119" s="145"/>
      <c r="D119" s="156"/>
    </row>
    <row r="120" spans="1:6" s="155" customFormat="1" ht="13" x14ac:dyDescent="0.3">
      <c r="A120" s="142">
        <v>454</v>
      </c>
      <c r="B120" s="142"/>
      <c r="C120" s="66" t="s">
        <v>440</v>
      </c>
      <c r="D120" s="143"/>
      <c r="F120" s="66" t="s">
        <v>234</v>
      </c>
    </row>
    <row r="121" spans="1:6" s="155" customFormat="1" x14ac:dyDescent="0.25">
      <c r="A121" s="142">
        <v>454010</v>
      </c>
      <c r="B121" s="145"/>
      <c r="C121" s="155" t="s">
        <v>441</v>
      </c>
      <c r="D121" s="156" t="s">
        <v>303</v>
      </c>
    </row>
    <row r="122" spans="1:6" s="155" customFormat="1" x14ac:dyDescent="0.25">
      <c r="A122" s="142">
        <f t="shared" si="2"/>
        <v>454020</v>
      </c>
      <c r="B122" s="145"/>
      <c r="C122" s="155" t="s">
        <v>442</v>
      </c>
      <c r="D122" s="156" t="s">
        <v>303</v>
      </c>
    </row>
    <row r="123" spans="1:6" s="155" customFormat="1" x14ac:dyDescent="0.25">
      <c r="A123" s="142">
        <f t="shared" si="2"/>
        <v>454030</v>
      </c>
      <c r="B123" s="145"/>
      <c r="C123" s="155" t="s">
        <v>443</v>
      </c>
      <c r="D123" s="156" t="s">
        <v>303</v>
      </c>
    </row>
    <row r="124" spans="1:6" s="155" customFormat="1" x14ac:dyDescent="0.25">
      <c r="A124" s="142">
        <f t="shared" si="2"/>
        <v>454040</v>
      </c>
      <c r="B124" s="145"/>
      <c r="C124" s="155" t="s">
        <v>444</v>
      </c>
      <c r="D124" s="156" t="s">
        <v>303</v>
      </c>
    </row>
    <row r="125" spans="1:6" s="155" customFormat="1" x14ac:dyDescent="0.25">
      <c r="A125" s="142">
        <f t="shared" si="2"/>
        <v>454050</v>
      </c>
      <c r="B125" s="145"/>
      <c r="C125" s="155" t="s">
        <v>445</v>
      </c>
      <c r="D125" s="156" t="s">
        <v>303</v>
      </c>
    </row>
    <row r="126" spans="1:6" s="155" customFormat="1" x14ac:dyDescent="0.25">
      <c r="A126" s="142">
        <f t="shared" si="2"/>
        <v>454060</v>
      </c>
      <c r="B126" s="145"/>
      <c r="C126" s="155" t="s">
        <v>446</v>
      </c>
      <c r="D126" s="156" t="s">
        <v>303</v>
      </c>
    </row>
    <row r="127" spans="1:6" s="155" customFormat="1" x14ac:dyDescent="0.25">
      <c r="A127" s="142">
        <f t="shared" si="2"/>
        <v>454070</v>
      </c>
      <c r="B127" s="145"/>
      <c r="C127" s="155" t="s">
        <v>447</v>
      </c>
      <c r="D127" s="156" t="s">
        <v>303</v>
      </c>
    </row>
    <row r="128" spans="1:6" s="155" customFormat="1" x14ac:dyDescent="0.25">
      <c r="A128" s="142">
        <f t="shared" si="2"/>
        <v>454080</v>
      </c>
      <c r="B128" s="145"/>
      <c r="C128" s="155" t="s">
        <v>448</v>
      </c>
      <c r="D128" s="156" t="s">
        <v>303</v>
      </c>
    </row>
    <row r="129" spans="1:6" s="155" customFormat="1" x14ac:dyDescent="0.25">
      <c r="A129" s="142">
        <f>A128+10</f>
        <v>454090</v>
      </c>
      <c r="B129" s="145"/>
      <c r="C129" s="155" t="s">
        <v>449</v>
      </c>
      <c r="D129" s="156" t="s">
        <v>303</v>
      </c>
    </row>
    <row r="130" spans="1:6" s="155" customFormat="1" x14ac:dyDescent="0.25">
      <c r="A130" s="142">
        <f>A129+10</f>
        <v>454100</v>
      </c>
      <c r="B130" s="145"/>
      <c r="C130" s="155" t="s">
        <v>450</v>
      </c>
      <c r="D130" s="156" t="s">
        <v>303</v>
      </c>
    </row>
    <row r="131" spans="1:6" s="157" customFormat="1" ht="13" x14ac:dyDescent="0.3">
      <c r="A131" s="144"/>
    </row>
    <row r="132" spans="1:6" s="155" customFormat="1" ht="25" x14ac:dyDescent="0.5">
      <c r="A132" s="142"/>
      <c r="B132" s="145"/>
      <c r="C132" s="65" t="s">
        <v>238</v>
      </c>
      <c r="D132" s="147"/>
    </row>
    <row r="133" spans="1:6" s="155" customFormat="1" ht="13" x14ac:dyDescent="0.3">
      <c r="A133" s="150">
        <v>800</v>
      </c>
      <c r="B133" s="66"/>
      <c r="C133" s="148" t="s">
        <v>451</v>
      </c>
      <c r="D133" s="147"/>
      <c r="F133" s="149"/>
    </row>
    <row r="134" spans="1:6" s="155" customFormat="1" x14ac:dyDescent="0.25">
      <c r="A134" s="142">
        <v>800012</v>
      </c>
      <c r="B134" s="145"/>
      <c r="C134" s="151" t="s">
        <v>0</v>
      </c>
      <c r="D134" s="152" t="s">
        <v>303</v>
      </c>
    </row>
    <row r="135" spans="1:6" s="155" customFormat="1" x14ac:dyDescent="0.25">
      <c r="A135" s="142">
        <v>800013</v>
      </c>
      <c r="B135" s="145"/>
      <c r="C135" s="155" t="s">
        <v>457</v>
      </c>
      <c r="D135" s="156" t="s">
        <v>303</v>
      </c>
    </row>
    <row r="136" spans="1:6" s="155" customFormat="1" x14ac:dyDescent="0.25">
      <c r="A136" s="142">
        <v>851010</v>
      </c>
      <c r="B136" s="145"/>
      <c r="C136" s="155" t="s">
        <v>452</v>
      </c>
      <c r="D136" s="156" t="s">
        <v>303</v>
      </c>
    </row>
    <row r="137" spans="1:6" s="155" customFormat="1" x14ac:dyDescent="0.25">
      <c r="A137" s="142">
        <v>860020</v>
      </c>
      <c r="B137" s="145"/>
      <c r="C137" s="155" t="s">
        <v>453</v>
      </c>
      <c r="D137" s="156" t="s">
        <v>303</v>
      </c>
    </row>
    <row r="138" spans="1:6" s="155" customFormat="1" x14ac:dyDescent="0.25">
      <c r="A138" s="142">
        <v>860040</v>
      </c>
      <c r="B138" s="145"/>
      <c r="C138" s="155" t="s">
        <v>454</v>
      </c>
      <c r="D138" s="156" t="s">
        <v>303</v>
      </c>
    </row>
    <row r="139" spans="1:6" s="155" customFormat="1" x14ac:dyDescent="0.25">
      <c r="A139" s="142">
        <v>890010</v>
      </c>
      <c r="B139" s="145"/>
      <c r="C139" s="64" t="s">
        <v>403</v>
      </c>
      <c r="D139" s="147" t="s">
        <v>303</v>
      </c>
    </row>
    <row r="140" spans="1:6" s="155" customFormat="1" x14ac:dyDescent="0.25">
      <c r="A140" s="142">
        <f>A139+10</f>
        <v>890020</v>
      </c>
      <c r="B140" s="145"/>
      <c r="C140" s="64" t="s">
        <v>455</v>
      </c>
      <c r="D140" s="147" t="s">
        <v>303</v>
      </c>
    </row>
    <row r="141" spans="1:6" s="155" customFormat="1" x14ac:dyDescent="0.25">
      <c r="A141" s="142"/>
      <c r="B141" s="145"/>
      <c r="D141" s="156"/>
    </row>
    <row r="142" spans="1:6" s="155" customFormat="1" ht="25" x14ac:dyDescent="0.5">
      <c r="A142" s="142"/>
      <c r="B142" s="145"/>
      <c r="C142" s="65" t="s">
        <v>13</v>
      </c>
      <c r="D142" s="156"/>
    </row>
    <row r="143" spans="1:6" s="155" customFormat="1" ht="26" x14ac:dyDescent="0.3">
      <c r="A143" s="142">
        <v>430</v>
      </c>
      <c r="B143" s="142"/>
      <c r="C143" s="66" t="s">
        <v>88</v>
      </c>
      <c r="D143" s="143"/>
      <c r="F143" s="148" t="s">
        <v>356</v>
      </c>
    </row>
    <row r="144" spans="1:6" s="155" customFormat="1" x14ac:dyDescent="0.25">
      <c r="A144" s="142">
        <v>430010</v>
      </c>
      <c r="B144" s="145"/>
      <c r="C144" s="155" t="s">
        <v>357</v>
      </c>
      <c r="D144" s="156" t="s">
        <v>303</v>
      </c>
      <c r="F144" s="155" t="s">
        <v>89</v>
      </c>
    </row>
    <row r="145" spans="1:6" s="155" customFormat="1" x14ac:dyDescent="0.25">
      <c r="A145" s="142">
        <f t="shared" ref="A145:A158" si="3">A144+10</f>
        <v>430020</v>
      </c>
      <c r="B145" s="145"/>
      <c r="C145" s="155" t="s">
        <v>358</v>
      </c>
      <c r="D145" s="156" t="s">
        <v>303</v>
      </c>
      <c r="F145" s="155" t="s">
        <v>90</v>
      </c>
    </row>
    <row r="146" spans="1:6" s="155" customFormat="1" x14ac:dyDescent="0.25">
      <c r="A146" s="142">
        <f t="shared" si="3"/>
        <v>430030</v>
      </c>
      <c r="B146" s="145"/>
      <c r="C146" s="155" t="s">
        <v>359</v>
      </c>
      <c r="D146" s="156" t="s">
        <v>303</v>
      </c>
      <c r="F146" s="155" t="s">
        <v>91</v>
      </c>
    </row>
    <row r="147" spans="1:6" s="155" customFormat="1" x14ac:dyDescent="0.25">
      <c r="A147" s="142">
        <f t="shared" si="3"/>
        <v>430040</v>
      </c>
      <c r="B147" s="145"/>
      <c r="C147" s="155" t="s">
        <v>360</v>
      </c>
      <c r="D147" s="156" t="s">
        <v>303</v>
      </c>
      <c r="F147" s="155" t="s">
        <v>92</v>
      </c>
    </row>
    <row r="148" spans="1:6" s="155" customFormat="1" x14ac:dyDescent="0.25">
      <c r="A148" s="142">
        <f t="shared" si="3"/>
        <v>430050</v>
      </c>
      <c r="B148" s="145"/>
      <c r="C148" s="155" t="s">
        <v>361</v>
      </c>
      <c r="D148" s="156" t="s">
        <v>303</v>
      </c>
      <c r="F148" s="155" t="s">
        <v>93</v>
      </c>
    </row>
    <row r="149" spans="1:6" s="155" customFormat="1" x14ac:dyDescent="0.25">
      <c r="A149" s="142">
        <f t="shared" si="3"/>
        <v>430060</v>
      </c>
      <c r="B149" s="145"/>
      <c r="C149" s="155" t="s">
        <v>362</v>
      </c>
      <c r="D149" s="156" t="s">
        <v>303</v>
      </c>
      <c r="F149" s="155" t="s">
        <v>94</v>
      </c>
    </row>
    <row r="150" spans="1:6" s="155" customFormat="1" x14ac:dyDescent="0.25">
      <c r="A150" s="142">
        <f t="shared" si="3"/>
        <v>430070</v>
      </c>
      <c r="B150" s="145"/>
      <c r="C150" s="155" t="s">
        <v>363</v>
      </c>
      <c r="D150" s="156" t="s">
        <v>303</v>
      </c>
      <c r="F150" s="155" t="s">
        <v>95</v>
      </c>
    </row>
    <row r="151" spans="1:6" s="155" customFormat="1" x14ac:dyDescent="0.25">
      <c r="A151" s="142">
        <f t="shared" si="3"/>
        <v>430080</v>
      </c>
      <c r="B151" s="145"/>
      <c r="C151" s="155" t="s">
        <v>364</v>
      </c>
      <c r="D151" s="156" t="s">
        <v>303</v>
      </c>
      <c r="F151" s="155" t="s">
        <v>96</v>
      </c>
    </row>
    <row r="152" spans="1:6" s="155" customFormat="1" x14ac:dyDescent="0.25">
      <c r="A152" s="142">
        <f t="shared" si="3"/>
        <v>430090</v>
      </c>
      <c r="B152" s="145"/>
      <c r="C152" s="155" t="s">
        <v>365</v>
      </c>
      <c r="D152" s="156" t="s">
        <v>303</v>
      </c>
      <c r="F152" s="155" t="s">
        <v>97</v>
      </c>
    </row>
    <row r="153" spans="1:6" s="155" customFormat="1" x14ac:dyDescent="0.25">
      <c r="A153" s="142">
        <f t="shared" si="3"/>
        <v>430100</v>
      </c>
      <c r="B153" s="145"/>
      <c r="C153" s="155" t="s">
        <v>366</v>
      </c>
      <c r="D153" s="156" t="s">
        <v>303</v>
      </c>
      <c r="F153" s="155" t="s">
        <v>98</v>
      </c>
    </row>
    <row r="154" spans="1:6" s="155" customFormat="1" x14ac:dyDescent="0.25">
      <c r="A154" s="142">
        <f t="shared" si="3"/>
        <v>430110</v>
      </c>
      <c r="B154" s="145"/>
      <c r="C154" s="155" t="s">
        <v>367</v>
      </c>
      <c r="D154" s="156" t="s">
        <v>303</v>
      </c>
      <c r="F154" s="155" t="s">
        <v>99</v>
      </c>
    </row>
    <row r="155" spans="1:6" s="155" customFormat="1" x14ac:dyDescent="0.25">
      <c r="A155" s="142">
        <f t="shared" si="3"/>
        <v>430120</v>
      </c>
      <c r="B155" s="145"/>
      <c r="C155" s="155" t="s">
        <v>368</v>
      </c>
      <c r="D155" s="156" t="s">
        <v>303</v>
      </c>
      <c r="F155" s="155" t="s">
        <v>100</v>
      </c>
    </row>
    <row r="156" spans="1:6" s="155" customFormat="1" x14ac:dyDescent="0.25">
      <c r="A156" s="142">
        <f t="shared" si="3"/>
        <v>430130</v>
      </c>
      <c r="B156" s="145"/>
      <c r="C156" s="155" t="s">
        <v>369</v>
      </c>
      <c r="D156" s="156" t="s">
        <v>303</v>
      </c>
      <c r="F156" s="155" t="s">
        <v>101</v>
      </c>
    </row>
    <row r="157" spans="1:6" s="155" customFormat="1" x14ac:dyDescent="0.25">
      <c r="A157" s="142">
        <f t="shared" si="3"/>
        <v>430140</v>
      </c>
      <c r="B157" s="145"/>
      <c r="C157" s="155" t="s">
        <v>370</v>
      </c>
      <c r="D157" s="156" t="s">
        <v>303</v>
      </c>
      <c r="F157" s="155" t="s">
        <v>101</v>
      </c>
    </row>
    <row r="158" spans="1:6" s="155" customFormat="1" x14ac:dyDescent="0.25">
      <c r="A158" s="142">
        <f t="shared" si="3"/>
        <v>430150</v>
      </c>
      <c r="B158" s="145"/>
      <c r="C158" s="155" t="s">
        <v>371</v>
      </c>
      <c r="D158" s="156" t="s">
        <v>303</v>
      </c>
      <c r="F158" s="155" t="s">
        <v>101</v>
      </c>
    </row>
    <row r="159" spans="1:6" s="155" customFormat="1" x14ac:dyDescent="0.25">
      <c r="A159" s="142"/>
      <c r="B159" s="145"/>
      <c r="D159" s="156"/>
    </row>
    <row r="160" spans="1:6" s="155" customFormat="1" ht="26" x14ac:dyDescent="0.3">
      <c r="A160" s="142">
        <v>431</v>
      </c>
      <c r="B160" s="142"/>
      <c r="C160" s="66" t="s">
        <v>102</v>
      </c>
      <c r="D160" s="143"/>
      <c r="F160" s="148" t="s">
        <v>103</v>
      </c>
    </row>
    <row r="161" spans="1:6" s="155" customFormat="1" x14ac:dyDescent="0.25">
      <c r="A161" s="142">
        <v>431010</v>
      </c>
      <c r="B161" s="145"/>
      <c r="C161" s="155" t="s">
        <v>372</v>
      </c>
      <c r="D161" s="156" t="s">
        <v>303</v>
      </c>
      <c r="F161" s="155" t="s">
        <v>104</v>
      </c>
    </row>
    <row r="162" spans="1:6" s="155" customFormat="1" x14ac:dyDescent="0.25">
      <c r="A162" s="142">
        <f t="shared" ref="A162:A169" si="4">A161+10</f>
        <v>431020</v>
      </c>
      <c r="B162" s="145"/>
      <c r="C162" s="155" t="s">
        <v>373</v>
      </c>
      <c r="D162" s="156" t="s">
        <v>303</v>
      </c>
      <c r="F162" s="155" t="s">
        <v>105</v>
      </c>
    </row>
    <row r="163" spans="1:6" s="155" customFormat="1" x14ac:dyDescent="0.25">
      <c r="A163" s="142">
        <f t="shared" si="4"/>
        <v>431030</v>
      </c>
      <c r="B163" s="145"/>
      <c r="C163" s="155" t="s">
        <v>374</v>
      </c>
      <c r="D163" s="156" t="s">
        <v>303</v>
      </c>
      <c r="F163" s="155" t="s">
        <v>106</v>
      </c>
    </row>
    <row r="164" spans="1:6" s="155" customFormat="1" x14ac:dyDescent="0.25">
      <c r="A164" s="142">
        <f t="shared" si="4"/>
        <v>431040</v>
      </c>
      <c r="B164" s="145"/>
      <c r="C164" s="155" t="s">
        <v>375</v>
      </c>
      <c r="D164" s="156" t="s">
        <v>303</v>
      </c>
      <c r="F164" s="155" t="s">
        <v>107</v>
      </c>
    </row>
    <row r="165" spans="1:6" s="155" customFormat="1" x14ac:dyDescent="0.25">
      <c r="A165" s="142">
        <f t="shared" si="4"/>
        <v>431050</v>
      </c>
      <c r="B165" s="145"/>
      <c r="C165" s="155" t="s">
        <v>376</v>
      </c>
      <c r="D165" s="156" t="s">
        <v>303</v>
      </c>
      <c r="F165" s="155" t="s">
        <v>108</v>
      </c>
    </row>
    <row r="166" spans="1:6" s="155" customFormat="1" x14ac:dyDescent="0.25">
      <c r="A166" s="142">
        <f t="shared" si="4"/>
        <v>431060</v>
      </c>
      <c r="B166" s="145"/>
      <c r="C166" s="155" t="s">
        <v>377</v>
      </c>
      <c r="D166" s="156" t="s">
        <v>303</v>
      </c>
      <c r="F166" s="155" t="s">
        <v>109</v>
      </c>
    </row>
    <row r="167" spans="1:6" s="155" customFormat="1" x14ac:dyDescent="0.25">
      <c r="A167" s="142">
        <f t="shared" si="4"/>
        <v>431070</v>
      </c>
      <c r="B167" s="145"/>
      <c r="C167" s="155" t="s">
        <v>378</v>
      </c>
      <c r="D167" s="156" t="s">
        <v>303</v>
      </c>
      <c r="F167" s="155" t="s">
        <v>110</v>
      </c>
    </row>
    <row r="168" spans="1:6" s="155" customFormat="1" x14ac:dyDescent="0.25">
      <c r="A168" s="142">
        <f t="shared" si="4"/>
        <v>431080</v>
      </c>
      <c r="B168" s="145"/>
      <c r="C168" s="155" t="s">
        <v>379</v>
      </c>
      <c r="D168" s="156" t="s">
        <v>303</v>
      </c>
      <c r="F168" s="155" t="s">
        <v>111</v>
      </c>
    </row>
    <row r="169" spans="1:6" s="155" customFormat="1" x14ac:dyDescent="0.25">
      <c r="A169" s="142">
        <f t="shared" si="4"/>
        <v>431090</v>
      </c>
      <c r="B169" s="145"/>
      <c r="C169" s="155" t="s">
        <v>380</v>
      </c>
      <c r="D169" s="156" t="s">
        <v>303</v>
      </c>
      <c r="F169" s="155" t="s">
        <v>111</v>
      </c>
    </row>
    <row r="170" spans="1:6" s="155" customFormat="1" x14ac:dyDescent="0.25">
      <c r="A170" s="142">
        <v>431150</v>
      </c>
      <c r="B170" s="145"/>
      <c r="C170" s="155" t="s">
        <v>381</v>
      </c>
      <c r="D170" s="156" t="s">
        <v>303</v>
      </c>
      <c r="F170" s="155" t="s">
        <v>111</v>
      </c>
    </row>
    <row r="171" spans="1:6" s="155" customFormat="1" x14ac:dyDescent="0.25">
      <c r="A171" s="142"/>
      <c r="B171" s="145"/>
      <c r="D171" s="156"/>
    </row>
    <row r="172" spans="1:6" s="144" customFormat="1" ht="13" x14ac:dyDescent="0.3">
      <c r="A172" s="142">
        <v>440</v>
      </c>
      <c r="B172" s="142"/>
      <c r="C172" s="66" t="s">
        <v>382</v>
      </c>
      <c r="D172" s="143"/>
      <c r="F172" s="144" t="s">
        <v>112</v>
      </c>
    </row>
    <row r="173" spans="1:6" s="155" customFormat="1" x14ac:dyDescent="0.25">
      <c r="A173" s="142">
        <v>440010</v>
      </c>
      <c r="B173" s="145"/>
      <c r="C173" s="155" t="s">
        <v>383</v>
      </c>
      <c r="D173" s="156" t="s">
        <v>303</v>
      </c>
      <c r="F173" s="155" t="s">
        <v>113</v>
      </c>
    </row>
    <row r="174" spans="1:6" s="155" customFormat="1" x14ac:dyDescent="0.25">
      <c r="A174" s="142">
        <f t="shared" ref="A174:A179" si="5">A173+10</f>
        <v>440020</v>
      </c>
      <c r="B174" s="145"/>
      <c r="C174" s="155" t="s">
        <v>384</v>
      </c>
      <c r="D174" s="156" t="s">
        <v>303</v>
      </c>
      <c r="F174" s="155" t="s">
        <v>114</v>
      </c>
    </row>
    <row r="175" spans="1:6" s="155" customFormat="1" x14ac:dyDescent="0.25">
      <c r="A175" s="142">
        <f t="shared" si="5"/>
        <v>440030</v>
      </c>
      <c r="B175" s="145"/>
      <c r="C175" s="155" t="s">
        <v>385</v>
      </c>
      <c r="D175" s="156" t="s">
        <v>303</v>
      </c>
      <c r="F175" s="155" t="s">
        <v>115</v>
      </c>
    </row>
    <row r="176" spans="1:6" s="155" customFormat="1" x14ac:dyDescent="0.25">
      <c r="A176" s="142">
        <f t="shared" si="5"/>
        <v>440040</v>
      </c>
      <c r="B176" s="145"/>
      <c r="C176" s="155" t="s">
        <v>386</v>
      </c>
      <c r="D176" s="156" t="s">
        <v>303</v>
      </c>
      <c r="F176" s="155" t="s">
        <v>116</v>
      </c>
    </row>
    <row r="177" spans="1:6" s="155" customFormat="1" x14ac:dyDescent="0.25">
      <c r="A177" s="142">
        <f t="shared" si="5"/>
        <v>440050</v>
      </c>
      <c r="B177" s="145"/>
      <c r="C177" s="155" t="s">
        <v>387</v>
      </c>
      <c r="D177" s="156" t="s">
        <v>303</v>
      </c>
      <c r="F177" s="155" t="s">
        <v>117</v>
      </c>
    </row>
    <row r="178" spans="1:6" s="155" customFormat="1" x14ac:dyDescent="0.25">
      <c r="A178" s="142">
        <f t="shared" si="5"/>
        <v>440060</v>
      </c>
      <c r="B178" s="145"/>
      <c r="C178" s="155" t="s">
        <v>388</v>
      </c>
      <c r="D178" s="156" t="s">
        <v>303</v>
      </c>
      <c r="F178" s="155" t="s">
        <v>118</v>
      </c>
    </row>
    <row r="179" spans="1:6" s="155" customFormat="1" x14ac:dyDescent="0.25">
      <c r="A179" s="142">
        <f t="shared" si="5"/>
        <v>440070</v>
      </c>
      <c r="B179" s="145"/>
      <c r="C179" s="155" t="s">
        <v>389</v>
      </c>
      <c r="D179" s="156" t="s">
        <v>303</v>
      </c>
      <c r="F179" s="155" t="s">
        <v>118</v>
      </c>
    </row>
    <row r="180" spans="1:6" s="155" customFormat="1" x14ac:dyDescent="0.25">
      <c r="A180" s="142">
        <v>440150</v>
      </c>
      <c r="B180" s="145"/>
      <c r="C180" s="155" t="s">
        <v>390</v>
      </c>
      <c r="D180" s="156" t="s">
        <v>303</v>
      </c>
      <c r="F180" s="155" t="s">
        <v>118</v>
      </c>
    </row>
    <row r="181" spans="1:6" s="155" customFormat="1" x14ac:dyDescent="0.25">
      <c r="A181" s="142"/>
      <c r="B181" s="145"/>
      <c r="D181" s="156"/>
    </row>
    <row r="182" spans="1:6" s="144" customFormat="1" ht="26" x14ac:dyDescent="0.3">
      <c r="A182" s="142">
        <v>441</v>
      </c>
      <c r="B182" s="142"/>
      <c r="C182" s="66" t="s">
        <v>391</v>
      </c>
      <c r="D182" s="143"/>
      <c r="F182" s="146" t="s">
        <v>232</v>
      </c>
    </row>
    <row r="183" spans="1:6" s="155" customFormat="1" x14ac:dyDescent="0.25">
      <c r="A183" s="142">
        <v>441010</v>
      </c>
      <c r="B183" s="145"/>
      <c r="C183" s="155" t="s">
        <v>392</v>
      </c>
      <c r="D183" s="156" t="s">
        <v>303</v>
      </c>
      <c r="F183" s="155" t="s">
        <v>119</v>
      </c>
    </row>
    <row r="184" spans="1:6" s="155" customFormat="1" x14ac:dyDescent="0.25">
      <c r="A184" s="142">
        <f t="shared" ref="A184:A197" si="6">A183+10</f>
        <v>441020</v>
      </c>
      <c r="B184" s="145"/>
      <c r="C184" s="155" t="s">
        <v>393</v>
      </c>
      <c r="D184" s="156" t="s">
        <v>303</v>
      </c>
      <c r="F184" s="155" t="s">
        <v>120</v>
      </c>
    </row>
    <row r="185" spans="1:6" s="155" customFormat="1" x14ac:dyDescent="0.25">
      <c r="A185" s="142">
        <f t="shared" si="6"/>
        <v>441030</v>
      </c>
      <c r="B185" s="145"/>
      <c r="C185" s="155" t="s">
        <v>394</v>
      </c>
      <c r="D185" s="156" t="s">
        <v>303</v>
      </c>
      <c r="F185" s="155" t="s">
        <v>121</v>
      </c>
    </row>
    <row r="186" spans="1:6" s="155" customFormat="1" x14ac:dyDescent="0.25">
      <c r="A186" s="142">
        <f t="shared" si="6"/>
        <v>441040</v>
      </c>
      <c r="B186" s="145"/>
      <c r="C186" s="155" t="s">
        <v>395</v>
      </c>
      <c r="D186" s="156" t="s">
        <v>303</v>
      </c>
      <c r="F186" s="155" t="s">
        <v>122</v>
      </c>
    </row>
    <row r="187" spans="1:6" s="155" customFormat="1" x14ac:dyDescent="0.25">
      <c r="A187" s="142">
        <f t="shared" si="6"/>
        <v>441050</v>
      </c>
      <c r="B187" s="145"/>
      <c r="C187" s="155" t="s">
        <v>396</v>
      </c>
      <c r="D187" s="156" t="s">
        <v>303</v>
      </c>
      <c r="F187" s="155" t="s">
        <v>123</v>
      </c>
    </row>
    <row r="188" spans="1:6" s="155" customFormat="1" x14ac:dyDescent="0.25">
      <c r="A188" s="142">
        <f t="shared" si="6"/>
        <v>441060</v>
      </c>
      <c r="B188" s="145"/>
      <c r="C188" s="155" t="s">
        <v>397</v>
      </c>
      <c r="D188" s="156" t="s">
        <v>303</v>
      </c>
      <c r="F188" s="155" t="s">
        <v>124</v>
      </c>
    </row>
    <row r="189" spans="1:6" s="155" customFormat="1" x14ac:dyDescent="0.25">
      <c r="A189" s="142">
        <f t="shared" si="6"/>
        <v>441070</v>
      </c>
      <c r="B189" s="145"/>
      <c r="C189" s="155" t="s">
        <v>398</v>
      </c>
      <c r="D189" s="156" t="s">
        <v>303</v>
      </c>
      <c r="F189" s="155" t="s">
        <v>125</v>
      </c>
    </row>
    <row r="190" spans="1:6" s="155" customFormat="1" x14ac:dyDescent="0.25">
      <c r="A190" s="142">
        <f t="shared" si="6"/>
        <v>441080</v>
      </c>
      <c r="B190" s="145"/>
      <c r="C190" s="155" t="s">
        <v>399</v>
      </c>
      <c r="D190" s="156" t="s">
        <v>303</v>
      </c>
      <c r="F190" s="155" t="s">
        <v>126</v>
      </c>
    </row>
    <row r="191" spans="1:6" s="155" customFormat="1" x14ac:dyDescent="0.25">
      <c r="A191" s="142">
        <f t="shared" si="6"/>
        <v>441090</v>
      </c>
      <c r="B191" s="145"/>
      <c r="C191" s="155" t="s">
        <v>400</v>
      </c>
      <c r="D191" s="156" t="s">
        <v>303</v>
      </c>
      <c r="F191" s="155" t="s">
        <v>127</v>
      </c>
    </row>
    <row r="192" spans="1:6" s="155" customFormat="1" x14ac:dyDescent="0.25">
      <c r="A192" s="142">
        <f t="shared" si="6"/>
        <v>441100</v>
      </c>
      <c r="B192" s="145"/>
      <c r="C192" s="155" t="s">
        <v>401</v>
      </c>
      <c r="D192" s="156" t="s">
        <v>303</v>
      </c>
      <c r="F192" s="155" t="s">
        <v>128</v>
      </c>
    </row>
    <row r="193" spans="1:6" s="155" customFormat="1" x14ac:dyDescent="0.25">
      <c r="A193" s="142">
        <f t="shared" si="6"/>
        <v>441110</v>
      </c>
      <c r="B193" s="145"/>
      <c r="C193" s="155" t="s">
        <v>402</v>
      </c>
      <c r="D193" s="156" t="s">
        <v>303</v>
      </c>
      <c r="F193" s="155" t="s">
        <v>129</v>
      </c>
    </row>
    <row r="194" spans="1:6" s="155" customFormat="1" x14ac:dyDescent="0.25">
      <c r="A194" s="142">
        <f t="shared" si="6"/>
        <v>441120</v>
      </c>
      <c r="B194" s="145"/>
      <c r="C194" s="155" t="s">
        <v>403</v>
      </c>
      <c r="D194" s="156" t="s">
        <v>303</v>
      </c>
      <c r="F194" s="155" t="s">
        <v>130</v>
      </c>
    </row>
    <row r="195" spans="1:6" s="155" customFormat="1" x14ac:dyDescent="0.25">
      <c r="A195" s="142">
        <f t="shared" si="6"/>
        <v>441130</v>
      </c>
      <c r="B195" s="145"/>
      <c r="C195" s="155" t="s">
        <v>404</v>
      </c>
      <c r="D195" s="156" t="s">
        <v>303</v>
      </c>
      <c r="F195" s="155" t="s">
        <v>131</v>
      </c>
    </row>
    <row r="196" spans="1:6" s="155" customFormat="1" x14ac:dyDescent="0.25">
      <c r="A196" s="142">
        <f t="shared" si="6"/>
        <v>441140</v>
      </c>
      <c r="B196" s="145"/>
      <c r="C196" s="155" t="s">
        <v>405</v>
      </c>
      <c r="D196" s="156" t="s">
        <v>303</v>
      </c>
      <c r="F196" s="155" t="s">
        <v>131</v>
      </c>
    </row>
    <row r="197" spans="1:6" s="155" customFormat="1" x14ac:dyDescent="0.25">
      <c r="A197" s="142">
        <f t="shared" si="6"/>
        <v>441150</v>
      </c>
      <c r="B197" s="145"/>
      <c r="C197" s="155" t="s">
        <v>406</v>
      </c>
      <c r="D197" s="156" t="s">
        <v>303</v>
      </c>
      <c r="F197" s="155" t="s">
        <v>131</v>
      </c>
    </row>
  </sheetData>
  <printOptions gridLines="1"/>
  <pageMargins left="0.2" right="0.19" top="0.28999999999999998" bottom="0.22" header="0.17" footer="0.2"/>
  <pageSetup paperSize="9" scale="58" fitToHeight="2" orientation="portrait" verticalDpi="0"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91"/>
  <sheetViews>
    <sheetView topLeftCell="A52" workbookViewId="0">
      <selection activeCell="K8" sqref="K8"/>
    </sheetView>
  </sheetViews>
  <sheetFormatPr defaultRowHeight="13" x14ac:dyDescent="0.3"/>
  <cols>
    <col min="1" max="1" width="15.7265625" style="67" customWidth="1"/>
    <col min="2" max="2" width="31.54296875" style="11" customWidth="1"/>
    <col min="3" max="3" width="6.1796875" style="1" customWidth="1"/>
    <col min="4" max="5" width="10.26953125" customWidth="1"/>
    <col min="6" max="6" width="10.26953125" style="1" customWidth="1"/>
    <col min="8" max="8" width="6.26953125" customWidth="1"/>
    <col min="9" max="9" width="7.81640625" style="2" customWidth="1"/>
    <col min="10" max="10" width="9.26953125" style="72" customWidth="1"/>
  </cols>
  <sheetData>
    <row r="1" spans="1:10" x14ac:dyDescent="0.3">
      <c r="A1" s="67" t="s">
        <v>22</v>
      </c>
      <c r="B1" s="11" t="s">
        <v>183</v>
      </c>
    </row>
    <row r="2" spans="1:10" ht="21" x14ac:dyDescent="0.3">
      <c r="C2" s="9" t="s">
        <v>175</v>
      </c>
      <c r="G2" s="10" t="s">
        <v>40</v>
      </c>
      <c r="J2" s="72" t="s">
        <v>294</v>
      </c>
    </row>
    <row r="3" spans="1:10" x14ac:dyDescent="0.3">
      <c r="A3" s="67" t="s">
        <v>23</v>
      </c>
    </row>
    <row r="4" spans="1:10" x14ac:dyDescent="0.3">
      <c r="A4" s="67">
        <v>400010</v>
      </c>
      <c r="B4" s="11" t="s">
        <v>157</v>
      </c>
      <c r="C4" s="1" t="s">
        <v>176</v>
      </c>
      <c r="G4" s="3">
        <v>15</v>
      </c>
      <c r="H4" s="1" t="s">
        <v>24</v>
      </c>
      <c r="I4">
        <v>600</v>
      </c>
      <c r="J4" s="72">
        <f>G4*I4</f>
        <v>9000</v>
      </c>
    </row>
    <row r="5" spans="1:10" x14ac:dyDescent="0.3">
      <c r="A5" s="67">
        <v>401010</v>
      </c>
      <c r="B5" s="11" t="s">
        <v>158</v>
      </c>
      <c r="C5" s="1" t="s">
        <v>177</v>
      </c>
      <c r="G5" s="3">
        <v>5</v>
      </c>
      <c r="H5" s="1" t="s">
        <v>24</v>
      </c>
      <c r="I5">
        <v>710</v>
      </c>
      <c r="J5" s="72">
        <f>G5*I5</f>
        <v>3550</v>
      </c>
    </row>
    <row r="6" spans="1:10" x14ac:dyDescent="0.3">
      <c r="A6" s="67">
        <v>401030</v>
      </c>
      <c r="B6" s="11" t="s">
        <v>159</v>
      </c>
      <c r="C6" s="1" t="s">
        <v>178</v>
      </c>
      <c r="G6" s="3">
        <v>10</v>
      </c>
      <c r="H6" s="1" t="s">
        <v>24</v>
      </c>
      <c r="I6">
        <v>810</v>
      </c>
      <c r="J6" s="72">
        <f>G6*I6</f>
        <v>8100</v>
      </c>
    </row>
    <row r="7" spans="1:10" x14ac:dyDescent="0.3">
      <c r="E7" s="3"/>
    </row>
    <row r="8" spans="1:10" x14ac:dyDescent="0.3">
      <c r="G8" s="3"/>
      <c r="H8" s="3"/>
    </row>
    <row r="9" spans="1:10" x14ac:dyDescent="0.3">
      <c r="D9" s="169" t="s">
        <v>37</v>
      </c>
      <c r="E9" s="169"/>
      <c r="F9" t="s">
        <v>36</v>
      </c>
      <c r="H9" s="10"/>
      <c r="I9" s="2" t="s">
        <v>27</v>
      </c>
    </row>
    <row r="10" spans="1:10" x14ac:dyDescent="0.3">
      <c r="A10" s="67" t="s">
        <v>28</v>
      </c>
      <c r="D10" s="8" t="s">
        <v>38</v>
      </c>
      <c r="E10" s="9" t="s">
        <v>39</v>
      </c>
    </row>
    <row r="11" spans="1:10" x14ac:dyDescent="0.3">
      <c r="A11" s="67">
        <v>409010</v>
      </c>
      <c r="B11" s="11" t="s">
        <v>1</v>
      </c>
      <c r="C11" s="1" t="s">
        <v>176</v>
      </c>
      <c r="D11" t="s">
        <v>160</v>
      </c>
      <c r="E11" t="s">
        <v>161</v>
      </c>
      <c r="F11" s="1" t="s">
        <v>162</v>
      </c>
      <c r="J11" s="72">
        <v>2450</v>
      </c>
    </row>
    <row r="12" spans="1:10" x14ac:dyDescent="0.3">
      <c r="A12" s="67">
        <v>409050</v>
      </c>
      <c r="B12" s="11" t="s">
        <v>330</v>
      </c>
      <c r="C12" s="1" t="s">
        <v>176</v>
      </c>
      <c r="D12" t="s">
        <v>164</v>
      </c>
      <c r="E12" t="s">
        <v>165</v>
      </c>
      <c r="G12">
        <v>4</v>
      </c>
      <c r="J12" s="72">
        <v>1747</v>
      </c>
    </row>
    <row r="13" spans="1:10" x14ac:dyDescent="0.3">
      <c r="A13" s="67">
        <v>409060</v>
      </c>
      <c r="B13" s="11" t="s">
        <v>30</v>
      </c>
      <c r="C13" s="1" t="s">
        <v>176</v>
      </c>
      <c r="D13" t="s">
        <v>160</v>
      </c>
      <c r="E13" t="s">
        <v>161</v>
      </c>
      <c r="G13" s="3">
        <v>5</v>
      </c>
      <c r="H13" s="1" t="s">
        <v>24</v>
      </c>
      <c r="I13" s="2">
        <v>80</v>
      </c>
      <c r="J13" s="72">
        <f>G13*I13</f>
        <v>400</v>
      </c>
    </row>
    <row r="14" spans="1:10" x14ac:dyDescent="0.3">
      <c r="G14" s="3"/>
      <c r="H14" s="1"/>
    </row>
    <row r="15" spans="1:10" x14ac:dyDescent="0.3">
      <c r="A15" s="67">
        <v>409010</v>
      </c>
      <c r="B15" s="11" t="s">
        <v>163</v>
      </c>
      <c r="C15" s="1" t="s">
        <v>178</v>
      </c>
      <c r="D15" t="s">
        <v>179</v>
      </c>
      <c r="E15" t="s">
        <v>180</v>
      </c>
      <c r="F15" s="1" t="s">
        <v>181</v>
      </c>
      <c r="G15" s="3"/>
      <c r="H15" s="1"/>
      <c r="J15" s="72">
        <v>2735</v>
      </c>
    </row>
    <row r="16" spans="1:10" x14ac:dyDescent="0.3">
      <c r="A16" s="67">
        <v>409050</v>
      </c>
      <c r="B16" s="11" t="s">
        <v>330</v>
      </c>
      <c r="C16" s="1" t="s">
        <v>178</v>
      </c>
      <c r="D16" t="s">
        <v>179</v>
      </c>
      <c r="E16" t="s">
        <v>182</v>
      </c>
      <c r="G16" s="3">
        <v>7</v>
      </c>
      <c r="H16" s="1"/>
    </row>
    <row r="17" spans="1:10" x14ac:dyDescent="0.3">
      <c r="A17" s="67">
        <v>409060</v>
      </c>
      <c r="B17" s="11" t="s">
        <v>30</v>
      </c>
      <c r="C17" s="1" t="s">
        <v>178</v>
      </c>
      <c r="D17" t="s">
        <v>179</v>
      </c>
      <c r="E17" t="s">
        <v>180</v>
      </c>
      <c r="G17" s="3">
        <v>8</v>
      </c>
      <c r="H17" s="1" t="s">
        <v>24</v>
      </c>
      <c r="I17" s="2">
        <v>110</v>
      </c>
      <c r="J17" s="72">
        <f>G17*I17</f>
        <v>880</v>
      </c>
    </row>
    <row r="18" spans="1:10" x14ac:dyDescent="0.3">
      <c r="G18" s="3"/>
      <c r="H18" s="1"/>
    </row>
    <row r="19" spans="1:10" x14ac:dyDescent="0.3">
      <c r="G19" s="3"/>
      <c r="H19" s="1"/>
    </row>
    <row r="20" spans="1:10" x14ac:dyDescent="0.3">
      <c r="E20" s="3"/>
    </row>
    <row r="21" spans="1:10" x14ac:dyDescent="0.3">
      <c r="A21" s="67" t="s">
        <v>64</v>
      </c>
    </row>
    <row r="22" spans="1:10" x14ac:dyDescent="0.3">
      <c r="A22" s="67">
        <v>421100</v>
      </c>
      <c r="B22" s="11" t="s">
        <v>166</v>
      </c>
      <c r="J22" s="72">
        <v>16500</v>
      </c>
    </row>
    <row r="23" spans="1:10" x14ac:dyDescent="0.3">
      <c r="A23" s="67">
        <v>421060</v>
      </c>
      <c r="B23" s="11" t="s">
        <v>167</v>
      </c>
      <c r="J23" s="72">
        <v>70000</v>
      </c>
    </row>
    <row r="24" spans="1:10" x14ac:dyDescent="0.3">
      <c r="A24" s="67">
        <v>421040</v>
      </c>
      <c r="B24" s="11" t="s">
        <v>168</v>
      </c>
      <c r="J24" s="72">
        <v>10000</v>
      </c>
    </row>
    <row r="26" spans="1:10" x14ac:dyDescent="0.3">
      <c r="A26" s="67" t="s">
        <v>31</v>
      </c>
    </row>
    <row r="27" spans="1:10" x14ac:dyDescent="0.3">
      <c r="A27" s="67">
        <v>430110</v>
      </c>
      <c r="B27" s="11" t="s">
        <v>169</v>
      </c>
      <c r="G27" s="3"/>
      <c r="H27" s="3"/>
      <c r="J27" s="72">
        <v>500</v>
      </c>
    </row>
    <row r="28" spans="1:10" x14ac:dyDescent="0.3">
      <c r="A28" s="67">
        <v>430120</v>
      </c>
      <c r="B28" s="11" t="s">
        <v>170</v>
      </c>
      <c r="G28" s="3"/>
      <c r="H28" s="3"/>
      <c r="J28" s="72">
        <v>100</v>
      </c>
    </row>
    <row r="29" spans="1:10" x14ac:dyDescent="0.3">
      <c r="A29" s="67">
        <v>430100</v>
      </c>
      <c r="B29" s="11" t="s">
        <v>171</v>
      </c>
      <c r="G29" s="3"/>
      <c r="H29" s="3"/>
      <c r="J29" s="72">
        <v>800</v>
      </c>
    </row>
    <row r="30" spans="1:10" x14ac:dyDescent="0.3">
      <c r="G30" s="3"/>
      <c r="H30" s="3"/>
    </row>
    <row r="31" spans="1:10" x14ac:dyDescent="0.3">
      <c r="A31" s="67" t="s">
        <v>33</v>
      </c>
    </row>
    <row r="32" spans="1:10" x14ac:dyDescent="0.3">
      <c r="A32" s="67" t="s">
        <v>251</v>
      </c>
      <c r="B32" s="11" t="s">
        <v>172</v>
      </c>
      <c r="G32" s="3"/>
      <c r="H32" s="3"/>
      <c r="J32" s="72">
        <v>2100</v>
      </c>
    </row>
    <row r="33" spans="1:11" x14ac:dyDescent="0.3">
      <c r="A33" s="67">
        <v>451130</v>
      </c>
      <c r="B33" s="11" t="s">
        <v>173</v>
      </c>
      <c r="G33" s="3"/>
      <c r="H33" s="3"/>
      <c r="J33" s="72">
        <v>15000</v>
      </c>
    </row>
    <row r="34" spans="1:11" x14ac:dyDescent="0.3">
      <c r="A34" s="67">
        <v>451140</v>
      </c>
      <c r="B34" s="11" t="s">
        <v>44</v>
      </c>
      <c r="G34" s="3"/>
      <c r="H34" s="3"/>
      <c r="J34" s="72">
        <v>7500</v>
      </c>
    </row>
    <row r="35" spans="1:11" x14ac:dyDescent="0.3">
      <c r="G35" s="3"/>
      <c r="H35" s="3"/>
    </row>
    <row r="36" spans="1:11" x14ac:dyDescent="0.3">
      <c r="A36" s="67" t="s">
        <v>65</v>
      </c>
    </row>
    <row r="37" spans="1:11" x14ac:dyDescent="0.3">
      <c r="A37" s="67">
        <v>452010</v>
      </c>
      <c r="B37" s="11" t="s">
        <v>174</v>
      </c>
      <c r="J37" s="72">
        <v>40000</v>
      </c>
    </row>
    <row r="38" spans="1:11" x14ac:dyDescent="0.3">
      <c r="A38" s="67">
        <v>452020</v>
      </c>
      <c r="B38" s="11" t="s">
        <v>73</v>
      </c>
      <c r="J38" s="72">
        <v>12000</v>
      </c>
    </row>
    <row r="39" spans="1:11" x14ac:dyDescent="0.3">
      <c r="A39" s="67">
        <v>452050</v>
      </c>
      <c r="B39" s="11" t="s">
        <v>74</v>
      </c>
      <c r="J39" s="72">
        <v>2000</v>
      </c>
    </row>
    <row r="40" spans="1:11" x14ac:dyDescent="0.3">
      <c r="A40" s="67">
        <v>452060</v>
      </c>
      <c r="B40" s="11" t="s">
        <v>34</v>
      </c>
      <c r="J40" s="72">
        <v>1000</v>
      </c>
    </row>
    <row r="42" spans="1:11" x14ac:dyDescent="0.3">
      <c r="A42" s="69" t="s">
        <v>233</v>
      </c>
      <c r="E42" s="1"/>
      <c r="F42"/>
      <c r="H42" s="2"/>
      <c r="I42"/>
      <c r="J42" s="11"/>
      <c r="K42" s="1"/>
    </row>
    <row r="43" spans="1:11" x14ac:dyDescent="0.3">
      <c r="A43" s="69">
        <v>454010</v>
      </c>
      <c r="B43" s="11" t="s">
        <v>254</v>
      </c>
      <c r="E43" s="1"/>
      <c r="F43"/>
      <c r="H43" s="2"/>
      <c r="I43"/>
      <c r="J43" s="11">
        <v>10000</v>
      </c>
      <c r="K43" s="1"/>
    </row>
    <row r="44" spans="1:11" x14ac:dyDescent="0.3">
      <c r="A44" s="69">
        <v>454020</v>
      </c>
      <c r="B44" s="11" t="s">
        <v>255</v>
      </c>
      <c r="E44" s="1"/>
      <c r="F44"/>
      <c r="H44" s="2"/>
      <c r="I44"/>
      <c r="J44" s="11">
        <v>5000</v>
      </c>
      <c r="K44" s="1"/>
    </row>
    <row r="45" spans="1:11" x14ac:dyDescent="0.3">
      <c r="A45" s="69"/>
      <c r="E45" s="1"/>
      <c r="F45"/>
      <c r="H45" s="2"/>
      <c r="I45"/>
      <c r="J45" s="11"/>
      <c r="K45" s="1"/>
    </row>
    <row r="48" spans="1:11" x14ac:dyDescent="0.3">
      <c r="A48" s="67" t="str">
        <f>budget!A43</f>
        <v>unforeseen max 5% budget</v>
      </c>
      <c r="K48" s="9" t="s">
        <v>2</v>
      </c>
    </row>
    <row r="49" spans="1:11" ht="13.5" thickBot="1" x14ac:dyDescent="0.35">
      <c r="B49" s="11" t="s">
        <v>8</v>
      </c>
      <c r="J49" s="73">
        <f>K49*0.05</f>
        <v>11068.1</v>
      </c>
      <c r="K49" s="9">
        <f>SUM(J4:J48)</f>
        <v>221362</v>
      </c>
    </row>
    <row r="51" spans="1:11" x14ac:dyDescent="0.3">
      <c r="A51" s="67" t="s">
        <v>249</v>
      </c>
      <c r="J51" s="72">
        <f>SUM(J4:J49)</f>
        <v>232430.1</v>
      </c>
    </row>
    <row r="53" spans="1:11" x14ac:dyDescent="0.3">
      <c r="A53" s="69"/>
      <c r="B53" s="11" t="s">
        <v>247</v>
      </c>
      <c r="E53" s="1"/>
      <c r="F53"/>
      <c r="H53" s="2"/>
      <c r="I53"/>
    </row>
    <row r="54" spans="1:11" x14ac:dyDescent="0.3">
      <c r="A54" s="69">
        <v>800012</v>
      </c>
      <c r="B54" s="66" t="s">
        <v>240</v>
      </c>
      <c r="E54" s="1"/>
      <c r="F54"/>
      <c r="H54" s="12"/>
      <c r="I54"/>
      <c r="J54" s="72">
        <f>187680+15000+750</f>
        <v>203430</v>
      </c>
    </row>
    <row r="55" spans="1:11" x14ac:dyDescent="0.3">
      <c r="A55" s="69">
        <v>800013</v>
      </c>
      <c r="B55" s="66" t="s">
        <v>241</v>
      </c>
      <c r="E55" s="1"/>
      <c r="F55"/>
      <c r="H55" s="2"/>
      <c r="I55"/>
      <c r="J55" s="72">
        <v>28000</v>
      </c>
    </row>
    <row r="56" spans="1:11" x14ac:dyDescent="0.3">
      <c r="A56" s="69">
        <v>851010</v>
      </c>
      <c r="B56" s="11" t="s">
        <v>239</v>
      </c>
      <c r="E56" s="1"/>
      <c r="F56"/>
      <c r="H56" s="2"/>
      <c r="I56"/>
    </row>
    <row r="57" spans="1:11" x14ac:dyDescent="0.3">
      <c r="A57" s="69">
        <v>890010</v>
      </c>
      <c r="B57" s="66" t="s">
        <v>71</v>
      </c>
      <c r="E57" s="1"/>
      <c r="F57"/>
      <c r="H57" s="2"/>
      <c r="I57"/>
      <c r="J57" s="72">
        <v>1000</v>
      </c>
    </row>
    <row r="58" spans="1:11" ht="13.5" thickBot="1" x14ac:dyDescent="0.35">
      <c r="A58" s="69">
        <v>890020</v>
      </c>
      <c r="B58" s="66" t="s">
        <v>70</v>
      </c>
      <c r="E58" s="1"/>
      <c r="F58"/>
      <c r="H58" s="12"/>
      <c r="I58"/>
      <c r="J58" s="73"/>
    </row>
    <row r="59" spans="1:11" x14ac:dyDescent="0.3">
      <c r="A59" s="69"/>
      <c r="E59" s="1"/>
      <c r="F59"/>
      <c r="H59" s="12"/>
      <c r="I59"/>
    </row>
    <row r="60" spans="1:11" x14ac:dyDescent="0.3">
      <c r="A60" s="69" t="s">
        <v>250</v>
      </c>
      <c r="E60" s="1"/>
      <c r="F60"/>
      <c r="H60" s="7"/>
      <c r="I60" s="5"/>
      <c r="J60" s="72">
        <f>SUM(J54:J58)</f>
        <v>232430</v>
      </c>
    </row>
    <row r="61" spans="1:11" x14ac:dyDescent="0.3">
      <c r="A61" s="69"/>
      <c r="E61" s="1"/>
      <c r="F61"/>
      <c r="H61" s="7"/>
      <c r="I61" s="5"/>
    </row>
    <row r="62" spans="1:11" ht="13.5" thickBot="1" x14ac:dyDescent="0.35"/>
    <row r="63" spans="1:11" ht="15.5" x14ac:dyDescent="0.35">
      <c r="A63" s="77" t="s">
        <v>14</v>
      </c>
      <c r="B63" s="44"/>
      <c r="C63" s="22"/>
      <c r="D63" s="21"/>
      <c r="E63" s="21"/>
      <c r="F63" s="22"/>
      <c r="G63" s="21"/>
      <c r="H63" s="21"/>
      <c r="I63" s="23"/>
      <c r="J63" s="74"/>
    </row>
    <row r="64" spans="1:11" x14ac:dyDescent="0.3">
      <c r="A64" s="71"/>
      <c r="B64" s="43"/>
      <c r="C64" s="6"/>
      <c r="D64" s="5"/>
      <c r="E64" s="5"/>
      <c r="F64" s="6"/>
      <c r="G64" s="5"/>
      <c r="H64" s="5"/>
      <c r="I64" s="7"/>
      <c r="J64" s="75"/>
    </row>
    <row r="65" spans="1:10" x14ac:dyDescent="0.3">
      <c r="A65" s="78" t="s">
        <v>45</v>
      </c>
      <c r="B65" s="43"/>
      <c r="C65" s="6"/>
      <c r="D65" s="5"/>
      <c r="E65" s="5"/>
      <c r="F65" s="6"/>
      <c r="G65" s="5" t="s">
        <v>48</v>
      </c>
      <c r="H65" s="5"/>
      <c r="I65" s="7"/>
      <c r="J65" s="75"/>
    </row>
    <row r="66" spans="1:10" x14ac:dyDescent="0.3">
      <c r="A66" s="79" t="s">
        <v>47</v>
      </c>
      <c r="B66" s="43"/>
      <c r="C66" s="6"/>
      <c r="D66" s="5"/>
      <c r="E66" s="5"/>
      <c r="F66" s="6"/>
      <c r="G66" s="5"/>
      <c r="H66" s="5"/>
      <c r="I66" s="7"/>
      <c r="J66" s="75"/>
    </row>
    <row r="67" spans="1:10" x14ac:dyDescent="0.3">
      <c r="A67" s="79"/>
      <c r="B67" s="43" t="s">
        <v>46</v>
      </c>
      <c r="C67" s="6"/>
      <c r="D67" s="5"/>
      <c r="E67" s="5"/>
      <c r="F67" s="6"/>
      <c r="G67" s="5">
        <v>173677</v>
      </c>
      <c r="H67" s="5"/>
      <c r="I67" s="7"/>
      <c r="J67" s="75"/>
    </row>
    <row r="68" spans="1:10" x14ac:dyDescent="0.3">
      <c r="A68" s="79" t="s">
        <v>54</v>
      </c>
      <c r="B68" s="43"/>
      <c r="C68" s="6"/>
      <c r="D68" s="5"/>
      <c r="E68" s="5"/>
      <c r="F68" s="6"/>
      <c r="G68" s="5"/>
      <c r="H68" s="5"/>
      <c r="I68" s="26">
        <f>SUM(G67)</f>
        <v>173677</v>
      </c>
      <c r="J68" s="75"/>
    </row>
    <row r="69" spans="1:10" x14ac:dyDescent="0.3">
      <c r="A69" s="79"/>
      <c r="B69" s="43"/>
      <c r="C69" s="6"/>
      <c r="D69" s="5"/>
      <c r="E69" s="5"/>
      <c r="F69" s="6"/>
      <c r="G69" s="5"/>
      <c r="H69" s="5"/>
      <c r="I69" s="7"/>
      <c r="J69" s="75"/>
    </row>
    <row r="70" spans="1:10" x14ac:dyDescent="0.3">
      <c r="A70" s="79" t="s">
        <v>252</v>
      </c>
      <c r="B70" s="43"/>
      <c r="C70" s="6"/>
      <c r="D70" s="5"/>
      <c r="E70" s="5"/>
      <c r="F70" s="6"/>
      <c r="G70" s="5"/>
      <c r="H70" s="5"/>
      <c r="I70" s="7"/>
      <c r="J70" s="75"/>
    </row>
    <row r="71" spans="1:10" x14ac:dyDescent="0.3">
      <c r="A71" s="79"/>
      <c r="B71" s="43" t="s">
        <v>50</v>
      </c>
      <c r="C71" s="6"/>
      <c r="D71" s="5"/>
      <c r="E71" s="5"/>
      <c r="F71" s="6"/>
      <c r="G71" s="5">
        <v>160703</v>
      </c>
      <c r="H71" s="5"/>
      <c r="I71" s="7"/>
      <c r="J71" s="75"/>
    </row>
    <row r="72" spans="1:10" x14ac:dyDescent="0.3">
      <c r="A72" s="79"/>
      <c r="B72" s="43" t="s">
        <v>49</v>
      </c>
      <c r="C72" s="6"/>
      <c r="D72" s="5" t="s">
        <v>269</v>
      </c>
      <c r="E72" s="5"/>
      <c r="F72" s="6"/>
      <c r="G72" s="5">
        <v>17000</v>
      </c>
      <c r="H72" s="5"/>
      <c r="I72" s="7"/>
      <c r="J72" s="75"/>
    </row>
    <row r="73" spans="1:10" x14ac:dyDescent="0.3">
      <c r="A73" s="79"/>
      <c r="B73" s="43"/>
      <c r="C73" s="6"/>
      <c r="D73" s="5" t="s">
        <v>51</v>
      </c>
      <c r="E73" s="5"/>
      <c r="F73" s="6"/>
      <c r="G73" s="5">
        <v>10000</v>
      </c>
      <c r="H73" s="5"/>
      <c r="I73" s="7"/>
      <c r="J73" s="75"/>
    </row>
    <row r="74" spans="1:10" x14ac:dyDescent="0.3">
      <c r="A74" s="79"/>
      <c r="B74" s="43"/>
      <c r="C74" s="6"/>
      <c r="D74" s="5" t="s">
        <v>32</v>
      </c>
      <c r="E74" s="5"/>
      <c r="F74" s="6"/>
      <c r="G74" s="5">
        <v>18000</v>
      </c>
      <c r="H74" s="5"/>
      <c r="I74" s="7"/>
      <c r="J74" s="75"/>
    </row>
    <row r="75" spans="1:10" x14ac:dyDescent="0.3">
      <c r="A75" s="79"/>
      <c r="B75" s="43"/>
      <c r="C75" s="6"/>
      <c r="D75" s="5" t="s">
        <v>58</v>
      </c>
      <c r="E75" s="5"/>
      <c r="F75" s="6"/>
      <c r="G75" s="5">
        <v>7300</v>
      </c>
      <c r="H75" s="5"/>
      <c r="I75" s="7"/>
      <c r="J75" s="75"/>
    </row>
    <row r="76" spans="1:10" x14ac:dyDescent="0.3">
      <c r="A76" s="79"/>
      <c r="B76" s="43"/>
      <c r="C76" s="6"/>
      <c r="D76" s="5" t="s">
        <v>52</v>
      </c>
      <c r="E76" s="5"/>
      <c r="F76" s="6"/>
      <c r="G76" s="47">
        <v>12777</v>
      </c>
      <c r="H76" s="5"/>
      <c r="I76" s="7"/>
      <c r="J76" s="75"/>
    </row>
    <row r="77" spans="1:10" x14ac:dyDescent="0.3">
      <c r="A77" s="79"/>
      <c r="B77" s="43"/>
      <c r="C77" s="6"/>
      <c r="D77" s="5"/>
      <c r="E77" s="27" t="s">
        <v>259</v>
      </c>
      <c r="F77" s="6"/>
      <c r="G77" s="5"/>
      <c r="H77" s="27">
        <f>SUM(G67:G76)</f>
        <v>399457</v>
      </c>
      <c r="I77" s="7"/>
      <c r="J77" s="75"/>
    </row>
    <row r="78" spans="1:10" x14ac:dyDescent="0.3">
      <c r="A78" s="79"/>
      <c r="B78" s="43"/>
      <c r="C78" s="6"/>
      <c r="D78" s="5"/>
      <c r="E78" s="5"/>
      <c r="F78" s="6"/>
      <c r="G78" s="5"/>
      <c r="H78" s="5"/>
      <c r="I78" s="7"/>
      <c r="J78" s="75"/>
    </row>
    <row r="79" spans="1:10" x14ac:dyDescent="0.3">
      <c r="A79" s="79"/>
      <c r="B79" s="43"/>
      <c r="C79" s="6"/>
      <c r="D79" s="5" t="s">
        <v>53</v>
      </c>
      <c r="E79" s="5"/>
      <c r="F79" s="6"/>
      <c r="G79" s="49">
        <f>H77*0.05</f>
        <v>19972.850000000002</v>
      </c>
      <c r="I79" s="7"/>
      <c r="J79" s="75"/>
    </row>
    <row r="80" spans="1:10" x14ac:dyDescent="0.3">
      <c r="A80" s="79"/>
      <c r="B80" s="43"/>
      <c r="C80" s="6"/>
      <c r="D80" s="5"/>
      <c r="E80" s="5"/>
      <c r="F80" s="6"/>
      <c r="G80" s="5"/>
      <c r="H80" s="5"/>
      <c r="I80" s="7"/>
      <c r="J80" s="75"/>
    </row>
    <row r="81" spans="1:11" x14ac:dyDescent="0.3">
      <c r="A81" s="79" t="s">
        <v>55</v>
      </c>
      <c r="B81" s="43"/>
      <c r="C81" s="6"/>
      <c r="D81" s="5"/>
      <c r="E81" s="5"/>
      <c r="F81" s="6"/>
      <c r="G81" s="5"/>
      <c r="H81" s="5"/>
      <c r="I81" s="26">
        <f>SUM(G71:G79)</f>
        <v>245752.85</v>
      </c>
      <c r="J81" s="75"/>
    </row>
    <row r="82" spans="1:11" x14ac:dyDescent="0.3">
      <c r="A82" s="79"/>
      <c r="B82" s="43"/>
      <c r="C82" s="6"/>
      <c r="D82" s="5"/>
      <c r="E82" s="5"/>
      <c r="F82" s="6"/>
      <c r="G82" s="5"/>
      <c r="H82" s="5"/>
      <c r="I82" s="4"/>
      <c r="J82" s="75"/>
    </row>
    <row r="83" spans="1:11" x14ac:dyDescent="0.3">
      <c r="A83" s="79" t="s">
        <v>56</v>
      </c>
      <c r="B83" s="43"/>
      <c r="C83" s="6"/>
      <c r="D83" s="5"/>
      <c r="E83" s="5"/>
      <c r="F83" s="6"/>
      <c r="G83" s="5"/>
      <c r="H83" s="5"/>
      <c r="I83" s="26">
        <f>SUM(I68:I81)</f>
        <v>419429.85</v>
      </c>
      <c r="J83" s="75"/>
    </row>
    <row r="84" spans="1:11" ht="13.5" thickBot="1" x14ac:dyDescent="0.35">
      <c r="A84" s="79"/>
      <c r="B84" s="43"/>
      <c r="C84" s="6"/>
      <c r="D84" s="5"/>
      <c r="E84" s="5"/>
      <c r="F84" s="6"/>
      <c r="G84" s="5"/>
      <c r="H84" s="5"/>
      <c r="I84" s="7"/>
      <c r="J84" s="75"/>
    </row>
    <row r="85" spans="1:11" ht="13.5" thickBot="1" x14ac:dyDescent="0.35">
      <c r="A85" s="79" t="s">
        <v>57</v>
      </c>
      <c r="B85" s="43"/>
      <c r="C85" s="6"/>
      <c r="D85" s="5"/>
      <c r="E85" s="5"/>
      <c r="F85" s="6"/>
      <c r="G85" s="5"/>
      <c r="H85" s="5"/>
      <c r="I85" s="36">
        <f>I83/I68</f>
        <v>2.4149993954294464</v>
      </c>
      <c r="J85" s="75"/>
    </row>
    <row r="86" spans="1:11" x14ac:dyDescent="0.3">
      <c r="A86" s="79"/>
      <c r="B86" s="43"/>
      <c r="C86" s="6"/>
      <c r="D86" s="5"/>
      <c r="E86" s="5"/>
      <c r="F86" s="6"/>
      <c r="G86" s="5"/>
      <c r="H86" s="5"/>
      <c r="I86" s="7"/>
      <c r="J86" s="75"/>
    </row>
    <row r="87" spans="1:11" x14ac:dyDescent="0.3">
      <c r="A87" s="79" t="s">
        <v>59</v>
      </c>
      <c r="B87" s="43"/>
      <c r="C87" s="6"/>
      <c r="D87" s="28"/>
      <c r="E87" s="28"/>
      <c r="F87" s="28"/>
      <c r="G87" s="5"/>
      <c r="H87" s="5"/>
      <c r="I87" s="7"/>
      <c r="J87" s="75"/>
      <c r="K87" s="17"/>
    </row>
    <row r="88" spans="1:11" ht="56.25" customHeight="1" x14ac:dyDescent="0.3">
      <c r="A88" s="79" t="s">
        <v>295</v>
      </c>
      <c r="B88" s="43"/>
      <c r="C88" s="6"/>
      <c r="D88" s="28" t="s">
        <v>60</v>
      </c>
      <c r="E88" s="28" t="s">
        <v>62</v>
      </c>
      <c r="F88" s="28" t="s">
        <v>61</v>
      </c>
      <c r="G88" s="28" t="s">
        <v>153</v>
      </c>
      <c r="H88" s="29" t="s">
        <v>154</v>
      </c>
      <c r="I88" s="5" t="s">
        <v>63</v>
      </c>
      <c r="J88" s="30" t="s">
        <v>274</v>
      </c>
    </row>
    <row r="89" spans="1:11" x14ac:dyDescent="0.3">
      <c r="A89" s="79"/>
      <c r="B89" s="43" t="s">
        <v>157</v>
      </c>
      <c r="C89" s="6" t="s">
        <v>176</v>
      </c>
      <c r="D89" s="5">
        <v>4000</v>
      </c>
      <c r="E89" s="5">
        <v>800</v>
      </c>
      <c r="F89" s="6">
        <v>500</v>
      </c>
      <c r="G89" s="5">
        <f>SUM(D89:F89)</f>
        <v>5300</v>
      </c>
      <c r="H89" s="31">
        <f>G89*3/13/5</f>
        <v>244.61538461538461</v>
      </c>
      <c r="I89" s="31">
        <f>H89*$I$85</f>
        <v>590.74600595889535</v>
      </c>
      <c r="J89" s="75">
        <f>ROUNDUP(I89,-1)</f>
        <v>600</v>
      </c>
    </row>
    <row r="90" spans="1:11" x14ac:dyDescent="0.3">
      <c r="A90" s="79"/>
      <c r="B90" s="43" t="s">
        <v>158</v>
      </c>
      <c r="C90" s="6" t="s">
        <v>177</v>
      </c>
      <c r="D90" s="5">
        <v>5000</v>
      </c>
      <c r="E90" s="5">
        <v>900</v>
      </c>
      <c r="F90" s="6">
        <v>400</v>
      </c>
      <c r="G90" s="5">
        <f>SUM(D90:F90)</f>
        <v>6300</v>
      </c>
      <c r="H90" s="31">
        <f>G90*3/13/5</f>
        <v>290.76923076923077</v>
      </c>
      <c r="I90" s="31">
        <f>H90*$I$85</f>
        <v>702.20751651717751</v>
      </c>
      <c r="J90" s="75">
        <f>ROUNDUP(I90,-1)</f>
        <v>710</v>
      </c>
    </row>
    <row r="91" spans="1:11" ht="13.5" thickBot="1" x14ac:dyDescent="0.35">
      <c r="A91" s="80"/>
      <c r="B91" s="45" t="s">
        <v>159</v>
      </c>
      <c r="C91" s="34" t="s">
        <v>178</v>
      </c>
      <c r="D91" s="33">
        <v>5500</v>
      </c>
      <c r="E91" s="33">
        <v>1100</v>
      </c>
      <c r="F91" s="34">
        <v>615</v>
      </c>
      <c r="G91" s="33">
        <f>SUM(D91:F91)</f>
        <v>7215</v>
      </c>
      <c r="H91" s="35">
        <f>G91*3/13/5</f>
        <v>333</v>
      </c>
      <c r="I91" s="35">
        <f>H91*$I$85</f>
        <v>804.19479867800567</v>
      </c>
      <c r="J91" s="76">
        <f>ROUNDUP(I91,-1)</f>
        <v>810</v>
      </c>
    </row>
  </sheetData>
  <mergeCells count="1">
    <mergeCell ref="D9:E9"/>
  </mergeCells>
  <pageMargins left="0.75" right="0.75" top="0.35" bottom="0.19" header="0.22" footer="0.19"/>
  <pageSetup paperSize="9" scale="65" firstPageNumber="19" orientation="portrait" useFirstPageNumber="1" r:id="rId1"/>
  <headerFooter alignWithMargins="0">
    <oddHeader>&amp;C&amp;F &amp;A</oddHeader>
    <oddFooter>&amp;R&amp;P</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
  <sheetViews>
    <sheetView topLeftCell="A8" zoomScale="75" workbookViewId="0">
      <selection activeCell="C33" sqref="C33"/>
    </sheetView>
  </sheetViews>
  <sheetFormatPr defaultColWidth="9.1796875" defaultRowHeight="12.5" x14ac:dyDescent="0.25"/>
  <cols>
    <col min="1" max="1" width="9.1796875" style="94"/>
    <col min="2" max="2" width="15.1796875" style="94" customWidth="1"/>
    <col min="3" max="5" width="18.81640625" style="94" customWidth="1"/>
    <col min="6" max="6" width="9.1796875" style="94"/>
    <col min="7" max="7" width="9.1796875" style="95"/>
    <col min="8" max="8" width="9.1796875" style="94"/>
    <col min="9" max="9" width="10.26953125" style="94" customWidth="1"/>
    <col min="10" max="16384" width="9.1796875" style="94"/>
  </cols>
  <sheetData>
    <row r="1" spans="1:9" ht="13" x14ac:dyDescent="0.3">
      <c r="A1" s="93" t="s">
        <v>156</v>
      </c>
    </row>
    <row r="2" spans="1:9" ht="13.5" thickBot="1" x14ac:dyDescent="0.35">
      <c r="A2" s="93"/>
    </row>
    <row r="3" spans="1:9" ht="13.5" thickBot="1" x14ac:dyDescent="0.35">
      <c r="A3" s="173" t="s">
        <v>276</v>
      </c>
      <c r="B3" s="174"/>
      <c r="C3" s="174"/>
      <c r="D3" s="175"/>
    </row>
    <row r="4" spans="1:9" x14ac:dyDescent="0.25">
      <c r="E4" s="96"/>
      <c r="H4" s="97"/>
    </row>
    <row r="5" spans="1:9" ht="13" x14ac:dyDescent="0.3">
      <c r="A5" s="94" t="s">
        <v>155</v>
      </c>
      <c r="E5" s="96"/>
      <c r="F5" s="93" t="s">
        <v>48</v>
      </c>
      <c r="H5" s="97"/>
    </row>
    <row r="6" spans="1:9" x14ac:dyDescent="0.25">
      <c r="E6" s="96"/>
      <c r="H6" s="97"/>
    </row>
    <row r="7" spans="1:9" ht="13" x14ac:dyDescent="0.3">
      <c r="A7" s="93" t="s">
        <v>277</v>
      </c>
      <c r="E7" s="96"/>
      <c r="H7" s="97"/>
    </row>
    <row r="8" spans="1:9" ht="43.5" customHeight="1" x14ac:dyDescent="0.25">
      <c r="B8" s="94" t="s">
        <v>279</v>
      </c>
      <c r="E8" s="96"/>
      <c r="F8" s="125"/>
      <c r="G8" s="171" t="s">
        <v>296</v>
      </c>
      <c r="H8" s="172"/>
      <c r="I8" s="172"/>
    </row>
    <row r="9" spans="1:9" ht="13" x14ac:dyDescent="0.3">
      <c r="A9" s="93" t="s">
        <v>54</v>
      </c>
      <c r="E9" s="96"/>
      <c r="H9" s="98">
        <f>SUM(F8)</f>
        <v>0</v>
      </c>
    </row>
    <row r="10" spans="1:9" x14ac:dyDescent="0.25">
      <c r="E10" s="96"/>
      <c r="H10" s="97"/>
    </row>
    <row r="11" spans="1:9" ht="13" x14ac:dyDescent="0.3">
      <c r="A11" s="93" t="s">
        <v>278</v>
      </c>
      <c r="E11" s="96"/>
      <c r="H11" s="97"/>
    </row>
    <row r="12" spans="1:9" ht="27" customHeight="1" x14ac:dyDescent="0.3">
      <c r="A12" s="93"/>
      <c r="B12" s="94" t="s">
        <v>280</v>
      </c>
      <c r="E12" s="96"/>
      <c r="F12" s="125"/>
      <c r="G12" s="171" t="s">
        <v>291</v>
      </c>
      <c r="H12" s="172"/>
      <c r="I12" s="172"/>
    </row>
    <row r="13" spans="1:9" ht="13" x14ac:dyDescent="0.3">
      <c r="A13" s="93"/>
      <c r="B13" s="94" t="s">
        <v>290</v>
      </c>
      <c r="C13" s="94" t="s">
        <v>269</v>
      </c>
      <c r="E13" s="96"/>
      <c r="F13" s="125"/>
      <c r="H13" s="97"/>
    </row>
    <row r="14" spans="1:9" ht="13" x14ac:dyDescent="0.3">
      <c r="A14" s="93"/>
      <c r="C14" s="94" t="s">
        <v>273</v>
      </c>
      <c r="E14" s="96"/>
      <c r="F14" s="125"/>
      <c r="H14" s="97"/>
    </row>
    <row r="15" spans="1:9" ht="13" x14ac:dyDescent="0.3">
      <c r="A15" s="93"/>
      <c r="C15" s="94" t="s">
        <v>32</v>
      </c>
      <c r="E15" s="96"/>
      <c r="F15" s="125"/>
      <c r="H15" s="97"/>
    </row>
    <row r="16" spans="1:9" ht="13" x14ac:dyDescent="0.3">
      <c r="A16" s="93"/>
      <c r="C16" s="94" t="s">
        <v>58</v>
      </c>
      <c r="E16" s="96"/>
      <c r="F16" s="125"/>
      <c r="H16" s="97"/>
    </row>
    <row r="17" spans="1:9" ht="13" x14ac:dyDescent="0.3">
      <c r="A17" s="93"/>
      <c r="C17" s="94" t="s">
        <v>288</v>
      </c>
      <c r="E17" s="96"/>
      <c r="F17" s="125"/>
      <c r="H17" s="97"/>
    </row>
    <row r="18" spans="1:9" ht="13" x14ac:dyDescent="0.3">
      <c r="A18" s="93"/>
      <c r="C18" s="94" t="s">
        <v>286</v>
      </c>
      <c r="E18" s="96"/>
      <c r="F18" s="126">
        <f>G18*0.05</f>
        <v>0</v>
      </c>
      <c r="G18" s="99">
        <f>SUM(F8:F17)</f>
        <v>0</v>
      </c>
      <c r="H18" s="97"/>
    </row>
    <row r="19" spans="1:9" ht="13" x14ac:dyDescent="0.3">
      <c r="A19" s="93"/>
      <c r="E19" s="96"/>
      <c r="H19" s="97"/>
    </row>
    <row r="20" spans="1:9" ht="13" x14ac:dyDescent="0.3">
      <c r="A20" s="93" t="s">
        <v>55</v>
      </c>
      <c r="E20" s="96"/>
      <c r="H20" s="137">
        <f>SUM(F12:F18)</f>
        <v>0</v>
      </c>
    </row>
    <row r="21" spans="1:9" ht="13.5" thickBot="1" x14ac:dyDescent="0.35">
      <c r="A21" s="93"/>
      <c r="E21" s="96"/>
      <c r="H21" s="100"/>
    </row>
    <row r="22" spans="1:9" ht="13.5" thickBot="1" x14ac:dyDescent="0.35">
      <c r="A22" s="93" t="s">
        <v>275</v>
      </c>
      <c r="E22" s="96"/>
      <c r="H22" s="127">
        <f>SUM(H9:H20)</f>
        <v>0</v>
      </c>
    </row>
    <row r="23" spans="1:9" ht="13.5" thickBot="1" x14ac:dyDescent="0.35">
      <c r="A23" s="93"/>
      <c r="E23" s="96"/>
      <c r="H23" s="101"/>
    </row>
    <row r="24" spans="1:9" ht="13.5" thickBot="1" x14ac:dyDescent="0.35">
      <c r="A24" s="93" t="s">
        <v>285</v>
      </c>
      <c r="E24" s="96"/>
      <c r="H24" s="127" t="e">
        <f>H22/H9</f>
        <v>#DIV/0!</v>
      </c>
    </row>
    <row r="25" spans="1:9" ht="12" customHeight="1" thickBot="1" x14ac:dyDescent="0.3">
      <c r="H25" s="102"/>
    </row>
    <row r="26" spans="1:9" ht="15.75" customHeight="1" x14ac:dyDescent="0.3">
      <c r="A26" s="115" t="s">
        <v>281</v>
      </c>
      <c r="B26" s="116"/>
      <c r="C26" s="116"/>
      <c r="D26" s="116"/>
      <c r="E26" s="117"/>
      <c r="H26" s="114"/>
    </row>
    <row r="27" spans="1:9" ht="15.75" customHeight="1" x14ac:dyDescent="0.3">
      <c r="A27" s="118" t="s">
        <v>282</v>
      </c>
      <c r="B27" s="119"/>
      <c r="C27" s="119"/>
      <c r="D27" s="119"/>
      <c r="E27" s="120"/>
    </row>
    <row r="28" spans="1:9" ht="15.75" customHeight="1" x14ac:dyDescent="0.3">
      <c r="A28" s="118" t="s">
        <v>283</v>
      </c>
      <c r="B28" s="119"/>
      <c r="C28" s="119"/>
      <c r="D28" s="119"/>
      <c r="E28" s="121"/>
      <c r="H28" s="100"/>
    </row>
    <row r="29" spans="1:9" ht="15.75" customHeight="1" x14ac:dyDescent="0.3">
      <c r="A29" s="118" t="s">
        <v>284</v>
      </c>
      <c r="B29" s="119"/>
      <c r="C29" s="119"/>
      <c r="D29" s="119"/>
      <c r="E29" s="121"/>
      <c r="H29" s="100"/>
    </row>
    <row r="30" spans="1:9" ht="15.75" customHeight="1" thickBot="1" x14ac:dyDescent="0.3">
      <c r="A30" s="122"/>
      <c r="B30" s="123"/>
      <c r="C30" s="123"/>
      <c r="D30" s="123"/>
      <c r="E30" s="124"/>
    </row>
    <row r="31" spans="1:9" ht="28.5" customHeight="1" x14ac:dyDescent="0.25">
      <c r="C31" s="170" t="s">
        <v>257</v>
      </c>
      <c r="D31" s="170"/>
      <c r="E31" s="170"/>
      <c r="H31" s="97"/>
    </row>
    <row r="32" spans="1:9" ht="52" x14ac:dyDescent="0.3">
      <c r="A32" s="103" t="s">
        <v>202</v>
      </c>
      <c r="B32" s="104"/>
      <c r="C32" s="105" t="s">
        <v>60</v>
      </c>
      <c r="D32" s="105" t="s">
        <v>62</v>
      </c>
      <c r="E32" s="105" t="s">
        <v>258</v>
      </c>
      <c r="F32" s="105" t="s">
        <v>153</v>
      </c>
      <c r="G32" s="106" t="s">
        <v>154</v>
      </c>
      <c r="H32" s="107" t="s">
        <v>63</v>
      </c>
      <c r="I32" s="108" t="s">
        <v>274</v>
      </c>
    </row>
    <row r="33" spans="2:9" ht="13.5" thickBot="1" x14ac:dyDescent="0.35">
      <c r="B33" s="109" t="s">
        <v>260</v>
      </c>
      <c r="C33" s="57"/>
      <c r="D33" s="57"/>
      <c r="E33" s="58"/>
      <c r="F33" s="110">
        <f>SUM(C33:E33)</f>
        <v>0</v>
      </c>
      <c r="G33" s="110">
        <f>F33*3/13/5</f>
        <v>0</v>
      </c>
      <c r="H33" s="110" t="e">
        <f t="shared" ref="H33:H41" si="0">G33*$H$24</f>
        <v>#DIV/0!</v>
      </c>
      <c r="I33" s="111" t="e">
        <f>ROUNDUP(H33,-1)</f>
        <v>#DIV/0!</v>
      </c>
    </row>
    <row r="34" spans="2:9" ht="13.5" thickBot="1" x14ac:dyDescent="0.35">
      <c r="B34" s="109" t="s">
        <v>261</v>
      </c>
      <c r="C34" s="60"/>
      <c r="D34" s="60"/>
      <c r="E34" s="61"/>
      <c r="F34" s="112">
        <f>SUM(C34:E34)</f>
        <v>0</v>
      </c>
      <c r="G34" s="112">
        <f>F34*3/13/5</f>
        <v>0</v>
      </c>
      <c r="H34" s="112" t="e">
        <f t="shared" si="0"/>
        <v>#DIV/0!</v>
      </c>
      <c r="I34" s="113" t="e">
        <f>ROUNDUP(H34,-1)</f>
        <v>#DIV/0!</v>
      </c>
    </row>
    <row r="35" spans="2:9" ht="13.5" thickBot="1" x14ac:dyDescent="0.35">
      <c r="B35" s="109" t="s">
        <v>262</v>
      </c>
      <c r="C35" s="60"/>
      <c r="D35" s="60"/>
      <c r="E35" s="61"/>
      <c r="F35" s="112">
        <f>SUM(C35:E35)</f>
        <v>0</v>
      </c>
      <c r="G35" s="112">
        <f>F35*3/13/5</f>
        <v>0</v>
      </c>
      <c r="H35" s="112" t="e">
        <f t="shared" si="0"/>
        <v>#DIV/0!</v>
      </c>
      <c r="I35" s="111" t="e">
        <f>ROUNDUP(H35,-1)</f>
        <v>#DIV/0!</v>
      </c>
    </row>
    <row r="36" spans="2:9" ht="13.5" thickBot="1" x14ac:dyDescent="0.35">
      <c r="B36" s="109" t="s">
        <v>263</v>
      </c>
      <c r="C36" s="60"/>
      <c r="D36" s="60"/>
      <c r="E36" s="61"/>
      <c r="F36" s="112">
        <f t="shared" ref="F36:F41" si="1">SUM(C36:E36)</f>
        <v>0</v>
      </c>
      <c r="G36" s="112">
        <f t="shared" ref="G36:G41" si="2">F36*3/13/5</f>
        <v>0</v>
      </c>
      <c r="H36" s="112" t="e">
        <f t="shared" si="0"/>
        <v>#DIV/0!</v>
      </c>
      <c r="I36" s="111" t="e">
        <f t="shared" ref="I36:I41" si="3">ROUNDUP(H36,-1)</f>
        <v>#DIV/0!</v>
      </c>
    </row>
    <row r="37" spans="2:9" ht="13.5" thickBot="1" x14ac:dyDescent="0.35">
      <c r="B37" s="109" t="s">
        <v>264</v>
      </c>
      <c r="C37" s="60"/>
      <c r="D37" s="60"/>
      <c r="E37" s="61"/>
      <c r="F37" s="112">
        <f t="shared" si="1"/>
        <v>0</v>
      </c>
      <c r="G37" s="112">
        <f t="shared" si="2"/>
        <v>0</v>
      </c>
      <c r="H37" s="112" t="e">
        <f t="shared" si="0"/>
        <v>#DIV/0!</v>
      </c>
      <c r="I37" s="111" t="e">
        <f t="shared" si="3"/>
        <v>#DIV/0!</v>
      </c>
    </row>
    <row r="38" spans="2:9" ht="13.5" thickBot="1" x14ac:dyDescent="0.35">
      <c r="B38" s="109" t="s">
        <v>265</v>
      </c>
      <c r="C38" s="60"/>
      <c r="D38" s="60"/>
      <c r="E38" s="60"/>
      <c r="F38" s="112">
        <f t="shared" si="1"/>
        <v>0</v>
      </c>
      <c r="G38" s="112">
        <f t="shared" si="2"/>
        <v>0</v>
      </c>
      <c r="H38" s="112" t="e">
        <f t="shared" si="0"/>
        <v>#DIV/0!</v>
      </c>
      <c r="I38" s="111" t="e">
        <f t="shared" si="3"/>
        <v>#DIV/0!</v>
      </c>
    </row>
    <row r="39" spans="2:9" ht="13.5" thickBot="1" x14ac:dyDescent="0.35">
      <c r="B39" s="109" t="s">
        <v>266</v>
      </c>
      <c r="C39" s="60"/>
      <c r="D39" s="60"/>
      <c r="E39" s="60"/>
      <c r="F39" s="112">
        <f t="shared" si="1"/>
        <v>0</v>
      </c>
      <c r="G39" s="112">
        <f t="shared" si="2"/>
        <v>0</v>
      </c>
      <c r="H39" s="112" t="e">
        <f t="shared" si="0"/>
        <v>#DIV/0!</v>
      </c>
      <c r="I39" s="111" t="e">
        <f t="shared" si="3"/>
        <v>#DIV/0!</v>
      </c>
    </row>
    <row r="40" spans="2:9" ht="13.5" thickBot="1" x14ac:dyDescent="0.35">
      <c r="B40" s="109" t="s">
        <v>267</v>
      </c>
      <c r="C40" s="60"/>
      <c r="D40" s="60"/>
      <c r="E40" s="60"/>
      <c r="F40" s="112">
        <f t="shared" si="1"/>
        <v>0</v>
      </c>
      <c r="G40" s="112">
        <f t="shared" si="2"/>
        <v>0</v>
      </c>
      <c r="H40" s="112" t="e">
        <f t="shared" si="0"/>
        <v>#DIV/0!</v>
      </c>
      <c r="I40" s="111" t="e">
        <f t="shared" si="3"/>
        <v>#DIV/0!</v>
      </c>
    </row>
    <row r="41" spans="2:9" ht="13.5" thickBot="1" x14ac:dyDescent="0.35">
      <c r="B41" s="109" t="s">
        <v>268</v>
      </c>
      <c r="C41" s="60"/>
      <c r="D41" s="60"/>
      <c r="E41" s="60"/>
      <c r="F41" s="112">
        <f t="shared" si="1"/>
        <v>0</v>
      </c>
      <c r="G41" s="112">
        <f t="shared" si="2"/>
        <v>0</v>
      </c>
      <c r="H41" s="112" t="e">
        <f t="shared" si="0"/>
        <v>#DIV/0!</v>
      </c>
      <c r="I41" s="111" t="e">
        <f t="shared" si="3"/>
        <v>#DIV/0!</v>
      </c>
    </row>
  </sheetData>
  <sheetProtection sheet="1" objects="1" scenarios="1"/>
  <mergeCells count="4">
    <mergeCell ref="C31:E31"/>
    <mergeCell ref="G8:I8"/>
    <mergeCell ref="G12:I12"/>
    <mergeCell ref="A3:D3"/>
  </mergeCells>
  <pageMargins left="0.75" right="0.75" top="1" bottom="1" header="0.5" footer="0.5"/>
  <pageSetup paperSize="9" scale="71" firstPageNumber="20" orientation="landscape" useFirstPageNumber="1" verticalDpi="300" r:id="rId1"/>
  <headerFooter alignWithMargins="0">
    <oddHeader>&amp;C&amp;F &amp;A</oddHeader>
    <oddFooter>&amp;L&amp;P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zoomScale="75" workbookViewId="0">
      <selection activeCell="B68" sqref="B68"/>
    </sheetView>
  </sheetViews>
  <sheetFormatPr defaultRowHeight="12.5" x14ac:dyDescent="0.25"/>
  <cols>
    <col min="1" max="1" width="13.54296875" customWidth="1"/>
    <col min="2" max="2" width="15.1796875" customWidth="1"/>
    <col min="3" max="3" width="21.54296875" customWidth="1"/>
    <col min="4" max="4" width="18.81640625" customWidth="1"/>
    <col min="5" max="5" width="19.81640625" customWidth="1"/>
    <col min="6" max="6" width="11.7265625" customWidth="1"/>
    <col min="7" max="7" width="11.1796875" style="15" customWidth="1"/>
    <col min="9" max="9" width="10.1796875" customWidth="1"/>
    <col min="16" max="16" width="12" bestFit="1" customWidth="1"/>
  </cols>
  <sheetData>
    <row r="1" spans="1:10" ht="13" x14ac:dyDescent="0.3">
      <c r="A1" s="11" t="s">
        <v>14</v>
      </c>
      <c r="E1" s="1"/>
      <c r="H1" s="2"/>
    </row>
    <row r="2" spans="1:10" ht="13" x14ac:dyDescent="0.3">
      <c r="A2" t="s">
        <v>155</v>
      </c>
      <c r="E2" s="1"/>
      <c r="F2" s="51" t="s">
        <v>207</v>
      </c>
      <c r="H2" s="2"/>
    </row>
    <row r="3" spans="1:10" ht="13" x14ac:dyDescent="0.3">
      <c r="E3" s="1"/>
      <c r="F3" s="51" t="s">
        <v>206</v>
      </c>
    </row>
    <row r="4" spans="1:10" ht="13" x14ac:dyDescent="0.3">
      <c r="A4" s="11" t="s">
        <v>47</v>
      </c>
      <c r="E4" s="1"/>
      <c r="H4" s="2"/>
    </row>
    <row r="5" spans="1:10" ht="38.25" customHeight="1" x14ac:dyDescent="0.25">
      <c r="B5" s="182" t="s">
        <v>3</v>
      </c>
      <c r="C5" s="182"/>
      <c r="D5" s="182"/>
      <c r="E5" s="183"/>
      <c r="F5" s="89">
        <f>I42</f>
        <v>173676.92307692309</v>
      </c>
      <c r="G5" s="37"/>
      <c r="H5" s="171" t="s">
        <v>296</v>
      </c>
      <c r="I5" s="172"/>
      <c r="J5" s="172"/>
    </row>
    <row r="6" spans="1:10" ht="13" x14ac:dyDescent="0.3">
      <c r="A6" s="11" t="s">
        <v>54</v>
      </c>
      <c r="E6" s="1"/>
      <c r="F6" s="91"/>
      <c r="H6" s="18">
        <f>SUM(F5)</f>
        <v>173676.92307692309</v>
      </c>
    </row>
    <row r="7" spans="1:10" x14ac:dyDescent="0.25">
      <c r="E7" s="1"/>
      <c r="F7" s="92"/>
      <c r="H7" s="2"/>
    </row>
    <row r="8" spans="1:10" ht="13" x14ac:dyDescent="0.3">
      <c r="A8" s="11" t="s">
        <v>252</v>
      </c>
      <c r="E8" s="1"/>
      <c r="F8" s="53"/>
      <c r="H8" s="2"/>
    </row>
    <row r="9" spans="1:10" ht="24" customHeight="1" x14ac:dyDescent="0.3">
      <c r="A9" s="11"/>
      <c r="B9" s="182" t="s">
        <v>4</v>
      </c>
      <c r="C9" s="182"/>
      <c r="D9" s="182"/>
      <c r="E9" s="183"/>
      <c r="F9" s="90">
        <f>G49</f>
        <v>160703.07692307691</v>
      </c>
      <c r="H9" s="171" t="s">
        <v>291</v>
      </c>
      <c r="I9" s="172"/>
      <c r="J9" s="172"/>
    </row>
    <row r="10" spans="1:10" ht="13" x14ac:dyDescent="0.3">
      <c r="A10" s="11"/>
      <c r="B10" t="s">
        <v>287</v>
      </c>
      <c r="C10" t="s">
        <v>269</v>
      </c>
      <c r="E10" s="1"/>
      <c r="F10" s="88">
        <v>17000</v>
      </c>
      <c r="H10" s="2"/>
    </row>
    <row r="11" spans="1:10" ht="13" x14ac:dyDescent="0.3">
      <c r="A11" s="11"/>
      <c r="C11" t="s">
        <v>51</v>
      </c>
      <c r="E11" s="1"/>
      <c r="F11" s="88">
        <v>10000</v>
      </c>
      <c r="H11" s="2"/>
    </row>
    <row r="12" spans="1:10" ht="13" x14ac:dyDescent="0.3">
      <c r="A12" s="11"/>
      <c r="C12" t="s">
        <v>32</v>
      </c>
      <c r="E12" s="1"/>
      <c r="F12" s="88">
        <v>18000</v>
      </c>
      <c r="H12" s="2"/>
    </row>
    <row r="13" spans="1:10" ht="13" x14ac:dyDescent="0.3">
      <c r="A13" s="11"/>
      <c r="C13" t="s">
        <v>58</v>
      </c>
      <c r="E13" s="1"/>
      <c r="F13" s="88">
        <v>7300</v>
      </c>
      <c r="H13" s="2"/>
    </row>
    <row r="14" spans="1:10" ht="13" x14ac:dyDescent="0.3">
      <c r="A14" s="11"/>
      <c r="C14" t="s">
        <v>288</v>
      </c>
      <c r="E14" s="1"/>
      <c r="F14" s="88">
        <v>12777</v>
      </c>
      <c r="H14" s="2"/>
    </row>
    <row r="15" spans="1:10" ht="13" x14ac:dyDescent="0.3">
      <c r="A15" s="11"/>
      <c r="C15" t="s">
        <v>286</v>
      </c>
      <c r="E15" s="1"/>
      <c r="F15" s="62">
        <f>G15*0.05</f>
        <v>19972.850000000002</v>
      </c>
      <c r="G15" s="19">
        <f>SUM(F5:F14)</f>
        <v>399457</v>
      </c>
      <c r="H15" s="2"/>
    </row>
    <row r="16" spans="1:10" ht="13" x14ac:dyDescent="0.3">
      <c r="A16" s="11"/>
      <c r="E16" s="1"/>
      <c r="H16" s="2"/>
    </row>
    <row r="17" spans="1:9" ht="13" x14ac:dyDescent="0.3">
      <c r="A17" s="11" t="s">
        <v>55</v>
      </c>
      <c r="E17" s="1"/>
      <c r="H17" s="18">
        <f>SUM(F9:F15)</f>
        <v>245752.92692307691</v>
      </c>
    </row>
    <row r="18" spans="1:9" x14ac:dyDescent="0.25">
      <c r="E18" s="1"/>
      <c r="H18" s="4"/>
    </row>
    <row r="19" spans="1:9" ht="13" x14ac:dyDescent="0.3">
      <c r="A19" s="11" t="s">
        <v>56</v>
      </c>
      <c r="E19" s="1"/>
      <c r="H19" s="18">
        <f>SUM(H6:H17)</f>
        <v>419429.85</v>
      </c>
    </row>
    <row r="20" spans="1:9" x14ac:dyDescent="0.25">
      <c r="E20" s="1"/>
      <c r="H20" s="2"/>
    </row>
    <row r="21" spans="1:9" ht="13" x14ac:dyDescent="0.3">
      <c r="A21" s="11" t="s">
        <v>285</v>
      </c>
      <c r="E21" s="1"/>
      <c r="H21" s="18">
        <f>H19/H6</f>
        <v>2.4150004650544776</v>
      </c>
    </row>
    <row r="22" spans="1:9" ht="13" x14ac:dyDescent="0.3">
      <c r="A22" s="11"/>
      <c r="E22" s="1"/>
      <c r="H22" s="18"/>
    </row>
    <row r="23" spans="1:9" x14ac:dyDescent="0.25">
      <c r="A23" t="s">
        <v>289</v>
      </c>
      <c r="E23" s="1"/>
      <c r="H23" s="2"/>
    </row>
    <row r="24" spans="1:9" ht="24.75" customHeight="1" x14ac:dyDescent="0.25">
      <c r="C24" s="181" t="s">
        <v>257</v>
      </c>
      <c r="D24" s="181"/>
      <c r="E24" s="181"/>
      <c r="H24" s="2"/>
    </row>
    <row r="25" spans="1:9" ht="52.5" thickBot="1" x14ac:dyDescent="0.35">
      <c r="A25" s="14" t="s">
        <v>202</v>
      </c>
      <c r="B25" s="14"/>
      <c r="C25" s="83" t="s">
        <v>60</v>
      </c>
      <c r="D25" s="83" t="s">
        <v>62</v>
      </c>
      <c r="E25" s="83" t="s">
        <v>258</v>
      </c>
      <c r="F25" s="13" t="s">
        <v>153</v>
      </c>
      <c r="G25" s="16" t="s">
        <v>154</v>
      </c>
      <c r="H25" s="17" t="s">
        <v>203</v>
      </c>
      <c r="I25" s="17" t="s">
        <v>201</v>
      </c>
    </row>
    <row r="26" spans="1:9" ht="13" x14ac:dyDescent="0.3">
      <c r="A26" s="54"/>
      <c r="B26" s="55" t="s">
        <v>157</v>
      </c>
      <c r="C26" s="84">
        <v>4000</v>
      </c>
      <c r="D26" s="84">
        <v>800</v>
      </c>
      <c r="E26" s="85">
        <v>500</v>
      </c>
      <c r="F26" s="62">
        <f>SUM(C26:E26)</f>
        <v>5300</v>
      </c>
      <c r="G26" s="62">
        <f>F26*12/52/5</f>
        <v>244.61538461538461</v>
      </c>
      <c r="H26" s="62">
        <f>G26*$H$21</f>
        <v>590.74626760563376</v>
      </c>
      <c r="I26" s="81">
        <f>ROUNDUP(H26,-1)</f>
        <v>600</v>
      </c>
    </row>
    <row r="27" spans="1:9" ht="13" x14ac:dyDescent="0.3">
      <c r="A27" s="54"/>
      <c r="B27" s="55" t="s">
        <v>158</v>
      </c>
      <c r="C27" s="84">
        <v>5000</v>
      </c>
      <c r="D27" s="84">
        <v>900</v>
      </c>
      <c r="E27" s="85">
        <v>400</v>
      </c>
      <c r="F27" s="62">
        <f>SUM(C27:E27)</f>
        <v>6300</v>
      </c>
      <c r="G27" s="62">
        <f>F27*12/52/5</f>
        <v>290.76923076923077</v>
      </c>
      <c r="H27" s="62">
        <f>G27*$H$21</f>
        <v>702.20782753122501</v>
      </c>
      <c r="I27" s="82">
        <f>ROUNDUP(H27,-1)</f>
        <v>710</v>
      </c>
    </row>
    <row r="28" spans="1:9" ht="13.5" thickBot="1" x14ac:dyDescent="0.35">
      <c r="A28" s="54"/>
      <c r="B28" s="55" t="s">
        <v>159</v>
      </c>
      <c r="C28" s="84">
        <v>5500</v>
      </c>
      <c r="D28" s="84">
        <v>1100</v>
      </c>
      <c r="E28" s="85">
        <v>615</v>
      </c>
      <c r="F28" s="62">
        <f>SUM(C28:E28)</f>
        <v>7215</v>
      </c>
      <c r="G28" s="62">
        <f>F28*12/52/5</f>
        <v>333</v>
      </c>
      <c r="H28" s="62">
        <f>G28*$H$21</f>
        <v>804.19515486314106</v>
      </c>
      <c r="I28" s="59">
        <f>ROUNDUP(H28,-1)</f>
        <v>810</v>
      </c>
    </row>
    <row r="29" spans="1:9" x14ac:dyDescent="0.25">
      <c r="E29" s="1"/>
      <c r="H29" s="2"/>
    </row>
    <row r="30" spans="1:9" ht="20.5" x14ac:dyDescent="0.25">
      <c r="E30" s="38" t="s">
        <v>298</v>
      </c>
      <c r="G30" s="15">
        <f>SUM(G26:G29)</f>
        <v>868.38461538461536</v>
      </c>
      <c r="H30" s="46" t="s">
        <v>297</v>
      </c>
      <c r="I30">
        <f>G30*E64</f>
        <v>173676.92307692306</v>
      </c>
    </row>
    <row r="31" spans="1:9" ht="13" thickBot="1" x14ac:dyDescent="0.3">
      <c r="A31" s="5"/>
      <c r="B31" s="5"/>
      <c r="C31" s="5"/>
      <c r="D31" s="5"/>
      <c r="E31" s="158"/>
      <c r="F31" s="5"/>
      <c r="G31" s="31"/>
      <c r="H31" s="49"/>
      <c r="I31" s="5"/>
    </row>
    <row r="32" spans="1:9" ht="16" thickBot="1" x14ac:dyDescent="0.4">
      <c r="A32" s="159" t="s">
        <v>7</v>
      </c>
      <c r="B32" s="160"/>
    </row>
    <row r="33" spans="1:9" x14ac:dyDescent="0.25">
      <c r="A33" s="130"/>
      <c r="B33" s="21"/>
      <c r="C33" s="21"/>
      <c r="D33" s="21"/>
      <c r="E33" s="21"/>
      <c r="F33" s="21"/>
      <c r="G33" s="39"/>
      <c r="H33" s="21"/>
      <c r="I33" s="40"/>
    </row>
    <row r="34" spans="1:9" ht="18.75" customHeight="1" x14ac:dyDescent="0.3">
      <c r="A34" s="24" t="s">
        <v>187</v>
      </c>
      <c r="B34" s="5"/>
      <c r="C34" s="5"/>
      <c r="D34" s="5"/>
      <c r="E34" s="5"/>
      <c r="F34" s="5"/>
      <c r="G34" s="5"/>
      <c r="H34" s="5"/>
      <c r="I34" s="41"/>
    </row>
    <row r="35" spans="1:9" ht="18.75" customHeight="1" x14ac:dyDescent="0.3">
      <c r="A35" s="24" t="s">
        <v>188</v>
      </c>
      <c r="B35" s="5"/>
      <c r="C35" s="5"/>
      <c r="D35" s="5"/>
      <c r="E35" s="5"/>
      <c r="F35" s="5"/>
      <c r="G35" s="5"/>
      <c r="H35" s="5"/>
      <c r="I35" s="41"/>
    </row>
    <row r="36" spans="1:9" ht="18.75" customHeight="1" x14ac:dyDescent="0.3">
      <c r="A36" s="24" t="s">
        <v>204</v>
      </c>
      <c r="B36" s="5"/>
      <c r="C36" s="129">
        <f>200/260</f>
        <v>0.76923076923076927</v>
      </c>
      <c r="D36" s="5"/>
      <c r="E36" s="5"/>
      <c r="F36" s="5"/>
      <c r="G36" s="5"/>
      <c r="H36" s="5"/>
      <c r="I36" s="41"/>
    </row>
    <row r="37" spans="1:9" ht="13" x14ac:dyDescent="0.3">
      <c r="A37" s="24"/>
      <c r="B37" s="5"/>
      <c r="C37" s="128"/>
      <c r="D37" s="5"/>
      <c r="E37" s="5"/>
      <c r="F37" s="5"/>
      <c r="G37" s="5"/>
      <c r="H37" s="5"/>
      <c r="I37" s="41"/>
    </row>
    <row r="38" spans="1:9" ht="30.75" customHeight="1" x14ac:dyDescent="0.25">
      <c r="A38" s="131"/>
      <c r="B38" s="56" t="s">
        <v>197</v>
      </c>
      <c r="C38" s="56" t="s">
        <v>198</v>
      </c>
      <c r="D38" s="56" t="s">
        <v>199</v>
      </c>
      <c r="E38" s="56" t="s">
        <v>153</v>
      </c>
      <c r="F38" s="56" t="s">
        <v>196</v>
      </c>
      <c r="G38" s="5"/>
      <c r="H38" s="5"/>
      <c r="I38" s="41"/>
    </row>
    <row r="39" spans="1:9" x14ac:dyDescent="0.25">
      <c r="A39" s="131" t="s">
        <v>157</v>
      </c>
      <c r="B39" s="14">
        <v>4000</v>
      </c>
      <c r="C39" s="14">
        <v>800</v>
      </c>
      <c r="D39" s="14">
        <v>500</v>
      </c>
      <c r="E39" s="14">
        <f>SUM(B39:D39)</f>
        <v>5300</v>
      </c>
      <c r="F39" s="14">
        <f>E39*12</f>
        <v>63600</v>
      </c>
      <c r="G39" s="5"/>
      <c r="H39" s="5"/>
      <c r="I39" s="41"/>
    </row>
    <row r="40" spans="1:9" x14ac:dyDescent="0.25">
      <c r="A40" s="131" t="s">
        <v>158</v>
      </c>
      <c r="B40" s="14">
        <v>5000</v>
      </c>
      <c r="C40" s="14">
        <v>900</v>
      </c>
      <c r="D40" s="14">
        <v>400</v>
      </c>
      <c r="E40" s="14">
        <f>SUM(B40:D40)</f>
        <v>6300</v>
      </c>
      <c r="F40" s="14">
        <f>E40*12</f>
        <v>75600</v>
      </c>
      <c r="G40" s="5"/>
      <c r="H40" s="5"/>
      <c r="I40" s="41"/>
    </row>
    <row r="41" spans="1:9" x14ac:dyDescent="0.25">
      <c r="A41" s="131" t="s">
        <v>159</v>
      </c>
      <c r="B41" s="14">
        <v>5500</v>
      </c>
      <c r="C41" s="14">
        <v>1100</v>
      </c>
      <c r="D41" s="14">
        <v>615</v>
      </c>
      <c r="E41" s="14">
        <f>SUM(B41:D41)</f>
        <v>7215</v>
      </c>
      <c r="F41" s="14">
        <f>E41*12</f>
        <v>86580</v>
      </c>
      <c r="G41" s="31"/>
      <c r="H41" s="31" t="s">
        <v>200</v>
      </c>
      <c r="I41" s="41"/>
    </row>
    <row r="42" spans="1:9" ht="13" x14ac:dyDescent="0.3">
      <c r="A42" s="131"/>
      <c r="B42" s="14"/>
      <c r="C42" s="14"/>
      <c r="D42" s="14"/>
      <c r="E42" s="48" t="str">
        <f>A4</f>
        <v>Direct salary costs:</v>
      </c>
      <c r="F42" s="5"/>
      <c r="G42" s="14">
        <f>SUM(F39:F41)</f>
        <v>225780</v>
      </c>
      <c r="H42" s="63">
        <f>C36</f>
        <v>0.76923076923076927</v>
      </c>
      <c r="I42" s="132">
        <f>G42*H42</f>
        <v>173676.92307692309</v>
      </c>
    </row>
    <row r="43" spans="1:9" x14ac:dyDescent="0.25">
      <c r="A43" s="131" t="s">
        <v>185</v>
      </c>
      <c r="B43" s="14">
        <v>3500</v>
      </c>
      <c r="C43" s="14">
        <v>650</v>
      </c>
      <c r="D43" s="14">
        <v>375</v>
      </c>
      <c r="E43" s="14">
        <f>SUM(B43:D43)</f>
        <v>4525</v>
      </c>
      <c r="F43" s="14">
        <f>E43*12</f>
        <v>54300</v>
      </c>
      <c r="G43" s="5"/>
      <c r="H43" s="5"/>
      <c r="I43" s="41"/>
    </row>
    <row r="44" spans="1:9" x14ac:dyDescent="0.25">
      <c r="A44" s="131" t="s">
        <v>186</v>
      </c>
      <c r="B44" s="14">
        <v>3500</v>
      </c>
      <c r="C44" s="14">
        <v>650</v>
      </c>
      <c r="D44" s="14">
        <v>375</v>
      </c>
      <c r="E44" s="14">
        <f>SUM(B44:D44)</f>
        <v>4525</v>
      </c>
      <c r="F44" s="14">
        <f>E44*12</f>
        <v>54300</v>
      </c>
      <c r="G44" s="5"/>
      <c r="H44" s="5"/>
      <c r="I44" s="41"/>
    </row>
    <row r="45" spans="1:9" x14ac:dyDescent="0.25">
      <c r="A45" s="25"/>
      <c r="B45" s="5"/>
      <c r="C45" s="5"/>
      <c r="D45" s="5"/>
      <c r="E45" s="5"/>
      <c r="F45" s="27" t="s">
        <v>15</v>
      </c>
      <c r="G45" s="14">
        <f>SUM(F43:F44)</f>
        <v>108600</v>
      </c>
      <c r="H45" s="5"/>
      <c r="I45" s="41"/>
    </row>
    <row r="46" spans="1:9" x14ac:dyDescent="0.25">
      <c r="A46" s="25"/>
      <c r="B46" s="5"/>
      <c r="C46" s="5"/>
      <c r="D46" s="5"/>
      <c r="E46" s="5"/>
      <c r="F46" s="180" t="s">
        <v>16</v>
      </c>
      <c r="G46" s="178">
        <f>G42-I42</f>
        <v>52103.076923076907</v>
      </c>
      <c r="H46" s="5"/>
      <c r="I46" s="41"/>
    </row>
    <row r="47" spans="1:9" ht="8.25" customHeight="1" thickBot="1" x14ac:dyDescent="0.3">
      <c r="A47" s="25"/>
      <c r="B47" s="5"/>
      <c r="C47" s="5"/>
      <c r="D47" s="5"/>
      <c r="E47" s="5"/>
      <c r="F47" s="180"/>
      <c r="G47" s="179"/>
      <c r="H47" s="5"/>
      <c r="I47" s="41"/>
    </row>
    <row r="48" spans="1:9" x14ac:dyDescent="0.25">
      <c r="A48" s="25"/>
      <c r="B48" s="5"/>
      <c r="C48" s="5"/>
      <c r="D48" s="5"/>
      <c r="E48" s="5"/>
      <c r="F48" s="5"/>
      <c r="G48" s="49"/>
      <c r="H48" s="5"/>
      <c r="I48" s="41"/>
    </row>
    <row r="49" spans="1:9" ht="13" x14ac:dyDescent="0.3">
      <c r="A49" s="25"/>
      <c r="B49" s="5"/>
      <c r="C49" s="5"/>
      <c r="D49" s="5"/>
      <c r="E49" s="43" t="s">
        <v>193</v>
      </c>
      <c r="F49" s="5"/>
      <c r="G49" s="50">
        <f>SUM(G45:G47)</f>
        <v>160703.07692307691</v>
      </c>
      <c r="H49" s="5"/>
      <c r="I49" s="41"/>
    </row>
    <row r="50" spans="1:9" x14ac:dyDescent="0.25">
      <c r="A50" s="25"/>
      <c r="B50" s="5"/>
      <c r="C50" s="5"/>
      <c r="D50" s="5"/>
      <c r="E50" s="5"/>
      <c r="F50" s="5"/>
      <c r="G50" s="31"/>
      <c r="H50" s="5"/>
      <c r="I50" s="41"/>
    </row>
    <row r="51" spans="1:9" ht="13" x14ac:dyDescent="0.3">
      <c r="A51" s="24" t="s">
        <v>205</v>
      </c>
      <c r="B51" s="5"/>
      <c r="C51" s="5"/>
      <c r="D51" s="5"/>
      <c r="E51" s="5"/>
      <c r="F51" s="5"/>
      <c r="G51" s="31"/>
      <c r="H51" s="5"/>
      <c r="I51" s="41"/>
    </row>
    <row r="52" spans="1:9" x14ac:dyDescent="0.25">
      <c r="A52" s="25" t="s">
        <v>189</v>
      </c>
      <c r="B52" s="5"/>
      <c r="C52" s="5"/>
      <c r="D52" s="5">
        <v>260</v>
      </c>
      <c r="E52" s="5"/>
      <c r="F52" s="5"/>
      <c r="G52" s="31"/>
      <c r="H52" s="5"/>
      <c r="I52" s="41"/>
    </row>
    <row r="53" spans="1:9" x14ac:dyDescent="0.25">
      <c r="A53" s="25" t="s">
        <v>190</v>
      </c>
      <c r="B53" s="5"/>
      <c r="C53" s="5"/>
      <c r="D53" s="5">
        <v>-30</v>
      </c>
      <c r="E53" s="5"/>
      <c r="F53" s="5"/>
      <c r="G53" s="31"/>
      <c r="H53" s="5"/>
      <c r="I53" s="41"/>
    </row>
    <row r="54" spans="1:9" x14ac:dyDescent="0.25">
      <c r="A54" s="25" t="s">
        <v>191</v>
      </c>
      <c r="B54" s="5"/>
      <c r="C54" s="5"/>
      <c r="D54" s="5">
        <v>-10</v>
      </c>
      <c r="E54" s="5"/>
      <c r="F54" s="5"/>
      <c r="G54" s="31"/>
      <c r="H54" s="5"/>
      <c r="I54" s="41"/>
    </row>
    <row r="55" spans="1:9" ht="13" thickBot="1" x14ac:dyDescent="0.3">
      <c r="A55" s="25" t="s">
        <v>292</v>
      </c>
      <c r="B55" s="5"/>
      <c r="C55" s="5"/>
      <c r="D55" s="33">
        <v>-20</v>
      </c>
      <c r="E55" s="5"/>
      <c r="F55" s="5"/>
      <c r="G55" s="31"/>
      <c r="H55" s="5"/>
      <c r="I55" s="41"/>
    </row>
    <row r="56" spans="1:9" x14ac:dyDescent="0.25">
      <c r="A56" s="25"/>
      <c r="B56" s="5"/>
      <c r="C56" s="5"/>
      <c r="D56" s="5"/>
      <c r="E56" s="5"/>
      <c r="F56" s="5"/>
      <c r="G56" s="31"/>
      <c r="H56" s="5"/>
      <c r="I56" s="41"/>
    </row>
    <row r="57" spans="1:9" ht="13" x14ac:dyDescent="0.3">
      <c r="A57" s="24" t="s">
        <v>17</v>
      </c>
      <c r="B57" s="5"/>
      <c r="C57" s="5"/>
      <c r="D57" s="43">
        <f>SUM(D48:D55)</f>
        <v>200</v>
      </c>
      <c r="E57" s="5"/>
      <c r="F57" s="5"/>
      <c r="G57" s="31"/>
      <c r="H57" s="5"/>
      <c r="I57" s="41"/>
    </row>
    <row r="58" spans="1:9" ht="13" x14ac:dyDescent="0.3">
      <c r="A58" s="24" t="s">
        <v>18</v>
      </c>
      <c r="B58" s="5"/>
      <c r="C58" s="5"/>
      <c r="D58" s="128">
        <f>D57/D52</f>
        <v>0.76923076923076927</v>
      </c>
      <c r="E58" s="5"/>
      <c r="F58" s="5"/>
      <c r="G58" s="31"/>
      <c r="H58" s="5"/>
      <c r="I58" s="41"/>
    </row>
    <row r="59" spans="1:9" x14ac:dyDescent="0.25">
      <c r="A59" s="25" t="s">
        <v>192</v>
      </c>
      <c r="B59" s="5"/>
      <c r="C59" s="5"/>
      <c r="D59" s="5"/>
      <c r="E59" s="5"/>
      <c r="F59" s="5"/>
      <c r="G59" s="31"/>
      <c r="H59" s="5"/>
      <c r="I59" s="41"/>
    </row>
    <row r="60" spans="1:9" ht="13" thickBot="1" x14ac:dyDescent="0.3">
      <c r="A60" s="32"/>
      <c r="B60" s="33"/>
      <c r="C60" s="33"/>
      <c r="D60" s="33"/>
      <c r="E60" s="33"/>
      <c r="F60" s="33"/>
      <c r="G60" s="35"/>
      <c r="H60" s="33"/>
      <c r="I60" s="42"/>
    </row>
    <row r="61" spans="1:9" ht="13" thickBot="1" x14ac:dyDescent="0.3"/>
    <row r="62" spans="1:9" ht="16" thickBot="1" x14ac:dyDescent="0.4">
      <c r="A62" s="164" t="s">
        <v>6</v>
      </c>
      <c r="B62" s="165"/>
    </row>
    <row r="63" spans="1:9" ht="38" x14ac:dyDescent="0.3">
      <c r="A63" s="176" t="s">
        <v>5</v>
      </c>
      <c r="B63" s="177"/>
      <c r="C63" s="177"/>
      <c r="D63" s="177"/>
      <c r="E63" s="22" t="s">
        <v>19</v>
      </c>
      <c r="F63" s="161" t="s">
        <v>21</v>
      </c>
      <c r="G63" s="162" t="s">
        <v>194</v>
      </c>
      <c r="H63" s="161" t="s">
        <v>20</v>
      </c>
      <c r="I63" s="163" t="s">
        <v>195</v>
      </c>
    </row>
    <row r="64" spans="1:9" ht="13" x14ac:dyDescent="0.3">
      <c r="A64" s="24"/>
      <c r="B64" s="158"/>
      <c r="C64" s="5"/>
      <c r="D64" s="14" t="s">
        <v>157</v>
      </c>
      <c r="E64" s="166">
        <v>200</v>
      </c>
      <c r="F64" s="62">
        <f>H26</f>
        <v>590.74626760563376</v>
      </c>
      <c r="G64" s="166">
        <f>E64*F64</f>
        <v>118149.25352112675</v>
      </c>
      <c r="H64" s="167">
        <f>I26</f>
        <v>600</v>
      </c>
      <c r="I64" s="14">
        <f>H64*E64</f>
        <v>120000</v>
      </c>
    </row>
    <row r="65" spans="1:9" ht="13" x14ac:dyDescent="0.3">
      <c r="A65" s="25"/>
      <c r="B65" s="43"/>
      <c r="C65" s="43"/>
      <c r="D65" s="14" t="s">
        <v>158</v>
      </c>
      <c r="E65" s="14">
        <v>200</v>
      </c>
      <c r="F65" s="62">
        <f>H27</f>
        <v>702.20782753122501</v>
      </c>
      <c r="G65" s="166">
        <f>E65*F65</f>
        <v>140441.56550624501</v>
      </c>
      <c r="H65" s="167">
        <f>I27</f>
        <v>710</v>
      </c>
      <c r="I65" s="14">
        <f>H65*E65</f>
        <v>142000</v>
      </c>
    </row>
    <row r="66" spans="1:9" x14ac:dyDescent="0.25">
      <c r="A66" s="25"/>
      <c r="B66" s="5"/>
      <c r="C66" s="5"/>
      <c r="D66" s="14" t="s">
        <v>159</v>
      </c>
      <c r="E66" s="14">
        <v>200</v>
      </c>
      <c r="F66" s="62">
        <f>H28</f>
        <v>804.19515486314106</v>
      </c>
      <c r="G66" s="166">
        <f>E66*F66</f>
        <v>160839.03097262821</v>
      </c>
      <c r="H66" s="167">
        <f>I28</f>
        <v>810</v>
      </c>
      <c r="I66" s="14">
        <f>H66*E66</f>
        <v>162000</v>
      </c>
    </row>
    <row r="67" spans="1:9" x14ac:dyDescent="0.25">
      <c r="A67" s="25"/>
      <c r="B67" s="5"/>
      <c r="C67" s="5"/>
      <c r="D67" s="5"/>
      <c r="E67" s="5"/>
      <c r="F67" s="5"/>
      <c r="G67" s="49"/>
      <c r="H67" s="5"/>
      <c r="I67" s="41"/>
    </row>
    <row r="68" spans="1:9" ht="13.5" thickBot="1" x14ac:dyDescent="0.35">
      <c r="A68" s="32"/>
      <c r="B68" s="168" t="s">
        <v>256</v>
      </c>
      <c r="C68" s="33"/>
      <c r="D68" s="33"/>
      <c r="E68" s="33"/>
      <c r="F68" s="33"/>
      <c r="G68" s="20">
        <f>SUM(G64:G67)</f>
        <v>419429.85</v>
      </c>
      <c r="H68" s="33"/>
      <c r="I68" s="42">
        <f>SUM(I64:I67)</f>
        <v>424000</v>
      </c>
    </row>
  </sheetData>
  <mergeCells count="8">
    <mergeCell ref="A63:D63"/>
    <mergeCell ref="G46:G47"/>
    <mergeCell ref="F46:F47"/>
    <mergeCell ref="C24:E24"/>
    <mergeCell ref="H5:J5"/>
    <mergeCell ref="H9:J9"/>
    <mergeCell ref="B5:E5"/>
    <mergeCell ref="B9:E9"/>
  </mergeCells>
  <printOptions gridLines="1"/>
  <pageMargins left="0.2" right="0.23" top="0.67" bottom="0.69" header="0.5" footer="0.5"/>
  <pageSetup paperSize="9" scale="72" firstPageNumber="21" orientation="portrait" useFirstPageNumber="1" verticalDpi="0" r:id="rId1"/>
  <headerFooter alignWithMargins="0">
    <oddHeader>&amp;C&amp;F &amp;A</oddHeader>
    <oddFooter>&amp;R&amp;P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budget</vt:lpstr>
      <vt:lpstr>budget items</vt:lpstr>
      <vt:lpstr> budget example1</vt:lpstr>
      <vt:lpstr>tariff calculation</vt:lpstr>
      <vt:lpstr>tariff calculation example</vt:lpstr>
      <vt:lpstr>' budget example1'!Print_Area</vt:lpstr>
      <vt:lpstr>budget!Print_Area</vt:lpstr>
      <vt:lpstr>'budget items'!Print_Area</vt:lpstr>
      <vt:lpstr>'tariff calculation example'!Print_Area</vt:lpstr>
    </vt:vector>
  </TitlesOfParts>
  <Company>Wetlands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 van LNV</dc:creator>
  <cp:lastModifiedBy>Carina Negreanu</cp:lastModifiedBy>
  <cp:lastPrinted>2002-07-24T10:41:33Z</cp:lastPrinted>
  <dcterms:created xsi:type="dcterms:W3CDTF">1997-12-12T11:04:25Z</dcterms:created>
  <dcterms:modified xsi:type="dcterms:W3CDTF">2020-01-27T11:09:46Z</dcterms:modified>
</cp:coreProperties>
</file>