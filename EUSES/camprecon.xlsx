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7D792A-2D51-4D79-8E20-671D04F6A9A8}" xr6:coauthVersionLast="45" xr6:coauthVersionMax="45" xr10:uidLastSave="{00000000-0000-0000-0000-000000000000}"/>
  <bookViews>
    <workbookView xWindow="3420" yWindow="3420" windowWidth="28800" windowHeight="15460"/>
  </bookViews>
  <sheets>
    <sheet name="generic template" sheetId="1" r:id="rId1"/>
  </sheets>
  <definedNames>
    <definedName name="_xlnm.Print_Area" localSheetId="0">'generic template'!$A$1:$B$41</definedName>
  </definedNames>
  <calcPr calcId="191029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B18" i="1"/>
  <c r="B21" i="1"/>
  <c r="B28" i="1"/>
  <c r="B40" i="1" s="1"/>
  <c r="B38" i="1"/>
</calcChain>
</file>

<file path=xl/sharedStrings.xml><?xml version="1.0" encoding="utf-8"?>
<sst xmlns="http://schemas.openxmlformats.org/spreadsheetml/2006/main" count="31" uniqueCount="27">
  <si>
    <t>Reconciliation of CFSAST and EFA100 to the Balance Sheet per CFS</t>
  </si>
  <si>
    <t xml:space="preserve">Campus </t>
  </si>
  <si>
    <t>BUILDINGS AND IMPROVEMENTS</t>
  </si>
  <si>
    <t>Per Plant Asset (CFSAST) file</t>
  </si>
  <si>
    <t>Buildings - 101801</t>
  </si>
  <si>
    <t>General Improvements - 101802</t>
  </si>
  <si>
    <t>Fixed Equipment - 101804</t>
  </si>
  <si>
    <t>Total Buildings and Improvements per Plant Asset (CFSAST) file</t>
  </si>
  <si>
    <t>Per Balance Sheet per CFS</t>
  </si>
  <si>
    <t>Total Buildings and Improvements per CFS</t>
  </si>
  <si>
    <t>EQUIPMENT</t>
  </si>
  <si>
    <t>Per Equipment Inventory (EFA100) file</t>
  </si>
  <si>
    <t>UC Equipment</t>
  </si>
  <si>
    <t>Non-UC Equipment</t>
  </si>
  <si>
    <t>Total Equipment per Equipment Inventory (EFA100) file</t>
  </si>
  <si>
    <t>Equipment-g/l acct #</t>
  </si>
  <si>
    <t>Serv &amp; Aux Enterprises-Equip-g/l acct #</t>
  </si>
  <si>
    <t>Museum collections from account 101888</t>
  </si>
  <si>
    <t>Less paid not priced items</t>
  </si>
  <si>
    <t>Add priced not paid items</t>
  </si>
  <si>
    <t>Non-UC title equipment</t>
  </si>
  <si>
    <t>ASUC/UCEN/LA Theatre Group</t>
  </si>
  <si>
    <t xml:space="preserve">  Adjusted total Equipment per CFS</t>
  </si>
  <si>
    <t xml:space="preserve">      Plant Asset file CFSAST more (less) than </t>
  </si>
  <si>
    <t xml:space="preserve">          Balance Sheet per CFS (excluding handpostings)</t>
  </si>
  <si>
    <t xml:space="preserve">      Equipment Inventory file (EFA100)  more (less) </t>
  </si>
  <si>
    <t xml:space="preserve">          than Balance Sheet per CFS (excluding handpostings)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</si>
</sst>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3" formatCode="_(* #,##0_);_(* \(#,##0\);_(* &quot;-&quot;??_);_(@_)"/>
  </numFmts>
  <fonts count="5" x14ac:knownFonts="1">
    <font>
      <sz val="12"/>
      <name val="Times New Roman"/>
    </font>
    <font>
      <sz val="12"/>
      <name val="Times New Roman"/>
    </font>
    <font>
      <b/>
      <sz val="12"/>
      <name val="Book Antiqua"/>
      <family val="1"/>
    </font>
    <font>
      <sz val="12"/>
      <name val="Book Antiqua"/>
      <family val="1"/>
    </font>
    <font>
      <u/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8">
    <xf numFmtId="0" fontId="0" fillId="0" borderId="0" xfId="0"/>
    <xf numFmtId="173" fontId="1" fillId="0" borderId="0" xfId="1" applyNumberFormat="1"/>
    <xf numFmtId="0" fontId="2" fillId="0" borderId="0" xfId="0" applyFont="1"/>
    <xf numFmtId="173" fontId="3" fillId="0" borderId="0" xfId="1" applyNumberFormat="1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173" fontId="3" fillId="0" borderId="0" xfId="1" applyNumberFormat="1" applyFont="1" applyAlignment="1">
      <alignment horizontal="center"/>
    </xf>
    <xf numFmtId="173" fontId="3" fillId="0" borderId="0" xfId="1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4" fillId="0" borderId="0" xfId="0" applyFont="1"/>
    <xf numFmtId="173" fontId="3" fillId="0" borderId="1" xfId="1" applyNumberFormat="1" applyFont="1" applyBorder="1"/>
    <xf numFmtId="0" fontId="3" fillId="0" borderId="0" xfId="0" applyFont="1" applyAlignment="1">
      <alignment horizontal="center"/>
    </xf>
    <xf numFmtId="173" fontId="3" fillId="0" borderId="2" xfId="1" applyNumberFormat="1" applyFont="1" applyBorder="1"/>
    <xf numFmtId="173" fontId="3" fillId="0" borderId="0" xfId="1" applyNumberFormat="1" applyFont="1" applyBorder="1"/>
    <xf numFmtId="173" fontId="3" fillId="0" borderId="3" xfId="1" applyNumberFormat="1" applyFont="1" applyBorder="1"/>
    <xf numFmtId="0" fontId="4" fillId="0" borderId="0" xfId="0" applyFont="1" applyBorder="1"/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topLeftCell="A33" zoomScaleNormal="100" workbookViewId="0">
      <selection activeCell="A42" sqref="A42"/>
    </sheetView>
  </sheetViews>
  <sheetFormatPr defaultRowHeight="15.5" x14ac:dyDescent="0.35"/>
  <cols>
    <col min="1" max="1" width="80.58203125" customWidth="1"/>
    <col min="2" max="2" width="12.58203125" style="1" customWidth="1"/>
  </cols>
  <sheetData>
    <row r="1" spans="1:14" x14ac:dyDescent="0.35">
      <c r="A1" s="2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5">
      <c r="A2" s="4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A3" s="5">
        <v>36341</v>
      </c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4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4"/>
      <c r="B5" s="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8" t="s">
        <v>2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9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10" t="s">
        <v>3</v>
      </c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4" t="s">
        <v>4</v>
      </c>
      <c r="B9" s="3">
        <v>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4" t="s">
        <v>5</v>
      </c>
      <c r="B10" s="3">
        <v>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4" t="s">
        <v>6</v>
      </c>
      <c r="B11" s="11">
        <v>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12" t="s">
        <v>7</v>
      </c>
      <c r="B12" s="13">
        <f>SUM(B9:B11)</f>
        <v>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1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10" t="s">
        <v>8</v>
      </c>
      <c r="B14" s="1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 t="s">
        <v>4</v>
      </c>
      <c r="B15" s="3">
        <v>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" t="s">
        <v>5</v>
      </c>
      <c r="B16" s="3">
        <v>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 t="s">
        <v>6</v>
      </c>
      <c r="B17" s="3">
        <v>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12" t="s">
        <v>9</v>
      </c>
      <c r="B18" s="13">
        <f>SUM(B15:B17)</f>
        <v>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"/>
      <c r="B19" s="1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17" t="s">
        <v>23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6" thickBot="1" x14ac:dyDescent="0.4">
      <c r="A21" s="4" t="s">
        <v>24</v>
      </c>
      <c r="B21" s="15">
        <f>B12-B18</f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6" thickTop="1" x14ac:dyDescent="0.35">
      <c r="A22" s="4"/>
      <c r="B22" s="1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2" t="s">
        <v>10</v>
      </c>
      <c r="B23" s="1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2"/>
      <c r="B24" s="1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A25" s="16" t="s">
        <v>11</v>
      </c>
      <c r="B25" s="1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5">
      <c r="A26" s="4" t="s">
        <v>12</v>
      </c>
      <c r="B26" s="3">
        <v>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5">
      <c r="A27" s="4" t="s">
        <v>13</v>
      </c>
      <c r="B27" s="3"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12" t="s">
        <v>14</v>
      </c>
      <c r="B28" s="13">
        <f>SUM(B26:B27)</f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10" t="s">
        <v>8</v>
      </c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5">
      <c r="A31" s="4" t="s">
        <v>15</v>
      </c>
      <c r="B31" s="3"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4" t="s">
        <v>16</v>
      </c>
      <c r="B32" s="3"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35">
      <c r="A33" s="4" t="s">
        <v>17</v>
      </c>
      <c r="B33" s="3"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35">
      <c r="A34" s="4" t="s">
        <v>18</v>
      </c>
      <c r="B34" s="3"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35">
      <c r="A35" s="4" t="s">
        <v>19</v>
      </c>
      <c r="B35" s="3">
        <v>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5">
      <c r="A36" s="4" t="s">
        <v>20</v>
      </c>
      <c r="B36" s="3"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35">
      <c r="A37" s="4" t="s">
        <v>21</v>
      </c>
      <c r="B37" s="3"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35">
      <c r="A38" s="12" t="s">
        <v>22</v>
      </c>
      <c r="B38" s="13">
        <f>SUM(B31:B37)</f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6" thickBot="1" x14ac:dyDescent="0.4">
      <c r="A40" s="4" t="s">
        <v>25</v>
      </c>
      <c r="B40" s="15">
        <f>B28-B38</f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6" thickTop="1" x14ac:dyDescent="0.35">
      <c r="A41" s="4" t="s">
        <v>26</v>
      </c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3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3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</sheetData>
  <pageMargins left="0" right="0" top="0.75" bottom="0" header="0.5" footer="0.5"/>
  <pageSetup orientation="portrait" r:id="rId1"/>
  <headerFooter alignWithMargins="0"/>
  <rowBreaks count="1" manualBreakCount="1">
    <brk id="43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generic template</vt:lpstr>
      <vt:lpstr>'generic template'!Print_Area</vt:lpstr>
    </vt:vector>
  </TitlesOfParts>
  <Company>University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Kehoe</dc:creator>
  <cp:lastModifiedBy>Carina Negreanu</cp:lastModifiedBy>
  <cp:lastPrinted>1999-07-23T22:23:23Z</cp:lastPrinted>
  <dcterms:created xsi:type="dcterms:W3CDTF">1999-07-22T21:39:58Z</dcterms:created>
  <dcterms:modified xsi:type="dcterms:W3CDTF">2020-01-27T10:27:27Z</dcterms:modified>
</cp:coreProperties>
</file>