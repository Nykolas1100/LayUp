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2D24A1-814D-4D83-BDB1-EA547FF20F5E}" xr6:coauthVersionLast="45" xr6:coauthVersionMax="45" xr10:uidLastSave="{00000000-0000-0000-0000-000000000000}"/>
  <bookViews>
    <workbookView xWindow="3420" yWindow="3420" windowWidth="28800" windowHeight="15460" tabRatio="465"/>
  </bookViews>
  <sheets>
    <sheet name="2-Production Planning" sheetId="3" r:id="rId1"/>
    <sheet name="3-Inventory Planning" sheetId="2" r:id="rId2"/>
  </sheets>
  <definedNames>
    <definedName name="A">#REF!</definedName>
    <definedName name="Ax">#REF!</definedName>
    <definedName name="b">#REF!</definedName>
    <definedName name="Cap">'3-Inventory Planning'!$O$38</definedName>
    <definedName name="cT">#REF!</definedName>
    <definedName name="D">'3-Inventory Planning'!$B$32:$M$35</definedName>
    <definedName name="demands">'3-Inventory Planning'!$O$40:$O$43</definedName>
    <definedName name="dT">'3-Inventory Planning'!$B$28:$M$28</definedName>
    <definedName name="Dv">'3-Inventory Planning'!$N$32:$N$35</definedName>
    <definedName name="eT">'2-Production Planning'!$C$12:$G$12</definedName>
    <definedName name="F">'2-Production Planning'!$C$14:$G$15</definedName>
    <definedName name="Fz">'2-Production Planning'!$J$14:$J$15</definedName>
    <definedName name="g">'3-Inventory Planning'!$O$32:$O$35</definedName>
    <definedName name="h">'2-Production Planning'!$K$14:$K$15</definedName>
    <definedName name="solver_adj" localSheetId="0" hidden="1">'2-Production Planning'!$I$14:$I$18</definedName>
    <definedName name="solver_adj" localSheetId="1" hidden="1">'3-Inventory Planning'!$Q$32:$Q$43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st" localSheetId="0" hidden="1">1</definedName>
    <definedName name="solver_est" localSheetId="1" hidden="1">1</definedName>
    <definedName name="solver_itr" localSheetId="0" hidden="1">100</definedName>
    <definedName name="solver_itr" localSheetId="1" hidden="1">100</definedName>
    <definedName name="solver_lhs1" localSheetId="0" hidden="1">'2-Production Planning'!$J$14:$J$15</definedName>
    <definedName name="solver_lhs1" localSheetId="1" hidden="1">'3-Inventory Planning'!$N$32:$N$35</definedName>
    <definedName name="solver_lhs2" localSheetId="0" hidden="1">'2-Production Planning'!$I$14:$I$18</definedName>
    <definedName name="solver_lhs2" localSheetId="1" hidden="1">'3-Inventory Planning'!$Q$32:$Q$43</definedName>
    <definedName name="solver_lhs3" localSheetId="1" hidden="1">'3-Inventory Planning'!$Q$32:$Q$35</definedName>
    <definedName name="solver_lhs4" localSheetId="1" hidden="1">'3-Inventory Planning'!$Q$32</definedName>
    <definedName name="solver_lhs5" localSheetId="1" hidden="1">'3-Inventory Planning'!$Q$40:$Q$43</definedName>
    <definedName name="solver_lin" localSheetId="0" hidden="1">1</definedName>
    <definedName name="solver_lin" localSheetId="1" hidden="1">1</definedName>
    <definedName name="solver_neg" localSheetId="0" hidden="1">2</definedName>
    <definedName name="solver_neg" localSheetId="1" hidden="1">2</definedName>
    <definedName name="solver_num" localSheetId="0" hidden="1">2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'2-Production Planning'!$J$12</definedName>
    <definedName name="solver_opt" localSheetId="1" hidden="1">'3-Inventory Planning'!$P$28</definedName>
    <definedName name="solver_pre" localSheetId="0" hidden="1">0.000001</definedName>
    <definedName name="solver_pre" localSheetId="1" hidden="1">0.000001</definedName>
    <definedName name="solver_rel1" localSheetId="0" hidden="1">1</definedName>
    <definedName name="solver_rel1" localSheetId="1" hidden="1">2</definedName>
    <definedName name="solver_rel2" localSheetId="0" hidden="1">3</definedName>
    <definedName name="solver_rel2" localSheetId="1" hidden="1">3</definedName>
    <definedName name="solver_rel3" localSheetId="1" hidden="1">1</definedName>
    <definedName name="solver_rel4" localSheetId="1" hidden="1">2</definedName>
    <definedName name="solver_rel5" localSheetId="1" hidden="1">1</definedName>
    <definedName name="solver_rhs1" localSheetId="0" hidden="1">'2-Production Planning'!$K$14:$K$15</definedName>
    <definedName name="solver_rhs1" localSheetId="1" hidden="1">'3-Inventory Planning'!$O$32:$O$35</definedName>
    <definedName name="solver_rhs2" localSheetId="0" hidden="1">0</definedName>
    <definedName name="solver_rhs2" localSheetId="1" hidden="1">0</definedName>
    <definedName name="solver_rhs3" localSheetId="1" hidden="1">'3-Inventory Planning'!$O$38</definedName>
    <definedName name="solver_rhs4" localSheetId="1" hidden="1">0</definedName>
    <definedName name="solver_rhs5" localSheetId="1" hidden="1">'3-Inventory Planning'!$O$40:$O$43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tim" localSheetId="0" hidden="1">100</definedName>
    <definedName name="solver_tim" localSheetId="1" hidden="1">100</definedName>
    <definedName name="solver_tol" localSheetId="0" hidden="1">0.05</definedName>
    <definedName name="solver_tol" localSheetId="1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v">'3-Inventory Planning'!$Q$32:$Q$43</definedName>
    <definedName name="vu">'3-Inventory Planning'!$L$39:$L$42</definedName>
    <definedName name="x">#REF!</definedName>
    <definedName name="xu">'3-Inventory Planning'!$L$39:$L$42</definedName>
    <definedName name="z">'2-Production Planning'!$I$14:$I$18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2" i="3" l="1"/>
  <c r="J14" i="3" a="1"/>
  <c r="J14" i="3" s="1"/>
  <c r="P28" i="2"/>
  <c r="N32" i="2" a="1"/>
  <c r="N32" i="2" s="1"/>
  <c r="N35" i="2" l="1"/>
  <c r="N34" i="2"/>
  <c r="N33" i="2"/>
  <c r="J15" i="3"/>
</calcChain>
</file>

<file path=xl/sharedStrings.xml><?xml version="1.0" encoding="utf-8"?>
<sst xmlns="http://schemas.openxmlformats.org/spreadsheetml/2006/main" count="65" uniqueCount="63">
  <si>
    <t>The linear programming formulation is then</t>
  </si>
  <si>
    <t>dTv</t>
  </si>
  <si>
    <t>Dv = 0</t>
  </si>
  <si>
    <t>x &lt;= 100</t>
  </si>
  <si>
    <t>x(1) = 0</t>
  </si>
  <si>
    <t>s &lt;= demands</t>
  </si>
  <si>
    <t>where d is a vector of prices and costs, D is a matrix describing the inventory</t>
  </si>
  <si>
    <t>constraints, and demands is a vector of maximum customer demands.</t>
  </si>
  <si>
    <t>x =</t>
  </si>
  <si>
    <t>u =</t>
  </si>
  <si>
    <t>s =</t>
  </si>
  <si>
    <t>order quantity</t>
  </si>
  <si>
    <t>selling quantity</t>
  </si>
  <si>
    <t>C =</t>
  </si>
  <si>
    <t>x1</t>
  </si>
  <si>
    <t>x2</t>
  </si>
  <si>
    <t>x3</t>
  </si>
  <si>
    <t>x4</t>
  </si>
  <si>
    <t>u1</t>
  </si>
  <si>
    <t>u2</t>
  </si>
  <si>
    <t>u3</t>
  </si>
  <si>
    <t>u4</t>
  </si>
  <si>
    <t>s1</t>
  </si>
  <si>
    <t>s2</t>
  </si>
  <si>
    <t>s3</t>
  </si>
  <si>
    <t>s4</t>
  </si>
  <si>
    <t>dT =</t>
  </si>
  <si>
    <t>g</t>
  </si>
  <si>
    <t>D =</t>
  </si>
  <si>
    <t>v =</t>
  </si>
  <si>
    <t>Dv =</t>
  </si>
  <si>
    <t>dTv =</t>
  </si>
  <si>
    <t>storing</t>
  </si>
  <si>
    <t>ordering</t>
  </si>
  <si>
    <t>selling</t>
  </si>
  <si>
    <t>Demands =</t>
  </si>
  <si>
    <t>z =</t>
  </si>
  <si>
    <t>eT =</t>
  </si>
  <si>
    <t>F =</t>
  </si>
  <si>
    <t>Fz =</t>
  </si>
  <si>
    <t>h =</t>
  </si>
  <si>
    <t>eTz =</t>
  </si>
  <si>
    <t>2. Production Planning</t>
  </si>
  <si>
    <t>eTz</t>
  </si>
  <si>
    <t>s.t.</t>
  </si>
  <si>
    <t>The problem is to choose production levels for each of five auto parts</t>
  </si>
  <si>
    <t>to maximize total profit, subject to plant capacity constraints.</t>
  </si>
  <si>
    <t>The corresponding linear program is</t>
  </si>
  <si>
    <t>max</t>
  </si>
  <si>
    <t>Fz &lt;= h</t>
  </si>
  <si>
    <t>z &gt;= 0</t>
  </si>
  <si>
    <t>3. Inventory Planning</t>
  </si>
  <si>
    <t>The problem is to choose quantities to order and sell each quarter</t>
  </si>
  <si>
    <t>initial inventory</t>
  </si>
  <si>
    <t>to maximize total annual profit.  Let x(i) be the initial inventory at the beginning</t>
  </si>
  <si>
    <t>of the ith quarter, before orders are placed.  Let u(i) be the quantity ordered from the</t>
  </si>
  <si>
    <t>manufacturer at the beginning of the ith quarter.  Let s(i) be the quantity sold</t>
  </si>
  <si>
    <t>at the bookstore during the ith quarter.  Put</t>
  </si>
  <si>
    <t>s = (s(1), s(2), s(3), s(4))</t>
  </si>
  <si>
    <t>x = (x(1), x(2), x(3), x(4))</t>
  </si>
  <si>
    <t>u = (u(1), u(2), u(3), u(4))</t>
  </si>
  <si>
    <t>and let v = (x, u, s) be the vector of decision variables.</t>
  </si>
  <si>
    <t>The optimal solution is to produce 40,000 and 10,000 units of parts 2 and 3,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</si>
</sst>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Verdana"/>
    </font>
    <font>
      <b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2" fontId="0" fillId="4" borderId="0" xfId="0" applyNumberFormat="1" applyFill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B21" sqref="B21"/>
    </sheetView>
  </sheetViews>
  <sheetFormatPr defaultRowHeight="13.5" x14ac:dyDescent="0.3"/>
  <cols>
    <col min="1" max="1" width="11.07421875" customWidth="1"/>
    <col min="2" max="2" width="6.3828125" customWidth="1"/>
    <col min="3" max="11" width="7.69140625" customWidth="1"/>
    <col min="12" max="256" width="11.07421875" customWidth="1"/>
  </cols>
  <sheetData>
    <row r="1" spans="1:11" x14ac:dyDescent="0.3">
      <c r="A1" s="1" t="s">
        <v>42</v>
      </c>
    </row>
    <row r="3" spans="1:11" x14ac:dyDescent="0.3">
      <c r="B3" t="s">
        <v>45</v>
      </c>
    </row>
    <row r="4" spans="1:11" x14ac:dyDescent="0.3">
      <c r="B4" t="s">
        <v>46</v>
      </c>
    </row>
    <row r="6" spans="1:11" x14ac:dyDescent="0.3">
      <c r="B6" t="s">
        <v>47</v>
      </c>
    </row>
    <row r="7" spans="1:11" x14ac:dyDescent="0.3">
      <c r="C7" t="s">
        <v>48</v>
      </c>
      <c r="D7" t="s">
        <v>43</v>
      </c>
    </row>
    <row r="8" spans="1:11" x14ac:dyDescent="0.3">
      <c r="C8" t="s">
        <v>44</v>
      </c>
      <c r="D8" t="s">
        <v>49</v>
      </c>
    </row>
    <row r="9" spans="1:11" x14ac:dyDescent="0.3">
      <c r="D9" t="s">
        <v>50</v>
      </c>
    </row>
    <row r="12" spans="1:11" x14ac:dyDescent="0.3">
      <c r="B12" t="s">
        <v>37</v>
      </c>
      <c r="C12">
        <v>30</v>
      </c>
      <c r="D12">
        <v>20</v>
      </c>
      <c r="E12">
        <v>40</v>
      </c>
      <c r="F12">
        <v>25</v>
      </c>
      <c r="G12">
        <v>10</v>
      </c>
      <c r="I12" t="s">
        <v>41</v>
      </c>
      <c r="J12">
        <f>MMULT(eT,z)</f>
        <v>12000</v>
      </c>
    </row>
    <row r="13" spans="1:11" x14ac:dyDescent="0.3">
      <c r="I13" t="s">
        <v>36</v>
      </c>
      <c r="J13" t="s">
        <v>39</v>
      </c>
      <c r="K13" t="s">
        <v>40</v>
      </c>
    </row>
    <row r="14" spans="1:11" x14ac:dyDescent="0.3">
      <c r="B14" t="s">
        <v>38</v>
      </c>
      <c r="C14">
        <v>2</v>
      </c>
      <c r="D14">
        <v>1</v>
      </c>
      <c r="E14">
        <v>3</v>
      </c>
      <c r="F14">
        <v>3</v>
      </c>
      <c r="G14">
        <v>1</v>
      </c>
      <c r="I14">
        <v>0</v>
      </c>
      <c r="J14">
        <f t="array" ref="J14:J15">MMULT(F,z)</f>
        <v>700</v>
      </c>
      <c r="K14">
        <v>700</v>
      </c>
    </row>
    <row r="15" spans="1:11" x14ac:dyDescent="0.3">
      <c r="C15">
        <v>3</v>
      </c>
      <c r="D15">
        <v>2</v>
      </c>
      <c r="E15">
        <v>2</v>
      </c>
      <c r="F15">
        <v>1</v>
      </c>
      <c r="G15">
        <v>1</v>
      </c>
      <c r="I15">
        <v>400</v>
      </c>
      <c r="J15">
        <v>1000</v>
      </c>
      <c r="K15">
        <v>1000</v>
      </c>
    </row>
    <row r="16" spans="1:11" x14ac:dyDescent="0.3">
      <c r="I16">
        <v>100</v>
      </c>
    </row>
    <row r="17" spans="2:9" x14ac:dyDescent="0.3">
      <c r="I17">
        <v>0</v>
      </c>
    </row>
    <row r="18" spans="2:9" x14ac:dyDescent="0.3">
      <c r="I18">
        <v>0</v>
      </c>
    </row>
    <row r="20" spans="2:9" x14ac:dyDescent="0.3">
      <c r="B20" t="s">
        <v>62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workbookViewId="0">
      <selection activeCell="P28" sqref="P28"/>
    </sheetView>
  </sheetViews>
  <sheetFormatPr defaultRowHeight="13.5" x14ac:dyDescent="0.3"/>
  <cols>
    <col min="1" max="1" width="11.07421875" customWidth="1"/>
    <col min="2" max="14" width="5.69140625" customWidth="1"/>
    <col min="15" max="15" width="7.53515625" bestFit="1" customWidth="1"/>
    <col min="16" max="17" width="8.53515625" bestFit="1" customWidth="1"/>
    <col min="18" max="18" width="13.15234375" bestFit="1" customWidth="1"/>
    <col min="19" max="256" width="11.07421875" customWidth="1"/>
  </cols>
  <sheetData>
    <row r="1" spans="1:3" x14ac:dyDescent="0.3">
      <c r="A1" s="1" t="s">
        <v>51</v>
      </c>
    </row>
    <row r="3" spans="1:3" x14ac:dyDescent="0.3">
      <c r="B3" t="s">
        <v>52</v>
      </c>
    </row>
    <row r="4" spans="1:3" x14ac:dyDescent="0.3">
      <c r="B4" t="s">
        <v>54</v>
      </c>
    </row>
    <row r="5" spans="1:3" x14ac:dyDescent="0.3">
      <c r="B5" t="s">
        <v>55</v>
      </c>
    </row>
    <row r="6" spans="1:3" x14ac:dyDescent="0.3">
      <c r="B6" t="s">
        <v>56</v>
      </c>
    </row>
    <row r="7" spans="1:3" x14ac:dyDescent="0.3">
      <c r="B7" t="s">
        <v>57</v>
      </c>
    </row>
    <row r="9" spans="1:3" x14ac:dyDescent="0.3">
      <c r="C9" t="s">
        <v>59</v>
      </c>
    </row>
    <row r="10" spans="1:3" x14ac:dyDescent="0.3">
      <c r="C10" t="s">
        <v>60</v>
      </c>
    </row>
    <row r="11" spans="1:3" x14ac:dyDescent="0.3">
      <c r="C11" t="s">
        <v>58</v>
      </c>
    </row>
    <row r="13" spans="1:3" x14ac:dyDescent="0.3">
      <c r="B13" t="s">
        <v>61</v>
      </c>
    </row>
    <row r="15" spans="1:3" x14ac:dyDescent="0.3">
      <c r="B15" t="s">
        <v>0</v>
      </c>
    </row>
    <row r="17" spans="1:18" x14ac:dyDescent="0.3">
      <c r="B17" t="s">
        <v>48</v>
      </c>
      <c r="C17" t="s">
        <v>1</v>
      </c>
    </row>
    <row r="18" spans="1:18" x14ac:dyDescent="0.3">
      <c r="B18" t="s">
        <v>44</v>
      </c>
      <c r="C18" t="s">
        <v>2</v>
      </c>
    </row>
    <row r="19" spans="1:18" x14ac:dyDescent="0.3">
      <c r="C19" t="s">
        <v>3</v>
      </c>
    </row>
    <row r="20" spans="1:18" x14ac:dyDescent="0.3">
      <c r="C20" t="s">
        <v>4</v>
      </c>
    </row>
    <row r="21" spans="1:18" x14ac:dyDescent="0.3">
      <c r="C21" t="s">
        <v>5</v>
      </c>
    </row>
    <row r="23" spans="1:18" x14ac:dyDescent="0.3">
      <c r="B23" t="s">
        <v>6</v>
      </c>
    </row>
    <row r="24" spans="1:18" x14ac:dyDescent="0.3">
      <c r="B24" t="s">
        <v>7</v>
      </c>
    </row>
    <row r="27" spans="1:18" x14ac:dyDescent="0.3">
      <c r="B27" t="s">
        <v>32</v>
      </c>
      <c r="F27" t="s">
        <v>33</v>
      </c>
      <c r="J27" t="s">
        <v>34</v>
      </c>
    </row>
    <row r="28" spans="1:18" x14ac:dyDescent="0.3">
      <c r="A28" t="s">
        <v>26</v>
      </c>
      <c r="B28" s="2">
        <v>-5</v>
      </c>
      <c r="C28" s="2">
        <v>-5</v>
      </c>
      <c r="D28" s="2">
        <v>-5</v>
      </c>
      <c r="E28" s="2">
        <v>-5</v>
      </c>
      <c r="F28" s="3">
        <v>-5</v>
      </c>
      <c r="G28" s="3">
        <v>-11.5</v>
      </c>
      <c r="H28" s="3">
        <v>-5</v>
      </c>
      <c r="I28" s="3">
        <v>-11.5</v>
      </c>
      <c r="J28" s="4">
        <v>39.99</v>
      </c>
      <c r="K28" s="4">
        <v>59.99</v>
      </c>
      <c r="L28" s="4">
        <v>39.99</v>
      </c>
      <c r="M28" s="4">
        <v>59.99</v>
      </c>
      <c r="O28" t="s">
        <v>31</v>
      </c>
      <c r="P28" s="8">
        <f>MMULT(dT,v)</f>
        <v>15786.5</v>
      </c>
    </row>
    <row r="31" spans="1:18" x14ac:dyDescent="0.3">
      <c r="A31" t="s">
        <v>28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30</v>
      </c>
      <c r="O31" t="s">
        <v>27</v>
      </c>
      <c r="P31" t="s">
        <v>29</v>
      </c>
    </row>
    <row r="32" spans="1:18" x14ac:dyDescent="0.3">
      <c r="B32">
        <v>-1</v>
      </c>
      <c r="C32">
        <v>1</v>
      </c>
      <c r="D32">
        <v>0</v>
      </c>
      <c r="E32">
        <v>0</v>
      </c>
      <c r="F32">
        <v>-1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f t="array" ref="N32:N35">MMULT(D,v)</f>
        <v>0</v>
      </c>
      <c r="O32">
        <v>0</v>
      </c>
      <c r="P32" t="s">
        <v>8</v>
      </c>
      <c r="Q32" s="5">
        <v>0</v>
      </c>
      <c r="R32" t="s">
        <v>53</v>
      </c>
    </row>
    <row r="33" spans="2:18" x14ac:dyDescent="0.3">
      <c r="B33">
        <v>0</v>
      </c>
      <c r="C33">
        <v>-1</v>
      </c>
      <c r="D33">
        <v>1</v>
      </c>
      <c r="E33">
        <v>0</v>
      </c>
      <c r="F33">
        <v>0</v>
      </c>
      <c r="G33">
        <v>-1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Q33" s="5">
        <v>100</v>
      </c>
    </row>
    <row r="34" spans="2:18" x14ac:dyDescent="0.3">
      <c r="B34">
        <v>0</v>
      </c>
      <c r="C34">
        <v>0</v>
      </c>
      <c r="D34">
        <v>-1</v>
      </c>
      <c r="E34">
        <v>1</v>
      </c>
      <c r="F34">
        <v>0</v>
      </c>
      <c r="G34">
        <v>0</v>
      </c>
      <c r="H34">
        <v>-1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Q34" s="5">
        <v>0</v>
      </c>
    </row>
    <row r="35" spans="2:18" x14ac:dyDescent="0.3">
      <c r="B35">
        <v>0</v>
      </c>
      <c r="C35">
        <v>0</v>
      </c>
      <c r="D35">
        <v>0</v>
      </c>
      <c r="E35">
        <v>-1</v>
      </c>
      <c r="F35">
        <v>0</v>
      </c>
      <c r="G35">
        <v>0</v>
      </c>
      <c r="H35">
        <v>0</v>
      </c>
      <c r="I35">
        <v>-1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Q35" s="5">
        <v>100</v>
      </c>
    </row>
    <row r="36" spans="2:18" x14ac:dyDescent="0.3">
      <c r="P36" t="s">
        <v>9</v>
      </c>
      <c r="Q36" s="6">
        <v>150</v>
      </c>
      <c r="R36" t="s">
        <v>11</v>
      </c>
    </row>
    <row r="37" spans="2:18" x14ac:dyDescent="0.3">
      <c r="Q37" s="6">
        <v>20</v>
      </c>
    </row>
    <row r="38" spans="2:18" x14ac:dyDescent="0.3">
      <c r="N38" t="s">
        <v>13</v>
      </c>
      <c r="O38">
        <v>100</v>
      </c>
      <c r="Q38" s="6">
        <v>160</v>
      </c>
    </row>
    <row r="39" spans="2:18" x14ac:dyDescent="0.3">
      <c r="Q39" s="6">
        <v>20</v>
      </c>
    </row>
    <row r="40" spans="2:18" x14ac:dyDescent="0.3">
      <c r="M40" t="s">
        <v>35</v>
      </c>
      <c r="O40">
        <v>50</v>
      </c>
      <c r="P40" t="s">
        <v>10</v>
      </c>
      <c r="Q40" s="7">
        <v>50</v>
      </c>
      <c r="R40" t="s">
        <v>12</v>
      </c>
    </row>
    <row r="41" spans="2:18" x14ac:dyDescent="0.3">
      <c r="O41">
        <v>120</v>
      </c>
      <c r="Q41" s="7">
        <v>120</v>
      </c>
    </row>
    <row r="42" spans="2:18" x14ac:dyDescent="0.3">
      <c r="O42">
        <v>60</v>
      </c>
      <c r="Q42" s="7">
        <v>60</v>
      </c>
    </row>
    <row r="43" spans="2:18" x14ac:dyDescent="0.3">
      <c r="O43">
        <v>120</v>
      </c>
      <c r="Q43" s="7">
        <v>120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2-Production Planning</vt:lpstr>
      <vt:lpstr>3-Inventory Planning</vt:lpstr>
      <vt:lpstr>Cap</vt:lpstr>
      <vt:lpstr>D</vt:lpstr>
      <vt:lpstr>demands</vt:lpstr>
      <vt:lpstr>dT</vt:lpstr>
      <vt:lpstr>Dv</vt:lpstr>
      <vt:lpstr>eT</vt:lpstr>
      <vt:lpstr>F</vt:lpstr>
      <vt:lpstr>Fz</vt:lpstr>
      <vt:lpstr>g</vt:lpstr>
      <vt:lpstr>h</vt:lpstr>
      <vt:lpstr>v</vt:lpstr>
      <vt:lpstr>vu</vt:lpstr>
      <vt:lpstr>xu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Whangbo</dc:creator>
  <cp:lastModifiedBy>Carina Negreanu</cp:lastModifiedBy>
  <dcterms:created xsi:type="dcterms:W3CDTF">2003-04-28T22:42:04Z</dcterms:created>
  <dcterms:modified xsi:type="dcterms:W3CDTF">2020-01-27T10:32:17Z</dcterms:modified>
</cp:coreProperties>
</file>