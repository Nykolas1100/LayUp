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61A07D5-79BE-4F28-B8AE-8186327B2EE4}" xr6:coauthVersionLast="45" xr6:coauthVersionMax="45" xr10:uidLastSave="{00000000-0000-0000-0000-000000000000}"/>
  <bookViews>
    <workbookView xWindow="2280" yWindow="2280" windowWidth="28800" windowHeight="15460"/>
  </bookViews>
  <sheets>
    <sheet name="Dist" sheetId="1" r:id="rId1"/>
    <sheet name="ISD" sheetId="2" r:id="rId2"/>
    <sheet name="Edge" sheetId="3" r:id="rId3"/>
    <sheet name="Smile" sheetId="4" r:id="rId4"/>
    <sheet name="Chart1" sheetId="6" r:id="rId5"/>
    <sheet name="Chart2" sheetId="7" r:id="rId6"/>
    <sheet name="Chart3" sheetId="8" r:id="rId7"/>
  </sheets>
  <calcPr calcId="0"/>
</workbook>
</file>

<file path=xl/calcChain.xml><?xml version="1.0" encoding="utf-8"?>
<calcChain xmlns="http://schemas.openxmlformats.org/spreadsheetml/2006/main">
  <c r="E4" i="1" l="1"/>
  <c r="H4" i="1"/>
  <c r="E5" i="1"/>
  <c r="H5" i="1"/>
  <c r="E7" i="1"/>
  <c r="H7" i="1"/>
  <c r="E8" i="1"/>
  <c r="H8" i="1"/>
  <c r="E10" i="1"/>
  <c r="H10" i="1"/>
  <c r="B11" i="1"/>
  <c r="E11" i="1"/>
  <c r="H11" i="1"/>
  <c r="E13" i="1"/>
  <c r="H13" i="1"/>
  <c r="E14" i="1"/>
  <c r="H14" i="1"/>
  <c r="B15" i="1"/>
  <c r="B17" i="1"/>
  <c r="H17" i="1"/>
  <c r="E20" i="1"/>
  <c r="F20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4" i="3"/>
  <c r="J4" i="3"/>
  <c r="O4" i="3"/>
  <c r="P4" i="3"/>
  <c r="E5" i="3"/>
  <c r="H5" i="3"/>
  <c r="J5" i="3"/>
  <c r="O5" i="3"/>
  <c r="P5" i="3"/>
  <c r="H6" i="3"/>
  <c r="J6" i="3"/>
  <c r="O6" i="3"/>
  <c r="P6" i="3"/>
  <c r="E7" i="3"/>
  <c r="H7" i="3"/>
  <c r="J7" i="3"/>
  <c r="O7" i="3"/>
  <c r="P7" i="3"/>
  <c r="O8" i="3"/>
  <c r="P8" i="3"/>
  <c r="O9" i="3"/>
  <c r="P9" i="3"/>
  <c r="F10" i="3"/>
  <c r="H10" i="3"/>
  <c r="O10" i="3"/>
  <c r="P10" i="3"/>
  <c r="O11" i="3"/>
  <c r="P11" i="3"/>
  <c r="O12" i="3"/>
  <c r="P12" i="3"/>
  <c r="O13" i="3"/>
  <c r="P13" i="3"/>
  <c r="B14" i="3"/>
  <c r="D14" i="3"/>
  <c r="E14" i="3"/>
  <c r="F14" i="3"/>
  <c r="H14" i="3"/>
  <c r="J14" i="3"/>
  <c r="O14" i="3"/>
  <c r="P14" i="3"/>
  <c r="B15" i="3"/>
  <c r="D15" i="3"/>
  <c r="E15" i="3"/>
  <c r="F15" i="3"/>
  <c r="H15" i="3"/>
  <c r="J15" i="3"/>
  <c r="O15" i="3"/>
  <c r="P15" i="3"/>
  <c r="B16" i="3"/>
  <c r="D16" i="3"/>
  <c r="E16" i="3"/>
  <c r="F16" i="3"/>
  <c r="H16" i="3"/>
  <c r="J16" i="3"/>
  <c r="O16" i="3"/>
  <c r="P16" i="3"/>
  <c r="B17" i="3"/>
  <c r="D17" i="3"/>
  <c r="E17" i="3"/>
  <c r="F17" i="3"/>
  <c r="H17" i="3"/>
  <c r="J17" i="3"/>
  <c r="O17" i="3"/>
  <c r="P17" i="3"/>
  <c r="B18" i="3"/>
  <c r="D18" i="3"/>
  <c r="E18" i="3"/>
  <c r="F18" i="3"/>
  <c r="H18" i="3"/>
  <c r="J18" i="3"/>
  <c r="O18" i="3"/>
  <c r="P18" i="3"/>
  <c r="B19" i="3"/>
  <c r="D19" i="3"/>
  <c r="E19" i="3"/>
  <c r="F19" i="3"/>
  <c r="H19" i="3"/>
  <c r="J19" i="3"/>
  <c r="O19" i="3"/>
  <c r="P19" i="3"/>
  <c r="B20" i="3"/>
  <c r="D20" i="3"/>
  <c r="E20" i="3"/>
  <c r="F20" i="3"/>
  <c r="H20" i="3"/>
  <c r="J20" i="3"/>
  <c r="O20" i="3"/>
  <c r="P20" i="3"/>
  <c r="B21" i="3"/>
  <c r="D21" i="3"/>
  <c r="E21" i="3"/>
  <c r="F21" i="3"/>
  <c r="H21" i="3"/>
  <c r="J21" i="3"/>
  <c r="O21" i="3"/>
  <c r="Q21" i="3"/>
  <c r="B22" i="3"/>
  <c r="D22" i="3"/>
  <c r="E22" i="3"/>
  <c r="F22" i="3"/>
  <c r="H22" i="3"/>
  <c r="J22" i="3"/>
  <c r="O22" i="3"/>
  <c r="Q22" i="3"/>
  <c r="B23" i="3"/>
  <c r="D23" i="3"/>
  <c r="E23" i="3"/>
  <c r="F23" i="3"/>
  <c r="H23" i="3"/>
  <c r="J23" i="3"/>
  <c r="O23" i="3"/>
  <c r="Q23" i="3"/>
  <c r="B24" i="3"/>
  <c r="D24" i="3"/>
  <c r="E24" i="3"/>
  <c r="F24" i="3"/>
  <c r="H24" i="3"/>
  <c r="J24" i="3"/>
  <c r="O24" i="3"/>
  <c r="Q24" i="3"/>
  <c r="B25" i="3"/>
  <c r="D25" i="3"/>
  <c r="E25" i="3"/>
  <c r="F25" i="3"/>
  <c r="H25" i="3"/>
  <c r="J25" i="3"/>
  <c r="O25" i="3"/>
  <c r="Q25" i="3"/>
  <c r="B26" i="3"/>
  <c r="D26" i="3"/>
  <c r="E26" i="3"/>
  <c r="F26" i="3"/>
  <c r="H26" i="3"/>
  <c r="J26" i="3"/>
  <c r="O26" i="3"/>
  <c r="Q26" i="3"/>
  <c r="B27" i="3"/>
  <c r="D27" i="3"/>
  <c r="E27" i="3"/>
  <c r="F27" i="3"/>
  <c r="H27" i="3"/>
  <c r="J27" i="3"/>
  <c r="O27" i="3"/>
  <c r="Q27" i="3"/>
  <c r="B28" i="3"/>
  <c r="D28" i="3"/>
  <c r="E28" i="3"/>
  <c r="F28" i="3"/>
  <c r="H28" i="3"/>
  <c r="J28" i="3"/>
  <c r="O28" i="3"/>
  <c r="Q28" i="3"/>
  <c r="B29" i="3"/>
  <c r="D29" i="3"/>
  <c r="E29" i="3"/>
  <c r="F29" i="3"/>
  <c r="H29" i="3"/>
  <c r="J29" i="3"/>
  <c r="O29" i="3"/>
  <c r="Q29" i="3"/>
  <c r="B30" i="3"/>
  <c r="D30" i="3"/>
  <c r="E30" i="3"/>
  <c r="F30" i="3"/>
  <c r="H30" i="3"/>
  <c r="J30" i="3"/>
  <c r="O30" i="3"/>
  <c r="Q30" i="3"/>
  <c r="O31" i="3"/>
  <c r="Q31" i="3"/>
  <c r="O32" i="3"/>
  <c r="Q32" i="3"/>
  <c r="O33" i="3"/>
  <c r="Q33" i="3"/>
  <c r="O34" i="3"/>
  <c r="Q34" i="3"/>
  <c r="J35" i="3"/>
  <c r="O35" i="3"/>
  <c r="Q35" i="3"/>
  <c r="J36" i="3"/>
  <c r="O36" i="3"/>
  <c r="Q36" i="3"/>
  <c r="J38" i="3"/>
  <c r="D41" i="3"/>
  <c r="D44" i="3"/>
  <c r="D45" i="3"/>
  <c r="B49" i="3"/>
  <c r="D49" i="3"/>
  <c r="E49" i="3"/>
  <c r="F49" i="3"/>
  <c r="H49" i="3"/>
  <c r="J49" i="3"/>
  <c r="B50" i="3"/>
  <c r="D50" i="3"/>
  <c r="E50" i="3"/>
  <c r="F50" i="3"/>
  <c r="H50" i="3"/>
  <c r="J50" i="3"/>
  <c r="B51" i="3"/>
  <c r="D51" i="3"/>
  <c r="E51" i="3"/>
  <c r="F51" i="3"/>
  <c r="H51" i="3"/>
  <c r="J51" i="3"/>
  <c r="B52" i="3"/>
  <c r="D52" i="3"/>
  <c r="E52" i="3"/>
  <c r="F52" i="3"/>
  <c r="H52" i="3"/>
  <c r="J52" i="3"/>
  <c r="B53" i="3"/>
  <c r="D53" i="3"/>
  <c r="E53" i="3"/>
  <c r="F53" i="3"/>
  <c r="H53" i="3"/>
  <c r="J53" i="3"/>
  <c r="B54" i="3"/>
  <c r="D54" i="3"/>
  <c r="E54" i="3"/>
  <c r="F54" i="3"/>
  <c r="H54" i="3"/>
  <c r="J54" i="3"/>
  <c r="B55" i="3"/>
  <c r="D55" i="3"/>
  <c r="E55" i="3"/>
  <c r="F55" i="3"/>
  <c r="H55" i="3"/>
  <c r="J55" i="3"/>
  <c r="B56" i="3"/>
  <c r="D56" i="3"/>
  <c r="E56" i="3"/>
  <c r="F56" i="3"/>
  <c r="H56" i="3"/>
  <c r="J56" i="3"/>
  <c r="B57" i="3"/>
  <c r="D57" i="3"/>
  <c r="E57" i="3"/>
  <c r="F57" i="3"/>
  <c r="H57" i="3"/>
  <c r="J57" i="3"/>
  <c r="B58" i="3"/>
  <c r="D58" i="3"/>
  <c r="E58" i="3"/>
  <c r="F58" i="3"/>
  <c r="H58" i="3"/>
  <c r="J58" i="3"/>
  <c r="B59" i="3"/>
  <c r="D59" i="3"/>
  <c r="E59" i="3"/>
  <c r="F59" i="3"/>
  <c r="H59" i="3"/>
  <c r="J59" i="3"/>
  <c r="B60" i="3"/>
  <c r="D60" i="3"/>
  <c r="E60" i="3"/>
  <c r="F60" i="3"/>
  <c r="H60" i="3"/>
  <c r="J60" i="3"/>
  <c r="B61" i="3"/>
  <c r="D61" i="3"/>
  <c r="E61" i="3"/>
  <c r="F61" i="3"/>
  <c r="H61" i="3"/>
  <c r="J61" i="3"/>
  <c r="B62" i="3"/>
  <c r="D62" i="3"/>
  <c r="E62" i="3"/>
  <c r="F62" i="3"/>
  <c r="H62" i="3"/>
  <c r="J62" i="3"/>
  <c r="B63" i="3"/>
  <c r="D63" i="3"/>
  <c r="E63" i="3"/>
  <c r="F63" i="3"/>
  <c r="H63" i="3"/>
  <c r="J63" i="3"/>
  <c r="B64" i="3"/>
  <c r="D64" i="3"/>
  <c r="E64" i="3"/>
  <c r="F64" i="3"/>
  <c r="H64" i="3"/>
  <c r="J64" i="3"/>
  <c r="B65" i="3"/>
  <c r="D65" i="3"/>
  <c r="E65" i="3"/>
  <c r="F65" i="3"/>
  <c r="H65" i="3"/>
  <c r="J65" i="3"/>
  <c r="H4" i="2"/>
  <c r="H6" i="2"/>
  <c r="H7" i="2"/>
  <c r="H8" i="2"/>
  <c r="H9" i="2"/>
  <c r="H10" i="2"/>
  <c r="B11" i="2"/>
  <c r="H13" i="2"/>
  <c r="B15" i="2"/>
  <c r="H17" i="2"/>
  <c r="D22" i="2"/>
  <c r="F22" i="2"/>
  <c r="H22" i="2"/>
  <c r="D24" i="2"/>
  <c r="F24" i="2"/>
  <c r="H24" i="2"/>
  <c r="D25" i="2"/>
  <c r="F25" i="2"/>
  <c r="H25" i="2"/>
  <c r="D27" i="2"/>
  <c r="F27" i="2"/>
  <c r="H27" i="2"/>
  <c r="D28" i="2"/>
  <c r="F28" i="2"/>
  <c r="H28" i="2"/>
  <c r="D30" i="2"/>
  <c r="F30" i="2"/>
  <c r="H30" i="2"/>
  <c r="J9" i="4"/>
  <c r="J10" i="4"/>
  <c r="D11" i="4"/>
  <c r="J12" i="4"/>
  <c r="J13" i="4"/>
  <c r="B22" i="4"/>
  <c r="E24" i="4"/>
  <c r="F24" i="4"/>
  <c r="G24" i="4"/>
  <c r="I24" i="4"/>
  <c r="J24" i="4"/>
  <c r="E25" i="4"/>
  <c r="F25" i="4"/>
  <c r="G25" i="4"/>
  <c r="I25" i="4"/>
  <c r="J25" i="4"/>
  <c r="B26" i="4"/>
  <c r="E26" i="4"/>
  <c r="F26" i="4"/>
  <c r="G26" i="4"/>
  <c r="I26" i="4"/>
  <c r="J26" i="4"/>
  <c r="E27" i="4"/>
  <c r="F27" i="4"/>
  <c r="G27" i="4"/>
  <c r="I27" i="4"/>
  <c r="J27" i="4"/>
  <c r="E28" i="4"/>
  <c r="F28" i="4"/>
  <c r="G28" i="4"/>
  <c r="I28" i="4"/>
  <c r="J28" i="4"/>
  <c r="B29" i="4"/>
  <c r="E29" i="4"/>
  <c r="F29" i="4"/>
  <c r="G29" i="4"/>
  <c r="I29" i="4"/>
  <c r="J29" i="4"/>
  <c r="B30" i="4"/>
  <c r="E30" i="4"/>
  <c r="F30" i="4"/>
  <c r="G30" i="4"/>
  <c r="I30" i="4"/>
  <c r="J30" i="4"/>
  <c r="E31" i="4"/>
  <c r="F31" i="4"/>
  <c r="G31" i="4"/>
  <c r="I31" i="4"/>
  <c r="J31" i="4"/>
  <c r="B32" i="4"/>
  <c r="E32" i="4"/>
  <c r="F32" i="4"/>
  <c r="G32" i="4"/>
  <c r="I32" i="4"/>
  <c r="J32" i="4"/>
  <c r="B33" i="4"/>
  <c r="E33" i="4"/>
  <c r="F33" i="4"/>
  <c r="G33" i="4"/>
  <c r="I33" i="4"/>
  <c r="J33" i="4"/>
  <c r="E34" i="4"/>
  <c r="F34" i="4"/>
  <c r="G34" i="4"/>
  <c r="I34" i="4"/>
  <c r="J34" i="4"/>
</calcChain>
</file>

<file path=xl/sharedStrings.xml><?xml version="1.0" encoding="utf-8"?>
<sst xmlns="http://schemas.openxmlformats.org/spreadsheetml/2006/main" count="161" uniqueCount="110">
  <si>
    <t>Option4.XLS</t>
  </si>
  <si>
    <t>Option Values using the LN and RG distributions</t>
  </si>
  <si>
    <t>Share price (S)</t>
  </si>
  <si>
    <t>M</t>
  </si>
  <si>
    <t>M1</t>
  </si>
  <si>
    <t>Exercise price (X)</t>
  </si>
  <si>
    <t>V</t>
  </si>
  <si>
    <t>M2</t>
  </si>
  <si>
    <t>Int rate-cont (r)</t>
  </si>
  <si>
    <r>
      <t>d</t>
    </r>
    <r>
      <rPr>
        <vertAlign val="subscript"/>
        <sz val="10"/>
        <rFont val="Times New Roman"/>
        <family val="1"/>
      </rPr>
      <t>1</t>
    </r>
  </si>
  <si>
    <t>alpha</t>
  </si>
  <si>
    <t>Dividend yield (q)</t>
  </si>
  <si>
    <r>
      <t>d</t>
    </r>
    <r>
      <rPr>
        <vertAlign val="subscript"/>
        <sz val="10"/>
        <rFont val="Times New Roman"/>
        <family val="1"/>
      </rPr>
      <t>2</t>
    </r>
  </si>
  <si>
    <t>beta</t>
  </si>
  <si>
    <t>Time now (0, years)</t>
  </si>
  <si>
    <t>Time maturity (T, years)</t>
  </si>
  <si>
    <r>
      <t>N (d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</rPr>
      <t>)</t>
    </r>
  </si>
  <si>
    <t>g1</t>
  </si>
  <si>
    <t>Option life (T, years)</t>
  </si>
  <si>
    <r>
      <t>N (d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</rPr>
      <t>)</t>
    </r>
  </si>
  <si>
    <t>g2</t>
  </si>
  <si>
    <t>Volatility (s)</t>
  </si>
  <si>
    <t>LN value</t>
  </si>
  <si>
    <t>RG value</t>
  </si>
  <si>
    <t>iopt</t>
  </si>
  <si>
    <t>via fn</t>
  </si>
  <si>
    <t>option</t>
  </si>
  <si>
    <t>BS option value</t>
  </si>
  <si>
    <t>S</t>
  </si>
  <si>
    <t>LN</t>
  </si>
  <si>
    <t>RG</t>
  </si>
  <si>
    <t>RG/LN values</t>
  </si>
  <si>
    <t>Estimating Implied Volatility (or ISD) in BS Option Values</t>
  </si>
  <si>
    <t>ISD Estimate (Corrado &amp; Miller)</t>
  </si>
  <si>
    <r>
      <t>S * Exp (-</t>
    </r>
    <r>
      <rPr>
        <sz val="10"/>
        <rFont val="Times New Roman"/>
        <family val="1"/>
      </rPr>
      <t>q*T</t>
    </r>
    <r>
      <rPr>
        <sz val="10"/>
        <rFont val="Times New Roman"/>
      </rPr>
      <t>)</t>
    </r>
  </si>
  <si>
    <r>
      <t>X * Exp (-r*</t>
    </r>
    <r>
      <rPr>
        <sz val="10"/>
        <rFont val="Times New Roman"/>
        <family val="1"/>
      </rPr>
      <t>T</t>
    </r>
    <r>
      <rPr>
        <sz val="10"/>
        <rFont val="Times New Roman"/>
      </rPr>
      <t>)</t>
    </r>
  </si>
  <si>
    <t>calc0</t>
  </si>
  <si>
    <t>calc1</t>
  </si>
  <si>
    <t>calc2</t>
  </si>
  <si>
    <r>
      <t>Volatility (</t>
    </r>
    <r>
      <rPr>
        <sz val="10"/>
        <rFont val="Symbol"/>
        <family val="1"/>
        <charset val="2"/>
      </rPr>
      <t>s</t>
    </r>
    <r>
      <rPr>
        <sz val="10"/>
        <rFont val="Times New Roman"/>
      </rPr>
      <t>)</t>
    </r>
  </si>
  <si>
    <t>ISD Seed Value (Manaster &amp; Koehler)</t>
  </si>
  <si>
    <t>BS Option value</t>
  </si>
  <si>
    <t>Observed Option price</t>
  </si>
  <si>
    <t>ISD via BSOptionISDGoalSeekNR fn</t>
  </si>
  <si>
    <t>Comparison of methods</t>
  </si>
  <si>
    <t>GS</t>
  </si>
  <si>
    <t>CM</t>
  </si>
  <si>
    <t>MK</t>
  </si>
  <si>
    <t>d1</t>
  </si>
  <si>
    <t>N (d1)</t>
  </si>
  <si>
    <t>d2</t>
  </si>
  <si>
    <t>N (d2)</t>
  </si>
  <si>
    <t>BS value</t>
  </si>
  <si>
    <t>Goal Seek search</t>
  </si>
  <si>
    <t>Linear approximation of N (d)</t>
  </si>
  <si>
    <t>Seed value where d1 or d2 = 0</t>
  </si>
  <si>
    <t>Generating an Edgeworth distribution</t>
  </si>
  <si>
    <t>f ' &amp; xj</t>
  </si>
  <si>
    <t>f ' &amp; x ' j</t>
  </si>
  <si>
    <t>Chart 3 data</t>
  </si>
  <si>
    <t>x ' j</t>
  </si>
  <si>
    <t>Edgeworth</t>
  </si>
  <si>
    <t>Standard</t>
  </si>
  <si>
    <t>nstep</t>
  </si>
  <si>
    <t>non-neg</t>
  </si>
  <si>
    <t>Mean</t>
  </si>
  <si>
    <t>Var</t>
  </si>
  <si>
    <r>
      <t xml:space="preserve">x </t>
    </r>
    <r>
      <rPr>
        <sz val="10"/>
        <rFont val="Times New Roman"/>
        <family val="1"/>
      </rPr>
      <t>(skew)</t>
    </r>
  </si>
  <si>
    <t>modes</t>
  </si>
  <si>
    <t>Skew</t>
  </si>
  <si>
    <r>
      <t xml:space="preserve">k </t>
    </r>
    <r>
      <rPr>
        <sz val="10"/>
        <rFont val="Times New Roman"/>
        <family val="1"/>
      </rPr>
      <t>(kurt)</t>
    </r>
  </si>
  <si>
    <t>Kurt</t>
  </si>
  <si>
    <r>
      <t>S</t>
    </r>
    <r>
      <rPr>
        <sz val="10"/>
        <rFont val="Times New Roman"/>
      </rPr>
      <t xml:space="preserve"> f (xj)</t>
    </r>
  </si>
  <si>
    <r>
      <t>S</t>
    </r>
    <r>
      <rPr>
        <sz val="10"/>
        <rFont val="Times New Roman"/>
      </rPr>
      <t xml:space="preserve"> f ' (xj)</t>
    </r>
  </si>
  <si>
    <t>init nodes</t>
  </si>
  <si>
    <t>Bnl probs</t>
  </si>
  <si>
    <t>Edge facts</t>
  </si>
  <si>
    <t>init E probs</t>
  </si>
  <si>
    <t>final E probs</t>
  </si>
  <si>
    <t>final nodes</t>
  </si>
  <si>
    <t>j</t>
  </si>
  <si>
    <t>xj</t>
  </si>
  <si>
    <t>b (xj)</t>
  </si>
  <si>
    <t>a (xj)</t>
  </si>
  <si>
    <t>f (xj)</t>
  </si>
  <si>
    <t>f ' (xj)</t>
  </si>
  <si>
    <t xml:space="preserve">Valuing an Option based on Edgeworth Distribution </t>
  </si>
  <si>
    <t>Edgeworth call value</t>
  </si>
  <si>
    <t>via function</t>
  </si>
  <si>
    <t>BS call value</t>
  </si>
  <si>
    <t>RNdrift LN</t>
  </si>
  <si>
    <t>RNdrift  E</t>
  </si>
  <si>
    <t>components</t>
  </si>
  <si>
    <t>Sj</t>
  </si>
  <si>
    <t>payoff</t>
  </si>
  <si>
    <t>f ' (xj)*payoff</t>
  </si>
  <si>
    <t>of expectation</t>
  </si>
  <si>
    <t>Estimating Implied Volatility (or ISD) in Edgeworth Option Values</t>
  </si>
  <si>
    <r>
      <t>BS (S,X,</t>
    </r>
    <r>
      <rPr>
        <sz val="10"/>
        <rFont val="Symbol"/>
        <family val="1"/>
        <charset val="2"/>
      </rPr>
      <t>s</t>
    </r>
    <r>
      <rPr>
        <sz val="10"/>
        <rFont val="Times New Roman"/>
      </rPr>
      <t>)</t>
    </r>
  </si>
  <si>
    <r>
      <t>EDGE (S,X,</t>
    </r>
    <r>
      <rPr>
        <sz val="10"/>
        <rFont val="Symbol"/>
        <family val="1"/>
        <charset val="2"/>
      </rPr>
      <t>s</t>
    </r>
    <r>
      <rPr>
        <sz val="10"/>
        <rFont val="Times New Roman"/>
      </rPr>
      <t>)</t>
    </r>
  </si>
  <si>
    <t>EDGE ISD</t>
  </si>
  <si>
    <t>BS (S,X, EDGE ISD)</t>
  </si>
  <si>
    <t>Illustrating the Volatility Smile</t>
  </si>
  <si>
    <t>Option Values</t>
  </si>
  <si>
    <t>Volatility Smile</t>
  </si>
  <si>
    <t>X at-money</t>
  </si>
  <si>
    <t># sd</t>
  </si>
  <si>
    <t>X</t>
  </si>
  <si>
    <t>BS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</si>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</sst>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000"/>
    <numFmt numFmtId="173" formatCode="0.0"/>
    <numFmt numFmtId="174" formatCode="0.000"/>
    <numFmt numFmtId="176" formatCode="0.0%"/>
  </numFmts>
  <fonts count="10" x14ac:knownFonts="1">
    <font>
      <sz val="10"/>
      <name val="Times New Roman"/>
    </font>
    <font>
      <b/>
      <sz val="10"/>
      <name val="Times New Roman"/>
    </font>
    <font>
      <sz val="10"/>
      <name val="Times New Roman"/>
      <family val="1"/>
    </font>
    <font>
      <sz val="10"/>
      <name val="Symbol"/>
      <family val="1"/>
      <charset val="2"/>
    </font>
    <font>
      <sz val="10"/>
      <name val="Times New Roman"/>
      <family val="1"/>
    </font>
    <font>
      <vertAlign val="subscript"/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2" fontId="1" fillId="0" borderId="0" xfId="0" applyNumberFormat="1" applyFont="1"/>
    <xf numFmtId="0" fontId="0" fillId="0" borderId="0" xfId="0" applyAlignment="1">
      <alignment horizontal="left"/>
    </xf>
    <xf numFmtId="10" fontId="1" fillId="0" borderId="0" xfId="0" applyNumberFormat="1" applyFont="1"/>
    <xf numFmtId="172" fontId="2" fillId="0" borderId="0" xfId="0" applyNumberFormat="1" applyFont="1"/>
    <xf numFmtId="172" fontId="1" fillId="0" borderId="0" xfId="0" applyNumberFormat="1" applyFont="1"/>
    <xf numFmtId="10" fontId="2" fillId="0" borderId="0" xfId="0" applyNumberFormat="1" applyFont="1"/>
    <xf numFmtId="172" fontId="0" fillId="0" borderId="0" xfId="0" applyNumberForma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quotePrefix="1" applyAlignment="1">
      <alignment horizontal="right"/>
    </xf>
    <xf numFmtId="0" fontId="2" fillId="0" borderId="0" xfId="0" applyFont="1"/>
    <xf numFmtId="0" fontId="3" fillId="0" borderId="0" xfId="0" quotePrefix="1" applyFont="1" applyAlignment="1">
      <alignment horizontal="right"/>
    </xf>
    <xf numFmtId="17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0" fontId="0" fillId="0" borderId="0" xfId="0" applyNumberFormat="1"/>
    <xf numFmtId="2" fontId="2" fillId="0" borderId="0" xfId="0" applyNumberFormat="1" applyFont="1"/>
    <xf numFmtId="176" fontId="0" fillId="0" borderId="0" xfId="0" applyNumberFormat="1"/>
    <xf numFmtId="173" fontId="0" fillId="0" borderId="0" xfId="0" applyNumberFormat="1"/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2" fontId="6" fillId="0" borderId="0" xfId="0" applyNumberFormat="1" applyFont="1"/>
    <xf numFmtId="0" fontId="1" fillId="0" borderId="0" xfId="0" applyFont="1" applyAlignment="1">
      <alignment horizontal="centerContinuous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Ratio RG/LN call values for different S</a:t>
            </a:r>
          </a:p>
        </c:rich>
      </c:tx>
      <c:layout>
        <c:manualLayout>
          <c:xMode val="edge"/>
          <c:yMode val="edge"/>
          <c:x val="0.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517241379310351E-2"/>
          <c:y val="0.12104072398190045"/>
          <c:w val="0.85172413793103452"/>
          <c:h val="0.78846153846153844"/>
        </c:manualLayout>
      </c:layout>
      <c:scatterChart>
        <c:scatterStyle val="lineMarker"/>
        <c:varyColors val="0"/>
        <c:ser>
          <c:idx val="0"/>
          <c:order val="0"/>
          <c:tx>
            <c:strRef>
              <c:f>Dist!$H$19</c:f>
              <c:strCache>
                <c:ptCount val="1"/>
                <c:pt idx="0">
                  <c:v>RG/LN values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Dist!$D$21:$D$32</c:f>
              <c:numCache>
                <c:formatCode>General</c:formatCode>
                <c:ptCount val="12"/>
                <c:pt idx="0">
                  <c:v>75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95</c:v>
                </c:pt>
                <c:pt idx="5">
                  <c:v>100</c:v>
                </c:pt>
                <c:pt idx="6">
                  <c:v>105</c:v>
                </c:pt>
                <c:pt idx="7">
                  <c:v>110</c:v>
                </c:pt>
                <c:pt idx="8">
                  <c:v>115</c:v>
                </c:pt>
                <c:pt idx="9">
                  <c:v>120</c:v>
                </c:pt>
                <c:pt idx="10">
                  <c:v>125</c:v>
                </c:pt>
                <c:pt idx="11">
                  <c:v>130</c:v>
                </c:pt>
              </c:numCache>
            </c:numRef>
          </c:xVal>
          <c:yVal>
            <c:numRef>
              <c:f>Dist!$H$21:$H$32</c:f>
              <c:numCache>
                <c:formatCode>0.00</c:formatCode>
                <c:ptCount val="12"/>
                <c:pt idx="0">
                  <c:v>1.1323252982788226</c:v>
                </c:pt>
                <c:pt idx="1">
                  <c:v>1.0560579488239976</c:v>
                </c:pt>
                <c:pt idx="2">
                  <c:v>1.016879755097595</c:v>
                </c:pt>
                <c:pt idx="3">
                  <c:v>0.99872769937637351</c:v>
                </c:pt>
                <c:pt idx="4">
                  <c:v>0.99210961752329885</c:v>
                </c:pt>
                <c:pt idx="5">
                  <c:v>0.99128453799199101</c:v>
                </c:pt>
                <c:pt idx="6">
                  <c:v>0.99286248773214392</c:v>
                </c:pt>
                <c:pt idx="7">
                  <c:v>0.9949991942749371</c:v>
                </c:pt>
                <c:pt idx="8">
                  <c:v>0.99685918303863108</c:v>
                </c:pt>
                <c:pt idx="9">
                  <c:v>0.99819256153345004</c:v>
                </c:pt>
                <c:pt idx="10">
                  <c:v>0.99903435337916635</c:v>
                </c:pt>
                <c:pt idx="11">
                  <c:v>0.99951650937490222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A5-47FE-96BF-6AA00DAB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93215"/>
        <c:axId val="1"/>
      </c:scatterChart>
      <c:valAx>
        <c:axId val="1063193215"/>
        <c:scaling>
          <c:orientation val="minMax"/>
          <c:max val="130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</a:t>
                </a:r>
              </a:p>
            </c:rich>
          </c:tx>
          <c:layout>
            <c:manualLayout>
              <c:xMode val="edge"/>
              <c:yMode val="edge"/>
              <c:x val="0.89034482758620692"/>
              <c:y val="0.728506787330316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"/>
        <c:crossBetween val="midCat"/>
        <c:majorUnit val="5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RGval/Bsval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51357466063348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93215"/>
        <c:crossesAt val="70"/>
        <c:crossBetween val="midCat"/>
        <c:majorUnit val="0.0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Edgeworth distribution (v. standard)</a:t>
            </a:r>
          </a:p>
        </c:rich>
      </c:tx>
      <c:layout>
        <c:manualLayout>
          <c:xMode val="edge"/>
          <c:yMode val="edge"/>
          <c:x val="0.3793103448275861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9310344827586208E-2"/>
          <c:y val="0.13687782805429866"/>
          <c:w val="0.85517241379310349"/>
          <c:h val="0.751131221719457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Edge!$P$3</c:f>
              <c:strCache>
                <c:ptCount val="1"/>
                <c:pt idx="0">
                  <c:v>Edgeworth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Edge!$O$4:$O$36</c:f>
              <c:numCache>
                <c:formatCode>0.00</c:formatCode>
                <c:ptCount val="33"/>
                <c:pt idx="0">
                  <c:v>-4.2045596295357353</c:v>
                </c:pt>
                <c:pt idx="1">
                  <c:v>-3.6789896758437681</c:v>
                </c:pt>
                <c:pt idx="2">
                  <c:v>-3.1534197221518014</c:v>
                </c:pt>
                <c:pt idx="3">
                  <c:v>-2.6278497684598343</c:v>
                </c:pt>
                <c:pt idx="4">
                  <c:v>-2.1022798147678676</c:v>
                </c:pt>
                <c:pt idx="5">
                  <c:v>-1.5767098610759007</c:v>
                </c:pt>
                <c:pt idx="6">
                  <c:v>-1.0511399073839338</c:v>
                </c:pt>
                <c:pt idx="7">
                  <c:v>-0.52556995369196691</c:v>
                </c:pt>
                <c:pt idx="8">
                  <c:v>-4.5813856481109289E-17</c:v>
                </c:pt>
                <c:pt idx="9">
                  <c:v>0.5255699536919668</c:v>
                </c:pt>
                <c:pt idx="10">
                  <c:v>1.0511399073839338</c:v>
                </c:pt>
                <c:pt idx="11">
                  <c:v>1.5767098610759007</c:v>
                </c:pt>
                <c:pt idx="12">
                  <c:v>2.1022798147678676</c:v>
                </c:pt>
                <c:pt idx="13">
                  <c:v>2.6278497684598343</c:v>
                </c:pt>
                <c:pt idx="14">
                  <c:v>3.1534197221518014</c:v>
                </c:pt>
                <c:pt idx="15">
                  <c:v>3.6789896758437681</c:v>
                </c:pt>
                <c:pt idx="16">
                  <c:v>4.2045596295357353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</c:numCache>
            </c:numRef>
          </c:xVal>
          <c:yVal>
            <c:numRef>
              <c:f>Edge!$P$4:$P$36</c:f>
              <c:numCache>
                <c:formatCode>0.0000</c:formatCode>
                <c:ptCount val="33"/>
                <c:pt idx="0">
                  <c:v>2.6731853243670882E-4</c:v>
                </c:pt>
                <c:pt idx="1">
                  <c:v>2.214262757120253E-3</c:v>
                </c:pt>
                <c:pt idx="2">
                  <c:v>7.4169303797468342E-3</c:v>
                </c:pt>
                <c:pt idx="3">
                  <c:v>1.2601055676424049E-2</c:v>
                </c:pt>
                <c:pt idx="4">
                  <c:v>1.4061263844936705E-2</c:v>
                </c:pt>
                <c:pt idx="5">
                  <c:v>3.0794167820411382E-2</c:v>
                </c:pt>
                <c:pt idx="6">
                  <c:v>9.8991297468354403E-2</c:v>
                </c:pt>
                <c:pt idx="7">
                  <c:v>0.20439051374604428</c:v>
                </c:pt>
                <c:pt idx="8">
                  <c:v>0.25852637954905061</c:v>
                </c:pt>
                <c:pt idx="9">
                  <c:v>0.20439051374604428</c:v>
                </c:pt>
                <c:pt idx="10">
                  <c:v>9.8991297468354403E-2</c:v>
                </c:pt>
                <c:pt idx="11">
                  <c:v>3.0794167820411382E-2</c:v>
                </c:pt>
                <c:pt idx="12">
                  <c:v>1.4061263844936705E-2</c:v>
                </c:pt>
                <c:pt idx="13">
                  <c:v>1.2601055676424049E-2</c:v>
                </c:pt>
                <c:pt idx="14">
                  <c:v>7.4169303797468342E-3</c:v>
                </c:pt>
                <c:pt idx="15">
                  <c:v>2.214262757120253E-3</c:v>
                </c:pt>
                <c:pt idx="16">
                  <c:v>2.6731853243670882E-4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70-4C8C-AC20-B576B09D2B4B}"/>
            </c:ext>
          </c:extLst>
        </c:ser>
        <c:ser>
          <c:idx val="1"/>
          <c:order val="1"/>
          <c:tx>
            <c:strRef>
              <c:f>Edge!$Q$3</c:f>
              <c:strCache>
                <c:ptCount val="1"/>
                <c:pt idx="0">
                  <c:v>Standard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Edge!$O$4:$O$36</c:f>
              <c:numCache>
                <c:formatCode>0.00</c:formatCode>
                <c:ptCount val="33"/>
                <c:pt idx="0">
                  <c:v>-4.2045596295357353</c:v>
                </c:pt>
                <c:pt idx="1">
                  <c:v>-3.6789896758437681</c:v>
                </c:pt>
                <c:pt idx="2">
                  <c:v>-3.1534197221518014</c:v>
                </c:pt>
                <c:pt idx="3">
                  <c:v>-2.6278497684598343</c:v>
                </c:pt>
                <c:pt idx="4">
                  <c:v>-2.1022798147678676</c:v>
                </c:pt>
                <c:pt idx="5">
                  <c:v>-1.5767098610759007</c:v>
                </c:pt>
                <c:pt idx="6">
                  <c:v>-1.0511399073839338</c:v>
                </c:pt>
                <c:pt idx="7">
                  <c:v>-0.52556995369196691</c:v>
                </c:pt>
                <c:pt idx="8">
                  <c:v>-4.5813856481109289E-17</c:v>
                </c:pt>
                <c:pt idx="9">
                  <c:v>0.5255699536919668</c:v>
                </c:pt>
                <c:pt idx="10">
                  <c:v>1.0511399073839338</c:v>
                </c:pt>
                <c:pt idx="11">
                  <c:v>1.5767098610759007</c:v>
                </c:pt>
                <c:pt idx="12">
                  <c:v>2.1022798147678676</c:v>
                </c:pt>
                <c:pt idx="13">
                  <c:v>2.6278497684598343</c:v>
                </c:pt>
                <c:pt idx="14">
                  <c:v>3.1534197221518014</c:v>
                </c:pt>
                <c:pt idx="15">
                  <c:v>3.6789896758437681</c:v>
                </c:pt>
                <c:pt idx="16">
                  <c:v>4.2045596295357353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</c:numCache>
            </c:numRef>
          </c:xVal>
          <c:yVal>
            <c:numRef>
              <c:f>Edge!$Q$4:$Q$36</c:f>
              <c:numCache>
                <c:formatCode>General</c:formatCode>
                <c:ptCount val="33"/>
                <c:pt idx="17" formatCode="0.0000">
                  <c:v>1.52587890625E-5</c:v>
                </c:pt>
                <c:pt idx="18" formatCode="0.0000">
                  <c:v>2.44140625E-4</c:v>
                </c:pt>
                <c:pt idx="19" formatCode="0.0000">
                  <c:v>1.8310546875E-3</c:v>
                </c:pt>
                <c:pt idx="20" formatCode="0.0000">
                  <c:v>8.544921875E-3</c:v>
                </c:pt>
                <c:pt idx="21" formatCode="0.0000">
                  <c:v>2.7770996093750003E-2</c:v>
                </c:pt>
                <c:pt idx="22" formatCode="0.0000">
                  <c:v>6.6650390625E-2</c:v>
                </c:pt>
                <c:pt idx="23" formatCode="0.0000">
                  <c:v>0.1221923828125</c:v>
                </c:pt>
                <c:pt idx="24" formatCode="0.0000">
                  <c:v>0.174560546875</c:v>
                </c:pt>
                <c:pt idx="25" formatCode="0.0000">
                  <c:v>0.19638061523437497</c:v>
                </c:pt>
                <c:pt idx="26" formatCode="0.0000">
                  <c:v>0.174560546875</c:v>
                </c:pt>
                <c:pt idx="27" formatCode="0.0000">
                  <c:v>0.1221923828125</c:v>
                </c:pt>
                <c:pt idx="28" formatCode="0.0000">
                  <c:v>6.6650390625E-2</c:v>
                </c:pt>
                <c:pt idx="29" formatCode="0.0000">
                  <c:v>2.7770996093750003E-2</c:v>
                </c:pt>
                <c:pt idx="30" formatCode="0.0000">
                  <c:v>8.544921875E-3</c:v>
                </c:pt>
                <c:pt idx="31" formatCode="0.0000">
                  <c:v>1.8310546875E-3</c:v>
                </c:pt>
                <c:pt idx="32" formatCode="0.0000">
                  <c:v>2.44140625E-4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70-4C8C-AC20-B576B09D2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91967"/>
        <c:axId val="1"/>
      </c:scatterChart>
      <c:valAx>
        <c:axId val="1063191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Standard deviations from mean</a:t>
                </a:r>
              </a:p>
            </c:rich>
          </c:tx>
          <c:layout>
            <c:manualLayout>
              <c:xMode val="edge"/>
              <c:yMode val="edge"/>
              <c:x val="0.3606896551724138"/>
              <c:y val="0.938914027149321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9196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137931034482761"/>
          <c:y val="0.29411764705882354"/>
          <c:w val="0.13517241379310344"/>
          <c:h val="7.352941176470588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Implied volatility smile</a:t>
            </a:r>
          </a:p>
        </c:rich>
      </c:tx>
      <c:layout>
        <c:manualLayout>
          <c:xMode val="edge"/>
          <c:yMode val="edge"/>
          <c:x val="0.4172413793103448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482758620689649E-2"/>
          <c:y val="0.1425339366515837"/>
          <c:w val="0.90206896551724136"/>
          <c:h val="0.74321266968325794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Smile!$E$24:$E$34</c:f>
              <c:numCache>
                <c:formatCode>0.00</c:formatCode>
                <c:ptCount val="11"/>
                <c:pt idx="0">
                  <c:v>65.060883518330783</c:v>
                </c:pt>
                <c:pt idx="1">
                  <c:v>69.827937410635144</c:v>
                </c:pt>
                <c:pt idx="2">
                  <c:v>74.944276489110266</c:v>
                </c:pt>
                <c:pt idx="3">
                  <c:v>80.435493109964924</c:v>
                </c:pt>
                <c:pt idx="4">
                  <c:v>86.329054798244883</c:v>
                </c:pt>
                <c:pt idx="5">
                  <c:v>92.654441642691594</c:v>
                </c:pt>
                <c:pt idx="6">
                  <c:v>99.443293757613077</c:v>
                </c:pt>
                <c:pt idx="7">
                  <c:v>106.7295695493833</c:v>
                </c:pt>
                <c:pt idx="8">
                  <c:v>114.54971557923251</c:v>
                </c:pt>
                <c:pt idx="9">
                  <c:v>122.94284887199643</c:v>
                </c:pt>
                <c:pt idx="10">
                  <c:v>131.95095258274779</c:v>
                </c:pt>
              </c:numCache>
            </c:numRef>
          </c:xVal>
          <c:yVal>
            <c:numRef>
              <c:f>Smile!$I$24:$I$34</c:f>
              <c:numCache>
                <c:formatCode>0.0%</c:formatCode>
                <c:ptCount val="1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F0-440F-8499-D99843B68D16}"/>
            </c:ext>
          </c:extLst>
        </c:ser>
        <c:ser>
          <c:idx val="2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Smile!$E$24:$E$34</c:f>
              <c:numCache>
                <c:formatCode>0.00</c:formatCode>
                <c:ptCount val="11"/>
                <c:pt idx="0">
                  <c:v>65.060883518330783</c:v>
                </c:pt>
                <c:pt idx="1">
                  <c:v>69.827937410635144</c:v>
                </c:pt>
                <c:pt idx="2">
                  <c:v>74.944276489110266</c:v>
                </c:pt>
                <c:pt idx="3">
                  <c:v>80.435493109964924</c:v>
                </c:pt>
                <c:pt idx="4">
                  <c:v>86.329054798244883</c:v>
                </c:pt>
                <c:pt idx="5">
                  <c:v>92.654441642691594</c:v>
                </c:pt>
                <c:pt idx="6">
                  <c:v>99.443293757613077</c:v>
                </c:pt>
                <c:pt idx="7">
                  <c:v>106.7295695493833</c:v>
                </c:pt>
                <c:pt idx="8">
                  <c:v>114.54971557923251</c:v>
                </c:pt>
                <c:pt idx="9">
                  <c:v>122.94284887199643</c:v>
                </c:pt>
                <c:pt idx="10">
                  <c:v>131.95095258274779</c:v>
                </c:pt>
              </c:numCache>
            </c:numRef>
          </c:xVal>
          <c:yVal>
            <c:numRef>
              <c:f>Smile!$J$24:$J$34</c:f>
              <c:numCache>
                <c:formatCode>0.0%</c:formatCode>
                <c:ptCount val="11"/>
                <c:pt idx="0">
                  <c:v>0.23636247243488598</c:v>
                </c:pt>
                <c:pt idx="1">
                  <c:v>0.24125419793911809</c:v>
                </c:pt>
                <c:pt idx="2">
                  <c:v>0.23668803727226542</c:v>
                </c:pt>
                <c:pt idx="3">
                  <c:v>0.22108960665998534</c:v>
                </c:pt>
                <c:pt idx="4">
                  <c:v>0.20157508654190817</c:v>
                </c:pt>
                <c:pt idx="5">
                  <c:v>0.18876892372225393</c:v>
                </c:pt>
                <c:pt idx="6">
                  <c:v>0.18522715444139334</c:v>
                </c:pt>
                <c:pt idx="7">
                  <c:v>0.1890196725632238</c:v>
                </c:pt>
                <c:pt idx="8">
                  <c:v>0.19988558206094445</c:v>
                </c:pt>
                <c:pt idx="9">
                  <c:v>0.21745906976893725</c:v>
                </c:pt>
                <c:pt idx="10">
                  <c:v>0.23628114696066022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F0-440F-8499-D99843B68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92799"/>
        <c:axId val="1"/>
      </c:scatterChart>
      <c:valAx>
        <c:axId val="1063192799"/>
        <c:scaling>
          <c:orientation val="minMax"/>
          <c:max val="135"/>
          <c:min val="65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Exercise price</a:t>
                </a:r>
              </a:p>
            </c:rich>
          </c:tx>
          <c:layout>
            <c:manualLayout>
              <c:xMode val="edge"/>
              <c:yMode val="edge"/>
              <c:x val="0.48206896551724138"/>
              <c:y val="0.9400452488687782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  <c:max val="0.25"/>
          <c:min val="0.15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Implied volatility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30995475113122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63192799"/>
        <c:crossesAt val="65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horizontalDpi="300" verticalDpi="300" r:id="rId1"/>
  <headerFooter alignWithMargins="0">
    <oddHeader>&amp;A</oddHeader>
    <oddFooter>Page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5C704-A29B-49FA-8859-C541EDA4C8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4A4F2-8A09-44DB-8604-EF81473453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4BB6C-EBAC-4CFB-9E0F-5B1B7046AB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tabSelected="1" workbookViewId="0"/>
  </sheetViews>
  <sheetFormatPr defaultRowHeight="13" x14ac:dyDescent="0.3"/>
  <cols>
    <col min="1" max="1" width="22.296875" customWidth="1"/>
  </cols>
  <sheetData>
    <row r="1" spans="1:8" x14ac:dyDescent="0.3">
      <c r="A1" s="2" t="s">
        <v>0</v>
      </c>
    </row>
    <row r="2" spans="1:8" x14ac:dyDescent="0.3">
      <c r="A2" s="2" t="s">
        <v>1</v>
      </c>
    </row>
    <row r="4" spans="1:8" x14ac:dyDescent="0.3">
      <c r="A4" t="s">
        <v>2</v>
      </c>
      <c r="B4" s="4">
        <v>100</v>
      </c>
      <c r="D4" t="s">
        <v>3</v>
      </c>
      <c r="E4" s="10">
        <f>LN(B4)+(B6-B8-0.5*B12^2)*B11</f>
        <v>4.6201701859880915</v>
      </c>
      <c r="G4" t="s">
        <v>4</v>
      </c>
      <c r="H4" s="13">
        <f>EXP(E4+0.5*E5)</f>
        <v>102.53151205244288</v>
      </c>
    </row>
    <row r="5" spans="1:8" x14ac:dyDescent="0.3">
      <c r="A5" t="s">
        <v>5</v>
      </c>
      <c r="B5" s="4">
        <v>95</v>
      </c>
      <c r="D5" t="s">
        <v>6</v>
      </c>
      <c r="E5" s="10">
        <f>(B12^2)*B11</f>
        <v>2.0000000000000004E-2</v>
      </c>
      <c r="G5" t="s">
        <v>7</v>
      </c>
      <c r="H5" s="13">
        <f>EXP(2*E4+2*E5)</f>
        <v>10725.081812542157</v>
      </c>
    </row>
    <row r="6" spans="1:8" x14ac:dyDescent="0.3">
      <c r="A6" t="s">
        <v>8</v>
      </c>
      <c r="B6" s="6">
        <v>0.08</v>
      </c>
    </row>
    <row r="7" spans="1:8" ht="15" x14ac:dyDescent="0.4">
      <c r="D7" s="3" t="s">
        <v>9</v>
      </c>
      <c r="E7" s="10">
        <f>E8+SQRT(E5)</f>
        <v>0.61018573632364148</v>
      </c>
      <c r="G7" t="s">
        <v>10</v>
      </c>
      <c r="H7" s="10">
        <f>(2*H5-H4^2)/(H5-H4^2)</f>
        <v>51.501666655557017</v>
      </c>
    </row>
    <row r="8" spans="1:8" ht="15" x14ac:dyDescent="0.4">
      <c r="A8" t="s">
        <v>11</v>
      </c>
      <c r="B8" s="6">
        <v>0.03</v>
      </c>
      <c r="D8" s="3" t="s">
        <v>12</v>
      </c>
      <c r="E8" s="10">
        <f>(E4-LN(B5))/SQRT(E5)</f>
        <v>0.46876438008633192</v>
      </c>
      <c r="G8" t="s">
        <v>13</v>
      </c>
      <c r="H8" s="10">
        <f>(H5-H4^2)/(H4*H5)</f>
        <v>1.9312430195232242E-4</v>
      </c>
    </row>
    <row r="9" spans="1:8" x14ac:dyDescent="0.3">
      <c r="A9" t="s">
        <v>14</v>
      </c>
      <c r="B9" s="4">
        <v>0</v>
      </c>
    </row>
    <row r="10" spans="1:8" ht="15" x14ac:dyDescent="0.4">
      <c r="A10" t="s">
        <v>15</v>
      </c>
      <c r="B10" s="4">
        <v>0.5</v>
      </c>
      <c r="D10" s="3" t="s">
        <v>16</v>
      </c>
      <c r="E10" s="10">
        <f>NORMSDIST(B14*E7)</f>
        <v>0.72913066765058876</v>
      </c>
      <c r="G10" t="s">
        <v>17</v>
      </c>
      <c r="H10" s="10">
        <f>IF(B14=1,GAMMADIST(1/B5,H7-1,H8,TRUE),1-GAMMADIST(1/B5,H7-1,H8,TRUE))</f>
        <v>0.72434000059182435</v>
      </c>
    </row>
    <row r="11" spans="1:8" ht="15" x14ac:dyDescent="0.4">
      <c r="A11" t="s">
        <v>18</v>
      </c>
      <c r="B11" s="13">
        <f>B10-B9</f>
        <v>0.5</v>
      </c>
      <c r="D11" s="3" t="s">
        <v>19</v>
      </c>
      <c r="E11" s="10">
        <f>NORMSDIST(B14*E8)</f>
        <v>0.68038095752264383</v>
      </c>
      <c r="G11" t="s">
        <v>20</v>
      </c>
      <c r="H11" s="10">
        <f>IF(B14=1,GAMMADIST(1/B5,H7,H8,TRUE),1-GAMMADIST(1/B5,H7,H8,TRUE))</f>
        <v>0.67613916263701435</v>
      </c>
    </row>
    <row r="12" spans="1:8" x14ac:dyDescent="0.3">
      <c r="A12" t="s">
        <v>21</v>
      </c>
      <c r="B12" s="6">
        <v>0.2</v>
      </c>
    </row>
    <row r="13" spans="1:8" x14ac:dyDescent="0.3">
      <c r="D13" s="3" t="s">
        <v>22</v>
      </c>
      <c r="E13" s="13">
        <f>EXP(-B6*B11)*B14*(EXP(E4+0.5*E5)*E10-B5*E11)</f>
        <v>9.7257629574650988</v>
      </c>
      <c r="G13" t="s">
        <v>23</v>
      </c>
      <c r="H13" s="13">
        <f>EXP(-B6*B11)*B14*(H4*H10-B5*H11)</f>
        <v>9.6409984399104101</v>
      </c>
    </row>
    <row r="14" spans="1:8" x14ac:dyDescent="0.3">
      <c r="A14" t="s">
        <v>24</v>
      </c>
      <c r="B14" s="1">
        <v>1</v>
      </c>
      <c r="D14" t="s">
        <v>25</v>
      </c>
      <c r="E14" s="13">
        <f>LNOptionValue0(B14,E4,E5,B5,B6,B11)</f>
        <v>9.7257629574650988</v>
      </c>
      <c r="G14" t="s">
        <v>25</v>
      </c>
      <c r="H14" s="13">
        <f>RGOptionValue(B14,H4,H5,B5,B6,B11)</f>
        <v>9.6409984399104101</v>
      </c>
    </row>
    <row r="15" spans="1:8" x14ac:dyDescent="0.3">
      <c r="A15" t="s">
        <v>26</v>
      </c>
      <c r="B15" s="12" t="str">
        <f>IF(B14=1,"call","put")</f>
        <v>call</v>
      </c>
    </row>
    <row r="17" spans="1:8" x14ac:dyDescent="0.3">
      <c r="A17" s="3" t="s">
        <v>27</v>
      </c>
      <c r="B17" s="13">
        <f>BSOptionValue(B14,B4,B5,B6,B8,B11,B12)</f>
        <v>9.7257629574651006</v>
      </c>
      <c r="G17" s="3" t="s">
        <v>22</v>
      </c>
      <c r="H17" s="13">
        <f>LNOptionValue(B14,H4,H5,B5,B6,B11)</f>
        <v>9.7257629574650437</v>
      </c>
    </row>
    <row r="18" spans="1:8" x14ac:dyDescent="0.3">
      <c r="A18" s="3"/>
      <c r="B18" s="13"/>
      <c r="H18" s="13"/>
    </row>
    <row r="19" spans="1:8" x14ac:dyDescent="0.3">
      <c r="D19" s="12" t="s">
        <v>28</v>
      </c>
      <c r="E19" s="28" t="s">
        <v>29</v>
      </c>
      <c r="F19" s="28" t="s">
        <v>30</v>
      </c>
      <c r="H19" t="s">
        <v>31</v>
      </c>
    </row>
    <row r="20" spans="1:8" x14ac:dyDescent="0.3">
      <c r="E20" s="13">
        <f>E14</f>
        <v>9.7257629574650988</v>
      </c>
      <c r="F20" s="13">
        <f>H14</f>
        <v>9.6409984399104101</v>
      </c>
      <c r="H20" s="13">
        <f t="shared" ref="H20:H21" si="0">F20/E20</f>
        <v>0.99128453799199101</v>
      </c>
    </row>
    <row r="21" spans="1:8" x14ac:dyDescent="0.3">
      <c r="D21">
        <v>75</v>
      </c>
      <c r="E21" s="13">
        <f t="dataTable" ref="E21:F32" dt2D="0" dtr="0" r1="B4"/>
        <v>0.34383517261938568</v>
      </c>
      <c r="F21" s="13">
        <v>0.38933326439499633</v>
      </c>
      <c r="H21" s="13">
        <f t="shared" si="0"/>
        <v>1.1323252982788226</v>
      </c>
    </row>
    <row r="22" spans="1:8" x14ac:dyDescent="0.3">
      <c r="D22">
        <v>80</v>
      </c>
      <c r="E22" s="13">
        <v>0.9268841948691009</v>
      </c>
      <c r="F22" s="13">
        <v>0.97884342163084515</v>
      </c>
      <c r="H22" s="13">
        <f t="shared" ref="H22:H32" si="1">F22/E22</f>
        <v>1.0560579488239976</v>
      </c>
    </row>
    <row r="23" spans="1:8" x14ac:dyDescent="0.3">
      <c r="D23">
        <v>85</v>
      </c>
      <c r="E23" s="13">
        <v>2.0499018375056446</v>
      </c>
      <c r="F23" s="13">
        <v>2.0845036784968496</v>
      </c>
      <c r="H23" s="13">
        <f t="shared" si="1"/>
        <v>1.016879755097595</v>
      </c>
    </row>
    <row r="24" spans="1:8" x14ac:dyDescent="0.3">
      <c r="D24">
        <v>90</v>
      </c>
      <c r="E24" s="13">
        <v>3.8707420308940925</v>
      </c>
      <c r="F24" s="13">
        <v>3.8658172833942888</v>
      </c>
      <c r="H24" s="13">
        <f t="shared" si="1"/>
        <v>0.99872769937637351</v>
      </c>
    </row>
    <row r="25" spans="1:8" x14ac:dyDescent="0.3">
      <c r="D25">
        <v>95</v>
      </c>
      <c r="E25" s="13">
        <v>6.4468506126381149</v>
      </c>
      <c r="F25" s="13">
        <v>6.3959824955342448</v>
      </c>
      <c r="H25" s="13">
        <f t="shared" si="1"/>
        <v>0.99210961752329885</v>
      </c>
    </row>
    <row r="26" spans="1:8" x14ac:dyDescent="0.3">
      <c r="D26">
        <v>100</v>
      </c>
      <c r="E26" s="13">
        <v>9.7257629574650988</v>
      </c>
      <c r="F26" s="13">
        <v>9.6409984399104101</v>
      </c>
      <c r="H26" s="13">
        <f t="shared" si="1"/>
        <v>0.99128453799199101</v>
      </c>
    </row>
    <row r="27" spans="1:8" x14ac:dyDescent="0.3">
      <c r="D27">
        <v>105</v>
      </c>
      <c r="E27" s="13">
        <v>13.579359164876381</v>
      </c>
      <c r="F27" s="13">
        <v>13.482436322247452</v>
      </c>
      <c r="H27" s="13">
        <f t="shared" si="1"/>
        <v>0.99286248773214392</v>
      </c>
    </row>
    <row r="28" spans="1:8" x14ac:dyDescent="0.3">
      <c r="D28">
        <v>110</v>
      </c>
      <c r="E28" s="13">
        <v>17.85360696213224</v>
      </c>
      <c r="F28" s="13">
        <v>17.764324542222987</v>
      </c>
      <c r="H28" s="13">
        <f t="shared" si="1"/>
        <v>0.9949991942749371</v>
      </c>
    </row>
    <row r="29" spans="1:8" x14ac:dyDescent="0.3">
      <c r="D29">
        <v>115</v>
      </c>
      <c r="E29" s="13">
        <v>22.407671187043768</v>
      </c>
      <c r="F29" s="13">
        <v>22.337292793314724</v>
      </c>
      <c r="H29" s="13">
        <f t="shared" si="1"/>
        <v>0.99685918303863108</v>
      </c>
    </row>
    <row r="30" spans="1:8" x14ac:dyDescent="0.3">
      <c r="D30">
        <v>120</v>
      </c>
      <c r="E30" s="13">
        <v>27.133105224482122</v>
      </c>
      <c r="F30" s="13">
        <v>27.084063806382446</v>
      </c>
      <c r="H30" s="13">
        <f t="shared" si="1"/>
        <v>0.99819256153345004</v>
      </c>
    </row>
    <row r="31" spans="1:8" x14ac:dyDescent="0.3">
      <c r="D31">
        <v>125</v>
      </c>
      <c r="E31" s="13">
        <v>31.956244959078436</v>
      </c>
      <c r="F31" s="13">
        <v>31.925386519119169</v>
      </c>
      <c r="H31" s="13">
        <f t="shared" si="1"/>
        <v>0.99903435337916635</v>
      </c>
    </row>
    <row r="32" spans="1:8" x14ac:dyDescent="0.3">
      <c r="D32">
        <v>130</v>
      </c>
      <c r="E32" s="13">
        <v>36.831733658356235</v>
      </c>
      <c r="F32" s="13">
        <v>36.813925860426323</v>
      </c>
      <c r="H32" s="13">
        <f t="shared" si="1"/>
        <v>0.99951650937490222</v>
      </c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/>
  </sheetViews>
  <sheetFormatPr defaultRowHeight="13" x14ac:dyDescent="0.3"/>
  <cols>
    <col min="1" max="1" width="22.296875" customWidth="1"/>
    <col min="5" max="5" width="9.796875" customWidth="1"/>
  </cols>
  <sheetData>
    <row r="1" spans="1:8" x14ac:dyDescent="0.3">
      <c r="A1" s="2" t="s">
        <v>0</v>
      </c>
    </row>
    <row r="2" spans="1:8" x14ac:dyDescent="0.3">
      <c r="A2" s="2" t="s">
        <v>32</v>
      </c>
    </row>
    <row r="4" spans="1:8" x14ac:dyDescent="0.3">
      <c r="A4" s="3" t="s">
        <v>2</v>
      </c>
      <c r="B4" s="4">
        <v>100</v>
      </c>
      <c r="D4" s="1" t="s">
        <v>33</v>
      </c>
      <c r="H4" s="9">
        <f>SQRT(2*PI()/B11)*H10/(H6+H7)</f>
        <v>0.41104512591100234</v>
      </c>
    </row>
    <row r="5" spans="1:8" x14ac:dyDescent="0.3">
      <c r="A5" s="5" t="s">
        <v>5</v>
      </c>
      <c r="B5" s="4">
        <v>95</v>
      </c>
    </row>
    <row r="6" spans="1:8" x14ac:dyDescent="0.3">
      <c r="A6" s="3" t="s">
        <v>8</v>
      </c>
      <c r="B6" s="6">
        <v>0.08</v>
      </c>
      <c r="D6" s="3" t="s">
        <v>34</v>
      </c>
      <c r="H6" s="21">
        <f>B4*EXP(-B8*B11)</f>
        <v>98.511193960306258</v>
      </c>
    </row>
    <row r="7" spans="1:8" x14ac:dyDescent="0.3">
      <c r="D7" s="3" t="s">
        <v>35</v>
      </c>
      <c r="H7" s="21">
        <f>B5*EXP(-B6*B11)</f>
        <v>91.274996719470707</v>
      </c>
    </row>
    <row r="8" spans="1:8" x14ac:dyDescent="0.3">
      <c r="A8" s="3" t="s">
        <v>11</v>
      </c>
      <c r="B8" s="6">
        <v>0.03</v>
      </c>
      <c r="D8" s="5" t="s">
        <v>36</v>
      </c>
      <c r="H8" s="21">
        <f>B17-B14*0.5*(H6-H7)</f>
        <v>11.381901379582224</v>
      </c>
    </row>
    <row r="9" spans="1:8" x14ac:dyDescent="0.3">
      <c r="A9" s="3" t="s">
        <v>14</v>
      </c>
      <c r="B9" s="21">
        <v>0</v>
      </c>
      <c r="D9" t="s">
        <v>37</v>
      </c>
      <c r="H9" s="21">
        <f>(H8^2)-((H6-H7)^2)/PI()</f>
        <v>112.8801615219534</v>
      </c>
    </row>
    <row r="10" spans="1:8" x14ac:dyDescent="0.3">
      <c r="A10" s="3" t="s">
        <v>15</v>
      </c>
      <c r="B10" s="4">
        <v>0.5</v>
      </c>
      <c r="D10" t="s">
        <v>38</v>
      </c>
      <c r="H10" s="21">
        <f>H8+SQRT(H9)</f>
        <v>22.006408969205069</v>
      </c>
    </row>
    <row r="11" spans="1:8" x14ac:dyDescent="0.3">
      <c r="A11" s="3" t="s">
        <v>18</v>
      </c>
      <c r="B11" s="21">
        <f>B10-B9</f>
        <v>0.5</v>
      </c>
    </row>
    <row r="12" spans="1:8" x14ac:dyDescent="0.3">
      <c r="A12" s="3" t="s">
        <v>39</v>
      </c>
      <c r="B12" s="6">
        <v>0.2</v>
      </c>
    </row>
    <row r="13" spans="1:8" x14ac:dyDescent="0.3">
      <c r="D13" s="2" t="s">
        <v>40</v>
      </c>
      <c r="H13" s="9">
        <f>SQRT(2*ABS(LN(B4/B5)+(B6-B8)*B11)/B11)</f>
        <v>0.55242481619692096</v>
      </c>
    </row>
    <row r="14" spans="1:8" x14ac:dyDescent="0.3">
      <c r="A14" t="s">
        <v>24</v>
      </c>
      <c r="B14" s="1">
        <v>1</v>
      </c>
    </row>
    <row r="15" spans="1:8" x14ac:dyDescent="0.3">
      <c r="A15" s="3" t="s">
        <v>41</v>
      </c>
      <c r="B15" s="21">
        <f>BSOptionValue(B14,B4,B5,B6,B8,B11,B12)</f>
        <v>9.7257629574651006</v>
      </c>
    </row>
    <row r="17" spans="1:8" x14ac:dyDescent="0.3">
      <c r="A17" s="3" t="s">
        <v>42</v>
      </c>
      <c r="B17" s="4">
        <v>15</v>
      </c>
      <c r="D17" s="2" t="s">
        <v>43</v>
      </c>
      <c r="H17" s="9">
        <f>BSOptionISDGoalSeekNR(B14,B4,B5,B6,B8,B11,B17)</f>
        <v>0.41278888451469498</v>
      </c>
    </row>
    <row r="20" spans="1:8" x14ac:dyDescent="0.3">
      <c r="A20" s="1" t="s">
        <v>44</v>
      </c>
      <c r="D20" s="19" t="s">
        <v>45</v>
      </c>
      <c r="F20" s="19" t="s">
        <v>46</v>
      </c>
      <c r="H20" s="19" t="s">
        <v>47</v>
      </c>
    </row>
    <row r="22" spans="1:8" x14ac:dyDescent="0.3">
      <c r="B22" s="3" t="s">
        <v>39</v>
      </c>
      <c r="D22" s="9">
        <f>H17</f>
        <v>0.41278888451469498</v>
      </c>
      <c r="F22" s="20">
        <f>H4</f>
        <v>0.41104512591100234</v>
      </c>
      <c r="H22" s="20">
        <f>H13</f>
        <v>0.55242481619692096</v>
      </c>
    </row>
    <row r="24" spans="1:8" x14ac:dyDescent="0.3">
      <c r="B24" t="s">
        <v>48</v>
      </c>
      <c r="D24" s="7">
        <f>(LN($B$4/$B$5)+($B$6-$B$8+0.5*D22^2)*$B$11)/(D22*SQRT($B$11))</f>
        <v>0.4073235226393444</v>
      </c>
      <c r="F24" s="7">
        <f>(LN($B$4/$B$5)+($B$6-$B$8+0.5*F22^2)*$B$11)/(F22*SQRT($B$11))</f>
        <v>0.40781585431556971</v>
      </c>
      <c r="H24" s="7">
        <f>(LN($B$4/$B$5)+($B$6-$B$8+0.5*H22^2)*$B$11)/(H22*SQRT($B$11))</f>
        <v>0.39062333362857493</v>
      </c>
    </row>
    <row r="25" spans="1:8" x14ac:dyDescent="0.3">
      <c r="B25" t="s">
        <v>49</v>
      </c>
      <c r="D25" s="7">
        <f>NORMSDIST(D24)</f>
        <v>0.65811476389354184</v>
      </c>
      <c r="F25" s="7">
        <f>NORMSDIST(F24)</f>
        <v>0.65829552182959739</v>
      </c>
      <c r="H25" s="7">
        <f>NORMSDIST(H24)</f>
        <v>0.6519621133930833</v>
      </c>
    </row>
    <row r="27" spans="1:8" x14ac:dyDescent="0.3">
      <c r="B27" t="s">
        <v>50</v>
      </c>
      <c r="D27" s="7">
        <f>(LN($B$4/$B$5)+($B$6-$B$8-0.5*D22^2)*$B$11)/(D22*SQRT($B$11))</f>
        <v>0.11543770320057299</v>
      </c>
      <c r="F27" s="7">
        <f>(LN($B$4/$B$5)+($B$6-$B$8-0.5*F22^2)*$B$11)/(F22*SQRT($B$11))</f>
        <v>0.11716305841022172</v>
      </c>
      <c r="H27" s="7">
        <f>(LN($B$4/$B$5)+($B$6-$B$8-0.5*H22^2)*$B$11)/(H22*SQRT($B$11))</f>
        <v>1.7763644172124883E-17</v>
      </c>
    </row>
    <row r="28" spans="1:8" x14ac:dyDescent="0.3">
      <c r="B28" t="s">
        <v>51</v>
      </c>
      <c r="D28" s="7">
        <f>NORMSDIST(D27)</f>
        <v>0.54595094982254078</v>
      </c>
      <c r="F28" s="7">
        <f>NORMSDIST(F27)</f>
        <v>0.54663462627540083</v>
      </c>
      <c r="H28" s="7">
        <f>NORMSDIST(H27)</f>
        <v>0.49999999978172083</v>
      </c>
    </row>
    <row r="30" spans="1:8" x14ac:dyDescent="0.3">
      <c r="B30" t="s">
        <v>52</v>
      </c>
      <c r="D30" s="10">
        <f>$H$6*D25-$H$7*D28</f>
        <v>15.000000000013529</v>
      </c>
      <c r="F30" s="10">
        <f>$H$6*F25-$H$7*F28</f>
        <v>14.955404114120185</v>
      </c>
      <c r="H30" s="10">
        <f>$H$6*H25-$H$7*H28</f>
        <v>18.588067867425288</v>
      </c>
    </row>
    <row r="33" spans="2:3" x14ac:dyDescent="0.3">
      <c r="B33" s="1" t="s">
        <v>45</v>
      </c>
      <c r="C33" s="1" t="s">
        <v>53</v>
      </c>
    </row>
    <row r="34" spans="2:3" x14ac:dyDescent="0.3">
      <c r="B34" s="1" t="s">
        <v>46</v>
      </c>
      <c r="C34" s="1" t="s">
        <v>54</v>
      </c>
    </row>
    <row r="35" spans="2:3" x14ac:dyDescent="0.3">
      <c r="B35" s="1" t="s">
        <v>47</v>
      </c>
      <c r="C35" s="1" t="s">
        <v>55</v>
      </c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5"/>
  <sheetViews>
    <sheetView workbookViewId="0"/>
  </sheetViews>
  <sheetFormatPr defaultRowHeight="13" x14ac:dyDescent="0.3"/>
  <cols>
    <col min="5" max="5" width="10" customWidth="1"/>
    <col min="9" max="9" width="7.19921875" customWidth="1"/>
    <col min="22" max="22" width="13" customWidth="1"/>
  </cols>
  <sheetData>
    <row r="1" spans="1:25" x14ac:dyDescent="0.3">
      <c r="A1" s="1" t="s">
        <v>0</v>
      </c>
    </row>
    <row r="2" spans="1:25" x14ac:dyDescent="0.3">
      <c r="A2" s="2" t="s">
        <v>56</v>
      </c>
      <c r="H2" s="19" t="s">
        <v>57</v>
      </c>
      <c r="I2" s="19"/>
      <c r="J2" s="24" t="s">
        <v>58</v>
      </c>
      <c r="P2" t="s">
        <v>59</v>
      </c>
    </row>
    <row r="3" spans="1:25" x14ac:dyDescent="0.3">
      <c r="O3" s="12" t="s">
        <v>60</v>
      </c>
      <c r="P3" t="s">
        <v>61</v>
      </c>
      <c r="Q3" t="s">
        <v>62</v>
      </c>
    </row>
    <row r="4" spans="1:25" x14ac:dyDescent="0.3">
      <c r="A4" s="3" t="s">
        <v>63</v>
      </c>
      <c r="B4" s="15">
        <v>16</v>
      </c>
      <c r="C4" s="3"/>
      <c r="E4" s="12" t="s">
        <v>64</v>
      </c>
      <c r="G4" t="s">
        <v>65</v>
      </c>
      <c r="H4" s="13">
        <f>PDFmoment(1,$H$14:$H$30,$B$14:$B$30)</f>
        <v>4.3584927333917278E-17</v>
      </c>
      <c r="I4" s="13"/>
      <c r="J4" s="13">
        <f>PDFmoment(1,$H$14:$H$30,$J$14:$J$30)</f>
        <v>1.2359904766334751E-17</v>
      </c>
      <c r="O4" s="13">
        <f t="shared" ref="O4:O20" si="0">J14</f>
        <v>-4.2045596295357353</v>
      </c>
      <c r="P4" s="10">
        <f t="shared" ref="P4:P20" si="1">H14</f>
        <v>2.6731853243670882E-4</v>
      </c>
    </row>
    <row r="5" spans="1:25" x14ac:dyDescent="0.3">
      <c r="E5">
        <f>PDFnonneg(F14:F32)</f>
        <v>1</v>
      </c>
      <c r="G5" t="s">
        <v>66</v>
      </c>
      <c r="H5" s="13">
        <f>PDFmoment(2,$H$14:$H$30,$B$14:$B$30)</f>
        <v>0.90506329113924044</v>
      </c>
      <c r="I5" s="13"/>
      <c r="J5" s="13">
        <f>PDFmoment(2,$H$14:$H$30,$J$14:$J$30)</f>
        <v>0.99999999999999978</v>
      </c>
      <c r="O5" s="13">
        <f t="shared" si="0"/>
        <v>-3.6789896758437681</v>
      </c>
      <c r="P5" s="10">
        <f t="shared" si="1"/>
        <v>2.214262757120253E-3</v>
      </c>
    </row>
    <row r="6" spans="1:25" x14ac:dyDescent="0.3">
      <c r="A6" s="11" t="s">
        <v>67</v>
      </c>
      <c r="B6" s="4">
        <v>0</v>
      </c>
      <c r="C6" s="11"/>
      <c r="E6" s="12" t="s">
        <v>68</v>
      </c>
      <c r="G6" t="s">
        <v>69</v>
      </c>
      <c r="H6" s="13">
        <f>PDFmoment(3,$H$14:$H$30,$B$14:$B$30)</f>
        <v>1.7347234759768071E-17</v>
      </c>
      <c r="I6" s="13"/>
      <c r="J6" s="13">
        <f>PDFmoment(3,$H$14:$H$30,$J$14:$J$30)</f>
        <v>3.4694469519536142E-18</v>
      </c>
      <c r="O6" s="13">
        <f t="shared" si="0"/>
        <v>-3.1534197221518014</v>
      </c>
      <c r="P6" s="10">
        <f t="shared" si="1"/>
        <v>7.4169303797468342E-3</v>
      </c>
    </row>
    <row r="7" spans="1:25" x14ac:dyDescent="0.3">
      <c r="A7" s="11" t="s">
        <v>70</v>
      </c>
      <c r="B7" s="4">
        <v>5.4</v>
      </c>
      <c r="C7" s="11"/>
      <c r="E7">
        <f>PDFmodes(F14:F32)</f>
        <v>1</v>
      </c>
      <c r="G7" t="s">
        <v>71</v>
      </c>
      <c r="H7" s="13">
        <f>PDFmoment(4,$H$14:$H$30,$B$14:$B$30)</f>
        <v>3.9727056962025302</v>
      </c>
      <c r="I7" s="13"/>
      <c r="J7" s="13">
        <f>PDFmoment(4,$H$14:$H$30,$J$14:$J$30)</f>
        <v>4.849852071005917</v>
      </c>
      <c r="O7" s="13">
        <f t="shared" si="0"/>
        <v>-2.6278497684598343</v>
      </c>
      <c r="P7" s="10">
        <f t="shared" si="1"/>
        <v>1.2601055676424049E-2</v>
      </c>
      <c r="Y7" s="17"/>
    </row>
    <row r="8" spans="1:25" x14ac:dyDescent="0.3">
      <c r="O8" s="13">
        <f t="shared" si="0"/>
        <v>-2.1022798147678676</v>
      </c>
      <c r="P8" s="10">
        <f t="shared" si="1"/>
        <v>1.4061263844936705E-2</v>
      </c>
    </row>
    <row r="9" spans="1:25" x14ac:dyDescent="0.3">
      <c r="F9" s="16" t="s">
        <v>72</v>
      </c>
      <c r="H9" s="16" t="s">
        <v>73</v>
      </c>
      <c r="I9" s="16"/>
      <c r="O9" s="13">
        <f t="shared" si="0"/>
        <v>-1.5767098610759007</v>
      </c>
      <c r="P9" s="10">
        <f t="shared" si="1"/>
        <v>3.0794167820411382E-2</v>
      </c>
    </row>
    <row r="10" spans="1:25" x14ac:dyDescent="0.3">
      <c r="D10" s="10"/>
      <c r="E10" s="10"/>
      <c r="F10" s="10">
        <f>SUM(F14:F30)</f>
        <v>0.98750000000000016</v>
      </c>
      <c r="H10" s="10">
        <f>SUM(H14:H30)</f>
        <v>0.99999999999999978</v>
      </c>
      <c r="I10" s="10"/>
      <c r="O10" s="13">
        <f t="shared" si="0"/>
        <v>-1.0511399073839338</v>
      </c>
      <c r="P10" s="10">
        <f t="shared" si="1"/>
        <v>9.8991297468354403E-2</v>
      </c>
    </row>
    <row r="11" spans="1:25" x14ac:dyDescent="0.3">
      <c r="B11" t="s">
        <v>74</v>
      </c>
      <c r="D11" t="s">
        <v>75</v>
      </c>
      <c r="E11" t="s">
        <v>76</v>
      </c>
      <c r="F11" t="s">
        <v>77</v>
      </c>
      <c r="H11" t="s">
        <v>78</v>
      </c>
      <c r="J11" t="s">
        <v>79</v>
      </c>
      <c r="O11" s="13">
        <f t="shared" si="0"/>
        <v>-0.52556995369196691</v>
      </c>
      <c r="P11" s="10">
        <f t="shared" si="1"/>
        <v>0.20439051374604428</v>
      </c>
    </row>
    <row r="12" spans="1:25" x14ac:dyDescent="0.3">
      <c r="A12" s="12" t="s">
        <v>80</v>
      </c>
      <c r="B12" s="12" t="s">
        <v>81</v>
      </c>
      <c r="D12" s="14" t="s">
        <v>82</v>
      </c>
      <c r="E12" s="14" t="s">
        <v>83</v>
      </c>
      <c r="F12" s="14" t="s">
        <v>84</v>
      </c>
      <c r="H12" s="14" t="s">
        <v>85</v>
      </c>
      <c r="I12" s="14"/>
      <c r="J12" s="12" t="s">
        <v>60</v>
      </c>
      <c r="O12" s="13">
        <f t="shared" si="0"/>
        <v>-4.5813856481109289E-17</v>
      </c>
      <c r="P12" s="10">
        <f t="shared" si="1"/>
        <v>0.25852637954905061</v>
      </c>
    </row>
    <row r="13" spans="1:25" x14ac:dyDescent="0.3">
      <c r="A13" s="12"/>
      <c r="B13" s="12"/>
      <c r="D13" s="12"/>
      <c r="E13" s="14"/>
      <c r="F13" s="12"/>
      <c r="H13" s="12"/>
      <c r="I13" s="12"/>
      <c r="J13" s="12"/>
      <c r="O13" s="13">
        <f t="shared" si="0"/>
        <v>0.5255699536919668</v>
      </c>
      <c r="P13" s="10">
        <f t="shared" si="1"/>
        <v>0.20439051374604428</v>
      </c>
    </row>
    <row r="14" spans="1:25" x14ac:dyDescent="0.3">
      <c r="A14">
        <v>0</v>
      </c>
      <c r="B14" s="13">
        <f t="shared" ref="B14:B30" si="2">(A14-($B$4-A14))/SQRT($B$4)</f>
        <v>-4</v>
      </c>
      <c r="D14" s="10">
        <f t="shared" ref="D14:D30" si="3">COMBIN($B$4,A14)*(0.5^$B$4)</f>
        <v>1.52587890625E-5</v>
      </c>
      <c r="E14" s="13">
        <f>1+$B$6*(B14^3-3*B14)/6+($B$7-3)*(B14^4-6*B14^2+3)/24+($B$6^2)*(B14^6-15*B14^4+45*B14^2-15)/72</f>
        <v>17.3</v>
      </c>
      <c r="F14" s="10">
        <f t="shared" ref="F14:F30" si="4">E14*D14</f>
        <v>2.6397705078125001E-4</v>
      </c>
      <c r="H14" s="10">
        <f t="shared" ref="H14:H30" si="5">F14/$F$10</f>
        <v>2.6731853243670882E-4</v>
      </c>
      <c r="I14" s="10"/>
      <c r="J14" s="13">
        <f t="shared" ref="J14:J30" si="6">(B14-$H$4)/SQRT($H$5)</f>
        <v>-4.2045596295357353</v>
      </c>
      <c r="O14" s="13">
        <f t="shared" si="0"/>
        <v>1.0511399073839338</v>
      </c>
      <c r="P14" s="10">
        <f t="shared" si="1"/>
        <v>9.8991297468354403E-2</v>
      </c>
    </row>
    <row r="15" spans="1:25" x14ac:dyDescent="0.3">
      <c r="A15">
        <v>1</v>
      </c>
      <c r="B15" s="13">
        <f t="shared" si="2"/>
        <v>-3.5</v>
      </c>
      <c r="D15" s="10">
        <f t="shared" si="3"/>
        <v>2.44140625E-4</v>
      </c>
      <c r="E15" s="13">
        <f t="shared" ref="E15:E30" si="7">1+$B$6*(B15^3-3*B15)/6+($B$7-3)*(B15^4-6*B15^2+3)/24+($B$6^2)*(B15^6-15*B15^4+45*B15^2-15)/72</f>
        <v>8.9562500000000007</v>
      </c>
      <c r="F15" s="10">
        <f t="shared" si="4"/>
        <v>2.1865844726562502E-3</v>
      </c>
      <c r="H15" s="10">
        <f t="shared" si="5"/>
        <v>2.214262757120253E-3</v>
      </c>
      <c r="I15" s="10"/>
      <c r="J15" s="13">
        <f t="shared" si="6"/>
        <v>-3.6789896758437681</v>
      </c>
      <c r="O15" s="13">
        <f t="shared" si="0"/>
        <v>1.5767098610759007</v>
      </c>
      <c r="P15" s="10">
        <f t="shared" si="1"/>
        <v>3.0794167820411382E-2</v>
      </c>
    </row>
    <row r="16" spans="1:25" x14ac:dyDescent="0.3">
      <c r="A16">
        <v>2</v>
      </c>
      <c r="B16" s="13">
        <f t="shared" si="2"/>
        <v>-3</v>
      </c>
      <c r="D16" s="10">
        <f t="shared" si="3"/>
        <v>1.8310546875E-3</v>
      </c>
      <c r="E16" s="13">
        <f t="shared" si="7"/>
        <v>4</v>
      </c>
      <c r="F16" s="10">
        <f t="shared" si="4"/>
        <v>7.32421875E-3</v>
      </c>
      <c r="H16" s="10">
        <f t="shared" si="5"/>
        <v>7.4169303797468342E-3</v>
      </c>
      <c r="I16" s="10"/>
      <c r="J16" s="13">
        <f t="shared" si="6"/>
        <v>-3.1534197221518014</v>
      </c>
      <c r="O16" s="13">
        <f t="shared" si="0"/>
        <v>2.1022798147678676</v>
      </c>
      <c r="P16" s="10">
        <f t="shared" si="1"/>
        <v>1.4061263844936705E-2</v>
      </c>
    </row>
    <row r="17" spans="1:17" x14ac:dyDescent="0.3">
      <c r="A17">
        <v>3</v>
      </c>
      <c r="B17" s="13">
        <f t="shared" si="2"/>
        <v>-2.5</v>
      </c>
      <c r="D17" s="10">
        <f t="shared" si="3"/>
        <v>8.544921875E-3</v>
      </c>
      <c r="E17" s="13">
        <f t="shared" si="7"/>
        <v>1.45625</v>
      </c>
      <c r="F17" s="10">
        <f t="shared" si="4"/>
        <v>1.244354248046875E-2</v>
      </c>
      <c r="H17" s="10">
        <f t="shared" si="5"/>
        <v>1.2601055676424049E-2</v>
      </c>
      <c r="I17" s="10"/>
      <c r="J17" s="13">
        <f t="shared" si="6"/>
        <v>-2.6278497684598343</v>
      </c>
      <c r="O17" s="13">
        <f t="shared" si="0"/>
        <v>2.6278497684598343</v>
      </c>
      <c r="P17" s="10">
        <f t="shared" si="1"/>
        <v>1.2601055676424049E-2</v>
      </c>
    </row>
    <row r="18" spans="1:17" x14ac:dyDescent="0.3">
      <c r="A18">
        <v>4</v>
      </c>
      <c r="B18" s="13">
        <f t="shared" si="2"/>
        <v>-2</v>
      </c>
      <c r="D18" s="10">
        <f t="shared" si="3"/>
        <v>2.7770996093750003E-2</v>
      </c>
      <c r="E18" s="13">
        <f t="shared" si="7"/>
        <v>0.49999999999999989</v>
      </c>
      <c r="F18" s="10">
        <f t="shared" si="4"/>
        <v>1.3885498046874998E-2</v>
      </c>
      <c r="H18" s="10">
        <f t="shared" si="5"/>
        <v>1.4061263844936705E-2</v>
      </c>
      <c r="I18" s="10"/>
      <c r="J18" s="13">
        <f t="shared" si="6"/>
        <v>-2.1022798147678676</v>
      </c>
      <c r="O18" s="13">
        <f t="shared" si="0"/>
        <v>3.1534197221518014</v>
      </c>
      <c r="P18" s="10">
        <f t="shared" si="1"/>
        <v>7.4169303797468342E-3</v>
      </c>
    </row>
    <row r="19" spans="1:17" x14ac:dyDescent="0.3">
      <c r="A19">
        <v>5</v>
      </c>
      <c r="B19" s="13">
        <f t="shared" si="2"/>
        <v>-1.5</v>
      </c>
      <c r="D19" s="10">
        <f t="shared" si="3"/>
        <v>6.6650390625E-2</v>
      </c>
      <c r="E19" s="13">
        <f t="shared" si="7"/>
        <v>0.45624999999999993</v>
      </c>
      <c r="F19" s="10">
        <f t="shared" si="4"/>
        <v>3.0409240722656244E-2</v>
      </c>
      <c r="H19" s="10">
        <f t="shared" si="5"/>
        <v>3.0794167820411382E-2</v>
      </c>
      <c r="I19" s="10"/>
      <c r="J19" s="13">
        <f t="shared" si="6"/>
        <v>-1.5767098610759007</v>
      </c>
      <c r="O19" s="13">
        <f t="shared" si="0"/>
        <v>3.6789896758437681</v>
      </c>
      <c r="P19" s="10">
        <f t="shared" si="1"/>
        <v>2.214262757120253E-3</v>
      </c>
    </row>
    <row r="20" spans="1:17" x14ac:dyDescent="0.3">
      <c r="A20">
        <v>6</v>
      </c>
      <c r="B20" s="13">
        <f t="shared" si="2"/>
        <v>-1</v>
      </c>
      <c r="D20" s="10">
        <f t="shared" si="3"/>
        <v>0.1221923828125</v>
      </c>
      <c r="E20" s="13">
        <f t="shared" si="7"/>
        <v>0.79999999999999993</v>
      </c>
      <c r="F20" s="10">
        <f t="shared" si="4"/>
        <v>9.7753906249999994E-2</v>
      </c>
      <c r="H20" s="10">
        <f t="shared" si="5"/>
        <v>9.8991297468354403E-2</v>
      </c>
      <c r="I20" s="10"/>
      <c r="J20" s="13">
        <f t="shared" si="6"/>
        <v>-1.0511399073839338</v>
      </c>
      <c r="O20" s="13">
        <f t="shared" si="0"/>
        <v>4.2045596295357353</v>
      </c>
      <c r="P20" s="10">
        <f t="shared" si="1"/>
        <v>2.6731853243670882E-4</v>
      </c>
    </row>
    <row r="21" spans="1:17" x14ac:dyDescent="0.3">
      <c r="A21">
        <v>7</v>
      </c>
      <c r="B21" s="13">
        <f t="shared" si="2"/>
        <v>-0.5</v>
      </c>
      <c r="D21" s="10">
        <f t="shared" si="3"/>
        <v>0.174560546875</v>
      </c>
      <c r="E21" s="13">
        <f t="shared" si="7"/>
        <v>1.15625</v>
      </c>
      <c r="F21" s="10">
        <f t="shared" si="4"/>
        <v>0.20183563232421875</v>
      </c>
      <c r="H21" s="10">
        <f t="shared" si="5"/>
        <v>0.20439051374604428</v>
      </c>
      <c r="I21" s="10"/>
      <c r="J21" s="13">
        <f t="shared" si="6"/>
        <v>-0.52556995369196691</v>
      </c>
      <c r="O21" s="13">
        <f t="shared" ref="O21:O36" si="8">B14</f>
        <v>-4</v>
      </c>
      <c r="Q21" s="10">
        <f t="shared" ref="Q21:Q36" si="9">D14</f>
        <v>1.52587890625E-5</v>
      </c>
    </row>
    <row r="22" spans="1:17" x14ac:dyDescent="0.3">
      <c r="A22">
        <v>8</v>
      </c>
      <c r="B22" s="13">
        <f t="shared" si="2"/>
        <v>0</v>
      </c>
      <c r="D22" s="10">
        <f t="shared" si="3"/>
        <v>0.19638061523437497</v>
      </c>
      <c r="E22" s="13">
        <f t="shared" si="7"/>
        <v>1.3</v>
      </c>
      <c r="F22" s="10">
        <f t="shared" si="4"/>
        <v>0.2552947998046875</v>
      </c>
      <c r="H22" s="10">
        <f t="shared" si="5"/>
        <v>0.25852637954905061</v>
      </c>
      <c r="I22" s="10"/>
      <c r="J22" s="13">
        <f t="shared" si="6"/>
        <v>-4.5813856481109289E-17</v>
      </c>
      <c r="O22" s="13">
        <f t="shared" si="8"/>
        <v>-3.5</v>
      </c>
      <c r="Q22" s="10">
        <f t="shared" si="9"/>
        <v>2.44140625E-4</v>
      </c>
    </row>
    <row r="23" spans="1:17" x14ac:dyDescent="0.3">
      <c r="A23">
        <v>9</v>
      </c>
      <c r="B23" s="13">
        <f t="shared" si="2"/>
        <v>0.5</v>
      </c>
      <c r="D23" s="10">
        <f t="shared" si="3"/>
        <v>0.174560546875</v>
      </c>
      <c r="E23" s="13">
        <f t="shared" si="7"/>
        <v>1.15625</v>
      </c>
      <c r="F23" s="10">
        <f t="shared" si="4"/>
        <v>0.20183563232421875</v>
      </c>
      <c r="H23" s="10">
        <f t="shared" si="5"/>
        <v>0.20439051374604428</v>
      </c>
      <c r="I23" s="10"/>
      <c r="J23" s="13">
        <f t="shared" si="6"/>
        <v>0.5255699536919668</v>
      </c>
      <c r="O23" s="13">
        <f t="shared" si="8"/>
        <v>-3</v>
      </c>
      <c r="Q23" s="10">
        <f t="shared" si="9"/>
        <v>1.8310546875E-3</v>
      </c>
    </row>
    <row r="24" spans="1:17" x14ac:dyDescent="0.3">
      <c r="A24">
        <v>10</v>
      </c>
      <c r="B24" s="13">
        <f t="shared" si="2"/>
        <v>1</v>
      </c>
      <c r="D24" s="10">
        <f t="shared" si="3"/>
        <v>0.1221923828125</v>
      </c>
      <c r="E24" s="13">
        <f t="shared" si="7"/>
        <v>0.79999999999999993</v>
      </c>
      <c r="F24" s="10">
        <f t="shared" si="4"/>
        <v>9.7753906249999994E-2</v>
      </c>
      <c r="H24" s="10">
        <f t="shared" si="5"/>
        <v>9.8991297468354403E-2</v>
      </c>
      <c r="I24" s="10"/>
      <c r="J24" s="13">
        <f t="shared" si="6"/>
        <v>1.0511399073839338</v>
      </c>
      <c r="O24" s="13">
        <f t="shared" si="8"/>
        <v>-2.5</v>
      </c>
      <c r="Q24" s="10">
        <f t="shared" si="9"/>
        <v>8.544921875E-3</v>
      </c>
    </row>
    <row r="25" spans="1:17" x14ac:dyDescent="0.3">
      <c r="A25">
        <v>11</v>
      </c>
      <c r="B25" s="13">
        <f t="shared" si="2"/>
        <v>1.5</v>
      </c>
      <c r="D25" s="10">
        <f t="shared" si="3"/>
        <v>6.6650390625E-2</v>
      </c>
      <c r="E25" s="13">
        <f t="shared" si="7"/>
        <v>0.45624999999999993</v>
      </c>
      <c r="F25" s="10">
        <f t="shared" si="4"/>
        <v>3.0409240722656244E-2</v>
      </c>
      <c r="H25" s="10">
        <f t="shared" si="5"/>
        <v>3.0794167820411382E-2</v>
      </c>
      <c r="I25" s="10"/>
      <c r="J25" s="13">
        <f t="shared" si="6"/>
        <v>1.5767098610759007</v>
      </c>
      <c r="O25" s="13">
        <f t="shared" si="8"/>
        <v>-2</v>
      </c>
      <c r="Q25" s="10">
        <f t="shared" si="9"/>
        <v>2.7770996093750003E-2</v>
      </c>
    </row>
    <row r="26" spans="1:17" x14ac:dyDescent="0.3">
      <c r="A26">
        <v>12</v>
      </c>
      <c r="B26" s="13">
        <f t="shared" si="2"/>
        <v>2</v>
      </c>
      <c r="D26" s="10">
        <f t="shared" si="3"/>
        <v>2.7770996093750003E-2</v>
      </c>
      <c r="E26" s="13">
        <f t="shared" si="7"/>
        <v>0.49999999999999989</v>
      </c>
      <c r="F26" s="10">
        <f t="shared" si="4"/>
        <v>1.3885498046874998E-2</v>
      </c>
      <c r="H26" s="10">
        <f t="shared" si="5"/>
        <v>1.4061263844936705E-2</v>
      </c>
      <c r="I26" s="10"/>
      <c r="J26" s="13">
        <f t="shared" si="6"/>
        <v>2.1022798147678676</v>
      </c>
      <c r="O26" s="13">
        <f t="shared" si="8"/>
        <v>-1.5</v>
      </c>
      <c r="Q26" s="10">
        <f t="shared" si="9"/>
        <v>6.6650390625E-2</v>
      </c>
    </row>
    <row r="27" spans="1:17" x14ac:dyDescent="0.3">
      <c r="A27">
        <v>13</v>
      </c>
      <c r="B27" s="13">
        <f t="shared" si="2"/>
        <v>2.5</v>
      </c>
      <c r="D27" s="10">
        <f t="shared" si="3"/>
        <v>8.544921875E-3</v>
      </c>
      <c r="E27" s="13">
        <f t="shared" si="7"/>
        <v>1.45625</v>
      </c>
      <c r="F27" s="10">
        <f t="shared" si="4"/>
        <v>1.244354248046875E-2</v>
      </c>
      <c r="H27" s="10">
        <f t="shared" si="5"/>
        <v>1.2601055676424049E-2</v>
      </c>
      <c r="I27" s="10"/>
      <c r="J27" s="13">
        <f t="shared" si="6"/>
        <v>2.6278497684598343</v>
      </c>
      <c r="O27" s="13">
        <f t="shared" si="8"/>
        <v>-1</v>
      </c>
      <c r="Q27" s="10">
        <f t="shared" si="9"/>
        <v>0.1221923828125</v>
      </c>
    </row>
    <row r="28" spans="1:17" x14ac:dyDescent="0.3">
      <c r="A28">
        <v>14</v>
      </c>
      <c r="B28" s="13">
        <f t="shared" si="2"/>
        <v>3</v>
      </c>
      <c r="D28" s="10">
        <f t="shared" si="3"/>
        <v>1.8310546875E-3</v>
      </c>
      <c r="E28" s="13">
        <f t="shared" si="7"/>
        <v>4</v>
      </c>
      <c r="F28" s="10">
        <f t="shared" si="4"/>
        <v>7.32421875E-3</v>
      </c>
      <c r="H28" s="10">
        <f t="shared" si="5"/>
        <v>7.4169303797468342E-3</v>
      </c>
      <c r="I28" s="10"/>
      <c r="J28" s="13">
        <f t="shared" si="6"/>
        <v>3.1534197221518014</v>
      </c>
      <c r="O28" s="13">
        <f t="shared" si="8"/>
        <v>-0.5</v>
      </c>
      <c r="Q28" s="10">
        <f t="shared" si="9"/>
        <v>0.174560546875</v>
      </c>
    </row>
    <row r="29" spans="1:17" x14ac:dyDescent="0.3">
      <c r="A29">
        <v>15</v>
      </c>
      <c r="B29" s="13">
        <f t="shared" si="2"/>
        <v>3.5</v>
      </c>
      <c r="D29" s="10">
        <f t="shared" si="3"/>
        <v>2.44140625E-4</v>
      </c>
      <c r="E29" s="13">
        <f t="shared" si="7"/>
        <v>8.9562500000000007</v>
      </c>
      <c r="F29" s="10">
        <f t="shared" si="4"/>
        <v>2.1865844726562502E-3</v>
      </c>
      <c r="H29" s="10">
        <f t="shared" si="5"/>
        <v>2.214262757120253E-3</v>
      </c>
      <c r="I29" s="10"/>
      <c r="J29" s="13">
        <f t="shared" si="6"/>
        <v>3.6789896758437681</v>
      </c>
      <c r="O29" s="13">
        <f t="shared" si="8"/>
        <v>0</v>
      </c>
      <c r="Q29" s="10">
        <f t="shared" si="9"/>
        <v>0.19638061523437497</v>
      </c>
    </row>
    <row r="30" spans="1:17" x14ac:dyDescent="0.3">
      <c r="A30">
        <v>16</v>
      </c>
      <c r="B30" s="13">
        <f t="shared" si="2"/>
        <v>4</v>
      </c>
      <c r="D30" s="10">
        <f t="shared" si="3"/>
        <v>1.52587890625E-5</v>
      </c>
      <c r="E30" s="13">
        <f t="shared" si="7"/>
        <v>17.3</v>
      </c>
      <c r="F30" s="10">
        <f t="shared" si="4"/>
        <v>2.6397705078125001E-4</v>
      </c>
      <c r="H30" s="10">
        <f t="shared" si="5"/>
        <v>2.6731853243670882E-4</v>
      </c>
      <c r="I30" s="10"/>
      <c r="J30" s="13">
        <f t="shared" si="6"/>
        <v>4.2045596295357353</v>
      </c>
      <c r="O30" s="13">
        <f t="shared" si="8"/>
        <v>0.5</v>
      </c>
      <c r="Q30" s="10">
        <f t="shared" si="9"/>
        <v>0.174560546875</v>
      </c>
    </row>
    <row r="31" spans="1:17" x14ac:dyDescent="0.3">
      <c r="O31" s="13">
        <f t="shared" si="8"/>
        <v>1</v>
      </c>
      <c r="Q31" s="10">
        <f t="shared" si="9"/>
        <v>0.1221923828125</v>
      </c>
    </row>
    <row r="32" spans="1:17" x14ac:dyDescent="0.3">
      <c r="O32" s="13">
        <f t="shared" si="8"/>
        <v>1.5</v>
      </c>
      <c r="Q32" s="10">
        <f t="shared" si="9"/>
        <v>6.6650390625E-2</v>
      </c>
    </row>
    <row r="33" spans="1:17" x14ac:dyDescent="0.3">
      <c r="A33" s="1" t="s">
        <v>86</v>
      </c>
      <c r="O33" s="13">
        <f t="shared" si="8"/>
        <v>2</v>
      </c>
      <c r="Q33" s="10">
        <f t="shared" si="9"/>
        <v>2.7770996093750003E-2</v>
      </c>
    </row>
    <row r="34" spans="1:17" x14ac:dyDescent="0.3">
      <c r="O34" s="13">
        <f t="shared" si="8"/>
        <v>2.5</v>
      </c>
      <c r="Q34" s="10">
        <f t="shared" si="9"/>
        <v>8.544921875E-3</v>
      </c>
    </row>
    <row r="35" spans="1:17" x14ac:dyDescent="0.3">
      <c r="A35" s="3" t="s">
        <v>2</v>
      </c>
      <c r="D35" s="4">
        <v>100</v>
      </c>
      <c r="G35" s="1" t="s">
        <v>87</v>
      </c>
      <c r="J35" s="13">
        <f>EXP(-D37*D41)*SUM(J49:J65)</f>
        <v>9.3734304551576102</v>
      </c>
      <c r="O35" s="13">
        <f t="shared" si="8"/>
        <v>3</v>
      </c>
      <c r="Q35" s="10">
        <f t="shared" si="9"/>
        <v>1.8310546875E-3</v>
      </c>
    </row>
    <row r="36" spans="1:17" x14ac:dyDescent="0.3">
      <c r="A36" s="5" t="s">
        <v>5</v>
      </c>
      <c r="D36" s="4">
        <v>95</v>
      </c>
      <c r="G36" s="1"/>
      <c r="H36" t="s">
        <v>88</v>
      </c>
      <c r="J36" s="13">
        <f>EdgeworthEuroOptionValue(1,D35,D36,D37,D38,D41,D42,B6,B7,B4)</f>
        <v>9.3734304551576102</v>
      </c>
      <c r="O36" s="13">
        <f t="shared" si="8"/>
        <v>3.5</v>
      </c>
      <c r="Q36" s="10">
        <f t="shared" si="9"/>
        <v>2.44140625E-4</v>
      </c>
    </row>
    <row r="37" spans="1:17" x14ac:dyDescent="0.3">
      <c r="A37" s="3" t="s">
        <v>8</v>
      </c>
      <c r="D37" s="6">
        <v>0.08</v>
      </c>
    </row>
    <row r="38" spans="1:17" x14ac:dyDescent="0.3">
      <c r="A38" s="3" t="s">
        <v>11</v>
      </c>
      <c r="D38" s="6">
        <v>0.03</v>
      </c>
      <c r="G38" t="s">
        <v>89</v>
      </c>
      <c r="J38" s="13">
        <f>BSOptionValue(1,D35,D36,D37,D38,D41,D42)</f>
        <v>9.7257629574651006</v>
      </c>
    </row>
    <row r="39" spans="1:17" x14ac:dyDescent="0.3">
      <c r="A39" s="3" t="s">
        <v>14</v>
      </c>
      <c r="D39" s="21">
        <v>0</v>
      </c>
    </row>
    <row r="40" spans="1:17" x14ac:dyDescent="0.3">
      <c r="A40" s="3" t="s">
        <v>15</v>
      </c>
      <c r="D40" s="4">
        <v>0.5</v>
      </c>
    </row>
    <row r="41" spans="1:17" x14ac:dyDescent="0.3">
      <c r="A41" s="3" t="s">
        <v>18</v>
      </c>
      <c r="D41" s="21">
        <f>D40-D39</f>
        <v>0.5</v>
      </c>
    </row>
    <row r="42" spans="1:17" x14ac:dyDescent="0.3">
      <c r="A42" s="3" t="s">
        <v>39</v>
      </c>
      <c r="D42" s="6">
        <v>0.2</v>
      </c>
    </row>
    <row r="44" spans="1:17" x14ac:dyDescent="0.3">
      <c r="B44" s="5" t="s">
        <v>90</v>
      </c>
      <c r="D44" s="10">
        <f>D37-D38-0.5*D42^2</f>
        <v>0.03</v>
      </c>
    </row>
    <row r="45" spans="1:17" x14ac:dyDescent="0.3">
      <c r="B45" s="5" t="s">
        <v>91</v>
      </c>
      <c r="D45" s="10">
        <f>D37-D38-LN(SUM(B49:B65))/D41</f>
        <v>2.99383899406701E-2</v>
      </c>
    </row>
    <row r="46" spans="1:17" x14ac:dyDescent="0.3">
      <c r="B46" s="14"/>
    </row>
    <row r="47" spans="1:17" x14ac:dyDescent="0.3">
      <c r="A47" s="12" t="s">
        <v>80</v>
      </c>
      <c r="B47" s="33" t="s">
        <v>92</v>
      </c>
      <c r="D47" s="12" t="s">
        <v>60</v>
      </c>
      <c r="E47" s="12" t="s">
        <v>93</v>
      </c>
      <c r="F47" s="12" t="s">
        <v>94</v>
      </c>
      <c r="H47" s="14" t="s">
        <v>85</v>
      </c>
      <c r="J47" s="14" t="s">
        <v>95</v>
      </c>
    </row>
    <row r="48" spans="1:17" x14ac:dyDescent="0.3">
      <c r="B48" s="33" t="s">
        <v>96</v>
      </c>
      <c r="D48" t="s">
        <v>79</v>
      </c>
      <c r="H48" t="s">
        <v>78</v>
      </c>
    </row>
    <row r="49" spans="1:10" x14ac:dyDescent="0.3">
      <c r="A49">
        <v>0</v>
      </c>
      <c r="B49" s="10">
        <f t="shared" ref="B49:B65" si="10">H14*EXP($D$42*SQRT($D$41)*J14)</f>
        <v>1.4749974213280239E-4</v>
      </c>
      <c r="D49" s="13">
        <f t="shared" ref="D49:D65" si="11">J14</f>
        <v>-4.2045596295357353</v>
      </c>
      <c r="E49" s="13">
        <f t="shared" ref="E49:E65" si="12">$D$35*EXP($D$45*$D$41+D49*$D$42*SQRT($D$41))</f>
        <v>56.009698081546922</v>
      </c>
      <c r="F49" s="13">
        <f t="shared" ref="F49:F65" si="13">MAX(E49-$D$36,0)</f>
        <v>0</v>
      </c>
      <c r="H49" s="10">
        <f t="shared" ref="H49:H65" si="14">H14</f>
        <v>2.6731853243670882E-4</v>
      </c>
      <c r="J49" s="13">
        <f t="shared" ref="J49:J65" si="15">F49*H49</f>
        <v>0</v>
      </c>
    </row>
    <row r="50" spans="1:10" x14ac:dyDescent="0.3">
      <c r="A50">
        <v>1</v>
      </c>
      <c r="B50" s="10">
        <f t="shared" si="10"/>
        <v>1.3160460142443342E-3</v>
      </c>
      <c r="D50" s="13">
        <f t="shared" si="11"/>
        <v>-3.6789896758437681</v>
      </c>
      <c r="E50" s="13">
        <f t="shared" si="12"/>
        <v>60.331338071789112</v>
      </c>
      <c r="F50" s="13">
        <f t="shared" si="13"/>
        <v>0</v>
      </c>
      <c r="H50" s="10">
        <f t="shared" si="14"/>
        <v>2.214262757120253E-3</v>
      </c>
      <c r="J50" s="13">
        <f t="shared" si="15"/>
        <v>0</v>
      </c>
    </row>
    <row r="51" spans="1:10" x14ac:dyDescent="0.3">
      <c r="A51">
        <v>2</v>
      </c>
      <c r="B51" s="10">
        <f t="shared" si="10"/>
        <v>4.7483841548168716E-3</v>
      </c>
      <c r="D51" s="13">
        <f t="shared" si="11"/>
        <v>-3.1534197221518014</v>
      </c>
      <c r="E51" s="13">
        <f t="shared" si="12"/>
        <v>64.986430532674305</v>
      </c>
      <c r="F51" s="13">
        <f t="shared" si="13"/>
        <v>0</v>
      </c>
      <c r="H51" s="10">
        <f t="shared" si="14"/>
        <v>7.4169303797468342E-3</v>
      </c>
      <c r="J51" s="13">
        <f t="shared" si="15"/>
        <v>0</v>
      </c>
    </row>
    <row r="52" spans="1:10" x14ac:dyDescent="0.3">
      <c r="A52">
        <v>3</v>
      </c>
      <c r="B52" s="10">
        <f t="shared" si="10"/>
        <v>8.6897703851662022E-3</v>
      </c>
      <c r="D52" s="13">
        <f t="shared" si="11"/>
        <v>-2.6278497684598343</v>
      </c>
      <c r="E52" s="13">
        <f t="shared" si="12"/>
        <v>70.000704250133055</v>
      </c>
      <c r="F52" s="13">
        <f t="shared" si="13"/>
        <v>0</v>
      </c>
      <c r="H52" s="10">
        <f t="shared" si="14"/>
        <v>1.2601055676424049E-2</v>
      </c>
      <c r="J52" s="13">
        <f t="shared" si="15"/>
        <v>0</v>
      </c>
    </row>
    <row r="53" spans="1:10" x14ac:dyDescent="0.3">
      <c r="A53">
        <v>4</v>
      </c>
      <c r="B53" s="10">
        <f t="shared" si="10"/>
        <v>1.0444928077413259E-2</v>
      </c>
      <c r="D53" s="13">
        <f t="shared" si="11"/>
        <v>-2.1022798147678676</v>
      </c>
      <c r="E53" s="13">
        <f t="shared" si="12"/>
        <v>75.40187321183754</v>
      </c>
      <c r="F53" s="13">
        <f t="shared" si="13"/>
        <v>0</v>
      </c>
      <c r="H53" s="10">
        <f t="shared" si="14"/>
        <v>1.4061263844936705E-2</v>
      </c>
      <c r="J53" s="13">
        <f t="shared" si="15"/>
        <v>0</v>
      </c>
    </row>
    <row r="54" spans="1:10" x14ac:dyDescent="0.3">
      <c r="A54">
        <v>5</v>
      </c>
      <c r="B54" s="10">
        <f t="shared" si="10"/>
        <v>2.4639352714661455E-2</v>
      </c>
      <c r="D54" s="13">
        <f t="shared" si="11"/>
        <v>-1.5767098610759007</v>
      </c>
      <c r="E54" s="13">
        <f t="shared" si="12"/>
        <v>81.21978978294662</v>
      </c>
      <c r="F54" s="13">
        <f t="shared" si="13"/>
        <v>0</v>
      </c>
      <c r="H54" s="10">
        <f t="shared" si="14"/>
        <v>3.0794167820411382E-2</v>
      </c>
      <c r="J54" s="13">
        <f t="shared" si="15"/>
        <v>0</v>
      </c>
    </row>
    <row r="55" spans="1:10" x14ac:dyDescent="0.3">
      <c r="A55">
        <v>6</v>
      </c>
      <c r="B55" s="10">
        <f t="shared" si="10"/>
        <v>8.5317390699208281E-2</v>
      </c>
      <c r="D55" s="13">
        <f t="shared" si="11"/>
        <v>-1.0511399073839338</v>
      </c>
      <c r="E55" s="13">
        <f t="shared" si="12"/>
        <v>87.486609700704548</v>
      </c>
      <c r="F55" s="13">
        <f t="shared" si="13"/>
        <v>0</v>
      </c>
      <c r="H55" s="10">
        <f t="shared" si="14"/>
        <v>9.8991297468354403E-2</v>
      </c>
      <c r="J55" s="13">
        <f t="shared" si="15"/>
        <v>0</v>
      </c>
    </row>
    <row r="56" spans="1:10" x14ac:dyDescent="0.3">
      <c r="A56">
        <v>7</v>
      </c>
      <c r="B56" s="10">
        <f t="shared" si="10"/>
        <v>0.18974966131243845</v>
      </c>
      <c r="D56" s="13">
        <f t="shared" si="11"/>
        <v>-0.52556995369196691</v>
      </c>
      <c r="E56" s="13">
        <f t="shared" si="12"/>
        <v>94.236969799821722</v>
      </c>
      <c r="F56" s="13">
        <f t="shared" si="13"/>
        <v>0</v>
      </c>
      <c r="H56" s="10">
        <f t="shared" si="14"/>
        <v>0.20439051374604428</v>
      </c>
      <c r="J56" s="13">
        <f t="shared" si="15"/>
        <v>0</v>
      </c>
    </row>
    <row r="57" spans="1:10" x14ac:dyDescent="0.3">
      <c r="A57">
        <v>8</v>
      </c>
      <c r="B57" s="10">
        <f t="shared" si="10"/>
        <v>0.25852637954905061</v>
      </c>
      <c r="D57" s="13">
        <f t="shared" si="11"/>
        <v>-4.5813856481109289E-17</v>
      </c>
      <c r="E57" s="13">
        <f t="shared" si="12"/>
        <v>101.50817945092909</v>
      </c>
      <c r="F57" s="13">
        <f t="shared" si="13"/>
        <v>6.5081794509290916</v>
      </c>
      <c r="H57" s="10">
        <f t="shared" si="14"/>
        <v>0.25852637954905061</v>
      </c>
      <c r="J57" s="13">
        <f t="shared" si="15"/>
        <v>1.6825360709042261</v>
      </c>
    </row>
    <row r="58" spans="1:10" x14ac:dyDescent="0.3">
      <c r="A58">
        <v>9</v>
      </c>
      <c r="B58" s="10">
        <f t="shared" si="10"/>
        <v>0.22016103649631891</v>
      </c>
      <c r="D58" s="13">
        <f t="shared" si="11"/>
        <v>0.5255699536919668</v>
      </c>
      <c r="E58" s="13">
        <f t="shared" si="12"/>
        <v>109.34042677019011</v>
      </c>
      <c r="F58" s="13">
        <f t="shared" si="13"/>
        <v>14.340426770190106</v>
      </c>
      <c r="H58" s="10">
        <f t="shared" si="14"/>
        <v>0.20439051374604428</v>
      </c>
      <c r="J58" s="13">
        <f t="shared" si="15"/>
        <v>2.9310471948966823</v>
      </c>
    </row>
    <row r="59" spans="1:10" x14ac:dyDescent="0.3">
      <c r="A59">
        <v>10</v>
      </c>
      <c r="B59" s="10">
        <f t="shared" si="10"/>
        <v>0.11485673546928063</v>
      </c>
      <c r="D59" s="13">
        <f t="shared" si="11"/>
        <v>1.0511399073839338</v>
      </c>
      <c r="E59" s="13">
        <f t="shared" si="12"/>
        <v>117.77700073979487</v>
      </c>
      <c r="F59" s="13">
        <f t="shared" si="13"/>
        <v>22.777000739794872</v>
      </c>
      <c r="H59" s="10">
        <f t="shared" si="14"/>
        <v>9.8991297468354403E-2</v>
      </c>
      <c r="J59" s="13">
        <f t="shared" si="15"/>
        <v>2.2547248556699624</v>
      </c>
    </row>
    <row r="60" spans="1:10" x14ac:dyDescent="0.3">
      <c r="A60">
        <v>11</v>
      </c>
      <c r="B60" s="10">
        <f t="shared" si="10"/>
        <v>3.8486431958392832E-2</v>
      </c>
      <c r="D60" s="13">
        <f t="shared" si="11"/>
        <v>1.5767098610759007</v>
      </c>
      <c r="E60" s="13">
        <f t="shared" si="12"/>
        <v>126.86453046700071</v>
      </c>
      <c r="F60" s="13">
        <f t="shared" si="13"/>
        <v>31.864530467000705</v>
      </c>
      <c r="H60" s="10">
        <f t="shared" si="14"/>
        <v>3.0794167820411382E-2</v>
      </c>
      <c r="J60" s="13">
        <f t="shared" si="15"/>
        <v>0.98124169871943112</v>
      </c>
    </row>
    <row r="61" spans="1:10" x14ac:dyDescent="0.3">
      <c r="A61">
        <v>12</v>
      </c>
      <c r="B61" s="10">
        <f t="shared" si="10"/>
        <v>1.8929679501047399E-2</v>
      </c>
      <c r="D61" s="13">
        <f t="shared" si="11"/>
        <v>2.1022798147678676</v>
      </c>
      <c r="E61" s="13">
        <f t="shared" si="12"/>
        <v>136.65324290410845</v>
      </c>
      <c r="F61" s="13">
        <f t="shared" si="13"/>
        <v>41.653242904108453</v>
      </c>
      <c r="H61" s="10">
        <f t="shared" si="14"/>
        <v>1.4061263844936705E-2</v>
      </c>
      <c r="J61" s="13">
        <f t="shared" si="15"/>
        <v>0.58569723847190658</v>
      </c>
    </row>
    <row r="62" spans="1:10" x14ac:dyDescent="0.3">
      <c r="A62">
        <v>13</v>
      </c>
      <c r="B62" s="10">
        <f t="shared" si="10"/>
        <v>1.8272819317688076E-2</v>
      </c>
      <c r="D62" s="13">
        <f t="shared" si="11"/>
        <v>2.6278497684598343</v>
      </c>
      <c r="E62" s="13">
        <f t="shared" si="12"/>
        <v>147.19724045379786</v>
      </c>
      <c r="F62" s="13">
        <f t="shared" si="13"/>
        <v>52.19724045379786</v>
      </c>
      <c r="H62" s="10">
        <f t="shared" si="14"/>
        <v>1.2601055676424049E-2</v>
      </c>
      <c r="J62" s="13">
        <f t="shared" si="15"/>
        <v>0.65774033311400049</v>
      </c>
    </row>
    <row r="63" spans="1:10" x14ac:dyDescent="0.3">
      <c r="A63">
        <v>14</v>
      </c>
      <c r="B63" s="10">
        <f t="shared" si="10"/>
        <v>1.1585173916943352E-2</v>
      </c>
      <c r="D63" s="13">
        <f t="shared" si="11"/>
        <v>3.1534197221518014</v>
      </c>
      <c r="E63" s="13">
        <f t="shared" si="12"/>
        <v>158.55479999415198</v>
      </c>
      <c r="F63" s="13">
        <f t="shared" si="13"/>
        <v>63.554799994151978</v>
      </c>
      <c r="H63" s="10">
        <f t="shared" si="14"/>
        <v>7.4169303797468342E-3</v>
      </c>
      <c r="J63" s="13">
        <f t="shared" si="15"/>
        <v>0.47138152685535972</v>
      </c>
    </row>
    <row r="64" spans="1:10" x14ac:dyDescent="0.3">
      <c r="A64">
        <v>15</v>
      </c>
      <c r="B64" s="10">
        <f t="shared" si="10"/>
        <v>3.7255228954779637E-3</v>
      </c>
      <c r="D64" s="13">
        <f t="shared" si="11"/>
        <v>3.6789896758437681</v>
      </c>
      <c r="E64" s="13">
        <f t="shared" si="12"/>
        <v>170.78869497608778</v>
      </c>
      <c r="F64" s="13">
        <f t="shared" si="13"/>
        <v>75.788694976087783</v>
      </c>
      <c r="H64" s="10">
        <f t="shared" si="14"/>
        <v>2.214262757120253E-3</v>
      </c>
      <c r="J64" s="13">
        <f t="shared" si="15"/>
        <v>0.167816084696298</v>
      </c>
    </row>
    <row r="65" spans="1:10" x14ac:dyDescent="0.3">
      <c r="A65">
        <v>16</v>
      </c>
      <c r="B65" s="10">
        <f t="shared" si="10"/>
        <v>4.8446998449513885E-4</v>
      </c>
      <c r="D65" s="13">
        <f t="shared" si="11"/>
        <v>4.2045596295357353</v>
      </c>
      <c r="E65" s="13">
        <f t="shared" si="12"/>
        <v>183.96654237343176</v>
      </c>
      <c r="F65" s="13">
        <f t="shared" si="13"/>
        <v>88.966542373431764</v>
      </c>
      <c r="H65" s="10">
        <f t="shared" si="14"/>
        <v>2.6731853243670882E-4</v>
      </c>
      <c r="J65" s="13">
        <f t="shared" si="15"/>
        <v>2.3782405543234048E-2</v>
      </c>
    </row>
  </sheetData>
  <printOptions headings="1" gridLines="1"/>
  <pageMargins left="0.75" right="0.75" top="1" bottom="1" header="0.5" footer="0.5"/>
  <pageSetup paperSize="9" scale="80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workbookViewId="0"/>
  </sheetViews>
  <sheetFormatPr defaultRowHeight="13" x14ac:dyDescent="0.3"/>
  <cols>
    <col min="1" max="1" width="18.796875" customWidth="1"/>
  </cols>
  <sheetData>
    <row r="1" spans="1:10" x14ac:dyDescent="0.3">
      <c r="A1" s="18" t="s">
        <v>0</v>
      </c>
    </row>
    <row r="2" spans="1:10" x14ac:dyDescent="0.3">
      <c r="A2" s="2" t="s">
        <v>97</v>
      </c>
    </row>
    <row r="4" spans="1:10" x14ac:dyDescent="0.3">
      <c r="A4" s="3" t="s">
        <v>2</v>
      </c>
      <c r="D4" s="4">
        <v>100</v>
      </c>
      <c r="G4" t="s">
        <v>24</v>
      </c>
      <c r="J4" s="1">
        <v>1</v>
      </c>
    </row>
    <row r="5" spans="1:10" x14ac:dyDescent="0.3">
      <c r="A5" s="5" t="s">
        <v>5</v>
      </c>
      <c r="D5" s="4">
        <v>95</v>
      </c>
    </row>
    <row r="6" spans="1:10" x14ac:dyDescent="0.3">
      <c r="A6" s="3" t="s">
        <v>8</v>
      </c>
      <c r="D6" s="6">
        <v>0.08</v>
      </c>
      <c r="G6" s="3" t="s">
        <v>63</v>
      </c>
      <c r="J6" s="15">
        <v>16</v>
      </c>
    </row>
    <row r="8" spans="1:10" x14ac:dyDescent="0.3">
      <c r="A8" s="3" t="s">
        <v>11</v>
      </c>
      <c r="D8" s="6">
        <v>0.03</v>
      </c>
    </row>
    <row r="9" spans="1:10" x14ac:dyDescent="0.3">
      <c r="A9" s="3" t="s">
        <v>14</v>
      </c>
      <c r="D9" s="7">
        <v>0</v>
      </c>
      <c r="G9" s="3" t="s">
        <v>98</v>
      </c>
      <c r="J9" s="13">
        <f>BSOptionValue(J4,D4,D5,D6,D8,D11,D12)</f>
        <v>9.7257629574651006</v>
      </c>
    </row>
    <row r="10" spans="1:10" x14ac:dyDescent="0.3">
      <c r="A10" s="3" t="s">
        <v>15</v>
      </c>
      <c r="D10" s="8">
        <v>0.5</v>
      </c>
      <c r="G10" s="3" t="s">
        <v>99</v>
      </c>
      <c r="J10" s="13">
        <f>EdgeworthEuroOptionValue(J4,D4,D5,D6,D8,D11,D12,D14,D15,J6)</f>
        <v>9.3734304551576102</v>
      </c>
    </row>
    <row r="11" spans="1:10" x14ac:dyDescent="0.3">
      <c r="A11" s="3" t="s">
        <v>18</v>
      </c>
      <c r="D11" s="7">
        <f>D10-D9</f>
        <v>0.5</v>
      </c>
    </row>
    <row r="12" spans="1:10" x14ac:dyDescent="0.3">
      <c r="A12" s="3" t="s">
        <v>39</v>
      </c>
      <c r="D12" s="6">
        <v>0.2</v>
      </c>
      <c r="G12" s="3" t="s">
        <v>100</v>
      </c>
      <c r="J12" s="20">
        <f>BSOptionISDGoalSeekNR(J4,D4,D5,D6,D8,D11,J10)</f>
        <v>0.18454318012471213</v>
      </c>
    </row>
    <row r="13" spans="1:10" x14ac:dyDescent="0.3">
      <c r="G13" s="3" t="s">
        <v>101</v>
      </c>
      <c r="J13" s="13">
        <f>BSOptionValue(J4,D4,D5,D6,D8,D11,J12)</f>
        <v>9.3734304550392622</v>
      </c>
    </row>
    <row r="14" spans="1:10" x14ac:dyDescent="0.3">
      <c r="A14" s="11" t="s">
        <v>67</v>
      </c>
      <c r="D14" s="4">
        <v>0</v>
      </c>
    </row>
    <row r="15" spans="1:10" x14ac:dyDescent="0.3">
      <c r="A15" s="11" t="s">
        <v>70</v>
      </c>
      <c r="D15" s="4">
        <v>5.4</v>
      </c>
    </row>
    <row r="16" spans="1:10" x14ac:dyDescent="0.3">
      <c r="A16" s="29"/>
      <c r="B16" s="30"/>
      <c r="C16" s="30"/>
      <c r="D16" s="31"/>
    </row>
    <row r="17" spans="1:10" x14ac:dyDescent="0.3">
      <c r="A17" s="29"/>
      <c r="B17" s="30"/>
      <c r="C17" s="30"/>
      <c r="D17" s="31"/>
    </row>
    <row r="18" spans="1:10" x14ac:dyDescent="0.3">
      <c r="A18" s="29"/>
      <c r="B18" s="30"/>
      <c r="C18" s="30"/>
      <c r="D18" s="31"/>
    </row>
    <row r="19" spans="1:10" x14ac:dyDescent="0.3">
      <c r="A19" s="18" t="s">
        <v>102</v>
      </c>
      <c r="B19" s="30"/>
      <c r="C19" s="30"/>
      <c r="D19" s="31"/>
    </row>
    <row r="20" spans="1:10" x14ac:dyDescent="0.3">
      <c r="A20" s="30"/>
      <c r="B20" s="30"/>
      <c r="C20" s="30"/>
      <c r="D20" s="25" t="s">
        <v>103</v>
      </c>
      <c r="E20" s="26"/>
      <c r="F20" s="26"/>
      <c r="G20" s="26"/>
      <c r="I20" s="32" t="s">
        <v>104</v>
      </c>
      <c r="J20" s="26"/>
    </row>
    <row r="21" spans="1:10" x14ac:dyDescent="0.3">
      <c r="A21" s="30"/>
      <c r="B21" s="30"/>
      <c r="C21" s="30"/>
      <c r="D21" s="30"/>
    </row>
    <row r="22" spans="1:10" x14ac:dyDescent="0.3">
      <c r="A22" t="s">
        <v>105</v>
      </c>
      <c r="B22" s="13">
        <f>D5*EXP(-(D6-D8)*D11)</f>
        <v>92.654441642691594</v>
      </c>
      <c r="D22" s="27" t="s">
        <v>106</v>
      </c>
      <c r="E22" s="27" t="s">
        <v>107</v>
      </c>
      <c r="F22" s="27" t="s">
        <v>108</v>
      </c>
      <c r="G22" s="27" t="s">
        <v>109</v>
      </c>
      <c r="I22" s="27" t="s">
        <v>108</v>
      </c>
      <c r="J22" s="27" t="s">
        <v>109</v>
      </c>
    </row>
    <row r="24" spans="1:10" x14ac:dyDescent="0.3">
      <c r="A24" t="s">
        <v>106</v>
      </c>
      <c r="B24" s="4">
        <v>0</v>
      </c>
      <c r="D24" s="23">
        <v>-2.5</v>
      </c>
      <c r="E24" s="13">
        <f>$B$22*EXP(D24*$D$12*SQRT($D$11))</f>
        <v>65.060883518330783</v>
      </c>
      <c r="F24" s="13">
        <f t="shared" ref="F24:F34" si="0">BSOptionValue($J$4,$D$4,E24,$D$6,$D$8,$D$11,$D$12)</f>
        <v>36.003313571384766</v>
      </c>
      <c r="G24" s="13">
        <f t="shared" ref="G24:G34" si="1">EdgeworthEuroOptionValue($J$4,$D$4,E24,$D$6,$D$8,$D$11,$D$12,$D$14,$D$15,$J$6)</f>
        <v>36.014301237184085</v>
      </c>
      <c r="I24" s="22">
        <f t="shared" ref="I24:I34" si="2">$D$12</f>
        <v>0.2</v>
      </c>
      <c r="J24" s="22">
        <f t="shared" ref="J24:J34" si="3">BSOptionISDGoalSeekNR($J$4,$D$4,E24,$D$6,$D$8,$D$11,G24)</f>
        <v>0.23636247243488598</v>
      </c>
    </row>
    <row r="25" spans="1:10" x14ac:dyDescent="0.3">
      <c r="D25" s="23">
        <v>-2</v>
      </c>
      <c r="E25" s="13">
        <f t="shared" ref="E25:E34" si="4">$B$22*EXP(D25*$D$12*SQRT($D$11))</f>
        <v>69.827937410635144</v>
      </c>
      <c r="F25" s="13">
        <f t="shared" si="0"/>
        <v>31.432777507135583</v>
      </c>
      <c r="G25" s="13">
        <f t="shared" si="1"/>
        <v>31.479502721684899</v>
      </c>
      <c r="I25" s="22">
        <f t="shared" si="2"/>
        <v>0.2</v>
      </c>
      <c r="J25" s="22">
        <f t="shared" si="3"/>
        <v>0.24125419793911809</v>
      </c>
    </row>
    <row r="26" spans="1:10" x14ac:dyDescent="0.3">
      <c r="A26" t="s">
        <v>107</v>
      </c>
      <c r="B26" s="13">
        <f>B22*EXP(B24*D12*SQRT(D11))</f>
        <v>92.654441642691594</v>
      </c>
      <c r="D26" s="23">
        <v>-1.5</v>
      </c>
      <c r="E26" s="13">
        <f t="shared" si="4"/>
        <v>74.944276489110266</v>
      </c>
      <c r="F26" s="13">
        <f t="shared" si="0"/>
        <v>26.560983497745156</v>
      </c>
      <c r="G26" s="13">
        <f t="shared" si="1"/>
        <v>26.672288162187954</v>
      </c>
      <c r="I26" s="22">
        <f t="shared" si="2"/>
        <v>0.2</v>
      </c>
      <c r="J26" s="22">
        <f t="shared" si="3"/>
        <v>0.23668803727226542</v>
      </c>
    </row>
    <row r="27" spans="1:10" x14ac:dyDescent="0.3">
      <c r="D27" s="23">
        <v>-1</v>
      </c>
      <c r="E27" s="13">
        <f t="shared" si="4"/>
        <v>80.435493109964924</v>
      </c>
      <c r="F27" s="13">
        <f t="shared" si="0"/>
        <v>21.446093650030335</v>
      </c>
      <c r="G27" s="13">
        <f t="shared" si="1"/>
        <v>21.583094529165507</v>
      </c>
      <c r="I27" s="22">
        <f t="shared" si="2"/>
        <v>0.2</v>
      </c>
      <c r="J27" s="22">
        <f t="shared" si="3"/>
        <v>0.22108960665998534</v>
      </c>
    </row>
    <row r="28" spans="1:10" x14ac:dyDescent="0.3">
      <c r="D28" s="23">
        <v>-0.5</v>
      </c>
      <c r="E28" s="13">
        <f t="shared" si="4"/>
        <v>86.329054798244883</v>
      </c>
      <c r="F28" s="13">
        <f t="shared" si="0"/>
        <v>16.259581516896148</v>
      </c>
      <c r="G28" s="13">
        <f t="shared" si="1"/>
        <v>16.278813725340495</v>
      </c>
      <c r="I28" s="22">
        <f t="shared" si="2"/>
        <v>0.2</v>
      </c>
      <c r="J28" s="22">
        <f t="shared" si="3"/>
        <v>0.20157508654190817</v>
      </c>
    </row>
    <row r="29" spans="1:10" x14ac:dyDescent="0.3">
      <c r="A29" s="3" t="s">
        <v>98</v>
      </c>
      <c r="B29" s="13">
        <f>BSOptionValue(J4,D4,B26,D6,D8,D11,D12)</f>
        <v>11.327866843062139</v>
      </c>
      <c r="D29" s="23">
        <v>0</v>
      </c>
      <c r="E29" s="13">
        <f t="shared" si="4"/>
        <v>92.654441642691594</v>
      </c>
      <c r="F29" s="13">
        <f t="shared" si="0"/>
        <v>11.327866843062139</v>
      </c>
      <c r="G29" s="13">
        <f t="shared" si="1"/>
        <v>11.102301179206219</v>
      </c>
      <c r="I29" s="22">
        <f t="shared" si="2"/>
        <v>0.2</v>
      </c>
      <c r="J29" s="22">
        <f t="shared" si="3"/>
        <v>0.18876892372225393</v>
      </c>
    </row>
    <row r="30" spans="1:10" x14ac:dyDescent="0.3">
      <c r="A30" s="3" t="s">
        <v>99</v>
      </c>
      <c r="B30" s="13">
        <f>EdgeworthEuroOptionValue(J4,D4,B26,D6,D8,D11,D12,D14,D15,J6)</f>
        <v>11.102301179206219</v>
      </c>
      <c r="D30" s="23">
        <v>0.5</v>
      </c>
      <c r="E30" s="13">
        <f t="shared" si="4"/>
        <v>99.443293757613077</v>
      </c>
      <c r="F30" s="13">
        <f t="shared" si="0"/>
        <v>7.0803674628461124</v>
      </c>
      <c r="G30" s="13">
        <f t="shared" si="1"/>
        <v>6.6870620274379942</v>
      </c>
      <c r="I30" s="22">
        <f t="shared" si="2"/>
        <v>0.2</v>
      </c>
      <c r="J30" s="22">
        <f t="shared" si="3"/>
        <v>0.18522715444139334</v>
      </c>
    </row>
    <row r="31" spans="1:10" x14ac:dyDescent="0.3">
      <c r="D31" s="23">
        <v>1</v>
      </c>
      <c r="E31" s="13">
        <f t="shared" si="4"/>
        <v>106.7295695493833</v>
      </c>
      <c r="F31" s="13">
        <f t="shared" si="0"/>
        <v>3.8764281864900525</v>
      </c>
      <c r="G31" s="13">
        <f t="shared" si="1"/>
        <v>3.5787947533507518</v>
      </c>
      <c r="I31" s="22">
        <f t="shared" si="2"/>
        <v>0.2</v>
      </c>
      <c r="J31" s="22">
        <f t="shared" si="3"/>
        <v>0.1890196725632238</v>
      </c>
    </row>
    <row r="32" spans="1:10" x14ac:dyDescent="0.3">
      <c r="A32" s="3" t="s">
        <v>100</v>
      </c>
      <c r="B32" s="22">
        <f>BSOptionISDGoalSeekNR(J4,D4,B26,D6,D8,D11,B30)</f>
        <v>0.18876892372225393</v>
      </c>
      <c r="D32" s="23">
        <v>1.5</v>
      </c>
      <c r="E32" s="13">
        <f t="shared" si="4"/>
        <v>114.54971557923251</v>
      </c>
      <c r="F32" s="13">
        <f t="shared" si="0"/>
        <v>1.8187046968949687</v>
      </c>
      <c r="G32" s="13">
        <f t="shared" si="1"/>
        <v>1.8162392301381194</v>
      </c>
      <c r="I32" s="22">
        <f t="shared" si="2"/>
        <v>0.2</v>
      </c>
      <c r="J32" s="22">
        <f t="shared" si="3"/>
        <v>0.19988558206094445</v>
      </c>
    </row>
    <row r="33" spans="1:10" x14ac:dyDescent="0.3">
      <c r="A33" s="3" t="s">
        <v>101</v>
      </c>
      <c r="B33" s="13">
        <f>BSOptionValue(J4,D4,B26,D6,D8,D11,B32)</f>
        <v>11.102301179206094</v>
      </c>
      <c r="D33" s="23">
        <v>2</v>
      </c>
      <c r="E33" s="13">
        <f t="shared" si="4"/>
        <v>122.94284887199643</v>
      </c>
      <c r="F33" s="13">
        <f t="shared" si="0"/>
        <v>0.71765709593640103</v>
      </c>
      <c r="G33" s="13">
        <f t="shared" si="1"/>
        <v>0.96613981541508542</v>
      </c>
      <c r="I33" s="22">
        <f t="shared" si="2"/>
        <v>0.2</v>
      </c>
      <c r="J33" s="22">
        <f t="shared" si="3"/>
        <v>0.21745906976893725</v>
      </c>
    </row>
    <row r="34" spans="1:10" x14ac:dyDescent="0.3">
      <c r="D34" s="23">
        <v>2.5</v>
      </c>
      <c r="E34" s="13">
        <f t="shared" si="4"/>
        <v>131.95095258274779</v>
      </c>
      <c r="F34" s="13">
        <f t="shared" si="0"/>
        <v>0.23456972860648673</v>
      </c>
      <c r="G34" s="13">
        <f t="shared" si="1"/>
        <v>0.53368014892016558</v>
      </c>
      <c r="I34" s="22">
        <f t="shared" si="2"/>
        <v>0.2</v>
      </c>
      <c r="J34" s="22">
        <f t="shared" si="3"/>
        <v>0.23628114696066022</v>
      </c>
    </row>
  </sheetData>
  <printOptions headings="1" gridLines="1"/>
  <pageMargins left="0.75" right="0.75" top="1" bottom="1" header="0.5" footer="0.5"/>
  <pageSetup paperSize="9" scale="94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Dist</vt:lpstr>
      <vt:lpstr>ISD</vt:lpstr>
      <vt:lpstr>Edge</vt:lpstr>
      <vt:lpstr>Smile</vt:lpstr>
      <vt:lpstr>Chart1</vt:lpstr>
      <vt:lpstr>Chart2</vt:lpstr>
      <vt:lpstr>Chart3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13</dc:title>
  <dc:creator>Mary Jackson and Mike Staunton</dc:creator>
  <dc:description/>
  <cp:lastModifiedBy>Carina Negreanu</cp:lastModifiedBy>
  <cp:lastPrinted>2000-07-31T15:57:20Z</cp:lastPrinted>
  <dcterms:created xsi:type="dcterms:W3CDTF">1997-06-13T13:38:33Z</dcterms:created>
  <dcterms:modified xsi:type="dcterms:W3CDTF">2020-01-27T11:56:33Z</dcterms:modified>
</cp:coreProperties>
</file>