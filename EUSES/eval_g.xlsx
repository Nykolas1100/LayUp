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773A86-3225-4F7E-8CF7-13E18F150BB6}" xr6:coauthVersionLast="45" xr6:coauthVersionMax="45" xr10:uidLastSave="{00000000-0000-0000-0000-000000000000}"/>
  <bookViews>
    <workbookView xWindow="1900" yWindow="1900" windowWidth="28800" windowHeight="15460" tabRatio="607"/>
  </bookViews>
  <sheets>
    <sheet name="Team 1" sheetId="1" r:id="rId1"/>
    <sheet name="Team 2" sheetId="2" r:id="rId2"/>
    <sheet name="Team 3" sheetId="3" r:id="rId3"/>
    <sheet name="Team 4" sheetId="4" r:id="rId4"/>
    <sheet name="Team 5" sheetId="5" r:id="rId5"/>
    <sheet name="Team 6" sheetId="6" r:id="rId6"/>
    <sheet name="Team 7" sheetId="7" r:id="rId7"/>
    <sheet name="Team 8" sheetId="8" r:id="rId8"/>
    <sheet name="Team 9" sheetId="9" r:id="rId9"/>
    <sheet name="Team 10" sheetId="10" r:id="rId10"/>
    <sheet name="Spring 97 Master" sheetId="11" r:id="rId11"/>
  </sheets>
  <definedNames>
    <definedName name="Criteria_1" localSheetId="10">'Spring 97 Master'!$K$7</definedName>
    <definedName name="Criteria_1" localSheetId="0">'Team 1'!$K$7</definedName>
    <definedName name="Criteria_1" localSheetId="9">'Team 10'!$K$7</definedName>
    <definedName name="Criteria_1" localSheetId="1">'Team 2'!$K$7</definedName>
    <definedName name="Criteria_1" localSheetId="2">'Team 3'!$K$7</definedName>
    <definedName name="Criteria_1" localSheetId="3">'Team 4'!$K$7</definedName>
    <definedName name="Criteria_1" localSheetId="4">'Team 5'!$K$7</definedName>
    <definedName name="Criteria_1" localSheetId="5">'Team 6'!$K$7</definedName>
    <definedName name="Criteria_1" localSheetId="6">'Team 7'!$K$7</definedName>
    <definedName name="Criteria_1" localSheetId="7">'Team 8'!$K$7</definedName>
    <definedName name="Criteria_1" localSheetId="8">'Team 9'!$K$7</definedName>
    <definedName name="Criteria_1">'Spring 97 Master'!$K$7</definedName>
    <definedName name="Criteria_2" localSheetId="10">'Spring 97 Master'!$K$8</definedName>
    <definedName name="Criteria_2" localSheetId="0">'Team 1'!$K$8</definedName>
    <definedName name="Criteria_2" localSheetId="9">'Team 10'!$K$8</definedName>
    <definedName name="Criteria_2" localSheetId="1">'Team 2'!$K$8</definedName>
    <definedName name="Criteria_2" localSheetId="2">'Team 3'!$K$8</definedName>
    <definedName name="Criteria_2" localSheetId="3">'Team 4'!$K$8</definedName>
    <definedName name="Criteria_2" localSheetId="4">'Team 5'!$K$8</definedName>
    <definedName name="Criteria_2" localSheetId="5">'Team 6'!$K$8</definedName>
    <definedName name="Criteria_2" localSheetId="6">'Team 7'!$K$8</definedName>
    <definedName name="Criteria_2" localSheetId="7">'Team 8'!$K$8</definedName>
    <definedName name="Criteria_2" localSheetId="8">'Team 9'!$K$8</definedName>
    <definedName name="Criteria_2">'Spring 97 Master'!$K$8</definedName>
    <definedName name="Criteria_3" localSheetId="10">'Spring 97 Master'!$K$9</definedName>
    <definedName name="Criteria_3" localSheetId="0">'Team 1'!$K$9</definedName>
    <definedName name="Criteria_3" localSheetId="9">'Team 10'!$K$9</definedName>
    <definedName name="Criteria_3" localSheetId="1">'Team 2'!$K$9</definedName>
    <definedName name="Criteria_3" localSheetId="2">'Team 3'!$K$9</definedName>
    <definedName name="Criteria_3" localSheetId="3">'Team 4'!$K$9</definedName>
    <definedName name="Criteria_3" localSheetId="4">'Team 5'!$K$9</definedName>
    <definedName name="Criteria_3" localSheetId="5">'Team 6'!$K$9</definedName>
    <definedName name="Criteria_3" localSheetId="6">'Team 7'!$K$9</definedName>
    <definedName name="Criteria_3" localSheetId="7">'Team 8'!$K$9</definedName>
    <definedName name="Criteria_3" localSheetId="8">'Team 9'!$K$9</definedName>
    <definedName name="Criteria_3">'Spring 97 Master'!$K$9</definedName>
    <definedName name="Criteria_4" localSheetId="10">'Spring 97 Master'!$K$10</definedName>
    <definedName name="Criteria_4" localSheetId="0">'Team 1'!$K$10</definedName>
    <definedName name="Criteria_4" localSheetId="9">'Team 10'!$K$10</definedName>
    <definedName name="Criteria_4" localSheetId="1">'Team 2'!$K$10</definedName>
    <definedName name="Criteria_4" localSheetId="2">'Team 3'!$K$10</definedName>
    <definedName name="Criteria_4" localSheetId="3">'Team 4'!$K$10</definedName>
    <definedName name="Criteria_4" localSheetId="4">'Team 5'!$K$10</definedName>
    <definedName name="Criteria_4" localSheetId="5">'Team 6'!$K$10</definedName>
    <definedName name="Criteria_4" localSheetId="6">'Team 7'!$K$10</definedName>
    <definedName name="Criteria_4" localSheetId="7">'Team 8'!$K$10</definedName>
    <definedName name="Criteria_4" localSheetId="8">'Team 9'!$K$10</definedName>
    <definedName name="Criteria_4">'Spring 97 Master'!$K$10</definedName>
    <definedName name="Criteria_5" localSheetId="10">'Spring 97 Master'!$K$11</definedName>
    <definedName name="Criteria_5" localSheetId="0">'Team 1'!$K$11</definedName>
    <definedName name="Criteria_5" localSheetId="9">'Team 10'!$K$11</definedName>
    <definedName name="Criteria_5" localSheetId="1">'Team 2'!$K$11</definedName>
    <definedName name="Criteria_5" localSheetId="2">'Team 3'!$K$11</definedName>
    <definedName name="Criteria_5" localSheetId="3">'Team 4'!$K$11</definedName>
    <definedName name="Criteria_5" localSheetId="4">'Team 5'!$K$11</definedName>
    <definedName name="Criteria_5" localSheetId="5">'Team 6'!$K$11</definedName>
    <definedName name="Criteria_5" localSheetId="6">'Team 7'!$K$11</definedName>
    <definedName name="Criteria_5" localSheetId="7">'Team 8'!$K$11</definedName>
    <definedName name="Criteria_5" localSheetId="8">'Team 9'!$K$11</definedName>
    <definedName name="Criteria_5">'Spring 97 Master'!$K$11</definedName>
    <definedName name="Criteria_6" localSheetId="10">'Spring 97 Master'!$K$12</definedName>
    <definedName name="Criteria_6" localSheetId="0">'Team 1'!$K$12</definedName>
    <definedName name="Criteria_6" localSheetId="9">'Team 10'!$K$12</definedName>
    <definedName name="Criteria_6" localSheetId="1">'Team 2'!$K$12</definedName>
    <definedName name="Criteria_6" localSheetId="2">'Team 3'!$K$12</definedName>
    <definedName name="Criteria_6" localSheetId="3">'Team 4'!$K$12</definedName>
    <definedName name="Criteria_6" localSheetId="4">'Team 5'!$K$12</definedName>
    <definedName name="Criteria_6" localSheetId="5">'Team 6'!$K$12</definedName>
    <definedName name="Criteria_6" localSheetId="6">'Team 7'!$K$12</definedName>
    <definedName name="Criteria_6" localSheetId="7">'Team 8'!$K$12</definedName>
    <definedName name="Criteria_6" localSheetId="8">'Team 9'!$K$12</definedName>
    <definedName name="Criteria_6">'Spring 97 Master'!$K$12</definedName>
    <definedName name="Criteria_7" localSheetId="10">'Spring 97 Master'!$K$13</definedName>
    <definedName name="Criteria_7" localSheetId="0">'Team 1'!$K$13</definedName>
    <definedName name="Criteria_7" localSheetId="9">'Team 10'!$K$13</definedName>
    <definedName name="Criteria_7" localSheetId="1">'Team 2'!$K$13</definedName>
    <definedName name="Criteria_7" localSheetId="2">'Team 3'!$K$13</definedName>
    <definedName name="Criteria_7" localSheetId="3">'Team 4'!$K$13</definedName>
    <definedName name="Criteria_7" localSheetId="4">'Team 5'!$K$13</definedName>
    <definedName name="Criteria_7" localSheetId="5">'Team 6'!$K$13</definedName>
    <definedName name="Criteria_7" localSheetId="6">'Team 7'!$K$13</definedName>
    <definedName name="Criteria_7" localSheetId="7">'Team 8'!$K$13</definedName>
    <definedName name="Criteria_7" localSheetId="8">'Team 9'!$K$13</definedName>
    <definedName name="Criteria_7">'Spring 97 Master'!$K$13</definedName>
    <definedName name="Less" localSheetId="0">'Team 1'!$G$3</definedName>
    <definedName name="Less" localSheetId="9">'Team 10'!$G$3</definedName>
    <definedName name="Less" localSheetId="1">'Team 2'!$G$3</definedName>
    <definedName name="Less" localSheetId="2">'Team 3'!$G$3</definedName>
    <definedName name="Less" localSheetId="3">'Team 4'!$G$3</definedName>
    <definedName name="Less" localSheetId="4">'Team 5'!$G$3</definedName>
    <definedName name="Less" localSheetId="5">'Team 6'!$G$3</definedName>
    <definedName name="Less" localSheetId="6">'Team 7'!$G$3</definedName>
    <definedName name="Less" localSheetId="7">'Team 8'!$G$3</definedName>
    <definedName name="Less" localSheetId="8">'Team 9'!$G$3</definedName>
    <definedName name="Less">'Spring 97 Master'!$G$3</definedName>
    <definedName name="More" localSheetId="0">'Team 1'!$E$3</definedName>
    <definedName name="More" localSheetId="9">'Team 10'!$E$3</definedName>
    <definedName name="More" localSheetId="1">'Team 2'!$E$3</definedName>
    <definedName name="More" localSheetId="2">'Team 3'!$E$3</definedName>
    <definedName name="More" localSheetId="3">'Team 4'!$E$3</definedName>
    <definedName name="More" localSheetId="4">'Team 5'!$E$3</definedName>
    <definedName name="More" localSheetId="5">'Team 6'!$E$3</definedName>
    <definedName name="More" localSheetId="6">'Team 7'!$E$3</definedName>
    <definedName name="More" localSheetId="7">'Team 8'!$E$3</definedName>
    <definedName name="More" localSheetId="8">'Team 9'!$E$3</definedName>
    <definedName name="More">'Spring 97 Master'!$E$3</definedName>
    <definedName name="Much" localSheetId="0">'Team 1'!$D$3</definedName>
    <definedName name="Much" localSheetId="9">'Team 10'!$D$3</definedName>
    <definedName name="Much" localSheetId="1">'Team 2'!$D$3</definedName>
    <definedName name="Much" localSheetId="2">'Team 3'!$D$3</definedName>
    <definedName name="Much" localSheetId="3">'Team 4'!$D$3</definedName>
    <definedName name="Much" localSheetId="4">'Team 5'!$D$3</definedName>
    <definedName name="Much" localSheetId="5">'Team 6'!$D$3</definedName>
    <definedName name="Much" localSheetId="6">'Team 7'!$D$3</definedName>
    <definedName name="Much" localSheetId="7">'Team 8'!$D$3</definedName>
    <definedName name="Much" localSheetId="8">'Team 9'!$D$3</definedName>
    <definedName name="Much">'Spring 97 Master'!$D$3</definedName>
    <definedName name="MuchLess" localSheetId="0">'Team 1'!$H$3</definedName>
    <definedName name="MuchLess" localSheetId="9">'Team 10'!$H$3</definedName>
    <definedName name="MuchLess" localSheetId="1">'Team 2'!$H$3</definedName>
    <definedName name="MuchLess" localSheetId="2">'Team 3'!$H$3</definedName>
    <definedName name="MuchLess" localSheetId="3">'Team 4'!$H$3</definedName>
    <definedName name="MuchLess" localSheetId="4">'Team 5'!$H$3</definedName>
    <definedName name="MuchLess" localSheetId="5">'Team 6'!$H$3</definedName>
    <definedName name="MuchLess" localSheetId="6">'Team 7'!$H$3</definedName>
    <definedName name="MuchLess" localSheetId="7">'Team 8'!$H$3</definedName>
    <definedName name="MuchLess" localSheetId="8">'Team 9'!$H$3</definedName>
    <definedName name="MuchLess">'Spring 97 Master'!$H$3</definedName>
    <definedName name="_xlnm.Print_Area" localSheetId="10">'Spring 97 Master'!$A$1:$K$53</definedName>
    <definedName name="_xlnm.Print_Area" localSheetId="0">'Team 1'!$A$1:$K$53</definedName>
    <definedName name="_xlnm.Print_Area" localSheetId="9">'Team 10'!$A$1:$K$53</definedName>
    <definedName name="_xlnm.Print_Area" localSheetId="1">'Team 2'!$A$1:$K$53</definedName>
    <definedName name="_xlnm.Print_Area" localSheetId="2">'Team 3'!$A$1:$K$53</definedName>
    <definedName name="_xlnm.Print_Area" localSheetId="3">'Team 4'!$A$1:$K$53</definedName>
    <definedName name="_xlnm.Print_Area" localSheetId="4">'Team 5'!$A$1:$K$53</definedName>
    <definedName name="_xlnm.Print_Area" localSheetId="5">'Team 6'!$A$1:$K$53</definedName>
    <definedName name="_xlnm.Print_Area" localSheetId="6">'Team 7'!$A$1:$K$53</definedName>
    <definedName name="_xlnm.Print_Area" localSheetId="7">'Team 8'!$A$1:$K$53</definedName>
    <definedName name="_xlnm.Print_Area" localSheetId="8">'Team 9'!$A$1:$K$53</definedName>
    <definedName name="Same" localSheetId="0">'Team 1'!$F$3</definedName>
    <definedName name="Same" localSheetId="9">'Team 10'!$F$3</definedName>
    <definedName name="Same" localSheetId="1">'Team 2'!$F$3</definedName>
    <definedName name="Same" localSheetId="2">'Team 3'!$F$3</definedName>
    <definedName name="Same" localSheetId="3">'Team 4'!$F$3</definedName>
    <definedName name="Same" localSheetId="4">'Team 5'!$F$3</definedName>
    <definedName name="Same" localSheetId="5">'Team 6'!$F$3</definedName>
    <definedName name="Same" localSheetId="6">'Team 7'!$F$3</definedName>
    <definedName name="Same" localSheetId="7">'Team 8'!$F$3</definedName>
    <definedName name="Same" localSheetId="8">'Team 9'!$F$3</definedName>
    <definedName name="Same">'Spring 97 Master'!$F$3</definedName>
  </definedNames>
  <calcPr calcId="0"/>
</workbook>
</file>

<file path=xl/calcChain.xml><?xml version="1.0" encoding="utf-8"?>
<calcChain xmlns="http://schemas.openxmlformats.org/spreadsheetml/2006/main">
  <c r="G3" i="11" l="1"/>
  <c r="H3" i="11"/>
  <c r="D7" i="11"/>
  <c r="J7" i="11"/>
  <c r="K7" i="11"/>
  <c r="C8" i="11"/>
  <c r="J8" i="11"/>
  <c r="K8" i="11"/>
  <c r="C9" i="11"/>
  <c r="D9" i="11"/>
  <c r="J9" i="11"/>
  <c r="K9" i="11"/>
  <c r="C10" i="11"/>
  <c r="D10" i="11"/>
  <c r="E10" i="11"/>
  <c r="J10" i="11"/>
  <c r="K10" i="11"/>
  <c r="C11" i="11"/>
  <c r="D11" i="11"/>
  <c r="E11" i="11"/>
  <c r="F11" i="11"/>
  <c r="J11" i="11"/>
  <c r="K11" i="11"/>
  <c r="C12" i="11"/>
  <c r="D12" i="11"/>
  <c r="E12" i="11"/>
  <c r="F12" i="11"/>
  <c r="G12" i="11"/>
  <c r="J12" i="11"/>
  <c r="K12" i="11"/>
  <c r="C13" i="11"/>
  <c r="D13" i="11"/>
  <c r="E13" i="11"/>
  <c r="F13" i="11"/>
  <c r="G13" i="11"/>
  <c r="H13" i="11"/>
  <c r="J13" i="11"/>
  <c r="K13" i="11"/>
  <c r="C14" i="11"/>
  <c r="D14" i="11"/>
  <c r="E14" i="11"/>
  <c r="F14" i="11"/>
  <c r="G14" i="11"/>
  <c r="H14" i="11"/>
  <c r="I14" i="11"/>
  <c r="J14" i="11"/>
  <c r="K14" i="11"/>
  <c r="C15" i="11"/>
  <c r="D15" i="11"/>
  <c r="E15" i="11"/>
  <c r="F15" i="11"/>
  <c r="G15" i="11"/>
  <c r="H15" i="11"/>
  <c r="I15" i="11"/>
  <c r="J15" i="11"/>
  <c r="K15" i="11"/>
  <c r="C28" i="11"/>
  <c r="D28" i="11"/>
  <c r="E28" i="11"/>
  <c r="F28" i="11"/>
  <c r="G28" i="11"/>
  <c r="H28" i="11"/>
  <c r="I28" i="11"/>
  <c r="J28" i="11"/>
  <c r="C29" i="11"/>
  <c r="D29" i="11"/>
  <c r="E29" i="11"/>
  <c r="F29" i="11"/>
  <c r="G29" i="11"/>
  <c r="H29" i="11"/>
  <c r="I29" i="11"/>
  <c r="J29" i="11"/>
  <c r="J31" i="11"/>
  <c r="K31" i="11"/>
  <c r="J32" i="11"/>
  <c r="K32" i="11"/>
  <c r="J33" i="11"/>
  <c r="K33" i="11"/>
  <c r="J34" i="11"/>
  <c r="K34" i="11"/>
  <c r="J35" i="11"/>
  <c r="K35" i="11"/>
  <c r="J36" i="11"/>
  <c r="K36" i="11"/>
  <c r="J37" i="11"/>
  <c r="K37" i="11"/>
  <c r="J38" i="11"/>
  <c r="K38" i="11"/>
  <c r="J39" i="11"/>
  <c r="K39" i="11"/>
  <c r="J40" i="11"/>
  <c r="K40" i="11"/>
  <c r="J41" i="11"/>
  <c r="K41" i="11"/>
  <c r="C42" i="11"/>
  <c r="D42" i="11"/>
  <c r="E42" i="11"/>
  <c r="F42" i="11"/>
  <c r="G42" i="11"/>
  <c r="H42" i="11"/>
  <c r="I42" i="11"/>
  <c r="J42" i="11"/>
  <c r="K42" i="11"/>
  <c r="C43" i="11"/>
  <c r="D43" i="11"/>
  <c r="E43" i="11"/>
  <c r="F43" i="11"/>
  <c r="G43" i="11"/>
  <c r="H43" i="11"/>
  <c r="I43" i="11"/>
  <c r="J43" i="11"/>
  <c r="K43" i="11"/>
  <c r="G3" i="1"/>
  <c r="H3" i="1"/>
  <c r="J7" i="1"/>
  <c r="K7" i="1"/>
  <c r="C8" i="1"/>
  <c r="J8" i="1"/>
  <c r="K8" i="1"/>
  <c r="C9" i="1"/>
  <c r="D9" i="1"/>
  <c r="J9" i="1"/>
  <c r="K9" i="1"/>
  <c r="C10" i="1"/>
  <c r="D10" i="1"/>
  <c r="E10" i="1"/>
  <c r="J10" i="1"/>
  <c r="K10" i="1"/>
  <c r="C11" i="1"/>
  <c r="D11" i="1"/>
  <c r="E11" i="1"/>
  <c r="F11" i="1"/>
  <c r="J11" i="1"/>
  <c r="K11" i="1"/>
  <c r="C12" i="1"/>
  <c r="D12" i="1"/>
  <c r="E12" i="1"/>
  <c r="F12" i="1"/>
  <c r="G12" i="1"/>
  <c r="J12" i="1"/>
  <c r="K12" i="1"/>
  <c r="C13" i="1"/>
  <c r="D13" i="1"/>
  <c r="E13" i="1"/>
  <c r="F13" i="1"/>
  <c r="G13" i="1"/>
  <c r="H13" i="1"/>
  <c r="J13" i="1"/>
  <c r="K13" i="1"/>
  <c r="C14" i="1"/>
  <c r="D14" i="1"/>
  <c r="E14" i="1"/>
  <c r="F14" i="1"/>
  <c r="G14" i="1"/>
  <c r="H14" i="1"/>
  <c r="I14" i="1"/>
  <c r="J14" i="1"/>
  <c r="K14" i="1"/>
  <c r="C15" i="1"/>
  <c r="D15" i="1"/>
  <c r="E15" i="1"/>
  <c r="F15" i="1"/>
  <c r="G15" i="1"/>
  <c r="H15" i="1"/>
  <c r="I15" i="1"/>
  <c r="J15" i="1"/>
  <c r="K15" i="1"/>
  <c r="C28" i="1"/>
  <c r="D28" i="1"/>
  <c r="E28" i="1"/>
  <c r="F28" i="1"/>
  <c r="G28" i="1"/>
  <c r="H28" i="1"/>
  <c r="I28" i="1"/>
  <c r="J28" i="1"/>
  <c r="C29" i="1"/>
  <c r="D29" i="1"/>
  <c r="E29" i="1"/>
  <c r="F29" i="1"/>
  <c r="G29" i="1"/>
  <c r="H29" i="1"/>
  <c r="I29" i="1"/>
  <c r="J29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C42" i="1"/>
  <c r="D42" i="1"/>
  <c r="E42" i="1"/>
  <c r="F42" i="1"/>
  <c r="G42" i="1"/>
  <c r="H42" i="1"/>
  <c r="I42" i="1"/>
  <c r="J42" i="1"/>
  <c r="K42" i="1"/>
  <c r="C43" i="1"/>
  <c r="D43" i="1"/>
  <c r="E43" i="1"/>
  <c r="F43" i="1"/>
  <c r="G43" i="1"/>
  <c r="H43" i="1"/>
  <c r="I43" i="1"/>
  <c r="J43" i="1"/>
  <c r="K43" i="1"/>
  <c r="G3" i="10"/>
  <c r="H3" i="10"/>
  <c r="J7" i="10"/>
  <c r="K7" i="10"/>
  <c r="C8" i="10"/>
  <c r="J8" i="10"/>
  <c r="K8" i="10"/>
  <c r="C9" i="10"/>
  <c r="D9" i="10"/>
  <c r="J9" i="10"/>
  <c r="K9" i="10"/>
  <c r="C10" i="10"/>
  <c r="D10" i="10"/>
  <c r="E10" i="10"/>
  <c r="J10" i="10"/>
  <c r="K10" i="10"/>
  <c r="C11" i="10"/>
  <c r="D11" i="10"/>
  <c r="E11" i="10"/>
  <c r="F11" i="10"/>
  <c r="J11" i="10"/>
  <c r="K11" i="10"/>
  <c r="C12" i="10"/>
  <c r="D12" i="10"/>
  <c r="E12" i="10"/>
  <c r="F12" i="10"/>
  <c r="G12" i="10"/>
  <c r="J12" i="10"/>
  <c r="K12" i="10"/>
  <c r="C13" i="10"/>
  <c r="D13" i="10"/>
  <c r="E13" i="10"/>
  <c r="F13" i="10"/>
  <c r="G13" i="10"/>
  <c r="H13" i="10"/>
  <c r="J13" i="10"/>
  <c r="K13" i="10"/>
  <c r="C14" i="10"/>
  <c r="D14" i="10"/>
  <c r="E14" i="10"/>
  <c r="F14" i="10"/>
  <c r="G14" i="10"/>
  <c r="H14" i="10"/>
  <c r="I14" i="10"/>
  <c r="J14" i="10"/>
  <c r="K14" i="10"/>
  <c r="C15" i="10"/>
  <c r="D15" i="10"/>
  <c r="E15" i="10"/>
  <c r="F15" i="10"/>
  <c r="G15" i="10"/>
  <c r="H15" i="10"/>
  <c r="I15" i="10"/>
  <c r="J15" i="10"/>
  <c r="K15" i="10"/>
  <c r="C28" i="10"/>
  <c r="D28" i="10"/>
  <c r="E28" i="10"/>
  <c r="F28" i="10"/>
  <c r="G28" i="10"/>
  <c r="H28" i="10"/>
  <c r="I28" i="10"/>
  <c r="J28" i="10"/>
  <c r="C29" i="10"/>
  <c r="D29" i="10"/>
  <c r="E29" i="10"/>
  <c r="F29" i="10"/>
  <c r="G29" i="10"/>
  <c r="H29" i="10"/>
  <c r="I29" i="10"/>
  <c r="J29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C42" i="10"/>
  <c r="D42" i="10"/>
  <c r="E42" i="10"/>
  <c r="F42" i="10"/>
  <c r="G42" i="10"/>
  <c r="H42" i="10"/>
  <c r="I42" i="10"/>
  <c r="J42" i="10"/>
  <c r="K42" i="10"/>
  <c r="C43" i="10"/>
  <c r="D43" i="10"/>
  <c r="E43" i="10"/>
  <c r="F43" i="10"/>
  <c r="G43" i="10"/>
  <c r="H43" i="10"/>
  <c r="I43" i="10"/>
  <c r="J43" i="10"/>
  <c r="K43" i="10"/>
  <c r="G3" i="2"/>
  <c r="H3" i="2"/>
  <c r="J7" i="2"/>
  <c r="K7" i="2"/>
  <c r="C8" i="2"/>
  <c r="J8" i="2"/>
  <c r="K8" i="2"/>
  <c r="C9" i="2"/>
  <c r="D9" i="2"/>
  <c r="J9" i="2"/>
  <c r="K9" i="2"/>
  <c r="C10" i="2"/>
  <c r="D10" i="2"/>
  <c r="E10" i="2"/>
  <c r="J10" i="2"/>
  <c r="K10" i="2"/>
  <c r="C11" i="2"/>
  <c r="D11" i="2"/>
  <c r="E11" i="2"/>
  <c r="F11" i="2"/>
  <c r="J11" i="2"/>
  <c r="K11" i="2"/>
  <c r="C12" i="2"/>
  <c r="D12" i="2"/>
  <c r="E12" i="2"/>
  <c r="F12" i="2"/>
  <c r="G12" i="2"/>
  <c r="J12" i="2"/>
  <c r="K12" i="2"/>
  <c r="C13" i="2"/>
  <c r="D13" i="2"/>
  <c r="E13" i="2"/>
  <c r="F13" i="2"/>
  <c r="G13" i="2"/>
  <c r="H13" i="2"/>
  <c r="J13" i="2"/>
  <c r="K13" i="2"/>
  <c r="C14" i="2"/>
  <c r="D14" i="2"/>
  <c r="E14" i="2"/>
  <c r="F14" i="2"/>
  <c r="G14" i="2"/>
  <c r="H14" i="2"/>
  <c r="I14" i="2"/>
  <c r="J14" i="2"/>
  <c r="K14" i="2"/>
  <c r="C15" i="2"/>
  <c r="D15" i="2"/>
  <c r="E15" i="2"/>
  <c r="F15" i="2"/>
  <c r="G15" i="2"/>
  <c r="H15" i="2"/>
  <c r="I15" i="2"/>
  <c r="J15" i="2"/>
  <c r="K15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C42" i="2"/>
  <c r="D42" i="2"/>
  <c r="E42" i="2"/>
  <c r="F42" i="2"/>
  <c r="G42" i="2"/>
  <c r="H42" i="2"/>
  <c r="I42" i="2"/>
  <c r="J42" i="2"/>
  <c r="K42" i="2"/>
  <c r="C43" i="2"/>
  <c r="D43" i="2"/>
  <c r="E43" i="2"/>
  <c r="F43" i="2"/>
  <c r="G43" i="2"/>
  <c r="H43" i="2"/>
  <c r="I43" i="2"/>
  <c r="J43" i="2"/>
  <c r="K43" i="2"/>
  <c r="G3" i="3"/>
  <c r="H3" i="3"/>
  <c r="J7" i="3"/>
  <c r="K7" i="3"/>
  <c r="C8" i="3"/>
  <c r="J8" i="3"/>
  <c r="K8" i="3"/>
  <c r="C9" i="3"/>
  <c r="D9" i="3"/>
  <c r="J9" i="3"/>
  <c r="K9" i="3"/>
  <c r="C10" i="3"/>
  <c r="D10" i="3"/>
  <c r="E10" i="3"/>
  <c r="J10" i="3"/>
  <c r="K10" i="3"/>
  <c r="C11" i="3"/>
  <c r="D11" i="3"/>
  <c r="E11" i="3"/>
  <c r="F11" i="3"/>
  <c r="J11" i="3"/>
  <c r="K11" i="3"/>
  <c r="C12" i="3"/>
  <c r="D12" i="3"/>
  <c r="E12" i="3"/>
  <c r="F12" i="3"/>
  <c r="G12" i="3"/>
  <c r="J12" i="3"/>
  <c r="K12" i="3"/>
  <c r="C13" i="3"/>
  <c r="D13" i="3"/>
  <c r="E13" i="3"/>
  <c r="F13" i="3"/>
  <c r="G13" i="3"/>
  <c r="H13" i="3"/>
  <c r="J13" i="3"/>
  <c r="K13" i="3"/>
  <c r="C14" i="3"/>
  <c r="D14" i="3"/>
  <c r="E14" i="3"/>
  <c r="F14" i="3"/>
  <c r="G14" i="3"/>
  <c r="H14" i="3"/>
  <c r="I14" i="3"/>
  <c r="J14" i="3"/>
  <c r="K14" i="3"/>
  <c r="C15" i="3"/>
  <c r="D15" i="3"/>
  <c r="E15" i="3"/>
  <c r="F15" i="3"/>
  <c r="G15" i="3"/>
  <c r="H15" i="3"/>
  <c r="I15" i="3"/>
  <c r="J15" i="3"/>
  <c r="K15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C42" i="3"/>
  <c r="D42" i="3"/>
  <c r="E42" i="3"/>
  <c r="F42" i="3"/>
  <c r="G42" i="3"/>
  <c r="H42" i="3"/>
  <c r="I42" i="3"/>
  <c r="J42" i="3"/>
  <c r="K42" i="3"/>
  <c r="C43" i="3"/>
  <c r="D43" i="3"/>
  <c r="E43" i="3"/>
  <c r="F43" i="3"/>
  <c r="G43" i="3"/>
  <c r="H43" i="3"/>
  <c r="I43" i="3"/>
  <c r="J43" i="3"/>
  <c r="K43" i="3"/>
  <c r="G3" i="4"/>
  <c r="H3" i="4"/>
  <c r="J7" i="4"/>
  <c r="K7" i="4"/>
  <c r="C8" i="4"/>
  <c r="J8" i="4"/>
  <c r="K8" i="4"/>
  <c r="C9" i="4"/>
  <c r="D9" i="4"/>
  <c r="J9" i="4"/>
  <c r="K9" i="4"/>
  <c r="C10" i="4"/>
  <c r="D10" i="4"/>
  <c r="E10" i="4"/>
  <c r="J10" i="4"/>
  <c r="K10" i="4"/>
  <c r="C11" i="4"/>
  <c r="D11" i="4"/>
  <c r="E11" i="4"/>
  <c r="F11" i="4"/>
  <c r="J11" i="4"/>
  <c r="K11" i="4"/>
  <c r="C12" i="4"/>
  <c r="D12" i="4"/>
  <c r="E12" i="4"/>
  <c r="F12" i="4"/>
  <c r="G12" i="4"/>
  <c r="J12" i="4"/>
  <c r="K12" i="4"/>
  <c r="C13" i="4"/>
  <c r="D13" i="4"/>
  <c r="E13" i="4"/>
  <c r="F13" i="4"/>
  <c r="G13" i="4"/>
  <c r="H13" i="4"/>
  <c r="J13" i="4"/>
  <c r="K13" i="4"/>
  <c r="C14" i="4"/>
  <c r="D14" i="4"/>
  <c r="E14" i="4"/>
  <c r="F14" i="4"/>
  <c r="G14" i="4"/>
  <c r="H14" i="4"/>
  <c r="I14" i="4"/>
  <c r="J14" i="4"/>
  <c r="K14" i="4"/>
  <c r="C15" i="4"/>
  <c r="D15" i="4"/>
  <c r="E15" i="4"/>
  <c r="F15" i="4"/>
  <c r="G15" i="4"/>
  <c r="H15" i="4"/>
  <c r="I15" i="4"/>
  <c r="J15" i="4"/>
  <c r="K15" i="4"/>
  <c r="C28" i="4"/>
  <c r="D28" i="4"/>
  <c r="E28" i="4"/>
  <c r="F28" i="4"/>
  <c r="G28" i="4"/>
  <c r="H28" i="4"/>
  <c r="I28" i="4"/>
  <c r="J28" i="4"/>
  <c r="C29" i="4"/>
  <c r="D29" i="4"/>
  <c r="E29" i="4"/>
  <c r="F29" i="4"/>
  <c r="G29" i="4"/>
  <c r="H29" i="4"/>
  <c r="I29" i="4"/>
  <c r="J29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C42" i="4"/>
  <c r="D42" i="4"/>
  <c r="E42" i="4"/>
  <c r="F42" i="4"/>
  <c r="G42" i="4"/>
  <c r="H42" i="4"/>
  <c r="I42" i="4"/>
  <c r="J42" i="4"/>
  <c r="K42" i="4"/>
  <c r="C43" i="4"/>
  <c r="D43" i="4"/>
  <c r="E43" i="4"/>
  <c r="F43" i="4"/>
  <c r="G43" i="4"/>
  <c r="H43" i="4"/>
  <c r="I43" i="4"/>
  <c r="J43" i="4"/>
  <c r="K43" i="4"/>
  <c r="G3" i="5"/>
  <c r="H3" i="5"/>
  <c r="J7" i="5"/>
  <c r="K7" i="5"/>
  <c r="C8" i="5"/>
  <c r="J8" i="5"/>
  <c r="K8" i="5"/>
  <c r="C9" i="5"/>
  <c r="D9" i="5"/>
  <c r="J9" i="5"/>
  <c r="K9" i="5"/>
  <c r="C10" i="5"/>
  <c r="D10" i="5"/>
  <c r="E10" i="5"/>
  <c r="J10" i="5"/>
  <c r="K10" i="5"/>
  <c r="C11" i="5"/>
  <c r="D11" i="5"/>
  <c r="E11" i="5"/>
  <c r="F11" i="5"/>
  <c r="J11" i="5"/>
  <c r="K11" i="5"/>
  <c r="C12" i="5"/>
  <c r="D12" i="5"/>
  <c r="E12" i="5"/>
  <c r="F12" i="5"/>
  <c r="G12" i="5"/>
  <c r="J12" i="5"/>
  <c r="K12" i="5"/>
  <c r="C13" i="5"/>
  <c r="D13" i="5"/>
  <c r="E13" i="5"/>
  <c r="F13" i="5"/>
  <c r="G13" i="5"/>
  <c r="H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28" i="5"/>
  <c r="D28" i="5"/>
  <c r="E28" i="5"/>
  <c r="F28" i="5"/>
  <c r="G28" i="5"/>
  <c r="H28" i="5"/>
  <c r="I28" i="5"/>
  <c r="J28" i="5"/>
  <c r="C29" i="5"/>
  <c r="D29" i="5"/>
  <c r="E29" i="5"/>
  <c r="F29" i="5"/>
  <c r="G29" i="5"/>
  <c r="H29" i="5"/>
  <c r="I29" i="5"/>
  <c r="J29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G3" i="6"/>
  <c r="H3" i="6"/>
  <c r="J7" i="6"/>
  <c r="K7" i="6"/>
  <c r="C8" i="6"/>
  <c r="J8" i="6"/>
  <c r="K8" i="6"/>
  <c r="C9" i="6"/>
  <c r="D9" i="6"/>
  <c r="J9" i="6"/>
  <c r="K9" i="6"/>
  <c r="C10" i="6"/>
  <c r="D10" i="6"/>
  <c r="E10" i="6"/>
  <c r="J10" i="6"/>
  <c r="K10" i="6"/>
  <c r="C11" i="6"/>
  <c r="D11" i="6"/>
  <c r="E11" i="6"/>
  <c r="F11" i="6"/>
  <c r="J11" i="6"/>
  <c r="K11" i="6"/>
  <c r="C12" i="6"/>
  <c r="D12" i="6"/>
  <c r="E12" i="6"/>
  <c r="F12" i="6"/>
  <c r="G12" i="6"/>
  <c r="J12" i="6"/>
  <c r="K12" i="6"/>
  <c r="C13" i="6"/>
  <c r="D13" i="6"/>
  <c r="E13" i="6"/>
  <c r="F13" i="6"/>
  <c r="G13" i="6"/>
  <c r="H13" i="6"/>
  <c r="J13" i="6"/>
  <c r="K13" i="6"/>
  <c r="C14" i="6"/>
  <c r="D14" i="6"/>
  <c r="E14" i="6"/>
  <c r="F14" i="6"/>
  <c r="G14" i="6"/>
  <c r="H14" i="6"/>
  <c r="I14" i="6"/>
  <c r="J14" i="6"/>
  <c r="K14" i="6"/>
  <c r="C15" i="6"/>
  <c r="D15" i="6"/>
  <c r="E15" i="6"/>
  <c r="F15" i="6"/>
  <c r="G15" i="6"/>
  <c r="H15" i="6"/>
  <c r="I15" i="6"/>
  <c r="J15" i="6"/>
  <c r="K15" i="6"/>
  <c r="C28" i="6"/>
  <c r="D28" i="6"/>
  <c r="E28" i="6"/>
  <c r="F28" i="6"/>
  <c r="G28" i="6"/>
  <c r="H28" i="6"/>
  <c r="I28" i="6"/>
  <c r="J28" i="6"/>
  <c r="C29" i="6"/>
  <c r="D29" i="6"/>
  <c r="E29" i="6"/>
  <c r="F29" i="6"/>
  <c r="G29" i="6"/>
  <c r="H29" i="6"/>
  <c r="I29" i="6"/>
  <c r="J29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C42" i="6"/>
  <c r="D42" i="6"/>
  <c r="E42" i="6"/>
  <c r="F42" i="6"/>
  <c r="G42" i="6"/>
  <c r="H42" i="6"/>
  <c r="I42" i="6"/>
  <c r="J42" i="6"/>
  <c r="K42" i="6"/>
  <c r="C43" i="6"/>
  <c r="D43" i="6"/>
  <c r="E43" i="6"/>
  <c r="F43" i="6"/>
  <c r="G43" i="6"/>
  <c r="H43" i="6"/>
  <c r="I43" i="6"/>
  <c r="J43" i="6"/>
  <c r="K43" i="6"/>
  <c r="G3" i="7"/>
  <c r="H3" i="7"/>
  <c r="J7" i="7"/>
  <c r="K7" i="7"/>
  <c r="C8" i="7"/>
  <c r="J8" i="7"/>
  <c r="K8" i="7"/>
  <c r="C9" i="7"/>
  <c r="D9" i="7"/>
  <c r="J9" i="7"/>
  <c r="K9" i="7"/>
  <c r="C10" i="7"/>
  <c r="D10" i="7"/>
  <c r="E10" i="7"/>
  <c r="J10" i="7"/>
  <c r="K10" i="7"/>
  <c r="C11" i="7"/>
  <c r="D11" i="7"/>
  <c r="E11" i="7"/>
  <c r="F11" i="7"/>
  <c r="J11" i="7"/>
  <c r="K11" i="7"/>
  <c r="C12" i="7"/>
  <c r="D12" i="7"/>
  <c r="E12" i="7"/>
  <c r="F12" i="7"/>
  <c r="G12" i="7"/>
  <c r="J12" i="7"/>
  <c r="K12" i="7"/>
  <c r="C13" i="7"/>
  <c r="D13" i="7"/>
  <c r="E13" i="7"/>
  <c r="F13" i="7"/>
  <c r="G13" i="7"/>
  <c r="H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28" i="7"/>
  <c r="D28" i="7"/>
  <c r="E28" i="7"/>
  <c r="F28" i="7"/>
  <c r="G28" i="7"/>
  <c r="H28" i="7"/>
  <c r="I28" i="7"/>
  <c r="J28" i="7"/>
  <c r="C29" i="7"/>
  <c r="D29" i="7"/>
  <c r="E29" i="7"/>
  <c r="F29" i="7"/>
  <c r="G29" i="7"/>
  <c r="H29" i="7"/>
  <c r="I29" i="7"/>
  <c r="J29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C42" i="7"/>
  <c r="D42" i="7"/>
  <c r="E42" i="7"/>
  <c r="F42" i="7"/>
  <c r="G42" i="7"/>
  <c r="H42" i="7"/>
  <c r="I42" i="7"/>
  <c r="J42" i="7"/>
  <c r="K42" i="7"/>
  <c r="C43" i="7"/>
  <c r="D43" i="7"/>
  <c r="E43" i="7"/>
  <c r="F43" i="7"/>
  <c r="G43" i="7"/>
  <c r="H43" i="7"/>
  <c r="I43" i="7"/>
  <c r="J43" i="7"/>
  <c r="K43" i="7"/>
  <c r="G3" i="8"/>
  <c r="H3" i="8"/>
  <c r="J7" i="8"/>
  <c r="K7" i="8"/>
  <c r="C8" i="8"/>
  <c r="J8" i="8"/>
  <c r="K8" i="8"/>
  <c r="C9" i="8"/>
  <c r="D9" i="8"/>
  <c r="J9" i="8"/>
  <c r="K9" i="8"/>
  <c r="C10" i="8"/>
  <c r="D10" i="8"/>
  <c r="E10" i="8"/>
  <c r="J10" i="8"/>
  <c r="K10" i="8"/>
  <c r="C11" i="8"/>
  <c r="D11" i="8"/>
  <c r="E11" i="8"/>
  <c r="F11" i="8"/>
  <c r="J11" i="8"/>
  <c r="K11" i="8"/>
  <c r="C12" i="8"/>
  <c r="D12" i="8"/>
  <c r="E12" i="8"/>
  <c r="F12" i="8"/>
  <c r="G12" i="8"/>
  <c r="J12" i="8"/>
  <c r="K12" i="8"/>
  <c r="C13" i="8"/>
  <c r="D13" i="8"/>
  <c r="E13" i="8"/>
  <c r="F13" i="8"/>
  <c r="G13" i="8"/>
  <c r="H13" i="8"/>
  <c r="J13" i="8"/>
  <c r="K13" i="8"/>
  <c r="C14" i="8"/>
  <c r="D14" i="8"/>
  <c r="E14" i="8"/>
  <c r="F14" i="8"/>
  <c r="G14" i="8"/>
  <c r="H14" i="8"/>
  <c r="I14" i="8"/>
  <c r="J14" i="8"/>
  <c r="K14" i="8"/>
  <c r="C15" i="8"/>
  <c r="D15" i="8"/>
  <c r="E15" i="8"/>
  <c r="F15" i="8"/>
  <c r="G15" i="8"/>
  <c r="H15" i="8"/>
  <c r="I15" i="8"/>
  <c r="J15" i="8"/>
  <c r="K15" i="8"/>
  <c r="C28" i="8"/>
  <c r="D28" i="8"/>
  <c r="E28" i="8"/>
  <c r="F28" i="8"/>
  <c r="G28" i="8"/>
  <c r="H28" i="8"/>
  <c r="I28" i="8"/>
  <c r="J28" i="8"/>
  <c r="C29" i="8"/>
  <c r="D29" i="8"/>
  <c r="E29" i="8"/>
  <c r="F29" i="8"/>
  <c r="G29" i="8"/>
  <c r="H29" i="8"/>
  <c r="I29" i="8"/>
  <c r="J29" i="8"/>
  <c r="J31" i="8"/>
  <c r="K31" i="8"/>
  <c r="J32" i="8"/>
  <c r="K32" i="8"/>
  <c r="J33" i="8"/>
  <c r="K33" i="8"/>
  <c r="J34" i="8"/>
  <c r="K34" i="8"/>
  <c r="J35" i="8"/>
  <c r="K35" i="8"/>
  <c r="J36" i="8"/>
  <c r="K36" i="8"/>
  <c r="J37" i="8"/>
  <c r="K37" i="8"/>
  <c r="J38" i="8"/>
  <c r="K38" i="8"/>
  <c r="J39" i="8"/>
  <c r="K39" i="8"/>
  <c r="J40" i="8"/>
  <c r="K40" i="8"/>
  <c r="J41" i="8"/>
  <c r="K41" i="8"/>
  <c r="C42" i="8"/>
  <c r="D42" i="8"/>
  <c r="E42" i="8"/>
  <c r="F42" i="8"/>
  <c r="G42" i="8"/>
  <c r="H42" i="8"/>
  <c r="I42" i="8"/>
  <c r="J42" i="8"/>
  <c r="K42" i="8"/>
  <c r="C43" i="8"/>
  <c r="D43" i="8"/>
  <c r="E43" i="8"/>
  <c r="F43" i="8"/>
  <c r="G43" i="8"/>
  <c r="H43" i="8"/>
  <c r="I43" i="8"/>
  <c r="J43" i="8"/>
  <c r="K43" i="8"/>
  <c r="G3" i="9"/>
  <c r="H3" i="9"/>
  <c r="J7" i="9"/>
  <c r="K7" i="9"/>
  <c r="C8" i="9"/>
  <c r="J8" i="9"/>
  <c r="K8" i="9"/>
  <c r="C9" i="9"/>
  <c r="D9" i="9"/>
  <c r="J9" i="9"/>
  <c r="K9" i="9"/>
  <c r="C10" i="9"/>
  <c r="D10" i="9"/>
  <c r="E10" i="9"/>
  <c r="J10" i="9"/>
  <c r="K10" i="9"/>
  <c r="C11" i="9"/>
  <c r="D11" i="9"/>
  <c r="E11" i="9"/>
  <c r="F11" i="9"/>
  <c r="J11" i="9"/>
  <c r="K11" i="9"/>
  <c r="C12" i="9"/>
  <c r="D12" i="9"/>
  <c r="E12" i="9"/>
  <c r="F12" i="9"/>
  <c r="G12" i="9"/>
  <c r="J12" i="9"/>
  <c r="K12" i="9"/>
  <c r="C13" i="9"/>
  <c r="D13" i="9"/>
  <c r="E13" i="9"/>
  <c r="F13" i="9"/>
  <c r="G13" i="9"/>
  <c r="H13" i="9"/>
  <c r="J13" i="9"/>
  <c r="K13" i="9"/>
  <c r="C14" i="9"/>
  <c r="D14" i="9"/>
  <c r="E14" i="9"/>
  <c r="F14" i="9"/>
  <c r="G14" i="9"/>
  <c r="H14" i="9"/>
  <c r="I14" i="9"/>
  <c r="J14" i="9"/>
  <c r="K14" i="9"/>
  <c r="C15" i="9"/>
  <c r="D15" i="9"/>
  <c r="E15" i="9"/>
  <c r="F15" i="9"/>
  <c r="G15" i="9"/>
  <c r="H15" i="9"/>
  <c r="I15" i="9"/>
  <c r="J15" i="9"/>
  <c r="K15" i="9"/>
  <c r="C28" i="9"/>
  <c r="D28" i="9"/>
  <c r="E28" i="9"/>
  <c r="F28" i="9"/>
  <c r="G28" i="9"/>
  <c r="H28" i="9"/>
  <c r="I28" i="9"/>
  <c r="J28" i="9"/>
  <c r="C29" i="9"/>
  <c r="D29" i="9"/>
  <c r="E29" i="9"/>
  <c r="F29" i="9"/>
  <c r="G29" i="9"/>
  <c r="H29" i="9"/>
  <c r="I29" i="9"/>
  <c r="J29" i="9"/>
  <c r="J31" i="9"/>
  <c r="K31" i="9"/>
  <c r="J32" i="9"/>
  <c r="K32" i="9"/>
  <c r="J33" i="9"/>
  <c r="K33" i="9"/>
  <c r="J34" i="9"/>
  <c r="K34" i="9"/>
  <c r="J35" i="9"/>
  <c r="K35" i="9"/>
  <c r="J36" i="9"/>
  <c r="K36" i="9"/>
  <c r="J37" i="9"/>
  <c r="K37" i="9"/>
  <c r="J38" i="9"/>
  <c r="K38" i="9"/>
  <c r="J39" i="9"/>
  <c r="K39" i="9"/>
  <c r="J40" i="9"/>
  <c r="K40" i="9"/>
  <c r="J41" i="9"/>
  <c r="K41" i="9"/>
  <c r="C42" i="9"/>
  <c r="D42" i="9"/>
  <c r="E42" i="9"/>
  <c r="F42" i="9"/>
  <c r="G42" i="9"/>
  <c r="H42" i="9"/>
  <c r="I42" i="9"/>
  <c r="J42" i="9"/>
  <c r="K42" i="9"/>
  <c r="C43" i="9"/>
  <c r="D43" i="9"/>
  <c r="E43" i="9"/>
  <c r="F43" i="9"/>
  <c r="G43" i="9"/>
  <c r="H43" i="9"/>
  <c r="I43" i="9"/>
  <c r="J43" i="9"/>
  <c r="K43" i="9"/>
</calcChain>
</file>

<file path=xl/sharedStrings.xml><?xml version="1.0" encoding="utf-8"?>
<sst xmlns="http://schemas.openxmlformats.org/spreadsheetml/2006/main" count="506" uniqueCount="30">
  <si>
    <r>
      <t xml:space="preserve">=Much </t>
    </r>
    <r>
      <rPr>
        <sz val="16"/>
        <rFont val="Arial"/>
        <family val="2"/>
      </rPr>
      <t>More</t>
    </r>
    <r>
      <rPr>
        <sz val="16"/>
        <rFont val="Arial"/>
        <family val="2"/>
      </rPr>
      <t xml:space="preserve"> Important</t>
    </r>
  </si>
  <si>
    <r>
      <t>=More</t>
    </r>
    <r>
      <rPr>
        <sz val="16"/>
        <rFont val="Arial"/>
        <family val="2"/>
      </rPr>
      <t xml:space="preserve"> Important</t>
    </r>
  </si>
  <si>
    <r>
      <t xml:space="preserve">The                 </t>
    </r>
    <r>
      <rPr>
        <b/>
        <i/>
        <sz val="16"/>
        <rFont val="Arial"/>
        <family val="2"/>
      </rPr>
      <t>=Same</t>
    </r>
  </si>
  <si>
    <r>
      <t xml:space="preserve">=Less     </t>
    </r>
    <r>
      <rPr>
        <sz val="16"/>
        <rFont val="Arial"/>
        <family val="2"/>
      </rPr>
      <t>Important</t>
    </r>
  </si>
  <si>
    <r>
      <t>=MuchLess</t>
    </r>
    <r>
      <rPr>
        <sz val="16"/>
        <rFont val="Arial"/>
        <family val="2"/>
      </rPr>
      <t xml:space="preserve"> Important</t>
    </r>
  </si>
  <si>
    <t>Criteria</t>
  </si>
  <si>
    <t>INTEREST</t>
  </si>
  <si>
    <t>THINK/PROCESS</t>
  </si>
  <si>
    <t>WORK WITH OTHERS</t>
  </si>
  <si>
    <t>PROBLEM SOLVING</t>
  </si>
  <si>
    <t>ORGANIZE/PRESENT</t>
  </si>
  <si>
    <t>DEVELOP MODELS</t>
  </si>
  <si>
    <t>SCHEDULE/ALLOCATE</t>
  </si>
  <si>
    <t>X</t>
  </si>
  <si>
    <t>Total</t>
  </si>
  <si>
    <t>%</t>
  </si>
  <si>
    <t>META THINK/PROCESS</t>
  </si>
  <si>
    <t>Weights</t>
  </si>
  <si>
    <t>Tasks</t>
  </si>
  <si>
    <t>Laboratory Projects</t>
  </si>
  <si>
    <t>Concepts Class</t>
  </si>
  <si>
    <t>HTMI Textbook</t>
  </si>
  <si>
    <t>Modeling Class</t>
  </si>
  <si>
    <t>Fogler Textbook</t>
  </si>
  <si>
    <t>Assessed Design Notebooks</t>
  </si>
  <si>
    <t>Concepts Quizzes</t>
  </si>
  <si>
    <t>Presentation Sandwich</t>
  </si>
  <si>
    <t>Work Products</t>
  </si>
  <si>
    <t xml:space="preserve"> Watched Videos</t>
  </si>
  <si>
    <t>Engineering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</si>
</sst>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"/>
    <numFmt numFmtId="174" formatCode="0.000"/>
  </numFmts>
  <fonts count="12" x14ac:knownFonts="1">
    <font>
      <sz val="10"/>
      <name val="Arial"/>
    </font>
    <font>
      <b/>
      <sz val="22"/>
      <name val="Arial"/>
      <family val="2"/>
    </font>
    <font>
      <sz val="22"/>
      <name val="Arial"/>
      <family val="2"/>
    </font>
    <font>
      <sz val="22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i/>
      <sz val="16"/>
      <name val="Arial"/>
      <family val="2"/>
    </font>
    <font>
      <sz val="16"/>
      <name val="Arial"/>
      <family val="2"/>
    </font>
    <font>
      <b/>
      <i/>
      <sz val="1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" fontId="1" fillId="2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/>
    <xf numFmtId="0" fontId="5" fillId="0" borderId="4" xfId="0" quotePrefix="1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" fontId="7" fillId="3" borderId="5" xfId="0" applyNumberFormat="1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 applyProtection="1">
      <alignment horizontal="center" vertical="center"/>
    </xf>
    <xf numFmtId="4" fontId="2" fillId="0" borderId="0" xfId="0" applyNumberFormat="1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" fontId="7" fillId="0" borderId="7" xfId="0" applyNumberFormat="1" applyFont="1" applyBorder="1" applyAlignment="1" applyProtection="1">
      <alignment horizontal="center" vertical="center"/>
    </xf>
    <xf numFmtId="1" fontId="2" fillId="0" borderId="8" xfId="0" applyNumberFormat="1" applyFont="1" applyBorder="1" applyAlignment="1" applyProtection="1">
      <alignment horizontal="center" vertical="center"/>
    </xf>
    <xf numFmtId="4" fontId="7" fillId="0" borderId="9" xfId="0" applyNumberFormat="1" applyFont="1" applyBorder="1" applyAlignment="1" applyProtection="1">
      <alignment horizontal="center" vertical="center"/>
    </xf>
    <xf numFmtId="1" fontId="2" fillId="0" borderId="10" xfId="0" applyNumberFormat="1" applyFont="1" applyBorder="1" applyAlignment="1" applyProtection="1">
      <alignment horizontal="center" vertical="center"/>
    </xf>
    <xf numFmtId="0" fontId="0" fillId="0" borderId="0" xfId="0" applyProtection="1">
      <protection locked="0"/>
    </xf>
    <xf numFmtId="3" fontId="3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</xf>
    <xf numFmtId="174" fontId="8" fillId="0" borderId="10" xfId="0" applyNumberFormat="1" applyFont="1" applyBorder="1" applyAlignment="1" applyProtection="1">
      <alignment horizontal="center" vertical="center"/>
    </xf>
    <xf numFmtId="0" fontId="5" fillId="0" borderId="10" xfId="0" applyFont="1" applyBorder="1" applyProtection="1"/>
    <xf numFmtId="3" fontId="1" fillId="0" borderId="1" xfId="0" applyNumberFormat="1" applyFont="1" applyBorder="1" applyAlignment="1" applyProtection="1">
      <alignment horizontal="center" vertical="center"/>
    </xf>
    <xf numFmtId="3" fontId="1" fillId="0" borderId="2" xfId="0" applyNumberFormat="1" applyFont="1" applyBorder="1" applyAlignment="1" applyProtection="1">
      <alignment horizontal="center" vertical="center"/>
    </xf>
    <xf numFmtId="3" fontId="7" fillId="3" borderId="1" xfId="0" applyNumberFormat="1" applyFont="1" applyFill="1" applyBorder="1" applyAlignment="1" applyProtection="1">
      <alignment horizontal="center" vertical="center"/>
    </xf>
    <xf numFmtId="172" fontId="7" fillId="3" borderId="12" xfId="0" applyNumberFormat="1" applyFont="1" applyFill="1" applyBorder="1" applyAlignment="1" applyProtection="1">
      <alignment horizontal="center" vertical="center"/>
    </xf>
    <xf numFmtId="172" fontId="7" fillId="3" borderId="13" xfId="0" applyNumberFormat="1" applyFont="1" applyFill="1" applyBorder="1" applyAlignment="1" applyProtection="1">
      <alignment horizontal="center" vertical="center"/>
    </xf>
    <xf numFmtId="3" fontId="1" fillId="0" borderId="3" xfId="0" applyNumberFormat="1" applyFont="1" applyBorder="1" applyAlignment="1" applyProtection="1">
      <alignment horizontal="center" vertical="center"/>
    </xf>
    <xf numFmtId="174" fontId="4" fillId="0" borderId="0" xfId="0" applyNumberFormat="1" applyFont="1" applyAlignment="1">
      <alignment horizontal="center" vertical="center"/>
    </xf>
    <xf numFmtId="172" fontId="7" fillId="3" borderId="14" xfId="0" applyNumberFormat="1" applyFont="1" applyFill="1" applyBorder="1" applyAlignment="1" applyProtection="1">
      <alignment horizontal="center" vertical="center"/>
    </xf>
    <xf numFmtId="2" fontId="7" fillId="3" borderId="2" xfId="0" applyNumberFormat="1" applyFont="1" applyFill="1" applyBorder="1" applyAlignment="1" applyProtection="1">
      <alignment horizontal="center" vertical="center"/>
    </xf>
    <xf numFmtId="172" fontId="7" fillId="3" borderId="15" xfId="0" applyNumberFormat="1" applyFont="1" applyFill="1" applyBorder="1" applyAlignment="1" applyProtection="1">
      <alignment horizontal="center" vertical="center"/>
    </xf>
    <xf numFmtId="174" fontId="4" fillId="0" borderId="6" xfId="0" applyNumberFormat="1" applyFont="1" applyBorder="1" applyAlignment="1" applyProtection="1">
      <alignment horizontal="center" vertical="center"/>
    </xf>
    <xf numFmtId="0" fontId="5" fillId="0" borderId="0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center" vertical="center"/>
      <protection locked="0"/>
    </xf>
    <xf numFmtId="174" fontId="4" fillId="0" borderId="0" xfId="0" applyNumberFormat="1" applyFont="1" applyBorder="1" applyAlignment="1" applyProtection="1">
      <alignment horizontal="center" vertical="center"/>
    </xf>
    <xf numFmtId="0" fontId="0" fillId="0" borderId="0" xfId="0" applyProtection="1"/>
    <xf numFmtId="0" fontId="10" fillId="0" borderId="1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 vertical="center" wrapText="1"/>
    </xf>
    <xf numFmtId="174" fontId="4" fillId="0" borderId="16" xfId="0" applyNumberFormat="1" applyFont="1" applyBorder="1" applyAlignment="1" applyProtection="1">
      <alignment horizontal="center" vertical="center" wrapText="1"/>
    </xf>
    <xf numFmtId="0" fontId="4" fillId="0" borderId="17" xfId="0" applyFont="1" applyBorder="1" applyAlignment="1" applyProtection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2" fontId="7" fillId="0" borderId="0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11" fillId="0" borderId="16" xfId="0" applyFont="1" applyBorder="1" applyAlignment="1" applyProtection="1">
      <alignment horizontal="center" vertical="center" wrapText="1"/>
    </xf>
    <xf numFmtId="0" fontId="11" fillId="0" borderId="17" xfId="0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horizontal="center" vertical="center"/>
    </xf>
    <xf numFmtId="0" fontId="11" fillId="0" borderId="18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172" fontId="7" fillId="0" borderId="0" xfId="0" applyNumberFormat="1" applyFont="1" applyFill="1" applyBorder="1" applyAlignment="1" applyProtection="1">
      <alignment horizontal="center" vertical="center"/>
    </xf>
    <xf numFmtId="3" fontId="7" fillId="0" borderId="0" xfId="0" applyNumberFormat="1" applyFont="1" applyFill="1" applyBorder="1" applyAlignment="1" applyProtection="1">
      <alignment horizontal="center" vertical="center"/>
    </xf>
    <xf numFmtId="2" fontId="7" fillId="0" borderId="0" xfId="0" applyNumberFormat="1" applyFont="1" applyFill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 wrapText="1"/>
    </xf>
    <xf numFmtId="172" fontId="7" fillId="0" borderId="11" xfId="0" applyNumberFormat="1" applyFont="1" applyFill="1" applyBorder="1" applyAlignment="1">
      <alignment horizontal="center" vertical="center"/>
    </xf>
    <xf numFmtId="172" fontId="7" fillId="0" borderId="21" xfId="0" applyNumberFormat="1" applyFont="1" applyFill="1" applyBorder="1" applyAlignment="1">
      <alignment horizontal="center" vertical="center"/>
    </xf>
    <xf numFmtId="172" fontId="7" fillId="0" borderId="10" xfId="0" applyNumberFormat="1" applyFont="1" applyFill="1" applyBorder="1" applyAlignment="1">
      <alignment horizontal="center" vertical="center"/>
    </xf>
    <xf numFmtId="172" fontId="7" fillId="0" borderId="22" xfId="0" applyNumberFormat="1" applyFont="1" applyFill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23" xfId="0" applyBorder="1"/>
    <xf numFmtId="4" fontId="2" fillId="0" borderId="24" xfId="0" applyNumberFormat="1" applyFont="1" applyBorder="1" applyAlignment="1" applyProtection="1">
      <alignment horizontal="center" vertical="center"/>
      <protection locked="0"/>
    </xf>
    <xf numFmtId="4" fontId="2" fillId="0" borderId="25" xfId="0" applyNumberFormat="1" applyFont="1" applyBorder="1" applyAlignment="1" applyProtection="1">
      <alignment horizontal="center" vertical="center"/>
      <protection locked="0"/>
    </xf>
    <xf numFmtId="4" fontId="7" fillId="0" borderId="1" xfId="0" applyNumberFormat="1" applyFont="1" applyBorder="1" applyAlignment="1" applyProtection="1">
      <alignment horizontal="center" vertical="center"/>
    </xf>
    <xf numFmtId="172" fontId="7" fillId="3" borderId="3" xfId="0" applyNumberFormat="1" applyFont="1" applyFill="1" applyBorder="1" applyAlignment="1">
      <alignment horizontal="center" vertical="center"/>
    </xf>
    <xf numFmtId="3" fontId="2" fillId="0" borderId="24" xfId="0" applyNumberFormat="1" applyFont="1" applyFill="1" applyBorder="1" applyAlignment="1" applyProtection="1">
      <alignment horizontal="center" vertical="center"/>
      <protection locked="0"/>
    </xf>
    <xf numFmtId="3" fontId="3" fillId="0" borderId="25" xfId="0" applyNumberFormat="1" applyFont="1" applyFill="1" applyBorder="1" applyAlignment="1" applyProtection="1">
      <alignment horizontal="center" vertical="center"/>
      <protection locked="0"/>
    </xf>
    <xf numFmtId="3" fontId="3" fillId="0" borderId="13" xfId="0" applyNumberFormat="1" applyFont="1" applyFill="1" applyBorder="1" applyAlignment="1" applyProtection="1">
      <alignment horizontal="center" vertical="center"/>
      <protection locked="0"/>
    </xf>
    <xf numFmtId="3" fontId="2" fillId="0" borderId="2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1031" name="Text 7">
          <a:extLst>
            <a:ext uri="{FF2B5EF4-FFF2-40B4-BE49-F238E27FC236}">
              <a16:creationId xmlns:a16="http://schemas.microsoft.com/office/drawing/2014/main" id="{99CA1A9C-2A81-4C85-B9C7-0489ED2AF8D7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1032" name="Text 8">
          <a:extLst>
            <a:ext uri="{FF2B5EF4-FFF2-40B4-BE49-F238E27FC236}">
              <a16:creationId xmlns:a16="http://schemas.microsoft.com/office/drawing/2014/main" id="{8FB6FF02-7D5D-49E0-A152-1BF881A198BA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1033" name="Text 9">
          <a:extLst>
            <a:ext uri="{FF2B5EF4-FFF2-40B4-BE49-F238E27FC236}">
              <a16:creationId xmlns:a16="http://schemas.microsoft.com/office/drawing/2014/main" id="{54498B39-9E79-4082-8369-34FE0E8DCF8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1034" name="Text 10">
          <a:extLst>
            <a:ext uri="{FF2B5EF4-FFF2-40B4-BE49-F238E27FC236}">
              <a16:creationId xmlns:a16="http://schemas.microsoft.com/office/drawing/2014/main" id="{760872F3-B46B-4A63-BAA1-F97E7BB27825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1035" name="Text 11">
          <a:extLst>
            <a:ext uri="{FF2B5EF4-FFF2-40B4-BE49-F238E27FC236}">
              <a16:creationId xmlns:a16="http://schemas.microsoft.com/office/drawing/2014/main" id="{4A77F2A5-C220-47CF-871E-72FE9CBDB28A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2055" name="Text 7">
          <a:extLst>
            <a:ext uri="{FF2B5EF4-FFF2-40B4-BE49-F238E27FC236}">
              <a16:creationId xmlns:a16="http://schemas.microsoft.com/office/drawing/2014/main" id="{669F1CEF-4BB1-414B-ADC6-1FECBBED440D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2056" name="Text 8">
          <a:extLst>
            <a:ext uri="{FF2B5EF4-FFF2-40B4-BE49-F238E27FC236}">
              <a16:creationId xmlns:a16="http://schemas.microsoft.com/office/drawing/2014/main" id="{92150CB2-F6F6-437E-86BC-C6C422E222A2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2057" name="Text 9">
          <a:extLst>
            <a:ext uri="{FF2B5EF4-FFF2-40B4-BE49-F238E27FC236}">
              <a16:creationId xmlns:a16="http://schemas.microsoft.com/office/drawing/2014/main" id="{5844466A-46B7-4252-8204-8A5DD05ABAD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2058" name="Text 10">
          <a:extLst>
            <a:ext uri="{FF2B5EF4-FFF2-40B4-BE49-F238E27FC236}">
              <a16:creationId xmlns:a16="http://schemas.microsoft.com/office/drawing/2014/main" id="{29AE34CB-3E0F-4DD4-A3F9-83E2C6FF16B6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2059" name="Text 11">
          <a:extLst>
            <a:ext uri="{FF2B5EF4-FFF2-40B4-BE49-F238E27FC236}">
              <a16:creationId xmlns:a16="http://schemas.microsoft.com/office/drawing/2014/main" id="{4849FE91-568C-4C5F-831B-C99794EC9AB2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3079" name="Text 7">
          <a:extLst>
            <a:ext uri="{FF2B5EF4-FFF2-40B4-BE49-F238E27FC236}">
              <a16:creationId xmlns:a16="http://schemas.microsoft.com/office/drawing/2014/main" id="{1BEF4935-40D8-402E-BACF-60076914876C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3080" name="Text 8">
          <a:extLst>
            <a:ext uri="{FF2B5EF4-FFF2-40B4-BE49-F238E27FC236}">
              <a16:creationId xmlns:a16="http://schemas.microsoft.com/office/drawing/2014/main" id="{D306FA76-D92D-4A3E-94AC-818963B50E30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3081" name="Text 9">
          <a:extLst>
            <a:ext uri="{FF2B5EF4-FFF2-40B4-BE49-F238E27FC236}">
              <a16:creationId xmlns:a16="http://schemas.microsoft.com/office/drawing/2014/main" id="{CAFA7B20-4A75-479A-88AF-C3C8E0FB0E4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3082" name="Text 10">
          <a:extLst>
            <a:ext uri="{FF2B5EF4-FFF2-40B4-BE49-F238E27FC236}">
              <a16:creationId xmlns:a16="http://schemas.microsoft.com/office/drawing/2014/main" id="{D03E7C67-8001-4944-A772-86319A31994B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3083" name="Text 11">
          <a:extLst>
            <a:ext uri="{FF2B5EF4-FFF2-40B4-BE49-F238E27FC236}">
              <a16:creationId xmlns:a16="http://schemas.microsoft.com/office/drawing/2014/main" id="{51BF1456-E1B2-4FFE-AA0A-8108BA135592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4103" name="Text 7">
          <a:extLst>
            <a:ext uri="{FF2B5EF4-FFF2-40B4-BE49-F238E27FC236}">
              <a16:creationId xmlns:a16="http://schemas.microsoft.com/office/drawing/2014/main" id="{D85983B8-5E02-4500-8382-D5D7F6064136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4104" name="Text 8">
          <a:extLst>
            <a:ext uri="{FF2B5EF4-FFF2-40B4-BE49-F238E27FC236}">
              <a16:creationId xmlns:a16="http://schemas.microsoft.com/office/drawing/2014/main" id="{240287CE-DA6B-4176-A413-FF9540FD4992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4105" name="Text 9">
          <a:extLst>
            <a:ext uri="{FF2B5EF4-FFF2-40B4-BE49-F238E27FC236}">
              <a16:creationId xmlns:a16="http://schemas.microsoft.com/office/drawing/2014/main" id="{528BE7F2-F0E5-4869-AD00-98382340341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4106" name="Text 10">
          <a:extLst>
            <a:ext uri="{FF2B5EF4-FFF2-40B4-BE49-F238E27FC236}">
              <a16:creationId xmlns:a16="http://schemas.microsoft.com/office/drawing/2014/main" id="{52ED91B8-6972-4871-B4A9-49BD11E303D2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4107" name="Text 11">
          <a:extLst>
            <a:ext uri="{FF2B5EF4-FFF2-40B4-BE49-F238E27FC236}">
              <a16:creationId xmlns:a16="http://schemas.microsoft.com/office/drawing/2014/main" id="{E76EB5EA-0614-4573-A978-CA7597B9947B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5127" name="Text 7">
          <a:extLst>
            <a:ext uri="{FF2B5EF4-FFF2-40B4-BE49-F238E27FC236}">
              <a16:creationId xmlns:a16="http://schemas.microsoft.com/office/drawing/2014/main" id="{F0E42132-A618-4E32-80A9-83FE1A2EA3D1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5128" name="Text 8">
          <a:extLst>
            <a:ext uri="{FF2B5EF4-FFF2-40B4-BE49-F238E27FC236}">
              <a16:creationId xmlns:a16="http://schemas.microsoft.com/office/drawing/2014/main" id="{C9365D04-2916-4407-BA0E-927AD626D762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5129" name="Text 9">
          <a:extLst>
            <a:ext uri="{FF2B5EF4-FFF2-40B4-BE49-F238E27FC236}">
              <a16:creationId xmlns:a16="http://schemas.microsoft.com/office/drawing/2014/main" id="{D388E3E1-3D2B-4E3F-86CC-13D44D469B8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5130" name="Text 10">
          <a:extLst>
            <a:ext uri="{FF2B5EF4-FFF2-40B4-BE49-F238E27FC236}">
              <a16:creationId xmlns:a16="http://schemas.microsoft.com/office/drawing/2014/main" id="{ABBE702D-1AF1-48E2-AE5C-21FE6077EC58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5131" name="Text 11">
          <a:extLst>
            <a:ext uri="{FF2B5EF4-FFF2-40B4-BE49-F238E27FC236}">
              <a16:creationId xmlns:a16="http://schemas.microsoft.com/office/drawing/2014/main" id="{EE5E1BD4-DE85-4B31-B57C-D7C78BCD5C59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6151" name="Text 7">
          <a:extLst>
            <a:ext uri="{FF2B5EF4-FFF2-40B4-BE49-F238E27FC236}">
              <a16:creationId xmlns:a16="http://schemas.microsoft.com/office/drawing/2014/main" id="{D5C980ED-04A7-4744-A63F-FF58A704EA3E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6152" name="Text 8">
          <a:extLst>
            <a:ext uri="{FF2B5EF4-FFF2-40B4-BE49-F238E27FC236}">
              <a16:creationId xmlns:a16="http://schemas.microsoft.com/office/drawing/2014/main" id="{256EFDC5-CF94-41E8-A341-2DC717FCE855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6153" name="Text 9">
          <a:extLst>
            <a:ext uri="{FF2B5EF4-FFF2-40B4-BE49-F238E27FC236}">
              <a16:creationId xmlns:a16="http://schemas.microsoft.com/office/drawing/2014/main" id="{81B40102-FD12-4A8A-AD59-C28F15CF2F2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6154" name="Text 10">
          <a:extLst>
            <a:ext uri="{FF2B5EF4-FFF2-40B4-BE49-F238E27FC236}">
              <a16:creationId xmlns:a16="http://schemas.microsoft.com/office/drawing/2014/main" id="{6CFC6713-1E40-4873-9D30-6799BA69F000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6155" name="Text 11">
          <a:extLst>
            <a:ext uri="{FF2B5EF4-FFF2-40B4-BE49-F238E27FC236}">
              <a16:creationId xmlns:a16="http://schemas.microsoft.com/office/drawing/2014/main" id="{702E9DED-F63A-4C8B-B843-83E28504A295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7175" name="Text 7">
          <a:extLst>
            <a:ext uri="{FF2B5EF4-FFF2-40B4-BE49-F238E27FC236}">
              <a16:creationId xmlns:a16="http://schemas.microsoft.com/office/drawing/2014/main" id="{B181DE43-5A96-49D6-B8BB-FD22052553C6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7176" name="Text 8">
          <a:extLst>
            <a:ext uri="{FF2B5EF4-FFF2-40B4-BE49-F238E27FC236}">
              <a16:creationId xmlns:a16="http://schemas.microsoft.com/office/drawing/2014/main" id="{533FA5A3-A1E1-4F47-8FC2-32C4E465D335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7177" name="Text 9">
          <a:extLst>
            <a:ext uri="{FF2B5EF4-FFF2-40B4-BE49-F238E27FC236}">
              <a16:creationId xmlns:a16="http://schemas.microsoft.com/office/drawing/2014/main" id="{CE2945C1-8DDD-4D31-8D0D-2D2777EC9886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7178" name="Text 10">
          <a:extLst>
            <a:ext uri="{FF2B5EF4-FFF2-40B4-BE49-F238E27FC236}">
              <a16:creationId xmlns:a16="http://schemas.microsoft.com/office/drawing/2014/main" id="{249FE2BF-0C6D-45FA-9483-6F34D34F2489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7179" name="Text 11">
          <a:extLst>
            <a:ext uri="{FF2B5EF4-FFF2-40B4-BE49-F238E27FC236}">
              <a16:creationId xmlns:a16="http://schemas.microsoft.com/office/drawing/2014/main" id="{3616FC51-CF5F-4738-97A0-EA604D3AD062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8199" name="Text 7">
          <a:extLst>
            <a:ext uri="{FF2B5EF4-FFF2-40B4-BE49-F238E27FC236}">
              <a16:creationId xmlns:a16="http://schemas.microsoft.com/office/drawing/2014/main" id="{EE42872E-6306-4AD0-8FD2-558D5B04D092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8200" name="Text 8">
          <a:extLst>
            <a:ext uri="{FF2B5EF4-FFF2-40B4-BE49-F238E27FC236}">
              <a16:creationId xmlns:a16="http://schemas.microsoft.com/office/drawing/2014/main" id="{DD699AF3-DD2A-4020-B6C5-6A469145E08F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8201" name="Text 9">
          <a:extLst>
            <a:ext uri="{FF2B5EF4-FFF2-40B4-BE49-F238E27FC236}">
              <a16:creationId xmlns:a16="http://schemas.microsoft.com/office/drawing/2014/main" id="{1756C67C-5103-4B9D-A24B-FF8D354BC11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8202" name="Text 10">
          <a:extLst>
            <a:ext uri="{FF2B5EF4-FFF2-40B4-BE49-F238E27FC236}">
              <a16:creationId xmlns:a16="http://schemas.microsoft.com/office/drawing/2014/main" id="{06FBFECC-75B0-4343-8743-787A089A4AE3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8203" name="Text 11">
          <a:extLst>
            <a:ext uri="{FF2B5EF4-FFF2-40B4-BE49-F238E27FC236}">
              <a16:creationId xmlns:a16="http://schemas.microsoft.com/office/drawing/2014/main" id="{72C3BB19-E7D0-4AF1-A560-09335964EF96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9223" name="Text 7">
          <a:extLst>
            <a:ext uri="{FF2B5EF4-FFF2-40B4-BE49-F238E27FC236}">
              <a16:creationId xmlns:a16="http://schemas.microsoft.com/office/drawing/2014/main" id="{A6B320C4-A5FF-4003-AEAD-5188B202DC06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9224" name="Text 8">
          <a:extLst>
            <a:ext uri="{FF2B5EF4-FFF2-40B4-BE49-F238E27FC236}">
              <a16:creationId xmlns:a16="http://schemas.microsoft.com/office/drawing/2014/main" id="{95946475-273D-4588-A034-B67748DBEB60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9225" name="Text 9">
          <a:extLst>
            <a:ext uri="{FF2B5EF4-FFF2-40B4-BE49-F238E27FC236}">
              <a16:creationId xmlns:a16="http://schemas.microsoft.com/office/drawing/2014/main" id="{F59ECDBB-9E82-41D3-8CED-661B2A8816D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9226" name="Text 10">
          <a:extLst>
            <a:ext uri="{FF2B5EF4-FFF2-40B4-BE49-F238E27FC236}">
              <a16:creationId xmlns:a16="http://schemas.microsoft.com/office/drawing/2014/main" id="{0E268522-5BF4-4DB8-AA9D-50A08AA08F24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9227" name="Text 11">
          <a:extLst>
            <a:ext uri="{FF2B5EF4-FFF2-40B4-BE49-F238E27FC236}">
              <a16:creationId xmlns:a16="http://schemas.microsoft.com/office/drawing/2014/main" id="{DB045ABD-5B90-42DA-9626-4B66853D2AD5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10247" name="Text 7">
          <a:extLst>
            <a:ext uri="{FF2B5EF4-FFF2-40B4-BE49-F238E27FC236}">
              <a16:creationId xmlns:a16="http://schemas.microsoft.com/office/drawing/2014/main" id="{8FF77663-4AEC-467E-82D5-636861CDF0DA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10248" name="Text 8">
          <a:extLst>
            <a:ext uri="{FF2B5EF4-FFF2-40B4-BE49-F238E27FC236}">
              <a16:creationId xmlns:a16="http://schemas.microsoft.com/office/drawing/2014/main" id="{C28E71ED-66C4-45AC-9259-21FFAF857074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10249" name="Text 9">
          <a:extLst>
            <a:ext uri="{FF2B5EF4-FFF2-40B4-BE49-F238E27FC236}">
              <a16:creationId xmlns:a16="http://schemas.microsoft.com/office/drawing/2014/main" id="{F00DE33A-BE86-4FF6-A062-D1CE431B5DD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10250" name="Text 10">
          <a:extLst>
            <a:ext uri="{FF2B5EF4-FFF2-40B4-BE49-F238E27FC236}">
              <a16:creationId xmlns:a16="http://schemas.microsoft.com/office/drawing/2014/main" id="{0EFA21C4-02A5-437E-B8BB-08AEC8C38F38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10251" name="Text 11">
          <a:extLst>
            <a:ext uri="{FF2B5EF4-FFF2-40B4-BE49-F238E27FC236}">
              <a16:creationId xmlns:a16="http://schemas.microsoft.com/office/drawing/2014/main" id="{70D0CE12-F8D6-4C7A-9156-D2FC5FBB4CCF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5</xdr:col>
      <xdr:colOff>781050</xdr:colOff>
      <xdr:row>53</xdr:row>
      <xdr:rowOff>0</xdr:rowOff>
    </xdr:to>
    <xdr:sp macro="" textlink="">
      <xdr:nvSpPr>
        <xdr:cNvPr id="11271" name="Text 7">
          <a:extLst>
            <a:ext uri="{FF2B5EF4-FFF2-40B4-BE49-F238E27FC236}">
              <a16:creationId xmlns:a16="http://schemas.microsoft.com/office/drawing/2014/main" id="{65EF66CE-8003-4D14-AD99-6E5E9CEAFFC3}"/>
            </a:ext>
          </a:extLst>
        </xdr:cNvPr>
        <xdr:cNvSpPr txBox="1">
          <a:spLocks noChangeArrowheads="1"/>
        </xdr:cNvSpPr>
      </xdr:nvSpPr>
      <xdr:spPr bwMode="auto">
        <a:xfrm>
          <a:off x="0" y="21551900"/>
          <a:ext cx="86487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I completed two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Laboratory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projects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a.  developing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assembly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process for an artifact, and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b.  building a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mousetrap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powered device.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I participated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discussions and exercises.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I read and studied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 to Model It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textbook.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 participated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exercises and presentations.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I read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Creative Problem Solving Strategies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(i.e.,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Fogler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) textbook.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781050</xdr:colOff>
      <xdr:row>43</xdr:row>
      <xdr:rowOff>0</xdr:rowOff>
    </xdr:from>
    <xdr:to>
      <xdr:col>10</xdr:col>
      <xdr:colOff>977900</xdr:colOff>
      <xdr:row>53</xdr:row>
      <xdr:rowOff>0</xdr:rowOff>
    </xdr:to>
    <xdr:sp macro="" textlink="">
      <xdr:nvSpPr>
        <xdr:cNvPr id="11272" name="Text 8">
          <a:extLst>
            <a:ext uri="{FF2B5EF4-FFF2-40B4-BE49-F238E27FC236}">
              <a16:creationId xmlns:a16="http://schemas.microsoft.com/office/drawing/2014/main" id="{397B3B72-20E8-4ECE-8631-C50DCDDCA524}"/>
            </a:ext>
          </a:extLst>
        </xdr:cNvPr>
        <xdr:cNvSpPr txBox="1">
          <a:spLocks noChangeArrowheads="1"/>
        </xdr:cNvSpPr>
      </xdr:nvSpPr>
      <xdr:spPr bwMode="auto">
        <a:xfrm>
          <a:off x="8648700" y="21551900"/>
          <a:ext cx="8470900" cy="3810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Evaluation of the Course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WHAT I DID IN THIS CLASS TO LEARN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I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assessed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work products in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Design Notebook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Check Lists.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 took weekly, knowledge level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quizzes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corrected them.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8.  I presented technical work products using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presentation sandwich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9.  I prepared the assigned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products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outside of the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Modeling class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10.  I viewed and reflected on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videos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about various engineering disciplines.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11.  I used an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engineering journal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to prepare for the Quizzes in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Concepts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11273" name="Text 9">
          <a:extLst>
            <a:ext uri="{FF2B5EF4-FFF2-40B4-BE49-F238E27FC236}">
              <a16:creationId xmlns:a16="http://schemas.microsoft.com/office/drawing/2014/main" id="{834D111F-CC34-481A-B614-CC591CC69F08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4916150" cy="222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7432" rIns="0" bIns="27432" anchor="ctr" upright="1"/>
        <a:lstStyle/>
        <a:p>
          <a:pPr algn="l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Pair-Wise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Comparison Table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FIRST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Compare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CRITERIA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Course Learning Objectives)  in  EACH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with the criteria in EACH of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 i.e., a 'pairwise' comparison ).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Enter the appropriate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(e.g.,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0.333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for the comparison  in the appropriate ROW and COLUMN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For example,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Row 1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is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LESS Important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than Criterion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(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Column 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  META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THINK/PROCESS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then enter 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NUMBER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0.333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; alternatively, you may enter the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TEXT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STRING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=LESS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R1 / C2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2</xdr:col>
      <xdr:colOff>38100</xdr:colOff>
      <xdr:row>15</xdr:row>
      <xdr:rowOff>38100</xdr:rowOff>
    </xdr:from>
    <xdr:to>
      <xdr:col>8</xdr:col>
      <xdr:colOff>1892300</xdr:colOff>
      <xdr:row>25</xdr:row>
      <xdr:rowOff>342900</xdr:rowOff>
    </xdr:to>
    <xdr:sp macro="" textlink="">
      <xdr:nvSpPr>
        <xdr:cNvPr id="11274" name="Text 10">
          <a:extLst>
            <a:ext uri="{FF2B5EF4-FFF2-40B4-BE49-F238E27FC236}">
              <a16:creationId xmlns:a16="http://schemas.microsoft.com/office/drawing/2014/main" id="{4824CB71-56B4-4E33-990B-4E514EA663AC}"/>
            </a:ext>
          </a:extLst>
        </xdr:cNvPr>
        <xdr:cNvSpPr txBox="1">
          <a:spLocks noChangeArrowheads="1"/>
        </xdr:cNvSpPr>
      </xdr:nvSpPr>
      <xdr:spPr bwMode="auto">
        <a:xfrm>
          <a:off x="3321050" y="8166100"/>
          <a:ext cx="11563350" cy="411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sng" strike="noStrike" baseline="0">
              <a:solidFill>
                <a:srgbClr val="000000"/>
              </a:solidFill>
              <a:latin typeface="Arial"/>
              <a:cs typeface="Arial"/>
            </a:rPr>
            <a:t>RELATIVE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IMPORTANCE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Evaluating the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COURSE</a:t>
          </a: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WHAT I LEARNED IN THIS COURSE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1.  Stimulated my</a:t>
          </a:r>
          <a:r>
            <a:rPr lang="en-GB" sz="1800" b="0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in engineering as a profession or career.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2.  Developed my ability to '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META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THINK'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think in terms of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PROCESS</a:t>
          </a:r>
        </a:p>
        <a:p>
          <a:pPr algn="l" rtl="0">
            <a:defRPr sz="1000"/>
          </a:pP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think about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how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what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I do).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3.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WORK WITH OTHERS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4.  Improved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PROBLEM SOLVING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skills </a:t>
          </a: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attitudes.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5.  Enhanced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ORGANIZE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PRESENT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technical work products.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6.  Enabled me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UNDERSTAND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DEVELOP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purposeful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MODELS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using Excel.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7.  Improved my ability to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ALLOCATE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my other </a:t>
          </a:r>
          <a:r>
            <a:rPr lang="en-GB" sz="1800" b="1" i="1" u="none" strike="noStrike" baseline="0">
              <a:solidFill>
                <a:srgbClr val="000000"/>
              </a:solidFill>
              <a:latin typeface="Arial"/>
              <a:cs typeface="Arial"/>
            </a:rPr>
            <a:t>resources</a:t>
          </a: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19050</xdr:colOff>
      <xdr:row>26</xdr:row>
      <xdr:rowOff>3162300</xdr:rowOff>
    </xdr:to>
    <xdr:sp macro="" textlink="">
      <xdr:nvSpPr>
        <xdr:cNvPr id="11275" name="Text 11">
          <a:extLst>
            <a:ext uri="{FF2B5EF4-FFF2-40B4-BE49-F238E27FC236}">
              <a16:creationId xmlns:a16="http://schemas.microsoft.com/office/drawing/2014/main" id="{6DF5C017-330C-4F26-B9F6-F7DA7875DB5E}"/>
            </a:ext>
          </a:extLst>
        </xdr:cNvPr>
        <xdr:cNvSpPr txBox="1">
          <a:spLocks noChangeArrowheads="1"/>
        </xdr:cNvSpPr>
      </xdr:nvSpPr>
      <xdr:spPr bwMode="auto">
        <a:xfrm>
          <a:off x="0" y="12319000"/>
          <a:ext cx="16160750" cy="3162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Course Prioritization Matrix : Complete this table </a:t>
          </a:r>
          <a:r>
            <a:rPr lang="en-GB" sz="2000" b="1" i="0" u="sng" strike="noStrike" baseline="0">
              <a:solidFill>
                <a:srgbClr val="000000"/>
              </a:solidFill>
              <a:latin typeface="Arial"/>
              <a:cs typeface="Arial"/>
            </a:rPr>
            <a:t>SECOND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!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Considering </a:t>
          </a:r>
          <a:r>
            <a:rPr lang="en-GB" sz="1600" b="1" i="1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CRITERION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(i.e., column) at a time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, Rate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in  EACH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row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based on the impact the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has on achieving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;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N.B., 9 = HIGH IMPACT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,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i.e.,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VERY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EFFECTIVE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in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ACHIEVING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the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 CRITERION;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ALL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MUST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be rated 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,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1 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or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0</a:t>
          </a: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n-GB" sz="1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was the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VERY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successful task for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 9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Watched Videos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 i.e.,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R10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 E.G.,  in the matrix below, </a:t>
          </a:r>
          <a:r>
            <a:rPr lang="en-GB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IF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DID NOTHING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useful for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Developing an Interest in Engineering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(first criterion) then a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rating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 would be assigned to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TASK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'Engineering Journal'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 the </a:t>
          </a:r>
          <a:r>
            <a:rPr lang="en-GB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CRITERION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 '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INTEREST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', i.e.,  </a:t>
          </a: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R11 / C1 = </a:t>
          </a: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4" sqref="J34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2" sqref="J32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B1" zoomScale="50" workbookViewId="0">
      <selection activeCell="J31" sqref="J3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opLeftCell="C1" zoomScale="50" workbookViewId="0">
      <selection activeCell="J31" sqref="J3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/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 t="str">
        <f>IF(ISNUMBER($D$7),1/$D$7,"")</f>
        <v/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/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/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zoomScale="50" workbookViewId="0">
      <selection activeCell="J31" sqref="J31:K41"/>
    </sheetView>
  </sheetViews>
  <sheetFormatPr defaultRowHeight="12.5" x14ac:dyDescent="0.25"/>
  <cols>
    <col min="1" max="1" width="26.26953125" customWidth="1"/>
    <col min="2" max="4" width="20.7265625" customWidth="1"/>
    <col min="5" max="5" width="24.1796875" customWidth="1"/>
    <col min="6" max="6" width="24.453125" customWidth="1"/>
    <col min="7" max="7" width="24.1796875" customWidth="1"/>
    <col min="8" max="8" width="24.7265625" customWidth="1"/>
    <col min="9" max="9" width="27.54296875" customWidth="1"/>
    <col min="10" max="10" width="17.54296875" customWidth="1"/>
    <col min="11" max="11" width="14.1796875" customWidth="1"/>
  </cols>
  <sheetData>
    <row r="1" spans="1:18" ht="175" customHeight="1" thickBot="1" x14ac:dyDescent="0.4">
      <c r="A1" s="8"/>
    </row>
    <row r="2" spans="1:18" ht="75" customHeight="1" thickBot="1" x14ac:dyDescent="0.3">
      <c r="A2" s="6"/>
      <c r="D2" s="9" t="s">
        <v>0</v>
      </c>
      <c r="E2" s="9" t="s">
        <v>1</v>
      </c>
      <c r="F2" s="7" t="s">
        <v>2</v>
      </c>
      <c r="G2" s="9" t="s">
        <v>3</v>
      </c>
      <c r="H2" s="9" t="s">
        <v>4</v>
      </c>
      <c r="N2" s="40"/>
      <c r="O2" s="40"/>
      <c r="P2" s="41"/>
      <c r="Q2" s="40"/>
      <c r="R2" s="40"/>
    </row>
    <row r="3" spans="1:18" ht="30" customHeight="1" thickBot="1" x14ac:dyDescent="0.3">
      <c r="D3" s="16">
        <v>9</v>
      </c>
      <c r="E3" s="16">
        <v>3</v>
      </c>
      <c r="F3" s="16">
        <v>1</v>
      </c>
      <c r="G3" s="39">
        <f>1/More</f>
        <v>0.33333333333333331</v>
      </c>
      <c r="H3" s="39">
        <f>1/Much</f>
        <v>0.1111111111111111</v>
      </c>
      <c r="N3" s="42"/>
      <c r="O3" s="42"/>
      <c r="P3" s="42"/>
      <c r="Q3" s="43"/>
      <c r="R3" s="43"/>
    </row>
    <row r="4" spans="1:18" ht="30" customHeight="1" thickBot="1" x14ac:dyDescent="0.3"/>
    <row r="5" spans="1:18" ht="30" customHeight="1" thickTop="1" thickBot="1" x14ac:dyDescent="0.3">
      <c r="A5" s="45" t="s">
        <v>5</v>
      </c>
      <c r="B5" s="46"/>
      <c r="C5" s="56" t="s">
        <v>6</v>
      </c>
      <c r="D5" s="56" t="s">
        <v>7</v>
      </c>
      <c r="E5" s="56" t="s">
        <v>8</v>
      </c>
      <c r="F5" s="56" t="s">
        <v>9</v>
      </c>
      <c r="G5" s="56" t="s">
        <v>10</v>
      </c>
      <c r="H5" s="56" t="s">
        <v>11</v>
      </c>
      <c r="I5" s="57" t="s">
        <v>12</v>
      </c>
    </row>
    <row r="6" spans="1:18" ht="30" customHeight="1" thickTop="1" thickBot="1" x14ac:dyDescent="0.3">
      <c r="A6" s="63"/>
      <c r="B6" s="14" t="s">
        <v>13</v>
      </c>
      <c r="C6" s="3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17" t="s">
        <v>14</v>
      </c>
      <c r="K6" s="18" t="s">
        <v>15</v>
      </c>
    </row>
    <row r="7" spans="1:18" ht="30" customHeight="1" thickTop="1" thickBot="1" x14ac:dyDescent="0.3">
      <c r="A7" s="56" t="s">
        <v>6</v>
      </c>
      <c r="B7" s="3">
        <v>1</v>
      </c>
      <c r="C7" s="1" t="s">
        <v>13</v>
      </c>
      <c r="D7" s="15">
        <f>Less</f>
        <v>0.33333333333333331</v>
      </c>
      <c r="E7" s="73"/>
      <c r="F7" s="73"/>
      <c r="G7" s="73"/>
      <c r="H7" s="73"/>
      <c r="I7" s="73"/>
      <c r="J7" s="19" t="str">
        <f>IF(ISNUMBER(I7),SUM(C7:I7),"")</f>
        <v/>
      </c>
      <c r="K7" s="20" t="str">
        <f>IF(AND(ISNUMBER(J7),ISNUMBER($J$14)),(J7/$J$14)*100,"")</f>
        <v/>
      </c>
    </row>
    <row r="8" spans="1:18" ht="30" customHeight="1" thickTop="1" thickBot="1" x14ac:dyDescent="0.3">
      <c r="A8" s="56" t="s">
        <v>16</v>
      </c>
      <c r="B8" s="4">
        <v>2</v>
      </c>
      <c r="C8" s="5">
        <f>IF(ISNUMBER($D$7),1/$D$7,"")</f>
        <v>3</v>
      </c>
      <c r="D8" s="1" t="s">
        <v>13</v>
      </c>
      <c r="E8" s="15"/>
      <c r="F8" s="73"/>
      <c r="G8" s="73"/>
      <c r="H8" s="73"/>
      <c r="I8" s="73"/>
      <c r="J8" s="19" t="str">
        <f t="shared" ref="J8:J12" si="0">IF(ISNUMBER(I8),SUM(C8:I8),"")</f>
        <v/>
      </c>
      <c r="K8" s="20" t="str">
        <f t="shared" ref="K8:K13" si="1">IF(AND(ISNUMBER(J8),ISNUMBER($J$14)),(J8/$J$14)*100,"")</f>
        <v/>
      </c>
    </row>
    <row r="9" spans="1:18" ht="30" customHeight="1" thickTop="1" thickBot="1" x14ac:dyDescent="0.3">
      <c r="A9" s="56" t="s">
        <v>8</v>
      </c>
      <c r="B9" s="4">
        <v>3</v>
      </c>
      <c r="C9" s="5" t="str">
        <f>IF(ISNUMBER($E$7),1/$E$7,"")</f>
        <v/>
      </c>
      <c r="D9" s="5" t="str">
        <f>IF(ISNUMBER(E8),1/E8,"")</f>
        <v/>
      </c>
      <c r="E9" s="1" t="s">
        <v>13</v>
      </c>
      <c r="F9" s="15"/>
      <c r="G9" s="73"/>
      <c r="H9" s="73"/>
      <c r="I9" s="73"/>
      <c r="J9" s="19" t="str">
        <f t="shared" si="0"/>
        <v/>
      </c>
      <c r="K9" s="20" t="str">
        <f t="shared" si="1"/>
        <v/>
      </c>
    </row>
    <row r="10" spans="1:18" ht="30" customHeight="1" thickTop="1" thickBot="1" x14ac:dyDescent="0.3">
      <c r="A10" s="56" t="s">
        <v>9</v>
      </c>
      <c r="B10" s="4">
        <v>4</v>
      </c>
      <c r="C10" s="5" t="str">
        <f>IF(ISNUMBER($F$7),1/$F$7,"")</f>
        <v/>
      </c>
      <c r="D10" s="5" t="str">
        <f>IF(ISNUMBER(F8),1/F8,"")</f>
        <v/>
      </c>
      <c r="E10" s="5" t="str">
        <f>IF(ISNUMBER(F9),1/F9,"")</f>
        <v/>
      </c>
      <c r="F10" s="1" t="s">
        <v>13</v>
      </c>
      <c r="G10" s="74"/>
      <c r="H10" s="73"/>
      <c r="I10" s="73"/>
      <c r="J10" s="19" t="str">
        <f t="shared" si="0"/>
        <v/>
      </c>
      <c r="K10" s="20" t="str">
        <f t="shared" si="1"/>
        <v/>
      </c>
    </row>
    <row r="11" spans="1:18" ht="30" customHeight="1" thickTop="1" thickBot="1" x14ac:dyDescent="0.3">
      <c r="A11" s="56" t="s">
        <v>10</v>
      </c>
      <c r="B11" s="4">
        <v>5</v>
      </c>
      <c r="C11" s="5" t="str">
        <f>IF(ISNUMBER(G7),1/G7,"")</f>
        <v/>
      </c>
      <c r="D11" s="5" t="str">
        <f>IF(ISNUMBER(G8),1/G8,"")</f>
        <v/>
      </c>
      <c r="E11" s="5" t="str">
        <f>IF(ISNUMBER(G9),1/G9,"")</f>
        <v/>
      </c>
      <c r="F11" s="5" t="str">
        <f>IF(ISNUMBER(G10),1/G10,"")</f>
        <v/>
      </c>
      <c r="G11" s="1" t="s">
        <v>13</v>
      </c>
      <c r="H11" s="74"/>
      <c r="I11" s="73"/>
      <c r="J11" s="19" t="str">
        <f t="shared" si="0"/>
        <v/>
      </c>
      <c r="K11" s="20" t="str">
        <f t="shared" si="1"/>
        <v/>
      </c>
    </row>
    <row r="12" spans="1:18" ht="30" customHeight="1" thickTop="1" thickBot="1" x14ac:dyDescent="0.3">
      <c r="A12" s="56" t="s">
        <v>11</v>
      </c>
      <c r="B12" s="4">
        <v>6</v>
      </c>
      <c r="C12" s="5" t="str">
        <f>IF(ISNUMBER(H7),1/H7,"")</f>
        <v/>
      </c>
      <c r="D12" s="5" t="str">
        <f>IF(ISNUMBER(H8),1/H8,"")</f>
        <v/>
      </c>
      <c r="E12" s="5" t="str">
        <f>IF(ISNUMBER(H9),1/H9,"")</f>
        <v/>
      </c>
      <c r="F12" s="5" t="str">
        <f>IF(ISNUMBER(H10),1/H10,"")</f>
        <v/>
      </c>
      <c r="G12" s="5" t="str">
        <f>IF(ISNUMBER(H11),1/H11,"")</f>
        <v/>
      </c>
      <c r="H12" s="1" t="s">
        <v>13</v>
      </c>
      <c r="I12" s="15"/>
      <c r="J12" s="19" t="str">
        <f t="shared" si="0"/>
        <v/>
      </c>
      <c r="K12" s="20" t="str">
        <f t="shared" si="1"/>
        <v/>
      </c>
    </row>
    <row r="13" spans="1:18" ht="30" customHeight="1" thickTop="1" thickBot="1" x14ac:dyDescent="0.3">
      <c r="A13" s="58" t="s">
        <v>12</v>
      </c>
      <c r="B13" s="4">
        <v>7</v>
      </c>
      <c r="C13" s="5" t="str">
        <f>IF(ISNUMBER(I7),1/$I$7,"")</f>
        <v/>
      </c>
      <c r="D13" s="5" t="str">
        <f>IF(ISNUMBER(I8),1/I8,"")</f>
        <v/>
      </c>
      <c r="E13" s="5" t="str">
        <f>IF(ISNUMBER(I9),1/I9,"")</f>
        <v/>
      </c>
      <c r="F13" s="5" t="str">
        <f>IF(ISNUMBER(I10),1/I10,"")</f>
        <v/>
      </c>
      <c r="G13" s="5" t="str">
        <f>IF(ISNUMBER(I11),1/I11,"")</f>
        <v/>
      </c>
      <c r="H13" s="5" t="str">
        <f>IF(ISNUMBER(I12),1/I12,"")</f>
        <v/>
      </c>
      <c r="I13" s="1" t="s">
        <v>13</v>
      </c>
      <c r="J13" s="19" t="str">
        <f>IF(ISNUMBER(H13),SUM(C13:I13),"")</f>
        <v/>
      </c>
      <c r="K13" s="20" t="str">
        <f t="shared" si="1"/>
        <v/>
      </c>
    </row>
    <row r="14" spans="1:18" ht="30" customHeight="1" thickTop="1" thickBot="1" x14ac:dyDescent="0.3">
      <c r="A14" s="10"/>
      <c r="B14" s="10"/>
      <c r="C14" s="12" t="str">
        <f>IF(ISNUMBER(C13),SUM(C7:C13),"")</f>
        <v/>
      </c>
      <c r="D14" s="12" t="str">
        <f t="shared" ref="D14:H14" si="2">IF(ISNUMBER(D13),SUM(D7:D13),"")</f>
        <v/>
      </c>
      <c r="E14" s="12" t="str">
        <f t="shared" si="2"/>
        <v/>
      </c>
      <c r="F14" s="12" t="str">
        <f t="shared" si="2"/>
        <v/>
      </c>
      <c r="G14" s="12" t="str">
        <f t="shared" si="2"/>
        <v/>
      </c>
      <c r="H14" s="12" t="str">
        <f t="shared" si="2"/>
        <v/>
      </c>
      <c r="I14" s="12" t="str">
        <f>IF(ISNUMBER(I12),SUM(I7:I13),"")</f>
        <v/>
      </c>
      <c r="J14" s="21" t="str">
        <f t="shared" ref="J14:J15" si="3">IF(ISNUMBER(I14),SUM(C14:I14),"")</f>
        <v/>
      </c>
      <c r="K14" s="75" t="str">
        <f>IF(ISNUMBER(K13),SUM(K7:K13),"")</f>
        <v/>
      </c>
    </row>
    <row r="15" spans="1:18" ht="30" customHeight="1" thickTop="1" thickBot="1" x14ac:dyDescent="0.3">
      <c r="A15" s="11"/>
      <c r="B15" s="11"/>
      <c r="C15" s="76" t="str">
        <f>IF(ISNUMBER($J$14),(C14/$J$14)*100,"")</f>
        <v/>
      </c>
      <c r="D15" s="76" t="str">
        <f t="shared" ref="D15:I15" si="4">IF(ISNUMBER($J$14),(D14/$J$14)*100,"")</f>
        <v/>
      </c>
      <c r="E15" s="76" t="str">
        <f t="shared" si="4"/>
        <v/>
      </c>
      <c r="F15" s="76" t="str">
        <f t="shared" si="4"/>
        <v/>
      </c>
      <c r="G15" s="76" t="str">
        <f t="shared" si="4"/>
        <v/>
      </c>
      <c r="H15" s="76" t="str">
        <f t="shared" si="4"/>
        <v/>
      </c>
      <c r="I15" s="76" t="str">
        <f t="shared" si="4"/>
        <v/>
      </c>
      <c r="J15" s="75" t="str">
        <f t="shared" si="3"/>
        <v/>
      </c>
      <c r="K15" s="13" t="str">
        <f>IF(ISNUMBER(I14),SUM(C14:I14),"")</f>
        <v/>
      </c>
    </row>
    <row r="16" spans="1:18" s="54" customFormat="1" ht="30" customHeight="1" thickTop="1" x14ac:dyDescent="0.25">
      <c r="A16" s="50"/>
      <c r="B16" s="50"/>
      <c r="C16" s="65"/>
      <c r="D16" s="66"/>
      <c r="E16" s="66"/>
      <c r="F16" s="66"/>
      <c r="G16" s="66"/>
      <c r="H16" s="66"/>
      <c r="I16" s="67"/>
      <c r="J16" s="52"/>
      <c r="K16" s="53"/>
    </row>
    <row r="17" spans="1:12" s="54" customFormat="1" ht="30" customHeight="1" x14ac:dyDescent="0.25">
      <c r="A17" s="50"/>
      <c r="B17" s="50"/>
      <c r="C17" s="68"/>
      <c r="D17" s="51"/>
      <c r="E17" s="51"/>
      <c r="F17" s="51"/>
      <c r="G17" s="51"/>
      <c r="H17" s="51"/>
      <c r="I17" s="69"/>
      <c r="J17" s="52"/>
      <c r="K17" s="53"/>
    </row>
    <row r="18" spans="1:12" s="54" customFormat="1" ht="30" customHeight="1" x14ac:dyDescent="0.25">
      <c r="A18" s="50"/>
      <c r="B18" s="50"/>
      <c r="C18" s="68"/>
      <c r="D18" s="51"/>
      <c r="E18" s="51"/>
      <c r="F18" s="51"/>
      <c r="G18" s="51"/>
      <c r="H18" s="51"/>
      <c r="I18" s="69"/>
      <c r="J18" s="52"/>
      <c r="K18" s="53"/>
    </row>
    <row r="19" spans="1:12" s="54" customFormat="1" ht="30" customHeight="1" x14ac:dyDescent="0.25">
      <c r="A19" s="50"/>
      <c r="B19" s="50"/>
      <c r="C19" s="68"/>
      <c r="D19" s="51"/>
      <c r="E19" s="51"/>
      <c r="F19" s="51"/>
      <c r="G19" s="51"/>
      <c r="H19" s="51"/>
      <c r="I19" s="69"/>
      <c r="J19" s="52"/>
      <c r="K19" s="53"/>
    </row>
    <row r="20" spans="1:12" s="54" customFormat="1" ht="30" customHeight="1" x14ac:dyDescent="0.25">
      <c r="A20" s="50"/>
      <c r="B20" s="50"/>
      <c r="C20" s="68"/>
      <c r="D20" s="51"/>
      <c r="E20" s="51"/>
      <c r="F20" s="51"/>
      <c r="G20" s="51"/>
      <c r="H20" s="51"/>
      <c r="I20" s="69"/>
      <c r="J20" s="52"/>
      <c r="K20" s="53"/>
    </row>
    <row r="21" spans="1:12" s="54" customFormat="1" ht="30" customHeight="1" x14ac:dyDescent="0.25">
      <c r="A21" s="50"/>
      <c r="B21" s="50"/>
      <c r="C21" s="68"/>
      <c r="D21" s="51"/>
      <c r="E21" s="51"/>
      <c r="F21" s="51"/>
      <c r="G21" s="51"/>
      <c r="H21" s="51"/>
      <c r="I21" s="69"/>
      <c r="J21" s="52"/>
      <c r="K21" s="53"/>
    </row>
    <row r="22" spans="1:12" s="54" customFormat="1" ht="30" customHeight="1" x14ac:dyDescent="0.25">
      <c r="A22" s="50"/>
      <c r="B22" s="50"/>
      <c r="C22" s="68"/>
      <c r="D22" s="51"/>
      <c r="E22" s="51"/>
      <c r="F22" s="51"/>
      <c r="G22" s="51"/>
      <c r="H22" s="51"/>
      <c r="I22" s="69"/>
      <c r="J22" s="52"/>
      <c r="K22" s="53"/>
    </row>
    <row r="23" spans="1:12" s="54" customFormat="1" ht="30" customHeight="1" x14ac:dyDescent="0.25">
      <c r="A23" s="50"/>
      <c r="B23" s="50"/>
      <c r="C23" s="68"/>
      <c r="D23" s="51"/>
      <c r="E23" s="51"/>
      <c r="F23" s="51"/>
      <c r="G23" s="51"/>
      <c r="H23" s="51"/>
      <c r="I23" s="69"/>
      <c r="J23" s="52"/>
      <c r="K23" s="53"/>
    </row>
    <row r="24" spans="1:12" s="54" customFormat="1" ht="30" customHeight="1" x14ac:dyDescent="0.25">
      <c r="A24" s="50"/>
      <c r="B24" s="50"/>
      <c r="C24" s="68"/>
      <c r="D24" s="51"/>
      <c r="E24" s="51"/>
      <c r="F24" s="51"/>
      <c r="G24" s="51"/>
      <c r="H24" s="51"/>
      <c r="I24" s="69"/>
      <c r="J24" s="52"/>
      <c r="K24" s="53"/>
    </row>
    <row r="25" spans="1:12" s="54" customFormat="1" ht="30" customHeight="1" x14ac:dyDescent="0.25">
      <c r="A25" s="50"/>
      <c r="B25" s="50"/>
      <c r="C25" s="68"/>
      <c r="D25" s="51"/>
      <c r="E25" s="51"/>
      <c r="F25" s="51"/>
      <c r="G25" s="51"/>
      <c r="H25" s="51"/>
      <c r="I25" s="69"/>
      <c r="J25" s="52"/>
      <c r="K25" s="53"/>
    </row>
    <row r="26" spans="1:12" ht="30" customHeight="1" thickBot="1" x14ac:dyDescent="0.3">
      <c r="C26" s="70"/>
      <c r="D26" s="71"/>
      <c r="E26" s="71"/>
      <c r="F26" s="71"/>
      <c r="G26" s="71"/>
      <c r="H26" s="71"/>
      <c r="I26" s="72"/>
    </row>
    <row r="27" spans="1:12" ht="250" customHeight="1" thickTop="1" thickBot="1" x14ac:dyDescent="0.3"/>
    <row r="28" spans="1:12" ht="30" customHeight="1" thickTop="1" thickBot="1" x14ac:dyDescent="0.45">
      <c r="A28" s="44"/>
      <c r="B28" s="26" t="s">
        <v>5</v>
      </c>
      <c r="C28" s="55" t="str">
        <f>$C$5</f>
        <v>INTEREST</v>
      </c>
      <c r="D28" s="55" t="str">
        <f>$D$5</f>
        <v>THINK/PROCESS</v>
      </c>
      <c r="E28" s="55" t="str">
        <f>$E$5</f>
        <v>WORK WITH OTHERS</v>
      </c>
      <c r="F28" s="55" t="str">
        <f>$F$5</f>
        <v>PROBLEM SOLVING</v>
      </c>
      <c r="G28" s="55" t="str">
        <f>$G$5</f>
        <v>ORGANIZE/PRESENT</v>
      </c>
      <c r="H28" s="55" t="str">
        <f>$H$5</f>
        <v>DEVELOP MODELS</v>
      </c>
      <c r="I28" s="55" t="str">
        <f>$I$5</f>
        <v>SCHEDULE/ALLOCATE</v>
      </c>
      <c r="J28" s="28" t="str">
        <f>IF(ISNUMBER(C29),IF(SUM(C29:I29)=1," ","ERROR"),"")</f>
        <v/>
      </c>
    </row>
    <row r="29" spans="1:12" ht="30" customHeight="1" thickTop="1" thickBot="1" x14ac:dyDescent="0.3">
      <c r="A29" s="44"/>
      <c r="B29" s="26" t="s">
        <v>17</v>
      </c>
      <c r="C29" s="47" t="str">
        <f>IF(ISNUMBER(Criteria_1),Criteria_1/100,"")</f>
        <v/>
      </c>
      <c r="D29" s="47" t="str">
        <f>IF(ISNUMBER(Criteria_2),Criteria_2/100,"")</f>
        <v/>
      </c>
      <c r="E29" s="47" t="str">
        <f>IF(ISNUMBER(Criteria_3),Criteria_3/100,"")</f>
        <v/>
      </c>
      <c r="F29" s="47" t="str">
        <f>IF(ISNUMBER(Criteria_4),Criteria_4/100,"")</f>
        <v/>
      </c>
      <c r="G29" s="47" t="str">
        <f>IF(ISNUMBER(Criteria_5),Criteria_5/100,"")</f>
        <v/>
      </c>
      <c r="H29" s="47" t="str">
        <f>IF(ISNUMBER(Criteria_6),Criteria_6/100,"")</f>
        <v/>
      </c>
      <c r="I29" s="47" t="str">
        <f>IF(ISNUMBER(Criteria_7),Criteria_7/100,"")</f>
        <v/>
      </c>
      <c r="J29" s="27" t="str">
        <f>IF(ISNUMBER(C29),IF(SUM(C29:I29)=1," ",SUM(C29:I29)),"")</f>
        <v/>
      </c>
      <c r="K29" s="23"/>
    </row>
    <row r="30" spans="1:12" ht="30" customHeight="1" thickTop="1" thickBot="1" x14ac:dyDescent="0.3">
      <c r="A30" s="45" t="s">
        <v>18</v>
      </c>
      <c r="B30" s="14"/>
      <c r="C30" s="29">
        <v>1</v>
      </c>
      <c r="D30" s="30">
        <v>2</v>
      </c>
      <c r="E30" s="30">
        <v>3</v>
      </c>
      <c r="F30" s="30">
        <v>4</v>
      </c>
      <c r="G30" s="30">
        <v>5</v>
      </c>
      <c r="H30" s="30">
        <v>6</v>
      </c>
      <c r="I30" s="30">
        <v>7</v>
      </c>
      <c r="J30" s="17" t="s">
        <v>14</v>
      </c>
      <c r="K30" s="18" t="s">
        <v>15</v>
      </c>
    </row>
    <row r="31" spans="1:12" ht="39" customHeight="1" thickTop="1" thickBot="1" x14ac:dyDescent="0.3">
      <c r="A31" s="48" t="s">
        <v>19</v>
      </c>
      <c r="B31" s="29">
        <v>1</v>
      </c>
      <c r="C31" s="78"/>
      <c r="D31" s="77"/>
      <c r="E31" s="77"/>
      <c r="F31" s="77"/>
      <c r="G31" s="77"/>
      <c r="H31" s="77"/>
      <c r="I31" s="77"/>
      <c r="J31" s="19" t="str">
        <f>IF(AND(ISNUMBER($C$29),ISNUMBER(C31)),SUMPRODUCT($C$29:$I$29,C31:I31),"")</f>
        <v/>
      </c>
      <c r="K31" s="20" t="str">
        <f>IF(ISNUMBER(J31),(J31/SUM($J$31:$J$41))*100,"")</f>
        <v/>
      </c>
      <c r="L31" s="35"/>
    </row>
    <row r="32" spans="1:12" ht="30" customHeight="1" thickTop="1" thickBot="1" x14ac:dyDescent="0.3">
      <c r="A32" s="48" t="s">
        <v>20</v>
      </c>
      <c r="B32" s="34">
        <v>2</v>
      </c>
      <c r="C32" s="78"/>
      <c r="D32" s="77"/>
      <c r="E32" s="77"/>
      <c r="F32" s="77"/>
      <c r="G32" s="77"/>
      <c r="H32" s="77"/>
      <c r="I32" s="77"/>
      <c r="J32" s="19" t="str">
        <f t="shared" ref="J32:J41" si="5">IF(AND(ISNUMBER($C$29),ISNUMBER(C32)),SUMPRODUCT($C$29:$I$29,C32:I32),"")</f>
        <v/>
      </c>
      <c r="K32" s="20" t="str">
        <f t="shared" ref="K32:K41" si="6">IF(ISNUMBER(J32),(J32/SUM($J$31:$J$41))*100,"")</f>
        <v/>
      </c>
      <c r="L32" s="35"/>
    </row>
    <row r="33" spans="1:12" ht="30" customHeight="1" thickTop="1" thickBot="1" x14ac:dyDescent="0.3">
      <c r="A33" s="49" t="s">
        <v>21</v>
      </c>
      <c r="B33" s="34">
        <v>3</v>
      </c>
      <c r="C33" s="78"/>
      <c r="D33" s="77"/>
      <c r="E33" s="77"/>
      <c r="F33" s="77"/>
      <c r="G33" s="77"/>
      <c r="H33" s="77"/>
      <c r="I33" s="77"/>
      <c r="J33" s="19" t="str">
        <f t="shared" si="5"/>
        <v/>
      </c>
      <c r="K33" s="20" t="str">
        <f t="shared" si="6"/>
        <v/>
      </c>
      <c r="L33" s="35"/>
    </row>
    <row r="34" spans="1:12" ht="30" customHeight="1" thickTop="1" thickBot="1" x14ac:dyDescent="0.3">
      <c r="A34" s="48" t="s">
        <v>22</v>
      </c>
      <c r="B34" s="34">
        <v>4</v>
      </c>
      <c r="C34" s="78"/>
      <c r="D34" s="77"/>
      <c r="E34" s="77"/>
      <c r="F34" s="77"/>
      <c r="G34" s="77"/>
      <c r="H34" s="77"/>
      <c r="I34" s="77"/>
      <c r="J34" s="19" t="str">
        <f t="shared" si="5"/>
        <v/>
      </c>
      <c r="K34" s="20" t="str">
        <f t="shared" si="6"/>
        <v/>
      </c>
      <c r="L34" s="35"/>
    </row>
    <row r="35" spans="1:12" ht="30" customHeight="1" thickTop="1" thickBot="1" x14ac:dyDescent="0.3">
      <c r="A35" s="48" t="s">
        <v>23</v>
      </c>
      <c r="B35" s="34">
        <v>5</v>
      </c>
      <c r="C35" s="78"/>
      <c r="D35" s="77"/>
      <c r="E35" s="77"/>
      <c r="F35" s="77"/>
      <c r="G35" s="77"/>
      <c r="H35" s="77"/>
      <c r="I35" s="77"/>
      <c r="J35" s="19" t="str">
        <f t="shared" si="5"/>
        <v/>
      </c>
      <c r="K35" s="20" t="str">
        <f t="shared" si="6"/>
        <v/>
      </c>
      <c r="L35" s="35"/>
    </row>
    <row r="36" spans="1:12" ht="42" customHeight="1" thickTop="1" thickBot="1" x14ac:dyDescent="0.3">
      <c r="A36" s="49" t="s">
        <v>24</v>
      </c>
      <c r="B36" s="34">
        <v>6</v>
      </c>
      <c r="C36" s="78"/>
      <c r="D36" s="77"/>
      <c r="E36" s="77"/>
      <c r="F36" s="77"/>
      <c r="G36" s="77"/>
      <c r="H36" s="77"/>
      <c r="I36" s="77"/>
      <c r="J36" s="19" t="str">
        <f t="shared" si="5"/>
        <v/>
      </c>
      <c r="K36" s="20" t="str">
        <f t="shared" si="6"/>
        <v/>
      </c>
    </row>
    <row r="37" spans="1:12" ht="39" customHeight="1" thickTop="1" thickBot="1" x14ac:dyDescent="0.3">
      <c r="A37" s="48" t="s">
        <v>25</v>
      </c>
      <c r="B37" s="34">
        <v>7</v>
      </c>
      <c r="C37" s="78"/>
      <c r="D37" s="77"/>
      <c r="E37" s="77"/>
      <c r="F37" s="77"/>
      <c r="G37" s="77"/>
      <c r="H37" s="77"/>
      <c r="I37" s="77"/>
      <c r="J37" s="19" t="str">
        <f t="shared" si="5"/>
        <v/>
      </c>
      <c r="K37" s="20" t="str">
        <f t="shared" si="6"/>
        <v/>
      </c>
    </row>
    <row r="38" spans="1:12" ht="40.5" customHeight="1" thickTop="1" thickBot="1" x14ac:dyDescent="0.3">
      <c r="A38" s="48" t="s">
        <v>26</v>
      </c>
      <c r="B38" s="34">
        <v>8</v>
      </c>
      <c r="C38" s="78"/>
      <c r="D38" s="77"/>
      <c r="E38" s="77"/>
      <c r="F38" s="77"/>
      <c r="G38" s="77"/>
      <c r="H38" s="77"/>
      <c r="I38" s="77"/>
      <c r="J38" s="19" t="str">
        <f t="shared" si="5"/>
        <v/>
      </c>
      <c r="K38" s="20" t="str">
        <f t="shared" si="6"/>
        <v/>
      </c>
    </row>
    <row r="39" spans="1:12" ht="30" customHeight="1" thickTop="1" thickBot="1" x14ac:dyDescent="0.3">
      <c r="A39" s="64" t="s">
        <v>27</v>
      </c>
      <c r="B39" s="34">
        <v>9</v>
      </c>
      <c r="C39" s="78"/>
      <c r="D39" s="77"/>
      <c r="E39" s="77"/>
      <c r="F39" s="77"/>
      <c r="G39" s="77"/>
      <c r="H39" s="77"/>
      <c r="I39" s="77"/>
      <c r="J39" s="19" t="str">
        <f t="shared" si="5"/>
        <v/>
      </c>
      <c r="K39" s="20" t="str">
        <f t="shared" si="6"/>
        <v/>
      </c>
    </row>
    <row r="40" spans="1:12" ht="30" customHeight="1" thickTop="1" thickBot="1" x14ac:dyDescent="0.3">
      <c r="A40" s="64" t="s">
        <v>28</v>
      </c>
      <c r="B40" s="34">
        <v>10</v>
      </c>
      <c r="C40" s="78">
        <v>9</v>
      </c>
      <c r="D40" s="77"/>
      <c r="E40" s="77"/>
      <c r="F40" s="77"/>
      <c r="G40" s="77"/>
      <c r="H40" s="77"/>
      <c r="I40" s="77"/>
      <c r="J40" s="19" t="str">
        <f t="shared" si="5"/>
        <v/>
      </c>
      <c r="K40" s="20" t="str">
        <f t="shared" si="6"/>
        <v/>
      </c>
    </row>
    <row r="41" spans="1:12" ht="46.5" customHeight="1" thickTop="1" thickBot="1" x14ac:dyDescent="0.3">
      <c r="A41" s="49" t="s">
        <v>29</v>
      </c>
      <c r="B41" s="34">
        <v>11</v>
      </c>
      <c r="C41" s="79">
        <v>0</v>
      </c>
      <c r="D41" s="80"/>
      <c r="E41" s="80"/>
      <c r="F41" s="80"/>
      <c r="G41" s="80"/>
      <c r="H41" s="80"/>
      <c r="I41" s="80"/>
      <c r="J41" s="19" t="str">
        <f t="shared" si="5"/>
        <v/>
      </c>
      <c r="K41" s="20" t="str">
        <f t="shared" si="6"/>
        <v/>
      </c>
    </row>
    <row r="42" spans="1:12" ht="30" hidden="1" customHeight="1" thickTop="1" thickBot="1" x14ac:dyDescent="0.3">
      <c r="B42" s="24"/>
      <c r="C42" s="36" t="e">
        <f>$C$29*SUM($C$31:$C$41)</f>
        <v>#VALUE!</v>
      </c>
      <c r="D42" s="38" t="e">
        <f>$D$29*SUM($D$31:$D$41)</f>
        <v>#VALUE!</v>
      </c>
      <c r="E42" s="38" t="e">
        <f>$E$29*SUM($E$31:$E$41)</f>
        <v>#VALUE!</v>
      </c>
      <c r="F42" s="38" t="e">
        <f>$F$29*SUM($F$31:$F$41)</f>
        <v>#VALUE!</v>
      </c>
      <c r="G42" s="38" t="e">
        <f>$G$29*SUM($G$31:$G$41)</f>
        <v>#VALUE!</v>
      </c>
      <c r="H42" s="38" t="e">
        <f>$H$29*SUM($H$31:$H$41)</f>
        <v>#VALUE!</v>
      </c>
      <c r="I42" s="38" t="e">
        <f>$I$29*SUM($I$31:$I$41)</f>
        <v>#VALUE!</v>
      </c>
      <c r="J42" s="21">
        <f>SUM($J$31:$J$41)</f>
        <v>0</v>
      </c>
      <c r="K42" s="22">
        <f>SUM($K$31:$K$41)</f>
        <v>0</v>
      </c>
    </row>
    <row r="43" spans="1:12" ht="30" hidden="1" customHeight="1" thickTop="1" thickBot="1" x14ac:dyDescent="0.3">
      <c r="B43" s="25"/>
      <c r="C43" s="32" t="e">
        <f>($C$42/$K$43)*100</f>
        <v>#VALUE!</v>
      </c>
      <c r="D43" s="33" t="e">
        <f>($D$42/$K$43)*100</f>
        <v>#VALUE!</v>
      </c>
      <c r="E43" s="33" t="e">
        <f>($E$42/$K$43)*100</f>
        <v>#VALUE!</v>
      </c>
      <c r="F43" s="33" t="e">
        <f>($F$42/$K$43)*100</f>
        <v>#VALUE!</v>
      </c>
      <c r="G43" s="33" t="e">
        <f>($G$42/$K$43)*100</f>
        <v>#VALUE!</v>
      </c>
      <c r="H43" s="33" t="e">
        <f>($H$42/$K$43)*100</f>
        <v>#VALUE!</v>
      </c>
      <c r="I43" s="33" t="e">
        <f>($I$42/$K$43)*100</f>
        <v>#VALUE!</v>
      </c>
      <c r="J43" s="31" t="e">
        <f>SUM($C$43:$I$43)</f>
        <v>#VALUE!</v>
      </c>
      <c r="K43" s="37" t="e">
        <f>SUM($C$42:$I$42)</f>
        <v>#VALUE!</v>
      </c>
    </row>
    <row r="44" spans="1:12" s="54" customFormat="1" ht="30" customHeight="1" thickTop="1" x14ac:dyDescent="0.25">
      <c r="B44" s="59"/>
      <c r="C44" s="60"/>
      <c r="D44" s="60"/>
      <c r="E44" s="60"/>
      <c r="F44" s="60"/>
      <c r="G44" s="60"/>
      <c r="H44" s="60"/>
      <c r="I44" s="60"/>
      <c r="J44" s="61"/>
      <c r="K44" s="62"/>
    </row>
    <row r="45" spans="1:12" s="54" customFormat="1" ht="30" customHeight="1" x14ac:dyDescent="0.25">
      <c r="B45" s="59"/>
      <c r="C45" s="60"/>
      <c r="D45" s="60"/>
      <c r="E45" s="60"/>
      <c r="F45" s="60"/>
      <c r="G45" s="60"/>
      <c r="H45" s="60"/>
      <c r="I45" s="60"/>
      <c r="J45" s="61"/>
      <c r="K45" s="62"/>
    </row>
    <row r="46" spans="1:12" s="54" customFormat="1" ht="30" customHeight="1" x14ac:dyDescent="0.25">
      <c r="B46" s="59"/>
      <c r="C46" s="60"/>
      <c r="D46" s="60"/>
      <c r="E46" s="60"/>
      <c r="F46" s="60"/>
      <c r="G46" s="60"/>
      <c r="H46" s="60"/>
      <c r="I46" s="60"/>
      <c r="J46" s="61"/>
      <c r="K46" s="62"/>
    </row>
    <row r="47" spans="1:12" s="54" customFormat="1" ht="30" customHeight="1" x14ac:dyDescent="0.25">
      <c r="B47" s="59"/>
      <c r="C47" s="60"/>
      <c r="D47" s="60"/>
      <c r="E47" s="60"/>
      <c r="F47" s="60"/>
      <c r="G47" s="60"/>
      <c r="H47" s="60"/>
      <c r="I47" s="60"/>
      <c r="J47" s="61"/>
      <c r="K47" s="62"/>
    </row>
    <row r="48" spans="1:12" s="54" customFormat="1" ht="30" customHeight="1" x14ac:dyDescent="0.25">
      <c r="B48" s="59"/>
      <c r="C48" s="60"/>
      <c r="D48" s="60"/>
      <c r="E48" s="60"/>
      <c r="F48" s="60"/>
      <c r="G48" s="60"/>
      <c r="H48" s="60"/>
      <c r="I48" s="60"/>
      <c r="J48" s="61"/>
      <c r="K48" s="62"/>
    </row>
    <row r="49" spans="2:11" s="54" customFormat="1" ht="30" customHeight="1" x14ac:dyDescent="0.25">
      <c r="B49" s="59"/>
      <c r="C49" s="60"/>
      <c r="D49" s="60"/>
      <c r="E49" s="60"/>
      <c r="F49" s="60"/>
      <c r="G49" s="60"/>
      <c r="H49" s="60"/>
      <c r="I49" s="60"/>
      <c r="J49" s="61"/>
      <c r="K49" s="62"/>
    </row>
    <row r="50" spans="2:11" s="54" customFormat="1" ht="30" customHeight="1" x14ac:dyDescent="0.25">
      <c r="B50" s="59"/>
      <c r="C50" s="60"/>
      <c r="D50" s="60"/>
      <c r="E50" s="60"/>
      <c r="F50" s="60"/>
      <c r="G50" s="60"/>
      <c r="H50" s="60"/>
      <c r="I50" s="60"/>
      <c r="J50" s="61"/>
      <c r="K50" s="62"/>
    </row>
    <row r="51" spans="2:11" s="54" customFormat="1" ht="30" customHeight="1" x14ac:dyDescent="0.25">
      <c r="B51" s="59"/>
      <c r="C51" s="60"/>
      <c r="D51" s="60"/>
      <c r="E51" s="60"/>
      <c r="F51" s="60"/>
      <c r="G51" s="60"/>
      <c r="H51" s="60"/>
      <c r="I51" s="60"/>
      <c r="J51" s="61"/>
      <c r="K51" s="62"/>
    </row>
    <row r="52" spans="2:11" s="54" customFormat="1" ht="30" customHeight="1" x14ac:dyDescent="0.25">
      <c r="B52" s="59"/>
      <c r="C52" s="60"/>
      <c r="D52" s="60"/>
      <c r="E52" s="60"/>
      <c r="F52" s="60"/>
      <c r="G52" s="60"/>
      <c r="H52" s="60"/>
      <c r="I52" s="60"/>
      <c r="J52" s="61"/>
      <c r="K52" s="62"/>
    </row>
    <row r="53" spans="2:11" s="54" customFormat="1" ht="30" customHeight="1" x14ac:dyDescent="0.25">
      <c r="B53" s="59"/>
      <c r="C53" s="60"/>
      <c r="D53" s="60"/>
      <c r="E53" s="60"/>
      <c r="F53" s="60"/>
      <c r="G53" s="60"/>
      <c r="H53" s="60"/>
      <c r="I53" s="60"/>
      <c r="J53" s="61"/>
      <c r="K53" s="62"/>
    </row>
    <row r="54" spans="2:11" ht="30" customHeight="1" x14ac:dyDescent="0.25"/>
    <row r="55" spans="2:11" ht="150" customHeight="1" x14ac:dyDescent="0.25"/>
    <row r="56" spans="2:11" ht="108.75" customHeight="1" x14ac:dyDescent="0.25"/>
    <row r="57" spans="2:11" ht="30" customHeight="1" x14ac:dyDescent="0.25"/>
    <row r="58" spans="2:11" ht="36" customHeight="1" x14ac:dyDescent="0.25"/>
    <row r="59" spans="2:11" ht="30" customHeight="1" x14ac:dyDescent="0.25"/>
    <row r="60" spans="2:11" ht="31.5" customHeight="1" x14ac:dyDescent="0.25"/>
    <row r="61" spans="2:11" ht="30" customHeight="1" x14ac:dyDescent="0.25"/>
    <row r="62" spans="2:11" ht="30" customHeight="1" x14ac:dyDescent="0.25"/>
    <row r="64" spans="2:11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</sheetData>
  <sheetProtection password="8379" sheet="1" objects="1" scenarios="1"/>
  <printOptions horizontalCentered="1" verticalCentered="1"/>
  <pageMargins left="0.1" right="0.1" top="0" bottom="0.3" header="0" footer="0.2"/>
  <pageSetup scale="55" pageOrder="overThenDown" orientation="landscape" horizontalDpi="120" verticalDpi="144" r:id="rId1"/>
  <headerFooter alignWithMargins="0">
    <oddFooter>&amp;LFull Analytical Criteria Prioritization Matrix&amp;CLynn Bellamy       Page &amp;P   : &amp;D    &amp;T Team &amp;A&amp;RTask Prioritization Matrix</oddFooter>
  </headerFooter>
  <rowBreaks count="2" manualBreakCount="2">
    <brk id="26" max="65535" man="1"/>
    <brk id="53" max="65535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150</vt:i4>
      </vt:variant>
    </vt:vector>
  </HeadingPairs>
  <TitlesOfParts>
    <vt:vector size="161" baseType="lpstr">
      <vt:lpstr>Team 1</vt:lpstr>
      <vt:lpstr>Team 2</vt:lpstr>
      <vt:lpstr>Team 3</vt:lpstr>
      <vt:lpstr>Team 4</vt:lpstr>
      <vt:lpstr>Team 5</vt:lpstr>
      <vt:lpstr>Team 6</vt:lpstr>
      <vt:lpstr>Team 7</vt:lpstr>
      <vt:lpstr>Team 8</vt:lpstr>
      <vt:lpstr>Team 9</vt:lpstr>
      <vt:lpstr>Team 10</vt:lpstr>
      <vt:lpstr>Spring 97 Master</vt:lpstr>
      <vt:lpstr>'Spring 97 Master'!Criteria_1</vt:lpstr>
      <vt:lpstr>'Team 1'!Criteria_1</vt:lpstr>
      <vt:lpstr>'Team 10'!Criteria_1</vt:lpstr>
      <vt:lpstr>'Team 2'!Criteria_1</vt:lpstr>
      <vt:lpstr>'Team 3'!Criteria_1</vt:lpstr>
      <vt:lpstr>'Team 4'!Criteria_1</vt:lpstr>
      <vt:lpstr>'Team 5'!Criteria_1</vt:lpstr>
      <vt:lpstr>'Team 6'!Criteria_1</vt:lpstr>
      <vt:lpstr>'Team 7'!Criteria_1</vt:lpstr>
      <vt:lpstr>'Team 8'!Criteria_1</vt:lpstr>
      <vt:lpstr>'Team 9'!Criteria_1</vt:lpstr>
      <vt:lpstr>Criteria_1</vt:lpstr>
      <vt:lpstr>'Spring 97 Master'!Criteria_2</vt:lpstr>
      <vt:lpstr>'Team 1'!Criteria_2</vt:lpstr>
      <vt:lpstr>'Team 10'!Criteria_2</vt:lpstr>
      <vt:lpstr>'Team 2'!Criteria_2</vt:lpstr>
      <vt:lpstr>'Team 3'!Criteria_2</vt:lpstr>
      <vt:lpstr>'Team 4'!Criteria_2</vt:lpstr>
      <vt:lpstr>'Team 5'!Criteria_2</vt:lpstr>
      <vt:lpstr>'Team 6'!Criteria_2</vt:lpstr>
      <vt:lpstr>'Team 7'!Criteria_2</vt:lpstr>
      <vt:lpstr>'Team 8'!Criteria_2</vt:lpstr>
      <vt:lpstr>'Team 9'!Criteria_2</vt:lpstr>
      <vt:lpstr>Criteria_2</vt:lpstr>
      <vt:lpstr>'Spring 97 Master'!Criteria_3</vt:lpstr>
      <vt:lpstr>'Team 1'!Criteria_3</vt:lpstr>
      <vt:lpstr>'Team 10'!Criteria_3</vt:lpstr>
      <vt:lpstr>'Team 2'!Criteria_3</vt:lpstr>
      <vt:lpstr>'Team 3'!Criteria_3</vt:lpstr>
      <vt:lpstr>'Team 4'!Criteria_3</vt:lpstr>
      <vt:lpstr>'Team 5'!Criteria_3</vt:lpstr>
      <vt:lpstr>'Team 6'!Criteria_3</vt:lpstr>
      <vt:lpstr>'Team 7'!Criteria_3</vt:lpstr>
      <vt:lpstr>'Team 8'!Criteria_3</vt:lpstr>
      <vt:lpstr>'Team 9'!Criteria_3</vt:lpstr>
      <vt:lpstr>Criteria_3</vt:lpstr>
      <vt:lpstr>'Spring 97 Master'!Criteria_4</vt:lpstr>
      <vt:lpstr>'Team 1'!Criteria_4</vt:lpstr>
      <vt:lpstr>'Team 10'!Criteria_4</vt:lpstr>
      <vt:lpstr>'Team 2'!Criteria_4</vt:lpstr>
      <vt:lpstr>'Team 3'!Criteria_4</vt:lpstr>
      <vt:lpstr>'Team 4'!Criteria_4</vt:lpstr>
      <vt:lpstr>'Team 5'!Criteria_4</vt:lpstr>
      <vt:lpstr>'Team 6'!Criteria_4</vt:lpstr>
      <vt:lpstr>'Team 7'!Criteria_4</vt:lpstr>
      <vt:lpstr>'Team 8'!Criteria_4</vt:lpstr>
      <vt:lpstr>'Team 9'!Criteria_4</vt:lpstr>
      <vt:lpstr>Criteria_4</vt:lpstr>
      <vt:lpstr>'Spring 97 Master'!Criteria_5</vt:lpstr>
      <vt:lpstr>'Team 1'!Criteria_5</vt:lpstr>
      <vt:lpstr>'Team 10'!Criteria_5</vt:lpstr>
      <vt:lpstr>'Team 2'!Criteria_5</vt:lpstr>
      <vt:lpstr>'Team 3'!Criteria_5</vt:lpstr>
      <vt:lpstr>'Team 4'!Criteria_5</vt:lpstr>
      <vt:lpstr>'Team 5'!Criteria_5</vt:lpstr>
      <vt:lpstr>'Team 6'!Criteria_5</vt:lpstr>
      <vt:lpstr>'Team 7'!Criteria_5</vt:lpstr>
      <vt:lpstr>'Team 8'!Criteria_5</vt:lpstr>
      <vt:lpstr>'Team 9'!Criteria_5</vt:lpstr>
      <vt:lpstr>Criteria_5</vt:lpstr>
      <vt:lpstr>'Spring 97 Master'!Criteria_6</vt:lpstr>
      <vt:lpstr>'Team 1'!Criteria_6</vt:lpstr>
      <vt:lpstr>'Team 10'!Criteria_6</vt:lpstr>
      <vt:lpstr>'Team 2'!Criteria_6</vt:lpstr>
      <vt:lpstr>'Team 3'!Criteria_6</vt:lpstr>
      <vt:lpstr>'Team 4'!Criteria_6</vt:lpstr>
      <vt:lpstr>'Team 5'!Criteria_6</vt:lpstr>
      <vt:lpstr>'Team 6'!Criteria_6</vt:lpstr>
      <vt:lpstr>'Team 7'!Criteria_6</vt:lpstr>
      <vt:lpstr>'Team 8'!Criteria_6</vt:lpstr>
      <vt:lpstr>'Team 9'!Criteria_6</vt:lpstr>
      <vt:lpstr>Criteria_6</vt:lpstr>
      <vt:lpstr>'Spring 97 Master'!Criteria_7</vt:lpstr>
      <vt:lpstr>'Team 1'!Criteria_7</vt:lpstr>
      <vt:lpstr>'Team 10'!Criteria_7</vt:lpstr>
      <vt:lpstr>'Team 2'!Criteria_7</vt:lpstr>
      <vt:lpstr>'Team 3'!Criteria_7</vt:lpstr>
      <vt:lpstr>'Team 4'!Criteria_7</vt:lpstr>
      <vt:lpstr>'Team 5'!Criteria_7</vt:lpstr>
      <vt:lpstr>'Team 6'!Criteria_7</vt:lpstr>
      <vt:lpstr>'Team 7'!Criteria_7</vt:lpstr>
      <vt:lpstr>'Team 8'!Criteria_7</vt:lpstr>
      <vt:lpstr>'Team 9'!Criteria_7</vt:lpstr>
      <vt:lpstr>Criteria_7</vt:lpstr>
      <vt:lpstr>'Team 1'!Less</vt:lpstr>
      <vt:lpstr>'Team 10'!Less</vt:lpstr>
      <vt:lpstr>'Team 2'!Less</vt:lpstr>
      <vt:lpstr>'Team 3'!Less</vt:lpstr>
      <vt:lpstr>'Team 4'!Less</vt:lpstr>
      <vt:lpstr>'Team 5'!Less</vt:lpstr>
      <vt:lpstr>'Team 6'!Less</vt:lpstr>
      <vt:lpstr>'Team 7'!Less</vt:lpstr>
      <vt:lpstr>'Team 8'!Less</vt:lpstr>
      <vt:lpstr>'Team 9'!Less</vt:lpstr>
      <vt:lpstr>Less</vt:lpstr>
      <vt:lpstr>'Team 1'!More</vt:lpstr>
      <vt:lpstr>'Team 10'!More</vt:lpstr>
      <vt:lpstr>'Team 2'!More</vt:lpstr>
      <vt:lpstr>'Team 3'!More</vt:lpstr>
      <vt:lpstr>'Team 4'!More</vt:lpstr>
      <vt:lpstr>'Team 5'!More</vt:lpstr>
      <vt:lpstr>'Team 6'!More</vt:lpstr>
      <vt:lpstr>'Team 7'!More</vt:lpstr>
      <vt:lpstr>'Team 8'!More</vt:lpstr>
      <vt:lpstr>'Team 9'!More</vt:lpstr>
      <vt:lpstr>More</vt:lpstr>
      <vt:lpstr>'Team 1'!Much</vt:lpstr>
      <vt:lpstr>'Team 10'!Much</vt:lpstr>
      <vt:lpstr>'Team 2'!Much</vt:lpstr>
      <vt:lpstr>'Team 3'!Much</vt:lpstr>
      <vt:lpstr>'Team 4'!Much</vt:lpstr>
      <vt:lpstr>'Team 5'!Much</vt:lpstr>
      <vt:lpstr>'Team 6'!Much</vt:lpstr>
      <vt:lpstr>'Team 7'!Much</vt:lpstr>
      <vt:lpstr>'Team 8'!Much</vt:lpstr>
      <vt:lpstr>'Team 9'!Much</vt:lpstr>
      <vt:lpstr>Much</vt:lpstr>
      <vt:lpstr>'Team 1'!MuchLess</vt:lpstr>
      <vt:lpstr>'Team 10'!MuchLess</vt:lpstr>
      <vt:lpstr>'Team 2'!MuchLess</vt:lpstr>
      <vt:lpstr>'Team 3'!MuchLess</vt:lpstr>
      <vt:lpstr>'Team 4'!MuchLess</vt:lpstr>
      <vt:lpstr>'Team 5'!MuchLess</vt:lpstr>
      <vt:lpstr>'Team 6'!MuchLess</vt:lpstr>
      <vt:lpstr>'Team 7'!MuchLess</vt:lpstr>
      <vt:lpstr>'Team 8'!MuchLess</vt:lpstr>
      <vt:lpstr>'Team 9'!MuchLess</vt:lpstr>
      <vt:lpstr>MuchLess</vt:lpstr>
      <vt:lpstr>'Spring 97 Master'!Print_Area</vt:lpstr>
      <vt:lpstr>'Team 1'!Print_Area</vt:lpstr>
      <vt:lpstr>'Team 10'!Print_Area</vt:lpstr>
      <vt:lpstr>'Team 2'!Print_Area</vt:lpstr>
      <vt:lpstr>'Team 3'!Print_Area</vt:lpstr>
      <vt:lpstr>'Team 4'!Print_Area</vt:lpstr>
      <vt:lpstr>'Team 5'!Print_Area</vt:lpstr>
      <vt:lpstr>'Team 6'!Print_Area</vt:lpstr>
      <vt:lpstr>'Team 7'!Print_Area</vt:lpstr>
      <vt:lpstr>'Team 8'!Print_Area</vt:lpstr>
      <vt:lpstr>'Team 9'!Print_Area</vt:lpstr>
      <vt:lpstr>'Team 1'!Same</vt:lpstr>
      <vt:lpstr>'Team 10'!Same</vt:lpstr>
      <vt:lpstr>'Team 2'!Same</vt:lpstr>
      <vt:lpstr>'Team 3'!Same</vt:lpstr>
      <vt:lpstr>'Team 4'!Same</vt:lpstr>
      <vt:lpstr>'Team 5'!Same</vt:lpstr>
      <vt:lpstr>'Team 6'!Same</vt:lpstr>
      <vt:lpstr>'Team 7'!Same</vt:lpstr>
      <vt:lpstr>'Team 8'!Same</vt:lpstr>
      <vt:lpstr>'Team 9'!Same</vt:lpstr>
      <vt:lpstr>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Consensus Prioritization Matrix</dc:title>
  <dc:subject>TQS</dc:subject>
  <dc:creator>Lynn Bellamy</dc:creator>
  <cp:keywords/>
  <dc:description/>
  <cp:lastModifiedBy>Carina Negreanu</cp:lastModifiedBy>
  <cp:lastPrinted>1997-04-23T17:41:08Z</cp:lastPrinted>
  <dcterms:created xsi:type="dcterms:W3CDTF">1996-12-04T18:28:05Z</dcterms:created>
  <dcterms:modified xsi:type="dcterms:W3CDTF">2020-01-27T11:32:00Z</dcterms:modified>
</cp:coreProperties>
</file>