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E63744A-D420-4A4F-A93F-BD7E60C3571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Sheet1!$A$3:$K$35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1" l="1"/>
  <c r="E6" i="1" s="1"/>
  <c r="D7" i="1"/>
  <c r="E7" i="1"/>
  <c r="D8" i="1"/>
  <c r="E8" i="1" s="1"/>
  <c r="G8" i="1"/>
  <c r="D9" i="1"/>
  <c r="E9" i="1" s="1"/>
  <c r="D10" i="1"/>
  <c r="E10" i="1"/>
  <c r="G10" i="1"/>
  <c r="D11" i="1"/>
  <c r="E11" i="1"/>
  <c r="G11" i="1"/>
  <c r="D12" i="1"/>
  <c r="G12" i="1" s="1"/>
  <c r="D13" i="1"/>
  <c r="E13" i="1" s="1"/>
  <c r="D14" i="1"/>
  <c r="G14" i="1" s="1"/>
  <c r="F15" i="1"/>
  <c r="G7" i="1" s="1"/>
  <c r="G6" i="1" l="1"/>
  <c r="E14" i="1"/>
  <c r="E12" i="1"/>
  <c r="E15" i="1" s="1"/>
  <c r="G17" i="1" s="1"/>
  <c r="G19" i="1" s="1"/>
  <c r="G9" i="1"/>
  <c r="G13" i="1"/>
</calcChain>
</file>

<file path=xl/comments1.xml><?xml version="1.0" encoding="utf-8"?>
<comments xmlns="http://schemas.openxmlformats.org/spreadsheetml/2006/main">
  <authors>
    <author>A satisfied Microsoft Office user</author>
  </authors>
  <commentList>
    <comment ref="C5" authorId="0" shapeId="0">
      <text>
        <r>
          <rPr>
            <sz val="8"/>
            <color indexed="81"/>
            <rFont val="Tahoma"/>
          </rPr>
          <t xml:space="preserve">Enter points earned in each cell below 0-10.  </t>
        </r>
      </text>
    </comment>
    <comment ref="B6" authorId="0" shapeId="0">
      <text>
        <r>
          <rPr>
            <sz val="8"/>
            <color indexed="81"/>
            <rFont val="Tahoma"/>
          </rPr>
          <t>Management identifies high potential individuals and assigns work that will provide a broad depth of experience, as well as benefiting the company.</t>
        </r>
      </text>
    </comment>
    <comment ref="B7" authorId="0" shapeId="0">
      <text>
        <r>
          <rPr>
            <sz val="8"/>
            <color indexed="81"/>
            <rFont val="Tahoma"/>
          </rPr>
          <t xml:space="preserve">Policies are followed and transactions are executed properly the first time without having to correct transaction mistakes. </t>
        </r>
      </text>
    </comment>
    <comment ref="B8" authorId="0" shapeId="0">
      <text>
        <r>
          <rPr>
            <sz val="8"/>
            <color indexed="81"/>
            <rFont val="Tahoma"/>
          </rPr>
          <t xml:space="preserve">Management actively seeks, identifies, and executes ways to reduce local capital, while maintaining high levels of customer service.  Specific goals are in place. 
</t>
        </r>
      </text>
    </comment>
    <comment ref="B9" authorId="0" shapeId="0">
      <text>
        <r>
          <rPr>
            <sz val="8"/>
            <color indexed="81"/>
            <rFont val="Tahoma"/>
          </rPr>
          <t>A focused effort exists to implement prior audit recommendations to improve the organizational financial integrity, process/policy compliance and operational functions.</t>
        </r>
      </text>
    </comment>
    <comment ref="B10" authorId="0" shapeId="0">
      <text>
        <r>
          <rPr>
            <sz val="8"/>
            <color indexed="81"/>
            <rFont val="Tahoma"/>
          </rPr>
          <t>Aggressively working towards global system solutions with low levels of customization through process modification and government communications.</t>
        </r>
      </text>
    </comment>
    <comment ref="B11" authorId="0" shapeId="0">
      <text>
        <r>
          <rPr>
            <sz val="8"/>
            <color indexed="81"/>
            <rFont val="Tahoma"/>
          </rPr>
          <t>Implementation of standard global processes including the quotation to collection cycle.  Associates routinely spend time analyzing results and forming recommendations to business issues.</t>
        </r>
      </text>
    </comment>
    <comment ref="B12" authorId="0" shapeId="0">
      <text>
        <r>
          <rPr>
            <sz val="8"/>
            <color indexed="81"/>
            <rFont val="Tahoma"/>
          </rPr>
          <t>Seek ways to improve the integrity of financial results, and enhance the forecasting process with more disciplined ties to the funnel.</t>
        </r>
      </text>
    </comment>
    <comment ref="B13" authorId="0" shapeId="0">
      <text>
        <r>
          <rPr>
            <sz val="8"/>
            <color indexed="81"/>
            <rFont val="Tahoma"/>
          </rPr>
          <t xml:space="preserve">Completed reconciliations that are useful tools to conduct true analysis of business issues. </t>
        </r>
      </text>
    </comment>
    <comment ref="B14" authorId="0" shapeId="0">
      <text>
        <r>
          <rPr>
            <sz val="8"/>
            <color indexed="81"/>
            <rFont val="Tahoma"/>
          </rPr>
          <t>Actively seeking ways to reduce the time necessary to close the books.  Seek ways to evaluate the profitability of individual customers and orders.</t>
        </r>
      </text>
    </comment>
  </commentList>
</comments>
</file>

<file path=xl/sharedStrings.xml><?xml version="1.0" encoding="utf-8"?>
<sst xmlns="http://schemas.openxmlformats.org/spreadsheetml/2006/main" count="78" uniqueCount="78">
  <si>
    <t>REF</t>
  </si>
  <si>
    <t>Grading Categories</t>
  </si>
  <si>
    <t>Points</t>
  </si>
  <si>
    <t>Round Control</t>
  </si>
  <si>
    <t>Range Control</t>
  </si>
  <si>
    <t>Weight</t>
  </si>
  <si>
    <t>Score</t>
  </si>
  <si>
    <t>Points 0 - 3</t>
  </si>
  <si>
    <t>Points 4 - 6</t>
  </si>
  <si>
    <t>Points 7 - 8</t>
  </si>
  <si>
    <t>Points 9 - 10</t>
  </si>
  <si>
    <t>Management and Staff Competence</t>
  </si>
  <si>
    <t>Lack of understanding of basic accounting principles.  Unqualified</t>
  </si>
  <si>
    <t>Corporate Policy Compliance</t>
  </si>
  <si>
    <t>Significant non compliance of corporate policies</t>
  </si>
  <si>
    <t>Non compliance to corporate policies without any compensating controls in place</t>
  </si>
  <si>
    <t xml:space="preserve">Minor unapproved deviations from corporate policies with no significant exposures to business or financial risk </t>
  </si>
  <si>
    <t>No unapproved deviations from any corporate policies</t>
  </si>
  <si>
    <t>Asset Management</t>
  </si>
  <si>
    <t>Control structure exhibits major weaknesses which could result in material loss of company assets and/or misstatement of revenue/expense</t>
  </si>
  <si>
    <t>Weaknesses in controls could result in loss of assets or misrepresentation of profits / losses.  Reliance is placed on mitigating controls</t>
  </si>
  <si>
    <t>Satisfactory controls exist to ensure the proper recording of assets.  Few mitigating controls exist</t>
  </si>
  <si>
    <t xml:space="preserve">Strong asset control structure exists which exhibits no system or physical weaknesses </t>
  </si>
  <si>
    <t>Prior Audit Recommendations</t>
  </si>
  <si>
    <t>Less than 50% implementation</t>
  </si>
  <si>
    <t>50% to 74% implementation</t>
  </si>
  <si>
    <t>75% to 89% implementation</t>
  </si>
  <si>
    <t>90% to 100% implementation.  Full implementation of all prior  recommendations</t>
  </si>
  <si>
    <t>Information Systems</t>
  </si>
  <si>
    <t>Locally developed and supported accounting systems are poorly maintained</t>
  </si>
  <si>
    <t>Partially or fully implemented Global Applications with a high number of issues related to deployment and support</t>
  </si>
  <si>
    <t>Partially or fully implemented Global Applications with a low number of issues related to deployment and support</t>
  </si>
  <si>
    <t>Financial Reporting Integrity</t>
  </si>
  <si>
    <t>Financial reports are unreliable and need immediate attention</t>
  </si>
  <si>
    <t>Reliability of financial reporting requires improvement.  Material or multiple immaterial adjustments are required</t>
  </si>
  <si>
    <t xml:space="preserve">Overall reliability of financial information is considered satisfactory.  Immaterial adjustments are rarely required.  </t>
  </si>
  <si>
    <t>Total reliability of financial reports.  All reported information is accurate and complete (business and financial)</t>
  </si>
  <si>
    <t>Balance Sheet Accounts Supporting Detail</t>
  </si>
  <si>
    <t>Reconciliations or Listing of Account Details are not performed.  Material adjustments are not properly documented</t>
  </si>
  <si>
    <r>
      <t xml:space="preserve">Reconciliations or Listing of Account Details are not performed on a regular basis for all </t>
    </r>
    <r>
      <rPr>
        <b/>
        <sz val="10"/>
        <rFont val="Arial"/>
        <family val="2"/>
      </rPr>
      <t>major</t>
    </r>
    <r>
      <rPr>
        <sz val="10"/>
        <rFont val="Arial"/>
        <family val="2"/>
      </rPr>
      <t xml:space="preserve"> accounts.  Reconciling items are not cleared on a timely basis</t>
    </r>
  </si>
  <si>
    <r>
      <t xml:space="preserve">Reconciliations or Listing of Account Details are performed and reviewed monthly for </t>
    </r>
    <r>
      <rPr>
        <b/>
        <sz val="10"/>
        <rFont val="Arial"/>
        <family val="2"/>
      </rPr>
      <t>major</t>
    </r>
    <r>
      <rPr>
        <sz val="10"/>
        <rFont val="Arial"/>
        <family val="2"/>
      </rPr>
      <t xml:space="preserve"> control accounts.  Reconciling items are cleared on a timely basis.  Aged reconciling items are not material in nature</t>
    </r>
  </si>
  <si>
    <r>
      <t xml:space="preserve">Reconciliations or Listing of Account Details are performed and reviewed on a reasonable scheduled basis for </t>
    </r>
    <r>
      <rPr>
        <b/>
        <sz val="10"/>
        <rFont val="Arial"/>
        <family val="2"/>
      </rPr>
      <t>all</t>
    </r>
    <r>
      <rPr>
        <sz val="10"/>
        <rFont val="Arial"/>
        <family val="2"/>
      </rPr>
      <t xml:space="preserve"> balance sheet accounts.  No adjustments are required</t>
    </r>
  </si>
  <si>
    <t>Reporting Requirements Met</t>
  </si>
  <si>
    <t>Deadlines (Corporate and Internal) are not met.  Insufficient and/or unmeaningful information is distributed</t>
  </si>
  <si>
    <t>Significant reporting requirements are continuously not met</t>
  </si>
  <si>
    <t>All reporting requirements are met with deviations being infrequent or the nature of such being minor</t>
  </si>
  <si>
    <t>All reporting requirements are met on an ongoing basis</t>
  </si>
  <si>
    <t>Weight Control</t>
  </si>
  <si>
    <t>Scale:</t>
  </si>
  <si>
    <t>Below Average:</t>
  </si>
  <si>
    <t>Less than 7.00</t>
  </si>
  <si>
    <t>Average:</t>
  </si>
  <si>
    <t>7.00 to 8.49</t>
  </si>
  <si>
    <t>Above Average:</t>
  </si>
  <si>
    <t>8.50 to 10.00</t>
  </si>
  <si>
    <t>REFERENCE to CFO OBJECTIVES</t>
  </si>
  <si>
    <t>Management identifies high potential individuals and assigns work that will provide a broad depth of experience, as well as benefiting the company.</t>
  </si>
  <si>
    <t xml:space="preserve">Policies are followed and transactions are executed properly the first time without having to correct transaction mistakes. </t>
  </si>
  <si>
    <t xml:space="preserve">Management actively seeks, identifies, and executes ways to reduce local capital, while maintaining high levels of customer service.  Specific goals are in place. </t>
  </si>
  <si>
    <t>A focused effort exists to implement prior audit recommendations to improve the organizational financial integrity, process/policy compliance and operational functions.</t>
  </si>
  <si>
    <t>Aggressively working towards global system solutions with low levels of customization through process modification and government communications.</t>
  </si>
  <si>
    <t>Implementation of standard global processes including the quotation to collection cycle.  Associates routinely spend time analyzing results and forming recommendations to business issues.</t>
  </si>
  <si>
    <t>Seek ways to improve the integrity of financial results, and enhance the forecasting process with more disciplined ties to the funnel.</t>
  </si>
  <si>
    <t xml:space="preserve">Completed reconciliations that are useful tools to conduct true analysis of business issues. </t>
  </si>
  <si>
    <t>Actively seeking ways to reduce the time necessary to close the books.  Seek ways to evaluate the profitability of individual customers and orders.</t>
  </si>
  <si>
    <t>Rudimentary understanding of Company Policies and GAAP.  Improvements required in the area of staff training</t>
  </si>
  <si>
    <t>Satisfactory knowledge of Company Policies and have reasonable understanding of the appropriate application of GAAP</t>
  </si>
  <si>
    <t>Exceptional/very good understanding of Company Policies and GAAP</t>
  </si>
  <si>
    <t>On-line system using Global Applications with hardware located and maintained at the the Home Office, with no outstanding issues</t>
  </si>
  <si>
    <t>Few to no processes have been documented.  Not familiar or not compliant to global standard procedures</t>
  </si>
  <si>
    <t xml:space="preserve">Global standard procedures are compliant with Compnay standards and are regularly updated and well communicated.  Documentation of standard processes are clear and concise giving the reasonable reader a clear understanding of the procedures to follow.  </t>
  </si>
  <si>
    <t>AUDIT GRADING MATRIX</t>
  </si>
  <si>
    <t>TOTAL SCORE:</t>
  </si>
  <si>
    <t>GRADE:</t>
  </si>
  <si>
    <t>Procedure and Process Documentation</t>
  </si>
  <si>
    <t>Global standard procedures are not fully implemented or consistent with current standards.  No documentation exists</t>
  </si>
  <si>
    <t>Global standard procedures are compliant with Company standards and current documentation is consistent with actual processes</t>
  </si>
  <si>
    <t>Contributed 12/20/01 by Brian Derenzo (Bderenzo@Limited.com)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</si>
</sst>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3" formatCode="0_);[Red]\(0\)"/>
    <numFmt numFmtId="174" formatCode="0.00_);[Red]\(0.00\)"/>
  </numFmts>
  <fonts count="10" x14ac:knownFonts="1">
    <font>
      <sz val="10"/>
      <name val="Times New Roman"/>
    </font>
    <font>
      <sz val="10"/>
      <name val="Times New Roman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4"/>
      <color indexed="10"/>
      <name val="Arial"/>
      <family val="2"/>
    </font>
    <font>
      <sz val="8"/>
      <color indexed="81"/>
      <name val="Tahoma"/>
    </font>
    <font>
      <b/>
      <sz val="22"/>
      <color indexed="10"/>
      <name val="Arial"/>
      <family val="2"/>
    </font>
    <font>
      <b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Fill="1" applyProtection="1"/>
    <xf numFmtId="0" fontId="3" fillId="0" borderId="0" xfId="0" applyFont="1" applyFill="1" applyAlignment="1" applyProtection="1"/>
    <xf numFmtId="0" fontId="3" fillId="0" borderId="0" xfId="0" applyFont="1" applyFill="1" applyAlignment="1" applyProtection="1">
      <alignment wrapText="1"/>
    </xf>
    <xf numFmtId="173" fontId="4" fillId="0" borderId="0" xfId="0" applyNumberFormat="1" applyFont="1" applyFill="1" applyAlignment="1" applyProtection="1">
      <alignment horizontal="center" wrapText="1"/>
    </xf>
    <xf numFmtId="0" fontId="4" fillId="0" borderId="0" xfId="0" applyFont="1" applyFill="1" applyAlignment="1" applyProtection="1">
      <alignment horizontal="center" wrapText="1"/>
    </xf>
    <xf numFmtId="2" fontId="4" fillId="0" borderId="0" xfId="0" applyNumberFormat="1" applyFont="1" applyFill="1" applyAlignment="1" applyProtection="1">
      <alignment horizontal="center" wrapText="1"/>
    </xf>
    <xf numFmtId="0" fontId="3" fillId="0" borderId="0" xfId="0" applyFont="1" applyFill="1" applyProtection="1"/>
    <xf numFmtId="0" fontId="2" fillId="0" borderId="1" xfId="0" applyFont="1" applyFill="1" applyBorder="1" applyAlignment="1" applyProtection="1">
      <alignment horizontal="center" vertical="center" wrapText="1"/>
    </xf>
    <xf numFmtId="173" fontId="2" fillId="0" borderId="1" xfId="0" applyNumberFormat="1" applyFont="1" applyFill="1" applyBorder="1" applyAlignment="1" applyProtection="1">
      <alignment horizontal="center" vertical="center" wrapText="1"/>
    </xf>
    <xf numFmtId="2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vertical="center" wrapText="1"/>
    </xf>
    <xf numFmtId="173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vertical="top" wrapText="1"/>
    </xf>
    <xf numFmtId="0" fontId="3" fillId="0" borderId="1" xfId="0" applyFont="1" applyBorder="1" applyAlignment="1" applyProtection="1">
      <alignment vertical="top" wrapText="1"/>
    </xf>
    <xf numFmtId="0" fontId="5" fillId="0" borderId="0" xfId="0" applyFont="1" applyFill="1" applyBorder="1" applyAlignment="1" applyProtection="1"/>
    <xf numFmtId="173" fontId="2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 wrapText="1"/>
    </xf>
    <xf numFmtId="2" fontId="4" fillId="0" borderId="0" xfId="0" applyNumberFormat="1" applyFont="1" applyFill="1" applyBorder="1" applyAlignment="1" applyProtection="1">
      <alignment horizontal="center" wrapText="1"/>
    </xf>
    <xf numFmtId="0" fontId="3" fillId="0" borderId="0" xfId="0" applyFont="1" applyFill="1" applyBorder="1" applyAlignment="1" applyProtection="1">
      <alignment vertical="top" wrapText="1"/>
    </xf>
    <xf numFmtId="2" fontId="4" fillId="0" borderId="0" xfId="0" applyNumberFormat="1" applyFont="1" applyFill="1" applyAlignment="1" applyProtection="1">
      <alignment horizontal="center" vertical="center" wrapText="1"/>
    </xf>
    <xf numFmtId="2" fontId="3" fillId="0" borderId="0" xfId="0" applyNumberFormat="1" applyFont="1" applyFill="1" applyAlignment="1" applyProtection="1">
      <alignment wrapText="1"/>
    </xf>
    <xf numFmtId="0" fontId="5" fillId="0" borderId="0" xfId="0" applyFont="1" applyFill="1" applyAlignment="1" applyProtection="1">
      <alignment horizontal="right" wrapText="1"/>
    </xf>
    <xf numFmtId="0" fontId="3" fillId="0" borderId="0" xfId="0" applyFont="1" applyProtection="1"/>
    <xf numFmtId="173" fontId="3" fillId="0" borderId="0" xfId="0" applyNumberFormat="1" applyFont="1" applyProtection="1"/>
    <xf numFmtId="0" fontId="5" fillId="2" borderId="2" xfId="0" applyFont="1" applyFill="1" applyBorder="1" applyAlignment="1" applyProtection="1">
      <alignment horizontal="centerContinuous" wrapText="1"/>
    </xf>
    <xf numFmtId="2" fontId="3" fillId="2" borderId="3" xfId="0" applyNumberFormat="1" applyFont="1" applyFill="1" applyBorder="1" applyAlignment="1" applyProtection="1">
      <alignment horizontal="centerContinuous" wrapText="1"/>
    </xf>
    <xf numFmtId="0" fontId="3" fillId="0" borderId="4" xfId="0" applyFont="1" applyFill="1" applyBorder="1" applyAlignment="1" applyProtection="1">
      <alignment horizontal="right" wrapText="1"/>
    </xf>
    <xf numFmtId="2" fontId="3" fillId="0" borderId="5" xfId="0" applyNumberFormat="1" applyFont="1" applyFill="1" applyBorder="1" applyAlignment="1" applyProtection="1">
      <alignment horizontal="center" vertical="center" wrapText="1"/>
    </xf>
    <xf numFmtId="2" fontId="3" fillId="0" borderId="6" xfId="0" applyNumberFormat="1" applyFont="1" applyFill="1" applyBorder="1" applyAlignment="1" applyProtection="1">
      <alignment horizontal="right" wrapText="1"/>
    </xf>
    <xf numFmtId="2" fontId="3" fillId="0" borderId="7" xfId="0" applyNumberFormat="1" applyFont="1" applyFill="1" applyBorder="1" applyAlignment="1" applyProtection="1">
      <alignment horizontal="center" vertical="center" wrapText="1"/>
    </xf>
    <xf numFmtId="2" fontId="3" fillId="0" borderId="0" xfId="0" applyNumberFormat="1" applyFont="1" applyFill="1" applyBorder="1" applyAlignment="1" applyProtection="1">
      <alignment horizontal="right" wrapText="1"/>
    </xf>
    <xf numFmtId="2" fontId="3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 wrapText="1"/>
    </xf>
    <xf numFmtId="2" fontId="2" fillId="0" borderId="0" xfId="0" applyNumberFormat="1" applyFont="1" applyFill="1" applyAlignment="1" applyProtection="1">
      <alignment horizontal="right" wrapText="1"/>
    </xf>
    <xf numFmtId="0" fontId="8" fillId="0" borderId="0" xfId="0" applyFont="1" applyFill="1" applyAlignment="1" applyProtection="1">
      <alignment horizontal="centerContinuous"/>
      <protection locked="0"/>
    </xf>
    <xf numFmtId="0" fontId="9" fillId="0" borderId="0" xfId="0" applyFont="1" applyFill="1" applyAlignment="1" applyProtection="1">
      <alignment horizontal="centerContinuous"/>
    </xf>
    <xf numFmtId="173" fontId="9" fillId="0" borderId="0" xfId="1" applyNumberFormat="1" applyFont="1" applyFill="1" applyAlignment="1" applyProtection="1">
      <alignment horizontal="centerContinuous"/>
    </xf>
    <xf numFmtId="171" fontId="9" fillId="0" borderId="0" xfId="1" applyFont="1" applyFill="1" applyAlignment="1" applyProtection="1">
      <alignment horizontal="centerContinuous"/>
    </xf>
    <xf numFmtId="2" fontId="9" fillId="0" borderId="0" xfId="1" applyNumberFormat="1" applyFont="1" applyFill="1" applyAlignment="1" applyProtection="1">
      <alignment horizontal="centerContinuous"/>
    </xf>
    <xf numFmtId="173" fontId="2" fillId="0" borderId="0" xfId="0" applyNumberFormat="1" applyFont="1" applyFill="1" applyAlignment="1" applyProtection="1">
      <alignment horizontal="center" wrapText="1"/>
    </xf>
    <xf numFmtId="0" fontId="2" fillId="0" borderId="0" xfId="0" applyFont="1" applyFill="1" applyAlignment="1" applyProtection="1">
      <alignment horizontal="center" wrapText="1"/>
    </xf>
    <xf numFmtId="2" fontId="2" fillId="0" borderId="0" xfId="0" applyNumberFormat="1" applyFont="1" applyFill="1" applyAlignment="1" applyProtection="1">
      <alignment horizontal="right" vertical="center"/>
    </xf>
    <xf numFmtId="174" fontId="6" fillId="0" borderId="0" xfId="0" applyNumberFormat="1" applyFont="1" applyFill="1" applyAlignment="1" applyProtection="1">
      <alignment horizontal="center" wrapText="1"/>
    </xf>
    <xf numFmtId="0" fontId="6" fillId="0" borderId="0" xfId="0" applyFont="1" applyFill="1" applyAlignment="1" applyProtection="1">
      <alignment horizontal="center" wrapText="1"/>
    </xf>
    <xf numFmtId="2" fontId="6" fillId="0" borderId="0" xfId="0" applyNumberFormat="1" applyFont="1" applyFill="1" applyAlignment="1" applyProtection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tabSelected="1" zoomScale="75" workbookViewId="0"/>
  </sheetViews>
  <sheetFormatPr defaultColWidth="20.19921875" defaultRowHeight="17.5" x14ac:dyDescent="0.35"/>
  <cols>
    <col min="1" max="1" width="7.5" style="7" customWidth="1"/>
    <col min="2" max="2" width="23" style="3" customWidth="1"/>
    <col min="3" max="3" width="11.5" style="4" customWidth="1"/>
    <col min="4" max="4" width="12" style="5" hidden="1" customWidth="1"/>
    <col min="5" max="5" width="0.19921875" style="5" hidden="1" customWidth="1"/>
    <col min="6" max="6" width="12.69921875" style="6" customWidth="1"/>
    <col min="7" max="7" width="17.19921875" style="6" customWidth="1"/>
    <col min="8" max="8" width="39.19921875" style="3" customWidth="1"/>
    <col min="9" max="9" width="39.69921875" style="3" customWidth="1"/>
    <col min="10" max="10" width="40.796875" style="3" customWidth="1"/>
    <col min="11" max="11" width="42" style="3" customWidth="1"/>
    <col min="12" max="16384" width="20.19921875" style="7"/>
  </cols>
  <sheetData>
    <row r="1" spans="1:11" x14ac:dyDescent="0.35">
      <c r="A1" s="7" t="s">
        <v>77</v>
      </c>
    </row>
    <row r="3" spans="1:11" s="1" customFormat="1" ht="28" x14ac:dyDescent="0.6">
      <c r="A3" s="41" t="s">
        <v>71</v>
      </c>
      <c r="B3" s="42"/>
      <c r="C3" s="43"/>
      <c r="D3" s="44"/>
      <c r="E3" s="44"/>
      <c r="F3" s="45"/>
      <c r="G3" s="45"/>
      <c r="H3" s="42"/>
      <c r="I3" s="42"/>
      <c r="J3" s="42"/>
      <c r="K3" s="42"/>
    </row>
    <row r="4" spans="1:11" x14ac:dyDescent="0.35">
      <c r="A4" s="2"/>
    </row>
    <row r="5" spans="1:11" s="11" customFormat="1" ht="45" customHeight="1" x14ac:dyDescent="0.3">
      <c r="A5" s="8" t="s">
        <v>0</v>
      </c>
      <c r="B5" s="8" t="s">
        <v>1</v>
      </c>
      <c r="C5" s="9" t="s">
        <v>2</v>
      </c>
      <c r="D5" s="8" t="s">
        <v>3</v>
      </c>
      <c r="E5" s="8" t="s">
        <v>4</v>
      </c>
      <c r="F5" s="10" t="s">
        <v>5</v>
      </c>
      <c r="G5" s="10" t="s">
        <v>6</v>
      </c>
      <c r="H5" s="8" t="s">
        <v>7</v>
      </c>
      <c r="I5" s="8" t="s">
        <v>8</v>
      </c>
      <c r="J5" s="8" t="s">
        <v>9</v>
      </c>
      <c r="K5" s="8" t="s">
        <v>10</v>
      </c>
    </row>
    <row r="6" spans="1:11" ht="54" customHeight="1" x14ac:dyDescent="0.25">
      <c r="A6" s="12">
        <v>1</v>
      </c>
      <c r="B6" s="13" t="s">
        <v>11</v>
      </c>
      <c r="C6" s="14">
        <v>8</v>
      </c>
      <c r="D6" s="15">
        <f>IF(OR(C6&lt;0,C6&gt;10),"Out of Range",ROUND(C6,0))</f>
        <v>8</v>
      </c>
      <c r="E6" s="15">
        <f>IF(D6="Out of Range",1,0)</f>
        <v>0</v>
      </c>
      <c r="F6" s="16">
        <v>0.12</v>
      </c>
      <c r="G6" s="16">
        <f t="shared" ref="G6:G14" si="0">IF(D6="Out of Range","Out of Range",(D6*(F6/$F$15)))</f>
        <v>0.96969696969696972</v>
      </c>
      <c r="H6" s="17" t="s">
        <v>12</v>
      </c>
      <c r="I6" s="17" t="s">
        <v>65</v>
      </c>
      <c r="J6" s="17" t="s">
        <v>66</v>
      </c>
      <c r="K6" s="17" t="s">
        <v>67</v>
      </c>
    </row>
    <row r="7" spans="1:11" ht="40.5" customHeight="1" x14ac:dyDescent="0.25">
      <c r="A7" s="12">
        <v>2</v>
      </c>
      <c r="B7" s="13" t="s">
        <v>13</v>
      </c>
      <c r="C7" s="14">
        <v>9</v>
      </c>
      <c r="D7" s="15">
        <f t="shared" ref="D7:D13" si="1">IF(OR(C7&lt;0,C7&gt;10),"Out of Range",ROUND(C7,0))</f>
        <v>9</v>
      </c>
      <c r="E7" s="15">
        <f t="shared" ref="E7:E13" si="2">IF(D7="Out of Range",1,0)</f>
        <v>0</v>
      </c>
      <c r="F7" s="16">
        <v>0.15</v>
      </c>
      <c r="G7" s="16">
        <f t="shared" si="0"/>
        <v>1.3636363636363638</v>
      </c>
      <c r="H7" s="17" t="s">
        <v>14</v>
      </c>
      <c r="I7" s="17" t="s">
        <v>15</v>
      </c>
      <c r="J7" s="17" t="s">
        <v>16</v>
      </c>
      <c r="K7" s="17" t="s">
        <v>17</v>
      </c>
    </row>
    <row r="8" spans="1:11" ht="54" customHeight="1" x14ac:dyDescent="0.25">
      <c r="A8" s="12">
        <v>3</v>
      </c>
      <c r="B8" s="13" t="s">
        <v>18</v>
      </c>
      <c r="C8" s="14">
        <v>9</v>
      </c>
      <c r="D8" s="15">
        <f t="shared" si="1"/>
        <v>9</v>
      </c>
      <c r="E8" s="15">
        <f t="shared" si="2"/>
        <v>0</v>
      </c>
      <c r="F8" s="16">
        <v>0.12</v>
      </c>
      <c r="G8" s="16">
        <f t="shared" si="0"/>
        <v>1.0909090909090908</v>
      </c>
      <c r="H8" s="17" t="s">
        <v>19</v>
      </c>
      <c r="I8" s="17" t="s">
        <v>20</v>
      </c>
      <c r="J8" s="17" t="s">
        <v>21</v>
      </c>
      <c r="K8" s="17" t="s">
        <v>22</v>
      </c>
    </row>
    <row r="9" spans="1:11" ht="40.5" customHeight="1" x14ac:dyDescent="0.25">
      <c r="A9" s="12">
        <v>4</v>
      </c>
      <c r="B9" s="13" t="s">
        <v>23</v>
      </c>
      <c r="C9" s="14">
        <v>10</v>
      </c>
      <c r="D9" s="15">
        <f t="shared" si="1"/>
        <v>10</v>
      </c>
      <c r="E9" s="15">
        <f t="shared" si="2"/>
        <v>0</v>
      </c>
      <c r="F9" s="16">
        <v>0.1</v>
      </c>
      <c r="G9" s="16">
        <f t="shared" si="0"/>
        <v>1.0101010101010102</v>
      </c>
      <c r="H9" s="17" t="s">
        <v>24</v>
      </c>
      <c r="I9" s="17" t="s">
        <v>25</v>
      </c>
      <c r="J9" s="17" t="s">
        <v>26</v>
      </c>
      <c r="K9" s="17" t="s">
        <v>27</v>
      </c>
    </row>
    <row r="10" spans="1:11" ht="39.75" customHeight="1" x14ac:dyDescent="0.25">
      <c r="A10" s="12">
        <v>5</v>
      </c>
      <c r="B10" s="13" t="s">
        <v>28</v>
      </c>
      <c r="C10" s="14">
        <v>8</v>
      </c>
      <c r="D10" s="15">
        <f t="shared" si="1"/>
        <v>8</v>
      </c>
      <c r="E10" s="15">
        <f t="shared" si="2"/>
        <v>0</v>
      </c>
      <c r="F10" s="16">
        <v>0.1</v>
      </c>
      <c r="G10" s="16">
        <f t="shared" si="0"/>
        <v>0.80808080808080818</v>
      </c>
      <c r="H10" s="17" t="s">
        <v>29</v>
      </c>
      <c r="I10" s="17" t="s">
        <v>30</v>
      </c>
      <c r="J10" s="17" t="s">
        <v>31</v>
      </c>
      <c r="K10" s="17" t="s">
        <v>68</v>
      </c>
    </row>
    <row r="11" spans="1:11" ht="91.5" customHeight="1" x14ac:dyDescent="0.25">
      <c r="A11" s="12">
        <v>6</v>
      </c>
      <c r="B11" s="13" t="s">
        <v>74</v>
      </c>
      <c r="C11" s="14">
        <v>7</v>
      </c>
      <c r="D11" s="15">
        <f t="shared" si="1"/>
        <v>7</v>
      </c>
      <c r="E11" s="15">
        <f t="shared" si="2"/>
        <v>0</v>
      </c>
      <c r="F11" s="16">
        <v>0.12</v>
      </c>
      <c r="G11" s="16">
        <f t="shared" si="0"/>
        <v>0.84848484848484851</v>
      </c>
      <c r="H11" s="17" t="s">
        <v>69</v>
      </c>
      <c r="I11" s="17" t="s">
        <v>75</v>
      </c>
      <c r="J11" s="17" t="s">
        <v>76</v>
      </c>
      <c r="K11" s="17" t="s">
        <v>70</v>
      </c>
    </row>
    <row r="12" spans="1:11" ht="42" customHeight="1" x14ac:dyDescent="0.25">
      <c r="A12" s="12">
        <v>7</v>
      </c>
      <c r="B12" s="13" t="s">
        <v>32</v>
      </c>
      <c r="C12" s="14">
        <v>9</v>
      </c>
      <c r="D12" s="15">
        <f t="shared" si="1"/>
        <v>9</v>
      </c>
      <c r="E12" s="15">
        <f t="shared" si="2"/>
        <v>0</v>
      </c>
      <c r="F12" s="16">
        <v>0.1</v>
      </c>
      <c r="G12" s="16">
        <f t="shared" si="0"/>
        <v>0.90909090909090917</v>
      </c>
      <c r="H12" s="17" t="s">
        <v>33</v>
      </c>
      <c r="I12" s="17" t="s">
        <v>34</v>
      </c>
      <c r="J12" s="17" t="s">
        <v>35</v>
      </c>
      <c r="K12" s="17" t="s">
        <v>36</v>
      </c>
    </row>
    <row r="13" spans="1:11" ht="66.75" customHeight="1" x14ac:dyDescent="0.25">
      <c r="A13" s="12">
        <v>8</v>
      </c>
      <c r="B13" s="13" t="s">
        <v>37</v>
      </c>
      <c r="C13" s="14">
        <v>8</v>
      </c>
      <c r="D13" s="15">
        <f t="shared" si="1"/>
        <v>8</v>
      </c>
      <c r="E13" s="15">
        <f t="shared" si="2"/>
        <v>0</v>
      </c>
      <c r="F13" s="16">
        <v>0.12</v>
      </c>
      <c r="G13" s="16">
        <f t="shared" si="0"/>
        <v>0.96969696969696972</v>
      </c>
      <c r="H13" s="17" t="s">
        <v>38</v>
      </c>
      <c r="I13" s="18" t="s">
        <v>39</v>
      </c>
      <c r="J13" s="17" t="s">
        <v>40</v>
      </c>
      <c r="K13" s="17" t="s">
        <v>41</v>
      </c>
    </row>
    <row r="14" spans="1:11" ht="42" customHeight="1" x14ac:dyDescent="0.25">
      <c r="A14" s="12">
        <v>9</v>
      </c>
      <c r="B14" s="13" t="s">
        <v>42</v>
      </c>
      <c r="C14" s="14">
        <v>9</v>
      </c>
      <c r="D14" s="15">
        <f>IF(OR(C14&lt;0,C14&gt;10),"Out of Range",ROUND(C14,0))</f>
        <v>9</v>
      </c>
      <c r="E14" s="15">
        <f>IF(D14="Out of Range",1,0)</f>
        <v>0</v>
      </c>
      <c r="F14" s="16">
        <v>0.06</v>
      </c>
      <c r="G14" s="16">
        <f t="shared" si="0"/>
        <v>0.54545454545454541</v>
      </c>
      <c r="H14" s="17" t="s">
        <v>43</v>
      </c>
      <c r="I14" s="17" t="s">
        <v>44</v>
      </c>
      <c r="J14" s="17" t="s">
        <v>45</v>
      </c>
      <c r="K14" s="17" t="s">
        <v>46</v>
      </c>
    </row>
    <row r="15" spans="1:11" ht="18" hidden="1" x14ac:dyDescent="0.4">
      <c r="B15" s="19"/>
      <c r="C15" s="20" t="s">
        <v>47</v>
      </c>
      <c r="D15" s="21"/>
      <c r="E15" s="21">
        <f>SUM(E6:E14)</f>
        <v>0</v>
      </c>
      <c r="F15" s="22">
        <f>SUM(F6:F14)</f>
        <v>0.99</v>
      </c>
      <c r="G15" s="22"/>
      <c r="H15" s="23"/>
      <c r="I15" s="23"/>
      <c r="J15" s="23"/>
      <c r="K15" s="23"/>
    </row>
    <row r="16" spans="1:11" ht="18" x14ac:dyDescent="0.4">
      <c r="B16" s="19"/>
      <c r="C16" s="20"/>
      <c r="D16" s="21"/>
      <c r="E16" s="21"/>
      <c r="F16" s="22"/>
      <c r="G16" s="22"/>
      <c r="H16" s="23"/>
      <c r="I16" s="23"/>
      <c r="J16" s="23"/>
      <c r="K16" s="23"/>
    </row>
    <row r="17" spans="1:9" ht="18" x14ac:dyDescent="0.4">
      <c r="B17" s="40"/>
      <c r="C17" s="46"/>
      <c r="D17" s="47"/>
      <c r="E17" s="47"/>
      <c r="F17" s="48" t="s">
        <v>72</v>
      </c>
      <c r="G17" s="24">
        <f>IF(E15&gt;0,"Out of Range",(SUM(G6:G14)))</f>
        <v>8.5151515151515156</v>
      </c>
      <c r="H17" s="25"/>
    </row>
    <row r="18" spans="1:9" ht="18" x14ac:dyDescent="0.4">
      <c r="B18" s="40"/>
      <c r="C18" s="46"/>
      <c r="D18" s="47"/>
      <c r="E18" s="47"/>
      <c r="F18" s="48"/>
      <c r="G18" s="24"/>
      <c r="H18" s="25"/>
    </row>
    <row r="19" spans="1:9" ht="18" x14ac:dyDescent="0.4">
      <c r="A19" s="3"/>
      <c r="B19" s="26"/>
      <c r="C19" s="49"/>
      <c r="D19" s="50"/>
      <c r="E19" s="50"/>
      <c r="F19" s="48" t="s">
        <v>73</v>
      </c>
      <c r="G19" s="51" t="str">
        <f>IF(G17="Out of Range","Out of Range",(IF(G17&lt;5,"BELOW AVERAGE",IF(G17&lt;7,"BELOW AVERAGE",IF(G17&lt;8.5,"AVERAGE","ABOVE AVERAGE")))))</f>
        <v>ABOVE AVERAGE</v>
      </c>
    </row>
    <row r="20" spans="1:9" ht="18" x14ac:dyDescent="0.4">
      <c r="A20" s="3"/>
      <c r="B20" s="26"/>
      <c r="C20" s="49"/>
      <c r="D20" s="50"/>
      <c r="E20" s="50"/>
      <c r="F20" s="48"/>
      <c r="G20" s="51"/>
    </row>
    <row r="21" spans="1:9" ht="13" x14ac:dyDescent="0.3">
      <c r="B21" s="27"/>
      <c r="C21" s="28"/>
      <c r="D21" s="27"/>
      <c r="E21" s="27"/>
      <c r="F21" s="29" t="s">
        <v>48</v>
      </c>
      <c r="G21" s="30"/>
      <c r="H21" s="7"/>
      <c r="I21" s="7"/>
    </row>
    <row r="22" spans="1:9" ht="25" x14ac:dyDescent="0.25">
      <c r="B22" s="27"/>
      <c r="C22" s="28"/>
      <c r="D22" s="27"/>
      <c r="E22" s="27"/>
      <c r="F22" s="31" t="s">
        <v>49</v>
      </c>
      <c r="G22" s="32" t="s">
        <v>50</v>
      </c>
      <c r="H22" s="7"/>
      <c r="I22" s="7"/>
    </row>
    <row r="23" spans="1:9" ht="12.5" x14ac:dyDescent="0.25">
      <c r="B23" s="27"/>
      <c r="C23" s="28"/>
      <c r="D23" s="27"/>
      <c r="E23" s="27"/>
      <c r="F23" s="31" t="s">
        <v>51</v>
      </c>
      <c r="G23" s="32" t="s">
        <v>52</v>
      </c>
      <c r="H23" s="7"/>
      <c r="I23" s="7"/>
    </row>
    <row r="24" spans="1:9" ht="26" x14ac:dyDescent="0.35">
      <c r="F24" s="33" t="s">
        <v>53</v>
      </c>
      <c r="G24" s="34" t="s">
        <v>54</v>
      </c>
    </row>
    <row r="25" spans="1:9" x14ac:dyDescent="0.35">
      <c r="F25" s="35"/>
      <c r="G25" s="36"/>
    </row>
    <row r="26" spans="1:9" ht="18" x14ac:dyDescent="0.4">
      <c r="A26" s="1" t="s">
        <v>55</v>
      </c>
      <c r="F26" s="35"/>
      <c r="G26" s="36"/>
    </row>
    <row r="27" spans="1:9" x14ac:dyDescent="0.35">
      <c r="A27" s="37">
        <v>1</v>
      </c>
      <c r="B27" s="38" t="s">
        <v>56</v>
      </c>
    </row>
    <row r="28" spans="1:9" x14ac:dyDescent="0.35">
      <c r="A28" s="37">
        <v>2</v>
      </c>
      <c r="B28" s="38" t="s">
        <v>57</v>
      </c>
    </row>
    <row r="29" spans="1:9" x14ac:dyDescent="0.35">
      <c r="A29" s="37">
        <v>3</v>
      </c>
      <c r="B29" s="38" t="s">
        <v>58</v>
      </c>
    </row>
    <row r="30" spans="1:9" x14ac:dyDescent="0.35">
      <c r="A30" s="37">
        <v>4</v>
      </c>
      <c r="B30" s="38" t="s">
        <v>59</v>
      </c>
    </row>
    <row r="31" spans="1:9" x14ac:dyDescent="0.35">
      <c r="A31" s="37">
        <v>5</v>
      </c>
      <c r="B31" s="38" t="s">
        <v>60</v>
      </c>
    </row>
    <row r="32" spans="1:9" x14ac:dyDescent="0.35">
      <c r="A32" s="37">
        <v>6</v>
      </c>
      <c r="B32" s="2" t="s">
        <v>61</v>
      </c>
    </row>
    <row r="33" spans="1:2" x14ac:dyDescent="0.35">
      <c r="A33" s="37">
        <v>7</v>
      </c>
      <c r="B33" s="38" t="s">
        <v>62</v>
      </c>
    </row>
    <row r="34" spans="1:2" x14ac:dyDescent="0.35">
      <c r="A34" s="37">
        <v>8</v>
      </c>
      <c r="B34" s="38" t="s">
        <v>63</v>
      </c>
    </row>
    <row r="35" spans="1:2" x14ac:dyDescent="0.35">
      <c r="A35" s="37">
        <v>9</v>
      </c>
      <c r="B35" s="38" t="s">
        <v>64</v>
      </c>
    </row>
    <row r="36" spans="1:2" x14ac:dyDescent="0.35">
      <c r="B36" s="39"/>
    </row>
  </sheetData>
  <phoneticPr fontId="0" type="noConversion"/>
  <pageMargins left="0.75" right="0.75" top="1" bottom="1" header="0.5" footer="0.5"/>
  <pageSetup scale="53" orientation="landscape" r:id="rId1"/>
  <headerFooter alignWithMargins="0">
    <oddHeader>&amp;C&amp;"Times New Roman,Bold"&amp;14Financial Audit Grading Matrix</oddHeader>
    <oddFooter xml:space="preserve">&amp;C&amp;"Times New Roman,Bold"&amp;12NCR-CONFIDENTIAL AND PROPRIETARY&amp;"Times New Roman,Regular"&amp;10
Use pursuant to Company instructions
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NCR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Wolpert</dc:creator>
  <cp:lastModifiedBy>Carina Negreanu</cp:lastModifiedBy>
  <cp:lastPrinted>1999-03-10T23:28:22Z</cp:lastPrinted>
  <dcterms:created xsi:type="dcterms:W3CDTF">1998-03-06T01:11:47Z</dcterms:created>
  <dcterms:modified xsi:type="dcterms:W3CDTF">2020-01-27T11:16:08Z</dcterms:modified>
</cp:coreProperties>
</file>