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B0DD974-2529-42A2-8846-086677566A24}" xr6:coauthVersionLast="45" xr6:coauthVersionMax="45" xr10:uidLastSave="{00000000-0000-0000-0000-000000000000}"/>
  <bookViews>
    <workbookView xWindow="2280" yWindow="2280" windowWidth="28800" windowHeight="15460" activeTab="2"/>
  </bookViews>
  <sheets>
    <sheet name="IntroEx" sheetId="1" r:id="rId1"/>
    <sheet name="Data" sheetId="2" r:id="rId2"/>
    <sheet name="Eff1" sheetId="3" r:id="rId3"/>
    <sheet name="NProbChart" sheetId="4" r:id="rId4"/>
  </sheets>
  <definedNames>
    <definedName name="aoutput">IntroEx!$C$12</definedName>
    <definedName name="atop">IntroEx!$B$12</definedName>
    <definedName name="avec">IntroEx!$B$12:$B$15</definedName>
    <definedName name="change1">'Eff1'!$I$11:$I$12</definedName>
    <definedName name="chartdata">Data!$J$5:$K$14</definedName>
    <definedName name="dvec">LnReturns</definedName>
    <definedName name="incr1">'Eff1'!$M$6</definedName>
    <definedName name="LnReturns">Data!$E$10:$E$71</definedName>
    <definedName name="min_tgt1">'Eff1'!$M$5</definedName>
    <definedName name="niter1">'Eff1'!$M$7</definedName>
    <definedName name="npdata">Data!$Z$10:$AA$71</definedName>
    <definedName name="portret1">'Eff1'!$I$15</definedName>
    <definedName name="portsd1">'Eff1'!$I$16</definedName>
    <definedName name="portwts1">'Eff1'!$I$10:$I$12</definedName>
    <definedName name="pqvec2">Data!$K$20:$L$24</definedName>
    <definedName name="quartdata">Data!$H$21:$I$25</definedName>
    <definedName name="qvec1">Data!$K$20:$K$24</definedName>
    <definedName name="Returns">Data!$D$10:$D$71</definedName>
    <definedName name="solver_adj" localSheetId="2" hidden="1">'Eff1'!$I$11:$I$12</definedName>
    <definedName name="solver_cvg" localSheetId="2" hidden="1">0.001</definedName>
    <definedName name="solver_drv" localSheetId="2" hidden="1">1</definedName>
    <definedName name="solver_est" localSheetId="2" hidden="1">1</definedName>
    <definedName name="solver_itr" localSheetId="2" hidden="1">100</definedName>
    <definedName name="solver_lhs1" localSheetId="2" hidden="1">'Eff1'!$I$15</definedName>
    <definedName name="solver_lin" localSheetId="2" hidden="1">2</definedName>
    <definedName name="solver_neg" localSheetId="2" hidden="1">2</definedName>
    <definedName name="solver_num" localSheetId="2" hidden="1">1</definedName>
    <definedName name="solver_nwt" localSheetId="2" hidden="1">1</definedName>
    <definedName name="solver_opt" localSheetId="2" hidden="1">'Eff1'!$I$16</definedName>
    <definedName name="solver_pre" localSheetId="2" hidden="1">0.000001</definedName>
    <definedName name="solver_rel1" localSheetId="2" hidden="1">3</definedName>
    <definedName name="solver_rhs1" localSheetId="2" hidden="1">'Eff1'!$I$5</definedName>
    <definedName name="solver_scl" localSheetId="2" hidden="1">2</definedName>
    <definedName name="solver_sho" localSheetId="2" hidden="1">2</definedName>
    <definedName name="solver_tim" localSheetId="2" hidden="1">100</definedName>
    <definedName name="solver_tol" localSheetId="2" hidden="1">0.05</definedName>
    <definedName name="solver_typ" localSheetId="2" hidden="1">2</definedName>
    <definedName name="solver_val" localSheetId="2" hidden="1">0</definedName>
    <definedName name="startcell">Data!$E$10</definedName>
    <definedName name="storestart1">'Eff1'!$B$21</definedName>
    <definedName name="target1">'Eff1'!$I$5</definedName>
    <definedName name="znmat">Data!$Z$10:$AA$71</definedName>
  </definedNames>
  <calcPr calcId="0" iterate="1"/>
</workbook>
</file>

<file path=xl/calcChain.xml><?xml version="1.0" encoding="utf-8"?>
<calcChain xmlns="http://schemas.openxmlformats.org/spreadsheetml/2006/main">
  <c r="D4" i="2" l="1"/>
  <c r="E4" i="2"/>
  <c r="D5" i="2"/>
  <c r="E5" i="2"/>
  <c r="H5" i="2"/>
  <c r="H5" i="2" a="1"/>
  <c r="I5" i="2"/>
  <c r="K5" i="2"/>
  <c r="D6" i="2"/>
  <c r="E6" i="2"/>
  <c r="H6" i="2"/>
  <c r="I6" i="2"/>
  <c r="K6" i="2"/>
  <c r="D7" i="2"/>
  <c r="E7" i="2"/>
  <c r="H7" i="2"/>
  <c r="I7" i="2"/>
  <c r="K7" i="2"/>
  <c r="H8" i="2"/>
  <c r="I8" i="2"/>
  <c r="K8" i="2"/>
  <c r="D9" i="2"/>
  <c r="E9" i="2"/>
  <c r="H9" i="2"/>
  <c r="I9" i="2"/>
  <c r="K9" i="2"/>
  <c r="E10" i="2"/>
  <c r="H10" i="2"/>
  <c r="I10" i="2"/>
  <c r="K10" i="2"/>
  <c r="E11" i="2"/>
  <c r="H11" i="2"/>
  <c r="I11" i="2"/>
  <c r="K11" i="2"/>
  <c r="E12" i="2"/>
  <c r="H12" i="2"/>
  <c r="I12" i="2"/>
  <c r="K12" i="2"/>
  <c r="E13" i="2"/>
  <c r="H13" i="2"/>
  <c r="I13" i="2"/>
  <c r="K13" i="2"/>
  <c r="E14" i="2"/>
  <c r="H14" i="2"/>
  <c r="I14" i="2"/>
  <c r="K14" i="2"/>
  <c r="E15" i="2"/>
  <c r="H15" i="2"/>
  <c r="I15" i="2"/>
  <c r="K15" i="2"/>
  <c r="E16" i="2"/>
  <c r="E17" i="2"/>
  <c r="H17" i="2"/>
  <c r="E18" i="2"/>
  <c r="E19" i="2"/>
  <c r="E20" i="2"/>
  <c r="E21" i="2"/>
  <c r="H21" i="2"/>
  <c r="I21" i="2"/>
  <c r="E22" i="2"/>
  <c r="H22" i="2"/>
  <c r="I22" i="2"/>
  <c r="E23" i="2"/>
  <c r="H23" i="2"/>
  <c r="I23" i="2"/>
  <c r="E24" i="2"/>
  <c r="H24" i="2"/>
  <c r="I24" i="2"/>
  <c r="E25" i="2"/>
  <c r="H25" i="2"/>
  <c r="I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I10" i="3"/>
  <c r="C11" i="3"/>
  <c r="C12" i="3"/>
  <c r="D12" i="3"/>
  <c r="C15" i="3"/>
  <c r="D15" i="3"/>
  <c r="E15" i="3"/>
  <c r="I15" i="3"/>
  <c r="C16" i="3"/>
  <c r="D16" i="3"/>
  <c r="E16" i="3"/>
  <c r="I16" i="3"/>
  <c r="I16" i="3" a="1"/>
  <c r="C17" i="3"/>
  <c r="D17" i="3"/>
  <c r="E17" i="3"/>
  <c r="C26" i="3"/>
  <c r="C26" i="3" a="1"/>
  <c r="C27" i="3"/>
  <c r="C6" i="1"/>
</calcChain>
</file>

<file path=xl/comments1.xml><?xml version="1.0" encoding="utf-8"?>
<comments xmlns="http://schemas.openxmlformats.org/spreadsheetml/2006/main">
  <authors>
    <author/>
  </authors>
  <commentList>
    <comment ref="I10" authorId="0" shapeId="0">
      <text>
        <r>
          <rPr>
            <sz val="9"/>
            <color indexed="81"/>
            <rFont val="Tahoma"/>
            <family val="2"/>
          </rPr>
          <t xml:space="preserve">=1-SUM(I11:I12)
</t>
        </r>
      </text>
    </comment>
  </commentList>
</comments>
</file>

<file path=xl/sharedStrings.xml><?xml version="1.0" encoding="utf-8"?>
<sst xmlns="http://schemas.openxmlformats.org/spreadsheetml/2006/main" count="74" uniqueCount="46">
  <si>
    <t>VBSub.xls</t>
  </si>
  <si>
    <t>Factorial Subroutines</t>
  </si>
  <si>
    <t>MsgBox Subroutines</t>
  </si>
  <si>
    <t>Factorial</t>
  </si>
  <si>
    <t>Returns for months 1-62</t>
  </si>
  <si>
    <t>Summary Statistics:</t>
  </si>
  <si>
    <t>Returns</t>
  </si>
  <si>
    <t>Ln Returns</t>
  </si>
  <si>
    <t>Frequency Distribution:</t>
  </si>
  <si>
    <t>Mean</t>
  </si>
  <si>
    <t>interval</t>
  </si>
  <si>
    <t>freq</t>
  </si>
  <si>
    <t>%freq</t>
  </si>
  <si>
    <t>%cum freq</t>
  </si>
  <si>
    <t>St Dev</t>
  </si>
  <si>
    <t>Max</t>
  </si>
  <si>
    <t>Min</t>
  </si>
  <si>
    <t>Month</t>
  </si>
  <si>
    <t>Total</t>
  </si>
  <si>
    <t>via macro.</t>
  </si>
  <si>
    <t>Q points</t>
  </si>
  <si>
    <t>Q %</t>
  </si>
  <si>
    <t>Quartiles</t>
  </si>
  <si>
    <t>via Excel Fns.</t>
  </si>
  <si>
    <t>X-values</t>
  </si>
  <si>
    <t>Y-values</t>
  </si>
  <si>
    <t>quart no.</t>
  </si>
  <si>
    <t>Efficient Frontier points using Solver (no constraints on weights) Eff1</t>
  </si>
  <si>
    <t>Asset Data</t>
  </si>
  <si>
    <t>Exp Ret</t>
  </si>
  <si>
    <t>Std Dev</t>
  </si>
  <si>
    <t>TBills</t>
  </si>
  <si>
    <t>Target exp return</t>
  </si>
  <si>
    <t>target1</t>
  </si>
  <si>
    <t>min_tgt1</t>
  </si>
  <si>
    <t>Bonds</t>
  </si>
  <si>
    <t>incr1</t>
  </si>
  <si>
    <t>Shares</t>
  </si>
  <si>
    <t>niter1</t>
  </si>
  <si>
    <t>Correlation Matrix</t>
  </si>
  <si>
    <t>Efficient frontier portfolio</t>
  </si>
  <si>
    <t>change1</t>
  </si>
  <si>
    <t>VCV matrix</t>
  </si>
  <si>
    <t>portret1</t>
  </si>
  <si>
    <t>portsd1</t>
  </si>
  <si>
    <t>Efficient Frontier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</si>
</sst>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8" formatCode="_(&quot;£&quot;* #,##0_);_(&quot;£&quot;* \(#,##0\);_(&quot;£&quot;* &quot;-&quot;_);_(@_)"/>
    <numFmt numFmtId="169" formatCode="_(* #,##0_);_(* \(#,##0\);_(* &quot;-&quot;_);_(@_)"/>
    <numFmt numFmtId="170" formatCode="_(&quot;£&quot;* #,##0.00_);_(&quot;£&quot;* \(#,##0.00\);_(&quot;£&quot;* &quot;-&quot;??_);_(@_)"/>
    <numFmt numFmtId="171" formatCode="_(* #,##0.00_);_(* \(#,##0.00\);_(* &quot;-&quot;??_);_(@_)"/>
    <numFmt numFmtId="172" formatCode="0.0000"/>
    <numFmt numFmtId="174" formatCode="0.0%"/>
    <numFmt numFmtId="178" formatCode="0.000"/>
  </numFmts>
  <fonts count="7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39">
    <xf numFmtId="0" fontId="0" fillId="0" borderId="0" xfId="0"/>
    <xf numFmtId="0" fontId="2" fillId="0" borderId="0" xfId="2" applyFont="1"/>
    <xf numFmtId="0" fontId="2" fillId="0" borderId="0" xfId="2" quotePrefix="1" applyFont="1" applyAlignment="1">
      <alignment horizontal="right"/>
    </xf>
    <xf numFmtId="0" fontId="2" fillId="0" borderId="0" xfId="2" applyFont="1" applyAlignment="1">
      <alignment horizontal="right"/>
    </xf>
    <xf numFmtId="174" fontId="3" fillId="0" borderId="0" xfId="2" applyNumberFormat="1" applyFont="1"/>
    <xf numFmtId="2" fontId="3" fillId="0" borderId="0" xfId="2" applyNumberFormat="1" applyFont="1"/>
    <xf numFmtId="2" fontId="2" fillId="0" borderId="0" xfId="2" applyNumberFormat="1" applyFont="1"/>
    <xf numFmtId="0" fontId="3" fillId="0" borderId="0" xfId="2" quotePrefix="1" applyFont="1" applyAlignment="1">
      <alignment horizontal="left"/>
    </xf>
    <xf numFmtId="0" fontId="3" fillId="0" borderId="0" xfId="2" applyFont="1"/>
    <xf numFmtId="0" fontId="3" fillId="0" borderId="0" xfId="1" applyFont="1"/>
    <xf numFmtId="0" fontId="2" fillId="0" borderId="0" xfId="1" applyFont="1"/>
    <xf numFmtId="0" fontId="2" fillId="0" borderId="0" xfId="0" applyFont="1"/>
    <xf numFmtId="0" fontId="2" fillId="0" borderId="0" xfId="0" applyFont="1" applyAlignment="1">
      <alignment horizontal="centerContinuous"/>
    </xf>
    <xf numFmtId="10" fontId="2" fillId="0" borderId="0" xfId="0" quotePrefix="1" applyNumberFormat="1" applyFont="1"/>
    <xf numFmtId="172" fontId="2" fillId="0" borderId="0" xfId="0" applyNumberFormat="1" applyFont="1"/>
    <xf numFmtId="0" fontId="2" fillId="0" borderId="0" xfId="1" applyFont="1" applyAlignment="1">
      <alignment horizontal="center"/>
    </xf>
    <xf numFmtId="10" fontId="2" fillId="0" borderId="0" xfId="0" applyNumberFormat="1" applyFont="1"/>
    <xf numFmtId="2" fontId="2" fillId="0" borderId="0" xfId="1" applyNumberFormat="1" applyFont="1"/>
    <xf numFmtId="0" fontId="2" fillId="0" borderId="0" xfId="1" applyFont="1" applyBorder="1"/>
    <xf numFmtId="9" fontId="2" fillId="0" borderId="0" xfId="1" applyNumberFormat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7" fontId="2" fillId="0" borderId="0" xfId="0" applyNumberFormat="1" applyFont="1"/>
    <xf numFmtId="1" fontId="2" fillId="0" borderId="0" xfId="0" applyNumberFormat="1" applyFont="1"/>
    <xf numFmtId="2" fontId="2" fillId="0" borderId="0" xfId="0" applyNumberFormat="1" applyFont="1"/>
    <xf numFmtId="0" fontId="2" fillId="0" borderId="0" xfId="0" applyFont="1" applyAlignment="1">
      <alignment horizontal="center"/>
    </xf>
    <xf numFmtId="178" fontId="2" fillId="0" borderId="0" xfId="0" applyNumberFormat="1" applyFont="1"/>
    <xf numFmtId="9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Continuous"/>
    </xf>
    <xf numFmtId="0" fontId="2" fillId="0" borderId="0" xfId="0" applyNumberFormat="1" applyFont="1"/>
    <xf numFmtId="0" fontId="3" fillId="0" borderId="0" xfId="0" applyFont="1" applyAlignment="1">
      <alignment horizontal="left"/>
    </xf>
    <xf numFmtId="0" fontId="2" fillId="0" borderId="0" xfId="0" quotePrefix="1" applyFont="1" applyAlignment="1">
      <alignment horizontal="left"/>
    </xf>
    <xf numFmtId="0" fontId="2" fillId="0" borderId="0" xfId="0" quotePrefix="1" applyFont="1" applyAlignment="1">
      <alignment horizontal="right"/>
    </xf>
    <xf numFmtId="0" fontId="3" fillId="0" borderId="0" xfId="0" quotePrefix="1" applyFont="1" applyAlignment="1">
      <alignment horizontal="left"/>
    </xf>
    <xf numFmtId="2" fontId="3" fillId="0" borderId="0" xfId="0" applyNumberFormat="1" applyFont="1"/>
    <xf numFmtId="174" fontId="2" fillId="0" borderId="0" xfId="0" applyNumberFormat="1" applyFont="1"/>
    <xf numFmtId="174" fontId="3" fillId="0" borderId="0" xfId="0" applyNumberFormat="1" applyFont="1"/>
    <xf numFmtId="172" fontId="2" fillId="0" borderId="0" xfId="2" applyNumberFormat="1" applyFont="1"/>
  </cellXfs>
  <cellStyles count="3">
    <cellStyle name="Normal" xfId="0" builtinId="0"/>
    <cellStyle name="Normal_AMFExcel" xfId="1"/>
    <cellStyle name="Normal_Efficient Frontier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Cumulative Distribution</a:t>
            </a:r>
          </a:p>
        </c:rich>
      </c:tx>
      <c:layout>
        <c:manualLayout>
          <c:xMode val="edge"/>
          <c:yMode val="edge"/>
          <c:x val="0.31588612159226942"/>
          <c:y val="4.213617153550391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313244739838231"/>
          <c:y val="0.21910809198462036"/>
          <c:w val="0.73488532950740393"/>
          <c:h val="0.6348516511349257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Data!$K$20:$K$24</c:f>
              <c:numCache>
                <c:formatCode>0.00</c:formatCode>
                <c:ptCount val="5"/>
              </c:numCache>
            </c:numRef>
          </c:xVal>
          <c:yVal>
            <c:numRef>
              <c:f>Data!$L$20:$L$24</c:f>
              <c:numCache>
                <c:formatCode>0.00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69-4239-974C-59E9D9BAC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519375"/>
        <c:axId val="1"/>
      </c:scatterChart>
      <c:valAx>
        <c:axId val="792519375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"/>
        </c:scaling>
        <c:delete val="0"/>
        <c:axPos val="l"/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P(X&gt;x)</a:t>
                </a:r>
              </a:p>
            </c:rich>
          </c:tx>
          <c:layout>
            <c:manualLayout>
              <c:xMode val="edge"/>
              <c:yMode val="edge"/>
              <c:x val="3.9281175742043865E-2"/>
              <c:y val="0.4354071058668738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2519375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GB"/>
              <a:t>Cumulative Frequency</a:t>
            </a:r>
          </a:p>
        </c:rich>
      </c:tx>
      <c:layout>
        <c:manualLayout>
          <c:xMode val="edge"/>
          <c:yMode val="edge"/>
          <c:x val="0.34556135136803501"/>
          <c:y val="2.711964282980164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2829336612370001E-2"/>
          <c:y val="0.19322745516233675"/>
          <c:w val="0.89008226867524176"/>
          <c:h val="0.70172075822111757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Data!$G$5:$G$14</c:f>
              <c:numCache>
                <c:formatCode>0.00</c:formatCode>
                <c:ptCount val="10"/>
                <c:pt idx="0">
                  <c:v>-0.16</c:v>
                </c:pt>
                <c:pt idx="1">
                  <c:v>-0.12</c:v>
                </c:pt>
                <c:pt idx="2">
                  <c:v>-0.08</c:v>
                </c:pt>
                <c:pt idx="3">
                  <c:v>-0.04</c:v>
                </c:pt>
                <c:pt idx="4">
                  <c:v>0</c:v>
                </c:pt>
                <c:pt idx="5">
                  <c:v>0.04</c:v>
                </c:pt>
                <c:pt idx="6">
                  <c:v>0.08</c:v>
                </c:pt>
                <c:pt idx="7">
                  <c:v>0.12</c:v>
                </c:pt>
                <c:pt idx="8">
                  <c:v>0.16</c:v>
                </c:pt>
                <c:pt idx="9">
                  <c:v>0.2</c:v>
                </c:pt>
              </c:numCache>
            </c:numRef>
          </c:xVal>
          <c:yVal>
            <c:numRef>
              <c:f>Data!$K$5:$K$14</c:f>
              <c:numCache>
                <c:formatCode>0%</c:formatCode>
                <c:ptCount val="10"/>
                <c:pt idx="0">
                  <c:v>0</c:v>
                </c:pt>
                <c:pt idx="1">
                  <c:v>9.6774193548387094E-2</c:v>
                </c:pt>
                <c:pt idx="2">
                  <c:v>0.16129032258064516</c:v>
                </c:pt>
                <c:pt idx="3">
                  <c:v>0.27419354838709675</c:v>
                </c:pt>
                <c:pt idx="4">
                  <c:v>0.43548387096774188</c:v>
                </c:pt>
                <c:pt idx="5">
                  <c:v>0.5161290322580645</c:v>
                </c:pt>
                <c:pt idx="6">
                  <c:v>0.77419354838709675</c:v>
                </c:pt>
                <c:pt idx="7">
                  <c:v>0.91935483870967738</c:v>
                </c:pt>
                <c:pt idx="8">
                  <c:v>0.9838709677419355</c:v>
                </c:pt>
                <c:pt idx="9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47-4814-A39B-2157A9910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522287"/>
        <c:axId val="1"/>
      </c:scatterChart>
      <c:valAx>
        <c:axId val="792522287"/>
        <c:scaling>
          <c:orientation val="minMax"/>
          <c:max val="0.2"/>
          <c:min val="-0.2"/>
        </c:scaling>
        <c:delete val="0"/>
        <c:axPos val="b"/>
        <c:title>
          <c:tx>
            <c:rich>
              <a:bodyPr/>
              <a:lstStyle/>
              <a:p>
                <a:pPr>
                  <a:defRPr sz="5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ln(return)</a:t>
                </a:r>
              </a:p>
            </c:rich>
          </c:tx>
          <c:layout>
            <c:manualLayout>
              <c:xMode val="edge"/>
              <c:yMode val="edge"/>
              <c:x val="0.78711196700496866"/>
              <c:y val="0.73562031175836973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ax val="1"/>
        </c:scaling>
        <c:delete val="0"/>
        <c:axPos val="l"/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92522287"/>
        <c:crosses val="autoZero"/>
        <c:crossBetween val="midCat"/>
        <c:majorUnit val="0.25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GB"/>
              <a:t>Cumulative Frequency from quartiles</a:t>
            </a:r>
          </a:p>
        </c:rich>
      </c:tx>
      <c:layout>
        <c:manualLayout>
          <c:xMode val="edge"/>
          <c:yMode val="edge"/>
          <c:x val="0.254274130339115"/>
          <c:y val="2.693686005510802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9968049287944395E-2"/>
          <c:y val="0.19192512789264468"/>
          <c:w val="0.87545388499306043"/>
          <c:h val="0.65321885633636956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Data!$H$21:$H$25</c:f>
              <c:numCache>
                <c:formatCode>0.000</c:formatCode>
                <c:ptCount val="5"/>
                <c:pt idx="0">
                  <c:v>-0.1532677364032175</c:v>
                </c:pt>
                <c:pt idx="1">
                  <c:v>-4.3325190151075089E-2</c:v>
                </c:pt>
                <c:pt idx="2">
                  <c:v>2.844053880401657E-2</c:v>
                </c:pt>
                <c:pt idx="3">
                  <c:v>7.4782741214428239E-2</c:v>
                </c:pt>
                <c:pt idx="4">
                  <c:v>0.19251938177040057</c:v>
                </c:pt>
              </c:numCache>
            </c:numRef>
          </c:xVal>
          <c:yVal>
            <c:numRef>
              <c:f>Data!$I$21:$I$25</c:f>
              <c:numCache>
                <c:formatCode>0%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9D-4717-802D-FD48254D2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522703"/>
        <c:axId val="1"/>
      </c:scatterChart>
      <c:valAx>
        <c:axId val="792522703"/>
        <c:scaling>
          <c:orientation val="minMax"/>
          <c:max val="0.2"/>
          <c:min val="-0.2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ln(return)</a:t>
                </a:r>
              </a:p>
            </c:rich>
          </c:tx>
          <c:layout>
            <c:manualLayout>
              <c:xMode val="edge"/>
              <c:yMode val="edge"/>
              <c:x val="0.78842045783000758"/>
              <c:y val="0.7609662965568017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  <c:majorUnit val="0.1"/>
      </c:valAx>
      <c:valAx>
        <c:axId val="1"/>
        <c:scaling>
          <c:orientation val="minMax"/>
          <c:max val="1"/>
        </c:scaling>
        <c:delete val="0"/>
        <c:axPos val="l"/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92522703"/>
        <c:crosses val="autoZero"/>
        <c:crossBetween val="midCat"/>
        <c:majorUnit val="0.25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Normal Probability Plot</a:t>
            </a:r>
          </a:p>
        </c:rich>
      </c:tx>
      <c:layout>
        <c:manualLayout>
          <c:xMode val="edge"/>
          <c:yMode val="edge"/>
          <c:x val="0.40551724137931033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4.3448275862068966E-2"/>
          <c:y val="0.14140271493212669"/>
          <c:w val="0.93724137931034479"/>
          <c:h val="0.78167420814479638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Data!$Z$10:$Z$71</c:f>
              <c:numCache>
                <c:formatCode>0.00</c:formatCode>
                <c:ptCount val="62"/>
                <c:pt idx="0">
                  <c:v>0.66999078669389844</c:v>
                </c:pt>
                <c:pt idx="1">
                  <c:v>-1.710056352859346</c:v>
                </c:pt>
                <c:pt idx="2">
                  <c:v>0.75242614536255137</c:v>
                </c:pt>
                <c:pt idx="3">
                  <c:v>1.0824607136494737</c:v>
                </c:pt>
                <c:pt idx="4">
                  <c:v>-1.7354594304643387</c:v>
                </c:pt>
                <c:pt idx="5">
                  <c:v>-1.2559939356968</c:v>
                </c:pt>
                <c:pt idx="6">
                  <c:v>-0.54654209536967735</c:v>
                </c:pt>
                <c:pt idx="7">
                  <c:v>0.99991640105668678</c:v>
                </c:pt>
                <c:pt idx="8">
                  <c:v>1.3047430391890262</c:v>
                </c:pt>
                <c:pt idx="9">
                  <c:v>0.75011146541714802</c:v>
                </c:pt>
                <c:pt idx="10">
                  <c:v>0.54118816722425278</c:v>
                </c:pt>
                <c:pt idx="11">
                  <c:v>-1.7340467900924348</c:v>
                </c:pt>
                <c:pt idx="12">
                  <c:v>0.36815124293381879</c:v>
                </c:pt>
                <c:pt idx="13">
                  <c:v>-0.56710727865068455</c:v>
                </c:pt>
                <c:pt idx="14">
                  <c:v>-0.34399765218517142</c:v>
                </c:pt>
                <c:pt idx="15">
                  <c:v>1.4303182467543367</c:v>
                </c:pt>
                <c:pt idx="16">
                  <c:v>0.4431125158990224</c:v>
                </c:pt>
                <c:pt idx="17">
                  <c:v>0.36098851917417585</c:v>
                </c:pt>
                <c:pt idx="18">
                  <c:v>2.2201994594349146</c:v>
                </c:pt>
                <c:pt idx="19">
                  <c:v>-1.7623300441011858</c:v>
                </c:pt>
                <c:pt idx="20">
                  <c:v>1.0010508437290495</c:v>
                </c:pt>
                <c:pt idx="21">
                  <c:v>-0.73416474987520053</c:v>
                </c:pt>
                <c:pt idx="22">
                  <c:v>1.2648235742926013</c:v>
                </c:pt>
                <c:pt idx="23">
                  <c:v>-0.36043496805680375</c:v>
                </c:pt>
                <c:pt idx="24">
                  <c:v>0.15510212962598796</c:v>
                </c:pt>
                <c:pt idx="25">
                  <c:v>-2.0922830322903136</c:v>
                </c:pt>
                <c:pt idx="26">
                  <c:v>0.47746764280460963</c:v>
                </c:pt>
                <c:pt idx="27">
                  <c:v>-0.48249360050228246</c:v>
                </c:pt>
                <c:pt idx="28">
                  <c:v>-1.1827994252495428</c:v>
                </c:pt>
                <c:pt idx="29">
                  <c:v>1.3390160416378625</c:v>
                </c:pt>
                <c:pt idx="30">
                  <c:v>1.4039862327282933</c:v>
                </c:pt>
                <c:pt idx="31">
                  <c:v>-0.91671293356941808</c:v>
                </c:pt>
                <c:pt idx="32">
                  <c:v>0.67348501847300735</c:v>
                </c:pt>
                <c:pt idx="33">
                  <c:v>-0.72373925667872563</c:v>
                </c:pt>
                <c:pt idx="34">
                  <c:v>0.39080610022620366</c:v>
                </c:pt>
                <c:pt idx="35">
                  <c:v>-1.6790782516637124</c:v>
                </c:pt>
                <c:pt idx="36">
                  <c:v>-0.11488076540138754</c:v>
                </c:pt>
                <c:pt idx="37">
                  <c:v>0.43124394295340734</c:v>
                </c:pt>
                <c:pt idx="38">
                  <c:v>-0.43530858242253417</c:v>
                </c:pt>
                <c:pt idx="39">
                  <c:v>0.59638485687792753</c:v>
                </c:pt>
                <c:pt idx="40">
                  <c:v>1.3213385113783571</c:v>
                </c:pt>
                <c:pt idx="41">
                  <c:v>0.13566287306873909</c:v>
                </c:pt>
                <c:pt idx="42">
                  <c:v>1.0813336524666528</c:v>
                </c:pt>
                <c:pt idx="43">
                  <c:v>-0.15713178701350231</c:v>
                </c:pt>
                <c:pt idx="44">
                  <c:v>-0.39337473560677733</c:v>
                </c:pt>
                <c:pt idx="45">
                  <c:v>-1.5420121013587995</c:v>
                </c:pt>
                <c:pt idx="46">
                  <c:v>-0.36929481199466402</c:v>
                </c:pt>
                <c:pt idx="47">
                  <c:v>0.19267968255458651</c:v>
                </c:pt>
                <c:pt idx="48">
                  <c:v>-0.50039404822783762</c:v>
                </c:pt>
                <c:pt idx="49">
                  <c:v>0.39795172428151387</c:v>
                </c:pt>
                <c:pt idx="50">
                  <c:v>0.94875938133494864</c:v>
                </c:pt>
                <c:pt idx="51">
                  <c:v>-0.66007257884964132</c:v>
                </c:pt>
                <c:pt idx="52">
                  <c:v>-0.9870273863055572</c:v>
                </c:pt>
                <c:pt idx="53">
                  <c:v>-0.7133224713497881</c:v>
                </c:pt>
                <c:pt idx="54">
                  <c:v>0.50582807687935694</c:v>
                </c:pt>
                <c:pt idx="55">
                  <c:v>-1.3104903978089364</c:v>
                </c:pt>
                <c:pt idx="56">
                  <c:v>0.68861538677276513</c:v>
                </c:pt>
                <c:pt idx="57">
                  <c:v>0.8274203311104732</c:v>
                </c:pt>
                <c:pt idx="58">
                  <c:v>-0.72504196681831501</c:v>
                </c:pt>
                <c:pt idx="59">
                  <c:v>0.95445386821988276</c:v>
                </c:pt>
                <c:pt idx="60">
                  <c:v>0.77439420506299939</c:v>
                </c:pt>
                <c:pt idx="61">
                  <c:v>-0.74981934880515566</c:v>
                </c:pt>
              </c:numCache>
            </c:numRef>
          </c:xVal>
          <c:yVal>
            <c:numRef>
              <c:f>Data!$AA$10:$AA$71</c:f>
              <c:numCache>
                <c:formatCode>0.00</c:formatCode>
                <c:ptCount val="62"/>
                <c:pt idx="0">
                  <c:v>0.48099195737449918</c:v>
                </c:pt>
                <c:pt idx="1">
                  <c:v>-1.444514055037871</c:v>
                </c:pt>
                <c:pt idx="2">
                  <c:v>0.67133328229829203</c:v>
                </c:pt>
                <c:pt idx="3">
                  <c:v>1.1626298146438785</c:v>
                </c:pt>
                <c:pt idx="4">
                  <c:v>-1.7260572349186987</c:v>
                </c:pt>
                <c:pt idx="5">
                  <c:v>-1.0868370736716315</c:v>
                </c:pt>
                <c:pt idx="6">
                  <c:v>-0.48099195737449918</c:v>
                </c:pt>
                <c:pt idx="7">
                  <c:v>0.95147015599650331</c:v>
                </c:pt>
                <c:pt idx="8">
                  <c:v>1.3385329111770261</c:v>
                </c:pt>
                <c:pt idx="9">
                  <c:v>0.62170329329092056</c:v>
                </c:pt>
                <c:pt idx="10">
                  <c:v>0.39237761484400835</c:v>
                </c:pt>
                <c:pt idx="11">
                  <c:v>-1.5697833077865653</c:v>
                </c:pt>
                <c:pt idx="12">
                  <c:v>0.10083795132231899</c:v>
                </c:pt>
                <c:pt idx="13">
                  <c:v>-0.52671111916424707</c:v>
                </c:pt>
                <c:pt idx="14">
                  <c:v>-0.18220589481643401</c:v>
                </c:pt>
                <c:pt idx="15">
                  <c:v>1.9414073904044926</c:v>
                </c:pt>
                <c:pt idx="16">
                  <c:v>0.26479938242118806</c:v>
                </c:pt>
                <c:pt idx="17">
                  <c:v>6.0437059801188298E-2</c:v>
                </c:pt>
                <c:pt idx="18">
                  <c:v>2.3248503566719592</c:v>
                </c:pt>
                <c:pt idx="19">
                  <c:v>-1.9414073904044926</c:v>
                </c:pt>
                <c:pt idx="20">
                  <c:v>1.0168241715291515</c:v>
                </c:pt>
                <c:pt idx="21">
                  <c:v>-0.7759967957099434</c:v>
                </c:pt>
                <c:pt idx="22">
                  <c:v>1.245762177859433</c:v>
                </c:pt>
                <c:pt idx="23">
                  <c:v>-0.22331164473143872</c:v>
                </c:pt>
                <c:pt idx="24">
                  <c:v>-2.0135075828875415E-2</c:v>
                </c:pt>
                <c:pt idx="25">
                  <c:v>-2.3248503566719592</c:v>
                </c:pt>
                <c:pt idx="26">
                  <c:v>0.30674755180370994</c:v>
                </c:pt>
                <c:pt idx="27">
                  <c:v>-0.39237761484400835</c:v>
                </c:pt>
                <c:pt idx="28">
                  <c:v>-1.0168241715291515</c:v>
                </c:pt>
                <c:pt idx="29">
                  <c:v>1.5697833077865653</c:v>
                </c:pt>
                <c:pt idx="30">
                  <c:v>1.7260572349186987</c:v>
                </c:pt>
                <c:pt idx="31">
                  <c:v>-0.88994738689507358</c:v>
                </c:pt>
                <c:pt idx="32">
                  <c:v>0.52671111916424707</c:v>
                </c:pt>
                <c:pt idx="33">
                  <c:v>-0.67133328229829203</c:v>
                </c:pt>
                <c:pt idx="34">
                  <c:v>0.14140482562652323</c:v>
                </c:pt>
                <c:pt idx="35">
                  <c:v>-1.3385329111770261</c:v>
                </c:pt>
                <c:pt idx="36">
                  <c:v>-0.10083795132231899</c:v>
                </c:pt>
                <c:pt idx="37">
                  <c:v>0.22331164473143872</c:v>
                </c:pt>
                <c:pt idx="38">
                  <c:v>-0.34924141800729558</c:v>
                </c:pt>
                <c:pt idx="39">
                  <c:v>0.43625732359942049</c:v>
                </c:pt>
                <c:pt idx="40">
                  <c:v>1.444514055037871</c:v>
                </c:pt>
                <c:pt idx="41">
                  <c:v>-6.0437059801188298E-2</c:v>
                </c:pt>
                <c:pt idx="42">
                  <c:v>1.0868370736716315</c:v>
                </c:pt>
                <c:pt idx="43">
                  <c:v>-0.14140482562652323</c:v>
                </c:pt>
                <c:pt idx="44">
                  <c:v>-0.30674755180370994</c:v>
                </c:pt>
                <c:pt idx="45">
                  <c:v>-1.245762177859433</c:v>
                </c:pt>
                <c:pt idx="46">
                  <c:v>-0.26479938242118806</c:v>
                </c:pt>
                <c:pt idx="47">
                  <c:v>2.0135075828875415E-2</c:v>
                </c:pt>
                <c:pt idx="48">
                  <c:v>-0.43625732359942049</c:v>
                </c:pt>
                <c:pt idx="49">
                  <c:v>0.18220589481643401</c:v>
                </c:pt>
                <c:pt idx="50">
                  <c:v>0.83162149167037569</c:v>
                </c:pt>
                <c:pt idx="51">
                  <c:v>-0.57356146498932503</c:v>
                </c:pt>
                <c:pt idx="52">
                  <c:v>-0.95147015599650331</c:v>
                </c:pt>
                <c:pt idx="53">
                  <c:v>-0.62170329329092056</c:v>
                </c:pt>
                <c:pt idx="54">
                  <c:v>0.34924141800729558</c:v>
                </c:pt>
                <c:pt idx="55">
                  <c:v>-1.1626298146438785</c:v>
                </c:pt>
                <c:pt idx="56">
                  <c:v>0.57356146498932503</c:v>
                </c:pt>
                <c:pt idx="57">
                  <c:v>0.7759967957099434</c:v>
                </c:pt>
                <c:pt idx="58">
                  <c:v>-0.72267539508175105</c:v>
                </c:pt>
                <c:pt idx="59">
                  <c:v>0.88994738689507358</c:v>
                </c:pt>
                <c:pt idx="60">
                  <c:v>0.72267539508175105</c:v>
                </c:pt>
                <c:pt idx="61">
                  <c:v>-0.83162149167037569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32-480E-AB6E-80F67AD3A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2525199"/>
        <c:axId val="1"/>
      </c:scatterChart>
      <c:valAx>
        <c:axId val="7925251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z score</a:t>
                </a:r>
              </a:p>
            </c:rich>
          </c:tx>
          <c:layout>
            <c:manualLayout>
              <c:xMode val="edge"/>
              <c:yMode val="edge"/>
              <c:x val="0.48620689655172411"/>
              <c:y val="0.9411764705882352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normscore</a:t>
                </a:r>
              </a:p>
            </c:rich>
          </c:tx>
          <c:layout>
            <c:manualLayout>
              <c:xMode val="edge"/>
              <c:yMode val="edge"/>
              <c:x val="1.0344827586206896E-2"/>
              <c:y val="0.4705882352941176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2525199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5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171450</xdr:colOff>
      <xdr:row>42</xdr:row>
      <xdr:rowOff>127000</xdr:rowOff>
    </xdr:from>
    <xdr:to>
      <xdr:col>16</xdr:col>
      <xdr:colOff>133350</xdr:colOff>
      <xdr:row>56</xdr:row>
      <xdr:rowOff>76200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2EFC4685-E739-4AF2-9C89-124F0D230A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400050</xdr:colOff>
      <xdr:row>3</xdr:row>
      <xdr:rowOff>88900</xdr:rowOff>
    </xdr:from>
    <xdr:to>
      <xdr:col>17</xdr:col>
      <xdr:colOff>190500</xdr:colOff>
      <xdr:row>14</xdr:row>
      <xdr:rowOff>146050</xdr:rowOff>
    </xdr:to>
    <xdr:graphicFrame macro="">
      <xdr:nvGraphicFramePr>
        <xdr:cNvPr id="1041" name="Chart 17">
          <a:extLst>
            <a:ext uri="{FF2B5EF4-FFF2-40B4-BE49-F238E27FC236}">
              <a16:creationId xmlns:a16="http://schemas.microsoft.com/office/drawing/2014/main" id="{648A4475-17A6-4E9F-AC60-301AD9A82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527050</xdr:colOff>
      <xdr:row>16</xdr:row>
      <xdr:rowOff>0</xdr:rowOff>
    </xdr:from>
    <xdr:to>
      <xdr:col>15</xdr:col>
      <xdr:colOff>323850</xdr:colOff>
      <xdr:row>27</xdr:row>
      <xdr:rowOff>69850</xdr:rowOff>
    </xdr:to>
    <xdr:graphicFrame macro="">
      <xdr:nvGraphicFramePr>
        <xdr:cNvPr id="1042" name="Chart 18">
          <a:extLst>
            <a:ext uri="{FF2B5EF4-FFF2-40B4-BE49-F238E27FC236}">
              <a16:creationId xmlns:a16="http://schemas.microsoft.com/office/drawing/2014/main" id="{1A192A68-A698-4394-9E27-F96B40A882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ADADE1-D618-4BBE-B1C2-78B90A14E74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workbookViewId="0"/>
  </sheetViews>
  <sheetFormatPr defaultColWidth="9.1796875" defaultRowHeight="13" x14ac:dyDescent="0.3"/>
  <cols>
    <col min="1" max="16384" width="9.1796875" style="11"/>
  </cols>
  <sheetData>
    <row r="1" spans="1:10" x14ac:dyDescent="0.3">
      <c r="A1" s="28" t="s">
        <v>0</v>
      </c>
    </row>
    <row r="2" spans="1:10" x14ac:dyDescent="0.3">
      <c r="B2" s="11" t="s">
        <v>1</v>
      </c>
      <c r="E2" s="11" t="s">
        <v>2</v>
      </c>
    </row>
    <row r="3" spans="1:10" x14ac:dyDescent="0.3">
      <c r="G3" s="30"/>
      <c r="H3" s="30"/>
    </row>
    <row r="4" spans="1:10" x14ac:dyDescent="0.3">
      <c r="B4" s="11">
        <v>3</v>
      </c>
      <c r="C4" s="11" t="s">
        <v>3</v>
      </c>
      <c r="E4" s="30"/>
      <c r="F4" s="30"/>
      <c r="G4" s="30"/>
      <c r="H4" s="30"/>
      <c r="I4" s="30"/>
      <c r="J4" s="30"/>
    </row>
    <row r="5" spans="1:10" x14ac:dyDescent="0.3">
      <c r="B5" s="11">
        <v>8</v>
      </c>
      <c r="E5" s="30"/>
      <c r="F5" s="30"/>
      <c r="G5" s="30"/>
      <c r="H5" s="30"/>
      <c r="I5" s="30"/>
    </row>
    <row r="6" spans="1:10" x14ac:dyDescent="0.3">
      <c r="B6" s="11">
        <v>4</v>
      </c>
      <c r="C6" s="11">
        <f>FACT(B6)</f>
        <v>24</v>
      </c>
      <c r="E6" s="30"/>
      <c r="F6" s="30"/>
      <c r="G6" s="30"/>
      <c r="H6" s="30"/>
    </row>
    <row r="7" spans="1:10" x14ac:dyDescent="0.3">
      <c r="E7" s="30"/>
      <c r="F7" s="30"/>
      <c r="G7" s="30"/>
      <c r="H7" s="30"/>
    </row>
    <row r="8" spans="1:10" x14ac:dyDescent="0.3">
      <c r="D8" s="30"/>
      <c r="E8" s="30"/>
      <c r="G8" s="30"/>
    </row>
    <row r="9" spans="1:10" x14ac:dyDescent="0.3">
      <c r="D9" s="30"/>
      <c r="E9" s="30"/>
      <c r="G9" s="30"/>
    </row>
    <row r="10" spans="1:10" x14ac:dyDescent="0.3">
      <c r="E10" s="30"/>
      <c r="F10" s="30"/>
      <c r="G10" s="30"/>
    </row>
    <row r="11" spans="1:10" x14ac:dyDescent="0.3">
      <c r="E11" s="30"/>
      <c r="F11" s="30"/>
      <c r="G11" s="30"/>
      <c r="H11" s="30"/>
    </row>
    <row r="12" spans="1:10" x14ac:dyDescent="0.3">
      <c r="B12" s="11">
        <v>3</v>
      </c>
      <c r="E12" s="30"/>
      <c r="F12" s="30"/>
      <c r="G12" s="30"/>
      <c r="I12" s="30"/>
      <c r="J12" s="30"/>
    </row>
    <row r="13" spans="1:10" x14ac:dyDescent="0.3">
      <c r="B13" s="11">
        <v>5</v>
      </c>
      <c r="E13" s="30"/>
      <c r="F13" s="30"/>
      <c r="G13" s="30"/>
      <c r="H13" s="30"/>
    </row>
    <row r="14" spans="1:10" x14ac:dyDescent="0.3">
      <c r="B14" s="11">
        <v>7</v>
      </c>
      <c r="D14" s="30"/>
      <c r="E14" s="30"/>
      <c r="F14" s="30"/>
      <c r="G14" s="30"/>
      <c r="I14" s="30"/>
      <c r="J14" s="30"/>
    </row>
    <row r="15" spans="1:10" x14ac:dyDescent="0.3">
      <c r="B15" s="11">
        <v>8</v>
      </c>
      <c r="D15" s="30"/>
      <c r="F15" s="30"/>
      <c r="G15" s="30"/>
      <c r="H15" s="30"/>
    </row>
    <row r="16" spans="1:10" x14ac:dyDescent="0.3">
      <c r="E16" s="30"/>
      <c r="F16" s="30"/>
      <c r="G16" s="30"/>
      <c r="H16" s="30"/>
    </row>
    <row r="17" spans="5:10" x14ac:dyDescent="0.3">
      <c r="E17" s="30"/>
      <c r="F17" s="30"/>
      <c r="G17" s="30"/>
      <c r="H17" s="30"/>
    </row>
    <row r="18" spans="5:10" x14ac:dyDescent="0.3">
      <c r="E18" s="30"/>
      <c r="F18" s="30"/>
    </row>
    <row r="19" spans="5:10" x14ac:dyDescent="0.3">
      <c r="E19" s="30"/>
      <c r="F19" s="30"/>
    </row>
    <row r="20" spans="5:10" x14ac:dyDescent="0.3">
      <c r="E20" s="30"/>
      <c r="F20" s="30"/>
    </row>
    <row r="21" spans="5:10" x14ac:dyDescent="0.3">
      <c r="E21" s="30"/>
      <c r="F21" s="30"/>
      <c r="G21" s="30"/>
      <c r="J21" s="30"/>
    </row>
    <row r="22" spans="5:10" x14ac:dyDescent="0.3">
      <c r="E22" s="30"/>
      <c r="F22" s="30"/>
    </row>
    <row r="23" spans="5:10" x14ac:dyDescent="0.3">
      <c r="E23" s="30"/>
      <c r="F23" s="30"/>
      <c r="G23" s="30"/>
      <c r="H23" s="30"/>
      <c r="I23" s="30"/>
    </row>
    <row r="24" spans="5:10" x14ac:dyDescent="0.3">
      <c r="E24" s="30"/>
      <c r="F24" s="30"/>
      <c r="G24" s="30"/>
      <c r="H24" s="30"/>
    </row>
    <row r="25" spans="5:10" x14ac:dyDescent="0.3">
      <c r="E25" s="30"/>
      <c r="F25" s="30"/>
    </row>
    <row r="26" spans="5:10" x14ac:dyDescent="0.3">
      <c r="E26" s="30"/>
      <c r="F26" s="30"/>
      <c r="G26" s="30"/>
      <c r="H26" s="30"/>
    </row>
    <row r="27" spans="5:10" x14ac:dyDescent="0.3">
      <c r="G27" s="30"/>
      <c r="H27" s="30"/>
    </row>
    <row r="28" spans="5:10" x14ac:dyDescent="0.3">
      <c r="G28" s="30"/>
      <c r="H28" s="30"/>
    </row>
    <row r="29" spans="5:10" x14ac:dyDescent="0.3">
      <c r="G29" s="30"/>
      <c r="H29" s="30"/>
    </row>
    <row r="30" spans="5:10" x14ac:dyDescent="0.3">
      <c r="G30" s="30"/>
      <c r="H30" s="30"/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3"/>
  <sheetViews>
    <sheetView workbookViewId="0"/>
  </sheetViews>
  <sheetFormatPr defaultColWidth="9.1796875" defaultRowHeight="13" x14ac:dyDescent="0.3"/>
  <cols>
    <col min="1" max="2" width="8.7265625" style="11" customWidth="1"/>
    <col min="3" max="3" width="4.7265625" style="11" customWidth="1"/>
    <col min="4" max="5" width="8.7265625" style="11" customWidth="1"/>
    <col min="6" max="6" width="4.7265625" style="11" customWidth="1"/>
    <col min="7" max="9" width="8.453125" style="11" customWidth="1"/>
    <col min="10" max="10" width="9.26953125" style="11" customWidth="1"/>
    <col min="11" max="11" width="10.1796875" style="11" customWidth="1"/>
    <col min="12" max="16384" width="9.1796875" style="11"/>
  </cols>
  <sheetData>
    <row r="1" spans="1:27" x14ac:dyDescent="0.3">
      <c r="A1" s="28" t="s">
        <v>0</v>
      </c>
    </row>
    <row r="2" spans="1:27" x14ac:dyDescent="0.3">
      <c r="A2" s="28" t="s">
        <v>4</v>
      </c>
      <c r="B2" s="28"/>
      <c r="C2" s="28"/>
      <c r="D2" s="28"/>
      <c r="E2" s="28"/>
      <c r="F2" s="28"/>
      <c r="G2" s="28"/>
      <c r="H2" s="28"/>
    </row>
    <row r="3" spans="1:27" x14ac:dyDescent="0.3">
      <c r="A3" s="28" t="s">
        <v>5</v>
      </c>
      <c r="B3" s="28"/>
      <c r="C3" s="28"/>
      <c r="D3" s="29" t="s">
        <v>6</v>
      </c>
      <c r="E3" s="29" t="s">
        <v>7</v>
      </c>
      <c r="F3" s="28"/>
      <c r="G3" s="9" t="s">
        <v>8</v>
      </c>
      <c r="H3" s="9"/>
      <c r="I3" s="10"/>
      <c r="J3" s="9" t="s">
        <v>8</v>
      </c>
    </row>
    <row r="4" spans="1:27" x14ac:dyDescent="0.3">
      <c r="B4" s="11" t="s">
        <v>9</v>
      </c>
      <c r="D4" s="13">
        <f t="shared" ref="D4:E4" si="0">AVERAGE(D10:D71)</f>
        <v>1.7796774193548397E-2</v>
      </c>
      <c r="E4" s="14">
        <f t="shared" si="0"/>
        <v>1.4497471114133683E-2</v>
      </c>
      <c r="G4" s="15" t="s">
        <v>10</v>
      </c>
      <c r="H4" s="15" t="s">
        <v>11</v>
      </c>
      <c r="I4" s="15" t="s">
        <v>12</v>
      </c>
      <c r="J4" s="15" t="s">
        <v>10</v>
      </c>
      <c r="K4" s="15" t="s">
        <v>13</v>
      </c>
    </row>
    <row r="5" spans="1:27" x14ac:dyDescent="0.3">
      <c r="B5" s="11" t="s">
        <v>14</v>
      </c>
      <c r="D5" s="16">
        <f t="shared" ref="D5:E5" si="1">STDEV(D10:D71)</f>
        <v>8.089573124513974E-2</v>
      </c>
      <c r="E5" s="14">
        <f t="shared" si="1"/>
        <v>8.0182845689718812E-2</v>
      </c>
      <c r="G5" s="17">
        <v>-0.16</v>
      </c>
      <c r="H5" s="18">
        <f t="array" ref="H5:H15">FREQUENCY(E10:E71,G5:G14)</f>
        <v>0</v>
      </c>
      <c r="I5" s="19">
        <f t="shared" ref="I5:I15" si="2">H5/$H$17</f>
        <v>0</v>
      </c>
      <c r="J5" s="17">
        <v>-0.16</v>
      </c>
      <c r="K5" s="19">
        <f>I5</f>
        <v>0</v>
      </c>
    </row>
    <row r="6" spans="1:27" x14ac:dyDescent="0.3">
      <c r="B6" s="11" t="s">
        <v>15</v>
      </c>
      <c r="D6" s="13">
        <f t="shared" ref="D6:E6" si="3">MAX(D10:D71)</f>
        <v>0.21229999999999999</v>
      </c>
      <c r="E6" s="14">
        <f t="shared" si="3"/>
        <v>0.19251938177040057</v>
      </c>
      <c r="G6" s="17">
        <v>-0.12</v>
      </c>
      <c r="H6" s="18">
        <v>6</v>
      </c>
      <c r="I6" s="19">
        <f t="shared" si="2"/>
        <v>9.6774193548387094E-2</v>
      </c>
      <c r="J6" s="17">
        <v>-0.12</v>
      </c>
      <c r="K6" s="19">
        <f t="shared" ref="K6:K15" si="4">I6+K5</f>
        <v>9.6774193548387094E-2</v>
      </c>
    </row>
    <row r="7" spans="1:27" x14ac:dyDescent="0.3">
      <c r="B7" s="20" t="s">
        <v>16</v>
      </c>
      <c r="D7" s="13">
        <f t="shared" ref="D7:E7" si="5">MIN(D10:D71)</f>
        <v>-0.1421</v>
      </c>
      <c r="E7" s="14">
        <f t="shared" si="5"/>
        <v>-0.1532677364032175</v>
      </c>
      <c r="G7" s="17">
        <v>-0.08</v>
      </c>
      <c r="H7" s="18">
        <v>4</v>
      </c>
      <c r="I7" s="19">
        <f t="shared" si="2"/>
        <v>6.4516129032258063E-2</v>
      </c>
      <c r="J7" s="17">
        <v>-0.08</v>
      </c>
      <c r="K7" s="19">
        <f t="shared" si="4"/>
        <v>0.16129032258064516</v>
      </c>
    </row>
    <row r="8" spans="1:27" x14ac:dyDescent="0.3">
      <c r="G8" s="17">
        <v>-0.04</v>
      </c>
      <c r="H8" s="18">
        <v>7</v>
      </c>
      <c r="I8" s="19">
        <f t="shared" si="2"/>
        <v>0.11290322580645161</v>
      </c>
      <c r="J8" s="17">
        <v>-0.04</v>
      </c>
      <c r="K8" s="19">
        <f t="shared" si="4"/>
        <v>0.27419354838709675</v>
      </c>
    </row>
    <row r="9" spans="1:27" x14ac:dyDescent="0.3">
      <c r="A9" s="21" t="s">
        <v>17</v>
      </c>
      <c r="D9" s="11" t="str">
        <f>D3</f>
        <v>Returns</v>
      </c>
      <c r="E9" s="11" t="str">
        <f>E3</f>
        <v>Ln Returns</v>
      </c>
      <c r="G9" s="17">
        <v>0</v>
      </c>
      <c r="H9" s="18">
        <v>10</v>
      </c>
      <c r="I9" s="19">
        <f t="shared" si="2"/>
        <v>0.16129032258064516</v>
      </c>
      <c r="J9" s="17">
        <v>0</v>
      </c>
      <c r="K9" s="19">
        <f t="shared" si="4"/>
        <v>0.43548387096774188</v>
      </c>
    </row>
    <row r="10" spans="1:27" x14ac:dyDescent="0.3">
      <c r="A10" s="22">
        <v>33662</v>
      </c>
      <c r="B10" s="23">
        <v>1</v>
      </c>
      <c r="C10" s="23"/>
      <c r="D10" s="16">
        <v>7.0599999999999996E-2</v>
      </c>
      <c r="E10" s="14">
        <f t="shared" ref="E10:E41" si="6">LN(1+D10)</f>
        <v>6.8219238977143853E-2</v>
      </c>
      <c r="G10" s="17">
        <v>0.04</v>
      </c>
      <c r="H10" s="18">
        <v>5</v>
      </c>
      <c r="I10" s="19">
        <f t="shared" si="2"/>
        <v>8.0645161290322578E-2</v>
      </c>
      <c r="J10" s="17">
        <v>0.04</v>
      </c>
      <c r="K10" s="19">
        <f t="shared" si="4"/>
        <v>0.5161290322580645</v>
      </c>
      <c r="Z10" s="24">
        <v>0.66999078669389844</v>
      </c>
      <c r="AA10" s="24">
        <v>0.48099195737449918</v>
      </c>
    </row>
    <row r="11" spans="1:27" x14ac:dyDescent="0.3">
      <c r="A11" s="22">
        <v>33694</v>
      </c>
      <c r="B11" s="23">
        <v>2</v>
      </c>
      <c r="C11" s="23"/>
      <c r="D11" s="16">
        <v>-0.1154</v>
      </c>
      <c r="E11" s="14">
        <f t="shared" si="6"/>
        <v>-0.12261971354791061</v>
      </c>
      <c r="G11" s="17">
        <v>0.08</v>
      </c>
      <c r="H11" s="18">
        <v>16</v>
      </c>
      <c r="I11" s="19">
        <f t="shared" si="2"/>
        <v>0.25806451612903225</v>
      </c>
      <c r="J11" s="17">
        <v>0.08</v>
      </c>
      <c r="K11" s="19">
        <f t="shared" si="4"/>
        <v>0.77419354838709675</v>
      </c>
      <c r="Z11" s="24">
        <v>-1.710056352859346</v>
      </c>
      <c r="AA11" s="24">
        <v>-1.444514055037871</v>
      </c>
    </row>
    <row r="12" spans="1:27" x14ac:dyDescent="0.3">
      <c r="A12" s="22">
        <v>33724</v>
      </c>
      <c r="B12" s="23">
        <v>3</v>
      </c>
      <c r="C12" s="23"/>
      <c r="D12" s="16">
        <v>7.7700000000000005E-2</v>
      </c>
      <c r="E12" s="14">
        <f t="shared" si="6"/>
        <v>7.4829140620649076E-2</v>
      </c>
      <c r="G12" s="17">
        <v>0.12</v>
      </c>
      <c r="H12" s="18">
        <v>9</v>
      </c>
      <c r="I12" s="19">
        <f t="shared" si="2"/>
        <v>0.14516129032258066</v>
      </c>
      <c r="J12" s="17">
        <v>0.12</v>
      </c>
      <c r="K12" s="19">
        <f t="shared" si="4"/>
        <v>0.91935483870967738</v>
      </c>
      <c r="U12" s="24"/>
      <c r="V12" s="24"/>
      <c r="Z12" s="24">
        <v>0.75242614536255137</v>
      </c>
      <c r="AA12" s="24">
        <v>0.67133328229829203</v>
      </c>
    </row>
    <row r="13" spans="1:27" x14ac:dyDescent="0.3">
      <c r="A13" s="22">
        <v>33753</v>
      </c>
      <c r="B13" s="23">
        <v>4</v>
      </c>
      <c r="C13" s="23"/>
      <c r="D13" s="16">
        <v>0.1066</v>
      </c>
      <c r="E13" s="14">
        <f t="shared" si="6"/>
        <v>0.10129225148187235</v>
      </c>
      <c r="G13" s="17">
        <v>0.16</v>
      </c>
      <c r="H13" s="18">
        <v>4</v>
      </c>
      <c r="I13" s="19">
        <f t="shared" si="2"/>
        <v>6.4516129032258063E-2</v>
      </c>
      <c r="J13" s="17">
        <v>0.16</v>
      </c>
      <c r="K13" s="19">
        <f t="shared" si="4"/>
        <v>0.9838709677419355</v>
      </c>
      <c r="U13" s="24"/>
      <c r="V13" s="24"/>
      <c r="Z13" s="24">
        <v>1.0824607136494737</v>
      </c>
      <c r="AA13" s="24">
        <v>1.1626298146438785</v>
      </c>
    </row>
    <row r="14" spans="1:27" x14ac:dyDescent="0.3">
      <c r="A14" s="22">
        <v>33785</v>
      </c>
      <c r="B14" s="23">
        <v>5</v>
      </c>
      <c r="C14" s="23"/>
      <c r="D14" s="16">
        <v>-0.1172</v>
      </c>
      <c r="E14" s="14">
        <f t="shared" si="6"/>
        <v>-0.12465660459955569</v>
      </c>
      <c r="G14" s="17">
        <v>0.2</v>
      </c>
      <c r="H14" s="18">
        <v>1</v>
      </c>
      <c r="I14" s="19">
        <f t="shared" si="2"/>
        <v>1.6129032258064516E-2</v>
      </c>
      <c r="J14" s="17">
        <v>0.2</v>
      </c>
      <c r="K14" s="19">
        <f t="shared" si="4"/>
        <v>1</v>
      </c>
      <c r="U14" s="24"/>
      <c r="V14" s="24"/>
      <c r="Z14" s="24">
        <v>-1.7354594304643387</v>
      </c>
      <c r="AA14" s="24">
        <v>-1.7260572349186987</v>
      </c>
    </row>
    <row r="15" spans="1:27" x14ac:dyDescent="0.3">
      <c r="A15" s="22">
        <v>33816</v>
      </c>
      <c r="B15" s="23">
        <v>6</v>
      </c>
      <c r="C15" s="23"/>
      <c r="D15" s="16">
        <v>-8.2600000000000007E-2</v>
      </c>
      <c r="E15" s="14">
        <f t="shared" si="6"/>
        <v>-8.6211696819065445E-2</v>
      </c>
      <c r="G15" s="17"/>
      <c r="H15" s="18">
        <v>0</v>
      </c>
      <c r="I15" s="19">
        <f t="shared" si="2"/>
        <v>0</v>
      </c>
      <c r="K15" s="19">
        <f t="shared" si="4"/>
        <v>1</v>
      </c>
      <c r="U15" s="24"/>
      <c r="V15" s="24"/>
      <c r="Z15" s="24">
        <v>-1.2559939356968</v>
      </c>
      <c r="AA15" s="24">
        <v>-1.0868370736716315</v>
      </c>
    </row>
    <row r="16" spans="1:27" x14ac:dyDescent="0.3">
      <c r="A16" s="22">
        <v>33847</v>
      </c>
      <c r="B16" s="23">
        <v>7</v>
      </c>
      <c r="C16" s="23"/>
      <c r="D16" s="16">
        <v>-2.8899999999999999E-2</v>
      </c>
      <c r="E16" s="14">
        <f t="shared" si="6"/>
        <v>-2.9325829381828733E-2</v>
      </c>
      <c r="G16" s="10"/>
      <c r="H16" s="18"/>
      <c r="I16" s="19"/>
      <c r="J16" s="19"/>
      <c r="U16" s="24"/>
      <c r="V16" s="24"/>
      <c r="Z16" s="24">
        <v>-0.54654209536967735</v>
      </c>
      <c r="AA16" s="24">
        <v>-0.48099195737449918</v>
      </c>
    </row>
    <row r="17" spans="1:27" x14ac:dyDescent="0.3">
      <c r="A17" s="22">
        <v>33877</v>
      </c>
      <c r="B17" s="23">
        <v>8</v>
      </c>
      <c r="C17" s="23"/>
      <c r="D17" s="16">
        <v>9.9299999999999999E-2</v>
      </c>
      <c r="E17" s="14">
        <f t="shared" si="6"/>
        <v>9.4673613602680992E-2</v>
      </c>
      <c r="G17" s="15" t="s">
        <v>18</v>
      </c>
      <c r="H17" s="18">
        <f>SUM(H5:H15)</f>
        <v>62</v>
      </c>
      <c r="I17" s="19"/>
      <c r="J17" s="10"/>
      <c r="K17" s="12" t="s">
        <v>19</v>
      </c>
      <c r="L17" s="12"/>
      <c r="U17" s="24"/>
      <c r="V17" s="24"/>
      <c r="Z17" s="24">
        <v>0.99991640105668678</v>
      </c>
      <c r="AA17" s="24">
        <v>0.95147015599650331</v>
      </c>
    </row>
    <row r="18" spans="1:27" x14ac:dyDescent="0.3">
      <c r="A18" s="22">
        <v>33907</v>
      </c>
      <c r="B18" s="23">
        <v>9</v>
      </c>
      <c r="C18" s="23"/>
      <c r="D18" s="16">
        <v>0.1265</v>
      </c>
      <c r="E18" s="14">
        <f t="shared" si="6"/>
        <v>0.11911548089016212</v>
      </c>
      <c r="K18" s="25" t="s">
        <v>20</v>
      </c>
      <c r="L18" s="25" t="s">
        <v>21</v>
      </c>
      <c r="U18" s="24"/>
      <c r="V18" s="24"/>
      <c r="Z18" s="24">
        <v>1.3047430391890262</v>
      </c>
      <c r="AA18" s="24">
        <v>1.3385329111770261</v>
      </c>
    </row>
    <row r="19" spans="1:27" x14ac:dyDescent="0.3">
      <c r="A19" s="22">
        <v>33938</v>
      </c>
      <c r="B19" s="23">
        <v>10</v>
      </c>
      <c r="C19" s="23"/>
      <c r="D19" s="16">
        <v>7.7499999999999999E-2</v>
      </c>
      <c r="E19" s="14">
        <f t="shared" si="6"/>
        <v>7.4643542995765713E-2</v>
      </c>
      <c r="G19" s="28" t="s">
        <v>22</v>
      </c>
      <c r="H19" s="12" t="s">
        <v>23</v>
      </c>
      <c r="I19" s="12"/>
      <c r="K19" s="25" t="s">
        <v>24</v>
      </c>
      <c r="L19" s="25" t="s">
        <v>25</v>
      </c>
      <c r="U19" s="24"/>
      <c r="V19" s="24"/>
      <c r="Z19" s="24">
        <v>0.75011146541714802</v>
      </c>
      <c r="AA19" s="24">
        <v>0.62170329329092056</v>
      </c>
    </row>
    <row r="20" spans="1:27" x14ac:dyDescent="0.3">
      <c r="A20" s="22">
        <v>33969</v>
      </c>
      <c r="B20" s="23">
        <v>11</v>
      </c>
      <c r="C20" s="23"/>
      <c r="D20" s="16">
        <v>5.96E-2</v>
      </c>
      <c r="E20" s="14">
        <f t="shared" si="6"/>
        <v>5.7891478415777679E-2</v>
      </c>
      <c r="G20" s="11" t="s">
        <v>26</v>
      </c>
      <c r="H20" s="25" t="s">
        <v>20</v>
      </c>
      <c r="I20" s="25" t="s">
        <v>21</v>
      </c>
      <c r="K20" s="24"/>
      <c r="L20" s="24"/>
      <c r="U20" s="24"/>
      <c r="V20" s="24"/>
      <c r="Z20" s="24">
        <v>0.54118816722425278</v>
      </c>
      <c r="AA20" s="24">
        <v>0.39237761484400835</v>
      </c>
    </row>
    <row r="21" spans="1:27" x14ac:dyDescent="0.3">
      <c r="A21" s="22">
        <v>33998</v>
      </c>
      <c r="B21" s="23">
        <v>12</v>
      </c>
      <c r="C21" s="23"/>
      <c r="D21" s="16">
        <v>-0.1171</v>
      </c>
      <c r="E21" s="14">
        <f t="shared" si="6"/>
        <v>-0.12454333507460025</v>
      </c>
      <c r="G21" s="11">
        <v>0</v>
      </c>
      <c r="H21" s="26">
        <f t="shared" ref="H21:H25" si="7">QUARTILE(LnReturns,G21)</f>
        <v>-0.1532677364032175</v>
      </c>
      <c r="I21" s="27">
        <f t="shared" ref="I21:I25" si="8">0.25*G21</f>
        <v>0</v>
      </c>
      <c r="K21" s="24"/>
      <c r="L21" s="24"/>
      <c r="U21" s="24"/>
      <c r="V21" s="24"/>
      <c r="Z21" s="24">
        <v>-1.7340467900924348</v>
      </c>
      <c r="AA21" s="24">
        <v>-1.5697833077865653</v>
      </c>
    </row>
    <row r="22" spans="1:27" x14ac:dyDescent="0.3">
      <c r="A22" s="22">
        <v>34026</v>
      </c>
      <c r="B22" s="23">
        <v>13</v>
      </c>
      <c r="C22" s="23"/>
      <c r="D22" s="16">
        <v>4.4999999999999998E-2</v>
      </c>
      <c r="E22" s="14">
        <f t="shared" si="6"/>
        <v>4.401688541677426E-2</v>
      </c>
      <c r="G22" s="11">
        <v>1</v>
      </c>
      <c r="H22" s="26">
        <f t="shared" si="7"/>
        <v>-4.3325190151075089E-2</v>
      </c>
      <c r="I22" s="27">
        <f t="shared" si="8"/>
        <v>0.25</v>
      </c>
      <c r="K22" s="24"/>
      <c r="L22" s="24"/>
      <c r="U22" s="24"/>
      <c r="V22" s="24"/>
      <c r="Z22" s="24">
        <v>0.36815124293381879</v>
      </c>
      <c r="AA22" s="24">
        <v>0.10083795132231899</v>
      </c>
    </row>
    <row r="23" spans="1:27" x14ac:dyDescent="0.3">
      <c r="A23" s="22">
        <v>34059</v>
      </c>
      <c r="B23" s="23">
        <v>14</v>
      </c>
      <c r="C23" s="23"/>
      <c r="D23" s="16">
        <v>-3.0499999999999999E-2</v>
      </c>
      <c r="E23" s="14">
        <f t="shared" si="6"/>
        <v>-3.0974804299430527E-2</v>
      </c>
      <c r="G23" s="11">
        <v>2</v>
      </c>
      <c r="H23" s="26">
        <f t="shared" si="7"/>
        <v>2.844053880401657E-2</v>
      </c>
      <c r="I23" s="27">
        <f t="shared" si="8"/>
        <v>0.5</v>
      </c>
      <c r="K23" s="24"/>
      <c r="L23" s="24"/>
      <c r="U23" s="24"/>
      <c r="V23" s="24"/>
      <c r="Z23" s="24">
        <v>-0.56710727865068455</v>
      </c>
      <c r="AA23" s="24">
        <v>-0.52671111916424707</v>
      </c>
    </row>
    <row r="24" spans="1:27" x14ac:dyDescent="0.3">
      <c r="A24" s="22">
        <v>34089</v>
      </c>
      <c r="B24" s="23">
        <v>15</v>
      </c>
      <c r="C24" s="23"/>
      <c r="D24" s="16">
        <v>-1.2999999999999999E-2</v>
      </c>
      <c r="E24" s="14">
        <f t="shared" si="6"/>
        <v>-1.3085239548655481E-2</v>
      </c>
      <c r="G24" s="11">
        <v>3</v>
      </c>
      <c r="H24" s="26">
        <f t="shared" si="7"/>
        <v>7.4782741214428239E-2</v>
      </c>
      <c r="I24" s="27">
        <f t="shared" si="8"/>
        <v>0.75</v>
      </c>
      <c r="K24" s="24"/>
      <c r="L24" s="24"/>
      <c r="U24" s="24"/>
      <c r="V24" s="24"/>
      <c r="Z24" s="24">
        <v>-0.34399765218517142</v>
      </c>
      <c r="AA24" s="24">
        <v>-0.18220589481643401</v>
      </c>
    </row>
    <row r="25" spans="1:27" x14ac:dyDescent="0.3">
      <c r="A25" s="22">
        <v>34120</v>
      </c>
      <c r="B25" s="23">
        <v>16</v>
      </c>
      <c r="C25" s="23"/>
      <c r="D25" s="16">
        <v>0.13789999999999999</v>
      </c>
      <c r="E25" s="14">
        <f t="shared" si="6"/>
        <v>0.12918445838082582</v>
      </c>
      <c r="G25" s="11">
        <v>4</v>
      </c>
      <c r="H25" s="26">
        <f t="shared" si="7"/>
        <v>0.19251938177040057</v>
      </c>
      <c r="I25" s="27">
        <f t="shared" si="8"/>
        <v>1</v>
      </c>
      <c r="U25" s="24"/>
      <c r="V25" s="24"/>
      <c r="Z25" s="24">
        <v>1.4303182467543367</v>
      </c>
      <c r="AA25" s="24">
        <v>1.9414073904044926</v>
      </c>
    </row>
    <row r="26" spans="1:27" x14ac:dyDescent="0.3">
      <c r="A26" s="22">
        <v>34150</v>
      </c>
      <c r="B26" s="23">
        <v>17</v>
      </c>
      <c r="C26" s="23"/>
      <c r="D26" s="16">
        <v>5.1299999999999998E-2</v>
      </c>
      <c r="E26" s="14">
        <f t="shared" si="6"/>
        <v>5.0027493599648067E-2</v>
      </c>
      <c r="U26" s="24"/>
      <c r="V26" s="24"/>
      <c r="Z26" s="24">
        <v>0.4431125158990224</v>
      </c>
      <c r="AA26" s="24">
        <v>0.26479938242118806</v>
      </c>
    </row>
    <row r="27" spans="1:27" x14ac:dyDescent="0.3">
      <c r="A27" s="22">
        <v>34180</v>
      </c>
      <c r="B27" s="23">
        <v>18</v>
      </c>
      <c r="C27" s="23"/>
      <c r="D27" s="16">
        <v>4.4400000000000002E-2</v>
      </c>
      <c r="E27" s="14">
        <f t="shared" si="6"/>
        <v>4.3442557842836724E-2</v>
      </c>
      <c r="U27" s="24"/>
      <c r="V27" s="24"/>
      <c r="Z27" s="24">
        <v>0.36098851917417585</v>
      </c>
      <c r="AA27" s="24">
        <v>6.0437059801188298E-2</v>
      </c>
    </row>
    <row r="28" spans="1:27" x14ac:dyDescent="0.3">
      <c r="A28" s="22">
        <v>34212</v>
      </c>
      <c r="B28" s="23">
        <v>19</v>
      </c>
      <c r="C28" s="23"/>
      <c r="D28" s="16">
        <v>0.21229999999999999</v>
      </c>
      <c r="E28" s="14">
        <f t="shared" si="6"/>
        <v>0.19251938177040057</v>
      </c>
      <c r="U28" s="24"/>
      <c r="V28" s="24"/>
      <c r="Z28" s="24">
        <v>2.2201994594349146</v>
      </c>
      <c r="AA28" s="24">
        <v>2.3248503566719592</v>
      </c>
    </row>
    <row r="29" spans="1:27" x14ac:dyDescent="0.3">
      <c r="A29" s="22">
        <v>34242</v>
      </c>
      <c r="B29" s="23">
        <v>20</v>
      </c>
      <c r="C29" s="23"/>
      <c r="D29" s="16">
        <v>-0.1191</v>
      </c>
      <c r="E29" s="14">
        <f t="shared" si="6"/>
        <v>-0.12681116686638705</v>
      </c>
      <c r="U29" s="24"/>
      <c r="V29" s="24"/>
      <c r="Z29" s="24">
        <v>-1.7623300441011858</v>
      </c>
      <c r="AA29" s="24">
        <v>-1.9414073904044926</v>
      </c>
    </row>
    <row r="30" spans="1:27" x14ac:dyDescent="0.3">
      <c r="A30" s="22">
        <v>34271</v>
      </c>
      <c r="B30" s="23">
        <v>21</v>
      </c>
      <c r="C30" s="23"/>
      <c r="D30" s="16">
        <v>9.9400000000000002E-2</v>
      </c>
      <c r="E30" s="14">
        <f t="shared" si="6"/>
        <v>9.4764576444422877E-2</v>
      </c>
      <c r="U30" s="24"/>
      <c r="V30" s="24"/>
      <c r="Z30" s="24">
        <v>1.0010508437290495</v>
      </c>
      <c r="AA30" s="24">
        <v>1.0168241715291515</v>
      </c>
    </row>
    <row r="31" spans="1:27" x14ac:dyDescent="0.3">
      <c r="A31" s="22">
        <v>34303</v>
      </c>
      <c r="B31" s="23">
        <v>22</v>
      </c>
      <c r="C31" s="23"/>
      <c r="D31" s="16">
        <v>-4.3400000000000001E-2</v>
      </c>
      <c r="E31" s="14">
        <f t="shared" si="6"/>
        <v>-4.4369947735940531E-2</v>
      </c>
      <c r="U31" s="24"/>
      <c r="V31" s="24"/>
      <c r="Z31" s="24">
        <v>-0.73416474987520053</v>
      </c>
      <c r="AA31" s="24">
        <v>-0.7759967957099434</v>
      </c>
    </row>
    <row r="32" spans="1:27" x14ac:dyDescent="0.3">
      <c r="A32" s="22">
        <v>34334</v>
      </c>
      <c r="B32" s="23">
        <v>23</v>
      </c>
      <c r="C32" s="23"/>
      <c r="D32" s="16">
        <v>0.1229</v>
      </c>
      <c r="E32" s="14">
        <f t="shared" si="6"/>
        <v>0.11591462459635593</v>
      </c>
      <c r="U32" s="24"/>
      <c r="V32" s="24"/>
      <c r="Z32" s="24">
        <v>1.2648235742926013</v>
      </c>
      <c r="AA32" s="24">
        <v>1.245762177859433</v>
      </c>
    </row>
    <row r="33" spans="1:27" x14ac:dyDescent="0.3">
      <c r="A33" s="22">
        <v>34365</v>
      </c>
      <c r="B33" s="23">
        <v>24</v>
      </c>
      <c r="C33" s="23"/>
      <c r="D33" s="16">
        <v>-1.43E-2</v>
      </c>
      <c r="E33" s="14">
        <f t="shared" si="6"/>
        <v>-1.4403230310743743E-2</v>
      </c>
      <c r="U33" s="24"/>
      <c r="V33" s="24"/>
      <c r="Z33" s="24">
        <v>-0.36043496805680375</v>
      </c>
      <c r="AA33" s="24">
        <v>-0.22331164473143872</v>
      </c>
    </row>
    <row r="34" spans="1:27" x14ac:dyDescent="0.3">
      <c r="A34" s="22">
        <v>34393</v>
      </c>
      <c r="B34" s="23">
        <v>25</v>
      </c>
      <c r="C34" s="23"/>
      <c r="D34" s="16">
        <v>2.7300000000000001E-2</v>
      </c>
      <c r="E34" s="14">
        <f t="shared" si="6"/>
        <v>2.6934001240081041E-2</v>
      </c>
      <c r="H34" s="27"/>
      <c r="U34" s="24"/>
      <c r="V34" s="24"/>
      <c r="Z34" s="24">
        <v>0.15510212962598796</v>
      </c>
      <c r="AA34" s="24">
        <v>-2.0135075828875415E-2</v>
      </c>
    </row>
    <row r="35" spans="1:27" x14ac:dyDescent="0.3">
      <c r="A35" s="22">
        <v>34424</v>
      </c>
      <c r="B35" s="23">
        <v>26</v>
      </c>
      <c r="C35" s="23"/>
      <c r="D35" s="16">
        <v>-0.1421</v>
      </c>
      <c r="E35" s="14">
        <f t="shared" si="6"/>
        <v>-0.1532677364032175</v>
      </c>
      <c r="H35" s="27"/>
      <c r="U35" s="24"/>
      <c r="V35" s="24"/>
      <c r="Z35" s="24">
        <v>-2.0922830322903136</v>
      </c>
      <c r="AA35" s="24">
        <v>-2.3248503566719592</v>
      </c>
    </row>
    <row r="36" spans="1:27" x14ac:dyDescent="0.3">
      <c r="A36" s="22">
        <v>34453</v>
      </c>
      <c r="B36" s="23">
        <v>27</v>
      </c>
      <c r="C36" s="23"/>
      <c r="D36" s="16">
        <v>5.4199999999999998E-2</v>
      </c>
      <c r="E36" s="14">
        <f t="shared" si="6"/>
        <v>5.2782185438969481E-2</v>
      </c>
      <c r="H36" s="27"/>
      <c r="U36" s="24"/>
      <c r="V36" s="24"/>
      <c r="Z36" s="24">
        <v>0.47746764280460963</v>
      </c>
      <c r="AA36" s="24">
        <v>0.30674755180370994</v>
      </c>
    </row>
    <row r="37" spans="1:27" x14ac:dyDescent="0.3">
      <c r="A37" s="22">
        <v>34485</v>
      </c>
      <c r="B37" s="23">
        <v>28</v>
      </c>
      <c r="C37" s="23"/>
      <c r="D37" s="16">
        <v>-2.3900000000000001E-2</v>
      </c>
      <c r="E37" s="14">
        <f t="shared" si="6"/>
        <v>-2.4190238801217671E-2</v>
      </c>
      <c r="H37" s="27"/>
      <c r="U37" s="24"/>
      <c r="V37" s="24"/>
      <c r="Z37" s="24">
        <v>-0.48249360050228246</v>
      </c>
      <c r="AA37" s="24">
        <v>-0.39237761484400835</v>
      </c>
    </row>
    <row r="38" spans="1:27" x14ac:dyDescent="0.3">
      <c r="A38" s="22">
        <v>34515</v>
      </c>
      <c r="B38" s="23">
        <v>29</v>
      </c>
      <c r="C38" s="23"/>
      <c r="D38" s="16">
        <v>-7.7200000000000005E-2</v>
      </c>
      <c r="E38" s="14">
        <f t="shared" si="6"/>
        <v>-8.0342752682538501E-2</v>
      </c>
      <c r="H38" s="27"/>
      <c r="U38" s="24"/>
      <c r="V38" s="24"/>
      <c r="Z38" s="24">
        <v>-1.1827994252495428</v>
      </c>
      <c r="AA38" s="24">
        <v>-1.0168241715291515</v>
      </c>
    </row>
    <row r="39" spans="1:27" x14ac:dyDescent="0.3">
      <c r="A39" s="22">
        <v>34544</v>
      </c>
      <c r="B39" s="23">
        <v>30</v>
      </c>
      <c r="C39" s="23"/>
      <c r="D39" s="16">
        <v>0.12959999999999999</v>
      </c>
      <c r="E39" s="14">
        <f t="shared" si="6"/>
        <v>0.12186358775684052</v>
      </c>
      <c r="H39" s="27"/>
      <c r="U39" s="24"/>
      <c r="V39" s="24"/>
      <c r="Z39" s="24">
        <v>1.3390160416378625</v>
      </c>
      <c r="AA39" s="24">
        <v>1.5697833077865653</v>
      </c>
    </row>
    <row r="40" spans="1:27" x14ac:dyDescent="0.3">
      <c r="A40" s="22">
        <v>34577</v>
      </c>
      <c r="B40" s="23">
        <v>31</v>
      </c>
      <c r="C40" s="23"/>
      <c r="D40" s="16">
        <v>0.13550000000000001</v>
      </c>
      <c r="E40" s="14">
        <f t="shared" si="6"/>
        <v>0.12707308256347608</v>
      </c>
      <c r="H40" s="27"/>
      <c r="U40" s="24"/>
      <c r="V40" s="24"/>
      <c r="Z40" s="24">
        <v>1.4039862327282933</v>
      </c>
      <c r="AA40" s="24">
        <v>1.7260572349186987</v>
      </c>
    </row>
    <row r="41" spans="1:27" x14ac:dyDescent="0.3">
      <c r="A41" s="22">
        <v>34607</v>
      </c>
      <c r="B41" s="23">
        <v>32</v>
      </c>
      <c r="C41" s="23"/>
      <c r="D41" s="16">
        <v>-5.7299999999999997E-2</v>
      </c>
      <c r="E41" s="14">
        <f t="shared" si="6"/>
        <v>-5.9007180580032424E-2</v>
      </c>
      <c r="H41" s="27"/>
      <c r="U41" s="24"/>
      <c r="V41" s="24"/>
      <c r="Z41" s="24">
        <v>-0.91671293356941808</v>
      </c>
      <c r="AA41" s="24">
        <v>-0.88994738689507358</v>
      </c>
    </row>
    <row r="42" spans="1:27" x14ac:dyDescent="0.3">
      <c r="A42" s="22">
        <v>34638</v>
      </c>
      <c r="B42" s="23">
        <v>33</v>
      </c>
      <c r="C42" s="23"/>
      <c r="D42" s="16">
        <v>7.0900000000000005E-2</v>
      </c>
      <c r="E42" s="14">
        <f t="shared" ref="E42:E71" si="9">LN(1+D42)</f>
        <v>6.8499416424692261E-2</v>
      </c>
      <c r="H42" s="24"/>
      <c r="U42" s="24"/>
      <c r="V42" s="24"/>
      <c r="Z42" s="24">
        <v>0.67348501847300735</v>
      </c>
      <c r="AA42" s="24">
        <v>0.52671111916424707</v>
      </c>
    </row>
    <row r="43" spans="1:27" x14ac:dyDescent="0.3">
      <c r="A43" s="22">
        <v>34668</v>
      </c>
      <c r="B43" s="23">
        <v>34</v>
      </c>
      <c r="C43" s="23"/>
      <c r="D43" s="16">
        <v>-4.2599999999999999E-2</v>
      </c>
      <c r="E43" s="14">
        <f t="shared" si="9"/>
        <v>-4.3534002023728369E-2</v>
      </c>
      <c r="H43" s="24"/>
      <c r="U43" s="24"/>
      <c r="V43" s="24"/>
      <c r="Z43" s="24">
        <v>-0.72373925667872563</v>
      </c>
      <c r="AA43" s="24">
        <v>-0.67133328229829203</v>
      </c>
    </row>
    <row r="44" spans="1:27" x14ac:dyDescent="0.3">
      <c r="A44" s="22">
        <v>34698</v>
      </c>
      <c r="B44" s="23">
        <v>35</v>
      </c>
      <c r="C44" s="23"/>
      <c r="D44" s="16">
        <v>4.6899999999999997E-2</v>
      </c>
      <c r="E44" s="14">
        <f t="shared" si="9"/>
        <v>4.5833416343172152E-2</v>
      </c>
      <c r="H44" s="24"/>
      <c r="U44" s="24"/>
      <c r="V44" s="24"/>
      <c r="Z44" s="24">
        <v>0.39080610022620366</v>
      </c>
      <c r="AA44" s="24">
        <v>0.14140482562652323</v>
      </c>
    </row>
    <row r="45" spans="1:27" x14ac:dyDescent="0.3">
      <c r="A45" s="22">
        <v>34730</v>
      </c>
      <c r="B45" s="23">
        <v>36</v>
      </c>
      <c r="C45" s="23"/>
      <c r="D45" s="16">
        <v>-0.1132</v>
      </c>
      <c r="E45" s="14">
        <f t="shared" si="9"/>
        <v>-0.12013580123998062</v>
      </c>
      <c r="H45" s="24"/>
      <c r="U45" s="24"/>
      <c r="V45" s="24"/>
      <c r="Z45" s="24">
        <v>-1.6790782516637124</v>
      </c>
      <c r="AA45" s="24">
        <v>-1.3385329111770261</v>
      </c>
    </row>
    <row r="46" spans="1:27" x14ac:dyDescent="0.3">
      <c r="A46" s="22">
        <v>34758</v>
      </c>
      <c r="B46" s="23">
        <v>37</v>
      </c>
      <c r="C46" s="23"/>
      <c r="D46" s="16">
        <v>5.3E-3</v>
      </c>
      <c r="E46" s="14">
        <f t="shared" si="9"/>
        <v>5.2860044292374377E-3</v>
      </c>
      <c r="H46" s="24"/>
      <c r="U46" s="24"/>
      <c r="V46" s="24"/>
      <c r="Z46" s="24">
        <v>-0.11488076540138754</v>
      </c>
      <c r="AA46" s="24">
        <v>-0.10083795132231899</v>
      </c>
    </row>
    <row r="47" spans="1:27" x14ac:dyDescent="0.3">
      <c r="A47" s="22">
        <v>34789</v>
      </c>
      <c r="B47" s="23">
        <v>38</v>
      </c>
      <c r="C47" s="23"/>
      <c r="D47" s="16">
        <v>5.0299999999999997E-2</v>
      </c>
      <c r="E47" s="14">
        <f t="shared" si="9"/>
        <v>4.9075837646592645E-2</v>
      </c>
      <c r="H47" s="24"/>
      <c r="U47" s="24"/>
      <c r="V47" s="24"/>
      <c r="Z47" s="24">
        <v>0.43124394295340734</v>
      </c>
      <c r="AA47" s="24">
        <v>0.22331164473143872</v>
      </c>
    </row>
    <row r="48" spans="1:27" x14ac:dyDescent="0.3">
      <c r="A48" s="22">
        <v>34817</v>
      </c>
      <c r="B48" s="23">
        <v>39</v>
      </c>
      <c r="C48" s="23"/>
      <c r="D48" s="16">
        <v>-2.0199999999999999E-2</v>
      </c>
      <c r="E48" s="14">
        <f t="shared" si="9"/>
        <v>-2.040680977766262E-2</v>
      </c>
      <c r="H48" s="24"/>
      <c r="U48" s="24"/>
      <c r="V48" s="24"/>
      <c r="Z48" s="24">
        <v>-0.43530858242253417</v>
      </c>
      <c r="AA48" s="24">
        <v>-0.34924141800729558</v>
      </c>
    </row>
    <row r="49" spans="1:27" x14ac:dyDescent="0.3">
      <c r="A49" s="22">
        <v>34850</v>
      </c>
      <c r="B49" s="23">
        <v>40</v>
      </c>
      <c r="C49" s="23"/>
      <c r="D49" s="16">
        <v>6.4299999999999996E-2</v>
      </c>
      <c r="E49" s="14">
        <f t="shared" si="9"/>
        <v>6.2317306064861584E-2</v>
      </c>
      <c r="H49" s="24"/>
      <c r="U49" s="24"/>
      <c r="V49" s="24"/>
      <c r="Z49" s="24">
        <v>0.59638485687792753</v>
      </c>
      <c r="AA49" s="24">
        <v>0.43625732359942049</v>
      </c>
    </row>
    <row r="50" spans="1:27" x14ac:dyDescent="0.3">
      <c r="A50" s="22">
        <v>34880</v>
      </c>
      <c r="B50" s="23">
        <v>41</v>
      </c>
      <c r="C50" s="23"/>
      <c r="D50" s="16">
        <v>0.128</v>
      </c>
      <c r="E50" s="14">
        <f t="shared" si="9"/>
        <v>0.12044615307586726</v>
      </c>
      <c r="H50" s="24"/>
      <c r="U50" s="24"/>
      <c r="V50" s="24"/>
      <c r="Z50" s="24">
        <v>1.3213385113783571</v>
      </c>
      <c r="AA50" s="24">
        <v>1.444514055037871</v>
      </c>
    </row>
    <row r="51" spans="1:27" x14ac:dyDescent="0.3">
      <c r="A51" s="22">
        <v>34911</v>
      </c>
      <c r="B51" s="23">
        <v>42</v>
      </c>
      <c r="C51" s="23"/>
      <c r="D51" s="16">
        <v>2.5700000000000001E-2</v>
      </c>
      <c r="E51" s="14">
        <f t="shared" si="9"/>
        <v>2.5375306331228299E-2</v>
      </c>
      <c r="H51" s="24"/>
      <c r="J51" s="24"/>
      <c r="U51" s="24"/>
      <c r="V51" s="24"/>
      <c r="Z51" s="24">
        <v>0.13566287306873909</v>
      </c>
      <c r="AA51" s="24">
        <v>-6.0437059801188298E-2</v>
      </c>
    </row>
    <row r="52" spans="1:27" x14ac:dyDescent="0.3">
      <c r="A52" s="22">
        <v>34942</v>
      </c>
      <c r="B52" s="23">
        <v>43</v>
      </c>
      <c r="C52" s="23"/>
      <c r="D52" s="16">
        <v>0.1065</v>
      </c>
      <c r="E52" s="14">
        <f t="shared" si="9"/>
        <v>0.10120188050896733</v>
      </c>
      <c r="H52" s="24"/>
      <c r="J52" s="24"/>
      <c r="U52" s="24"/>
      <c r="V52" s="24"/>
      <c r="Z52" s="24">
        <v>1.0813336524666528</v>
      </c>
      <c r="AA52" s="24">
        <v>1.0868370736716315</v>
      </c>
    </row>
    <row r="53" spans="1:27" x14ac:dyDescent="0.3">
      <c r="A53" s="22">
        <v>34971</v>
      </c>
      <c r="B53" s="23">
        <v>44</v>
      </c>
      <c r="C53" s="23"/>
      <c r="D53" s="16">
        <v>1.9E-3</v>
      </c>
      <c r="E53" s="14">
        <f t="shared" si="9"/>
        <v>1.8981972830802655E-3</v>
      </c>
      <c r="U53" s="24"/>
      <c r="V53" s="24"/>
      <c r="Z53" s="24">
        <v>-0.15713178701350231</v>
      </c>
      <c r="AA53" s="24">
        <v>-0.14140482562652323</v>
      </c>
    </row>
    <row r="54" spans="1:27" x14ac:dyDescent="0.3">
      <c r="A54" s="22">
        <v>35003</v>
      </c>
      <c r="B54" s="23">
        <v>45</v>
      </c>
      <c r="C54" s="23"/>
      <c r="D54" s="16">
        <v>-1.6899999999999998E-2</v>
      </c>
      <c r="E54" s="14">
        <f t="shared" si="9"/>
        <v>-1.7044434609258474E-2</v>
      </c>
      <c r="U54" s="24"/>
      <c r="V54" s="24"/>
      <c r="Z54" s="24">
        <v>-0.39337473560677733</v>
      </c>
      <c r="AA54" s="24">
        <v>-0.30674755180370994</v>
      </c>
    </row>
    <row r="55" spans="1:27" x14ac:dyDescent="0.3">
      <c r="A55" s="22">
        <v>35033</v>
      </c>
      <c r="B55" s="23">
        <v>46</v>
      </c>
      <c r="C55" s="23"/>
      <c r="D55" s="16">
        <v>-0.10340000000000001</v>
      </c>
      <c r="E55" s="14">
        <f t="shared" si="9"/>
        <v>-0.10914544726079799</v>
      </c>
      <c r="U55" s="24"/>
      <c r="V55" s="24"/>
      <c r="Z55" s="24">
        <v>-1.5420121013587995</v>
      </c>
      <c r="AA55" s="24">
        <v>-1.245762177859433</v>
      </c>
    </row>
    <row r="56" spans="1:27" x14ac:dyDescent="0.3">
      <c r="A56" s="22">
        <v>35062</v>
      </c>
      <c r="B56" s="23">
        <v>47</v>
      </c>
      <c r="C56" s="23"/>
      <c r="D56" s="16">
        <v>-1.4999999999999999E-2</v>
      </c>
      <c r="E56" s="14">
        <f t="shared" si="9"/>
        <v>-1.5113637810048184E-2</v>
      </c>
      <c r="U56" s="24"/>
      <c r="V56" s="24"/>
      <c r="Z56" s="24">
        <v>-0.36929481199466402</v>
      </c>
      <c r="AA56" s="24">
        <v>-0.26479938242118806</v>
      </c>
    </row>
    <row r="57" spans="1:27" x14ac:dyDescent="0.3">
      <c r="A57" s="22">
        <v>35095</v>
      </c>
      <c r="B57" s="23">
        <v>48</v>
      </c>
      <c r="C57" s="23"/>
      <c r="D57" s="16">
        <v>3.04E-2</v>
      </c>
      <c r="E57" s="14">
        <f t="shared" si="9"/>
        <v>2.9947076367952099E-2</v>
      </c>
      <c r="U57" s="24"/>
      <c r="V57" s="24"/>
      <c r="Z57" s="24">
        <v>0.19267968255458651</v>
      </c>
      <c r="AA57" s="24">
        <v>2.0135075828875415E-2</v>
      </c>
    </row>
    <row r="58" spans="1:27" x14ac:dyDescent="0.3">
      <c r="A58" s="22">
        <v>35124</v>
      </c>
      <c r="B58" s="23">
        <v>49</v>
      </c>
      <c r="C58" s="23"/>
      <c r="D58" s="16">
        <v>-2.53E-2</v>
      </c>
      <c r="E58" s="14">
        <f t="shared" si="9"/>
        <v>-2.5625547638972731E-2</v>
      </c>
      <c r="U58" s="24"/>
      <c r="V58" s="24"/>
      <c r="Z58" s="24">
        <v>-0.50039404822783762</v>
      </c>
      <c r="AA58" s="24">
        <v>-0.43625732359942049</v>
      </c>
    </row>
    <row r="59" spans="1:27" x14ac:dyDescent="0.3">
      <c r="A59" s="22">
        <v>35153</v>
      </c>
      <c r="B59" s="23">
        <v>50</v>
      </c>
      <c r="C59" s="23"/>
      <c r="D59" s="16">
        <v>4.7500000000000001E-2</v>
      </c>
      <c r="E59" s="14">
        <f t="shared" si="9"/>
        <v>4.6406372814155834E-2</v>
      </c>
      <c r="U59" s="24"/>
      <c r="V59" s="24"/>
      <c r="Z59" s="24">
        <v>0.39795172428151387</v>
      </c>
      <c r="AA59" s="24">
        <v>0.18220589481643401</v>
      </c>
    </row>
    <row r="60" spans="1:27" x14ac:dyDescent="0.3">
      <c r="A60" s="22">
        <v>35185</v>
      </c>
      <c r="B60" s="23">
        <v>51</v>
      </c>
      <c r="C60" s="23"/>
      <c r="D60" s="16">
        <v>9.4799999999999995E-2</v>
      </c>
      <c r="E60" s="14">
        <f t="shared" si="9"/>
        <v>9.0571698184386956E-2</v>
      </c>
      <c r="U60" s="24"/>
      <c r="V60" s="24"/>
      <c r="Z60" s="24">
        <v>0.94875938133494864</v>
      </c>
      <c r="AA60" s="24">
        <v>0.83162149167037569</v>
      </c>
    </row>
    <row r="61" spans="1:27" x14ac:dyDescent="0.3">
      <c r="A61" s="22">
        <v>35216</v>
      </c>
      <c r="B61" s="23">
        <v>52</v>
      </c>
      <c r="C61" s="23"/>
      <c r="D61" s="16">
        <v>-3.7699999999999997E-2</v>
      </c>
      <c r="E61" s="14">
        <f t="shared" si="9"/>
        <v>-3.8429026619781856E-2</v>
      </c>
      <c r="U61" s="24"/>
      <c r="V61" s="24"/>
      <c r="Z61" s="24">
        <v>-0.66007257884964132</v>
      </c>
      <c r="AA61" s="24">
        <v>-0.57356146498932503</v>
      </c>
    </row>
    <row r="62" spans="1:27" x14ac:dyDescent="0.3">
      <c r="A62" s="22">
        <v>35244</v>
      </c>
      <c r="B62" s="23">
        <v>53</v>
      </c>
      <c r="C62" s="23"/>
      <c r="D62" s="16">
        <v>-6.2600000000000003E-2</v>
      </c>
      <c r="E62" s="14">
        <f t="shared" si="9"/>
        <v>-6.4645193493531289E-2</v>
      </c>
      <c r="U62" s="24"/>
      <c r="V62" s="24"/>
      <c r="Z62" s="24">
        <v>-0.9870273863055572</v>
      </c>
      <c r="AA62" s="24">
        <v>-0.95147015599650331</v>
      </c>
    </row>
    <row r="63" spans="1:27" x14ac:dyDescent="0.3">
      <c r="A63" s="22">
        <v>35277</v>
      </c>
      <c r="B63" s="23">
        <v>54</v>
      </c>
      <c r="C63" s="23"/>
      <c r="D63" s="16">
        <v>-4.1799999999999997E-2</v>
      </c>
      <c r="E63" s="14">
        <f t="shared" si="9"/>
        <v>-4.2698754533115245E-2</v>
      </c>
      <c r="U63" s="24"/>
      <c r="V63" s="24"/>
      <c r="Z63" s="24">
        <v>-0.7133224713497881</v>
      </c>
      <c r="AA63" s="24">
        <v>-0.62170329329092056</v>
      </c>
    </row>
    <row r="64" spans="1:27" x14ac:dyDescent="0.3">
      <c r="A64" s="22">
        <v>35307</v>
      </c>
      <c r="B64" s="23">
        <v>55</v>
      </c>
      <c r="C64" s="23"/>
      <c r="D64" s="16">
        <v>5.6599999999999998E-2</v>
      </c>
      <c r="E64" s="14">
        <f t="shared" si="9"/>
        <v>5.5056205748078388E-2</v>
      </c>
      <c r="U64" s="24"/>
      <c r="V64" s="24"/>
      <c r="Z64" s="24">
        <v>0.50582807687935694</v>
      </c>
      <c r="AA64" s="24">
        <v>0.34924141800729558</v>
      </c>
    </row>
    <row r="65" spans="1:27" x14ac:dyDescent="0.3">
      <c r="A65" s="22">
        <v>35338</v>
      </c>
      <c r="B65" s="23">
        <v>56</v>
      </c>
      <c r="C65" s="23"/>
      <c r="D65" s="16">
        <v>-8.6599999999999996E-2</v>
      </c>
      <c r="E65" s="14">
        <f t="shared" si="9"/>
        <v>-9.0581378231238477E-2</v>
      </c>
      <c r="U65" s="24"/>
      <c r="V65" s="24"/>
      <c r="Z65" s="24">
        <v>-1.3104903978089364</v>
      </c>
      <c r="AA65" s="24">
        <v>-1.1626298146438785</v>
      </c>
    </row>
    <row r="66" spans="1:27" x14ac:dyDescent="0.3">
      <c r="A66" s="22">
        <v>35369</v>
      </c>
      <c r="B66" s="23">
        <v>57</v>
      </c>
      <c r="C66" s="23"/>
      <c r="D66" s="16">
        <v>7.22E-2</v>
      </c>
      <c r="E66" s="14">
        <f t="shared" si="9"/>
        <v>6.9712612411300348E-2</v>
      </c>
      <c r="U66" s="24"/>
      <c r="V66" s="24"/>
      <c r="Z66" s="24">
        <v>0.68861538677276513</v>
      </c>
      <c r="AA66" s="24">
        <v>0.57356146498932503</v>
      </c>
    </row>
    <row r="67" spans="1:27" x14ac:dyDescent="0.3">
      <c r="A67" s="22">
        <v>35398</v>
      </c>
      <c r="B67" s="23">
        <v>58</v>
      </c>
      <c r="C67" s="23"/>
      <c r="D67" s="16">
        <v>8.4199999999999997E-2</v>
      </c>
      <c r="E67" s="14">
        <f t="shared" si="9"/>
        <v>8.0842387844100805E-2</v>
      </c>
      <c r="U67" s="24"/>
      <c r="V67" s="24"/>
      <c r="Z67" s="24">
        <v>0.8274203311104732</v>
      </c>
      <c r="AA67" s="24">
        <v>0.7759967957099434</v>
      </c>
    </row>
    <row r="68" spans="1:27" x14ac:dyDescent="0.3">
      <c r="A68" s="22">
        <v>35430</v>
      </c>
      <c r="B68" s="23">
        <v>59</v>
      </c>
      <c r="C68" s="23"/>
      <c r="D68" s="16">
        <v>-4.2700000000000002E-2</v>
      </c>
      <c r="E68" s="14">
        <f t="shared" si="9"/>
        <v>-4.3638457029829492E-2</v>
      </c>
      <c r="U68" s="24"/>
      <c r="V68" s="24"/>
      <c r="Z68" s="24">
        <v>-0.72504196681831501</v>
      </c>
      <c r="AA68" s="24">
        <v>-0.72267539508175105</v>
      </c>
    </row>
    <row r="69" spans="1:27" x14ac:dyDescent="0.3">
      <c r="A69" s="22">
        <v>35461</v>
      </c>
      <c r="B69" s="23">
        <v>60</v>
      </c>
      <c r="C69" s="23"/>
      <c r="D69" s="16">
        <v>9.5299999999999996E-2</v>
      </c>
      <c r="E69" s="14">
        <f t="shared" si="9"/>
        <v>9.1028298347563763E-2</v>
      </c>
      <c r="U69" s="24"/>
      <c r="V69" s="24"/>
      <c r="Z69" s="24">
        <v>0.95445386821988276</v>
      </c>
      <c r="AA69" s="24">
        <v>0.88994738689507358</v>
      </c>
    </row>
    <row r="70" spans="1:27" x14ac:dyDescent="0.3">
      <c r="A70" s="22">
        <v>35489</v>
      </c>
      <c r="B70" s="23">
        <v>61</v>
      </c>
      <c r="C70" s="23"/>
      <c r="D70" s="16">
        <v>7.9600000000000004E-2</v>
      </c>
      <c r="E70" s="14">
        <f t="shared" si="9"/>
        <v>7.6590602161712637E-2</v>
      </c>
      <c r="U70" s="24"/>
      <c r="V70" s="24"/>
      <c r="Z70" s="24">
        <v>0.77439420506299939</v>
      </c>
      <c r="AA70" s="24">
        <v>0.72267539508175105</v>
      </c>
    </row>
    <row r="71" spans="1:27" x14ac:dyDescent="0.3">
      <c r="A71" s="22">
        <v>35520</v>
      </c>
      <c r="B71" s="23">
        <v>62</v>
      </c>
      <c r="C71" s="23"/>
      <c r="D71" s="16">
        <v>-4.4600000000000001E-2</v>
      </c>
      <c r="E71" s="14">
        <f t="shared" si="9"/>
        <v>-4.5625178026275554E-2</v>
      </c>
      <c r="U71" s="24"/>
      <c r="V71" s="24"/>
      <c r="Z71" s="24">
        <v>-0.74981934880515566</v>
      </c>
      <c r="AA71" s="24">
        <v>-0.83162149167037569</v>
      </c>
    </row>
    <row r="72" spans="1:27" x14ac:dyDescent="0.3">
      <c r="U72" s="24"/>
      <c r="V72" s="24"/>
    </row>
    <row r="73" spans="1:27" x14ac:dyDescent="0.3">
      <c r="U73" s="24"/>
      <c r="V73" s="24"/>
    </row>
  </sheetData>
  <printOptions gridLines="1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M44"/>
  <sheetViews>
    <sheetView tabSelected="1" workbookViewId="0"/>
  </sheetViews>
  <sheetFormatPr defaultColWidth="9.1796875" defaultRowHeight="13" x14ac:dyDescent="0.3"/>
  <cols>
    <col min="1" max="10" width="9.26953125" style="11" customWidth="1"/>
    <col min="11" max="11" width="3" style="11" customWidth="1"/>
    <col min="12" max="13" width="6" style="11" customWidth="1"/>
    <col min="14" max="16384" width="9.1796875" style="11"/>
  </cols>
  <sheetData>
    <row r="1" spans="1:13" x14ac:dyDescent="0.3">
      <c r="A1" s="28" t="s">
        <v>0</v>
      </c>
    </row>
    <row r="2" spans="1:13" x14ac:dyDescent="0.3">
      <c r="A2" s="31" t="s">
        <v>27</v>
      </c>
    </row>
    <row r="4" spans="1:13" x14ac:dyDescent="0.3">
      <c r="A4" s="8" t="s">
        <v>28</v>
      </c>
      <c r="B4" s="1"/>
      <c r="C4" s="2" t="s">
        <v>29</v>
      </c>
      <c r="D4" s="3" t="s">
        <v>30</v>
      </c>
    </row>
    <row r="5" spans="1:13" x14ac:dyDescent="0.3">
      <c r="B5" s="20" t="s">
        <v>31</v>
      </c>
      <c r="C5" s="4">
        <v>6.0000000000000001E-3</v>
      </c>
      <c r="D5" s="4">
        <v>4.2999999999999997E-2</v>
      </c>
      <c r="G5" s="32" t="s">
        <v>32</v>
      </c>
      <c r="I5" s="4">
        <v>7.0000000000000007E-2</v>
      </c>
      <c r="J5" s="33" t="s">
        <v>33</v>
      </c>
      <c r="L5" s="11" t="s">
        <v>34</v>
      </c>
      <c r="M5" s="27">
        <v>0.01</v>
      </c>
    </row>
    <row r="6" spans="1:13" x14ac:dyDescent="0.3">
      <c r="B6" s="20" t="s">
        <v>35</v>
      </c>
      <c r="C6" s="4">
        <v>2.1000000000000001E-2</v>
      </c>
      <c r="D6" s="4">
        <v>0.10100000000000001</v>
      </c>
      <c r="L6" s="11" t="s">
        <v>36</v>
      </c>
      <c r="M6" s="27">
        <v>0.02</v>
      </c>
    </row>
    <row r="7" spans="1:13" x14ac:dyDescent="0.3">
      <c r="B7" s="20" t="s">
        <v>37</v>
      </c>
      <c r="C7" s="4">
        <v>0.09</v>
      </c>
      <c r="D7" s="4">
        <v>0.20799999999999999</v>
      </c>
      <c r="G7" s="34"/>
      <c r="L7" s="11" t="s">
        <v>38</v>
      </c>
      <c r="M7" s="11">
        <v>7</v>
      </c>
    </row>
    <row r="8" spans="1:13" x14ac:dyDescent="0.3">
      <c r="A8" s="1"/>
      <c r="B8" s="1"/>
      <c r="C8" s="5"/>
      <c r="D8" s="6"/>
      <c r="E8" s="1"/>
    </row>
    <row r="9" spans="1:13" x14ac:dyDescent="0.3">
      <c r="A9" s="7" t="s">
        <v>39</v>
      </c>
      <c r="C9" s="21" t="s">
        <v>31</v>
      </c>
      <c r="D9" s="21" t="s">
        <v>35</v>
      </c>
      <c r="E9" s="21" t="s">
        <v>37</v>
      </c>
      <c r="G9" s="28" t="s">
        <v>40</v>
      </c>
    </row>
    <row r="10" spans="1:13" x14ac:dyDescent="0.3">
      <c r="B10" s="20" t="s">
        <v>31</v>
      </c>
      <c r="C10" s="24">
        <v>1</v>
      </c>
      <c r="D10" s="35">
        <v>0.63</v>
      </c>
      <c r="E10" s="35">
        <v>0.09</v>
      </c>
      <c r="H10" s="20" t="s">
        <v>31</v>
      </c>
      <c r="I10" s="36">
        <f>1-SUM(I11:I12)</f>
        <v>0.4</v>
      </c>
    </row>
    <row r="11" spans="1:13" x14ac:dyDescent="0.3">
      <c r="B11" s="20" t="s">
        <v>35</v>
      </c>
      <c r="C11" s="24">
        <f>D10</f>
        <v>0.63</v>
      </c>
      <c r="D11" s="24">
        <v>1</v>
      </c>
      <c r="E11" s="35">
        <v>0.23</v>
      </c>
      <c r="H11" s="20" t="s">
        <v>35</v>
      </c>
      <c r="I11" s="37">
        <v>0.5</v>
      </c>
      <c r="J11" s="33" t="s">
        <v>41</v>
      </c>
    </row>
    <row r="12" spans="1:13" x14ac:dyDescent="0.3">
      <c r="B12" s="20" t="s">
        <v>37</v>
      </c>
      <c r="C12" s="24">
        <f>E10</f>
        <v>0.09</v>
      </c>
      <c r="D12" s="24">
        <f>E11</f>
        <v>0.23</v>
      </c>
      <c r="E12" s="24">
        <v>1</v>
      </c>
      <c r="H12" s="20" t="s">
        <v>37</v>
      </c>
      <c r="I12" s="37">
        <v>0.1</v>
      </c>
      <c r="L12" s="27"/>
    </row>
    <row r="13" spans="1:13" x14ac:dyDescent="0.3">
      <c r="A13" s="1"/>
      <c r="B13" s="1"/>
      <c r="C13" s="5"/>
      <c r="D13" s="6"/>
      <c r="E13" s="1"/>
      <c r="I13" s="36"/>
      <c r="J13" s="21"/>
      <c r="L13" s="27"/>
    </row>
    <row r="14" spans="1:13" x14ac:dyDescent="0.3">
      <c r="A14" s="8" t="s">
        <v>42</v>
      </c>
      <c r="C14" s="21" t="s">
        <v>31</v>
      </c>
      <c r="D14" s="21" t="s">
        <v>35</v>
      </c>
      <c r="E14" s="21" t="s">
        <v>37</v>
      </c>
      <c r="I14" s="36"/>
    </row>
    <row r="15" spans="1:13" x14ac:dyDescent="0.3">
      <c r="B15" s="20" t="s">
        <v>31</v>
      </c>
      <c r="C15" s="38">
        <f t="shared" ref="C15:E17" si="0">C10*VLOOKUP(C$14,$B$5:$D$7,3,FALSE)*VLOOKUP($B15,$B$5:$D$7,3,FALSE)</f>
        <v>1.8489999999999997E-3</v>
      </c>
      <c r="D15" s="38">
        <f t="shared" si="0"/>
        <v>2.73609E-3</v>
      </c>
      <c r="E15" s="38">
        <f t="shared" si="0"/>
        <v>8.0495999999999986E-4</v>
      </c>
      <c r="H15" s="11" t="s">
        <v>29</v>
      </c>
      <c r="I15" s="37">
        <f>SUMPRODUCT($C$5:$C$7,I10:I12)</f>
        <v>2.1900000000000003E-2</v>
      </c>
      <c r="J15" s="33" t="s">
        <v>43</v>
      </c>
      <c r="L15" s="27"/>
    </row>
    <row r="16" spans="1:13" x14ac:dyDescent="0.3">
      <c r="B16" s="20" t="s">
        <v>35</v>
      </c>
      <c r="C16" s="38">
        <f t="shared" si="0"/>
        <v>2.73609E-3</v>
      </c>
      <c r="D16" s="38">
        <f t="shared" si="0"/>
        <v>1.0201000000000002E-2</v>
      </c>
      <c r="E16" s="38">
        <f t="shared" si="0"/>
        <v>4.8318400000000004E-3</v>
      </c>
      <c r="H16" s="11" t="s">
        <v>30</v>
      </c>
      <c r="I16" s="37">
        <f t="array" ref="I16">SQRT(MMULT(MMULT(TRANSPOSE($I$10:$I$12),$C$15:$E$17),$I$10:$I$12))</f>
        <v>7.0148034897636311E-2</v>
      </c>
      <c r="J16" s="33" t="s">
        <v>44</v>
      </c>
    </row>
    <row r="17" spans="1:12" x14ac:dyDescent="0.3">
      <c r="B17" s="20" t="s">
        <v>37</v>
      </c>
      <c r="C17" s="38">
        <f t="shared" si="0"/>
        <v>8.0495999999999986E-4</v>
      </c>
      <c r="D17" s="38">
        <f t="shared" si="0"/>
        <v>4.8318400000000004E-3</v>
      </c>
      <c r="E17" s="38">
        <f t="shared" si="0"/>
        <v>4.3263999999999997E-2</v>
      </c>
    </row>
    <row r="18" spans="1:12" x14ac:dyDescent="0.3">
      <c r="B18" s="20"/>
      <c r="C18" s="38"/>
      <c r="D18" s="38"/>
      <c r="E18" s="38"/>
    </row>
    <row r="19" spans="1:12" x14ac:dyDescent="0.3">
      <c r="A19" s="28" t="s">
        <v>45</v>
      </c>
      <c r="K19" s="30"/>
      <c r="L19" s="30"/>
    </row>
    <row r="20" spans="1:12" x14ac:dyDescent="0.3">
      <c r="K20" s="30"/>
      <c r="L20" s="30"/>
    </row>
    <row r="21" spans="1:12" x14ac:dyDescent="0.3">
      <c r="C21" s="36">
        <v>0.01</v>
      </c>
      <c r="D21" s="36">
        <v>2.9999999552965166E-2</v>
      </c>
      <c r="E21" s="36">
        <v>4.999999910593033E-2</v>
      </c>
      <c r="F21" s="36">
        <v>6.9999998658895501E-2</v>
      </c>
      <c r="G21" s="36">
        <v>8.9999998211860666E-2</v>
      </c>
      <c r="H21" s="36">
        <v>0.10999999776482583</v>
      </c>
      <c r="I21" s="36">
        <v>0.12999999731779099</v>
      </c>
      <c r="J21" s="4"/>
      <c r="K21" s="30"/>
      <c r="L21" s="30"/>
    </row>
    <row r="22" spans="1:12" x14ac:dyDescent="0.3">
      <c r="B22" s="20" t="s">
        <v>31</v>
      </c>
      <c r="C22" s="36"/>
      <c r="D22" s="36"/>
      <c r="E22" s="36"/>
      <c r="F22" s="36"/>
      <c r="G22" s="36"/>
      <c r="H22" s="36"/>
      <c r="I22" s="36"/>
      <c r="K22" s="30"/>
      <c r="L22" s="30"/>
    </row>
    <row r="23" spans="1:12" x14ac:dyDescent="0.3">
      <c r="B23" s="20" t="s">
        <v>35</v>
      </c>
      <c r="C23" s="36"/>
      <c r="D23" s="36"/>
      <c r="E23" s="36"/>
      <c r="F23" s="36"/>
      <c r="G23" s="36"/>
      <c r="H23" s="36"/>
      <c r="I23" s="36"/>
      <c r="K23" s="30"/>
      <c r="L23" s="30"/>
    </row>
    <row r="24" spans="1:12" x14ac:dyDescent="0.3">
      <c r="B24" s="20" t="s">
        <v>37</v>
      </c>
      <c r="C24" s="36"/>
      <c r="D24" s="36"/>
      <c r="E24" s="36"/>
      <c r="F24" s="36"/>
      <c r="G24" s="36"/>
      <c r="H24" s="36"/>
      <c r="I24" s="36"/>
      <c r="K24" s="30"/>
      <c r="L24" s="30"/>
    </row>
    <row r="25" spans="1:12" x14ac:dyDescent="0.3">
      <c r="K25" s="30"/>
      <c r="L25" s="30"/>
    </row>
    <row r="26" spans="1:12" x14ac:dyDescent="0.3">
      <c r="B26" s="21" t="s">
        <v>30</v>
      </c>
      <c r="C26" s="36" t="e">
        <f t="array" ref="C26">SQRT(MMULT(MMULT(TRANSPOSE($C$22:$C$24),$C$15:$E$17),$C$22:$C$24))</f>
        <v>#VALUE!</v>
      </c>
      <c r="D26" s="36"/>
      <c r="E26" s="36"/>
      <c r="F26" s="36"/>
      <c r="G26" s="36"/>
      <c r="H26" s="36"/>
      <c r="I26" s="36"/>
      <c r="J26" s="36"/>
      <c r="K26" s="30"/>
      <c r="L26" s="30"/>
    </row>
    <row r="27" spans="1:12" x14ac:dyDescent="0.3">
      <c r="B27" s="21" t="s">
        <v>29</v>
      </c>
      <c r="C27" s="36">
        <f>SUMPRODUCT($C$5:$C$7,C22:C24)</f>
        <v>0</v>
      </c>
      <c r="D27" s="36"/>
      <c r="E27" s="36"/>
      <c r="F27" s="36"/>
      <c r="G27" s="36"/>
      <c r="H27" s="36"/>
      <c r="I27" s="36"/>
      <c r="J27" s="36"/>
      <c r="K27" s="30"/>
      <c r="L27" s="30"/>
    </row>
    <row r="28" spans="1:12" x14ac:dyDescent="0.3">
      <c r="K28" s="30"/>
      <c r="L28" s="30"/>
    </row>
    <row r="29" spans="1:12" x14ac:dyDescent="0.3">
      <c r="K29" s="30"/>
      <c r="L29" s="30"/>
    </row>
    <row r="30" spans="1:12" x14ac:dyDescent="0.3">
      <c r="K30" s="30"/>
      <c r="L30" s="30"/>
    </row>
    <row r="31" spans="1:12" x14ac:dyDescent="0.3">
      <c r="K31" s="30"/>
      <c r="L31" s="30"/>
    </row>
    <row r="32" spans="1:12" x14ac:dyDescent="0.3">
      <c r="K32" s="30"/>
      <c r="L32" s="30"/>
    </row>
    <row r="33" spans="11:12" x14ac:dyDescent="0.3">
      <c r="K33" s="30"/>
      <c r="L33" s="30"/>
    </row>
    <row r="34" spans="11:12" x14ac:dyDescent="0.3">
      <c r="K34" s="30"/>
      <c r="L34" s="30"/>
    </row>
    <row r="35" spans="11:12" x14ac:dyDescent="0.3">
      <c r="K35" s="30"/>
      <c r="L35" s="30"/>
    </row>
    <row r="36" spans="11:12" x14ac:dyDescent="0.3">
      <c r="K36" s="30"/>
      <c r="L36" s="30"/>
    </row>
    <row r="37" spans="11:12" x14ac:dyDescent="0.3">
      <c r="K37" s="30"/>
      <c r="L37" s="30"/>
    </row>
    <row r="38" spans="11:12" x14ac:dyDescent="0.3">
      <c r="K38" s="30"/>
      <c r="L38" s="30"/>
    </row>
    <row r="39" spans="11:12" x14ac:dyDescent="0.3">
      <c r="K39" s="30"/>
      <c r="L39" s="30"/>
    </row>
    <row r="40" spans="11:12" x14ac:dyDescent="0.3">
      <c r="K40" s="30"/>
      <c r="L40" s="30"/>
    </row>
    <row r="41" spans="11:12" x14ac:dyDescent="0.3">
      <c r="K41" s="30"/>
      <c r="L41" s="30"/>
    </row>
    <row r="42" spans="11:12" x14ac:dyDescent="0.3">
      <c r="K42" s="30"/>
      <c r="L42" s="30"/>
    </row>
    <row r="43" spans="11:12" x14ac:dyDescent="0.3">
      <c r="K43" s="30"/>
      <c r="L43" s="30"/>
    </row>
    <row r="44" spans="11:12" x14ac:dyDescent="0.3">
      <c r="K44" s="30"/>
      <c r="L44" s="30"/>
    </row>
  </sheetData>
  <printOptions headings="1" gridLines="1"/>
  <pageMargins left="0.75" right="0.75" top="1" bottom="1" header="0.5" footer="0.5"/>
  <pageSetup paperSize="9" scale="78" orientation="portrait" horizontalDpi="300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5" baseType="lpstr">
      <vt:lpstr>IntroEx</vt:lpstr>
      <vt:lpstr>Data</vt:lpstr>
      <vt:lpstr>Eff1</vt:lpstr>
      <vt:lpstr>NProbChart</vt:lpstr>
      <vt:lpstr>aoutput</vt:lpstr>
      <vt:lpstr>atop</vt:lpstr>
      <vt:lpstr>avec</vt:lpstr>
      <vt:lpstr>change1</vt:lpstr>
      <vt:lpstr>chartdata</vt:lpstr>
      <vt:lpstr>incr1</vt:lpstr>
      <vt:lpstr>LnReturns</vt:lpstr>
      <vt:lpstr>min_tgt1</vt:lpstr>
      <vt:lpstr>niter1</vt:lpstr>
      <vt:lpstr>npdata</vt:lpstr>
      <vt:lpstr>portret1</vt:lpstr>
      <vt:lpstr>portsd1</vt:lpstr>
      <vt:lpstr>portwts1</vt:lpstr>
      <vt:lpstr>pqvec2</vt:lpstr>
      <vt:lpstr>quartdata</vt:lpstr>
      <vt:lpstr>qvec1</vt:lpstr>
      <vt:lpstr>Returns</vt:lpstr>
      <vt:lpstr>startcell</vt:lpstr>
      <vt:lpstr>storestart1</vt:lpstr>
      <vt:lpstr>target1</vt:lpstr>
      <vt:lpstr>znmat</vt:lpstr>
    </vt:vector>
  </TitlesOfParts>
  <Company>London Business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Models for AMF chapter 3</dc:title>
  <dc:creator>Mary Jackson and Mike Staunton</dc:creator>
  <dc:description/>
  <cp:lastModifiedBy>Carina Negreanu</cp:lastModifiedBy>
  <cp:lastPrinted>2000-08-31T10:30:41Z</cp:lastPrinted>
  <dcterms:created xsi:type="dcterms:W3CDTF">1998-08-19T12:29:44Z</dcterms:created>
  <dcterms:modified xsi:type="dcterms:W3CDTF">2020-01-27T12:49:21Z</dcterms:modified>
</cp:coreProperties>
</file>