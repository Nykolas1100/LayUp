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C7F1631-E701-4BD9-89BC-81B527A0572C}" xr6:coauthVersionLast="45" xr6:coauthVersionMax="45" xr10:uidLastSave="{00000000-0000-0000-0000-000000000000}"/>
  <bookViews>
    <workbookView xWindow="3420" yWindow="3420" windowWidth="28800" windowHeight="15460"/>
  </bookViews>
  <sheets>
    <sheet name="Results" sheetId="1" r:id="rId1"/>
    <sheet name="Inputs" sheetId="2" r:id="rId2"/>
    <sheet name="Percentages" sheetId="3" r:id="rId3"/>
    <sheet name="Input Forms" sheetId="4" r:id="rId4"/>
  </sheets>
  <definedNames>
    <definedName name="\0">Results!#REF!</definedName>
    <definedName name="\m">Results!#REF!</definedName>
    <definedName name="_Regression_Int" localSheetId="0" hidden="1">1</definedName>
    <definedName name="FORM">Results!#REF!</definedName>
    <definedName name="FORM1">'Input Forms'!$A$1:$G$40</definedName>
    <definedName name="FORM2">'Input Forms'!$A$41:$G$81</definedName>
    <definedName name="FORM3">'Input Forms'!$A$83:$G$133</definedName>
    <definedName name="INPUT1A">Inputs!$A$1:$G$40</definedName>
    <definedName name="INPUT1B">Inputs!$A$41:$G$81</definedName>
    <definedName name="INPUTS">Results!#REF!</definedName>
    <definedName name="MENU">Results!#REF!</definedName>
    <definedName name="PRINT">Results!#REF!</definedName>
    <definedName name="_xlnm.Print_Area" localSheetId="0">Percentages!$A$1:$H$51</definedName>
    <definedName name="Print_Area_MI" localSheetId="0">Percentages!$A$1:$H$51</definedName>
    <definedName name="RESULTS">Results!$A$1:$H$48</definedName>
    <definedName name="TABLE1">Percentages!$A$1:$H$51</definedName>
  </definedNames>
  <calcPr calcId="0" iterate="1" iterateCount="50"/>
</workbook>
</file>

<file path=xl/calcChain.xml><?xml version="1.0" encoding="utf-8"?>
<calcChain xmlns="http://schemas.openxmlformats.org/spreadsheetml/2006/main">
  <c r="A28" i="4" l="1"/>
  <c r="B28" i="4"/>
  <c r="A29" i="4"/>
  <c r="B29" i="4"/>
  <c r="A30" i="4"/>
  <c r="B30" i="4"/>
  <c r="A31" i="4"/>
  <c r="B31" i="4"/>
  <c r="A32" i="4"/>
  <c r="B32" i="4"/>
  <c r="B39" i="4"/>
  <c r="B49" i="4"/>
  <c r="C49" i="4"/>
  <c r="D49" i="4"/>
  <c r="E49" i="4"/>
  <c r="F49" i="4"/>
  <c r="G49" i="4"/>
  <c r="H49" i="4"/>
  <c r="B50" i="4"/>
  <c r="C50" i="4"/>
  <c r="D50" i="4"/>
  <c r="E50" i="4"/>
  <c r="F50" i="4"/>
  <c r="G50" i="4"/>
  <c r="H50" i="4"/>
  <c r="B51" i="4"/>
  <c r="C51" i="4"/>
  <c r="D51" i="4"/>
  <c r="E51" i="4"/>
  <c r="F51" i="4"/>
  <c r="G51" i="4"/>
  <c r="H51" i="4"/>
  <c r="B52" i="4"/>
  <c r="C52" i="4"/>
  <c r="D52" i="4"/>
  <c r="E52" i="4"/>
  <c r="F52" i="4"/>
  <c r="G52" i="4"/>
  <c r="H52" i="4"/>
  <c r="B53" i="4"/>
  <c r="C53" i="4"/>
  <c r="D53" i="4"/>
  <c r="E53" i="4"/>
  <c r="F53" i="4"/>
  <c r="G53" i="4"/>
  <c r="H53" i="4"/>
  <c r="D56" i="4"/>
  <c r="E56" i="4"/>
  <c r="F56" i="4"/>
  <c r="G56" i="4"/>
  <c r="H56" i="4"/>
  <c r="D57" i="4"/>
  <c r="E57" i="4"/>
  <c r="F57" i="4"/>
  <c r="G57" i="4"/>
  <c r="H57" i="4"/>
  <c r="D58" i="4"/>
  <c r="E58" i="4"/>
  <c r="F58" i="4"/>
  <c r="G58" i="4"/>
  <c r="H58" i="4"/>
  <c r="D59" i="4"/>
  <c r="E59" i="4"/>
  <c r="F59" i="4"/>
  <c r="G59" i="4"/>
  <c r="H59" i="4"/>
  <c r="D60" i="4"/>
  <c r="E60" i="4"/>
  <c r="F60" i="4"/>
  <c r="G60" i="4"/>
  <c r="H60" i="4"/>
  <c r="E61" i="4"/>
  <c r="B84" i="4"/>
  <c r="C84" i="4"/>
  <c r="D84" i="4"/>
  <c r="E84" i="4"/>
  <c r="F84" i="4"/>
  <c r="G84" i="4"/>
  <c r="H84" i="4"/>
  <c r="B123" i="4"/>
  <c r="C123" i="4"/>
  <c r="D123" i="4"/>
  <c r="E123" i="4"/>
  <c r="F123" i="4"/>
  <c r="G123" i="4"/>
  <c r="H123" i="4"/>
  <c r="C10" i="2"/>
  <c r="A28" i="2"/>
  <c r="F28" i="2"/>
  <c r="G28" i="2"/>
  <c r="H28" i="2"/>
  <c r="A29" i="2"/>
  <c r="F29" i="2"/>
  <c r="G29" i="2"/>
  <c r="H29" i="2"/>
  <c r="A30" i="2"/>
  <c r="F30" i="2"/>
  <c r="G30" i="2"/>
  <c r="H30" i="2"/>
  <c r="A31" i="2"/>
  <c r="F31" i="2"/>
  <c r="G31" i="2"/>
  <c r="H31" i="2"/>
  <c r="A32" i="2"/>
  <c r="F32" i="2"/>
  <c r="G32" i="2"/>
  <c r="H32" i="2"/>
  <c r="F33" i="2"/>
  <c r="G33" i="2"/>
  <c r="H33" i="2"/>
  <c r="C35" i="2"/>
  <c r="B37" i="2"/>
  <c r="B38" i="2"/>
  <c r="B39" i="2"/>
  <c r="B49" i="2"/>
  <c r="C49" i="2"/>
  <c r="D49" i="2"/>
  <c r="E49" i="2"/>
  <c r="F49" i="2"/>
  <c r="G49" i="2"/>
  <c r="H49" i="2"/>
  <c r="B54" i="2"/>
  <c r="C54" i="2"/>
  <c r="D54" i="2"/>
  <c r="E54" i="2"/>
  <c r="F54" i="2"/>
  <c r="G54" i="2"/>
  <c r="H54" i="2"/>
  <c r="D56" i="2"/>
  <c r="E56" i="2"/>
  <c r="F56" i="2"/>
  <c r="G56" i="2"/>
  <c r="H56" i="2"/>
  <c r="D57" i="2"/>
  <c r="E57" i="2"/>
  <c r="F57" i="2"/>
  <c r="G57" i="2"/>
  <c r="H57" i="2"/>
  <c r="E61" i="2"/>
  <c r="F78" i="2"/>
  <c r="C2" i="3"/>
  <c r="E2" i="3"/>
  <c r="F2" i="3"/>
  <c r="G2" i="3"/>
  <c r="H2" i="3"/>
  <c r="I2" i="3"/>
  <c r="B3" i="3"/>
  <c r="B4" i="3"/>
  <c r="B5" i="3"/>
  <c r="B6" i="3"/>
  <c r="B7" i="3"/>
  <c r="B9" i="3"/>
  <c r="B10" i="3"/>
  <c r="B11" i="3"/>
  <c r="B12" i="3"/>
  <c r="B13" i="3"/>
  <c r="B15" i="3"/>
  <c r="B16" i="3"/>
  <c r="B17" i="3"/>
  <c r="B18" i="3"/>
  <c r="B19" i="3"/>
  <c r="B21" i="3"/>
  <c r="B22" i="3"/>
  <c r="B23" i="3"/>
  <c r="B24" i="3"/>
  <c r="B25" i="3"/>
  <c r="B27" i="3"/>
  <c r="B28" i="3"/>
  <c r="B29" i="3"/>
  <c r="B30" i="3"/>
  <c r="B31" i="3"/>
  <c r="B33" i="3"/>
  <c r="B34" i="3"/>
  <c r="B35" i="3"/>
  <c r="B36" i="3"/>
  <c r="B37" i="3"/>
  <c r="B38" i="3"/>
  <c r="C41" i="3"/>
  <c r="D41" i="3"/>
  <c r="E41" i="3"/>
  <c r="F41" i="3"/>
  <c r="G41" i="3"/>
  <c r="H41" i="3"/>
  <c r="I41" i="3"/>
  <c r="B42" i="3"/>
  <c r="B43" i="3"/>
  <c r="B44" i="3"/>
  <c r="B45" i="3"/>
  <c r="B46" i="3"/>
  <c r="B48" i="3"/>
  <c r="B49" i="3"/>
  <c r="B50" i="3"/>
  <c r="B51" i="3"/>
  <c r="C51" i="3"/>
  <c r="D51" i="3"/>
  <c r="Q2" i="1"/>
  <c r="S2" i="1"/>
  <c r="T2" i="1"/>
  <c r="U2" i="1"/>
  <c r="V2" i="1"/>
  <c r="W2" i="1"/>
  <c r="D3" i="1"/>
  <c r="E3" i="1"/>
  <c r="F3" i="1"/>
  <c r="G3" i="1"/>
  <c r="H3" i="1"/>
  <c r="Q3" i="1"/>
  <c r="R3" i="1"/>
  <c r="S3" i="1"/>
  <c r="T3" i="1"/>
  <c r="U3" i="1"/>
  <c r="V3" i="1"/>
  <c r="W3" i="1"/>
  <c r="Y3" i="1"/>
  <c r="B4" i="1"/>
  <c r="C4" i="1"/>
  <c r="D4" i="1"/>
  <c r="E4" i="1"/>
  <c r="F4" i="1"/>
  <c r="G4" i="1"/>
  <c r="H4" i="1"/>
  <c r="Q4" i="1"/>
  <c r="R4" i="1"/>
  <c r="S4" i="1"/>
  <c r="T4" i="1"/>
  <c r="U4" i="1"/>
  <c r="V4" i="1"/>
  <c r="W4" i="1"/>
  <c r="Y4" i="1"/>
  <c r="Q5" i="1"/>
  <c r="R5" i="1"/>
  <c r="S5" i="1"/>
  <c r="T5" i="1"/>
  <c r="U5" i="1"/>
  <c r="V5" i="1"/>
  <c r="W5" i="1"/>
  <c r="Y5" i="1"/>
  <c r="B6" i="1"/>
  <c r="C6" i="1"/>
  <c r="D6" i="1"/>
  <c r="E6" i="1"/>
  <c r="F6" i="1"/>
  <c r="G6" i="1"/>
  <c r="H6" i="1"/>
  <c r="Q6" i="1"/>
  <c r="R6" i="1"/>
  <c r="S6" i="1"/>
  <c r="T6" i="1"/>
  <c r="U6" i="1"/>
  <c r="V6" i="1"/>
  <c r="W6" i="1"/>
  <c r="Y6" i="1"/>
  <c r="Q7" i="1"/>
  <c r="R7" i="1"/>
  <c r="S7" i="1"/>
  <c r="T7" i="1"/>
  <c r="U7" i="1"/>
  <c r="V7" i="1"/>
  <c r="W7" i="1"/>
  <c r="Y7" i="1"/>
  <c r="B8" i="1"/>
  <c r="C8" i="1"/>
  <c r="D8" i="1"/>
  <c r="E8" i="1"/>
  <c r="F8" i="1"/>
  <c r="G8" i="1"/>
  <c r="H8" i="1"/>
  <c r="Q9" i="1"/>
  <c r="R9" i="1"/>
  <c r="S9" i="1"/>
  <c r="T9" i="1"/>
  <c r="U9" i="1"/>
  <c r="V9" i="1"/>
  <c r="W9" i="1"/>
  <c r="C10" i="1"/>
  <c r="D10" i="1"/>
  <c r="E10" i="1"/>
  <c r="F10" i="1"/>
  <c r="G10" i="1"/>
  <c r="H10" i="1"/>
  <c r="Q10" i="1"/>
  <c r="R10" i="1"/>
  <c r="S10" i="1"/>
  <c r="T10" i="1"/>
  <c r="U10" i="1"/>
  <c r="V10" i="1"/>
  <c r="W10" i="1"/>
  <c r="O11" i="1"/>
  <c r="Q11" i="1"/>
  <c r="R11" i="1"/>
  <c r="S11" i="1"/>
  <c r="T11" i="1"/>
  <c r="U11" i="1"/>
  <c r="V11" i="1"/>
  <c r="W11" i="1"/>
  <c r="Q12" i="1"/>
  <c r="R12" i="1"/>
  <c r="S12" i="1"/>
  <c r="T12" i="1"/>
  <c r="U12" i="1"/>
  <c r="V12" i="1"/>
  <c r="W12" i="1"/>
  <c r="B13" i="1"/>
  <c r="D13" i="1"/>
  <c r="E13" i="1"/>
  <c r="F13" i="1"/>
  <c r="G13" i="1"/>
  <c r="H13" i="1"/>
  <c r="Q13" i="1"/>
  <c r="R13" i="1"/>
  <c r="S13" i="1"/>
  <c r="T13" i="1"/>
  <c r="U13" i="1"/>
  <c r="V13" i="1"/>
  <c r="W13" i="1"/>
  <c r="B14" i="1"/>
  <c r="C14" i="1"/>
  <c r="D14" i="1"/>
  <c r="E14" i="1"/>
  <c r="F14" i="1"/>
  <c r="G14" i="1"/>
  <c r="H14" i="1"/>
  <c r="B15" i="1"/>
  <c r="C15" i="1"/>
  <c r="D15" i="1"/>
  <c r="E15" i="1"/>
  <c r="F15" i="1"/>
  <c r="G15" i="1"/>
  <c r="H15" i="1"/>
  <c r="Q15" i="1"/>
  <c r="R15" i="1"/>
  <c r="S15" i="1"/>
  <c r="T15" i="1"/>
  <c r="U15" i="1"/>
  <c r="V15" i="1"/>
  <c r="W15" i="1"/>
  <c r="B16" i="1"/>
  <c r="C16" i="1"/>
  <c r="D16" i="1"/>
  <c r="E16" i="1"/>
  <c r="F16" i="1"/>
  <c r="G16" i="1"/>
  <c r="H16" i="1"/>
  <c r="Q16" i="1"/>
  <c r="R16" i="1"/>
  <c r="S16" i="1"/>
  <c r="T16" i="1"/>
  <c r="U16" i="1"/>
  <c r="V16" i="1"/>
  <c r="W16" i="1"/>
  <c r="B17" i="1"/>
  <c r="C17" i="1"/>
  <c r="D17" i="1"/>
  <c r="E17" i="1"/>
  <c r="F17" i="1"/>
  <c r="G17" i="1"/>
  <c r="H17" i="1"/>
  <c r="Q17" i="1"/>
  <c r="R17" i="1"/>
  <c r="S17" i="1"/>
  <c r="T17" i="1"/>
  <c r="U17" i="1"/>
  <c r="V17" i="1"/>
  <c r="W17" i="1"/>
  <c r="B18" i="1"/>
  <c r="C18" i="1"/>
  <c r="D18" i="1"/>
  <c r="E18" i="1"/>
  <c r="F18" i="1"/>
  <c r="G18" i="1"/>
  <c r="H18" i="1"/>
  <c r="Q18" i="1"/>
  <c r="R18" i="1"/>
  <c r="S18" i="1"/>
  <c r="T18" i="1"/>
  <c r="U18" i="1"/>
  <c r="V18" i="1"/>
  <c r="W18" i="1"/>
  <c r="B19" i="1"/>
  <c r="C19" i="1"/>
  <c r="D19" i="1"/>
  <c r="E19" i="1"/>
  <c r="F19" i="1"/>
  <c r="G19" i="1"/>
  <c r="H19" i="1"/>
  <c r="Q19" i="1"/>
  <c r="R19" i="1"/>
  <c r="S19" i="1"/>
  <c r="T19" i="1"/>
  <c r="U19" i="1"/>
  <c r="V19" i="1"/>
  <c r="W19" i="1"/>
  <c r="B20" i="1"/>
  <c r="C20" i="1"/>
  <c r="D20" i="1"/>
  <c r="E20" i="1"/>
  <c r="F20" i="1"/>
  <c r="G20" i="1"/>
  <c r="H20" i="1"/>
  <c r="B21" i="1"/>
  <c r="C21" i="1"/>
  <c r="D21" i="1"/>
  <c r="E21" i="1"/>
  <c r="F21" i="1"/>
  <c r="G21" i="1"/>
  <c r="H21" i="1"/>
  <c r="Q21" i="1"/>
  <c r="R21" i="1"/>
  <c r="S21" i="1"/>
  <c r="T21" i="1"/>
  <c r="U21" i="1"/>
  <c r="V21" i="1"/>
  <c r="W21" i="1"/>
  <c r="B22" i="1"/>
  <c r="C22" i="1"/>
  <c r="D22" i="1"/>
  <c r="E22" i="1"/>
  <c r="F22" i="1"/>
  <c r="G22" i="1"/>
  <c r="H22" i="1"/>
  <c r="Q22" i="1"/>
  <c r="R22" i="1"/>
  <c r="S22" i="1"/>
  <c r="T22" i="1"/>
  <c r="U22" i="1"/>
  <c r="V22" i="1"/>
  <c r="W22" i="1"/>
  <c r="B23" i="1"/>
  <c r="C23" i="1"/>
  <c r="D23" i="1"/>
  <c r="E23" i="1"/>
  <c r="F23" i="1"/>
  <c r="G23" i="1"/>
  <c r="H23" i="1"/>
  <c r="Q23" i="1"/>
  <c r="R23" i="1"/>
  <c r="S23" i="1"/>
  <c r="T23" i="1"/>
  <c r="U23" i="1"/>
  <c r="V23" i="1"/>
  <c r="W23" i="1"/>
  <c r="B24" i="1"/>
  <c r="C24" i="1"/>
  <c r="D24" i="1"/>
  <c r="E24" i="1"/>
  <c r="F24" i="1"/>
  <c r="G24" i="1"/>
  <c r="H24" i="1"/>
  <c r="Q24" i="1"/>
  <c r="R24" i="1"/>
  <c r="S24" i="1"/>
  <c r="T24" i="1"/>
  <c r="U24" i="1"/>
  <c r="V24" i="1"/>
  <c r="W24" i="1"/>
  <c r="B25" i="1"/>
  <c r="C25" i="1"/>
  <c r="D25" i="1"/>
  <c r="E25" i="1"/>
  <c r="F25" i="1"/>
  <c r="G25" i="1"/>
  <c r="H25" i="1"/>
  <c r="Q25" i="1"/>
  <c r="R25" i="1"/>
  <c r="S25" i="1"/>
  <c r="T25" i="1"/>
  <c r="U25" i="1"/>
  <c r="V25" i="1"/>
  <c r="W25" i="1"/>
  <c r="B26" i="1"/>
  <c r="C26" i="1"/>
  <c r="D26" i="1"/>
  <c r="E26" i="1"/>
  <c r="F26" i="1"/>
  <c r="G26" i="1"/>
  <c r="H26" i="1"/>
  <c r="B27" i="1"/>
  <c r="C27" i="1"/>
  <c r="D27" i="1"/>
  <c r="E27" i="1"/>
  <c r="F27" i="1"/>
  <c r="G27" i="1"/>
  <c r="H27" i="1"/>
  <c r="Q27" i="1"/>
  <c r="R27" i="1"/>
  <c r="S27" i="1"/>
  <c r="T27" i="1"/>
  <c r="U27" i="1"/>
  <c r="V27" i="1"/>
  <c r="W27" i="1"/>
  <c r="B28" i="1"/>
  <c r="C28" i="1"/>
  <c r="D28" i="1"/>
  <c r="E28" i="1"/>
  <c r="F28" i="1"/>
  <c r="G28" i="1"/>
  <c r="H28" i="1"/>
  <c r="Q28" i="1"/>
  <c r="R28" i="1"/>
  <c r="S28" i="1"/>
  <c r="T28" i="1"/>
  <c r="U28" i="1"/>
  <c r="V28" i="1"/>
  <c r="W28" i="1"/>
  <c r="B29" i="1"/>
  <c r="C29" i="1"/>
  <c r="Q29" i="1"/>
  <c r="R29" i="1"/>
  <c r="S29" i="1"/>
  <c r="T29" i="1"/>
  <c r="U29" i="1"/>
  <c r="V29" i="1"/>
  <c r="W29" i="1"/>
  <c r="Q30" i="1"/>
  <c r="R30" i="1"/>
  <c r="S30" i="1"/>
  <c r="T30" i="1"/>
  <c r="U30" i="1"/>
  <c r="V30" i="1"/>
  <c r="W30" i="1"/>
  <c r="Q31" i="1"/>
  <c r="R31" i="1"/>
  <c r="S31" i="1"/>
  <c r="T31" i="1"/>
  <c r="U31" i="1"/>
  <c r="V31" i="1"/>
  <c r="W31" i="1"/>
  <c r="B32" i="1"/>
  <c r="C32" i="1"/>
  <c r="D32" i="1"/>
  <c r="E32" i="1"/>
  <c r="F32" i="1"/>
  <c r="G32" i="1"/>
  <c r="H32" i="1"/>
  <c r="B33" i="1"/>
  <c r="C33" i="1"/>
  <c r="D33" i="1"/>
  <c r="E33" i="1"/>
  <c r="F33" i="1"/>
  <c r="G33" i="1"/>
  <c r="H33" i="1"/>
  <c r="Q33" i="1"/>
  <c r="R33" i="1"/>
  <c r="S33" i="1"/>
  <c r="T33" i="1"/>
  <c r="U33" i="1"/>
  <c r="V33" i="1"/>
  <c r="W33" i="1"/>
  <c r="Q34" i="1"/>
  <c r="R34" i="1"/>
  <c r="S34" i="1"/>
  <c r="T34" i="1"/>
  <c r="U34" i="1"/>
  <c r="V34" i="1"/>
  <c r="W34" i="1"/>
  <c r="F35" i="1"/>
  <c r="Q35" i="1"/>
  <c r="R35" i="1"/>
  <c r="S35" i="1"/>
  <c r="T35" i="1"/>
  <c r="U35" i="1"/>
  <c r="V35" i="1"/>
  <c r="W35" i="1"/>
  <c r="F36" i="1"/>
  <c r="Q36" i="1"/>
  <c r="R36" i="1"/>
  <c r="S36" i="1"/>
  <c r="T36" i="1"/>
  <c r="U36" i="1"/>
  <c r="V36" i="1"/>
  <c r="W36" i="1"/>
  <c r="Q37" i="1"/>
  <c r="R37" i="1"/>
  <c r="S37" i="1"/>
  <c r="T37" i="1"/>
  <c r="U37" i="1"/>
  <c r="V37" i="1"/>
  <c r="W37" i="1"/>
  <c r="Q38" i="1"/>
  <c r="R38" i="1"/>
  <c r="S38" i="1"/>
  <c r="T38" i="1"/>
  <c r="U38" i="1"/>
  <c r="V38" i="1"/>
  <c r="W38" i="1"/>
  <c r="F39" i="1"/>
  <c r="E41" i="1"/>
  <c r="E42" i="1"/>
  <c r="Q42" i="1"/>
  <c r="R42" i="1"/>
  <c r="S42" i="1"/>
  <c r="T42" i="1"/>
  <c r="U42" i="1"/>
  <c r="V42" i="1"/>
  <c r="W42" i="1"/>
  <c r="Q43" i="1"/>
  <c r="R43" i="1"/>
  <c r="S43" i="1"/>
  <c r="T43" i="1"/>
  <c r="U43" i="1"/>
  <c r="V43" i="1"/>
  <c r="W43" i="1"/>
  <c r="B44" i="1"/>
  <c r="C44" i="1"/>
  <c r="D44" i="1"/>
  <c r="E44" i="1"/>
  <c r="F44" i="1"/>
  <c r="G44" i="1"/>
  <c r="H44" i="1"/>
  <c r="Q44" i="1"/>
  <c r="R44" i="1"/>
  <c r="S44" i="1"/>
  <c r="T44" i="1"/>
  <c r="U44" i="1"/>
  <c r="V44" i="1"/>
  <c r="W44" i="1"/>
  <c r="B45" i="1"/>
  <c r="C45" i="1"/>
  <c r="D45" i="1"/>
  <c r="E45" i="1"/>
  <c r="F45" i="1"/>
  <c r="G45" i="1"/>
  <c r="H45" i="1"/>
  <c r="Q45" i="1"/>
  <c r="R45" i="1"/>
  <c r="S45" i="1"/>
  <c r="T45" i="1"/>
  <c r="U45" i="1"/>
  <c r="V45" i="1"/>
  <c r="W45" i="1"/>
  <c r="Q46" i="1"/>
  <c r="R46" i="1"/>
  <c r="S46" i="1"/>
  <c r="T46" i="1"/>
  <c r="U46" i="1"/>
  <c r="V46" i="1"/>
  <c r="W46" i="1"/>
  <c r="Q48" i="1"/>
  <c r="R48" i="1"/>
  <c r="S48" i="1"/>
  <c r="T48" i="1"/>
  <c r="U48" i="1"/>
  <c r="V48" i="1"/>
  <c r="W48" i="1"/>
  <c r="Q49" i="1"/>
  <c r="R49" i="1"/>
  <c r="S49" i="1"/>
  <c r="T49" i="1"/>
  <c r="U49" i="1"/>
  <c r="V49" i="1"/>
  <c r="W49" i="1"/>
  <c r="Q50" i="1"/>
  <c r="R50" i="1"/>
  <c r="S50" i="1"/>
  <c r="T50" i="1"/>
  <c r="U50" i="1"/>
  <c r="V50" i="1"/>
  <c r="W50" i="1"/>
  <c r="Q51" i="1"/>
  <c r="R51" i="1"/>
  <c r="S51" i="1"/>
  <c r="T51" i="1"/>
  <c r="U51" i="1"/>
  <c r="V51" i="1"/>
  <c r="W51" i="1"/>
</calcChain>
</file>

<file path=xl/sharedStrings.xml><?xml version="1.0" encoding="utf-8"?>
<sst xmlns="http://schemas.openxmlformats.org/spreadsheetml/2006/main" count="743" uniqueCount="161">
  <si>
    <t>Cost of Production per Equivalent Unit Produced</t>
  </si>
  <si>
    <t>Actual Dollars to ...</t>
  </si>
  <si>
    <t xml:space="preserve"> </t>
  </si>
  <si>
    <t>T.D.M. = Tons Dry Matter</t>
  </si>
  <si>
    <t xml:space="preserve">Item:   </t>
  </si>
  <si>
    <t>Unit Name:</t>
  </si>
  <si>
    <t>CWT EQ</t>
  </si>
  <si>
    <t>Head</t>
  </si>
  <si>
    <t>Breeding Fees</t>
  </si>
  <si>
    <t>(interest only)</t>
  </si>
  <si>
    <t>Number Produced:</t>
  </si>
  <si>
    <t>Car &amp; Truck Expense</t>
  </si>
  <si>
    <t>Chemicals</t>
  </si>
  <si>
    <t>Enterprise:</t>
  </si>
  <si>
    <t>Conservation Expense</t>
  </si>
  <si>
    <t>Custom Hire</t>
  </si>
  <si>
    <t xml:space="preserve">Total Costs </t>
  </si>
  <si>
    <t>(includes opportunity cost of capital and unpaid labor and management)</t>
  </si>
  <si>
    <t>Depreciation</t>
  </si>
  <si>
    <t>Price charged to the dairy</t>
  </si>
  <si>
    <t>(per unit)</t>
  </si>
  <si>
    <t>Employee Benefit Programs</t>
  </si>
  <si>
    <t>Feed Purchased</t>
  </si>
  <si>
    <t>Detailed Costs of Production per Unit</t>
  </si>
  <si>
    <t>Fertilizer</t>
  </si>
  <si>
    <t>Heifers</t>
  </si>
  <si>
    <t>Freight</t>
  </si>
  <si>
    <t xml:space="preserve">Chemicals </t>
  </si>
  <si>
    <t>Gasoline, Fuel</t>
  </si>
  <si>
    <t>Insurance</t>
  </si>
  <si>
    <t>Fuel &amp; Utilities + Car &amp; Truck Exp</t>
  </si>
  <si>
    <t>Interest - Mortgage</t>
  </si>
  <si>
    <t>Repairs &amp; Maintenance</t>
  </si>
  <si>
    <t>Interest - Other</t>
  </si>
  <si>
    <t xml:space="preserve">Plants &amp; Seeds </t>
  </si>
  <si>
    <t>Labor Hired</t>
  </si>
  <si>
    <t>Property Taxes</t>
  </si>
  <si>
    <t>Rent</t>
  </si>
  <si>
    <t>Pension &amp; Profit Sharing</t>
  </si>
  <si>
    <t>Supplies Purchased</t>
  </si>
  <si>
    <t>Rent - equipment</t>
  </si>
  <si>
    <t>Veterinary &amp; Breeding</t>
  </si>
  <si>
    <t>Rent - other</t>
  </si>
  <si>
    <t>Other Variable Cost</t>
  </si>
  <si>
    <t>Repairs and Maintenance</t>
  </si>
  <si>
    <t>Purchased Feed</t>
  </si>
  <si>
    <t>Seed &amp; Plants Purchased</t>
  </si>
  <si>
    <t>Home Grown Feeds</t>
  </si>
  <si>
    <t>Hired Labor Costs</t>
  </si>
  <si>
    <t>Storage &amp; Warehousing</t>
  </si>
  <si>
    <t>Unpaid Labor &amp; Management</t>
  </si>
  <si>
    <t>Internal Animal Purchases</t>
  </si>
  <si>
    <t>Taxes</t>
  </si>
  <si>
    <t>Utilities</t>
  </si>
  <si>
    <t>Cost of Capital per Unit of Production</t>
  </si>
  <si>
    <t>Veterinary</t>
  </si>
  <si>
    <t>Opportunity Cost</t>
  </si>
  <si>
    <t>Actual Cost</t>
  </si>
  <si>
    <t>Other ...</t>
  </si>
  <si>
    <t>Total Opportunity Cost Depreciation and Interest Used</t>
  </si>
  <si>
    <t>Total Actual Tax Depreciation and Interest Claimed</t>
  </si>
  <si>
    <t>Change in Prepaid Expenses</t>
  </si>
  <si>
    <t>Change in Accounts Payable</t>
  </si>
  <si>
    <t>Total Labor &amp; Management Charges on This Farm</t>
  </si>
  <si>
    <t>Total Costs Charged to the Milk Production Enterprise</t>
  </si>
  <si>
    <t>Opportunity Costs</t>
  </si>
  <si>
    <t>Income over Total Cost of the Milk Production Enterprise</t>
  </si>
  <si>
    <t>Inventory</t>
  </si>
  <si>
    <t>Livestock</t>
  </si>
  <si>
    <t>Equipment</t>
  </si>
  <si>
    <t>Total Costs Lite</t>
  </si>
  <si>
    <t>Machinery</t>
  </si>
  <si>
    <r>
      <t>(</t>
    </r>
    <r>
      <rPr>
        <b/>
        <sz val="10"/>
        <rFont val="Arial"/>
        <family val="2"/>
      </rPr>
      <t>excludes</t>
    </r>
    <r>
      <rPr>
        <sz val="8"/>
        <rFont val="Arial"/>
        <family val="2"/>
      </rPr>
      <t xml:space="preserve"> a return to equity capital, but includes interest paid,</t>
    </r>
  </si>
  <si>
    <t>Buildings</t>
  </si>
  <si>
    <t>depreciation claimed, and unpaid labor and management charges)</t>
  </si>
  <si>
    <t>Land</t>
  </si>
  <si>
    <t>Unpaid Labor</t>
  </si>
  <si>
    <t>Management</t>
  </si>
  <si>
    <t>Step 1.  List Value of Capital Items</t>
  </si>
  <si>
    <t>Value</t>
  </si>
  <si>
    <t>Enterprises on This Farm</t>
  </si>
  <si>
    <t>Milk</t>
  </si>
  <si>
    <t>Corn</t>
  </si>
  <si>
    <t>Corn Silage</t>
  </si>
  <si>
    <t>Haylage</t>
  </si>
  <si>
    <t>Hay</t>
  </si>
  <si>
    <t xml:space="preserve">         Total Investment</t>
  </si>
  <si>
    <t>Other</t>
  </si>
  <si>
    <t>Opportunity Interest Rate</t>
  </si>
  <si>
    <t>Opportunity Cost of:</t>
  </si>
  <si>
    <t xml:space="preserve">        Unpaid Labor</t>
  </si>
  <si>
    <t xml:space="preserve">        Unpaid Management</t>
  </si>
  <si>
    <t>Step 2.  List Amount and Value of Feedstuffs Fed Annually</t>
  </si>
  <si>
    <t>Number of Cows</t>
  </si>
  <si>
    <t>Number of Other (Heifers)</t>
  </si>
  <si>
    <t>Amount of Home Grown Crops Fed:</t>
  </si>
  <si>
    <t>(per cow)</t>
  </si>
  <si>
    <t>(other)</t>
  </si>
  <si>
    <t>Value per</t>
  </si>
  <si>
    <t>(on an as is basis)</t>
  </si>
  <si>
    <t>Unit</t>
  </si>
  <si>
    <t>Quantity</t>
  </si>
  <si>
    <t>Total</t>
  </si>
  <si>
    <t>Cows</t>
  </si>
  <si>
    <t>Bushels</t>
  </si>
  <si>
    <t>Tons</t>
  </si>
  <si>
    <t>Total/Cow</t>
  </si>
  <si>
    <t>Total Home Grown Feeds Fed</t>
  </si>
  <si>
    <t xml:space="preserve">Number of Heifers that Freshened </t>
  </si>
  <si>
    <t>this year is</t>
  </si>
  <si>
    <t>Average Moisture in</t>
  </si>
  <si>
    <t>Price of a:</t>
  </si>
  <si>
    <t>Heifer Calf</t>
  </si>
  <si>
    <t>Replacement Heifer</t>
  </si>
  <si>
    <t>Step 3.  List Income</t>
  </si>
  <si>
    <t>Milk Sales</t>
  </si>
  <si>
    <t>US All Milk Price</t>
  </si>
  <si>
    <t>Calf Sales</t>
  </si>
  <si>
    <t>Cull Cow Sales</t>
  </si>
  <si>
    <t>Change in Raised Dairy Herd's Value</t>
  </si>
  <si>
    <t>Other Enterprise Incomes (excluding crop sales)</t>
  </si>
  <si>
    <t xml:space="preserve">Enterprise:   </t>
  </si>
  <si>
    <t>Coop Distributions</t>
  </si>
  <si>
    <t>Crop Program Pymts</t>
  </si>
  <si>
    <t>Tax Refunds</t>
  </si>
  <si>
    <t>Total Other</t>
  </si>
  <si>
    <t>Crop Sales</t>
  </si>
  <si>
    <t>(Units)</t>
  </si>
  <si>
    <t>Inventory change due to raised crops</t>
  </si>
  <si>
    <t>Inventory change due to purchases</t>
  </si>
  <si>
    <t>Change in inventory value of other purchased feeds</t>
  </si>
  <si>
    <t>Step 4.  Enter Expense Items</t>
  </si>
  <si>
    <t xml:space="preserve">Item:    </t>
  </si>
  <si>
    <t>Amount</t>
  </si>
  <si>
    <t>Storage</t>
  </si>
  <si>
    <t>Employee Benefits</t>
  </si>
  <si>
    <t>Other (WMMB)</t>
  </si>
  <si>
    <t>Change in:</t>
  </si>
  <si>
    <t>Prepaid Expenses</t>
  </si>
  <si>
    <t>Accounts Payable</t>
  </si>
  <si>
    <t>TABLE 1: Schedule F Costs</t>
  </si>
  <si>
    <t>Percent to ...</t>
  </si>
  <si>
    <t>Unallocated</t>
  </si>
  <si>
    <t>Other(WMMB)</t>
  </si>
  <si>
    <t>Change Prepaid Expenses</t>
  </si>
  <si>
    <t>Change Accounts Payable</t>
  </si>
  <si>
    <t>TABLE 2:  Opportunity Costs</t>
  </si>
  <si>
    <t xml:space="preserve"> $________</t>
  </si>
  <si>
    <t xml:space="preserve">  Milk</t>
  </si>
  <si>
    <t>________</t>
  </si>
  <si>
    <t>____%</t>
  </si>
  <si>
    <t>_____.__</t>
  </si>
  <si>
    <t xml:space="preserve"> $_____.__</t>
  </si>
  <si>
    <t>Number of heifers that freshened this year is</t>
  </si>
  <si>
    <t xml:space="preserve"> $__________</t>
  </si>
  <si>
    <t>(Animals that you raised or paid to have raised and have deducted as an expense those costs.)</t>
  </si>
  <si>
    <t xml:space="preserve">Crop sales and </t>
  </si>
  <si>
    <t>Crop Name</t>
  </si>
  <si>
    <t>Inventory changes</t>
  </si>
  <si>
    <t>Unit Name</t>
  </si>
  <si>
    <t>______%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</si>
</sst>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&quot;$&quot;#,##0_);\(&quot;$&quot;#,##0\)"/>
    <numFmt numFmtId="166" formatCode="&quot;$&quot;#,##0.00_);\(&quot;$&quot;#,##0.00\)"/>
    <numFmt numFmtId="168" formatCode="_(&quot;$&quot;* #,##0_);_(&quot;$&quot;* \(#,##0\);_(&quot;$&quot;* &quot;-&quot;_);_(@_)"/>
    <numFmt numFmtId="171" formatCode="_(* #,##0.00_);_(* \(#,##0.00\);_(* &quot;-&quot;??_);_(@_)"/>
    <numFmt numFmtId="172" formatCode="0.00_)"/>
    <numFmt numFmtId="173" formatCode="0.0_)"/>
    <numFmt numFmtId="176" formatCode="_(* #,##0_);_(* \(#,##0\);_(* &quot;-&quot;??_);_(@_)"/>
  </numFmts>
  <fonts count="18" x14ac:knownFonts="1">
    <font>
      <sz val="10"/>
      <name val="Courier"/>
    </font>
    <font>
      <sz val="10"/>
      <name val="Arial"/>
    </font>
    <font>
      <sz val="10"/>
      <name val="Arial Rounded MT Bold"/>
      <family val="2"/>
    </font>
    <font>
      <sz val="14"/>
      <name val="Arial Rounded MT Bold"/>
      <family val="2"/>
    </font>
    <font>
      <sz val="12"/>
      <name val="Arial Rounded MT Bold"/>
      <family val="2"/>
    </font>
    <font>
      <sz val="11"/>
      <name val="Arial Rounded MT Bold"/>
      <family val="2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 Rounded MT Bold"/>
    </font>
    <font>
      <sz val="10"/>
      <color indexed="12"/>
      <name val="Arial"/>
      <family val="2"/>
    </font>
    <font>
      <sz val="10"/>
      <name val="Courier"/>
    </font>
    <font>
      <b/>
      <u/>
      <sz val="10"/>
      <name val="Arial"/>
      <family val="2"/>
    </font>
    <font>
      <sz val="8"/>
      <name val="Arial Rounded MT Bold"/>
    </font>
    <font>
      <sz val="9"/>
      <name val="Arial Rounded MT Bold"/>
    </font>
    <font>
      <b/>
      <sz val="10"/>
      <name val="Arial"/>
      <family val="2"/>
    </font>
    <font>
      <b/>
      <sz val="10"/>
      <name val="Courier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right"/>
    </xf>
    <xf numFmtId="0" fontId="0" fillId="0" borderId="0" xfId="0" applyProtection="1"/>
    <xf numFmtId="10" fontId="0" fillId="0" borderId="0" xfId="0" applyNumberFormat="1" applyProtection="1"/>
    <xf numFmtId="164" fontId="0" fillId="0" borderId="0" xfId="0" applyNumberFormat="1" applyProtection="1"/>
    <xf numFmtId="0" fontId="3" fillId="0" borderId="0" xfId="0" applyFont="1" applyAlignment="1" applyProtection="1">
      <alignment horizontal="left"/>
    </xf>
    <xf numFmtId="0" fontId="2" fillId="0" borderId="0" xfId="0" applyFont="1" applyAlignment="1" applyProtection="1">
      <alignment horizontal="right"/>
    </xf>
    <xf numFmtId="166" fontId="2" fillId="0" borderId="0" xfId="0" applyNumberFormat="1" applyFont="1" applyProtection="1"/>
    <xf numFmtId="164" fontId="2" fillId="0" borderId="0" xfId="0" applyNumberFormat="1" applyFont="1" applyProtection="1"/>
    <xf numFmtId="0" fontId="5" fillId="0" borderId="0" xfId="0" applyFont="1" applyAlignment="1" applyProtection="1">
      <alignment horizontal="right"/>
    </xf>
    <xf numFmtId="166" fontId="5" fillId="0" borderId="0" xfId="0" applyNumberFormat="1" applyFont="1" applyProtection="1"/>
    <xf numFmtId="164" fontId="5" fillId="0" borderId="0" xfId="0" applyNumberFormat="1" applyFont="1" applyProtection="1"/>
    <xf numFmtId="0" fontId="6" fillId="0" borderId="0" xfId="0" applyFont="1" applyAlignment="1" applyProtection="1">
      <alignment horizontal="left"/>
    </xf>
    <xf numFmtId="0" fontId="7" fillId="0" borderId="0" xfId="0" applyFont="1" applyAlignment="1" applyProtection="1">
      <alignment horizontal="left"/>
    </xf>
    <xf numFmtId="0" fontId="6" fillId="0" borderId="0" xfId="0" applyFont="1" applyAlignment="1" applyProtection="1">
      <alignment horizontal="right"/>
    </xf>
    <xf numFmtId="37" fontId="6" fillId="0" borderId="0" xfId="0" applyNumberFormat="1" applyFont="1" applyProtection="1"/>
    <xf numFmtId="0" fontId="6" fillId="0" borderId="0" xfId="0" applyFont="1"/>
    <xf numFmtId="0" fontId="6" fillId="0" borderId="0" xfId="0" applyFont="1" applyProtection="1"/>
    <xf numFmtId="166" fontId="6" fillId="0" borderId="0" xfId="0" applyNumberFormat="1" applyFont="1" applyProtection="1"/>
    <xf numFmtId="164" fontId="6" fillId="0" borderId="0" xfId="0" applyNumberFormat="1" applyFont="1" applyProtection="1"/>
    <xf numFmtId="0" fontId="2" fillId="0" borderId="0" xfId="0" applyFont="1"/>
    <xf numFmtId="0" fontId="6" fillId="0" borderId="0" xfId="0" quotePrefix="1" applyFont="1" applyAlignment="1" applyProtection="1">
      <alignment horizontal="right"/>
    </xf>
    <xf numFmtId="0" fontId="4" fillId="0" borderId="0" xfId="0" applyFont="1" applyAlignment="1" applyProtection="1">
      <alignment horizontal="left"/>
    </xf>
    <xf numFmtId="0" fontId="8" fillId="0" borderId="0" xfId="0" applyFont="1"/>
    <xf numFmtId="0" fontId="8" fillId="0" borderId="0" xfId="0" applyFont="1" applyAlignment="1" applyProtection="1">
      <alignment horizontal="right"/>
    </xf>
    <xf numFmtId="164" fontId="8" fillId="0" borderId="0" xfId="0" applyNumberFormat="1" applyFont="1" applyProtection="1"/>
    <xf numFmtId="0" fontId="8" fillId="0" borderId="0" xfId="0" quotePrefix="1" applyFont="1" applyAlignment="1" applyProtection="1">
      <alignment horizontal="left"/>
    </xf>
    <xf numFmtId="0" fontId="7" fillId="0" borderId="0" xfId="0" quotePrefix="1" applyFont="1" applyAlignment="1" applyProtection="1">
      <alignment horizontal="left"/>
    </xf>
    <xf numFmtId="0" fontId="8" fillId="0" borderId="0" xfId="0" quotePrefix="1" applyFont="1" applyAlignment="1" applyProtection="1">
      <alignment horizontal="right"/>
    </xf>
    <xf numFmtId="0" fontId="9" fillId="0" borderId="0" xfId="0" applyFont="1" applyAlignment="1" applyProtection="1">
      <alignment horizontal="right"/>
    </xf>
    <xf numFmtId="0" fontId="7" fillId="0" borderId="0" xfId="0" applyFont="1" applyAlignment="1" applyProtection="1">
      <alignment horizontal="right"/>
    </xf>
    <xf numFmtId="168" fontId="5" fillId="0" borderId="0" xfId="0" applyNumberFormat="1" applyFont="1" applyProtection="1"/>
    <xf numFmtId="0" fontId="0" fillId="0" borderId="0" xfId="0" applyAlignment="1">
      <alignment horizontal="right"/>
    </xf>
    <xf numFmtId="0" fontId="6" fillId="0" borderId="0" xfId="0" applyFont="1" applyAlignment="1" applyProtection="1">
      <alignment horizontal="center"/>
    </xf>
    <xf numFmtId="0" fontId="2" fillId="0" borderId="0" xfId="0" quotePrefix="1" applyFont="1" applyAlignment="1" applyProtection="1">
      <alignment horizontal="right"/>
    </xf>
    <xf numFmtId="0" fontId="8" fillId="0" borderId="0" xfId="0" applyFont="1" applyAlignment="1" applyProtection="1">
      <alignment horizontal="left"/>
    </xf>
    <xf numFmtId="168" fontId="6" fillId="0" borderId="0" xfId="0" quotePrefix="1" applyNumberFormat="1" applyFont="1" applyAlignment="1" applyProtection="1">
      <alignment horizontal="right"/>
    </xf>
    <xf numFmtId="0" fontId="10" fillId="0" borderId="0" xfId="0" quotePrefix="1" applyFont="1" applyAlignment="1" applyProtection="1">
      <alignment horizontal="right"/>
    </xf>
    <xf numFmtId="0" fontId="10" fillId="0" borderId="0" xfId="0" applyFont="1" applyAlignment="1" applyProtection="1">
      <alignment horizontal="right"/>
    </xf>
    <xf numFmtId="166" fontId="10" fillId="0" borderId="0" xfId="0" applyNumberFormat="1" applyFont="1" applyProtection="1"/>
    <xf numFmtId="164" fontId="11" fillId="0" borderId="0" xfId="0" applyNumberFormat="1" applyFont="1" applyProtection="1">
      <protection locked="0"/>
    </xf>
    <xf numFmtId="0" fontId="11" fillId="0" borderId="0" xfId="0" applyFont="1" applyAlignment="1" applyProtection="1">
      <alignment horizontal="left"/>
      <protection locked="0"/>
    </xf>
    <xf numFmtId="10" fontId="11" fillId="0" borderId="0" xfId="0" applyNumberFormat="1" applyFont="1" applyProtection="1">
      <protection locked="0"/>
    </xf>
    <xf numFmtId="0" fontId="11" fillId="0" borderId="0" xfId="0" applyFont="1" applyProtection="1">
      <protection locked="0"/>
    </xf>
    <xf numFmtId="168" fontId="11" fillId="0" borderId="0" xfId="0" quotePrefix="1" applyNumberFormat="1" applyFont="1" applyAlignment="1">
      <alignment horizontal="left"/>
    </xf>
    <xf numFmtId="172" fontId="11" fillId="0" borderId="0" xfId="0" applyNumberFormat="1" applyFont="1" applyProtection="1">
      <protection locked="0"/>
    </xf>
    <xf numFmtId="166" fontId="11" fillId="0" borderId="0" xfId="0" applyNumberFormat="1" applyFont="1" applyProtection="1">
      <protection locked="0"/>
    </xf>
    <xf numFmtId="168" fontId="6" fillId="0" borderId="0" xfId="0" applyNumberFormat="1" applyFont="1"/>
    <xf numFmtId="173" fontId="11" fillId="0" borderId="0" xfId="0" applyNumberFormat="1" applyFont="1" applyProtection="1">
      <protection locked="0"/>
    </xf>
    <xf numFmtId="9" fontId="11" fillId="0" borderId="0" xfId="0" applyNumberFormat="1" applyFont="1" applyProtection="1">
      <protection locked="0"/>
    </xf>
    <xf numFmtId="0" fontId="6" fillId="0" borderId="0" xfId="0" quotePrefix="1" applyFont="1" applyAlignment="1">
      <alignment horizontal="right"/>
    </xf>
    <xf numFmtId="0" fontId="6" fillId="0" borderId="0" xfId="0" applyFont="1" applyAlignment="1">
      <alignment horizontal="right"/>
    </xf>
    <xf numFmtId="10" fontId="6" fillId="0" borderId="0" xfId="0" applyNumberFormat="1" applyFont="1" applyProtection="1"/>
    <xf numFmtId="0" fontId="12" fillId="0" borderId="0" xfId="0" applyFont="1"/>
    <xf numFmtId="0" fontId="11" fillId="0" borderId="0" xfId="0" applyFont="1" applyAlignment="1" applyProtection="1">
      <alignment horizontal="center"/>
      <protection locked="0"/>
    </xf>
    <xf numFmtId="37" fontId="6" fillId="0" borderId="0" xfId="0" applyNumberFormat="1" applyFont="1" applyAlignment="1" applyProtection="1">
      <alignment horizontal="right"/>
    </xf>
    <xf numFmtId="164" fontId="11" fillId="0" borderId="0" xfId="0" applyNumberFormat="1" applyFont="1" applyAlignment="1" applyProtection="1">
      <alignment horizontal="right"/>
      <protection locked="0"/>
    </xf>
    <xf numFmtId="164" fontId="11" fillId="0" borderId="0" xfId="0" applyNumberFormat="1" applyFont="1" applyAlignment="1" applyProtection="1">
      <alignment horizontal="left"/>
      <protection locked="0"/>
    </xf>
    <xf numFmtId="176" fontId="8" fillId="0" borderId="0" xfId="1" applyNumberFormat="1" applyFont="1" applyProtection="1"/>
    <xf numFmtId="164" fontId="6" fillId="0" borderId="0" xfId="0" applyNumberFormat="1" applyFont="1"/>
    <xf numFmtId="10" fontId="6" fillId="0" borderId="0" xfId="2" applyNumberFormat="1" applyFont="1"/>
    <xf numFmtId="0" fontId="9" fillId="0" borderId="0" xfId="0" applyFont="1" applyAlignment="1">
      <alignment horizontal="right"/>
    </xf>
    <xf numFmtId="176" fontId="0" fillId="0" borderId="0" xfId="1" applyNumberFormat="1" applyFont="1"/>
    <xf numFmtId="0" fontId="6" fillId="0" borderId="1" xfId="0" applyFont="1" applyBorder="1" applyAlignment="1" applyProtection="1">
      <alignment horizontal="right"/>
    </xf>
    <xf numFmtId="164" fontId="6" fillId="0" borderId="1" xfId="0" applyNumberFormat="1" applyFont="1" applyBorder="1" applyProtection="1"/>
    <xf numFmtId="0" fontId="11" fillId="0" borderId="1" xfId="0" applyFont="1" applyBorder="1" applyProtection="1">
      <protection locked="0"/>
    </xf>
    <xf numFmtId="0" fontId="12" fillId="0" borderId="0" xfId="0" applyFont="1" applyAlignment="1">
      <alignment horizontal="right"/>
    </xf>
    <xf numFmtId="0" fontId="12" fillId="0" borderId="1" xfId="0" applyFont="1" applyBorder="1"/>
    <xf numFmtId="0" fontId="7" fillId="0" borderId="1" xfId="0" applyFont="1" applyBorder="1" applyAlignment="1" applyProtection="1">
      <alignment horizontal="right"/>
    </xf>
    <xf numFmtId="0" fontId="7" fillId="0" borderId="1" xfId="0" applyFont="1" applyBorder="1" applyAlignment="1">
      <alignment horizontal="right"/>
    </xf>
    <xf numFmtId="0" fontId="9" fillId="0" borderId="0" xfId="0" applyFont="1" applyAlignment="1" applyProtection="1">
      <alignment horizontal="left"/>
    </xf>
    <xf numFmtId="0" fontId="7" fillId="0" borderId="0" xfId="0" applyFont="1" applyAlignment="1">
      <alignment horizontal="left"/>
    </xf>
    <xf numFmtId="0" fontId="13" fillId="0" borderId="0" xfId="0" applyFont="1" applyAlignment="1" applyProtection="1">
      <alignment horizontal="center"/>
    </xf>
    <xf numFmtId="0" fontId="14" fillId="0" borderId="0" xfId="0" quotePrefix="1" applyFont="1" applyAlignment="1" applyProtection="1">
      <alignment horizontal="right"/>
    </xf>
    <xf numFmtId="0" fontId="15" fillId="0" borderId="0" xfId="0" applyFont="1" applyAlignment="1" applyProtection="1">
      <alignment horizontal="right"/>
    </xf>
    <xf numFmtId="164" fontId="11" fillId="0" borderId="1" xfId="0" applyNumberFormat="1" applyFont="1" applyBorder="1" applyProtection="1">
      <protection locked="0"/>
    </xf>
    <xf numFmtId="0" fontId="11" fillId="0" borderId="2" xfId="0" applyFont="1" applyBorder="1" applyProtection="1">
      <protection locked="0"/>
    </xf>
    <xf numFmtId="0" fontId="0" fillId="0" borderId="0" xfId="0" applyAlignment="1">
      <alignment horizontal="centerContinuous"/>
    </xf>
    <xf numFmtId="0" fontId="6" fillId="0" borderId="0" xfId="0" applyFont="1" applyAlignment="1">
      <alignment horizontal="center"/>
    </xf>
    <xf numFmtId="0" fontId="17" fillId="0" borderId="0" xfId="0" applyFont="1"/>
    <xf numFmtId="164" fontId="11" fillId="0" borderId="3" xfId="0" applyNumberFormat="1" applyFont="1" applyBorder="1" applyAlignment="1" applyProtection="1">
      <alignment horizontal="right"/>
      <protection locked="0"/>
    </xf>
    <xf numFmtId="0" fontId="16" fillId="0" borderId="0" xfId="0" applyFont="1" applyAlignment="1" applyProtection="1">
      <alignment horizontal="center"/>
    </xf>
    <xf numFmtId="0" fontId="7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19050</xdr:colOff>
          <xdr:row>34</xdr:row>
          <xdr:rowOff>82550</xdr:rowOff>
        </xdr:from>
        <xdr:to>
          <xdr:col>6</xdr:col>
          <xdr:colOff>711200</xdr:colOff>
          <xdr:row>37</xdr:row>
          <xdr:rowOff>69850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5092AA0A-BFFE-41B6-A036-DAFB7AC298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Courier"/>
                </a:rPr>
                <a:t>Print Results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203200</xdr:colOff>
          <xdr:row>10</xdr:row>
          <xdr:rowOff>63500</xdr:rowOff>
        </xdr:from>
        <xdr:to>
          <xdr:col>5</xdr:col>
          <xdr:colOff>444500</xdr:colOff>
          <xdr:row>13</xdr:row>
          <xdr:rowOff>44450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B4B9D976-41B2-425F-B8EF-CAA28E4835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Courier"/>
                </a:rPr>
                <a:t>Print Inputs Used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387350</xdr:colOff>
          <xdr:row>10</xdr:row>
          <xdr:rowOff>25400</xdr:rowOff>
        </xdr:from>
        <xdr:to>
          <xdr:col>7</xdr:col>
          <xdr:colOff>76200</xdr:colOff>
          <xdr:row>13</xdr:row>
          <xdr:rowOff>120650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6FDC9916-9BD8-4484-A438-F37D8A7205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Courier"/>
                </a:rPr>
                <a:t>Print</a:t>
              </a:r>
            </a:p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Courier"/>
                </a:rPr>
                <a:t>Input Forms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syncVertical="1" syncRef="A1" transitionEvaluation="1" transitionEntry="1">
    <pageSetUpPr fitToPage="1"/>
  </sheetPr>
  <dimension ref="A1:Z263"/>
  <sheetViews>
    <sheetView showGridLines="0" tabSelected="1" workbookViewId="0"/>
  </sheetViews>
  <sheetFormatPr defaultColWidth="9.75" defaultRowHeight="12.5" x14ac:dyDescent="0.25"/>
  <cols>
    <col min="1" max="1" width="22" customWidth="1"/>
    <col min="2" max="4" width="9.58203125" customWidth="1"/>
    <col min="5" max="5" width="10.08203125" customWidth="1"/>
    <col min="6" max="8" width="9.58203125" customWidth="1"/>
    <col min="9" max="9" width="17.75" customWidth="1"/>
    <col min="10" max="11" width="8.83203125" customWidth="1"/>
    <col min="13" max="13" width="10.08203125" customWidth="1"/>
    <col min="14" max="14" width="10.25" customWidth="1"/>
    <col min="15" max="15" width="10.33203125" customWidth="1"/>
    <col min="16" max="16" width="17.75" customWidth="1"/>
    <col min="17" max="17" width="9.83203125" customWidth="1"/>
  </cols>
  <sheetData>
    <row r="1" spans="1:26" ht="17.5" x14ac:dyDescent="0.35">
      <c r="A1" s="6" t="s">
        <v>0</v>
      </c>
      <c r="S1" s="1" t="s">
        <v>1</v>
      </c>
      <c r="U1" s="1" t="s">
        <v>2</v>
      </c>
    </row>
    <row r="2" spans="1:26" x14ac:dyDescent="0.25">
      <c r="E2" s="78" t="s">
        <v>3</v>
      </c>
      <c r="F2" s="78"/>
      <c r="G2" s="78"/>
      <c r="H2" s="78"/>
      <c r="P2" s="2" t="s">
        <v>4</v>
      </c>
      <c r="Q2" s="3" t="str">
        <f>Inputs!$E$4</f>
        <v>Milk</v>
      </c>
      <c r="R2" s="3"/>
      <c r="S2" s="3" t="str">
        <f>Inputs!$E$6</f>
        <v>Corn</v>
      </c>
      <c r="T2" s="3" t="str">
        <f>Inputs!$E$7</f>
        <v>Corn Silage</v>
      </c>
      <c r="U2" s="3" t="str">
        <f>Inputs!$E$8</f>
        <v>Haylage</v>
      </c>
      <c r="V2" s="3" t="str">
        <f>Inputs!$E$9</f>
        <v>Hay</v>
      </c>
      <c r="W2" s="3" t="str">
        <f>Inputs!$E$10</f>
        <v>Other</v>
      </c>
    </row>
    <row r="3" spans="1:26" x14ac:dyDescent="0.25">
      <c r="A3" s="15" t="s">
        <v>5</v>
      </c>
      <c r="B3" s="15" t="s">
        <v>6</v>
      </c>
      <c r="C3" s="15" t="s">
        <v>7</v>
      </c>
      <c r="D3" s="15" t="str">
        <f>Inputs!D57</f>
        <v>Bushels</v>
      </c>
      <c r="E3" s="15" t="str">
        <f>IF(Inputs!B29="tons","T.D.M.","unknown")</f>
        <v>T.D.M.</v>
      </c>
      <c r="F3" s="15" t="str">
        <f>IF(Inputs!B30="tons","T.D.M.","unknown")</f>
        <v>T.D.M.</v>
      </c>
      <c r="G3" s="15" t="str">
        <f>IF(Inputs!B31="tons","T.D.M.","unknown")</f>
        <v>T.D.M.</v>
      </c>
      <c r="H3" s="15" t="str">
        <f>IF(Inputs!B32="tons","T.D.M.","unknown")</f>
        <v>T.D.M.</v>
      </c>
      <c r="P3" s="2" t="s">
        <v>8</v>
      </c>
      <c r="Q3" s="5">
        <f>Inputs!$B66*Percentages!C3</f>
        <v>10398</v>
      </c>
      <c r="R3" s="5">
        <f>Inputs!$B66*Percentages!D3</f>
        <v>3466</v>
      </c>
      <c r="S3" s="5">
        <f>Inputs!$B66*Percentages!E3</f>
        <v>0</v>
      </c>
      <c r="T3" s="5">
        <f>Inputs!$B66*Percentages!F3</f>
        <v>0</v>
      </c>
      <c r="U3" s="5">
        <f>Inputs!$B66*Percentages!G3</f>
        <v>0</v>
      </c>
      <c r="V3" s="5">
        <f>Inputs!$B66*Percentages!H3</f>
        <v>0</v>
      </c>
      <c r="W3" s="5">
        <f>Inputs!$B66*Percentages!I3</f>
        <v>0</v>
      </c>
      <c r="Y3" s="4">
        <f>Inputs!C12</f>
        <v>8.5000000000000006E-2</v>
      </c>
      <c r="Z3" s="1" t="s">
        <v>9</v>
      </c>
    </row>
    <row r="4" spans="1:26" x14ac:dyDescent="0.25">
      <c r="A4" s="15" t="s">
        <v>10</v>
      </c>
      <c r="B4" s="16">
        <f>(Inputs!B43+Inputs!B44+Inputs!B45+Inputs!D46+Inputs!B54+Inputs!B23*Inputs!F38/2)/Inputs!F43</f>
        <v>89676.444111027755</v>
      </c>
      <c r="C4" s="56">
        <f>Inputs!E36+Inputs!C54/Inputs!F39</f>
        <v>120</v>
      </c>
      <c r="D4" s="16">
        <f>Inputs!$C28*Inputs!$B$23+Inputs!$D28*Inputs!$C$24+Inputs!D58+Inputs!D59+Inputs!D54/Inputs!E28</f>
        <v>33526.400000000001</v>
      </c>
      <c r="E4" s="16">
        <f>(Inputs!$C29*Inputs!$B$23+Inputs!$D29*Inputs!$C$24+Inputs!E58+Inputs!E59+Inputs!E54/Inputs!E29)*(1-Inputs!C38)</f>
        <v>947.93999999999994</v>
      </c>
      <c r="F4" s="16">
        <f>(Inputs!$C30*Inputs!$B$23+Inputs!$D30*Inputs!$C$24+Inputs!F58+Inputs!F59+Inputs!F54/Inputs!E30)*(1-Inputs!C37)</f>
        <v>1127.8799999999999</v>
      </c>
      <c r="G4" s="16">
        <f>(Inputs!$C31*Inputs!$B$23+Inputs!$D31*Inputs!$C$24+Inputs!G58+Inputs!G59+Inputs!G54/Inputs!E31)*(1-0.12)</f>
        <v>476.96</v>
      </c>
      <c r="H4" s="16">
        <f>(Inputs!$C32*Inputs!$B$23+Inputs!$D32*Inputs!$C$24+Inputs!H58+Inputs!H59+Inputs!H54/Inputs!E32)*(1-Inputs!C39)</f>
        <v>100</v>
      </c>
      <c r="P4" s="2" t="s">
        <v>11</v>
      </c>
      <c r="Q4" s="5">
        <f>Inputs!$B67*Percentages!C4</f>
        <v>334.8</v>
      </c>
      <c r="R4" s="5">
        <f>Inputs!$B67*Percentages!D4</f>
        <v>167.4</v>
      </c>
      <c r="S4" s="5">
        <f>Inputs!$B67*Percentages!E4</f>
        <v>585.9</v>
      </c>
      <c r="T4" s="5">
        <f>Inputs!$B67*Percentages!F4</f>
        <v>251.1</v>
      </c>
      <c r="U4" s="5">
        <f>Inputs!$B67*Percentages!G4</f>
        <v>301.32</v>
      </c>
      <c r="V4" s="5">
        <f>Inputs!$B67*Percentages!H4</f>
        <v>33.480000000000004</v>
      </c>
      <c r="W4" s="5">
        <f>Inputs!$B67*Percentages!I4</f>
        <v>0</v>
      </c>
      <c r="Y4" s="4">
        <f>Inputs!C12+1/10</f>
        <v>0.185</v>
      </c>
    </row>
    <row r="5" spans="1:26" x14ac:dyDescent="0.25">
      <c r="A5" s="17"/>
      <c r="B5" s="17"/>
      <c r="C5" s="17"/>
      <c r="D5" s="17"/>
      <c r="E5" s="17"/>
      <c r="F5" s="17"/>
      <c r="G5" s="17"/>
      <c r="H5" s="17"/>
      <c r="P5" s="2" t="s">
        <v>12</v>
      </c>
      <c r="Q5" s="5">
        <f>Inputs!$B68*Percentages!C5</f>
        <v>0</v>
      </c>
      <c r="R5" s="5">
        <f>Inputs!$B68*Percentages!D5</f>
        <v>0</v>
      </c>
      <c r="S5" s="5">
        <f>Inputs!$B68*Percentages!E5</f>
        <v>4501</v>
      </c>
      <c r="T5" s="5">
        <f>Inputs!$B68*Percentages!F5</f>
        <v>1929</v>
      </c>
      <c r="U5" s="5">
        <f>Inputs!$B68*Percentages!G5</f>
        <v>0</v>
      </c>
      <c r="V5" s="5">
        <f>Inputs!$B68*Percentages!H5</f>
        <v>0</v>
      </c>
      <c r="W5" s="5">
        <f>Inputs!$B68*Percentages!I5</f>
        <v>0</v>
      </c>
      <c r="Y5" s="4">
        <f>Inputs!C12+1/15</f>
        <v>0.15166666666666667</v>
      </c>
    </row>
    <row r="6" spans="1:26" ht="13" x14ac:dyDescent="0.3">
      <c r="A6" s="15" t="s">
        <v>13</v>
      </c>
      <c r="B6" s="73" t="str">
        <f>Inputs!$E$4</f>
        <v>Milk</v>
      </c>
      <c r="C6" s="73" t="str">
        <f>Inputs!$E$5</f>
        <v>Heifers</v>
      </c>
      <c r="D6" s="73" t="str">
        <f>Inputs!$E$6</f>
        <v>Corn</v>
      </c>
      <c r="E6" s="73" t="str">
        <f>Inputs!$E$7</f>
        <v>Corn Silage</v>
      </c>
      <c r="F6" s="73" t="str">
        <f>Inputs!$E$8</f>
        <v>Haylage</v>
      </c>
      <c r="G6" s="73" t="str">
        <f>Inputs!$E$9</f>
        <v>Hay</v>
      </c>
      <c r="H6" s="73" t="str">
        <f>Inputs!$E$10</f>
        <v>Other</v>
      </c>
      <c r="P6" s="2" t="s">
        <v>14</v>
      </c>
      <c r="Q6" s="5">
        <f>Inputs!$B69*Percentages!C6</f>
        <v>0</v>
      </c>
      <c r="R6" s="5">
        <f>Inputs!$B69*Percentages!D6</f>
        <v>0</v>
      </c>
      <c r="S6" s="5">
        <f>Inputs!$B69*Percentages!E6</f>
        <v>0</v>
      </c>
      <c r="T6" s="5">
        <f>Inputs!$B69*Percentages!F6</f>
        <v>0</v>
      </c>
      <c r="U6" s="5">
        <f>Inputs!$B69*Percentages!G6</f>
        <v>0</v>
      </c>
      <c r="V6" s="5">
        <f>Inputs!$B69*Percentages!H6</f>
        <v>0</v>
      </c>
      <c r="W6" s="5">
        <f>Inputs!$B69*Percentages!I6</f>
        <v>0</v>
      </c>
      <c r="Y6" s="4">
        <f>Inputs!C12+1/20</f>
        <v>0.13500000000000001</v>
      </c>
    </row>
    <row r="7" spans="1:26" x14ac:dyDescent="0.25">
      <c r="P7" s="2" t="s">
        <v>15</v>
      </c>
      <c r="Q7" s="5">
        <f>Inputs!$B70*Percentages!C7</f>
        <v>0</v>
      </c>
      <c r="R7" s="5">
        <f>Inputs!$B70*Percentages!D7</f>
        <v>0</v>
      </c>
      <c r="S7" s="5">
        <f>Inputs!$B70*Percentages!E7</f>
        <v>26543</v>
      </c>
      <c r="T7" s="5">
        <f>Inputs!$B70*Percentages!F7</f>
        <v>0</v>
      </c>
      <c r="U7" s="5">
        <f>Inputs!$B70*Percentages!G7</f>
        <v>0</v>
      </c>
      <c r="V7" s="5">
        <f>Inputs!$B70*Percentages!H7</f>
        <v>0</v>
      </c>
      <c r="W7" s="5">
        <f>Inputs!$B70*Percentages!I7</f>
        <v>0</v>
      </c>
      <c r="Y7" s="4">
        <f>Inputs!C12-0.04</f>
        <v>4.5000000000000005E-2</v>
      </c>
    </row>
    <row r="8" spans="1:26" ht="14" x14ac:dyDescent="0.3">
      <c r="A8" s="10" t="s">
        <v>16</v>
      </c>
      <c r="B8" s="11">
        <f>SUM(B14:B32)</f>
        <v>12.140823082940681</v>
      </c>
      <c r="C8" s="12">
        <f t="shared" ref="C8:H8" si="0">SUM(C14:C32)</f>
        <v>1199.5079799232869</v>
      </c>
      <c r="D8" s="11">
        <f t="shared" si="0"/>
        <v>2.1993491845232414</v>
      </c>
      <c r="E8" s="12">
        <f t="shared" si="0"/>
        <v>49.853907947760405</v>
      </c>
      <c r="F8" s="12">
        <f t="shared" si="0"/>
        <v>87.842867525800642</v>
      </c>
      <c r="G8" s="12">
        <f t="shared" si="0"/>
        <v>24.779173987336467</v>
      </c>
      <c r="H8" s="12">
        <f t="shared" si="0"/>
        <v>0</v>
      </c>
    </row>
    <row r="9" spans="1:26" x14ac:dyDescent="0.25">
      <c r="A9" s="28" t="s">
        <v>17</v>
      </c>
      <c r="P9" s="2" t="s">
        <v>18</v>
      </c>
      <c r="Q9" s="5">
        <f>Inputs!$B71*Percentages!C9</f>
        <v>24860.400000000001</v>
      </c>
      <c r="R9" s="5">
        <f>Inputs!$B71*Percentages!D9</f>
        <v>6215.1</v>
      </c>
      <c r="S9" s="5">
        <f>Inputs!$B71*Percentages!E9</f>
        <v>6215.1</v>
      </c>
      <c r="T9" s="5">
        <f>Inputs!$B71*Percentages!F9</f>
        <v>7768.875</v>
      </c>
      <c r="U9" s="5">
        <f>Inputs!$B71*Percentages!G9</f>
        <v>15537.75</v>
      </c>
      <c r="V9" s="5">
        <f>Inputs!$B71*Percentages!H9</f>
        <v>1553.7750000000001</v>
      </c>
      <c r="W9" s="5">
        <f>Inputs!$B71*Percentages!I9</f>
        <v>0</v>
      </c>
    </row>
    <row r="10" spans="1:26" x14ac:dyDescent="0.25">
      <c r="A10" s="15" t="s">
        <v>19</v>
      </c>
      <c r="B10" s="22" t="s">
        <v>20</v>
      </c>
      <c r="C10" s="37">
        <f>Inputs!F39</f>
        <v>1200</v>
      </c>
      <c r="D10" s="19">
        <f>Inputs!E28</f>
        <v>2.5</v>
      </c>
      <c r="E10" s="20">
        <f>Inputs!E29/(1-Inputs!C38)</f>
        <v>57.142857142857146</v>
      </c>
      <c r="F10" s="20">
        <f>Inputs!E30/(1-Inputs!C37)</f>
        <v>100</v>
      </c>
      <c r="G10" s="20">
        <f>Inputs!E31/(1-0.12)</f>
        <v>96.590909090909093</v>
      </c>
      <c r="H10" s="20">
        <f>Inputs!E32/(1-Inputs!C39)</f>
        <v>1</v>
      </c>
      <c r="P10" s="2" t="s">
        <v>21</v>
      </c>
      <c r="Q10" s="5">
        <f>Inputs!$B72*Percentages!C10</f>
        <v>20967.7</v>
      </c>
      <c r="R10" s="5">
        <f>Inputs!$B72*Percentages!D10</f>
        <v>1612.9</v>
      </c>
      <c r="S10" s="5">
        <f>Inputs!$B72*Percentages!E10</f>
        <v>1290.32</v>
      </c>
      <c r="T10" s="5">
        <f>Inputs!$B72*Percentages!F10</f>
        <v>1935.48</v>
      </c>
      <c r="U10" s="5">
        <f>Inputs!$B72*Percentages!G10</f>
        <v>5806.44</v>
      </c>
      <c r="V10" s="5">
        <f>Inputs!$B72*Percentages!H10</f>
        <v>645.16</v>
      </c>
      <c r="W10" s="5">
        <f>Inputs!$B72*Percentages!I10</f>
        <v>0</v>
      </c>
    </row>
    <row r="11" spans="1:26" x14ac:dyDescent="0.25">
      <c r="O11" s="63">
        <f>Inputs!D60*Inputs!E28+Inputs!E60*Inputs!E29+Inputs!F60*Inputs!E30+Inputs!G60*Inputs!E31+Inputs!E32+Inputs!E61</f>
        <v>-8099</v>
      </c>
      <c r="P11" s="2" t="s">
        <v>22</v>
      </c>
      <c r="Q11" s="5">
        <f>(Inputs!$B$73-$O$11)*Percentages!C11</f>
        <v>335977</v>
      </c>
      <c r="R11" s="5">
        <f>(Inputs!$B$73-$O$11)*Percentages!D11</f>
        <v>17683</v>
      </c>
      <c r="S11" s="5">
        <f>(Inputs!$B$73-$O$11)*Percentages!E11</f>
        <v>0</v>
      </c>
      <c r="T11" s="5">
        <f>(Inputs!$B$73-$O$11)*Percentages!F11</f>
        <v>0</v>
      </c>
      <c r="U11" s="5">
        <f>(Inputs!$B$73-$O$11)*Percentages!G11</f>
        <v>0</v>
      </c>
      <c r="V11" s="5">
        <f>(Inputs!$B$73-$O$11)*Percentages!H11</f>
        <v>0</v>
      </c>
      <c r="W11" s="5">
        <f>(Inputs!$B$73-$O$11)*Percentages!I11</f>
        <v>0</v>
      </c>
    </row>
    <row r="12" spans="1:26" ht="15" x14ac:dyDescent="0.3">
      <c r="B12" s="23" t="s">
        <v>23</v>
      </c>
      <c r="C12" s="23"/>
      <c r="D12" s="21"/>
      <c r="E12" s="21"/>
      <c r="G12" s="21"/>
      <c r="P12" s="2" t="s">
        <v>24</v>
      </c>
      <c r="Q12" s="5">
        <f>Inputs!$B74*Percentages!C12</f>
        <v>0</v>
      </c>
      <c r="R12" s="5">
        <f>Inputs!$B74*Percentages!D12</f>
        <v>0</v>
      </c>
      <c r="S12" s="5">
        <f>Inputs!$B74*Percentages!E12</f>
        <v>2922.4</v>
      </c>
      <c r="T12" s="5">
        <f>Inputs!$B74*Percentages!F12</f>
        <v>1095.8999999999999</v>
      </c>
      <c r="U12" s="5">
        <f>Inputs!$B74*Percentages!G12</f>
        <v>3287.7000000000003</v>
      </c>
      <c r="V12" s="5">
        <f>Inputs!$B74*Percentages!H12</f>
        <v>0</v>
      </c>
      <c r="W12" s="5">
        <f>Inputs!$B74*Percentages!I12</f>
        <v>0</v>
      </c>
    </row>
    <row r="13" spans="1:26" x14ac:dyDescent="0.25">
      <c r="A13" s="15" t="s">
        <v>13</v>
      </c>
      <c r="B13" s="34" t="str">
        <f>Inputs!$E$4</f>
        <v>Milk</v>
      </c>
      <c r="C13" s="34" t="s">
        <v>25</v>
      </c>
      <c r="D13" s="34" t="str">
        <f>Inputs!$E$6</f>
        <v>Corn</v>
      </c>
      <c r="E13" s="34" t="str">
        <f>Inputs!$E$7</f>
        <v>Corn Silage</v>
      </c>
      <c r="F13" s="34" t="str">
        <f>Inputs!$E$8</f>
        <v>Haylage</v>
      </c>
      <c r="G13" s="34" t="str">
        <f>Inputs!$E$9</f>
        <v>Hay</v>
      </c>
      <c r="H13" s="34" t="str">
        <f>Inputs!$E$10</f>
        <v>Other</v>
      </c>
      <c r="P13" s="2" t="s">
        <v>26</v>
      </c>
      <c r="Q13" s="5">
        <f>Inputs!$B75*Percentages!C13</f>
        <v>1440</v>
      </c>
      <c r="R13" s="5">
        <f>Inputs!$B75*Percentages!D13</f>
        <v>0</v>
      </c>
      <c r="S13" s="5">
        <f>Inputs!$B75*Percentages!E13</f>
        <v>0</v>
      </c>
      <c r="T13" s="5">
        <f>Inputs!$B75*Percentages!F13</f>
        <v>0</v>
      </c>
      <c r="U13" s="5">
        <f>Inputs!$B75*Percentages!G13</f>
        <v>0</v>
      </c>
      <c r="V13" s="5">
        <f>Inputs!$B75*Percentages!H13</f>
        <v>0</v>
      </c>
      <c r="W13" s="5">
        <f>Inputs!$B75*Percentages!I13</f>
        <v>0</v>
      </c>
    </row>
    <row r="14" spans="1:26" x14ac:dyDescent="0.25">
      <c r="A14" s="38" t="s">
        <v>27</v>
      </c>
      <c r="B14" s="40">
        <f t="shared" ref="B14:H14" si="1">Q5/B4</f>
        <v>0</v>
      </c>
      <c r="C14" s="40">
        <f t="shared" si="1"/>
        <v>0</v>
      </c>
      <c r="D14" s="40">
        <f t="shared" si="1"/>
        <v>0.13425241004104227</v>
      </c>
      <c r="E14" s="40">
        <f t="shared" si="1"/>
        <v>2.034938920184822</v>
      </c>
      <c r="F14" s="40">
        <f t="shared" si="1"/>
        <v>0</v>
      </c>
      <c r="G14" s="40">
        <f t="shared" si="1"/>
        <v>0</v>
      </c>
      <c r="H14" s="40">
        <f t="shared" si="1"/>
        <v>0</v>
      </c>
    </row>
    <row r="15" spans="1:26" x14ac:dyDescent="0.25">
      <c r="A15" s="39" t="s">
        <v>15</v>
      </c>
      <c r="B15" s="40">
        <f t="shared" ref="B15:H15" si="2">Q7/B4</f>
        <v>0</v>
      </c>
      <c r="C15" s="40">
        <f t="shared" si="2"/>
        <v>0</v>
      </c>
      <c r="D15" s="40">
        <f t="shared" si="2"/>
        <v>0.79170444783812155</v>
      </c>
      <c r="E15" s="40">
        <f t="shared" si="2"/>
        <v>0</v>
      </c>
      <c r="F15" s="40">
        <f t="shared" si="2"/>
        <v>0</v>
      </c>
      <c r="G15" s="40">
        <f t="shared" si="2"/>
        <v>0</v>
      </c>
      <c r="H15" s="40">
        <f t="shared" si="2"/>
        <v>0</v>
      </c>
      <c r="P15" s="2" t="s">
        <v>28</v>
      </c>
      <c r="Q15" s="5">
        <f>Inputs!$B76*Percentages!C15</f>
        <v>917.64</v>
      </c>
      <c r="R15" s="5">
        <f>Inputs!$B76*Percentages!D15</f>
        <v>101.96000000000001</v>
      </c>
      <c r="S15" s="5">
        <f>Inputs!$B76*Percentages!E15</f>
        <v>1529.3999999999999</v>
      </c>
      <c r="T15" s="5">
        <f>Inputs!$B76*Percentages!F15</f>
        <v>2039.2</v>
      </c>
      <c r="U15" s="5">
        <f>Inputs!$B76*Percentages!G15</f>
        <v>5098</v>
      </c>
      <c r="V15" s="5">
        <f>Inputs!$B76*Percentages!H15</f>
        <v>509.8</v>
      </c>
      <c r="W15" s="5">
        <f>Inputs!$B76*Percentages!I15</f>
        <v>0</v>
      </c>
    </row>
    <row r="16" spans="1:26" x14ac:dyDescent="0.25">
      <c r="A16" s="39" t="s">
        <v>24</v>
      </c>
      <c r="B16" s="40">
        <f t="shared" ref="B16:H16" si="3">Q12/B4</f>
        <v>0</v>
      </c>
      <c r="C16" s="40">
        <f t="shared" si="3"/>
        <v>0</v>
      </c>
      <c r="D16" s="40">
        <f t="shared" si="3"/>
        <v>8.7167127994654953E-2</v>
      </c>
      <c r="E16" s="40">
        <f t="shared" si="3"/>
        <v>1.1560858282169757</v>
      </c>
      <c r="F16" s="40">
        <f t="shared" si="3"/>
        <v>2.9149377593361003</v>
      </c>
      <c r="G16" s="40">
        <f t="shared" si="3"/>
        <v>0</v>
      </c>
      <c r="H16" s="40">
        <f t="shared" si="3"/>
        <v>0</v>
      </c>
      <c r="P16" s="2" t="s">
        <v>29</v>
      </c>
      <c r="Q16" s="5">
        <f>Inputs!$B77*Percentages!C16</f>
        <v>6266.4</v>
      </c>
      <c r="R16" s="5">
        <f>Inputs!$B77*Percentages!D16</f>
        <v>447.6</v>
      </c>
      <c r="S16" s="5">
        <f>Inputs!$B77*Percentages!E16</f>
        <v>1253.2800000000002</v>
      </c>
      <c r="T16" s="5">
        <f>Inputs!$B77*Percentages!F16</f>
        <v>537.12</v>
      </c>
      <c r="U16" s="5">
        <f>Inputs!$B77*Percentages!G16</f>
        <v>447.6</v>
      </c>
      <c r="V16" s="5">
        <f>Inputs!$B77*Percentages!H16</f>
        <v>0</v>
      </c>
      <c r="W16" s="5">
        <f>Inputs!$B77*Percentages!I16</f>
        <v>0</v>
      </c>
    </row>
    <row r="17" spans="1:23" x14ac:dyDescent="0.25">
      <c r="A17" s="74" t="s">
        <v>30</v>
      </c>
      <c r="B17" s="40">
        <f t="shared" ref="B17:H17" si="4">(Q4+Q15+Q30)/B4</f>
        <v>0.1447341063605343</v>
      </c>
      <c r="C17" s="40">
        <f t="shared" si="4"/>
        <v>4.3020000000000005</v>
      </c>
      <c r="D17" s="40">
        <f t="shared" si="4"/>
        <v>6.6775436670802699E-2</v>
      </c>
      <c r="E17" s="40">
        <f t="shared" si="4"/>
        <v>2.5463003987594157</v>
      </c>
      <c r="F17" s="40">
        <f t="shared" si="4"/>
        <v>4.8965847430577716</v>
      </c>
      <c r="G17" s="40">
        <f t="shared" si="4"/>
        <v>1.1390472995639047</v>
      </c>
      <c r="H17" s="40">
        <f t="shared" si="4"/>
        <v>0</v>
      </c>
      <c r="P17" s="2" t="s">
        <v>31</v>
      </c>
      <c r="Q17" s="5">
        <f>Inputs!$B78*Percentages!C17</f>
        <v>14688</v>
      </c>
      <c r="R17" s="5">
        <f>Inputs!$B78*Percentages!D17</f>
        <v>1632</v>
      </c>
      <c r="S17" s="5">
        <f>Inputs!$B78*Percentages!E17</f>
        <v>4080</v>
      </c>
      <c r="T17" s="5">
        <f>Inputs!$B78*Percentages!F17</f>
        <v>4080</v>
      </c>
      <c r="U17" s="5">
        <f>Inputs!$B78*Percentages!G17</f>
        <v>7344</v>
      </c>
      <c r="V17" s="5">
        <f>Inputs!$B78*Percentages!H17</f>
        <v>816</v>
      </c>
      <c r="W17" s="5">
        <f>Inputs!$B78*Percentages!I17</f>
        <v>0</v>
      </c>
    </row>
    <row r="18" spans="1:23" x14ac:dyDescent="0.25">
      <c r="A18" s="39" t="s">
        <v>32</v>
      </c>
      <c r="B18" s="40">
        <f t="shared" ref="B18:H18" si="5">Q24/B4</f>
        <v>0.16338292787189421</v>
      </c>
      <c r="C18" s="40">
        <f t="shared" si="5"/>
        <v>15.262083333333333</v>
      </c>
      <c r="D18" s="40">
        <f t="shared" si="5"/>
        <v>0.10925419967547963</v>
      </c>
      <c r="E18" s="40">
        <f t="shared" si="5"/>
        <v>5.7960946895373127</v>
      </c>
      <c r="F18" s="40">
        <f t="shared" si="5"/>
        <v>8.7685126077242277</v>
      </c>
      <c r="G18" s="40">
        <f t="shared" si="5"/>
        <v>2.3039038913116401</v>
      </c>
      <c r="H18" s="40">
        <f t="shared" si="5"/>
        <v>0</v>
      </c>
      <c r="P18" s="2" t="s">
        <v>33</v>
      </c>
      <c r="Q18" s="5">
        <f>Inputs!$B79*Percentages!C18</f>
        <v>14871.15</v>
      </c>
      <c r="R18" s="5">
        <f>Inputs!$B79*Percentages!D18</f>
        <v>1652.3500000000001</v>
      </c>
      <c r="S18" s="5">
        <f>Inputs!$B79*Percentages!E18</f>
        <v>4130.875</v>
      </c>
      <c r="T18" s="5">
        <f>Inputs!$B79*Percentages!F18</f>
        <v>4130.875</v>
      </c>
      <c r="U18" s="5">
        <f>Inputs!$B79*Percentages!G18</f>
        <v>7435.5749999999998</v>
      </c>
      <c r="V18" s="5">
        <f>Inputs!$B79*Percentages!H18</f>
        <v>826.17500000000007</v>
      </c>
      <c r="W18" s="5">
        <f>Inputs!$B79*Percentages!I18</f>
        <v>0</v>
      </c>
    </row>
    <row r="19" spans="1:23" x14ac:dyDescent="0.25">
      <c r="A19" s="39" t="s">
        <v>34</v>
      </c>
      <c r="B19" s="40">
        <f t="shared" ref="B19:H19" si="6">Q25/B4</f>
        <v>0</v>
      </c>
      <c r="C19" s="40">
        <f t="shared" si="6"/>
        <v>0</v>
      </c>
      <c r="D19" s="40">
        <f t="shared" si="6"/>
        <v>0.10391810632814737</v>
      </c>
      <c r="E19" s="40">
        <f t="shared" si="6"/>
        <v>1.8376690507838049</v>
      </c>
      <c r="F19" s="40">
        <f t="shared" si="6"/>
        <v>1.3900414937759338</v>
      </c>
      <c r="G19" s="40">
        <f t="shared" si="6"/>
        <v>0.365229788661523</v>
      </c>
      <c r="H19" s="40">
        <f t="shared" si="6"/>
        <v>0</v>
      </c>
      <c r="P19" s="2" t="s">
        <v>35</v>
      </c>
      <c r="Q19" s="5">
        <f>Inputs!$B80*Percentages!C19</f>
        <v>151732.75</v>
      </c>
      <c r="R19" s="5">
        <f>Inputs!$B80*Percentages!D19</f>
        <v>11671.75</v>
      </c>
      <c r="S19" s="5">
        <f>Inputs!$B80*Percentages!E19</f>
        <v>9337.4</v>
      </c>
      <c r="T19" s="5">
        <f>Inputs!$B80*Percentages!F19</f>
        <v>14006.1</v>
      </c>
      <c r="U19" s="5">
        <f>Inputs!$B80*Percentages!G19</f>
        <v>42018.299999999996</v>
      </c>
      <c r="V19" s="5">
        <f>Inputs!$B80*Percentages!H19</f>
        <v>4668.7</v>
      </c>
      <c r="W19" s="5">
        <f>Inputs!$B80*Percentages!I19</f>
        <v>0</v>
      </c>
    </row>
    <row r="20" spans="1:23" x14ac:dyDescent="0.25">
      <c r="A20" s="39" t="s">
        <v>36</v>
      </c>
      <c r="B20" s="40">
        <f t="shared" ref="B20:H20" si="7">Q29/B4</f>
        <v>1.7462779836153481E-2</v>
      </c>
      <c r="C20" s="40">
        <f t="shared" si="7"/>
        <v>0.45</v>
      </c>
      <c r="D20" s="40">
        <f t="shared" si="7"/>
        <v>3.2213419872100787E-2</v>
      </c>
      <c r="E20" s="40">
        <f t="shared" si="7"/>
        <v>0.56965630736122541</v>
      </c>
      <c r="F20" s="40">
        <f t="shared" si="7"/>
        <v>1.7235876157037984</v>
      </c>
      <c r="G20" s="40">
        <f t="shared" si="7"/>
        <v>0.45286816504528682</v>
      </c>
      <c r="H20" s="40">
        <f t="shared" si="7"/>
        <v>0</v>
      </c>
    </row>
    <row r="21" spans="1:23" x14ac:dyDescent="0.25">
      <c r="A21" s="39" t="s">
        <v>37</v>
      </c>
      <c r="B21" s="40">
        <f t="shared" ref="B21:H21" si="8">(Q22+Q23)/B4</f>
        <v>8.8211124765452523E-2</v>
      </c>
      <c r="C21" s="40">
        <f t="shared" si="8"/>
        <v>3.4694999999999996</v>
      </c>
      <c r="D21" s="40">
        <f t="shared" si="8"/>
        <v>0.12138195571251312</v>
      </c>
      <c r="E21" s="40">
        <f t="shared" si="8"/>
        <v>2.1960250648775239</v>
      </c>
      <c r="F21" s="40">
        <f t="shared" si="8"/>
        <v>0</v>
      </c>
      <c r="G21" s="40">
        <f t="shared" si="8"/>
        <v>0</v>
      </c>
      <c r="H21" s="40">
        <f t="shared" si="8"/>
        <v>0</v>
      </c>
      <c r="P21" s="2" t="s">
        <v>38</v>
      </c>
      <c r="Q21" s="5">
        <f>Inputs!$B81*Percentages!C21</f>
        <v>3900</v>
      </c>
      <c r="R21" s="5">
        <f>Inputs!$B81*Percentages!D21</f>
        <v>300</v>
      </c>
      <c r="S21" s="5">
        <f>Inputs!$B81*Percentages!E21</f>
        <v>300</v>
      </c>
      <c r="T21" s="5">
        <f>Inputs!$B81*Percentages!F21</f>
        <v>360</v>
      </c>
      <c r="U21" s="5">
        <f>Inputs!$B81*Percentages!G21</f>
        <v>1080</v>
      </c>
      <c r="V21" s="5">
        <f>Inputs!$B81*Percentages!H21</f>
        <v>60</v>
      </c>
      <c r="W21" s="5">
        <f>Inputs!$B81*Percentages!I21</f>
        <v>0</v>
      </c>
    </row>
    <row r="22" spans="1:23" x14ac:dyDescent="0.25">
      <c r="A22" s="39" t="s">
        <v>39</v>
      </c>
      <c r="B22" s="40">
        <f t="shared" ref="B22:H22" si="9">Q28/B4</f>
        <v>0.28116815123470473</v>
      </c>
      <c r="C22" s="40">
        <f t="shared" si="9"/>
        <v>4.5186666666666664</v>
      </c>
      <c r="D22" s="40">
        <f t="shared" si="9"/>
        <v>0</v>
      </c>
      <c r="E22" s="40">
        <f t="shared" si="9"/>
        <v>0</v>
      </c>
      <c r="F22" s="40">
        <f t="shared" si="9"/>
        <v>0</v>
      </c>
      <c r="G22" s="40">
        <f t="shared" si="9"/>
        <v>2.8421670580342173</v>
      </c>
      <c r="H22" s="40">
        <f t="shared" si="9"/>
        <v>0</v>
      </c>
      <c r="P22" s="2" t="s">
        <v>40</v>
      </c>
      <c r="Q22" s="5">
        <f>Inputs!$F65*Percentages!C22</f>
        <v>0</v>
      </c>
      <c r="R22" s="5">
        <f>Inputs!$F65*Percentages!D22</f>
        <v>0</v>
      </c>
      <c r="S22" s="5">
        <f>Inputs!$F65*Percentages!E22</f>
        <v>600</v>
      </c>
      <c r="T22" s="5">
        <f>Inputs!$F65*Percentages!F22</f>
        <v>0</v>
      </c>
      <c r="U22" s="5">
        <f>Inputs!$F65*Percentages!G22</f>
        <v>0</v>
      </c>
      <c r="V22" s="5">
        <f>Inputs!$F65*Percentages!H22</f>
        <v>0</v>
      </c>
      <c r="W22" s="5">
        <f>Inputs!$F65*Percentages!I22</f>
        <v>0</v>
      </c>
    </row>
    <row r="23" spans="1:23" x14ac:dyDescent="0.25">
      <c r="A23" s="39" t="s">
        <v>41</v>
      </c>
      <c r="B23" s="40">
        <f t="shared" ref="B23:H23" si="10">(Q3+Q31)/B4</f>
        <v>0.37116770552130818</v>
      </c>
      <c r="C23" s="40">
        <f t="shared" si="10"/>
        <v>50.075000000000003</v>
      </c>
      <c r="D23" s="40">
        <f t="shared" si="10"/>
        <v>0</v>
      </c>
      <c r="E23" s="40">
        <f t="shared" si="10"/>
        <v>0</v>
      </c>
      <c r="F23" s="40">
        <f t="shared" si="10"/>
        <v>0</v>
      </c>
      <c r="G23" s="40">
        <f t="shared" si="10"/>
        <v>0</v>
      </c>
      <c r="H23" s="40">
        <f t="shared" si="10"/>
        <v>0</v>
      </c>
      <c r="P23" s="2" t="s">
        <v>42</v>
      </c>
      <c r="Q23" s="5">
        <f>Inputs!$F66*Percentages!C23</f>
        <v>7910.4599999999991</v>
      </c>
      <c r="R23" s="5">
        <f>Inputs!$F66*Percentages!D23</f>
        <v>416.34</v>
      </c>
      <c r="S23" s="5">
        <f>Inputs!$F66*Percentages!E23</f>
        <v>3469.5</v>
      </c>
      <c r="T23" s="5">
        <f>Inputs!$F66*Percentages!F23</f>
        <v>2081.6999999999998</v>
      </c>
      <c r="U23" s="5">
        <f>Inputs!$F66*Percentages!G23</f>
        <v>0</v>
      </c>
      <c r="V23" s="5">
        <f>Inputs!$F66*Percentages!H23</f>
        <v>0</v>
      </c>
      <c r="W23" s="5">
        <f>Inputs!$F66*Percentages!I23</f>
        <v>0</v>
      </c>
    </row>
    <row r="24" spans="1:23" x14ac:dyDescent="0.25">
      <c r="A24" s="7" t="s">
        <v>43</v>
      </c>
      <c r="B24" s="8">
        <f t="shared" ref="B24:H24" si="11">(SUM(Q3:Q36)-Q3-Q4-Q5-Q7-Q9-Q10-Q11-Q12-Q15-Q17-Q18-Q19-Q21-Q22-Q23-Q24-Q25-Q28-Q29-Q30-Q31-Q37+Q38)/B4</f>
        <v>0.47124303844696397</v>
      </c>
      <c r="C24" s="8">
        <f t="shared" si="11"/>
        <v>3.729999999999897</v>
      </c>
      <c r="D24" s="8">
        <f t="shared" si="11"/>
        <v>3.7381884127135771E-2</v>
      </c>
      <c r="E24" s="8">
        <f t="shared" si="11"/>
        <v>0.56661814038863256</v>
      </c>
      <c r="F24" s="8">
        <f t="shared" si="11"/>
        <v>0.39685072880094113</v>
      </c>
      <c r="G24" s="8">
        <f t="shared" si="11"/>
        <v>3.8137147843547813E-15</v>
      </c>
      <c r="H24" s="8">
        <f t="shared" si="11"/>
        <v>0</v>
      </c>
      <c r="P24" s="2" t="s">
        <v>44</v>
      </c>
      <c r="Q24" s="5">
        <f>Inputs!$F67*Percentages!C24</f>
        <v>14651.6</v>
      </c>
      <c r="R24" s="5">
        <f>Inputs!$F67*Percentages!D24</f>
        <v>1831.45</v>
      </c>
      <c r="S24" s="5">
        <f>Inputs!$F67*Percentages!E24</f>
        <v>3662.9</v>
      </c>
      <c r="T24" s="5">
        <f>Inputs!$F67*Percentages!F24</f>
        <v>5494.3499999999995</v>
      </c>
      <c r="U24" s="5">
        <f>Inputs!$F67*Percentages!G24</f>
        <v>9889.83</v>
      </c>
      <c r="V24" s="5">
        <f>Inputs!$F67*Percentages!H24</f>
        <v>1098.8699999999999</v>
      </c>
      <c r="W24" s="5">
        <f>Inputs!$F67*Percentages!I24</f>
        <v>0</v>
      </c>
    </row>
    <row r="25" spans="1:23" x14ac:dyDescent="0.25">
      <c r="A25" s="7" t="s">
        <v>45</v>
      </c>
      <c r="B25" s="8">
        <f t="shared" ref="B25:H25" si="12">Q11/B4</f>
        <v>3.7465468588833577</v>
      </c>
      <c r="C25" s="8">
        <f t="shared" si="12"/>
        <v>147.35833333333332</v>
      </c>
      <c r="D25" s="8">
        <f t="shared" si="12"/>
        <v>0</v>
      </c>
      <c r="E25" s="8">
        <f t="shared" si="12"/>
        <v>0</v>
      </c>
      <c r="F25" s="8">
        <f t="shared" si="12"/>
        <v>0</v>
      </c>
      <c r="G25" s="8">
        <f t="shared" si="12"/>
        <v>0</v>
      </c>
      <c r="H25" s="8">
        <f t="shared" si="12"/>
        <v>0</v>
      </c>
      <c r="P25" s="2" t="s">
        <v>46</v>
      </c>
      <c r="Q25" s="5">
        <f>Inputs!$F68*Percentages!C25</f>
        <v>0</v>
      </c>
      <c r="R25" s="5">
        <f>Inputs!$F68*Percentages!D25</f>
        <v>0</v>
      </c>
      <c r="S25" s="5">
        <f>Inputs!$F68*Percentages!E25</f>
        <v>3484</v>
      </c>
      <c r="T25" s="5">
        <f>Inputs!$F68*Percentages!F25</f>
        <v>1742</v>
      </c>
      <c r="U25" s="5">
        <f>Inputs!$F68*Percentages!G25</f>
        <v>1567.8</v>
      </c>
      <c r="V25" s="5">
        <f>Inputs!$F68*Percentages!H25</f>
        <v>174.20000000000002</v>
      </c>
      <c r="W25" s="5">
        <f>Inputs!$F68*Percentages!I25</f>
        <v>0</v>
      </c>
    </row>
    <row r="26" spans="1:23" x14ac:dyDescent="0.25">
      <c r="A26" s="7" t="s">
        <v>47</v>
      </c>
      <c r="B26" s="8">
        <f t="shared" ref="B26:H26" si="13">Q51/B4</f>
        <v>1.9871807549435538</v>
      </c>
      <c r="C26" s="8">
        <f t="shared" si="13"/>
        <v>552.3891340899537</v>
      </c>
      <c r="D26" s="8">
        <f t="shared" si="13"/>
        <v>0</v>
      </c>
      <c r="E26" s="8">
        <f t="shared" si="13"/>
        <v>0</v>
      </c>
      <c r="F26" s="8">
        <f t="shared" si="13"/>
        <v>0</v>
      </c>
      <c r="G26" s="8">
        <f t="shared" si="13"/>
        <v>0</v>
      </c>
      <c r="H26" s="8">
        <f t="shared" si="13"/>
        <v>0</v>
      </c>
    </row>
    <row r="27" spans="1:23" x14ac:dyDescent="0.25">
      <c r="A27" s="7" t="s">
        <v>48</v>
      </c>
      <c r="B27" s="8">
        <f t="shared" ref="B27:H27" si="14">(Q10+Q19+Q21)/B4</f>
        <v>1.9693070097800964</v>
      </c>
      <c r="C27" s="8">
        <f t="shared" si="14"/>
        <v>113.20541666666666</v>
      </c>
      <c r="D27" s="8">
        <f t="shared" si="14"/>
        <v>0.32594373389329001</v>
      </c>
      <c r="E27" s="8">
        <f t="shared" si="14"/>
        <v>17.196847901765935</v>
      </c>
      <c r="F27" s="8">
        <f t="shared" si="14"/>
        <v>43.359878710501121</v>
      </c>
      <c r="G27" s="8">
        <f t="shared" si="14"/>
        <v>11.266898691714189</v>
      </c>
      <c r="H27" s="8">
        <f t="shared" si="14"/>
        <v>0</v>
      </c>
      <c r="P27" s="2" t="s">
        <v>49</v>
      </c>
      <c r="Q27" s="5">
        <f>Inputs!$F69*Percentages!C27</f>
        <v>0</v>
      </c>
      <c r="R27" s="5">
        <f>Inputs!$F69*Percentages!D27</f>
        <v>0</v>
      </c>
      <c r="S27" s="5">
        <f>Inputs!$F69*Percentages!E27</f>
        <v>0</v>
      </c>
      <c r="T27" s="5">
        <f>Inputs!$F69*Percentages!F27</f>
        <v>0</v>
      </c>
      <c r="U27" s="5">
        <f>Inputs!$F69*Percentages!G27</f>
        <v>0</v>
      </c>
      <c r="V27" s="5">
        <f>Inputs!$F69*Percentages!H27</f>
        <v>0</v>
      </c>
      <c r="W27" s="5">
        <f>Inputs!$F69*Percentages!I27</f>
        <v>0</v>
      </c>
    </row>
    <row r="28" spans="1:23" x14ac:dyDescent="0.25">
      <c r="A28" s="75" t="s">
        <v>50</v>
      </c>
      <c r="B28" s="8">
        <f t="shared" ref="B28:H28" si="15">(Q49+Q50)/B4</f>
        <v>0.1087242039607257</v>
      </c>
      <c r="C28" s="8">
        <f t="shared" si="15"/>
        <v>6.25</v>
      </c>
      <c r="D28" s="8">
        <f t="shared" si="15"/>
        <v>2.237043046673666E-2</v>
      </c>
      <c r="E28" s="8">
        <f t="shared" si="15"/>
        <v>0.79118931577947982</v>
      </c>
      <c r="F28" s="8">
        <f t="shared" si="15"/>
        <v>2.393871688477498</v>
      </c>
      <c r="G28" s="8">
        <f t="shared" si="15"/>
        <v>0.62898356256289834</v>
      </c>
      <c r="H28" s="8">
        <f t="shared" si="15"/>
        <v>0</v>
      </c>
      <c r="P28" s="2" t="s">
        <v>39</v>
      </c>
      <c r="Q28" s="5">
        <f>Inputs!$F70*Percentages!C28</f>
        <v>25214.16</v>
      </c>
      <c r="R28" s="5">
        <f>Inputs!$F70*Percentages!D28</f>
        <v>542.24</v>
      </c>
      <c r="S28" s="5">
        <f>Inputs!$F70*Percentages!E28</f>
        <v>0</v>
      </c>
      <c r="T28" s="5">
        <f>Inputs!$F70*Percentages!F28</f>
        <v>0</v>
      </c>
      <c r="U28" s="5">
        <f>Inputs!$F70*Percentages!G28</f>
        <v>0</v>
      </c>
      <c r="V28" s="5">
        <f>Inputs!$F70*Percentages!H28</f>
        <v>1355.6000000000001</v>
      </c>
      <c r="W28" s="5">
        <f>Inputs!$F70*Percentages!I28</f>
        <v>0</v>
      </c>
    </row>
    <row r="29" spans="1:23" x14ac:dyDescent="0.25">
      <c r="A29" s="35" t="s">
        <v>51</v>
      </c>
      <c r="B29" s="8">
        <f>(C4*Inputs!F39)/B4</f>
        <v>1.6057728584968718</v>
      </c>
      <c r="C29" s="8">
        <f>Inputs!F38*Inputs!B23/2/C4</f>
        <v>137.5</v>
      </c>
      <c r="D29" s="8"/>
      <c r="E29" s="9"/>
      <c r="F29" s="9"/>
      <c r="G29" s="9"/>
      <c r="H29" s="9"/>
      <c r="P29" s="2" t="s">
        <v>52</v>
      </c>
      <c r="Q29" s="5">
        <f>Inputs!$F71*Percentages!C29</f>
        <v>1566</v>
      </c>
      <c r="R29" s="5">
        <f>Inputs!$F71*Percentages!D29</f>
        <v>54</v>
      </c>
      <c r="S29" s="5">
        <f>Inputs!$F71*Percentages!E29</f>
        <v>1080</v>
      </c>
      <c r="T29" s="5">
        <f>Inputs!$F71*Percentages!F29</f>
        <v>540</v>
      </c>
      <c r="U29" s="5">
        <f>Inputs!$F71*Percentages!G29</f>
        <v>1944</v>
      </c>
      <c r="V29" s="5">
        <f>Inputs!$F71*Percentages!H29</f>
        <v>216</v>
      </c>
      <c r="W29" s="5">
        <f>Inputs!$F71*Percentages!I29</f>
        <v>0</v>
      </c>
    </row>
    <row r="30" spans="1:23" x14ac:dyDescent="0.25">
      <c r="P30" s="2" t="s">
        <v>53</v>
      </c>
      <c r="Q30" s="5">
        <f>Inputs!$F72*Percentages!C30</f>
        <v>11726.8</v>
      </c>
      <c r="R30" s="5">
        <f>Inputs!$F72*Percentages!D30</f>
        <v>246.88</v>
      </c>
      <c r="S30" s="5">
        <f>Inputs!$F72*Percentages!E30</f>
        <v>123.44</v>
      </c>
      <c r="T30" s="5">
        <f>Inputs!$F72*Percentages!F30</f>
        <v>123.44</v>
      </c>
      <c r="U30" s="5">
        <f>Inputs!$F72*Percentages!G30</f>
        <v>123.44</v>
      </c>
      <c r="V30" s="5">
        <f>Inputs!$F72*Percentages!H30</f>
        <v>0</v>
      </c>
      <c r="W30" s="5">
        <f>Inputs!$F72*Percentages!I30</f>
        <v>0</v>
      </c>
    </row>
    <row r="31" spans="1:23" ht="15" x14ac:dyDescent="0.3">
      <c r="B31" s="23" t="s">
        <v>54</v>
      </c>
      <c r="C31" s="23"/>
      <c r="P31" s="2" t="s">
        <v>55</v>
      </c>
      <c r="Q31" s="5">
        <f>Inputs!$F73*Percentages!C31</f>
        <v>22887</v>
      </c>
      <c r="R31" s="5">
        <f>Inputs!$F73*Percentages!D31</f>
        <v>2543</v>
      </c>
      <c r="S31" s="5">
        <f>Inputs!$F73*Percentages!E31</f>
        <v>0</v>
      </c>
      <c r="T31" s="5">
        <f>Inputs!$F73*Percentages!F31</f>
        <v>0</v>
      </c>
      <c r="U31" s="5">
        <f>Inputs!$F73*Percentages!G31</f>
        <v>0</v>
      </c>
      <c r="V31" s="5">
        <f>Inputs!$F73*Percentages!H31</f>
        <v>0</v>
      </c>
      <c r="W31" s="5">
        <f>Inputs!$F73*Percentages!I31</f>
        <v>0</v>
      </c>
    </row>
    <row r="32" spans="1:23" x14ac:dyDescent="0.25">
      <c r="A32" s="7" t="s">
        <v>56</v>
      </c>
      <c r="B32" s="8">
        <f t="shared" ref="B32:H32" si="16">(+Q42+Q43+Q44+Q45+Q46+Q48)/B4</f>
        <v>1.185921562839064</v>
      </c>
      <c r="C32" s="8">
        <f t="shared" si="16"/>
        <v>160.99784583333334</v>
      </c>
      <c r="D32" s="8">
        <f t="shared" si="16"/>
        <v>0.36698603190321655</v>
      </c>
      <c r="E32" s="9">
        <f t="shared" si="16"/>
        <v>15.162482330105281</v>
      </c>
      <c r="F32" s="9">
        <f t="shared" si="16"/>
        <v>21.998602178423241</v>
      </c>
      <c r="G32" s="9">
        <f t="shared" si="16"/>
        <v>5.7800755304428053</v>
      </c>
      <c r="H32" s="9">
        <f t="shared" si="16"/>
        <v>0</v>
      </c>
    </row>
    <row r="33" spans="1:23" x14ac:dyDescent="0.25">
      <c r="A33" s="7" t="s">
        <v>57</v>
      </c>
      <c r="B33" s="8">
        <f t="shared" ref="B33:H33" si="17">(+Q9+Q17+Q18)/B4</f>
        <v>0.60684330806676001</v>
      </c>
      <c r="C33" s="8">
        <f t="shared" si="17"/>
        <v>79.162083333333342</v>
      </c>
      <c r="D33" s="8">
        <f t="shared" si="17"/>
        <v>0.43028702753650855</v>
      </c>
      <c r="E33" s="9">
        <f t="shared" si="17"/>
        <v>16.857343291769521</v>
      </c>
      <c r="F33" s="9">
        <f t="shared" si="17"/>
        <v>26.87992073624854</v>
      </c>
      <c r="G33" s="9">
        <f t="shared" si="17"/>
        <v>6.7006667225763179</v>
      </c>
      <c r="H33" s="9">
        <f t="shared" si="17"/>
        <v>0</v>
      </c>
      <c r="P33" s="2" t="s">
        <v>58</v>
      </c>
      <c r="Q33" s="5">
        <f>Inputs!$F74*Percentages!C33</f>
        <v>12445</v>
      </c>
      <c r="R33" s="5">
        <f>Inputs!$F74*Percentages!D33</f>
        <v>0</v>
      </c>
      <c r="S33" s="5">
        <f>Inputs!$F74*Percentages!E33</f>
        <v>0</v>
      </c>
      <c r="T33" s="5">
        <f>Inputs!$F74*Percentages!F33</f>
        <v>0</v>
      </c>
      <c r="U33" s="5">
        <f>Inputs!$F74*Percentages!G33</f>
        <v>0</v>
      </c>
      <c r="V33" s="5">
        <f>Inputs!$F74*Percentages!H33</f>
        <v>0</v>
      </c>
      <c r="W33" s="5">
        <f>Inputs!$F74*Percentages!I33</f>
        <v>0</v>
      </c>
    </row>
    <row r="34" spans="1:23" x14ac:dyDescent="0.25">
      <c r="P34" s="2" t="s">
        <v>58</v>
      </c>
      <c r="Q34" s="5">
        <f>Inputs!$F75*Percentages!C34</f>
        <v>0</v>
      </c>
      <c r="R34" s="5">
        <f>Inputs!$F75*Percentages!D34</f>
        <v>0</v>
      </c>
      <c r="S34" s="5">
        <f>Inputs!$F75*Percentages!E34</f>
        <v>0</v>
      </c>
      <c r="T34" s="5">
        <f>Inputs!$F75*Percentages!F34</f>
        <v>0</v>
      </c>
      <c r="U34" s="5">
        <f>Inputs!$F75*Percentages!G34</f>
        <v>0</v>
      </c>
      <c r="V34" s="5">
        <f>Inputs!$F75*Percentages!H34</f>
        <v>0</v>
      </c>
      <c r="W34" s="5">
        <f>Inputs!$F75*Percentages!I34</f>
        <v>0</v>
      </c>
    </row>
    <row r="35" spans="1:23" ht="14" x14ac:dyDescent="0.3">
      <c r="A35" s="24"/>
      <c r="B35" s="24"/>
      <c r="C35" s="24"/>
      <c r="D35" s="24"/>
      <c r="E35" s="29" t="s">
        <v>59</v>
      </c>
      <c r="F35" s="26">
        <f>Inputs!C9*Y7+Inputs!C7*Y5+Inputs!C6*Y4+Inputs!C8*Y6+Inputs!C5*Y3+Inputs!C4*Inputs!C12</f>
        <v>180813.9</v>
      </c>
      <c r="P35" s="2" t="s">
        <v>58</v>
      </c>
      <c r="Q35" s="5">
        <f>Inputs!$F76*Percentages!C35</f>
        <v>0</v>
      </c>
      <c r="R35" s="5">
        <f>Inputs!$F76*Percentages!D35</f>
        <v>0</v>
      </c>
      <c r="S35" s="5">
        <f>Inputs!$F76*Percentages!E35</f>
        <v>0</v>
      </c>
      <c r="T35" s="5">
        <f>Inputs!$F76*Percentages!F35</f>
        <v>0</v>
      </c>
      <c r="U35" s="5">
        <f>Inputs!$F76*Percentages!G35</f>
        <v>0</v>
      </c>
      <c r="V35" s="5">
        <f>Inputs!$F76*Percentages!H35</f>
        <v>0</v>
      </c>
      <c r="W35" s="5">
        <f>Inputs!$F76*Percentages!I35</f>
        <v>0</v>
      </c>
    </row>
    <row r="36" spans="1:23" ht="14" x14ac:dyDescent="0.3">
      <c r="A36" s="24"/>
      <c r="B36" s="24"/>
      <c r="C36" s="24"/>
      <c r="D36" s="24"/>
      <c r="E36" s="29" t="s">
        <v>60</v>
      </c>
      <c r="F36" s="26">
        <f>Inputs!B71+Inputs!B78+Inputs!B79</f>
        <v>127838</v>
      </c>
      <c r="P36" s="2" t="s">
        <v>58</v>
      </c>
      <c r="Q36" s="5">
        <f>Inputs!$F77*Percentages!C36</f>
        <v>0</v>
      </c>
      <c r="R36" s="5">
        <f>Inputs!$F77*Percentages!D36</f>
        <v>0</v>
      </c>
      <c r="S36" s="5">
        <f>Inputs!$F77*Percentages!E36</f>
        <v>0</v>
      </c>
      <c r="T36" s="5">
        <f>Inputs!$F77*Percentages!F36</f>
        <v>0</v>
      </c>
      <c r="U36" s="5">
        <f>Inputs!$F77*Percentages!G36</f>
        <v>0</v>
      </c>
      <c r="V36" s="5">
        <f>Inputs!$F77*Percentages!H36</f>
        <v>0</v>
      </c>
      <c r="W36" s="5">
        <f>Inputs!$F77*Percentages!I36</f>
        <v>0</v>
      </c>
    </row>
    <row r="37" spans="1:23" ht="14" x14ac:dyDescent="0.3">
      <c r="A37" s="24"/>
      <c r="B37" s="24"/>
      <c r="C37" s="24"/>
      <c r="D37" s="24"/>
      <c r="E37" s="24"/>
      <c r="F37" s="24"/>
      <c r="P37" s="2" t="s">
        <v>61</v>
      </c>
      <c r="Q37" s="5">
        <f>Inputs!$F80*Percentages!C37</f>
        <v>-15308</v>
      </c>
      <c r="R37" s="5">
        <f>Inputs!$F80*Percentages!D37</f>
        <v>0</v>
      </c>
      <c r="S37" s="5">
        <f>Inputs!$F80*Percentages!E37</f>
        <v>0</v>
      </c>
      <c r="T37" s="5">
        <f>Inputs!$F80*Percentages!F37</f>
        <v>0</v>
      </c>
      <c r="U37" s="5">
        <f>Inputs!$F80*Percentages!G37</f>
        <v>0</v>
      </c>
      <c r="V37" s="5">
        <f>Inputs!$F80*Percentages!H37</f>
        <v>0</v>
      </c>
      <c r="W37" s="5">
        <f>Inputs!$F80*Percentages!I37</f>
        <v>0</v>
      </c>
    </row>
    <row r="38" spans="1:23" x14ac:dyDescent="0.25">
      <c r="P38" s="2" t="s">
        <v>62</v>
      </c>
      <c r="Q38" s="5">
        <f>Inputs!$F81*Percentages!C38</f>
        <v>6800</v>
      </c>
      <c r="R38" s="5">
        <f>Inputs!$F81*Percentages!D38</f>
        <v>0</v>
      </c>
      <c r="S38" s="5">
        <f>Inputs!$F81*Percentages!E38</f>
        <v>0</v>
      </c>
      <c r="T38" s="5">
        <f>Inputs!$F81*Percentages!F38</f>
        <v>0</v>
      </c>
      <c r="U38" s="5">
        <f>Inputs!$F81*Percentages!G38</f>
        <v>0</v>
      </c>
      <c r="V38" s="5">
        <f>Inputs!$F81*Percentages!H38</f>
        <v>0</v>
      </c>
      <c r="W38" s="5">
        <f>Inputs!$F81*Percentages!I38</f>
        <v>0</v>
      </c>
    </row>
    <row r="39" spans="1:23" ht="14" x14ac:dyDescent="0.3">
      <c r="A39" s="24"/>
      <c r="B39" s="24"/>
      <c r="C39" s="24"/>
      <c r="D39" s="24"/>
      <c r="E39" s="25" t="s">
        <v>63</v>
      </c>
      <c r="F39" s="26">
        <f>Inputs!C15+Inputs!C16+Inputs!B72+Inputs!B80+Inputs!B81</f>
        <v>286693</v>
      </c>
    </row>
    <row r="41" spans="1:23" ht="14" x14ac:dyDescent="0.3">
      <c r="A41" s="36" t="s">
        <v>64</v>
      </c>
      <c r="B41" s="24"/>
      <c r="C41" s="24"/>
      <c r="D41" s="24"/>
      <c r="E41" s="59">
        <f>B4*B8</f>
        <v>1088745.8426592057</v>
      </c>
      <c r="F41" s="24"/>
      <c r="P41" s="2" t="s">
        <v>65</v>
      </c>
      <c r="Q41" s="5"/>
      <c r="R41" s="5"/>
      <c r="S41" s="5"/>
      <c r="T41" s="5"/>
      <c r="U41" s="5"/>
      <c r="V41" s="5"/>
      <c r="W41" s="5"/>
    </row>
    <row r="42" spans="1:23" ht="14" x14ac:dyDescent="0.3">
      <c r="A42" s="27" t="s">
        <v>66</v>
      </c>
      <c r="B42" s="24"/>
      <c r="C42" s="24"/>
      <c r="D42" s="24"/>
      <c r="E42" s="26">
        <f>B4*Inputs!F43-E41</f>
        <v>106641.15734079434</v>
      </c>
      <c r="P42" s="2" t="s">
        <v>67</v>
      </c>
      <c r="Q42" s="5">
        <f>Inputs!$C4*Inputs!$C12*Percentages!C42</f>
        <v>13838.926500000001</v>
      </c>
      <c r="R42" s="5">
        <f>Inputs!$C4*Inputs!$C12*Percentages!D42</f>
        <v>1537.6585000000002</v>
      </c>
      <c r="S42" s="5">
        <f>Inputs!$C4*Inputs!$C12*Percentages!E42</f>
        <v>0</v>
      </c>
      <c r="T42" s="5">
        <f>Inputs!$C4*Inputs!$C12*Percentages!F42</f>
        <v>0</v>
      </c>
      <c r="U42" s="5">
        <f>Inputs!$C4*Inputs!$C12*Percentages!G42</f>
        <v>0</v>
      </c>
      <c r="V42" s="5">
        <f>Inputs!$C4*Inputs!$C12*Percentages!H42</f>
        <v>0</v>
      </c>
      <c r="W42" s="5">
        <f>Inputs!$C4*Inputs!$C12*Percentages!I42</f>
        <v>0</v>
      </c>
    </row>
    <row r="43" spans="1:23" x14ac:dyDescent="0.25">
      <c r="P43" s="2" t="s">
        <v>68</v>
      </c>
      <c r="Q43" s="5">
        <f>Inputs!$C5*$Y3*Percentages!C43</f>
        <v>38265.937500000007</v>
      </c>
      <c r="R43" s="5">
        <f>Inputs!$C5*$Y3*Percentages!D43</f>
        <v>12755.312500000002</v>
      </c>
      <c r="S43" s="5">
        <f>Inputs!$C5*$Y3*Percentages!E43</f>
        <v>0</v>
      </c>
      <c r="T43" s="5">
        <f>Inputs!$C5*$Y3*Percentages!F43</f>
        <v>0</v>
      </c>
      <c r="U43" s="5">
        <f>Inputs!$C5*$Y3*Percentages!G43</f>
        <v>0</v>
      </c>
      <c r="V43" s="5">
        <f>Inputs!$C5*$Y3*Percentages!H43</f>
        <v>0</v>
      </c>
      <c r="W43" s="5">
        <f>Inputs!$C5*$Y3*Percentages!I43</f>
        <v>0</v>
      </c>
    </row>
    <row r="44" spans="1:23" ht="13" x14ac:dyDescent="0.3">
      <c r="A44" s="15" t="s">
        <v>13</v>
      </c>
      <c r="B44" s="73" t="str">
        <f>Inputs!$E$4</f>
        <v>Milk</v>
      </c>
      <c r="C44" s="73" t="str">
        <f>Inputs!$E$5</f>
        <v>Heifers</v>
      </c>
      <c r="D44" s="73" t="str">
        <f>Inputs!$E$6</f>
        <v>Corn</v>
      </c>
      <c r="E44" s="73" t="str">
        <f>Inputs!$E$7</f>
        <v>Corn Silage</v>
      </c>
      <c r="F44" s="73" t="str">
        <f>Inputs!$E$8</f>
        <v>Haylage</v>
      </c>
      <c r="G44" s="73" t="str">
        <f>Inputs!$E$9</f>
        <v>Hay</v>
      </c>
      <c r="H44" s="73" t="str">
        <f>Inputs!$E$10</f>
        <v>Other</v>
      </c>
      <c r="P44" s="2" t="s">
        <v>69</v>
      </c>
      <c r="Q44" s="5">
        <f>Inputs!$C6*$Y4*Percentages!C44</f>
        <v>7122.5</v>
      </c>
      <c r="R44" s="5">
        <f>Inputs!$C6*$Y4*Percentages!D44</f>
        <v>1017.5</v>
      </c>
      <c r="S44" s="5">
        <f>Inputs!$C6*$Y4*Percentages!E44</f>
        <v>407</v>
      </c>
      <c r="T44" s="5">
        <f>Inputs!$C6*$Y4*Percentages!F44</f>
        <v>610.5</v>
      </c>
      <c r="U44" s="5">
        <f>Inputs!$C6*$Y4*Percentages!G44</f>
        <v>915.75</v>
      </c>
      <c r="V44" s="5">
        <f>Inputs!$C6*$Y4*Percentages!H44</f>
        <v>101.75</v>
      </c>
      <c r="W44" s="5">
        <f>Inputs!$C6*$Y4*Percentages!I44</f>
        <v>0</v>
      </c>
    </row>
    <row r="45" spans="1:23" ht="14" x14ac:dyDescent="0.3">
      <c r="A45" s="10" t="s">
        <v>70</v>
      </c>
      <c r="B45" s="11">
        <f t="shared" ref="B45:H45" si="18">B8-B32+B33</f>
        <v>11.561744828168376</v>
      </c>
      <c r="C45" s="32">
        <f t="shared" si="18"/>
        <v>1117.6722174232871</v>
      </c>
      <c r="D45" s="11">
        <f t="shared" si="18"/>
        <v>2.2626501801565335</v>
      </c>
      <c r="E45" s="12">
        <f t="shared" si="18"/>
        <v>51.548768909424652</v>
      </c>
      <c r="F45" s="12">
        <f t="shared" si="18"/>
        <v>92.724186083625938</v>
      </c>
      <c r="G45" s="12">
        <f t="shared" si="18"/>
        <v>25.699765179469981</v>
      </c>
      <c r="H45" s="12">
        <f t="shared" si="18"/>
        <v>0</v>
      </c>
      <c r="P45" s="2" t="s">
        <v>71</v>
      </c>
      <c r="Q45" s="5">
        <f>Inputs!$C7*$Y5*Percentages!C45</f>
        <v>0</v>
      </c>
      <c r="R45" s="5">
        <f>Inputs!$C7*$Y5*Percentages!D45</f>
        <v>0</v>
      </c>
      <c r="S45" s="5">
        <f>Inputs!$C7*$Y5*Percentages!E45</f>
        <v>3338.5170000000003</v>
      </c>
      <c r="T45" s="5">
        <f>Inputs!$C7*$Y5*Percentages!F45</f>
        <v>5564.1950000000006</v>
      </c>
      <c r="U45" s="5">
        <f>Inputs!$C7*$Y5*Percentages!G45</f>
        <v>12018.661200000002</v>
      </c>
      <c r="V45" s="5">
        <f>Inputs!$C7*$Y5*Percentages!H45</f>
        <v>1335.4068000000002</v>
      </c>
      <c r="W45" s="5">
        <f>Inputs!$C7*$Y5*Percentages!I45</f>
        <v>0</v>
      </c>
    </row>
    <row r="46" spans="1:23" ht="11.25" customHeight="1" x14ac:dyDescent="0.3">
      <c r="A46" s="28" t="s">
        <v>72</v>
      </c>
      <c r="P46" s="2" t="s">
        <v>73</v>
      </c>
      <c r="Q46" s="5">
        <f>Inputs!$C8*$Y6*Percentages!C46</f>
        <v>47031.921000000002</v>
      </c>
      <c r="R46" s="5">
        <f>Inputs!$C8*$Y6*Percentages!D46</f>
        <v>3919.3267500000002</v>
      </c>
      <c r="S46" s="5">
        <f>Inputs!$C8*$Y6*Percentages!E46</f>
        <v>7838.6535000000003</v>
      </c>
      <c r="T46" s="5">
        <f>Inputs!$C8*$Y6*Percentages!F46</f>
        <v>7838.6535000000003</v>
      </c>
      <c r="U46" s="5">
        <f>Inputs!$C8*$Y6*Percentages!G46</f>
        <v>10582.182225</v>
      </c>
      <c r="V46" s="5">
        <f>Inputs!$C8*$Y6*Percentages!H46</f>
        <v>1175.7980250000001</v>
      </c>
      <c r="W46" s="5">
        <f>Inputs!$C8*$Y6*Percentages!I46</f>
        <v>0</v>
      </c>
    </row>
    <row r="47" spans="1:23" ht="8.25" customHeight="1" x14ac:dyDescent="0.25">
      <c r="A47" s="14" t="s">
        <v>74</v>
      </c>
    </row>
    <row r="48" spans="1:23" x14ac:dyDescent="0.25">
      <c r="P48" s="2" t="s">
        <v>75</v>
      </c>
      <c r="Q48" s="5">
        <f>Inputs!$C9*$Y7*Percentages!C48</f>
        <v>89.943750000000023</v>
      </c>
      <c r="R48" s="5">
        <f>Inputs!$C9*$Y7*Percentages!D48</f>
        <v>89.943750000000023</v>
      </c>
      <c r="S48" s="5">
        <f>Inputs!$C9*$Y7*Percentages!E48</f>
        <v>719.55000000000018</v>
      </c>
      <c r="T48" s="5">
        <f>Inputs!$C9*$Y7*Percentages!F48</f>
        <v>359.77500000000009</v>
      </c>
      <c r="U48" s="5">
        <f>Inputs!$C9*$Y7*Percentages!G48</f>
        <v>1295.19</v>
      </c>
      <c r="V48" s="5">
        <f>Inputs!$C9*$Y7*Percentages!H48</f>
        <v>143.91000000000003</v>
      </c>
      <c r="W48" s="5">
        <f>Inputs!$C9*$Y7*Percentages!I48</f>
        <v>0</v>
      </c>
    </row>
    <row r="49" spans="16:23" x14ac:dyDescent="0.25">
      <c r="P49" s="2" t="s">
        <v>76</v>
      </c>
      <c r="Q49" s="5">
        <f>Inputs!$C15*Percentages!C49</f>
        <v>0</v>
      </c>
      <c r="R49" s="5">
        <f>Inputs!$C15*Percentages!D49</f>
        <v>0</v>
      </c>
      <c r="S49" s="5">
        <f>Inputs!$C15*Percentages!E49</f>
        <v>0</v>
      </c>
      <c r="T49" s="5">
        <f>Inputs!$C15*Percentages!F49</f>
        <v>0</v>
      </c>
      <c r="U49" s="5">
        <f>Inputs!$C15*Percentages!G49</f>
        <v>0</v>
      </c>
      <c r="V49" s="5">
        <f>Inputs!$C15*Percentages!H49</f>
        <v>0</v>
      </c>
      <c r="W49" s="5">
        <f>Inputs!$C15*Percentages!I49</f>
        <v>0</v>
      </c>
    </row>
    <row r="50" spans="16:23" x14ac:dyDescent="0.25">
      <c r="P50" s="2" t="s">
        <v>77</v>
      </c>
      <c r="Q50" s="5">
        <f>Inputs!$C16*Percentages!C50</f>
        <v>9750</v>
      </c>
      <c r="R50" s="5">
        <f>Inputs!$C16*Percentages!D50</f>
        <v>750</v>
      </c>
      <c r="S50" s="5">
        <f>Inputs!$C16*Percentages!E50</f>
        <v>750</v>
      </c>
      <c r="T50" s="5">
        <f>Inputs!$C16*Percentages!F50</f>
        <v>750</v>
      </c>
      <c r="U50" s="5">
        <f>Inputs!$C16*Percentages!G50</f>
        <v>2700</v>
      </c>
      <c r="V50" s="5">
        <f>Inputs!$C16*Percentages!H50</f>
        <v>300</v>
      </c>
      <c r="W50" s="5">
        <f>Inputs!$C16*Percentages!I50</f>
        <v>0</v>
      </c>
    </row>
    <row r="51" spans="16:23" x14ac:dyDescent="0.25">
      <c r="P51" s="2" t="s">
        <v>47</v>
      </c>
      <c r="Q51" s="5">
        <f>Inputs!$C35*Percentages!C51</f>
        <v>178203.30390920554</v>
      </c>
      <c r="R51" s="5">
        <f>Inputs!$C35*Percentages!D51</f>
        <v>66286.696090794445</v>
      </c>
      <c r="S51" s="5">
        <f>Inputs!$C35*Percentages!E51</f>
        <v>0</v>
      </c>
      <c r="T51" s="5">
        <f>Inputs!$C35*Percentages!F51</f>
        <v>0</v>
      </c>
      <c r="U51" s="5">
        <f>Inputs!$C35*Percentages!G51</f>
        <v>0</v>
      </c>
      <c r="V51" s="5">
        <f>Inputs!$C35*Percentages!H51</f>
        <v>0</v>
      </c>
      <c r="W51" s="5">
        <f>Inputs!$C35*Percentages!I51</f>
        <v>0</v>
      </c>
    </row>
    <row r="224" spans="1:1" x14ac:dyDescent="0.25">
      <c r="A224" s="3"/>
    </row>
    <row r="263" spans="1:1" x14ac:dyDescent="0.25">
      <c r="A263" s="3"/>
    </row>
  </sheetData>
  <sheetProtection sheet="1" objects="1" scenarios="1"/>
  <printOptions gridLinesSet="0"/>
  <pageMargins left="0.75" right="0.75" top="1" bottom="1" header="0.5" footer="0.5"/>
  <pageSetup scale="28" orientation="portrait" horizontalDpi="4294967294" r:id="rId1"/>
  <headerFooter alignWithMargins="0">
    <oddHeader>&amp;L&amp;"Arial,Regular"&amp;11Gary Frank&amp;10  &amp;"Arial,Italic"&amp;12UWEX&amp;"Arial,Regular"&amp;10
Center for Dairy Profitability&amp;C&amp;"Arial,Bold"&amp;20Enterprising Worksheet&amp;R&amp;D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Line="0" autoPict="0" macro="[0]!presults">
                <anchor moveWithCells="1" sizeWithCells="1">
                  <from>
                    <xdr:col>6</xdr:col>
                    <xdr:colOff>19050</xdr:colOff>
                    <xdr:row>34</xdr:row>
                    <xdr:rowOff>82550</xdr:rowOff>
                  </from>
                  <to>
                    <xdr:col>6</xdr:col>
                    <xdr:colOff>711200</xdr:colOff>
                    <xdr:row>37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42"/>
  <sheetViews>
    <sheetView workbookViewId="0">
      <selection activeCell="F40" sqref="F40"/>
    </sheetView>
  </sheetViews>
  <sheetFormatPr defaultColWidth="9" defaultRowHeight="12.5" x14ac:dyDescent="0.25"/>
  <cols>
    <col min="1" max="1" width="15.33203125" style="54" customWidth="1"/>
    <col min="2" max="2" width="9.33203125" style="54" customWidth="1"/>
    <col min="3" max="3" width="11.58203125" style="54" customWidth="1"/>
    <col min="4" max="5" width="9" style="54"/>
    <col min="6" max="6" width="10.33203125" style="54" customWidth="1"/>
    <col min="7" max="16384" width="9" style="54"/>
  </cols>
  <sheetData>
    <row r="1" spans="1:11" x14ac:dyDescent="0.25">
      <c r="A1" s="13" t="s">
        <v>78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x14ac:dyDescent="0.25">
      <c r="A3" s="17"/>
      <c r="B3" s="17"/>
      <c r="C3" s="13" t="s">
        <v>79</v>
      </c>
      <c r="D3" s="13" t="s">
        <v>80</v>
      </c>
      <c r="E3" s="17"/>
      <c r="F3" s="17"/>
      <c r="G3" s="17"/>
      <c r="H3" s="17"/>
      <c r="I3" s="17"/>
      <c r="J3" s="17"/>
      <c r="K3" s="17"/>
    </row>
    <row r="4" spans="1:11" x14ac:dyDescent="0.25">
      <c r="A4" s="17"/>
      <c r="B4" s="15" t="s">
        <v>67</v>
      </c>
      <c r="C4" s="41">
        <v>180901</v>
      </c>
      <c r="D4" s="17"/>
      <c r="E4" s="34" t="s">
        <v>81</v>
      </c>
      <c r="F4" s="17"/>
      <c r="G4" s="17"/>
      <c r="H4" s="17"/>
      <c r="I4" s="17"/>
      <c r="J4" s="17"/>
      <c r="K4" s="17"/>
    </row>
    <row r="5" spans="1:11" x14ac:dyDescent="0.25">
      <c r="A5" s="17"/>
      <c r="B5" s="15" t="s">
        <v>68</v>
      </c>
      <c r="C5" s="41">
        <v>600250</v>
      </c>
      <c r="D5" s="17"/>
      <c r="E5" s="34" t="s">
        <v>25</v>
      </c>
      <c r="F5" s="17"/>
      <c r="G5" s="17"/>
      <c r="H5" s="17"/>
      <c r="I5" s="17"/>
      <c r="J5" s="17"/>
      <c r="K5" s="17"/>
    </row>
    <row r="6" spans="1:11" x14ac:dyDescent="0.25">
      <c r="A6" s="17"/>
      <c r="B6" s="15" t="s">
        <v>69</v>
      </c>
      <c r="C6" s="41">
        <v>55000</v>
      </c>
      <c r="D6" s="17"/>
      <c r="E6" s="55" t="s">
        <v>82</v>
      </c>
      <c r="F6" s="17"/>
      <c r="G6" s="17"/>
      <c r="H6" s="17"/>
      <c r="I6" s="17"/>
      <c r="J6" s="17"/>
      <c r="K6" s="17"/>
    </row>
    <row r="7" spans="1:11" x14ac:dyDescent="0.25">
      <c r="A7" s="17"/>
      <c r="B7" s="15" t="s">
        <v>71</v>
      </c>
      <c r="C7" s="41">
        <v>146748</v>
      </c>
      <c r="D7" s="17"/>
      <c r="E7" s="55" t="s">
        <v>83</v>
      </c>
      <c r="F7" s="17"/>
      <c r="G7" s="17"/>
      <c r="H7" s="17"/>
      <c r="I7" s="17"/>
      <c r="J7" s="17"/>
      <c r="K7" s="17"/>
    </row>
    <row r="8" spans="1:11" x14ac:dyDescent="0.25">
      <c r="A8" s="17"/>
      <c r="B8" s="15" t="s">
        <v>73</v>
      </c>
      <c r="C8" s="41">
        <v>580641</v>
      </c>
      <c r="D8" s="17"/>
      <c r="E8" s="55" t="s">
        <v>84</v>
      </c>
      <c r="F8" s="17"/>
      <c r="G8" s="17"/>
      <c r="H8" s="17"/>
      <c r="I8" s="17"/>
      <c r="J8" s="17"/>
      <c r="K8" s="17"/>
    </row>
    <row r="9" spans="1:11" x14ac:dyDescent="0.25">
      <c r="A9" s="17"/>
      <c r="B9" s="15" t="s">
        <v>75</v>
      </c>
      <c r="C9" s="41">
        <v>79950</v>
      </c>
      <c r="D9" s="17"/>
      <c r="E9" s="55" t="s">
        <v>85</v>
      </c>
      <c r="F9" s="17"/>
      <c r="G9" s="17"/>
      <c r="H9" s="17"/>
      <c r="I9" s="17"/>
      <c r="J9" s="17"/>
      <c r="K9" s="17"/>
    </row>
    <row r="10" spans="1:11" x14ac:dyDescent="0.25">
      <c r="A10" s="13" t="s">
        <v>86</v>
      </c>
      <c r="B10" s="17"/>
      <c r="C10" s="20">
        <f>C9+C7+C6+C8+C5+C4</f>
        <v>1643490</v>
      </c>
      <c r="D10" s="17"/>
      <c r="E10" s="55" t="s">
        <v>87</v>
      </c>
      <c r="F10" s="17"/>
      <c r="G10" s="17"/>
      <c r="H10" s="17"/>
      <c r="I10" s="17"/>
      <c r="J10" s="17"/>
      <c r="K10" s="17"/>
    </row>
    <row r="11" spans="1:11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</row>
    <row r="12" spans="1:11" x14ac:dyDescent="0.25">
      <c r="A12" s="13" t="s">
        <v>88</v>
      </c>
      <c r="B12" s="17"/>
      <c r="C12" s="43">
        <v>8.5000000000000006E-2</v>
      </c>
      <c r="D12" s="17"/>
      <c r="E12" s="17"/>
      <c r="F12" s="17"/>
      <c r="G12" s="17"/>
      <c r="H12" s="17"/>
      <c r="I12" s="17"/>
      <c r="J12" s="17"/>
      <c r="K12" s="17"/>
    </row>
    <row r="13" spans="1:11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 x14ac:dyDescent="0.25">
      <c r="A14" s="13" t="s">
        <v>89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11" x14ac:dyDescent="0.25">
      <c r="A15" s="13" t="s">
        <v>90</v>
      </c>
      <c r="B15" s="17"/>
      <c r="C15" s="41">
        <v>0</v>
      </c>
      <c r="D15" s="17"/>
      <c r="E15" s="17"/>
      <c r="F15" s="17"/>
      <c r="G15" s="17"/>
      <c r="H15" s="17"/>
      <c r="I15" s="17"/>
      <c r="J15" s="17"/>
      <c r="K15" s="17"/>
    </row>
    <row r="16" spans="1:11" x14ac:dyDescent="0.25">
      <c r="A16" s="13" t="s">
        <v>91</v>
      </c>
      <c r="B16" s="17"/>
      <c r="C16" s="41">
        <v>15000</v>
      </c>
      <c r="D16" s="17"/>
      <c r="E16" s="17"/>
      <c r="F16" s="17"/>
      <c r="G16" s="17"/>
      <c r="H16" s="17"/>
      <c r="I16" s="17"/>
      <c r="J16" s="17"/>
      <c r="K16" s="17"/>
    </row>
    <row r="17" spans="1:11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spans="1:11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1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 x14ac:dyDescent="0.25">
      <c r="A21" s="13" t="s">
        <v>92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</row>
    <row r="23" spans="1:11" x14ac:dyDescent="0.25">
      <c r="A23" s="13" t="s">
        <v>93</v>
      </c>
      <c r="B23" s="44">
        <v>330</v>
      </c>
      <c r="C23" s="17"/>
      <c r="D23" s="17"/>
      <c r="E23" s="17"/>
      <c r="F23" s="17"/>
      <c r="G23" s="17"/>
      <c r="H23" s="17"/>
      <c r="I23" s="17"/>
      <c r="J23" s="17"/>
      <c r="K23" s="17"/>
    </row>
    <row r="24" spans="1:11" x14ac:dyDescent="0.25">
      <c r="A24" s="13" t="s">
        <v>94</v>
      </c>
      <c r="B24" s="17"/>
      <c r="C24" s="44">
        <v>250</v>
      </c>
      <c r="D24" s="17"/>
      <c r="E24" s="17"/>
      <c r="F24" s="45"/>
      <c r="G24" s="17"/>
      <c r="H24" s="17"/>
      <c r="I24" s="17"/>
      <c r="J24" s="17"/>
      <c r="K24" s="17"/>
    </row>
    <row r="25" spans="1:1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 x14ac:dyDescent="0.25">
      <c r="A26" s="71" t="s">
        <v>95</v>
      </c>
      <c r="B26" s="17"/>
      <c r="C26" s="15" t="s">
        <v>96</v>
      </c>
      <c r="D26" s="15" t="s">
        <v>97</v>
      </c>
      <c r="E26" s="15" t="s">
        <v>98</v>
      </c>
      <c r="F26" s="17"/>
      <c r="G26" s="17"/>
      <c r="H26" s="17"/>
      <c r="I26" s="17"/>
      <c r="J26" s="17"/>
      <c r="K26" s="17"/>
    </row>
    <row r="27" spans="1:11" x14ac:dyDescent="0.25">
      <c r="A27" s="72" t="s">
        <v>99</v>
      </c>
      <c r="B27" s="67" t="s">
        <v>100</v>
      </c>
      <c r="C27" s="15" t="s">
        <v>101</v>
      </c>
      <c r="D27" s="15" t="s">
        <v>101</v>
      </c>
      <c r="E27" s="15" t="s">
        <v>100</v>
      </c>
      <c r="F27" s="15" t="s">
        <v>102</v>
      </c>
      <c r="G27" s="52" t="s">
        <v>103</v>
      </c>
      <c r="H27" s="52" t="s">
        <v>25</v>
      </c>
      <c r="I27" s="17"/>
      <c r="J27" s="17"/>
      <c r="K27" s="17"/>
    </row>
    <row r="28" spans="1:11" x14ac:dyDescent="0.25">
      <c r="A28" s="15" t="str">
        <f>E6</f>
        <v>Corn</v>
      </c>
      <c r="B28" s="55" t="s">
        <v>104</v>
      </c>
      <c r="C28" s="46">
        <v>96</v>
      </c>
      <c r="D28" s="46">
        <v>10</v>
      </c>
      <c r="E28" s="47">
        <v>2.5</v>
      </c>
      <c r="F28" s="20">
        <f>(+C28+D28)*E28</f>
        <v>265</v>
      </c>
      <c r="G28" s="48">
        <f t="shared" ref="G28:H32" si="0">C28*$E28</f>
        <v>240</v>
      </c>
      <c r="H28" s="48">
        <f t="shared" si="0"/>
        <v>25</v>
      </c>
      <c r="I28" s="48"/>
      <c r="J28" s="17"/>
      <c r="K28" s="17"/>
    </row>
    <row r="29" spans="1:11" x14ac:dyDescent="0.25">
      <c r="A29" s="15" t="str">
        <f>E7</f>
        <v>Corn Silage</v>
      </c>
      <c r="B29" s="55" t="s">
        <v>105</v>
      </c>
      <c r="C29" s="46">
        <v>2.9</v>
      </c>
      <c r="D29" s="46">
        <v>1</v>
      </c>
      <c r="E29" s="47">
        <v>20</v>
      </c>
      <c r="F29" s="20">
        <f>(+C29+D29)*E29</f>
        <v>78</v>
      </c>
      <c r="G29" s="48">
        <f t="shared" si="0"/>
        <v>58</v>
      </c>
      <c r="H29" s="48">
        <f t="shared" si="0"/>
        <v>20</v>
      </c>
      <c r="I29" s="48"/>
      <c r="J29" s="17"/>
      <c r="K29" s="17"/>
    </row>
    <row r="30" spans="1:11" x14ac:dyDescent="0.25">
      <c r="A30" s="15" t="str">
        <f>E8</f>
        <v>Haylage</v>
      </c>
      <c r="B30" s="55" t="s">
        <v>105</v>
      </c>
      <c r="C30" s="46">
        <v>8</v>
      </c>
      <c r="D30" s="46">
        <v>0</v>
      </c>
      <c r="E30" s="47">
        <v>35</v>
      </c>
      <c r="F30" s="20">
        <f>(+C30+D30)*E30</f>
        <v>280</v>
      </c>
      <c r="G30" s="48">
        <f t="shared" si="0"/>
        <v>280</v>
      </c>
      <c r="H30" s="48">
        <f t="shared" si="0"/>
        <v>0</v>
      </c>
      <c r="I30" s="48"/>
      <c r="J30" s="17"/>
      <c r="K30" s="17"/>
    </row>
    <row r="31" spans="1:11" x14ac:dyDescent="0.25">
      <c r="A31" s="15" t="str">
        <f>E9</f>
        <v>Hay</v>
      </c>
      <c r="B31" s="55" t="s">
        <v>105</v>
      </c>
      <c r="C31" s="46">
        <v>0</v>
      </c>
      <c r="D31" s="46">
        <v>2</v>
      </c>
      <c r="E31" s="47">
        <v>85</v>
      </c>
      <c r="F31" s="20">
        <f>(+C31+D31)*E31</f>
        <v>170</v>
      </c>
      <c r="G31" s="48">
        <f t="shared" si="0"/>
        <v>0</v>
      </c>
      <c r="H31" s="48">
        <f t="shared" si="0"/>
        <v>170</v>
      </c>
      <c r="I31" s="48"/>
      <c r="J31" s="17"/>
      <c r="K31" s="17"/>
    </row>
    <row r="32" spans="1:11" x14ac:dyDescent="0.25">
      <c r="A32" s="15" t="str">
        <f>E10</f>
        <v>Other</v>
      </c>
      <c r="B32" s="55" t="s">
        <v>105</v>
      </c>
      <c r="C32" s="49">
        <v>0</v>
      </c>
      <c r="D32" s="46">
        <v>0</v>
      </c>
      <c r="E32" s="47">
        <v>1</v>
      </c>
      <c r="F32" s="20">
        <f>(+C32+D32)*E32</f>
        <v>0</v>
      </c>
      <c r="G32" s="48">
        <f t="shared" si="0"/>
        <v>0</v>
      </c>
      <c r="H32" s="48">
        <f t="shared" si="0"/>
        <v>0</v>
      </c>
      <c r="I32" s="48"/>
      <c r="J32" s="17"/>
      <c r="K32" s="17"/>
    </row>
    <row r="33" spans="1:11" x14ac:dyDescent="0.25">
      <c r="A33" s="17"/>
      <c r="B33" s="17"/>
      <c r="C33" s="17"/>
      <c r="D33" s="17"/>
      <c r="E33" s="15" t="s">
        <v>106</v>
      </c>
      <c r="F33" s="20">
        <f>SUM(F28:F32)</f>
        <v>793</v>
      </c>
      <c r="G33" s="20">
        <f>SUM(G28:G32)</f>
        <v>578</v>
      </c>
      <c r="H33" s="20">
        <f>SUM(H28:H32)</f>
        <v>215</v>
      </c>
      <c r="I33" s="20"/>
      <c r="J33" s="17"/>
      <c r="K33" s="17"/>
    </row>
    <row r="34" spans="1:1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</row>
    <row r="35" spans="1:11" x14ac:dyDescent="0.25">
      <c r="A35" s="13" t="s">
        <v>107</v>
      </c>
      <c r="B35" s="17"/>
      <c r="C35" s="20">
        <f>B23*G33+C24*H33</f>
        <v>244490</v>
      </c>
      <c r="D35" s="17" t="s">
        <v>108</v>
      </c>
      <c r="E35" s="17"/>
      <c r="F35" s="17"/>
      <c r="G35" s="17"/>
      <c r="H35" s="17"/>
      <c r="I35" s="17"/>
      <c r="J35" s="17"/>
      <c r="K35" s="17"/>
    </row>
    <row r="36" spans="1:11" x14ac:dyDescent="0.25">
      <c r="A36" s="17"/>
      <c r="B36" s="17"/>
      <c r="C36" s="17"/>
      <c r="D36" s="17" t="s">
        <v>109</v>
      </c>
      <c r="E36" s="42">
        <v>120</v>
      </c>
      <c r="F36" s="17"/>
      <c r="G36" s="17"/>
      <c r="H36" s="17"/>
      <c r="I36" s="17"/>
      <c r="J36" s="17"/>
      <c r="K36" s="17"/>
    </row>
    <row r="37" spans="1:11" x14ac:dyDescent="0.25">
      <c r="A37" s="15" t="s">
        <v>110</v>
      </c>
      <c r="B37" s="17" t="str">
        <f>A30</f>
        <v>Haylage</v>
      </c>
      <c r="C37" s="50">
        <v>0.65</v>
      </c>
      <c r="E37" s="17"/>
      <c r="F37" s="17"/>
      <c r="G37" s="17"/>
      <c r="H37" s="17"/>
      <c r="I37" s="17"/>
      <c r="J37" s="17"/>
      <c r="K37" s="17"/>
    </row>
    <row r="38" spans="1:11" x14ac:dyDescent="0.25">
      <c r="A38" s="15" t="s">
        <v>110</v>
      </c>
      <c r="B38" s="17" t="str">
        <f>A29</f>
        <v>Corn Silage</v>
      </c>
      <c r="C38" s="50">
        <v>0.65</v>
      </c>
      <c r="D38" s="52" t="s">
        <v>111</v>
      </c>
      <c r="E38" s="51" t="s">
        <v>112</v>
      </c>
      <c r="F38" s="41">
        <v>100</v>
      </c>
      <c r="G38" s="17"/>
      <c r="H38" s="17"/>
      <c r="I38" s="17"/>
      <c r="J38" s="17"/>
      <c r="K38" s="17"/>
    </row>
    <row r="39" spans="1:11" x14ac:dyDescent="0.25">
      <c r="A39" s="15" t="s">
        <v>110</v>
      </c>
      <c r="B39" s="17" t="str">
        <f>A32</f>
        <v>Other</v>
      </c>
      <c r="C39" s="50">
        <v>0</v>
      </c>
      <c r="D39" s="17"/>
      <c r="E39" s="52" t="s">
        <v>113</v>
      </c>
      <c r="F39" s="41">
        <v>1200</v>
      </c>
      <c r="G39" s="17"/>
      <c r="H39" s="17"/>
      <c r="I39" s="17"/>
      <c r="J39" s="17"/>
      <c r="K39" s="17"/>
    </row>
    <row r="40" spans="1:1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</row>
    <row r="41" spans="1:11" x14ac:dyDescent="0.25">
      <c r="A41" s="13" t="s">
        <v>114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1" x14ac:dyDescent="0.25">
      <c r="A43" s="15" t="s">
        <v>115</v>
      </c>
      <c r="B43" s="41">
        <v>1111948</v>
      </c>
      <c r="C43" s="17"/>
      <c r="D43" s="13" t="s">
        <v>116</v>
      </c>
      <c r="E43" s="17"/>
      <c r="F43" s="47">
        <v>13.33</v>
      </c>
      <c r="G43" s="17"/>
      <c r="H43" s="17"/>
      <c r="I43" s="17"/>
      <c r="J43" s="17"/>
      <c r="K43" s="17"/>
    </row>
    <row r="44" spans="1:11" x14ac:dyDescent="0.25">
      <c r="A44" s="15" t="s">
        <v>117</v>
      </c>
      <c r="B44" s="41">
        <v>5464</v>
      </c>
      <c r="C44" s="17"/>
      <c r="D44" s="17"/>
      <c r="E44" s="17"/>
      <c r="F44" s="17"/>
      <c r="G44" s="17"/>
      <c r="H44" s="17"/>
      <c r="I44" s="17"/>
      <c r="J44" s="17"/>
      <c r="K44" s="17"/>
    </row>
    <row r="45" spans="1:11" x14ac:dyDescent="0.25">
      <c r="A45" s="15" t="s">
        <v>118</v>
      </c>
      <c r="B45" s="41">
        <v>41227</v>
      </c>
      <c r="C45" s="17"/>
      <c r="D45" s="17"/>
      <c r="E45" s="17"/>
      <c r="F45" s="17"/>
      <c r="G45" s="17"/>
      <c r="H45" s="17"/>
      <c r="I45" s="17"/>
      <c r="J45" s="17"/>
      <c r="K45" s="17"/>
    </row>
    <row r="46" spans="1:11" x14ac:dyDescent="0.25">
      <c r="B46" s="17"/>
      <c r="C46" s="15" t="s">
        <v>119</v>
      </c>
      <c r="D46" s="41">
        <v>11000</v>
      </c>
      <c r="E46" s="17"/>
      <c r="F46" s="17"/>
      <c r="G46" s="17"/>
      <c r="H46" s="17"/>
      <c r="I46" s="17"/>
      <c r="J46" s="17"/>
      <c r="K46" s="17"/>
    </row>
    <row r="47" spans="1:1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</row>
    <row r="48" spans="1:11" x14ac:dyDescent="0.25">
      <c r="A48" s="13" t="s">
        <v>120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</row>
    <row r="49" spans="1:12" x14ac:dyDescent="0.25">
      <c r="A49" s="15" t="s">
        <v>121</v>
      </c>
      <c r="B49" s="15" t="str">
        <f>$E$4</f>
        <v>Milk</v>
      </c>
      <c r="C49" s="15" t="str">
        <f>$E$5</f>
        <v>Heifers</v>
      </c>
      <c r="D49" s="15" t="str">
        <f>$E$6</f>
        <v>Corn</v>
      </c>
      <c r="E49" s="15" t="str">
        <f>$E$7</f>
        <v>Corn Silage</v>
      </c>
      <c r="F49" s="15" t="str">
        <f>$E$8</f>
        <v>Haylage</v>
      </c>
      <c r="G49" s="15" t="str">
        <f>$E$9</f>
        <v>Hay</v>
      </c>
      <c r="H49" s="15" t="str">
        <f>$A$32</f>
        <v>Other</v>
      </c>
      <c r="I49" s="18"/>
      <c r="J49" s="18"/>
      <c r="K49" s="17"/>
      <c r="L49" s="17"/>
    </row>
    <row r="50" spans="1:12" x14ac:dyDescent="0.25">
      <c r="A50" s="15" t="s">
        <v>122</v>
      </c>
      <c r="B50" s="41">
        <v>9248</v>
      </c>
      <c r="C50" s="41">
        <v>0</v>
      </c>
      <c r="D50" s="41">
        <v>0</v>
      </c>
      <c r="E50" s="41">
        <v>88</v>
      </c>
      <c r="F50" s="41">
        <v>88</v>
      </c>
      <c r="G50" s="41">
        <v>0</v>
      </c>
      <c r="H50" s="41">
        <v>0</v>
      </c>
      <c r="I50" s="41"/>
      <c r="J50" s="41"/>
      <c r="K50" s="17"/>
      <c r="L50" s="17"/>
    </row>
    <row r="51" spans="1:12" x14ac:dyDescent="0.25">
      <c r="A51" s="30" t="s">
        <v>123</v>
      </c>
      <c r="B51" s="41">
        <v>0</v>
      </c>
      <c r="C51" s="41">
        <v>0</v>
      </c>
      <c r="D51" s="41">
        <v>1366</v>
      </c>
      <c r="E51" s="41">
        <v>1000</v>
      </c>
      <c r="F51" s="41">
        <v>2450</v>
      </c>
      <c r="G51" s="41">
        <v>0</v>
      </c>
      <c r="H51" s="41">
        <v>0</v>
      </c>
      <c r="I51" s="41"/>
      <c r="J51" s="41"/>
      <c r="K51" s="17"/>
      <c r="L51" s="17"/>
    </row>
    <row r="52" spans="1:12" x14ac:dyDescent="0.25">
      <c r="A52" s="15" t="s">
        <v>124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/>
      <c r="J52" s="41"/>
      <c r="K52" s="17"/>
      <c r="L52" s="17"/>
    </row>
    <row r="53" spans="1:12" ht="13" thickBot="1" x14ac:dyDescent="0.3">
      <c r="A53" s="64" t="s">
        <v>87</v>
      </c>
      <c r="B53" s="76">
        <v>0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41"/>
      <c r="J53" s="41"/>
      <c r="K53" s="17"/>
      <c r="L53" s="17"/>
    </row>
    <row r="54" spans="1:12" ht="13.5" thickTop="1" thickBot="1" x14ac:dyDescent="0.3">
      <c r="A54" s="64" t="s">
        <v>125</v>
      </c>
      <c r="B54" s="65">
        <f t="shared" ref="B54:H54" si="1">SUM(B50:B53)</f>
        <v>9248</v>
      </c>
      <c r="C54" s="65">
        <f t="shared" si="1"/>
        <v>0</v>
      </c>
      <c r="D54" s="65">
        <f t="shared" si="1"/>
        <v>1366</v>
      </c>
      <c r="E54" s="65">
        <f t="shared" si="1"/>
        <v>1088</v>
      </c>
      <c r="F54" s="65">
        <f t="shared" si="1"/>
        <v>2538</v>
      </c>
      <c r="G54" s="65">
        <f t="shared" si="1"/>
        <v>0</v>
      </c>
      <c r="H54" s="65">
        <f t="shared" si="1"/>
        <v>0</v>
      </c>
      <c r="I54" s="20"/>
      <c r="J54" s="20"/>
      <c r="K54" s="17"/>
      <c r="L54" s="17"/>
    </row>
    <row r="55" spans="1:12" ht="13" thickTop="1" x14ac:dyDescent="0.25">
      <c r="A55" s="17"/>
      <c r="B55" s="17"/>
      <c r="G55" s="17"/>
      <c r="H55" s="17"/>
      <c r="I55" s="17"/>
      <c r="J55" s="17"/>
      <c r="K55" s="17"/>
    </row>
    <row r="56" spans="1:12" x14ac:dyDescent="0.25">
      <c r="B56" s="17"/>
      <c r="C56" s="17"/>
      <c r="D56" s="15" t="str">
        <f>$E$6</f>
        <v>Corn</v>
      </c>
      <c r="E56" s="15" t="str">
        <f>$E$7</f>
        <v>Corn Silage</v>
      </c>
      <c r="F56" s="15" t="str">
        <f>$E$8</f>
        <v>Haylage</v>
      </c>
      <c r="G56" s="15" t="str">
        <f>$E$9</f>
        <v>Hay</v>
      </c>
      <c r="H56" s="15" t="str">
        <f>$A$32</f>
        <v>Other</v>
      </c>
      <c r="I56" s="17"/>
      <c r="J56" s="17"/>
      <c r="K56" s="17"/>
      <c r="L56" s="17"/>
    </row>
    <row r="57" spans="1:12" x14ac:dyDescent="0.25">
      <c r="B57" s="17"/>
      <c r="C57" s="17"/>
      <c r="D57" s="15" t="str">
        <f>B28</f>
        <v>Bushels</v>
      </c>
      <c r="E57" s="15" t="str">
        <f>B29</f>
        <v>Tons</v>
      </c>
      <c r="F57" s="15" t="str">
        <f>B30</f>
        <v>Tons</v>
      </c>
      <c r="G57" s="15" t="str">
        <f>B31</f>
        <v>Tons</v>
      </c>
      <c r="H57" s="15" t="str">
        <f>B32</f>
        <v>Tons</v>
      </c>
      <c r="I57" s="15"/>
      <c r="J57" s="15"/>
      <c r="K57" s="17"/>
      <c r="L57" s="17"/>
    </row>
    <row r="58" spans="1:12" x14ac:dyDescent="0.25">
      <c r="B58" s="15" t="s">
        <v>126</v>
      </c>
      <c r="C58" s="15" t="s">
        <v>127</v>
      </c>
      <c r="D58" s="44">
        <v>0</v>
      </c>
      <c r="E58" s="44">
        <v>0</v>
      </c>
      <c r="F58" s="44">
        <v>0</v>
      </c>
      <c r="G58" s="44">
        <v>0</v>
      </c>
      <c r="H58" s="44">
        <v>100</v>
      </c>
      <c r="I58" s="44"/>
      <c r="J58" s="44"/>
      <c r="K58" s="17"/>
      <c r="L58" s="17"/>
    </row>
    <row r="59" spans="1:12" ht="13" thickBot="1" x14ac:dyDescent="0.3">
      <c r="A59" s="68"/>
      <c r="B59" s="69" t="s">
        <v>128</v>
      </c>
      <c r="C59" s="64" t="s">
        <v>127</v>
      </c>
      <c r="D59" s="66">
        <v>-1200</v>
      </c>
      <c r="E59" s="66">
        <v>1447</v>
      </c>
      <c r="F59" s="66">
        <v>510</v>
      </c>
      <c r="G59" s="66">
        <v>42</v>
      </c>
      <c r="H59" s="66">
        <v>0</v>
      </c>
      <c r="I59" s="44"/>
      <c r="J59" s="44"/>
      <c r="K59" s="17"/>
      <c r="L59" s="17"/>
    </row>
    <row r="60" spans="1:12" ht="13.5" thickTop="1" thickBot="1" x14ac:dyDescent="0.3">
      <c r="A60" s="68"/>
      <c r="B60" s="70" t="s">
        <v>129</v>
      </c>
      <c r="C60" s="64" t="s">
        <v>127</v>
      </c>
      <c r="D60" s="66">
        <v>0</v>
      </c>
      <c r="E60" s="77">
        <v>0</v>
      </c>
      <c r="F60" s="66">
        <v>0</v>
      </c>
      <c r="G60" s="66">
        <v>0</v>
      </c>
      <c r="H60" s="66">
        <v>0</v>
      </c>
      <c r="I60" s="17"/>
      <c r="J60" s="17"/>
      <c r="K60" s="17"/>
      <c r="L60" s="17"/>
    </row>
    <row r="61" spans="1:12" ht="13.5" thickTop="1" thickBot="1" x14ac:dyDescent="0.3">
      <c r="B61" s="17"/>
      <c r="C61" s="17"/>
      <c r="D61" s="62" t="s">
        <v>130</v>
      </c>
      <c r="E61" s="76">
        <f>54*-150</f>
        <v>-8100</v>
      </c>
      <c r="F61" s="17"/>
      <c r="G61" s="17"/>
      <c r="H61" s="17"/>
      <c r="I61" s="17"/>
      <c r="J61" s="17"/>
      <c r="K61" s="17"/>
      <c r="L61" s="17"/>
    </row>
    <row r="62" spans="1:12" ht="13" thickTop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spans="1:12" x14ac:dyDescent="0.25">
      <c r="A63" s="13" t="s">
        <v>131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spans="1:12" x14ac:dyDescent="0.25">
      <c r="A64" s="17"/>
      <c r="B64" s="17"/>
      <c r="C64" s="17"/>
      <c r="D64" s="17"/>
      <c r="E64" s="15" t="s">
        <v>132</v>
      </c>
      <c r="F64" s="15" t="s">
        <v>133</v>
      </c>
      <c r="G64" s="17"/>
      <c r="H64" s="17"/>
      <c r="I64" s="17"/>
      <c r="J64" s="17"/>
      <c r="K64" s="17"/>
    </row>
    <row r="65" spans="1:11" x14ac:dyDescent="0.25">
      <c r="A65" s="15" t="s">
        <v>132</v>
      </c>
      <c r="B65" s="15" t="s">
        <v>133</v>
      </c>
      <c r="C65" s="17"/>
      <c r="D65" s="17"/>
      <c r="E65" s="15" t="s">
        <v>40</v>
      </c>
      <c r="F65" s="41">
        <v>600</v>
      </c>
      <c r="G65" s="17"/>
      <c r="H65" s="17"/>
      <c r="I65" s="17"/>
      <c r="J65" s="17"/>
      <c r="K65" s="17"/>
    </row>
    <row r="66" spans="1:11" x14ac:dyDescent="0.25">
      <c r="A66" s="15" t="s">
        <v>8</v>
      </c>
      <c r="B66" s="41">
        <v>13864</v>
      </c>
      <c r="C66" s="17"/>
      <c r="D66" s="17"/>
      <c r="E66" s="15" t="s">
        <v>42</v>
      </c>
      <c r="F66" s="41">
        <v>13878</v>
      </c>
      <c r="G66" s="17"/>
      <c r="H66" s="17"/>
      <c r="I66" s="60"/>
      <c r="J66" s="60"/>
      <c r="K66" s="60"/>
    </row>
    <row r="67" spans="1:11" x14ac:dyDescent="0.25">
      <c r="A67" s="30" t="s">
        <v>11</v>
      </c>
      <c r="B67" s="41">
        <v>1674</v>
      </c>
      <c r="C67" s="17"/>
      <c r="D67" s="17"/>
      <c r="E67" s="15" t="s">
        <v>32</v>
      </c>
      <c r="F67" s="41">
        <v>36629</v>
      </c>
      <c r="G67" s="17"/>
      <c r="H67" s="17"/>
      <c r="I67" s="60"/>
      <c r="J67" s="60"/>
      <c r="K67" s="60"/>
    </row>
    <row r="68" spans="1:11" x14ac:dyDescent="0.25">
      <c r="A68" s="15" t="s">
        <v>12</v>
      </c>
      <c r="B68" s="41">
        <v>6430</v>
      </c>
      <c r="C68" s="17"/>
      <c r="D68" s="17"/>
      <c r="E68" s="15" t="s">
        <v>46</v>
      </c>
      <c r="F68" s="41">
        <v>6968</v>
      </c>
      <c r="G68" s="17"/>
      <c r="H68" s="17"/>
      <c r="I68" s="17"/>
      <c r="J68" s="17"/>
      <c r="K68" s="17"/>
    </row>
    <row r="69" spans="1:11" x14ac:dyDescent="0.25">
      <c r="A69" s="31" t="s">
        <v>14</v>
      </c>
      <c r="B69" s="41">
        <v>0</v>
      </c>
      <c r="C69" s="17"/>
      <c r="D69" s="17"/>
      <c r="E69" s="15" t="s">
        <v>134</v>
      </c>
      <c r="F69" s="41">
        <v>0</v>
      </c>
      <c r="G69" s="17"/>
      <c r="H69" s="17"/>
      <c r="I69" s="61"/>
      <c r="J69" s="61"/>
      <c r="K69" s="61"/>
    </row>
    <row r="70" spans="1:11" x14ac:dyDescent="0.25">
      <c r="A70" s="15" t="s">
        <v>15</v>
      </c>
      <c r="B70" s="41">
        <v>26543</v>
      </c>
      <c r="C70" s="17"/>
      <c r="D70" s="17"/>
      <c r="E70" s="15" t="s">
        <v>39</v>
      </c>
      <c r="F70" s="41">
        <v>27112</v>
      </c>
      <c r="G70" s="17"/>
      <c r="H70" s="17"/>
      <c r="I70" s="17"/>
      <c r="J70" s="17"/>
      <c r="K70" s="17"/>
    </row>
    <row r="71" spans="1:11" x14ac:dyDescent="0.25">
      <c r="A71" s="15" t="s">
        <v>18</v>
      </c>
      <c r="B71" s="41">
        <v>62151</v>
      </c>
      <c r="C71" s="17"/>
      <c r="D71" s="17"/>
      <c r="E71" s="15" t="s">
        <v>52</v>
      </c>
      <c r="F71" s="41">
        <v>5400</v>
      </c>
      <c r="G71" s="17"/>
      <c r="H71" s="17"/>
      <c r="I71" s="17"/>
      <c r="J71" s="17"/>
      <c r="K71" s="17"/>
    </row>
    <row r="72" spans="1:11" x14ac:dyDescent="0.25">
      <c r="A72" s="15" t="s">
        <v>135</v>
      </c>
      <c r="B72" s="41">
        <v>32258</v>
      </c>
      <c r="C72" s="17"/>
      <c r="D72" s="17"/>
      <c r="E72" s="15" t="s">
        <v>53</v>
      </c>
      <c r="F72" s="41">
        <v>12344</v>
      </c>
      <c r="G72" s="17"/>
      <c r="H72" s="17"/>
      <c r="I72" s="17"/>
      <c r="J72" s="17"/>
      <c r="K72" s="17"/>
    </row>
    <row r="73" spans="1:11" x14ac:dyDescent="0.25">
      <c r="A73" s="15" t="s">
        <v>22</v>
      </c>
      <c r="B73" s="41">
        <v>345561</v>
      </c>
      <c r="C73" s="17"/>
      <c r="D73" s="17"/>
      <c r="E73" s="15" t="s">
        <v>55</v>
      </c>
      <c r="F73" s="41">
        <v>25430</v>
      </c>
      <c r="G73" s="17"/>
      <c r="H73" s="17"/>
      <c r="I73" s="17"/>
      <c r="J73" s="17"/>
      <c r="K73" s="17"/>
    </row>
    <row r="74" spans="1:11" x14ac:dyDescent="0.25">
      <c r="A74" s="15" t="s">
        <v>24</v>
      </c>
      <c r="B74" s="41">
        <v>7306</v>
      </c>
      <c r="C74" s="17"/>
      <c r="D74" s="17"/>
      <c r="E74" s="15" t="s">
        <v>136</v>
      </c>
      <c r="F74" s="41">
        <v>12445</v>
      </c>
      <c r="G74" s="17"/>
      <c r="H74" s="17"/>
      <c r="I74" s="17"/>
      <c r="J74" s="17"/>
      <c r="K74" s="17"/>
    </row>
    <row r="75" spans="1:11" x14ac:dyDescent="0.25">
      <c r="A75" s="15" t="s">
        <v>26</v>
      </c>
      <c r="B75" s="41">
        <v>1440</v>
      </c>
      <c r="C75" s="17"/>
      <c r="D75" s="17"/>
      <c r="E75" s="15" t="s">
        <v>58</v>
      </c>
      <c r="F75" s="41">
        <v>0</v>
      </c>
      <c r="G75" s="17"/>
      <c r="H75" s="17"/>
      <c r="I75" s="17"/>
      <c r="J75" s="17"/>
      <c r="K75" s="17"/>
    </row>
    <row r="76" spans="1:11" x14ac:dyDescent="0.25">
      <c r="A76" s="15" t="s">
        <v>28</v>
      </c>
      <c r="B76" s="41">
        <v>10196</v>
      </c>
      <c r="C76" s="17"/>
      <c r="D76" s="17"/>
      <c r="E76" s="15" t="s">
        <v>58</v>
      </c>
      <c r="F76" s="41">
        <v>0</v>
      </c>
      <c r="G76" s="17"/>
      <c r="H76" s="17"/>
      <c r="I76" s="17"/>
      <c r="J76" s="17"/>
      <c r="K76" s="17"/>
    </row>
    <row r="77" spans="1:11" x14ac:dyDescent="0.25">
      <c r="A77" s="15" t="s">
        <v>29</v>
      </c>
      <c r="B77" s="41">
        <v>8952</v>
      </c>
      <c r="C77" s="17"/>
      <c r="D77" s="17"/>
      <c r="E77" s="15" t="s">
        <v>58</v>
      </c>
      <c r="F77" s="41">
        <v>0</v>
      </c>
      <c r="G77" s="17"/>
      <c r="H77" s="17"/>
      <c r="I77" s="17"/>
      <c r="J77" s="17"/>
      <c r="K77" s="17"/>
    </row>
    <row r="78" spans="1:11" x14ac:dyDescent="0.25">
      <c r="A78" s="15" t="s">
        <v>31</v>
      </c>
      <c r="B78" s="41">
        <v>32640</v>
      </c>
      <c r="C78" s="17"/>
      <c r="D78" s="17"/>
      <c r="E78" s="15" t="s">
        <v>102</v>
      </c>
      <c r="F78" s="41">
        <f>SUM(F65:F77)+SUM(B66:B81)</f>
        <v>962303</v>
      </c>
      <c r="G78" s="17"/>
      <c r="H78" s="17"/>
      <c r="I78" s="17"/>
      <c r="J78" s="17"/>
      <c r="K78" s="17"/>
    </row>
    <row r="79" spans="1:11" x14ac:dyDescent="0.25">
      <c r="A79" s="15" t="s">
        <v>33</v>
      </c>
      <c r="B79" s="41">
        <v>33047</v>
      </c>
      <c r="D79" s="13" t="s">
        <v>137</v>
      </c>
      <c r="E79" s="17"/>
      <c r="F79" s="17"/>
      <c r="G79" s="17"/>
      <c r="H79" s="17"/>
      <c r="I79" s="17"/>
      <c r="J79" s="17"/>
      <c r="K79" s="17"/>
    </row>
    <row r="80" spans="1:11" x14ac:dyDescent="0.25">
      <c r="A80" s="15" t="s">
        <v>35</v>
      </c>
      <c r="B80" s="41">
        <v>233435</v>
      </c>
      <c r="C80" s="17"/>
      <c r="D80" s="17"/>
      <c r="E80" s="15" t="s">
        <v>138</v>
      </c>
      <c r="F80" s="41">
        <v>-15308</v>
      </c>
      <c r="G80" s="17"/>
      <c r="H80" s="17"/>
      <c r="I80" s="17"/>
      <c r="J80" s="17"/>
      <c r="K80" s="17"/>
    </row>
    <row r="81" spans="1:11" x14ac:dyDescent="0.25">
      <c r="A81" s="31" t="s">
        <v>38</v>
      </c>
      <c r="B81" s="41">
        <v>6000</v>
      </c>
      <c r="C81" s="17"/>
      <c r="D81" s="17"/>
      <c r="E81" s="15" t="s">
        <v>139</v>
      </c>
      <c r="F81" s="41">
        <v>6800</v>
      </c>
      <c r="G81" s="17"/>
      <c r="H81" s="17"/>
      <c r="I81" s="17"/>
      <c r="J81" s="17"/>
      <c r="K81" s="17"/>
    </row>
    <row r="82" spans="1:1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</row>
    <row r="83" spans="1:1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1" x14ac:dyDescent="0.25">
      <c r="J84" s="17"/>
      <c r="K84" s="17"/>
    </row>
    <row r="85" spans="1:11" x14ac:dyDescent="0.25">
      <c r="J85" s="17"/>
      <c r="K85" s="17"/>
    </row>
    <row r="86" spans="1:11" x14ac:dyDescent="0.25">
      <c r="J86" s="17"/>
      <c r="K86" s="17"/>
    </row>
    <row r="87" spans="1:11" x14ac:dyDescent="0.25">
      <c r="J87" s="17"/>
      <c r="K87" s="17"/>
    </row>
    <row r="88" spans="1:11" x14ac:dyDescent="0.25">
      <c r="J88" s="17"/>
      <c r="K88" s="17"/>
    </row>
    <row r="89" spans="1:11" x14ac:dyDescent="0.25">
      <c r="J89" s="17"/>
      <c r="K89" s="17"/>
    </row>
    <row r="90" spans="1:11" x14ac:dyDescent="0.25">
      <c r="J90" s="17"/>
      <c r="K90" s="17"/>
    </row>
    <row r="91" spans="1:11" x14ac:dyDescent="0.25">
      <c r="J91" s="17"/>
      <c r="K91" s="17"/>
    </row>
    <row r="92" spans="1:11" x14ac:dyDescent="0.25">
      <c r="J92" s="17"/>
      <c r="K92" s="17"/>
    </row>
    <row r="93" spans="1:11" x14ac:dyDescent="0.25">
      <c r="J93" s="17"/>
      <c r="K93" s="17"/>
    </row>
    <row r="94" spans="1:11" x14ac:dyDescent="0.25">
      <c r="J94" s="17"/>
      <c r="K94" s="17"/>
    </row>
    <row r="95" spans="1:11" x14ac:dyDescent="0.25">
      <c r="J95" s="17"/>
      <c r="K95" s="17"/>
    </row>
    <row r="96" spans="1:11" x14ac:dyDescent="0.25">
      <c r="J96" s="17"/>
      <c r="K96" s="17"/>
    </row>
    <row r="97" spans="10:11" x14ac:dyDescent="0.25">
      <c r="J97" s="17"/>
      <c r="K97" s="17"/>
    </row>
    <row r="98" spans="10:11" x14ac:dyDescent="0.25">
      <c r="J98" s="17"/>
      <c r="K98" s="17"/>
    </row>
    <row r="99" spans="10:11" x14ac:dyDescent="0.25">
      <c r="J99" s="17"/>
      <c r="K99" s="17"/>
    </row>
    <row r="100" spans="10:11" x14ac:dyDescent="0.25">
      <c r="J100" s="17"/>
      <c r="K100" s="17"/>
    </row>
    <row r="101" spans="10:11" x14ac:dyDescent="0.25">
      <c r="J101" s="17"/>
      <c r="K101" s="17"/>
    </row>
    <row r="102" spans="10:11" x14ac:dyDescent="0.25">
      <c r="J102" s="17"/>
      <c r="K102" s="17"/>
    </row>
    <row r="103" spans="10:11" x14ac:dyDescent="0.25">
      <c r="J103" s="17"/>
      <c r="K103" s="17"/>
    </row>
    <row r="104" spans="10:11" x14ac:dyDescent="0.25">
      <c r="J104" s="17"/>
      <c r="K104" s="17"/>
    </row>
    <row r="105" spans="10:11" x14ac:dyDescent="0.25">
      <c r="J105" s="17"/>
      <c r="K105" s="17"/>
    </row>
    <row r="106" spans="10:11" x14ac:dyDescent="0.25">
      <c r="J106" s="17"/>
      <c r="K106" s="17"/>
    </row>
    <row r="107" spans="10:11" x14ac:dyDescent="0.25">
      <c r="J107" s="17"/>
      <c r="K107" s="17"/>
    </row>
    <row r="108" spans="10:11" x14ac:dyDescent="0.25">
      <c r="J108" s="17"/>
      <c r="K108" s="17"/>
    </row>
    <row r="109" spans="10:11" x14ac:dyDescent="0.25">
      <c r="J109" s="17"/>
      <c r="K109" s="17"/>
    </row>
    <row r="110" spans="10:11" x14ac:dyDescent="0.25">
      <c r="J110" s="17"/>
      <c r="K110" s="17"/>
    </row>
    <row r="111" spans="10:11" x14ac:dyDescent="0.25">
      <c r="J111" s="17"/>
      <c r="K111" s="17"/>
    </row>
    <row r="112" spans="10:11" x14ac:dyDescent="0.25">
      <c r="J112" s="17"/>
      <c r="K112" s="17"/>
    </row>
    <row r="113" spans="10:11" x14ac:dyDescent="0.25">
      <c r="J113" s="17"/>
      <c r="K113" s="17"/>
    </row>
    <row r="114" spans="10:11" x14ac:dyDescent="0.25">
      <c r="J114" s="17"/>
      <c r="K114" s="17"/>
    </row>
    <row r="115" spans="10:11" x14ac:dyDescent="0.25">
      <c r="J115" s="17"/>
      <c r="K115" s="17"/>
    </row>
    <row r="116" spans="10:11" x14ac:dyDescent="0.25">
      <c r="J116" s="17"/>
      <c r="K116" s="17"/>
    </row>
    <row r="117" spans="10:11" x14ac:dyDescent="0.25">
      <c r="J117" s="17"/>
      <c r="K117" s="17"/>
    </row>
    <row r="118" spans="10:11" x14ac:dyDescent="0.25">
      <c r="J118" s="17"/>
      <c r="K118" s="17"/>
    </row>
    <row r="119" spans="10:11" x14ac:dyDescent="0.25">
      <c r="J119" s="17"/>
      <c r="K119" s="17"/>
    </row>
    <row r="120" spans="10:11" x14ac:dyDescent="0.25">
      <c r="J120" s="17"/>
      <c r="K120" s="17"/>
    </row>
    <row r="121" spans="10:11" x14ac:dyDescent="0.25">
      <c r="J121" s="17"/>
      <c r="K121" s="17"/>
    </row>
    <row r="122" spans="10:11" x14ac:dyDescent="0.25">
      <c r="J122" s="17"/>
      <c r="K122" s="17"/>
    </row>
    <row r="123" spans="10:11" x14ac:dyDescent="0.25">
      <c r="J123" s="17"/>
      <c r="K123" s="17"/>
    </row>
    <row r="124" spans="10:11" x14ac:dyDescent="0.25">
      <c r="J124" s="17"/>
      <c r="K124" s="17"/>
    </row>
    <row r="125" spans="10:11" x14ac:dyDescent="0.25">
      <c r="J125" s="17"/>
      <c r="K125" s="17"/>
    </row>
    <row r="126" spans="10:11" x14ac:dyDescent="0.25">
      <c r="J126" s="17"/>
      <c r="K126" s="17"/>
    </row>
    <row r="127" spans="10:11" x14ac:dyDescent="0.25">
      <c r="J127" s="17"/>
      <c r="K127" s="17"/>
    </row>
    <row r="128" spans="10:11" x14ac:dyDescent="0.25">
      <c r="J128" s="17"/>
      <c r="K128" s="17"/>
    </row>
    <row r="129" spans="1:11" x14ac:dyDescent="0.25">
      <c r="J129" s="17"/>
      <c r="K129" s="17"/>
    </row>
    <row r="130" spans="1:11" x14ac:dyDescent="0.25">
      <c r="J130" s="17"/>
      <c r="K130" s="17"/>
    </row>
    <row r="131" spans="1:11" x14ac:dyDescent="0.25">
      <c r="J131" s="17"/>
      <c r="K131" s="17"/>
    </row>
    <row r="132" spans="1:11" x14ac:dyDescent="0.25">
      <c r="J132" s="17"/>
      <c r="K132" s="17"/>
    </row>
    <row r="133" spans="1:11" x14ac:dyDescent="0.25">
      <c r="J133" s="17"/>
      <c r="K133" s="17"/>
    </row>
    <row r="134" spans="1:11" x14ac:dyDescent="0.25">
      <c r="J134" s="17"/>
      <c r="K134" s="17"/>
    </row>
    <row r="135" spans="1:11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</row>
    <row r="136" spans="1:11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</row>
    <row r="137" spans="1:11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</row>
    <row r="138" spans="1:11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</row>
    <row r="139" spans="1:11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</row>
    <row r="140" spans="1:11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</row>
    <row r="141" spans="1:11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</row>
    <row r="142" spans="1:11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</row>
  </sheetData>
  <sheetProtection sheet="1" objects="1" scenarios="1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Line="0" autoPict="0" macro="[0]!printip">
                <anchor moveWithCells="1" sizeWithCells="1">
                  <from>
                    <xdr:col>4</xdr:col>
                    <xdr:colOff>203200</xdr:colOff>
                    <xdr:row>10</xdr:row>
                    <xdr:rowOff>63500</xdr:rowOff>
                  </from>
                  <to>
                    <xdr:col>5</xdr:col>
                    <xdr:colOff>444500</xdr:colOff>
                    <xdr:row>13</xdr:row>
                    <xdr:rowOff>44450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1"/>
  <sheetViews>
    <sheetView workbookViewId="0"/>
  </sheetViews>
  <sheetFormatPr defaultRowHeight="12.5" x14ac:dyDescent="0.25"/>
  <cols>
    <col min="1" max="1" width="21.75" style="33" customWidth="1"/>
  </cols>
  <sheetData>
    <row r="1" spans="1:9" x14ac:dyDescent="0.25">
      <c r="A1" s="13" t="s">
        <v>140</v>
      </c>
      <c r="B1" s="17"/>
      <c r="C1" s="17"/>
      <c r="D1" s="17"/>
      <c r="E1" s="13" t="s">
        <v>141</v>
      </c>
      <c r="F1" s="17"/>
      <c r="G1" s="17"/>
      <c r="H1" s="17"/>
      <c r="I1" s="17"/>
    </row>
    <row r="2" spans="1:9" x14ac:dyDescent="0.25">
      <c r="A2" s="15" t="s">
        <v>4</v>
      </c>
      <c r="B2" s="31" t="s">
        <v>142</v>
      </c>
      <c r="C2" s="15" t="str">
        <f>Inputs!$E$4</f>
        <v>Milk</v>
      </c>
      <c r="D2" s="15" t="s">
        <v>25</v>
      </c>
      <c r="E2" s="15" t="str">
        <f>Inputs!$E$6</f>
        <v>Corn</v>
      </c>
      <c r="F2" s="15" t="str">
        <f>Inputs!$E$7</f>
        <v>Corn Silage</v>
      </c>
      <c r="G2" s="15" t="str">
        <f>Inputs!$E$8</f>
        <v>Haylage</v>
      </c>
      <c r="H2" s="15" t="str">
        <f>Inputs!$E$9</f>
        <v>Hay</v>
      </c>
      <c r="I2" s="15" t="str">
        <f>Inputs!$E$10</f>
        <v>Other</v>
      </c>
    </row>
    <row r="3" spans="1:9" x14ac:dyDescent="0.25">
      <c r="A3" s="15" t="s">
        <v>8</v>
      </c>
      <c r="B3" s="53">
        <f>1-C3-D3-E3-F3-G3-H3-I3</f>
        <v>0</v>
      </c>
      <c r="C3" s="43">
        <v>0.75</v>
      </c>
      <c r="D3" s="43">
        <v>0.25</v>
      </c>
      <c r="E3" s="43">
        <v>0</v>
      </c>
      <c r="F3" s="43">
        <v>0</v>
      </c>
      <c r="G3" s="43">
        <v>0</v>
      </c>
      <c r="H3" s="43">
        <v>0</v>
      </c>
      <c r="I3" s="43">
        <v>0</v>
      </c>
    </row>
    <row r="4" spans="1:9" x14ac:dyDescent="0.25">
      <c r="A4" s="15" t="s">
        <v>11</v>
      </c>
      <c r="B4" s="53">
        <f>1-C4-D4-E4-F4-G4-H4-I4</f>
        <v>1.0061396160665481E-16</v>
      </c>
      <c r="C4" s="43">
        <v>0.2</v>
      </c>
      <c r="D4" s="43">
        <v>0.1</v>
      </c>
      <c r="E4" s="43">
        <v>0.35</v>
      </c>
      <c r="F4" s="43">
        <v>0.15</v>
      </c>
      <c r="G4" s="43">
        <v>0.18</v>
      </c>
      <c r="H4" s="43">
        <v>0.02</v>
      </c>
      <c r="I4" s="43">
        <v>0</v>
      </c>
    </row>
    <row r="5" spans="1:9" x14ac:dyDescent="0.25">
      <c r="A5" s="15" t="s">
        <v>12</v>
      </c>
      <c r="B5" s="53">
        <f>1-C5-D5-E5-F5-G5-H5-I5</f>
        <v>5.5511151231257827E-17</v>
      </c>
      <c r="C5" s="43">
        <v>0</v>
      </c>
      <c r="D5" s="43">
        <v>0</v>
      </c>
      <c r="E5" s="43">
        <v>0.7</v>
      </c>
      <c r="F5" s="43">
        <v>0.3</v>
      </c>
      <c r="G5" s="43">
        <v>0</v>
      </c>
      <c r="H5" s="43">
        <v>0</v>
      </c>
      <c r="I5" s="43">
        <v>0</v>
      </c>
    </row>
    <row r="6" spans="1:9" x14ac:dyDescent="0.25">
      <c r="A6" s="15" t="s">
        <v>14</v>
      </c>
      <c r="B6" s="53">
        <f>1-C6-D6-E6-F6-G6-H6-I6</f>
        <v>-5.5511151231257827E-17</v>
      </c>
      <c r="C6" s="43">
        <v>0</v>
      </c>
      <c r="D6" s="43">
        <v>0</v>
      </c>
      <c r="E6" s="43">
        <v>0.3</v>
      </c>
      <c r="F6" s="43">
        <v>0.3</v>
      </c>
      <c r="G6" s="43">
        <v>0.4</v>
      </c>
      <c r="H6" s="43">
        <v>0</v>
      </c>
      <c r="I6" s="43">
        <v>0</v>
      </c>
    </row>
    <row r="7" spans="1:9" x14ac:dyDescent="0.25">
      <c r="A7" s="15" t="s">
        <v>15</v>
      </c>
      <c r="B7" s="53">
        <f>1-C7-D7-E7-F7-G7-H7-I7</f>
        <v>0</v>
      </c>
      <c r="C7" s="43">
        <v>0</v>
      </c>
      <c r="D7" s="43">
        <v>0</v>
      </c>
      <c r="E7" s="43">
        <v>1</v>
      </c>
      <c r="F7" s="43">
        <v>0</v>
      </c>
      <c r="G7" s="43">
        <v>0</v>
      </c>
      <c r="H7" s="43">
        <v>0</v>
      </c>
      <c r="I7" s="43">
        <v>0</v>
      </c>
    </row>
    <row r="8" spans="1:9" x14ac:dyDescent="0.25">
      <c r="A8" s="52"/>
      <c r="B8" s="17"/>
      <c r="C8" s="17"/>
      <c r="D8" s="17"/>
      <c r="E8" s="17"/>
      <c r="F8" s="17"/>
      <c r="G8" s="17"/>
      <c r="H8" s="17"/>
      <c r="I8" s="17"/>
    </row>
    <row r="9" spans="1:9" x14ac:dyDescent="0.25">
      <c r="A9" s="15" t="s">
        <v>18</v>
      </c>
      <c r="B9" s="53">
        <f>1-C9-D9-E9-F9-G9-H9-I9</f>
        <v>2.0816681711721685E-17</v>
      </c>
      <c r="C9" s="43">
        <v>0.4</v>
      </c>
      <c r="D9" s="43">
        <v>0.1</v>
      </c>
      <c r="E9" s="43">
        <v>0.1</v>
      </c>
      <c r="F9" s="43">
        <v>0.125</v>
      </c>
      <c r="G9" s="43">
        <v>0.25</v>
      </c>
      <c r="H9" s="43">
        <v>2.5000000000000001E-2</v>
      </c>
      <c r="I9" s="43">
        <v>0</v>
      </c>
    </row>
    <row r="10" spans="1:9" x14ac:dyDescent="0.25">
      <c r="A10" s="15" t="s">
        <v>21</v>
      </c>
      <c r="B10" s="53">
        <f>1-C10-D10-E10-F10-G10-H10-I10</f>
        <v>1.7347234759768071E-17</v>
      </c>
      <c r="C10" s="43">
        <v>0.65</v>
      </c>
      <c r="D10" s="43">
        <v>0.05</v>
      </c>
      <c r="E10" s="43">
        <v>0.04</v>
      </c>
      <c r="F10" s="43">
        <v>0.06</v>
      </c>
      <c r="G10" s="43">
        <v>0.18</v>
      </c>
      <c r="H10" s="43">
        <v>0.02</v>
      </c>
      <c r="I10" s="43">
        <v>0</v>
      </c>
    </row>
    <row r="11" spans="1:9" x14ac:dyDescent="0.25">
      <c r="A11" s="15" t="s">
        <v>22</v>
      </c>
      <c r="B11" s="53">
        <f>1-C11-D11-E11-F11-G11-H11-I11</f>
        <v>4.163336342344337E-17</v>
      </c>
      <c r="C11" s="43">
        <v>0.95</v>
      </c>
      <c r="D11" s="43">
        <v>0.05</v>
      </c>
      <c r="E11" s="43">
        <v>0</v>
      </c>
      <c r="F11" s="43">
        <v>0</v>
      </c>
      <c r="G11" s="43">
        <v>0</v>
      </c>
      <c r="H11" s="43">
        <v>0</v>
      </c>
      <c r="I11" s="43">
        <v>0</v>
      </c>
    </row>
    <row r="12" spans="1:9" x14ac:dyDescent="0.25">
      <c r="A12" s="15" t="s">
        <v>24</v>
      </c>
      <c r="B12" s="53">
        <f>1-C12-D12-E12-F12-G12-H12-I12</f>
        <v>-5.5511151231257827E-17</v>
      </c>
      <c r="C12" s="43">
        <v>0</v>
      </c>
      <c r="D12" s="43">
        <v>0</v>
      </c>
      <c r="E12" s="43">
        <v>0.4</v>
      </c>
      <c r="F12" s="43">
        <v>0.15</v>
      </c>
      <c r="G12" s="43">
        <v>0.45</v>
      </c>
      <c r="H12" s="43">
        <v>0</v>
      </c>
      <c r="I12" s="43">
        <v>0</v>
      </c>
    </row>
    <row r="13" spans="1:9" x14ac:dyDescent="0.25">
      <c r="A13" s="15" t="s">
        <v>26</v>
      </c>
      <c r="B13" s="53">
        <f>1-C13-D13-E13-F13-G13-H13-I13</f>
        <v>0</v>
      </c>
      <c r="C13" s="43">
        <v>1</v>
      </c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</row>
    <row r="14" spans="1:9" x14ac:dyDescent="0.25">
      <c r="A14" s="52"/>
      <c r="B14" s="17"/>
      <c r="C14" s="17"/>
      <c r="D14" s="17"/>
      <c r="E14" s="17"/>
      <c r="F14" s="17"/>
      <c r="G14" s="17"/>
      <c r="H14" s="17"/>
      <c r="I14" s="17"/>
    </row>
    <row r="15" spans="1:9" x14ac:dyDescent="0.25">
      <c r="A15" s="15" t="s">
        <v>28</v>
      </c>
      <c r="B15" s="53">
        <f>1-C15-D15-E15-F15-G15-H15-I15</f>
        <v>4.163336342344337E-17</v>
      </c>
      <c r="C15" s="43">
        <v>0.09</v>
      </c>
      <c r="D15" s="43">
        <v>0.01</v>
      </c>
      <c r="E15" s="43">
        <v>0.15</v>
      </c>
      <c r="F15" s="43">
        <v>0.2</v>
      </c>
      <c r="G15" s="43">
        <v>0.5</v>
      </c>
      <c r="H15" s="43">
        <v>0.05</v>
      </c>
      <c r="I15" s="43">
        <v>0</v>
      </c>
    </row>
    <row r="16" spans="1:9" x14ac:dyDescent="0.25">
      <c r="A16" s="15" t="s">
        <v>29</v>
      </c>
      <c r="B16" s="53">
        <f>1-C16-D16-E16-F16-G16-H16-I16</f>
        <v>4.163336342344337E-17</v>
      </c>
      <c r="C16" s="43">
        <v>0.7</v>
      </c>
      <c r="D16" s="43">
        <v>0.05</v>
      </c>
      <c r="E16" s="43">
        <v>0.14000000000000001</v>
      </c>
      <c r="F16" s="43">
        <v>0.06</v>
      </c>
      <c r="G16" s="43">
        <v>0.05</v>
      </c>
      <c r="H16" s="43">
        <v>0</v>
      </c>
      <c r="I16" s="43">
        <v>0</v>
      </c>
    </row>
    <row r="17" spans="1:9" x14ac:dyDescent="0.25">
      <c r="A17" s="15" t="s">
        <v>31</v>
      </c>
      <c r="B17" s="53">
        <f>1-C17-D17-E17-F17-G17-H17-I17</f>
        <v>-6.9388939039072284E-18</v>
      </c>
      <c r="C17" s="43">
        <v>0.45</v>
      </c>
      <c r="D17" s="43">
        <v>0.05</v>
      </c>
      <c r="E17" s="43">
        <v>0.125</v>
      </c>
      <c r="F17" s="43">
        <v>0.125</v>
      </c>
      <c r="G17" s="43">
        <v>0.22500000000000001</v>
      </c>
      <c r="H17" s="43">
        <v>2.5000000000000001E-2</v>
      </c>
      <c r="I17" s="43">
        <v>0</v>
      </c>
    </row>
    <row r="18" spans="1:9" x14ac:dyDescent="0.25">
      <c r="A18" s="15" t="s">
        <v>33</v>
      </c>
      <c r="B18" s="53">
        <f>1-C18-D18-E18-F18-G18-H18-I18</f>
        <v>-6.9388939039072284E-18</v>
      </c>
      <c r="C18" s="43">
        <v>0.45</v>
      </c>
      <c r="D18" s="43">
        <v>0.05</v>
      </c>
      <c r="E18" s="43">
        <v>0.125</v>
      </c>
      <c r="F18" s="43">
        <v>0.125</v>
      </c>
      <c r="G18" s="43">
        <v>0.22500000000000001</v>
      </c>
      <c r="H18" s="43">
        <v>2.5000000000000001E-2</v>
      </c>
      <c r="I18" s="43">
        <v>0</v>
      </c>
    </row>
    <row r="19" spans="1:9" x14ac:dyDescent="0.25">
      <c r="A19" s="15" t="s">
        <v>35</v>
      </c>
      <c r="B19" s="53">
        <f>1-C19-D19-E19-F19-G19-H19-I19</f>
        <v>1.7347234759768071E-17</v>
      </c>
      <c r="C19" s="43">
        <v>0.65</v>
      </c>
      <c r="D19" s="43">
        <v>0.05</v>
      </c>
      <c r="E19" s="43">
        <v>0.04</v>
      </c>
      <c r="F19" s="43">
        <v>0.06</v>
      </c>
      <c r="G19" s="43">
        <v>0.18</v>
      </c>
      <c r="H19" s="43">
        <v>0.02</v>
      </c>
      <c r="I19" s="43">
        <v>0</v>
      </c>
    </row>
    <row r="20" spans="1:9" x14ac:dyDescent="0.25">
      <c r="A20" s="52"/>
      <c r="B20" s="17"/>
      <c r="C20" s="17"/>
      <c r="D20" s="17"/>
      <c r="E20" s="17"/>
      <c r="F20" s="17"/>
      <c r="G20" s="17"/>
      <c r="H20" s="17"/>
      <c r="I20" s="17"/>
    </row>
    <row r="21" spans="1:9" x14ac:dyDescent="0.25">
      <c r="A21" s="15" t="s">
        <v>38</v>
      </c>
      <c r="B21" s="53">
        <f>1-C21-D21-E21-F21-G21-H21-I21</f>
        <v>8.6736173798840355E-18</v>
      </c>
      <c r="C21" s="43">
        <v>0.65</v>
      </c>
      <c r="D21" s="43">
        <v>0.05</v>
      </c>
      <c r="E21" s="43">
        <v>0.05</v>
      </c>
      <c r="F21" s="43">
        <v>0.06</v>
      </c>
      <c r="G21" s="43">
        <v>0.18</v>
      </c>
      <c r="H21" s="43">
        <v>0.01</v>
      </c>
      <c r="I21" s="43">
        <v>0</v>
      </c>
    </row>
    <row r="22" spans="1:9" x14ac:dyDescent="0.25">
      <c r="A22" s="15" t="s">
        <v>40</v>
      </c>
      <c r="B22" s="53">
        <f>1-C22-D22-E22-F22-G22-H22-I22</f>
        <v>0</v>
      </c>
      <c r="C22" s="43">
        <v>0</v>
      </c>
      <c r="D22" s="43">
        <v>0</v>
      </c>
      <c r="E22" s="43">
        <v>1</v>
      </c>
      <c r="F22" s="43">
        <v>0</v>
      </c>
      <c r="G22" s="43">
        <v>0</v>
      </c>
      <c r="H22" s="43">
        <v>0</v>
      </c>
      <c r="I22" s="43">
        <v>0</v>
      </c>
    </row>
    <row r="23" spans="1:9" x14ac:dyDescent="0.25">
      <c r="A23" s="15" t="s">
        <v>42</v>
      </c>
      <c r="B23" s="53">
        <f>1-C23-D23-E23-F23-G23-H23-I23</f>
        <v>2.7755575615628914E-17</v>
      </c>
      <c r="C23" s="43">
        <v>0.56999999999999995</v>
      </c>
      <c r="D23" s="43">
        <v>0.03</v>
      </c>
      <c r="E23" s="43">
        <v>0.25</v>
      </c>
      <c r="F23" s="43">
        <v>0.15</v>
      </c>
      <c r="G23" s="43">
        <v>0</v>
      </c>
      <c r="H23" s="43">
        <v>0</v>
      </c>
      <c r="I23" s="43">
        <v>0</v>
      </c>
    </row>
    <row r="24" spans="1:9" x14ac:dyDescent="0.25">
      <c r="A24" s="15" t="s">
        <v>44</v>
      </c>
      <c r="B24" s="53">
        <f>1-C24-D24-E24-F24-G24-H24-I24</f>
        <v>-8.3266726846886741E-17</v>
      </c>
      <c r="C24" s="43">
        <v>0.4</v>
      </c>
      <c r="D24" s="43">
        <v>0.05</v>
      </c>
      <c r="E24" s="43">
        <v>0.1</v>
      </c>
      <c r="F24" s="43">
        <v>0.15</v>
      </c>
      <c r="G24" s="43">
        <v>0.27</v>
      </c>
      <c r="H24" s="43">
        <v>0.03</v>
      </c>
      <c r="I24" s="43">
        <v>0</v>
      </c>
    </row>
    <row r="25" spans="1:9" x14ac:dyDescent="0.25">
      <c r="A25" s="15" t="s">
        <v>46</v>
      </c>
      <c r="B25" s="53">
        <f>1-C25-D25-E25-F25-G25-H25-I25</f>
        <v>-6.9388939039072284E-18</v>
      </c>
      <c r="C25" s="43">
        <v>0</v>
      </c>
      <c r="D25" s="43">
        <v>0</v>
      </c>
      <c r="E25" s="43">
        <v>0.5</v>
      </c>
      <c r="F25" s="43">
        <v>0.25</v>
      </c>
      <c r="G25" s="43">
        <v>0.22500000000000001</v>
      </c>
      <c r="H25" s="43">
        <v>2.5000000000000001E-2</v>
      </c>
      <c r="I25" s="43">
        <v>0</v>
      </c>
    </row>
    <row r="26" spans="1:9" x14ac:dyDescent="0.25">
      <c r="A26" s="52"/>
      <c r="B26" s="17"/>
      <c r="C26" s="17"/>
      <c r="D26" s="17"/>
      <c r="E26" s="17"/>
      <c r="F26" s="17"/>
      <c r="G26" s="17"/>
      <c r="H26" s="17"/>
      <c r="I26" s="17"/>
    </row>
    <row r="27" spans="1:9" x14ac:dyDescent="0.25">
      <c r="A27" s="15" t="s">
        <v>49</v>
      </c>
      <c r="B27" s="53">
        <f>1-C27-D27-E27-F27-G27-H27-I27</f>
        <v>0</v>
      </c>
      <c r="C27" s="43">
        <v>1</v>
      </c>
      <c r="D27" s="43">
        <v>0</v>
      </c>
      <c r="E27" s="43">
        <v>0</v>
      </c>
      <c r="F27" s="43">
        <v>0</v>
      </c>
      <c r="G27" s="43">
        <v>0</v>
      </c>
      <c r="H27" s="43">
        <v>0</v>
      </c>
      <c r="I27" s="43">
        <v>0</v>
      </c>
    </row>
    <row r="28" spans="1:9" x14ac:dyDescent="0.25">
      <c r="A28" s="15" t="s">
        <v>39</v>
      </c>
      <c r="B28" s="53">
        <f>1-C28-D28-E28-F28-G28-H28-I28</f>
        <v>-5.5511151231257827E-17</v>
      </c>
      <c r="C28" s="43">
        <v>0.93</v>
      </c>
      <c r="D28" s="43">
        <v>0.02</v>
      </c>
      <c r="E28" s="43">
        <v>0</v>
      </c>
      <c r="F28" s="43">
        <v>0</v>
      </c>
      <c r="G28" s="43">
        <v>0</v>
      </c>
      <c r="H28" s="43">
        <v>0.05</v>
      </c>
      <c r="I28" s="43">
        <v>0</v>
      </c>
    </row>
    <row r="29" spans="1:9" x14ac:dyDescent="0.25">
      <c r="A29" s="15" t="s">
        <v>52</v>
      </c>
      <c r="B29" s="53">
        <f>1-C29-D29-E29-F29-G29-H29-I29</f>
        <v>-7.6327832942979512E-17</v>
      </c>
      <c r="C29" s="43">
        <v>0.28999999999999998</v>
      </c>
      <c r="D29" s="43">
        <v>0.01</v>
      </c>
      <c r="E29" s="43">
        <v>0.2</v>
      </c>
      <c r="F29" s="43">
        <v>0.1</v>
      </c>
      <c r="G29" s="43">
        <v>0.36</v>
      </c>
      <c r="H29" s="43">
        <v>0.04</v>
      </c>
      <c r="I29" s="43">
        <v>0</v>
      </c>
    </row>
    <row r="30" spans="1:9" x14ac:dyDescent="0.25">
      <c r="A30" s="15" t="s">
        <v>53</v>
      </c>
      <c r="B30" s="53">
        <f>1-C30-D30-E30-F30-G30-H30-I30</f>
        <v>4.5102810375396984E-17</v>
      </c>
      <c r="C30" s="43">
        <v>0.95</v>
      </c>
      <c r="D30" s="43">
        <v>0.02</v>
      </c>
      <c r="E30" s="43">
        <v>0.01</v>
      </c>
      <c r="F30" s="43">
        <v>0.01</v>
      </c>
      <c r="G30" s="43">
        <v>0.01</v>
      </c>
      <c r="H30" s="43">
        <v>0</v>
      </c>
      <c r="I30" s="43">
        <v>0</v>
      </c>
    </row>
    <row r="31" spans="1:9" x14ac:dyDescent="0.25">
      <c r="A31" s="15" t="s">
        <v>55</v>
      </c>
      <c r="B31" s="53">
        <f>1-C31-D31-E31-F31-G31-H31-I31</f>
        <v>-2.7755575615628914E-17</v>
      </c>
      <c r="C31" s="43">
        <v>0.9</v>
      </c>
      <c r="D31" s="43">
        <v>0.1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</row>
    <row r="32" spans="1:9" x14ac:dyDescent="0.25">
      <c r="A32" s="52"/>
      <c r="B32" s="17"/>
      <c r="C32" s="17"/>
      <c r="D32" s="17"/>
      <c r="E32" s="17"/>
      <c r="F32" s="17"/>
      <c r="G32" s="17"/>
      <c r="H32" s="17"/>
      <c r="I32" s="17"/>
    </row>
    <row r="33" spans="1:9" x14ac:dyDescent="0.25">
      <c r="A33" s="15" t="s">
        <v>143</v>
      </c>
      <c r="B33" s="53">
        <f t="shared" ref="B33:B38" si="0">1-C33-D33-E33-F33-G33-H33-I33</f>
        <v>0</v>
      </c>
      <c r="C33" s="43">
        <v>1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</row>
    <row r="34" spans="1:9" x14ac:dyDescent="0.25">
      <c r="A34" s="15" t="s">
        <v>58</v>
      </c>
      <c r="B34" s="53">
        <f t="shared" si="0"/>
        <v>0</v>
      </c>
      <c r="C34" s="43">
        <v>1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</row>
    <row r="35" spans="1:9" x14ac:dyDescent="0.25">
      <c r="A35" s="15" t="s">
        <v>58</v>
      </c>
      <c r="B35" s="53">
        <f t="shared" si="0"/>
        <v>2.7755575615628914E-17</v>
      </c>
      <c r="C35" s="43">
        <v>0.45</v>
      </c>
      <c r="D35" s="43">
        <v>0.05</v>
      </c>
      <c r="E35" s="43">
        <v>0.1</v>
      </c>
      <c r="F35" s="43">
        <v>0.1</v>
      </c>
      <c r="G35" s="43">
        <v>0.27</v>
      </c>
      <c r="H35" s="43">
        <v>0.03</v>
      </c>
      <c r="I35" s="43">
        <v>0</v>
      </c>
    </row>
    <row r="36" spans="1:9" x14ac:dyDescent="0.25">
      <c r="A36" s="15" t="s">
        <v>58</v>
      </c>
      <c r="B36" s="53">
        <f t="shared" si="0"/>
        <v>0</v>
      </c>
      <c r="C36" s="43">
        <v>1</v>
      </c>
      <c r="D36" s="43">
        <v>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</row>
    <row r="37" spans="1:9" x14ac:dyDescent="0.25">
      <c r="A37" s="15" t="s">
        <v>144</v>
      </c>
      <c r="B37" s="53">
        <f t="shared" si="0"/>
        <v>0</v>
      </c>
      <c r="C37" s="43">
        <v>1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</row>
    <row r="38" spans="1:9" x14ac:dyDescent="0.25">
      <c r="A38" s="15" t="s">
        <v>145</v>
      </c>
      <c r="B38" s="53">
        <f t="shared" si="0"/>
        <v>0</v>
      </c>
      <c r="C38" s="43">
        <v>1</v>
      </c>
      <c r="D38" s="43">
        <v>0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</row>
    <row r="39" spans="1:9" x14ac:dyDescent="0.25">
      <c r="A39" s="52"/>
      <c r="B39" s="17"/>
      <c r="C39" s="17"/>
      <c r="D39" s="17"/>
      <c r="E39" s="17"/>
      <c r="F39" s="17"/>
      <c r="G39" s="17"/>
      <c r="H39" s="17"/>
      <c r="I39" s="17"/>
    </row>
    <row r="40" spans="1:9" x14ac:dyDescent="0.25">
      <c r="A40" s="13" t="s">
        <v>146</v>
      </c>
      <c r="B40" s="53"/>
      <c r="C40" s="43"/>
      <c r="D40" s="43"/>
      <c r="E40" s="43"/>
      <c r="F40" s="13" t="s">
        <v>141</v>
      </c>
      <c r="G40" s="17"/>
      <c r="H40" s="17"/>
      <c r="I40" s="17"/>
    </row>
    <row r="41" spans="1:9" x14ac:dyDescent="0.25">
      <c r="A41" s="15" t="s">
        <v>4</v>
      </c>
      <c r="B41" s="31" t="s">
        <v>142</v>
      </c>
      <c r="C41" s="15" t="str">
        <f>Inputs!$E$4</f>
        <v>Milk</v>
      </c>
      <c r="D41" s="15" t="str">
        <f>D2</f>
        <v>Heifers</v>
      </c>
      <c r="E41" s="15" t="str">
        <f>Inputs!$E$6</f>
        <v>Corn</v>
      </c>
      <c r="F41" s="15" t="str">
        <f>Inputs!$E$7</f>
        <v>Corn Silage</v>
      </c>
      <c r="G41" s="15" t="str">
        <f>Inputs!$E$8</f>
        <v>Haylage</v>
      </c>
      <c r="H41" s="15" t="str">
        <f>Inputs!$E$9</f>
        <v>Hay</v>
      </c>
      <c r="I41" s="15" t="str">
        <f>Inputs!$E$10</f>
        <v>Other</v>
      </c>
    </row>
    <row r="42" spans="1:9" x14ac:dyDescent="0.25">
      <c r="A42" s="15" t="s">
        <v>67</v>
      </c>
      <c r="B42" s="53">
        <f>1-C42-D42-E42-F42-G42-H42-I42</f>
        <v>-2.7755575615628914E-17</v>
      </c>
      <c r="C42" s="43">
        <v>0.9</v>
      </c>
      <c r="D42" s="43">
        <v>0.1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</row>
    <row r="43" spans="1:9" x14ac:dyDescent="0.25">
      <c r="A43" s="15" t="s">
        <v>68</v>
      </c>
      <c r="B43" s="53">
        <f>1-C43-D43-E43-F43-G43-H43-I43</f>
        <v>0</v>
      </c>
      <c r="C43" s="43">
        <v>0.75</v>
      </c>
      <c r="D43" s="43">
        <v>0.25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</row>
    <row r="44" spans="1:9" x14ac:dyDescent="0.25">
      <c r="A44" s="15" t="s">
        <v>69</v>
      </c>
      <c r="B44" s="53">
        <f>1-C44-D44-E44-F44-G44-H44-I44</f>
        <v>3.6429192995512949E-17</v>
      </c>
      <c r="C44" s="43">
        <v>0.7</v>
      </c>
      <c r="D44" s="43">
        <v>0.1</v>
      </c>
      <c r="E44" s="43">
        <v>0.04</v>
      </c>
      <c r="F44" s="43">
        <v>0.06</v>
      </c>
      <c r="G44" s="43">
        <v>0.09</v>
      </c>
      <c r="H44" s="43">
        <v>0.01</v>
      </c>
      <c r="I44" s="43">
        <v>0</v>
      </c>
    </row>
    <row r="45" spans="1:9" x14ac:dyDescent="0.25">
      <c r="A45" s="15" t="s">
        <v>71</v>
      </c>
      <c r="B45" s="53">
        <f>1-C45-D45-E45-F45-G45-H45-I45</f>
        <v>-5.5511151231257827E-17</v>
      </c>
      <c r="C45" s="43">
        <v>0</v>
      </c>
      <c r="D45" s="43">
        <v>0</v>
      </c>
      <c r="E45" s="43">
        <v>0.15</v>
      </c>
      <c r="F45" s="43">
        <v>0.25</v>
      </c>
      <c r="G45" s="43">
        <v>0.54</v>
      </c>
      <c r="H45" s="43">
        <v>0.06</v>
      </c>
      <c r="I45" s="43">
        <v>0</v>
      </c>
    </row>
    <row r="46" spans="1:9" x14ac:dyDescent="0.25">
      <c r="A46" s="15" t="s">
        <v>73</v>
      </c>
      <c r="B46" s="53">
        <f>1-C46-D46-E46-F46-G46-H46-I46</f>
        <v>-1.3877787807814457E-17</v>
      </c>
      <c r="C46" s="43">
        <v>0.6</v>
      </c>
      <c r="D46" s="43">
        <v>0.05</v>
      </c>
      <c r="E46" s="43">
        <v>0.1</v>
      </c>
      <c r="F46" s="43">
        <v>0.1</v>
      </c>
      <c r="G46" s="43">
        <v>0.13500000000000001</v>
      </c>
      <c r="H46" s="43">
        <v>1.4999999999999999E-2</v>
      </c>
      <c r="I46" s="43">
        <v>0</v>
      </c>
    </row>
    <row r="47" spans="1:9" x14ac:dyDescent="0.25">
      <c r="A47" s="52"/>
      <c r="B47" s="17"/>
      <c r="C47" s="17"/>
      <c r="D47" s="17"/>
      <c r="E47" s="17"/>
      <c r="F47" s="17"/>
      <c r="G47" s="17"/>
      <c r="H47" s="17"/>
      <c r="I47" s="17"/>
    </row>
    <row r="48" spans="1:9" x14ac:dyDescent="0.25">
      <c r="A48" s="15" t="s">
        <v>75</v>
      </c>
      <c r="B48" s="53">
        <f>1-C48-D48-E48-F48-G48-H48-I48</f>
        <v>0.25000000000000006</v>
      </c>
      <c r="C48" s="43">
        <v>2.5000000000000001E-2</v>
      </c>
      <c r="D48" s="43">
        <v>2.5000000000000001E-2</v>
      </c>
      <c r="E48" s="43">
        <v>0.2</v>
      </c>
      <c r="F48" s="43">
        <v>0.1</v>
      </c>
      <c r="G48" s="43">
        <v>0.36</v>
      </c>
      <c r="H48" s="43">
        <v>0.04</v>
      </c>
      <c r="I48" s="43">
        <v>0</v>
      </c>
    </row>
    <row r="49" spans="1:9" x14ac:dyDescent="0.25">
      <c r="A49" s="15" t="s">
        <v>76</v>
      </c>
      <c r="B49" s="53">
        <f>1-C49-D49-E49-F49-G49-H49-I49</f>
        <v>2.7755575615628914E-17</v>
      </c>
      <c r="C49" s="43">
        <v>0.65</v>
      </c>
      <c r="D49" s="43">
        <v>0.05</v>
      </c>
      <c r="E49" s="43">
        <v>0.04</v>
      </c>
      <c r="F49" s="43">
        <v>0.05</v>
      </c>
      <c r="G49" s="43">
        <v>0.18</v>
      </c>
      <c r="H49" s="43">
        <v>0.03</v>
      </c>
      <c r="I49" s="43">
        <v>0</v>
      </c>
    </row>
    <row r="50" spans="1:9" x14ac:dyDescent="0.25">
      <c r="A50" s="15" t="s">
        <v>77</v>
      </c>
      <c r="B50" s="53">
        <f>1-C50-D50-E50-F50-G50-H50-I50</f>
        <v>1.7347234759768071E-17</v>
      </c>
      <c r="C50" s="43">
        <v>0.65</v>
      </c>
      <c r="D50" s="43">
        <v>0.05</v>
      </c>
      <c r="E50" s="43">
        <v>0.05</v>
      </c>
      <c r="F50" s="43">
        <v>0.05</v>
      </c>
      <c r="G50" s="43">
        <v>0.18</v>
      </c>
      <c r="H50" s="43">
        <v>0.02</v>
      </c>
      <c r="I50" s="43">
        <v>0</v>
      </c>
    </row>
    <row r="51" spans="1:9" x14ac:dyDescent="0.25">
      <c r="A51" s="15" t="s">
        <v>47</v>
      </c>
      <c r="B51" s="53">
        <f>1-C51-D51-E51-F51-G51-H51-I51</f>
        <v>0</v>
      </c>
      <c r="C51" s="43">
        <f>Inputs!G33/Inputs!F33</f>
        <v>0.72887767969735184</v>
      </c>
      <c r="D51" s="43">
        <f>Inputs!H33/Inputs!F33</f>
        <v>0.27112232030264816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</row>
  </sheetData>
  <sheetProtection sheet="1" objects="1" scenarios="1"/>
  <pageMargins left="0.75" right="0.75" top="1" bottom="1" header="0.5" footer="0.5"/>
  <pageSetup scale="8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133"/>
  <sheetViews>
    <sheetView workbookViewId="0"/>
  </sheetViews>
  <sheetFormatPr defaultColWidth="9" defaultRowHeight="12.5" x14ac:dyDescent="0.25"/>
  <cols>
    <col min="1" max="1" width="20.75" style="17" customWidth="1"/>
    <col min="2" max="16384" width="9" style="17"/>
  </cols>
  <sheetData>
    <row r="1" spans="1:5" x14ac:dyDescent="0.25">
      <c r="A1" s="13" t="s">
        <v>78</v>
      </c>
    </row>
    <row r="3" spans="1:5" x14ac:dyDescent="0.25">
      <c r="C3" s="13" t="s">
        <v>79</v>
      </c>
      <c r="D3" s="13" t="s">
        <v>80</v>
      </c>
    </row>
    <row r="4" spans="1:5" x14ac:dyDescent="0.25">
      <c r="B4" s="15" t="s">
        <v>67</v>
      </c>
      <c r="C4" s="57" t="s">
        <v>147</v>
      </c>
      <c r="E4" s="34" t="s">
        <v>148</v>
      </c>
    </row>
    <row r="5" spans="1:5" x14ac:dyDescent="0.25">
      <c r="B5" s="15" t="s">
        <v>68</v>
      </c>
      <c r="C5" s="57" t="s">
        <v>147</v>
      </c>
      <c r="E5" s="34" t="s">
        <v>25</v>
      </c>
    </row>
    <row r="6" spans="1:5" x14ac:dyDescent="0.25">
      <c r="B6" s="15" t="s">
        <v>69</v>
      </c>
      <c r="C6" s="57" t="s">
        <v>147</v>
      </c>
      <c r="E6" s="57" t="s">
        <v>149</v>
      </c>
    </row>
    <row r="7" spans="1:5" x14ac:dyDescent="0.25">
      <c r="B7" s="15" t="s">
        <v>71</v>
      </c>
      <c r="C7" s="57" t="s">
        <v>147</v>
      </c>
      <c r="E7" s="57" t="s">
        <v>149</v>
      </c>
    </row>
    <row r="8" spans="1:5" x14ac:dyDescent="0.25">
      <c r="B8" s="15" t="s">
        <v>73</v>
      </c>
      <c r="C8" s="57" t="s">
        <v>147</v>
      </c>
      <c r="E8" s="57" t="s">
        <v>149</v>
      </c>
    </row>
    <row r="9" spans="1:5" x14ac:dyDescent="0.25">
      <c r="B9" s="15" t="s">
        <v>75</v>
      </c>
      <c r="C9" s="57" t="s">
        <v>147</v>
      </c>
      <c r="E9" s="57" t="s">
        <v>149</v>
      </c>
    </row>
    <row r="10" spans="1:5" x14ac:dyDescent="0.25">
      <c r="C10" s="20"/>
      <c r="E10" s="57" t="s">
        <v>149</v>
      </c>
    </row>
    <row r="12" spans="1:5" x14ac:dyDescent="0.25">
      <c r="A12" s="13" t="s">
        <v>88</v>
      </c>
      <c r="C12" s="57" t="s">
        <v>150</v>
      </c>
    </row>
    <row r="14" spans="1:5" x14ac:dyDescent="0.25">
      <c r="A14" s="13" t="s">
        <v>89</v>
      </c>
    </row>
    <row r="15" spans="1:5" x14ac:dyDescent="0.25">
      <c r="A15" s="13" t="s">
        <v>90</v>
      </c>
      <c r="C15" s="57" t="s">
        <v>147</v>
      </c>
    </row>
    <row r="16" spans="1:5" x14ac:dyDescent="0.25">
      <c r="A16" s="13" t="s">
        <v>91</v>
      </c>
      <c r="C16" s="57" t="s">
        <v>147</v>
      </c>
    </row>
    <row r="21" spans="1:6" x14ac:dyDescent="0.25">
      <c r="A21" s="13" t="s">
        <v>92</v>
      </c>
    </row>
    <row r="23" spans="1:6" x14ac:dyDescent="0.25">
      <c r="A23" s="13" t="s">
        <v>93</v>
      </c>
      <c r="B23" s="57" t="s">
        <v>149</v>
      </c>
    </row>
    <row r="24" spans="1:6" x14ac:dyDescent="0.25">
      <c r="A24" s="13" t="s">
        <v>94</v>
      </c>
      <c r="C24" s="57" t="s">
        <v>149</v>
      </c>
    </row>
    <row r="26" spans="1:6" x14ac:dyDescent="0.25">
      <c r="A26" s="71" t="s">
        <v>95</v>
      </c>
      <c r="C26" s="13" t="s">
        <v>96</v>
      </c>
      <c r="D26" s="15" t="s">
        <v>97</v>
      </c>
      <c r="E26" s="13" t="s">
        <v>98</v>
      </c>
    </row>
    <row r="27" spans="1:6" x14ac:dyDescent="0.25">
      <c r="A27" s="72" t="s">
        <v>99</v>
      </c>
      <c r="B27" s="79" t="s">
        <v>100</v>
      </c>
      <c r="C27" s="13" t="s">
        <v>101</v>
      </c>
      <c r="D27" s="13" t="s">
        <v>101</v>
      </c>
      <c r="E27" s="15" t="s">
        <v>100</v>
      </c>
    </row>
    <row r="28" spans="1:6" x14ac:dyDescent="0.25">
      <c r="A28" s="34" t="str">
        <f>E6</f>
        <v>________</v>
      </c>
      <c r="B28" s="15" t="str">
        <f>$E$6</f>
        <v>________</v>
      </c>
      <c r="C28" s="57" t="s">
        <v>151</v>
      </c>
      <c r="D28" s="57" t="s">
        <v>151</v>
      </c>
      <c r="E28" s="57" t="s">
        <v>152</v>
      </c>
      <c r="F28" s="20"/>
    </row>
    <row r="29" spans="1:6" x14ac:dyDescent="0.25">
      <c r="A29" s="34" t="str">
        <f>E7</f>
        <v>________</v>
      </c>
      <c r="B29" s="15" t="str">
        <f>$E$6</f>
        <v>________</v>
      </c>
      <c r="C29" s="57" t="s">
        <v>151</v>
      </c>
      <c r="D29" s="57" t="s">
        <v>151</v>
      </c>
      <c r="E29" s="57" t="s">
        <v>152</v>
      </c>
      <c r="F29" s="20"/>
    </row>
    <row r="30" spans="1:6" x14ac:dyDescent="0.25">
      <c r="A30" s="34" t="str">
        <f>E8</f>
        <v>________</v>
      </c>
      <c r="B30" s="15" t="str">
        <f>$E$6</f>
        <v>________</v>
      </c>
      <c r="C30" s="57" t="s">
        <v>151</v>
      </c>
      <c r="D30" s="57" t="s">
        <v>151</v>
      </c>
      <c r="E30" s="57" t="s">
        <v>152</v>
      </c>
      <c r="F30" s="20"/>
    </row>
    <row r="31" spans="1:6" x14ac:dyDescent="0.25">
      <c r="A31" s="34" t="str">
        <f>E9</f>
        <v>________</v>
      </c>
      <c r="B31" s="15" t="str">
        <f>$E$6</f>
        <v>________</v>
      </c>
      <c r="C31" s="57" t="s">
        <v>151</v>
      </c>
      <c r="D31" s="57" t="s">
        <v>151</v>
      </c>
      <c r="E31" s="57" t="s">
        <v>152</v>
      </c>
      <c r="F31" s="20"/>
    </row>
    <row r="32" spans="1:6" x14ac:dyDescent="0.25">
      <c r="A32" s="34" t="str">
        <f>E10</f>
        <v>________</v>
      </c>
      <c r="B32" s="15" t="str">
        <f>$E$6</f>
        <v>________</v>
      </c>
      <c r="C32" s="57" t="s">
        <v>151</v>
      </c>
      <c r="D32" s="57" t="s">
        <v>151</v>
      </c>
      <c r="E32" s="57" t="s">
        <v>152</v>
      </c>
      <c r="F32" s="20"/>
    </row>
    <row r="33" spans="1:7" x14ac:dyDescent="0.25">
      <c r="F33" s="20"/>
    </row>
    <row r="34" spans="1:7" x14ac:dyDescent="0.25">
      <c r="C34" s="52" t="s">
        <v>153</v>
      </c>
      <c r="D34" s="57" t="s">
        <v>149</v>
      </c>
    </row>
    <row r="36" spans="1:7" x14ac:dyDescent="0.25">
      <c r="E36" s="54"/>
    </row>
    <row r="37" spans="1:7" x14ac:dyDescent="0.25">
      <c r="A37" s="15" t="s">
        <v>110</v>
      </c>
      <c r="B37" s="17" t="s">
        <v>84</v>
      </c>
      <c r="C37" s="57" t="s">
        <v>150</v>
      </c>
      <c r="E37" s="52" t="s">
        <v>111</v>
      </c>
      <c r="F37" s="51" t="s">
        <v>112</v>
      </c>
      <c r="G37" s="57" t="s">
        <v>147</v>
      </c>
    </row>
    <row r="38" spans="1:7" x14ac:dyDescent="0.25">
      <c r="A38" s="15" t="s">
        <v>110</v>
      </c>
      <c r="B38" s="17" t="s">
        <v>83</v>
      </c>
      <c r="C38" s="57" t="s">
        <v>150</v>
      </c>
      <c r="F38" s="52" t="s">
        <v>113</v>
      </c>
      <c r="G38" s="57" t="s">
        <v>147</v>
      </c>
    </row>
    <row r="39" spans="1:7" x14ac:dyDescent="0.25">
      <c r="A39" s="15" t="s">
        <v>110</v>
      </c>
      <c r="B39" s="17" t="str">
        <f>A32</f>
        <v>________</v>
      </c>
      <c r="C39" s="57" t="s">
        <v>150</v>
      </c>
    </row>
    <row r="41" spans="1:7" x14ac:dyDescent="0.25">
      <c r="A41" s="13" t="s">
        <v>114</v>
      </c>
    </row>
    <row r="43" spans="1:7" x14ac:dyDescent="0.25">
      <c r="A43" s="15" t="s">
        <v>115</v>
      </c>
      <c r="B43" s="58" t="s">
        <v>154</v>
      </c>
      <c r="D43" s="13" t="s">
        <v>116</v>
      </c>
      <c r="F43" s="57" t="s">
        <v>152</v>
      </c>
    </row>
    <row r="44" spans="1:7" x14ac:dyDescent="0.25">
      <c r="A44" s="15" t="s">
        <v>117</v>
      </c>
      <c r="B44" s="57" t="s">
        <v>147</v>
      </c>
    </row>
    <row r="45" spans="1:7" x14ac:dyDescent="0.25">
      <c r="A45" s="15" t="s">
        <v>118</v>
      </c>
      <c r="B45" s="57" t="s">
        <v>147</v>
      </c>
    </row>
    <row r="46" spans="1:7" x14ac:dyDescent="0.25">
      <c r="A46" s="13" t="s">
        <v>119</v>
      </c>
      <c r="C46" s="57" t="s">
        <v>147</v>
      </c>
    </row>
    <row r="47" spans="1:7" x14ac:dyDescent="0.25">
      <c r="A47" s="83" t="s">
        <v>155</v>
      </c>
    </row>
    <row r="48" spans="1:7" x14ac:dyDescent="0.25">
      <c r="A48" s="13" t="s">
        <v>120</v>
      </c>
    </row>
    <row r="49" spans="1:9" x14ac:dyDescent="0.25">
      <c r="A49" s="15" t="s">
        <v>121</v>
      </c>
      <c r="B49" s="15" t="str">
        <f>$E$4</f>
        <v xml:space="preserve">  Milk</v>
      </c>
      <c r="C49" s="15" t="str">
        <f>$E$5</f>
        <v>Heifers</v>
      </c>
      <c r="D49" s="15" t="str">
        <f>$E$6</f>
        <v>________</v>
      </c>
      <c r="E49" s="15" t="str">
        <f>$E$7</f>
        <v>________</v>
      </c>
      <c r="F49" s="15" t="str">
        <f>$E$8</f>
        <v>________</v>
      </c>
      <c r="G49" s="15" t="str">
        <f>$E$9</f>
        <v>________</v>
      </c>
      <c r="H49" s="15" t="str">
        <f>$A$32</f>
        <v>________</v>
      </c>
      <c r="I49" s="18"/>
    </row>
    <row r="50" spans="1:9" x14ac:dyDescent="0.25">
      <c r="A50" s="15" t="s">
        <v>122</v>
      </c>
      <c r="B50" s="15" t="str">
        <f t="shared" ref="B50:H53" si="0">$E$6</f>
        <v>________</v>
      </c>
      <c r="C50" s="15" t="str">
        <f t="shared" si="0"/>
        <v>________</v>
      </c>
      <c r="D50" s="15" t="str">
        <f t="shared" si="0"/>
        <v>________</v>
      </c>
      <c r="E50" s="15" t="str">
        <f t="shared" si="0"/>
        <v>________</v>
      </c>
      <c r="F50" s="15" t="str">
        <f t="shared" si="0"/>
        <v>________</v>
      </c>
      <c r="G50" s="15" t="str">
        <f t="shared" si="0"/>
        <v>________</v>
      </c>
      <c r="H50" s="15" t="str">
        <f t="shared" si="0"/>
        <v>________</v>
      </c>
      <c r="I50" s="57"/>
    </row>
    <row r="51" spans="1:9" x14ac:dyDescent="0.25">
      <c r="A51" s="30" t="s">
        <v>123</v>
      </c>
      <c r="B51" s="15" t="str">
        <f t="shared" si="0"/>
        <v>________</v>
      </c>
      <c r="C51" s="15" t="str">
        <f t="shared" si="0"/>
        <v>________</v>
      </c>
      <c r="D51" s="15" t="str">
        <f t="shared" si="0"/>
        <v>________</v>
      </c>
      <c r="E51" s="15" t="str">
        <f t="shared" si="0"/>
        <v>________</v>
      </c>
      <c r="F51" s="15" t="str">
        <f t="shared" si="0"/>
        <v>________</v>
      </c>
      <c r="G51" s="15" t="str">
        <f t="shared" si="0"/>
        <v>________</v>
      </c>
      <c r="H51" s="15" t="str">
        <f t="shared" si="0"/>
        <v>________</v>
      </c>
      <c r="I51" s="57"/>
    </row>
    <row r="52" spans="1:9" x14ac:dyDescent="0.25">
      <c r="A52" s="15" t="s">
        <v>124</v>
      </c>
      <c r="B52" s="15" t="str">
        <f t="shared" si="0"/>
        <v>________</v>
      </c>
      <c r="C52" s="15" t="str">
        <f t="shared" si="0"/>
        <v>________</v>
      </c>
      <c r="D52" s="15" t="str">
        <f t="shared" si="0"/>
        <v>________</v>
      </c>
      <c r="E52" s="15" t="str">
        <f t="shared" si="0"/>
        <v>________</v>
      </c>
      <c r="F52" s="15" t="str">
        <f t="shared" si="0"/>
        <v>________</v>
      </c>
      <c r="G52" s="15" t="str">
        <f t="shared" si="0"/>
        <v>________</v>
      </c>
      <c r="H52" s="15" t="str">
        <f t="shared" si="0"/>
        <v>________</v>
      </c>
      <c r="I52" s="57"/>
    </row>
    <row r="53" spans="1:9" ht="13" thickBot="1" x14ac:dyDescent="0.3">
      <c r="A53" s="64" t="s">
        <v>87</v>
      </c>
      <c r="B53" s="15" t="str">
        <f t="shared" si="0"/>
        <v>________</v>
      </c>
      <c r="C53" s="15" t="str">
        <f t="shared" si="0"/>
        <v>________</v>
      </c>
      <c r="D53" s="15" t="str">
        <f t="shared" si="0"/>
        <v>________</v>
      </c>
      <c r="E53" s="15" t="str">
        <f t="shared" si="0"/>
        <v>________</v>
      </c>
      <c r="F53" s="15" t="str">
        <f t="shared" si="0"/>
        <v>________</v>
      </c>
      <c r="G53" s="15" t="str">
        <f t="shared" si="0"/>
        <v>________</v>
      </c>
      <c r="H53" s="15" t="str">
        <f t="shared" si="0"/>
        <v>________</v>
      </c>
      <c r="I53" s="57"/>
    </row>
    <row r="54" spans="1:9" ht="13.5" thickTop="1" thickBot="1" x14ac:dyDescent="0.3">
      <c r="A54" s="64" t="s">
        <v>125</v>
      </c>
      <c r="B54" s="65"/>
      <c r="C54" s="65"/>
      <c r="D54" s="65"/>
      <c r="E54" s="65"/>
      <c r="F54" s="65"/>
      <c r="G54" s="65"/>
      <c r="H54" s="65"/>
      <c r="I54" s="20"/>
    </row>
    <row r="55" spans="1:9" ht="13" thickTop="1" x14ac:dyDescent="0.25">
      <c r="C55" s="54"/>
      <c r="D55" s="54"/>
      <c r="E55" s="54"/>
      <c r="F55" s="54"/>
    </row>
    <row r="56" spans="1:9" x14ac:dyDescent="0.25">
      <c r="A56" s="80" t="s">
        <v>156</v>
      </c>
      <c r="C56" s="52" t="s">
        <v>157</v>
      </c>
      <c r="D56" s="15" t="str">
        <f>$E$6</f>
        <v>________</v>
      </c>
      <c r="E56" s="15" t="str">
        <f>$E$7</f>
        <v>________</v>
      </c>
      <c r="F56" s="15" t="str">
        <f>$E$8</f>
        <v>________</v>
      </c>
      <c r="G56" s="15" t="str">
        <f>$E$9</f>
        <v>________</v>
      </c>
      <c r="H56" s="15" t="str">
        <f>$A$32</f>
        <v>________</v>
      </c>
    </row>
    <row r="57" spans="1:9" x14ac:dyDescent="0.25">
      <c r="A57" s="80" t="s">
        <v>158</v>
      </c>
      <c r="C57" s="52" t="s">
        <v>159</v>
      </c>
      <c r="D57" s="15" t="str">
        <f t="shared" ref="D57:H61" si="1">$E$6</f>
        <v>________</v>
      </c>
      <c r="E57" s="15" t="str">
        <f t="shared" si="1"/>
        <v>________</v>
      </c>
      <c r="F57" s="15" t="str">
        <f t="shared" si="1"/>
        <v>________</v>
      </c>
      <c r="G57" s="15" t="str">
        <f t="shared" si="1"/>
        <v>________</v>
      </c>
      <c r="H57" s="15" t="str">
        <f t="shared" si="1"/>
        <v>________</v>
      </c>
      <c r="I57" s="15"/>
    </row>
    <row r="58" spans="1:9" x14ac:dyDescent="0.25">
      <c r="A58" s="54"/>
      <c r="B58" s="15" t="s">
        <v>126</v>
      </c>
      <c r="C58" s="15" t="s">
        <v>127</v>
      </c>
      <c r="D58" s="15" t="str">
        <f t="shared" si="1"/>
        <v>________</v>
      </c>
      <c r="E58" s="15" t="str">
        <f t="shared" si="1"/>
        <v>________</v>
      </c>
      <c r="F58" s="15" t="str">
        <f t="shared" si="1"/>
        <v>________</v>
      </c>
      <c r="G58" s="15" t="str">
        <f t="shared" si="1"/>
        <v>________</v>
      </c>
      <c r="H58" s="15" t="str">
        <f t="shared" si="1"/>
        <v>________</v>
      </c>
      <c r="I58" s="57"/>
    </row>
    <row r="59" spans="1:9" ht="13" thickBot="1" x14ac:dyDescent="0.3">
      <c r="A59" s="68"/>
      <c r="B59" s="69" t="s">
        <v>128</v>
      </c>
      <c r="C59" s="64" t="s">
        <v>127</v>
      </c>
      <c r="D59" s="15" t="str">
        <f t="shared" si="1"/>
        <v>________</v>
      </c>
      <c r="E59" s="15" t="str">
        <f t="shared" si="1"/>
        <v>________</v>
      </c>
      <c r="F59" s="15" t="str">
        <f t="shared" si="1"/>
        <v>________</v>
      </c>
      <c r="G59" s="15" t="str">
        <f t="shared" si="1"/>
        <v>________</v>
      </c>
      <c r="H59" s="15" t="str">
        <f t="shared" si="1"/>
        <v>________</v>
      </c>
      <c r="I59" s="57"/>
    </row>
    <row r="60" spans="1:9" ht="13.5" thickTop="1" thickBot="1" x14ac:dyDescent="0.3">
      <c r="A60" s="68"/>
      <c r="B60" s="70" t="s">
        <v>129</v>
      </c>
      <c r="C60" s="64" t="s">
        <v>127</v>
      </c>
      <c r="D60" s="15" t="str">
        <f t="shared" si="1"/>
        <v>________</v>
      </c>
      <c r="E60" s="15" t="str">
        <f t="shared" si="1"/>
        <v>________</v>
      </c>
      <c r="F60" s="15" t="str">
        <f t="shared" si="1"/>
        <v>________</v>
      </c>
      <c r="G60" s="15" t="str">
        <f t="shared" si="1"/>
        <v>________</v>
      </c>
      <c r="H60" s="15" t="str">
        <f t="shared" si="1"/>
        <v>________</v>
      </c>
    </row>
    <row r="61" spans="1:9" ht="13" thickTop="1" x14ac:dyDescent="0.25">
      <c r="A61" s="54"/>
      <c r="D61" s="62" t="s">
        <v>130</v>
      </c>
      <c r="E61" s="15" t="str">
        <f t="shared" si="1"/>
        <v>________</v>
      </c>
    </row>
    <row r="63" spans="1:9" x14ac:dyDescent="0.25">
      <c r="A63" s="13" t="s">
        <v>131</v>
      </c>
    </row>
    <row r="64" spans="1:9" x14ac:dyDescent="0.25">
      <c r="E64" s="15" t="s">
        <v>132</v>
      </c>
      <c r="F64" s="15" t="s">
        <v>133</v>
      </c>
    </row>
    <row r="65" spans="1:6" x14ac:dyDescent="0.25">
      <c r="A65" s="15" t="s">
        <v>132</v>
      </c>
      <c r="B65" s="15" t="s">
        <v>133</v>
      </c>
      <c r="E65" s="15" t="s">
        <v>40</v>
      </c>
      <c r="F65" s="57" t="s">
        <v>147</v>
      </c>
    </row>
    <row r="66" spans="1:6" x14ac:dyDescent="0.25">
      <c r="A66" s="15" t="s">
        <v>8</v>
      </c>
      <c r="B66" s="57" t="s">
        <v>147</v>
      </c>
      <c r="E66" s="15" t="s">
        <v>42</v>
      </c>
      <c r="F66" s="57" t="s">
        <v>147</v>
      </c>
    </row>
    <row r="67" spans="1:6" x14ac:dyDescent="0.25">
      <c r="A67" s="15" t="s">
        <v>11</v>
      </c>
      <c r="B67" s="57" t="s">
        <v>147</v>
      </c>
      <c r="E67" s="15" t="s">
        <v>32</v>
      </c>
      <c r="F67" s="57" t="s">
        <v>147</v>
      </c>
    </row>
    <row r="68" spans="1:6" x14ac:dyDescent="0.25">
      <c r="A68" s="15" t="s">
        <v>12</v>
      </c>
      <c r="B68" s="57" t="s">
        <v>147</v>
      </c>
      <c r="E68" s="15" t="s">
        <v>46</v>
      </c>
      <c r="F68" s="57" t="s">
        <v>147</v>
      </c>
    </row>
    <row r="69" spans="1:6" x14ac:dyDescent="0.25">
      <c r="A69" s="15" t="s">
        <v>14</v>
      </c>
      <c r="B69" s="57" t="s">
        <v>147</v>
      </c>
      <c r="E69" s="15" t="s">
        <v>134</v>
      </c>
      <c r="F69" s="57" t="s">
        <v>147</v>
      </c>
    </row>
    <row r="70" spans="1:6" x14ac:dyDescent="0.25">
      <c r="A70" s="15" t="s">
        <v>15</v>
      </c>
      <c r="B70" s="57" t="s">
        <v>147</v>
      </c>
      <c r="E70" s="15" t="s">
        <v>39</v>
      </c>
      <c r="F70" s="57" t="s">
        <v>147</v>
      </c>
    </row>
    <row r="71" spans="1:6" x14ac:dyDescent="0.25">
      <c r="A71" s="15" t="s">
        <v>18</v>
      </c>
      <c r="B71" s="57" t="s">
        <v>147</v>
      </c>
      <c r="E71" s="15" t="s">
        <v>52</v>
      </c>
      <c r="F71" s="57" t="s">
        <v>147</v>
      </c>
    </row>
    <row r="72" spans="1:6" x14ac:dyDescent="0.25">
      <c r="A72" s="31" t="s">
        <v>21</v>
      </c>
      <c r="B72" s="57" t="s">
        <v>147</v>
      </c>
      <c r="E72" s="15" t="s">
        <v>53</v>
      </c>
      <c r="F72" s="57" t="s">
        <v>147</v>
      </c>
    </row>
    <row r="73" spans="1:6" x14ac:dyDescent="0.25">
      <c r="A73" s="15" t="s">
        <v>22</v>
      </c>
      <c r="B73" s="57" t="s">
        <v>147</v>
      </c>
      <c r="E73" s="15" t="s">
        <v>55</v>
      </c>
      <c r="F73" s="57" t="s">
        <v>147</v>
      </c>
    </row>
    <row r="74" spans="1:6" x14ac:dyDescent="0.25">
      <c r="A74" s="15" t="s">
        <v>24</v>
      </c>
      <c r="B74" s="57" t="s">
        <v>147</v>
      </c>
      <c r="E74" s="15" t="s">
        <v>136</v>
      </c>
      <c r="F74" s="57" t="s">
        <v>147</v>
      </c>
    </row>
    <row r="75" spans="1:6" x14ac:dyDescent="0.25">
      <c r="A75" s="15" t="s">
        <v>26</v>
      </c>
      <c r="B75" s="57" t="s">
        <v>147</v>
      </c>
      <c r="E75" s="15" t="s">
        <v>58</v>
      </c>
      <c r="F75" s="57" t="s">
        <v>147</v>
      </c>
    </row>
    <row r="76" spans="1:6" x14ac:dyDescent="0.25">
      <c r="A76" s="15" t="s">
        <v>28</v>
      </c>
      <c r="B76" s="57" t="s">
        <v>147</v>
      </c>
      <c r="E76" s="15" t="s">
        <v>58</v>
      </c>
      <c r="F76" s="57" t="s">
        <v>147</v>
      </c>
    </row>
    <row r="77" spans="1:6" ht="13" thickBot="1" x14ac:dyDescent="0.3">
      <c r="A77" s="15" t="s">
        <v>29</v>
      </c>
      <c r="B77" s="57" t="s">
        <v>147</v>
      </c>
      <c r="E77" s="15" t="s">
        <v>58</v>
      </c>
      <c r="F77" s="57" t="s">
        <v>147</v>
      </c>
    </row>
    <row r="78" spans="1:6" ht="13.5" thickBot="1" x14ac:dyDescent="0.35">
      <c r="A78" s="15" t="s">
        <v>31</v>
      </c>
      <c r="B78" s="57" t="s">
        <v>147</v>
      </c>
      <c r="E78" s="82" t="s">
        <v>102</v>
      </c>
      <c r="F78" s="81"/>
    </row>
    <row r="79" spans="1:6" x14ac:dyDescent="0.25">
      <c r="A79" s="15" t="s">
        <v>33</v>
      </c>
      <c r="B79" s="57" t="s">
        <v>147</v>
      </c>
      <c r="D79" s="13" t="s">
        <v>137</v>
      </c>
    </row>
    <row r="80" spans="1:6" x14ac:dyDescent="0.25">
      <c r="A80" s="15" t="s">
        <v>35</v>
      </c>
      <c r="B80" s="57" t="s">
        <v>147</v>
      </c>
      <c r="E80" s="15" t="s">
        <v>138</v>
      </c>
      <c r="F80" s="57" t="s">
        <v>147</v>
      </c>
    </row>
    <row r="81" spans="1:9" x14ac:dyDescent="0.25">
      <c r="A81" s="30" t="s">
        <v>38</v>
      </c>
      <c r="B81" s="57" t="s">
        <v>147</v>
      </c>
      <c r="E81" s="15" t="s">
        <v>139</v>
      </c>
      <c r="F81" s="57" t="s">
        <v>147</v>
      </c>
    </row>
    <row r="83" spans="1:9" x14ac:dyDescent="0.25">
      <c r="A83" s="13" t="s">
        <v>140</v>
      </c>
      <c r="E83" s="13" t="s">
        <v>141</v>
      </c>
    </row>
    <row r="84" spans="1:9" x14ac:dyDescent="0.25">
      <c r="A84" s="15" t="s">
        <v>4</v>
      </c>
      <c r="B84" s="15" t="str">
        <f>Inputs!$E$4</f>
        <v>Milk</v>
      </c>
      <c r="C84" s="15" t="str">
        <f>Inputs!$E$5</f>
        <v>Heifers</v>
      </c>
      <c r="D84" s="15" t="str">
        <f>Inputs!$E$6</f>
        <v>Corn</v>
      </c>
      <c r="E84" s="15" t="str">
        <f>Inputs!$E$7</f>
        <v>Corn Silage</v>
      </c>
      <c r="F84" s="15" t="str">
        <f>Inputs!$E$8</f>
        <v>Haylage</v>
      </c>
      <c r="G84" s="15" t="str">
        <f>Inputs!$E$9</f>
        <v>Hay</v>
      </c>
      <c r="H84" s="15" t="str">
        <f>Inputs!$E$10</f>
        <v>Other</v>
      </c>
      <c r="I84" s="18"/>
    </row>
    <row r="85" spans="1:9" x14ac:dyDescent="0.25">
      <c r="A85" s="15" t="s">
        <v>8</v>
      </c>
      <c r="B85" s="57" t="s">
        <v>160</v>
      </c>
      <c r="C85" s="57" t="s">
        <v>160</v>
      </c>
      <c r="D85" s="57" t="s">
        <v>160</v>
      </c>
      <c r="E85" s="57" t="s">
        <v>160</v>
      </c>
      <c r="F85" s="57" t="s">
        <v>160</v>
      </c>
      <c r="G85" s="57" t="s">
        <v>160</v>
      </c>
      <c r="H85" s="57" t="s">
        <v>160</v>
      </c>
      <c r="I85" s="57"/>
    </row>
    <row r="86" spans="1:9" x14ac:dyDescent="0.25">
      <c r="A86" s="15" t="s">
        <v>11</v>
      </c>
      <c r="B86" s="57" t="s">
        <v>160</v>
      </c>
      <c r="C86" s="57" t="s">
        <v>160</v>
      </c>
      <c r="D86" s="57" t="s">
        <v>160</v>
      </c>
      <c r="E86" s="57" t="s">
        <v>160</v>
      </c>
      <c r="F86" s="57" t="s">
        <v>160</v>
      </c>
      <c r="G86" s="57" t="s">
        <v>160</v>
      </c>
      <c r="H86" s="57" t="s">
        <v>160</v>
      </c>
      <c r="I86" s="57"/>
    </row>
    <row r="87" spans="1:9" x14ac:dyDescent="0.25">
      <c r="A87" s="15" t="s">
        <v>12</v>
      </c>
      <c r="B87" s="57" t="s">
        <v>160</v>
      </c>
      <c r="C87" s="57" t="s">
        <v>160</v>
      </c>
      <c r="D87" s="57" t="s">
        <v>160</v>
      </c>
      <c r="E87" s="57" t="s">
        <v>160</v>
      </c>
      <c r="F87" s="57" t="s">
        <v>160</v>
      </c>
      <c r="G87" s="57" t="s">
        <v>160</v>
      </c>
      <c r="H87" s="57" t="s">
        <v>160</v>
      </c>
      <c r="I87" s="57"/>
    </row>
    <row r="88" spans="1:9" x14ac:dyDescent="0.25">
      <c r="A88" s="15" t="s">
        <v>14</v>
      </c>
      <c r="B88" s="57" t="s">
        <v>160</v>
      </c>
      <c r="C88" s="57" t="s">
        <v>160</v>
      </c>
      <c r="D88" s="57" t="s">
        <v>160</v>
      </c>
      <c r="E88" s="57" t="s">
        <v>160</v>
      </c>
      <c r="F88" s="57" t="s">
        <v>160</v>
      </c>
      <c r="G88" s="57" t="s">
        <v>160</v>
      </c>
      <c r="H88" s="57" t="s">
        <v>160</v>
      </c>
      <c r="I88" s="57"/>
    </row>
    <row r="89" spans="1:9" x14ac:dyDescent="0.25">
      <c r="A89" s="15" t="s">
        <v>15</v>
      </c>
      <c r="B89" s="57" t="s">
        <v>160</v>
      </c>
      <c r="C89" s="57" t="s">
        <v>160</v>
      </c>
      <c r="D89" s="57" t="s">
        <v>160</v>
      </c>
      <c r="E89" s="57" t="s">
        <v>160</v>
      </c>
      <c r="F89" s="57" t="s">
        <v>160</v>
      </c>
      <c r="G89" s="57" t="s">
        <v>160</v>
      </c>
      <c r="H89" s="57" t="s">
        <v>160</v>
      </c>
      <c r="I89" s="57"/>
    </row>
    <row r="91" spans="1:9" x14ac:dyDescent="0.25">
      <c r="A91" s="15" t="s">
        <v>18</v>
      </c>
      <c r="B91" s="57" t="s">
        <v>160</v>
      </c>
      <c r="C91" s="57" t="s">
        <v>160</v>
      </c>
      <c r="D91" s="57" t="s">
        <v>160</v>
      </c>
      <c r="E91" s="57" t="s">
        <v>160</v>
      </c>
      <c r="F91" s="57" t="s">
        <v>160</v>
      </c>
      <c r="G91" s="57" t="s">
        <v>160</v>
      </c>
      <c r="H91" s="57" t="s">
        <v>160</v>
      </c>
      <c r="I91" s="57"/>
    </row>
    <row r="92" spans="1:9" x14ac:dyDescent="0.25">
      <c r="A92" s="31" t="s">
        <v>21</v>
      </c>
      <c r="B92" s="57" t="s">
        <v>160</v>
      </c>
      <c r="C92" s="57" t="s">
        <v>160</v>
      </c>
      <c r="D92" s="57" t="s">
        <v>160</v>
      </c>
      <c r="E92" s="57" t="s">
        <v>160</v>
      </c>
      <c r="F92" s="57" t="s">
        <v>160</v>
      </c>
      <c r="G92" s="57" t="s">
        <v>160</v>
      </c>
      <c r="H92" s="57" t="s">
        <v>160</v>
      </c>
      <c r="I92" s="57"/>
    </row>
    <row r="93" spans="1:9" x14ac:dyDescent="0.25">
      <c r="A93" s="15" t="s">
        <v>22</v>
      </c>
      <c r="B93" s="57" t="s">
        <v>160</v>
      </c>
      <c r="C93" s="57" t="s">
        <v>160</v>
      </c>
      <c r="D93" s="57" t="s">
        <v>160</v>
      </c>
      <c r="E93" s="57" t="s">
        <v>160</v>
      </c>
      <c r="F93" s="57" t="s">
        <v>160</v>
      </c>
      <c r="G93" s="57" t="s">
        <v>160</v>
      </c>
      <c r="H93" s="57" t="s">
        <v>160</v>
      </c>
      <c r="I93" s="57"/>
    </row>
    <row r="94" spans="1:9" x14ac:dyDescent="0.25">
      <c r="A94" s="15" t="s">
        <v>24</v>
      </c>
      <c r="B94" s="57" t="s">
        <v>160</v>
      </c>
      <c r="C94" s="57" t="s">
        <v>160</v>
      </c>
      <c r="D94" s="57" t="s">
        <v>160</v>
      </c>
      <c r="E94" s="57" t="s">
        <v>160</v>
      </c>
      <c r="F94" s="57" t="s">
        <v>160</v>
      </c>
      <c r="G94" s="57" t="s">
        <v>160</v>
      </c>
      <c r="H94" s="57" t="s">
        <v>160</v>
      </c>
      <c r="I94" s="57"/>
    </row>
    <row r="95" spans="1:9" x14ac:dyDescent="0.25">
      <c r="A95" s="15" t="s">
        <v>26</v>
      </c>
      <c r="B95" s="57" t="s">
        <v>160</v>
      </c>
      <c r="C95" s="57" t="s">
        <v>160</v>
      </c>
      <c r="D95" s="57" t="s">
        <v>160</v>
      </c>
      <c r="E95" s="57" t="s">
        <v>160</v>
      </c>
      <c r="F95" s="57" t="s">
        <v>160</v>
      </c>
      <c r="G95" s="57" t="s">
        <v>160</v>
      </c>
      <c r="H95" s="57" t="s">
        <v>160</v>
      </c>
      <c r="I95" s="57"/>
    </row>
    <row r="97" spans="1:9" x14ac:dyDescent="0.25">
      <c r="A97" s="15" t="s">
        <v>28</v>
      </c>
      <c r="B97" s="57" t="s">
        <v>160</v>
      </c>
      <c r="C97" s="57" t="s">
        <v>160</v>
      </c>
      <c r="D97" s="57" t="s">
        <v>160</v>
      </c>
      <c r="E97" s="57" t="s">
        <v>160</v>
      </c>
      <c r="F97" s="57" t="s">
        <v>160</v>
      </c>
      <c r="G97" s="57" t="s">
        <v>160</v>
      </c>
      <c r="H97" s="57" t="s">
        <v>160</v>
      </c>
      <c r="I97" s="57"/>
    </row>
    <row r="98" spans="1:9" x14ac:dyDescent="0.25">
      <c r="A98" s="15" t="s">
        <v>29</v>
      </c>
      <c r="B98" s="57" t="s">
        <v>160</v>
      </c>
      <c r="C98" s="57" t="s">
        <v>160</v>
      </c>
      <c r="D98" s="57" t="s">
        <v>160</v>
      </c>
      <c r="E98" s="57" t="s">
        <v>160</v>
      </c>
      <c r="F98" s="57" t="s">
        <v>160</v>
      </c>
      <c r="G98" s="57" t="s">
        <v>160</v>
      </c>
      <c r="H98" s="57" t="s">
        <v>160</v>
      </c>
      <c r="I98" s="57"/>
    </row>
    <row r="99" spans="1:9" x14ac:dyDescent="0.25">
      <c r="A99" s="15" t="s">
        <v>31</v>
      </c>
      <c r="B99" s="57" t="s">
        <v>160</v>
      </c>
      <c r="C99" s="57" t="s">
        <v>160</v>
      </c>
      <c r="D99" s="57" t="s">
        <v>160</v>
      </c>
      <c r="E99" s="57" t="s">
        <v>160</v>
      </c>
      <c r="F99" s="57" t="s">
        <v>160</v>
      </c>
      <c r="G99" s="57" t="s">
        <v>160</v>
      </c>
      <c r="H99" s="57" t="s">
        <v>160</v>
      </c>
      <c r="I99" s="57"/>
    </row>
    <row r="100" spans="1:9" x14ac:dyDescent="0.25">
      <c r="A100" s="15" t="s">
        <v>33</v>
      </c>
      <c r="B100" s="57" t="s">
        <v>160</v>
      </c>
      <c r="C100" s="57" t="s">
        <v>160</v>
      </c>
      <c r="D100" s="57" t="s">
        <v>160</v>
      </c>
      <c r="E100" s="57" t="s">
        <v>160</v>
      </c>
      <c r="F100" s="57" t="s">
        <v>160</v>
      </c>
      <c r="G100" s="57" t="s">
        <v>160</v>
      </c>
      <c r="H100" s="57" t="s">
        <v>160</v>
      </c>
      <c r="I100" s="57"/>
    </row>
    <row r="101" spans="1:9" x14ac:dyDescent="0.25">
      <c r="A101" s="15" t="s">
        <v>35</v>
      </c>
      <c r="B101" s="57" t="s">
        <v>160</v>
      </c>
      <c r="C101" s="57" t="s">
        <v>160</v>
      </c>
      <c r="D101" s="57" t="s">
        <v>160</v>
      </c>
      <c r="E101" s="57" t="s">
        <v>160</v>
      </c>
      <c r="F101" s="57" t="s">
        <v>160</v>
      </c>
      <c r="G101" s="57" t="s">
        <v>160</v>
      </c>
      <c r="H101" s="57" t="s">
        <v>160</v>
      </c>
      <c r="I101" s="57"/>
    </row>
    <row r="103" spans="1:9" x14ac:dyDescent="0.25">
      <c r="A103" s="30" t="s">
        <v>38</v>
      </c>
      <c r="B103" s="57" t="s">
        <v>160</v>
      </c>
      <c r="C103" s="57" t="s">
        <v>160</v>
      </c>
      <c r="D103" s="57" t="s">
        <v>160</v>
      </c>
      <c r="E103" s="57" t="s">
        <v>160</v>
      </c>
      <c r="F103" s="57" t="s">
        <v>160</v>
      </c>
      <c r="G103" s="57" t="s">
        <v>160</v>
      </c>
      <c r="H103" s="57" t="s">
        <v>160</v>
      </c>
      <c r="I103" s="57"/>
    </row>
    <row r="104" spans="1:9" x14ac:dyDescent="0.25">
      <c r="A104" s="15" t="s">
        <v>40</v>
      </c>
      <c r="B104" s="57" t="s">
        <v>160</v>
      </c>
      <c r="C104" s="57" t="s">
        <v>160</v>
      </c>
      <c r="D104" s="57" t="s">
        <v>160</v>
      </c>
      <c r="E104" s="57" t="s">
        <v>160</v>
      </c>
      <c r="F104" s="57" t="s">
        <v>160</v>
      </c>
      <c r="G104" s="57" t="s">
        <v>160</v>
      </c>
      <c r="H104" s="57" t="s">
        <v>160</v>
      </c>
      <c r="I104" s="57"/>
    </row>
    <row r="105" spans="1:9" x14ac:dyDescent="0.25">
      <c r="A105" s="15" t="s">
        <v>42</v>
      </c>
      <c r="B105" s="57" t="s">
        <v>160</v>
      </c>
      <c r="C105" s="57" t="s">
        <v>160</v>
      </c>
      <c r="D105" s="57" t="s">
        <v>160</v>
      </c>
      <c r="E105" s="57" t="s">
        <v>160</v>
      </c>
      <c r="F105" s="57" t="s">
        <v>160</v>
      </c>
      <c r="G105" s="57" t="s">
        <v>160</v>
      </c>
      <c r="H105" s="57" t="s">
        <v>160</v>
      </c>
      <c r="I105" s="57"/>
    </row>
    <row r="106" spans="1:9" x14ac:dyDescent="0.25">
      <c r="A106" s="30" t="s">
        <v>44</v>
      </c>
      <c r="B106" s="57" t="s">
        <v>160</v>
      </c>
      <c r="C106" s="57" t="s">
        <v>160</v>
      </c>
      <c r="D106" s="57" t="s">
        <v>160</v>
      </c>
      <c r="E106" s="57" t="s">
        <v>160</v>
      </c>
      <c r="F106" s="57" t="s">
        <v>160</v>
      </c>
      <c r="G106" s="57" t="s">
        <v>160</v>
      </c>
      <c r="H106" s="57" t="s">
        <v>160</v>
      </c>
      <c r="I106" s="57"/>
    </row>
    <row r="107" spans="1:9" x14ac:dyDescent="0.25">
      <c r="A107" s="30" t="s">
        <v>46</v>
      </c>
      <c r="B107" s="57" t="s">
        <v>160</v>
      </c>
      <c r="C107" s="57" t="s">
        <v>160</v>
      </c>
      <c r="D107" s="57" t="s">
        <v>160</v>
      </c>
      <c r="E107" s="57" t="s">
        <v>160</v>
      </c>
      <c r="F107" s="57" t="s">
        <v>160</v>
      </c>
      <c r="G107" s="57" t="s">
        <v>160</v>
      </c>
      <c r="H107" s="57" t="s">
        <v>160</v>
      </c>
      <c r="I107" s="57"/>
    </row>
    <row r="109" spans="1:9" x14ac:dyDescent="0.25">
      <c r="A109" s="30" t="s">
        <v>49</v>
      </c>
      <c r="B109" s="57" t="s">
        <v>160</v>
      </c>
      <c r="C109" s="57" t="s">
        <v>160</v>
      </c>
      <c r="D109" s="57" t="s">
        <v>160</v>
      </c>
      <c r="E109" s="57" t="s">
        <v>160</v>
      </c>
      <c r="F109" s="57" t="s">
        <v>160</v>
      </c>
      <c r="G109" s="57" t="s">
        <v>160</v>
      </c>
      <c r="H109" s="57" t="s">
        <v>160</v>
      </c>
      <c r="I109" s="57"/>
    </row>
    <row r="110" spans="1:9" x14ac:dyDescent="0.25">
      <c r="A110" s="15" t="s">
        <v>39</v>
      </c>
      <c r="B110" s="57" t="s">
        <v>160</v>
      </c>
      <c r="C110" s="57" t="s">
        <v>160</v>
      </c>
      <c r="D110" s="57" t="s">
        <v>160</v>
      </c>
      <c r="E110" s="57" t="s">
        <v>160</v>
      </c>
      <c r="F110" s="57" t="s">
        <v>160</v>
      </c>
      <c r="G110" s="57" t="s">
        <v>160</v>
      </c>
      <c r="H110" s="57" t="s">
        <v>160</v>
      </c>
      <c r="I110" s="57"/>
    </row>
    <row r="111" spans="1:9" x14ac:dyDescent="0.25">
      <c r="A111" s="15" t="s">
        <v>52</v>
      </c>
      <c r="B111" s="57" t="s">
        <v>160</v>
      </c>
      <c r="C111" s="57" t="s">
        <v>160</v>
      </c>
      <c r="D111" s="57" t="s">
        <v>160</v>
      </c>
      <c r="E111" s="57" t="s">
        <v>160</v>
      </c>
      <c r="F111" s="57" t="s">
        <v>160</v>
      </c>
      <c r="G111" s="57" t="s">
        <v>160</v>
      </c>
      <c r="H111" s="57" t="s">
        <v>160</v>
      </c>
      <c r="I111" s="57"/>
    </row>
    <row r="112" spans="1:9" x14ac:dyDescent="0.25">
      <c r="A112" s="15" t="s">
        <v>53</v>
      </c>
      <c r="B112" s="57" t="s">
        <v>160</v>
      </c>
      <c r="C112" s="57" t="s">
        <v>160</v>
      </c>
      <c r="D112" s="57" t="s">
        <v>160</v>
      </c>
      <c r="E112" s="57" t="s">
        <v>160</v>
      </c>
      <c r="F112" s="57" t="s">
        <v>160</v>
      </c>
      <c r="G112" s="57" t="s">
        <v>160</v>
      </c>
      <c r="H112" s="57" t="s">
        <v>160</v>
      </c>
      <c r="I112" s="57"/>
    </row>
    <row r="113" spans="1:9" x14ac:dyDescent="0.25">
      <c r="A113" s="15" t="s">
        <v>55</v>
      </c>
      <c r="B113" s="57" t="s">
        <v>160</v>
      </c>
      <c r="C113" s="57" t="s">
        <v>160</v>
      </c>
      <c r="D113" s="57" t="s">
        <v>160</v>
      </c>
      <c r="E113" s="57" t="s">
        <v>160</v>
      </c>
      <c r="F113" s="57" t="s">
        <v>160</v>
      </c>
      <c r="G113" s="57" t="s">
        <v>160</v>
      </c>
      <c r="H113" s="57" t="s">
        <v>160</v>
      </c>
      <c r="I113" s="57"/>
    </row>
    <row r="115" spans="1:9" x14ac:dyDescent="0.25">
      <c r="A115" s="15" t="s">
        <v>58</v>
      </c>
      <c r="B115" s="57" t="s">
        <v>160</v>
      </c>
      <c r="C115" s="57" t="s">
        <v>160</v>
      </c>
      <c r="D115" s="57" t="s">
        <v>160</v>
      </c>
      <c r="E115" s="57" t="s">
        <v>160</v>
      </c>
      <c r="F115" s="57" t="s">
        <v>160</v>
      </c>
      <c r="G115" s="57" t="s">
        <v>160</v>
      </c>
      <c r="H115" s="57" t="s">
        <v>160</v>
      </c>
      <c r="I115" s="57"/>
    </row>
    <row r="116" spans="1:9" x14ac:dyDescent="0.25">
      <c r="A116" s="15" t="s">
        <v>58</v>
      </c>
      <c r="B116" s="57" t="s">
        <v>160</v>
      </c>
      <c r="C116" s="57" t="s">
        <v>160</v>
      </c>
      <c r="D116" s="57" t="s">
        <v>160</v>
      </c>
      <c r="E116" s="57" t="s">
        <v>160</v>
      </c>
      <c r="F116" s="57" t="s">
        <v>160</v>
      </c>
      <c r="G116" s="57" t="s">
        <v>160</v>
      </c>
      <c r="H116" s="57" t="s">
        <v>160</v>
      </c>
      <c r="I116" s="57"/>
    </row>
    <row r="117" spans="1:9" x14ac:dyDescent="0.25">
      <c r="A117" s="15" t="s">
        <v>58</v>
      </c>
      <c r="B117" s="57" t="s">
        <v>160</v>
      </c>
      <c r="C117" s="57" t="s">
        <v>160</v>
      </c>
      <c r="D117" s="57" t="s">
        <v>160</v>
      </c>
      <c r="E117" s="57" t="s">
        <v>160</v>
      </c>
      <c r="F117" s="57" t="s">
        <v>160</v>
      </c>
      <c r="G117" s="57" t="s">
        <v>160</v>
      </c>
      <c r="H117" s="57" t="s">
        <v>160</v>
      </c>
      <c r="I117" s="57"/>
    </row>
    <row r="118" spans="1:9" x14ac:dyDescent="0.25">
      <c r="A118" s="15" t="s">
        <v>58</v>
      </c>
      <c r="B118" s="57" t="s">
        <v>160</v>
      </c>
      <c r="C118" s="57" t="s">
        <v>160</v>
      </c>
      <c r="D118" s="57" t="s">
        <v>160</v>
      </c>
      <c r="E118" s="57" t="s">
        <v>160</v>
      </c>
      <c r="F118" s="57" t="s">
        <v>160</v>
      </c>
      <c r="G118" s="57" t="s">
        <v>160</v>
      </c>
      <c r="H118" s="57" t="s">
        <v>160</v>
      </c>
      <c r="I118" s="57"/>
    </row>
    <row r="119" spans="1:9" x14ac:dyDescent="0.25">
      <c r="A119" s="15" t="s">
        <v>144</v>
      </c>
      <c r="B119" s="57" t="s">
        <v>160</v>
      </c>
      <c r="C119" s="57" t="s">
        <v>160</v>
      </c>
      <c r="D119" s="57" t="s">
        <v>160</v>
      </c>
      <c r="E119" s="57" t="s">
        <v>160</v>
      </c>
      <c r="F119" s="57" t="s">
        <v>160</v>
      </c>
      <c r="G119" s="57" t="s">
        <v>160</v>
      </c>
      <c r="H119" s="57" t="s">
        <v>160</v>
      </c>
      <c r="I119" s="57"/>
    </row>
    <row r="120" spans="1:9" x14ac:dyDescent="0.25">
      <c r="A120" s="15" t="s">
        <v>145</v>
      </c>
      <c r="B120" s="57" t="s">
        <v>160</v>
      </c>
      <c r="C120" s="57" t="s">
        <v>160</v>
      </c>
      <c r="D120" s="57" t="s">
        <v>160</v>
      </c>
      <c r="E120" s="57" t="s">
        <v>160</v>
      </c>
      <c r="F120" s="57" t="s">
        <v>160</v>
      </c>
      <c r="G120" s="57" t="s">
        <v>160</v>
      </c>
      <c r="H120" s="57" t="s">
        <v>160</v>
      </c>
      <c r="I120" s="57"/>
    </row>
    <row r="122" spans="1:9" x14ac:dyDescent="0.25">
      <c r="A122" s="13" t="s">
        <v>146</v>
      </c>
      <c r="B122" s="43"/>
      <c r="C122" s="43"/>
      <c r="D122" s="13" t="s">
        <v>141</v>
      </c>
    </row>
    <row r="123" spans="1:9" x14ac:dyDescent="0.25">
      <c r="A123" s="15" t="s">
        <v>4</v>
      </c>
      <c r="B123" s="15" t="str">
        <f>Inputs!$E$4</f>
        <v>Milk</v>
      </c>
      <c r="C123" s="15" t="str">
        <f>Inputs!$E$5</f>
        <v>Heifers</v>
      </c>
      <c r="D123" s="15" t="str">
        <f>Inputs!$E$6</f>
        <v>Corn</v>
      </c>
      <c r="E123" s="15" t="str">
        <f>Inputs!$E$7</f>
        <v>Corn Silage</v>
      </c>
      <c r="F123" s="15" t="str">
        <f>Inputs!$E$8</f>
        <v>Haylage</v>
      </c>
      <c r="G123" s="15" t="str">
        <f>Inputs!$E$9</f>
        <v>Hay</v>
      </c>
      <c r="H123" s="15" t="str">
        <f>Inputs!$E$10</f>
        <v>Other</v>
      </c>
      <c r="I123" s="18"/>
    </row>
    <row r="124" spans="1:9" x14ac:dyDescent="0.25">
      <c r="A124" s="15" t="s">
        <v>67</v>
      </c>
      <c r="B124" s="57" t="s">
        <v>160</v>
      </c>
      <c r="C124" s="57" t="s">
        <v>160</v>
      </c>
      <c r="D124" s="57" t="s">
        <v>160</v>
      </c>
      <c r="E124" s="57" t="s">
        <v>160</v>
      </c>
      <c r="F124" s="57" t="s">
        <v>160</v>
      </c>
      <c r="G124" s="57" t="s">
        <v>160</v>
      </c>
      <c r="H124" s="57" t="s">
        <v>160</v>
      </c>
      <c r="I124" s="57"/>
    </row>
    <row r="125" spans="1:9" x14ac:dyDescent="0.25">
      <c r="A125" s="15" t="s">
        <v>68</v>
      </c>
      <c r="B125" s="57" t="s">
        <v>160</v>
      </c>
      <c r="C125" s="57" t="s">
        <v>160</v>
      </c>
      <c r="D125" s="57" t="s">
        <v>160</v>
      </c>
      <c r="E125" s="57" t="s">
        <v>160</v>
      </c>
      <c r="F125" s="57" t="s">
        <v>160</v>
      </c>
      <c r="G125" s="57" t="s">
        <v>160</v>
      </c>
      <c r="H125" s="57" t="s">
        <v>160</v>
      </c>
      <c r="I125" s="57"/>
    </row>
    <row r="126" spans="1:9" x14ac:dyDescent="0.25">
      <c r="A126" s="15" t="s">
        <v>69</v>
      </c>
      <c r="B126" s="57" t="s">
        <v>160</v>
      </c>
      <c r="C126" s="57" t="s">
        <v>160</v>
      </c>
      <c r="D126" s="57" t="s">
        <v>160</v>
      </c>
      <c r="E126" s="57" t="s">
        <v>160</v>
      </c>
      <c r="F126" s="57" t="s">
        <v>160</v>
      </c>
      <c r="G126" s="57" t="s">
        <v>160</v>
      </c>
      <c r="H126" s="57" t="s">
        <v>160</v>
      </c>
      <c r="I126" s="57"/>
    </row>
    <row r="127" spans="1:9" x14ac:dyDescent="0.25">
      <c r="A127" s="15" t="s">
        <v>71</v>
      </c>
      <c r="B127" s="57" t="s">
        <v>160</v>
      </c>
      <c r="C127" s="57" t="s">
        <v>160</v>
      </c>
      <c r="D127" s="57" t="s">
        <v>160</v>
      </c>
      <c r="E127" s="57" t="s">
        <v>160</v>
      </c>
      <c r="F127" s="57" t="s">
        <v>160</v>
      </c>
      <c r="G127" s="57" t="s">
        <v>160</v>
      </c>
      <c r="H127" s="57" t="s">
        <v>160</v>
      </c>
      <c r="I127" s="57"/>
    </row>
    <row r="128" spans="1:9" x14ac:dyDescent="0.25">
      <c r="A128" s="15" t="s">
        <v>73</v>
      </c>
      <c r="B128" s="57" t="s">
        <v>160</v>
      </c>
      <c r="C128" s="57" t="s">
        <v>160</v>
      </c>
      <c r="D128" s="57" t="s">
        <v>160</v>
      </c>
      <c r="E128" s="57" t="s">
        <v>160</v>
      </c>
      <c r="F128" s="57" t="s">
        <v>160</v>
      </c>
      <c r="G128" s="57" t="s">
        <v>160</v>
      </c>
      <c r="H128" s="57" t="s">
        <v>160</v>
      </c>
      <c r="I128" s="57"/>
    </row>
    <row r="130" spans="1:9" x14ac:dyDescent="0.25">
      <c r="A130" s="15" t="s">
        <v>75</v>
      </c>
      <c r="B130" s="57" t="s">
        <v>160</v>
      </c>
      <c r="C130" s="57" t="s">
        <v>160</v>
      </c>
      <c r="D130" s="57" t="s">
        <v>160</v>
      </c>
      <c r="E130" s="57" t="s">
        <v>160</v>
      </c>
      <c r="F130" s="57" t="s">
        <v>160</v>
      </c>
      <c r="G130" s="57" t="s">
        <v>160</v>
      </c>
      <c r="H130" s="57" t="s">
        <v>160</v>
      </c>
      <c r="I130" s="57"/>
    </row>
    <row r="131" spans="1:9" x14ac:dyDescent="0.25">
      <c r="A131" s="15" t="s">
        <v>76</v>
      </c>
      <c r="B131" s="57" t="s">
        <v>160</v>
      </c>
      <c r="C131" s="57" t="s">
        <v>160</v>
      </c>
      <c r="D131" s="57" t="s">
        <v>160</v>
      </c>
      <c r="E131" s="57" t="s">
        <v>160</v>
      </c>
      <c r="F131" s="57" t="s">
        <v>160</v>
      </c>
      <c r="G131" s="57" t="s">
        <v>160</v>
      </c>
      <c r="H131" s="57" t="s">
        <v>160</v>
      </c>
      <c r="I131" s="57"/>
    </row>
    <row r="132" spans="1:9" x14ac:dyDescent="0.25">
      <c r="A132" s="15" t="s">
        <v>77</v>
      </c>
      <c r="B132" s="57" t="s">
        <v>160</v>
      </c>
      <c r="C132" s="57" t="s">
        <v>160</v>
      </c>
      <c r="D132" s="57" t="s">
        <v>160</v>
      </c>
      <c r="E132" s="57" t="s">
        <v>160</v>
      </c>
      <c r="F132" s="57" t="s">
        <v>160</v>
      </c>
      <c r="G132" s="57" t="s">
        <v>160</v>
      </c>
      <c r="H132" s="57" t="s">
        <v>160</v>
      </c>
      <c r="I132" s="57"/>
    </row>
    <row r="133" spans="1:9" x14ac:dyDescent="0.25">
      <c r="A133" s="15" t="s">
        <v>47</v>
      </c>
      <c r="B133" s="57" t="s">
        <v>160</v>
      </c>
      <c r="C133" s="57" t="s">
        <v>160</v>
      </c>
      <c r="D133" s="57" t="s">
        <v>160</v>
      </c>
      <c r="E133" s="57" t="s">
        <v>160</v>
      </c>
      <c r="F133" s="57" t="s">
        <v>160</v>
      </c>
      <c r="G133" s="57" t="s">
        <v>160</v>
      </c>
      <c r="H133" s="57" t="s">
        <v>160</v>
      </c>
      <c r="I133" s="57"/>
    </row>
  </sheetData>
  <sheetProtection sheet="1" objects="1" scenarios="1"/>
  <pageMargins left="0.75" right="0.75" top="1" bottom="1" header="0.5" footer="0.5"/>
  <pageSetup scale="35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Button 1">
              <controlPr defaultSize="0" print="0" autoFill="0" autoLine="0" autoPict="0" macro="[0]!PrintIF">
                <anchor moveWithCells="1" sizeWithCells="1">
                  <from>
                    <xdr:col>5</xdr:col>
                    <xdr:colOff>387350</xdr:colOff>
                    <xdr:row>10</xdr:row>
                    <xdr:rowOff>25400</xdr:rowOff>
                  </from>
                  <to>
                    <xdr:col>7</xdr:col>
                    <xdr:colOff>76200</xdr:colOff>
                    <xdr:row>13</xdr:row>
                    <xdr:rowOff>120650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Results</vt:lpstr>
      <vt:lpstr>Inputs</vt:lpstr>
      <vt:lpstr>Percentages</vt:lpstr>
      <vt:lpstr>Input Forms</vt:lpstr>
      <vt:lpstr>FORM1</vt:lpstr>
      <vt:lpstr>FORM2</vt:lpstr>
      <vt:lpstr>FORM3</vt:lpstr>
      <vt:lpstr>INPUT1A</vt:lpstr>
      <vt:lpstr>INPUT1B</vt:lpstr>
      <vt:lpstr>Results!Print_Area</vt:lpstr>
      <vt:lpstr>Results!Print_Area_MI</vt:lpstr>
      <vt:lpstr>RESULTS</vt:lpstr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Cost of Production per Equivalent Unit</dc:title>
  <dc:subject>Enterprise Budgeting</dc:subject>
  <dc:creator>Gary G. Frank</dc:creator>
  <cp:keywords>Budgets, Enterprise</cp:keywords>
  <dc:description>Working with Dan Undersander
April 1996</dc:description>
  <cp:lastModifiedBy>Carina Negreanu</cp:lastModifiedBy>
  <cp:lastPrinted>1998-07-03T14:22:07Z</cp:lastPrinted>
  <dcterms:created xsi:type="dcterms:W3CDTF">1997-10-08T19:09:21Z</dcterms:created>
  <dcterms:modified xsi:type="dcterms:W3CDTF">2020-01-27T10:29:16Z</dcterms:modified>
</cp:coreProperties>
</file>