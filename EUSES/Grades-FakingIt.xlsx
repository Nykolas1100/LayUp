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F9D1BB-39CC-445E-B87E-1811744C3F65}" xr6:coauthVersionLast="45" xr6:coauthVersionMax="45" xr10:uidLastSave="{00000000-0000-0000-0000-000000000000}"/>
  <bookViews>
    <workbookView xWindow="380" yWindow="380" windowWidth="28800" windowHeight="15460"/>
  </bookViews>
  <sheets>
    <sheet name="Grades-FakingIt" sheetId="1" r:id="rId1"/>
  </sheets>
  <definedNames>
    <definedName name="CTgrades">'Grades-FakingIt'!$J$6:$CQ$15</definedName>
    <definedName name="EXAMgrades">'Grades-FakingIt'!$D$24:$G$33</definedName>
    <definedName name="LABgrades">'Grades-FakingIt'!$D$42:$N$51</definedName>
    <definedName name="Lettergrades">'Grades-FakingIt'!$H$84:$H$123</definedName>
    <definedName name="names">'Grades-FakingIt'!$B$60:$D$67</definedName>
    <definedName name="_xlnm.Print_Area" localSheetId="0">'Grades-FakingIt'!$B$1:$BX$83</definedName>
    <definedName name="_xlnm.Print_Titles" localSheetId="0">'Grades-FakingIt'!$B:$C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G7" i="1"/>
  <c r="H7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D25" i="1"/>
  <c r="E25" i="1"/>
  <c r="G26" i="1" s="1"/>
  <c r="G25" i="1"/>
  <c r="I25" i="1"/>
  <c r="J25" i="1"/>
  <c r="M25" i="1"/>
  <c r="A26" i="1"/>
  <c r="A44" i="1" s="1"/>
  <c r="B26" i="1"/>
  <c r="C26" i="1"/>
  <c r="I26" i="1"/>
  <c r="J26" i="1" s="1"/>
  <c r="M26" i="1"/>
  <c r="M37" i="1" s="1"/>
  <c r="A27" i="1"/>
  <c r="B27" i="1"/>
  <c r="C27" i="1"/>
  <c r="I27" i="1"/>
  <c r="J27" i="1" s="1"/>
  <c r="M27" i="1"/>
  <c r="M36" i="1" s="1"/>
  <c r="A28" i="1"/>
  <c r="A46" i="1" s="1"/>
  <c r="B28" i="1"/>
  <c r="C28" i="1"/>
  <c r="G28" i="1"/>
  <c r="D28" i="1" s="1"/>
  <c r="G10" i="1" s="1"/>
  <c r="F118" i="1" s="1"/>
  <c r="I28" i="1"/>
  <c r="I36" i="1" s="1"/>
  <c r="J28" i="1"/>
  <c r="M28" i="1"/>
  <c r="A29" i="1"/>
  <c r="B29" i="1"/>
  <c r="C29" i="1"/>
  <c r="I29" i="1"/>
  <c r="J29" i="1"/>
  <c r="M29" i="1"/>
  <c r="A30" i="1"/>
  <c r="A48" i="1" s="1"/>
  <c r="B30" i="1"/>
  <c r="C30" i="1"/>
  <c r="I30" i="1"/>
  <c r="J30" i="1" s="1"/>
  <c r="M30" i="1"/>
  <c r="A31" i="1"/>
  <c r="A49" i="1" s="1"/>
  <c r="B31" i="1"/>
  <c r="C31" i="1"/>
  <c r="I31" i="1"/>
  <c r="J31" i="1" s="1"/>
  <c r="M31" i="1"/>
  <c r="A32" i="1"/>
  <c r="B32" i="1"/>
  <c r="C32" i="1"/>
  <c r="G32" i="1"/>
  <c r="D32" i="1" s="1"/>
  <c r="G14" i="1" s="1"/>
  <c r="F122" i="1" s="1"/>
  <c r="A33" i="1"/>
  <c r="A51" i="1" s="1"/>
  <c r="B33" i="1"/>
  <c r="C33" i="1"/>
  <c r="I33" i="1"/>
  <c r="J33" i="1"/>
  <c r="M33" i="1"/>
  <c r="E34" i="1"/>
  <c r="F34" i="1"/>
  <c r="H34" i="1"/>
  <c r="K34" i="1"/>
  <c r="E35" i="1"/>
  <c r="F35" i="1"/>
  <c r="H35" i="1"/>
  <c r="K35" i="1"/>
  <c r="E36" i="1"/>
  <c r="F36" i="1"/>
  <c r="H36" i="1"/>
  <c r="K36" i="1"/>
  <c r="E37" i="1"/>
  <c r="F37" i="1"/>
  <c r="H37" i="1"/>
  <c r="K37" i="1"/>
  <c r="O43" i="1"/>
  <c r="D45" i="1" s="1"/>
  <c r="B44" i="1"/>
  <c r="C44" i="1"/>
  <c r="D44" i="1"/>
  <c r="A45" i="1"/>
  <c r="B45" i="1"/>
  <c r="C45" i="1"/>
  <c r="B46" i="1"/>
  <c r="C46" i="1"/>
  <c r="A47" i="1"/>
  <c r="B47" i="1"/>
  <c r="C47" i="1"/>
  <c r="B48" i="1"/>
  <c r="C48" i="1"/>
  <c r="D48" i="1"/>
  <c r="B49" i="1"/>
  <c r="C49" i="1"/>
  <c r="D49" i="1"/>
  <c r="A50" i="1"/>
  <c r="B50" i="1"/>
  <c r="C50" i="1"/>
  <c r="B51" i="1"/>
  <c r="C51" i="1"/>
  <c r="F52" i="1"/>
  <c r="G52" i="1"/>
  <c r="F53" i="1"/>
  <c r="G53" i="1"/>
  <c r="F54" i="1"/>
  <c r="G54" i="1"/>
  <c r="F55" i="1"/>
  <c r="G55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D59" i="1"/>
  <c r="D62" i="1" s="1"/>
  <c r="B60" i="1"/>
  <c r="C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CA60" i="1"/>
  <c r="CB60" i="1"/>
  <c r="B61" i="1"/>
  <c r="C61" i="1"/>
  <c r="I61" i="1"/>
  <c r="J61" i="1"/>
  <c r="K61" i="1"/>
  <c r="L61" i="1"/>
  <c r="M61" i="1"/>
  <c r="N61" i="1"/>
  <c r="O61" i="1"/>
  <c r="P61" i="1"/>
  <c r="D61" i="1" s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CA61" i="1"/>
  <c r="CB61" i="1"/>
  <c r="B62" i="1"/>
  <c r="C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CA62" i="1"/>
  <c r="CB62" i="1"/>
  <c r="B63" i="1"/>
  <c r="C63" i="1"/>
  <c r="I63" i="1"/>
  <c r="D63" i="1" s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CA63" i="1"/>
  <c r="CB63" i="1"/>
  <c r="B64" i="1"/>
  <c r="C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CA64" i="1"/>
  <c r="CB64" i="1"/>
  <c r="B65" i="1"/>
  <c r="C65" i="1"/>
  <c r="I65" i="1"/>
  <c r="J65" i="1"/>
  <c r="D65" i="1" s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CA65" i="1"/>
  <c r="CB65" i="1"/>
  <c r="B66" i="1"/>
  <c r="C66" i="1"/>
  <c r="D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CA66" i="1"/>
  <c r="CB66" i="1"/>
  <c r="B67" i="1"/>
  <c r="C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CA67" i="1"/>
  <c r="CB67" i="1"/>
  <c r="I82" i="1"/>
  <c r="J82" i="1"/>
  <c r="K82" i="1"/>
  <c r="M82" i="1"/>
  <c r="C116" i="1"/>
  <c r="H116" i="1"/>
  <c r="L82" i="1" s="1"/>
  <c r="C117" i="1"/>
  <c r="H117" i="1"/>
  <c r="C118" i="1"/>
  <c r="H118" i="1"/>
  <c r="C119" i="1"/>
  <c r="H119" i="1"/>
  <c r="C120" i="1"/>
  <c r="H120" i="1"/>
  <c r="C121" i="1"/>
  <c r="H121" i="1"/>
  <c r="C122" i="1"/>
  <c r="H122" i="1"/>
  <c r="C123" i="1"/>
  <c r="H123" i="1"/>
  <c r="D26" i="1" l="1"/>
  <c r="H13" i="1"/>
  <c r="E121" i="1" s="1"/>
  <c r="H9" i="1"/>
  <c r="E117" i="1" s="1"/>
  <c r="H11" i="1"/>
  <c r="E119" i="1" s="1"/>
  <c r="F14" i="1"/>
  <c r="G122" i="1" s="1"/>
  <c r="F10" i="1"/>
  <c r="G118" i="1" s="1"/>
  <c r="H10" i="1"/>
  <c r="E118" i="1" s="1"/>
  <c r="J36" i="1"/>
  <c r="J34" i="1"/>
  <c r="J37" i="1"/>
  <c r="J35" i="1"/>
  <c r="D60" i="1"/>
  <c r="M35" i="1"/>
  <c r="G33" i="1"/>
  <c r="D33" i="1" s="1"/>
  <c r="G15" i="1" s="1"/>
  <c r="F123" i="1" s="1"/>
  <c r="D67" i="1"/>
  <c r="G30" i="1"/>
  <c r="D30" i="1" s="1"/>
  <c r="G12" i="1" s="1"/>
  <c r="F120" i="1" s="1"/>
  <c r="I35" i="1"/>
  <c r="D64" i="1"/>
  <c r="D47" i="1"/>
  <c r="I37" i="1"/>
  <c r="G27" i="1"/>
  <c r="D27" i="1" s="1"/>
  <c r="G9" i="1" s="1"/>
  <c r="F117" i="1" s="1"/>
  <c r="D51" i="1"/>
  <c r="D52" i="1" s="1"/>
  <c r="D46" i="1"/>
  <c r="D54" i="1" s="1"/>
  <c r="M34" i="1"/>
  <c r="G29" i="1"/>
  <c r="D29" i="1" s="1"/>
  <c r="G11" i="1" s="1"/>
  <c r="F119" i="1" s="1"/>
  <c r="I34" i="1"/>
  <c r="H14" i="1"/>
  <c r="E122" i="1" s="1"/>
  <c r="D50" i="1"/>
  <c r="G31" i="1"/>
  <c r="D31" i="1" s="1"/>
  <c r="G13" i="1" s="1"/>
  <c r="F121" i="1" s="1"/>
  <c r="F11" i="1" l="1"/>
  <c r="G119" i="1" s="1"/>
  <c r="G36" i="1"/>
  <c r="D53" i="1"/>
  <c r="H12" i="1"/>
  <c r="E120" i="1" s="1"/>
  <c r="F12" i="1"/>
  <c r="G120" i="1" s="1"/>
  <c r="F9" i="1"/>
  <c r="G117" i="1" s="1"/>
  <c r="F13" i="1"/>
  <c r="G121" i="1" s="1"/>
  <c r="F15" i="1"/>
  <c r="G123" i="1" s="1"/>
  <c r="H15" i="1"/>
  <c r="E123" i="1" s="1"/>
  <c r="G35" i="1"/>
  <c r="G37" i="1"/>
  <c r="D55" i="1"/>
  <c r="G34" i="1"/>
  <c r="F8" i="1"/>
  <c r="D68" i="1"/>
  <c r="H8" i="1"/>
  <c r="AO72" i="1" a="1"/>
  <c r="G8" i="1"/>
  <c r="D37" i="1"/>
  <c r="D35" i="1"/>
  <c r="D36" i="1"/>
  <c r="D34" i="1"/>
  <c r="G18" i="1" l="1"/>
  <c r="F116" i="1"/>
  <c r="G17" i="1"/>
  <c r="G16" i="1"/>
  <c r="G19" i="1"/>
  <c r="H18" i="1"/>
  <c r="E116" i="1"/>
  <c r="E126" i="1" s="1" a="1"/>
  <c r="H17" i="1"/>
  <c r="H16" i="1"/>
  <c r="H19" i="1"/>
  <c r="AO73" i="1"/>
  <c r="AP72" i="1"/>
  <c r="AO72" i="1"/>
  <c r="AP73" i="1"/>
  <c r="AP74" i="1"/>
  <c r="AP76" i="1"/>
  <c r="AO74" i="1"/>
  <c r="AO75" i="1"/>
  <c r="AP75" i="1"/>
  <c r="AO76" i="1"/>
  <c r="G116" i="1"/>
  <c r="F17" i="1"/>
  <c r="F16" i="1"/>
  <c r="F18" i="1"/>
  <c r="F19" i="1"/>
  <c r="E126" i="1" l="1"/>
  <c r="E128" i="1"/>
  <c r="F128" i="1"/>
  <c r="E127" i="1"/>
  <c r="F126" i="1"/>
  <c r="E129" i="1"/>
  <c r="F127" i="1"/>
  <c r="F129" i="1"/>
  <c r="F130" i="1"/>
  <c r="E130" i="1"/>
</calcChain>
</file>

<file path=xl/sharedStrings.xml><?xml version="1.0" encoding="utf-8"?>
<sst xmlns="http://schemas.openxmlformats.org/spreadsheetml/2006/main" count="436" uniqueCount="255">
  <si>
    <t>Course</t>
  </si>
  <si>
    <t>Faking It 101, Spring '97</t>
  </si>
  <si>
    <t>Notes on this interface with "GradeReport.cgi" are in this color.</t>
  </si>
  <si>
    <t>Faculty</t>
  </si>
  <si>
    <t>martin</t>
  </si>
  <si>
    <t>Dr. Martin</t>
  </si>
  <si>
    <t>Only the first cell after "Course" or "Faculty" is used for grade reports.</t>
  </si>
  <si>
    <t>The words in blue in the first column mark lines with special meaning which are reported to all students.</t>
  </si>
  <si>
    <t>The students' usernames must be used in the left column; their password is verified when they request their grades.</t>
  </si>
  <si>
    <t>Due</t>
  </si>
  <si>
    <t>Jan. 23</t>
  </si>
  <si>
    <t>Jan. 29</t>
  </si>
  <si>
    <t>Feb. 4</t>
  </si>
  <si>
    <t>Feb. 6</t>
  </si>
  <si>
    <t>Feb. 11</t>
  </si>
  <si>
    <t>Feb.21</t>
  </si>
  <si>
    <t>Mar. 2</t>
  </si>
  <si>
    <t>Apr. 24</t>
  </si>
  <si>
    <t>Assignment</t>
  </si>
  <si>
    <t>Last</t>
  </si>
  <si>
    <t>First</t>
  </si>
  <si>
    <t>Grade</t>
  </si>
  <si>
    <t>Total Grade</t>
  </si>
  <si>
    <t>Exams</t>
  </si>
  <si>
    <t>Homework</t>
  </si>
  <si>
    <t>BC1</t>
  </si>
  <si>
    <t>BC2</t>
  </si>
  <si>
    <t>Rs1</t>
  </si>
  <si>
    <t>Rs2</t>
  </si>
  <si>
    <t>Rs3</t>
  </si>
  <si>
    <t>NT1</t>
  </si>
  <si>
    <t>NT2</t>
  </si>
  <si>
    <t>NT3</t>
  </si>
  <si>
    <t>NT4</t>
  </si>
  <si>
    <t>MC1</t>
  </si>
  <si>
    <t>MC2</t>
  </si>
  <si>
    <t>MC3</t>
  </si>
  <si>
    <t>NV1</t>
  </si>
  <si>
    <t>NV2</t>
  </si>
  <si>
    <t>NV3</t>
  </si>
  <si>
    <t>CL1</t>
  </si>
  <si>
    <t>CL2</t>
  </si>
  <si>
    <t>CL3</t>
  </si>
  <si>
    <t>CL4</t>
  </si>
  <si>
    <t>RC1</t>
  </si>
  <si>
    <t>RC2</t>
  </si>
  <si>
    <t>RC3</t>
  </si>
  <si>
    <t>RL1</t>
  </si>
  <si>
    <t>RL2</t>
  </si>
  <si>
    <t>RL3</t>
  </si>
  <si>
    <t>SF1</t>
  </si>
  <si>
    <t>SF2</t>
  </si>
  <si>
    <t>SF3</t>
  </si>
  <si>
    <t>DR1</t>
  </si>
  <si>
    <t>DR2</t>
  </si>
  <si>
    <t>DR3</t>
  </si>
  <si>
    <t>PA1</t>
  </si>
  <si>
    <t>PA2</t>
  </si>
  <si>
    <t>PA3</t>
  </si>
  <si>
    <t>PA4</t>
  </si>
  <si>
    <t>PA5</t>
  </si>
  <si>
    <t>PA6</t>
  </si>
  <si>
    <t>PI1</t>
  </si>
  <si>
    <t>PI2</t>
  </si>
  <si>
    <t>SP1</t>
  </si>
  <si>
    <t>SP2</t>
  </si>
  <si>
    <t>SP3</t>
  </si>
  <si>
    <t>SP4</t>
  </si>
  <si>
    <t>R1</t>
  </si>
  <si>
    <t>R2</t>
  </si>
  <si>
    <t>R3</t>
  </si>
  <si>
    <t>R4</t>
  </si>
  <si>
    <t>R5</t>
  </si>
  <si>
    <t>FR1</t>
  </si>
  <si>
    <t>FR2</t>
  </si>
  <si>
    <t>FR3</t>
  </si>
  <si>
    <t>FR4</t>
  </si>
  <si>
    <t>FR5</t>
  </si>
  <si>
    <t>FR6</t>
  </si>
  <si>
    <t>FR7</t>
  </si>
  <si>
    <t>FR8</t>
  </si>
  <si>
    <t>AF1</t>
  </si>
  <si>
    <t>AF2</t>
  </si>
  <si>
    <t>AF3</t>
  </si>
  <si>
    <t>AF4</t>
  </si>
  <si>
    <t>AF5</t>
  </si>
  <si>
    <t>OA1</t>
  </si>
  <si>
    <t>OA2</t>
  </si>
  <si>
    <t>OA3</t>
  </si>
  <si>
    <t>OA4</t>
  </si>
  <si>
    <t>OA5</t>
  </si>
  <si>
    <t>OA6</t>
  </si>
  <si>
    <t>H1</t>
  </si>
  <si>
    <t>H2</t>
  </si>
  <si>
    <t>WQ1</t>
  </si>
  <si>
    <t>WQ2</t>
  </si>
  <si>
    <t>Total</t>
  </si>
  <si>
    <t>A/F</t>
  </si>
  <si>
    <t>midterm estimate</t>
  </si>
  <si>
    <t>janders</t>
  </si>
  <si>
    <t>Anders</t>
  </si>
  <si>
    <t>John</t>
  </si>
  <si>
    <t>B-</t>
  </si>
  <si>
    <t>C</t>
  </si>
  <si>
    <t>lchriste</t>
  </si>
  <si>
    <t>Christenson</t>
  </si>
  <si>
    <t>Lars</t>
  </si>
  <si>
    <t>B+</t>
  </si>
  <si>
    <t>tfogarty</t>
  </si>
  <si>
    <t>Fogerty</t>
  </si>
  <si>
    <t>Tim</t>
  </si>
  <si>
    <t>B</t>
  </si>
  <si>
    <t>lhenderso</t>
  </si>
  <si>
    <t>Henderson</t>
  </si>
  <si>
    <t>Lee</t>
  </si>
  <si>
    <t>dholmgr</t>
  </si>
  <si>
    <t>Holmgren</t>
  </si>
  <si>
    <t>Debbie</t>
  </si>
  <si>
    <t>F</t>
  </si>
  <si>
    <t>hjohnso</t>
  </si>
  <si>
    <t>Johnson</t>
  </si>
  <si>
    <t>Howard</t>
  </si>
  <si>
    <t>clundgren</t>
  </si>
  <si>
    <t>Lundgren</t>
  </si>
  <si>
    <t>Christa</t>
  </si>
  <si>
    <t>I</t>
  </si>
  <si>
    <t>kpark</t>
  </si>
  <si>
    <t>Park</t>
  </si>
  <si>
    <t>Kim</t>
  </si>
  <si>
    <t>Average</t>
  </si>
  <si>
    <t>StDev</t>
  </si>
  <si>
    <t>Max</t>
  </si>
  <si>
    <t>Min</t>
  </si>
  <si>
    <t>Comments</t>
  </si>
  <si>
    <t>These graphs cover several years of classes.</t>
  </si>
  <si>
    <t>Key</t>
  </si>
  <si>
    <t>BC=Basic Circuits</t>
  </si>
  <si>
    <t>Rs=Resistive Circuits</t>
  </si>
  <si>
    <t>NT=Network Theorems</t>
  </si>
  <si>
    <t>MC=Mesh Current</t>
  </si>
  <si>
    <t>NV=Node Voltage</t>
  </si>
  <si>
    <t>CL=Capacitors &amp; Inductors</t>
  </si>
  <si>
    <t>RC=RC Circuits</t>
  </si>
  <si>
    <t>RL=RL Circuits</t>
  </si>
  <si>
    <t>SF=RLC Source-Free</t>
  </si>
  <si>
    <t>DR=RLC Driven</t>
  </si>
  <si>
    <t>PA=Phasor Analysis</t>
  </si>
  <si>
    <t>PI=Phasors &amp; Impedance</t>
  </si>
  <si>
    <t>SP=Sinusoidal Power</t>
  </si>
  <si>
    <t>R=Resonance</t>
  </si>
  <si>
    <t>FR=Frequency Response (#5 is picky)</t>
  </si>
  <si>
    <t>AF=Active Filters</t>
  </si>
  <si>
    <t>OA=Op Amps</t>
  </si>
  <si>
    <t>H1-Three bulb description</t>
  </si>
  <si>
    <t>H2-Chapter 1:1-17,26,28,29</t>
  </si>
  <si>
    <t>WQ1-WebTest quiz1</t>
  </si>
  <si>
    <t>WQ2-WWWAssign Quiz2</t>
  </si>
  <si>
    <t>Any line without an entry in the first column is private and will never be reported on the web.</t>
  </si>
  <si>
    <t>Note that I can deliver comments both to the whole class (above) and to individual students (below).</t>
  </si>
  <si>
    <t>T1-objective (+10 pts for handwritten form)</t>
  </si>
  <si>
    <t>T1-problems</t>
  </si>
  <si>
    <t>T1-total</t>
  </si>
  <si>
    <t>T2-obj</t>
  </si>
  <si>
    <t>T2-problems</t>
  </si>
  <si>
    <t>T2-total</t>
  </si>
  <si>
    <t>Exam-obj</t>
  </si>
  <si>
    <t>Exam-total</t>
  </si>
  <si>
    <t>Comment</t>
  </si>
  <si>
    <t>Course Grade at midterm</t>
  </si>
  <si>
    <t>Lab Grade at midterm</t>
  </si>
  <si>
    <t>Be consistent!</t>
  </si>
  <si>
    <t>A</t>
  </si>
  <si>
    <t>Much improved on the final! Congrats!</t>
  </si>
  <si>
    <t>See? Studying does work!</t>
  </si>
  <si>
    <t>Can you hand in one more lab by Monday?</t>
  </si>
  <si>
    <t>Give me a call about that letter of recommendation for grad school.</t>
  </si>
  <si>
    <t>I already sent that letter of recommendation for grad school.</t>
  </si>
  <si>
    <t>Come see me when you return to school!</t>
  </si>
  <si>
    <t>Most improved on the final! Congrats!</t>
  </si>
  <si>
    <t>Note that you can list the class several times (or list several classes) in order to create separate sections of the grades.</t>
  </si>
  <si>
    <t>L1=DC lab</t>
  </si>
  <si>
    <t>L2=AC Lab</t>
  </si>
  <si>
    <t>L3=Power Supplies</t>
  </si>
  <si>
    <t>L4=Bipolar Transistors</t>
  </si>
  <si>
    <t>L5=Transistor Switches</t>
  </si>
  <si>
    <t>L6=FETs</t>
  </si>
  <si>
    <t>L7=OpAmps</t>
  </si>
  <si>
    <t>L8=555 Timer and Oral Exam</t>
  </si>
  <si>
    <t>Lab Average</t>
  </si>
  <si>
    <t>Lab Grade</t>
  </si>
  <si>
    <t>L1</t>
  </si>
  <si>
    <t>L2</t>
  </si>
  <si>
    <t>L3</t>
  </si>
  <si>
    <t>L4</t>
  </si>
  <si>
    <t>L6</t>
  </si>
  <si>
    <t>L7</t>
  </si>
  <si>
    <t>L8</t>
  </si>
  <si>
    <t>You can "hide" information used in calculating grades by simply leaving the first column blank:</t>
  </si>
  <si>
    <t>Hmwk</t>
  </si>
  <si>
    <t>I usually keep track of several years of grades so I can compare across classes.</t>
  </si>
  <si>
    <t>Reporting only aggregate data from several classes can keep small classes from "guessing" about who has which grade.</t>
  </si>
  <si>
    <t>I especially enjoy reporting graphs showing correlations between homework and tests in order to motivate students.</t>
  </si>
  <si>
    <t>The graphs below are saved as gifs on my web site and referenced in the "Comments" so that they appear on the students' reports.</t>
  </si>
  <si>
    <t>D</t>
  </si>
  <si>
    <t>hm</t>
  </si>
  <si>
    <t>ex</t>
  </si>
  <si>
    <t>tot</t>
  </si>
  <si>
    <t>91</t>
  </si>
  <si>
    <t>Bowman</t>
  </si>
  <si>
    <t>Kristenson</t>
  </si>
  <si>
    <t>Breckenmeister</t>
  </si>
  <si>
    <t>Dremel</t>
  </si>
  <si>
    <t>Homer</t>
  </si>
  <si>
    <t>Smith</t>
  </si>
  <si>
    <t>Stenson</t>
  </si>
  <si>
    <t>Tran</t>
  </si>
  <si>
    <t>92</t>
  </si>
  <si>
    <t>Banks</t>
  </si>
  <si>
    <t>A-</t>
  </si>
  <si>
    <t>Pearson</t>
  </si>
  <si>
    <t>Carlstrom</t>
  </si>
  <si>
    <t>Hertz</t>
  </si>
  <si>
    <t>Dinter</t>
  </si>
  <si>
    <t>Ephraim</t>
  </si>
  <si>
    <t>Erkle</t>
  </si>
  <si>
    <t>Peterson</t>
  </si>
  <si>
    <t>Franks</t>
  </si>
  <si>
    <t>Holder</t>
  </si>
  <si>
    <t>Nutter</t>
  </si>
  <si>
    <t>Chalmers</t>
  </si>
  <si>
    <t>94</t>
  </si>
  <si>
    <t>Bramer</t>
  </si>
  <si>
    <t>Canfield</t>
  </si>
  <si>
    <t>C+</t>
  </si>
  <si>
    <t>George</t>
  </si>
  <si>
    <t>`95 Spring</t>
  </si>
  <si>
    <t>Anderson</t>
  </si>
  <si>
    <t>Bones</t>
  </si>
  <si>
    <t>Ek</t>
  </si>
  <si>
    <t>Grand</t>
  </si>
  <si>
    <t>D+</t>
  </si>
  <si>
    <t>95 Fall</t>
  </si>
  <si>
    <t>Janks</t>
  </si>
  <si>
    <t>97 Spring</t>
  </si>
  <si>
    <t>Password</t>
  </si>
  <si>
    <t>aaa</t>
  </si>
  <si>
    <t>bbb</t>
  </si>
  <si>
    <t>ccc</t>
  </si>
  <si>
    <t>ddd</t>
  </si>
  <si>
    <t>eee</t>
  </si>
  <si>
    <t>fff</t>
  </si>
  <si>
    <t>ggg</t>
  </si>
  <si>
    <t>hhh</t>
  </si>
  <si>
    <t>&lt;IMG SRC=/LMartin/GradeReport_histogram.GIF&gt;</t>
  </si>
  <si>
    <t>&lt;IMG SRC=/LMartin/GradeReport_scatterplot.GIF&gt;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</si>
</sst>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5" formatCode="[Blue]0;[Red]0;[Red]0"/>
    <numFmt numFmtId="176" formatCode="0.0"/>
  </numFmts>
  <fonts count="50">
    <font>
      <sz val="10"/>
      <name val="Geneva"/>
    </font>
    <font>
      <sz val="12"/>
      <name val="Tms Rmn"/>
    </font>
    <font>
      <sz val="10"/>
      <name val="Tms Rmn"/>
    </font>
    <font>
      <sz val="12"/>
      <color indexed="10"/>
      <name val="Tms Rmn"/>
    </font>
    <font>
      <b/>
      <sz val="12"/>
      <color indexed="10"/>
      <name val="Tms Rmn"/>
    </font>
    <font>
      <b/>
      <sz val="10"/>
      <name val="Tms Rmn"/>
    </font>
    <font>
      <sz val="10"/>
      <color indexed="10"/>
      <name val="Tms Rmn"/>
    </font>
    <font>
      <b/>
      <sz val="12"/>
      <color indexed="12"/>
      <name val="Tms Rmn"/>
    </font>
    <font>
      <sz val="12"/>
      <color indexed="16"/>
      <name val="Tms Rmn"/>
    </font>
    <font>
      <sz val="12"/>
      <color indexed="11"/>
      <name val="Tms Rmn"/>
    </font>
    <font>
      <sz val="12"/>
      <color indexed="14"/>
      <name val="Tms Rmn"/>
    </font>
    <font>
      <b/>
      <sz val="14"/>
      <color indexed="17"/>
      <name val="Tms Rmn"/>
    </font>
    <font>
      <sz val="12"/>
      <color indexed="12"/>
      <name val="Tms Rmn"/>
    </font>
    <font>
      <sz val="12"/>
      <color indexed="20"/>
      <name val="Tms Rmn"/>
    </font>
    <font>
      <b/>
      <sz val="12"/>
      <color indexed="23"/>
      <name val="Tms Rmn"/>
    </font>
    <font>
      <b/>
      <sz val="12"/>
      <name val="Tms Rmn"/>
    </font>
    <font>
      <sz val="10"/>
      <color indexed="16"/>
      <name val="Tms Rmn"/>
    </font>
    <font>
      <sz val="9"/>
      <color indexed="16"/>
      <name val="Tms Rmn"/>
    </font>
    <font>
      <sz val="12"/>
      <color indexed="15"/>
      <name val="Tms Rmn"/>
    </font>
    <font>
      <sz val="10"/>
      <color indexed="20"/>
      <name val="Tms Rmn"/>
    </font>
    <font>
      <sz val="10"/>
      <color indexed="20"/>
      <name val="Geneva"/>
    </font>
    <font>
      <sz val="9"/>
      <color indexed="20"/>
      <name val="Tms Rmn"/>
    </font>
    <font>
      <sz val="10"/>
      <color indexed="11"/>
      <name val="Tms Rmn"/>
    </font>
    <font>
      <sz val="9"/>
      <color indexed="11"/>
      <name val="Tms Rmn"/>
    </font>
    <font>
      <sz val="9"/>
      <color indexed="10"/>
      <name val="Tms Rmn"/>
    </font>
    <font>
      <sz val="10"/>
      <color indexed="19"/>
      <name val="Tms Rmn"/>
    </font>
    <font>
      <sz val="9"/>
      <color indexed="19"/>
      <name val="Tms Rmn"/>
    </font>
    <font>
      <sz val="12"/>
      <color indexed="19"/>
      <name val="Tms Rmn"/>
    </font>
    <font>
      <b/>
      <sz val="10"/>
      <name val="Courier"/>
    </font>
    <font>
      <sz val="10"/>
      <color indexed="22"/>
      <name val="Tms Rmn"/>
    </font>
    <font>
      <sz val="9"/>
      <color indexed="22"/>
      <name val="Tms Rmn"/>
    </font>
    <font>
      <sz val="10"/>
      <color indexed="22"/>
      <name val="Geneva"/>
    </font>
    <font>
      <sz val="9"/>
      <color indexed="15"/>
      <name val="Tms Rmn"/>
    </font>
    <font>
      <sz val="10"/>
      <color indexed="15"/>
      <name val="Tms Rmn"/>
    </font>
    <font>
      <sz val="10"/>
      <color indexed="15"/>
      <name val="Geneva"/>
    </font>
    <font>
      <sz val="12"/>
      <color indexed="20"/>
      <name val="Tms Rmn"/>
    </font>
    <font>
      <b/>
      <sz val="12"/>
      <color indexed="20"/>
      <name val="Tms Rmn"/>
    </font>
    <font>
      <sz val="12"/>
      <color indexed="17"/>
      <name val="Tms Rmn"/>
    </font>
    <font>
      <b/>
      <sz val="12"/>
      <color indexed="17"/>
      <name val="Tms Rmn"/>
    </font>
    <font>
      <sz val="10"/>
      <color indexed="17"/>
      <name val="Geneva"/>
    </font>
    <font>
      <sz val="12"/>
      <color indexed="21"/>
      <name val="Tms Rmn"/>
    </font>
    <font>
      <b/>
      <sz val="12"/>
      <color indexed="21"/>
      <name val="Tms Rmn"/>
    </font>
    <font>
      <sz val="10"/>
      <color indexed="21"/>
      <name val="Tms Rmn"/>
    </font>
    <font>
      <sz val="10"/>
      <color indexed="23"/>
      <name val="Tms Rmn"/>
    </font>
    <font>
      <sz val="12"/>
      <color indexed="14"/>
      <name val="Tms Rmn"/>
    </font>
    <font>
      <sz val="10"/>
      <color indexed="12"/>
      <name val="Tms Rmn"/>
    </font>
    <font>
      <sz val="12"/>
      <color indexed="12"/>
      <name val="Tms Rmn"/>
    </font>
    <font>
      <b/>
      <sz val="12"/>
      <color indexed="14"/>
      <name val="Tms Rmn"/>
    </font>
    <font>
      <b/>
      <sz val="12"/>
      <color indexed="11"/>
      <name val="Tms Rmn"/>
    </font>
    <font>
      <b/>
      <sz val="12"/>
      <color indexed="19"/>
      <name val="Tms Rm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172" fontId="3" fillId="0" borderId="0" xfId="0" applyNumberFormat="1" applyFont="1"/>
    <xf numFmtId="172" fontId="4" fillId="0" borderId="0" xfId="0" applyNumberFormat="1" applyFont="1"/>
    <xf numFmtId="0" fontId="5" fillId="0" borderId="0" xfId="0" applyFont="1" applyAlignment="1">
      <alignment horizontal="right"/>
    </xf>
    <xf numFmtId="9" fontId="6" fillId="0" borderId="0" xfId="0" applyNumberFormat="1" applyFont="1"/>
    <xf numFmtId="172" fontId="4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left"/>
    </xf>
    <xf numFmtId="0" fontId="1" fillId="0" borderId="2" xfId="0" applyFont="1" applyBorder="1"/>
    <xf numFmtId="0" fontId="2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" fontId="1" fillId="0" borderId="0" xfId="0" applyNumberFormat="1" applyFont="1"/>
    <xf numFmtId="15" fontId="1" fillId="0" borderId="0" xfId="0" applyNumberFormat="1" applyFont="1"/>
    <xf numFmtId="0" fontId="9" fillId="0" borderId="0" xfId="0" applyFont="1"/>
    <xf numFmtId="0" fontId="10" fillId="0" borderId="0" xfId="0" applyFont="1"/>
    <xf numFmtId="0" fontId="1" fillId="0" borderId="4" xfId="0" applyFont="1" applyBorder="1"/>
    <xf numFmtId="9" fontId="2" fillId="0" borderId="0" xfId="0" applyNumberFormat="1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 applyBorder="1" applyAlignment="1">
      <alignment horizontal="right"/>
    </xf>
    <xf numFmtId="0" fontId="14" fillId="0" borderId="0" xfId="0" applyFont="1"/>
    <xf numFmtId="0" fontId="3" fillId="0" borderId="0" xfId="0" applyFont="1"/>
    <xf numFmtId="0" fontId="15" fillId="0" borderId="0" xfId="0" applyFont="1"/>
    <xf numFmtId="0" fontId="16" fillId="0" borderId="0" xfId="0" applyFont="1"/>
    <xf numFmtId="9" fontId="17" fillId="0" borderId="0" xfId="0" applyNumberFormat="1" applyFont="1"/>
    <xf numFmtId="0" fontId="19" fillId="0" borderId="0" xfId="0" applyFont="1"/>
    <xf numFmtId="0" fontId="20" fillId="0" borderId="0" xfId="0" applyFont="1"/>
    <xf numFmtId="9" fontId="21" fillId="0" borderId="0" xfId="0" applyNumberFormat="1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9" fontId="23" fillId="0" borderId="0" xfId="0" applyNumberFormat="1" applyFont="1"/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6" fontId="24" fillId="0" borderId="0" xfId="0" applyNumberFormat="1" applyFont="1"/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2" fillId="0" borderId="1" xfId="0" applyFont="1" applyBorder="1"/>
    <xf numFmtId="172" fontId="3" fillId="0" borderId="0" xfId="0" applyNumberFormat="1" applyFont="1" applyBorder="1"/>
    <xf numFmtId="9" fontId="2" fillId="0" borderId="1" xfId="0" applyNumberFormat="1" applyFont="1" applyBorder="1"/>
    <xf numFmtId="0" fontId="15" fillId="0" borderId="1" xfId="0" applyFont="1" applyBorder="1"/>
    <xf numFmtId="172" fontId="24" fillId="0" borderId="0" xfId="0" applyNumberFormat="1" applyFont="1"/>
    <xf numFmtId="0" fontId="25" fillId="0" borderId="0" xfId="0" applyFont="1"/>
    <xf numFmtId="9" fontId="26" fillId="0" borderId="0" xfId="0" applyNumberFormat="1" applyFont="1"/>
    <xf numFmtId="172" fontId="25" fillId="0" borderId="0" xfId="0" applyNumberFormat="1" applyFont="1"/>
    <xf numFmtId="0" fontId="27" fillId="0" borderId="0" xfId="0" applyFont="1"/>
    <xf numFmtId="0" fontId="1" fillId="0" borderId="0" xfId="0" applyFont="1" applyBorder="1"/>
    <xf numFmtId="175" fontId="1" fillId="0" borderId="0" xfId="0" applyNumberFormat="1" applyFont="1" applyBorder="1"/>
    <xf numFmtId="0" fontId="0" fillId="0" borderId="0" xfId="0" applyBorder="1"/>
    <xf numFmtId="0" fontId="9" fillId="0" borderId="0" xfId="0" applyFont="1" applyBorder="1"/>
    <xf numFmtId="175" fontId="18" fillId="0" borderId="0" xfId="0" applyNumberFormat="1" applyFont="1" applyBorder="1"/>
    <xf numFmtId="2" fontId="1" fillId="0" borderId="0" xfId="0" applyNumberFormat="1" applyFont="1" applyBorder="1"/>
    <xf numFmtId="10" fontId="28" fillId="0" borderId="0" xfId="0" applyNumberFormat="1" applyFont="1" applyAlignment="1">
      <alignment horizontal="center"/>
    </xf>
    <xf numFmtId="0" fontId="29" fillId="0" borderId="0" xfId="0" applyFont="1"/>
    <xf numFmtId="9" fontId="30" fillId="0" borderId="0" xfId="0" applyNumberFormat="1" applyFont="1"/>
    <xf numFmtId="0" fontId="31" fillId="0" borderId="0" xfId="0" applyFont="1"/>
    <xf numFmtId="9" fontId="32" fillId="0" borderId="0" xfId="0" applyNumberFormat="1" applyFont="1"/>
    <xf numFmtId="0" fontId="33" fillId="0" borderId="0" xfId="0" applyFont="1"/>
    <xf numFmtId="0" fontId="34" fillId="0" borderId="0" xfId="0" applyFont="1"/>
    <xf numFmtId="172" fontId="35" fillId="0" borderId="0" xfId="0" applyNumberFormat="1" applyFont="1" applyBorder="1"/>
    <xf numFmtId="172" fontId="36" fillId="0" borderId="1" xfId="0" applyNumberFormat="1" applyFont="1" applyBorder="1"/>
    <xf numFmtId="172" fontId="35" fillId="0" borderId="0" xfId="0" applyNumberFormat="1" applyFont="1"/>
    <xf numFmtId="172" fontId="35" fillId="0" borderId="1" xfId="0" applyNumberFormat="1" applyFont="1" applyBorder="1"/>
    <xf numFmtId="0" fontId="49" fillId="0" borderId="0" xfId="0" applyFont="1"/>
    <xf numFmtId="172" fontId="36" fillId="0" borderId="0" xfId="0" applyNumberFormat="1" applyFont="1"/>
    <xf numFmtId="172" fontId="37" fillId="0" borderId="0" xfId="0" applyNumberFormat="1" applyFont="1"/>
    <xf numFmtId="172" fontId="37" fillId="0" borderId="1" xfId="0" applyNumberFormat="1" applyFont="1" applyBorder="1"/>
    <xf numFmtId="172" fontId="38" fillId="0" borderId="0" xfId="0" applyNumberFormat="1" applyFont="1"/>
    <xf numFmtId="0" fontId="38" fillId="0" borderId="0" xfId="0" applyFont="1" applyAlignment="1">
      <alignment horizontal="left"/>
    </xf>
    <xf numFmtId="0" fontId="39" fillId="0" borderId="1" xfId="0" applyFont="1" applyBorder="1"/>
    <xf numFmtId="0" fontId="37" fillId="0" borderId="1" xfId="0" applyFont="1" applyBorder="1" applyAlignment="1">
      <alignment horizontal="center"/>
    </xf>
    <xf numFmtId="172" fontId="38" fillId="0" borderId="0" xfId="0" applyNumberFormat="1" applyFont="1" applyAlignment="1">
      <alignment horizontal="center"/>
    </xf>
    <xf numFmtId="172" fontId="38" fillId="0" borderId="1" xfId="0" applyNumberFormat="1" applyFont="1" applyBorder="1" applyAlignment="1">
      <alignment horizontal="center"/>
    </xf>
    <xf numFmtId="0" fontId="37" fillId="0" borderId="0" xfId="0" applyFont="1"/>
    <xf numFmtId="172" fontId="40" fillId="0" borderId="0" xfId="0" applyNumberFormat="1" applyFont="1"/>
    <xf numFmtId="172" fontId="41" fillId="0" borderId="0" xfId="0" applyNumberFormat="1" applyFont="1"/>
    <xf numFmtId="0" fontId="42" fillId="0" borderId="0" xfId="0" applyFont="1" applyAlignment="1">
      <alignment horizontal="right"/>
    </xf>
    <xf numFmtId="0" fontId="40" fillId="0" borderId="1" xfId="0" applyFont="1" applyBorder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172" fontId="4" fillId="0" borderId="0" xfId="0" applyNumberFormat="1" applyFont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9" fontId="43" fillId="0" borderId="0" xfId="0" applyNumberFormat="1" applyFont="1"/>
    <xf numFmtId="172" fontId="3" fillId="0" borderId="1" xfId="0" applyNumberFormat="1" applyFont="1" applyBorder="1"/>
    <xf numFmtId="0" fontId="44" fillId="0" borderId="0" xfId="0" applyFont="1"/>
    <xf numFmtId="0" fontId="45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6" fillId="0" borderId="0" xfId="0" applyFont="1"/>
    <xf numFmtId="172" fontId="10" fillId="0" borderId="0" xfId="0" applyNumberFormat="1" applyFont="1" applyBorder="1"/>
    <xf numFmtId="172" fontId="47" fillId="0" borderId="1" xfId="0" applyNumberFormat="1" applyFont="1" applyBorder="1"/>
    <xf numFmtId="172" fontId="10" fillId="0" borderId="0" xfId="0" applyNumberFormat="1" applyFont="1"/>
    <xf numFmtId="172" fontId="10" fillId="0" borderId="1" xfId="0" applyNumberFormat="1" applyFont="1" applyBorder="1"/>
    <xf numFmtId="172" fontId="47" fillId="0" borderId="0" xfId="0" applyNumberFormat="1" applyFont="1"/>
    <xf numFmtId="0" fontId="48" fillId="0" borderId="0" xfId="0" applyFont="1"/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Grades - 1991-1997</a:t>
            </a:r>
          </a:p>
        </c:rich>
      </c:tx>
      <c:layout>
        <c:manualLayout>
          <c:xMode val="edge"/>
          <c:yMode val="edge"/>
          <c:x val="0.26297797292180131"/>
          <c:y val="4.08177914523579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0484553791485"/>
          <c:y val="0.30358232392691242"/>
          <c:w val="0.84796979023764507"/>
          <c:h val="0.52552906494910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'Grades-FakingIt'!$I$81:$M$81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'Grades-FakingIt'!$I$82:$M$82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3-4F3A-8DCC-F76E85213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77174783"/>
        <c:axId val="1"/>
      </c:barChart>
      <c:catAx>
        <c:axId val="87717478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7174783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>
      <c:oddHeader>&amp;F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Exams vs. Homework
1992-1997</a:t>
            </a:r>
          </a:p>
        </c:rich>
      </c:tx>
      <c:layout>
        <c:manualLayout>
          <c:xMode val="edge"/>
          <c:yMode val="edge"/>
          <c:x val="0.32403293943200751"/>
          <c:y val="3.34582929114076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60324453379699"/>
          <c:y val="0.28997187189886636"/>
          <c:w val="0.76538815003767302"/>
          <c:h val="0.526038716329353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'Grades-FakingIt'!$F$84</c:f>
              <c:strCache>
                <c:ptCount val="1"/>
                <c:pt idx="0">
                  <c:v>ex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'Grades-FakingIt'!$E$100:$E$123</c:f>
              <c:numCache>
                <c:formatCode>0%</c:formatCode>
                <c:ptCount val="24"/>
                <c:pt idx="0">
                  <c:v>0.573943661971831</c:v>
                </c:pt>
                <c:pt idx="1">
                  <c:v>0.32042253521126762</c:v>
                </c:pt>
                <c:pt idx="2">
                  <c:v>1</c:v>
                </c:pt>
                <c:pt idx="3">
                  <c:v>0.62687793427230043</c:v>
                </c:pt>
                <c:pt idx="4">
                  <c:v>0.49247149564050979</c:v>
                </c:pt>
                <c:pt idx="5">
                  <c:v>0.926056338028169</c:v>
                </c:pt>
                <c:pt idx="6">
                  <c:v>0.53819444444444442</c:v>
                </c:pt>
                <c:pt idx="7">
                  <c:v>0.90655864197530889</c:v>
                </c:pt>
                <c:pt idx="8">
                  <c:v>0.88946759259259267</c:v>
                </c:pt>
                <c:pt idx="9">
                  <c:v>0.55972222222222223</c:v>
                </c:pt>
                <c:pt idx="10">
                  <c:v>0.36481481481481487</c:v>
                </c:pt>
                <c:pt idx="11">
                  <c:v>0.95555555555555549</c:v>
                </c:pt>
                <c:pt idx="12">
                  <c:v>0.7605620787127636</c:v>
                </c:pt>
                <c:pt idx="13">
                  <c:v>0.92221135029354184</c:v>
                </c:pt>
                <c:pt idx="14">
                  <c:v>0.48597521200260924</c:v>
                </c:pt>
                <c:pt idx="15">
                  <c:v>0.92374429223744292</c:v>
                </c:pt>
                <c:pt idx="16">
                  <c:v>0.41803797468354431</c:v>
                </c:pt>
                <c:pt idx="17">
                  <c:v>0.7291817359855336</c:v>
                </c:pt>
                <c:pt idx="18">
                  <c:v>0.45052742616033747</c:v>
                </c:pt>
                <c:pt idx="19">
                  <c:v>0.60676612417118747</c:v>
                </c:pt>
                <c:pt idx="20">
                  <c:v>0.40907172995780594</c:v>
                </c:pt>
                <c:pt idx="21">
                  <c:v>0.75443037974683547</c:v>
                </c:pt>
                <c:pt idx="22">
                  <c:v>1.2025316455696202E-2</c:v>
                </c:pt>
                <c:pt idx="23">
                  <c:v>0.70949367088607596</c:v>
                </c:pt>
              </c:numCache>
            </c:numRef>
          </c:xVal>
          <c:yVal>
            <c:numRef>
              <c:f>'Grades-FakingIt'!$F$100:$F$123</c:f>
              <c:numCache>
                <c:formatCode>0%</c:formatCode>
                <c:ptCount val="24"/>
                <c:pt idx="0">
                  <c:v>0.66797901797901804</c:v>
                </c:pt>
                <c:pt idx="1">
                  <c:v>0.34526929526929528</c:v>
                </c:pt>
                <c:pt idx="2">
                  <c:v>0.82585312585312598</c:v>
                </c:pt>
                <c:pt idx="3">
                  <c:v>0.77537927537927542</c:v>
                </c:pt>
                <c:pt idx="4">
                  <c:v>0.359012909012909</c:v>
                </c:pt>
                <c:pt idx="5">
                  <c:v>0.74424359424359421</c:v>
                </c:pt>
                <c:pt idx="6">
                  <c:v>0.56457627118644071</c:v>
                </c:pt>
                <c:pt idx="7">
                  <c:v>0.62518832391713752</c:v>
                </c:pt>
                <c:pt idx="8">
                  <c:v>0.59177024482109231</c:v>
                </c:pt>
                <c:pt idx="9">
                  <c:v>0.62906779661016954</c:v>
                </c:pt>
                <c:pt idx="10">
                  <c:v>0.36706214689265537</c:v>
                </c:pt>
                <c:pt idx="11">
                  <c:v>0.85197740112994358</c:v>
                </c:pt>
                <c:pt idx="12">
                  <c:v>0.57376847290640398</c:v>
                </c:pt>
                <c:pt idx="13">
                  <c:v>0.83019293924466331</c:v>
                </c:pt>
                <c:pt idx="14">
                  <c:v>0.24018883415435141</c:v>
                </c:pt>
                <c:pt idx="15">
                  <c:v>0.84150246305418719</c:v>
                </c:pt>
                <c:pt idx="16">
                  <c:v>0.50530379863544173</c:v>
                </c:pt>
                <c:pt idx="17">
                  <c:v>0.7174665007068658</c:v>
                </c:pt>
                <c:pt idx="18">
                  <c:v>0.65730530456696779</c:v>
                </c:pt>
                <c:pt idx="19">
                  <c:v>0.60860532300694581</c:v>
                </c:pt>
                <c:pt idx="20">
                  <c:v>0.60695648165222194</c:v>
                </c:pt>
                <c:pt idx="21">
                  <c:v>0.72289015919847566</c:v>
                </c:pt>
                <c:pt idx="22">
                  <c:v>0.60227272727272729</c:v>
                </c:pt>
                <c:pt idx="23">
                  <c:v>0.6209109349068781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9-49FA-A1C0-F54981E45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77247"/>
        <c:axId val="1"/>
      </c:scatterChart>
      <c:valAx>
        <c:axId val="763577247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Homework</a:t>
                </a:r>
              </a:p>
            </c:rich>
          </c:tx>
          <c:layout>
            <c:manualLayout>
              <c:xMode val="edge"/>
              <c:yMode val="edge"/>
              <c:x val="0.48046263433021807"/>
              <c:y val="0.8959387324054717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Exams</a:t>
                </a:r>
              </a:p>
            </c:rich>
          </c:tx>
          <c:layout>
            <c:manualLayout>
              <c:xMode val="edge"/>
              <c:yMode val="edge"/>
              <c:x val="3.4917342611207706E-2"/>
              <c:y val="0.4907216293673122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3577247"/>
        <c:crosses val="autoZero"/>
        <c:crossBetween val="midCat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101600</xdr:colOff>
      <xdr:row>83</xdr:row>
      <xdr:rowOff>38100</xdr:rowOff>
    </xdr:from>
    <xdr:to>
      <xdr:col>21</xdr:col>
      <xdr:colOff>203200</xdr:colOff>
      <xdr:row>98</xdr:row>
      <xdr:rowOff>50800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37DB6330-A53C-4BF1-A2C1-AE9B8D4AC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69850</xdr:colOff>
      <xdr:row>99</xdr:row>
      <xdr:rowOff>12700</xdr:rowOff>
    </xdr:from>
    <xdr:to>
      <xdr:col>23</xdr:col>
      <xdr:colOff>247650</xdr:colOff>
      <xdr:row>119</xdr:row>
      <xdr:rowOff>127000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8B480592-2AEA-4197-A64E-49CDF6CB7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30"/>
  <sheetViews>
    <sheetView tabSelected="1" workbookViewId="0">
      <selection activeCell="Q21" sqref="Q21"/>
    </sheetView>
  </sheetViews>
  <sheetFormatPr defaultColWidth="4.7265625" defaultRowHeight="13" customHeight="1"/>
  <cols>
    <col min="1" max="2" width="10.7265625" style="1" customWidth="1"/>
    <col min="3" max="3" width="7.7265625" style="1" customWidth="1"/>
    <col min="4" max="4" width="10.26953125" style="1" customWidth="1"/>
    <col min="5" max="5" width="8.7265625" style="1" customWidth="1"/>
    <col min="6" max="6" width="10" style="1" customWidth="1"/>
    <col min="7" max="8" width="9.453125" style="1" customWidth="1"/>
    <col min="9" max="9" width="5.7265625" style="1" customWidth="1"/>
    <col min="10" max="10" width="7.81640625" style="1" customWidth="1"/>
    <col min="11" max="11" width="5.7265625" style="1" customWidth="1"/>
    <col min="12" max="12" width="10.81640625" style="1" customWidth="1"/>
    <col min="13" max="13" width="8.7265625" style="1" customWidth="1"/>
    <col min="14" max="33" width="3.7265625" style="1" customWidth="1"/>
    <col min="34" max="34" width="4.81640625" style="1" customWidth="1"/>
    <col min="35" max="50" width="3.7265625" style="1" customWidth="1"/>
    <col min="51" max="51" width="3.81640625" style="1" customWidth="1"/>
    <col min="52" max="77" width="3.7265625" style="1" customWidth="1"/>
    <col min="78" max="16384" width="4.7265625" style="1"/>
  </cols>
  <sheetData>
    <row r="1" spans="1:82" ht="16" customHeight="1">
      <c r="A1" s="12" t="s">
        <v>0</v>
      </c>
      <c r="B1" s="25" t="s">
        <v>1</v>
      </c>
      <c r="E1" s="72" t="s">
        <v>2</v>
      </c>
      <c r="F1"/>
      <c r="G1"/>
      <c r="H1"/>
      <c r="I1"/>
      <c r="M1" s="15"/>
      <c r="N1"/>
      <c r="P1" s="20"/>
      <c r="W1" s="15"/>
      <c r="X1"/>
      <c r="AB1"/>
      <c r="AH1"/>
      <c r="AN1"/>
      <c r="AP1"/>
      <c r="AZ1"/>
      <c r="BM1"/>
    </row>
    <row r="2" spans="1:82" ht="16" customHeight="1">
      <c r="A2" s="12" t="s">
        <v>3</v>
      </c>
      <c r="B2" s="25" t="s">
        <v>4</v>
      </c>
      <c r="C2" s="25" t="s">
        <v>5</v>
      </c>
      <c r="E2" s="72" t="s">
        <v>6</v>
      </c>
      <c r="F2"/>
      <c r="G2"/>
      <c r="H2"/>
      <c r="I2"/>
      <c r="M2" s="15"/>
      <c r="N2"/>
      <c r="P2" s="20"/>
      <c r="W2" s="15"/>
      <c r="X2"/>
      <c r="AB2"/>
      <c r="AH2"/>
      <c r="AN2"/>
      <c r="AP2"/>
      <c r="AZ2"/>
      <c r="BM2"/>
    </row>
    <row r="3" spans="1:82" ht="16" customHeight="1">
      <c r="A3" s="12"/>
      <c r="B3" s="72" t="s">
        <v>7</v>
      </c>
      <c r="C3" s="25"/>
      <c r="E3" s="102"/>
      <c r="F3"/>
      <c r="G3"/>
      <c r="H3"/>
      <c r="I3"/>
      <c r="M3" s="15"/>
      <c r="N3"/>
      <c r="P3" s="20"/>
      <c r="W3" s="15"/>
      <c r="X3"/>
      <c r="AB3"/>
      <c r="AH3"/>
      <c r="AN3"/>
      <c r="AP3"/>
      <c r="AZ3"/>
      <c r="BM3"/>
    </row>
    <row r="4" spans="1:82" ht="16" customHeight="1">
      <c r="A4" s="12"/>
      <c r="B4" s="72" t="s">
        <v>8</v>
      </c>
      <c r="C4" s="25"/>
      <c r="E4" s="102"/>
      <c r="F4"/>
      <c r="G4"/>
      <c r="H4"/>
      <c r="I4"/>
      <c r="M4" s="15"/>
      <c r="N4"/>
      <c r="P4" s="20"/>
      <c r="W4" s="15"/>
      <c r="X4"/>
      <c r="AB4"/>
      <c r="AH4"/>
      <c r="AN4"/>
      <c r="AP4"/>
      <c r="AZ4"/>
      <c r="BM4"/>
    </row>
    <row r="5" spans="1:82" ht="16" customHeight="1">
      <c r="A5" s="12" t="s">
        <v>9</v>
      </c>
      <c r="B5" s="25"/>
      <c r="F5"/>
      <c r="G5"/>
      <c r="H5"/>
      <c r="I5" s="19" t="s">
        <v>10</v>
      </c>
      <c r="M5" s="15"/>
      <c r="N5" s="1" t="s">
        <v>11</v>
      </c>
      <c r="P5" s="20"/>
      <c r="W5" s="15"/>
      <c r="X5" s="18" t="s">
        <v>12</v>
      </c>
      <c r="AB5" s="18" t="s">
        <v>13</v>
      </c>
      <c r="AH5" s="18" t="s">
        <v>14</v>
      </c>
      <c r="AN5" s="22" t="s">
        <v>15</v>
      </c>
      <c r="AP5"/>
      <c r="AZ5" s="22" t="s">
        <v>16</v>
      </c>
      <c r="BM5" s="22" t="s">
        <v>17</v>
      </c>
    </row>
    <row r="6" spans="1:82" s="3" customFormat="1" ht="13" customHeight="1">
      <c r="A6" s="12" t="s">
        <v>18</v>
      </c>
      <c r="B6" s="42" t="s">
        <v>244</v>
      </c>
      <c r="C6" s="42" t="s">
        <v>19</v>
      </c>
      <c r="D6" s="42" t="s">
        <v>20</v>
      </c>
      <c r="E6" s="87" t="s">
        <v>21</v>
      </c>
      <c r="F6" s="47" t="s">
        <v>22</v>
      </c>
      <c r="G6" s="97" t="s">
        <v>23</v>
      </c>
      <c r="H6" s="97" t="s">
        <v>24</v>
      </c>
      <c r="I6"/>
      <c r="J6" s="3" t="s">
        <v>25</v>
      </c>
      <c r="K6" s="3" t="s">
        <v>26</v>
      </c>
      <c r="L6" s="3" t="s">
        <v>27</v>
      </c>
      <c r="M6" s="3" t="s">
        <v>28</v>
      </c>
      <c r="N6" s="16" t="s">
        <v>29</v>
      </c>
      <c r="O6" s="3" t="s">
        <v>30</v>
      </c>
      <c r="P6" s="3" t="s">
        <v>31</v>
      </c>
      <c r="Q6" s="3" t="s">
        <v>32</v>
      </c>
      <c r="R6" s="3" t="s">
        <v>33</v>
      </c>
      <c r="S6" s="3" t="s">
        <v>34</v>
      </c>
      <c r="T6" s="3" t="s">
        <v>35</v>
      </c>
      <c r="U6" s="3" t="s">
        <v>36</v>
      </c>
      <c r="V6" s="3" t="s">
        <v>37</v>
      </c>
      <c r="W6" s="3" t="s">
        <v>38</v>
      </c>
      <c r="X6" s="16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44</v>
      </c>
      <c r="AD6" s="3" t="s">
        <v>45</v>
      </c>
      <c r="AE6" s="3" t="s">
        <v>46</v>
      </c>
      <c r="AF6" s="3" t="s">
        <v>47</v>
      </c>
      <c r="AG6" s="3" t="s">
        <v>48</v>
      </c>
      <c r="AH6" s="3" t="s">
        <v>49</v>
      </c>
      <c r="AI6" s="28" t="s">
        <v>50</v>
      </c>
      <c r="AJ6" s="3" t="s">
        <v>51</v>
      </c>
      <c r="AK6" s="3" t="s">
        <v>52</v>
      </c>
      <c r="AL6" s="3" t="s">
        <v>53</v>
      </c>
      <c r="AM6" s="3" t="s">
        <v>54</v>
      </c>
      <c r="AN6" s="3" t="s">
        <v>55</v>
      </c>
      <c r="AO6" s="3" t="s">
        <v>56</v>
      </c>
      <c r="AP6" s="3" t="s">
        <v>57</v>
      </c>
      <c r="AQ6" s="28" t="s">
        <v>58</v>
      </c>
      <c r="AR6" s="3" t="s">
        <v>59</v>
      </c>
      <c r="AS6" s="3" t="s">
        <v>60</v>
      </c>
      <c r="AT6" s="3" t="s">
        <v>61</v>
      </c>
      <c r="AU6" s="3" t="s">
        <v>62</v>
      </c>
      <c r="AV6" s="3" t="s">
        <v>63</v>
      </c>
      <c r="AW6" s="3" t="s">
        <v>64</v>
      </c>
      <c r="AX6" s="3" t="s">
        <v>65</v>
      </c>
      <c r="AY6" s="3" t="s">
        <v>66</v>
      </c>
      <c r="AZ6" s="3" t="s">
        <v>67</v>
      </c>
      <c r="BA6" s="3" t="s">
        <v>68</v>
      </c>
      <c r="BB6" s="3" t="s">
        <v>69</v>
      </c>
      <c r="BC6" s="3" t="s">
        <v>70</v>
      </c>
      <c r="BD6" s="3" t="s">
        <v>71</v>
      </c>
      <c r="BE6" s="3" t="s">
        <v>72</v>
      </c>
      <c r="BF6" s="3" t="s">
        <v>73</v>
      </c>
      <c r="BG6" s="3" t="s">
        <v>74</v>
      </c>
      <c r="BH6" s="3" t="s">
        <v>75</v>
      </c>
      <c r="BI6" s="3" t="s">
        <v>76</v>
      </c>
      <c r="BJ6" s="8" t="s">
        <v>77</v>
      </c>
      <c r="BK6" s="3" t="s">
        <v>78</v>
      </c>
      <c r="BL6" s="3" t="s">
        <v>79</v>
      </c>
      <c r="BM6" s="3" t="s">
        <v>80</v>
      </c>
      <c r="BN6" s="3" t="s">
        <v>81</v>
      </c>
      <c r="BO6" s="3" t="s">
        <v>82</v>
      </c>
      <c r="BP6" s="3" t="s">
        <v>83</v>
      </c>
      <c r="BQ6" s="3" t="s">
        <v>84</v>
      </c>
      <c r="BR6" s="3" t="s">
        <v>85</v>
      </c>
      <c r="BS6" s="3" t="s">
        <v>86</v>
      </c>
      <c r="BT6" s="3" t="s">
        <v>87</v>
      </c>
      <c r="BU6" s="3" t="s">
        <v>88</v>
      </c>
      <c r="BV6" s="3" t="s">
        <v>89</v>
      </c>
      <c r="BW6" s="3" t="s">
        <v>90</v>
      </c>
      <c r="BX6" s="3" t="s">
        <v>91</v>
      </c>
      <c r="BY6" s="3" t="s">
        <v>92</v>
      </c>
      <c r="BZ6" s="3" t="s">
        <v>93</v>
      </c>
      <c r="CB6" s="3" t="s">
        <v>94</v>
      </c>
      <c r="CC6" s="3" t="s">
        <v>95</v>
      </c>
    </row>
    <row r="7" spans="1:82" s="2" customFormat="1" ht="13" customHeight="1">
      <c r="A7" s="103" t="s">
        <v>96</v>
      </c>
      <c r="E7" s="88" t="s">
        <v>97</v>
      </c>
      <c r="F7" s="10">
        <f>1</f>
        <v>1</v>
      </c>
      <c r="G7" s="98">
        <f>1</f>
        <v>1</v>
      </c>
      <c r="H7" s="98">
        <f>1</f>
        <v>1</v>
      </c>
      <c r="I7" s="88" t="s">
        <v>98</v>
      </c>
      <c r="J7" s="2">
        <v>5</v>
      </c>
      <c r="K7" s="2">
        <v>5</v>
      </c>
      <c r="L7" s="2">
        <v>4</v>
      </c>
      <c r="M7" s="2">
        <v>4</v>
      </c>
      <c r="N7" s="17">
        <v>4</v>
      </c>
      <c r="O7" s="2">
        <v>2</v>
      </c>
      <c r="P7" s="2">
        <v>3</v>
      </c>
      <c r="Q7" s="2">
        <v>4</v>
      </c>
      <c r="R7" s="2">
        <v>5</v>
      </c>
      <c r="S7" s="2">
        <v>3</v>
      </c>
      <c r="T7" s="2">
        <v>3</v>
      </c>
      <c r="U7" s="2">
        <v>3</v>
      </c>
      <c r="V7" s="2">
        <v>2</v>
      </c>
      <c r="W7" s="2">
        <v>2</v>
      </c>
      <c r="X7" s="17">
        <v>4</v>
      </c>
      <c r="Y7" s="2">
        <v>2</v>
      </c>
      <c r="Z7" s="2">
        <v>2</v>
      </c>
      <c r="AA7" s="2">
        <v>4</v>
      </c>
      <c r="AB7" s="2">
        <v>4</v>
      </c>
      <c r="AC7" s="2">
        <v>2</v>
      </c>
      <c r="AD7" s="2">
        <v>2</v>
      </c>
      <c r="AE7" s="2">
        <v>2</v>
      </c>
      <c r="AF7" s="2">
        <v>2</v>
      </c>
      <c r="AG7" s="5">
        <v>2</v>
      </c>
      <c r="AH7" s="5">
        <v>2</v>
      </c>
      <c r="AI7" s="5">
        <v>5</v>
      </c>
      <c r="AJ7" s="5">
        <v>6</v>
      </c>
      <c r="AK7" s="2">
        <v>6</v>
      </c>
      <c r="AL7" s="2">
        <v>5</v>
      </c>
      <c r="AM7" s="2">
        <v>5</v>
      </c>
      <c r="AN7" s="2">
        <v>6</v>
      </c>
      <c r="AO7" s="2">
        <v>4</v>
      </c>
      <c r="AP7" s="2">
        <v>4</v>
      </c>
      <c r="AQ7" s="2">
        <v>4</v>
      </c>
      <c r="AR7" s="2">
        <v>4</v>
      </c>
      <c r="AS7" s="2">
        <v>4</v>
      </c>
      <c r="AT7" s="2">
        <v>4</v>
      </c>
      <c r="AU7" s="2">
        <v>9</v>
      </c>
      <c r="AV7" s="2">
        <v>8</v>
      </c>
      <c r="AW7" s="2">
        <v>8</v>
      </c>
      <c r="AX7" s="2">
        <v>9</v>
      </c>
      <c r="AY7" s="2">
        <v>6</v>
      </c>
      <c r="AZ7" s="2">
        <v>5</v>
      </c>
      <c r="BA7" s="2">
        <v>5</v>
      </c>
      <c r="BB7" s="2">
        <v>4</v>
      </c>
      <c r="BC7" s="2">
        <v>4</v>
      </c>
      <c r="BD7" s="2">
        <v>4</v>
      </c>
      <c r="BE7" s="2">
        <v>3</v>
      </c>
      <c r="BF7" s="2">
        <v>7</v>
      </c>
      <c r="BG7" s="2">
        <v>7</v>
      </c>
      <c r="BH7" s="2">
        <v>1</v>
      </c>
      <c r="BI7" s="2">
        <v>1</v>
      </c>
      <c r="BJ7" s="2">
        <v>1</v>
      </c>
      <c r="BK7" s="2">
        <v>1</v>
      </c>
      <c r="BL7" s="2">
        <v>8</v>
      </c>
      <c r="BM7" s="2">
        <v>8</v>
      </c>
      <c r="BN7" s="2">
        <v>8</v>
      </c>
      <c r="BO7" s="2">
        <v>8</v>
      </c>
      <c r="BP7" s="2">
        <v>5</v>
      </c>
      <c r="BQ7" s="2">
        <v>4</v>
      </c>
      <c r="BR7" s="2">
        <v>5</v>
      </c>
      <c r="BS7" s="2">
        <v>4</v>
      </c>
      <c r="BT7" s="2">
        <v>4</v>
      </c>
      <c r="BU7" s="2">
        <v>3</v>
      </c>
      <c r="BV7" s="2">
        <v>2</v>
      </c>
      <c r="BW7" s="2">
        <v>2</v>
      </c>
      <c r="BX7" s="2">
        <v>2</v>
      </c>
      <c r="BY7" s="2">
        <v>10</v>
      </c>
      <c r="BZ7" s="2">
        <v>10</v>
      </c>
      <c r="CB7" s="2">
        <v>16</v>
      </c>
      <c r="CC7" s="2">
        <v>40</v>
      </c>
    </row>
    <row r="8" spans="1:82" ht="13" customHeight="1">
      <c r="A8" s="1" t="s">
        <v>99</v>
      </c>
      <c r="B8" s="1" t="s">
        <v>245</v>
      </c>
      <c r="C8" s="24" t="s">
        <v>100</v>
      </c>
      <c r="D8" s="24" t="s">
        <v>101</v>
      </c>
      <c r="E8" s="89" t="s">
        <v>102</v>
      </c>
      <c r="F8" s="7">
        <f t="shared" ref="F8:F15" si="0">(D60+D26)/2</f>
        <v>0.46167088665949302</v>
      </c>
      <c r="G8" s="99">
        <f t="shared" ref="G8:G15" si="1">D26</f>
        <v>0.50530379863544173</v>
      </c>
      <c r="H8" s="99">
        <f t="shared" ref="H8:H15" si="2">D60</f>
        <v>0.41803797468354431</v>
      </c>
      <c r="I8" s="89" t="s">
        <v>103</v>
      </c>
      <c r="J8" s="1">
        <v>5</v>
      </c>
      <c r="K8">
        <v>5</v>
      </c>
      <c r="L8" s="1">
        <v>4</v>
      </c>
      <c r="M8" s="1">
        <v>4</v>
      </c>
      <c r="N8" s="1">
        <v>4</v>
      </c>
      <c r="O8" s="1">
        <v>2</v>
      </c>
      <c r="P8" s="1">
        <v>3</v>
      </c>
      <c r="Q8" s="1">
        <v>4</v>
      </c>
      <c r="R8" s="1">
        <v>5</v>
      </c>
      <c r="S8" s="1">
        <v>3</v>
      </c>
      <c r="T8" s="1">
        <v>3</v>
      </c>
      <c r="U8" s="1">
        <v>3</v>
      </c>
      <c r="V8" s="1">
        <v>2</v>
      </c>
      <c r="W8" s="1">
        <v>2</v>
      </c>
      <c r="X8" s="1">
        <v>4</v>
      </c>
      <c r="Y8" s="1">
        <v>2</v>
      </c>
      <c r="Z8" s="1">
        <v>2</v>
      </c>
      <c r="AA8" s="1">
        <v>4</v>
      </c>
      <c r="AC8" s="1">
        <v>2</v>
      </c>
      <c r="AF8" s="1">
        <v>2</v>
      </c>
      <c r="AG8" s="1">
        <v>2</v>
      </c>
      <c r="AU8" s="1">
        <v>9</v>
      </c>
      <c r="AV8" s="1">
        <v>7</v>
      </c>
      <c r="BA8" s="1">
        <v>5</v>
      </c>
      <c r="BB8" s="1">
        <v>4</v>
      </c>
      <c r="BC8" s="1">
        <v>4</v>
      </c>
      <c r="BD8" s="1">
        <v>4</v>
      </c>
      <c r="BE8" s="1">
        <v>3</v>
      </c>
      <c r="BS8" s="1">
        <v>4</v>
      </c>
      <c r="BT8" s="1">
        <v>4</v>
      </c>
      <c r="BY8" s="1">
        <v>10</v>
      </c>
      <c r="BZ8" s="1">
        <v>10</v>
      </c>
      <c r="CB8" s="1">
        <v>10</v>
      </c>
      <c r="CC8" s="1">
        <v>21</v>
      </c>
    </row>
    <row r="9" spans="1:82" ht="13" customHeight="1">
      <c r="A9" s="1" t="s">
        <v>104</v>
      </c>
      <c r="B9" s="1" t="s">
        <v>246</v>
      </c>
      <c r="C9" s="24" t="s">
        <v>105</v>
      </c>
      <c r="D9" s="24" t="s">
        <v>106</v>
      </c>
      <c r="E9" s="89" t="s">
        <v>107</v>
      </c>
      <c r="F9" s="7">
        <f t="shared" si="0"/>
        <v>0.7233241183461997</v>
      </c>
      <c r="G9" s="99">
        <f t="shared" si="1"/>
        <v>0.7174665007068658</v>
      </c>
      <c r="H9" s="99">
        <f t="shared" si="2"/>
        <v>0.7291817359855336</v>
      </c>
      <c r="I9" s="89" t="s">
        <v>103</v>
      </c>
      <c r="J9" s="1">
        <v>5</v>
      </c>
      <c r="K9">
        <v>5</v>
      </c>
      <c r="L9" s="1">
        <v>4</v>
      </c>
      <c r="M9" s="1">
        <v>4</v>
      </c>
      <c r="N9" s="1">
        <v>4</v>
      </c>
      <c r="O9" s="1">
        <v>2</v>
      </c>
      <c r="P9" s="1">
        <v>3</v>
      </c>
      <c r="Q9" s="1">
        <v>4</v>
      </c>
      <c r="R9" s="1">
        <v>5</v>
      </c>
      <c r="S9" s="1">
        <v>3</v>
      </c>
      <c r="T9" s="1">
        <v>3</v>
      </c>
      <c r="U9" s="1">
        <v>3</v>
      </c>
      <c r="V9" s="1">
        <v>2</v>
      </c>
      <c r="W9" s="1">
        <v>2</v>
      </c>
      <c r="X9" s="1">
        <v>4</v>
      </c>
      <c r="Y9" s="1">
        <v>2</v>
      </c>
      <c r="Z9" s="1">
        <v>2</v>
      </c>
      <c r="AA9" s="1">
        <v>4</v>
      </c>
      <c r="AB9" s="1">
        <v>3</v>
      </c>
      <c r="AC9" s="1">
        <v>2</v>
      </c>
      <c r="AD9" s="1">
        <v>2</v>
      </c>
      <c r="AE9" s="1">
        <v>2</v>
      </c>
      <c r="AF9" s="1">
        <v>2</v>
      </c>
      <c r="AG9" s="1">
        <v>2</v>
      </c>
      <c r="AI9" s="1">
        <v>5</v>
      </c>
      <c r="AJ9" s="1">
        <v>6</v>
      </c>
      <c r="AK9" s="1">
        <v>6</v>
      </c>
      <c r="AL9" s="1">
        <v>5</v>
      </c>
      <c r="AM9" s="1">
        <v>3</v>
      </c>
      <c r="AN9" s="1">
        <v>6</v>
      </c>
      <c r="AO9" s="1">
        <v>4</v>
      </c>
      <c r="AP9" s="1">
        <v>4</v>
      </c>
      <c r="AQ9" s="1">
        <v>4</v>
      </c>
      <c r="AR9" s="1">
        <v>4</v>
      </c>
      <c r="AU9" s="1">
        <v>9</v>
      </c>
      <c r="AV9" s="1">
        <v>8</v>
      </c>
      <c r="AW9" s="1">
        <v>8</v>
      </c>
      <c r="AX9" s="1">
        <v>9</v>
      </c>
      <c r="AY9" s="1">
        <v>6</v>
      </c>
      <c r="AZ9" s="1">
        <v>5</v>
      </c>
      <c r="BA9" s="1">
        <v>5</v>
      </c>
      <c r="BB9" s="1">
        <v>4</v>
      </c>
      <c r="BC9" s="1">
        <v>4</v>
      </c>
      <c r="BD9" s="1">
        <v>4</v>
      </c>
      <c r="BE9" s="1">
        <v>3</v>
      </c>
      <c r="BF9" s="1">
        <v>5</v>
      </c>
      <c r="BG9" s="1">
        <v>3</v>
      </c>
      <c r="BL9" s="1">
        <v>6</v>
      </c>
      <c r="BM9" s="1">
        <v>5</v>
      </c>
      <c r="BN9" s="1">
        <v>6</v>
      </c>
      <c r="BO9" s="1">
        <v>6</v>
      </c>
      <c r="BP9" s="1">
        <v>3</v>
      </c>
      <c r="BQ9" s="1">
        <v>2</v>
      </c>
      <c r="BR9" s="1">
        <v>1</v>
      </c>
      <c r="BS9" s="1">
        <v>4</v>
      </c>
      <c r="BT9" s="1">
        <v>4</v>
      </c>
      <c r="BU9" s="1">
        <v>3</v>
      </c>
      <c r="BV9" s="1">
        <v>2</v>
      </c>
      <c r="BX9" s="1">
        <v>2</v>
      </c>
      <c r="BY9" s="1">
        <v>10</v>
      </c>
      <c r="BZ9" s="1">
        <v>10</v>
      </c>
      <c r="CB9" s="1">
        <v>9</v>
      </c>
      <c r="CC9" s="1">
        <v>15</v>
      </c>
    </row>
    <row r="10" spans="1:82" ht="13" customHeight="1">
      <c r="A10" s="1" t="s">
        <v>108</v>
      </c>
      <c r="B10" s="1" t="s">
        <v>247</v>
      </c>
      <c r="C10" s="24" t="s">
        <v>109</v>
      </c>
      <c r="D10" s="24" t="s">
        <v>110</v>
      </c>
      <c r="E10" s="89" t="s">
        <v>111</v>
      </c>
      <c r="F10" s="7">
        <f t="shared" si="0"/>
        <v>0.55391636536365263</v>
      </c>
      <c r="G10" s="99">
        <f t="shared" si="1"/>
        <v>0.65730530456696779</v>
      </c>
      <c r="H10" s="99">
        <f t="shared" si="2"/>
        <v>0.45052742616033747</v>
      </c>
      <c r="I10" s="89" t="s">
        <v>103</v>
      </c>
      <c r="J10" s="1">
        <v>5</v>
      </c>
      <c r="K10">
        <v>5</v>
      </c>
      <c r="L10" s="1">
        <v>4</v>
      </c>
      <c r="M10" s="1">
        <v>4</v>
      </c>
      <c r="N10" s="1">
        <v>4</v>
      </c>
      <c r="O10" s="1">
        <v>2</v>
      </c>
      <c r="P10" s="1">
        <v>3</v>
      </c>
      <c r="Q10" s="1">
        <v>2</v>
      </c>
      <c r="R10" s="1">
        <v>5</v>
      </c>
      <c r="S10" s="1">
        <v>3</v>
      </c>
      <c r="T10" s="1">
        <v>3</v>
      </c>
      <c r="U10" s="1">
        <v>3</v>
      </c>
      <c r="V10" s="1">
        <v>2</v>
      </c>
      <c r="W10" s="1">
        <v>2</v>
      </c>
      <c r="X10" s="1">
        <v>4</v>
      </c>
      <c r="Y10" s="1">
        <v>2</v>
      </c>
      <c r="Z10" s="1">
        <v>2</v>
      </c>
      <c r="AA10" s="1">
        <v>2</v>
      </c>
      <c r="AC10" s="1">
        <v>2</v>
      </c>
      <c r="AD10" s="1">
        <v>2</v>
      </c>
      <c r="AF10" s="1">
        <v>2</v>
      </c>
      <c r="AG10" s="1">
        <v>2</v>
      </c>
      <c r="AI10" s="1">
        <v>1</v>
      </c>
      <c r="AJ10" s="1">
        <v>1</v>
      </c>
      <c r="AU10" s="1">
        <v>9</v>
      </c>
      <c r="AV10" s="1">
        <v>8</v>
      </c>
      <c r="BA10" s="1">
        <v>5</v>
      </c>
      <c r="BB10" s="1">
        <v>4</v>
      </c>
      <c r="BC10" s="1">
        <v>4</v>
      </c>
      <c r="BD10" s="1">
        <v>4</v>
      </c>
      <c r="BE10" s="1">
        <v>3</v>
      </c>
      <c r="BS10" s="1">
        <v>4</v>
      </c>
      <c r="BT10" s="1">
        <v>4</v>
      </c>
      <c r="BU10" s="1">
        <v>3</v>
      </c>
      <c r="BV10" s="1">
        <v>2</v>
      </c>
      <c r="BY10" s="1">
        <v>10</v>
      </c>
      <c r="BZ10" s="1">
        <v>8</v>
      </c>
      <c r="CB10" s="1">
        <v>10</v>
      </c>
      <c r="CC10" s="1">
        <v>32</v>
      </c>
    </row>
    <row r="11" spans="1:82" ht="13" customHeight="1">
      <c r="A11" s="1" t="s">
        <v>112</v>
      </c>
      <c r="B11" s="1" t="s">
        <v>248</v>
      </c>
      <c r="C11" s="24" t="s">
        <v>113</v>
      </c>
      <c r="D11" s="24" t="s">
        <v>114</v>
      </c>
      <c r="E11" s="89" t="s">
        <v>111</v>
      </c>
      <c r="F11" s="7">
        <f t="shared" si="0"/>
        <v>0.6076857235890667</v>
      </c>
      <c r="G11" s="99">
        <f t="shared" si="1"/>
        <v>0.60860532300694581</v>
      </c>
      <c r="H11" s="99">
        <f t="shared" si="2"/>
        <v>0.60676612417118747</v>
      </c>
      <c r="I11" s="89" t="s">
        <v>103</v>
      </c>
      <c r="J11" s="1">
        <v>5</v>
      </c>
      <c r="K11">
        <v>5</v>
      </c>
      <c r="L11" s="1">
        <v>4</v>
      </c>
      <c r="M11" s="1">
        <v>4</v>
      </c>
      <c r="N11" s="1">
        <v>4</v>
      </c>
      <c r="O11" s="1">
        <v>2</v>
      </c>
      <c r="P11" s="1">
        <v>3</v>
      </c>
      <c r="Q11" s="1">
        <v>4</v>
      </c>
      <c r="R11" s="1">
        <v>5</v>
      </c>
      <c r="S11" s="1">
        <v>3</v>
      </c>
      <c r="T11" s="1">
        <v>3</v>
      </c>
      <c r="U11" s="1">
        <v>3</v>
      </c>
      <c r="V11" s="1">
        <v>2</v>
      </c>
      <c r="W11" s="1">
        <v>2</v>
      </c>
      <c r="X11" s="1">
        <v>4</v>
      </c>
      <c r="Y11" s="1">
        <v>2</v>
      </c>
      <c r="Z11" s="1">
        <v>2</v>
      </c>
      <c r="AA11" s="1">
        <v>4</v>
      </c>
      <c r="AB11" s="1">
        <v>4</v>
      </c>
      <c r="AC11" s="1">
        <v>2</v>
      </c>
      <c r="AD11" s="1">
        <v>2</v>
      </c>
      <c r="AH11" s="1">
        <v>1</v>
      </c>
      <c r="AK11" s="1">
        <v>1</v>
      </c>
      <c r="AL11" s="1">
        <v>1</v>
      </c>
      <c r="AM11" s="1">
        <v>1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9</v>
      </c>
      <c r="AV11" s="1">
        <v>8</v>
      </c>
      <c r="AW11" s="1">
        <v>8</v>
      </c>
      <c r="AX11" s="1">
        <v>9</v>
      </c>
      <c r="AY11" s="1">
        <v>6</v>
      </c>
      <c r="AZ11" s="1">
        <v>5</v>
      </c>
      <c r="BA11" s="1">
        <v>5</v>
      </c>
      <c r="BB11" s="1">
        <v>4</v>
      </c>
      <c r="BC11" s="1">
        <v>4</v>
      </c>
      <c r="BD11" s="1">
        <v>4</v>
      </c>
      <c r="BE11" s="1">
        <v>3</v>
      </c>
      <c r="BF11" s="1">
        <v>5</v>
      </c>
      <c r="BG11" s="1">
        <v>3</v>
      </c>
      <c r="BL11" s="1">
        <v>5</v>
      </c>
      <c r="BM11" s="1">
        <v>4</v>
      </c>
      <c r="BN11" s="1">
        <v>7</v>
      </c>
      <c r="BO11" s="1">
        <v>6</v>
      </c>
      <c r="BP11" s="1">
        <v>2</v>
      </c>
      <c r="BQ11" s="1">
        <v>2</v>
      </c>
      <c r="BS11" s="1">
        <v>4</v>
      </c>
      <c r="BT11" s="1">
        <v>4</v>
      </c>
      <c r="BU11" s="1">
        <v>3</v>
      </c>
      <c r="CB11" s="1">
        <v>8</v>
      </c>
      <c r="CC11" s="1">
        <v>23</v>
      </c>
    </row>
    <row r="12" spans="1:82" ht="13" customHeight="1">
      <c r="A12" s="1" t="s">
        <v>115</v>
      </c>
      <c r="B12" s="1" t="s">
        <v>249</v>
      </c>
      <c r="C12" s="24" t="s">
        <v>116</v>
      </c>
      <c r="D12" s="24" t="s">
        <v>117</v>
      </c>
      <c r="E12" s="89" t="s">
        <v>102</v>
      </c>
      <c r="F12" s="7">
        <f t="shared" si="0"/>
        <v>0.50801410580501394</v>
      </c>
      <c r="G12" s="99">
        <f t="shared" si="1"/>
        <v>0.60695648165222194</v>
      </c>
      <c r="H12" s="99">
        <f t="shared" si="2"/>
        <v>0.40907172995780594</v>
      </c>
      <c r="I12" s="89" t="s">
        <v>118</v>
      </c>
      <c r="J12" s="1">
        <v>5</v>
      </c>
      <c r="K12">
        <v>5</v>
      </c>
      <c r="L12" s="1">
        <v>4</v>
      </c>
      <c r="M12" s="1">
        <v>3</v>
      </c>
      <c r="N12" s="1">
        <v>4</v>
      </c>
      <c r="S12" s="1">
        <v>3</v>
      </c>
      <c r="T12" s="1">
        <v>3</v>
      </c>
      <c r="U12" s="1">
        <v>3</v>
      </c>
      <c r="V12" s="93">
        <v>2</v>
      </c>
      <c r="W12" s="93">
        <v>2</v>
      </c>
      <c r="X12" s="1">
        <v>4</v>
      </c>
      <c r="Y12" s="93">
        <v>2</v>
      </c>
      <c r="Z12" s="93">
        <v>2</v>
      </c>
      <c r="AA12" s="1">
        <v>4</v>
      </c>
      <c r="AB12" s="1">
        <v>4</v>
      </c>
      <c r="AC12" s="1">
        <v>2</v>
      </c>
      <c r="AD12" s="1">
        <v>1</v>
      </c>
      <c r="AF12" s="1">
        <v>2</v>
      </c>
      <c r="AG12" s="1">
        <v>2</v>
      </c>
      <c r="AN12" s="1">
        <v>1</v>
      </c>
      <c r="AO12" s="1">
        <v>4</v>
      </c>
      <c r="AP12" s="1">
        <v>4</v>
      </c>
      <c r="AU12" s="1">
        <v>9</v>
      </c>
      <c r="AV12" s="1">
        <v>8</v>
      </c>
      <c r="AW12" s="1">
        <v>7</v>
      </c>
      <c r="AX12" s="1">
        <v>9</v>
      </c>
      <c r="BA12" s="1">
        <v>5</v>
      </c>
      <c r="BB12" s="1">
        <v>5</v>
      </c>
      <c r="BC12" s="1">
        <v>4</v>
      </c>
      <c r="BD12" s="1">
        <v>4</v>
      </c>
      <c r="BE12" s="1">
        <v>3</v>
      </c>
      <c r="BJ12" s="1">
        <v>1</v>
      </c>
      <c r="BZ12" s="1">
        <v>10</v>
      </c>
      <c r="CB12" s="1">
        <v>6</v>
      </c>
      <c r="CC12" s="1">
        <v>16</v>
      </c>
    </row>
    <row r="13" spans="1:82" ht="13" customHeight="1">
      <c r="A13" s="1" t="s">
        <v>119</v>
      </c>
      <c r="B13" s="1" t="s">
        <v>250</v>
      </c>
      <c r="C13" s="24" t="s">
        <v>120</v>
      </c>
      <c r="D13" s="24" t="s">
        <v>121</v>
      </c>
      <c r="E13" s="89" t="s">
        <v>107</v>
      </c>
      <c r="F13" s="7">
        <f t="shared" si="0"/>
        <v>0.73866026947265562</v>
      </c>
      <c r="G13" s="99">
        <f t="shared" si="1"/>
        <v>0.72289015919847566</v>
      </c>
      <c r="H13" s="99">
        <f t="shared" si="2"/>
        <v>0.75443037974683547</v>
      </c>
      <c r="I13" s="89" t="s">
        <v>107</v>
      </c>
      <c r="J13" s="1">
        <v>5</v>
      </c>
      <c r="K13">
        <v>5</v>
      </c>
      <c r="L13" s="1">
        <v>4</v>
      </c>
      <c r="M13" s="1">
        <v>4</v>
      </c>
      <c r="N13" s="1">
        <v>4</v>
      </c>
      <c r="O13" s="1">
        <v>2</v>
      </c>
      <c r="P13" s="1">
        <v>3</v>
      </c>
      <c r="Q13" s="1">
        <v>4</v>
      </c>
      <c r="R13" s="1">
        <v>5</v>
      </c>
      <c r="S13" s="1">
        <v>3</v>
      </c>
      <c r="T13" s="1">
        <v>3</v>
      </c>
      <c r="U13" s="1">
        <v>3</v>
      </c>
      <c r="V13" s="1">
        <v>2</v>
      </c>
      <c r="W13" s="1">
        <v>2</v>
      </c>
      <c r="X13" s="1">
        <v>4</v>
      </c>
      <c r="Y13" s="1">
        <v>2</v>
      </c>
      <c r="Z13" s="1">
        <v>2</v>
      </c>
      <c r="AA13" s="1">
        <v>4</v>
      </c>
      <c r="AB13" s="1">
        <v>4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9</v>
      </c>
      <c r="AV13" s="1">
        <v>8</v>
      </c>
      <c r="AW13" s="1">
        <v>7</v>
      </c>
      <c r="AX13" s="1">
        <v>9</v>
      </c>
      <c r="AY13" s="1">
        <v>6</v>
      </c>
      <c r="AZ13" s="1">
        <v>5</v>
      </c>
      <c r="BA13" s="1">
        <v>5</v>
      </c>
      <c r="BB13" s="1">
        <v>4</v>
      </c>
      <c r="BC13" s="1">
        <v>4</v>
      </c>
      <c r="BD13" s="1">
        <v>4</v>
      </c>
      <c r="BE13" s="1">
        <v>3</v>
      </c>
      <c r="BF13" s="1">
        <v>7</v>
      </c>
      <c r="BG13" s="1">
        <v>7</v>
      </c>
      <c r="BH13" s="1">
        <v>1</v>
      </c>
      <c r="BI13" s="1">
        <v>1</v>
      </c>
      <c r="BK13" s="1">
        <v>1</v>
      </c>
      <c r="BL13" s="1">
        <v>8</v>
      </c>
      <c r="BM13" s="1">
        <v>8</v>
      </c>
      <c r="BN13" s="1">
        <v>4</v>
      </c>
      <c r="BO13" s="1">
        <v>6</v>
      </c>
      <c r="BQ13" s="1">
        <v>3</v>
      </c>
      <c r="BR13" s="1">
        <v>1</v>
      </c>
      <c r="BS13" s="1">
        <v>4</v>
      </c>
      <c r="BT13" s="1">
        <v>4</v>
      </c>
      <c r="BU13" s="1">
        <v>3</v>
      </c>
      <c r="BV13" s="1">
        <v>2</v>
      </c>
      <c r="BW13" s="1">
        <v>2</v>
      </c>
      <c r="BX13" s="1">
        <v>2</v>
      </c>
      <c r="BY13" s="1">
        <v>10</v>
      </c>
      <c r="BZ13" s="1">
        <v>4</v>
      </c>
      <c r="CB13" s="1">
        <v>6</v>
      </c>
      <c r="CC13" s="1">
        <v>30</v>
      </c>
    </row>
    <row r="14" spans="1:82" ht="13" customHeight="1">
      <c r="A14" s="1" t="s">
        <v>122</v>
      </c>
      <c r="B14" s="1" t="s">
        <v>251</v>
      </c>
      <c r="C14" s="24" t="s">
        <v>123</v>
      </c>
      <c r="D14" s="24" t="s">
        <v>124</v>
      </c>
      <c r="E14" s="89" t="s">
        <v>125</v>
      </c>
      <c r="F14" s="7">
        <f t="shared" si="0"/>
        <v>0.30714902186421172</v>
      </c>
      <c r="G14" s="99">
        <f t="shared" si="1"/>
        <v>0.60227272727272729</v>
      </c>
      <c r="H14" s="99">
        <f t="shared" si="2"/>
        <v>1.2025316455696202E-2</v>
      </c>
      <c r="I14" s="89" t="s">
        <v>118</v>
      </c>
      <c r="K14"/>
      <c r="CB14" s="1">
        <v>6</v>
      </c>
      <c r="CC14" s="1">
        <v>23</v>
      </c>
    </row>
    <row r="15" spans="1:82" s="5" customFormat="1" ht="13" customHeight="1">
      <c r="A15" s="5" t="s">
        <v>126</v>
      </c>
      <c r="B15" s="5" t="s">
        <v>252</v>
      </c>
      <c r="C15" s="24" t="s">
        <v>127</v>
      </c>
      <c r="D15" s="24" t="s">
        <v>128</v>
      </c>
      <c r="E15" s="90" t="s">
        <v>107</v>
      </c>
      <c r="F15" s="10">
        <f t="shared" si="0"/>
        <v>0.66520230289647708</v>
      </c>
      <c r="G15" s="100">
        <f t="shared" si="1"/>
        <v>0.6209109349068781</v>
      </c>
      <c r="H15" s="100">
        <f t="shared" si="2"/>
        <v>0.70949367088607596</v>
      </c>
      <c r="I15" s="90" t="s">
        <v>102</v>
      </c>
      <c r="J15" s="5">
        <v>5</v>
      </c>
      <c r="K15" s="4">
        <v>5</v>
      </c>
      <c r="L15" s="5">
        <v>4</v>
      </c>
      <c r="M15" s="5">
        <v>4</v>
      </c>
      <c r="N15" s="5">
        <v>4</v>
      </c>
      <c r="O15" s="5">
        <v>2</v>
      </c>
      <c r="P15" s="5">
        <v>3</v>
      </c>
      <c r="Q15" s="5">
        <v>2</v>
      </c>
      <c r="R15" s="5">
        <v>5</v>
      </c>
      <c r="S15" s="5">
        <v>3</v>
      </c>
      <c r="T15" s="5">
        <v>3</v>
      </c>
      <c r="U15" s="5">
        <v>3</v>
      </c>
      <c r="V15" s="5">
        <v>2</v>
      </c>
      <c r="W15" s="5">
        <v>2</v>
      </c>
      <c r="X15" s="5">
        <v>4</v>
      </c>
      <c r="Y15" s="5">
        <v>2</v>
      </c>
      <c r="Z15" s="5">
        <v>2</v>
      </c>
      <c r="AA15" s="5">
        <v>4</v>
      </c>
      <c r="AB15" s="5">
        <v>4</v>
      </c>
      <c r="AC15" s="5">
        <v>2</v>
      </c>
      <c r="AD15" s="5">
        <v>2</v>
      </c>
      <c r="AE15" s="5">
        <v>2</v>
      </c>
      <c r="AO15" s="5">
        <v>4</v>
      </c>
      <c r="AP15" s="5">
        <v>4</v>
      </c>
      <c r="AQ15" s="5">
        <v>4</v>
      </c>
      <c r="AR15" s="5">
        <v>4</v>
      </c>
      <c r="AS15" s="5">
        <v>4</v>
      </c>
      <c r="AT15" s="5">
        <v>4</v>
      </c>
      <c r="AU15" s="5">
        <v>9</v>
      </c>
      <c r="AV15" s="5">
        <v>8</v>
      </c>
      <c r="AW15" s="5">
        <v>8</v>
      </c>
      <c r="AX15" s="5">
        <v>9</v>
      </c>
      <c r="AY15" s="5">
        <v>6</v>
      </c>
      <c r="AZ15" s="5">
        <v>5</v>
      </c>
      <c r="BA15" s="5">
        <v>5</v>
      </c>
      <c r="BB15" s="5">
        <v>4</v>
      </c>
      <c r="BC15" s="5">
        <v>4</v>
      </c>
      <c r="BD15" s="5">
        <v>4</v>
      </c>
      <c r="BE15" s="5">
        <v>3</v>
      </c>
      <c r="BF15" s="5">
        <v>7</v>
      </c>
      <c r="BG15" s="5">
        <v>7</v>
      </c>
      <c r="BH15" s="5">
        <v>0</v>
      </c>
      <c r="BI15" s="5">
        <v>1</v>
      </c>
      <c r="BJ15" s="5">
        <v>0</v>
      </c>
      <c r="BK15" s="5">
        <v>1</v>
      </c>
      <c r="BL15" s="5">
        <v>8</v>
      </c>
      <c r="BM15" s="5">
        <v>7</v>
      </c>
      <c r="BN15" s="5">
        <v>7</v>
      </c>
      <c r="BO15" s="5">
        <v>6</v>
      </c>
      <c r="BP15" s="5">
        <v>3</v>
      </c>
      <c r="BQ15" s="5">
        <v>1</v>
      </c>
      <c r="BR15" s="5">
        <v>1</v>
      </c>
      <c r="BS15" s="5">
        <v>4</v>
      </c>
      <c r="BT15" s="5">
        <v>4</v>
      </c>
      <c r="BU15" s="5">
        <v>3</v>
      </c>
      <c r="BV15" s="5">
        <v>2</v>
      </c>
      <c r="BW15" s="5">
        <v>2</v>
      </c>
      <c r="BX15" s="5">
        <v>2</v>
      </c>
      <c r="BY15" s="5">
        <v>10</v>
      </c>
      <c r="BZ15" s="5">
        <v>9</v>
      </c>
      <c r="CB15" s="5">
        <v>8</v>
      </c>
      <c r="CC15" s="5">
        <v>24</v>
      </c>
    </row>
    <row r="16" spans="1:82" ht="13" customHeight="1">
      <c r="A16" s="11" t="s">
        <v>129</v>
      </c>
      <c r="C16" s="1" t="s">
        <v>129</v>
      </c>
      <c r="E16" s="7"/>
      <c r="F16" s="7">
        <f>AVERAGE(F8:F15)</f>
        <v>0.57070284924959624</v>
      </c>
      <c r="G16" s="101">
        <f>AVERAGE(G8:G15)</f>
        <v>0.63021390374331554</v>
      </c>
      <c r="H16" s="101">
        <f>AVERAGE(H8:H15)</f>
        <v>0.51119179475587706</v>
      </c>
      <c r="I16"/>
      <c r="J16" s="43">
        <f t="shared" ref="J16:AO16" si="3">AVERAGE(J8:J15)</f>
        <v>5</v>
      </c>
      <c r="K16" s="43">
        <f t="shared" si="3"/>
        <v>5</v>
      </c>
      <c r="L16" s="43">
        <f t="shared" si="3"/>
        <v>4</v>
      </c>
      <c r="M16" s="43">
        <f t="shared" si="3"/>
        <v>3.8571428571428572</v>
      </c>
      <c r="N16" s="43">
        <f t="shared" si="3"/>
        <v>4</v>
      </c>
      <c r="O16" s="43">
        <f t="shared" si="3"/>
        <v>2</v>
      </c>
      <c r="P16" s="43">
        <f t="shared" si="3"/>
        <v>3</v>
      </c>
      <c r="Q16" s="43">
        <f t="shared" si="3"/>
        <v>3.3333333333333335</v>
      </c>
      <c r="R16" s="43">
        <f t="shared" si="3"/>
        <v>5</v>
      </c>
      <c r="S16" s="43">
        <f t="shared" si="3"/>
        <v>3</v>
      </c>
      <c r="T16" s="43">
        <f t="shared" si="3"/>
        <v>3</v>
      </c>
      <c r="U16" s="43">
        <f t="shared" si="3"/>
        <v>3</v>
      </c>
      <c r="V16" s="43">
        <f t="shared" si="3"/>
        <v>2</v>
      </c>
      <c r="W16" s="43">
        <f t="shared" si="3"/>
        <v>2</v>
      </c>
      <c r="X16" s="43">
        <f t="shared" si="3"/>
        <v>4</v>
      </c>
      <c r="Y16" s="43">
        <f t="shared" si="3"/>
        <v>2</v>
      </c>
      <c r="Z16" s="43">
        <f t="shared" si="3"/>
        <v>2</v>
      </c>
      <c r="AA16" s="43">
        <f t="shared" si="3"/>
        <v>3.7142857142857144</v>
      </c>
      <c r="AB16" s="43">
        <f t="shared" si="3"/>
        <v>3.8</v>
      </c>
      <c r="AC16" s="43">
        <f t="shared" si="3"/>
        <v>2</v>
      </c>
      <c r="AD16" s="43">
        <f t="shared" si="3"/>
        <v>1.8333333333333333</v>
      </c>
      <c r="AE16" s="43">
        <f t="shared" si="3"/>
        <v>2</v>
      </c>
      <c r="AF16" s="43">
        <f t="shared" si="3"/>
        <v>2</v>
      </c>
      <c r="AG16" s="43">
        <f t="shared" si="3"/>
        <v>2</v>
      </c>
      <c r="AH16" s="43">
        <f t="shared" si="3"/>
        <v>1.5</v>
      </c>
      <c r="AI16" s="43">
        <f t="shared" si="3"/>
        <v>3</v>
      </c>
      <c r="AJ16" s="43">
        <f t="shared" si="3"/>
        <v>3.5</v>
      </c>
      <c r="AK16" s="43">
        <f t="shared" si="3"/>
        <v>3.5</v>
      </c>
      <c r="AL16" s="43">
        <f t="shared" si="3"/>
        <v>3</v>
      </c>
      <c r="AM16" s="43">
        <f t="shared" si="3"/>
        <v>2</v>
      </c>
      <c r="AN16" s="43">
        <f t="shared" si="3"/>
        <v>3.5</v>
      </c>
      <c r="AO16" s="43">
        <f t="shared" si="3"/>
        <v>4</v>
      </c>
      <c r="AP16" s="43">
        <f t="shared" ref="AP16:BU16" si="4">AVERAGE(AP8:AP15)</f>
        <v>4</v>
      </c>
      <c r="AQ16" s="43">
        <f t="shared" si="4"/>
        <v>4</v>
      </c>
      <c r="AR16" s="43">
        <f t="shared" si="4"/>
        <v>4</v>
      </c>
      <c r="AS16" s="43">
        <f t="shared" si="4"/>
        <v>4</v>
      </c>
      <c r="AT16" s="43">
        <f t="shared" si="4"/>
        <v>4</v>
      </c>
      <c r="AU16" s="43">
        <f t="shared" si="4"/>
        <v>9</v>
      </c>
      <c r="AV16" s="43">
        <f t="shared" si="4"/>
        <v>7.8571428571428568</v>
      </c>
      <c r="AW16" s="43">
        <f t="shared" si="4"/>
        <v>7.6</v>
      </c>
      <c r="AX16" s="43">
        <f t="shared" si="4"/>
        <v>9</v>
      </c>
      <c r="AY16" s="43">
        <f t="shared" si="4"/>
        <v>6</v>
      </c>
      <c r="AZ16" s="43">
        <f t="shared" si="4"/>
        <v>5</v>
      </c>
      <c r="BA16" s="43">
        <f t="shared" si="4"/>
        <v>5</v>
      </c>
      <c r="BB16" s="43">
        <f t="shared" si="4"/>
        <v>4.1428571428571432</v>
      </c>
      <c r="BC16" s="43">
        <f t="shared" si="4"/>
        <v>4</v>
      </c>
      <c r="BD16" s="43">
        <f t="shared" si="4"/>
        <v>4</v>
      </c>
      <c r="BE16" s="43">
        <f t="shared" si="4"/>
        <v>3</v>
      </c>
      <c r="BF16" s="43">
        <f t="shared" si="4"/>
        <v>6</v>
      </c>
      <c r="BG16" s="43">
        <f t="shared" si="4"/>
        <v>5</v>
      </c>
      <c r="BH16" s="43">
        <f t="shared" si="4"/>
        <v>0.5</v>
      </c>
      <c r="BI16" s="43">
        <f t="shared" si="4"/>
        <v>1</v>
      </c>
      <c r="BJ16" s="43">
        <f t="shared" si="4"/>
        <v>0.5</v>
      </c>
      <c r="BK16" s="43">
        <f t="shared" si="4"/>
        <v>1</v>
      </c>
      <c r="BL16" s="43">
        <f t="shared" si="4"/>
        <v>6.75</v>
      </c>
      <c r="BM16" s="43">
        <f t="shared" si="4"/>
        <v>6</v>
      </c>
      <c r="BN16" s="43">
        <f t="shared" si="4"/>
        <v>6</v>
      </c>
      <c r="BO16" s="43">
        <f t="shared" si="4"/>
        <v>6</v>
      </c>
      <c r="BP16" s="43">
        <f t="shared" si="4"/>
        <v>2.6666666666666665</v>
      </c>
      <c r="BQ16" s="43">
        <f t="shared" si="4"/>
        <v>2</v>
      </c>
      <c r="BR16" s="43">
        <f t="shared" si="4"/>
        <v>1</v>
      </c>
      <c r="BS16" s="43">
        <f t="shared" si="4"/>
        <v>4</v>
      </c>
      <c r="BT16" s="43">
        <f t="shared" si="4"/>
        <v>4</v>
      </c>
      <c r="BU16" s="43">
        <f t="shared" si="4"/>
        <v>3</v>
      </c>
      <c r="BV16" s="43">
        <f t="shared" ref="BV16:CD16" si="5">AVERAGE(BV8:BV15)</f>
        <v>2</v>
      </c>
      <c r="BW16" s="43">
        <f t="shared" si="5"/>
        <v>2</v>
      </c>
      <c r="BX16" s="43">
        <f t="shared" si="5"/>
        <v>2</v>
      </c>
      <c r="BY16" s="43">
        <f t="shared" si="5"/>
        <v>10</v>
      </c>
      <c r="BZ16" s="43">
        <f t="shared" si="5"/>
        <v>8.5</v>
      </c>
      <c r="CA16" s="43" t="e">
        <f t="shared" si="5"/>
        <v>#DIV/0!</v>
      </c>
      <c r="CB16" s="43">
        <f t="shared" si="5"/>
        <v>7.875</v>
      </c>
      <c r="CC16" s="43">
        <f t="shared" si="5"/>
        <v>23</v>
      </c>
      <c r="CD16" s="43" t="e">
        <f t="shared" si="5"/>
        <v>#DIV/0!</v>
      </c>
    </row>
    <row r="17" spans="1:82" ht="13" customHeight="1">
      <c r="A17" s="11" t="s">
        <v>130</v>
      </c>
      <c r="C17" s="1" t="s">
        <v>130</v>
      </c>
      <c r="E17" s="7"/>
      <c r="F17" s="7">
        <f>STDEV(F8:F15)</f>
        <v>0.14509163602666547</v>
      </c>
      <c r="G17" s="101">
        <f>STDEV(G8:G15)</f>
        <v>7.0115695587688265E-2</v>
      </c>
      <c r="H17" s="101">
        <f>STDEV(H8:H15)</f>
        <v>0.24700959805810532</v>
      </c>
      <c r="I17"/>
      <c r="J17" s="43">
        <f t="shared" ref="J17:AO17" si="6">STDEV(J8:J15)</f>
        <v>0</v>
      </c>
      <c r="K17" s="43">
        <f t="shared" si="6"/>
        <v>0</v>
      </c>
      <c r="L17" s="43">
        <f t="shared" si="6"/>
        <v>0</v>
      </c>
      <c r="M17" s="43">
        <f t="shared" si="6"/>
        <v>0.37796447300922725</v>
      </c>
      <c r="N17" s="43">
        <f t="shared" si="6"/>
        <v>0</v>
      </c>
      <c r="O17" s="43">
        <f t="shared" si="6"/>
        <v>0</v>
      </c>
      <c r="P17" s="43">
        <f t="shared" si="6"/>
        <v>0</v>
      </c>
      <c r="Q17" s="43">
        <f t="shared" si="6"/>
        <v>1.0327955589886442</v>
      </c>
      <c r="R17" s="43">
        <f t="shared" si="6"/>
        <v>0</v>
      </c>
      <c r="S17" s="43">
        <f t="shared" si="6"/>
        <v>0</v>
      </c>
      <c r="T17" s="43">
        <f t="shared" si="6"/>
        <v>0</v>
      </c>
      <c r="U17" s="43">
        <f t="shared" si="6"/>
        <v>0</v>
      </c>
      <c r="V17" s="43">
        <f t="shared" si="6"/>
        <v>0</v>
      </c>
      <c r="W17" s="43">
        <f t="shared" si="6"/>
        <v>0</v>
      </c>
      <c r="X17" s="43">
        <f t="shared" si="6"/>
        <v>0</v>
      </c>
      <c r="Y17" s="43">
        <f t="shared" si="6"/>
        <v>0</v>
      </c>
      <c r="Z17" s="43">
        <f t="shared" si="6"/>
        <v>0</v>
      </c>
      <c r="AA17" s="43">
        <f t="shared" si="6"/>
        <v>0.75592894601845462</v>
      </c>
      <c r="AB17" s="43">
        <f t="shared" si="6"/>
        <v>0.44721359549995715</v>
      </c>
      <c r="AC17" s="43">
        <f t="shared" si="6"/>
        <v>0</v>
      </c>
      <c r="AD17" s="43">
        <f t="shared" si="6"/>
        <v>0.40824829046386274</v>
      </c>
      <c r="AE17" s="43">
        <f t="shared" si="6"/>
        <v>0</v>
      </c>
      <c r="AF17" s="43">
        <f t="shared" si="6"/>
        <v>0</v>
      </c>
      <c r="AG17" s="43">
        <f t="shared" si="6"/>
        <v>0</v>
      </c>
      <c r="AH17" s="43">
        <f t="shared" si="6"/>
        <v>0.70710678118654757</v>
      </c>
      <c r="AI17" s="43">
        <f t="shared" si="6"/>
        <v>2.8284271247461903</v>
      </c>
      <c r="AJ17" s="43">
        <f t="shared" si="6"/>
        <v>3.5355339059327378</v>
      </c>
      <c r="AK17" s="43">
        <f t="shared" si="6"/>
        <v>3.5355339059327378</v>
      </c>
      <c r="AL17" s="43">
        <f t="shared" si="6"/>
        <v>2.8284271247461903</v>
      </c>
      <c r="AM17" s="43">
        <f t="shared" si="6"/>
        <v>1.4142135623730951</v>
      </c>
      <c r="AN17" s="43">
        <f t="shared" si="6"/>
        <v>3.5355339059327378</v>
      </c>
      <c r="AO17" s="43">
        <f t="shared" si="6"/>
        <v>0</v>
      </c>
      <c r="AP17" s="43">
        <f t="shared" ref="AP17:BU17" si="7">STDEV(AP8:AP15)</f>
        <v>0</v>
      </c>
      <c r="AQ17" s="43">
        <f t="shared" si="7"/>
        <v>0</v>
      </c>
      <c r="AR17" s="43">
        <f t="shared" si="7"/>
        <v>0</v>
      </c>
      <c r="AS17" s="43">
        <f t="shared" si="7"/>
        <v>0</v>
      </c>
      <c r="AT17" s="43">
        <f t="shared" si="7"/>
        <v>0</v>
      </c>
      <c r="AU17" s="43">
        <f t="shared" si="7"/>
        <v>0</v>
      </c>
      <c r="AV17" s="43">
        <f t="shared" si="7"/>
        <v>0.37796447300922725</v>
      </c>
      <c r="AW17" s="43">
        <f t="shared" si="7"/>
        <v>0.54772255750516619</v>
      </c>
      <c r="AX17" s="43">
        <f t="shared" si="7"/>
        <v>0</v>
      </c>
      <c r="AY17" s="43">
        <f t="shared" si="7"/>
        <v>0</v>
      </c>
      <c r="AZ17" s="43">
        <f t="shared" si="7"/>
        <v>0</v>
      </c>
      <c r="BA17" s="43">
        <f t="shared" si="7"/>
        <v>0</v>
      </c>
      <c r="BB17" s="43">
        <f t="shared" si="7"/>
        <v>0.37796447300922725</v>
      </c>
      <c r="BC17" s="43">
        <f t="shared" si="7"/>
        <v>0</v>
      </c>
      <c r="BD17" s="43">
        <f t="shared" si="7"/>
        <v>0</v>
      </c>
      <c r="BE17" s="43">
        <f t="shared" si="7"/>
        <v>0</v>
      </c>
      <c r="BF17" s="43">
        <f t="shared" si="7"/>
        <v>1.1547005383792515</v>
      </c>
      <c r="BG17" s="43">
        <f t="shared" si="7"/>
        <v>2.3094010767585029</v>
      </c>
      <c r="BH17" s="43">
        <f t="shared" si="7"/>
        <v>0.70710678118654757</v>
      </c>
      <c r="BI17" s="43">
        <f t="shared" si="7"/>
        <v>0</v>
      </c>
      <c r="BJ17" s="43">
        <f t="shared" si="7"/>
        <v>0.70710678118654757</v>
      </c>
      <c r="BK17" s="43">
        <f t="shared" si="7"/>
        <v>0</v>
      </c>
      <c r="BL17" s="43">
        <f t="shared" si="7"/>
        <v>1.5</v>
      </c>
      <c r="BM17" s="43">
        <f t="shared" si="7"/>
        <v>1.8257418583505538</v>
      </c>
      <c r="BN17" s="43">
        <f t="shared" si="7"/>
        <v>1.4142135623730951</v>
      </c>
      <c r="BO17" s="43">
        <f t="shared" si="7"/>
        <v>0</v>
      </c>
      <c r="BP17" s="43">
        <f t="shared" si="7"/>
        <v>0.57735026918962629</v>
      </c>
      <c r="BQ17" s="43">
        <f t="shared" si="7"/>
        <v>0.81649658092772603</v>
      </c>
      <c r="BR17" s="43">
        <f t="shared" si="7"/>
        <v>0</v>
      </c>
      <c r="BS17" s="43">
        <f t="shared" si="7"/>
        <v>0</v>
      </c>
      <c r="BT17" s="43">
        <f t="shared" si="7"/>
        <v>0</v>
      </c>
      <c r="BU17" s="43">
        <f t="shared" si="7"/>
        <v>0</v>
      </c>
      <c r="BV17" s="43">
        <f t="shared" ref="BV17:CD17" si="8">STDEV(BV8:BV15)</f>
        <v>0</v>
      </c>
      <c r="BW17" s="43">
        <f t="shared" si="8"/>
        <v>0</v>
      </c>
      <c r="BX17" s="43">
        <f t="shared" si="8"/>
        <v>0</v>
      </c>
      <c r="BY17" s="43">
        <f t="shared" si="8"/>
        <v>0</v>
      </c>
      <c r="BZ17" s="43">
        <f t="shared" si="8"/>
        <v>2.3452078799117149</v>
      </c>
      <c r="CA17" s="43" t="e">
        <f t="shared" si="8"/>
        <v>#DIV/0!</v>
      </c>
      <c r="CB17" s="43">
        <f t="shared" si="8"/>
        <v>1.7268882005337975</v>
      </c>
      <c r="CC17" s="43">
        <f t="shared" si="8"/>
        <v>5.9521904731427595</v>
      </c>
      <c r="CD17" s="43" t="e">
        <f t="shared" si="8"/>
        <v>#DIV/0!</v>
      </c>
    </row>
    <row r="18" spans="1:82" ht="13" customHeight="1">
      <c r="A18" s="11" t="s">
        <v>131</v>
      </c>
      <c r="C18" s="1" t="s">
        <v>131</v>
      </c>
      <c r="E18" s="7"/>
      <c r="F18" s="7">
        <f>MAX(F8:F15)</f>
        <v>0.73866026947265562</v>
      </c>
      <c r="G18" s="101">
        <f>MAX(G8:G15)</f>
        <v>0.72289015919847566</v>
      </c>
      <c r="H18" s="101">
        <f>MAX(H8:H15)</f>
        <v>0.75443037974683547</v>
      </c>
      <c r="I18"/>
      <c r="J18" s="43">
        <f t="shared" ref="J18:AO18" si="9">MAX(J8:J15)</f>
        <v>5</v>
      </c>
      <c r="K18" s="43">
        <f t="shared" si="9"/>
        <v>5</v>
      </c>
      <c r="L18" s="43">
        <f t="shared" si="9"/>
        <v>4</v>
      </c>
      <c r="M18" s="43">
        <f t="shared" si="9"/>
        <v>4</v>
      </c>
      <c r="N18" s="43">
        <f t="shared" si="9"/>
        <v>4</v>
      </c>
      <c r="O18" s="43">
        <f t="shared" si="9"/>
        <v>2</v>
      </c>
      <c r="P18" s="43">
        <f t="shared" si="9"/>
        <v>3</v>
      </c>
      <c r="Q18" s="43">
        <f t="shared" si="9"/>
        <v>4</v>
      </c>
      <c r="R18" s="43">
        <f t="shared" si="9"/>
        <v>5</v>
      </c>
      <c r="S18" s="43">
        <f t="shared" si="9"/>
        <v>3</v>
      </c>
      <c r="T18" s="43">
        <f t="shared" si="9"/>
        <v>3</v>
      </c>
      <c r="U18" s="43">
        <f t="shared" si="9"/>
        <v>3</v>
      </c>
      <c r="V18" s="43">
        <f t="shared" si="9"/>
        <v>2</v>
      </c>
      <c r="W18" s="43">
        <f t="shared" si="9"/>
        <v>2</v>
      </c>
      <c r="X18" s="43">
        <f t="shared" si="9"/>
        <v>4</v>
      </c>
      <c r="Y18" s="43">
        <f t="shared" si="9"/>
        <v>2</v>
      </c>
      <c r="Z18" s="43">
        <f t="shared" si="9"/>
        <v>2</v>
      </c>
      <c r="AA18" s="43">
        <f t="shared" si="9"/>
        <v>4</v>
      </c>
      <c r="AB18" s="43">
        <f t="shared" si="9"/>
        <v>4</v>
      </c>
      <c r="AC18" s="43">
        <f t="shared" si="9"/>
        <v>2</v>
      </c>
      <c r="AD18" s="43">
        <f t="shared" si="9"/>
        <v>2</v>
      </c>
      <c r="AE18" s="43">
        <f t="shared" si="9"/>
        <v>2</v>
      </c>
      <c r="AF18" s="43">
        <f t="shared" si="9"/>
        <v>2</v>
      </c>
      <c r="AG18" s="43">
        <f t="shared" si="9"/>
        <v>2</v>
      </c>
      <c r="AH18" s="43">
        <f t="shared" si="9"/>
        <v>2</v>
      </c>
      <c r="AI18" s="43">
        <f t="shared" si="9"/>
        <v>5</v>
      </c>
      <c r="AJ18" s="43">
        <f t="shared" si="9"/>
        <v>6</v>
      </c>
      <c r="AK18" s="43">
        <f t="shared" si="9"/>
        <v>6</v>
      </c>
      <c r="AL18" s="43">
        <f t="shared" si="9"/>
        <v>5</v>
      </c>
      <c r="AM18" s="43">
        <f t="shared" si="9"/>
        <v>3</v>
      </c>
      <c r="AN18" s="43">
        <f t="shared" si="9"/>
        <v>6</v>
      </c>
      <c r="AO18" s="43">
        <f t="shared" si="9"/>
        <v>4</v>
      </c>
      <c r="AP18" s="43">
        <f t="shared" ref="AP18:BU18" si="10">MAX(AP8:AP15)</f>
        <v>4</v>
      </c>
      <c r="AQ18" s="43">
        <f t="shared" si="10"/>
        <v>4</v>
      </c>
      <c r="AR18" s="43">
        <f t="shared" si="10"/>
        <v>4</v>
      </c>
      <c r="AS18" s="43">
        <f t="shared" si="10"/>
        <v>4</v>
      </c>
      <c r="AT18" s="43">
        <f t="shared" si="10"/>
        <v>4</v>
      </c>
      <c r="AU18" s="43">
        <f t="shared" si="10"/>
        <v>9</v>
      </c>
      <c r="AV18" s="43">
        <f t="shared" si="10"/>
        <v>8</v>
      </c>
      <c r="AW18" s="43">
        <f t="shared" si="10"/>
        <v>8</v>
      </c>
      <c r="AX18" s="43">
        <f t="shared" si="10"/>
        <v>9</v>
      </c>
      <c r="AY18" s="43">
        <f t="shared" si="10"/>
        <v>6</v>
      </c>
      <c r="AZ18" s="43">
        <f t="shared" si="10"/>
        <v>5</v>
      </c>
      <c r="BA18" s="43">
        <f t="shared" si="10"/>
        <v>5</v>
      </c>
      <c r="BB18" s="43">
        <f t="shared" si="10"/>
        <v>5</v>
      </c>
      <c r="BC18" s="43">
        <f t="shared" si="10"/>
        <v>4</v>
      </c>
      <c r="BD18" s="43">
        <f t="shared" si="10"/>
        <v>4</v>
      </c>
      <c r="BE18" s="43">
        <f t="shared" si="10"/>
        <v>3</v>
      </c>
      <c r="BF18" s="43">
        <f t="shared" si="10"/>
        <v>7</v>
      </c>
      <c r="BG18" s="43">
        <f t="shared" si="10"/>
        <v>7</v>
      </c>
      <c r="BH18" s="43">
        <f t="shared" si="10"/>
        <v>1</v>
      </c>
      <c r="BI18" s="43">
        <f t="shared" si="10"/>
        <v>1</v>
      </c>
      <c r="BJ18" s="43">
        <f t="shared" si="10"/>
        <v>1</v>
      </c>
      <c r="BK18" s="43">
        <f t="shared" si="10"/>
        <v>1</v>
      </c>
      <c r="BL18" s="43">
        <f t="shared" si="10"/>
        <v>8</v>
      </c>
      <c r="BM18" s="43">
        <f t="shared" si="10"/>
        <v>8</v>
      </c>
      <c r="BN18" s="43">
        <f t="shared" si="10"/>
        <v>7</v>
      </c>
      <c r="BO18" s="43">
        <f t="shared" si="10"/>
        <v>6</v>
      </c>
      <c r="BP18" s="43">
        <f t="shared" si="10"/>
        <v>3</v>
      </c>
      <c r="BQ18" s="43">
        <f t="shared" si="10"/>
        <v>3</v>
      </c>
      <c r="BR18" s="43">
        <f t="shared" si="10"/>
        <v>1</v>
      </c>
      <c r="BS18" s="43">
        <f t="shared" si="10"/>
        <v>4</v>
      </c>
      <c r="BT18" s="43">
        <f t="shared" si="10"/>
        <v>4</v>
      </c>
      <c r="BU18" s="43">
        <f t="shared" si="10"/>
        <v>3</v>
      </c>
      <c r="BV18" s="43">
        <f t="shared" ref="BV18:CD18" si="11">MAX(BV8:BV15)</f>
        <v>2</v>
      </c>
      <c r="BW18" s="43">
        <f t="shared" si="11"/>
        <v>2</v>
      </c>
      <c r="BX18" s="43">
        <f t="shared" si="11"/>
        <v>2</v>
      </c>
      <c r="BY18" s="43">
        <f t="shared" si="11"/>
        <v>10</v>
      </c>
      <c r="BZ18" s="43">
        <f t="shared" si="11"/>
        <v>10</v>
      </c>
      <c r="CA18" s="43">
        <f t="shared" si="11"/>
        <v>0</v>
      </c>
      <c r="CB18" s="43">
        <f t="shared" si="11"/>
        <v>10</v>
      </c>
      <c r="CC18" s="43">
        <f t="shared" si="11"/>
        <v>32</v>
      </c>
      <c r="CD18" s="43">
        <f t="shared" si="11"/>
        <v>0</v>
      </c>
    </row>
    <row r="19" spans="1:82" ht="13" customHeight="1">
      <c r="A19" s="11" t="s">
        <v>132</v>
      </c>
      <c r="C19" s="1" t="s">
        <v>132</v>
      </c>
      <c r="E19" s="7"/>
      <c r="F19" s="7">
        <f>MIN(F8:F15)</f>
        <v>0.30714902186421172</v>
      </c>
      <c r="G19" s="101">
        <f>MIN(G8:G15)</f>
        <v>0.50530379863544173</v>
      </c>
      <c r="H19" s="101">
        <f>MIN(H8:H15)</f>
        <v>1.2025316455696202E-2</v>
      </c>
      <c r="I19"/>
      <c r="J19" s="43">
        <f t="shared" ref="J19:AO19" si="12">MIN(J8:J15)</f>
        <v>5</v>
      </c>
      <c r="K19" s="43">
        <f t="shared" si="12"/>
        <v>5</v>
      </c>
      <c r="L19" s="43">
        <f t="shared" si="12"/>
        <v>4</v>
      </c>
      <c r="M19" s="43">
        <f t="shared" si="12"/>
        <v>3</v>
      </c>
      <c r="N19" s="43">
        <f t="shared" si="12"/>
        <v>4</v>
      </c>
      <c r="O19" s="43">
        <f t="shared" si="12"/>
        <v>2</v>
      </c>
      <c r="P19" s="43">
        <f t="shared" si="12"/>
        <v>3</v>
      </c>
      <c r="Q19" s="43">
        <f t="shared" si="12"/>
        <v>2</v>
      </c>
      <c r="R19" s="43">
        <f t="shared" si="12"/>
        <v>5</v>
      </c>
      <c r="S19" s="43">
        <f t="shared" si="12"/>
        <v>3</v>
      </c>
      <c r="T19" s="43">
        <f t="shared" si="12"/>
        <v>3</v>
      </c>
      <c r="U19" s="43">
        <f t="shared" si="12"/>
        <v>3</v>
      </c>
      <c r="V19" s="43">
        <f t="shared" si="12"/>
        <v>2</v>
      </c>
      <c r="W19" s="43">
        <f t="shared" si="12"/>
        <v>2</v>
      </c>
      <c r="X19" s="43">
        <f t="shared" si="12"/>
        <v>4</v>
      </c>
      <c r="Y19" s="43">
        <f t="shared" si="12"/>
        <v>2</v>
      </c>
      <c r="Z19" s="43">
        <f t="shared" si="12"/>
        <v>2</v>
      </c>
      <c r="AA19" s="43">
        <f t="shared" si="12"/>
        <v>2</v>
      </c>
      <c r="AB19" s="43">
        <f t="shared" si="12"/>
        <v>3</v>
      </c>
      <c r="AC19" s="43">
        <f t="shared" si="12"/>
        <v>2</v>
      </c>
      <c r="AD19" s="43">
        <f t="shared" si="12"/>
        <v>1</v>
      </c>
      <c r="AE19" s="43">
        <f t="shared" si="12"/>
        <v>2</v>
      </c>
      <c r="AF19" s="43">
        <f t="shared" si="12"/>
        <v>2</v>
      </c>
      <c r="AG19" s="43">
        <f t="shared" si="12"/>
        <v>2</v>
      </c>
      <c r="AH19" s="43">
        <f t="shared" si="12"/>
        <v>1</v>
      </c>
      <c r="AI19" s="43">
        <f t="shared" si="12"/>
        <v>1</v>
      </c>
      <c r="AJ19" s="43">
        <f t="shared" si="12"/>
        <v>1</v>
      </c>
      <c r="AK19" s="43">
        <f t="shared" si="12"/>
        <v>1</v>
      </c>
      <c r="AL19" s="43">
        <f t="shared" si="12"/>
        <v>1</v>
      </c>
      <c r="AM19" s="43">
        <f t="shared" si="12"/>
        <v>1</v>
      </c>
      <c r="AN19" s="43">
        <f t="shared" si="12"/>
        <v>1</v>
      </c>
      <c r="AO19" s="43">
        <f t="shared" si="12"/>
        <v>4</v>
      </c>
      <c r="AP19" s="43">
        <f t="shared" ref="AP19:BU19" si="13">MIN(AP8:AP15)</f>
        <v>4</v>
      </c>
      <c r="AQ19" s="43">
        <f t="shared" si="13"/>
        <v>4</v>
      </c>
      <c r="AR19" s="43">
        <f t="shared" si="13"/>
        <v>4</v>
      </c>
      <c r="AS19" s="43">
        <f t="shared" si="13"/>
        <v>4</v>
      </c>
      <c r="AT19" s="43">
        <f t="shared" si="13"/>
        <v>4</v>
      </c>
      <c r="AU19" s="43">
        <f t="shared" si="13"/>
        <v>9</v>
      </c>
      <c r="AV19" s="43">
        <f t="shared" si="13"/>
        <v>7</v>
      </c>
      <c r="AW19" s="43">
        <f t="shared" si="13"/>
        <v>7</v>
      </c>
      <c r="AX19" s="43">
        <f t="shared" si="13"/>
        <v>9</v>
      </c>
      <c r="AY19" s="43">
        <f t="shared" si="13"/>
        <v>6</v>
      </c>
      <c r="AZ19" s="43">
        <f t="shared" si="13"/>
        <v>5</v>
      </c>
      <c r="BA19" s="43">
        <f t="shared" si="13"/>
        <v>5</v>
      </c>
      <c r="BB19" s="43">
        <f t="shared" si="13"/>
        <v>4</v>
      </c>
      <c r="BC19" s="43">
        <f t="shared" si="13"/>
        <v>4</v>
      </c>
      <c r="BD19" s="43">
        <f t="shared" si="13"/>
        <v>4</v>
      </c>
      <c r="BE19" s="43">
        <f t="shared" si="13"/>
        <v>3</v>
      </c>
      <c r="BF19" s="43">
        <f t="shared" si="13"/>
        <v>5</v>
      </c>
      <c r="BG19" s="43">
        <f t="shared" si="13"/>
        <v>3</v>
      </c>
      <c r="BH19" s="43">
        <f t="shared" si="13"/>
        <v>0</v>
      </c>
      <c r="BI19" s="43">
        <f t="shared" si="13"/>
        <v>1</v>
      </c>
      <c r="BJ19" s="43">
        <f t="shared" si="13"/>
        <v>0</v>
      </c>
      <c r="BK19" s="43">
        <f t="shared" si="13"/>
        <v>1</v>
      </c>
      <c r="BL19" s="43">
        <f t="shared" si="13"/>
        <v>5</v>
      </c>
      <c r="BM19" s="43">
        <f t="shared" si="13"/>
        <v>4</v>
      </c>
      <c r="BN19" s="43">
        <f t="shared" si="13"/>
        <v>4</v>
      </c>
      <c r="BO19" s="43">
        <f t="shared" si="13"/>
        <v>6</v>
      </c>
      <c r="BP19" s="43">
        <f t="shared" si="13"/>
        <v>2</v>
      </c>
      <c r="BQ19" s="43">
        <f t="shared" si="13"/>
        <v>1</v>
      </c>
      <c r="BR19" s="43">
        <f t="shared" si="13"/>
        <v>1</v>
      </c>
      <c r="BS19" s="43">
        <f t="shared" si="13"/>
        <v>4</v>
      </c>
      <c r="BT19" s="43">
        <f t="shared" si="13"/>
        <v>4</v>
      </c>
      <c r="BU19" s="43">
        <f t="shared" si="13"/>
        <v>3</v>
      </c>
      <c r="BV19" s="43">
        <f t="shared" ref="BV19:CD19" si="14">MIN(BV8:BV15)</f>
        <v>2</v>
      </c>
      <c r="BW19" s="43">
        <f t="shared" si="14"/>
        <v>2</v>
      </c>
      <c r="BX19" s="43">
        <f t="shared" si="14"/>
        <v>2</v>
      </c>
      <c r="BY19" s="43">
        <f t="shared" si="14"/>
        <v>10</v>
      </c>
      <c r="BZ19" s="43">
        <f t="shared" si="14"/>
        <v>4</v>
      </c>
      <c r="CA19" s="43">
        <f t="shared" si="14"/>
        <v>0</v>
      </c>
      <c r="CB19" s="43">
        <f t="shared" si="14"/>
        <v>6</v>
      </c>
      <c r="CC19" s="43">
        <f t="shared" si="14"/>
        <v>15</v>
      </c>
      <c r="CD19" s="43">
        <f t="shared" si="14"/>
        <v>0</v>
      </c>
    </row>
    <row r="20" spans="1:82" ht="13" customHeight="1">
      <c r="A20" s="12" t="s">
        <v>133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1" t="s">
        <v>134</v>
      </c>
      <c r="P20" s="1" t="s">
        <v>253</v>
      </c>
      <c r="Q20" s="1" t="s">
        <v>254</v>
      </c>
      <c r="T20" s="13"/>
      <c r="W20" s="30"/>
      <c r="AM20" s="41"/>
      <c r="AQ20" s="21"/>
      <c r="AS20" s="26"/>
      <c r="AY20" s="20"/>
    </row>
    <row r="21" spans="1:82" ht="13" customHeight="1">
      <c r="A21" s="12" t="s">
        <v>135</v>
      </c>
      <c r="E21" s="7"/>
      <c r="F21" s="7"/>
      <c r="J21" s="1" t="s">
        <v>136</v>
      </c>
      <c r="L21" s="1" t="s">
        <v>137</v>
      </c>
      <c r="O21" s="1" t="s">
        <v>138</v>
      </c>
      <c r="S21" s="1" t="s">
        <v>139</v>
      </c>
      <c r="V21" s="1" t="s">
        <v>140</v>
      </c>
      <c r="Y21" s="1" t="s">
        <v>141</v>
      </c>
      <c r="AC21" s="1" t="s">
        <v>142</v>
      </c>
      <c r="AF21" s="1" t="s">
        <v>143</v>
      </c>
      <c r="AI21" s="1" t="s">
        <v>144</v>
      </c>
      <c r="AL21" s="1" t="s">
        <v>145</v>
      </c>
      <c r="AO21" s="1" t="s">
        <v>146</v>
      </c>
      <c r="AU21" s="1" t="s">
        <v>147</v>
      </c>
      <c r="AW21" s="1" t="s">
        <v>148</v>
      </c>
      <c r="BA21" s="1" t="s">
        <v>149</v>
      </c>
      <c r="BF21" t="s">
        <v>150</v>
      </c>
      <c r="BN21" s="1" t="s">
        <v>151</v>
      </c>
      <c r="BS21" s="1" t="s">
        <v>152</v>
      </c>
      <c r="BY21" s="1" t="s">
        <v>153</v>
      </c>
      <c r="BZ21" s="1" t="s">
        <v>154</v>
      </c>
      <c r="CA21" s="1" t="s">
        <v>155</v>
      </c>
      <c r="CB21" s="1" t="s">
        <v>156</v>
      </c>
    </row>
    <row r="22" spans="1:82" ht="13" customHeight="1">
      <c r="A22" s="12"/>
      <c r="B22" s="72" t="s">
        <v>157</v>
      </c>
      <c r="D22" s="7"/>
      <c r="E22" s="7"/>
      <c r="K22" s="29"/>
      <c r="M22" s="20"/>
      <c r="O22" s="27"/>
      <c r="Y22" s="31"/>
    </row>
    <row r="23" spans="1:82" ht="13" customHeight="1">
      <c r="A23" s="12"/>
      <c r="B23" s="72" t="s">
        <v>158</v>
      </c>
      <c r="D23" s="7"/>
      <c r="E23" s="7"/>
      <c r="K23" s="29"/>
      <c r="M23" s="20"/>
      <c r="O23" s="27"/>
      <c r="Y23" s="31"/>
    </row>
    <row r="24" spans="1:82" ht="13" customHeight="1">
      <c r="A24" s="94" t="s">
        <v>18</v>
      </c>
      <c r="B24" s="42" t="s">
        <v>19</v>
      </c>
      <c r="C24" s="42" t="s">
        <v>20</v>
      </c>
      <c r="D24" s="68" t="s">
        <v>23</v>
      </c>
      <c r="E24" s="42" t="s">
        <v>159</v>
      </c>
      <c r="F24" s="42" t="s">
        <v>160</v>
      </c>
      <c r="G24" s="42" t="s">
        <v>161</v>
      </c>
      <c r="H24" s="42" t="s">
        <v>162</v>
      </c>
      <c r="I24" s="42" t="s">
        <v>163</v>
      </c>
      <c r="J24" s="42" t="s">
        <v>164</v>
      </c>
      <c r="K24" s="42" t="s">
        <v>165</v>
      </c>
      <c r="L24" s="42"/>
      <c r="M24" s="42" t="s">
        <v>166</v>
      </c>
      <c r="N24"/>
      <c r="O24" t="s">
        <v>167</v>
      </c>
      <c r="P24" s="24"/>
      <c r="Q24" s="24"/>
      <c r="R24" s="3"/>
      <c r="S24" s="87" t="s">
        <v>168</v>
      </c>
      <c r="T24" s="77" t="s">
        <v>169</v>
      </c>
      <c r="U24" s="3"/>
      <c r="W24"/>
      <c r="Y24" s="31"/>
    </row>
    <row r="25" spans="1:82" s="5" customFormat="1" ht="13" customHeight="1">
      <c r="A25" s="95" t="s">
        <v>96</v>
      </c>
      <c r="B25" s="4"/>
      <c r="C25" s="4"/>
      <c r="D25" s="69">
        <f>1</f>
        <v>1</v>
      </c>
      <c r="E25" s="5">
        <f>47+10</f>
        <v>57</v>
      </c>
      <c r="F25" s="5">
        <v>31</v>
      </c>
      <c r="G25" s="92">
        <f>1</f>
        <v>1</v>
      </c>
      <c r="H25" s="5">
        <v>65</v>
      </c>
      <c r="I25" s="5">
        <f>60+20</f>
        <v>80</v>
      </c>
      <c r="J25" s="92">
        <f>1</f>
        <v>1</v>
      </c>
      <c r="K25" s="5">
        <v>85</v>
      </c>
      <c r="M25" s="92">
        <f>1</f>
        <v>1</v>
      </c>
      <c r="N25" s="4"/>
      <c r="O25" s="4"/>
      <c r="P25" s="4"/>
      <c r="Q25" s="4"/>
      <c r="S25" s="88" t="s">
        <v>97</v>
      </c>
      <c r="T25" s="79" t="s">
        <v>97</v>
      </c>
      <c r="W25" s="4"/>
      <c r="Y25" s="49"/>
    </row>
    <row r="26" spans="1:82" ht="13" customHeight="1">
      <c r="A26" s="1" t="str">
        <f t="shared" ref="A26:A33" si="15">A8</f>
        <v>janders</v>
      </c>
      <c r="B26" s="24" t="str">
        <f t="shared" ref="B26:C33" si="16">C8</f>
        <v>Anders</v>
      </c>
      <c r="C26" s="24" t="str">
        <f t="shared" si="16"/>
        <v>John</v>
      </c>
      <c r="D26" s="70">
        <f t="shared" ref="D26:D33" si="17">AVERAGE(G26,J26,M26)</f>
        <v>0.50530379863544173</v>
      </c>
      <c r="E26" s="1">
        <v>48</v>
      </c>
      <c r="F26" s="1">
        <v>11</v>
      </c>
      <c r="G26" s="23">
        <f>(E26+F26+(E$25-E26)/2)/($E$25+$F$25)</f>
        <v>0.72159090909090906</v>
      </c>
      <c r="H26" s="1">
        <v>27</v>
      </c>
      <c r="I26" s="1">
        <f>5+3</f>
        <v>8</v>
      </c>
      <c r="J26" s="23">
        <f t="shared" ref="J26:J31" si="18">(H26+I26)/($H$25+$I$25)</f>
        <v>0.2413793103448276</v>
      </c>
      <c r="K26" s="1">
        <v>47</v>
      </c>
      <c r="M26" s="23">
        <f t="shared" ref="M26:M31" si="19">(K26+L26)/($K$25+$L$25)</f>
        <v>0.55294117647058827</v>
      </c>
      <c r="N26"/>
      <c r="O26" t="s">
        <v>170</v>
      </c>
      <c r="S26" s="89" t="s">
        <v>103</v>
      </c>
      <c r="T26" s="80" t="s">
        <v>171</v>
      </c>
      <c r="U26" s="11"/>
      <c r="W26"/>
      <c r="Y26" s="31"/>
    </row>
    <row r="27" spans="1:82" ht="13" customHeight="1">
      <c r="A27" s="1" t="str">
        <f t="shared" si="15"/>
        <v>lchriste</v>
      </c>
      <c r="B27" s="24" t="str">
        <f t="shared" si="16"/>
        <v>Christenson</v>
      </c>
      <c r="C27" s="24" t="str">
        <f t="shared" si="16"/>
        <v>Lars</v>
      </c>
      <c r="D27" s="70">
        <f t="shared" si="17"/>
        <v>0.7174665007068658</v>
      </c>
      <c r="E27" s="1">
        <v>42</v>
      </c>
      <c r="F27" s="1">
        <v>9</v>
      </c>
      <c r="G27" s="23">
        <f>(E27+F27+(E$25-E27)/2)/($E$25+$F$25)</f>
        <v>0.66477272727272729</v>
      </c>
      <c r="H27" s="1">
        <v>46</v>
      </c>
      <c r="I27" s="1">
        <f>40+12</f>
        <v>52</v>
      </c>
      <c r="J27" s="23">
        <f t="shared" si="18"/>
        <v>0.67586206896551726</v>
      </c>
      <c r="K27" s="1">
        <v>69</v>
      </c>
      <c r="M27" s="23">
        <f t="shared" si="19"/>
        <v>0.81176470588235294</v>
      </c>
      <c r="N27"/>
      <c r="O27" t="s">
        <v>172</v>
      </c>
      <c r="S27" s="89" t="s">
        <v>103</v>
      </c>
      <c r="T27" s="80" t="s">
        <v>171</v>
      </c>
      <c r="U27" s="11"/>
      <c r="W27"/>
      <c r="Y27" s="31"/>
    </row>
    <row r="28" spans="1:82" ht="13" customHeight="1">
      <c r="A28" s="1" t="str">
        <f t="shared" si="15"/>
        <v>tfogarty</v>
      </c>
      <c r="B28" s="24" t="str">
        <f t="shared" si="16"/>
        <v>Fogerty</v>
      </c>
      <c r="C28" s="24" t="str">
        <f t="shared" si="16"/>
        <v>Tim</v>
      </c>
      <c r="D28" s="70">
        <f t="shared" si="17"/>
        <v>0.65730530456696779</v>
      </c>
      <c r="E28" s="1">
        <v>49</v>
      </c>
      <c r="F28" s="1">
        <v>15</v>
      </c>
      <c r="G28" s="23">
        <f>(E28+F28+(E$25-E28)/2)/($E$25+$F$25)</f>
        <v>0.77272727272727271</v>
      </c>
      <c r="H28" s="1">
        <v>35</v>
      </c>
      <c r="I28" s="1">
        <f>28</f>
        <v>28</v>
      </c>
      <c r="J28" s="23">
        <f t="shared" si="18"/>
        <v>0.43448275862068964</v>
      </c>
      <c r="K28" s="1">
        <v>65</v>
      </c>
      <c r="M28" s="23">
        <f t="shared" si="19"/>
        <v>0.76470588235294112</v>
      </c>
      <c r="N28"/>
      <c r="O28" t="s">
        <v>173</v>
      </c>
      <c r="S28" s="89" t="s">
        <v>103</v>
      </c>
      <c r="T28" s="80" t="s">
        <v>103</v>
      </c>
      <c r="U28" s="11"/>
      <c r="W28"/>
      <c r="Y28" s="31"/>
    </row>
    <row r="29" spans="1:82" ht="13" customHeight="1">
      <c r="A29" s="1" t="str">
        <f t="shared" si="15"/>
        <v>lhenderso</v>
      </c>
      <c r="B29" s="24" t="str">
        <f t="shared" si="16"/>
        <v>Henderson</v>
      </c>
      <c r="C29" s="24" t="str">
        <f t="shared" si="16"/>
        <v>Lee</v>
      </c>
      <c r="D29" s="70">
        <f t="shared" si="17"/>
        <v>0.60860532300694581</v>
      </c>
      <c r="E29" s="1">
        <v>41</v>
      </c>
      <c r="F29" s="1">
        <v>7</v>
      </c>
      <c r="G29" s="23">
        <f>(E29+F29+(E$25-E29)/2)/($E$25+$F$25)</f>
        <v>0.63636363636363635</v>
      </c>
      <c r="H29" s="1">
        <v>34</v>
      </c>
      <c r="I29" s="1">
        <f>24+7</f>
        <v>31</v>
      </c>
      <c r="J29" s="23">
        <f t="shared" si="18"/>
        <v>0.44827586206896552</v>
      </c>
      <c r="K29" s="1">
        <v>63</v>
      </c>
      <c r="M29" s="23">
        <f t="shared" si="19"/>
        <v>0.74117647058823533</v>
      </c>
      <c r="N29"/>
      <c r="O29" t="s">
        <v>174</v>
      </c>
      <c r="S29" s="89" t="s">
        <v>103</v>
      </c>
      <c r="T29" s="80" t="s">
        <v>103</v>
      </c>
      <c r="U29" s="11"/>
      <c r="W29"/>
      <c r="Y29" s="31"/>
      <c r="AE29"/>
      <c r="AF29"/>
      <c r="AG29"/>
      <c r="AH29"/>
      <c r="AI29"/>
      <c r="AJ29"/>
      <c r="AK29"/>
      <c r="AL29"/>
      <c r="AM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</row>
    <row r="30" spans="1:82" ht="13" customHeight="1">
      <c r="A30" s="1" t="str">
        <f t="shared" si="15"/>
        <v>dholmgr</v>
      </c>
      <c r="B30" s="24" t="str">
        <f t="shared" si="16"/>
        <v>Holmgren</v>
      </c>
      <c r="C30" s="24" t="str">
        <f t="shared" si="16"/>
        <v>Debbie</v>
      </c>
      <c r="D30" s="70">
        <f t="shared" si="17"/>
        <v>0.60695648165222194</v>
      </c>
      <c r="E30" s="1">
        <v>31</v>
      </c>
      <c r="F30" s="1">
        <v>8</v>
      </c>
      <c r="G30" s="91">
        <f>(E30+F30)/($E$25+$F$25)</f>
        <v>0.44318181818181818</v>
      </c>
      <c r="H30" s="1">
        <v>39</v>
      </c>
      <c r="I30" s="1">
        <f>50+5</f>
        <v>55</v>
      </c>
      <c r="J30" s="23">
        <f t="shared" si="18"/>
        <v>0.64827586206896548</v>
      </c>
      <c r="K30" s="1">
        <v>62</v>
      </c>
      <c r="M30" s="23">
        <f t="shared" si="19"/>
        <v>0.72941176470588232</v>
      </c>
      <c r="N30"/>
      <c r="O30" t="s">
        <v>175</v>
      </c>
      <c r="S30" s="89" t="s">
        <v>118</v>
      </c>
      <c r="T30" s="80" t="s">
        <v>171</v>
      </c>
      <c r="U30" s="11"/>
      <c r="W30"/>
      <c r="Y30" s="31"/>
      <c r="AE30"/>
      <c r="AF30"/>
      <c r="AG30"/>
      <c r="AH30"/>
      <c r="AI30"/>
      <c r="AJ30"/>
      <c r="AK30"/>
      <c r="AL30"/>
      <c r="AM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</row>
    <row r="31" spans="1:82" ht="13" customHeight="1">
      <c r="A31" s="1" t="str">
        <f t="shared" si="15"/>
        <v>hjohnso</v>
      </c>
      <c r="B31" s="24" t="str">
        <f t="shared" si="16"/>
        <v>Johnson</v>
      </c>
      <c r="C31" s="24" t="str">
        <f t="shared" si="16"/>
        <v>Howard</v>
      </c>
      <c r="D31" s="70">
        <f t="shared" si="17"/>
        <v>0.72289015919847566</v>
      </c>
      <c r="E31" s="1">
        <v>49</v>
      </c>
      <c r="F31" s="1">
        <v>15</v>
      </c>
      <c r="G31" s="23">
        <f>(E31+F31+(E$25-E31)/2)/($E$25+$F$25)</f>
        <v>0.77272727272727271</v>
      </c>
      <c r="H31" s="1">
        <v>42</v>
      </c>
      <c r="I31" s="1">
        <f>30+11</f>
        <v>41</v>
      </c>
      <c r="J31" s="23">
        <f t="shared" si="18"/>
        <v>0.57241379310344831</v>
      </c>
      <c r="K31" s="1">
        <v>70</v>
      </c>
      <c r="M31" s="23">
        <f t="shared" si="19"/>
        <v>0.82352941176470584</v>
      </c>
      <c r="N31"/>
      <c r="O31" t="s">
        <v>176</v>
      </c>
      <c r="S31" s="89" t="s">
        <v>107</v>
      </c>
      <c r="T31" s="80" t="s">
        <v>171</v>
      </c>
      <c r="U31" s="11"/>
      <c r="W31"/>
      <c r="Y31" s="31"/>
    </row>
    <row r="32" spans="1:82" ht="13" customHeight="1">
      <c r="A32" s="1" t="str">
        <f t="shared" si="15"/>
        <v>clundgren</v>
      </c>
      <c r="B32" s="24" t="str">
        <f t="shared" si="16"/>
        <v>Lundgren</v>
      </c>
      <c r="C32" s="24" t="str">
        <f t="shared" si="16"/>
        <v>Christa</v>
      </c>
      <c r="D32" s="70">
        <f t="shared" si="17"/>
        <v>0.60227272727272729</v>
      </c>
      <c r="E32" s="1">
        <v>41</v>
      </c>
      <c r="F32" s="1">
        <v>12</v>
      </c>
      <c r="G32" s="91">
        <f>(E32+F32)/($E$25+$F$25)</f>
        <v>0.60227272727272729</v>
      </c>
      <c r="J32" s="23"/>
      <c r="M32" s="23"/>
      <c r="N32"/>
      <c r="O32" t="s">
        <v>177</v>
      </c>
      <c r="S32" s="89" t="s">
        <v>118</v>
      </c>
      <c r="T32" s="80" t="s">
        <v>171</v>
      </c>
      <c r="U32" s="11"/>
      <c r="W32"/>
      <c r="Y32" s="31"/>
    </row>
    <row r="33" spans="1:25" s="5" customFormat="1" ht="13" customHeight="1">
      <c r="A33" s="5" t="str">
        <f t="shared" si="15"/>
        <v>kpark</v>
      </c>
      <c r="B33" s="46" t="str">
        <f t="shared" si="16"/>
        <v>Park</v>
      </c>
      <c r="C33" s="46" t="str">
        <f t="shared" si="16"/>
        <v>Kim</v>
      </c>
      <c r="D33" s="71">
        <f t="shared" si="17"/>
        <v>0.6209109349068781</v>
      </c>
      <c r="E33" s="5">
        <v>45</v>
      </c>
      <c r="F33" s="5">
        <v>5</v>
      </c>
      <c r="G33" s="48">
        <f>(E33+F33+(E$25-E33)/2)/($E$25+$F$25)</f>
        <v>0.63636363636363635</v>
      </c>
      <c r="H33" s="5">
        <v>32</v>
      </c>
      <c r="I33" s="5">
        <f>20+3</f>
        <v>23</v>
      </c>
      <c r="J33" s="48">
        <f>(H33+I33)/($H$25+$I$25)</f>
        <v>0.37931034482758619</v>
      </c>
      <c r="K33" s="5">
        <v>72</v>
      </c>
      <c r="M33" s="48">
        <f>(K33+L33)/($K$25+$L$25)</f>
        <v>0.84705882352941175</v>
      </c>
      <c r="N33" s="4"/>
      <c r="O33" t="s">
        <v>178</v>
      </c>
      <c r="S33" s="90" t="s">
        <v>102</v>
      </c>
      <c r="T33" s="81" t="s">
        <v>171</v>
      </c>
      <c r="U33" s="45"/>
      <c r="W33" s="4"/>
      <c r="Y33" s="49"/>
    </row>
    <row r="34" spans="1:25" ht="13" customHeight="1">
      <c r="A34" s="96" t="s">
        <v>129</v>
      </c>
      <c r="B34" s="1" t="s">
        <v>129</v>
      </c>
      <c r="D34" s="73">
        <f t="shared" ref="D34:M34" si="20">AVERAGE(D26:D33)</f>
        <v>0.63021390374331554</v>
      </c>
      <c r="E34" s="43">
        <f t="shared" si="20"/>
        <v>43.25</v>
      </c>
      <c r="F34" s="43">
        <f t="shared" si="20"/>
        <v>10.25</v>
      </c>
      <c r="G34" s="50">
        <f t="shared" si="20"/>
        <v>0.65625000000000011</v>
      </c>
      <c r="H34" s="43">
        <f t="shared" si="20"/>
        <v>36.428571428571431</v>
      </c>
      <c r="I34" s="43">
        <f t="shared" si="20"/>
        <v>34</v>
      </c>
      <c r="J34" s="50">
        <f t="shared" si="20"/>
        <v>0.48571428571428571</v>
      </c>
      <c r="K34" s="43">
        <f t="shared" si="20"/>
        <v>64</v>
      </c>
      <c r="L34" s="43"/>
      <c r="M34" s="50">
        <f t="shared" si="20"/>
        <v>0.75294117647058822</v>
      </c>
      <c r="N34"/>
      <c r="O34"/>
      <c r="U34" s="12"/>
      <c r="W34"/>
    </row>
    <row r="35" spans="1:25" ht="13" customHeight="1">
      <c r="A35" s="96" t="s">
        <v>130</v>
      </c>
      <c r="B35" s="1" t="s">
        <v>130</v>
      </c>
      <c r="D35" s="73">
        <f t="shared" ref="D35:M35" si="21">STDEV(D26:D33)</f>
        <v>7.0115695587688265E-2</v>
      </c>
      <c r="E35" s="43">
        <f t="shared" si="21"/>
        <v>6.0178306485215849</v>
      </c>
      <c r="F35" s="43">
        <f t="shared" si="21"/>
        <v>3.6547425158474378</v>
      </c>
      <c r="G35" s="50">
        <f t="shared" si="21"/>
        <v>0.10729033533674182</v>
      </c>
      <c r="H35" s="43">
        <f t="shared" si="21"/>
        <v>6.399404734221851</v>
      </c>
      <c r="I35" s="43">
        <f t="shared" si="21"/>
        <v>16.61324772583615</v>
      </c>
      <c r="J35" s="50">
        <f t="shared" si="21"/>
        <v>0.1555350624576346</v>
      </c>
      <c r="K35" s="43">
        <f t="shared" si="21"/>
        <v>8.3666002653407556</v>
      </c>
      <c r="L35" s="43"/>
      <c r="M35" s="50">
        <f t="shared" si="21"/>
        <v>9.8430591356949315E-2</v>
      </c>
      <c r="N35"/>
      <c r="O35"/>
      <c r="U35" s="12"/>
      <c r="W35"/>
    </row>
    <row r="36" spans="1:25" ht="13" customHeight="1">
      <c r="A36" s="96" t="s">
        <v>131</v>
      </c>
      <c r="B36" s="1" t="s">
        <v>131</v>
      </c>
      <c r="D36" s="73">
        <f t="shared" ref="D36:M36" si="22">MAX(D26:D33)</f>
        <v>0.72289015919847566</v>
      </c>
      <c r="E36" s="43">
        <f t="shared" si="22"/>
        <v>49</v>
      </c>
      <c r="F36" s="43">
        <f t="shared" si="22"/>
        <v>15</v>
      </c>
      <c r="G36" s="50">
        <f t="shared" si="22"/>
        <v>0.77272727272727271</v>
      </c>
      <c r="H36" s="43">
        <f t="shared" si="22"/>
        <v>46</v>
      </c>
      <c r="I36" s="43">
        <f t="shared" si="22"/>
        <v>55</v>
      </c>
      <c r="J36" s="50">
        <f t="shared" si="22"/>
        <v>0.67586206896551726</v>
      </c>
      <c r="K36" s="43">
        <f t="shared" si="22"/>
        <v>72</v>
      </c>
      <c r="L36" s="43"/>
      <c r="M36" s="50">
        <f t="shared" si="22"/>
        <v>0.84705882352941175</v>
      </c>
      <c r="N36"/>
      <c r="O36"/>
      <c r="U36" s="12"/>
      <c r="W36"/>
    </row>
    <row r="37" spans="1:25" ht="13" customHeight="1">
      <c r="A37" s="96" t="s">
        <v>132</v>
      </c>
      <c r="B37" s="1" t="s">
        <v>132</v>
      </c>
      <c r="D37" s="73">
        <f t="shared" ref="D37:M37" si="23">MIN(D26:D33)</f>
        <v>0.50530379863544173</v>
      </c>
      <c r="E37" s="43">
        <f t="shared" si="23"/>
        <v>31</v>
      </c>
      <c r="F37" s="43">
        <f t="shared" si="23"/>
        <v>5</v>
      </c>
      <c r="G37" s="50">
        <f t="shared" si="23"/>
        <v>0.44318181818181818</v>
      </c>
      <c r="H37" s="43">
        <f t="shared" si="23"/>
        <v>27</v>
      </c>
      <c r="I37" s="43">
        <f t="shared" si="23"/>
        <v>8</v>
      </c>
      <c r="J37" s="50">
        <f t="shared" si="23"/>
        <v>0.2413793103448276</v>
      </c>
      <c r="K37" s="43">
        <f t="shared" si="23"/>
        <v>47</v>
      </c>
      <c r="L37" s="43"/>
      <c r="M37" s="50">
        <f t="shared" si="23"/>
        <v>0.55294117647058827</v>
      </c>
      <c r="N37"/>
      <c r="O37"/>
      <c r="U37" s="12"/>
      <c r="W37"/>
    </row>
    <row r="38" spans="1:25" ht="13" customHeight="1">
      <c r="D38" s="7"/>
      <c r="E38" s="7"/>
      <c r="J38" s="9"/>
      <c r="K38" s="9"/>
      <c r="L38" s="9"/>
      <c r="O38"/>
      <c r="P38"/>
      <c r="Q38"/>
      <c r="R38"/>
      <c r="S38"/>
      <c r="T38"/>
      <c r="U38"/>
    </row>
    <row r="39" spans="1:25" ht="13" customHeight="1">
      <c r="B39" s="72" t="s">
        <v>179</v>
      </c>
      <c r="D39" s="7"/>
      <c r="E39" s="7"/>
      <c r="J39" s="9"/>
      <c r="K39" s="9"/>
      <c r="L39" s="9"/>
      <c r="O39"/>
      <c r="P39"/>
      <c r="Q39"/>
      <c r="R39"/>
      <c r="S39"/>
      <c r="T39"/>
      <c r="U39"/>
    </row>
    <row r="40" spans="1:25" ht="13" customHeight="1">
      <c r="D40" s="7"/>
      <c r="E40" s="7"/>
      <c r="J40" s="9"/>
      <c r="K40" s="9"/>
      <c r="L40" s="9"/>
      <c r="O40"/>
      <c r="P40"/>
      <c r="Q40"/>
      <c r="R40"/>
      <c r="S40"/>
      <c r="T40"/>
      <c r="U40"/>
    </row>
    <row r="41" spans="1:25" ht="13" customHeight="1">
      <c r="A41" s="12" t="s">
        <v>135</v>
      </c>
      <c r="F41" s="1" t="s">
        <v>180</v>
      </c>
      <c r="G41" s="1" t="s">
        <v>181</v>
      </c>
      <c r="H41" s="1" t="s">
        <v>182</v>
      </c>
      <c r="I41" s="1" t="s">
        <v>183</v>
      </c>
      <c r="J41" s="1" t="s">
        <v>184</v>
      </c>
      <c r="K41" s="1" t="s">
        <v>185</v>
      </c>
      <c r="L41" s="1" t="s">
        <v>186</v>
      </c>
      <c r="M41" s="1" t="s">
        <v>187</v>
      </c>
      <c r="O41"/>
      <c r="P41"/>
      <c r="Q41"/>
      <c r="R41"/>
      <c r="S41"/>
      <c r="T41"/>
      <c r="U41"/>
    </row>
    <row r="42" spans="1:25" customFormat="1" ht="13" customHeight="1">
      <c r="A42" s="94" t="s">
        <v>18</v>
      </c>
      <c r="B42" s="42" t="s">
        <v>19</v>
      </c>
      <c r="C42" s="42" t="s">
        <v>20</v>
      </c>
      <c r="D42" s="77" t="s">
        <v>188</v>
      </c>
      <c r="E42" s="87" t="s">
        <v>189</v>
      </c>
      <c r="F42" s="3" t="s">
        <v>190</v>
      </c>
      <c r="G42" s="3" t="s">
        <v>191</v>
      </c>
      <c r="H42" s="3" t="s">
        <v>192</v>
      </c>
      <c r="I42" s="3" t="s">
        <v>193</v>
      </c>
      <c r="J42" s="3"/>
      <c r="K42" s="3" t="s">
        <v>194</v>
      </c>
      <c r="L42" s="3" t="s">
        <v>195</v>
      </c>
      <c r="M42" s="3" t="s">
        <v>196</v>
      </c>
      <c r="O42" s="3"/>
      <c r="P42" s="3"/>
      <c r="Q42" s="3"/>
      <c r="R42" s="3"/>
    </row>
    <row r="43" spans="1:25" s="4" customFormat="1" ht="13" customHeight="1">
      <c r="A43" s="95" t="s">
        <v>96</v>
      </c>
      <c r="B43" s="44"/>
      <c r="D43" s="78"/>
      <c r="E43" s="88" t="s">
        <v>97</v>
      </c>
      <c r="F43" s="5">
        <v>20</v>
      </c>
      <c r="G43" s="5">
        <v>20</v>
      </c>
      <c r="H43" s="5">
        <v>20</v>
      </c>
      <c r="I43" s="5">
        <v>20</v>
      </c>
      <c r="J43" s="5"/>
      <c r="K43" s="5">
        <v>20</v>
      </c>
      <c r="L43" s="5">
        <v>20</v>
      </c>
      <c r="M43" s="5">
        <v>20</v>
      </c>
      <c r="N43" s="5"/>
      <c r="O43" s="5">
        <f>SUM(F43:M43)</f>
        <v>140</v>
      </c>
      <c r="P43" s="5"/>
      <c r="Q43" s="5"/>
      <c r="R43" s="5"/>
    </row>
    <row r="44" spans="1:25" customFormat="1" ht="13" customHeight="1">
      <c r="A44" s="1" t="str">
        <f t="shared" ref="A44:A51" si="24">A26</f>
        <v>janders</v>
      </c>
      <c r="B44" s="24" t="str">
        <f t="shared" ref="B44:C51" si="25">C8</f>
        <v>Anders</v>
      </c>
      <c r="C44" s="24" t="str">
        <f t="shared" si="25"/>
        <v>John</v>
      </c>
      <c r="D44" s="74">
        <f t="shared" ref="D44:D51" si="26">SUM(F44:M44)/$O$43</f>
        <v>0.95</v>
      </c>
      <c r="E44" s="89" t="s">
        <v>171</v>
      </c>
      <c r="F44" s="1">
        <v>19</v>
      </c>
      <c r="G44" s="1">
        <v>20</v>
      </c>
      <c r="H44" s="1">
        <v>16</v>
      </c>
      <c r="I44" s="1">
        <v>20</v>
      </c>
      <c r="J44" s="1"/>
      <c r="K44">
        <v>18</v>
      </c>
      <c r="L44" s="1">
        <v>20</v>
      </c>
      <c r="M44">
        <v>20</v>
      </c>
      <c r="N44" s="11"/>
      <c r="O44" s="1"/>
      <c r="P44" s="1"/>
      <c r="Q44" s="1"/>
      <c r="R44" s="1"/>
    </row>
    <row r="45" spans="1:25" customFormat="1" ht="13" customHeight="1">
      <c r="A45" s="1" t="str">
        <f t="shared" si="24"/>
        <v>lchriste</v>
      </c>
      <c r="B45" s="24" t="str">
        <f t="shared" si="25"/>
        <v>Christenson</v>
      </c>
      <c r="C45" s="24" t="str">
        <f t="shared" si="25"/>
        <v>Lars</v>
      </c>
      <c r="D45" s="74">
        <f t="shared" si="26"/>
        <v>0.9642857142857143</v>
      </c>
      <c r="E45" s="89" t="s">
        <v>171</v>
      </c>
      <c r="F45" s="1">
        <v>19</v>
      </c>
      <c r="G45" s="1">
        <v>20</v>
      </c>
      <c r="H45" s="1">
        <v>18</v>
      </c>
      <c r="I45" s="1">
        <v>20</v>
      </c>
      <c r="J45" s="1"/>
      <c r="K45">
        <v>20</v>
      </c>
      <c r="L45" s="1">
        <v>18</v>
      </c>
      <c r="M45">
        <v>20</v>
      </c>
      <c r="N45" s="11"/>
      <c r="O45" s="1"/>
      <c r="P45" s="1"/>
      <c r="Q45" s="1"/>
      <c r="R45" s="1"/>
    </row>
    <row r="46" spans="1:25" customFormat="1" ht="13" customHeight="1">
      <c r="A46" s="1" t="str">
        <f t="shared" si="24"/>
        <v>tfogarty</v>
      </c>
      <c r="B46" s="24" t="str">
        <f t="shared" si="25"/>
        <v>Fogerty</v>
      </c>
      <c r="C46" s="24" t="str">
        <f t="shared" si="25"/>
        <v>Tim</v>
      </c>
      <c r="D46" s="74">
        <f t="shared" si="26"/>
        <v>0.9</v>
      </c>
      <c r="E46" s="89" t="s">
        <v>171</v>
      </c>
      <c r="F46" s="1">
        <v>20</v>
      </c>
      <c r="G46" s="1">
        <v>20</v>
      </c>
      <c r="H46" s="1">
        <v>16</v>
      </c>
      <c r="I46" s="1">
        <v>20</v>
      </c>
      <c r="J46" s="1"/>
      <c r="K46">
        <v>15</v>
      </c>
      <c r="L46" s="1">
        <v>15</v>
      </c>
      <c r="M46">
        <v>20</v>
      </c>
      <c r="N46" s="11"/>
      <c r="O46" s="1"/>
      <c r="P46" s="1"/>
      <c r="Q46" s="1"/>
      <c r="R46" s="1"/>
    </row>
    <row r="47" spans="1:25" customFormat="1" ht="13" customHeight="1">
      <c r="A47" s="1" t="str">
        <f t="shared" si="24"/>
        <v>lhenderso</v>
      </c>
      <c r="B47" s="24" t="str">
        <f t="shared" si="25"/>
        <v>Henderson</v>
      </c>
      <c r="C47" s="24" t="str">
        <f t="shared" si="25"/>
        <v>Lee</v>
      </c>
      <c r="D47" s="74">
        <f t="shared" si="26"/>
        <v>0.95714285714285718</v>
      </c>
      <c r="E47" s="89" t="s">
        <v>171</v>
      </c>
      <c r="F47" s="1">
        <v>19</v>
      </c>
      <c r="G47" s="1">
        <v>20</v>
      </c>
      <c r="H47" s="1">
        <v>16</v>
      </c>
      <c r="I47" s="1">
        <v>20</v>
      </c>
      <c r="J47" s="1"/>
      <c r="K47">
        <v>19</v>
      </c>
      <c r="L47" s="1">
        <v>20</v>
      </c>
      <c r="M47">
        <v>20</v>
      </c>
      <c r="N47" s="11"/>
      <c r="O47" s="1"/>
      <c r="P47" s="1"/>
      <c r="Q47" s="1"/>
      <c r="R47" s="1"/>
    </row>
    <row r="48" spans="1:25" customFormat="1" ht="13" customHeight="1">
      <c r="A48" s="1" t="str">
        <f t="shared" si="24"/>
        <v>dholmgr</v>
      </c>
      <c r="B48" s="24" t="str">
        <f t="shared" si="25"/>
        <v>Holmgren</v>
      </c>
      <c r="C48" s="24" t="str">
        <f t="shared" si="25"/>
        <v>Debbie</v>
      </c>
      <c r="D48" s="74">
        <f t="shared" si="26"/>
        <v>0.95</v>
      </c>
      <c r="E48" s="89" t="s">
        <v>171</v>
      </c>
      <c r="F48" s="1">
        <v>19</v>
      </c>
      <c r="G48" s="1">
        <v>20</v>
      </c>
      <c r="H48" s="1">
        <v>16</v>
      </c>
      <c r="I48" s="1">
        <v>20</v>
      </c>
      <c r="J48" s="1"/>
      <c r="K48">
        <v>20</v>
      </c>
      <c r="L48" s="1">
        <v>18</v>
      </c>
      <c r="M48">
        <v>20</v>
      </c>
      <c r="N48" s="11"/>
      <c r="O48" s="1"/>
      <c r="P48" s="1"/>
      <c r="Q48" s="1"/>
      <c r="R48" s="1"/>
    </row>
    <row r="49" spans="1:81" customFormat="1" ht="13" customHeight="1">
      <c r="A49" s="1" t="str">
        <f t="shared" si="24"/>
        <v>hjohnso</v>
      </c>
      <c r="B49" s="24" t="str">
        <f t="shared" si="25"/>
        <v>Johnson</v>
      </c>
      <c r="C49" s="24" t="str">
        <f t="shared" si="25"/>
        <v>Howard</v>
      </c>
      <c r="D49" s="74">
        <f t="shared" si="26"/>
        <v>0.91428571428571426</v>
      </c>
      <c r="E49" s="89" t="s">
        <v>171</v>
      </c>
      <c r="F49" s="1">
        <v>20</v>
      </c>
      <c r="G49" s="1">
        <v>20</v>
      </c>
      <c r="H49" s="1">
        <v>15</v>
      </c>
      <c r="I49" s="1">
        <v>20</v>
      </c>
      <c r="J49" s="1"/>
      <c r="K49">
        <v>15</v>
      </c>
      <c r="L49" s="1">
        <v>18</v>
      </c>
      <c r="M49">
        <v>20</v>
      </c>
      <c r="N49" s="11"/>
      <c r="O49" s="1"/>
      <c r="P49" s="1"/>
      <c r="Q49" s="1"/>
      <c r="R49" s="1"/>
    </row>
    <row r="50" spans="1:81" customFormat="1" ht="13" customHeight="1">
      <c r="A50" s="1" t="str">
        <f t="shared" si="24"/>
        <v>clundgren</v>
      </c>
      <c r="B50" s="24" t="str">
        <f t="shared" si="25"/>
        <v>Lundgren</v>
      </c>
      <c r="C50" s="24" t="str">
        <f t="shared" si="25"/>
        <v>Christa</v>
      </c>
      <c r="D50" s="74">
        <f t="shared" si="26"/>
        <v>0.27142857142857141</v>
      </c>
      <c r="E50" s="89" t="s">
        <v>125</v>
      </c>
      <c r="F50" s="1">
        <v>18</v>
      </c>
      <c r="G50" s="1">
        <v>20</v>
      </c>
      <c r="H50" s="1"/>
      <c r="I50" s="1"/>
      <c r="J50" s="1"/>
      <c r="L50" s="1"/>
      <c r="N50" s="11"/>
      <c r="O50" s="1"/>
      <c r="P50" s="1"/>
      <c r="Q50" s="1"/>
      <c r="R50" s="1"/>
    </row>
    <row r="51" spans="1:81" s="4" customFormat="1" ht="13" customHeight="1">
      <c r="A51" s="5" t="str">
        <f t="shared" si="24"/>
        <v>kpark</v>
      </c>
      <c r="B51" s="46" t="str">
        <f t="shared" si="25"/>
        <v>Park</v>
      </c>
      <c r="C51" s="46" t="str">
        <f t="shared" si="25"/>
        <v>Kim</v>
      </c>
      <c r="D51" s="75">
        <f t="shared" si="26"/>
        <v>0.95714285714285718</v>
      </c>
      <c r="E51" s="90" t="s">
        <v>171</v>
      </c>
      <c r="F51" s="5">
        <v>19</v>
      </c>
      <c r="G51" s="5">
        <v>20</v>
      </c>
      <c r="H51" s="5">
        <v>16</v>
      </c>
      <c r="I51" s="5">
        <v>20</v>
      </c>
      <c r="J51" s="5"/>
      <c r="K51" s="4">
        <v>19</v>
      </c>
      <c r="L51" s="5">
        <v>20</v>
      </c>
      <c r="M51" s="4">
        <v>20</v>
      </c>
      <c r="N51" s="45"/>
      <c r="O51" s="5"/>
      <c r="P51" s="5"/>
      <c r="Q51" s="5"/>
      <c r="R51" s="5"/>
    </row>
    <row r="52" spans="1:81" customFormat="1" ht="13" customHeight="1">
      <c r="A52" s="96" t="s">
        <v>129</v>
      </c>
      <c r="B52" s="1"/>
      <c r="C52" s="1"/>
      <c r="D52" s="76">
        <f>AVERAGE(D44:D51)</f>
        <v>0.85803571428571435</v>
      </c>
      <c r="E52" s="76"/>
      <c r="F52" s="43">
        <f>AVERAGE(F44:F51)</f>
        <v>19.125</v>
      </c>
      <c r="G52" s="43">
        <f>AVERAGE(G44:G51)</f>
        <v>20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81" customFormat="1" ht="13" customHeight="1">
      <c r="A53" s="96" t="s">
        <v>130</v>
      </c>
      <c r="B53" s="1"/>
      <c r="C53" s="7"/>
      <c r="D53" s="76">
        <f>STDEV(D44:D51)</f>
        <v>0.23811203172067055</v>
      </c>
      <c r="E53" s="82"/>
      <c r="F53" s="43">
        <f>STDEV(F44:F51)</f>
        <v>0.64086994446165568</v>
      </c>
      <c r="G53" s="43">
        <f>STDEV(G44:G51)</f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81" customFormat="1" ht="13" customHeight="1">
      <c r="A54" s="96" t="s">
        <v>131</v>
      </c>
      <c r="B54" s="1"/>
      <c r="C54" s="7"/>
      <c r="D54" s="76">
        <f>MAX(D44:D51)</f>
        <v>0.9642857142857143</v>
      </c>
      <c r="E54" s="82"/>
      <c r="F54" s="43">
        <f>MAX(F44:F51)</f>
        <v>20</v>
      </c>
      <c r="G54" s="43">
        <f>MAX(G44:G51)</f>
        <v>20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81" customFormat="1" ht="13" customHeight="1">
      <c r="A55" s="96" t="s">
        <v>132</v>
      </c>
      <c r="B55" s="1"/>
      <c r="C55" s="7"/>
      <c r="D55" s="76">
        <f>MIN(D44:D51)</f>
        <v>0.27142857142857141</v>
      </c>
      <c r="E55" s="82"/>
      <c r="F55" s="43">
        <f>MIN(F44:F51)</f>
        <v>18</v>
      </c>
      <c r="G55" s="43">
        <f>MIN(G44:G51)</f>
        <v>20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81" customFormat="1" ht="13" customHeight="1">
      <c r="A56" s="1"/>
      <c r="B56" s="1"/>
      <c r="C56" s="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81" ht="13" customHeight="1">
      <c r="B57" s="72" t="s">
        <v>197</v>
      </c>
      <c r="D57" s="7"/>
      <c r="E57" s="7"/>
    </row>
    <row r="58" spans="1:81" s="3" customFormat="1" ht="13" customHeight="1">
      <c r="D58" s="85" t="s">
        <v>198</v>
      </c>
      <c r="F58"/>
      <c r="G58"/>
      <c r="H58"/>
      <c r="I58" s="3" t="str">
        <f t="shared" ref="I58:AN58" si="27">J6</f>
        <v>BC1</v>
      </c>
      <c r="J58" s="3" t="str">
        <f t="shared" si="27"/>
        <v>BC2</v>
      </c>
      <c r="K58" s="3" t="str">
        <f t="shared" si="27"/>
        <v>Rs1</v>
      </c>
      <c r="L58" s="3" t="str">
        <f t="shared" si="27"/>
        <v>Rs2</v>
      </c>
      <c r="M58" s="3" t="str">
        <f t="shared" si="27"/>
        <v>Rs3</v>
      </c>
      <c r="N58" s="3" t="str">
        <f t="shared" si="27"/>
        <v>NT1</v>
      </c>
      <c r="O58" s="3" t="str">
        <f t="shared" si="27"/>
        <v>NT2</v>
      </c>
      <c r="P58" s="3" t="str">
        <f t="shared" si="27"/>
        <v>NT3</v>
      </c>
      <c r="Q58" s="3" t="str">
        <f t="shared" si="27"/>
        <v>NT4</v>
      </c>
      <c r="R58" s="3" t="str">
        <f t="shared" si="27"/>
        <v>MC1</v>
      </c>
      <c r="S58" s="3" t="str">
        <f t="shared" si="27"/>
        <v>MC2</v>
      </c>
      <c r="T58" s="3" t="str">
        <f t="shared" si="27"/>
        <v>MC3</v>
      </c>
      <c r="U58" s="3" t="str">
        <f t="shared" si="27"/>
        <v>NV1</v>
      </c>
      <c r="V58" s="3" t="str">
        <f t="shared" si="27"/>
        <v>NV2</v>
      </c>
      <c r="W58" s="3" t="str">
        <f t="shared" si="27"/>
        <v>NV3</v>
      </c>
      <c r="X58" s="3" t="str">
        <f t="shared" si="27"/>
        <v>CL1</v>
      </c>
      <c r="Y58" s="3" t="str">
        <f t="shared" si="27"/>
        <v>CL2</v>
      </c>
      <c r="Z58" s="3" t="str">
        <f t="shared" si="27"/>
        <v>CL3</v>
      </c>
      <c r="AA58" s="3" t="str">
        <f t="shared" si="27"/>
        <v>CL4</v>
      </c>
      <c r="AB58" s="3" t="str">
        <f t="shared" si="27"/>
        <v>RC1</v>
      </c>
      <c r="AC58" s="3" t="str">
        <f t="shared" si="27"/>
        <v>RC2</v>
      </c>
      <c r="AD58" s="3" t="str">
        <f t="shared" si="27"/>
        <v>RC3</v>
      </c>
      <c r="AE58" s="3" t="str">
        <f t="shared" si="27"/>
        <v>RL1</v>
      </c>
      <c r="AF58" s="3" t="str">
        <f t="shared" si="27"/>
        <v>RL2</v>
      </c>
      <c r="AG58" s="3" t="str">
        <f t="shared" si="27"/>
        <v>RL3</v>
      </c>
      <c r="AH58" s="3" t="str">
        <f t="shared" si="27"/>
        <v>SF1</v>
      </c>
      <c r="AI58" s="3" t="str">
        <f t="shared" si="27"/>
        <v>SF2</v>
      </c>
      <c r="AJ58" s="3" t="str">
        <f t="shared" si="27"/>
        <v>SF3</v>
      </c>
      <c r="AK58" s="3" t="str">
        <f t="shared" si="27"/>
        <v>DR1</v>
      </c>
      <c r="AL58" s="3" t="str">
        <f t="shared" si="27"/>
        <v>DR2</v>
      </c>
      <c r="AM58" s="3" t="str">
        <f t="shared" si="27"/>
        <v>DR3</v>
      </c>
      <c r="AN58" s="3" t="str">
        <f t="shared" si="27"/>
        <v>PA1</v>
      </c>
      <c r="AO58" s="3" t="str">
        <f t="shared" ref="AO58:BT58" si="28">AP6</f>
        <v>PA2</v>
      </c>
      <c r="AP58" s="3" t="str">
        <f t="shared" si="28"/>
        <v>PA3</v>
      </c>
      <c r="AQ58" s="3" t="str">
        <f t="shared" si="28"/>
        <v>PA4</v>
      </c>
      <c r="AR58" s="3" t="str">
        <f t="shared" si="28"/>
        <v>PA5</v>
      </c>
      <c r="AS58" s="3" t="str">
        <f t="shared" si="28"/>
        <v>PA6</v>
      </c>
      <c r="AT58" s="3" t="str">
        <f t="shared" si="28"/>
        <v>PI1</v>
      </c>
      <c r="AU58" s="3" t="str">
        <f t="shared" si="28"/>
        <v>PI2</v>
      </c>
      <c r="AV58" s="3" t="str">
        <f t="shared" si="28"/>
        <v>SP1</v>
      </c>
      <c r="AW58" s="3" t="str">
        <f t="shared" si="28"/>
        <v>SP2</v>
      </c>
      <c r="AX58" s="3" t="str">
        <f t="shared" si="28"/>
        <v>SP3</v>
      </c>
      <c r="AY58" s="3" t="str">
        <f t="shared" si="28"/>
        <v>SP4</v>
      </c>
      <c r="AZ58" s="3" t="str">
        <f t="shared" si="28"/>
        <v>R1</v>
      </c>
      <c r="BA58" s="3" t="str">
        <f t="shared" si="28"/>
        <v>R2</v>
      </c>
      <c r="BB58" s="3" t="str">
        <f t="shared" si="28"/>
        <v>R3</v>
      </c>
      <c r="BC58" s="3" t="str">
        <f t="shared" si="28"/>
        <v>R4</v>
      </c>
      <c r="BD58" s="3" t="str">
        <f t="shared" si="28"/>
        <v>R5</v>
      </c>
      <c r="BE58" s="3" t="str">
        <f t="shared" si="28"/>
        <v>FR1</v>
      </c>
      <c r="BF58" s="3" t="str">
        <f t="shared" si="28"/>
        <v>FR2</v>
      </c>
      <c r="BG58" s="3" t="str">
        <f t="shared" si="28"/>
        <v>FR3</v>
      </c>
      <c r="BH58" s="3" t="str">
        <f t="shared" si="28"/>
        <v>FR4</v>
      </c>
      <c r="BI58" s="3" t="str">
        <f t="shared" si="28"/>
        <v>FR5</v>
      </c>
      <c r="BJ58" s="3" t="str">
        <f t="shared" si="28"/>
        <v>FR6</v>
      </c>
      <c r="BK58" s="3" t="str">
        <f t="shared" si="28"/>
        <v>FR7</v>
      </c>
      <c r="BL58" s="3" t="str">
        <f t="shared" si="28"/>
        <v>FR8</v>
      </c>
      <c r="BM58" s="3" t="str">
        <f t="shared" si="28"/>
        <v>AF1</v>
      </c>
      <c r="BN58" s="3" t="str">
        <f t="shared" si="28"/>
        <v>AF2</v>
      </c>
      <c r="BO58" s="3" t="str">
        <f t="shared" si="28"/>
        <v>AF3</v>
      </c>
      <c r="BP58" s="3" t="str">
        <f t="shared" si="28"/>
        <v>AF4</v>
      </c>
      <c r="BQ58" s="3" t="str">
        <f t="shared" si="28"/>
        <v>AF5</v>
      </c>
      <c r="BR58" s="3" t="str">
        <f t="shared" si="28"/>
        <v>OA1</v>
      </c>
      <c r="BS58" s="3" t="str">
        <f t="shared" si="28"/>
        <v>OA2</v>
      </c>
      <c r="BT58" s="3" t="str">
        <f t="shared" si="28"/>
        <v>OA3</v>
      </c>
      <c r="BU58" s="3" t="str">
        <f t="shared" ref="BU58:CC58" si="29">BV6</f>
        <v>OA4</v>
      </c>
      <c r="BV58" s="3" t="str">
        <f t="shared" si="29"/>
        <v>OA5</v>
      </c>
      <c r="BW58" s="3" t="str">
        <f t="shared" si="29"/>
        <v>OA6</v>
      </c>
      <c r="BX58" s="3" t="str">
        <f t="shared" si="29"/>
        <v>H1</v>
      </c>
      <c r="BY58" s="3" t="str">
        <f t="shared" si="29"/>
        <v>H2</v>
      </c>
      <c r="BZ58" s="3">
        <f t="shared" si="29"/>
        <v>0</v>
      </c>
      <c r="CA58" s="3" t="str">
        <f t="shared" si="29"/>
        <v>WQ1</v>
      </c>
      <c r="CB58" s="3" t="str">
        <f t="shared" si="29"/>
        <v>WQ2</v>
      </c>
      <c r="CC58" s="3">
        <f t="shared" si="29"/>
        <v>0</v>
      </c>
    </row>
    <row r="59" spans="1:81" s="5" customFormat="1" ht="13" customHeight="1">
      <c r="B59" s="4"/>
      <c r="C59" s="4"/>
      <c r="D59" s="86">
        <f>SUM(I59:CC59)</f>
        <v>79</v>
      </c>
      <c r="F59"/>
      <c r="G59"/>
      <c r="H59"/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3</v>
      </c>
      <c r="BY59" s="5">
        <v>5</v>
      </c>
      <c r="BZ59" s="5">
        <v>0</v>
      </c>
      <c r="CA59" s="5">
        <v>2</v>
      </c>
      <c r="CB59" s="5">
        <v>2</v>
      </c>
      <c r="CC59" s="5">
        <v>0</v>
      </c>
    </row>
    <row r="60" spans="1:81" ht="13" customHeight="1">
      <c r="B60" s="24" t="str">
        <f t="shared" ref="B60:C67" si="30">C8</f>
        <v>Anders</v>
      </c>
      <c r="C60" s="24" t="str">
        <f t="shared" si="30"/>
        <v>John</v>
      </c>
      <c r="D60" s="83">
        <f t="shared" ref="D60:D67" si="31">SUM(I60:CC60)/$D$59</f>
        <v>0.41803797468354431</v>
      </c>
      <c r="E60" s="6"/>
      <c r="F60"/>
      <c r="G60"/>
      <c r="H60"/>
      <c r="I60" s="1">
        <f t="shared" ref="I60:AN60" si="32">J8/J$7</f>
        <v>1</v>
      </c>
      <c r="J60" s="1">
        <f t="shared" si="32"/>
        <v>1</v>
      </c>
      <c r="K60" s="1">
        <f t="shared" si="32"/>
        <v>1</v>
      </c>
      <c r="L60" s="1">
        <f t="shared" si="32"/>
        <v>1</v>
      </c>
      <c r="M60" s="1">
        <f t="shared" si="32"/>
        <v>1</v>
      </c>
      <c r="N60" s="1">
        <f t="shared" si="32"/>
        <v>1</v>
      </c>
      <c r="O60" s="1">
        <f t="shared" si="32"/>
        <v>1</v>
      </c>
      <c r="P60" s="1">
        <f t="shared" si="32"/>
        <v>1</v>
      </c>
      <c r="Q60" s="1">
        <f t="shared" si="32"/>
        <v>1</v>
      </c>
      <c r="R60" s="1">
        <f t="shared" si="32"/>
        <v>1</v>
      </c>
      <c r="S60" s="1">
        <f t="shared" si="32"/>
        <v>1</v>
      </c>
      <c r="T60" s="1">
        <f t="shared" si="32"/>
        <v>1</v>
      </c>
      <c r="U60" s="1">
        <f t="shared" si="32"/>
        <v>1</v>
      </c>
      <c r="V60" s="1">
        <f t="shared" si="32"/>
        <v>1</v>
      </c>
      <c r="W60" s="1">
        <f t="shared" si="32"/>
        <v>1</v>
      </c>
      <c r="X60" s="1">
        <f t="shared" si="32"/>
        <v>1</v>
      </c>
      <c r="Y60" s="1">
        <f t="shared" si="32"/>
        <v>1</v>
      </c>
      <c r="Z60" s="1">
        <f t="shared" si="32"/>
        <v>1</v>
      </c>
      <c r="AA60" s="1">
        <f t="shared" si="32"/>
        <v>0</v>
      </c>
      <c r="AB60" s="1">
        <f t="shared" si="32"/>
        <v>1</v>
      </c>
      <c r="AC60" s="1">
        <f t="shared" si="32"/>
        <v>0</v>
      </c>
      <c r="AD60" s="1">
        <f t="shared" si="32"/>
        <v>0</v>
      </c>
      <c r="AE60" s="1">
        <f t="shared" si="32"/>
        <v>1</v>
      </c>
      <c r="AF60" s="1">
        <f t="shared" si="32"/>
        <v>1</v>
      </c>
      <c r="AG60" s="1">
        <f t="shared" si="32"/>
        <v>0</v>
      </c>
      <c r="AH60" s="1">
        <f t="shared" si="32"/>
        <v>0</v>
      </c>
      <c r="AI60" s="1">
        <f t="shared" si="32"/>
        <v>0</v>
      </c>
      <c r="AJ60" s="1">
        <f t="shared" si="32"/>
        <v>0</v>
      </c>
      <c r="AK60" s="1">
        <f t="shared" si="32"/>
        <v>0</v>
      </c>
      <c r="AL60" s="1">
        <f t="shared" si="32"/>
        <v>0</v>
      </c>
      <c r="AM60" s="1">
        <f t="shared" si="32"/>
        <v>0</v>
      </c>
      <c r="AN60" s="1">
        <f t="shared" si="32"/>
        <v>0</v>
      </c>
      <c r="AO60" s="1">
        <f t="shared" ref="AO60:BY60" si="33">AP8/AP$7</f>
        <v>0</v>
      </c>
      <c r="AP60" s="1">
        <f t="shared" si="33"/>
        <v>0</v>
      </c>
      <c r="AQ60" s="1">
        <f t="shared" si="33"/>
        <v>0</v>
      </c>
      <c r="AR60" s="1">
        <f t="shared" si="33"/>
        <v>0</v>
      </c>
      <c r="AS60" s="1">
        <f t="shared" si="33"/>
        <v>0</v>
      </c>
      <c r="AT60" s="1">
        <f t="shared" si="33"/>
        <v>1</v>
      </c>
      <c r="AU60" s="1">
        <f t="shared" si="33"/>
        <v>0.875</v>
      </c>
      <c r="AV60" s="1">
        <f t="shared" si="33"/>
        <v>0</v>
      </c>
      <c r="AW60" s="1">
        <f t="shared" si="33"/>
        <v>0</v>
      </c>
      <c r="AX60" s="1">
        <f t="shared" si="33"/>
        <v>0</v>
      </c>
      <c r="AY60" s="1">
        <f t="shared" si="33"/>
        <v>0</v>
      </c>
      <c r="AZ60" s="1">
        <f t="shared" si="33"/>
        <v>1</v>
      </c>
      <c r="BA60" s="1">
        <f t="shared" si="33"/>
        <v>1</v>
      </c>
      <c r="BB60" s="1">
        <f t="shared" si="33"/>
        <v>1</v>
      </c>
      <c r="BC60" s="1">
        <f t="shared" si="33"/>
        <v>1</v>
      </c>
      <c r="BD60" s="1">
        <f t="shared" si="33"/>
        <v>1</v>
      </c>
      <c r="BE60" s="1">
        <f t="shared" si="33"/>
        <v>0</v>
      </c>
      <c r="BF60" s="1">
        <f t="shared" si="33"/>
        <v>0</v>
      </c>
      <c r="BG60" s="1">
        <f t="shared" si="33"/>
        <v>0</v>
      </c>
      <c r="BH60" s="1">
        <f t="shared" si="33"/>
        <v>0</v>
      </c>
      <c r="BI60" s="1">
        <f t="shared" si="33"/>
        <v>0</v>
      </c>
      <c r="BJ60" s="1">
        <f t="shared" si="33"/>
        <v>0</v>
      </c>
      <c r="BK60" s="1">
        <f t="shared" si="33"/>
        <v>0</v>
      </c>
      <c r="BL60" s="1">
        <f t="shared" si="33"/>
        <v>0</v>
      </c>
      <c r="BM60" s="1">
        <f t="shared" si="33"/>
        <v>0</v>
      </c>
      <c r="BN60" s="1">
        <f t="shared" si="33"/>
        <v>0</v>
      </c>
      <c r="BO60" s="1">
        <f t="shared" si="33"/>
        <v>0</v>
      </c>
      <c r="BP60" s="1">
        <f t="shared" si="33"/>
        <v>0</v>
      </c>
      <c r="BQ60" s="1">
        <f t="shared" si="33"/>
        <v>0</v>
      </c>
      <c r="BR60" s="1">
        <f t="shared" si="33"/>
        <v>1</v>
      </c>
      <c r="BS60" s="1">
        <f t="shared" si="33"/>
        <v>1</v>
      </c>
      <c r="BT60" s="1">
        <f t="shared" si="33"/>
        <v>0</v>
      </c>
      <c r="BU60" s="1">
        <f t="shared" si="33"/>
        <v>0</v>
      </c>
      <c r="BV60" s="1">
        <f t="shared" si="33"/>
        <v>0</v>
      </c>
      <c r="BW60" s="1">
        <f t="shared" si="33"/>
        <v>0</v>
      </c>
      <c r="BX60" s="1">
        <f t="shared" si="33"/>
        <v>1</v>
      </c>
      <c r="BY60" s="1">
        <f t="shared" si="33"/>
        <v>1</v>
      </c>
      <c r="CA60" s="1">
        <f t="shared" ref="CA60:CB67" si="34">CB8/CB$7</f>
        <v>0.625</v>
      </c>
      <c r="CB60" s="1">
        <f t="shared" si="34"/>
        <v>0.52500000000000002</v>
      </c>
    </row>
    <row r="61" spans="1:81" ht="13" customHeight="1">
      <c r="B61" s="24" t="str">
        <f t="shared" si="30"/>
        <v>Christenson</v>
      </c>
      <c r="C61" s="24" t="str">
        <f t="shared" si="30"/>
        <v>Lars</v>
      </c>
      <c r="D61" s="83">
        <f t="shared" si="31"/>
        <v>0.7291817359855336</v>
      </c>
      <c r="E61" s="6"/>
      <c r="F61"/>
      <c r="G61"/>
      <c r="H61"/>
      <c r="I61" s="1">
        <f t="shared" ref="I61:AN61" si="35">J9/J$7</f>
        <v>1</v>
      </c>
      <c r="J61" s="1">
        <f t="shared" si="35"/>
        <v>1</v>
      </c>
      <c r="K61" s="1">
        <f t="shared" si="35"/>
        <v>1</v>
      </c>
      <c r="L61" s="1">
        <f t="shared" si="35"/>
        <v>1</v>
      </c>
      <c r="M61" s="1">
        <f t="shared" si="35"/>
        <v>1</v>
      </c>
      <c r="N61" s="1">
        <f t="shared" si="35"/>
        <v>1</v>
      </c>
      <c r="O61" s="1">
        <f t="shared" si="35"/>
        <v>1</v>
      </c>
      <c r="P61" s="1">
        <f t="shared" si="35"/>
        <v>1</v>
      </c>
      <c r="Q61" s="1">
        <f t="shared" si="35"/>
        <v>1</v>
      </c>
      <c r="R61" s="1">
        <f t="shared" si="35"/>
        <v>1</v>
      </c>
      <c r="S61" s="1">
        <f t="shared" si="35"/>
        <v>1</v>
      </c>
      <c r="T61" s="1">
        <f t="shared" si="35"/>
        <v>1</v>
      </c>
      <c r="U61" s="1">
        <f t="shared" si="35"/>
        <v>1</v>
      </c>
      <c r="V61" s="1">
        <f t="shared" si="35"/>
        <v>1</v>
      </c>
      <c r="W61" s="1">
        <f t="shared" si="35"/>
        <v>1</v>
      </c>
      <c r="X61" s="1">
        <f t="shared" si="35"/>
        <v>1</v>
      </c>
      <c r="Y61" s="1">
        <f t="shared" si="35"/>
        <v>1</v>
      </c>
      <c r="Z61" s="1">
        <f t="shared" si="35"/>
        <v>1</v>
      </c>
      <c r="AA61" s="1">
        <f t="shared" si="35"/>
        <v>0.75</v>
      </c>
      <c r="AB61" s="1">
        <f t="shared" si="35"/>
        <v>1</v>
      </c>
      <c r="AC61" s="1">
        <f t="shared" si="35"/>
        <v>1</v>
      </c>
      <c r="AD61" s="1">
        <f t="shared" si="35"/>
        <v>1</v>
      </c>
      <c r="AE61" s="1">
        <f t="shared" si="35"/>
        <v>1</v>
      </c>
      <c r="AF61" s="1">
        <f t="shared" si="35"/>
        <v>1</v>
      </c>
      <c r="AG61" s="1">
        <f t="shared" si="35"/>
        <v>0</v>
      </c>
      <c r="AH61" s="1">
        <f t="shared" si="35"/>
        <v>1</v>
      </c>
      <c r="AI61" s="1">
        <f t="shared" si="35"/>
        <v>1</v>
      </c>
      <c r="AJ61" s="1">
        <f t="shared" si="35"/>
        <v>1</v>
      </c>
      <c r="AK61" s="1">
        <f t="shared" si="35"/>
        <v>1</v>
      </c>
      <c r="AL61" s="1">
        <f t="shared" si="35"/>
        <v>0.6</v>
      </c>
      <c r="AM61" s="1">
        <f t="shared" si="35"/>
        <v>1</v>
      </c>
      <c r="AN61" s="1">
        <f t="shared" si="35"/>
        <v>1</v>
      </c>
      <c r="AO61" s="1">
        <f t="shared" ref="AO61:BY61" si="36">AP9/AP$7</f>
        <v>1</v>
      </c>
      <c r="AP61" s="1">
        <f t="shared" si="36"/>
        <v>1</v>
      </c>
      <c r="AQ61" s="1">
        <f t="shared" si="36"/>
        <v>1</v>
      </c>
      <c r="AR61" s="1">
        <f t="shared" si="36"/>
        <v>0</v>
      </c>
      <c r="AS61" s="1">
        <f t="shared" si="36"/>
        <v>0</v>
      </c>
      <c r="AT61" s="1">
        <f t="shared" si="36"/>
        <v>1</v>
      </c>
      <c r="AU61" s="1">
        <f t="shared" si="36"/>
        <v>1</v>
      </c>
      <c r="AV61" s="1">
        <f t="shared" si="36"/>
        <v>1</v>
      </c>
      <c r="AW61" s="1">
        <f t="shared" si="36"/>
        <v>1</v>
      </c>
      <c r="AX61" s="1">
        <f t="shared" si="36"/>
        <v>1</v>
      </c>
      <c r="AY61" s="1">
        <f t="shared" si="36"/>
        <v>1</v>
      </c>
      <c r="AZ61" s="1">
        <f t="shared" si="36"/>
        <v>1</v>
      </c>
      <c r="BA61" s="1">
        <f t="shared" si="36"/>
        <v>1</v>
      </c>
      <c r="BB61" s="1">
        <f t="shared" si="36"/>
        <v>1</v>
      </c>
      <c r="BC61" s="1">
        <f t="shared" si="36"/>
        <v>1</v>
      </c>
      <c r="BD61" s="1">
        <f t="shared" si="36"/>
        <v>1</v>
      </c>
      <c r="BE61" s="1">
        <f t="shared" si="36"/>
        <v>0.7142857142857143</v>
      </c>
      <c r="BF61" s="1">
        <f t="shared" si="36"/>
        <v>0.42857142857142855</v>
      </c>
      <c r="BG61" s="1">
        <f t="shared" si="36"/>
        <v>0</v>
      </c>
      <c r="BH61" s="1">
        <f t="shared" si="36"/>
        <v>0</v>
      </c>
      <c r="BI61" s="1">
        <f t="shared" si="36"/>
        <v>0</v>
      </c>
      <c r="BJ61" s="1">
        <f t="shared" si="36"/>
        <v>0</v>
      </c>
      <c r="BK61" s="1">
        <f t="shared" si="36"/>
        <v>0.75</v>
      </c>
      <c r="BL61" s="1">
        <f t="shared" si="36"/>
        <v>0.625</v>
      </c>
      <c r="BM61" s="1">
        <f t="shared" si="36"/>
        <v>0.75</v>
      </c>
      <c r="BN61" s="1">
        <f t="shared" si="36"/>
        <v>0.75</v>
      </c>
      <c r="BO61" s="1">
        <f t="shared" si="36"/>
        <v>0.6</v>
      </c>
      <c r="BP61" s="1">
        <f t="shared" si="36"/>
        <v>0.5</v>
      </c>
      <c r="BQ61" s="1">
        <f t="shared" si="36"/>
        <v>0.2</v>
      </c>
      <c r="BR61" s="1">
        <f t="shared" si="36"/>
        <v>1</v>
      </c>
      <c r="BS61" s="1">
        <f t="shared" si="36"/>
        <v>1</v>
      </c>
      <c r="BT61" s="1">
        <f t="shared" si="36"/>
        <v>1</v>
      </c>
      <c r="BU61" s="1">
        <f t="shared" si="36"/>
        <v>1</v>
      </c>
      <c r="BV61" s="1">
        <f t="shared" si="36"/>
        <v>0</v>
      </c>
      <c r="BW61" s="1">
        <f t="shared" si="36"/>
        <v>1</v>
      </c>
      <c r="BX61" s="1">
        <f t="shared" si="36"/>
        <v>1</v>
      </c>
      <c r="BY61" s="1">
        <f t="shared" si="36"/>
        <v>1</v>
      </c>
      <c r="CA61" s="1">
        <f t="shared" si="34"/>
        <v>0.5625</v>
      </c>
      <c r="CB61" s="1">
        <f t="shared" si="34"/>
        <v>0.375</v>
      </c>
    </row>
    <row r="62" spans="1:81" ht="13" customHeight="1">
      <c r="B62" s="24" t="str">
        <f t="shared" si="30"/>
        <v>Fogerty</v>
      </c>
      <c r="C62" s="24" t="str">
        <f t="shared" si="30"/>
        <v>Tim</v>
      </c>
      <c r="D62" s="83">
        <f t="shared" si="31"/>
        <v>0.45052742616033747</v>
      </c>
      <c r="E62" s="6"/>
      <c r="F62"/>
      <c r="G62"/>
      <c r="H62"/>
      <c r="I62" s="1">
        <f t="shared" ref="I62:AN62" si="37">J10/J$7</f>
        <v>1</v>
      </c>
      <c r="J62" s="1">
        <f t="shared" si="37"/>
        <v>1</v>
      </c>
      <c r="K62" s="1">
        <f t="shared" si="37"/>
        <v>1</v>
      </c>
      <c r="L62" s="1">
        <f t="shared" si="37"/>
        <v>1</v>
      </c>
      <c r="M62" s="1">
        <f t="shared" si="37"/>
        <v>1</v>
      </c>
      <c r="N62" s="1">
        <f t="shared" si="37"/>
        <v>1</v>
      </c>
      <c r="O62" s="1">
        <f t="shared" si="37"/>
        <v>1</v>
      </c>
      <c r="P62" s="1">
        <f t="shared" si="37"/>
        <v>0.5</v>
      </c>
      <c r="Q62" s="1">
        <f t="shared" si="37"/>
        <v>1</v>
      </c>
      <c r="R62" s="1">
        <f t="shared" si="37"/>
        <v>1</v>
      </c>
      <c r="S62" s="1">
        <f t="shared" si="37"/>
        <v>1</v>
      </c>
      <c r="T62" s="1">
        <f t="shared" si="37"/>
        <v>1</v>
      </c>
      <c r="U62" s="1">
        <f t="shared" si="37"/>
        <v>1</v>
      </c>
      <c r="V62" s="1">
        <f t="shared" si="37"/>
        <v>1</v>
      </c>
      <c r="W62" s="1">
        <f t="shared" si="37"/>
        <v>1</v>
      </c>
      <c r="X62" s="1">
        <f t="shared" si="37"/>
        <v>1</v>
      </c>
      <c r="Y62" s="1">
        <f t="shared" si="37"/>
        <v>1</v>
      </c>
      <c r="Z62" s="1">
        <f t="shared" si="37"/>
        <v>0.5</v>
      </c>
      <c r="AA62" s="1">
        <f t="shared" si="37"/>
        <v>0</v>
      </c>
      <c r="AB62" s="1">
        <f t="shared" si="37"/>
        <v>1</v>
      </c>
      <c r="AC62" s="1">
        <f t="shared" si="37"/>
        <v>1</v>
      </c>
      <c r="AD62" s="1">
        <f t="shared" si="37"/>
        <v>0</v>
      </c>
      <c r="AE62" s="1">
        <f t="shared" si="37"/>
        <v>1</v>
      </c>
      <c r="AF62" s="1">
        <f t="shared" si="37"/>
        <v>1</v>
      </c>
      <c r="AG62" s="1">
        <f t="shared" si="37"/>
        <v>0</v>
      </c>
      <c r="AH62" s="1">
        <f t="shared" si="37"/>
        <v>0.2</v>
      </c>
      <c r="AI62" s="1">
        <f t="shared" si="37"/>
        <v>0.16666666666666666</v>
      </c>
      <c r="AJ62" s="1">
        <f t="shared" si="37"/>
        <v>0</v>
      </c>
      <c r="AK62" s="1">
        <f t="shared" si="37"/>
        <v>0</v>
      </c>
      <c r="AL62" s="1">
        <f t="shared" si="37"/>
        <v>0</v>
      </c>
      <c r="AM62" s="1">
        <f t="shared" si="37"/>
        <v>0</v>
      </c>
      <c r="AN62" s="1">
        <f t="shared" si="37"/>
        <v>0</v>
      </c>
      <c r="AO62" s="1">
        <f t="shared" ref="AO62:BY62" si="38">AP10/AP$7</f>
        <v>0</v>
      </c>
      <c r="AP62" s="1">
        <f t="shared" si="38"/>
        <v>0</v>
      </c>
      <c r="AQ62" s="1">
        <f t="shared" si="38"/>
        <v>0</v>
      </c>
      <c r="AR62" s="1">
        <f t="shared" si="38"/>
        <v>0</v>
      </c>
      <c r="AS62" s="1">
        <f t="shared" si="38"/>
        <v>0</v>
      </c>
      <c r="AT62" s="1">
        <f t="shared" si="38"/>
        <v>1</v>
      </c>
      <c r="AU62" s="1">
        <f t="shared" si="38"/>
        <v>1</v>
      </c>
      <c r="AV62" s="1">
        <f t="shared" si="38"/>
        <v>0</v>
      </c>
      <c r="AW62" s="1">
        <f t="shared" si="38"/>
        <v>0</v>
      </c>
      <c r="AX62" s="1">
        <f t="shared" si="38"/>
        <v>0</v>
      </c>
      <c r="AY62" s="1">
        <f t="shared" si="38"/>
        <v>0</v>
      </c>
      <c r="AZ62" s="1">
        <f t="shared" si="38"/>
        <v>1</v>
      </c>
      <c r="BA62" s="1">
        <f t="shared" si="38"/>
        <v>1</v>
      </c>
      <c r="BB62" s="1">
        <f t="shared" si="38"/>
        <v>1</v>
      </c>
      <c r="BC62" s="1">
        <f t="shared" si="38"/>
        <v>1</v>
      </c>
      <c r="BD62" s="1">
        <f t="shared" si="38"/>
        <v>1</v>
      </c>
      <c r="BE62" s="1">
        <f t="shared" si="38"/>
        <v>0</v>
      </c>
      <c r="BF62" s="1">
        <f t="shared" si="38"/>
        <v>0</v>
      </c>
      <c r="BG62" s="1">
        <f t="shared" si="38"/>
        <v>0</v>
      </c>
      <c r="BH62" s="1">
        <f t="shared" si="38"/>
        <v>0</v>
      </c>
      <c r="BI62" s="1">
        <f t="shared" si="38"/>
        <v>0</v>
      </c>
      <c r="BJ62" s="1">
        <f t="shared" si="38"/>
        <v>0</v>
      </c>
      <c r="BK62" s="1">
        <f t="shared" si="38"/>
        <v>0</v>
      </c>
      <c r="BL62" s="1">
        <f t="shared" si="38"/>
        <v>0</v>
      </c>
      <c r="BM62" s="1">
        <f t="shared" si="38"/>
        <v>0</v>
      </c>
      <c r="BN62" s="1">
        <f t="shared" si="38"/>
        <v>0</v>
      </c>
      <c r="BO62" s="1">
        <f t="shared" si="38"/>
        <v>0</v>
      </c>
      <c r="BP62" s="1">
        <f t="shared" si="38"/>
        <v>0</v>
      </c>
      <c r="BQ62" s="1">
        <f t="shared" si="38"/>
        <v>0</v>
      </c>
      <c r="BR62" s="1">
        <f t="shared" si="38"/>
        <v>1</v>
      </c>
      <c r="BS62" s="1">
        <f t="shared" si="38"/>
        <v>1</v>
      </c>
      <c r="BT62" s="1">
        <f t="shared" si="38"/>
        <v>1</v>
      </c>
      <c r="BU62" s="1">
        <f t="shared" si="38"/>
        <v>1</v>
      </c>
      <c r="BV62" s="1">
        <f t="shared" si="38"/>
        <v>0</v>
      </c>
      <c r="BW62" s="1">
        <f t="shared" si="38"/>
        <v>0</v>
      </c>
      <c r="BX62" s="1">
        <f t="shared" si="38"/>
        <v>1</v>
      </c>
      <c r="BY62" s="1">
        <f t="shared" si="38"/>
        <v>0.8</v>
      </c>
      <c r="CA62" s="1">
        <f t="shared" si="34"/>
        <v>0.625</v>
      </c>
      <c r="CB62" s="1">
        <f t="shared" si="34"/>
        <v>0.8</v>
      </c>
    </row>
    <row r="63" spans="1:81" ht="13" customHeight="1">
      <c r="B63" s="24" t="str">
        <f t="shared" si="30"/>
        <v>Henderson</v>
      </c>
      <c r="C63" s="24" t="str">
        <f t="shared" si="30"/>
        <v>Lee</v>
      </c>
      <c r="D63" s="83">
        <f t="shared" si="31"/>
        <v>0.60676612417118747</v>
      </c>
      <c r="E63" s="6"/>
      <c r="F63"/>
      <c r="G63"/>
      <c r="H63"/>
      <c r="I63" s="1">
        <f t="shared" ref="I63:AN63" si="39">J11/J$7</f>
        <v>1</v>
      </c>
      <c r="J63" s="1">
        <f t="shared" si="39"/>
        <v>1</v>
      </c>
      <c r="K63" s="1">
        <f t="shared" si="39"/>
        <v>1</v>
      </c>
      <c r="L63" s="1">
        <f t="shared" si="39"/>
        <v>1</v>
      </c>
      <c r="M63" s="1">
        <f t="shared" si="39"/>
        <v>1</v>
      </c>
      <c r="N63" s="1">
        <f t="shared" si="39"/>
        <v>1</v>
      </c>
      <c r="O63" s="1">
        <f t="shared" si="39"/>
        <v>1</v>
      </c>
      <c r="P63" s="1">
        <f t="shared" si="39"/>
        <v>1</v>
      </c>
      <c r="Q63" s="1">
        <f t="shared" si="39"/>
        <v>1</v>
      </c>
      <c r="R63" s="1">
        <f t="shared" si="39"/>
        <v>1</v>
      </c>
      <c r="S63" s="1">
        <f t="shared" si="39"/>
        <v>1</v>
      </c>
      <c r="T63" s="1">
        <f t="shared" si="39"/>
        <v>1</v>
      </c>
      <c r="U63" s="1">
        <f t="shared" si="39"/>
        <v>1</v>
      </c>
      <c r="V63" s="1">
        <f t="shared" si="39"/>
        <v>1</v>
      </c>
      <c r="W63" s="1">
        <f t="shared" si="39"/>
        <v>1</v>
      </c>
      <c r="X63" s="1">
        <f t="shared" si="39"/>
        <v>1</v>
      </c>
      <c r="Y63" s="1">
        <f t="shared" si="39"/>
        <v>1</v>
      </c>
      <c r="Z63" s="1">
        <f t="shared" si="39"/>
        <v>1</v>
      </c>
      <c r="AA63" s="1">
        <f t="shared" si="39"/>
        <v>1</v>
      </c>
      <c r="AB63" s="1">
        <f t="shared" si="39"/>
        <v>1</v>
      </c>
      <c r="AC63" s="1">
        <f t="shared" si="39"/>
        <v>1</v>
      </c>
      <c r="AD63" s="1">
        <f t="shared" si="39"/>
        <v>0</v>
      </c>
      <c r="AE63" s="1">
        <f t="shared" si="39"/>
        <v>0</v>
      </c>
      <c r="AF63" s="1">
        <f t="shared" si="39"/>
        <v>0</v>
      </c>
      <c r="AG63" s="1">
        <f t="shared" si="39"/>
        <v>0.5</v>
      </c>
      <c r="AH63" s="1">
        <f t="shared" si="39"/>
        <v>0</v>
      </c>
      <c r="AI63" s="1">
        <f t="shared" si="39"/>
        <v>0</v>
      </c>
      <c r="AJ63" s="1">
        <f t="shared" si="39"/>
        <v>0.16666666666666666</v>
      </c>
      <c r="AK63" s="1">
        <f t="shared" si="39"/>
        <v>0.2</v>
      </c>
      <c r="AL63" s="1">
        <f t="shared" si="39"/>
        <v>0.2</v>
      </c>
      <c r="AM63" s="1">
        <f t="shared" si="39"/>
        <v>0</v>
      </c>
      <c r="AN63" s="1">
        <f t="shared" si="39"/>
        <v>1</v>
      </c>
      <c r="AO63" s="1">
        <f t="shared" ref="AO63:BY63" si="40">AP11/AP$7</f>
        <v>1</v>
      </c>
      <c r="AP63" s="1">
        <f t="shared" si="40"/>
        <v>1</v>
      </c>
      <c r="AQ63" s="1">
        <f t="shared" si="40"/>
        <v>1</v>
      </c>
      <c r="AR63" s="1">
        <f t="shared" si="40"/>
        <v>1</v>
      </c>
      <c r="AS63" s="1">
        <f t="shared" si="40"/>
        <v>1</v>
      </c>
      <c r="AT63" s="1">
        <f t="shared" si="40"/>
        <v>1</v>
      </c>
      <c r="AU63" s="1">
        <f t="shared" si="40"/>
        <v>1</v>
      </c>
      <c r="AV63" s="1">
        <f t="shared" si="40"/>
        <v>1</v>
      </c>
      <c r="AW63" s="1">
        <f t="shared" si="40"/>
        <v>1</v>
      </c>
      <c r="AX63" s="1">
        <f t="shared" si="40"/>
        <v>1</v>
      </c>
      <c r="AY63" s="1">
        <f t="shared" si="40"/>
        <v>1</v>
      </c>
      <c r="AZ63" s="1">
        <f t="shared" si="40"/>
        <v>1</v>
      </c>
      <c r="BA63" s="1">
        <f t="shared" si="40"/>
        <v>1</v>
      </c>
      <c r="BB63" s="1">
        <f t="shared" si="40"/>
        <v>1</v>
      </c>
      <c r="BC63" s="1">
        <f t="shared" si="40"/>
        <v>1</v>
      </c>
      <c r="BD63" s="1">
        <f t="shared" si="40"/>
        <v>1</v>
      </c>
      <c r="BE63" s="1">
        <f t="shared" si="40"/>
        <v>0.7142857142857143</v>
      </c>
      <c r="BF63" s="1">
        <f t="shared" si="40"/>
        <v>0.42857142857142855</v>
      </c>
      <c r="BG63" s="1">
        <f t="shared" si="40"/>
        <v>0</v>
      </c>
      <c r="BH63" s="1">
        <f t="shared" si="40"/>
        <v>0</v>
      </c>
      <c r="BI63" s="1">
        <f t="shared" si="40"/>
        <v>0</v>
      </c>
      <c r="BJ63" s="1">
        <f t="shared" si="40"/>
        <v>0</v>
      </c>
      <c r="BK63" s="1">
        <f t="shared" si="40"/>
        <v>0.625</v>
      </c>
      <c r="BL63" s="1">
        <f t="shared" si="40"/>
        <v>0.5</v>
      </c>
      <c r="BM63" s="1">
        <f t="shared" si="40"/>
        <v>0.875</v>
      </c>
      <c r="BN63" s="1">
        <f t="shared" si="40"/>
        <v>0.75</v>
      </c>
      <c r="BO63" s="1">
        <f t="shared" si="40"/>
        <v>0.4</v>
      </c>
      <c r="BP63" s="1">
        <f t="shared" si="40"/>
        <v>0.5</v>
      </c>
      <c r="BQ63" s="1">
        <f t="shared" si="40"/>
        <v>0</v>
      </c>
      <c r="BR63" s="1">
        <f t="shared" si="40"/>
        <v>1</v>
      </c>
      <c r="BS63" s="1">
        <f t="shared" si="40"/>
        <v>1</v>
      </c>
      <c r="BT63" s="1">
        <f t="shared" si="40"/>
        <v>1</v>
      </c>
      <c r="BU63" s="1">
        <f t="shared" si="40"/>
        <v>0</v>
      </c>
      <c r="BV63" s="1">
        <f t="shared" si="40"/>
        <v>0</v>
      </c>
      <c r="BW63" s="1">
        <f t="shared" si="40"/>
        <v>0</v>
      </c>
      <c r="BX63" s="1">
        <f t="shared" si="40"/>
        <v>0</v>
      </c>
      <c r="BY63" s="1">
        <f t="shared" si="40"/>
        <v>0</v>
      </c>
      <c r="CA63" s="1">
        <f t="shared" si="34"/>
        <v>0.5</v>
      </c>
      <c r="CB63" s="1">
        <f t="shared" si="34"/>
        <v>0.57499999999999996</v>
      </c>
    </row>
    <row r="64" spans="1:81" ht="13" customHeight="1">
      <c r="B64" s="24" t="str">
        <f t="shared" si="30"/>
        <v>Holmgren</v>
      </c>
      <c r="C64" s="24" t="str">
        <f t="shared" si="30"/>
        <v>Debbie</v>
      </c>
      <c r="D64" s="83">
        <f t="shared" si="31"/>
        <v>0.40907172995780594</v>
      </c>
      <c r="E64" s="6"/>
      <c r="F64"/>
      <c r="G64"/>
      <c r="H64"/>
      <c r="I64" s="1">
        <f t="shared" ref="I64:AN64" si="41">J12/J$7</f>
        <v>1</v>
      </c>
      <c r="J64" s="1">
        <f t="shared" si="41"/>
        <v>1</v>
      </c>
      <c r="K64" s="1">
        <f t="shared" si="41"/>
        <v>1</v>
      </c>
      <c r="L64" s="1">
        <f t="shared" si="41"/>
        <v>0.75</v>
      </c>
      <c r="M64" s="1">
        <f t="shared" si="41"/>
        <v>1</v>
      </c>
      <c r="N64" s="1">
        <f t="shared" si="41"/>
        <v>0</v>
      </c>
      <c r="O64" s="1">
        <f t="shared" si="41"/>
        <v>0</v>
      </c>
      <c r="P64" s="1">
        <f t="shared" si="41"/>
        <v>0</v>
      </c>
      <c r="Q64" s="1">
        <f t="shared" si="41"/>
        <v>0</v>
      </c>
      <c r="R64" s="1">
        <f t="shared" si="41"/>
        <v>1</v>
      </c>
      <c r="S64" s="1">
        <f t="shared" si="41"/>
        <v>1</v>
      </c>
      <c r="T64" s="1">
        <f t="shared" si="41"/>
        <v>1</v>
      </c>
      <c r="U64" s="1">
        <f t="shared" si="41"/>
        <v>1</v>
      </c>
      <c r="V64" s="1">
        <f t="shared" si="41"/>
        <v>1</v>
      </c>
      <c r="W64" s="1">
        <f t="shared" si="41"/>
        <v>1</v>
      </c>
      <c r="X64" s="1">
        <f t="shared" si="41"/>
        <v>1</v>
      </c>
      <c r="Y64" s="1">
        <f t="shared" si="41"/>
        <v>1</v>
      </c>
      <c r="Z64" s="1">
        <f t="shared" si="41"/>
        <v>1</v>
      </c>
      <c r="AA64" s="1">
        <f t="shared" si="41"/>
        <v>1</v>
      </c>
      <c r="AB64" s="1">
        <f t="shared" si="41"/>
        <v>1</v>
      </c>
      <c r="AC64" s="1">
        <f t="shared" si="41"/>
        <v>0.5</v>
      </c>
      <c r="AD64" s="1">
        <f t="shared" si="41"/>
        <v>0</v>
      </c>
      <c r="AE64" s="1">
        <f t="shared" si="41"/>
        <v>1</v>
      </c>
      <c r="AF64" s="1">
        <f t="shared" si="41"/>
        <v>1</v>
      </c>
      <c r="AG64" s="1">
        <f t="shared" si="41"/>
        <v>0</v>
      </c>
      <c r="AH64" s="1">
        <f t="shared" si="41"/>
        <v>0</v>
      </c>
      <c r="AI64" s="1">
        <f t="shared" si="41"/>
        <v>0</v>
      </c>
      <c r="AJ64" s="1">
        <f t="shared" si="41"/>
        <v>0</v>
      </c>
      <c r="AK64" s="1">
        <f t="shared" si="41"/>
        <v>0</v>
      </c>
      <c r="AL64" s="1">
        <f t="shared" si="41"/>
        <v>0</v>
      </c>
      <c r="AM64" s="1">
        <f t="shared" si="41"/>
        <v>0.16666666666666666</v>
      </c>
      <c r="AN64" s="1">
        <f t="shared" si="41"/>
        <v>1</v>
      </c>
      <c r="AO64" s="1">
        <f t="shared" ref="AO64:BY64" si="42">AP12/AP$7</f>
        <v>1</v>
      </c>
      <c r="AP64" s="1">
        <f t="shared" si="42"/>
        <v>0</v>
      </c>
      <c r="AQ64" s="1">
        <f t="shared" si="42"/>
        <v>0</v>
      </c>
      <c r="AR64" s="1">
        <f t="shared" si="42"/>
        <v>0</v>
      </c>
      <c r="AS64" s="1">
        <f t="shared" si="42"/>
        <v>0</v>
      </c>
      <c r="AT64" s="1">
        <f t="shared" si="42"/>
        <v>1</v>
      </c>
      <c r="AU64" s="1">
        <f t="shared" si="42"/>
        <v>1</v>
      </c>
      <c r="AV64" s="1">
        <f t="shared" si="42"/>
        <v>0.875</v>
      </c>
      <c r="AW64" s="1">
        <f t="shared" si="42"/>
        <v>1</v>
      </c>
      <c r="AX64" s="1">
        <f t="shared" si="42"/>
        <v>0</v>
      </c>
      <c r="AY64" s="1">
        <f t="shared" si="42"/>
        <v>0</v>
      </c>
      <c r="AZ64" s="1">
        <f t="shared" si="42"/>
        <v>1</v>
      </c>
      <c r="BA64" s="1">
        <f t="shared" si="42"/>
        <v>1.25</v>
      </c>
      <c r="BB64" s="1">
        <f t="shared" si="42"/>
        <v>1</v>
      </c>
      <c r="BC64" s="1">
        <f t="shared" si="42"/>
        <v>1</v>
      </c>
      <c r="BD64" s="1">
        <f t="shared" si="42"/>
        <v>1</v>
      </c>
      <c r="BE64" s="1">
        <f t="shared" si="42"/>
        <v>0</v>
      </c>
      <c r="BF64" s="1">
        <f t="shared" si="42"/>
        <v>0</v>
      </c>
      <c r="BG64" s="1">
        <f t="shared" si="42"/>
        <v>0</v>
      </c>
      <c r="BH64" s="1">
        <f t="shared" si="42"/>
        <v>0</v>
      </c>
      <c r="BI64" s="1">
        <f t="shared" si="42"/>
        <v>1</v>
      </c>
      <c r="BJ64" s="1">
        <f t="shared" si="42"/>
        <v>0</v>
      </c>
      <c r="BK64" s="1">
        <f t="shared" si="42"/>
        <v>0</v>
      </c>
      <c r="BL64" s="1">
        <f t="shared" si="42"/>
        <v>0</v>
      </c>
      <c r="BM64" s="1">
        <f t="shared" si="42"/>
        <v>0</v>
      </c>
      <c r="BN64" s="1">
        <f t="shared" si="42"/>
        <v>0</v>
      </c>
      <c r="BO64" s="1">
        <f t="shared" si="42"/>
        <v>0</v>
      </c>
      <c r="BP64" s="1">
        <f t="shared" si="42"/>
        <v>0</v>
      </c>
      <c r="BQ64" s="1">
        <f t="shared" si="42"/>
        <v>0</v>
      </c>
      <c r="BR64" s="1">
        <f t="shared" si="42"/>
        <v>0</v>
      </c>
      <c r="BS64" s="1">
        <f t="shared" si="42"/>
        <v>0</v>
      </c>
      <c r="BT64" s="1">
        <f t="shared" si="42"/>
        <v>0</v>
      </c>
      <c r="BU64" s="1">
        <f t="shared" si="42"/>
        <v>0</v>
      </c>
      <c r="BV64" s="1">
        <f t="shared" si="42"/>
        <v>0</v>
      </c>
      <c r="BW64" s="1">
        <f t="shared" si="42"/>
        <v>0</v>
      </c>
      <c r="BX64" s="1">
        <f t="shared" si="42"/>
        <v>0</v>
      </c>
      <c r="BY64" s="1">
        <f t="shared" si="42"/>
        <v>1</v>
      </c>
      <c r="CA64" s="1">
        <f t="shared" si="34"/>
        <v>0.375</v>
      </c>
      <c r="CB64" s="1">
        <f t="shared" si="34"/>
        <v>0.4</v>
      </c>
    </row>
    <row r="65" spans="1:80" ht="13" customHeight="1">
      <c r="B65" s="24" t="str">
        <f t="shared" si="30"/>
        <v>Johnson</v>
      </c>
      <c r="C65" s="24" t="str">
        <f t="shared" si="30"/>
        <v>Howard</v>
      </c>
      <c r="D65" s="83">
        <f t="shared" si="31"/>
        <v>0.75443037974683547</v>
      </c>
      <c r="E65" s="6"/>
      <c r="F65"/>
      <c r="G65"/>
      <c r="H65"/>
      <c r="I65" s="1">
        <f t="shared" ref="I65:AN65" si="43">J13/J$7</f>
        <v>1</v>
      </c>
      <c r="J65" s="1">
        <f t="shared" si="43"/>
        <v>1</v>
      </c>
      <c r="K65" s="1">
        <f t="shared" si="43"/>
        <v>1</v>
      </c>
      <c r="L65" s="1">
        <f t="shared" si="43"/>
        <v>1</v>
      </c>
      <c r="M65" s="1">
        <f t="shared" si="43"/>
        <v>1</v>
      </c>
      <c r="N65" s="1">
        <f t="shared" si="43"/>
        <v>1</v>
      </c>
      <c r="O65" s="1">
        <f t="shared" si="43"/>
        <v>1</v>
      </c>
      <c r="P65" s="1">
        <f t="shared" si="43"/>
        <v>1</v>
      </c>
      <c r="Q65" s="1">
        <f t="shared" si="43"/>
        <v>1</v>
      </c>
      <c r="R65" s="1">
        <f t="shared" si="43"/>
        <v>1</v>
      </c>
      <c r="S65" s="1">
        <f t="shared" si="43"/>
        <v>1</v>
      </c>
      <c r="T65" s="1">
        <f t="shared" si="43"/>
        <v>1</v>
      </c>
      <c r="U65" s="1">
        <f t="shared" si="43"/>
        <v>1</v>
      </c>
      <c r="V65" s="1">
        <f t="shared" si="43"/>
        <v>1</v>
      </c>
      <c r="W65" s="1">
        <f t="shared" si="43"/>
        <v>1</v>
      </c>
      <c r="X65" s="1">
        <f t="shared" si="43"/>
        <v>1</v>
      </c>
      <c r="Y65" s="1">
        <f t="shared" si="43"/>
        <v>1</v>
      </c>
      <c r="Z65" s="1">
        <f t="shared" si="43"/>
        <v>1</v>
      </c>
      <c r="AA65" s="1">
        <f t="shared" si="43"/>
        <v>1</v>
      </c>
      <c r="AB65" s="1">
        <f t="shared" si="43"/>
        <v>1</v>
      </c>
      <c r="AC65" s="1">
        <f t="shared" si="43"/>
        <v>1</v>
      </c>
      <c r="AD65" s="1">
        <f t="shared" si="43"/>
        <v>1</v>
      </c>
      <c r="AE65" s="1">
        <f t="shared" si="43"/>
        <v>1</v>
      </c>
      <c r="AF65" s="1">
        <f t="shared" si="43"/>
        <v>1</v>
      </c>
      <c r="AG65" s="1">
        <f t="shared" si="43"/>
        <v>1</v>
      </c>
      <c r="AH65" s="1">
        <f t="shared" si="43"/>
        <v>0</v>
      </c>
      <c r="AI65" s="1">
        <f t="shared" si="43"/>
        <v>0</v>
      </c>
      <c r="AJ65" s="1">
        <f t="shared" si="43"/>
        <v>0</v>
      </c>
      <c r="AK65" s="1">
        <f t="shared" si="43"/>
        <v>0</v>
      </c>
      <c r="AL65" s="1">
        <f t="shared" si="43"/>
        <v>0</v>
      </c>
      <c r="AM65" s="1">
        <f t="shared" si="43"/>
        <v>0</v>
      </c>
      <c r="AN65" s="1">
        <f t="shared" si="43"/>
        <v>1</v>
      </c>
      <c r="AO65" s="1">
        <f t="shared" ref="AO65:BY65" si="44">AP13/AP$7</f>
        <v>1</v>
      </c>
      <c r="AP65" s="1">
        <f t="shared" si="44"/>
        <v>1</v>
      </c>
      <c r="AQ65" s="1">
        <f t="shared" si="44"/>
        <v>1</v>
      </c>
      <c r="AR65" s="1">
        <f t="shared" si="44"/>
        <v>1</v>
      </c>
      <c r="AS65" s="1">
        <f t="shared" si="44"/>
        <v>1</v>
      </c>
      <c r="AT65" s="1">
        <f t="shared" si="44"/>
        <v>1</v>
      </c>
      <c r="AU65" s="1">
        <f t="shared" si="44"/>
        <v>1</v>
      </c>
      <c r="AV65" s="1">
        <f t="shared" si="44"/>
        <v>0.875</v>
      </c>
      <c r="AW65" s="1">
        <f t="shared" si="44"/>
        <v>1</v>
      </c>
      <c r="AX65" s="1">
        <f t="shared" si="44"/>
        <v>1</v>
      </c>
      <c r="AY65" s="1">
        <f t="shared" si="44"/>
        <v>1</v>
      </c>
      <c r="AZ65" s="1">
        <f t="shared" si="44"/>
        <v>1</v>
      </c>
      <c r="BA65" s="1">
        <f t="shared" si="44"/>
        <v>1</v>
      </c>
      <c r="BB65" s="1">
        <f t="shared" si="44"/>
        <v>1</v>
      </c>
      <c r="BC65" s="1">
        <f t="shared" si="44"/>
        <v>1</v>
      </c>
      <c r="BD65" s="1">
        <f t="shared" si="44"/>
        <v>1</v>
      </c>
      <c r="BE65" s="1">
        <f t="shared" si="44"/>
        <v>1</v>
      </c>
      <c r="BF65" s="1">
        <f t="shared" si="44"/>
        <v>1</v>
      </c>
      <c r="BG65" s="1">
        <f t="shared" si="44"/>
        <v>1</v>
      </c>
      <c r="BH65" s="1">
        <f t="shared" si="44"/>
        <v>1</v>
      </c>
      <c r="BI65" s="1">
        <f t="shared" si="44"/>
        <v>0</v>
      </c>
      <c r="BJ65" s="1">
        <f t="shared" si="44"/>
        <v>1</v>
      </c>
      <c r="BK65" s="1">
        <f t="shared" si="44"/>
        <v>1</v>
      </c>
      <c r="BL65" s="1">
        <f t="shared" si="44"/>
        <v>1</v>
      </c>
      <c r="BM65" s="1">
        <f t="shared" si="44"/>
        <v>0.5</v>
      </c>
      <c r="BN65" s="1">
        <f t="shared" si="44"/>
        <v>0.75</v>
      </c>
      <c r="BO65" s="1">
        <f t="shared" si="44"/>
        <v>0</v>
      </c>
      <c r="BP65" s="1">
        <f t="shared" si="44"/>
        <v>0.75</v>
      </c>
      <c r="BQ65" s="1">
        <f t="shared" si="44"/>
        <v>0.2</v>
      </c>
      <c r="BR65" s="1">
        <f t="shared" si="44"/>
        <v>1</v>
      </c>
      <c r="BS65" s="1">
        <f t="shared" si="44"/>
        <v>1</v>
      </c>
      <c r="BT65" s="1">
        <f t="shared" si="44"/>
        <v>1</v>
      </c>
      <c r="BU65" s="1">
        <f t="shared" si="44"/>
        <v>1</v>
      </c>
      <c r="BV65" s="1">
        <f t="shared" si="44"/>
        <v>1</v>
      </c>
      <c r="BW65" s="1">
        <f t="shared" si="44"/>
        <v>1</v>
      </c>
      <c r="BX65" s="1">
        <f t="shared" si="44"/>
        <v>1</v>
      </c>
      <c r="BY65" s="1">
        <f t="shared" si="44"/>
        <v>0.4</v>
      </c>
      <c r="CA65" s="1">
        <f t="shared" si="34"/>
        <v>0.375</v>
      </c>
      <c r="CB65" s="1">
        <f t="shared" si="34"/>
        <v>0.75</v>
      </c>
    </row>
    <row r="66" spans="1:80" ht="13" customHeight="1">
      <c r="B66" s="24" t="str">
        <f t="shared" si="30"/>
        <v>Lundgren</v>
      </c>
      <c r="C66" s="24" t="str">
        <f t="shared" si="30"/>
        <v>Christa</v>
      </c>
      <c r="D66" s="83">
        <f t="shared" si="31"/>
        <v>1.2025316455696202E-2</v>
      </c>
      <c r="E66" s="6"/>
      <c r="F66"/>
      <c r="G66"/>
      <c r="H66"/>
      <c r="I66" s="1">
        <f t="shared" ref="I66:AN66" si="45">J14/J$7</f>
        <v>0</v>
      </c>
      <c r="J66" s="1">
        <f t="shared" si="45"/>
        <v>0</v>
      </c>
      <c r="K66" s="1">
        <f t="shared" si="45"/>
        <v>0</v>
      </c>
      <c r="L66" s="1">
        <f t="shared" si="45"/>
        <v>0</v>
      </c>
      <c r="M66" s="1">
        <f t="shared" si="45"/>
        <v>0</v>
      </c>
      <c r="N66" s="1">
        <f t="shared" si="45"/>
        <v>0</v>
      </c>
      <c r="O66" s="1">
        <f t="shared" si="45"/>
        <v>0</v>
      </c>
      <c r="P66" s="1">
        <f t="shared" si="45"/>
        <v>0</v>
      </c>
      <c r="Q66" s="1">
        <f t="shared" si="45"/>
        <v>0</v>
      </c>
      <c r="R66" s="1">
        <f t="shared" si="45"/>
        <v>0</v>
      </c>
      <c r="S66" s="1">
        <f t="shared" si="45"/>
        <v>0</v>
      </c>
      <c r="T66" s="1">
        <f t="shared" si="45"/>
        <v>0</v>
      </c>
      <c r="U66" s="1">
        <f t="shared" si="45"/>
        <v>0</v>
      </c>
      <c r="V66" s="1">
        <f t="shared" si="45"/>
        <v>0</v>
      </c>
      <c r="W66" s="1">
        <f t="shared" si="45"/>
        <v>0</v>
      </c>
      <c r="X66" s="1">
        <f t="shared" si="45"/>
        <v>0</v>
      </c>
      <c r="Y66" s="1">
        <f t="shared" si="45"/>
        <v>0</v>
      </c>
      <c r="Z66" s="1">
        <f t="shared" si="45"/>
        <v>0</v>
      </c>
      <c r="AA66" s="1">
        <f t="shared" si="45"/>
        <v>0</v>
      </c>
      <c r="AB66" s="1">
        <f t="shared" si="45"/>
        <v>0</v>
      </c>
      <c r="AC66" s="1">
        <f t="shared" si="45"/>
        <v>0</v>
      </c>
      <c r="AD66" s="1">
        <f t="shared" si="45"/>
        <v>0</v>
      </c>
      <c r="AE66" s="1">
        <f t="shared" si="45"/>
        <v>0</v>
      </c>
      <c r="AF66" s="1">
        <f t="shared" si="45"/>
        <v>0</v>
      </c>
      <c r="AG66" s="1">
        <f t="shared" si="45"/>
        <v>0</v>
      </c>
      <c r="AH66" s="1">
        <f t="shared" si="45"/>
        <v>0</v>
      </c>
      <c r="AI66" s="1">
        <f t="shared" si="45"/>
        <v>0</v>
      </c>
      <c r="AJ66" s="1">
        <f t="shared" si="45"/>
        <v>0</v>
      </c>
      <c r="AK66" s="1">
        <f t="shared" si="45"/>
        <v>0</v>
      </c>
      <c r="AL66" s="1">
        <f t="shared" si="45"/>
        <v>0</v>
      </c>
      <c r="AM66" s="1">
        <f t="shared" si="45"/>
        <v>0</v>
      </c>
      <c r="AN66" s="1">
        <f t="shared" si="45"/>
        <v>0</v>
      </c>
      <c r="AO66" s="1">
        <f t="shared" ref="AO66:BY66" si="46">AP14/AP$7</f>
        <v>0</v>
      </c>
      <c r="AP66" s="1">
        <f t="shared" si="46"/>
        <v>0</v>
      </c>
      <c r="AQ66" s="1">
        <f t="shared" si="46"/>
        <v>0</v>
      </c>
      <c r="AR66" s="1">
        <f t="shared" si="46"/>
        <v>0</v>
      </c>
      <c r="AS66" s="1">
        <f t="shared" si="46"/>
        <v>0</v>
      </c>
      <c r="AT66" s="1">
        <f t="shared" si="46"/>
        <v>0</v>
      </c>
      <c r="AU66" s="1">
        <f t="shared" si="46"/>
        <v>0</v>
      </c>
      <c r="AV66" s="1">
        <f t="shared" si="46"/>
        <v>0</v>
      </c>
      <c r="AW66" s="1">
        <f t="shared" si="46"/>
        <v>0</v>
      </c>
      <c r="AX66" s="1">
        <f t="shared" si="46"/>
        <v>0</v>
      </c>
      <c r="AY66" s="1">
        <f t="shared" si="46"/>
        <v>0</v>
      </c>
      <c r="AZ66" s="1">
        <f t="shared" si="46"/>
        <v>0</v>
      </c>
      <c r="BA66" s="1">
        <f t="shared" si="46"/>
        <v>0</v>
      </c>
      <c r="BB66" s="1">
        <f t="shared" si="46"/>
        <v>0</v>
      </c>
      <c r="BC66" s="1">
        <f t="shared" si="46"/>
        <v>0</v>
      </c>
      <c r="BD66" s="1">
        <f t="shared" si="46"/>
        <v>0</v>
      </c>
      <c r="BE66" s="1">
        <f t="shared" si="46"/>
        <v>0</v>
      </c>
      <c r="BF66" s="1">
        <f t="shared" si="46"/>
        <v>0</v>
      </c>
      <c r="BG66" s="1">
        <f t="shared" si="46"/>
        <v>0</v>
      </c>
      <c r="BH66" s="1">
        <f t="shared" si="46"/>
        <v>0</v>
      </c>
      <c r="BI66" s="1">
        <f t="shared" si="46"/>
        <v>0</v>
      </c>
      <c r="BJ66" s="1">
        <f t="shared" si="46"/>
        <v>0</v>
      </c>
      <c r="BK66" s="1">
        <f t="shared" si="46"/>
        <v>0</v>
      </c>
      <c r="BL66" s="1">
        <f t="shared" si="46"/>
        <v>0</v>
      </c>
      <c r="BM66" s="1">
        <f t="shared" si="46"/>
        <v>0</v>
      </c>
      <c r="BN66" s="1">
        <f t="shared" si="46"/>
        <v>0</v>
      </c>
      <c r="BO66" s="1">
        <f t="shared" si="46"/>
        <v>0</v>
      </c>
      <c r="BP66" s="1">
        <f t="shared" si="46"/>
        <v>0</v>
      </c>
      <c r="BQ66" s="1">
        <f t="shared" si="46"/>
        <v>0</v>
      </c>
      <c r="BR66" s="1">
        <f t="shared" si="46"/>
        <v>0</v>
      </c>
      <c r="BS66" s="1">
        <f t="shared" si="46"/>
        <v>0</v>
      </c>
      <c r="BT66" s="1">
        <f t="shared" si="46"/>
        <v>0</v>
      </c>
      <c r="BU66" s="1">
        <f t="shared" si="46"/>
        <v>0</v>
      </c>
      <c r="BV66" s="1">
        <f t="shared" si="46"/>
        <v>0</v>
      </c>
      <c r="BW66" s="1">
        <f t="shared" si="46"/>
        <v>0</v>
      </c>
      <c r="BX66" s="1">
        <f t="shared" si="46"/>
        <v>0</v>
      </c>
      <c r="BY66" s="1">
        <f t="shared" si="46"/>
        <v>0</v>
      </c>
      <c r="CA66" s="1">
        <f t="shared" si="34"/>
        <v>0.375</v>
      </c>
      <c r="CB66" s="1">
        <f t="shared" si="34"/>
        <v>0.57499999999999996</v>
      </c>
    </row>
    <row r="67" spans="1:80" ht="13" customHeight="1">
      <c r="B67" s="24" t="str">
        <f t="shared" si="30"/>
        <v>Park</v>
      </c>
      <c r="C67" s="24" t="str">
        <f t="shared" si="30"/>
        <v>Kim</v>
      </c>
      <c r="D67" s="83">
        <f t="shared" si="31"/>
        <v>0.70949367088607596</v>
      </c>
      <c r="E67" s="6"/>
      <c r="F67"/>
      <c r="G67"/>
      <c r="H67"/>
      <c r="I67" s="1">
        <f t="shared" ref="I67:AN67" si="47">J15/J$7</f>
        <v>1</v>
      </c>
      <c r="J67" s="1">
        <f t="shared" si="47"/>
        <v>1</v>
      </c>
      <c r="K67" s="1">
        <f t="shared" si="47"/>
        <v>1</v>
      </c>
      <c r="L67" s="1">
        <f t="shared" si="47"/>
        <v>1</v>
      </c>
      <c r="M67" s="1">
        <f t="shared" si="47"/>
        <v>1</v>
      </c>
      <c r="N67" s="1">
        <f t="shared" si="47"/>
        <v>1</v>
      </c>
      <c r="O67" s="1">
        <f t="shared" si="47"/>
        <v>1</v>
      </c>
      <c r="P67" s="1">
        <f t="shared" si="47"/>
        <v>0.5</v>
      </c>
      <c r="Q67" s="1">
        <f t="shared" si="47"/>
        <v>1</v>
      </c>
      <c r="R67" s="1">
        <f t="shared" si="47"/>
        <v>1</v>
      </c>
      <c r="S67" s="1">
        <f t="shared" si="47"/>
        <v>1</v>
      </c>
      <c r="T67" s="1">
        <f t="shared" si="47"/>
        <v>1</v>
      </c>
      <c r="U67" s="1">
        <f t="shared" si="47"/>
        <v>1</v>
      </c>
      <c r="V67" s="1">
        <f t="shared" si="47"/>
        <v>1</v>
      </c>
      <c r="W67" s="1">
        <f t="shared" si="47"/>
        <v>1</v>
      </c>
      <c r="X67" s="1">
        <f t="shared" si="47"/>
        <v>1</v>
      </c>
      <c r="Y67" s="1">
        <f t="shared" si="47"/>
        <v>1</v>
      </c>
      <c r="Z67" s="1">
        <f t="shared" si="47"/>
        <v>1</v>
      </c>
      <c r="AA67" s="1">
        <f t="shared" si="47"/>
        <v>1</v>
      </c>
      <c r="AB67" s="1">
        <f t="shared" si="47"/>
        <v>1</v>
      </c>
      <c r="AC67" s="1">
        <f t="shared" si="47"/>
        <v>1</v>
      </c>
      <c r="AD67" s="1">
        <f t="shared" si="47"/>
        <v>1</v>
      </c>
      <c r="AE67" s="1">
        <f t="shared" si="47"/>
        <v>0</v>
      </c>
      <c r="AF67" s="1">
        <f t="shared" si="47"/>
        <v>0</v>
      </c>
      <c r="AG67" s="1">
        <f t="shared" si="47"/>
        <v>0</v>
      </c>
      <c r="AH67" s="1">
        <f t="shared" si="47"/>
        <v>0</v>
      </c>
      <c r="AI67" s="1">
        <f t="shared" si="47"/>
        <v>0</v>
      </c>
      <c r="AJ67" s="1">
        <f t="shared" si="47"/>
        <v>0</v>
      </c>
      <c r="AK67" s="1">
        <f t="shared" si="47"/>
        <v>0</v>
      </c>
      <c r="AL67" s="1">
        <f t="shared" si="47"/>
        <v>0</v>
      </c>
      <c r="AM67" s="1">
        <f t="shared" si="47"/>
        <v>0</v>
      </c>
      <c r="AN67" s="1">
        <f t="shared" si="47"/>
        <v>1</v>
      </c>
      <c r="AO67" s="1">
        <f t="shared" ref="AO67:BY67" si="48">AP15/AP$7</f>
        <v>1</v>
      </c>
      <c r="AP67" s="1">
        <f t="shared" si="48"/>
        <v>1</v>
      </c>
      <c r="AQ67" s="1">
        <f t="shared" si="48"/>
        <v>1</v>
      </c>
      <c r="AR67" s="1">
        <f t="shared" si="48"/>
        <v>1</v>
      </c>
      <c r="AS67" s="1">
        <f t="shared" si="48"/>
        <v>1</v>
      </c>
      <c r="AT67" s="1">
        <f t="shared" si="48"/>
        <v>1</v>
      </c>
      <c r="AU67" s="1">
        <f t="shared" si="48"/>
        <v>1</v>
      </c>
      <c r="AV67" s="1">
        <f t="shared" si="48"/>
        <v>1</v>
      </c>
      <c r="AW67" s="1">
        <f t="shared" si="48"/>
        <v>1</v>
      </c>
      <c r="AX67" s="1">
        <f t="shared" si="48"/>
        <v>1</v>
      </c>
      <c r="AY67" s="1">
        <f t="shared" si="48"/>
        <v>1</v>
      </c>
      <c r="AZ67" s="1">
        <f t="shared" si="48"/>
        <v>1</v>
      </c>
      <c r="BA67" s="1">
        <f t="shared" si="48"/>
        <v>1</v>
      </c>
      <c r="BB67" s="1">
        <f t="shared" si="48"/>
        <v>1</v>
      </c>
      <c r="BC67" s="1">
        <f t="shared" si="48"/>
        <v>1</v>
      </c>
      <c r="BD67" s="1">
        <f t="shared" si="48"/>
        <v>1</v>
      </c>
      <c r="BE67" s="1">
        <f t="shared" si="48"/>
        <v>1</v>
      </c>
      <c r="BF67" s="1">
        <f t="shared" si="48"/>
        <v>1</v>
      </c>
      <c r="BG67" s="1">
        <f t="shared" si="48"/>
        <v>0</v>
      </c>
      <c r="BH67" s="1">
        <f t="shared" si="48"/>
        <v>1</v>
      </c>
      <c r="BI67" s="1">
        <f t="shared" si="48"/>
        <v>0</v>
      </c>
      <c r="BJ67" s="1">
        <f t="shared" si="48"/>
        <v>1</v>
      </c>
      <c r="BK67" s="1">
        <f t="shared" si="48"/>
        <v>1</v>
      </c>
      <c r="BL67" s="1">
        <f t="shared" si="48"/>
        <v>0.875</v>
      </c>
      <c r="BM67" s="1">
        <f t="shared" si="48"/>
        <v>0.875</v>
      </c>
      <c r="BN67" s="1">
        <f t="shared" si="48"/>
        <v>0.75</v>
      </c>
      <c r="BO67" s="1">
        <f t="shared" si="48"/>
        <v>0.6</v>
      </c>
      <c r="BP67" s="1">
        <f t="shared" si="48"/>
        <v>0.25</v>
      </c>
      <c r="BQ67" s="1">
        <f t="shared" si="48"/>
        <v>0.2</v>
      </c>
      <c r="BR67" s="1">
        <f t="shared" si="48"/>
        <v>1</v>
      </c>
      <c r="BS67" s="1">
        <f t="shared" si="48"/>
        <v>1</v>
      </c>
      <c r="BT67" s="1">
        <f t="shared" si="48"/>
        <v>1</v>
      </c>
      <c r="BU67" s="1">
        <f t="shared" si="48"/>
        <v>1</v>
      </c>
      <c r="BV67" s="1">
        <f t="shared" si="48"/>
        <v>1</v>
      </c>
      <c r="BW67" s="1">
        <f t="shared" si="48"/>
        <v>1</v>
      </c>
      <c r="BX67" s="1">
        <f t="shared" si="48"/>
        <v>1</v>
      </c>
      <c r="BY67" s="1">
        <f t="shared" si="48"/>
        <v>0.9</v>
      </c>
      <c r="CA67" s="1">
        <f t="shared" si="34"/>
        <v>0.5</v>
      </c>
      <c r="CB67" s="1">
        <f t="shared" si="34"/>
        <v>0.6</v>
      </c>
    </row>
    <row r="68" spans="1:80" ht="13" customHeight="1">
      <c r="D68" s="84">
        <f>AVERAGE(D60:D67)</f>
        <v>0.51119179475587706</v>
      </c>
      <c r="E68" s="7"/>
    </row>
    <row r="69" spans="1:80" ht="13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X69" s="14"/>
      <c r="Y69"/>
      <c r="Z69"/>
      <c r="AA69"/>
      <c r="AB69"/>
      <c r="AC69"/>
      <c r="AD69"/>
      <c r="AE69"/>
      <c r="AF69"/>
      <c r="AG69"/>
      <c r="AH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80" ht="13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X70" s="14"/>
      <c r="Y70"/>
      <c r="Z70"/>
      <c r="AA70"/>
      <c r="AB70"/>
      <c r="AC70"/>
      <c r="AD70"/>
      <c r="AE70"/>
      <c r="AF70"/>
      <c r="AG70"/>
      <c r="AH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80" ht="13" customHeight="1">
      <c r="D71" s="7"/>
      <c r="E71" s="7"/>
      <c r="J71" s="9"/>
      <c r="K71" s="9"/>
      <c r="L71" s="9"/>
      <c r="U71" s="12"/>
      <c r="X71" s="14"/>
      <c r="Y71"/>
      <c r="Z71"/>
      <c r="AA71"/>
      <c r="AB71"/>
      <c r="AC71"/>
      <c r="AD71"/>
      <c r="AE71"/>
      <c r="AF71"/>
      <c r="AG71"/>
      <c r="AH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80" ht="13" customHeight="1">
      <c r="A72"/>
      <c r="B72" s="72" t="s">
        <v>199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X72" s="14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O72" s="24">
        <f t="array" ref="AO72:AP76">LINEST(D60:D67,D26:D33,1,1)</f>
        <v>1.8587871780146101</v>
      </c>
      <c r="AP72" s="24">
        <v>-0.66024172892873167</v>
      </c>
      <c r="AQ72"/>
      <c r="AR72"/>
      <c r="AS72"/>
      <c r="AT72"/>
      <c r="AU72"/>
      <c r="AV72"/>
      <c r="AW72"/>
      <c r="AX72"/>
      <c r="AY72"/>
      <c r="AZ72"/>
      <c r="BA72"/>
      <c r="BB72"/>
    </row>
    <row r="73" spans="1:80" s="3" customFormat="1" ht="13" customHeight="1">
      <c r="B73" s="72" t="s">
        <v>200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AA73"/>
      <c r="AB73"/>
      <c r="AC73"/>
      <c r="AD73"/>
      <c r="AE73"/>
      <c r="AF73"/>
      <c r="AG73"/>
      <c r="AH73"/>
      <c r="AI73"/>
      <c r="AJ73"/>
      <c r="AK73"/>
      <c r="AL73"/>
      <c r="AM73"/>
      <c r="AO73" s="24">
        <v>1.221722524617102</v>
      </c>
      <c r="AP73" s="24">
        <v>0.77410488028494995</v>
      </c>
      <c r="AQ73"/>
      <c r="AR73"/>
      <c r="AS73"/>
      <c r="AT73"/>
      <c r="AU73"/>
      <c r="AV73"/>
      <c r="AW73"/>
      <c r="AX73"/>
      <c r="AY73"/>
      <c r="AZ73"/>
      <c r="BA73"/>
      <c r="BB73"/>
    </row>
    <row r="74" spans="1:80" ht="13" customHeight="1">
      <c r="B74" s="72" t="s">
        <v>201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AA74"/>
      <c r="AB74"/>
      <c r="AC74"/>
      <c r="AD74"/>
      <c r="AE74"/>
      <c r="AF74"/>
      <c r="AG74"/>
      <c r="AH74"/>
      <c r="AI74"/>
      <c r="AJ74"/>
      <c r="AK74"/>
      <c r="AL74"/>
      <c r="AM74"/>
      <c r="AO74" s="24">
        <v>0.27839547484816268</v>
      </c>
      <c r="AP74" s="24">
        <v>0.22664014939463195</v>
      </c>
      <c r="AQ74"/>
      <c r="AR74"/>
      <c r="AS74"/>
      <c r="AT74"/>
      <c r="AU74"/>
      <c r="AV74"/>
      <c r="AW74"/>
      <c r="AX74"/>
      <c r="AY74"/>
      <c r="AZ74"/>
      <c r="BA74"/>
      <c r="BB74"/>
    </row>
    <row r="75" spans="1:80" ht="13" customHeight="1">
      <c r="B75" s="72" t="s">
        <v>202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AA75"/>
      <c r="AB75"/>
      <c r="AC75"/>
      <c r="AD75"/>
      <c r="AE75"/>
      <c r="AF75"/>
      <c r="AG75"/>
      <c r="AH75"/>
      <c r="AI75"/>
      <c r="AJ75"/>
      <c r="AK75"/>
      <c r="AL75"/>
      <c r="AM75"/>
      <c r="AO75" s="24">
        <v>2.3148037337175822</v>
      </c>
      <c r="AP75" s="24">
        <v>6</v>
      </c>
      <c r="AQ75"/>
      <c r="AR75"/>
      <c r="AS75"/>
      <c r="AT75"/>
      <c r="AU75"/>
      <c r="AV75"/>
      <c r="AW75"/>
      <c r="AX75"/>
      <c r="AY75"/>
      <c r="AZ75"/>
      <c r="BA75"/>
      <c r="BB75"/>
    </row>
    <row r="76" spans="1:80" ht="13" customHeight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AA76"/>
      <c r="AB76"/>
      <c r="AC76"/>
      <c r="AD76"/>
      <c r="AE76"/>
      <c r="AF76"/>
      <c r="AG76"/>
      <c r="AH76"/>
      <c r="AI76"/>
      <c r="AJ76"/>
      <c r="AK76"/>
      <c r="AL76"/>
      <c r="AM76"/>
      <c r="AO76" s="24">
        <v>0.11890164682406051</v>
      </c>
      <c r="AP76" s="24">
        <v>0.30819454390572654</v>
      </c>
      <c r="AQ76"/>
      <c r="AR76"/>
      <c r="AS76"/>
      <c r="AT76"/>
      <c r="AU76"/>
      <c r="AV76"/>
      <c r="AW76"/>
      <c r="AX76"/>
      <c r="AY76"/>
      <c r="AZ76"/>
      <c r="BA76"/>
      <c r="BB76"/>
    </row>
    <row r="77" spans="1:80" ht="13" customHeight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AA77"/>
      <c r="AB77"/>
      <c r="AC77"/>
      <c r="AD77"/>
      <c r="AE77"/>
      <c r="AF77"/>
      <c r="AG77"/>
      <c r="AH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80" ht="13" customHeight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AA78"/>
      <c r="AB78"/>
      <c r="AC78"/>
      <c r="AD78"/>
      <c r="AE78"/>
      <c r="AF78"/>
      <c r="AG78"/>
      <c r="AH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80" ht="13" customHeight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AA79"/>
      <c r="AB79"/>
      <c r="AC79"/>
      <c r="AD79"/>
      <c r="AE79"/>
      <c r="AF79"/>
      <c r="AG79"/>
      <c r="AH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80" ht="13" customHeight="1">
      <c r="B80"/>
      <c r="C80"/>
      <c r="D80"/>
      <c r="E80"/>
      <c r="F80"/>
      <c r="G80"/>
      <c r="H80"/>
      <c r="I80" s="1" t="s">
        <v>97</v>
      </c>
      <c r="J80" s="1" t="s">
        <v>97</v>
      </c>
      <c r="K80" s="1" t="s">
        <v>97</v>
      </c>
      <c r="L80" s="1" t="s">
        <v>97</v>
      </c>
      <c r="M80" s="1" t="s">
        <v>97</v>
      </c>
      <c r="N80"/>
      <c r="O80"/>
      <c r="P80"/>
      <c r="Q80"/>
      <c r="R80"/>
      <c r="S80"/>
      <c r="T80"/>
      <c r="U80"/>
      <c r="V80"/>
      <c r="W80"/>
      <c r="X80"/>
      <c r="Y80"/>
      <c r="AA80"/>
      <c r="AB80"/>
      <c r="AC80"/>
      <c r="AD80"/>
      <c r="AE80"/>
      <c r="AF80"/>
      <c r="AG80"/>
      <c r="AH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2:54" ht="13" customHeight="1">
      <c r="B81"/>
      <c r="C81"/>
      <c r="D81"/>
      <c r="E81"/>
      <c r="F81"/>
      <c r="G81"/>
      <c r="H81"/>
      <c r="I81" s="1" t="s">
        <v>171</v>
      </c>
      <c r="J81" s="1" t="s">
        <v>111</v>
      </c>
      <c r="K81" s="1" t="s">
        <v>103</v>
      </c>
      <c r="L81" s="1" t="s">
        <v>203</v>
      </c>
      <c r="M81" s="1" t="s">
        <v>118</v>
      </c>
      <c r="N81"/>
      <c r="O81"/>
      <c r="P81"/>
      <c r="Q81"/>
      <c r="R81"/>
      <c r="S81"/>
      <c r="T81"/>
      <c r="U81"/>
      <c r="V81"/>
      <c r="W81"/>
      <c r="X81"/>
      <c r="Y81"/>
      <c r="AA81"/>
      <c r="AB81"/>
      <c r="AC81"/>
      <c r="AD81"/>
      <c r="AE81"/>
      <c r="AF81"/>
      <c r="AG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2:54" ht="13" customHeight="1">
      <c r="B82"/>
      <c r="C82"/>
      <c r="D82"/>
      <c r="E82"/>
      <c r="F82"/>
      <c r="G82"/>
      <c r="H82"/>
      <c r="I82" s="24">
        <f>DCOUNT(Lettergrades,,I80:I81)</f>
        <v>15</v>
      </c>
      <c r="J82" s="24">
        <f>DCOUNT(Lettergrades,,J80:J81)</f>
        <v>16</v>
      </c>
      <c r="K82" s="24">
        <f>DCOUNT(Lettergrades,,K80:K81)</f>
        <v>5</v>
      </c>
      <c r="L82" s="24">
        <f>DCOUNT(Lettergrades,,L80:L81)</f>
        <v>2</v>
      </c>
      <c r="M82" s="24">
        <f>DCOUNT(Lettergrades,,M80:M81)</f>
        <v>0</v>
      </c>
      <c r="N82"/>
      <c r="O82"/>
      <c r="P82"/>
      <c r="Q82"/>
      <c r="R82"/>
      <c r="S82"/>
      <c r="T82"/>
      <c r="U82"/>
      <c r="V82"/>
      <c r="W82"/>
      <c r="X82"/>
      <c r="Y82"/>
      <c r="AA82"/>
      <c r="AB82"/>
      <c r="AC82"/>
      <c r="AD82"/>
      <c r="AE82"/>
      <c r="AF82"/>
      <c r="AG82"/>
      <c r="AU82"/>
      <c r="AV82"/>
      <c r="AW82"/>
      <c r="AX82"/>
      <c r="AY82"/>
      <c r="AZ82"/>
      <c r="BA82"/>
    </row>
    <row r="83" spans="2:54" ht="13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AA83"/>
      <c r="AB83"/>
      <c r="AC83"/>
      <c r="AD83"/>
      <c r="AE83"/>
      <c r="AF83"/>
      <c r="AG83"/>
      <c r="AU83"/>
      <c r="AV83"/>
      <c r="AW83"/>
      <c r="AX83"/>
      <c r="AY83"/>
      <c r="AZ83"/>
      <c r="BA83"/>
    </row>
    <row r="84" spans="2:54" ht="13" customHeight="1">
      <c r="B84"/>
      <c r="C84"/>
      <c r="D84" s="38"/>
      <c r="E84" s="3" t="s">
        <v>204</v>
      </c>
      <c r="F84" s="3" t="s">
        <v>205</v>
      </c>
      <c r="G84" s="3" t="s">
        <v>206</v>
      </c>
      <c r="H84" s="1" t="s">
        <v>97</v>
      </c>
      <c r="I84"/>
      <c r="J84"/>
      <c r="K84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AA84"/>
      <c r="AB84"/>
      <c r="AC84"/>
      <c r="AD84"/>
      <c r="AE84"/>
      <c r="AF84"/>
      <c r="AG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2:54" ht="13" customHeight="1">
      <c r="B85" s="66" t="s">
        <v>207</v>
      </c>
      <c r="C85" s="66" t="s">
        <v>208</v>
      </c>
      <c r="D85" s="67"/>
      <c r="E85" s="67"/>
      <c r="F85" s="67"/>
      <c r="G85" s="65">
        <v>0.50666666666666671</v>
      </c>
      <c r="H85" s="66" t="s">
        <v>103</v>
      </c>
      <c r="I85" s="61"/>
      <c r="J85"/>
      <c r="K85"/>
      <c r="L85"/>
      <c r="M85"/>
      <c r="N85" s="55"/>
      <c r="O85" s="55"/>
      <c r="P85" s="55"/>
      <c r="Q85" s="55"/>
      <c r="R85" s="55"/>
      <c r="S85" s="55"/>
      <c r="T85" s="55"/>
      <c r="U85" s="55"/>
      <c r="V85" s="55"/>
      <c r="AA85"/>
      <c r="AB85"/>
      <c r="AC85"/>
      <c r="AD85" s="63">
        <v>0.9698809523809524</v>
      </c>
      <c r="AE85" s="62" t="s">
        <v>171</v>
      </c>
      <c r="AF85" s="62" t="s">
        <v>209</v>
      </c>
      <c r="AG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2:54" ht="13" customHeight="1">
      <c r="B86" s="67"/>
      <c r="C86" s="66" t="s">
        <v>210</v>
      </c>
      <c r="D86" s="67"/>
      <c r="E86" s="67"/>
      <c r="F86" s="67"/>
      <c r="G86" s="65">
        <v>0.89749999999999996</v>
      </c>
      <c r="H86" s="66" t="s">
        <v>171</v>
      </c>
      <c r="I86" s="61"/>
      <c r="J86"/>
      <c r="K86"/>
      <c r="L86"/>
      <c r="M86"/>
      <c r="N86" s="56"/>
      <c r="O86" s="57"/>
      <c r="P86" s="58"/>
      <c r="Q86" s="55"/>
      <c r="R86" s="55"/>
      <c r="S86" s="55"/>
      <c r="T86" s="56"/>
      <c r="U86" s="57"/>
      <c r="V86" s="58"/>
      <c r="Y86" s="14"/>
      <c r="AA86"/>
      <c r="AB86"/>
      <c r="AC86"/>
      <c r="AD86" s="33">
        <v>0.91292656292656305</v>
      </c>
      <c r="AE86" s="32" t="s">
        <v>171</v>
      </c>
      <c r="AF86" s="32" t="s">
        <v>211</v>
      </c>
      <c r="AG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2:54" ht="13" customHeight="1">
      <c r="B87" s="67"/>
      <c r="C87" s="66" t="s">
        <v>212</v>
      </c>
      <c r="D87" s="67"/>
      <c r="E87" s="67"/>
      <c r="F87" s="67"/>
      <c r="G87" s="65">
        <v>0.90916666666666668</v>
      </c>
      <c r="H87" s="66" t="s">
        <v>171</v>
      </c>
      <c r="I87" s="61"/>
      <c r="J87"/>
      <c r="K87"/>
      <c r="L87"/>
      <c r="M87"/>
      <c r="N87" s="56"/>
      <c r="O87" s="57"/>
      <c r="P87" s="58"/>
      <c r="Q87" s="55"/>
      <c r="R87" s="55"/>
      <c r="S87" s="55"/>
      <c r="T87" s="56"/>
      <c r="U87" s="57"/>
      <c r="V87" s="58"/>
      <c r="Y87" s="14"/>
      <c r="AA87"/>
      <c r="AB87"/>
      <c r="AC87"/>
      <c r="AD87" s="65">
        <v>0.90916666666666668</v>
      </c>
      <c r="AE87" s="66" t="s">
        <v>171</v>
      </c>
      <c r="AF87" s="66" t="s">
        <v>212</v>
      </c>
      <c r="AG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 spans="2:54" ht="13" customHeight="1">
      <c r="B88" s="67"/>
      <c r="C88" s="66" t="s">
        <v>213</v>
      </c>
      <c r="D88" s="67"/>
      <c r="E88" s="67"/>
      <c r="F88" s="67"/>
      <c r="G88" s="65">
        <v>0.73333333333333339</v>
      </c>
      <c r="H88" s="66" t="s">
        <v>111</v>
      </c>
      <c r="I88" s="61"/>
      <c r="J88"/>
      <c r="K88"/>
      <c r="L88"/>
      <c r="M88"/>
      <c r="N88" s="56"/>
      <c r="O88" s="57"/>
      <c r="P88" s="58"/>
      <c r="Q88" s="55"/>
      <c r="R88" s="55"/>
      <c r="S88" s="55"/>
      <c r="T88" s="56"/>
      <c r="U88" s="57"/>
      <c r="V88" s="58"/>
      <c r="X88" s="14"/>
      <c r="Y88"/>
      <c r="AA88"/>
      <c r="AB88"/>
      <c r="AC88"/>
      <c r="AD88" s="40">
        <v>0.90376647834274948</v>
      </c>
      <c r="AE88" s="39" t="s">
        <v>171</v>
      </c>
      <c r="AF88" s="39" t="s">
        <v>214</v>
      </c>
      <c r="AG88"/>
      <c r="AP88"/>
      <c r="AQ88"/>
      <c r="AR88"/>
      <c r="AS88"/>
      <c r="AT88"/>
      <c r="AU88"/>
      <c r="AV88"/>
      <c r="AW88"/>
      <c r="AX88"/>
      <c r="AY88"/>
      <c r="AZ88"/>
      <c r="BA88"/>
      <c r="BB88"/>
    </row>
    <row r="89" spans="2:54" ht="13" customHeight="1">
      <c r="B89" s="67"/>
      <c r="C89" s="66" t="s">
        <v>215</v>
      </c>
      <c r="D89" s="67"/>
      <c r="E89" s="67"/>
      <c r="F89" s="67"/>
      <c r="G89" s="65">
        <v>0.52333333333333332</v>
      </c>
      <c r="H89" s="66" t="s">
        <v>103</v>
      </c>
      <c r="I89" s="61"/>
      <c r="J89"/>
      <c r="K89"/>
      <c r="L89"/>
      <c r="M89"/>
      <c r="N89" s="56"/>
      <c r="O89" s="57"/>
      <c r="P89" s="58"/>
      <c r="Q89" s="55"/>
      <c r="R89" s="55"/>
      <c r="S89" s="55"/>
      <c r="T89" s="56"/>
      <c r="U89" s="57"/>
      <c r="V89" s="58"/>
      <c r="Y89" s="14"/>
      <c r="AA89"/>
      <c r="AB89"/>
      <c r="AC89"/>
      <c r="AD89" s="65">
        <v>0.89749999999999996</v>
      </c>
      <c r="AE89" s="66" t="s">
        <v>171</v>
      </c>
      <c r="AF89" s="66" t="s">
        <v>210</v>
      </c>
      <c r="AG89"/>
      <c r="AP89"/>
      <c r="AQ89"/>
      <c r="AR89"/>
      <c r="AS89"/>
      <c r="AT89"/>
      <c r="AU89"/>
      <c r="AV89"/>
      <c r="AW89"/>
      <c r="AX89"/>
      <c r="AY89"/>
      <c r="AZ89"/>
      <c r="BA89"/>
      <c r="BB89"/>
    </row>
    <row r="90" spans="2:54" ht="13" customHeight="1">
      <c r="B90" s="62" t="s">
        <v>216</v>
      </c>
      <c r="C90" s="62" t="s">
        <v>217</v>
      </c>
      <c r="D90" s="62"/>
      <c r="E90" s="63">
        <v>0.86236772486772484</v>
      </c>
      <c r="F90" s="63">
        <v>0.8845238095238096</v>
      </c>
      <c r="G90" s="63">
        <v>0.87566137566137559</v>
      </c>
      <c r="H90" s="62" t="s">
        <v>171</v>
      </c>
      <c r="I90"/>
      <c r="J90"/>
      <c r="K90"/>
      <c r="L90"/>
      <c r="M90"/>
      <c r="N90" s="56"/>
      <c r="O90" s="57"/>
      <c r="P90" s="58"/>
      <c r="Q90" s="55"/>
      <c r="R90" s="55"/>
      <c r="S90" s="55"/>
      <c r="T90" s="56"/>
      <c r="U90" s="57"/>
      <c r="V90" s="58"/>
      <c r="Y90" s="14"/>
      <c r="AA90"/>
      <c r="AB90"/>
      <c r="AC90"/>
      <c r="AD90" s="36">
        <v>0.882623377645815</v>
      </c>
      <c r="AE90" s="34" t="s">
        <v>218</v>
      </c>
      <c r="AF90" s="34" t="s">
        <v>219</v>
      </c>
      <c r="AG90"/>
      <c r="AP90"/>
      <c r="AQ90"/>
      <c r="AR90"/>
      <c r="AS90"/>
      <c r="AT90"/>
      <c r="AU90"/>
      <c r="AV90"/>
      <c r="AW90"/>
      <c r="AX90"/>
      <c r="AY90"/>
      <c r="AZ90"/>
      <c r="BA90"/>
      <c r="BB90"/>
    </row>
    <row r="91" spans="2:54" ht="13" customHeight="1">
      <c r="B91" s="64"/>
      <c r="C91" s="62" t="s">
        <v>220</v>
      </c>
      <c r="D91" s="64"/>
      <c r="E91" s="63">
        <v>0.85751488095238093</v>
      </c>
      <c r="F91" s="63">
        <v>0.84464285714285725</v>
      </c>
      <c r="G91" s="63">
        <v>0.84979166666666672</v>
      </c>
      <c r="H91" s="62" t="s">
        <v>171</v>
      </c>
      <c r="I91"/>
      <c r="J91"/>
      <c r="K91"/>
      <c r="L91"/>
      <c r="M91"/>
      <c r="N91" s="56"/>
      <c r="O91" s="57"/>
      <c r="P91" s="58"/>
      <c r="Q91" s="55"/>
      <c r="R91" s="55"/>
      <c r="S91" s="55"/>
      <c r="T91" s="56"/>
      <c r="U91" s="57"/>
      <c r="V91" s="55"/>
      <c r="Y91" s="14"/>
      <c r="AA91"/>
      <c r="AB91"/>
      <c r="AC91"/>
      <c r="AD91" s="36">
        <v>0.87620214476910263</v>
      </c>
      <c r="AE91" s="34" t="s">
        <v>218</v>
      </c>
      <c r="AF91" s="34" t="s">
        <v>221</v>
      </c>
      <c r="AG91"/>
      <c r="AU91"/>
      <c r="AV91"/>
      <c r="AW91"/>
      <c r="AX91"/>
      <c r="AY91"/>
      <c r="AZ91"/>
      <c r="BA91"/>
    </row>
    <row r="92" spans="2:54" ht="13" customHeight="1">
      <c r="B92" s="64"/>
      <c r="C92" s="62" t="s">
        <v>222</v>
      </c>
      <c r="D92" s="64"/>
      <c r="E92" s="63">
        <v>0.88504464285714279</v>
      </c>
      <c r="F92" s="63">
        <v>0.58690476190476193</v>
      </c>
      <c r="G92" s="63">
        <v>0.70616071428571425</v>
      </c>
      <c r="H92" s="62" t="s">
        <v>111</v>
      </c>
      <c r="I92"/>
      <c r="J92"/>
      <c r="K92"/>
      <c r="L92"/>
      <c r="M92"/>
      <c r="N92" s="56"/>
      <c r="O92" s="57"/>
      <c r="P92" s="58"/>
      <c r="Q92" s="55"/>
      <c r="R92" s="55"/>
      <c r="S92" s="55"/>
      <c r="T92" s="56"/>
      <c r="U92" s="57"/>
      <c r="V92" s="55"/>
      <c r="X92" s="14"/>
      <c r="Y92"/>
      <c r="AA92"/>
      <c r="AB92"/>
      <c r="AC92"/>
      <c r="AD92" s="63">
        <v>0.87566137566137559</v>
      </c>
      <c r="AE92" s="62" t="s">
        <v>171</v>
      </c>
      <c r="AF92" s="62" t="s">
        <v>217</v>
      </c>
      <c r="AG92"/>
      <c r="AU92"/>
      <c r="AV92"/>
      <c r="AW92"/>
      <c r="AX92"/>
      <c r="AY92"/>
      <c r="AZ92"/>
      <c r="BA92"/>
    </row>
    <row r="93" spans="2:54" ht="13" customHeight="1">
      <c r="B93" s="64"/>
      <c r="C93" s="62" t="s">
        <v>223</v>
      </c>
      <c r="D93" s="64"/>
      <c r="E93" s="63">
        <v>0.90644841269841259</v>
      </c>
      <c r="F93" s="63">
        <v>0.59166666666666667</v>
      </c>
      <c r="G93" s="63">
        <v>0.71757936507936504</v>
      </c>
      <c r="H93" s="62" t="s">
        <v>111</v>
      </c>
      <c r="I93"/>
      <c r="J93"/>
      <c r="K93"/>
      <c r="L93"/>
      <c r="M93"/>
      <c r="N93" s="56"/>
      <c r="O93" s="57"/>
      <c r="P93" s="58"/>
      <c r="Q93" s="55"/>
      <c r="R93" s="55"/>
      <c r="S93" s="55"/>
      <c r="T93" s="56"/>
      <c r="U93" s="57"/>
      <c r="V93" s="55"/>
      <c r="Y93" s="14"/>
      <c r="AA93"/>
      <c r="AB93"/>
      <c r="AC93"/>
      <c r="AD93" s="63">
        <v>0.84979166666666672</v>
      </c>
      <c r="AE93" s="62" t="s">
        <v>171</v>
      </c>
      <c r="AF93" s="62" t="s">
        <v>220</v>
      </c>
      <c r="AG93"/>
      <c r="AU93"/>
      <c r="AV93"/>
      <c r="AW93"/>
      <c r="AX93"/>
      <c r="AY93"/>
      <c r="AZ93"/>
      <c r="BA93"/>
    </row>
    <row r="94" spans="2:54" ht="13" customHeight="1">
      <c r="B94" s="64"/>
      <c r="C94" s="62" t="s">
        <v>224</v>
      </c>
      <c r="D94" s="64"/>
      <c r="E94" s="63">
        <v>0.687962962962963</v>
      </c>
      <c r="F94" s="63">
        <v>0.82023809523809521</v>
      </c>
      <c r="G94" s="63">
        <v>0.7673280423280423</v>
      </c>
      <c r="H94" s="62" t="s">
        <v>171</v>
      </c>
      <c r="I94"/>
      <c r="J94"/>
      <c r="K94"/>
      <c r="L94"/>
      <c r="M94"/>
      <c r="N94" s="56"/>
      <c r="O94" s="57"/>
      <c r="P94" s="58"/>
      <c r="Q94" s="55"/>
      <c r="R94" s="55"/>
      <c r="S94" s="55"/>
      <c r="T94" s="56"/>
      <c r="U94" s="57"/>
      <c r="V94" s="55"/>
      <c r="Y94" s="14"/>
      <c r="AD94" s="33">
        <v>0.83514996613588166</v>
      </c>
      <c r="AE94" s="32" t="s">
        <v>218</v>
      </c>
      <c r="AF94" s="32" t="s">
        <v>225</v>
      </c>
      <c r="AU94"/>
      <c r="AV94"/>
      <c r="AW94"/>
      <c r="AX94"/>
      <c r="AY94"/>
      <c r="AZ94"/>
      <c r="BA94"/>
    </row>
    <row r="95" spans="2:54" ht="13" customHeight="1">
      <c r="B95" s="64"/>
      <c r="C95" s="62" t="s">
        <v>226</v>
      </c>
      <c r="D95" s="64"/>
      <c r="E95" s="63">
        <v>0.84146825396825398</v>
      </c>
      <c r="F95" s="63">
        <v>0.73690476190476195</v>
      </c>
      <c r="G95" s="63">
        <v>0.77873015873015872</v>
      </c>
      <c r="H95" s="62" t="s">
        <v>171</v>
      </c>
      <c r="I95"/>
      <c r="J95"/>
      <c r="K95"/>
      <c r="L95"/>
      <c r="M95"/>
      <c r="N95" s="56"/>
      <c r="O95" s="57"/>
      <c r="P95" s="58"/>
      <c r="Q95" s="55"/>
      <c r="R95" s="55"/>
      <c r="S95" s="55"/>
      <c r="T95" s="56"/>
      <c r="U95" s="57"/>
      <c r="V95" s="55"/>
      <c r="Y95" s="14"/>
      <c r="AD95" s="63">
        <v>0.79120039682539678</v>
      </c>
      <c r="AE95" s="62" t="s">
        <v>171</v>
      </c>
      <c r="AF95" s="62" t="s">
        <v>127</v>
      </c>
      <c r="AU95"/>
      <c r="AV95"/>
      <c r="AW95"/>
      <c r="AX95"/>
      <c r="AY95"/>
      <c r="AZ95"/>
      <c r="BA95"/>
    </row>
    <row r="96" spans="2:54" ht="13" customHeight="1">
      <c r="B96" s="64"/>
      <c r="C96" s="62" t="s">
        <v>227</v>
      </c>
      <c r="D96" s="64"/>
      <c r="E96" s="63">
        <v>0.63797123015873025</v>
      </c>
      <c r="F96" s="63">
        <v>0.78630952380952379</v>
      </c>
      <c r="G96" s="63">
        <v>0.7269742063492064</v>
      </c>
      <c r="H96" s="62" t="s">
        <v>171</v>
      </c>
      <c r="I96"/>
      <c r="J96"/>
      <c r="K96"/>
      <c r="L96"/>
      <c r="M96"/>
      <c r="N96" s="55"/>
      <c r="O96" s="55"/>
      <c r="P96" s="55"/>
      <c r="Q96" s="55"/>
      <c r="R96" s="55"/>
      <c r="S96" s="55"/>
      <c r="T96" s="55"/>
      <c r="U96" s="55"/>
      <c r="V96" s="55"/>
      <c r="Y96" s="14"/>
      <c r="AD96" s="63">
        <v>0.77873015873015872</v>
      </c>
      <c r="AE96" s="62" t="s">
        <v>171</v>
      </c>
      <c r="AF96" s="62" t="s">
        <v>226</v>
      </c>
      <c r="AU96"/>
      <c r="AV96"/>
      <c r="AW96"/>
      <c r="AX96"/>
      <c r="AY96"/>
      <c r="AZ96"/>
      <c r="BA96"/>
    </row>
    <row r="97" spans="2:53" ht="13" customHeight="1">
      <c r="B97" s="64"/>
      <c r="C97" s="62" t="s">
        <v>209</v>
      </c>
      <c r="D97" s="64"/>
      <c r="E97" s="63">
        <v>0.97916666666666663</v>
      </c>
      <c r="F97" s="63">
        <v>0.96369047619047621</v>
      </c>
      <c r="G97" s="63">
        <v>0.9698809523809524</v>
      </c>
      <c r="H97" s="62" t="s">
        <v>171</v>
      </c>
      <c r="I97"/>
      <c r="J97"/>
      <c r="K97"/>
      <c r="L97"/>
      <c r="M97"/>
      <c r="N97" s="55"/>
      <c r="O97" s="55"/>
      <c r="P97" s="55"/>
      <c r="Q97" s="55"/>
      <c r="R97" s="55"/>
      <c r="S97" s="55"/>
      <c r="T97" s="55"/>
      <c r="U97" s="55"/>
      <c r="V97" s="55"/>
      <c r="X97" s="14"/>
      <c r="Y97"/>
      <c r="AD97" s="63">
        <v>0.7673280423280423</v>
      </c>
      <c r="AE97" s="62" t="s">
        <v>171</v>
      </c>
      <c r="AF97" s="62" t="s">
        <v>224</v>
      </c>
      <c r="AU97"/>
      <c r="AV97"/>
      <c r="AW97"/>
      <c r="AX97"/>
      <c r="AY97"/>
      <c r="AZ97"/>
      <c r="BA97"/>
    </row>
    <row r="98" spans="2:53" ht="13" customHeight="1">
      <c r="B98" s="64"/>
      <c r="C98" s="62" t="s">
        <v>228</v>
      </c>
      <c r="D98" s="64"/>
      <c r="E98" s="63">
        <v>0.80949900793650797</v>
      </c>
      <c r="F98" s="63">
        <v>0.71964285714285725</v>
      </c>
      <c r="G98" s="63">
        <v>0.75558531746031754</v>
      </c>
      <c r="H98" s="62" t="s">
        <v>171</v>
      </c>
      <c r="I98"/>
      <c r="J98"/>
      <c r="K98"/>
      <c r="L98"/>
      <c r="M98"/>
      <c r="N98" s="56"/>
      <c r="O98" s="57"/>
      <c r="P98" s="55"/>
      <c r="Q98" s="55"/>
      <c r="R98" s="55"/>
      <c r="S98" s="55"/>
      <c r="T98" s="56"/>
      <c r="U98" s="57"/>
      <c r="V98" s="55"/>
      <c r="Y98" s="14"/>
      <c r="AD98" s="40">
        <v>0.76587348294622326</v>
      </c>
      <c r="AE98" s="39" t="s">
        <v>111</v>
      </c>
      <c r="AF98" s="39" t="s">
        <v>229</v>
      </c>
      <c r="AU98"/>
      <c r="AV98"/>
      <c r="AW98"/>
      <c r="AX98"/>
      <c r="AY98"/>
      <c r="AZ98"/>
      <c r="BA98"/>
    </row>
    <row r="99" spans="2:53" ht="13" customHeight="1">
      <c r="B99" s="64"/>
      <c r="C99" s="62" t="s">
        <v>127</v>
      </c>
      <c r="D99" s="64"/>
      <c r="E99" s="63">
        <v>0.90210813492063491</v>
      </c>
      <c r="F99" s="63">
        <v>0.71726190476190466</v>
      </c>
      <c r="G99" s="63">
        <v>0.79120039682539678</v>
      </c>
      <c r="H99" s="62" t="s">
        <v>171</v>
      </c>
      <c r="I99"/>
      <c r="J99"/>
      <c r="K99"/>
      <c r="L99"/>
      <c r="M99"/>
      <c r="N99" s="56"/>
      <c r="O99" s="57"/>
      <c r="P99" s="55"/>
      <c r="Q99" s="55"/>
      <c r="R99" s="55"/>
      <c r="S99" s="55"/>
      <c r="T99" s="56"/>
      <c r="U99" s="57"/>
      <c r="V99" s="55"/>
      <c r="Y99" s="14"/>
      <c r="AD99" s="63">
        <v>0.75558531746031754</v>
      </c>
      <c r="AE99" s="62" t="s">
        <v>171</v>
      </c>
      <c r="AF99" s="62" t="s">
        <v>228</v>
      </c>
      <c r="AU99"/>
      <c r="AV99"/>
      <c r="AW99"/>
      <c r="AX99"/>
      <c r="AY99"/>
      <c r="AZ99"/>
      <c r="BA99"/>
    </row>
    <row r="100" spans="2:53" ht="13" customHeight="1">
      <c r="B100" s="32" t="s">
        <v>230</v>
      </c>
      <c r="C100" s="32" t="s">
        <v>231</v>
      </c>
      <c r="D100" s="32"/>
      <c r="E100" s="33">
        <v>0.573943661971831</v>
      </c>
      <c r="F100" s="33">
        <v>0.66797901797901804</v>
      </c>
      <c r="G100" s="33">
        <v>0.62096133997542458</v>
      </c>
      <c r="H100" s="32" t="s">
        <v>111</v>
      </c>
      <c r="I100"/>
      <c r="J100"/>
      <c r="K100"/>
      <c r="L100"/>
      <c r="M100"/>
      <c r="N100" s="56"/>
      <c r="O100" s="57"/>
      <c r="P100" s="55"/>
      <c r="Q100" s="55"/>
      <c r="R100" s="55"/>
      <c r="S100" s="55"/>
      <c r="T100" s="56"/>
      <c r="U100" s="57"/>
      <c r="V100" s="55"/>
      <c r="Y100" s="14"/>
      <c r="AD100" s="40">
        <v>0.74061891870684249</v>
      </c>
      <c r="AE100" s="39" t="s">
        <v>111</v>
      </c>
      <c r="AF100" s="39" t="s">
        <v>105</v>
      </c>
      <c r="AU100"/>
      <c r="AV100"/>
      <c r="AW100"/>
      <c r="AX100"/>
      <c r="AY100"/>
      <c r="AZ100"/>
      <c r="BA100"/>
    </row>
    <row r="101" spans="2:53" ht="13" customHeight="1">
      <c r="C101" s="32" t="s">
        <v>232</v>
      </c>
      <c r="D101" s="32"/>
      <c r="E101" s="33">
        <v>0.32042253521126762</v>
      </c>
      <c r="F101" s="33">
        <v>0.34526929526929528</v>
      </c>
      <c r="G101" s="33">
        <v>0.33284591524028145</v>
      </c>
      <c r="H101" s="32" t="s">
        <v>233</v>
      </c>
      <c r="I101"/>
      <c r="J101"/>
      <c r="K101"/>
      <c r="L101"/>
      <c r="M101"/>
      <c r="N101" s="56"/>
      <c r="O101" s="57"/>
      <c r="P101" s="55"/>
      <c r="Q101" s="55"/>
      <c r="R101" s="55"/>
      <c r="S101" s="55"/>
      <c r="T101" s="56"/>
      <c r="U101" s="57"/>
      <c r="V101" s="55"/>
      <c r="X101" s="14"/>
      <c r="Y101"/>
      <c r="AD101" s="52">
        <v>0.73866026947265562</v>
      </c>
      <c r="AE101" s="53" t="s">
        <v>107</v>
      </c>
      <c r="AF101" s="51" t="s">
        <v>120</v>
      </c>
    </row>
    <row r="102" spans="2:53" ht="13" customHeight="1">
      <c r="B102"/>
      <c r="C102" s="32" t="s">
        <v>211</v>
      </c>
      <c r="D102" s="32"/>
      <c r="E102" s="33">
        <v>1</v>
      </c>
      <c r="F102" s="33">
        <v>0.82585312585312598</v>
      </c>
      <c r="G102" s="33">
        <v>0.91292656292656305</v>
      </c>
      <c r="H102" s="32" t="s">
        <v>171</v>
      </c>
      <c r="I102"/>
      <c r="J102"/>
      <c r="K102"/>
      <c r="L102"/>
      <c r="M102"/>
      <c r="N102" s="56"/>
      <c r="O102" s="57"/>
      <c r="P102" s="55"/>
      <c r="Q102" s="55"/>
      <c r="R102" s="55"/>
      <c r="S102" s="55"/>
      <c r="T102" s="56"/>
      <c r="U102" s="57"/>
      <c r="V102" s="55"/>
      <c r="AD102" s="65">
        <v>0.73333333333333339</v>
      </c>
      <c r="AE102" s="66" t="s">
        <v>111</v>
      </c>
      <c r="AF102" s="66" t="s">
        <v>213</v>
      </c>
    </row>
    <row r="103" spans="2:53" ht="13" customHeight="1">
      <c r="B103"/>
      <c r="C103" s="32" t="s">
        <v>234</v>
      </c>
      <c r="D103" s="32"/>
      <c r="E103" s="33">
        <v>0.62687793427230043</v>
      </c>
      <c r="F103" s="33">
        <v>0.77537927537927542</v>
      </c>
      <c r="G103" s="33">
        <v>0.70112860482578787</v>
      </c>
      <c r="H103" s="32" t="s">
        <v>107</v>
      </c>
      <c r="I103"/>
      <c r="J103"/>
      <c r="K103"/>
      <c r="L103"/>
      <c r="M103"/>
      <c r="N103" s="56"/>
      <c r="O103" s="57"/>
      <c r="P103" s="55"/>
      <c r="Q103" s="55"/>
      <c r="R103" s="55"/>
      <c r="S103" s="55"/>
      <c r="T103" s="56"/>
      <c r="U103" s="57"/>
      <c r="V103" s="55"/>
      <c r="AD103" s="63">
        <v>0.7269742063492064</v>
      </c>
      <c r="AE103" s="62" t="s">
        <v>171</v>
      </c>
      <c r="AF103" s="62" t="s">
        <v>227</v>
      </c>
    </row>
    <row r="104" spans="2:53" ht="13" customHeight="1">
      <c r="B104"/>
      <c r="C104" s="32" t="s">
        <v>225</v>
      </c>
      <c r="D104" s="32"/>
      <c r="E104" s="33">
        <v>0.49247149564050979</v>
      </c>
      <c r="F104" s="33">
        <v>0.359012909012909</v>
      </c>
      <c r="G104" s="33">
        <v>0.4257422023267094</v>
      </c>
      <c r="H104" s="32" t="s">
        <v>111</v>
      </c>
      <c r="I104"/>
      <c r="J104"/>
      <c r="K104"/>
      <c r="L104"/>
      <c r="M104"/>
      <c r="N104" s="56"/>
      <c r="O104" s="57"/>
      <c r="P104" s="55"/>
      <c r="Q104" s="55"/>
      <c r="R104" s="55"/>
      <c r="S104" s="55"/>
      <c r="T104" s="56"/>
      <c r="U104" s="57"/>
      <c r="V104" s="55"/>
      <c r="AD104" s="52">
        <v>0.7233241183461997</v>
      </c>
      <c r="AE104" s="53" t="s">
        <v>107</v>
      </c>
      <c r="AF104" s="51" t="s">
        <v>105</v>
      </c>
    </row>
    <row r="105" spans="2:53" ht="13" customHeight="1">
      <c r="B105"/>
      <c r="C105" s="32" t="s">
        <v>225</v>
      </c>
      <c r="D105" s="32"/>
      <c r="E105" s="33">
        <v>0.926056338028169</v>
      </c>
      <c r="F105" s="33">
        <v>0.74424359424359421</v>
      </c>
      <c r="G105" s="33">
        <v>0.83514996613588166</v>
      </c>
      <c r="H105" s="32" t="s">
        <v>218</v>
      </c>
      <c r="I105"/>
      <c r="J105"/>
      <c r="K105"/>
      <c r="L105"/>
      <c r="M105"/>
      <c r="N105" s="56"/>
      <c r="O105" s="57"/>
      <c r="P105" s="55"/>
      <c r="Q105" s="55"/>
      <c r="R105" s="55"/>
      <c r="S105" s="55"/>
      <c r="T105" s="56"/>
      <c r="U105" s="57"/>
      <c r="V105" s="55"/>
      <c r="AD105" s="63">
        <v>0.71757936507936504</v>
      </c>
      <c r="AE105" s="62" t="s">
        <v>111</v>
      </c>
      <c r="AF105" s="62" t="s">
        <v>223</v>
      </c>
    </row>
    <row r="106" spans="2:53" ht="13" customHeight="1">
      <c r="B106" s="37" t="s">
        <v>235</v>
      </c>
      <c r="C106" s="39" t="s">
        <v>236</v>
      </c>
      <c r="D106" s="39"/>
      <c r="E106" s="40">
        <v>0.53819444444444442</v>
      </c>
      <c r="F106" s="40">
        <v>0.56457627118644071</v>
      </c>
      <c r="G106" s="40">
        <v>0.55138535781544262</v>
      </c>
      <c r="H106" s="39" t="s">
        <v>103</v>
      </c>
      <c r="I106"/>
      <c r="J106"/>
      <c r="K106"/>
      <c r="L106"/>
      <c r="M106"/>
      <c r="N106" s="59"/>
      <c r="O106" s="57"/>
      <c r="P106" s="55"/>
      <c r="Q106" s="55"/>
      <c r="R106" s="55"/>
      <c r="S106" s="55"/>
      <c r="T106" s="56"/>
      <c r="U106" s="57"/>
      <c r="V106" s="55"/>
      <c r="AD106" s="63">
        <v>0.70616071428571425</v>
      </c>
      <c r="AE106" s="62" t="s">
        <v>111</v>
      </c>
      <c r="AF106" s="62" t="s">
        <v>222</v>
      </c>
    </row>
    <row r="107" spans="2:53" ht="13" customHeight="1">
      <c r="B107" s="3"/>
      <c r="C107" s="39" t="s">
        <v>229</v>
      </c>
      <c r="D107" s="39"/>
      <c r="E107" s="40">
        <v>0.90655864197530889</v>
      </c>
      <c r="F107" s="40">
        <v>0.62518832391713752</v>
      </c>
      <c r="G107" s="40">
        <v>0.76587348294622326</v>
      </c>
      <c r="H107" s="39" t="s">
        <v>111</v>
      </c>
      <c r="I107"/>
      <c r="J107"/>
      <c r="K107"/>
      <c r="L107"/>
      <c r="M107"/>
      <c r="N107" s="59"/>
      <c r="O107" s="57"/>
      <c r="P107" s="55"/>
      <c r="Q107" s="55"/>
      <c r="R107" s="55"/>
      <c r="S107" s="55"/>
      <c r="T107" s="56"/>
      <c r="U107" s="57"/>
      <c r="V107" s="55"/>
      <c r="AD107" s="33">
        <v>0.70112860482578787</v>
      </c>
      <c r="AE107" s="32" t="s">
        <v>107</v>
      </c>
      <c r="AF107" s="32" t="s">
        <v>234</v>
      </c>
    </row>
    <row r="108" spans="2:53" ht="13" customHeight="1">
      <c r="C108" s="39" t="s">
        <v>105</v>
      </c>
      <c r="D108" s="39"/>
      <c r="E108" s="40">
        <v>0.88946759259259267</v>
      </c>
      <c r="F108" s="40">
        <v>0.59177024482109231</v>
      </c>
      <c r="G108" s="40">
        <v>0.74061891870684249</v>
      </c>
      <c r="H108" s="39" t="s">
        <v>111</v>
      </c>
      <c r="I108"/>
      <c r="J108"/>
      <c r="K108"/>
      <c r="L108"/>
      <c r="M108"/>
      <c r="N108" s="55"/>
      <c r="O108" s="55"/>
      <c r="P108" s="55"/>
      <c r="Q108" s="55"/>
      <c r="R108" s="55"/>
      <c r="S108" s="55"/>
      <c r="T108" s="55"/>
      <c r="U108" s="55"/>
      <c r="V108" s="55"/>
      <c r="AD108" s="36">
        <v>0.66716527580958385</v>
      </c>
      <c r="AE108" s="34" t="s">
        <v>111</v>
      </c>
      <c r="AF108" s="34" t="s">
        <v>237</v>
      </c>
    </row>
    <row r="109" spans="2:53" ht="13" customHeight="1">
      <c r="C109" s="39" t="s">
        <v>238</v>
      </c>
      <c r="D109" s="39"/>
      <c r="E109" s="40">
        <v>0.55972222222222223</v>
      </c>
      <c r="F109" s="40">
        <v>0.62906779661016954</v>
      </c>
      <c r="G109" s="40">
        <v>0.59439500941619583</v>
      </c>
      <c r="H109" s="39" t="s">
        <v>103</v>
      </c>
      <c r="I109"/>
      <c r="J109"/>
      <c r="K109"/>
      <c r="L109"/>
      <c r="M109"/>
      <c r="N109" s="55"/>
      <c r="O109" s="55"/>
      <c r="P109" s="55"/>
      <c r="Q109" s="55"/>
      <c r="R109" s="55"/>
      <c r="S109" s="55"/>
      <c r="T109" s="55"/>
      <c r="U109" s="55"/>
      <c r="V109" s="55"/>
      <c r="AD109" s="52">
        <v>0.66520230289647708</v>
      </c>
      <c r="AE109" s="53" t="s">
        <v>107</v>
      </c>
      <c r="AF109" s="51" t="s">
        <v>127</v>
      </c>
    </row>
    <row r="110" spans="2:53" ht="13" customHeight="1">
      <c r="C110" s="39" t="s">
        <v>239</v>
      </c>
      <c r="D110" s="39"/>
      <c r="E110" s="40">
        <v>0.36481481481481487</v>
      </c>
      <c r="F110" s="40">
        <v>0.36706214689265537</v>
      </c>
      <c r="G110" s="40">
        <v>0.36593848085373515</v>
      </c>
      <c r="H110" s="39" t="s">
        <v>240</v>
      </c>
      <c r="I110" s="57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AD110" s="33">
        <v>0.62096133997542458</v>
      </c>
      <c r="AE110" s="32" t="s">
        <v>111</v>
      </c>
      <c r="AF110" s="32" t="s">
        <v>231</v>
      </c>
    </row>
    <row r="111" spans="2:53" ht="13" customHeight="1">
      <c r="C111" s="39" t="s">
        <v>214</v>
      </c>
      <c r="D111" s="39"/>
      <c r="E111" s="40">
        <v>0.95555555555555549</v>
      </c>
      <c r="F111" s="40">
        <v>0.85197740112994358</v>
      </c>
      <c r="G111" s="40">
        <v>0.90376647834274948</v>
      </c>
      <c r="H111" s="39" t="s">
        <v>171</v>
      </c>
      <c r="I111" s="57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AD111" s="52">
        <v>0.60093466873674606</v>
      </c>
      <c r="AE111" s="53" t="s">
        <v>111</v>
      </c>
      <c r="AF111" s="51" t="s">
        <v>113</v>
      </c>
    </row>
    <row r="112" spans="2:53" ht="13" customHeight="1">
      <c r="B112" s="34" t="s">
        <v>241</v>
      </c>
      <c r="C112" s="34" t="s">
        <v>237</v>
      </c>
      <c r="D112" s="35"/>
      <c r="E112" s="36">
        <v>0.7605620787127636</v>
      </c>
      <c r="F112" s="36">
        <v>0.57376847290640398</v>
      </c>
      <c r="G112" s="36">
        <v>0.66716527580958385</v>
      </c>
      <c r="H112" s="34" t="s">
        <v>111</v>
      </c>
      <c r="I112" s="57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AD112" s="40">
        <v>0.59439500941619583</v>
      </c>
      <c r="AE112" s="39" t="s">
        <v>103</v>
      </c>
      <c r="AF112" s="39" t="s">
        <v>238</v>
      </c>
    </row>
    <row r="113" spans="2:32" ht="13" customHeight="1">
      <c r="B113"/>
      <c r="C113" s="34" t="s">
        <v>221</v>
      </c>
      <c r="D113" s="35"/>
      <c r="E113" s="36">
        <v>0.92221135029354184</v>
      </c>
      <c r="F113" s="36">
        <v>0.83019293924466331</v>
      </c>
      <c r="G113" s="36">
        <v>0.87620214476910263</v>
      </c>
      <c r="H113" s="34" t="s">
        <v>218</v>
      </c>
      <c r="I113" s="57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AD113" s="52">
        <v>0.55159569025816735</v>
      </c>
      <c r="AE113" s="53" t="s">
        <v>111</v>
      </c>
      <c r="AF113" s="51" t="s">
        <v>109</v>
      </c>
    </row>
    <row r="114" spans="2:32" ht="13" customHeight="1">
      <c r="B114"/>
      <c r="C114" s="34" t="s">
        <v>242</v>
      </c>
      <c r="D114" s="35"/>
      <c r="E114" s="36">
        <v>0.48597521200260924</v>
      </c>
      <c r="F114" s="36">
        <v>0.24018883415435141</v>
      </c>
      <c r="G114" s="36">
        <v>0.36308202307848031</v>
      </c>
      <c r="H114" s="34" t="s">
        <v>240</v>
      </c>
      <c r="I114" s="57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AD114" s="40">
        <v>0.55138535781544262</v>
      </c>
      <c r="AE114" s="39" t="s">
        <v>103</v>
      </c>
      <c r="AF114" s="39" t="s">
        <v>236</v>
      </c>
    </row>
    <row r="115" spans="2:32" ht="13" customHeight="1">
      <c r="C115" s="34" t="s">
        <v>219</v>
      </c>
      <c r="D115" s="35"/>
      <c r="E115" s="36">
        <v>0.92374429223744292</v>
      </c>
      <c r="F115" s="36">
        <v>0.84150246305418719</v>
      </c>
      <c r="G115" s="36">
        <v>0.882623377645815</v>
      </c>
      <c r="H115" s="34" t="s">
        <v>218</v>
      </c>
      <c r="I115" s="57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AD115" s="65">
        <v>0.52333333333333332</v>
      </c>
      <c r="AE115" s="66" t="s">
        <v>103</v>
      </c>
      <c r="AF115" s="66" t="s">
        <v>215</v>
      </c>
    </row>
    <row r="116" spans="2:32" ht="13" customHeight="1">
      <c r="B116" s="51" t="s">
        <v>243</v>
      </c>
      <c r="C116" s="51" t="str">
        <f t="shared" ref="C116:C123" si="49">C8</f>
        <v>Anders</v>
      </c>
      <c r="D116" s="51"/>
      <c r="E116" s="52">
        <f t="shared" ref="E116:E123" si="50">H8</f>
        <v>0.41803797468354431</v>
      </c>
      <c r="F116" s="52">
        <f t="shared" ref="F116:F123" si="51">G8</f>
        <v>0.50530379863544173</v>
      </c>
      <c r="G116" s="52">
        <f t="shared" ref="G116:G123" si="52">F8</f>
        <v>0.46167088665949302</v>
      </c>
      <c r="H116" s="53" t="str">
        <f t="shared" ref="H116:H123" si="53">E8</f>
        <v>B-</v>
      </c>
      <c r="I116" s="57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AD116" s="65">
        <v>0.50666666666666671</v>
      </c>
      <c r="AE116" s="66" t="s">
        <v>103</v>
      </c>
      <c r="AF116" s="66" t="s">
        <v>208</v>
      </c>
    </row>
    <row r="117" spans="2:32" ht="13" customHeight="1">
      <c r="B117" s="54"/>
      <c r="C117" s="51" t="str">
        <f t="shared" si="49"/>
        <v>Christenson</v>
      </c>
      <c r="D117" s="54"/>
      <c r="E117" s="52">
        <f t="shared" si="50"/>
        <v>0.7291817359855336</v>
      </c>
      <c r="F117" s="52">
        <f t="shared" si="51"/>
        <v>0.7174665007068658</v>
      </c>
      <c r="G117" s="52">
        <f t="shared" si="52"/>
        <v>0.7233241183461997</v>
      </c>
      <c r="H117" s="53" t="str">
        <f t="shared" si="53"/>
        <v>B+</v>
      </c>
      <c r="I117" s="57"/>
      <c r="J117" s="58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AD117" s="52">
        <v>0.50063013956028812</v>
      </c>
      <c r="AE117" s="53" t="s">
        <v>102</v>
      </c>
      <c r="AF117" s="51" t="s">
        <v>116</v>
      </c>
    </row>
    <row r="118" spans="2:32" ht="13" customHeight="1">
      <c r="B118" s="54"/>
      <c r="C118" s="51" t="str">
        <f t="shared" si="49"/>
        <v>Fogerty</v>
      </c>
      <c r="D118" s="54"/>
      <c r="E118" s="52">
        <f t="shared" si="50"/>
        <v>0.45052742616033747</v>
      </c>
      <c r="F118" s="52">
        <f t="shared" si="51"/>
        <v>0.65730530456696779</v>
      </c>
      <c r="G118" s="52">
        <f t="shared" si="52"/>
        <v>0.55391636536365263</v>
      </c>
      <c r="H118" s="53" t="str">
        <f t="shared" si="53"/>
        <v>B</v>
      </c>
      <c r="I118" s="57"/>
      <c r="J118" s="58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AD118" s="52">
        <v>0.46167088665949302</v>
      </c>
      <c r="AE118" s="53" t="s">
        <v>102</v>
      </c>
      <c r="AF118" s="51" t="s">
        <v>100</v>
      </c>
    </row>
    <row r="119" spans="2:32" ht="13" customHeight="1">
      <c r="B119" s="54"/>
      <c r="C119" s="51" t="str">
        <f t="shared" si="49"/>
        <v>Henderson</v>
      </c>
      <c r="D119" s="54"/>
      <c r="E119" s="52">
        <f t="shared" si="50"/>
        <v>0.60676612417118747</v>
      </c>
      <c r="F119" s="52">
        <f t="shared" si="51"/>
        <v>0.60860532300694581</v>
      </c>
      <c r="G119" s="52">
        <f t="shared" si="52"/>
        <v>0.6076857235890667</v>
      </c>
      <c r="H119" s="53" t="str">
        <f t="shared" si="53"/>
        <v>B</v>
      </c>
      <c r="I119" s="57"/>
      <c r="J119" s="58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AD119" s="33">
        <v>0.4257422023267094</v>
      </c>
      <c r="AE119" s="32" t="s">
        <v>111</v>
      </c>
      <c r="AF119" s="32" t="s">
        <v>225</v>
      </c>
    </row>
    <row r="120" spans="2:32" ht="13" customHeight="1">
      <c r="B120" s="54"/>
      <c r="C120" s="51" t="str">
        <f t="shared" si="49"/>
        <v>Holmgren</v>
      </c>
      <c r="D120" s="54"/>
      <c r="E120" s="52">
        <f t="shared" si="50"/>
        <v>0.40907172995780594</v>
      </c>
      <c r="F120" s="52">
        <f t="shared" si="51"/>
        <v>0.60695648165222194</v>
      </c>
      <c r="G120" s="52">
        <f t="shared" si="52"/>
        <v>0.50801410580501394</v>
      </c>
      <c r="H120" s="53" t="str">
        <f t="shared" si="53"/>
        <v>B-</v>
      </c>
      <c r="I120" s="57"/>
      <c r="J120" s="58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AD120" s="40">
        <v>0.36593848085373515</v>
      </c>
      <c r="AE120" s="39" t="s">
        <v>240</v>
      </c>
      <c r="AF120" s="39" t="s">
        <v>239</v>
      </c>
    </row>
    <row r="121" spans="2:32" ht="13" customHeight="1">
      <c r="B121" s="54"/>
      <c r="C121" s="51" t="str">
        <f t="shared" si="49"/>
        <v>Johnson</v>
      </c>
      <c r="D121" s="54"/>
      <c r="E121" s="52">
        <f t="shared" si="50"/>
        <v>0.75443037974683547</v>
      </c>
      <c r="F121" s="52">
        <f t="shared" si="51"/>
        <v>0.72289015919847566</v>
      </c>
      <c r="G121" s="52">
        <f t="shared" si="52"/>
        <v>0.73866026947265562</v>
      </c>
      <c r="H121" s="53" t="str">
        <f t="shared" si="53"/>
        <v>B+</v>
      </c>
      <c r="I121" s="57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AD121" s="36">
        <v>0.36308202307848031</v>
      </c>
      <c r="AE121" s="34" t="s">
        <v>240</v>
      </c>
      <c r="AF121" s="34" t="s">
        <v>242</v>
      </c>
    </row>
    <row r="122" spans="2:32" ht="13" customHeight="1">
      <c r="B122" s="54"/>
      <c r="C122" s="51" t="str">
        <f t="shared" si="49"/>
        <v>Lundgren</v>
      </c>
      <c r="D122" s="54"/>
      <c r="E122" s="52">
        <f t="shared" si="50"/>
        <v>1.2025316455696202E-2</v>
      </c>
      <c r="F122" s="52">
        <f t="shared" si="51"/>
        <v>0.60227272727272729</v>
      </c>
      <c r="G122" s="52">
        <f t="shared" si="52"/>
        <v>0.30714902186421172</v>
      </c>
      <c r="H122" s="53" t="str">
        <f t="shared" si="53"/>
        <v>I</v>
      </c>
      <c r="I122" s="57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AD122" s="33">
        <v>0.33284591524028145</v>
      </c>
      <c r="AE122" s="32" t="s">
        <v>233</v>
      </c>
      <c r="AF122" s="32" t="s">
        <v>232</v>
      </c>
    </row>
    <row r="123" spans="2:32" ht="13" customHeight="1">
      <c r="B123" s="54"/>
      <c r="C123" s="51" t="str">
        <f t="shared" si="49"/>
        <v>Park</v>
      </c>
      <c r="D123" s="54"/>
      <c r="E123" s="52">
        <f t="shared" si="50"/>
        <v>0.70949367088607596</v>
      </c>
      <c r="F123" s="52">
        <f t="shared" si="51"/>
        <v>0.6209109349068781</v>
      </c>
      <c r="G123" s="52">
        <f t="shared" si="52"/>
        <v>0.66520230289647708</v>
      </c>
      <c r="H123" s="53" t="str">
        <f t="shared" si="53"/>
        <v>B+</v>
      </c>
      <c r="AD123" s="52">
        <v>0.30714902186421172</v>
      </c>
      <c r="AE123" s="53" t="s">
        <v>125</v>
      </c>
      <c r="AF123" s="51" t="s">
        <v>123</v>
      </c>
    </row>
    <row r="124" spans="2:32" ht="13" customHeight="1">
      <c r="B124"/>
      <c r="C124"/>
      <c r="D124"/>
      <c r="E124"/>
      <c r="F124"/>
      <c r="G124"/>
      <c r="H124"/>
    </row>
    <row r="125" spans="2:32" ht="13" customHeight="1">
      <c r="B125" s="55"/>
      <c r="C125" s="55"/>
      <c r="D125" s="55"/>
      <c r="E125" s="55"/>
      <c r="F125" s="55"/>
      <c r="G125"/>
      <c r="H125"/>
    </row>
    <row r="126" spans="2:32" ht="13" customHeight="1">
      <c r="B126" s="55"/>
      <c r="C126" s="55"/>
      <c r="D126" s="55"/>
      <c r="E126" s="60">
        <f t="array" ref="E126:F130">LINEST(F90:F123,E90:E123,1,1)</f>
        <v>0.44691652359247142</v>
      </c>
      <c r="F126" s="60">
        <v>0.35094340918309558</v>
      </c>
      <c r="G126" s="55"/>
      <c r="H126" s="56"/>
    </row>
    <row r="127" spans="2:32" ht="13" customHeight="1">
      <c r="B127" s="55"/>
      <c r="C127" s="55"/>
      <c r="D127" s="55"/>
      <c r="E127" s="60">
        <v>9.7455930504175101E-2</v>
      </c>
      <c r="F127" s="60">
        <v>7.154398741210985E-2</v>
      </c>
      <c r="G127" s="55"/>
      <c r="H127" s="56"/>
    </row>
    <row r="128" spans="2:32" ht="13" customHeight="1">
      <c r="B128" s="55"/>
      <c r="C128" s="55"/>
      <c r="D128" s="55"/>
      <c r="E128" s="60">
        <v>0.39656633074198444</v>
      </c>
      <c r="F128" s="60">
        <v>0.13058067040799426</v>
      </c>
      <c r="G128" s="55"/>
      <c r="H128" s="56"/>
    </row>
    <row r="129" spans="2:8" ht="13" customHeight="1">
      <c r="B129" s="55"/>
      <c r="C129" s="55"/>
      <c r="D129" s="55"/>
      <c r="E129" s="60">
        <v>21.029855028386681</v>
      </c>
      <c r="F129" s="60">
        <v>32</v>
      </c>
      <c r="G129" s="55"/>
      <c r="H129" s="56"/>
    </row>
    <row r="130" spans="2:8" ht="13" customHeight="1">
      <c r="B130" s="55"/>
      <c r="C130" s="55"/>
      <c r="D130" s="55"/>
      <c r="E130" s="60">
        <v>0.35858660855661673</v>
      </c>
      <c r="F130" s="60">
        <v>0.54564196749443927</v>
      </c>
      <c r="G130" s="55"/>
      <c r="H130" s="56"/>
    </row>
  </sheetData>
  <printOptions gridLines="1" gridLinesSet="0"/>
  <pageMargins left="0.5" right="0.5" top="1" bottom="0.5" header="0.5" footer="0.5"/>
  <pageSetup orientation="portrait" horizontalDpi="0" r:id="rId1"/>
  <headerFooter alignWithMargins="0">
    <oddHeader>&amp;F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Grades-FakingIt</vt:lpstr>
      <vt:lpstr>CTgrades</vt:lpstr>
      <vt:lpstr>EXAMgrades</vt:lpstr>
      <vt:lpstr>LABgrades</vt:lpstr>
      <vt:lpstr>Lettergrades</vt:lpstr>
      <vt:lpstr>names</vt:lpstr>
      <vt:lpstr>'Grades-FakingIt'!Print_Area</vt:lpstr>
      <vt:lpstr>'Grades-FakingIt'!Print_Titles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2020-01-27T11:39:40Z</dcterms:created>
  <dcterms:modified xsi:type="dcterms:W3CDTF">2020-01-27T11:39:40Z</dcterms:modified>
</cp:coreProperties>
</file>