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576245-A199-4B41-AC83-7D3514806366}" xr6:coauthVersionLast="45" xr6:coauthVersionMax="45" xr10:uidLastSave="{00000000-0000-0000-0000-000000000000}"/>
  <bookViews>
    <workbookView xWindow="3420" yWindow="3420" windowWidth="28800" windowHeight="15460"/>
  </bookViews>
  <sheets>
    <sheet name="Consolidated CashFlow Stat. " sheetId="1" r:id="rId1"/>
    <sheet name="Sheet2" sheetId="2" r:id="rId2"/>
    <sheet name="Sheet3" sheetId="3" r:id="rId3"/>
  </sheets>
  <definedNames>
    <definedName name="_xlnm.Print_Area" localSheetId="0">'Consolidated CashFlow Stat. '!$A$1:$D$53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6" i="1" l="1"/>
  <c r="B29" i="1"/>
  <c r="B39" i="1"/>
  <c r="B46" i="1"/>
</calcChain>
</file>

<file path=xl/sharedStrings.xml><?xml version="1.0" encoding="utf-8"?>
<sst xmlns="http://schemas.openxmlformats.org/spreadsheetml/2006/main" count="53" uniqueCount="51">
  <si>
    <t>Consolidated Cash Flow Statements</t>
  </si>
  <si>
    <t>Year ended</t>
  </si>
  <si>
    <t>Dec 31, 2001</t>
  </si>
  <si>
    <t>CHF millions</t>
  </si>
  <si>
    <t>Net income</t>
  </si>
  <si>
    <t>Reversal of non-cash items</t>
  </si>
  <si>
    <t xml:space="preserve">  Minority interests</t>
  </si>
  <si>
    <t xml:space="preserve">  Taxes</t>
  </si>
  <si>
    <t xml:space="preserve">  Depreciation, amortization and impairments on</t>
  </si>
  <si>
    <t xml:space="preserve">    Tangible fixed assets</t>
  </si>
  <si>
    <t xml:space="preserve">     Intangible assets</t>
  </si>
  <si>
    <t xml:space="preserve">     Financial assets</t>
  </si>
  <si>
    <t>--</t>
  </si>
  <si>
    <t xml:space="preserve">  Income from associated companies</t>
  </si>
  <si>
    <t xml:space="preserve">  Gains on disposal of tangible and intangible assets</t>
  </si>
  <si>
    <t xml:space="preserve">  Net financial income</t>
  </si>
  <si>
    <t>Interest and other financial receipts</t>
  </si>
  <si>
    <t>Interest and other financial payments</t>
  </si>
  <si>
    <t>Taxes paid</t>
  </si>
  <si>
    <t>Cash flow before working capital and provision changes</t>
  </si>
  <si>
    <t>Restructuring payments and other cash payments out of provisions</t>
  </si>
  <si>
    <t>Change in net current assets and other operating cash flow items</t>
  </si>
  <si>
    <t>Cash flow from operating activities</t>
  </si>
  <si>
    <t>Investment in tangible fixed assets</t>
  </si>
  <si>
    <t>Proceeds from disposals of tangible fixed assets</t>
  </si>
  <si>
    <t>Proceeds from disposals of intangible and financial assets</t>
  </si>
  <si>
    <t>Acquisition/divestment of subsidiaries</t>
  </si>
  <si>
    <t>Acquisition of minorities</t>
  </si>
  <si>
    <t>Proceeds from disposals of marketable securities</t>
  </si>
  <si>
    <t>Cash flow used for investing activities</t>
  </si>
  <si>
    <t>Acquisition of treasury shares</t>
  </si>
  <si>
    <t>Proceeds from issue of options on Novartis shares</t>
  </si>
  <si>
    <t>Change in short-term financial debts</t>
  </si>
  <si>
    <t>Dividends paid</t>
  </si>
  <si>
    <t>Cash flow used for financing activities</t>
  </si>
  <si>
    <t>Net cash flow from discontinued operating and investing</t>
  </si>
  <si>
    <t>Agribusiness activities</t>
  </si>
  <si>
    <t>Net effect of currency translation on cash and cash equivalents</t>
  </si>
  <si>
    <t>Net change in cash and cash equivalents</t>
  </si>
  <si>
    <t>Cash and cash equivalents at the beginning of the year</t>
  </si>
  <si>
    <t>Cash and cash equivalents at end of the year</t>
  </si>
  <si>
    <t>(for the years ended December 31, 2002 and 2001)</t>
  </si>
  <si>
    <t>Dec 31, 2002</t>
  </si>
  <si>
    <t>Dividends received</t>
  </si>
  <si>
    <t>Receipts from associated cpie's</t>
  </si>
  <si>
    <t>Purchase of  financial assets</t>
  </si>
  <si>
    <t>Purchase of intangible assets</t>
  </si>
  <si>
    <t>Payments for acquiring marketable securities</t>
  </si>
  <si>
    <t>Repayment of long-term financial debts</t>
  </si>
  <si>
    <t>Increase in long-term financial debts</t>
  </si>
  <si>
    <t xml:space="preserve">  Divestment gains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</si>
</sst>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\ ###"/>
  </numFmts>
  <fonts count="11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trike/>
      <sz val="8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trike/>
      <sz val="9"/>
      <color indexed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2" fillId="0" borderId="0" xfId="0" applyFont="1" applyAlignment="1">
      <alignment horizontal="right"/>
    </xf>
    <xf numFmtId="0" fontId="0" fillId="0" borderId="0" xfId="0" applyBorder="1"/>
    <xf numFmtId="0" fontId="2" fillId="0" borderId="0" xfId="0" applyFont="1" applyFill="1" applyBorder="1"/>
    <xf numFmtId="0" fontId="3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3" fontId="0" fillId="0" borderId="0" xfId="0" applyNumberFormat="1"/>
    <xf numFmtId="0" fontId="5" fillId="0" borderId="0" xfId="0" applyFont="1"/>
    <xf numFmtId="0" fontId="6" fillId="0" borderId="0" xfId="0" applyFont="1"/>
    <xf numFmtId="180" fontId="6" fillId="0" borderId="0" xfId="0" applyNumberFormat="1" applyFont="1" applyAlignment="1">
      <alignment horizontal="right"/>
    </xf>
    <xf numFmtId="180" fontId="7" fillId="0" borderId="0" xfId="0" applyNumberFormat="1" applyFont="1"/>
    <xf numFmtId="0" fontId="8" fillId="0" borderId="0" xfId="0" applyFont="1"/>
    <xf numFmtId="180" fontId="6" fillId="0" borderId="0" xfId="0" applyNumberFormat="1" applyFont="1"/>
    <xf numFmtId="3" fontId="9" fillId="0" borderId="0" xfId="0" applyNumberFormat="1" applyFont="1"/>
    <xf numFmtId="180" fontId="10" fillId="0" borderId="0" xfId="0" applyNumberFormat="1" applyFont="1" applyAlignment="1">
      <alignment horizontal="right"/>
    </xf>
    <xf numFmtId="180" fontId="9" fillId="0" borderId="0" xfId="0" applyNumberFormat="1" applyFont="1" applyAlignment="1">
      <alignment horizontal="right"/>
    </xf>
    <xf numFmtId="3" fontId="10" fillId="0" borderId="0" xfId="0" applyNumberFormat="1" applyFont="1"/>
    <xf numFmtId="0" fontId="9" fillId="0" borderId="0" xfId="0" applyFont="1"/>
    <xf numFmtId="180" fontId="9" fillId="0" borderId="0" xfId="0" quotePrefix="1" applyNumberFormat="1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workbookViewId="0">
      <selection activeCell="H28" sqref="H28"/>
    </sheetView>
  </sheetViews>
  <sheetFormatPr defaultRowHeight="12.5" x14ac:dyDescent="0.25"/>
  <cols>
    <col min="1" max="1" width="47.453125" bestFit="1" customWidth="1"/>
    <col min="2" max="2" width="11.81640625" customWidth="1"/>
    <col min="3" max="3" width="11.54296875" customWidth="1"/>
    <col min="4" max="4" width="7.26953125" style="12" customWidth="1"/>
  </cols>
  <sheetData>
    <row r="1" spans="1:5" ht="13" x14ac:dyDescent="0.3">
      <c r="A1" s="1" t="s">
        <v>0</v>
      </c>
    </row>
    <row r="2" spans="1:5" x14ac:dyDescent="0.25">
      <c r="A2" s="2" t="s">
        <v>41</v>
      </c>
    </row>
    <row r="3" spans="1:5" x14ac:dyDescent="0.25">
      <c r="A3" s="3"/>
      <c r="B3" s="4" t="s">
        <v>1</v>
      </c>
      <c r="C3" s="4" t="s">
        <v>1</v>
      </c>
    </row>
    <row r="4" spans="1:5" x14ac:dyDescent="0.25">
      <c r="A4" s="3"/>
      <c r="B4" s="4" t="s">
        <v>42</v>
      </c>
      <c r="C4" s="4" t="s">
        <v>2</v>
      </c>
    </row>
    <row r="5" spans="1:5" x14ac:dyDescent="0.25">
      <c r="A5" s="3"/>
      <c r="B5" s="4"/>
      <c r="C5" s="4"/>
    </row>
    <row r="6" spans="1:5" x14ac:dyDescent="0.25">
      <c r="A6" s="3"/>
      <c r="B6" s="4"/>
      <c r="C6" s="4"/>
    </row>
    <row r="7" spans="1:5" ht="13" thickBot="1" x14ac:dyDescent="0.3">
      <c r="A7" s="5"/>
      <c r="B7" s="4" t="s">
        <v>3</v>
      </c>
      <c r="C7" s="4" t="s">
        <v>3</v>
      </c>
    </row>
    <row r="8" spans="1:5" ht="13" thickTop="1" x14ac:dyDescent="0.25">
      <c r="A8" s="6"/>
      <c r="B8" s="7"/>
      <c r="C8" s="7"/>
      <c r="D8" s="23"/>
    </row>
    <row r="9" spans="1:5" x14ac:dyDescent="0.25">
      <c r="A9" s="8" t="s">
        <v>4</v>
      </c>
      <c r="B9" s="20">
        <v>7313</v>
      </c>
      <c r="C9" s="18">
        <v>7024</v>
      </c>
      <c r="E9" s="21"/>
    </row>
    <row r="10" spans="1:5" x14ac:dyDescent="0.25">
      <c r="A10" s="3" t="s">
        <v>5</v>
      </c>
      <c r="B10" s="17"/>
      <c r="C10" s="19"/>
      <c r="E10" s="21"/>
    </row>
    <row r="11" spans="1:5" x14ac:dyDescent="0.25">
      <c r="A11" s="9" t="s">
        <v>6</v>
      </c>
      <c r="B11" s="17">
        <v>23</v>
      </c>
      <c r="C11" s="19">
        <v>19</v>
      </c>
      <c r="E11" s="21"/>
    </row>
    <row r="12" spans="1:5" x14ac:dyDescent="0.25">
      <c r="A12" s="9" t="s">
        <v>7</v>
      </c>
      <c r="B12" s="17">
        <v>1490</v>
      </c>
      <c r="C12" s="19">
        <v>1440</v>
      </c>
      <c r="E12" s="21"/>
    </row>
    <row r="13" spans="1:5" x14ac:dyDescent="0.25">
      <c r="A13" s="9" t="s">
        <v>8</v>
      </c>
      <c r="B13" s="17"/>
      <c r="C13" s="19"/>
      <c r="E13" s="21"/>
    </row>
    <row r="14" spans="1:5" x14ac:dyDescent="0.25">
      <c r="A14" s="9" t="s">
        <v>9</v>
      </c>
      <c r="B14" s="17">
        <v>966</v>
      </c>
      <c r="C14" s="19">
        <v>969</v>
      </c>
      <c r="E14" s="21"/>
    </row>
    <row r="15" spans="1:5" x14ac:dyDescent="0.25">
      <c r="A15" s="9" t="s">
        <v>10</v>
      </c>
      <c r="B15" s="17">
        <v>1046</v>
      </c>
      <c r="C15" s="19">
        <v>780</v>
      </c>
      <c r="E15" s="21"/>
    </row>
    <row r="16" spans="1:5" x14ac:dyDescent="0.25">
      <c r="A16" s="9" t="s">
        <v>11</v>
      </c>
      <c r="B16" s="17">
        <v>64</v>
      </c>
      <c r="C16" s="19">
        <v>31</v>
      </c>
      <c r="E16" s="21"/>
    </row>
    <row r="17" spans="1:5" x14ac:dyDescent="0.25">
      <c r="A17" s="9" t="s">
        <v>13</v>
      </c>
      <c r="B17" s="17">
        <v>10</v>
      </c>
      <c r="C17" s="19">
        <v>-139</v>
      </c>
      <c r="E17" s="21"/>
    </row>
    <row r="18" spans="1:5" x14ac:dyDescent="0.25">
      <c r="A18" s="9" t="s">
        <v>50</v>
      </c>
      <c r="B18" s="17">
        <v>-206</v>
      </c>
      <c r="C18" s="19">
        <v>-45</v>
      </c>
      <c r="E18" s="21"/>
    </row>
    <row r="19" spans="1:5" x14ac:dyDescent="0.25">
      <c r="A19" s="9" t="s">
        <v>14</v>
      </c>
      <c r="B19" s="17">
        <v>-405</v>
      </c>
      <c r="C19" s="19">
        <v>-465</v>
      </c>
      <c r="E19" s="21"/>
    </row>
    <row r="20" spans="1:5" x14ac:dyDescent="0.25">
      <c r="A20" s="9" t="s">
        <v>15</v>
      </c>
      <c r="B20" s="17">
        <v>-949</v>
      </c>
      <c r="C20" s="19">
        <v>-1067</v>
      </c>
      <c r="E20" s="21"/>
    </row>
    <row r="21" spans="1:5" x14ac:dyDescent="0.25">
      <c r="A21" s="9" t="s">
        <v>43</v>
      </c>
      <c r="B21" s="17">
        <v>36</v>
      </c>
      <c r="C21" s="19">
        <v>42</v>
      </c>
      <c r="E21" s="21"/>
    </row>
    <row r="22" spans="1:5" x14ac:dyDescent="0.25">
      <c r="A22" s="3" t="s">
        <v>16</v>
      </c>
      <c r="B22" s="17">
        <v>676</v>
      </c>
      <c r="C22" s="19">
        <v>737</v>
      </c>
      <c r="E22" s="21"/>
    </row>
    <row r="23" spans="1:5" x14ac:dyDescent="0.25">
      <c r="A23" s="3" t="s">
        <v>17</v>
      </c>
      <c r="B23" s="17">
        <v>-271</v>
      </c>
      <c r="C23" s="19">
        <v>-391</v>
      </c>
      <c r="E23" s="21"/>
    </row>
    <row r="24" spans="1:5" x14ac:dyDescent="0.25">
      <c r="A24" s="3" t="s">
        <v>44</v>
      </c>
      <c r="B24" s="17">
        <v>55</v>
      </c>
      <c r="C24" s="13"/>
      <c r="E24" s="21"/>
    </row>
    <row r="25" spans="1:5" x14ac:dyDescent="0.25">
      <c r="A25" s="3" t="s">
        <v>18</v>
      </c>
      <c r="B25" s="17">
        <v>-1196</v>
      </c>
      <c r="C25" s="19">
        <v>-1377</v>
      </c>
      <c r="E25" s="21"/>
    </row>
    <row r="26" spans="1:5" x14ac:dyDescent="0.25">
      <c r="A26" s="8" t="s">
        <v>19</v>
      </c>
      <c r="B26" s="20">
        <f>SUM(B9:B25)</f>
        <v>8652</v>
      </c>
      <c r="C26" s="18">
        <v>7558</v>
      </c>
      <c r="D26" s="16"/>
      <c r="E26" s="17"/>
    </row>
    <row r="27" spans="1:5" x14ac:dyDescent="0.25">
      <c r="A27" s="3" t="s">
        <v>20</v>
      </c>
      <c r="B27" s="17">
        <v>-317</v>
      </c>
      <c r="C27" s="19">
        <v>-421</v>
      </c>
      <c r="E27" s="21"/>
    </row>
    <row r="28" spans="1:5" x14ac:dyDescent="0.25">
      <c r="A28" s="3" t="s">
        <v>21</v>
      </c>
      <c r="B28" s="17">
        <v>-173</v>
      </c>
      <c r="C28" s="19">
        <v>205</v>
      </c>
      <c r="E28" s="21"/>
    </row>
    <row r="29" spans="1:5" x14ac:dyDescent="0.25">
      <c r="A29" s="8" t="s">
        <v>22</v>
      </c>
      <c r="B29" s="20">
        <f>SUM(B26:B28)</f>
        <v>8162</v>
      </c>
      <c r="C29" s="18">
        <v>7342</v>
      </c>
      <c r="E29" s="17"/>
    </row>
    <row r="30" spans="1:5" x14ac:dyDescent="0.25">
      <c r="A30" s="3" t="s">
        <v>23</v>
      </c>
      <c r="B30" s="17">
        <v>-1661</v>
      </c>
      <c r="C30" s="19">
        <v>-1351</v>
      </c>
      <c r="E30" s="21"/>
    </row>
    <row r="31" spans="1:5" x14ac:dyDescent="0.25">
      <c r="A31" s="3" t="s">
        <v>24</v>
      </c>
      <c r="B31" s="17">
        <v>286</v>
      </c>
      <c r="C31" s="19">
        <v>275</v>
      </c>
      <c r="E31" s="21"/>
    </row>
    <row r="32" spans="1:5" x14ac:dyDescent="0.25">
      <c r="A32" s="3" t="s">
        <v>46</v>
      </c>
      <c r="B32" s="17">
        <v>-139</v>
      </c>
      <c r="C32" s="19">
        <v>-978</v>
      </c>
      <c r="E32" s="21"/>
    </row>
    <row r="33" spans="1:6" x14ac:dyDescent="0.25">
      <c r="A33" s="3" t="s">
        <v>45</v>
      </c>
      <c r="B33" s="17">
        <v>-3998</v>
      </c>
      <c r="C33" s="21">
        <v>-6574</v>
      </c>
      <c r="D33" s="13"/>
      <c r="E33" s="21"/>
    </row>
    <row r="34" spans="1:6" x14ac:dyDescent="0.25">
      <c r="A34" s="3" t="s">
        <v>25</v>
      </c>
      <c r="B34" s="17">
        <v>1239</v>
      </c>
      <c r="C34" s="19">
        <v>1550</v>
      </c>
      <c r="E34" s="21"/>
    </row>
    <row r="35" spans="1:6" x14ac:dyDescent="0.25">
      <c r="A35" s="3" t="s">
        <v>26</v>
      </c>
      <c r="B35" s="17">
        <v>-847</v>
      </c>
      <c r="C35" s="19">
        <v>-169</v>
      </c>
      <c r="E35" s="21"/>
    </row>
    <row r="36" spans="1:6" x14ac:dyDescent="0.25">
      <c r="A36" s="3" t="s">
        <v>27</v>
      </c>
      <c r="B36" s="17">
        <v>-3</v>
      </c>
      <c r="C36" s="19">
        <v>-1</v>
      </c>
      <c r="E36" s="21"/>
    </row>
    <row r="37" spans="1:6" x14ac:dyDescent="0.25">
      <c r="A37" s="3" t="s">
        <v>28</v>
      </c>
      <c r="B37" s="17">
        <v>11004</v>
      </c>
      <c r="C37" s="19">
        <v>8196</v>
      </c>
      <c r="E37" s="21"/>
    </row>
    <row r="38" spans="1:6" x14ac:dyDescent="0.25">
      <c r="A38" s="3" t="s">
        <v>47</v>
      </c>
      <c r="B38" s="17">
        <v>-10336</v>
      </c>
      <c r="C38" s="19">
        <v>-5623</v>
      </c>
      <c r="E38" s="21"/>
    </row>
    <row r="39" spans="1:6" x14ac:dyDescent="0.25">
      <c r="A39" s="8" t="s">
        <v>29</v>
      </c>
      <c r="B39" s="20">
        <f>SUM(B30:B38)</f>
        <v>-4455</v>
      </c>
      <c r="C39" s="18">
        <v>-4675</v>
      </c>
      <c r="D39" s="14"/>
      <c r="E39" s="17"/>
    </row>
    <row r="40" spans="1:6" x14ac:dyDescent="0.25">
      <c r="A40" s="3" t="s">
        <v>30</v>
      </c>
      <c r="B40" s="17">
        <v>-5147</v>
      </c>
      <c r="C40" s="19">
        <v>-3848</v>
      </c>
      <c r="E40" s="21"/>
    </row>
    <row r="41" spans="1:6" x14ac:dyDescent="0.25">
      <c r="A41" s="3" t="s">
        <v>31</v>
      </c>
      <c r="B41" s="17">
        <v>0</v>
      </c>
      <c r="C41" s="19">
        <v>4056</v>
      </c>
      <c r="E41" s="21"/>
    </row>
    <row r="42" spans="1:6" x14ac:dyDescent="0.25">
      <c r="A42" s="3" t="s">
        <v>49</v>
      </c>
      <c r="B42" s="17">
        <v>1551</v>
      </c>
      <c r="C42" s="19">
        <v>1384</v>
      </c>
      <c r="E42" s="21"/>
    </row>
    <row r="43" spans="1:6" x14ac:dyDescent="0.25">
      <c r="A43" s="3" t="s">
        <v>48</v>
      </c>
      <c r="B43" s="17">
        <v>-28</v>
      </c>
      <c r="C43" s="19">
        <v>-126</v>
      </c>
      <c r="E43" s="21"/>
    </row>
    <row r="44" spans="1:6" x14ac:dyDescent="0.25">
      <c r="A44" s="3" t="s">
        <v>32</v>
      </c>
      <c r="B44" s="17">
        <v>-699</v>
      </c>
      <c r="C44" s="19">
        <v>374</v>
      </c>
      <c r="E44" s="21"/>
    </row>
    <row r="45" spans="1:6" x14ac:dyDescent="0.25">
      <c r="A45" s="3" t="s">
        <v>33</v>
      </c>
      <c r="B45" s="17">
        <v>-2294</v>
      </c>
      <c r="C45" s="19">
        <v>-2194</v>
      </c>
      <c r="E45" s="21"/>
    </row>
    <row r="46" spans="1:6" x14ac:dyDescent="0.25">
      <c r="A46" s="8" t="s">
        <v>34</v>
      </c>
      <c r="B46" s="20">
        <f>SUM(B40:B45)</f>
        <v>-6617</v>
      </c>
      <c r="C46" s="18">
        <v>-354</v>
      </c>
      <c r="D46" s="14"/>
      <c r="E46" s="21"/>
      <c r="F46" s="10"/>
    </row>
    <row r="47" spans="1:6" x14ac:dyDescent="0.25">
      <c r="A47" s="11" t="s">
        <v>35</v>
      </c>
      <c r="B47" s="17"/>
      <c r="C47" s="18"/>
      <c r="D47" s="15"/>
      <c r="E47" s="21"/>
    </row>
    <row r="48" spans="1:6" x14ac:dyDescent="0.25">
      <c r="A48" s="11" t="s">
        <v>36</v>
      </c>
      <c r="B48" s="17"/>
      <c r="C48" s="22" t="s">
        <v>12</v>
      </c>
      <c r="D48" s="15"/>
      <c r="E48" s="21"/>
    </row>
    <row r="49" spans="1:5" x14ac:dyDescent="0.25">
      <c r="A49" s="3" t="s">
        <v>37</v>
      </c>
      <c r="B49" s="17">
        <v>-99</v>
      </c>
      <c r="C49" s="19">
        <v>31</v>
      </c>
      <c r="E49" s="21"/>
    </row>
    <row r="50" spans="1:5" x14ac:dyDescent="0.25">
      <c r="A50" s="8" t="s">
        <v>38</v>
      </c>
      <c r="B50" s="20">
        <v>-3009</v>
      </c>
      <c r="C50" s="18">
        <v>2344</v>
      </c>
      <c r="E50" s="21"/>
    </row>
    <row r="51" spans="1:5" x14ac:dyDescent="0.25">
      <c r="A51" s="8" t="s">
        <v>39</v>
      </c>
      <c r="B51" s="20">
        <v>11147</v>
      </c>
      <c r="C51" s="18">
        <v>8803</v>
      </c>
      <c r="E51" s="21"/>
    </row>
    <row r="52" spans="1:5" x14ac:dyDescent="0.25">
      <c r="A52" s="8" t="s">
        <v>40</v>
      </c>
      <c r="B52" s="20">
        <v>8138</v>
      </c>
      <c r="C52" s="18">
        <v>11147</v>
      </c>
      <c r="E52" s="21"/>
    </row>
    <row r="53" spans="1:5" x14ac:dyDescent="0.25">
      <c r="B53" s="10"/>
    </row>
    <row r="54" spans="1:5" x14ac:dyDescent="0.25">
      <c r="B54" s="10"/>
    </row>
    <row r="55" spans="1:5" x14ac:dyDescent="0.25">
      <c r="B55" s="10"/>
    </row>
    <row r="56" spans="1:5" x14ac:dyDescent="0.25">
      <c r="B56" s="10"/>
    </row>
    <row r="57" spans="1:5" x14ac:dyDescent="0.25">
      <c r="B57" s="10"/>
    </row>
    <row r="58" spans="1:5" x14ac:dyDescent="0.25">
      <c r="B58" s="10"/>
    </row>
    <row r="59" spans="1:5" x14ac:dyDescent="0.25">
      <c r="B59" s="10"/>
    </row>
    <row r="60" spans="1:5" x14ac:dyDescent="0.25">
      <c r="B60" s="10"/>
    </row>
    <row r="61" spans="1:5" x14ac:dyDescent="0.25">
      <c r="B61" s="10"/>
    </row>
    <row r="62" spans="1:5" x14ac:dyDescent="0.25">
      <c r="B62" s="10"/>
    </row>
    <row r="63" spans="1:5" x14ac:dyDescent="0.25">
      <c r="B63" s="10"/>
    </row>
    <row r="64" spans="1:5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Consolidated CashFlow Stat. </vt:lpstr>
      <vt:lpstr>Sheet2</vt:lpstr>
      <vt:lpstr>Sheet3</vt:lpstr>
      <vt:lpstr>'Consolidated CashFlow Stat. '!Print_Area</vt:lpstr>
    </vt:vector>
  </TitlesOfParts>
  <Company>Novartis International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Bendana2</dc:creator>
  <cp:lastModifiedBy>Carina Negreanu</cp:lastModifiedBy>
  <cp:lastPrinted>2003-01-21T17:01:01Z</cp:lastPrinted>
  <dcterms:created xsi:type="dcterms:W3CDTF">2003-01-16T14:44:03Z</dcterms:created>
  <dcterms:modified xsi:type="dcterms:W3CDTF">2020-01-27T11:20:44Z</dcterms:modified>
</cp:coreProperties>
</file>