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B421F4-8C1D-4584-A536-9598F75919D9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Summary K-10" sheetId="11" r:id="rId1"/>
    <sheet name="Gr. 2" sheetId="12" r:id="rId2"/>
  </sheets>
  <definedNames>
    <definedName name="_xlnm.Print_Area" localSheetId="1">'Gr. 2'!$A$1:$K$59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12" l="1"/>
  <c r="J17" i="12"/>
  <c r="J24" i="12"/>
  <c r="J32" i="12"/>
  <c r="J35" i="12"/>
  <c r="E12" i="12" s="1"/>
  <c r="D36" i="12"/>
  <c r="D37" i="12"/>
  <c r="D3" i="11"/>
  <c r="D15" i="11" s="1"/>
  <c r="D19" i="11" s="1"/>
  <c r="E3" i="11"/>
  <c r="E10" i="11" s="1"/>
  <c r="E14" i="11" s="1"/>
  <c r="F3" i="11"/>
  <c r="F17" i="11" s="1"/>
  <c r="G3" i="11"/>
  <c r="G28" i="11" s="1"/>
  <c r="H3" i="11"/>
  <c r="H17" i="11" s="1"/>
  <c r="I3" i="11"/>
  <c r="I17" i="11" s="1"/>
  <c r="J3" i="11"/>
  <c r="J8" i="11" s="1"/>
  <c r="K3" i="11"/>
  <c r="D5" i="11"/>
  <c r="D9" i="11" s="1"/>
  <c r="K7" i="11"/>
  <c r="D8" i="11"/>
  <c r="E8" i="11"/>
  <c r="F8" i="11"/>
  <c r="B9" i="11"/>
  <c r="C9" i="11"/>
  <c r="D10" i="11"/>
  <c r="F11" i="11"/>
  <c r="H11" i="11"/>
  <c r="I11" i="11"/>
  <c r="J11" i="11"/>
  <c r="J14" i="11" s="1"/>
  <c r="B14" i="11"/>
  <c r="C14" i="11"/>
  <c r="D14" i="11"/>
  <c r="F14" i="11"/>
  <c r="F18" i="11"/>
  <c r="B19" i="11"/>
  <c r="C19" i="11"/>
  <c r="E20" i="11"/>
  <c r="E22" i="11" s="1"/>
  <c r="H20" i="11"/>
  <c r="H22" i="11" s="1"/>
  <c r="J20" i="11"/>
  <c r="J22" i="11" s="1"/>
  <c r="K20" i="11"/>
  <c r="K22" i="11" s="1"/>
  <c r="D21" i="11"/>
  <c r="D22" i="11" s="1"/>
  <c r="B22" i="11"/>
  <c r="C22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9" i="11"/>
  <c r="E29" i="11"/>
  <c r="I30" i="11"/>
  <c r="J30" i="11"/>
  <c r="K30" i="11"/>
  <c r="D31" i="11"/>
  <c r="E31" i="11"/>
  <c r="F31" i="11"/>
  <c r="G31" i="11"/>
  <c r="D38" i="11"/>
  <c r="E38" i="11"/>
  <c r="F38" i="11"/>
  <c r="G38" i="11"/>
  <c r="H38" i="11"/>
  <c r="I38" i="11"/>
  <c r="J38" i="11"/>
  <c r="K38" i="11"/>
  <c r="D39" i="11"/>
  <c r="G39" i="11"/>
  <c r="H39" i="11"/>
  <c r="I39" i="11"/>
  <c r="J39" i="11"/>
  <c r="K39" i="11"/>
  <c r="D40" i="11"/>
  <c r="E40" i="11"/>
  <c r="F40" i="11"/>
  <c r="G40" i="11"/>
  <c r="H40" i="11"/>
  <c r="I40" i="11"/>
  <c r="J40" i="11"/>
  <c r="K40" i="11"/>
  <c r="D41" i="11"/>
  <c r="E41" i="11"/>
  <c r="F41" i="11"/>
  <c r="G41" i="11"/>
  <c r="H41" i="11"/>
  <c r="I41" i="11"/>
  <c r="J41" i="11"/>
  <c r="K41" i="11"/>
  <c r="F44" i="11"/>
  <c r="D45" i="11"/>
  <c r="F45" i="11"/>
  <c r="G45" i="11"/>
  <c r="H45" i="11"/>
  <c r="D46" i="11"/>
  <c r="E46" i="11"/>
  <c r="G46" i="11"/>
  <c r="H46" i="11"/>
  <c r="I46" i="11"/>
  <c r="J46" i="11"/>
  <c r="K46" i="11"/>
  <c r="D47" i="11"/>
  <c r="G47" i="11"/>
  <c r="I47" i="11"/>
  <c r="J47" i="11"/>
  <c r="E48" i="11"/>
  <c r="F48" i="11"/>
  <c r="H48" i="11"/>
  <c r="I48" i="11"/>
  <c r="J48" i="11"/>
  <c r="K48" i="11"/>
  <c r="I21" i="11" l="1"/>
  <c r="I22" i="11" s="1"/>
  <c r="I5" i="11"/>
  <c r="I9" i="11" s="1"/>
  <c r="I29" i="11"/>
  <c r="I15" i="11"/>
  <c r="I19" i="11" s="1"/>
  <c r="I32" i="11"/>
  <c r="I13" i="11"/>
  <c r="K8" i="11"/>
  <c r="K11" i="11"/>
  <c r="K14" i="11" s="1"/>
  <c r="K31" i="11"/>
  <c r="K18" i="11"/>
  <c r="K21" i="11"/>
  <c r="K12" i="11"/>
  <c r="K29" i="11"/>
  <c r="K15" i="11"/>
  <c r="K19" i="11" s="1"/>
  <c r="K32" i="11"/>
  <c r="K6" i="11"/>
  <c r="K9" i="11" s="1"/>
  <c r="K13" i="11"/>
  <c r="K17" i="11"/>
  <c r="I10" i="11"/>
  <c r="I14" i="11" s="1"/>
  <c r="H10" i="11"/>
  <c r="H14" i="11" s="1"/>
  <c r="H28" i="11"/>
  <c r="H16" i="11"/>
  <c r="G21" i="11"/>
  <c r="G22" i="11" s="1"/>
  <c r="G5" i="11"/>
  <c r="G9" i="11" s="1"/>
  <c r="G29" i="11"/>
  <c r="G12" i="11"/>
  <c r="G15" i="11"/>
  <c r="G19" i="11" s="1"/>
  <c r="G32" i="11"/>
  <c r="G30" i="11"/>
  <c r="G7" i="11"/>
  <c r="G16" i="11"/>
  <c r="K28" i="11"/>
  <c r="I16" i="11"/>
  <c r="H18" i="11"/>
  <c r="H5" i="11"/>
  <c r="H9" i="11" s="1"/>
  <c r="H29" i="11"/>
  <c r="H15" i="11"/>
  <c r="H19" i="11" s="1"/>
  <c r="H32" i="11"/>
  <c r="H13" i="11"/>
  <c r="H6" i="11"/>
  <c r="H30" i="11"/>
  <c r="H7" i="11"/>
  <c r="E5" i="11"/>
  <c r="E9" i="11" s="1"/>
  <c r="E12" i="11"/>
  <c r="E15" i="11"/>
  <c r="E19" i="11" s="1"/>
  <c r="E32" i="11"/>
  <c r="E30" i="11"/>
  <c r="E16" i="11"/>
  <c r="J31" i="11"/>
  <c r="J18" i="11"/>
  <c r="J21" i="11"/>
  <c r="J5" i="11"/>
  <c r="J9" i="11" s="1"/>
  <c r="J12" i="11"/>
  <c r="J29" i="11"/>
  <c r="J15" i="11"/>
  <c r="J19" i="11" s="1"/>
  <c r="J32" i="11"/>
  <c r="J6" i="11"/>
  <c r="J13" i="11"/>
  <c r="G11" i="11"/>
  <c r="G14" i="11" s="1"/>
  <c r="J28" i="11"/>
  <c r="F29" i="11"/>
  <c r="F12" i="11"/>
  <c r="F15" i="11"/>
  <c r="F19" i="11" s="1"/>
  <c r="F6" i="11"/>
  <c r="F9" i="11" s="1"/>
  <c r="F30" i="11"/>
  <c r="F16" i="11"/>
  <c r="I28" i="11"/>
  <c r="G17" i="11"/>
  <c r="F28" i="11"/>
  <c r="E28" i="11"/>
  <c r="F21" i="11"/>
  <c r="F22" i="11" s="1"/>
  <c r="I8" i="11"/>
  <c r="I31" i="11"/>
  <c r="E21" i="11"/>
  <c r="H8" i="11"/>
  <c r="H31" i="11"/>
  <c r="G8" i="11"/>
  <c r="D28" i="11"/>
  <c r="D16" i="11"/>
  <c r="E33" i="12"/>
  <c r="D30" i="11"/>
  <c r="D6" i="11"/>
  <c r="E25" i="12"/>
  <c r="E18" i="12"/>
</calcChain>
</file>

<file path=xl/sharedStrings.xml><?xml version="1.0" encoding="utf-8"?>
<sst xmlns="http://schemas.openxmlformats.org/spreadsheetml/2006/main" count="221" uniqueCount="128">
  <si>
    <t>Grades K-10 Objective Test Question Percentages</t>
  </si>
  <si>
    <t>Objective Test Question Category Level Percentages</t>
  </si>
  <si>
    <t>Constructed Response Test Question Category Level Percentages</t>
  </si>
  <si>
    <t>Grades K-10Constructed Response Test Question Percentages</t>
  </si>
  <si>
    <t>Algebra Standard Percentage of Test:</t>
  </si>
  <si>
    <t>Number and Computation Standard Percentage of Test:</t>
  </si>
  <si>
    <t>Geometry Standard Percentage of Test:</t>
  </si>
  <si>
    <t>Data Standard Percentage of Test:</t>
  </si>
  <si>
    <t>2 (&amp; CR)</t>
  </si>
  <si>
    <t>3 (&amp; CR)</t>
  </si>
  <si>
    <t>1 (&amp; CR)</t>
  </si>
  <si>
    <t>Data-Probability</t>
  </si>
  <si>
    <t>Data-Statistics</t>
  </si>
  <si>
    <t xml:space="preserve">Total Objective Questions </t>
  </si>
  <si>
    <t>Knowledge Portion</t>
  </si>
  <si>
    <t>Application Portion</t>
  </si>
  <si>
    <t>a (2)</t>
  </si>
  <si>
    <t>b (2)</t>
  </si>
  <si>
    <t>a (1)</t>
  </si>
  <si>
    <t>b (1)</t>
  </si>
  <si>
    <t>c (1)</t>
  </si>
  <si>
    <t>d (1)</t>
  </si>
  <si>
    <t>e (1)</t>
  </si>
  <si>
    <t>f (1)</t>
  </si>
  <si>
    <t>f (2)</t>
  </si>
  <si>
    <t>Indicator</t>
  </si>
  <si>
    <t>K2</t>
  </si>
  <si>
    <t>Total # of ?s</t>
  </si>
  <si>
    <t>Category 1 # of ?s</t>
  </si>
  <si>
    <t>Category 3 # of ?s</t>
  </si>
  <si>
    <t>Category 4 # of ?s</t>
  </si>
  <si>
    <t>Category 5 # of ?s</t>
  </si>
  <si>
    <t>Category 2 # of ?s</t>
  </si>
  <si>
    <t>Standard-Benchmark</t>
  </si>
  <si>
    <t>Kinder-garten % of Test</t>
  </si>
  <si>
    <t>Grade One % of Test</t>
  </si>
  <si>
    <t>Grade Two % of Test</t>
  </si>
  <si>
    <t>Grade Three % of Test</t>
  </si>
  <si>
    <t>Grade Four % of Test</t>
  </si>
  <si>
    <t>Grade Five % of Test</t>
  </si>
  <si>
    <t>Grade Six % of Test</t>
  </si>
  <si>
    <t>Grade Seven % of Test</t>
  </si>
  <si>
    <t>Grade Eight % of Test</t>
  </si>
  <si>
    <t>Grade Ten % of Test</t>
  </si>
  <si>
    <t># of Questions Total</t>
  </si>
  <si>
    <t>Number-Number Sense</t>
  </si>
  <si>
    <t>Number-Number Systems</t>
  </si>
  <si>
    <t>Number-Estimation</t>
  </si>
  <si>
    <t>Number-Computation</t>
  </si>
  <si>
    <t>Number Subtotal</t>
  </si>
  <si>
    <t>Algebra-Patterns</t>
  </si>
  <si>
    <t>Algebra-Variables</t>
  </si>
  <si>
    <t>Algebra-Functions</t>
  </si>
  <si>
    <t>Algebra-Models</t>
  </si>
  <si>
    <t>Geometry-Figures</t>
  </si>
  <si>
    <t>Geometry-Meas./Estim.</t>
  </si>
  <si>
    <t>Geometry-Transformational</t>
  </si>
  <si>
    <t>Geometry-Alg. Perspective</t>
  </si>
  <si>
    <t>K3</t>
  </si>
  <si>
    <t>K1</t>
  </si>
  <si>
    <t>Knowledge Indicator</t>
  </si>
  <si>
    <t>Number</t>
  </si>
  <si>
    <t>Algebra</t>
  </si>
  <si>
    <t>Geometry</t>
  </si>
  <si>
    <t>Data</t>
  </si>
  <si>
    <t xml:space="preserve"> </t>
  </si>
  <si>
    <t>Category 2 Questions</t>
  </si>
  <si>
    <t>Category 3 Questions</t>
  </si>
  <si>
    <t>Category 4 Questions</t>
  </si>
  <si>
    <t>Category 5 Questions</t>
  </si>
  <si>
    <t>Category 1 Questions</t>
  </si>
  <si>
    <t>Standard</t>
  </si>
  <si>
    <t>Benchmark</t>
  </si>
  <si>
    <t>Algebra Subtotal</t>
  </si>
  <si>
    <t>Geometry Subtotal</t>
  </si>
  <si>
    <t>Data Subtotal</t>
  </si>
  <si>
    <t>1a</t>
  </si>
  <si>
    <t>1b</t>
  </si>
  <si>
    <t>Indicators Selected for Constructed Response Items</t>
  </si>
  <si>
    <t>1-Number</t>
  </si>
  <si>
    <t>2-Algebra</t>
  </si>
  <si>
    <t>1-Number Sense</t>
  </si>
  <si>
    <t>4-Computation</t>
  </si>
  <si>
    <t>3-Geometry</t>
  </si>
  <si>
    <t>1-Figures</t>
  </si>
  <si>
    <t>4-Data</t>
  </si>
  <si>
    <t>2-Statistics</t>
  </si>
  <si>
    <t>2-Measurement</t>
  </si>
  <si>
    <t>Indicators Selected for Multiple Choice Items</t>
  </si>
  <si>
    <t>2-Number Systems</t>
  </si>
  <si>
    <t>Application Indicator</t>
  </si>
  <si>
    <t>1 - Number</t>
  </si>
  <si>
    <t>7a (&amp; CR)</t>
  </si>
  <si>
    <t>7b</t>
  </si>
  <si>
    <t>1 - Patterns</t>
  </si>
  <si>
    <t>2a</t>
  </si>
  <si>
    <t>4a</t>
  </si>
  <si>
    <t>1c (CR only)</t>
  </si>
  <si>
    <t>1d</t>
  </si>
  <si>
    <t>1c</t>
  </si>
  <si>
    <t>K7a</t>
  </si>
  <si>
    <t>g (1)</t>
  </si>
  <si>
    <t>K1c</t>
  </si>
  <si>
    <t>Kansas Mathematics Assessment Framework for Grade 2</t>
  </si>
  <si>
    <t>Category 1</t>
  </si>
  <si>
    <t>Category 2</t>
  </si>
  <si>
    <t>Category 3</t>
  </si>
  <si>
    <t>Category 4</t>
  </si>
  <si>
    <t>Category 5</t>
  </si>
  <si>
    <t>Knowledge Indicator Percentage of Test:</t>
  </si>
  <si>
    <t>Application Indicator Percentage of Test:</t>
  </si>
  <si>
    <t>Total Number of Test Questions:</t>
  </si>
  <si>
    <t>uses place value models to represent a given number</t>
  </si>
  <si>
    <t>continues and explains patterns</t>
  </si>
  <si>
    <t>conducts survey and creates a tally chart (.5 points necessary)</t>
  </si>
  <si>
    <t>Rubric</t>
  </si>
  <si>
    <t>2 pts.</t>
  </si>
  <si>
    <t>4 pts.</t>
  </si>
  <si>
    <t>Notes:</t>
  </si>
  <si>
    <t>ellipse (tools not necessary)</t>
  </si>
  <si>
    <t xml:space="preserve">draws and labels 4 out of 5 figures - circle, square, triangle, rectangle,  </t>
  </si>
  <si>
    <t>information.  In addition, the number in parentheses indicates the number of items on the assessment for that</t>
  </si>
  <si>
    <t xml:space="preserve">A letter in a cell under 'Category' indicates the subcategory from the Expectations for Students in Mathematics  </t>
  </si>
  <si>
    <t>indicator in that subcategory.</t>
  </si>
  <si>
    <t>Multiple Choice 'Total # of ?s' count.</t>
  </si>
  <si>
    <t xml:space="preserve">CR refers to Constructed Response. The number of items for Constructed Response is not included in the  </t>
  </si>
  <si>
    <t>solves problem and explains how problem was solved with the idea that there</t>
  </si>
  <si>
    <t>are multiple ways to solve the problem, looking for mathematical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</si>
</sst>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14" x14ac:knownFonts="1">
    <font>
      <sz val="9"/>
      <name val="Times"/>
    </font>
    <font>
      <b/>
      <sz val="9"/>
      <name val="Times"/>
    </font>
    <font>
      <sz val="9"/>
      <name val="Times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</font>
    <font>
      <sz val="9"/>
      <name val="Times"/>
    </font>
    <font>
      <b/>
      <sz val="9"/>
      <name val="Arial"/>
    </font>
    <font>
      <sz val="9"/>
      <name val="Times"/>
    </font>
    <font>
      <sz val="9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Border="1" applyAlignment="1">
      <alignment horizontal="center"/>
    </xf>
    <xf numFmtId="172" fontId="3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72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right"/>
    </xf>
    <xf numFmtId="17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72" fontId="4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 wrapText="1"/>
    </xf>
    <xf numFmtId="172" fontId="3" fillId="0" borderId="0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172" fontId="4" fillId="0" borderId="1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Fill="1"/>
    <xf numFmtId="0" fontId="7" fillId="0" borderId="2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4" fontId="7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72" fontId="10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right"/>
    </xf>
    <xf numFmtId="172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72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14" fontId="7" fillId="0" borderId="0" xfId="0" applyNumberFormat="1" applyFont="1"/>
    <xf numFmtId="0" fontId="10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7" fillId="0" borderId="5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0" fontId="8" fillId="0" borderId="7" xfId="0" applyFont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/>
    </xf>
    <xf numFmtId="0" fontId="8" fillId="0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Fill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Border="1" applyAlignment="1">
      <alignment horizontal="center" vertical="top"/>
    </xf>
    <xf numFmtId="0" fontId="7" fillId="0" borderId="6" xfId="0" applyFont="1" applyBorder="1" applyAlignment="1">
      <alignment horizontal="left"/>
    </xf>
    <xf numFmtId="0" fontId="7" fillId="0" borderId="10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7" fillId="0" borderId="10" xfId="0" applyFont="1" applyFill="1" applyBorder="1" applyAlignment="1">
      <alignment horizontal="center" vertical="top"/>
    </xf>
    <xf numFmtId="0" fontId="8" fillId="0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8" fillId="0" borderId="4" xfId="0" applyFont="1" applyBorder="1" applyAlignment="1">
      <alignment horizontal="center" vertical="top"/>
    </xf>
    <xf numFmtId="0" fontId="8" fillId="0" borderId="13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/>
    <xf numFmtId="172" fontId="10" fillId="0" borderId="7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0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/>
    <xf numFmtId="0" fontId="13" fillId="0" borderId="1" xfId="0" applyFont="1" applyBorder="1" applyAlignment="1">
      <alignment horizontal="center"/>
    </xf>
    <xf numFmtId="14" fontId="3" fillId="0" borderId="3" xfId="0" applyNumberFormat="1" applyFont="1" applyBorder="1" applyAlignment="1">
      <alignment horizontal="right"/>
    </xf>
    <xf numFmtId="0" fontId="0" fillId="0" borderId="3" xfId="0" applyBorder="1" applyAlignment="1"/>
    <xf numFmtId="0" fontId="7" fillId="0" borderId="1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zoomScale="125" workbookViewId="0">
      <selection activeCell="J1" sqref="J1:K1"/>
    </sheetView>
  </sheetViews>
  <sheetFormatPr defaultColWidth="12" defaultRowHeight="13" x14ac:dyDescent="0.3"/>
  <cols>
    <col min="1" max="1" width="28.77734375" style="1" customWidth="1"/>
    <col min="2" max="11" width="8" style="1" customWidth="1"/>
  </cols>
  <sheetData>
    <row r="1" spans="1:11" x14ac:dyDescent="0.3">
      <c r="A1" s="2" t="s">
        <v>0</v>
      </c>
      <c r="J1" s="113">
        <v>36373</v>
      </c>
      <c r="K1" s="114"/>
    </row>
    <row r="2" spans="1:11" ht="65" x14ac:dyDescent="0.3">
      <c r="A2" s="3" t="s">
        <v>33</v>
      </c>
      <c r="B2" s="15" t="s">
        <v>34</v>
      </c>
      <c r="C2" s="3" t="s">
        <v>35</v>
      </c>
      <c r="D2" s="3" t="s">
        <v>36</v>
      </c>
      <c r="E2" s="15" t="s">
        <v>37</v>
      </c>
      <c r="F2" s="3" t="s">
        <v>38</v>
      </c>
      <c r="G2" s="3" t="s">
        <v>39</v>
      </c>
      <c r="H2" s="3" t="s">
        <v>40</v>
      </c>
      <c r="I2" s="15" t="s">
        <v>41</v>
      </c>
      <c r="J2" s="15" t="s">
        <v>42</v>
      </c>
      <c r="K2" s="3" t="s">
        <v>43</v>
      </c>
    </row>
    <row r="3" spans="1:11" s="5" customFormat="1" ht="12" customHeight="1" x14ac:dyDescent="0.3">
      <c r="A3" s="3" t="s">
        <v>13</v>
      </c>
      <c r="B3" s="3"/>
      <c r="C3" s="3"/>
      <c r="D3" s="19" t="e">
        <f>#REF!</f>
        <v>#REF!</v>
      </c>
      <c r="E3" s="19" t="e">
        <f>#REF!</f>
        <v>#REF!</v>
      </c>
      <c r="F3" s="19" t="e">
        <f>#REF!</f>
        <v>#REF!</v>
      </c>
      <c r="G3" s="19" t="e">
        <f>#REF!</f>
        <v>#REF!</v>
      </c>
      <c r="H3" s="19" t="e">
        <f>#REF!</f>
        <v>#REF!</v>
      </c>
      <c r="I3" s="19" t="e">
        <f>#REF!</f>
        <v>#REF!</v>
      </c>
      <c r="J3" s="19" t="e">
        <f>#REF!</f>
        <v>#REF!</v>
      </c>
      <c r="K3" s="19" t="e">
        <f>#REF!</f>
        <v>#REF!</v>
      </c>
    </row>
    <row r="4" spans="1:11" s="5" customFormat="1" ht="12" customHeight="1" x14ac:dyDescent="0.3">
      <c r="A4" s="13"/>
      <c r="B4" s="13"/>
      <c r="C4" s="13"/>
      <c r="D4" s="22"/>
      <c r="E4" s="22"/>
      <c r="F4" s="22"/>
      <c r="G4" s="22"/>
      <c r="H4" s="22"/>
      <c r="I4" s="22"/>
      <c r="J4" s="22"/>
      <c r="K4" s="22"/>
    </row>
    <row r="5" spans="1:11" x14ac:dyDescent="0.3">
      <c r="A5" s="12" t="s">
        <v>45</v>
      </c>
      <c r="B5" s="4"/>
      <c r="C5" s="12"/>
      <c r="D5" s="20" t="e">
        <f>6/D3</f>
        <v>#REF!</v>
      </c>
      <c r="E5" s="20" t="e">
        <f>12/E3</f>
        <v>#REF!</v>
      </c>
      <c r="F5" s="20"/>
      <c r="G5" s="20" t="e">
        <f>5/G3</f>
        <v>#REF!</v>
      </c>
      <c r="H5" s="20" t="e">
        <f>8/H3</f>
        <v>#REF!</v>
      </c>
      <c r="I5" s="20" t="e">
        <f>5/I3</f>
        <v>#REF!</v>
      </c>
      <c r="J5" s="20" t="e">
        <f>5/J3</f>
        <v>#REF!</v>
      </c>
      <c r="K5" s="20"/>
    </row>
    <row r="6" spans="1:11" x14ac:dyDescent="0.3">
      <c r="A6" s="12" t="s">
        <v>46</v>
      </c>
      <c r="B6" s="4"/>
      <c r="C6" s="4"/>
      <c r="D6" s="20" t="e">
        <f>6/D3</f>
        <v>#REF!</v>
      </c>
      <c r="E6" s="20"/>
      <c r="F6" s="20" t="e">
        <f>9/F3</f>
        <v>#REF!</v>
      </c>
      <c r="G6" s="20"/>
      <c r="H6" s="20" t="e">
        <f>3/H3</f>
        <v>#REF!</v>
      </c>
      <c r="I6" s="20"/>
      <c r="J6" s="20" t="e">
        <f>8/J3</f>
        <v>#REF!</v>
      </c>
      <c r="K6" s="20" t="e">
        <f>9/K3</f>
        <v>#REF!</v>
      </c>
    </row>
    <row r="7" spans="1:11" x14ac:dyDescent="0.3">
      <c r="A7" s="12" t="s">
        <v>47</v>
      </c>
      <c r="B7" s="4"/>
      <c r="C7" s="4"/>
      <c r="D7" s="20"/>
      <c r="E7" s="20"/>
      <c r="F7" s="20"/>
      <c r="G7" s="20" t="e">
        <f>8/G3</f>
        <v>#REF!</v>
      </c>
      <c r="H7" s="20" t="e">
        <f>5/H3</f>
        <v>#REF!</v>
      </c>
      <c r="I7" s="20"/>
      <c r="J7" s="20"/>
      <c r="K7" s="20" t="e">
        <f>3/K3</f>
        <v>#REF!</v>
      </c>
    </row>
    <row r="8" spans="1:11" x14ac:dyDescent="0.3">
      <c r="A8" s="12" t="s">
        <v>48</v>
      </c>
      <c r="B8" s="4"/>
      <c r="C8" s="4"/>
      <c r="D8" s="20" t="e">
        <f>6/D3</f>
        <v>#REF!</v>
      </c>
      <c r="E8" s="20" t="e">
        <f>10/E3</f>
        <v>#REF!</v>
      </c>
      <c r="F8" s="20" t="e">
        <f>10/F3</f>
        <v>#REF!</v>
      </c>
      <c r="G8" s="20" t="e">
        <f>8/G3</f>
        <v>#REF!</v>
      </c>
      <c r="H8" s="20" t="e">
        <f>9/H3</f>
        <v>#REF!</v>
      </c>
      <c r="I8" s="20" t="e">
        <f>12/I3</f>
        <v>#REF!</v>
      </c>
      <c r="J8" s="20" t="e">
        <f>10/J3</f>
        <v>#REF!</v>
      </c>
      <c r="K8" s="20" t="e">
        <f>6/K3</f>
        <v>#REF!</v>
      </c>
    </row>
    <row r="9" spans="1:11" x14ac:dyDescent="0.3">
      <c r="A9" s="17" t="s">
        <v>49</v>
      </c>
      <c r="B9" s="6">
        <f t="shared" ref="B9:K9" si="0">SUM(B5:B8)</f>
        <v>0</v>
      </c>
      <c r="C9" s="6">
        <f t="shared" si="0"/>
        <v>0</v>
      </c>
      <c r="D9" s="18" t="e">
        <f t="shared" si="0"/>
        <v>#REF!</v>
      </c>
      <c r="E9" s="18" t="e">
        <f t="shared" si="0"/>
        <v>#REF!</v>
      </c>
      <c r="F9" s="18" t="e">
        <f t="shared" si="0"/>
        <v>#REF!</v>
      </c>
      <c r="G9" s="18" t="e">
        <f t="shared" si="0"/>
        <v>#REF!</v>
      </c>
      <c r="H9" s="18" t="e">
        <f t="shared" si="0"/>
        <v>#REF!</v>
      </c>
      <c r="I9" s="18" t="e">
        <f t="shared" si="0"/>
        <v>#REF!</v>
      </c>
      <c r="J9" s="18" t="e">
        <f t="shared" si="0"/>
        <v>#REF!</v>
      </c>
      <c r="K9" s="18" t="e">
        <f t="shared" si="0"/>
        <v>#REF!</v>
      </c>
    </row>
    <row r="10" spans="1:11" x14ac:dyDescent="0.3">
      <c r="A10" s="12" t="s">
        <v>50</v>
      </c>
      <c r="B10" s="4"/>
      <c r="C10" s="4"/>
      <c r="D10" s="20" t="e">
        <f>3/D3</f>
        <v>#REF!</v>
      </c>
      <c r="E10" s="20" t="e">
        <f>8/E3</f>
        <v>#REF!</v>
      </c>
      <c r="F10" s="20"/>
      <c r="G10" s="20"/>
      <c r="H10" s="20" t="e">
        <f>5/H3</f>
        <v>#REF!</v>
      </c>
      <c r="I10" s="20" t="e">
        <f>8/I3</f>
        <v>#REF!</v>
      </c>
      <c r="J10" s="20"/>
      <c r="K10" s="20"/>
    </row>
    <row r="11" spans="1:11" x14ac:dyDescent="0.3">
      <c r="A11" s="12" t="s">
        <v>51</v>
      </c>
      <c r="B11" s="4"/>
      <c r="D11" s="20"/>
      <c r="E11" s="20"/>
      <c r="F11" s="20" t="e">
        <f>5/F3</f>
        <v>#REF!</v>
      </c>
      <c r="G11" s="20" t="e">
        <f>10/G3</f>
        <v>#REF!</v>
      </c>
      <c r="H11" s="20" t="e">
        <f>5/H3</f>
        <v>#REF!</v>
      </c>
      <c r="I11" s="20" t="e">
        <f>15/I3</f>
        <v>#REF!</v>
      </c>
      <c r="J11" s="20" t="e">
        <f>10/J3</f>
        <v>#REF!</v>
      </c>
      <c r="K11" s="20" t="e">
        <f>9/K3</f>
        <v>#REF!</v>
      </c>
    </row>
    <row r="12" spans="1:11" x14ac:dyDescent="0.3">
      <c r="A12" s="12" t="s">
        <v>52</v>
      </c>
      <c r="B12" s="4"/>
      <c r="C12" s="4"/>
      <c r="D12" s="20"/>
      <c r="E12" s="20" t="e">
        <f>3/E3</f>
        <v>#REF!</v>
      </c>
      <c r="F12" s="20" t="e">
        <f>8/F3</f>
        <v>#REF!</v>
      </c>
      <c r="G12" s="20" t="e">
        <f>3/G3</f>
        <v>#REF!</v>
      </c>
      <c r="H12" s="20"/>
      <c r="I12" s="20"/>
      <c r="J12" s="20" t="e">
        <f>5/J3</f>
        <v>#REF!</v>
      </c>
      <c r="K12" s="20" t="e">
        <f>10/K3</f>
        <v>#REF!</v>
      </c>
    </row>
    <row r="13" spans="1:11" x14ac:dyDescent="0.3">
      <c r="A13" s="12" t="s">
        <v>53</v>
      </c>
      <c r="B13" s="4"/>
      <c r="C13" s="4"/>
      <c r="D13" s="20"/>
      <c r="E13" s="20"/>
      <c r="F13" s="20"/>
      <c r="G13" s="20"/>
      <c r="H13" s="20" t="e">
        <f>3/H3</f>
        <v>#REF!</v>
      </c>
      <c r="I13" s="20" t="e">
        <f>3/I3</f>
        <v>#REF!</v>
      </c>
      <c r="J13" s="20" t="e">
        <f>5/J3</f>
        <v>#REF!</v>
      </c>
      <c r="K13" s="20" t="e">
        <f>5/K3</f>
        <v>#REF!</v>
      </c>
    </row>
    <row r="14" spans="1:11" x14ac:dyDescent="0.3">
      <c r="A14" s="17" t="s">
        <v>73</v>
      </c>
      <c r="B14" s="6">
        <f t="shared" ref="B14:K14" si="1">SUM(B10:B13)</f>
        <v>0</v>
      </c>
      <c r="C14" s="6">
        <f t="shared" si="1"/>
        <v>0</v>
      </c>
      <c r="D14" s="18" t="e">
        <f t="shared" si="1"/>
        <v>#REF!</v>
      </c>
      <c r="E14" s="18" t="e">
        <f t="shared" si="1"/>
        <v>#REF!</v>
      </c>
      <c r="F14" s="18" t="e">
        <f t="shared" si="1"/>
        <v>#REF!</v>
      </c>
      <c r="G14" s="18" t="e">
        <f t="shared" si="1"/>
        <v>#REF!</v>
      </c>
      <c r="H14" s="18" t="e">
        <f t="shared" si="1"/>
        <v>#REF!</v>
      </c>
      <c r="I14" s="18" t="e">
        <f t="shared" si="1"/>
        <v>#REF!</v>
      </c>
      <c r="J14" s="18" t="e">
        <f t="shared" si="1"/>
        <v>#REF!</v>
      </c>
      <c r="K14" s="18" t="e">
        <f t="shared" si="1"/>
        <v>#REF!</v>
      </c>
    </row>
    <row r="15" spans="1:11" x14ac:dyDescent="0.3">
      <c r="A15" s="12" t="s">
        <v>54</v>
      </c>
      <c r="B15" s="4"/>
      <c r="C15" s="4"/>
      <c r="D15" s="20" t="e">
        <f>6/D3</f>
        <v>#REF!</v>
      </c>
      <c r="E15" s="20" t="e">
        <f>7/E3</f>
        <v>#REF!</v>
      </c>
      <c r="F15" s="20" t="e">
        <f>3/F3</f>
        <v>#REF!</v>
      </c>
      <c r="G15" s="20" t="e">
        <f>10/G3</f>
        <v>#REF!</v>
      </c>
      <c r="H15" s="20" t="e">
        <f>5/H3</f>
        <v>#REF!</v>
      </c>
      <c r="I15" s="20" t="e">
        <f>5/I3</f>
        <v>#REF!</v>
      </c>
      <c r="J15" s="20" t="e">
        <f>14/J3</f>
        <v>#REF!</v>
      </c>
      <c r="K15" s="20" t="e">
        <f>3/K3</f>
        <v>#REF!</v>
      </c>
    </row>
    <row r="16" spans="1:11" x14ac:dyDescent="0.3">
      <c r="A16" s="12" t="s">
        <v>55</v>
      </c>
      <c r="B16" s="4"/>
      <c r="C16" s="4"/>
      <c r="D16" s="20" t="e">
        <f>6/D3</f>
        <v>#REF!</v>
      </c>
      <c r="E16" s="20" t="e">
        <f>8/E3</f>
        <v>#REF!</v>
      </c>
      <c r="F16" s="20" t="e">
        <f>8/F3</f>
        <v>#REF!</v>
      </c>
      <c r="G16" s="20" t="e">
        <f>11/G3</f>
        <v>#REF!</v>
      </c>
      <c r="H16" s="20" t="e">
        <f>15/H3</f>
        <v>#REF!</v>
      </c>
      <c r="I16" s="20" t="e">
        <f>13/I3</f>
        <v>#REF!</v>
      </c>
      <c r="J16" s="20"/>
      <c r="K16" s="20"/>
    </row>
    <row r="17" spans="1:11" x14ac:dyDescent="0.3">
      <c r="A17" s="12" t="s">
        <v>56</v>
      </c>
      <c r="B17" s="4"/>
      <c r="C17" s="4"/>
      <c r="D17" s="20"/>
      <c r="E17" s="20"/>
      <c r="F17" s="20" t="e">
        <f>5/F3</f>
        <v>#REF!</v>
      </c>
      <c r="G17" s="20" t="e">
        <f>5/G3</f>
        <v>#REF!</v>
      </c>
      <c r="H17" s="20" t="e">
        <f>2/H3</f>
        <v>#REF!</v>
      </c>
      <c r="I17" s="20" t="e">
        <f>5/I3</f>
        <v>#REF!</v>
      </c>
      <c r="J17" s="20"/>
      <c r="K17" s="20" t="e">
        <f>5/K3</f>
        <v>#REF!</v>
      </c>
    </row>
    <row r="18" spans="1:11" x14ac:dyDescent="0.3">
      <c r="A18" s="12" t="s">
        <v>57</v>
      </c>
      <c r="B18" s="4"/>
      <c r="C18" s="4"/>
      <c r="D18" s="20"/>
      <c r="E18" s="20"/>
      <c r="F18" s="20" t="e">
        <f>2/F3</f>
        <v>#REF!</v>
      </c>
      <c r="G18" s="20"/>
      <c r="H18" s="20" t="e">
        <f>5/H3</f>
        <v>#REF!</v>
      </c>
      <c r="I18" s="20"/>
      <c r="J18" s="20" t="e">
        <f>5/J3</f>
        <v>#REF!</v>
      </c>
      <c r="K18" s="20" t="e">
        <f>10/K3</f>
        <v>#REF!</v>
      </c>
    </row>
    <row r="19" spans="1:11" x14ac:dyDescent="0.3">
      <c r="A19" s="17" t="s">
        <v>74</v>
      </c>
      <c r="B19" s="6">
        <f t="shared" ref="B19:K19" si="2">SUM(B15:B18)</f>
        <v>0</v>
      </c>
      <c r="C19" s="6">
        <f t="shared" si="2"/>
        <v>0</v>
      </c>
      <c r="D19" s="18" t="e">
        <f t="shared" si="2"/>
        <v>#REF!</v>
      </c>
      <c r="E19" s="18" t="e">
        <f t="shared" si="2"/>
        <v>#REF!</v>
      </c>
      <c r="F19" s="18" t="e">
        <f t="shared" si="2"/>
        <v>#REF!</v>
      </c>
      <c r="G19" s="18" t="e">
        <f t="shared" si="2"/>
        <v>#REF!</v>
      </c>
      <c r="H19" s="18" t="e">
        <f t="shared" si="2"/>
        <v>#REF!</v>
      </c>
      <c r="I19" s="18" t="e">
        <f t="shared" si="2"/>
        <v>#REF!</v>
      </c>
      <c r="J19" s="18" t="e">
        <f t="shared" si="2"/>
        <v>#REF!</v>
      </c>
      <c r="K19" s="18" t="e">
        <f t="shared" si="2"/>
        <v>#REF!</v>
      </c>
    </row>
    <row r="20" spans="1:11" x14ac:dyDescent="0.3">
      <c r="A20" s="12" t="s">
        <v>11</v>
      </c>
      <c r="B20" s="4"/>
      <c r="C20" s="4"/>
      <c r="D20" s="20"/>
      <c r="E20" s="20" t="e">
        <f>4/E3</f>
        <v>#REF!</v>
      </c>
      <c r="F20" s="20"/>
      <c r="G20" s="20"/>
      <c r="H20" s="20" t="e">
        <f>8/H3</f>
        <v>#REF!</v>
      </c>
      <c r="I20" s="20"/>
      <c r="J20" s="20" t="e">
        <f>8/J3</f>
        <v>#REF!</v>
      </c>
      <c r="K20" s="20" t="e">
        <f>3/K3</f>
        <v>#REF!</v>
      </c>
    </row>
    <row r="21" spans="1:11" x14ac:dyDescent="0.3">
      <c r="A21" s="12" t="s">
        <v>12</v>
      </c>
      <c r="B21" s="4"/>
      <c r="C21" s="4"/>
      <c r="D21" s="20" t="e">
        <f>6/D3</f>
        <v>#REF!</v>
      </c>
      <c r="E21" s="20" t="e">
        <f>4/E3</f>
        <v>#REF!</v>
      </c>
      <c r="F21" s="20" t="e">
        <f>10/F3</f>
        <v>#REF!</v>
      </c>
      <c r="G21" s="20" t="e">
        <f>10/G3</f>
        <v>#REF!</v>
      </c>
      <c r="H21" s="20"/>
      <c r="I21" s="20" t="e">
        <f>9/I3</f>
        <v>#REF!</v>
      </c>
      <c r="J21" s="20" t="e">
        <f>5/J3</f>
        <v>#REF!</v>
      </c>
      <c r="K21" s="20" t="e">
        <f>12/K3</f>
        <v>#REF!</v>
      </c>
    </row>
    <row r="22" spans="1:11" x14ac:dyDescent="0.3">
      <c r="A22" s="17" t="s">
        <v>75</v>
      </c>
      <c r="B22" s="18">
        <f t="shared" ref="B22:K22" si="3">SUM(B20:B21)</f>
        <v>0</v>
      </c>
      <c r="C22" s="18">
        <f t="shared" si="3"/>
        <v>0</v>
      </c>
      <c r="D22" s="18" t="e">
        <f t="shared" si="3"/>
        <v>#REF!</v>
      </c>
      <c r="E22" s="18" t="e">
        <f t="shared" si="3"/>
        <v>#REF!</v>
      </c>
      <c r="F22" s="18" t="e">
        <f t="shared" si="3"/>
        <v>#REF!</v>
      </c>
      <c r="G22" s="18" t="e">
        <f t="shared" si="3"/>
        <v>#REF!</v>
      </c>
      <c r="H22" s="18" t="e">
        <f t="shared" si="3"/>
        <v>#REF!</v>
      </c>
      <c r="I22" s="18" t="e">
        <f t="shared" si="3"/>
        <v>#REF!</v>
      </c>
      <c r="J22" s="18" t="e">
        <f t="shared" si="3"/>
        <v>#REF!</v>
      </c>
      <c r="K22" s="18" t="e">
        <f t="shared" si="3"/>
        <v>#REF!</v>
      </c>
    </row>
    <row r="23" spans="1:11" x14ac:dyDescent="0.3">
      <c r="A23" s="13"/>
      <c r="C23" s="8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3" t="s">
        <v>14</v>
      </c>
      <c r="B24" s="4"/>
      <c r="C24" s="10"/>
      <c r="D24" s="11" t="e">
        <f>#REF!</f>
        <v>#REF!</v>
      </c>
      <c r="E24" s="11" t="e">
        <f>#REF!</f>
        <v>#REF!</v>
      </c>
      <c r="F24" s="11" t="e">
        <f>#REF!</f>
        <v>#REF!</v>
      </c>
      <c r="G24" s="11" t="e">
        <f>#REF!</f>
        <v>#REF!</v>
      </c>
      <c r="H24" s="11" t="e">
        <f>#REF!</f>
        <v>#REF!</v>
      </c>
      <c r="I24" s="11" t="e">
        <f>#REF!</f>
        <v>#REF!</v>
      </c>
      <c r="J24" s="11" t="e">
        <f>#REF!</f>
        <v>#REF!</v>
      </c>
      <c r="K24" s="11" t="e">
        <f>#REF!</f>
        <v>#REF!</v>
      </c>
    </row>
    <row r="25" spans="1:11" x14ac:dyDescent="0.3">
      <c r="A25" s="3" t="s">
        <v>15</v>
      </c>
      <c r="B25" s="4"/>
      <c r="C25" s="10"/>
      <c r="D25" s="11" t="e">
        <f>#REF!</f>
        <v>#REF!</v>
      </c>
      <c r="E25" s="11" t="e">
        <f>#REF!</f>
        <v>#REF!</v>
      </c>
      <c r="F25" s="11" t="e">
        <f>#REF!</f>
        <v>#REF!</v>
      </c>
      <c r="G25" s="11" t="e">
        <f>#REF!</f>
        <v>#REF!</v>
      </c>
      <c r="H25" s="11" t="e">
        <f>#REF!</f>
        <v>#REF!</v>
      </c>
      <c r="I25" s="11" t="e">
        <f>#REF!</f>
        <v>#REF!</v>
      </c>
      <c r="J25" s="11" t="e">
        <f>#REF!</f>
        <v>#REF!</v>
      </c>
      <c r="K25" s="11" t="e">
        <f>#REF!</f>
        <v>#REF!</v>
      </c>
    </row>
    <row r="26" spans="1:11" x14ac:dyDescent="0.3">
      <c r="A26" s="13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3">
      <c r="A27" s="2" t="s">
        <v>1</v>
      </c>
      <c r="C27" s="8"/>
    </row>
    <row r="28" spans="1:11" x14ac:dyDescent="0.3">
      <c r="A28" s="4" t="s">
        <v>70</v>
      </c>
      <c r="B28" s="4"/>
      <c r="C28" s="10"/>
      <c r="D28" s="16" t="e">
        <f>11/D3</f>
        <v>#REF!</v>
      </c>
      <c r="E28" s="16" t="e">
        <f>12/E3</f>
        <v>#REF!</v>
      </c>
      <c r="F28" s="16" t="e">
        <f>10/F3</f>
        <v>#REF!</v>
      </c>
      <c r="G28" s="16" t="e">
        <f>12/G3</f>
        <v>#REF!</v>
      </c>
      <c r="H28" s="16" t="e">
        <f>16/H3</f>
        <v>#REF!</v>
      </c>
      <c r="I28" s="16" t="e">
        <f>7/I3</f>
        <v>#REF!</v>
      </c>
      <c r="J28" s="16" t="e">
        <f>8/J3</f>
        <v>#REF!</v>
      </c>
      <c r="K28" s="16" t="e">
        <f>7/K3</f>
        <v>#REF!</v>
      </c>
    </row>
    <row r="29" spans="1:11" x14ac:dyDescent="0.3">
      <c r="A29" s="4" t="s">
        <v>66</v>
      </c>
      <c r="B29" s="4"/>
      <c r="C29" s="10"/>
      <c r="D29" s="16" t="e">
        <f>14/D3</f>
        <v>#REF!</v>
      </c>
      <c r="E29" s="16" t="e">
        <f>14/E3</f>
        <v>#REF!</v>
      </c>
      <c r="F29" s="16" t="e">
        <f>16/F3</f>
        <v>#REF!</v>
      </c>
      <c r="G29" s="16" t="e">
        <f>32/G3</f>
        <v>#REF!</v>
      </c>
      <c r="H29" s="16" t="e">
        <f>21/H3</f>
        <v>#REF!</v>
      </c>
      <c r="I29" s="16" t="e">
        <f>33/I3</f>
        <v>#REF!</v>
      </c>
      <c r="J29" s="16" t="e">
        <f>31/J3</f>
        <v>#REF!</v>
      </c>
      <c r="K29" s="16" t="e">
        <f>17/K3</f>
        <v>#REF!</v>
      </c>
    </row>
    <row r="30" spans="1:11" x14ac:dyDescent="0.3">
      <c r="A30" s="4" t="s">
        <v>67</v>
      </c>
      <c r="B30" s="4"/>
      <c r="C30" s="10"/>
      <c r="D30" s="16" t="e">
        <f>11/D3</f>
        <v>#REF!</v>
      </c>
      <c r="E30" s="16" t="e">
        <f>15/E3</f>
        <v>#REF!</v>
      </c>
      <c r="F30" s="16" t="e">
        <f>26/F3</f>
        <v>#REF!</v>
      </c>
      <c r="G30" s="16" t="e">
        <f>14/G3</f>
        <v>#REF!</v>
      </c>
      <c r="H30" s="16" t="e">
        <f>20/H3</f>
        <v>#REF!</v>
      </c>
      <c r="I30" s="16" t="e">
        <f>15/I3</f>
        <v>#REF!</v>
      </c>
      <c r="J30" s="16" t="e">
        <f>22/J3</f>
        <v>#REF!</v>
      </c>
      <c r="K30" s="16" t="e">
        <f>25/K3</f>
        <v>#REF!</v>
      </c>
    </row>
    <row r="31" spans="1:11" x14ac:dyDescent="0.3">
      <c r="A31" s="4" t="s">
        <v>68</v>
      </c>
      <c r="B31" s="4"/>
      <c r="C31" s="10"/>
      <c r="D31" s="16" t="e">
        <f>3/D3</f>
        <v>#REF!</v>
      </c>
      <c r="E31" s="16" t="e">
        <f>13/E3</f>
        <v>#REF!</v>
      </c>
      <c r="F31" s="16" t="e">
        <f>8/F3</f>
        <v>#REF!</v>
      </c>
      <c r="G31" s="16" t="e">
        <f>8/G3</f>
        <v>#REF!</v>
      </c>
      <c r="H31" s="16" t="e">
        <f>9/H3</f>
        <v>#REF!</v>
      </c>
      <c r="I31" s="16" t="e">
        <f>11/I3</f>
        <v>#REF!</v>
      </c>
      <c r="J31" s="16" t="e">
        <f>4/J3</f>
        <v>#REF!</v>
      </c>
      <c r="K31" s="16" t="e">
        <f>3/K3</f>
        <v>#REF!</v>
      </c>
    </row>
    <row r="32" spans="1:11" x14ac:dyDescent="0.3">
      <c r="A32" s="4" t="s">
        <v>69</v>
      </c>
      <c r="B32" s="4"/>
      <c r="C32" s="10"/>
      <c r="D32" s="16"/>
      <c r="E32" s="16" t="e">
        <f>2/E3</f>
        <v>#REF!</v>
      </c>
      <c r="F32" s="16"/>
      <c r="G32" s="16" t="e">
        <f>4/G3</f>
        <v>#REF!</v>
      </c>
      <c r="H32" s="16" t="e">
        <f>7/H3</f>
        <v>#REF!</v>
      </c>
      <c r="I32" s="16" t="e">
        <f>9/I3</f>
        <v>#REF!</v>
      </c>
      <c r="J32" s="16" t="e">
        <f>10/J3</f>
        <v>#REF!</v>
      </c>
      <c r="K32" s="16" t="e">
        <f>23/K3</f>
        <v>#REF!</v>
      </c>
    </row>
    <row r="33" spans="1:11" x14ac:dyDescent="0.3">
      <c r="B33" s="7"/>
      <c r="C33" s="7"/>
      <c r="D33" s="7"/>
      <c r="E33" s="7"/>
      <c r="F33" s="7"/>
      <c r="G33" s="7"/>
      <c r="H33" s="7"/>
      <c r="I33" s="7"/>
      <c r="J33" s="7"/>
      <c r="K33" s="7"/>
    </row>
    <row r="35" spans="1:11" x14ac:dyDescent="0.3">
      <c r="A35" s="2" t="s">
        <v>3</v>
      </c>
    </row>
    <row r="36" spans="1:11" ht="65" x14ac:dyDescent="0.3">
      <c r="A36" s="3" t="s">
        <v>71</v>
      </c>
      <c r="B36" s="3" t="s">
        <v>34</v>
      </c>
      <c r="C36" s="3" t="s">
        <v>35</v>
      </c>
      <c r="D36" s="3" t="s">
        <v>36</v>
      </c>
      <c r="E36" s="3" t="s">
        <v>37</v>
      </c>
      <c r="F36" s="3" t="s">
        <v>38</v>
      </c>
      <c r="G36" s="3" t="s">
        <v>39</v>
      </c>
      <c r="H36" s="3" t="s">
        <v>40</v>
      </c>
      <c r="I36" s="3" t="s">
        <v>41</v>
      </c>
      <c r="J36" s="3" t="s">
        <v>42</v>
      </c>
      <c r="K36" s="3" t="s">
        <v>43</v>
      </c>
    </row>
    <row r="37" spans="1:11" s="21" customFormat="1" x14ac:dyDescent="0.25">
      <c r="A37" s="19" t="s">
        <v>44</v>
      </c>
      <c r="B37" s="19"/>
      <c r="C37" s="19"/>
      <c r="D37" s="19">
        <v>5</v>
      </c>
      <c r="E37" s="19">
        <v>4</v>
      </c>
      <c r="F37" s="19">
        <v>5</v>
      </c>
      <c r="G37" s="19">
        <v>5</v>
      </c>
      <c r="H37" s="19">
        <v>5</v>
      </c>
      <c r="I37" s="19">
        <v>5</v>
      </c>
      <c r="J37" s="19">
        <v>4</v>
      </c>
      <c r="K37" s="19">
        <v>4</v>
      </c>
    </row>
    <row r="38" spans="1:11" x14ac:dyDescent="0.3">
      <c r="A38" s="4" t="s">
        <v>61</v>
      </c>
      <c r="B38" s="4"/>
      <c r="C38" s="14"/>
      <c r="D38" s="16">
        <f>2/D37</f>
        <v>0.4</v>
      </c>
      <c r="E38" s="16">
        <f>2/E37</f>
        <v>0.5</v>
      </c>
      <c r="F38" s="16">
        <f>1/F37</f>
        <v>0.2</v>
      </c>
      <c r="G38" s="16">
        <f>2/G37</f>
        <v>0.4</v>
      </c>
      <c r="H38" s="16">
        <f>1/H37</f>
        <v>0.2</v>
      </c>
      <c r="I38" s="16">
        <f>2/I37</f>
        <v>0.4</v>
      </c>
      <c r="J38" s="16">
        <f>1/J37</f>
        <v>0.25</v>
      </c>
      <c r="K38" s="16">
        <f>1/K37</f>
        <v>0.25</v>
      </c>
    </row>
    <row r="39" spans="1:11" x14ac:dyDescent="0.3">
      <c r="A39" s="4" t="s">
        <v>62</v>
      </c>
      <c r="B39" s="14"/>
      <c r="C39" s="4"/>
      <c r="D39" s="16">
        <f>1/D37</f>
        <v>0.2</v>
      </c>
      <c r="E39" s="16"/>
      <c r="F39" s="16"/>
      <c r="G39" s="16">
        <f>1/G37</f>
        <v>0.2</v>
      </c>
      <c r="H39" s="16">
        <f>1/H37</f>
        <v>0.2</v>
      </c>
      <c r="I39" s="16">
        <f>1/I37</f>
        <v>0.2</v>
      </c>
      <c r="J39" s="16">
        <f>1/J37</f>
        <v>0.25</v>
      </c>
      <c r="K39" s="16">
        <f>1/K37</f>
        <v>0.25</v>
      </c>
    </row>
    <row r="40" spans="1:11" x14ac:dyDescent="0.3">
      <c r="A40" s="4" t="s">
        <v>63</v>
      </c>
      <c r="B40" s="4"/>
      <c r="C40" s="14"/>
      <c r="D40" s="16">
        <f>1/D37</f>
        <v>0.2</v>
      </c>
      <c r="E40" s="16">
        <f>1/E37</f>
        <v>0.25</v>
      </c>
      <c r="F40" s="16">
        <f>3/F37</f>
        <v>0.6</v>
      </c>
      <c r="G40" s="16">
        <f>1/G37</f>
        <v>0.2</v>
      </c>
      <c r="H40" s="16">
        <f>2/H37</f>
        <v>0.4</v>
      </c>
      <c r="I40" s="16">
        <f>1/I37</f>
        <v>0.2</v>
      </c>
      <c r="J40" s="16">
        <f>1/J37</f>
        <v>0.25</v>
      </c>
      <c r="K40" s="16">
        <f>1/K37</f>
        <v>0.25</v>
      </c>
    </row>
    <row r="41" spans="1:11" x14ac:dyDescent="0.3">
      <c r="A41" s="4" t="s">
        <v>64</v>
      </c>
      <c r="B41" s="4"/>
      <c r="C41" s="4"/>
      <c r="D41" s="16">
        <f t="shared" ref="D41:K41" si="4">1/D37</f>
        <v>0.2</v>
      </c>
      <c r="E41" s="16">
        <f t="shared" si="4"/>
        <v>0.25</v>
      </c>
      <c r="F41" s="16">
        <f t="shared" si="4"/>
        <v>0.2</v>
      </c>
      <c r="G41" s="16">
        <f t="shared" si="4"/>
        <v>0.2</v>
      </c>
      <c r="H41" s="16">
        <f t="shared" si="4"/>
        <v>0.2</v>
      </c>
      <c r="I41" s="16">
        <f t="shared" si="4"/>
        <v>0.2</v>
      </c>
      <c r="J41" s="16">
        <f t="shared" si="4"/>
        <v>0.25</v>
      </c>
      <c r="K41" s="16">
        <f t="shared" si="4"/>
        <v>0.25</v>
      </c>
    </row>
    <row r="42" spans="1:11" x14ac:dyDescent="0.3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3">
      <c r="A43" s="2" t="s">
        <v>2</v>
      </c>
      <c r="C43" s="8"/>
    </row>
    <row r="44" spans="1:11" x14ac:dyDescent="0.3">
      <c r="A44" s="4" t="s">
        <v>70</v>
      </c>
      <c r="B44" s="4"/>
      <c r="C44" s="10"/>
      <c r="D44" s="16"/>
      <c r="E44" s="16"/>
      <c r="F44" s="16">
        <f>1/F37</f>
        <v>0.2</v>
      </c>
      <c r="G44" s="16"/>
      <c r="H44" s="16"/>
      <c r="I44" s="16"/>
      <c r="J44" s="16"/>
      <c r="K44" s="16"/>
    </row>
    <row r="45" spans="1:11" x14ac:dyDescent="0.3">
      <c r="A45" s="4" t="s">
        <v>66</v>
      </c>
      <c r="B45" s="4"/>
      <c r="C45" s="10"/>
      <c r="D45" s="16">
        <f>2/D37</f>
        <v>0.4</v>
      </c>
      <c r="E45" s="16"/>
      <c r="F45" s="16">
        <f>3/F37</f>
        <v>0.6</v>
      </c>
      <c r="G45" s="16">
        <f>2.5/G37</f>
        <v>0.5</v>
      </c>
      <c r="H45" s="16">
        <f>2.5/H37</f>
        <v>0.5</v>
      </c>
      <c r="I45" s="16"/>
      <c r="J45" s="16"/>
      <c r="K45" s="16"/>
    </row>
    <row r="46" spans="1:11" x14ac:dyDescent="0.3">
      <c r="A46" s="4" t="s">
        <v>67</v>
      </c>
      <c r="B46" s="4"/>
      <c r="C46" s="10"/>
      <c r="D46" s="16">
        <f>2/D37</f>
        <v>0.4</v>
      </c>
      <c r="E46" s="16">
        <f>2/E37</f>
        <v>0.5</v>
      </c>
      <c r="F46" s="16"/>
      <c r="G46" s="16">
        <f>1.5/G37</f>
        <v>0.3</v>
      </c>
      <c r="H46" s="16">
        <f>0.5/H37</f>
        <v>0.1</v>
      </c>
      <c r="I46" s="16">
        <f>0.5/I37</f>
        <v>0.1</v>
      </c>
      <c r="J46" s="16">
        <f>1/J37</f>
        <v>0.25</v>
      </c>
      <c r="K46" s="16">
        <f>1/K37</f>
        <v>0.25</v>
      </c>
    </row>
    <row r="47" spans="1:11" x14ac:dyDescent="0.3">
      <c r="A47" s="4" t="s">
        <v>68</v>
      </c>
      <c r="B47" s="4"/>
      <c r="C47" s="10"/>
      <c r="D47" s="16">
        <f>1/D37</f>
        <v>0.2</v>
      </c>
      <c r="E47" s="16"/>
      <c r="F47" s="16"/>
      <c r="G47" s="16">
        <f>1/G37</f>
        <v>0.2</v>
      </c>
      <c r="H47" s="16"/>
      <c r="I47" s="16">
        <f>1.5/I37</f>
        <v>0.3</v>
      </c>
      <c r="J47" s="16">
        <f>1/J37</f>
        <v>0.25</v>
      </c>
      <c r="K47" s="16"/>
    </row>
    <row r="48" spans="1:11" x14ac:dyDescent="0.3">
      <c r="A48" s="4" t="s">
        <v>69</v>
      </c>
      <c r="B48" s="4"/>
      <c r="C48" s="10"/>
      <c r="D48" s="16"/>
      <c r="E48" s="16">
        <f>2/E37</f>
        <v>0.5</v>
      </c>
      <c r="F48" s="16">
        <f>1/F37</f>
        <v>0.2</v>
      </c>
      <c r="G48" s="16"/>
      <c r="H48" s="16">
        <f>2/H37</f>
        <v>0.4</v>
      </c>
      <c r="I48" s="16">
        <f>3/I37</f>
        <v>0.6</v>
      </c>
      <c r="J48" s="16">
        <f>2/J37</f>
        <v>0.5</v>
      </c>
      <c r="K48" s="16">
        <f>3/K37</f>
        <v>0.75</v>
      </c>
    </row>
    <row r="49" spans="2:11" x14ac:dyDescent="0.3">
      <c r="B49" s="7"/>
      <c r="C49" s="7"/>
      <c r="D49" s="7"/>
      <c r="E49" s="7"/>
      <c r="F49" s="7"/>
      <c r="G49" s="7"/>
      <c r="H49" s="7"/>
      <c r="I49" s="7"/>
      <c r="J49" s="7"/>
      <c r="K49" s="7"/>
    </row>
  </sheetData>
  <mergeCells count="1">
    <mergeCell ref="J1:K1"/>
  </mergeCells>
  <printOptions horizontalCentered="1" verticalCentered="1"/>
  <pageMargins left="0.25" right="0.25" top="0.75" bottom="0.5" header="0.5" footer="0.5"/>
  <pageSetup orientation="portrait" horizontalDpi="4294967292" verticalDpi="4294967292" r:id="rId1"/>
  <headerFooter alignWithMargins="0">
    <oddHeader>&amp;L&amp;C&amp;"Arial,Bold"&amp;12Kansas Mathematics Assessment Framework Summary&amp;R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view="pageBreakPreview" zoomScaleNormal="90" workbookViewId="0">
      <selection sqref="A1:J1"/>
    </sheetView>
  </sheetViews>
  <sheetFormatPr defaultColWidth="12" defaultRowHeight="11.5" x14ac:dyDescent="0.25"/>
  <cols>
    <col min="1" max="1" width="11.44140625" style="26" customWidth="1"/>
    <col min="2" max="2" width="19.33203125" style="26" customWidth="1"/>
    <col min="3" max="3" width="11.33203125" style="26" customWidth="1"/>
    <col min="4" max="4" width="11.6640625" style="26" customWidth="1"/>
    <col min="5" max="9" width="11" style="26" customWidth="1"/>
    <col min="10" max="10" width="8.77734375" style="26" customWidth="1"/>
    <col min="11" max="11" width="6" style="26" customWidth="1"/>
    <col min="12" max="12" width="45.33203125" style="27" customWidth="1"/>
    <col min="13" max="16384" width="12" style="27"/>
  </cols>
  <sheetData>
    <row r="1" spans="1:11" ht="13" x14ac:dyDescent="0.3">
      <c r="A1" s="121" t="s">
        <v>103</v>
      </c>
      <c r="B1" s="122"/>
      <c r="C1" s="122"/>
      <c r="D1" s="122"/>
      <c r="E1" s="122"/>
      <c r="F1" s="122"/>
      <c r="G1" s="122"/>
      <c r="H1" s="122"/>
      <c r="I1" s="122"/>
      <c r="J1" s="122"/>
    </row>
    <row r="2" spans="1:11" ht="15" customHeight="1" x14ac:dyDescent="0.25">
      <c r="A2" s="116" t="s">
        <v>88</v>
      </c>
      <c r="B2" s="116"/>
      <c r="C2" s="116"/>
      <c r="D2" s="116"/>
      <c r="J2" s="28">
        <v>36383</v>
      </c>
    </row>
    <row r="3" spans="1:11" s="31" customFormat="1" ht="28.5" customHeight="1" x14ac:dyDescent="0.25">
      <c r="A3" s="29" t="s">
        <v>71</v>
      </c>
      <c r="B3" s="30" t="s">
        <v>72</v>
      </c>
      <c r="C3" s="29" t="s">
        <v>60</v>
      </c>
      <c r="D3" s="29" t="s">
        <v>90</v>
      </c>
      <c r="E3" s="29" t="s">
        <v>28</v>
      </c>
      <c r="F3" s="29" t="s">
        <v>32</v>
      </c>
      <c r="G3" s="29" t="s">
        <v>29</v>
      </c>
      <c r="H3" s="29" t="s">
        <v>30</v>
      </c>
      <c r="I3" s="29" t="s">
        <v>31</v>
      </c>
      <c r="J3" s="29" t="s">
        <v>27</v>
      </c>
    </row>
    <row r="4" spans="1:11" x14ac:dyDescent="0.25">
      <c r="A4" s="32" t="s">
        <v>79</v>
      </c>
      <c r="B4" s="32" t="s">
        <v>81</v>
      </c>
      <c r="C4" s="32" t="s">
        <v>10</v>
      </c>
      <c r="D4" s="33"/>
      <c r="E4" s="32" t="s">
        <v>19</v>
      </c>
      <c r="F4" s="32" t="s">
        <v>18</v>
      </c>
      <c r="G4" s="32" t="s">
        <v>19</v>
      </c>
      <c r="H4" s="33"/>
      <c r="I4" s="33"/>
      <c r="J4" s="32">
        <v>3</v>
      </c>
    </row>
    <row r="5" spans="1:11" s="31" customFormat="1" x14ac:dyDescent="0.25">
      <c r="A5" s="32" t="s">
        <v>79</v>
      </c>
      <c r="B5" s="32" t="s">
        <v>81</v>
      </c>
      <c r="C5" s="32">
        <v>5</v>
      </c>
      <c r="D5" s="33"/>
      <c r="E5" s="32" t="s">
        <v>19</v>
      </c>
      <c r="F5" s="32" t="s">
        <v>19</v>
      </c>
      <c r="G5" s="32" t="s">
        <v>19</v>
      </c>
      <c r="H5" s="32"/>
      <c r="I5" s="32"/>
      <c r="J5" s="32">
        <v>3</v>
      </c>
      <c r="K5" s="34"/>
    </row>
    <row r="6" spans="1:11" x14ac:dyDescent="0.25">
      <c r="A6" s="32" t="s">
        <v>79</v>
      </c>
      <c r="B6" s="32" t="s">
        <v>89</v>
      </c>
      <c r="C6" s="32">
        <v>2</v>
      </c>
      <c r="D6" s="32"/>
      <c r="E6" s="32" t="s">
        <v>19</v>
      </c>
      <c r="F6" s="32" t="s">
        <v>18</v>
      </c>
      <c r="G6" s="32" t="s">
        <v>19</v>
      </c>
      <c r="H6" s="32"/>
      <c r="I6" s="32"/>
      <c r="J6" s="32">
        <v>3</v>
      </c>
      <c r="K6" s="35"/>
    </row>
    <row r="7" spans="1:11" x14ac:dyDescent="0.25">
      <c r="A7" s="32" t="s">
        <v>79</v>
      </c>
      <c r="B7" s="32" t="s">
        <v>89</v>
      </c>
      <c r="C7" s="32">
        <v>4</v>
      </c>
      <c r="D7" s="32"/>
      <c r="E7" s="32" t="s">
        <v>19</v>
      </c>
      <c r="F7" s="36" t="s">
        <v>16</v>
      </c>
      <c r="G7" s="36"/>
      <c r="H7" s="32"/>
      <c r="I7" s="32"/>
      <c r="J7" s="32">
        <v>3</v>
      </c>
      <c r="K7" s="35"/>
    </row>
    <row r="8" spans="1:11" s="23" customFormat="1" x14ac:dyDescent="0.25">
      <c r="A8" s="36" t="s">
        <v>79</v>
      </c>
      <c r="B8" s="36" t="s">
        <v>82</v>
      </c>
      <c r="C8" s="36" t="s">
        <v>92</v>
      </c>
      <c r="D8" s="36"/>
      <c r="E8" s="36"/>
      <c r="F8" s="36" t="s">
        <v>19</v>
      </c>
      <c r="G8" s="36" t="s">
        <v>19</v>
      </c>
      <c r="H8" s="36"/>
      <c r="I8" s="36"/>
      <c r="J8" s="36">
        <v>2</v>
      </c>
    </row>
    <row r="9" spans="1:11" s="23" customFormat="1" x14ac:dyDescent="0.25">
      <c r="A9" s="24"/>
      <c r="B9" s="25"/>
      <c r="C9" s="36" t="s">
        <v>93</v>
      </c>
      <c r="D9" s="36"/>
      <c r="E9" s="36"/>
      <c r="F9" s="36" t="s">
        <v>19</v>
      </c>
      <c r="G9" s="36"/>
      <c r="H9" s="36"/>
      <c r="I9" s="36"/>
      <c r="J9" s="36">
        <v>1</v>
      </c>
    </row>
    <row r="10" spans="1:11" x14ac:dyDescent="0.25">
      <c r="A10" s="32" t="s">
        <v>79</v>
      </c>
      <c r="B10" s="36" t="s">
        <v>82</v>
      </c>
      <c r="C10" s="32">
        <v>8</v>
      </c>
      <c r="D10" s="32"/>
      <c r="E10" s="36" t="s">
        <v>16</v>
      </c>
      <c r="F10" s="36"/>
      <c r="G10" s="36" t="s">
        <v>19</v>
      </c>
      <c r="H10" s="36"/>
      <c r="I10" s="32"/>
      <c r="J10" s="32">
        <v>3</v>
      </c>
    </row>
    <row r="11" spans="1:11" x14ac:dyDescent="0.25">
      <c r="A11" s="37"/>
      <c r="B11" s="25"/>
      <c r="C11" s="37"/>
      <c r="D11" s="37"/>
      <c r="E11" s="25"/>
      <c r="F11" s="25"/>
      <c r="G11" s="25"/>
      <c r="H11" s="25"/>
      <c r="I11" s="37"/>
      <c r="J11" s="37">
        <f>SUM(J4:J10)</f>
        <v>18</v>
      </c>
    </row>
    <row r="12" spans="1:11" s="5" customFormat="1" x14ac:dyDescent="0.25">
      <c r="A12" s="38"/>
      <c r="B12" s="39"/>
      <c r="D12" s="40" t="s">
        <v>5</v>
      </c>
      <c r="E12" s="41">
        <f>J11/J35</f>
        <v>0.46153846153846156</v>
      </c>
      <c r="F12" s="42" t="s">
        <v>65</v>
      </c>
      <c r="G12" s="42" t="s">
        <v>65</v>
      </c>
      <c r="H12" s="42" t="s">
        <v>65</v>
      </c>
      <c r="I12" s="38" t="s">
        <v>65</v>
      </c>
      <c r="J12" s="38" t="s">
        <v>65</v>
      </c>
      <c r="K12" s="34"/>
    </row>
    <row r="13" spans="1:11" ht="6" customHeight="1" x14ac:dyDescent="0.25">
      <c r="E13" s="43"/>
      <c r="F13" s="43"/>
      <c r="G13" s="43"/>
      <c r="H13" s="43"/>
    </row>
    <row r="14" spans="1:11" s="23" customFormat="1" x14ac:dyDescent="0.25">
      <c r="A14" s="36" t="s">
        <v>80</v>
      </c>
      <c r="B14" s="24" t="s">
        <v>94</v>
      </c>
      <c r="C14" s="36" t="s">
        <v>9</v>
      </c>
      <c r="D14" s="36"/>
      <c r="E14" s="36"/>
      <c r="F14" s="36"/>
      <c r="G14" s="36"/>
      <c r="H14" s="36" t="s">
        <v>18</v>
      </c>
      <c r="I14" s="36"/>
      <c r="J14" s="36">
        <v>1</v>
      </c>
    </row>
    <row r="15" spans="1:11" s="23" customFormat="1" x14ac:dyDescent="0.25">
      <c r="A15" s="25"/>
      <c r="B15" s="25"/>
      <c r="C15" s="36"/>
      <c r="D15" s="36"/>
      <c r="E15" s="36"/>
      <c r="F15" s="36"/>
      <c r="G15" s="36"/>
      <c r="H15" s="36" t="s">
        <v>20</v>
      </c>
      <c r="I15" s="36"/>
      <c r="J15" s="36">
        <v>1</v>
      </c>
    </row>
    <row r="16" spans="1:11" s="23" customFormat="1" x14ac:dyDescent="0.25">
      <c r="A16" s="25"/>
      <c r="B16" s="25"/>
      <c r="C16" s="36"/>
      <c r="D16" s="36"/>
      <c r="E16" s="36"/>
      <c r="F16" s="36"/>
      <c r="G16" s="36"/>
      <c r="H16" s="36" t="s">
        <v>21</v>
      </c>
      <c r="I16" s="36"/>
      <c r="J16" s="36">
        <v>1</v>
      </c>
    </row>
    <row r="17" spans="1:10" s="5" customFormat="1" x14ac:dyDescent="0.25">
      <c r="A17" s="38"/>
      <c r="B17" s="38"/>
      <c r="C17" s="40"/>
      <c r="D17" s="40"/>
      <c r="E17" s="42"/>
      <c r="F17" s="42"/>
      <c r="G17" s="42"/>
      <c r="H17" s="42"/>
      <c r="I17" s="38" t="s">
        <v>65</v>
      </c>
      <c r="J17" s="38">
        <f>SUM(J14:J16)</f>
        <v>3</v>
      </c>
    </row>
    <row r="18" spans="1:10" s="5" customFormat="1" x14ac:dyDescent="0.25">
      <c r="A18" s="38"/>
      <c r="B18" s="38"/>
      <c r="C18" s="40"/>
      <c r="D18" s="40" t="s">
        <v>4</v>
      </c>
      <c r="E18" s="41">
        <f>J17/J35</f>
        <v>7.6923076923076927E-2</v>
      </c>
      <c r="F18" s="42"/>
      <c r="G18" s="42"/>
      <c r="H18" s="42"/>
      <c r="I18" s="38"/>
      <c r="J18" s="38"/>
    </row>
    <row r="19" spans="1:10" ht="6" customHeight="1" x14ac:dyDescent="0.25">
      <c r="E19" s="43"/>
      <c r="F19" s="43"/>
      <c r="G19" s="43"/>
      <c r="H19" s="43"/>
    </row>
    <row r="20" spans="1:10" x14ac:dyDescent="0.25">
      <c r="A20" s="32" t="s">
        <v>83</v>
      </c>
      <c r="B20" s="32" t="s">
        <v>84</v>
      </c>
      <c r="C20" s="32" t="s">
        <v>8</v>
      </c>
      <c r="D20" s="32"/>
      <c r="E20" s="36" t="s">
        <v>19</v>
      </c>
      <c r="F20" s="36"/>
      <c r="G20" s="36" t="s">
        <v>17</v>
      </c>
      <c r="H20" s="36"/>
      <c r="I20" s="32"/>
      <c r="J20" s="32">
        <v>3</v>
      </c>
    </row>
    <row r="21" spans="1:10" x14ac:dyDescent="0.25">
      <c r="A21" s="32" t="s">
        <v>83</v>
      </c>
      <c r="B21" s="32" t="s">
        <v>84</v>
      </c>
      <c r="C21" s="33"/>
      <c r="D21" s="32" t="s">
        <v>95</v>
      </c>
      <c r="E21" s="36" t="s">
        <v>17</v>
      </c>
      <c r="F21" s="36"/>
      <c r="G21" s="36" t="s">
        <v>19</v>
      </c>
      <c r="H21" s="36"/>
      <c r="I21" s="32"/>
      <c r="J21" s="32">
        <v>3</v>
      </c>
    </row>
    <row r="22" spans="1:10" x14ac:dyDescent="0.25">
      <c r="A22" s="32" t="s">
        <v>83</v>
      </c>
      <c r="B22" s="32" t="s">
        <v>87</v>
      </c>
      <c r="C22" s="32">
        <v>2</v>
      </c>
      <c r="D22" s="32"/>
      <c r="E22" s="36" t="s">
        <v>20</v>
      </c>
      <c r="F22" s="36" t="s">
        <v>19</v>
      </c>
      <c r="G22" s="36" t="s">
        <v>19</v>
      </c>
      <c r="H22" s="36"/>
      <c r="I22" s="32"/>
      <c r="J22" s="32">
        <v>3</v>
      </c>
    </row>
    <row r="23" spans="1:10" x14ac:dyDescent="0.25">
      <c r="A23" s="32" t="s">
        <v>83</v>
      </c>
      <c r="B23" s="32" t="s">
        <v>87</v>
      </c>
      <c r="C23" s="32" t="s">
        <v>96</v>
      </c>
      <c r="D23" s="32"/>
      <c r="E23" s="36" t="s">
        <v>19</v>
      </c>
      <c r="F23" s="36" t="s">
        <v>20</v>
      </c>
      <c r="G23" s="36" t="s">
        <v>19</v>
      </c>
      <c r="H23" s="36"/>
      <c r="I23" s="32"/>
      <c r="J23" s="32">
        <v>3</v>
      </c>
    </row>
    <row r="24" spans="1:10" s="5" customFormat="1" x14ac:dyDescent="0.25">
      <c r="A24" s="38"/>
      <c r="B24" s="38"/>
      <c r="C24" s="40"/>
      <c r="D24" s="40"/>
      <c r="E24" s="42" t="s">
        <v>65</v>
      </c>
      <c r="F24" s="42" t="s">
        <v>65</v>
      </c>
      <c r="G24" s="42" t="s">
        <v>65</v>
      </c>
      <c r="H24" s="42" t="s">
        <v>65</v>
      </c>
      <c r="I24" s="38" t="s">
        <v>65</v>
      </c>
      <c r="J24" s="38">
        <f>SUM(J20:J23)</f>
        <v>12</v>
      </c>
    </row>
    <row r="25" spans="1:10" s="5" customFormat="1" x14ac:dyDescent="0.25">
      <c r="A25" s="38"/>
      <c r="B25" s="38"/>
      <c r="C25" s="40"/>
      <c r="D25" s="40" t="s">
        <v>6</v>
      </c>
      <c r="E25" s="41">
        <f>J24/J35</f>
        <v>0.30769230769230771</v>
      </c>
      <c r="F25" s="42"/>
      <c r="G25" s="42"/>
      <c r="H25" s="42"/>
      <c r="I25" s="38"/>
      <c r="J25" s="38"/>
    </row>
    <row r="26" spans="1:10" ht="6" customHeight="1" x14ac:dyDescent="0.25">
      <c r="A26" s="44"/>
      <c r="B26" s="44"/>
      <c r="C26" s="44"/>
      <c r="D26" s="44"/>
      <c r="E26" s="45"/>
      <c r="F26" s="45"/>
      <c r="G26" s="45"/>
      <c r="H26" s="45"/>
      <c r="I26" s="44"/>
      <c r="J26" s="44"/>
    </row>
    <row r="27" spans="1:10" x14ac:dyDescent="0.25">
      <c r="A27" s="32" t="s">
        <v>85</v>
      </c>
      <c r="B27" s="46" t="s">
        <v>86</v>
      </c>
      <c r="C27" s="32" t="s">
        <v>76</v>
      </c>
      <c r="D27" s="32"/>
      <c r="E27" s="36"/>
      <c r="F27" s="36" t="s">
        <v>23</v>
      </c>
      <c r="G27" s="36"/>
      <c r="H27" s="36"/>
      <c r="I27" s="32"/>
      <c r="J27" s="32">
        <v>1</v>
      </c>
    </row>
    <row r="28" spans="1:10" x14ac:dyDescent="0.25">
      <c r="A28" s="37"/>
      <c r="B28" s="25"/>
      <c r="C28" s="32" t="s">
        <v>77</v>
      </c>
      <c r="D28" s="32"/>
      <c r="E28" s="36"/>
      <c r="F28" s="36" t="s">
        <v>23</v>
      </c>
      <c r="G28" s="36"/>
      <c r="H28" s="36"/>
      <c r="I28" s="32"/>
      <c r="J28" s="32">
        <v>1</v>
      </c>
    </row>
    <row r="29" spans="1:10" x14ac:dyDescent="0.25">
      <c r="A29" s="25"/>
      <c r="B29" s="25"/>
      <c r="C29" s="112" t="s">
        <v>97</v>
      </c>
      <c r="D29" s="32"/>
      <c r="E29" s="36"/>
      <c r="F29" s="36"/>
      <c r="G29" s="36"/>
      <c r="H29" s="36"/>
      <c r="I29" s="32"/>
      <c r="J29" s="32"/>
    </row>
    <row r="30" spans="1:10" x14ac:dyDescent="0.25">
      <c r="A30" s="25"/>
      <c r="B30" s="25"/>
      <c r="C30" s="32" t="s">
        <v>98</v>
      </c>
      <c r="D30" s="32"/>
      <c r="E30" s="36"/>
      <c r="F30" s="36" t="s">
        <v>22</v>
      </c>
      <c r="G30" s="36"/>
      <c r="H30" s="36"/>
      <c r="I30" s="32"/>
      <c r="J30" s="32">
        <v>1</v>
      </c>
    </row>
    <row r="31" spans="1:10" x14ac:dyDescent="0.25">
      <c r="A31" s="32" t="s">
        <v>85</v>
      </c>
      <c r="B31" s="47" t="s">
        <v>86</v>
      </c>
      <c r="C31" s="33"/>
      <c r="D31" s="32" t="s">
        <v>99</v>
      </c>
      <c r="E31" s="32"/>
      <c r="F31" s="32" t="s">
        <v>24</v>
      </c>
      <c r="G31" s="32" t="s">
        <v>18</v>
      </c>
      <c r="H31" s="32"/>
      <c r="I31" s="32"/>
      <c r="J31" s="32">
        <v>3</v>
      </c>
    </row>
    <row r="32" spans="1:10" s="5" customFormat="1" x14ac:dyDescent="0.25">
      <c r="A32" s="48"/>
      <c r="B32" s="48"/>
      <c r="C32" s="49"/>
      <c r="D32" s="49"/>
      <c r="E32" s="48" t="s">
        <v>65</v>
      </c>
      <c r="F32" s="48" t="s">
        <v>65</v>
      </c>
      <c r="G32" s="48" t="s">
        <v>65</v>
      </c>
      <c r="H32" s="48" t="s">
        <v>65</v>
      </c>
      <c r="I32" s="48" t="s">
        <v>65</v>
      </c>
      <c r="J32" s="38">
        <f>SUM(J27:J31)</f>
        <v>6</v>
      </c>
    </row>
    <row r="33" spans="1:16" s="5" customFormat="1" x14ac:dyDescent="0.25">
      <c r="A33" s="48"/>
      <c r="B33" s="48"/>
      <c r="C33" s="49"/>
      <c r="D33" s="49" t="s">
        <v>7</v>
      </c>
      <c r="E33" s="50">
        <f>J32/J35</f>
        <v>0.15384615384615385</v>
      </c>
      <c r="F33" s="48"/>
      <c r="G33" s="48"/>
      <c r="H33" s="48"/>
      <c r="I33" s="48"/>
      <c r="J33" s="38"/>
    </row>
    <row r="34" spans="1:16" s="5" customFormat="1" ht="6" customHeight="1" x14ac:dyDescent="0.25">
      <c r="A34" s="48"/>
      <c r="B34" s="48"/>
      <c r="C34" s="49"/>
      <c r="D34" s="49"/>
      <c r="E34" s="48"/>
      <c r="F34" s="48"/>
      <c r="G34" s="48"/>
      <c r="H34" s="48"/>
      <c r="I34" s="48"/>
      <c r="J34" s="38"/>
    </row>
    <row r="35" spans="1:16" s="5" customFormat="1" ht="12.75" customHeight="1" x14ac:dyDescent="0.25">
      <c r="A35" s="48"/>
      <c r="B35" s="48"/>
      <c r="C35" s="49"/>
      <c r="D35" s="49"/>
      <c r="E35" s="48"/>
      <c r="F35" s="48"/>
      <c r="G35" s="48"/>
      <c r="H35" s="48"/>
      <c r="I35" s="49" t="s">
        <v>111</v>
      </c>
      <c r="J35" s="48">
        <f>J11+J17+J24+J32</f>
        <v>39</v>
      </c>
    </row>
    <row r="36" spans="1:16" s="5" customFormat="1" x14ac:dyDescent="0.25">
      <c r="A36" s="48"/>
      <c r="C36" s="40" t="s">
        <v>109</v>
      </c>
      <c r="D36" s="34">
        <f>(J35-(J21+J31))/J35</f>
        <v>0.84615384615384615</v>
      </c>
      <c r="F36" s="48"/>
      <c r="G36" s="50"/>
      <c r="H36" s="50"/>
      <c r="K36" s="50"/>
    </row>
    <row r="37" spans="1:16" x14ac:dyDescent="0.25">
      <c r="C37" s="40" t="s">
        <v>110</v>
      </c>
      <c r="D37" s="34">
        <f>(J21+J31)/J35</f>
        <v>0.15384615384615385</v>
      </c>
      <c r="I37" s="51"/>
    </row>
    <row r="38" spans="1:16" ht="6" customHeight="1" x14ac:dyDescent="0.25">
      <c r="C38" s="40"/>
      <c r="D38" s="34"/>
      <c r="I38" s="51"/>
    </row>
    <row r="39" spans="1:16" x14ac:dyDescent="0.25">
      <c r="A39" s="118" t="s">
        <v>78</v>
      </c>
      <c r="B39" s="118"/>
      <c r="C39" s="118"/>
      <c r="D39" s="118"/>
      <c r="E39" s="44"/>
      <c r="F39" s="44"/>
      <c r="G39" s="44"/>
      <c r="H39" s="44"/>
      <c r="L39" s="52" t="s">
        <v>65</v>
      </c>
      <c r="M39" s="119"/>
      <c r="N39" s="120"/>
      <c r="O39" s="120"/>
      <c r="P39" s="120"/>
    </row>
    <row r="40" spans="1:16" ht="23" x14ac:dyDescent="0.25">
      <c r="A40" s="53" t="s">
        <v>71</v>
      </c>
      <c r="B40" s="54" t="s">
        <v>72</v>
      </c>
      <c r="C40" s="54" t="s">
        <v>25</v>
      </c>
      <c r="D40" s="55" t="s">
        <v>104</v>
      </c>
      <c r="E40" s="55" t="s">
        <v>105</v>
      </c>
      <c r="F40" s="56" t="s">
        <v>106</v>
      </c>
      <c r="G40" s="56" t="s">
        <v>107</v>
      </c>
      <c r="H40" s="55" t="s">
        <v>108</v>
      </c>
      <c r="I40" s="32" t="s">
        <v>115</v>
      </c>
      <c r="M40" s="57"/>
      <c r="N40" s="35"/>
      <c r="O40" s="35"/>
      <c r="P40" s="58"/>
    </row>
    <row r="41" spans="1:16" ht="12.75" customHeight="1" x14ac:dyDescent="0.25">
      <c r="A41" s="59" t="s">
        <v>91</v>
      </c>
      <c r="B41" s="32" t="s">
        <v>81</v>
      </c>
      <c r="C41" s="60" t="s">
        <v>59</v>
      </c>
      <c r="D41" s="61"/>
      <c r="E41" s="61"/>
      <c r="F41" s="62" t="s">
        <v>19</v>
      </c>
      <c r="G41" s="63"/>
      <c r="H41" s="64"/>
      <c r="I41" s="59" t="s">
        <v>116</v>
      </c>
      <c r="J41" s="65" t="s">
        <v>65</v>
      </c>
      <c r="M41" s="57"/>
      <c r="N41" s="35"/>
      <c r="O41" s="35"/>
      <c r="P41" s="58"/>
    </row>
    <row r="42" spans="1:16" ht="12.75" customHeight="1" x14ac:dyDescent="0.25">
      <c r="A42" s="66"/>
      <c r="B42" s="67"/>
      <c r="C42" s="68" t="s">
        <v>112</v>
      </c>
      <c r="D42" s="69"/>
      <c r="E42" s="69"/>
      <c r="F42" s="70"/>
      <c r="G42" s="71"/>
      <c r="H42" s="72"/>
      <c r="I42" s="73"/>
      <c r="J42" s="74"/>
      <c r="M42" s="57"/>
      <c r="N42" s="35"/>
      <c r="O42" s="35"/>
      <c r="P42" s="58"/>
    </row>
    <row r="43" spans="1:16" ht="12.75" customHeight="1" x14ac:dyDescent="0.25">
      <c r="A43" s="32" t="s">
        <v>91</v>
      </c>
      <c r="B43" s="36" t="s">
        <v>82</v>
      </c>
      <c r="C43" s="75" t="s">
        <v>100</v>
      </c>
      <c r="D43" s="76" t="s">
        <v>65</v>
      </c>
      <c r="E43" s="77"/>
      <c r="F43" s="75" t="s">
        <v>18</v>
      </c>
      <c r="G43" s="78"/>
      <c r="H43" s="79"/>
      <c r="I43" s="80" t="s">
        <v>116</v>
      </c>
      <c r="M43" s="57"/>
      <c r="N43" s="35"/>
      <c r="O43" s="35"/>
      <c r="P43" s="58"/>
    </row>
    <row r="44" spans="1:16" ht="12.75" customHeight="1" x14ac:dyDescent="0.25">
      <c r="A44" s="37"/>
      <c r="B44" s="81"/>
      <c r="C44" s="82" t="s">
        <v>126</v>
      </c>
      <c r="D44" s="83"/>
      <c r="E44" s="84"/>
      <c r="F44" s="85"/>
      <c r="G44" s="86"/>
      <c r="H44" s="87"/>
      <c r="I44" s="88"/>
      <c r="J44" s="65"/>
      <c r="M44" s="57"/>
      <c r="N44" s="35"/>
      <c r="O44" s="35"/>
      <c r="P44" s="58"/>
    </row>
    <row r="45" spans="1:16" ht="12.75" customHeight="1" x14ac:dyDescent="0.25">
      <c r="A45" s="37"/>
      <c r="B45" s="81"/>
      <c r="C45" s="115" t="s">
        <v>127</v>
      </c>
      <c r="D45" s="116"/>
      <c r="E45" s="116"/>
      <c r="F45" s="116"/>
      <c r="G45" s="116"/>
      <c r="H45" s="116"/>
      <c r="I45" s="117"/>
      <c r="J45" s="65"/>
      <c r="M45" s="57"/>
      <c r="N45" s="35"/>
      <c r="O45" s="35"/>
      <c r="P45" s="58"/>
    </row>
    <row r="46" spans="1:16" x14ac:dyDescent="0.25">
      <c r="A46" s="36" t="s">
        <v>80</v>
      </c>
      <c r="B46" s="66" t="s">
        <v>94</v>
      </c>
      <c r="C46" s="80" t="s">
        <v>58</v>
      </c>
      <c r="D46" s="80"/>
      <c r="E46" s="79"/>
      <c r="F46" s="78"/>
      <c r="G46" s="90" t="s">
        <v>20</v>
      </c>
      <c r="H46" s="79"/>
      <c r="I46" s="80" t="s">
        <v>116</v>
      </c>
      <c r="M46" s="57"/>
      <c r="N46" s="35"/>
      <c r="O46" s="35"/>
      <c r="P46" s="58"/>
    </row>
    <row r="47" spans="1:16" x14ac:dyDescent="0.25">
      <c r="A47" s="37"/>
      <c r="B47" s="37"/>
      <c r="C47" s="91" t="s">
        <v>113</v>
      </c>
      <c r="D47" s="32"/>
      <c r="E47" s="92"/>
      <c r="F47" s="72"/>
      <c r="G47" s="93"/>
      <c r="H47" s="72"/>
      <c r="I47" s="73"/>
      <c r="J47" s="65"/>
      <c r="M47" s="57"/>
      <c r="N47" s="35"/>
      <c r="O47" s="35"/>
      <c r="P47" s="58"/>
    </row>
    <row r="48" spans="1:16" x14ac:dyDescent="0.25">
      <c r="A48" s="32" t="s">
        <v>83</v>
      </c>
      <c r="B48" s="32" t="s">
        <v>84</v>
      </c>
      <c r="C48" s="94" t="s">
        <v>26</v>
      </c>
      <c r="D48" s="95"/>
      <c r="E48" s="94" t="s">
        <v>101</v>
      </c>
      <c r="F48" s="95"/>
      <c r="G48" s="95"/>
      <c r="H48" s="95"/>
      <c r="I48" s="94" t="s">
        <v>117</v>
      </c>
      <c r="M48" s="57"/>
      <c r="N48" s="35"/>
      <c r="O48" s="35"/>
      <c r="P48" s="58"/>
    </row>
    <row r="49" spans="1:16" x14ac:dyDescent="0.25">
      <c r="A49" s="96"/>
      <c r="B49" s="96"/>
      <c r="C49" s="97" t="s">
        <v>120</v>
      </c>
      <c r="D49" s="59"/>
      <c r="E49" s="98"/>
      <c r="F49" s="98"/>
      <c r="G49" s="98"/>
      <c r="H49" s="98"/>
      <c r="I49" s="59"/>
      <c r="J49" s="65" t="s">
        <v>65</v>
      </c>
      <c r="M49" s="57"/>
      <c r="N49" s="35"/>
      <c r="O49" s="35"/>
      <c r="P49" s="58"/>
    </row>
    <row r="50" spans="1:16" x14ac:dyDescent="0.25">
      <c r="A50" s="99"/>
      <c r="B50" s="89"/>
      <c r="C50" s="100" t="s">
        <v>119</v>
      </c>
      <c r="D50" s="99"/>
      <c r="E50" s="44"/>
      <c r="F50" s="44"/>
      <c r="G50" s="44"/>
      <c r="H50" s="44"/>
      <c r="I50" s="89"/>
      <c r="J50" s="65"/>
      <c r="M50" s="57"/>
      <c r="N50" s="35"/>
      <c r="O50" s="35"/>
      <c r="P50" s="58"/>
    </row>
    <row r="51" spans="1:16" s="105" customFormat="1" ht="12.75" customHeight="1" x14ac:dyDescent="0.25">
      <c r="A51" s="46" t="s">
        <v>85</v>
      </c>
      <c r="B51" s="46" t="s">
        <v>86</v>
      </c>
      <c r="C51" s="46" t="s">
        <v>102</v>
      </c>
      <c r="D51" s="95"/>
      <c r="E51" s="46" t="s">
        <v>22</v>
      </c>
      <c r="F51" s="101"/>
      <c r="G51" s="95"/>
      <c r="H51" s="102"/>
      <c r="I51" s="94" t="s">
        <v>117</v>
      </c>
      <c r="J51" s="26"/>
      <c r="K51" s="26"/>
      <c r="L51" s="27"/>
      <c r="M51" s="103"/>
      <c r="N51" s="38"/>
      <c r="O51" s="104"/>
      <c r="P51" s="104"/>
    </row>
    <row r="52" spans="1:16" s="5" customFormat="1" x14ac:dyDescent="0.25">
      <c r="A52" s="48"/>
      <c r="B52" s="48"/>
      <c r="C52" s="91" t="s">
        <v>114</v>
      </c>
      <c r="D52" s="106"/>
      <c r="E52" s="106"/>
      <c r="F52" s="106"/>
      <c r="G52" s="107"/>
      <c r="H52" s="93"/>
      <c r="I52" s="108"/>
    </row>
    <row r="54" spans="1:16" s="105" customFormat="1" x14ac:dyDescent="0.25">
      <c r="A54" s="49" t="s">
        <v>118</v>
      </c>
      <c r="B54" s="109" t="s">
        <v>122</v>
      </c>
      <c r="C54" s="48"/>
      <c r="D54" s="48"/>
      <c r="E54" s="48"/>
      <c r="F54" s="48"/>
      <c r="G54" s="48"/>
      <c r="H54" s="48"/>
      <c r="I54" s="48"/>
      <c r="J54" s="48"/>
      <c r="K54" s="5"/>
      <c r="L54" s="5"/>
    </row>
    <row r="55" spans="1:16" s="105" customFormat="1" x14ac:dyDescent="0.25">
      <c r="A55" s="48"/>
      <c r="B55" s="109" t="s">
        <v>121</v>
      </c>
      <c r="C55" s="48"/>
      <c r="D55" s="48"/>
      <c r="E55" s="48"/>
      <c r="F55" s="48"/>
      <c r="G55" s="48"/>
      <c r="H55" s="48"/>
      <c r="I55" s="48"/>
      <c r="J55" s="48"/>
      <c r="K55" s="5"/>
      <c r="L55" s="5"/>
    </row>
    <row r="56" spans="1:16" s="105" customFormat="1" x14ac:dyDescent="0.25">
      <c r="A56" s="48"/>
      <c r="B56" s="109" t="s">
        <v>123</v>
      </c>
      <c r="C56" s="48"/>
      <c r="D56" s="48"/>
      <c r="E56" s="48"/>
      <c r="F56" s="48"/>
      <c r="G56" s="48"/>
      <c r="H56" s="48"/>
      <c r="I56" s="48"/>
      <c r="J56" s="48"/>
      <c r="K56" s="5"/>
      <c r="L56" s="5"/>
    </row>
    <row r="57" spans="1:16" s="105" customFormat="1" x14ac:dyDescent="0.25">
      <c r="A57" s="26"/>
      <c r="B57" s="109"/>
      <c r="C57" s="48"/>
      <c r="D57" s="48"/>
      <c r="E57" s="48"/>
      <c r="F57" s="48"/>
      <c r="G57" s="48"/>
      <c r="H57" s="48"/>
      <c r="I57" s="48"/>
      <c r="J57" s="48"/>
      <c r="K57" s="5"/>
      <c r="L57" s="5"/>
    </row>
    <row r="58" spans="1:16" s="111" customFormat="1" x14ac:dyDescent="0.25">
      <c r="A58" s="26"/>
      <c r="B58" s="109" t="s">
        <v>125</v>
      </c>
      <c r="C58" s="48"/>
      <c r="D58" s="48"/>
      <c r="E58" s="48"/>
      <c r="F58" s="48"/>
      <c r="G58" s="48"/>
      <c r="H58" s="48"/>
      <c r="I58" s="48"/>
      <c r="J58" s="48"/>
      <c r="K58" s="110"/>
      <c r="L58" s="110"/>
    </row>
    <row r="59" spans="1:16" x14ac:dyDescent="0.25">
      <c r="B59" s="65" t="s">
        <v>124</v>
      </c>
    </row>
  </sheetData>
  <mergeCells count="5">
    <mergeCell ref="C45:I45"/>
    <mergeCell ref="A39:D39"/>
    <mergeCell ref="M39:P39"/>
    <mergeCell ref="A1:J1"/>
    <mergeCell ref="A2:D2"/>
  </mergeCells>
  <pageMargins left="0.5" right="0.25" top="0.5" bottom="0.5" header="0.5" footer="0.5"/>
  <pageSetup fitToHeight="0" orientation="portrait" r:id="rId1"/>
  <headerFooter alignWithMargins="0">
    <oddFooter>&amp;C&amp;"Arial,Regular"Page 4&amp;R&amp;"Arial,Regular"Grade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K-10</vt:lpstr>
      <vt:lpstr>Gr. 2</vt:lpstr>
      <vt:lpstr>'Gr. 2'!Print_Area</vt:lpstr>
    </vt:vector>
  </TitlesOfParts>
  <Company>Emporia USD #253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Abel</dc:creator>
  <cp:lastModifiedBy>Carina Negreanu</cp:lastModifiedBy>
  <cp:lastPrinted>2003-09-29T00:35:48Z</cp:lastPrinted>
  <dcterms:created xsi:type="dcterms:W3CDTF">2003-04-25T23:48:28Z</dcterms:created>
  <dcterms:modified xsi:type="dcterms:W3CDTF">2020-01-27T11:14:01Z</dcterms:modified>
</cp:coreProperties>
</file>