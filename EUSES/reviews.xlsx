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CA9640B-331C-4DEA-A495-8F264CBA5641}" xr6:coauthVersionLast="45" xr6:coauthVersionMax="45" xr10:uidLastSave="{00000000-0000-0000-0000-000000000000}"/>
  <bookViews>
    <workbookView xWindow="1520" yWindow="1520" windowWidth="28800" windowHeight="15460"/>
  </bookViews>
  <sheets>
    <sheet name="SBIR Reviews" sheetId="1" r:id="rId1"/>
    <sheet name="Previous Reviews" sheetId="2" r:id="rId2"/>
  </sheets>
  <definedNames>
    <definedName name="_xlnm.Print_Area" localSheetId="0">'SBIR Reviews'!$14:$48</definedName>
    <definedName name="_xlnm.Print_Titles" localSheetId="1">'Previous Reviews'!$6:$6</definedName>
    <definedName name="_xlnm.Print_Titles" localSheetId="0">'SBIR Reviews'!$11:$11</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 i="1" l="1"/>
</calcChain>
</file>

<file path=xl/comments1.xml><?xml version="1.0" encoding="utf-8"?>
<comments xmlns="http://schemas.openxmlformats.org/spreadsheetml/2006/main">
  <authors>
    <author>RobinsonPE</author>
  </authors>
  <commentList>
    <comment ref="E15" authorId="0" shapeId="0">
      <text>
        <r>
          <rPr>
            <sz val="10"/>
            <color indexed="81"/>
            <rFont val="Tahoma"/>
            <family val="2"/>
          </rPr>
          <t xml:space="preserve">Develop a small, lightweight, chemical analysis instrument capable of rapidly analyzing sorbed chemical samples.  </t>
        </r>
        <r>
          <rPr>
            <sz val="8"/>
            <color indexed="81"/>
            <rFont val="Tahoma"/>
            <family val="2"/>
          </rPr>
          <t xml:space="preserve">
</t>
        </r>
      </text>
    </comment>
    <comment ref="E16" authorId="0" shapeId="0">
      <text>
        <r>
          <rPr>
            <sz val="10"/>
            <color indexed="81"/>
            <rFont val="Tahoma"/>
            <family val="2"/>
          </rPr>
          <t>The purpose of thisTopic is to develop a technology which will allowsignals collection teams to attach a protable wideband membrane antenna to the inside of windows of various platforms.</t>
        </r>
        <r>
          <rPr>
            <sz val="8"/>
            <color indexed="81"/>
            <rFont val="Tahoma"/>
            <family val="2"/>
          </rPr>
          <t xml:space="preserve">
</t>
        </r>
      </text>
    </comment>
    <comment ref="E26" authorId="0" shapeId="0">
      <text>
        <r>
          <rPr>
            <b/>
            <sz val="10"/>
            <color indexed="81"/>
            <rFont val="Tahoma"/>
            <family val="2"/>
          </rPr>
          <t>Develop a lightweight compact, high-pressure, nitrogen charging system that can change the AAAVs Hydro-pneumatic Suspension Units (HSUs) in the field.</t>
        </r>
      </text>
    </comment>
    <comment ref="E32" authorId="0" shapeId="0">
      <text>
        <r>
          <rPr>
            <b/>
            <sz val="8"/>
            <color indexed="81"/>
            <rFont val="Tahoma"/>
            <family val="2"/>
          </rPr>
          <t>The objective of this project is to 
provide operator the option of tagging (marking) personnel or equipment for future actions.</t>
        </r>
      </text>
    </comment>
    <comment ref="E35" authorId="0" shapeId="0">
      <text>
        <r>
          <rPr>
            <sz val="10"/>
            <color indexed="81"/>
            <rFont val="Tahoma"/>
            <family val="2"/>
          </rPr>
          <t>The purpose of this project is to develop an innovative real-time Biological Warfare Agent (BWA) detection technique suitable for hand-held point sensors.</t>
        </r>
        <r>
          <rPr>
            <sz val="8"/>
            <color indexed="81"/>
            <rFont val="Tahoma"/>
            <family val="2"/>
          </rPr>
          <t xml:space="preserve">
</t>
        </r>
      </text>
    </comment>
    <comment ref="E36" authorId="0" shapeId="0">
      <text>
        <r>
          <rPr>
            <sz val="10"/>
            <color indexed="81"/>
            <rFont val="Tahoma"/>
            <family val="2"/>
          </rPr>
          <t>Extend the operational and storage lifetime of real-time non-immunoassay based biosensors.</t>
        </r>
        <r>
          <rPr>
            <sz val="8"/>
            <color indexed="81"/>
            <rFont val="Tahoma"/>
            <family val="2"/>
          </rPr>
          <t xml:space="preserve">
</t>
        </r>
      </text>
    </comment>
    <comment ref="E37" authorId="0" shapeId="0">
      <text>
        <r>
          <rPr>
            <sz val="10"/>
            <color indexed="81"/>
            <rFont val="Tahoma"/>
            <family val="2"/>
          </rPr>
          <t>Extend the operational and storage lifetime of real-time non-immunoassay based biosensors.</t>
        </r>
        <r>
          <rPr>
            <sz val="8"/>
            <color indexed="81"/>
            <rFont val="Tahoma"/>
            <family val="2"/>
          </rPr>
          <t xml:space="preserve">
</t>
        </r>
      </text>
    </comment>
    <comment ref="E38" authorId="0" shapeId="0">
      <text>
        <r>
          <rPr>
            <sz val="10"/>
            <color indexed="81"/>
            <rFont val="Tahoma"/>
            <family val="2"/>
          </rPr>
          <t>Extend the operational and storage lifetime of real-time non-immunoassay based biosensors.</t>
        </r>
        <r>
          <rPr>
            <sz val="8"/>
            <color indexed="81"/>
            <rFont val="Tahoma"/>
            <family val="2"/>
          </rPr>
          <t xml:space="preserve">
</t>
        </r>
      </text>
    </comment>
    <comment ref="E39" authorId="0" shapeId="0">
      <text>
        <r>
          <rPr>
            <sz val="10"/>
            <color indexed="81"/>
            <rFont val="Tahoma"/>
            <family val="2"/>
          </rPr>
          <t>The purpose of this project is to develop an innovative real-time Biological Warfare Agent (BWA) detection technique suitable for hand-held point sensors.</t>
        </r>
        <r>
          <rPr>
            <sz val="8"/>
            <color indexed="81"/>
            <rFont val="Tahoma"/>
            <family val="2"/>
          </rPr>
          <t xml:space="preserve">
</t>
        </r>
      </text>
    </comment>
    <comment ref="E40" authorId="0" shapeId="0">
      <text>
        <r>
          <rPr>
            <sz val="10"/>
            <color indexed="81"/>
            <rFont val="Tahoma"/>
            <family val="2"/>
          </rPr>
          <t xml:space="preserve">Develop a small, lightweight, chemical analysis instrument capable of rapidly analyzing sorbed chemical samples. </t>
        </r>
        <r>
          <rPr>
            <sz val="8"/>
            <color indexed="81"/>
            <rFont val="Tahoma"/>
            <family val="2"/>
          </rPr>
          <t xml:space="preserve">
</t>
        </r>
      </text>
    </comment>
    <comment ref="E41" authorId="0" shapeId="0">
      <text>
        <r>
          <rPr>
            <sz val="10"/>
            <color indexed="81"/>
            <rFont val="Tahoma"/>
            <family val="2"/>
          </rPr>
          <t xml:space="preserve">Develop a small, lightweight, chemical analysis instrument capable of rapidly analyzing sorbed chemical samples. </t>
        </r>
        <r>
          <rPr>
            <sz val="8"/>
            <color indexed="81"/>
            <rFont val="Tahoma"/>
            <family val="2"/>
          </rPr>
          <t xml:space="preserve">
</t>
        </r>
      </text>
    </comment>
    <comment ref="E42" authorId="0" shapeId="0">
      <text>
        <r>
          <rPr>
            <sz val="10"/>
            <color indexed="81"/>
            <rFont val="Tahoma"/>
            <family val="2"/>
          </rPr>
          <t xml:space="preserve">Develop a small, lightweight, chemical analysis instrument capable of rapidly analyzing sorbed chemical samples. </t>
        </r>
        <r>
          <rPr>
            <sz val="8"/>
            <color indexed="81"/>
            <rFont val="Tahoma"/>
            <family val="2"/>
          </rPr>
          <t xml:space="preserve">
</t>
        </r>
      </text>
    </comment>
    <comment ref="E43" authorId="0" shapeId="0">
      <text>
        <r>
          <rPr>
            <sz val="10"/>
            <color indexed="81"/>
            <rFont val="Tahoma"/>
            <family val="2"/>
          </rPr>
          <t xml:space="preserve">Develop a small, lightweight, chemical analysis instrument capable of rapidly analyzing sorbed chemical samples. </t>
        </r>
        <r>
          <rPr>
            <sz val="8"/>
            <color indexed="81"/>
            <rFont val="Tahoma"/>
            <family val="2"/>
          </rPr>
          <t xml:space="preserve">
</t>
        </r>
      </text>
    </comment>
    <comment ref="E44" authorId="0" shapeId="0">
      <text>
        <r>
          <rPr>
            <b/>
            <sz val="8"/>
            <color indexed="81"/>
            <rFont val="Tahoma"/>
            <family val="2"/>
          </rPr>
          <t>The purpose of this project is to identify an optimal polymer material and develop the manufacturing process that will result in a lightweight all-polymer cartridge case with the intent of applying the technology to infantry small arms and cannon ammunition.</t>
        </r>
        <r>
          <rPr>
            <sz val="8"/>
            <color indexed="81"/>
            <rFont val="Tahoma"/>
            <family val="2"/>
          </rPr>
          <t xml:space="preserve">
</t>
        </r>
      </text>
    </comment>
    <comment ref="E45" authorId="0" shapeId="0">
      <text>
        <r>
          <rPr>
            <b/>
            <sz val="8"/>
            <color indexed="81"/>
            <rFont val="Tahoma"/>
            <family val="2"/>
          </rPr>
          <t>Deelop a rugged, hand-portable light-weight, low power Raman spectrometer, that provides fluorescence free, wavelength stable, sensitive measurements suitable to "on-demand" field analyses of fuels.</t>
        </r>
        <r>
          <rPr>
            <sz val="8"/>
            <color indexed="81"/>
            <rFont val="Tahoma"/>
            <family val="2"/>
          </rPr>
          <t xml:space="preserve">
</t>
        </r>
      </text>
    </comment>
    <comment ref="E47" authorId="0" shapeId="0">
      <text>
        <r>
          <rPr>
            <b/>
            <sz val="8"/>
            <color indexed="81"/>
            <rFont val="Tahoma"/>
            <family val="2"/>
          </rPr>
          <t>The purpose of this project is to identify an optimal polymer material and develop the manufacturing process that will result in a lightweight all-polymer cartridge case with the intent of applying the technology to infantry small arms and cannon ammunition.</t>
        </r>
        <r>
          <rPr>
            <sz val="8"/>
            <color indexed="81"/>
            <rFont val="Tahoma"/>
            <family val="2"/>
          </rPr>
          <t xml:space="preserve">
</t>
        </r>
      </text>
    </comment>
  </commentList>
</comments>
</file>

<file path=xl/comments2.xml><?xml version="1.0" encoding="utf-8"?>
<comments xmlns="http://schemas.openxmlformats.org/spreadsheetml/2006/main">
  <authors>
    <author>RobinsonPE</author>
    <author>RosarioLM</author>
  </authors>
  <commentList>
    <comment ref="E9" authorId="0" shapeId="0">
      <text>
        <r>
          <rPr>
            <sz val="10"/>
            <color indexed="81"/>
            <rFont val="Tahoma"/>
            <family val="2"/>
          </rPr>
          <t>Design an armor solution for application to the AAAV (Advanced Amphibious Assault Vehicle) with a density of less than 17 lb/ft2.</t>
        </r>
        <r>
          <rPr>
            <sz val="8"/>
            <color indexed="81"/>
            <rFont val="Tahoma"/>
            <family val="2"/>
          </rPr>
          <t xml:space="preserve">
</t>
        </r>
      </text>
    </comment>
    <comment ref="E10" authorId="0" shapeId="0">
      <text>
        <r>
          <rPr>
            <sz val="10"/>
            <color indexed="81"/>
            <rFont val="Tahoma"/>
            <family val="2"/>
          </rPr>
          <t>The purpose of this topic is to develop a technology which will allow signal collection teams to attach a protable wideband membrane antenna to the inside of windows of various platforms.</t>
        </r>
        <r>
          <rPr>
            <sz val="8"/>
            <color indexed="81"/>
            <rFont val="Tahoma"/>
            <family val="2"/>
          </rPr>
          <t xml:space="preserve">
</t>
        </r>
      </text>
    </comment>
    <comment ref="E11" authorId="0" shapeId="0">
      <text>
        <r>
          <rPr>
            <sz val="10"/>
            <color indexed="81"/>
            <rFont val="Tahoma"/>
            <family val="2"/>
          </rPr>
          <t xml:space="preserve">The purpose of this topic is to demonstrate a prototype 1kW diesel generator that weighed less than 50lbs.  
</t>
        </r>
      </text>
    </comment>
    <comment ref="E12" authorId="0" shapeId="0">
      <text>
        <r>
          <rPr>
            <sz val="10"/>
            <color indexed="81"/>
            <rFont val="Tahoma"/>
            <family val="2"/>
          </rPr>
          <t xml:space="preserve">Develop a small, lightweight, chemical analysis instrument capable of rapidly analyzing sorbed chemical samples.  </t>
        </r>
        <r>
          <rPr>
            <sz val="8"/>
            <color indexed="81"/>
            <rFont val="Tahoma"/>
            <family val="2"/>
          </rPr>
          <t xml:space="preserve">
</t>
        </r>
      </text>
    </comment>
    <comment ref="E13" authorId="0" shapeId="0">
      <text>
        <r>
          <rPr>
            <sz val="10"/>
            <color indexed="81"/>
            <rFont val="Tahoma"/>
            <family val="2"/>
          </rPr>
          <t>The purpose of thisTopic is to develop a technology which will allowsignals collection teams to attach a protable wideband membrane antenna to the inside of windows of various platforms.</t>
        </r>
        <r>
          <rPr>
            <sz val="8"/>
            <color indexed="81"/>
            <rFont val="Tahoma"/>
            <family val="2"/>
          </rPr>
          <t xml:space="preserve">
</t>
        </r>
      </text>
    </comment>
    <comment ref="E14" authorId="0" shapeId="0">
      <text>
        <r>
          <rPr>
            <sz val="10"/>
            <color indexed="81"/>
            <rFont val="Tahoma"/>
            <family val="2"/>
          </rPr>
          <t xml:space="preserve">Develop a small, lightweight, chemical analysis instrument capable of rapidly analyzing sorbed chemical samples.  </t>
        </r>
        <r>
          <rPr>
            <sz val="8"/>
            <color indexed="81"/>
            <rFont val="Tahoma"/>
            <family val="2"/>
          </rPr>
          <t xml:space="preserve">
</t>
        </r>
      </text>
    </comment>
    <comment ref="E15" authorId="0" shapeId="0">
      <text>
        <r>
          <rPr>
            <sz val="10"/>
            <color indexed="81"/>
            <rFont val="Tahoma"/>
            <family val="2"/>
          </rPr>
          <t xml:space="preserve">Develop a small, lightweight, chemical analysis instrument capable of rapidly analyzing sorbed chemical samples.  </t>
        </r>
      </text>
    </comment>
    <comment ref="E16" authorId="0" shapeId="0">
      <text>
        <r>
          <rPr>
            <b/>
            <sz val="10"/>
            <color indexed="81"/>
            <rFont val="Tahoma"/>
            <family val="2"/>
          </rPr>
          <t>Improve durability and affordability of Lightweight AAAV track and suspension components.</t>
        </r>
        <r>
          <rPr>
            <sz val="8"/>
            <color indexed="81"/>
            <rFont val="Tahoma"/>
            <family val="2"/>
          </rPr>
          <t xml:space="preserve">
</t>
        </r>
      </text>
    </comment>
    <comment ref="E17" authorId="0" shapeId="0">
      <text>
        <r>
          <rPr>
            <b/>
            <sz val="10"/>
            <color indexed="81"/>
            <rFont val="Tahoma"/>
            <family val="2"/>
          </rPr>
          <t>To devise a system which will detect water subsurface obstacles at depths of 20 feet or less, while operating in a marine environment.</t>
        </r>
        <r>
          <rPr>
            <sz val="8"/>
            <color indexed="81"/>
            <rFont val="Tahoma"/>
            <family val="2"/>
          </rPr>
          <t xml:space="preserve">
</t>
        </r>
      </text>
    </comment>
    <comment ref="E18" authorId="0" shapeId="0">
      <text>
        <r>
          <rPr>
            <b/>
            <sz val="10"/>
            <color indexed="81"/>
            <rFont val="Tahoma"/>
            <family val="2"/>
          </rPr>
          <t>Design an armor solution for application to the AAAV (Advanced Amphibious Assault Vehicle) with a density of less than 17 lb/ft2.</t>
        </r>
      </text>
    </comment>
    <comment ref="E19" authorId="0" shapeId="0">
      <text>
        <r>
          <rPr>
            <b/>
            <sz val="10"/>
            <color indexed="81"/>
            <rFont val="Tahoma"/>
            <family val="2"/>
          </rPr>
          <t>To design and develop a compact one-piece integral and/or multi-component seal design for air and water tight sealing, corrosion prevention/minimization, and EMI protection on the vehicle.</t>
        </r>
      </text>
    </comment>
    <comment ref="E20" authorId="0" shapeId="0">
      <text>
        <r>
          <rPr>
            <b/>
            <sz val="10"/>
            <color indexed="81"/>
            <rFont val="Tahoma"/>
            <family val="2"/>
          </rPr>
          <t>To design and develop a compact one-piece integral and/or multi-component seal design for air and water tight sealing, corrosion prevention/minimization, and EMI protection on the vehicle.</t>
        </r>
        <r>
          <rPr>
            <sz val="8"/>
            <color indexed="81"/>
            <rFont val="Tahoma"/>
            <family val="2"/>
          </rPr>
          <t xml:space="preserve">
</t>
        </r>
      </text>
    </comment>
    <comment ref="E21" authorId="0" shapeId="0">
      <text>
        <r>
          <rPr>
            <b/>
            <sz val="10"/>
            <color indexed="81"/>
            <rFont val="Tahoma"/>
            <family val="2"/>
          </rPr>
          <t>To design and develop a compact one-piece integral and/or multi-component seal design for air and water tight sealing, corrosion prevention/minimization, and EMI protection on the vehicle.</t>
        </r>
      </text>
    </comment>
    <comment ref="E22" authorId="0" shapeId="0">
      <text>
        <r>
          <rPr>
            <b/>
            <sz val="10"/>
            <color indexed="81"/>
            <rFont val="Tahoma"/>
            <family val="2"/>
          </rPr>
          <t>To design and develop a compact one-piece integral and/or multi-component seal design for air and water tight sealing, corrosion prevention/minimization, and EMI protection on the vehicle.</t>
        </r>
        <r>
          <rPr>
            <sz val="8"/>
            <color indexed="81"/>
            <rFont val="Tahoma"/>
            <family val="2"/>
          </rPr>
          <t xml:space="preserve">
</t>
        </r>
      </text>
    </comment>
    <comment ref="E23" authorId="0" shapeId="0">
      <text>
        <r>
          <rPr>
            <b/>
            <sz val="10"/>
            <color indexed="81"/>
            <rFont val="Tahoma"/>
            <family val="2"/>
          </rPr>
          <t>Develop and demonstrate a low cost, high performance composite backing armor system.  Cost savings should be realized through innovative fabrication methods and material substitutions.  Every effort should be made to reduce cost while minimizing weight and thickness. The material system must be able to defeat a 20mm fragment simulating projectile at specified velocities. The material must also meet other vehicle requirements such as acceptable fire, smoke and toxicity levels, and be suitable for use in a marine environment.</t>
        </r>
      </text>
    </comment>
    <comment ref="E24" authorId="0" shapeId="0">
      <text>
        <r>
          <rPr>
            <b/>
            <sz val="10"/>
            <color indexed="81"/>
            <rFont val="Tahoma"/>
            <family val="2"/>
          </rPr>
          <t>Develop and demonstrate a low cost, high performance composite backing armor system.  Cost savings should be realized through innovative fabrication methods and material substitutions.  Every effort should be made to reduce cost while minimizing weight and thickness. The material system must be able to defeat a 20mm fragment simulating projectile at specified velocities. The material must also meet other vehicle requirements such as acceptable fire, smoke and toxicity levels, and be suitable for use in a marine environment</t>
        </r>
      </text>
    </comment>
    <comment ref="E25" authorId="0" shapeId="0">
      <text>
        <r>
          <rPr>
            <b/>
            <sz val="10"/>
            <color indexed="81"/>
            <rFont val="Tahoma"/>
            <family val="2"/>
          </rPr>
          <t xml:space="preserve">Develop a single component chemical agent resistant coating (CARC) topcoat which has the performance suitable for U.S. Marine Corps (USMC) land based equipment as a drop-in replacement for the current exterior topcoats while being void of volatile organic compounds (VOCs).
</t>
        </r>
      </text>
    </comment>
    <comment ref="E26" authorId="0" shapeId="0">
      <text>
        <r>
          <rPr>
            <b/>
            <sz val="10"/>
            <color indexed="81"/>
            <rFont val="Tahoma"/>
            <family val="2"/>
          </rPr>
          <t>Develop a single component, zero volatile organic compounds (VOC’s), chemical agent resistant primer which has the performance suitable for the exterior surfaces of U.S. Marine Corps (USMC) land and amphibious equipment.  The finished product shall in every aspect be the same or less intrusive to the environment than the current USMC primers.</t>
        </r>
        <r>
          <rPr>
            <sz val="8"/>
            <color indexed="81"/>
            <rFont val="Tahoma"/>
            <family val="2"/>
          </rPr>
          <t xml:space="preserve">
</t>
        </r>
      </text>
    </comment>
    <comment ref="E27" authorId="0" shapeId="0">
      <text>
        <r>
          <rPr>
            <b/>
            <sz val="10"/>
            <color indexed="81"/>
            <rFont val="Tahoma"/>
            <family val="2"/>
          </rPr>
          <t xml:space="preserve">Develop a single component chemical agent resistant coating (CARC) topcoat which has the performance suitable for U.S. Marine Corps (USMC) land based equipment as a drop-in replacement for the current exterior topcoats while being void of volatile organic compounds (VOCs).
</t>
        </r>
      </text>
    </comment>
    <comment ref="E28" authorId="0" shapeId="0">
      <text>
        <r>
          <rPr>
            <b/>
            <sz val="10"/>
            <color indexed="81"/>
            <rFont val="Tahoma"/>
            <family val="2"/>
          </rPr>
          <t>Develop a single component, zero volatile organic compounds (VOC’s), chemical agent resistant primer which has the performance suitable for the exterior surfaces of U.S. Marine Corps (USMC) land and amphibious equipment.  The finished product shall in every aspect be the same or less intrusive to the environment than the current USMC primers.</t>
        </r>
        <r>
          <rPr>
            <sz val="8"/>
            <color indexed="81"/>
            <rFont val="Tahoma"/>
            <family val="2"/>
          </rPr>
          <t xml:space="preserve">
</t>
        </r>
      </text>
    </comment>
    <comment ref="E29" authorId="0" shapeId="0">
      <text>
        <r>
          <rPr>
            <b/>
            <sz val="10"/>
            <color indexed="81"/>
            <rFont val="Tahoma"/>
            <family val="2"/>
          </rPr>
          <t xml:space="preserve">Develop a single component, zero volatile organic compounds (VOC’s), chemical agent resistant primer which has the performance suitable for the exterior surfaces of U.S. Marine Corps (USMC) land and amphibious equipment.  The finished product shall in every aspect be the same or less intrusive to the environment than the current USMC primers.
</t>
        </r>
      </text>
    </comment>
    <comment ref="E30" authorId="0" shapeId="0">
      <text>
        <r>
          <rPr>
            <b/>
            <sz val="10"/>
            <color indexed="81"/>
            <rFont val="Tahoma"/>
            <family val="2"/>
          </rPr>
          <t>Develop a single component chemical agent resistant coating (CARC) topcoat which has the performance suitable for U.S. Marine Corps (USMC) land based equipment as a drop-in replacement for the current exterior topcoats while being void of volatile organic compounds (VOCs).</t>
        </r>
      </text>
    </comment>
    <comment ref="E32" authorId="0" shapeId="0">
      <text>
        <r>
          <rPr>
            <b/>
            <sz val="9"/>
            <color indexed="81"/>
            <rFont val="Tahoma"/>
            <family val="2"/>
          </rPr>
          <t>Improve durability and affordability of Lightweight AAAV track and suspension components.</t>
        </r>
      </text>
    </comment>
    <comment ref="E33" authorId="0" shapeId="0">
      <text>
        <r>
          <rPr>
            <b/>
            <sz val="10"/>
            <color indexed="81"/>
            <rFont val="Tahoma"/>
            <family val="2"/>
          </rPr>
          <t xml:space="preserve">Develop a single component chemical agent resistant coating (CARC) topcoat which has the performance suitable for U.S. Marine Corps (USMC) land based equipment as a drop-in replacement for the current exterior topcoats while being void of volatile organic compounds (VOCs).
</t>
        </r>
      </text>
    </comment>
    <comment ref="E34" authorId="0" shapeId="0">
      <text>
        <r>
          <rPr>
            <b/>
            <sz val="10"/>
            <color indexed="81"/>
            <rFont val="Tahoma"/>
            <family val="2"/>
          </rPr>
          <t>Develop a single component, zero volatile organic compounds (VOC’s), chemical agent resistant primer which has the performance suitable for the exterior surfaces of U.S. Marine Corps (USMC) land and amphibious equipment.  The finished product shall in every aspect be the same or less intrusive to the environment than the current USMC primers.</t>
        </r>
      </text>
    </comment>
    <comment ref="E36" authorId="0" shapeId="0">
      <text>
        <r>
          <rPr>
            <sz val="12"/>
            <color indexed="81"/>
            <rFont val="Tahoma"/>
            <family val="2"/>
          </rPr>
          <t xml:space="preserve">This topic seeks to develop an advanced sensor system or system of systems that will provide a capability for the determination of the location, and other tactical status information on friendly personnel inside a building from a remote location. </t>
        </r>
        <r>
          <rPr>
            <sz val="8"/>
            <color indexed="81"/>
            <rFont val="Tahoma"/>
            <family val="2"/>
          </rPr>
          <t xml:space="preserve">
</t>
        </r>
      </text>
    </comment>
    <comment ref="E37" authorId="0" shapeId="0">
      <text>
        <r>
          <rPr>
            <sz val="12"/>
            <color indexed="81"/>
            <rFont val="Tahoma"/>
            <family val="2"/>
          </rPr>
          <t xml:space="preserve">This topic seeks to develop an advanced sensor system or system of systems that will provide a capability for the clandestine determination of the location, armament, and other tactical information on personnel and equipment/materiel through a wall from a remote location. </t>
        </r>
      </text>
    </comment>
    <comment ref="E38" authorId="1" shapeId="0">
      <text>
        <r>
          <rPr>
            <sz val="12"/>
            <color indexed="81"/>
            <rFont val="Times New Roman"/>
            <family val="1"/>
          </rPr>
          <t>Utilize the findings established in Phase I to develop, construct and test a prototype of the enabling technology and apply it to a functioning eye-safe laser range gated imaging  system demonstration.</t>
        </r>
      </text>
    </comment>
    <comment ref="E39" authorId="1" shapeId="0">
      <text>
        <r>
          <rPr>
            <sz val="12"/>
            <color indexed="81"/>
            <rFont val="Times New Roman"/>
            <family val="1"/>
          </rPr>
          <t>Utilize the findings established in Phase I to design, develop, construct, test, and deliver a functional fieldable system prototype of the enabling technology which can be applied, with matched specifications, to support a variety of sensor systems.  System functionality, capability, flexibility, and usability should be maximized for aerial reconnaissance.</t>
        </r>
      </text>
    </comment>
    <comment ref="E40" authorId="1" shapeId="0">
      <text>
        <r>
          <rPr>
            <sz val="12"/>
            <color indexed="81"/>
            <rFont val="Times New Roman"/>
            <family val="1"/>
          </rPr>
          <t>Research and develop a ceramic composite material that exhibits superior wear and heat transfer properties with the intent of applying that technology to infantry small arms.  Research, design, and, develop technologies that allow ceramic composite barrels to be reliably attached to infantry small arms.</t>
        </r>
      </text>
    </comment>
    <comment ref="E41" authorId="1" shapeId="0">
      <text>
        <r>
          <rPr>
            <sz val="12"/>
            <color indexed="81"/>
            <rFont val="Times New Roman"/>
            <family val="1"/>
          </rPr>
          <t>Develop a detailed design and produce prototypes to demonstrate the capabilities described in Phase I.  Multiple protypes of varying  form can be used to demonstrate different aspects of the design.  One protoype must demonstrate the design can provide sufficient image quality to serve as a training device display.  One protype must demonstrate, inside a mock-up of the AAAV periscope, the mechanism to be used which allows the display to be visable on command and be moved out of the visible path on comand.  Each protype must demonstrate the capability respond to contractor provided computer imagery software.  Update and refine the estimate of the cost, schedule, techinical peerformance, risk, and producibility of the desired capability.  Develop a commercial marketing plan for the system.</t>
        </r>
      </text>
    </comment>
    <comment ref="E42" authorId="1" shapeId="0">
      <text>
        <r>
          <rPr>
            <sz val="12"/>
            <color indexed="81"/>
            <rFont val="Times New Roman"/>
            <family val="1"/>
          </rPr>
          <t>Develop and test a prototype unit. This unit will be integrated into a small UGV and tested in government test facilities.  The performance characteristics will be compared against currently used, commercial off-the-shelf RF communications links.</t>
        </r>
      </text>
    </comment>
    <comment ref="E44" authorId="1" shapeId="0">
      <text>
        <r>
          <rPr>
            <sz val="12"/>
            <color indexed="81"/>
            <rFont val="Times New Roman"/>
            <family val="1"/>
          </rPr>
          <t>Fabricate ceramic barrels for a selected light/heavy machinegun and conduct live fire testing to verify chamber/port pressures, ballistic performance, thermal characteristics and reliability of the ceramic barrel technology.  Conduct life cycle dynamic and environmental testing to ensure the ceramic barrel technology can survive the operational environments encountered in the Marine Corps.</t>
        </r>
      </text>
    </comment>
    <comment ref="E45" authorId="1" shapeId="0">
      <text>
        <r>
          <rPr>
            <sz val="12"/>
            <color indexed="81"/>
            <rFont val="Times New Roman"/>
            <family val="1"/>
          </rPr>
          <t>Fabricate ceramic barrels for a selected light/heavy machinegun and conduct live fire testing to verify chamber/port pressures, ballistic performance, thermal characteristics and reliability of the ceramic barrel technology.  Conduct life cycle dynamic and environmental testing to ensure the ceramic barrel technology can survive the operational environments encountered in the Marine Corps.</t>
        </r>
      </text>
    </comment>
    <comment ref="E46" authorId="1" shapeId="0">
      <text>
        <r>
          <rPr>
            <b/>
            <sz val="8"/>
            <color indexed="81"/>
            <rFont val="Tahoma"/>
            <family val="2"/>
          </rPr>
          <t>Develop a rugged, hand-portable, light-weight, low power Raman spectrometer, that provides fluorescence free, wavelength stable, sensitive measurements suitable to "on-demand" field analyses of Fuels.</t>
        </r>
      </text>
    </comment>
    <comment ref="E55" authorId="1" shapeId="0">
      <text>
        <r>
          <rPr>
            <b/>
            <sz val="8"/>
            <color indexed="81"/>
            <rFont val="Tahoma"/>
            <family val="2"/>
          </rPr>
          <t>To optimize the armor system for providing a lightweight, environmentally robust, readily producible, modular solution to the armor of the AAAV.</t>
        </r>
      </text>
    </comment>
    <comment ref="E56" authorId="1" shapeId="0">
      <text>
        <r>
          <rPr>
            <b/>
            <sz val="8"/>
            <color indexed="81"/>
            <rFont val="Tahoma"/>
            <family val="2"/>
          </rPr>
          <t>Enable 100-1000 pound UGVs to operate in rough terrain with minimal acoustic signature for extended periods of time at an affordable cost.</t>
        </r>
      </text>
    </comment>
    <comment ref="E57" authorId="1" shapeId="0">
      <text>
        <r>
          <rPr>
            <b/>
            <sz val="8"/>
            <color indexed="81"/>
            <rFont val="Tahoma"/>
            <family val="2"/>
          </rPr>
          <t>Create a Direct Link Between CAD Geometry used by Vehicle Designers and the Standard Vulnerability Assessment Tool, MUVES (Modular UNIX-based Vulnerability Estimation Suite).</t>
        </r>
      </text>
    </comment>
    <comment ref="E59" authorId="1" shapeId="0">
      <text>
        <r>
          <rPr>
            <b/>
            <sz val="8"/>
            <color indexed="81"/>
            <rFont val="Tahoma"/>
            <family val="2"/>
          </rPr>
          <t>Enable 100-1000 pound UGVs to operate in rough terrain with minimal acoustic signature for extended periods of time at an affordable cost.</t>
        </r>
      </text>
    </comment>
    <comment ref="E60" authorId="1" shapeId="0">
      <text>
        <r>
          <rPr>
            <b/>
            <sz val="8"/>
            <color indexed="81"/>
            <rFont val="Tahoma"/>
            <family val="2"/>
          </rPr>
          <t>Enable 100-1000 pound UGVs to operate in rough terrain with minimal acoustic signature for extended periods of time at an affordable cost.</t>
        </r>
      </text>
    </comment>
    <comment ref="E62" authorId="1" shapeId="0">
      <text>
        <r>
          <rPr>
            <sz val="8"/>
            <color indexed="81"/>
            <rFont val="Tahoma"/>
            <family val="2"/>
          </rPr>
          <t>Develop a small, lightweight, low-cost biological aerosol sampler with an integrated bio/non-bio or class based (bacteria, virus, toxin) detector to indicate to the wearer/operator the presence of suspect material.</t>
        </r>
      </text>
    </comment>
    <comment ref="E64" authorId="1" shapeId="0">
      <text>
        <r>
          <rPr>
            <sz val="8"/>
            <color indexed="81"/>
            <rFont val="Tahoma"/>
            <family val="2"/>
          </rPr>
          <t>Develop a small, lightweight, low-cost biological aerosol sampler with an integrated bio/non-bio or class based (bacteria, virus, toxin) detector to indicate to the wearer/operator the presence of suspect material.</t>
        </r>
      </text>
    </comment>
    <comment ref="E65" authorId="1" shapeId="0">
      <text>
        <r>
          <rPr>
            <sz val="8"/>
            <color indexed="81"/>
            <rFont val="Tahoma"/>
            <family val="2"/>
          </rPr>
          <t>Develop a small, lightweight, low-cost biological aerosol sampler with an integrated bio/non-bio or class based (bacteria, virus, toxin) detector to indicate to the wearer/operator the presence of suspect material.</t>
        </r>
      </text>
    </comment>
    <comment ref="E66" authorId="1" shapeId="0">
      <text>
        <r>
          <rPr>
            <sz val="8"/>
            <color indexed="81"/>
            <rFont val="Tahoma"/>
            <family val="2"/>
          </rPr>
          <t>Develop a small, lightweight, low-cost biological aerosol sampler with an integrated bio/non-bio or class based (bacteria, virus, toxin) detector to indicate to the wearer/operator the presence of suspect material.</t>
        </r>
      </text>
    </comment>
    <comment ref="E67" authorId="1" shapeId="0">
      <text>
        <r>
          <rPr>
            <b/>
            <sz val="8"/>
            <color indexed="81"/>
            <rFont val="Tahoma"/>
            <family val="2"/>
          </rPr>
          <t>Allow real-time detection of low level chemical exposures to select Toxic Industrial Compounds for deployed U.S. Forces.</t>
        </r>
      </text>
    </comment>
    <comment ref="E68" authorId="1" shapeId="0">
      <text>
        <r>
          <rPr>
            <b/>
            <sz val="8"/>
            <color indexed="81"/>
            <rFont val="Tahoma"/>
            <family val="2"/>
          </rPr>
          <t>Allow real-time detection of low level chemical exposures to select Toxic Industrial Compounds for deployed U.S. Forces.</t>
        </r>
      </text>
    </comment>
    <comment ref="E69" authorId="1" shapeId="0">
      <text>
        <r>
          <rPr>
            <sz val="8"/>
            <color indexed="81"/>
            <rFont val="Tahoma"/>
            <family val="2"/>
          </rPr>
          <t>Develop a small, lightweight, low-cost biological aerosol sampler with an integrated bio/non-bio or class based (bacteria, virus, toxin) detector to indicate to the wearer/operator the presence of suspect material.</t>
        </r>
      </text>
    </comment>
    <comment ref="E70" authorId="1" shapeId="0">
      <text>
        <r>
          <rPr>
            <sz val="8"/>
            <color indexed="81"/>
            <rFont val="Tahoma"/>
            <family val="2"/>
          </rPr>
          <t>Develop a small, lightweight, low-cost biological aerosol sampler with an integrated bio/non-bio or class based (bacteria, virus, toxin) detector to indicate to the wearer/operator the presence of suspect material.</t>
        </r>
      </text>
    </comment>
    <comment ref="E71" authorId="1" shapeId="0">
      <text>
        <r>
          <rPr>
            <b/>
            <sz val="8"/>
            <color indexed="81"/>
            <rFont val="Tahoma"/>
            <family val="2"/>
          </rPr>
          <t>Allow real-time detection of low level chemical exposures to select Toxic Industrial Compounds for deployed U.S. Forces.</t>
        </r>
      </text>
    </comment>
    <comment ref="E72" authorId="1" shapeId="0">
      <text>
        <r>
          <rPr>
            <b/>
            <sz val="8"/>
            <color indexed="81"/>
            <rFont val="Tahoma"/>
            <family val="2"/>
          </rPr>
          <t>Allow real-time detection of low level chemical exposures to select Toxic Industrial Compounds for deployed U.S. Forces.</t>
        </r>
      </text>
    </comment>
    <comment ref="E74" authorId="1" shapeId="0">
      <text>
        <r>
          <rPr>
            <b/>
            <sz val="8"/>
            <color indexed="81"/>
            <rFont val="Tahoma"/>
            <family val="2"/>
          </rPr>
          <t>The capability to incapacitate personnel as pooint or area targets with neuromuscular disruptors from ong range (100 meters).</t>
        </r>
        <r>
          <rPr>
            <sz val="8"/>
            <color indexed="81"/>
            <rFont val="Tahoma"/>
            <family val="2"/>
          </rPr>
          <t xml:space="preserve">
</t>
        </r>
      </text>
    </comment>
    <comment ref="E75" authorId="1" shapeId="0">
      <text>
        <r>
          <rPr>
            <b/>
            <sz val="8"/>
            <color indexed="81"/>
            <rFont val="Tahoma"/>
            <family val="2"/>
          </rPr>
          <t>To explore new non-lethal capabilities in the application of measured, selectable force for Area Denial to Personnel that will reduce risks in both noncombatant and combatant casualties, friend or foe and damage to collateral equipment and structures.</t>
        </r>
      </text>
    </comment>
    <comment ref="E76" authorId="1" shapeId="0">
      <text>
        <r>
          <rPr>
            <sz val="8"/>
            <color indexed="81"/>
            <rFont val="Tahoma"/>
            <family val="2"/>
          </rPr>
          <t xml:space="preserve">To explore new non-lethal capabilities in the application of measured, selectable force for Area Denial to Personnel that will reduce risks in both noncombatant and combatant casualities, firend or foe and damage to collateral equipment and structures.
</t>
        </r>
      </text>
    </comment>
    <comment ref="E78" authorId="1" shapeId="0">
      <text>
        <r>
          <rPr>
            <b/>
            <sz val="8"/>
            <color indexed="81"/>
            <rFont val="Tahoma"/>
            <family val="2"/>
          </rPr>
          <t>Develop inert replacements for the explosives that comprise the canine explosive scent kit.</t>
        </r>
        <r>
          <rPr>
            <sz val="8"/>
            <color indexed="81"/>
            <rFont val="Tahoma"/>
            <family val="2"/>
          </rPr>
          <t xml:space="preserve">
</t>
        </r>
      </text>
    </comment>
    <comment ref="E79" authorId="1" shapeId="0">
      <text>
        <r>
          <rPr>
            <b/>
            <sz val="8"/>
            <color indexed="81"/>
            <rFont val="Tahoma"/>
            <family val="2"/>
          </rPr>
          <t>Enable small/medium sized UGVs to perform day and infra-red RSTA and driving functions without a large pan/tilt unit.</t>
        </r>
        <r>
          <rPr>
            <sz val="8"/>
            <color indexed="81"/>
            <rFont val="Tahoma"/>
            <family val="2"/>
          </rPr>
          <t xml:space="preserve">
</t>
        </r>
      </text>
    </comment>
    <comment ref="E80" authorId="1" shapeId="0">
      <text>
        <r>
          <rPr>
            <b/>
            <sz val="8"/>
            <color indexed="81"/>
            <rFont val="Tahoma"/>
            <family val="2"/>
          </rPr>
          <t>Enable small/medium sized UGVs to perform day and infra-red RSTA and driving functions without a large pan/tilt unit.</t>
        </r>
        <r>
          <rPr>
            <sz val="8"/>
            <color indexed="81"/>
            <rFont val="Tahoma"/>
            <family val="2"/>
          </rPr>
          <t xml:space="preserve">
</t>
        </r>
      </text>
    </comment>
    <comment ref="E81" authorId="1" shapeId="0">
      <text>
        <r>
          <rPr>
            <b/>
            <sz val="8"/>
            <color indexed="81"/>
            <rFont val="Tahoma"/>
            <family val="2"/>
          </rPr>
          <t>Enable small/medium sized UGVs to perform day and infra-red RSTA and driving functions without a large pan/tilt unit.</t>
        </r>
        <r>
          <rPr>
            <sz val="8"/>
            <color indexed="81"/>
            <rFont val="Tahoma"/>
            <family val="2"/>
          </rPr>
          <t xml:space="preserve">
</t>
        </r>
      </text>
    </comment>
    <comment ref="E82" authorId="1" shapeId="0">
      <text>
        <r>
          <rPr>
            <b/>
            <sz val="8"/>
            <color indexed="81"/>
            <rFont val="Tahoma"/>
            <family val="2"/>
          </rPr>
          <t>Develop inert replacements for the explosives that comprise the canine explosive scent kit.</t>
        </r>
        <r>
          <rPr>
            <sz val="8"/>
            <color indexed="81"/>
            <rFont val="Tahoma"/>
            <family val="2"/>
          </rPr>
          <t xml:space="preserve">
</t>
        </r>
      </text>
    </comment>
    <comment ref="E83" authorId="1" shapeId="0">
      <text>
        <r>
          <rPr>
            <b/>
            <sz val="8"/>
            <color indexed="81"/>
            <rFont val="Tahoma"/>
            <family val="2"/>
          </rPr>
          <t>The capability to incapacitate personnel as pooint or area targets with neuromuscular disruptors from ong range (100 meters).</t>
        </r>
        <r>
          <rPr>
            <sz val="8"/>
            <color indexed="81"/>
            <rFont val="Tahoma"/>
            <family val="2"/>
          </rPr>
          <t xml:space="preserve">
</t>
        </r>
      </text>
    </comment>
    <comment ref="E84" authorId="1" shapeId="0">
      <text>
        <r>
          <rPr>
            <sz val="8"/>
            <color indexed="81"/>
            <rFont val="Tahoma"/>
            <family val="2"/>
          </rPr>
          <t xml:space="preserve">To explore new non-lethal capabilities in the application of measured, selectable force for Area Denial to Personnel that will reduce risks in both noncombatant and combatant casualities, firend or foe and damage to collateral equipment and structures.
</t>
        </r>
      </text>
    </comment>
    <comment ref="E85" authorId="1" shapeId="0">
      <text>
        <r>
          <rPr>
            <b/>
            <sz val="8"/>
            <color indexed="81"/>
            <rFont val="Tahoma"/>
            <family val="2"/>
          </rPr>
          <t>To explore new non-lethal capabilities in the application of measured, selectable force for Area Denial to Personnel that will reduce risks in both noncombatant and combatant casualties, friend or foe and damage to collateral equipment and structures.</t>
        </r>
        <r>
          <rPr>
            <sz val="8"/>
            <color indexed="81"/>
            <rFont val="Tahoma"/>
            <family val="2"/>
          </rPr>
          <t xml:space="preserve">
</t>
        </r>
      </text>
    </comment>
    <comment ref="E86" authorId="1" shapeId="0">
      <text>
        <r>
          <rPr>
            <b/>
            <sz val="8"/>
            <color indexed="81"/>
            <rFont val="Tahoma"/>
            <family val="2"/>
          </rPr>
          <t>To explore new non-lethal capabilities in the application of measured, selectable force for Area Denial to Personnel that will reduce risks in both noncombatant and combatant casualties, friend or foe and damage to collateral equipment and structures.</t>
        </r>
      </text>
    </comment>
    <comment ref="E87" authorId="1" shapeId="0">
      <text>
        <r>
          <rPr>
            <b/>
            <sz val="8"/>
            <color indexed="81"/>
            <rFont val="Tahoma"/>
            <family val="2"/>
          </rPr>
          <t xml:space="preserve">Develop a lightweight, compact, high-pressure, nitrogen charging system that can change the AAAV’s Hydro-pneumatic Suspension Units (HSU’s) in the field.
</t>
        </r>
      </text>
    </comment>
    <comment ref="E88" authorId="1" shapeId="0">
      <text>
        <r>
          <rPr>
            <sz val="8"/>
            <color indexed="81"/>
            <rFont val="Tahoma"/>
            <family val="2"/>
          </rPr>
          <t xml:space="preserve">To explore new non-lethal capabilities in the application of measured, selectable force for Area Denial to Personnel that will reduce risks in both noncombatant and combatant casualities, firend or foe and damage to collateral equipment and structures.
</t>
        </r>
      </text>
    </comment>
    <comment ref="E89" authorId="1" shapeId="0">
      <text>
        <r>
          <rPr>
            <b/>
            <sz val="8"/>
            <color indexed="81"/>
            <rFont val="Tahoma"/>
            <family val="2"/>
          </rPr>
          <t>To develop a set of software tools for implementation of the global/local design methodology demonstrated in Phase 1.  The proposed software will provide design engineers with a web-based graphical user interface and a set of tools that will allow them to use their existing FEM tools.</t>
        </r>
      </text>
    </comment>
    <comment ref="E94" authorId="1" shapeId="0">
      <text>
        <r>
          <rPr>
            <b/>
            <sz val="8"/>
            <color indexed="81"/>
            <rFont val="Tahoma"/>
            <family val="2"/>
          </rPr>
          <t>To optimize the armor system for providing a lightweight, environmentally robust, readily producible, modular solution to the armor of the AAAV.</t>
        </r>
      </text>
    </comment>
    <comment ref="E105" authorId="1" shapeId="0">
      <text>
        <r>
          <rPr>
            <b/>
            <sz val="8"/>
            <color indexed="81"/>
            <rFont val="Tahoma"/>
            <family val="2"/>
          </rPr>
          <t>Create a Direct Link Between CAD Geometry used by Vehicle Designers and the Standard Vulnerability Assessment Tool, MUVES (Modular UNIX-based Vulnerability Estimation Suite).</t>
        </r>
      </text>
    </comment>
    <comment ref="E107" authorId="1" shapeId="0">
      <text>
        <r>
          <rPr>
            <b/>
            <sz val="8"/>
            <color indexed="81"/>
            <rFont val="Tahoma"/>
            <family val="2"/>
          </rPr>
          <t xml:space="preserve">Develop a lightweight, compact, high-pressure, nitrogen charging system that can change the AAAV’s Hydro-pneumatic Suspension Units (HSU’s) in the field.
</t>
        </r>
      </text>
    </comment>
    <comment ref="E141" authorId="1" shapeId="0">
      <text>
        <r>
          <rPr>
            <b/>
            <sz val="8"/>
            <color indexed="81"/>
            <rFont val="Tahoma"/>
            <family val="2"/>
          </rPr>
          <t>To develop a set of software tools for implementation of the global/local design methodology demonstrated in Phase 1.  The proposed software will provide design engineers with a web-based graphical user interface and a set of tools that will allow them to use their existing FEM tools.</t>
        </r>
      </text>
    </comment>
  </commentList>
</comments>
</file>

<file path=xl/sharedStrings.xml><?xml version="1.0" encoding="utf-8"?>
<sst xmlns="http://schemas.openxmlformats.org/spreadsheetml/2006/main" count="1234" uniqueCount="332">
  <si>
    <t>Topic#</t>
  </si>
  <si>
    <t>Firm</t>
  </si>
  <si>
    <t>Proposal Title</t>
  </si>
  <si>
    <t>Review Date</t>
  </si>
  <si>
    <t>Time</t>
  </si>
  <si>
    <t>Location</t>
  </si>
  <si>
    <t>BAE Conf Rm</t>
  </si>
  <si>
    <t>Any questions should be directed to the following persons:</t>
  </si>
  <si>
    <t>N00-025</t>
  </si>
  <si>
    <t>Cybernet Systems Corporation</t>
  </si>
  <si>
    <t>Advanced Wearable Computer Interface for UGV Control</t>
  </si>
  <si>
    <t>N99-042</t>
  </si>
  <si>
    <t>Advanced Refractory Technologies, Inc.</t>
  </si>
  <si>
    <t>Development and Implementation of a Lightweight/Durable Aluminum MMC Track System for the AAAV</t>
  </si>
  <si>
    <t>N00-026</t>
  </si>
  <si>
    <t>Precision Sea Based Logistics</t>
  </si>
  <si>
    <t>Technology Promotion International, LTD.</t>
  </si>
  <si>
    <t>TBD</t>
  </si>
  <si>
    <t>N01-005</t>
  </si>
  <si>
    <t>Personnel Identification</t>
  </si>
  <si>
    <t>American GNC Corporation</t>
  </si>
  <si>
    <t>CBD00-207</t>
  </si>
  <si>
    <t>Scentczar Corporation</t>
  </si>
  <si>
    <t>Intelligent Automation</t>
  </si>
  <si>
    <t>N99-035</t>
  </si>
  <si>
    <t xml:space="preserve">Aether Wire &amp; Location, Inc </t>
  </si>
  <si>
    <t xml:space="preserve">N01-005 </t>
  </si>
  <si>
    <t>Sonetech Corporation</t>
  </si>
  <si>
    <t>N98-016</t>
  </si>
  <si>
    <t>N01-002</t>
  </si>
  <si>
    <t>Ceramic Barrels for Small Arms</t>
  </si>
  <si>
    <t>Thor Technologies, Inc.</t>
  </si>
  <si>
    <t>Materials &amp; Electrochemical</t>
  </si>
  <si>
    <t xml:space="preserve">Personnel Identification </t>
  </si>
  <si>
    <t>Deployable Power Distribution System</t>
  </si>
  <si>
    <t>Space Projects, Ltd.</t>
  </si>
  <si>
    <t xml:space="preserve">N96-180 </t>
  </si>
  <si>
    <t>ArmorWorks, Inc.</t>
  </si>
  <si>
    <t>Old/Previous Reviews</t>
  </si>
  <si>
    <t>Surface Treatment Technologies, Inc.</t>
  </si>
  <si>
    <t>N99-223</t>
  </si>
  <si>
    <t>Mine Blast Seat</t>
  </si>
  <si>
    <t>N00-021</t>
  </si>
  <si>
    <t>Nitrogen Charging Systems</t>
  </si>
  <si>
    <t>Custom Manufacturing &amp; Eng.</t>
  </si>
  <si>
    <t>N98-014</t>
  </si>
  <si>
    <t>Disposable Semi-Auto Rifle</t>
  </si>
  <si>
    <t>Consolidated Industrial Associates</t>
  </si>
  <si>
    <t>1400 - 1530</t>
  </si>
  <si>
    <t>Lucas Hall</t>
  </si>
  <si>
    <t>N97-005</t>
  </si>
  <si>
    <t>JP8/Diesel Fueled Motorcycle</t>
  </si>
  <si>
    <t>Hayes Diversified Technologies, Inc</t>
  </si>
  <si>
    <t>1430 - 1600</t>
  </si>
  <si>
    <t>BAE Systems</t>
  </si>
  <si>
    <t>1230 - 1400</t>
  </si>
  <si>
    <t>N99T002</t>
  </si>
  <si>
    <t>ADOPTECH, Inc.</t>
  </si>
  <si>
    <t>N98-013</t>
  </si>
  <si>
    <t>Geo-Elliptical Phased Array</t>
  </si>
  <si>
    <t>Magnetic Sciences</t>
  </si>
  <si>
    <t>N01-004</t>
  </si>
  <si>
    <t>AAAV Composite Armor Systems</t>
  </si>
  <si>
    <t>KaZak Composites Incorporated</t>
  </si>
  <si>
    <t>Composix Co.</t>
  </si>
  <si>
    <t>Hand Held Navigation Tracking System</t>
  </si>
  <si>
    <t>N00-024</t>
  </si>
  <si>
    <t>N99-037</t>
  </si>
  <si>
    <t>Real-Time Obstacle Detection</t>
  </si>
  <si>
    <t>Arête Associates</t>
  </si>
  <si>
    <t>0900 - 1030</t>
  </si>
  <si>
    <t>N01-108</t>
  </si>
  <si>
    <t>Through the Wall Sensor</t>
  </si>
  <si>
    <t>Eureka Aerospace, LLC</t>
  </si>
  <si>
    <t>Starmark, Inc.</t>
  </si>
  <si>
    <t>1000 - 1130</t>
  </si>
  <si>
    <t>Advanced Thermal and Environmental Concepts (ATEC) Inc.</t>
  </si>
  <si>
    <t>1045 - 1215</t>
  </si>
  <si>
    <t>Advanced SIGINT Systems</t>
  </si>
  <si>
    <t>1100 - 1230</t>
  </si>
  <si>
    <t>Open for Review</t>
  </si>
  <si>
    <t>Electro-hydrodynamic (EHD) Enhancement of Heat Transfer Surfaces</t>
  </si>
  <si>
    <t>Transparent Conformal Antenna</t>
  </si>
  <si>
    <t>N99-201</t>
  </si>
  <si>
    <t>CSA Engineering, Inc</t>
  </si>
  <si>
    <t>P.C. Krause and Associates, Inc.</t>
  </si>
  <si>
    <t>1200 - 1330</t>
  </si>
  <si>
    <t>N01-111</t>
  </si>
  <si>
    <t>Time Domain Corporation</t>
  </si>
  <si>
    <t>Interior Noise Reduction for Armored Vehicles</t>
  </si>
  <si>
    <t>Multi-Level Heterogeneous Modeling of AAAV</t>
  </si>
  <si>
    <t>Wireless Radio Frequency Communication Link for Small UGVs</t>
  </si>
  <si>
    <t>Physical Optics Corporation</t>
  </si>
  <si>
    <t>0900-1030</t>
  </si>
  <si>
    <t>0900 - 1230</t>
  </si>
  <si>
    <t>N01-109</t>
  </si>
  <si>
    <t>Coherent Technologies</t>
  </si>
  <si>
    <t xml:space="preserve">Xybion </t>
  </si>
  <si>
    <t>N01-110</t>
  </si>
  <si>
    <t xml:space="preserve">WaveBand </t>
  </si>
  <si>
    <t>N99-036</t>
  </si>
  <si>
    <t>N00-022</t>
  </si>
  <si>
    <t>Mainstream Engineering</t>
  </si>
  <si>
    <t>-</t>
  </si>
  <si>
    <t>Small Portable Lightweight Generator</t>
  </si>
  <si>
    <t>Non-Intrusive, Window Mounted Conformal Antennas</t>
  </si>
  <si>
    <t>Fractal Antenna Systems</t>
  </si>
  <si>
    <t>ArmorWorks</t>
  </si>
  <si>
    <t>Arizona</t>
  </si>
  <si>
    <t>Mine Blast Seat Attenuation System</t>
  </si>
  <si>
    <t>N01-112</t>
  </si>
  <si>
    <t>LSA Engineering, Inc.</t>
  </si>
  <si>
    <t>Physical Optics</t>
  </si>
  <si>
    <t>Materials Science Corporation</t>
  </si>
  <si>
    <t>High-Energy, Multi-Spectral Laser for Surf-Zone Mine Countermeasures.</t>
  </si>
  <si>
    <t>Internal Periscope Displays for Embedded Training Program.</t>
  </si>
  <si>
    <t>Low Cost Self-Contained Land and Water Navigator.</t>
  </si>
  <si>
    <t>Development and Implementation of a lightweight/durable aluminum metal matrix composite (MMC) track system for the AAAV</t>
  </si>
  <si>
    <t>N02-002</t>
  </si>
  <si>
    <t>Voxtel Inc.</t>
  </si>
  <si>
    <t>Physical Sciences, Inc.</t>
  </si>
  <si>
    <t>OPTRA, Inc.</t>
  </si>
  <si>
    <t>N99-200</t>
  </si>
  <si>
    <t>Final Review for the Multi-Sensor Grenade (MSG) for Non-Lethal Clearing of Facilities.</t>
  </si>
  <si>
    <t>SARA, Inc.</t>
  </si>
  <si>
    <t>Final Review for the Autonomous Handheld/Nav/Comm/Tracking System.</t>
  </si>
  <si>
    <r>
      <t>Kick Off Meeting</t>
    </r>
    <r>
      <rPr>
        <sz val="10"/>
        <color indexed="8"/>
        <rFont val="Times New Roman"/>
        <family val="1"/>
      </rPr>
      <t xml:space="preserve"> for Dual Band Infrared Radiometer for Precise Battlefield Skin Temperature Measurements.</t>
    </r>
  </si>
  <si>
    <t>N02-001</t>
  </si>
  <si>
    <t>1100-1230</t>
  </si>
  <si>
    <t>1400-1530</t>
  </si>
  <si>
    <t>N99-198</t>
  </si>
  <si>
    <t>N00-023</t>
  </si>
  <si>
    <t>N99-039</t>
  </si>
  <si>
    <t>Richmond</t>
  </si>
  <si>
    <t>Nitrogen Charging System for AAAV</t>
  </si>
  <si>
    <t>Custom Manufacturing &amp; Engineering Inc.</t>
  </si>
  <si>
    <t>Resin-Transmitter for Covert, Non-Lethal Tagging</t>
  </si>
  <si>
    <t>Triton Systems, Inc.</t>
  </si>
  <si>
    <t>Precision Sea-Based Logistics</t>
  </si>
  <si>
    <t>Technology Promotion International</t>
  </si>
  <si>
    <t>Durability Improvement of Lightweight Track and Suspension Components for Armored Vehicles</t>
  </si>
  <si>
    <t>Material Solutions, Inc.</t>
  </si>
  <si>
    <t>GS Engineering, Inc.</t>
  </si>
  <si>
    <t>Material &amp; Electrochemical Research</t>
  </si>
  <si>
    <t>Lightweight Armor Solution</t>
  </si>
  <si>
    <t>Ceradyne, Inc.</t>
  </si>
  <si>
    <t>Ray-Tracing Tool Optimized for Pro-Engineer Geometry</t>
  </si>
  <si>
    <t>ThermoAnalytics, Inc.</t>
  </si>
  <si>
    <t>PC Krause &amp; Associates, Inc.</t>
  </si>
  <si>
    <t>0900-1015</t>
  </si>
  <si>
    <t>1045-1200</t>
  </si>
  <si>
    <t>1400-1515</t>
  </si>
  <si>
    <t>N02-003</t>
  </si>
  <si>
    <t>Non-Lethal Area Denial to Vehicles</t>
  </si>
  <si>
    <t>Mission Research Corporation</t>
  </si>
  <si>
    <t>1000-1400</t>
  </si>
  <si>
    <t>Cybernet Systems Corp.</t>
  </si>
  <si>
    <t>Florida</t>
  </si>
  <si>
    <t>CBD02-200</t>
  </si>
  <si>
    <t>Enhanced, Unique Microwave Methodologies for Remediation of CW &amp; BW Agents &amp; Medical Waste</t>
  </si>
  <si>
    <t>Ashwin-Ushas Corp., Inc.</t>
  </si>
  <si>
    <t>Remote Thermographer to Measure Skin Temperatures.</t>
  </si>
  <si>
    <t>Voxtel, Inc.</t>
  </si>
  <si>
    <t>Schedule for SBIR, STTR, &amp; CBD Program Reviews</t>
  </si>
  <si>
    <t>CBD02-203</t>
  </si>
  <si>
    <t>Chemical/Bio TLC Colormetric Badge</t>
  </si>
  <si>
    <t>Eltron Research, Inc.</t>
  </si>
  <si>
    <t>Ada Technologies, Inc.</t>
  </si>
  <si>
    <t>Cyrano Sciences, Inc.</t>
  </si>
  <si>
    <t>Disposable Rifle (Phase II Option)</t>
  </si>
  <si>
    <t>0900-1000</t>
  </si>
  <si>
    <t>1030-1130</t>
  </si>
  <si>
    <t>1230-1330</t>
  </si>
  <si>
    <t>1400-1500</t>
  </si>
  <si>
    <t>Global/Local Design Mehtodology for Complex Structures</t>
  </si>
  <si>
    <t>Advanced Design and Optimization</t>
  </si>
  <si>
    <t>N02-120</t>
  </si>
  <si>
    <t>Genex Technologies, Inc.</t>
  </si>
  <si>
    <t>International Electronic Machines</t>
  </si>
  <si>
    <t>N02-116</t>
  </si>
  <si>
    <t>GMA Industries, Inc.</t>
  </si>
  <si>
    <t>Creative Applied Technical Systems, Inc.</t>
  </si>
  <si>
    <t>Review Organizer</t>
  </si>
  <si>
    <t>Program Manager</t>
  </si>
  <si>
    <t>1500-1600</t>
  </si>
  <si>
    <t>N02-119</t>
  </si>
  <si>
    <t>Scientific Applications &amp; Research Assoc., Inc.</t>
  </si>
  <si>
    <t>N02-121</t>
  </si>
  <si>
    <t>Xtreme ADS</t>
  </si>
  <si>
    <t>Cybernet Systems</t>
  </si>
  <si>
    <t>N02-117</t>
  </si>
  <si>
    <t>Agentase LLC</t>
  </si>
  <si>
    <t>K&amp;M Environmental Inc.</t>
  </si>
  <si>
    <t>Tesla Technologies, Inc.</t>
  </si>
  <si>
    <t>Sensera Inc.</t>
  </si>
  <si>
    <t>N02-118</t>
  </si>
  <si>
    <t>MicroEnergy Technologies, Inc.</t>
  </si>
  <si>
    <t>Echo-Technologies, Inc.</t>
  </si>
  <si>
    <t>CFD Research Corporation</t>
  </si>
  <si>
    <t>Innovatek</t>
  </si>
  <si>
    <t>GreenStar Technologies</t>
  </si>
  <si>
    <t>Connecticut Analytical Corporation</t>
  </si>
  <si>
    <t>Foster-Miller, Inc.</t>
  </si>
  <si>
    <t>N02-122</t>
  </si>
  <si>
    <t>agentAI, Inc.</t>
  </si>
  <si>
    <t>Individual Bio Sensor / Sampler</t>
  </si>
  <si>
    <t>Ray-Tracing Tool Optimized for Pro-Engineer Geometry (Phase II Option Final Review)</t>
  </si>
  <si>
    <t>Non-Lethal Area Denial to Personnel (Phase I - Final)</t>
  </si>
  <si>
    <t>Jumping Multiball System for Area Denial (Phase I - Final)</t>
  </si>
  <si>
    <t>Multisensory Grenade with Stingballs for Area Denial (Phase I - Final)</t>
  </si>
  <si>
    <t>Omni-Vision System for Day/Night Unmanned Ground Vehicle Reconnaissance, Surveillance, and Target Acquisition (RSTA)/Mobility (Phase I - Final)</t>
  </si>
  <si>
    <t>Disposable Chemical Detection (Phase I Final)</t>
  </si>
  <si>
    <t>Individual Bio Sensor / Sampler (Phase I Final)</t>
  </si>
  <si>
    <t>Personnel Neuromuscular Disruptor Incapacitation System (Phase I Final)</t>
  </si>
  <si>
    <t>Canine Explosive Scent Kit Inert Replacements (Phase I Final)</t>
  </si>
  <si>
    <t>Aether Wire &amp; Location, Inc.</t>
  </si>
  <si>
    <t>Personnel Identification (Phase II First Review)</t>
  </si>
  <si>
    <t>Advanced Wearable Computer Interface for UGV Control (Phase II Final)</t>
  </si>
  <si>
    <t>N02-115</t>
  </si>
  <si>
    <t>Affordable Hybrid Drive for Smal to Medium Sized Unmanned Ground Vehicles</t>
  </si>
  <si>
    <t>Mesa Associates, Inc.</t>
  </si>
  <si>
    <t>UQM Technologies, Inc.</t>
  </si>
  <si>
    <t>Resin-Transmitter for Covert, Non-Lethal Tagging (Phase II)</t>
  </si>
  <si>
    <t>Miniature Passive Indicator (MPI) for MOPP Garment Degradation Indication (Phase II 2nd Review)</t>
  </si>
  <si>
    <t>Miniature Passive Indicator (MPI) for MOPP Garment Degradation Indication (Phase I Final)</t>
  </si>
  <si>
    <t>Miniature Passive Indicator (MPI) for MOPP Garment Degradation Indication (Phase II 1st Review)</t>
  </si>
  <si>
    <t>Miniature Passive Indicator (MPI) for MOPP Garment Degradation Indication (Phase II 3rd Review)</t>
  </si>
  <si>
    <t>D-Star Engineering Corp.</t>
  </si>
  <si>
    <t>0830-0930</t>
  </si>
  <si>
    <t>1000-1100</t>
  </si>
  <si>
    <t>1530-1630</t>
  </si>
  <si>
    <t>N99-197</t>
  </si>
  <si>
    <t>Real-Time Analyzers</t>
  </si>
  <si>
    <t>Portable Raman Instrument for Fuel Characterization (Phase II First Review)</t>
  </si>
  <si>
    <t>Affordable Hybrid Drive for Small to Medium Sized Unmanned Ground Vehicles</t>
  </si>
  <si>
    <t>The table below shows dates and times of scheduled Program Reviews and available dates for Reviews.  If you have any questions or concerns regarding these dates please click on one of the below links to send a quick email to the Marine Corps SBIR Program Manager or to the SBIR Review Organizer.</t>
  </si>
  <si>
    <r>
      <t xml:space="preserve">Note: </t>
    </r>
    <r>
      <rPr>
        <i/>
        <sz val="12"/>
        <color indexed="8"/>
        <rFont val="Times New Roman"/>
        <family val="1"/>
      </rPr>
      <t xml:space="preserve"> Below is a list of reviews previously held.  This listing is kept  for informational purposes only.</t>
    </r>
  </si>
  <si>
    <t>Internal Periscope Displays for Embedded Training</t>
  </si>
  <si>
    <t>N01-003</t>
  </si>
  <si>
    <t>Coherent Technologies, Inc.</t>
  </si>
  <si>
    <t>Nonlinear Optical Up-Converter for Eye-Safe Imaging.</t>
  </si>
  <si>
    <r>
      <t xml:space="preserve">Note: </t>
    </r>
    <r>
      <rPr>
        <i/>
        <sz val="10"/>
        <rFont val="Times New Roman"/>
        <family val="1"/>
      </rPr>
      <t xml:space="preserve"> If you plan on attending any of the meetings listed below please contact the Review Organizer on 703-432-3298 or 703-432-3296 (sbiradmin@mcsc.usmc.mil), so your name can be placed on the attendance list or so you can be contacted on any schedule changes.</t>
    </r>
  </si>
  <si>
    <t>Return to MC SBIR Page</t>
  </si>
  <si>
    <t>Mr. James E. Johnson</t>
  </si>
  <si>
    <t>Program Review Organizer</t>
  </si>
  <si>
    <t>703-432-3327</t>
  </si>
  <si>
    <t>BAE Systems (Bldg 16)</t>
  </si>
  <si>
    <t>BAE Systems (Bldg 25)</t>
  </si>
  <si>
    <t>Ceramic Barrels for Small Arms (Phase II Final Review)</t>
  </si>
  <si>
    <t>Wireless Radio Frequency Communication Link for Small UGVs (Phase II First Review)</t>
  </si>
  <si>
    <t>Materials &amp; ElectroChemical Research</t>
  </si>
  <si>
    <t>Ceramic Composite Lined Metal Composite Gun Barrels for Small Arms</t>
  </si>
  <si>
    <t>Material Sciences Corporation</t>
  </si>
  <si>
    <t>Weight Reduction of AAAV Components (MSC POA04-022)</t>
  </si>
  <si>
    <t>Materials &amp; Electrochemical Research</t>
  </si>
  <si>
    <t>PM</t>
  </si>
  <si>
    <t>AM</t>
  </si>
  <si>
    <t>1100-1200</t>
  </si>
  <si>
    <t>Eureka Aerospace,LLC</t>
  </si>
  <si>
    <t>0900-1100</t>
  </si>
  <si>
    <t>N04.3</t>
  </si>
  <si>
    <t xml:space="preserve">TOPIC CALL </t>
  </si>
  <si>
    <t>MCSC</t>
  </si>
  <si>
    <t>Updated :</t>
  </si>
  <si>
    <t>N03-003</t>
  </si>
  <si>
    <t>Single Component, Zero Volatile Organic Compound, Chemical Agent Resistant Coating</t>
  </si>
  <si>
    <t>Isotron Corporation</t>
  </si>
  <si>
    <t>N03-006</t>
  </si>
  <si>
    <t>Single Component, Zero Volatile Organic Compound, Chemical Agent Resistant Primer</t>
  </si>
  <si>
    <t>Utility Development Corporation</t>
  </si>
  <si>
    <t>PolyComp Tchnologies, Inc.</t>
  </si>
  <si>
    <t>TDA Research, Inc.</t>
  </si>
  <si>
    <t>Spectrum Coatings Laboratories, Inc.</t>
  </si>
  <si>
    <t xml:space="preserve">High Performance Composite Backing Armor System for the AAAV </t>
  </si>
  <si>
    <t>Ceredyne, Inc.</t>
  </si>
  <si>
    <t>MER Corp</t>
  </si>
  <si>
    <t>Custom Mfg &amp; Engineering, Inc.</t>
  </si>
  <si>
    <t>Arete Associates</t>
  </si>
  <si>
    <t>Real-Time Obstacle Detection Using a Streak Tube Imaging LIDAR (STIL</t>
  </si>
  <si>
    <t>N03-004</t>
  </si>
  <si>
    <t>Lightweight, inexpensive corrosion inhibiting integral or multi-component ElectroMagnetic Interference &amp;environmental Seals for AAAV</t>
  </si>
  <si>
    <t>Cornerstone Research Group, Inc.</t>
  </si>
  <si>
    <t>METSS Corporatiion</t>
  </si>
  <si>
    <t>Unitech, LLC</t>
  </si>
  <si>
    <t>703-432-3296</t>
  </si>
  <si>
    <t>As of 31 Dec 2003</t>
  </si>
  <si>
    <t>8:30 - 9:30</t>
  </si>
  <si>
    <t>10:00 - 11:00</t>
  </si>
  <si>
    <t>Implant Sciences Corp.</t>
  </si>
  <si>
    <t>11:30 - 12:00</t>
  </si>
  <si>
    <t>11:30 - 12:30</t>
  </si>
  <si>
    <t>Sensera, Inc.</t>
  </si>
  <si>
    <t>Echo Technologies, Inc.</t>
  </si>
  <si>
    <t>Syagen Technology, Inc.</t>
  </si>
  <si>
    <t>Constellation Technology Corp</t>
  </si>
  <si>
    <t>3:30 - 4:30</t>
  </si>
  <si>
    <t>Griffin Analytical</t>
  </si>
  <si>
    <t>N03-002</t>
  </si>
  <si>
    <t>N03-001</t>
  </si>
  <si>
    <t>Field Clhemical Analysis Tool</t>
  </si>
  <si>
    <t>Extending the Life of Biosensors with Dendrimers</t>
  </si>
  <si>
    <t>AML</t>
  </si>
  <si>
    <t>CBD03-202</t>
  </si>
  <si>
    <t>MIOPs for Detection of Biological Warfare Agents</t>
  </si>
  <si>
    <t>Luna Innovations, Inc.</t>
  </si>
  <si>
    <t>Radiation Monitoring Devices, Inc.</t>
  </si>
  <si>
    <t>2:00 - 3:00</t>
  </si>
  <si>
    <t>0830 - 0930</t>
  </si>
  <si>
    <t>1000 - 1100</t>
  </si>
  <si>
    <t>1300 - 1400</t>
  </si>
  <si>
    <t>1430 - 1530</t>
  </si>
  <si>
    <t>Field Chemical Analysis Tool</t>
  </si>
  <si>
    <t>Caviton</t>
  </si>
  <si>
    <t>CyTerra Corporation</t>
  </si>
  <si>
    <t>Updated: 1/23/04 by P Robinson</t>
  </si>
  <si>
    <t>WaveBand Corporation</t>
  </si>
  <si>
    <t>Mainstream</t>
  </si>
  <si>
    <t>Light Weight Armor Solution</t>
  </si>
  <si>
    <t>RESCHEDULED FOR 10 FEBRUARY</t>
  </si>
  <si>
    <t>1530 - 1630</t>
  </si>
  <si>
    <t>1415 - 1515</t>
  </si>
  <si>
    <t>Field Demonstration and Life Testing of Production Version 37lb, 2kW Diesel Generator</t>
  </si>
  <si>
    <t>Non -intrusive, Window Mounted, Conformal Antenna</t>
  </si>
  <si>
    <t>Resin-Transmitter for Covert Non-lethal Tagging</t>
  </si>
  <si>
    <r>
      <t xml:space="preserve">Note: </t>
    </r>
    <r>
      <rPr>
        <i/>
        <sz val="10"/>
        <rFont val="Times New Roman"/>
        <family val="1"/>
      </rPr>
      <t xml:space="preserve"> If you see a date and time slot which is open for a review and you would like to schedule your topic, please contact the MC SBIR Review Organizer at 703-432-3296 so it can be scheduled.</t>
    </r>
  </si>
  <si>
    <t>N03-005</t>
  </si>
  <si>
    <t>Polymer-Cased Ammunition for Small Arms and Cannon Ammunition</t>
  </si>
  <si>
    <t>Mississippi Polymer Technologies, Inc.</t>
  </si>
  <si>
    <t>Veritay Technology, Inc.</t>
  </si>
  <si>
    <t>Real Time Analyzers</t>
  </si>
  <si>
    <t>Nitrogen Charging System for the AAAV</t>
  </si>
  <si>
    <t>A Portable Raman Instrument for Fuel Characterization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</si>
</sst>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0"/>
      <name val="Arial"/>
    </font>
    <font>
      <sz val="10"/>
      <name val="Times New Roman"/>
      <family val="1"/>
    </font>
    <font>
      <i/>
      <sz val="10"/>
      <name val="Times New Roman"/>
      <family val="1"/>
    </font>
    <font>
      <b/>
      <sz val="10"/>
      <name val="Times New Roman"/>
      <family val="1"/>
    </font>
    <font>
      <u/>
      <sz val="10"/>
      <color indexed="12"/>
      <name val="Arial"/>
      <family val="2"/>
    </font>
    <font>
      <i/>
      <sz val="10"/>
      <color indexed="8"/>
      <name val="Times New Roman"/>
      <family val="1"/>
    </font>
    <font>
      <sz val="10"/>
      <color indexed="8"/>
      <name val="Times New Roman"/>
      <family val="1"/>
    </font>
    <font>
      <b/>
      <sz val="12"/>
      <color indexed="8"/>
      <name val="Times New Roman"/>
      <family val="1"/>
    </font>
    <font>
      <b/>
      <sz val="10"/>
      <color indexed="8"/>
      <name val="Times New Roman"/>
      <family val="1"/>
    </font>
    <font>
      <b/>
      <i/>
      <sz val="12"/>
      <color indexed="8"/>
      <name val="Times New Roman"/>
      <family val="1"/>
    </font>
    <font>
      <i/>
      <sz val="12"/>
      <color indexed="8"/>
      <name val="Times New Roman"/>
      <family val="1"/>
    </font>
    <font>
      <u/>
      <sz val="10"/>
      <color indexed="12"/>
      <name val="Times New Roman"/>
      <family val="1"/>
    </font>
    <font>
      <b/>
      <sz val="12"/>
      <name val="Times New Roman"/>
      <family val="1"/>
    </font>
    <font>
      <u/>
      <sz val="10"/>
      <color indexed="8"/>
      <name val="Times New Roman"/>
      <family val="1"/>
    </font>
    <font>
      <i/>
      <sz val="12"/>
      <name val="Times New Roman"/>
      <family val="1"/>
    </font>
    <font>
      <b/>
      <i/>
      <sz val="10"/>
      <color indexed="8"/>
      <name val="Times New Roman"/>
      <family val="1"/>
    </font>
    <font>
      <b/>
      <sz val="8"/>
      <color indexed="81"/>
      <name val="Tahoma"/>
      <family val="2"/>
    </font>
    <font>
      <sz val="8"/>
      <color indexed="81"/>
      <name val="Tahoma"/>
      <family val="2"/>
    </font>
    <font>
      <b/>
      <sz val="8"/>
      <color indexed="81"/>
      <name val="Tahoma"/>
      <family val="2"/>
    </font>
    <font>
      <b/>
      <i/>
      <sz val="10"/>
      <name val="Times New Roman"/>
      <family val="1"/>
    </font>
    <font>
      <i/>
      <sz val="10"/>
      <name val="Arial"/>
      <family val="2"/>
    </font>
    <font>
      <b/>
      <i/>
      <sz val="12"/>
      <color indexed="18"/>
      <name val="Times New Roman"/>
      <family val="1"/>
    </font>
    <font>
      <strike/>
      <sz val="10"/>
      <color indexed="10"/>
      <name val="Times New Roman"/>
      <family val="1"/>
    </font>
    <font>
      <u/>
      <sz val="18"/>
      <color indexed="12"/>
      <name val="Times New Roman"/>
      <family val="1"/>
    </font>
    <font>
      <sz val="12"/>
      <color indexed="81"/>
      <name val="Times New Roman"/>
      <family val="1"/>
    </font>
    <font>
      <sz val="12"/>
      <color indexed="81"/>
      <name val="Tahoma"/>
      <family val="2"/>
    </font>
    <font>
      <i/>
      <sz val="12"/>
      <color indexed="12"/>
      <name val="Times New Roman"/>
      <family val="1"/>
    </font>
    <font>
      <i/>
      <sz val="10"/>
      <color indexed="12"/>
      <name val="Times New Roman"/>
      <family val="1"/>
    </font>
    <font>
      <b/>
      <sz val="10"/>
      <color indexed="81"/>
      <name val="Tahoma"/>
      <family val="2"/>
    </font>
    <font>
      <b/>
      <sz val="9"/>
      <color indexed="81"/>
      <name val="Tahoma"/>
      <family val="2"/>
    </font>
    <font>
      <sz val="10"/>
      <color indexed="81"/>
      <name val="Tahoma"/>
      <family val="2"/>
    </font>
  </fonts>
  <fills count="7">
    <fill>
      <patternFill patternType="none"/>
    </fill>
    <fill>
      <patternFill patternType="gray125"/>
    </fill>
    <fill>
      <patternFill patternType="solid">
        <fgColor indexed="65"/>
        <bgColor indexed="64"/>
      </patternFill>
    </fill>
    <fill>
      <patternFill patternType="solid">
        <fgColor indexed="22"/>
        <bgColor indexed="64"/>
      </patternFill>
    </fill>
    <fill>
      <patternFill patternType="solid">
        <fgColor indexed="18"/>
        <bgColor indexed="64"/>
      </patternFill>
    </fill>
    <fill>
      <patternFill patternType="solid">
        <fgColor indexed="13"/>
        <bgColor indexed="64"/>
      </patternFill>
    </fill>
    <fill>
      <patternFill patternType="solid">
        <fgColor indexed="1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163">
    <xf numFmtId="0" fontId="0" fillId="0" borderId="0" xfId="0"/>
    <xf numFmtId="0" fontId="6" fillId="0" borderId="0" xfId="0" applyFont="1"/>
    <xf numFmtId="0" fontId="6" fillId="0" borderId="0" xfId="0" applyFont="1" applyAlignment="1">
      <alignment wrapText="1"/>
    </xf>
    <xf numFmtId="0" fontId="8" fillId="0" borderId="0" xfId="0" applyFont="1" applyAlignment="1">
      <alignment horizontal="center"/>
    </xf>
    <xf numFmtId="0" fontId="6" fillId="0" borderId="1" xfId="0" applyFont="1" applyFill="1" applyBorder="1" applyAlignment="1">
      <alignment horizontal="center" vertical="center"/>
    </xf>
    <xf numFmtId="0" fontId="6" fillId="0" borderId="1" xfId="0" applyFont="1" applyFill="1" applyBorder="1" applyAlignment="1">
      <alignment horizontal="left" vertical="center"/>
    </xf>
    <xf numFmtId="0" fontId="6" fillId="0" borderId="0" xfId="0" applyFont="1" applyAlignment="1">
      <alignment vertical="center"/>
    </xf>
    <xf numFmtId="15" fontId="6" fillId="0" borderId="0" xfId="0" applyNumberFormat="1" applyFont="1"/>
    <xf numFmtId="0" fontId="11" fillId="0" borderId="0" xfId="1" applyFont="1" applyAlignment="1" applyProtection="1"/>
    <xf numFmtId="0" fontId="1" fillId="0" borderId="1" xfId="0" applyFont="1" applyFill="1" applyBorder="1" applyAlignment="1">
      <alignment horizontal="center" vertical="center"/>
    </xf>
    <xf numFmtId="0" fontId="1" fillId="0" borderId="0" xfId="0" applyFont="1" applyAlignment="1">
      <alignment vertical="center"/>
    </xf>
    <xf numFmtId="20" fontId="1" fillId="0" borderId="1" xfId="0" applyNumberFormat="1" applyFont="1" applyBorder="1" applyAlignment="1">
      <alignment horizontal="center" vertical="center"/>
    </xf>
    <xf numFmtId="0" fontId="1" fillId="0" borderId="1" xfId="0" applyFont="1" applyBorder="1" applyAlignment="1">
      <alignment horizontal="center" vertical="center"/>
    </xf>
    <xf numFmtId="15" fontId="1" fillId="0" borderId="1" xfId="0" applyNumberFormat="1" applyFont="1" applyBorder="1" applyAlignment="1">
      <alignment horizontal="center" vertical="center"/>
    </xf>
    <xf numFmtId="15" fontId="1" fillId="0" borderId="1" xfId="0" applyNumberFormat="1" applyFont="1" applyFill="1" applyBorder="1" applyAlignment="1">
      <alignment horizontal="center" vertical="center"/>
    </xf>
    <xf numFmtId="15" fontId="6" fillId="0" borderId="1" xfId="0" applyNumberFormat="1" applyFont="1" applyFill="1" applyBorder="1" applyAlignment="1">
      <alignment horizontal="center" vertical="center"/>
    </xf>
    <xf numFmtId="0" fontId="1" fillId="0" borderId="0" xfId="0" applyFont="1" applyAlignment="1">
      <alignment vertical="center" wrapText="1"/>
    </xf>
    <xf numFmtId="0" fontId="6" fillId="0" borderId="1" xfId="0" applyFont="1" applyFill="1" applyBorder="1" applyAlignment="1">
      <alignment vertical="center" wrapText="1"/>
    </xf>
    <xf numFmtId="0" fontId="1" fillId="0" borderId="1" xfId="0" applyFont="1" applyFill="1" applyBorder="1" applyAlignment="1">
      <alignment vertical="center" wrapText="1"/>
    </xf>
    <xf numFmtId="0" fontId="6" fillId="0" borderId="0" xfId="0" applyFont="1" applyAlignment="1">
      <alignment horizontal="left"/>
    </xf>
    <xf numFmtId="0" fontId="1" fillId="0" borderId="1" xfId="0" applyFont="1" applyFill="1" applyBorder="1" applyAlignment="1">
      <alignment horizontal="left" vertical="center"/>
    </xf>
    <xf numFmtId="0" fontId="1" fillId="0" borderId="1" xfId="0" applyFont="1" applyBorder="1" applyAlignment="1">
      <alignment horizontal="left" vertical="center"/>
    </xf>
    <xf numFmtId="15"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xf>
    <xf numFmtId="0" fontId="6" fillId="2" borderId="1" xfId="0" applyFont="1" applyFill="1" applyBorder="1" applyAlignment="1">
      <alignment vertical="center" wrapText="1"/>
    </xf>
    <xf numFmtId="0" fontId="8" fillId="0" borderId="0" xfId="0" applyFont="1" applyAlignment="1">
      <alignment horizontal="center" vertical="center"/>
    </xf>
    <xf numFmtId="0" fontId="1" fillId="0" borderId="0" xfId="0" applyFont="1" applyFill="1" applyAlignment="1">
      <alignment horizontal="center" vertical="center"/>
    </xf>
    <xf numFmtId="0" fontId="6" fillId="0" borderId="0" xfId="0" applyFont="1" applyAlignment="1">
      <alignment horizontal="center" vertical="center"/>
    </xf>
    <xf numFmtId="0" fontId="6" fillId="0" borderId="0" xfId="0" applyFont="1" applyFill="1" applyAlignment="1">
      <alignment horizontal="center" vertical="center"/>
    </xf>
    <xf numFmtId="0" fontId="1" fillId="0" borderId="1" xfId="0" applyFont="1" applyBorder="1" applyAlignment="1">
      <alignment vertical="center" wrapText="1"/>
    </xf>
    <xf numFmtId="0" fontId="3" fillId="0" borderId="0" xfId="0" applyFont="1" applyFill="1" applyAlignment="1">
      <alignment horizontal="center" vertical="center"/>
    </xf>
    <xf numFmtId="0" fontId="3" fillId="0" borderId="0" xfId="0" applyFont="1" applyAlignment="1">
      <alignment horizontal="center" vertical="center"/>
    </xf>
    <xf numFmtId="0" fontId="12" fillId="3"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14" fillId="0" borderId="1" xfId="0" applyFont="1" applyFill="1" applyBorder="1" applyAlignment="1">
      <alignment horizontal="center" vertical="center"/>
    </xf>
    <xf numFmtId="0" fontId="10" fillId="2" borderId="1" xfId="0" applyFont="1" applyFill="1" applyBorder="1" applyAlignment="1">
      <alignment horizontal="center" vertical="center"/>
    </xf>
    <xf numFmtId="0" fontId="6" fillId="2" borderId="1" xfId="0" applyFont="1" applyFill="1" applyBorder="1" applyAlignment="1">
      <alignment vertical="center"/>
    </xf>
    <xf numFmtId="15" fontId="8" fillId="3" borderId="2" xfId="0" applyNumberFormat="1" applyFont="1" applyFill="1" applyBorder="1" applyAlignment="1">
      <alignment horizontal="center"/>
    </xf>
    <xf numFmtId="0" fontId="8" fillId="3" borderId="2" xfId="0" applyFont="1" applyFill="1" applyBorder="1" applyAlignment="1">
      <alignment horizontal="center"/>
    </xf>
    <xf numFmtId="0" fontId="8" fillId="3" borderId="2" xfId="0" applyFont="1" applyFill="1" applyBorder="1" applyAlignment="1">
      <alignment horizontal="left"/>
    </xf>
    <xf numFmtId="0" fontId="8" fillId="3" borderId="2" xfId="0" applyFont="1" applyFill="1" applyBorder="1" applyAlignment="1">
      <alignment wrapText="1"/>
    </xf>
    <xf numFmtId="14" fontId="5" fillId="0" borderId="3" xfId="0" applyNumberFormat="1" applyFont="1" applyBorder="1" applyAlignment="1">
      <alignment horizontal="left"/>
    </xf>
    <xf numFmtId="0" fontId="6" fillId="0" borderId="3" xfId="0" applyFont="1" applyBorder="1"/>
    <xf numFmtId="0" fontId="6" fillId="0" borderId="3" xfId="0" applyFont="1" applyBorder="1" applyAlignment="1">
      <alignment horizontal="left"/>
    </xf>
    <xf numFmtId="0" fontId="6" fillId="0" borderId="3" xfId="0" applyFont="1" applyBorder="1" applyAlignment="1">
      <alignment wrapText="1"/>
    </xf>
    <xf numFmtId="0" fontId="15" fillId="0" borderId="0" xfId="0" applyFont="1" applyAlignment="1">
      <alignment horizontal="center" vertical="center"/>
    </xf>
    <xf numFmtId="0" fontId="12" fillId="0" borderId="1" xfId="0" applyFont="1" applyFill="1" applyBorder="1" applyAlignment="1">
      <alignment horizontal="center" vertical="center"/>
    </xf>
    <xf numFmtId="15" fontId="14" fillId="0" borderId="1" xfId="0" applyNumberFormat="1" applyFont="1" applyFill="1" applyBorder="1" applyAlignment="1">
      <alignment horizontal="center" vertical="center" wrapText="1"/>
    </xf>
    <xf numFmtId="0" fontId="2" fillId="0" borderId="0" xfId="0" applyFont="1" applyFill="1" applyAlignment="1">
      <alignment horizontal="center" vertical="center"/>
    </xf>
    <xf numFmtId="0" fontId="7" fillId="2" borderId="1" xfId="0" applyFont="1" applyFill="1" applyBorder="1" applyAlignment="1">
      <alignment horizontal="center" vertical="center"/>
    </xf>
    <xf numFmtId="0" fontId="1" fillId="0" borderId="3" xfId="0" applyFont="1" applyBorder="1" applyAlignment="1">
      <alignment vertical="center"/>
    </xf>
    <xf numFmtId="0" fontId="1" fillId="0" borderId="3" xfId="0" applyFont="1" applyBorder="1" applyAlignment="1">
      <alignment vertical="center" wrapText="1"/>
    </xf>
    <xf numFmtId="0" fontId="3" fillId="0" borderId="3" xfId="0" applyFont="1" applyBorder="1" applyAlignment="1">
      <alignment horizontal="center" vertical="center"/>
    </xf>
    <xf numFmtId="0" fontId="1" fillId="0" borderId="4" xfId="0" applyFont="1" applyBorder="1" applyAlignment="1">
      <alignment vertical="center"/>
    </xf>
    <xf numFmtId="0" fontId="1" fillId="0" borderId="4" xfId="0" applyFont="1" applyBorder="1" applyAlignment="1">
      <alignment vertical="center" wrapText="1"/>
    </xf>
    <xf numFmtId="15" fontId="12" fillId="0" borderId="1" xfId="0" applyNumberFormat="1" applyFont="1" applyFill="1" applyBorder="1" applyAlignment="1">
      <alignment horizontal="center" vertical="center" wrapText="1"/>
    </xf>
    <xf numFmtId="0" fontId="5" fillId="0" borderId="0" xfId="0" applyFont="1" applyAlignment="1">
      <alignment horizontal="center" vertical="center"/>
    </xf>
    <xf numFmtId="0" fontId="21" fillId="2" borderId="1" xfId="0" applyFont="1" applyFill="1" applyBorder="1" applyAlignment="1">
      <alignment horizontal="left" vertical="center" wrapText="1"/>
    </xf>
    <xf numFmtId="0" fontId="2" fillId="0" borderId="0" xfId="0" applyFont="1" applyAlignment="1">
      <alignment horizontal="center" vertical="center"/>
    </xf>
    <xf numFmtId="15"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15"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15" fontId="1" fillId="0" borderId="1"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1" xfId="0" applyFont="1" applyFill="1" applyBorder="1" applyAlignment="1">
      <alignment horizontal="center" vertical="center" wrapText="1"/>
    </xf>
    <xf numFmtId="15" fontId="1" fillId="0" borderId="0" xfId="0" applyNumberFormat="1" applyFont="1" applyAlignment="1">
      <alignment horizontal="center" vertical="center"/>
    </xf>
    <xf numFmtId="15" fontId="1" fillId="0" borderId="5" xfId="0" applyNumberFormat="1" applyFont="1" applyBorder="1" applyAlignment="1">
      <alignment horizontal="center" vertical="center"/>
    </xf>
    <xf numFmtId="20" fontId="1" fillId="0" borderId="0" xfId="0" applyNumberFormat="1" applyFont="1" applyAlignment="1">
      <alignment horizontal="center" vertical="center"/>
    </xf>
    <xf numFmtId="20" fontId="1" fillId="0" borderId="5" xfId="0" applyNumberFormat="1" applyFont="1" applyBorder="1" applyAlignment="1">
      <alignment horizontal="center" vertical="center"/>
    </xf>
    <xf numFmtId="0" fontId="1" fillId="0" borderId="5" xfId="0" applyFont="1" applyBorder="1" applyAlignment="1">
      <alignment horizontal="left" vertical="center"/>
    </xf>
    <xf numFmtId="0" fontId="6" fillId="0" borderId="5" xfId="0" applyFont="1" applyFill="1" applyBorder="1" applyAlignment="1">
      <alignment horizontal="center" vertical="center"/>
    </xf>
    <xf numFmtId="0" fontId="6" fillId="0" borderId="5" xfId="0" applyFont="1" applyFill="1" applyBorder="1" applyAlignment="1">
      <alignment vertical="center" wrapText="1"/>
    </xf>
    <xf numFmtId="0" fontId="6" fillId="0" borderId="2" xfId="0" applyFont="1" applyFill="1" applyBorder="1" applyAlignment="1">
      <alignment horizontal="left" vertical="center" wrapText="1"/>
    </xf>
    <xf numFmtId="0" fontId="6" fillId="0" borderId="5" xfId="0" applyFont="1" applyFill="1" applyBorder="1" applyAlignment="1">
      <alignment horizontal="left" vertical="center" wrapText="1"/>
    </xf>
    <xf numFmtId="15" fontId="22" fillId="0" borderId="1" xfId="0" applyNumberFormat="1" applyFont="1" applyFill="1" applyBorder="1" applyAlignment="1">
      <alignment horizontal="center" vertical="center" wrapText="1"/>
    </xf>
    <xf numFmtId="0" fontId="22" fillId="2" borderId="1" xfId="0" applyFont="1" applyFill="1" applyBorder="1" applyAlignment="1">
      <alignment horizontal="center" vertical="center"/>
    </xf>
    <xf numFmtId="0" fontId="22" fillId="0" borderId="1" xfId="0" applyFont="1" applyFill="1" applyBorder="1" applyAlignment="1">
      <alignment horizontal="center" vertical="center"/>
    </xf>
    <xf numFmtId="0" fontId="22" fillId="2" borderId="1" xfId="0" applyFont="1" applyFill="1" applyBorder="1" applyAlignment="1">
      <alignment vertical="center" wrapText="1"/>
    </xf>
    <xf numFmtId="0" fontId="22" fillId="0" borderId="1" xfId="0" applyFont="1" applyFill="1" applyBorder="1" applyAlignment="1">
      <alignment horizontal="left" vertical="center" wrapText="1"/>
    </xf>
    <xf numFmtId="0" fontId="4" fillId="0" borderId="3" xfId="1" applyBorder="1" applyAlignment="1" applyProtection="1">
      <alignment vertical="center"/>
    </xf>
    <xf numFmtId="0" fontId="23" fillId="0" borderId="0" xfId="1" applyFont="1" applyAlignment="1" applyProtection="1">
      <alignment vertical="center"/>
    </xf>
    <xf numFmtId="0" fontId="4" fillId="0" borderId="0" xfId="1" applyAlignment="1" applyProtection="1"/>
    <xf numFmtId="0" fontId="3" fillId="0" borderId="3" xfId="0" applyFont="1" applyBorder="1" applyAlignment="1">
      <alignment horizontal="center" vertical="center" wrapText="1"/>
    </xf>
    <xf numFmtId="0" fontId="7" fillId="2" borderId="1" xfId="0" applyFont="1" applyFill="1" applyBorder="1" applyAlignment="1">
      <alignment horizontal="center" vertical="center" wrapText="1"/>
    </xf>
    <xf numFmtId="0" fontId="1" fillId="0" borderId="3" xfId="0" applyFont="1" applyBorder="1" applyAlignment="1">
      <alignment horizontal="left" vertical="center" wrapText="1"/>
    </xf>
    <xf numFmtId="0" fontId="3" fillId="0" borderId="3" xfId="0" applyFont="1" applyBorder="1" applyAlignment="1">
      <alignment horizontal="left" vertical="center" wrapText="1"/>
    </xf>
    <xf numFmtId="0" fontId="1" fillId="0" borderId="4" xfId="0" applyFont="1" applyBorder="1" applyAlignment="1">
      <alignment horizontal="left" vertical="center" wrapText="1"/>
    </xf>
    <xf numFmtId="0" fontId="12" fillId="3"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1" fillId="0" borderId="0" xfId="0" applyFont="1" applyAlignment="1">
      <alignment horizontal="left" vertical="center" wrapText="1"/>
    </xf>
    <xf numFmtId="0" fontId="6" fillId="2" borderId="1" xfId="0" applyFont="1" applyFill="1" applyBorder="1" applyAlignment="1">
      <alignment horizontal="center" vertical="center" wrapText="1"/>
    </xf>
    <xf numFmtId="15" fontId="8" fillId="3" borderId="0" xfId="0" applyNumberFormat="1" applyFont="1" applyFill="1" applyBorder="1" applyAlignment="1">
      <alignment horizontal="center"/>
    </xf>
    <xf numFmtId="0" fontId="8" fillId="3" borderId="0" xfId="0" applyFont="1" applyFill="1" applyBorder="1" applyAlignment="1">
      <alignment horizontal="center"/>
    </xf>
    <xf numFmtId="0" fontId="8" fillId="3" borderId="0" xfId="0" applyFont="1" applyFill="1" applyBorder="1" applyAlignment="1">
      <alignment horizontal="left"/>
    </xf>
    <xf numFmtId="0" fontId="8" fillId="3" borderId="0" xfId="0" applyFont="1" applyFill="1" applyBorder="1" applyAlignment="1">
      <alignment wrapText="1"/>
    </xf>
    <xf numFmtId="15" fontId="26" fillId="4" borderId="1" xfId="0" applyNumberFormat="1" applyFont="1" applyFill="1" applyBorder="1" applyAlignment="1">
      <alignment horizontal="center" vertical="center" wrapText="1"/>
    </xf>
    <xf numFmtId="0" fontId="26" fillId="4" borderId="1" xfId="0" applyFont="1" applyFill="1" applyBorder="1" applyAlignment="1">
      <alignment horizontal="center" vertical="center"/>
    </xf>
    <xf numFmtId="0" fontId="26" fillId="4" borderId="1" xfId="0" applyFont="1" applyFill="1" applyBorder="1" applyAlignment="1">
      <alignment horizontal="center" vertical="center" wrapText="1"/>
    </xf>
    <xf numFmtId="0" fontId="26" fillId="4" borderId="1" xfId="0" applyFont="1" applyFill="1" applyBorder="1" applyAlignment="1">
      <alignment horizontal="left" vertical="center" wrapText="1"/>
    </xf>
    <xf numFmtId="0" fontId="27" fillId="4" borderId="0" xfId="0" applyFont="1" applyFill="1" applyAlignment="1">
      <alignment horizontal="center" vertical="center"/>
    </xf>
    <xf numFmtId="14" fontId="2" fillId="0" borderId="3" xfId="0" applyNumberFormat="1" applyFont="1" applyBorder="1" applyAlignment="1">
      <alignment horizontal="right" vertical="center"/>
    </xf>
    <xf numFmtId="14" fontId="1" fillId="0" borderId="3" xfId="0" applyNumberFormat="1" applyFont="1" applyBorder="1" applyAlignment="1">
      <alignment horizontal="left" vertical="center"/>
    </xf>
    <xf numFmtId="0" fontId="12" fillId="0" borderId="0" xfId="0" applyFont="1" applyAlignment="1">
      <alignment horizontal="center" wrapText="1"/>
    </xf>
    <xf numFmtId="0" fontId="12" fillId="0" borderId="0" xfId="0" applyFont="1" applyFill="1" applyAlignment="1">
      <alignment horizontal="left" wrapText="1"/>
    </xf>
    <xf numFmtId="0" fontId="12" fillId="0" borderId="0" xfId="0" applyFont="1" applyAlignment="1">
      <alignment horizontal="center" vertical="center" wrapText="1"/>
    </xf>
    <xf numFmtId="0" fontId="14" fillId="0" borderId="1"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 fillId="0" borderId="0" xfId="0" applyFont="1" applyAlignment="1">
      <alignment horizontal="center" vertical="center" wrapText="1"/>
    </xf>
    <xf numFmtId="15" fontId="8" fillId="0" borderId="0" xfId="0" applyNumberFormat="1" applyFont="1" applyFill="1" applyBorder="1" applyAlignment="1">
      <alignment horizontal="center"/>
    </xf>
    <xf numFmtId="0" fontId="8" fillId="0" borderId="0" xfId="0" applyFont="1" applyFill="1" applyBorder="1" applyAlignment="1">
      <alignment horizontal="center"/>
    </xf>
    <xf numFmtId="0" fontId="8" fillId="0" borderId="0" xfId="0" applyFont="1" applyFill="1" applyBorder="1" applyAlignment="1">
      <alignment horizontal="left"/>
    </xf>
    <xf numFmtId="0" fontId="8" fillId="0" borderId="0" xfId="0" applyFont="1" applyFill="1" applyBorder="1" applyAlignment="1">
      <alignment wrapText="1"/>
    </xf>
    <xf numFmtId="0" fontId="8" fillId="0" borderId="0" xfId="0" applyFont="1" applyFill="1" applyAlignment="1">
      <alignment horizont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1" fillId="0" borderId="0" xfId="0" applyFont="1"/>
    <xf numFmtId="0" fontId="6" fillId="0" borderId="1" xfId="0" applyFont="1" applyFill="1" applyBorder="1" applyAlignment="1">
      <alignment horizontal="center" vertical="center" wrapText="1"/>
    </xf>
    <xf numFmtId="0" fontId="1" fillId="0" borderId="0" xfId="0" applyFont="1" applyFill="1" applyAlignment="1">
      <alignment horizontal="left" wrapText="1"/>
    </xf>
    <xf numFmtId="0" fontId="1" fillId="0" borderId="0" xfId="0" applyFont="1" applyFill="1" applyAlignment="1">
      <alignment horizontal="center" wrapText="1"/>
    </xf>
    <xf numFmtId="0" fontId="1" fillId="0" borderId="6" xfId="0" applyFont="1" applyBorder="1" applyAlignment="1">
      <alignment horizontal="center" vertical="center"/>
    </xf>
    <xf numFmtId="0" fontId="1" fillId="0" borderId="0" xfId="0" applyFont="1" applyAlignment="1">
      <alignment horizontal="left" wrapText="1"/>
    </xf>
    <xf numFmtId="0" fontId="1" fillId="0" borderId="6" xfId="0" applyFont="1" applyBorder="1" applyAlignment="1">
      <alignment horizontal="center" vertical="center" wrapText="1"/>
    </xf>
    <xf numFmtId="15" fontId="1"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left" vertical="center" wrapText="1"/>
    </xf>
    <xf numFmtId="15" fontId="8" fillId="6" borderId="0" xfId="0" applyNumberFormat="1" applyFont="1" applyFill="1" applyBorder="1" applyAlignment="1">
      <alignment horizontal="center"/>
    </xf>
    <xf numFmtId="0" fontId="8" fillId="6" borderId="0" xfId="0" applyFont="1" applyFill="1" applyBorder="1" applyAlignment="1">
      <alignment horizontal="center"/>
    </xf>
    <xf numFmtId="0" fontId="8" fillId="6" borderId="0" xfId="0" applyFont="1" applyFill="1" applyBorder="1" applyAlignment="1">
      <alignment horizontal="left"/>
    </xf>
    <xf numFmtId="0" fontId="8" fillId="6" borderId="0" xfId="0" applyFont="1" applyFill="1" applyBorder="1" applyAlignment="1">
      <alignment wrapText="1"/>
    </xf>
    <xf numFmtId="0" fontId="8" fillId="6" borderId="0" xfId="0" applyFont="1" applyFill="1" applyAlignment="1">
      <alignment horizontal="center"/>
    </xf>
    <xf numFmtId="0" fontId="7"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12" fillId="0" borderId="6" xfId="0" applyFont="1" applyFill="1" applyBorder="1" applyAlignment="1">
      <alignment horizontal="center"/>
    </xf>
    <xf numFmtId="20" fontId="7" fillId="0" borderId="1" xfId="0" applyNumberFormat="1" applyFont="1" applyFill="1" applyBorder="1" applyAlignment="1">
      <alignment horizontal="center" vertical="center"/>
    </xf>
    <xf numFmtId="0" fontId="1" fillId="0" borderId="7" xfId="0" applyFont="1" applyFill="1" applyBorder="1" applyAlignment="1">
      <alignment horizontal="center" wrapText="1"/>
    </xf>
    <xf numFmtId="0" fontId="1" fillId="0" borderId="6" xfId="0" applyFont="1" applyFill="1" applyBorder="1" applyAlignment="1">
      <alignment horizontal="center" wrapText="1"/>
    </xf>
    <xf numFmtId="0" fontId="1" fillId="0" borderId="7" xfId="0" applyFont="1" applyBorder="1" applyAlignment="1">
      <alignment horizontal="center" vertical="center"/>
    </xf>
    <xf numFmtId="0" fontId="1" fillId="0" borderId="7" xfId="0" applyFont="1" applyBorder="1" applyAlignment="1">
      <alignment horizontal="center" vertical="center" wrapText="1"/>
    </xf>
    <xf numFmtId="0" fontId="1" fillId="0" borderId="0" xfId="0" applyFont="1" applyAlignment="1">
      <alignment horizontal="center" wrapText="1"/>
    </xf>
    <xf numFmtId="0" fontId="1" fillId="0" borderId="6" xfId="0" applyFont="1" applyFill="1" applyBorder="1" applyAlignment="1">
      <alignment horizontal="center" vertical="center"/>
    </xf>
    <xf numFmtId="0" fontId="1" fillId="0" borderId="0" xfId="0" applyFont="1" applyAlignment="1">
      <alignment wrapText="1"/>
    </xf>
    <xf numFmtId="0" fontId="12" fillId="0" borderId="0" xfId="0" applyFont="1" applyFill="1" applyAlignment="1">
      <alignment wrapText="1"/>
    </xf>
    <xf numFmtId="0" fontId="12" fillId="0" borderId="0" xfId="0" applyFont="1" applyFill="1" applyAlignment="1">
      <alignment horizontal="center" vertical="center" wrapText="1"/>
    </xf>
    <xf numFmtId="0" fontId="1" fillId="0" borderId="6" xfId="0" applyFont="1" applyFill="1" applyBorder="1" applyAlignment="1">
      <alignment horizontal="center"/>
    </xf>
    <xf numFmtId="0" fontId="3" fillId="0" borderId="3" xfId="0" applyFont="1" applyBorder="1" applyAlignment="1">
      <alignment horizontal="center" vertical="center"/>
    </xf>
    <xf numFmtId="0" fontId="19" fillId="0" borderId="3" xfId="0" applyFont="1" applyBorder="1" applyAlignment="1">
      <alignment vertical="center" wrapText="1"/>
    </xf>
    <xf numFmtId="0" fontId="1" fillId="0" borderId="3" xfId="0" applyFont="1" applyBorder="1" applyAlignment="1">
      <alignment vertical="center" wrapText="1"/>
    </xf>
    <xf numFmtId="0" fontId="20" fillId="0" borderId="3" xfId="0" applyFont="1" applyBorder="1" applyAlignment="1">
      <alignment vertical="center" wrapText="1"/>
    </xf>
    <xf numFmtId="0" fontId="1" fillId="0" borderId="3" xfId="0" applyFont="1" applyBorder="1" applyAlignment="1">
      <alignment horizontal="left" vertical="center" wrapText="1"/>
    </xf>
    <xf numFmtId="0" fontId="7" fillId="0" borderId="3" xfId="0" applyFont="1" applyBorder="1" applyAlignment="1">
      <alignment horizontal="center"/>
    </xf>
    <xf numFmtId="0" fontId="9" fillId="0" borderId="3" xfId="0" applyFont="1" applyBorder="1" applyAlignment="1">
      <alignment vertical="center" wrapText="1"/>
    </xf>
    <xf numFmtId="0" fontId="6" fillId="0" borderId="3"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biradmin@mcsc.usmc.mil" TargetMode="External"/><Relationship Id="rId1" Type="http://schemas.openxmlformats.org/officeDocument/2006/relationships/hyperlink" Target="mailto:johnsonje@mcsc.usmc.mi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www.marcorsyscom.usmc.mil/s&amp;t/sbir.asp" TargetMode="External"/><Relationship Id="rId2" Type="http://schemas.openxmlformats.org/officeDocument/2006/relationships/hyperlink" Target="mailto:johnsonje@mcsc.usmc.mil" TargetMode="External"/><Relationship Id="rId1" Type="http://schemas.openxmlformats.org/officeDocument/2006/relationships/hyperlink" Target="mailto:sbiradmin@mcsc.usmc.mil"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379"/>
  <sheetViews>
    <sheetView tabSelected="1" topLeftCell="A8" zoomScale="75" workbookViewId="0">
      <pane ySplit="5" topLeftCell="A15" activePane="bottomLeft" state="frozen"/>
      <selection activeCell="A8" sqref="A8"/>
      <selection pane="bottomLeft" activeCell="B22" sqref="B22"/>
    </sheetView>
  </sheetViews>
  <sheetFormatPr defaultColWidth="9.1796875" defaultRowHeight="13" x14ac:dyDescent="0.25"/>
  <cols>
    <col min="1" max="1" width="14" style="10" customWidth="1"/>
    <col min="2" max="2" width="14.26953125" style="10" customWidth="1"/>
    <col min="3" max="3" width="15.81640625" style="16" customWidth="1"/>
    <col min="4" max="4" width="12.81640625" style="10" customWidth="1"/>
    <col min="5" max="5" width="40.7265625" style="16" customWidth="1"/>
    <col min="6" max="6" width="32.7265625" style="98" customWidth="1"/>
    <col min="7" max="16384" width="9.1796875" style="10"/>
  </cols>
  <sheetData>
    <row r="1" spans="1:6" x14ac:dyDescent="0.25">
      <c r="A1" s="109" t="s">
        <v>263</v>
      </c>
      <c r="B1" s="110">
        <f ca="1">TODAY()</f>
        <v>43857</v>
      </c>
      <c r="C1" s="57"/>
      <c r="D1" s="56"/>
      <c r="E1" s="57"/>
      <c r="F1" s="93"/>
    </row>
    <row r="2" spans="1:6" x14ac:dyDescent="0.25">
      <c r="A2" s="155" t="s">
        <v>163</v>
      </c>
      <c r="B2" s="155"/>
      <c r="C2" s="155"/>
      <c r="D2" s="155"/>
      <c r="E2" s="155"/>
      <c r="F2" s="155"/>
    </row>
    <row r="3" spans="1:6" x14ac:dyDescent="0.25">
      <c r="A3" s="58"/>
      <c r="B3" s="58"/>
      <c r="C3" s="91"/>
      <c r="D3" s="58"/>
      <c r="E3" s="58"/>
      <c r="F3" s="94"/>
    </row>
    <row r="4" spans="1:6" ht="40.5" customHeight="1" x14ac:dyDescent="0.25">
      <c r="A4" s="159" t="s">
        <v>235</v>
      </c>
      <c r="B4" s="159"/>
      <c r="C4" s="159"/>
      <c r="D4" s="159"/>
      <c r="E4" s="159"/>
      <c r="F4" s="159"/>
    </row>
    <row r="5" spans="1:6" x14ac:dyDescent="0.25">
      <c r="A5" s="56"/>
      <c r="B5" s="88" t="s">
        <v>182</v>
      </c>
      <c r="C5" s="57"/>
      <c r="D5" s="56"/>
      <c r="E5" s="57"/>
      <c r="F5" s="93"/>
    </row>
    <row r="6" spans="1:6" x14ac:dyDescent="0.25">
      <c r="A6" s="56"/>
      <c r="B6" s="88" t="s">
        <v>183</v>
      </c>
      <c r="C6" s="57"/>
      <c r="D6" s="56"/>
      <c r="E6" s="57"/>
      <c r="F6" s="93"/>
    </row>
    <row r="7" spans="1:6" ht="40.5" customHeight="1" x14ac:dyDescent="0.25">
      <c r="A7" s="156" t="s">
        <v>241</v>
      </c>
      <c r="B7" s="157"/>
      <c r="C7" s="157"/>
      <c r="D7" s="157"/>
      <c r="E7" s="157"/>
      <c r="F7" s="157"/>
    </row>
    <row r="8" spans="1:6" x14ac:dyDescent="0.25">
      <c r="A8" s="56" t="s">
        <v>314</v>
      </c>
      <c r="B8" s="56"/>
      <c r="C8" s="57"/>
      <c r="D8" s="56"/>
      <c r="E8" s="57"/>
      <c r="F8" s="93"/>
    </row>
    <row r="9" spans="1:6" ht="38.25" customHeight="1" x14ac:dyDescent="0.25">
      <c r="A9" s="156" t="s">
        <v>324</v>
      </c>
      <c r="B9" s="158"/>
      <c r="C9" s="158"/>
      <c r="D9" s="158"/>
      <c r="E9" s="158"/>
      <c r="F9" s="158"/>
    </row>
    <row r="10" spans="1:6" x14ac:dyDescent="0.25">
      <c r="A10" s="59"/>
      <c r="B10" s="59"/>
      <c r="C10" s="60"/>
      <c r="D10" s="59"/>
      <c r="E10" s="60"/>
      <c r="F10" s="95"/>
    </row>
    <row r="11" spans="1:6" s="32" customFormat="1" ht="15" x14ac:dyDescent="0.25">
      <c r="A11" s="33" t="s">
        <v>3</v>
      </c>
      <c r="B11" s="34" t="s">
        <v>4</v>
      </c>
      <c r="C11" s="33" t="s">
        <v>5</v>
      </c>
      <c r="D11" s="34" t="s">
        <v>0</v>
      </c>
      <c r="E11" s="33" t="s">
        <v>2</v>
      </c>
      <c r="F11" s="96" t="s">
        <v>1</v>
      </c>
    </row>
    <row r="12" spans="1:6" s="54" customFormat="1" ht="15.5" hidden="1" x14ac:dyDescent="0.25">
      <c r="A12" s="53">
        <v>37775</v>
      </c>
      <c r="B12" s="41" t="s">
        <v>228</v>
      </c>
      <c r="C12" s="35" t="s">
        <v>54</v>
      </c>
      <c r="D12" s="40" t="s">
        <v>17</v>
      </c>
      <c r="E12" s="63" t="s">
        <v>205</v>
      </c>
      <c r="F12" s="97" t="s">
        <v>17</v>
      </c>
    </row>
    <row r="13" spans="1:6" s="108" customFormat="1" ht="16.5" customHeight="1" x14ac:dyDescent="0.25">
      <c r="A13" s="104"/>
      <c r="B13" s="105"/>
      <c r="C13" s="106"/>
      <c r="D13" s="105"/>
      <c r="E13" s="106"/>
      <c r="F13" s="107"/>
    </row>
    <row r="14" spans="1:6" s="54" customFormat="1" ht="15.5" x14ac:dyDescent="0.25">
      <c r="A14" s="53">
        <v>38034</v>
      </c>
      <c r="B14" s="41" t="s">
        <v>256</v>
      </c>
      <c r="C14" s="35" t="s">
        <v>54</v>
      </c>
      <c r="D14" s="40" t="s">
        <v>17</v>
      </c>
      <c r="E14" s="35" t="s">
        <v>80</v>
      </c>
      <c r="F14" s="114" t="s">
        <v>17</v>
      </c>
    </row>
    <row r="15" spans="1:6" s="54" customFormat="1" ht="15" x14ac:dyDescent="0.25">
      <c r="A15" s="61">
        <v>38041</v>
      </c>
      <c r="B15" s="141" t="s">
        <v>320</v>
      </c>
      <c r="C15" s="142" t="s">
        <v>54</v>
      </c>
      <c r="D15" s="52" t="s">
        <v>298</v>
      </c>
      <c r="E15" s="142" t="s">
        <v>311</v>
      </c>
      <c r="F15" s="115" t="s">
        <v>288</v>
      </c>
    </row>
    <row r="16" spans="1:6" s="31" customFormat="1" ht="30" x14ac:dyDescent="0.3">
      <c r="A16" s="61">
        <v>38041</v>
      </c>
      <c r="B16" s="141" t="s">
        <v>319</v>
      </c>
      <c r="C16" s="142" t="s">
        <v>54</v>
      </c>
      <c r="D16" s="143" t="s">
        <v>98</v>
      </c>
      <c r="E16" s="142" t="s">
        <v>322</v>
      </c>
      <c r="F16" s="115" t="s">
        <v>106</v>
      </c>
    </row>
    <row r="17" spans="1:6" s="54" customFormat="1" ht="15.5" x14ac:dyDescent="0.25">
      <c r="A17" s="53">
        <v>38042</v>
      </c>
      <c r="B17" s="41" t="s">
        <v>256</v>
      </c>
      <c r="C17" s="35" t="s">
        <v>54</v>
      </c>
      <c r="D17" s="40" t="s">
        <v>17</v>
      </c>
      <c r="E17" s="35" t="s">
        <v>80</v>
      </c>
      <c r="F17" s="114" t="s">
        <v>17</v>
      </c>
    </row>
    <row r="18" spans="1:6" s="54" customFormat="1" ht="15.5" x14ac:dyDescent="0.25">
      <c r="A18" s="53">
        <v>38043</v>
      </c>
      <c r="B18" s="41" t="s">
        <v>256</v>
      </c>
      <c r="C18" s="35" t="s">
        <v>54</v>
      </c>
      <c r="D18" s="40" t="s">
        <v>17</v>
      </c>
      <c r="E18" s="35" t="s">
        <v>80</v>
      </c>
      <c r="F18" s="114" t="s">
        <v>17</v>
      </c>
    </row>
    <row r="19" spans="1:6" s="54" customFormat="1" ht="15.5" x14ac:dyDescent="0.25">
      <c r="A19" s="53">
        <v>38044</v>
      </c>
      <c r="B19" s="41" t="s">
        <v>255</v>
      </c>
      <c r="C19" s="35" t="s">
        <v>54</v>
      </c>
      <c r="D19" s="40" t="s">
        <v>17</v>
      </c>
      <c r="E19" s="35" t="s">
        <v>80</v>
      </c>
      <c r="F19" s="114" t="s">
        <v>17</v>
      </c>
    </row>
    <row r="20" spans="1:6" s="54" customFormat="1" ht="15.5" x14ac:dyDescent="0.25">
      <c r="A20" s="53">
        <v>38047</v>
      </c>
      <c r="B20" s="41" t="s">
        <v>256</v>
      </c>
      <c r="C20" s="35" t="s">
        <v>54</v>
      </c>
      <c r="D20" s="40" t="s">
        <v>17</v>
      </c>
      <c r="E20" s="35" t="s">
        <v>80</v>
      </c>
      <c r="F20" s="114" t="s">
        <v>17</v>
      </c>
    </row>
    <row r="21" spans="1:6" s="54" customFormat="1" ht="15.5" x14ac:dyDescent="0.25">
      <c r="A21" s="53">
        <v>38048</v>
      </c>
      <c r="B21" s="41" t="s">
        <v>255</v>
      </c>
      <c r="C21" s="35" t="s">
        <v>54</v>
      </c>
      <c r="D21" s="40" t="s">
        <v>17</v>
      </c>
      <c r="E21" s="35" t="s">
        <v>80</v>
      </c>
      <c r="F21" s="114" t="s">
        <v>17</v>
      </c>
    </row>
    <row r="22" spans="1:6" s="54" customFormat="1" ht="15.5" x14ac:dyDescent="0.25">
      <c r="A22" s="53">
        <v>38049</v>
      </c>
      <c r="B22" s="41" t="s">
        <v>256</v>
      </c>
      <c r="C22" s="35" t="s">
        <v>54</v>
      </c>
      <c r="D22" s="40" t="s">
        <v>17</v>
      </c>
      <c r="E22" s="35" t="s">
        <v>80</v>
      </c>
      <c r="F22" s="114" t="s">
        <v>17</v>
      </c>
    </row>
    <row r="23" spans="1:6" s="54" customFormat="1" ht="15.5" x14ac:dyDescent="0.25">
      <c r="A23" s="53">
        <v>38050</v>
      </c>
      <c r="B23" s="41" t="s">
        <v>256</v>
      </c>
      <c r="C23" s="35" t="s">
        <v>54</v>
      </c>
      <c r="D23" s="40" t="s">
        <v>17</v>
      </c>
      <c r="E23" s="35" t="s">
        <v>80</v>
      </c>
      <c r="F23" s="114" t="s">
        <v>17</v>
      </c>
    </row>
    <row r="24" spans="1:6" s="54" customFormat="1" ht="15.5" x14ac:dyDescent="0.25">
      <c r="A24" s="53">
        <v>38051</v>
      </c>
      <c r="B24" s="41" t="s">
        <v>255</v>
      </c>
      <c r="C24" s="35" t="s">
        <v>54</v>
      </c>
      <c r="D24" s="40" t="s">
        <v>17</v>
      </c>
      <c r="E24" s="35" t="s">
        <v>80</v>
      </c>
      <c r="F24" s="114" t="s">
        <v>17</v>
      </c>
    </row>
    <row r="25" spans="1:6" s="54" customFormat="1" ht="15.5" x14ac:dyDescent="0.25">
      <c r="A25" s="53">
        <v>38054</v>
      </c>
      <c r="B25" s="41" t="s">
        <v>255</v>
      </c>
      <c r="C25" s="35" t="s">
        <v>54</v>
      </c>
      <c r="D25" s="40" t="s">
        <v>17</v>
      </c>
      <c r="E25" s="35" t="s">
        <v>80</v>
      </c>
      <c r="F25" s="114" t="s">
        <v>17</v>
      </c>
    </row>
    <row r="26" spans="1:6" s="31" customFormat="1" ht="15" x14ac:dyDescent="0.3">
      <c r="A26" s="61">
        <v>38055</v>
      </c>
      <c r="B26" s="55" t="s">
        <v>228</v>
      </c>
      <c r="C26" s="92" t="s">
        <v>54</v>
      </c>
      <c r="D26" s="113" t="s">
        <v>42</v>
      </c>
      <c r="E26" s="112" t="s">
        <v>330</v>
      </c>
      <c r="F26" s="111" t="s">
        <v>276</v>
      </c>
    </row>
    <row r="27" spans="1:6" s="54" customFormat="1" ht="15.5" x14ac:dyDescent="0.25">
      <c r="A27" s="53">
        <v>38056</v>
      </c>
      <c r="B27" s="41" t="s">
        <v>256</v>
      </c>
      <c r="C27" s="35" t="s">
        <v>54</v>
      </c>
      <c r="D27" s="40" t="s">
        <v>17</v>
      </c>
      <c r="E27" s="35" t="s">
        <v>80</v>
      </c>
      <c r="F27" s="114" t="s">
        <v>17</v>
      </c>
    </row>
    <row r="28" spans="1:6" s="54" customFormat="1" ht="15.5" x14ac:dyDescent="0.25">
      <c r="A28" s="53">
        <v>38057</v>
      </c>
      <c r="B28" s="41" t="s">
        <v>256</v>
      </c>
      <c r="C28" s="35" t="s">
        <v>54</v>
      </c>
      <c r="D28" s="40" t="s">
        <v>17</v>
      </c>
      <c r="E28" s="35" t="s">
        <v>80</v>
      </c>
      <c r="F28" s="114" t="s">
        <v>17</v>
      </c>
    </row>
    <row r="29" spans="1:6" s="54" customFormat="1" ht="15.5" x14ac:dyDescent="0.25">
      <c r="A29" s="53">
        <v>38061</v>
      </c>
      <c r="B29" s="41" t="s">
        <v>255</v>
      </c>
      <c r="C29" s="35" t="s">
        <v>54</v>
      </c>
      <c r="D29" s="40" t="s">
        <v>17</v>
      </c>
      <c r="E29" s="35" t="s">
        <v>80</v>
      </c>
      <c r="F29" s="114" t="s">
        <v>17</v>
      </c>
    </row>
    <row r="30" spans="1:6" s="54" customFormat="1" ht="15.5" x14ac:dyDescent="0.25">
      <c r="A30" s="53">
        <v>38062</v>
      </c>
      <c r="B30" s="41" t="s">
        <v>256</v>
      </c>
      <c r="C30" s="35" t="s">
        <v>54</v>
      </c>
      <c r="D30" s="40" t="s">
        <v>17</v>
      </c>
      <c r="E30" s="35" t="s">
        <v>80</v>
      </c>
      <c r="F30" s="114" t="s">
        <v>17</v>
      </c>
    </row>
    <row r="31" spans="1:6" s="54" customFormat="1" ht="15.5" x14ac:dyDescent="0.25">
      <c r="A31" s="53">
        <v>38063</v>
      </c>
      <c r="B31" s="41" t="s">
        <v>256</v>
      </c>
      <c r="C31" s="35" t="s">
        <v>54</v>
      </c>
      <c r="D31" s="40" t="s">
        <v>17</v>
      </c>
      <c r="E31" s="35" t="s">
        <v>80</v>
      </c>
      <c r="F31" s="114" t="s">
        <v>17</v>
      </c>
    </row>
    <row r="32" spans="1:6" s="31" customFormat="1" ht="30" x14ac:dyDescent="0.25">
      <c r="A32" s="61">
        <v>38064</v>
      </c>
      <c r="B32" s="55" t="s">
        <v>307</v>
      </c>
      <c r="C32" s="92" t="s">
        <v>54</v>
      </c>
      <c r="D32" s="52" t="s">
        <v>131</v>
      </c>
      <c r="E32" s="92" t="s">
        <v>323</v>
      </c>
      <c r="F32" s="115" t="s">
        <v>137</v>
      </c>
    </row>
    <row r="33" spans="1:6" s="31" customFormat="1" ht="15.5" x14ac:dyDescent="0.25">
      <c r="A33" s="61">
        <v>38064</v>
      </c>
      <c r="B33" s="55" t="s">
        <v>308</v>
      </c>
      <c r="C33" s="35" t="s">
        <v>54</v>
      </c>
      <c r="D33" s="114" t="s">
        <v>17</v>
      </c>
      <c r="E33" s="35" t="s">
        <v>80</v>
      </c>
      <c r="F33" s="114" t="s">
        <v>17</v>
      </c>
    </row>
    <row r="34" spans="1:6" s="54" customFormat="1" ht="15.5" x14ac:dyDescent="0.25">
      <c r="A34" s="53">
        <v>38068</v>
      </c>
      <c r="B34" s="41" t="s">
        <v>256</v>
      </c>
      <c r="C34" s="35" t="s">
        <v>54</v>
      </c>
      <c r="D34" s="40" t="s">
        <v>17</v>
      </c>
      <c r="E34" s="35" t="s">
        <v>80</v>
      </c>
      <c r="F34" s="114" t="s">
        <v>17</v>
      </c>
    </row>
    <row r="35" spans="1:6" s="31" customFormat="1" ht="30" x14ac:dyDescent="0.25">
      <c r="A35" s="61">
        <v>38069</v>
      </c>
      <c r="B35" s="144" t="s">
        <v>286</v>
      </c>
      <c r="C35" s="142" t="s">
        <v>54</v>
      </c>
      <c r="D35" s="52" t="s">
        <v>302</v>
      </c>
      <c r="E35" s="142" t="s">
        <v>303</v>
      </c>
      <c r="F35" s="115" t="s">
        <v>292</v>
      </c>
    </row>
    <row r="36" spans="1:6" s="31" customFormat="1" ht="30" x14ac:dyDescent="0.25">
      <c r="A36" s="61">
        <v>38069</v>
      </c>
      <c r="B36" s="141" t="s">
        <v>287</v>
      </c>
      <c r="C36" s="142" t="s">
        <v>54</v>
      </c>
      <c r="D36" s="52" t="s">
        <v>297</v>
      </c>
      <c r="E36" s="142" t="s">
        <v>300</v>
      </c>
      <c r="F36" s="115" t="s">
        <v>292</v>
      </c>
    </row>
    <row r="37" spans="1:6" s="31" customFormat="1" ht="30" x14ac:dyDescent="0.25">
      <c r="A37" s="61">
        <v>38069</v>
      </c>
      <c r="B37" s="141" t="s">
        <v>290</v>
      </c>
      <c r="C37" s="142" t="s">
        <v>54</v>
      </c>
      <c r="D37" s="52" t="s">
        <v>297</v>
      </c>
      <c r="E37" s="142" t="s">
        <v>300</v>
      </c>
      <c r="F37" s="115" t="s">
        <v>291</v>
      </c>
    </row>
    <row r="38" spans="1:6" s="31" customFormat="1" ht="30" x14ac:dyDescent="0.25">
      <c r="A38" s="61">
        <v>38069</v>
      </c>
      <c r="B38" s="141" t="s">
        <v>306</v>
      </c>
      <c r="C38" s="142" t="s">
        <v>54</v>
      </c>
      <c r="D38" s="52" t="s">
        <v>297</v>
      </c>
      <c r="E38" s="142" t="s">
        <v>300</v>
      </c>
      <c r="F38" s="115" t="s">
        <v>304</v>
      </c>
    </row>
    <row r="39" spans="1:6" s="31" customFormat="1" ht="30" x14ac:dyDescent="0.25">
      <c r="A39" s="61">
        <v>38069</v>
      </c>
      <c r="B39" s="141" t="s">
        <v>295</v>
      </c>
      <c r="C39" s="142" t="s">
        <v>54</v>
      </c>
      <c r="D39" s="52" t="s">
        <v>302</v>
      </c>
      <c r="E39" s="142" t="s">
        <v>303</v>
      </c>
      <c r="F39" s="115" t="s">
        <v>305</v>
      </c>
    </row>
    <row r="40" spans="1:6" s="31" customFormat="1" ht="15" x14ac:dyDescent="0.25">
      <c r="A40" s="61">
        <v>38070</v>
      </c>
      <c r="B40" s="141" t="s">
        <v>307</v>
      </c>
      <c r="C40" s="142" t="s">
        <v>54</v>
      </c>
      <c r="D40" s="52" t="s">
        <v>298</v>
      </c>
      <c r="E40" s="142" t="s">
        <v>299</v>
      </c>
      <c r="F40" s="115" t="s">
        <v>301</v>
      </c>
    </row>
    <row r="41" spans="1:6" s="31" customFormat="1" ht="15" x14ac:dyDescent="0.25">
      <c r="A41" s="61">
        <v>38070</v>
      </c>
      <c r="B41" s="141" t="s">
        <v>308</v>
      </c>
      <c r="C41" s="142" t="s">
        <v>54</v>
      </c>
      <c r="D41" s="52" t="s">
        <v>298</v>
      </c>
      <c r="E41" s="142" t="s">
        <v>299</v>
      </c>
      <c r="F41" s="115" t="s">
        <v>293</v>
      </c>
    </row>
    <row r="42" spans="1:6" s="31" customFormat="1" ht="15" x14ac:dyDescent="0.25">
      <c r="A42" s="61">
        <v>38070</v>
      </c>
      <c r="B42" s="141" t="s">
        <v>309</v>
      </c>
      <c r="C42" s="142" t="s">
        <v>54</v>
      </c>
      <c r="D42" s="52" t="s">
        <v>298</v>
      </c>
      <c r="E42" s="142" t="s">
        <v>299</v>
      </c>
      <c r="F42" s="115" t="s">
        <v>294</v>
      </c>
    </row>
    <row r="43" spans="1:6" s="31" customFormat="1" ht="15" x14ac:dyDescent="0.25">
      <c r="A43" s="61">
        <v>38070</v>
      </c>
      <c r="B43" s="141" t="s">
        <v>310</v>
      </c>
      <c r="C43" s="142" t="s">
        <v>54</v>
      </c>
      <c r="D43" s="52" t="s">
        <v>298</v>
      </c>
      <c r="E43" s="142" t="s">
        <v>299</v>
      </c>
      <c r="F43" s="115" t="s">
        <v>296</v>
      </c>
    </row>
    <row r="44" spans="1:6" s="31" customFormat="1" ht="30" x14ac:dyDescent="0.25">
      <c r="A44" s="61">
        <v>38071</v>
      </c>
      <c r="B44" s="141" t="s">
        <v>307</v>
      </c>
      <c r="C44" s="142" t="s">
        <v>54</v>
      </c>
      <c r="D44" s="52" t="s">
        <v>325</v>
      </c>
      <c r="E44" s="92" t="s">
        <v>326</v>
      </c>
      <c r="F44" s="115" t="s">
        <v>327</v>
      </c>
    </row>
    <row r="45" spans="1:6" s="31" customFormat="1" ht="30" x14ac:dyDescent="0.25">
      <c r="A45" s="61">
        <v>38071</v>
      </c>
      <c r="B45" s="141" t="s">
        <v>308</v>
      </c>
      <c r="C45" s="142" t="s">
        <v>54</v>
      </c>
      <c r="D45" s="52" t="s">
        <v>231</v>
      </c>
      <c r="E45" s="92" t="s">
        <v>331</v>
      </c>
      <c r="F45" s="115" t="s">
        <v>329</v>
      </c>
    </row>
    <row r="46" spans="1:6" s="54" customFormat="1" ht="15.5" x14ac:dyDescent="0.25">
      <c r="A46" s="53">
        <v>38075</v>
      </c>
      <c r="B46" s="41" t="s">
        <v>255</v>
      </c>
      <c r="C46" s="35" t="s">
        <v>54</v>
      </c>
      <c r="D46" s="40" t="s">
        <v>17</v>
      </c>
      <c r="E46" s="35" t="s">
        <v>80</v>
      </c>
      <c r="F46" s="114" t="s">
        <v>17</v>
      </c>
    </row>
    <row r="47" spans="1:6" s="31" customFormat="1" ht="30" x14ac:dyDescent="0.3">
      <c r="A47" s="61">
        <v>38076</v>
      </c>
      <c r="B47" s="55" t="s">
        <v>319</v>
      </c>
      <c r="C47" s="92" t="s">
        <v>54</v>
      </c>
      <c r="D47" s="152" t="s">
        <v>325</v>
      </c>
      <c r="E47" s="92" t="s">
        <v>326</v>
      </c>
      <c r="F47" s="153" t="s">
        <v>328</v>
      </c>
    </row>
    <row r="48" spans="1:6" s="54" customFormat="1" ht="15.5" x14ac:dyDescent="0.25">
      <c r="A48" s="53">
        <v>38077</v>
      </c>
      <c r="B48" s="41" t="s">
        <v>256</v>
      </c>
      <c r="C48" s="35" t="s">
        <v>54</v>
      </c>
      <c r="D48" s="40" t="s">
        <v>17</v>
      </c>
      <c r="E48" s="35" t="s">
        <v>80</v>
      </c>
      <c r="F48" s="114" t="s">
        <v>17</v>
      </c>
    </row>
    <row r="49" spans="1:6" ht="15.5" x14ac:dyDescent="0.25">
      <c r="A49" s="53">
        <v>38078</v>
      </c>
      <c r="B49" s="41" t="s">
        <v>256</v>
      </c>
      <c r="C49" s="35" t="s">
        <v>54</v>
      </c>
      <c r="D49" s="40" t="s">
        <v>17</v>
      </c>
      <c r="E49" s="35" t="s">
        <v>80</v>
      </c>
      <c r="F49" s="114" t="s">
        <v>17</v>
      </c>
    </row>
    <row r="50" spans="1:6" ht="15.5" x14ac:dyDescent="0.25">
      <c r="A50" s="53">
        <v>38090</v>
      </c>
      <c r="B50" s="41" t="s">
        <v>256</v>
      </c>
      <c r="C50" s="35" t="s">
        <v>54</v>
      </c>
      <c r="D50" s="40" t="s">
        <v>17</v>
      </c>
      <c r="E50" s="35" t="s">
        <v>80</v>
      </c>
      <c r="F50" s="114" t="s">
        <v>17</v>
      </c>
    </row>
    <row r="51" spans="1:6" ht="15.5" x14ac:dyDescent="0.25">
      <c r="A51" s="53">
        <v>38091</v>
      </c>
      <c r="B51" s="41" t="s">
        <v>255</v>
      </c>
      <c r="C51" s="35" t="s">
        <v>54</v>
      </c>
      <c r="D51" s="40" t="s">
        <v>17</v>
      </c>
      <c r="E51" s="35" t="s">
        <v>80</v>
      </c>
      <c r="F51" s="114" t="s">
        <v>17</v>
      </c>
    </row>
    <row r="52" spans="1:6" ht="15.5" x14ac:dyDescent="0.25">
      <c r="A52" s="53">
        <v>38092</v>
      </c>
      <c r="B52" s="41" t="s">
        <v>256</v>
      </c>
      <c r="C52" s="35" t="s">
        <v>54</v>
      </c>
      <c r="D52" s="40" t="s">
        <v>17</v>
      </c>
      <c r="E52" s="35" t="s">
        <v>80</v>
      </c>
      <c r="F52" s="114" t="s">
        <v>17</v>
      </c>
    </row>
    <row r="53" spans="1:6" ht="15.5" x14ac:dyDescent="0.25">
      <c r="A53" s="53">
        <v>38096</v>
      </c>
      <c r="B53" s="41" t="s">
        <v>255</v>
      </c>
      <c r="C53" s="35" t="s">
        <v>54</v>
      </c>
      <c r="D53" s="40" t="s">
        <v>17</v>
      </c>
      <c r="E53" s="35" t="s">
        <v>80</v>
      </c>
      <c r="F53" s="114" t="s">
        <v>17</v>
      </c>
    </row>
    <row r="54" spans="1:6" ht="15.5" x14ac:dyDescent="0.25">
      <c r="A54" s="53">
        <v>38097</v>
      </c>
      <c r="B54" s="41" t="s">
        <v>255</v>
      </c>
      <c r="C54" s="35" t="s">
        <v>54</v>
      </c>
      <c r="D54" s="40" t="s">
        <v>17</v>
      </c>
      <c r="E54" s="35" t="s">
        <v>80</v>
      </c>
      <c r="F54" s="114" t="s">
        <v>17</v>
      </c>
    </row>
    <row r="55" spans="1:6" ht="15.5" x14ac:dyDescent="0.25">
      <c r="A55" s="53">
        <v>38098</v>
      </c>
      <c r="B55" s="41" t="s">
        <v>256</v>
      </c>
      <c r="C55" s="35" t="s">
        <v>54</v>
      </c>
      <c r="D55" s="40" t="s">
        <v>17</v>
      </c>
      <c r="E55" s="35" t="s">
        <v>80</v>
      </c>
      <c r="F55" s="114" t="s">
        <v>17</v>
      </c>
    </row>
    <row r="56" spans="1:6" ht="15.5" x14ac:dyDescent="0.25">
      <c r="A56" s="53">
        <v>38099</v>
      </c>
      <c r="B56" s="41" t="s">
        <v>255</v>
      </c>
      <c r="C56" s="35" t="s">
        <v>54</v>
      </c>
      <c r="D56" s="40" t="s">
        <v>17</v>
      </c>
      <c r="E56" s="35" t="s">
        <v>80</v>
      </c>
      <c r="F56" s="114" t="s">
        <v>17</v>
      </c>
    </row>
    <row r="57" spans="1:6" ht="15.5" x14ac:dyDescent="0.25">
      <c r="A57" s="53">
        <v>38104</v>
      </c>
      <c r="B57" s="41" t="s">
        <v>256</v>
      </c>
      <c r="C57" s="35" t="s">
        <v>54</v>
      </c>
      <c r="D57" s="40" t="s">
        <v>17</v>
      </c>
      <c r="E57" s="35" t="s">
        <v>80</v>
      </c>
      <c r="F57" s="114" t="s">
        <v>17</v>
      </c>
    </row>
    <row r="58" spans="1:6" ht="15.5" x14ac:dyDescent="0.25">
      <c r="A58" s="53">
        <v>38105</v>
      </c>
      <c r="B58" s="41" t="s">
        <v>255</v>
      </c>
      <c r="C58" s="35" t="s">
        <v>54</v>
      </c>
      <c r="D58" s="40" t="s">
        <v>17</v>
      </c>
      <c r="E58" s="35" t="s">
        <v>80</v>
      </c>
      <c r="F58" s="114" t="s">
        <v>17</v>
      </c>
    </row>
    <row r="59" spans="1:6" ht="15.5" x14ac:dyDescent="0.25">
      <c r="A59" s="53">
        <v>38106</v>
      </c>
      <c r="B59" s="41" t="s">
        <v>256</v>
      </c>
      <c r="C59" s="35" t="s">
        <v>54</v>
      </c>
      <c r="D59" s="40" t="s">
        <v>17</v>
      </c>
      <c r="E59" s="35" t="s">
        <v>80</v>
      </c>
      <c r="F59" s="114" t="s">
        <v>17</v>
      </c>
    </row>
    <row r="60" spans="1:6" ht="15.5" x14ac:dyDescent="0.25">
      <c r="A60" s="53">
        <v>38111</v>
      </c>
      <c r="B60" s="41" t="s">
        <v>255</v>
      </c>
      <c r="C60" s="35" t="s">
        <v>54</v>
      </c>
      <c r="D60" s="40" t="s">
        <v>17</v>
      </c>
      <c r="E60" s="35" t="s">
        <v>80</v>
      </c>
      <c r="F60" s="114" t="s">
        <v>17</v>
      </c>
    </row>
    <row r="61" spans="1:6" ht="15.5" x14ac:dyDescent="0.25">
      <c r="A61" s="53">
        <v>38112</v>
      </c>
      <c r="B61" s="41" t="s">
        <v>256</v>
      </c>
      <c r="C61" s="35" t="s">
        <v>54</v>
      </c>
      <c r="D61" s="40" t="s">
        <v>17</v>
      </c>
      <c r="E61" s="35" t="s">
        <v>80</v>
      </c>
      <c r="F61" s="114" t="s">
        <v>17</v>
      </c>
    </row>
    <row r="62" spans="1:6" ht="15.5" x14ac:dyDescent="0.25">
      <c r="A62" s="53">
        <v>38113</v>
      </c>
      <c r="B62" s="41" t="s">
        <v>255</v>
      </c>
      <c r="C62" s="35" t="s">
        <v>54</v>
      </c>
      <c r="D62" s="40" t="s">
        <v>17</v>
      </c>
      <c r="E62" s="35" t="s">
        <v>80</v>
      </c>
      <c r="F62" s="114" t="s">
        <v>17</v>
      </c>
    </row>
    <row r="63" spans="1:6" ht="15.5" x14ac:dyDescent="0.25">
      <c r="A63" s="53">
        <v>38118</v>
      </c>
      <c r="B63" s="41" t="s">
        <v>256</v>
      </c>
      <c r="C63" s="35" t="s">
        <v>54</v>
      </c>
      <c r="D63" s="40" t="s">
        <v>17</v>
      </c>
      <c r="E63" s="35" t="s">
        <v>80</v>
      </c>
      <c r="F63" s="114" t="s">
        <v>17</v>
      </c>
    </row>
    <row r="64" spans="1:6" ht="15.5" x14ac:dyDescent="0.25">
      <c r="A64" s="53">
        <v>38089</v>
      </c>
      <c r="B64" s="41" t="s">
        <v>255</v>
      </c>
      <c r="C64" s="35" t="s">
        <v>54</v>
      </c>
      <c r="D64" s="40" t="s">
        <v>17</v>
      </c>
      <c r="E64" s="35" t="s">
        <v>80</v>
      </c>
      <c r="F64" s="114" t="s">
        <v>17</v>
      </c>
    </row>
    <row r="65" spans="1:6" ht="15.5" x14ac:dyDescent="0.25">
      <c r="A65" s="53">
        <v>38120</v>
      </c>
      <c r="B65" s="41" t="s">
        <v>256</v>
      </c>
      <c r="C65" s="35" t="s">
        <v>54</v>
      </c>
      <c r="D65" s="40" t="s">
        <v>17</v>
      </c>
      <c r="E65" s="35" t="s">
        <v>80</v>
      </c>
      <c r="F65" s="114" t="s">
        <v>17</v>
      </c>
    </row>
    <row r="66" spans="1:6" ht="15.5" x14ac:dyDescent="0.25">
      <c r="A66" s="53">
        <v>38125</v>
      </c>
      <c r="B66" s="41" t="s">
        <v>255</v>
      </c>
      <c r="C66" s="35" t="s">
        <v>54</v>
      </c>
      <c r="D66" s="40" t="s">
        <v>17</v>
      </c>
      <c r="E66" s="35" t="s">
        <v>80</v>
      </c>
      <c r="F66" s="114" t="s">
        <v>17</v>
      </c>
    </row>
    <row r="67" spans="1:6" ht="15.5" x14ac:dyDescent="0.25">
      <c r="A67" s="53">
        <v>38126</v>
      </c>
      <c r="B67" s="41" t="s">
        <v>256</v>
      </c>
      <c r="C67" s="35" t="s">
        <v>54</v>
      </c>
      <c r="D67" s="40" t="s">
        <v>17</v>
      </c>
      <c r="E67" s="35" t="s">
        <v>80</v>
      </c>
      <c r="F67" s="114" t="s">
        <v>17</v>
      </c>
    </row>
    <row r="68" spans="1:6" ht="15.5" x14ac:dyDescent="0.25">
      <c r="A68" s="53">
        <v>38127</v>
      </c>
      <c r="B68" s="41" t="s">
        <v>255</v>
      </c>
      <c r="C68" s="35" t="s">
        <v>54</v>
      </c>
      <c r="D68" s="40" t="s">
        <v>17</v>
      </c>
      <c r="E68" s="35" t="s">
        <v>80</v>
      </c>
      <c r="F68" s="114" t="s">
        <v>17</v>
      </c>
    </row>
    <row r="69" spans="1:6" ht="15.5" x14ac:dyDescent="0.25">
      <c r="A69" s="53">
        <v>38120</v>
      </c>
      <c r="B69" s="41" t="s">
        <v>256</v>
      </c>
      <c r="C69" s="35" t="s">
        <v>54</v>
      </c>
      <c r="D69" s="40" t="s">
        <v>17</v>
      </c>
      <c r="E69" s="35" t="s">
        <v>80</v>
      </c>
      <c r="F69" s="114" t="s">
        <v>17</v>
      </c>
    </row>
    <row r="70" spans="1:6" ht="15.5" x14ac:dyDescent="0.25">
      <c r="A70" s="53">
        <v>38132</v>
      </c>
      <c r="B70" s="41" t="s">
        <v>255</v>
      </c>
      <c r="C70" s="35" t="s">
        <v>54</v>
      </c>
      <c r="D70" s="40" t="s">
        <v>17</v>
      </c>
      <c r="E70" s="35" t="s">
        <v>80</v>
      </c>
      <c r="F70" s="114" t="s">
        <v>17</v>
      </c>
    </row>
    <row r="71" spans="1:6" ht="15.5" x14ac:dyDescent="0.25">
      <c r="A71" s="53">
        <v>38133</v>
      </c>
      <c r="B71" s="41" t="s">
        <v>256</v>
      </c>
      <c r="C71" s="35" t="s">
        <v>54</v>
      </c>
      <c r="D71" s="40" t="s">
        <v>17</v>
      </c>
      <c r="E71" s="35" t="s">
        <v>80</v>
      </c>
      <c r="F71" s="114" t="s">
        <v>17</v>
      </c>
    </row>
    <row r="72" spans="1:6" ht="15.5" x14ac:dyDescent="0.25">
      <c r="A72" s="53">
        <v>38134</v>
      </c>
      <c r="B72" s="41" t="s">
        <v>255</v>
      </c>
      <c r="C72" s="35" t="s">
        <v>54</v>
      </c>
      <c r="D72" s="40" t="s">
        <v>17</v>
      </c>
      <c r="E72" s="35" t="s">
        <v>80</v>
      </c>
      <c r="F72" s="114" t="s">
        <v>17</v>
      </c>
    </row>
    <row r="73" spans="1:6" ht="15.5" x14ac:dyDescent="0.25">
      <c r="A73" s="53">
        <v>38139</v>
      </c>
      <c r="B73" s="41" t="s">
        <v>256</v>
      </c>
      <c r="C73" s="35" t="s">
        <v>54</v>
      </c>
      <c r="D73" s="40" t="s">
        <v>17</v>
      </c>
      <c r="E73" s="35" t="s">
        <v>80</v>
      </c>
      <c r="F73" s="114" t="s">
        <v>17</v>
      </c>
    </row>
    <row r="74" spans="1:6" ht="15.5" x14ac:dyDescent="0.25">
      <c r="A74" s="53">
        <v>38140</v>
      </c>
      <c r="B74" s="41" t="s">
        <v>256</v>
      </c>
      <c r="C74" s="35" t="s">
        <v>54</v>
      </c>
      <c r="D74" s="40" t="s">
        <v>17</v>
      </c>
      <c r="E74" s="35" t="s">
        <v>80</v>
      </c>
      <c r="F74" s="114" t="s">
        <v>17</v>
      </c>
    </row>
    <row r="75" spans="1:6" ht="15.5" x14ac:dyDescent="0.25">
      <c r="A75" s="53">
        <v>38141</v>
      </c>
      <c r="B75" s="41" t="s">
        <v>256</v>
      </c>
      <c r="C75" s="35" t="s">
        <v>54</v>
      </c>
      <c r="D75" s="40" t="s">
        <v>17</v>
      </c>
      <c r="E75" s="35" t="s">
        <v>80</v>
      </c>
      <c r="F75" s="114" t="s">
        <v>17</v>
      </c>
    </row>
    <row r="76" spans="1:6" ht="15.5" x14ac:dyDescent="0.25">
      <c r="A76" s="53">
        <v>38146</v>
      </c>
      <c r="B76" s="41" t="s">
        <v>256</v>
      </c>
      <c r="C76" s="35" t="s">
        <v>54</v>
      </c>
      <c r="D76" s="40" t="s">
        <v>17</v>
      </c>
      <c r="E76" s="35" t="s">
        <v>80</v>
      </c>
      <c r="F76" s="114" t="s">
        <v>17</v>
      </c>
    </row>
    <row r="77" spans="1:6" ht="15.5" x14ac:dyDescent="0.25">
      <c r="A77" s="53">
        <v>38147</v>
      </c>
      <c r="B77" s="41" t="s">
        <v>256</v>
      </c>
      <c r="C77" s="35" t="s">
        <v>54</v>
      </c>
      <c r="D77" s="40" t="s">
        <v>17</v>
      </c>
      <c r="E77" s="35" t="s">
        <v>80</v>
      </c>
      <c r="F77" s="114" t="s">
        <v>17</v>
      </c>
    </row>
    <row r="78" spans="1:6" ht="15.5" x14ac:dyDescent="0.25">
      <c r="A78" s="53">
        <v>38148</v>
      </c>
      <c r="B78" s="41" t="s">
        <v>256</v>
      </c>
      <c r="C78" s="35" t="s">
        <v>54</v>
      </c>
      <c r="D78" s="40" t="s">
        <v>17</v>
      </c>
      <c r="E78" s="35" t="s">
        <v>80</v>
      </c>
      <c r="F78" s="114" t="s">
        <v>17</v>
      </c>
    </row>
    <row r="79" spans="1:6" ht="15.5" x14ac:dyDescent="0.25">
      <c r="A79" s="53">
        <v>38153</v>
      </c>
      <c r="B79" s="41" t="s">
        <v>256</v>
      </c>
      <c r="C79" s="35" t="s">
        <v>54</v>
      </c>
      <c r="D79" s="40" t="s">
        <v>17</v>
      </c>
      <c r="E79" s="35" t="s">
        <v>80</v>
      </c>
      <c r="F79" s="114" t="s">
        <v>17</v>
      </c>
    </row>
    <row r="80" spans="1:6" ht="15.5" x14ac:dyDescent="0.25">
      <c r="A80" s="53">
        <v>38154</v>
      </c>
      <c r="B80" s="41" t="s">
        <v>256</v>
      </c>
      <c r="C80" s="35" t="s">
        <v>54</v>
      </c>
      <c r="D80" s="40" t="s">
        <v>17</v>
      </c>
      <c r="E80" s="35" t="s">
        <v>80</v>
      </c>
      <c r="F80" s="114" t="s">
        <v>17</v>
      </c>
    </row>
    <row r="81" spans="1:6" ht="15.5" x14ac:dyDescent="0.25">
      <c r="A81" s="53">
        <v>38155</v>
      </c>
      <c r="B81" s="41" t="s">
        <v>256</v>
      </c>
      <c r="C81" s="35" t="s">
        <v>54</v>
      </c>
      <c r="D81" s="40" t="s">
        <v>17</v>
      </c>
      <c r="E81" s="35" t="s">
        <v>80</v>
      </c>
      <c r="F81" s="114" t="s">
        <v>17</v>
      </c>
    </row>
    <row r="82" spans="1:6" ht="15.5" x14ac:dyDescent="0.25">
      <c r="A82" s="53">
        <v>38160</v>
      </c>
      <c r="B82" s="41" t="s">
        <v>256</v>
      </c>
      <c r="C82" s="35" t="s">
        <v>54</v>
      </c>
      <c r="D82" s="40" t="s">
        <v>17</v>
      </c>
      <c r="E82" s="35" t="s">
        <v>80</v>
      </c>
      <c r="F82" s="114" t="s">
        <v>17</v>
      </c>
    </row>
    <row r="83" spans="1:6" ht="15.5" x14ac:dyDescent="0.25">
      <c r="A83" s="53">
        <v>38161</v>
      </c>
      <c r="B83" s="41" t="s">
        <v>256</v>
      </c>
      <c r="C83" s="35" t="s">
        <v>54</v>
      </c>
      <c r="D83" s="40" t="s">
        <v>17</v>
      </c>
      <c r="E83" s="35" t="s">
        <v>80</v>
      </c>
      <c r="F83" s="114" t="s">
        <v>17</v>
      </c>
    </row>
    <row r="84" spans="1:6" ht="15.5" x14ac:dyDescent="0.25">
      <c r="A84" s="53">
        <v>38162</v>
      </c>
      <c r="B84" s="41" t="s">
        <v>256</v>
      </c>
      <c r="C84" s="35" t="s">
        <v>54</v>
      </c>
      <c r="D84" s="40" t="s">
        <v>17</v>
      </c>
      <c r="E84" s="35" t="s">
        <v>80</v>
      </c>
      <c r="F84" s="114" t="s">
        <v>17</v>
      </c>
    </row>
    <row r="85" spans="1:6" ht="15.5" x14ac:dyDescent="0.25">
      <c r="A85" s="53">
        <v>38167</v>
      </c>
      <c r="B85" s="41" t="s">
        <v>256</v>
      </c>
      <c r="C85" s="35" t="s">
        <v>54</v>
      </c>
      <c r="D85" s="40" t="s">
        <v>17</v>
      </c>
      <c r="E85" s="35" t="s">
        <v>80</v>
      </c>
      <c r="F85" s="114" t="s">
        <v>17</v>
      </c>
    </row>
    <row r="86" spans="1:6" ht="15.5" x14ac:dyDescent="0.25">
      <c r="A86" s="53">
        <v>38168</v>
      </c>
      <c r="B86" s="41" t="s">
        <v>256</v>
      </c>
      <c r="C86" s="35" t="s">
        <v>54</v>
      </c>
      <c r="D86" s="40" t="s">
        <v>17</v>
      </c>
      <c r="E86" s="35" t="s">
        <v>80</v>
      </c>
      <c r="F86" s="114" t="s">
        <v>17</v>
      </c>
    </row>
    <row r="87" spans="1:6" ht="15.5" x14ac:dyDescent="0.25">
      <c r="A87" s="53">
        <v>38169</v>
      </c>
      <c r="B87" s="41" t="s">
        <v>256</v>
      </c>
      <c r="C87" s="35" t="s">
        <v>54</v>
      </c>
      <c r="D87" s="40" t="s">
        <v>17</v>
      </c>
      <c r="E87" s="35" t="s">
        <v>80</v>
      </c>
      <c r="F87" s="114" t="s">
        <v>17</v>
      </c>
    </row>
    <row r="88" spans="1:6" ht="15.5" x14ac:dyDescent="0.25">
      <c r="A88" s="53">
        <v>38174</v>
      </c>
      <c r="B88" s="41" t="s">
        <v>256</v>
      </c>
      <c r="C88" s="35" t="s">
        <v>54</v>
      </c>
      <c r="D88" s="40" t="s">
        <v>17</v>
      </c>
      <c r="E88" s="35" t="s">
        <v>80</v>
      </c>
      <c r="F88" s="114" t="s">
        <v>17</v>
      </c>
    </row>
    <row r="89" spans="1:6" ht="15.5" x14ac:dyDescent="0.25">
      <c r="A89" s="53">
        <v>38175</v>
      </c>
      <c r="B89" s="41" t="s">
        <v>256</v>
      </c>
      <c r="C89" s="35" t="s">
        <v>54</v>
      </c>
      <c r="D89" s="40" t="s">
        <v>17</v>
      </c>
      <c r="E89" s="35" t="s">
        <v>80</v>
      </c>
      <c r="F89" s="114" t="s">
        <v>17</v>
      </c>
    </row>
    <row r="90" spans="1:6" ht="15.5" x14ac:dyDescent="0.25">
      <c r="A90" s="53">
        <v>38176</v>
      </c>
      <c r="B90" s="41" t="s">
        <v>256</v>
      </c>
      <c r="C90" s="35" t="s">
        <v>54</v>
      </c>
      <c r="D90" s="40" t="s">
        <v>17</v>
      </c>
      <c r="E90" s="35" t="s">
        <v>80</v>
      </c>
      <c r="F90" s="114" t="s">
        <v>17</v>
      </c>
    </row>
    <row r="91" spans="1:6" ht="15.5" x14ac:dyDescent="0.25">
      <c r="A91" s="53">
        <v>38181</v>
      </c>
      <c r="B91" s="41" t="s">
        <v>256</v>
      </c>
      <c r="C91" s="35" t="s">
        <v>54</v>
      </c>
      <c r="D91" s="40" t="s">
        <v>17</v>
      </c>
      <c r="E91" s="35" t="s">
        <v>80</v>
      </c>
      <c r="F91" s="114" t="s">
        <v>17</v>
      </c>
    </row>
    <row r="92" spans="1:6" ht="15.5" x14ac:dyDescent="0.25">
      <c r="A92" s="53">
        <v>38182</v>
      </c>
      <c r="B92" s="41" t="s">
        <v>256</v>
      </c>
      <c r="C92" s="35" t="s">
        <v>54</v>
      </c>
      <c r="D92" s="40" t="s">
        <v>17</v>
      </c>
      <c r="E92" s="35" t="s">
        <v>80</v>
      </c>
      <c r="F92" s="114" t="s">
        <v>17</v>
      </c>
    </row>
    <row r="93" spans="1:6" ht="15.5" x14ac:dyDescent="0.25">
      <c r="A93" s="53">
        <v>38183</v>
      </c>
      <c r="B93" s="41" t="s">
        <v>256</v>
      </c>
      <c r="C93" s="35" t="s">
        <v>54</v>
      </c>
      <c r="D93" s="40" t="s">
        <v>17</v>
      </c>
      <c r="E93" s="35" t="s">
        <v>80</v>
      </c>
      <c r="F93" s="114" t="s">
        <v>17</v>
      </c>
    </row>
    <row r="94" spans="1:6" ht="15.5" x14ac:dyDescent="0.25">
      <c r="A94" s="53">
        <v>38188</v>
      </c>
      <c r="B94" s="41" t="s">
        <v>256</v>
      </c>
      <c r="C94" s="35" t="s">
        <v>54</v>
      </c>
      <c r="D94" s="40" t="s">
        <v>17</v>
      </c>
      <c r="E94" s="35" t="s">
        <v>80</v>
      </c>
      <c r="F94" s="114" t="s">
        <v>17</v>
      </c>
    </row>
    <row r="95" spans="1:6" ht="15.5" x14ac:dyDescent="0.25">
      <c r="A95" s="53">
        <v>38189</v>
      </c>
      <c r="B95" s="41" t="s">
        <v>256</v>
      </c>
      <c r="C95" s="35" t="s">
        <v>54</v>
      </c>
      <c r="D95" s="40" t="s">
        <v>17</v>
      </c>
      <c r="E95" s="35" t="s">
        <v>80</v>
      </c>
      <c r="F95" s="114" t="s">
        <v>17</v>
      </c>
    </row>
    <row r="96" spans="1:6" ht="15.5" x14ac:dyDescent="0.25">
      <c r="A96" s="53">
        <v>38190</v>
      </c>
      <c r="B96" s="41" t="s">
        <v>256</v>
      </c>
      <c r="C96" s="35" t="s">
        <v>54</v>
      </c>
      <c r="D96" s="40" t="s">
        <v>17</v>
      </c>
      <c r="E96" s="35" t="s">
        <v>80</v>
      </c>
      <c r="F96" s="114" t="s">
        <v>17</v>
      </c>
    </row>
    <row r="97" spans="1:6" ht="15.5" x14ac:dyDescent="0.25">
      <c r="A97" s="53">
        <v>38195</v>
      </c>
      <c r="B97" s="41" t="s">
        <v>256</v>
      </c>
      <c r="C97" s="35" t="s">
        <v>54</v>
      </c>
      <c r="D97" s="40" t="s">
        <v>17</v>
      </c>
      <c r="E97" s="35" t="s">
        <v>80</v>
      </c>
      <c r="F97" s="114" t="s">
        <v>17</v>
      </c>
    </row>
    <row r="98" spans="1:6" ht="15.5" x14ac:dyDescent="0.25">
      <c r="A98" s="53">
        <v>38196</v>
      </c>
      <c r="B98" s="41" t="s">
        <v>256</v>
      </c>
      <c r="C98" s="35" t="s">
        <v>54</v>
      </c>
      <c r="D98" s="40" t="s">
        <v>17</v>
      </c>
      <c r="E98" s="35" t="s">
        <v>80</v>
      </c>
      <c r="F98" s="114" t="s">
        <v>17</v>
      </c>
    </row>
    <row r="99" spans="1:6" ht="15.5" x14ac:dyDescent="0.25">
      <c r="A99" s="53">
        <v>38197</v>
      </c>
      <c r="B99" s="41" t="s">
        <v>256</v>
      </c>
      <c r="C99" s="35" t="s">
        <v>54</v>
      </c>
      <c r="D99" s="40" t="s">
        <v>17</v>
      </c>
      <c r="E99" s="35" t="s">
        <v>80</v>
      </c>
      <c r="F99" s="114" t="s">
        <v>17</v>
      </c>
    </row>
    <row r="100" spans="1:6" ht="15.5" x14ac:dyDescent="0.25">
      <c r="A100" s="53">
        <v>38198</v>
      </c>
      <c r="B100" s="41" t="s">
        <v>256</v>
      </c>
      <c r="C100" s="35" t="s">
        <v>54</v>
      </c>
      <c r="D100" s="40" t="s">
        <v>17</v>
      </c>
      <c r="E100" s="35" t="s">
        <v>80</v>
      </c>
      <c r="F100" s="114" t="s">
        <v>17</v>
      </c>
    </row>
    <row r="101" spans="1:6" x14ac:dyDescent="0.25">
      <c r="F101" s="116"/>
    </row>
    <row r="102" spans="1:6" x14ac:dyDescent="0.25">
      <c r="F102" s="116"/>
    </row>
    <row r="103" spans="1:6" x14ac:dyDescent="0.25">
      <c r="F103" s="116"/>
    </row>
    <row r="104" spans="1:6" x14ac:dyDescent="0.25">
      <c r="F104" s="116"/>
    </row>
    <row r="105" spans="1:6" x14ac:dyDescent="0.25">
      <c r="F105" s="116"/>
    </row>
    <row r="106" spans="1:6" x14ac:dyDescent="0.25">
      <c r="F106" s="116"/>
    </row>
    <row r="107" spans="1:6" x14ac:dyDescent="0.25">
      <c r="F107" s="116"/>
    </row>
    <row r="108" spans="1:6" x14ac:dyDescent="0.25">
      <c r="F108" s="116"/>
    </row>
    <row r="109" spans="1:6" x14ac:dyDescent="0.25">
      <c r="F109" s="116"/>
    </row>
    <row r="110" spans="1:6" x14ac:dyDescent="0.25">
      <c r="F110" s="116"/>
    </row>
    <row r="111" spans="1:6" x14ac:dyDescent="0.25">
      <c r="F111" s="116"/>
    </row>
    <row r="112" spans="1:6" x14ac:dyDescent="0.25">
      <c r="F112" s="116"/>
    </row>
    <row r="113" spans="6:6" x14ac:dyDescent="0.25">
      <c r="F113" s="116"/>
    </row>
    <row r="114" spans="6:6" x14ac:dyDescent="0.25">
      <c r="F114" s="116"/>
    </row>
    <row r="115" spans="6:6" x14ac:dyDescent="0.25">
      <c r="F115" s="116"/>
    </row>
    <row r="116" spans="6:6" x14ac:dyDescent="0.25">
      <c r="F116" s="116"/>
    </row>
    <row r="117" spans="6:6" x14ac:dyDescent="0.25">
      <c r="F117" s="116"/>
    </row>
    <row r="118" spans="6:6" x14ac:dyDescent="0.25">
      <c r="F118" s="116"/>
    </row>
    <row r="119" spans="6:6" x14ac:dyDescent="0.25">
      <c r="F119" s="116"/>
    </row>
    <row r="120" spans="6:6" x14ac:dyDescent="0.25">
      <c r="F120" s="116"/>
    </row>
    <row r="121" spans="6:6" x14ac:dyDescent="0.25">
      <c r="F121" s="116"/>
    </row>
    <row r="122" spans="6:6" x14ac:dyDescent="0.25">
      <c r="F122" s="116"/>
    </row>
    <row r="123" spans="6:6" x14ac:dyDescent="0.25">
      <c r="F123" s="116"/>
    </row>
    <row r="124" spans="6:6" x14ac:dyDescent="0.25">
      <c r="F124" s="116"/>
    </row>
    <row r="125" spans="6:6" x14ac:dyDescent="0.25">
      <c r="F125" s="116"/>
    </row>
    <row r="126" spans="6:6" x14ac:dyDescent="0.25">
      <c r="F126" s="116"/>
    </row>
    <row r="127" spans="6:6" x14ac:dyDescent="0.25">
      <c r="F127" s="116"/>
    </row>
    <row r="128" spans="6:6" x14ac:dyDescent="0.25">
      <c r="F128" s="116"/>
    </row>
    <row r="129" spans="6:6" x14ac:dyDescent="0.25">
      <c r="F129" s="116"/>
    </row>
    <row r="130" spans="6:6" x14ac:dyDescent="0.25">
      <c r="F130" s="116"/>
    </row>
    <row r="131" spans="6:6" x14ac:dyDescent="0.25">
      <c r="F131" s="116"/>
    </row>
    <row r="132" spans="6:6" x14ac:dyDescent="0.25">
      <c r="F132" s="116"/>
    </row>
    <row r="133" spans="6:6" x14ac:dyDescent="0.25">
      <c r="F133" s="116"/>
    </row>
    <row r="134" spans="6:6" x14ac:dyDescent="0.25">
      <c r="F134" s="116"/>
    </row>
    <row r="135" spans="6:6" x14ac:dyDescent="0.25">
      <c r="F135" s="116"/>
    </row>
    <row r="136" spans="6:6" x14ac:dyDescent="0.25">
      <c r="F136" s="116"/>
    </row>
    <row r="137" spans="6:6" x14ac:dyDescent="0.25">
      <c r="F137" s="116"/>
    </row>
    <row r="138" spans="6:6" x14ac:dyDescent="0.25">
      <c r="F138" s="116"/>
    </row>
    <row r="139" spans="6:6" x14ac:dyDescent="0.25">
      <c r="F139" s="116"/>
    </row>
    <row r="140" spans="6:6" x14ac:dyDescent="0.25">
      <c r="F140" s="116"/>
    </row>
    <row r="141" spans="6:6" x14ac:dyDescent="0.25">
      <c r="F141" s="116"/>
    </row>
    <row r="142" spans="6:6" x14ac:dyDescent="0.25">
      <c r="F142" s="116"/>
    </row>
    <row r="143" spans="6:6" x14ac:dyDescent="0.25">
      <c r="F143" s="116"/>
    </row>
    <row r="144" spans="6:6" x14ac:dyDescent="0.25">
      <c r="F144" s="116"/>
    </row>
    <row r="145" spans="6:6" x14ac:dyDescent="0.25">
      <c r="F145" s="116"/>
    </row>
    <row r="146" spans="6:6" x14ac:dyDescent="0.25">
      <c r="F146" s="116"/>
    </row>
    <row r="147" spans="6:6" x14ac:dyDescent="0.25">
      <c r="F147" s="116"/>
    </row>
    <row r="148" spans="6:6" x14ac:dyDescent="0.25">
      <c r="F148" s="116"/>
    </row>
    <row r="149" spans="6:6" x14ac:dyDescent="0.25">
      <c r="F149" s="116"/>
    </row>
    <row r="150" spans="6:6" x14ac:dyDescent="0.25">
      <c r="F150" s="116"/>
    </row>
    <row r="151" spans="6:6" x14ac:dyDescent="0.25">
      <c r="F151" s="116"/>
    </row>
    <row r="152" spans="6:6" x14ac:dyDescent="0.25">
      <c r="F152" s="116"/>
    </row>
    <row r="153" spans="6:6" x14ac:dyDescent="0.25">
      <c r="F153" s="116"/>
    </row>
    <row r="154" spans="6:6" x14ac:dyDescent="0.25">
      <c r="F154" s="116"/>
    </row>
    <row r="155" spans="6:6" x14ac:dyDescent="0.25">
      <c r="F155" s="116"/>
    </row>
    <row r="156" spans="6:6" x14ac:dyDescent="0.25">
      <c r="F156" s="116"/>
    </row>
    <row r="157" spans="6:6" x14ac:dyDescent="0.25">
      <c r="F157" s="116"/>
    </row>
    <row r="158" spans="6:6" x14ac:dyDescent="0.25">
      <c r="F158" s="116"/>
    </row>
    <row r="159" spans="6:6" x14ac:dyDescent="0.25">
      <c r="F159" s="116"/>
    </row>
    <row r="160" spans="6:6" x14ac:dyDescent="0.25">
      <c r="F160" s="116"/>
    </row>
    <row r="161" spans="6:6" x14ac:dyDescent="0.25">
      <c r="F161" s="116"/>
    </row>
    <row r="162" spans="6:6" x14ac:dyDescent="0.25">
      <c r="F162" s="116"/>
    </row>
    <row r="163" spans="6:6" x14ac:dyDescent="0.25">
      <c r="F163" s="116"/>
    </row>
    <row r="164" spans="6:6" x14ac:dyDescent="0.25">
      <c r="F164" s="116"/>
    </row>
    <row r="165" spans="6:6" x14ac:dyDescent="0.25">
      <c r="F165" s="116"/>
    </row>
    <row r="166" spans="6:6" x14ac:dyDescent="0.25">
      <c r="F166" s="116"/>
    </row>
    <row r="167" spans="6:6" x14ac:dyDescent="0.25">
      <c r="F167" s="116"/>
    </row>
    <row r="168" spans="6:6" x14ac:dyDescent="0.25">
      <c r="F168" s="116"/>
    </row>
    <row r="169" spans="6:6" x14ac:dyDescent="0.25">
      <c r="F169" s="116"/>
    </row>
    <row r="170" spans="6:6" x14ac:dyDescent="0.25">
      <c r="F170" s="116"/>
    </row>
    <row r="171" spans="6:6" x14ac:dyDescent="0.25">
      <c r="F171" s="116"/>
    </row>
    <row r="172" spans="6:6" x14ac:dyDescent="0.25">
      <c r="F172" s="116"/>
    </row>
    <row r="173" spans="6:6" x14ac:dyDescent="0.25">
      <c r="F173" s="116"/>
    </row>
    <row r="174" spans="6:6" x14ac:dyDescent="0.25">
      <c r="F174" s="116"/>
    </row>
    <row r="175" spans="6:6" x14ac:dyDescent="0.25">
      <c r="F175" s="116"/>
    </row>
    <row r="176" spans="6:6" x14ac:dyDescent="0.25">
      <c r="F176" s="116"/>
    </row>
    <row r="177" spans="6:6" x14ac:dyDescent="0.25">
      <c r="F177" s="116"/>
    </row>
    <row r="178" spans="6:6" x14ac:dyDescent="0.25">
      <c r="F178" s="116"/>
    </row>
    <row r="179" spans="6:6" x14ac:dyDescent="0.25">
      <c r="F179" s="116"/>
    </row>
    <row r="180" spans="6:6" x14ac:dyDescent="0.25">
      <c r="F180" s="116"/>
    </row>
    <row r="181" spans="6:6" x14ac:dyDescent="0.25">
      <c r="F181" s="116"/>
    </row>
    <row r="182" spans="6:6" x14ac:dyDescent="0.25">
      <c r="F182" s="116"/>
    </row>
    <row r="183" spans="6:6" x14ac:dyDescent="0.25">
      <c r="F183" s="116"/>
    </row>
    <row r="184" spans="6:6" x14ac:dyDescent="0.25">
      <c r="F184" s="116"/>
    </row>
    <row r="185" spans="6:6" x14ac:dyDescent="0.25">
      <c r="F185" s="116"/>
    </row>
    <row r="186" spans="6:6" x14ac:dyDescent="0.25">
      <c r="F186" s="116"/>
    </row>
    <row r="187" spans="6:6" x14ac:dyDescent="0.25">
      <c r="F187" s="116"/>
    </row>
    <row r="188" spans="6:6" x14ac:dyDescent="0.25">
      <c r="F188" s="116"/>
    </row>
    <row r="189" spans="6:6" x14ac:dyDescent="0.25">
      <c r="F189" s="116"/>
    </row>
    <row r="190" spans="6:6" x14ac:dyDescent="0.25">
      <c r="F190" s="116"/>
    </row>
    <row r="191" spans="6:6" x14ac:dyDescent="0.25">
      <c r="F191" s="116"/>
    </row>
    <row r="192" spans="6:6" x14ac:dyDescent="0.25">
      <c r="F192" s="116"/>
    </row>
    <row r="193" spans="6:6" x14ac:dyDescent="0.25">
      <c r="F193" s="116"/>
    </row>
    <row r="194" spans="6:6" x14ac:dyDescent="0.25">
      <c r="F194" s="116"/>
    </row>
    <row r="195" spans="6:6" x14ac:dyDescent="0.25">
      <c r="F195" s="116"/>
    </row>
    <row r="196" spans="6:6" x14ac:dyDescent="0.25">
      <c r="F196" s="116"/>
    </row>
    <row r="197" spans="6:6" x14ac:dyDescent="0.25">
      <c r="F197" s="116"/>
    </row>
    <row r="198" spans="6:6" x14ac:dyDescent="0.25">
      <c r="F198" s="116"/>
    </row>
    <row r="199" spans="6:6" x14ac:dyDescent="0.25">
      <c r="F199" s="116"/>
    </row>
    <row r="200" spans="6:6" x14ac:dyDescent="0.25">
      <c r="F200" s="116"/>
    </row>
    <row r="201" spans="6:6" x14ac:dyDescent="0.25">
      <c r="F201" s="116"/>
    </row>
    <row r="202" spans="6:6" x14ac:dyDescent="0.25">
      <c r="F202" s="116"/>
    </row>
    <row r="203" spans="6:6" x14ac:dyDescent="0.25">
      <c r="F203" s="116"/>
    </row>
    <row r="204" spans="6:6" x14ac:dyDescent="0.25">
      <c r="F204" s="116"/>
    </row>
    <row r="205" spans="6:6" x14ac:dyDescent="0.25">
      <c r="F205" s="116"/>
    </row>
    <row r="206" spans="6:6" x14ac:dyDescent="0.25">
      <c r="F206" s="116"/>
    </row>
    <row r="207" spans="6:6" x14ac:dyDescent="0.25">
      <c r="F207" s="116"/>
    </row>
    <row r="208" spans="6:6" x14ac:dyDescent="0.25">
      <c r="F208" s="116"/>
    </row>
    <row r="209" spans="6:6" x14ac:dyDescent="0.25">
      <c r="F209" s="116"/>
    </row>
    <row r="210" spans="6:6" x14ac:dyDescent="0.25">
      <c r="F210" s="116"/>
    </row>
    <row r="211" spans="6:6" x14ac:dyDescent="0.25">
      <c r="F211" s="116"/>
    </row>
    <row r="212" spans="6:6" x14ac:dyDescent="0.25">
      <c r="F212" s="116"/>
    </row>
    <row r="213" spans="6:6" x14ac:dyDescent="0.25">
      <c r="F213" s="116"/>
    </row>
    <row r="214" spans="6:6" x14ac:dyDescent="0.25">
      <c r="F214" s="116"/>
    </row>
    <row r="215" spans="6:6" x14ac:dyDescent="0.25">
      <c r="F215" s="116"/>
    </row>
    <row r="216" spans="6:6" x14ac:dyDescent="0.25">
      <c r="F216" s="116"/>
    </row>
    <row r="217" spans="6:6" x14ac:dyDescent="0.25">
      <c r="F217" s="116"/>
    </row>
    <row r="218" spans="6:6" x14ac:dyDescent="0.25">
      <c r="F218" s="116"/>
    </row>
    <row r="219" spans="6:6" x14ac:dyDescent="0.25">
      <c r="F219" s="116"/>
    </row>
    <row r="220" spans="6:6" x14ac:dyDescent="0.25">
      <c r="F220" s="116"/>
    </row>
    <row r="221" spans="6:6" x14ac:dyDescent="0.25">
      <c r="F221" s="116"/>
    </row>
    <row r="222" spans="6:6" x14ac:dyDescent="0.25">
      <c r="F222" s="116"/>
    </row>
    <row r="223" spans="6:6" x14ac:dyDescent="0.25">
      <c r="F223" s="116"/>
    </row>
    <row r="224" spans="6:6" x14ac:dyDescent="0.25">
      <c r="F224" s="116"/>
    </row>
    <row r="225" spans="6:6" x14ac:dyDescent="0.25">
      <c r="F225" s="116"/>
    </row>
    <row r="226" spans="6:6" x14ac:dyDescent="0.25">
      <c r="F226" s="116"/>
    </row>
    <row r="227" spans="6:6" x14ac:dyDescent="0.25">
      <c r="F227" s="116"/>
    </row>
    <row r="228" spans="6:6" x14ac:dyDescent="0.25">
      <c r="F228" s="116"/>
    </row>
    <row r="229" spans="6:6" x14ac:dyDescent="0.25">
      <c r="F229" s="116"/>
    </row>
    <row r="230" spans="6:6" x14ac:dyDescent="0.25">
      <c r="F230" s="116"/>
    </row>
    <row r="231" spans="6:6" x14ac:dyDescent="0.25">
      <c r="F231" s="116"/>
    </row>
    <row r="232" spans="6:6" x14ac:dyDescent="0.25">
      <c r="F232" s="116"/>
    </row>
    <row r="233" spans="6:6" x14ac:dyDescent="0.25">
      <c r="F233" s="116"/>
    </row>
    <row r="234" spans="6:6" x14ac:dyDescent="0.25">
      <c r="F234" s="116"/>
    </row>
    <row r="235" spans="6:6" x14ac:dyDescent="0.25">
      <c r="F235" s="116"/>
    </row>
    <row r="236" spans="6:6" x14ac:dyDescent="0.25">
      <c r="F236" s="116"/>
    </row>
    <row r="237" spans="6:6" x14ac:dyDescent="0.25">
      <c r="F237" s="116"/>
    </row>
    <row r="238" spans="6:6" x14ac:dyDescent="0.25">
      <c r="F238" s="116"/>
    </row>
    <row r="239" spans="6:6" x14ac:dyDescent="0.25">
      <c r="F239" s="116"/>
    </row>
    <row r="240" spans="6:6" x14ac:dyDescent="0.25">
      <c r="F240" s="116"/>
    </row>
    <row r="241" spans="6:6" x14ac:dyDescent="0.25">
      <c r="F241" s="116"/>
    </row>
    <row r="242" spans="6:6" x14ac:dyDescent="0.25">
      <c r="F242" s="116"/>
    </row>
    <row r="243" spans="6:6" x14ac:dyDescent="0.25">
      <c r="F243" s="116"/>
    </row>
    <row r="244" spans="6:6" x14ac:dyDescent="0.25">
      <c r="F244" s="116"/>
    </row>
    <row r="245" spans="6:6" x14ac:dyDescent="0.25">
      <c r="F245" s="116"/>
    </row>
    <row r="246" spans="6:6" x14ac:dyDescent="0.25">
      <c r="F246" s="116"/>
    </row>
    <row r="247" spans="6:6" x14ac:dyDescent="0.25">
      <c r="F247" s="116"/>
    </row>
    <row r="248" spans="6:6" x14ac:dyDescent="0.25">
      <c r="F248" s="116"/>
    </row>
    <row r="249" spans="6:6" x14ac:dyDescent="0.25">
      <c r="F249" s="116"/>
    </row>
    <row r="250" spans="6:6" x14ac:dyDescent="0.25">
      <c r="F250" s="116"/>
    </row>
    <row r="251" spans="6:6" x14ac:dyDescent="0.25">
      <c r="F251" s="116"/>
    </row>
    <row r="252" spans="6:6" x14ac:dyDescent="0.25">
      <c r="F252" s="116"/>
    </row>
    <row r="253" spans="6:6" x14ac:dyDescent="0.25">
      <c r="F253" s="116"/>
    </row>
    <row r="254" spans="6:6" x14ac:dyDescent="0.25">
      <c r="F254" s="116"/>
    </row>
    <row r="255" spans="6:6" x14ac:dyDescent="0.25">
      <c r="F255" s="116"/>
    </row>
    <row r="256" spans="6:6" x14ac:dyDescent="0.25">
      <c r="F256" s="116"/>
    </row>
    <row r="257" spans="6:6" x14ac:dyDescent="0.25">
      <c r="F257" s="116"/>
    </row>
    <row r="258" spans="6:6" x14ac:dyDescent="0.25">
      <c r="F258" s="116"/>
    </row>
    <row r="259" spans="6:6" x14ac:dyDescent="0.25">
      <c r="F259" s="116"/>
    </row>
    <row r="260" spans="6:6" x14ac:dyDescent="0.25">
      <c r="F260" s="116"/>
    </row>
    <row r="261" spans="6:6" x14ac:dyDescent="0.25">
      <c r="F261" s="116"/>
    </row>
    <row r="262" spans="6:6" x14ac:dyDescent="0.25">
      <c r="F262" s="116"/>
    </row>
    <row r="263" spans="6:6" x14ac:dyDescent="0.25">
      <c r="F263" s="116"/>
    </row>
    <row r="264" spans="6:6" x14ac:dyDescent="0.25">
      <c r="F264" s="116"/>
    </row>
    <row r="265" spans="6:6" x14ac:dyDescent="0.25">
      <c r="F265" s="116"/>
    </row>
    <row r="266" spans="6:6" x14ac:dyDescent="0.25">
      <c r="F266" s="116"/>
    </row>
    <row r="267" spans="6:6" x14ac:dyDescent="0.25">
      <c r="F267" s="116"/>
    </row>
    <row r="268" spans="6:6" x14ac:dyDescent="0.25">
      <c r="F268" s="116"/>
    </row>
    <row r="269" spans="6:6" x14ac:dyDescent="0.25">
      <c r="F269" s="116"/>
    </row>
    <row r="270" spans="6:6" x14ac:dyDescent="0.25">
      <c r="F270" s="116"/>
    </row>
    <row r="271" spans="6:6" x14ac:dyDescent="0.25">
      <c r="F271" s="116"/>
    </row>
    <row r="272" spans="6:6" x14ac:dyDescent="0.25">
      <c r="F272" s="116"/>
    </row>
    <row r="273" spans="6:6" x14ac:dyDescent="0.25">
      <c r="F273" s="116"/>
    </row>
    <row r="274" spans="6:6" x14ac:dyDescent="0.25">
      <c r="F274" s="116"/>
    </row>
    <row r="275" spans="6:6" x14ac:dyDescent="0.25">
      <c r="F275" s="116"/>
    </row>
    <row r="276" spans="6:6" x14ac:dyDescent="0.25">
      <c r="F276" s="116"/>
    </row>
    <row r="277" spans="6:6" x14ac:dyDescent="0.25">
      <c r="F277" s="116"/>
    </row>
    <row r="278" spans="6:6" x14ac:dyDescent="0.25">
      <c r="F278" s="116"/>
    </row>
    <row r="279" spans="6:6" x14ac:dyDescent="0.25">
      <c r="F279" s="116"/>
    </row>
    <row r="280" spans="6:6" x14ac:dyDescent="0.25">
      <c r="F280" s="116"/>
    </row>
    <row r="281" spans="6:6" x14ac:dyDescent="0.25">
      <c r="F281" s="116"/>
    </row>
    <row r="282" spans="6:6" x14ac:dyDescent="0.25">
      <c r="F282" s="116"/>
    </row>
    <row r="283" spans="6:6" x14ac:dyDescent="0.25">
      <c r="F283" s="116"/>
    </row>
    <row r="284" spans="6:6" x14ac:dyDescent="0.25">
      <c r="F284" s="116"/>
    </row>
    <row r="285" spans="6:6" x14ac:dyDescent="0.25">
      <c r="F285" s="116"/>
    </row>
    <row r="286" spans="6:6" x14ac:dyDescent="0.25">
      <c r="F286" s="116"/>
    </row>
    <row r="287" spans="6:6" x14ac:dyDescent="0.25">
      <c r="F287" s="116"/>
    </row>
    <row r="288" spans="6:6" x14ac:dyDescent="0.25">
      <c r="F288" s="116"/>
    </row>
    <row r="289" spans="6:6" x14ac:dyDescent="0.25">
      <c r="F289" s="116"/>
    </row>
    <row r="290" spans="6:6" x14ac:dyDescent="0.25">
      <c r="F290" s="116"/>
    </row>
    <row r="291" spans="6:6" x14ac:dyDescent="0.25">
      <c r="F291" s="116"/>
    </row>
    <row r="292" spans="6:6" x14ac:dyDescent="0.25">
      <c r="F292" s="116"/>
    </row>
    <row r="293" spans="6:6" x14ac:dyDescent="0.25">
      <c r="F293" s="116"/>
    </row>
    <row r="294" spans="6:6" x14ac:dyDescent="0.25">
      <c r="F294" s="116"/>
    </row>
    <row r="295" spans="6:6" x14ac:dyDescent="0.25">
      <c r="F295" s="116"/>
    </row>
    <row r="296" spans="6:6" x14ac:dyDescent="0.25">
      <c r="F296" s="116"/>
    </row>
    <row r="297" spans="6:6" x14ac:dyDescent="0.25">
      <c r="F297" s="116"/>
    </row>
    <row r="298" spans="6:6" x14ac:dyDescent="0.25">
      <c r="F298" s="116"/>
    </row>
    <row r="299" spans="6:6" x14ac:dyDescent="0.25">
      <c r="F299" s="116"/>
    </row>
    <row r="300" spans="6:6" x14ac:dyDescent="0.25">
      <c r="F300" s="116"/>
    </row>
    <row r="301" spans="6:6" x14ac:dyDescent="0.25">
      <c r="F301" s="116"/>
    </row>
    <row r="302" spans="6:6" x14ac:dyDescent="0.25">
      <c r="F302" s="116"/>
    </row>
    <row r="303" spans="6:6" x14ac:dyDescent="0.25">
      <c r="F303" s="116"/>
    </row>
    <row r="304" spans="6:6" x14ac:dyDescent="0.25">
      <c r="F304" s="116"/>
    </row>
    <row r="305" spans="6:6" x14ac:dyDescent="0.25">
      <c r="F305" s="116"/>
    </row>
    <row r="306" spans="6:6" x14ac:dyDescent="0.25">
      <c r="F306" s="116"/>
    </row>
    <row r="307" spans="6:6" x14ac:dyDescent="0.25">
      <c r="F307" s="116"/>
    </row>
    <row r="308" spans="6:6" x14ac:dyDescent="0.25">
      <c r="F308" s="116"/>
    </row>
    <row r="309" spans="6:6" x14ac:dyDescent="0.25">
      <c r="F309" s="116"/>
    </row>
    <row r="310" spans="6:6" x14ac:dyDescent="0.25">
      <c r="F310" s="116"/>
    </row>
    <row r="311" spans="6:6" x14ac:dyDescent="0.25">
      <c r="F311" s="116"/>
    </row>
    <row r="312" spans="6:6" x14ac:dyDescent="0.25">
      <c r="F312" s="116"/>
    </row>
    <row r="313" spans="6:6" x14ac:dyDescent="0.25">
      <c r="F313" s="116"/>
    </row>
    <row r="314" spans="6:6" x14ac:dyDescent="0.25">
      <c r="F314" s="116"/>
    </row>
    <row r="315" spans="6:6" x14ac:dyDescent="0.25">
      <c r="F315" s="116"/>
    </row>
    <row r="316" spans="6:6" x14ac:dyDescent="0.25">
      <c r="F316" s="116"/>
    </row>
    <row r="317" spans="6:6" x14ac:dyDescent="0.25">
      <c r="F317" s="116"/>
    </row>
    <row r="318" spans="6:6" x14ac:dyDescent="0.25">
      <c r="F318" s="116"/>
    </row>
    <row r="319" spans="6:6" x14ac:dyDescent="0.25">
      <c r="F319" s="116"/>
    </row>
    <row r="320" spans="6:6" x14ac:dyDescent="0.25">
      <c r="F320" s="116"/>
    </row>
    <row r="321" spans="6:6" x14ac:dyDescent="0.25">
      <c r="F321" s="116"/>
    </row>
    <row r="322" spans="6:6" x14ac:dyDescent="0.25">
      <c r="F322" s="116"/>
    </row>
    <row r="323" spans="6:6" x14ac:dyDescent="0.25">
      <c r="F323" s="116"/>
    </row>
    <row r="324" spans="6:6" x14ac:dyDescent="0.25">
      <c r="F324" s="116"/>
    </row>
    <row r="325" spans="6:6" x14ac:dyDescent="0.25">
      <c r="F325" s="116"/>
    </row>
    <row r="326" spans="6:6" x14ac:dyDescent="0.25">
      <c r="F326" s="116"/>
    </row>
    <row r="327" spans="6:6" x14ac:dyDescent="0.25">
      <c r="F327" s="116"/>
    </row>
    <row r="328" spans="6:6" x14ac:dyDescent="0.25">
      <c r="F328" s="116"/>
    </row>
    <row r="329" spans="6:6" x14ac:dyDescent="0.25">
      <c r="F329" s="116"/>
    </row>
    <row r="330" spans="6:6" x14ac:dyDescent="0.25">
      <c r="F330" s="116"/>
    </row>
    <row r="331" spans="6:6" x14ac:dyDescent="0.25">
      <c r="F331" s="116"/>
    </row>
    <row r="332" spans="6:6" x14ac:dyDescent="0.25">
      <c r="F332" s="116"/>
    </row>
    <row r="333" spans="6:6" x14ac:dyDescent="0.25">
      <c r="F333" s="116"/>
    </row>
    <row r="334" spans="6:6" x14ac:dyDescent="0.25">
      <c r="F334" s="116"/>
    </row>
    <row r="335" spans="6:6" x14ac:dyDescent="0.25">
      <c r="F335" s="116"/>
    </row>
    <row r="336" spans="6:6" x14ac:dyDescent="0.25">
      <c r="F336" s="116"/>
    </row>
    <row r="337" spans="6:6" x14ac:dyDescent="0.25">
      <c r="F337" s="116"/>
    </row>
    <row r="338" spans="6:6" x14ac:dyDescent="0.25">
      <c r="F338" s="116"/>
    </row>
    <row r="339" spans="6:6" x14ac:dyDescent="0.25">
      <c r="F339" s="116"/>
    </row>
    <row r="340" spans="6:6" x14ac:dyDescent="0.25">
      <c r="F340" s="116"/>
    </row>
    <row r="341" spans="6:6" x14ac:dyDescent="0.25">
      <c r="F341" s="116"/>
    </row>
    <row r="342" spans="6:6" x14ac:dyDescent="0.25">
      <c r="F342" s="116"/>
    </row>
    <row r="343" spans="6:6" x14ac:dyDescent="0.25">
      <c r="F343" s="116"/>
    </row>
    <row r="344" spans="6:6" x14ac:dyDescent="0.25">
      <c r="F344" s="116"/>
    </row>
    <row r="345" spans="6:6" x14ac:dyDescent="0.25">
      <c r="F345" s="116"/>
    </row>
    <row r="346" spans="6:6" x14ac:dyDescent="0.25">
      <c r="F346" s="116"/>
    </row>
    <row r="347" spans="6:6" x14ac:dyDescent="0.25">
      <c r="F347" s="116"/>
    </row>
    <row r="348" spans="6:6" x14ac:dyDescent="0.25">
      <c r="F348" s="116"/>
    </row>
    <row r="349" spans="6:6" x14ac:dyDescent="0.25">
      <c r="F349" s="116"/>
    </row>
    <row r="350" spans="6:6" x14ac:dyDescent="0.25">
      <c r="F350" s="116"/>
    </row>
    <row r="351" spans="6:6" x14ac:dyDescent="0.25">
      <c r="F351" s="116"/>
    </row>
    <row r="352" spans="6:6" x14ac:dyDescent="0.25">
      <c r="F352" s="116"/>
    </row>
    <row r="353" spans="6:6" x14ac:dyDescent="0.25">
      <c r="F353" s="116"/>
    </row>
    <row r="354" spans="6:6" x14ac:dyDescent="0.25">
      <c r="F354" s="116"/>
    </row>
    <row r="355" spans="6:6" x14ac:dyDescent="0.25">
      <c r="F355" s="116"/>
    </row>
    <row r="356" spans="6:6" x14ac:dyDescent="0.25">
      <c r="F356" s="116"/>
    </row>
    <row r="357" spans="6:6" x14ac:dyDescent="0.25">
      <c r="F357" s="116"/>
    </row>
    <row r="358" spans="6:6" x14ac:dyDescent="0.25">
      <c r="F358" s="116"/>
    </row>
    <row r="359" spans="6:6" x14ac:dyDescent="0.25">
      <c r="F359" s="116"/>
    </row>
    <row r="360" spans="6:6" x14ac:dyDescent="0.25">
      <c r="F360" s="116"/>
    </row>
    <row r="361" spans="6:6" x14ac:dyDescent="0.25">
      <c r="F361" s="116"/>
    </row>
    <row r="362" spans="6:6" x14ac:dyDescent="0.25">
      <c r="F362" s="116"/>
    </row>
    <row r="363" spans="6:6" x14ac:dyDescent="0.25">
      <c r="F363" s="116"/>
    </row>
    <row r="364" spans="6:6" x14ac:dyDescent="0.25">
      <c r="F364" s="116"/>
    </row>
    <row r="365" spans="6:6" x14ac:dyDescent="0.25">
      <c r="F365" s="116"/>
    </row>
    <row r="366" spans="6:6" x14ac:dyDescent="0.25">
      <c r="F366" s="116"/>
    </row>
    <row r="367" spans="6:6" x14ac:dyDescent="0.25">
      <c r="F367" s="116"/>
    </row>
    <row r="368" spans="6:6" x14ac:dyDescent="0.25">
      <c r="F368" s="116"/>
    </row>
    <row r="369" spans="6:6" x14ac:dyDescent="0.25">
      <c r="F369" s="116"/>
    </row>
    <row r="370" spans="6:6" x14ac:dyDescent="0.25">
      <c r="F370" s="116"/>
    </row>
    <row r="371" spans="6:6" x14ac:dyDescent="0.25">
      <c r="F371" s="116"/>
    </row>
    <row r="372" spans="6:6" x14ac:dyDescent="0.25">
      <c r="F372" s="116"/>
    </row>
    <row r="373" spans="6:6" x14ac:dyDescent="0.25">
      <c r="F373" s="116"/>
    </row>
    <row r="374" spans="6:6" x14ac:dyDescent="0.25">
      <c r="F374" s="116"/>
    </row>
    <row r="375" spans="6:6" x14ac:dyDescent="0.25">
      <c r="F375" s="116"/>
    </row>
    <row r="376" spans="6:6" x14ac:dyDescent="0.25">
      <c r="F376" s="116"/>
    </row>
    <row r="377" spans="6:6" x14ac:dyDescent="0.25">
      <c r="F377" s="116"/>
    </row>
    <row r="378" spans="6:6" x14ac:dyDescent="0.25">
      <c r="F378" s="116"/>
    </row>
    <row r="379" spans="6:6" x14ac:dyDescent="0.25">
      <c r="F379" s="116"/>
    </row>
  </sheetData>
  <mergeCells count="4">
    <mergeCell ref="A2:F2"/>
    <mergeCell ref="A7:F7"/>
    <mergeCell ref="A9:F9"/>
    <mergeCell ref="A4:F4"/>
  </mergeCells>
  <phoneticPr fontId="0" type="noConversion"/>
  <hyperlinks>
    <hyperlink ref="B6" r:id="rId1"/>
    <hyperlink ref="B5" r:id="rId2"/>
  </hyperlinks>
  <pageMargins left="0.17" right="0.17" top="0.5" bottom="0.5" header="0.5" footer="0.5"/>
  <pageSetup orientation="landscape" horizontalDpi="4294967292" r:id="rId3"/>
  <headerFooter alignWithMargins="0"/>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168"/>
  <sheetViews>
    <sheetView workbookViewId="0">
      <selection activeCell="A8" sqref="A8"/>
    </sheetView>
  </sheetViews>
  <sheetFormatPr defaultColWidth="9.1796875" defaultRowHeight="13" x14ac:dyDescent="0.3"/>
  <cols>
    <col min="1" max="1" width="11" style="1" customWidth="1"/>
    <col min="2" max="2" width="9.81640625" style="1" customWidth="1"/>
    <col min="3" max="3" width="13" style="19" customWidth="1"/>
    <col min="4" max="4" width="10.453125" style="1" customWidth="1"/>
    <col min="5" max="5" width="45.54296875" style="2" customWidth="1"/>
    <col min="6" max="6" width="29.81640625" style="19" customWidth="1"/>
    <col min="7" max="16384" width="9.1796875" style="1"/>
  </cols>
  <sheetData>
    <row r="1" spans="1:6" x14ac:dyDescent="0.3">
      <c r="A1" s="47" t="s">
        <v>285</v>
      </c>
      <c r="B1" s="48"/>
      <c r="C1" s="49"/>
      <c r="D1" s="48"/>
      <c r="E1" s="50"/>
      <c r="F1" s="49"/>
    </row>
    <row r="2" spans="1:6" x14ac:dyDescent="0.3">
      <c r="A2" s="48"/>
      <c r="B2" s="48"/>
      <c r="C2" s="48"/>
      <c r="D2" s="48"/>
      <c r="E2" s="48"/>
      <c r="F2" s="48"/>
    </row>
    <row r="3" spans="1:6" ht="15" x14ac:dyDescent="0.3">
      <c r="A3" s="160" t="s">
        <v>38</v>
      </c>
      <c r="B3" s="160"/>
      <c r="C3" s="160"/>
      <c r="D3" s="160"/>
      <c r="E3" s="160"/>
      <c r="F3" s="160"/>
    </row>
    <row r="4" spans="1:6" ht="16.5" customHeight="1" x14ac:dyDescent="0.3">
      <c r="A4" s="161" t="s">
        <v>236</v>
      </c>
      <c r="B4" s="162"/>
      <c r="C4" s="162"/>
      <c r="D4" s="162"/>
      <c r="E4" s="162"/>
      <c r="F4" s="162"/>
    </row>
    <row r="5" spans="1:6" x14ac:dyDescent="0.3">
      <c r="A5" s="47"/>
      <c r="B5" s="48"/>
      <c r="C5" s="49"/>
      <c r="D5" s="48"/>
      <c r="E5" s="50"/>
      <c r="F5" s="49"/>
    </row>
    <row r="6" spans="1:6" s="3" customFormat="1" x14ac:dyDescent="0.3">
      <c r="A6" s="43" t="s">
        <v>3</v>
      </c>
      <c r="B6" s="44" t="s">
        <v>4</v>
      </c>
      <c r="C6" s="45" t="s">
        <v>5</v>
      </c>
      <c r="D6" s="44" t="s">
        <v>0</v>
      </c>
      <c r="E6" s="46" t="s">
        <v>2</v>
      </c>
      <c r="F6" s="45" t="s">
        <v>1</v>
      </c>
    </row>
    <row r="7" spans="1:6" s="3" customFormat="1" x14ac:dyDescent="0.3">
      <c r="A7" s="100"/>
      <c r="B7" s="101"/>
      <c r="C7" s="102"/>
      <c r="D7" s="101"/>
      <c r="E7" s="103"/>
      <c r="F7" s="102"/>
    </row>
    <row r="8" spans="1:6" s="121" customFormat="1" x14ac:dyDescent="0.3">
      <c r="A8" s="117"/>
      <c r="B8" s="118"/>
      <c r="C8" s="119"/>
      <c r="D8" s="118"/>
      <c r="E8" s="120"/>
      <c r="F8" s="119"/>
    </row>
    <row r="9" spans="1:6" s="27" customFormat="1" x14ac:dyDescent="0.25">
      <c r="A9" s="71">
        <v>38027</v>
      </c>
      <c r="B9" s="23" t="s">
        <v>307</v>
      </c>
      <c r="C9" s="99" t="s">
        <v>54</v>
      </c>
      <c r="D9" s="9" t="s">
        <v>132</v>
      </c>
      <c r="E9" s="99" t="s">
        <v>317</v>
      </c>
      <c r="F9" s="73" t="s">
        <v>274</v>
      </c>
    </row>
    <row r="10" spans="1:6" s="27" customFormat="1" x14ac:dyDescent="0.3">
      <c r="A10" s="71">
        <v>38035</v>
      </c>
      <c r="B10" s="4" t="s">
        <v>286</v>
      </c>
      <c r="C10" s="125" t="s">
        <v>54</v>
      </c>
      <c r="D10" s="154" t="s">
        <v>98</v>
      </c>
      <c r="E10" s="125" t="s">
        <v>322</v>
      </c>
      <c r="F10" s="73" t="s">
        <v>315</v>
      </c>
    </row>
    <row r="11" spans="1:6" s="27" customFormat="1" ht="26" x14ac:dyDescent="0.3">
      <c r="A11" s="71">
        <v>38035</v>
      </c>
      <c r="B11" s="4" t="s">
        <v>287</v>
      </c>
      <c r="C11" s="125" t="s">
        <v>54</v>
      </c>
      <c r="D11" s="154" t="s">
        <v>101</v>
      </c>
      <c r="E11" s="125" t="s">
        <v>321</v>
      </c>
      <c r="F11" s="73" t="s">
        <v>316</v>
      </c>
    </row>
    <row r="12" spans="1:6" s="54" customFormat="1" x14ac:dyDescent="0.25">
      <c r="A12" s="71">
        <v>38041</v>
      </c>
      <c r="B12" s="4" t="s">
        <v>320</v>
      </c>
      <c r="C12" s="125" t="s">
        <v>54</v>
      </c>
      <c r="D12" s="9" t="s">
        <v>298</v>
      </c>
      <c r="E12" s="125" t="s">
        <v>311</v>
      </c>
      <c r="F12" s="73" t="s">
        <v>288</v>
      </c>
    </row>
    <row r="13" spans="1:6" s="27" customFormat="1" x14ac:dyDescent="0.3">
      <c r="A13" s="71">
        <v>38041</v>
      </c>
      <c r="B13" s="4" t="s">
        <v>319</v>
      </c>
      <c r="C13" s="125" t="s">
        <v>54</v>
      </c>
      <c r="D13" s="154" t="s">
        <v>98</v>
      </c>
      <c r="E13" s="125" t="s">
        <v>322</v>
      </c>
      <c r="F13" s="73" t="s">
        <v>106</v>
      </c>
    </row>
    <row r="14" spans="1:6" s="27" customFormat="1" x14ac:dyDescent="0.25">
      <c r="A14" s="71">
        <v>38015</v>
      </c>
      <c r="B14" s="4" t="s">
        <v>287</v>
      </c>
      <c r="C14" s="125" t="s">
        <v>54</v>
      </c>
      <c r="D14" s="9" t="s">
        <v>298</v>
      </c>
      <c r="E14" s="125" t="s">
        <v>311</v>
      </c>
      <c r="F14" s="73" t="s">
        <v>312</v>
      </c>
    </row>
    <row r="15" spans="1:6" s="27" customFormat="1" x14ac:dyDescent="0.25">
      <c r="A15" s="71">
        <v>38015</v>
      </c>
      <c r="B15" s="4" t="s">
        <v>289</v>
      </c>
      <c r="C15" s="125" t="s">
        <v>54</v>
      </c>
      <c r="D15" s="9" t="s">
        <v>298</v>
      </c>
      <c r="E15" s="125" t="s">
        <v>311</v>
      </c>
      <c r="F15" s="73" t="s">
        <v>313</v>
      </c>
    </row>
    <row r="16" spans="1:6" s="27" customFormat="1" ht="26" x14ac:dyDescent="0.25">
      <c r="A16" s="71">
        <v>38007</v>
      </c>
      <c r="B16" s="23" t="s">
        <v>228</v>
      </c>
      <c r="C16" s="99" t="s">
        <v>54</v>
      </c>
      <c r="D16" s="9" t="s">
        <v>127</v>
      </c>
      <c r="E16" s="98" t="s">
        <v>140</v>
      </c>
      <c r="F16" s="73" t="s">
        <v>275</v>
      </c>
    </row>
    <row r="17" spans="1:6" s="27" customFormat="1" ht="26" x14ac:dyDescent="0.3">
      <c r="A17" s="71">
        <v>38006</v>
      </c>
      <c r="B17" s="23" t="s">
        <v>173</v>
      </c>
      <c r="C17" s="99" t="s">
        <v>54</v>
      </c>
      <c r="D17" s="150" t="s">
        <v>67</v>
      </c>
      <c r="E17" s="151" t="s">
        <v>278</v>
      </c>
      <c r="F17" s="146" t="s">
        <v>277</v>
      </c>
    </row>
    <row r="18" spans="1:6" s="27" customFormat="1" x14ac:dyDescent="0.3">
      <c r="A18" s="71">
        <v>38006</v>
      </c>
      <c r="B18" s="23" t="s">
        <v>230</v>
      </c>
      <c r="C18" s="99" t="s">
        <v>54</v>
      </c>
      <c r="D18" s="72" t="s">
        <v>132</v>
      </c>
      <c r="E18" s="129" t="s">
        <v>318</v>
      </c>
      <c r="F18" s="149" t="s">
        <v>274</v>
      </c>
    </row>
    <row r="19" spans="1:6" s="27" customFormat="1" ht="39" x14ac:dyDescent="0.3">
      <c r="A19" s="71">
        <v>38001</v>
      </c>
      <c r="B19" s="23" t="s">
        <v>228</v>
      </c>
      <c r="C19" s="99" t="s">
        <v>54</v>
      </c>
      <c r="D19" s="27" t="s">
        <v>279</v>
      </c>
      <c r="E19" s="126" t="s">
        <v>280</v>
      </c>
      <c r="F19" s="127" t="s">
        <v>282</v>
      </c>
    </row>
    <row r="20" spans="1:6" s="27" customFormat="1" ht="39" x14ac:dyDescent="0.3">
      <c r="A20" s="71">
        <v>38001</v>
      </c>
      <c r="B20" s="23" t="s">
        <v>229</v>
      </c>
      <c r="C20" s="99" t="s">
        <v>54</v>
      </c>
      <c r="D20" s="27" t="s">
        <v>279</v>
      </c>
      <c r="E20" s="126" t="s">
        <v>280</v>
      </c>
      <c r="F20" s="127" t="s">
        <v>283</v>
      </c>
    </row>
    <row r="21" spans="1:6" s="27" customFormat="1" ht="39" x14ac:dyDescent="0.3">
      <c r="A21" s="71">
        <v>38000</v>
      </c>
      <c r="B21" s="23" t="s">
        <v>228</v>
      </c>
      <c r="C21" s="99" t="s">
        <v>54</v>
      </c>
      <c r="D21" s="27" t="s">
        <v>279</v>
      </c>
      <c r="E21" s="126" t="s">
        <v>280</v>
      </c>
      <c r="F21" s="127" t="s">
        <v>281</v>
      </c>
    </row>
    <row r="22" spans="1:6" s="27" customFormat="1" ht="39" x14ac:dyDescent="0.3">
      <c r="A22" s="71">
        <v>38000</v>
      </c>
      <c r="B22" s="23" t="s">
        <v>229</v>
      </c>
      <c r="C22" s="99" t="s">
        <v>54</v>
      </c>
      <c r="D22" s="27" t="s">
        <v>279</v>
      </c>
      <c r="E22" s="126" t="s">
        <v>280</v>
      </c>
      <c r="F22" s="127" t="s">
        <v>137</v>
      </c>
    </row>
    <row r="23" spans="1:6" s="27" customFormat="1" ht="26" x14ac:dyDescent="0.3">
      <c r="A23" s="71">
        <v>37999</v>
      </c>
      <c r="B23" s="23" t="s">
        <v>228</v>
      </c>
      <c r="C23" s="99" t="s">
        <v>54</v>
      </c>
      <c r="D23" s="72" t="s">
        <v>61</v>
      </c>
      <c r="E23" s="129" t="s">
        <v>273</v>
      </c>
      <c r="F23" s="149" t="s">
        <v>37</v>
      </c>
    </row>
    <row r="24" spans="1:6" s="27" customFormat="1" ht="26" x14ac:dyDescent="0.3">
      <c r="A24" s="71">
        <v>37998</v>
      </c>
      <c r="B24" s="23" t="s">
        <v>230</v>
      </c>
      <c r="C24" s="99" t="s">
        <v>54</v>
      </c>
      <c r="D24" s="72" t="s">
        <v>61</v>
      </c>
      <c r="E24" s="129" t="s">
        <v>273</v>
      </c>
      <c r="F24" s="149" t="s">
        <v>64</v>
      </c>
    </row>
    <row r="25" spans="1:6" s="27" customFormat="1" ht="26" x14ac:dyDescent="0.3">
      <c r="A25" s="71">
        <v>37994</v>
      </c>
      <c r="B25" s="23" t="s">
        <v>228</v>
      </c>
      <c r="C25" s="99" t="s">
        <v>54</v>
      </c>
      <c r="D25" s="146" t="s">
        <v>264</v>
      </c>
      <c r="E25" s="129" t="s">
        <v>265</v>
      </c>
      <c r="F25" s="146" t="s">
        <v>270</v>
      </c>
    </row>
    <row r="26" spans="1:6" s="27" customFormat="1" ht="26" x14ac:dyDescent="0.3">
      <c r="A26" s="71">
        <v>37994</v>
      </c>
      <c r="B26" s="23" t="s">
        <v>229</v>
      </c>
      <c r="C26" s="99" t="s">
        <v>54</v>
      </c>
      <c r="D26" s="147" t="s">
        <v>267</v>
      </c>
      <c r="E26" s="129" t="s">
        <v>268</v>
      </c>
      <c r="F26" s="148" t="s">
        <v>269</v>
      </c>
    </row>
    <row r="27" spans="1:6" s="27" customFormat="1" ht="26" x14ac:dyDescent="0.3">
      <c r="A27" s="71">
        <v>37993</v>
      </c>
      <c r="B27" s="23" t="s">
        <v>173</v>
      </c>
      <c r="C27" s="99" t="s">
        <v>54</v>
      </c>
      <c r="D27" s="146" t="s">
        <v>264</v>
      </c>
      <c r="E27" s="126" t="s">
        <v>265</v>
      </c>
      <c r="F27" s="146" t="s">
        <v>271</v>
      </c>
    </row>
    <row r="28" spans="1:6" s="27" customFormat="1" ht="26" x14ac:dyDescent="0.3">
      <c r="A28" s="71">
        <v>37993</v>
      </c>
      <c r="B28" s="23" t="s">
        <v>230</v>
      </c>
      <c r="C28" s="99" t="s">
        <v>54</v>
      </c>
      <c r="D28" s="127" t="s">
        <v>267</v>
      </c>
      <c r="E28" s="126" t="s">
        <v>268</v>
      </c>
      <c r="F28" s="127" t="s">
        <v>271</v>
      </c>
    </row>
    <row r="29" spans="1:6" s="27" customFormat="1" ht="26" x14ac:dyDescent="0.3">
      <c r="A29" s="71">
        <v>37992</v>
      </c>
      <c r="B29" s="23" t="s">
        <v>229</v>
      </c>
      <c r="C29" s="99" t="s">
        <v>54</v>
      </c>
      <c r="D29" s="127" t="s">
        <v>267</v>
      </c>
      <c r="E29" s="126" t="s">
        <v>268</v>
      </c>
      <c r="F29" s="127" t="s">
        <v>272</v>
      </c>
    </row>
    <row r="30" spans="1:6" s="27" customFormat="1" ht="26" x14ac:dyDescent="0.3">
      <c r="A30" s="71">
        <v>37992</v>
      </c>
      <c r="B30" s="23" t="s">
        <v>228</v>
      </c>
      <c r="C30" s="99" t="s">
        <v>54</v>
      </c>
      <c r="D30" s="145" t="s">
        <v>264</v>
      </c>
      <c r="E30" s="126" t="s">
        <v>265</v>
      </c>
      <c r="F30" s="145" t="s">
        <v>272</v>
      </c>
    </row>
    <row r="31" spans="1:6" s="140" customFormat="1" x14ac:dyDescent="0.3">
      <c r="A31" s="136"/>
      <c r="B31" s="137"/>
      <c r="C31" s="138"/>
      <c r="D31" s="137"/>
      <c r="E31" s="139"/>
      <c r="F31" s="138"/>
    </row>
    <row r="32" spans="1:6" s="27" customFormat="1" ht="24.75" customHeight="1" x14ac:dyDescent="0.3">
      <c r="A32" s="71">
        <v>37971</v>
      </c>
      <c r="B32" s="23" t="s">
        <v>228</v>
      </c>
      <c r="C32" s="99" t="s">
        <v>54</v>
      </c>
      <c r="D32" s="9" t="s">
        <v>127</v>
      </c>
      <c r="E32" s="126" t="s">
        <v>140</v>
      </c>
      <c r="F32" s="127" t="s">
        <v>142</v>
      </c>
    </row>
    <row r="33" spans="1:6" s="54" customFormat="1" ht="24.75" customHeight="1" x14ac:dyDescent="0.3">
      <c r="A33" s="71">
        <v>37971</v>
      </c>
      <c r="B33" s="23" t="s">
        <v>229</v>
      </c>
      <c r="C33" s="99" t="s">
        <v>54</v>
      </c>
      <c r="D33" s="128" t="s">
        <v>264</v>
      </c>
      <c r="E33" s="129" t="s">
        <v>265</v>
      </c>
      <c r="F33" s="130" t="s">
        <v>266</v>
      </c>
    </row>
    <row r="34" spans="1:6" s="54" customFormat="1" ht="26" x14ac:dyDescent="0.3">
      <c r="A34" s="71">
        <v>37971</v>
      </c>
      <c r="B34" s="23" t="s">
        <v>257</v>
      </c>
      <c r="C34" s="99" t="s">
        <v>54</v>
      </c>
      <c r="D34" s="128" t="s">
        <v>267</v>
      </c>
      <c r="E34" s="129" t="s">
        <v>268</v>
      </c>
      <c r="F34" s="130" t="s">
        <v>266</v>
      </c>
    </row>
    <row r="35" spans="1:6" s="27" customFormat="1" x14ac:dyDescent="0.25">
      <c r="A35" s="131">
        <v>37966</v>
      </c>
      <c r="B35" s="132" t="s">
        <v>259</v>
      </c>
      <c r="C35" s="133" t="s">
        <v>54</v>
      </c>
      <c r="D35" s="134" t="s">
        <v>260</v>
      </c>
      <c r="E35" s="133" t="s">
        <v>261</v>
      </c>
      <c r="F35" s="135" t="s">
        <v>262</v>
      </c>
    </row>
    <row r="36" spans="1:6" s="27" customFormat="1" x14ac:dyDescent="0.3">
      <c r="A36" s="71">
        <v>37945</v>
      </c>
      <c r="B36" s="23" t="s">
        <v>228</v>
      </c>
      <c r="C36" s="99" t="s">
        <v>54</v>
      </c>
      <c r="D36" s="9" t="s">
        <v>18</v>
      </c>
      <c r="E36" s="124" t="s">
        <v>19</v>
      </c>
      <c r="F36" s="38" t="s">
        <v>215</v>
      </c>
    </row>
    <row r="37" spans="1:6" s="27" customFormat="1" x14ac:dyDescent="0.25">
      <c r="A37" s="71">
        <v>37943</v>
      </c>
      <c r="B37" s="23" t="s">
        <v>228</v>
      </c>
      <c r="C37" s="99" t="s">
        <v>54</v>
      </c>
      <c r="D37" s="9" t="s">
        <v>71</v>
      </c>
      <c r="E37" s="39" t="s">
        <v>72</v>
      </c>
      <c r="F37" s="38" t="s">
        <v>258</v>
      </c>
    </row>
    <row r="38" spans="1:6" s="27" customFormat="1" x14ac:dyDescent="0.25">
      <c r="A38" s="71">
        <v>37943</v>
      </c>
      <c r="B38" s="4" t="s">
        <v>229</v>
      </c>
      <c r="C38" s="125" t="s">
        <v>54</v>
      </c>
      <c r="D38" s="9" t="s">
        <v>238</v>
      </c>
      <c r="E38" s="37" t="s">
        <v>240</v>
      </c>
      <c r="F38" s="37" t="s">
        <v>239</v>
      </c>
    </row>
    <row r="39" spans="1:6" s="27" customFormat="1" ht="26" x14ac:dyDescent="0.25">
      <c r="A39" s="71">
        <v>37943</v>
      </c>
      <c r="B39" s="4" t="s">
        <v>257</v>
      </c>
      <c r="C39" s="125" t="s">
        <v>54</v>
      </c>
      <c r="D39" s="4" t="s">
        <v>95</v>
      </c>
      <c r="E39" s="17" t="s">
        <v>114</v>
      </c>
      <c r="F39" s="37" t="s">
        <v>239</v>
      </c>
    </row>
    <row r="40" spans="1:6" s="27" customFormat="1" ht="26" x14ac:dyDescent="0.25">
      <c r="A40" s="71">
        <v>37930</v>
      </c>
      <c r="B40" s="122" t="s">
        <v>228</v>
      </c>
      <c r="C40" s="123" t="s">
        <v>54</v>
      </c>
      <c r="D40" s="9" t="s">
        <v>29</v>
      </c>
      <c r="E40" s="39" t="s">
        <v>251</v>
      </c>
      <c r="F40" s="38" t="s">
        <v>250</v>
      </c>
    </row>
    <row r="41" spans="1:6" s="27" customFormat="1" ht="32.25" customHeight="1" x14ac:dyDescent="0.25">
      <c r="A41" s="71">
        <v>37928</v>
      </c>
      <c r="B41" s="23" t="s">
        <v>184</v>
      </c>
      <c r="C41" s="99" t="s">
        <v>54</v>
      </c>
      <c r="D41" s="9" t="s">
        <v>110</v>
      </c>
      <c r="E41" s="39" t="s">
        <v>237</v>
      </c>
      <c r="F41" s="38" t="s">
        <v>111</v>
      </c>
    </row>
    <row r="42" spans="1:6" s="27" customFormat="1" ht="26" x14ac:dyDescent="0.25">
      <c r="A42" s="71">
        <v>37910</v>
      </c>
      <c r="B42" s="23" t="s">
        <v>170</v>
      </c>
      <c r="C42" s="99" t="s">
        <v>54</v>
      </c>
      <c r="D42" s="23" t="s">
        <v>87</v>
      </c>
      <c r="E42" s="25" t="s">
        <v>249</v>
      </c>
      <c r="F42" s="39" t="s">
        <v>88</v>
      </c>
    </row>
    <row r="43" spans="1:6" s="27" customFormat="1" ht="26" x14ac:dyDescent="0.25">
      <c r="A43" s="71">
        <v>37900</v>
      </c>
      <c r="B43" s="23" t="s">
        <v>173</v>
      </c>
      <c r="C43" s="99" t="s">
        <v>54</v>
      </c>
      <c r="D43" s="9" t="s">
        <v>11</v>
      </c>
      <c r="E43" s="39" t="s">
        <v>253</v>
      </c>
      <c r="F43" s="38" t="s">
        <v>252</v>
      </c>
    </row>
    <row r="44" spans="1:6" s="27" customFormat="1" ht="26" x14ac:dyDescent="0.25">
      <c r="A44" s="71">
        <v>37889</v>
      </c>
      <c r="B44" s="23" t="s">
        <v>228</v>
      </c>
      <c r="C44" s="99" t="s">
        <v>247</v>
      </c>
      <c r="D44" s="9" t="s">
        <v>29</v>
      </c>
      <c r="E44" s="18" t="s">
        <v>248</v>
      </c>
      <c r="F44" s="38" t="s">
        <v>254</v>
      </c>
    </row>
    <row r="45" spans="1:6" s="27" customFormat="1" ht="26" x14ac:dyDescent="0.25">
      <c r="A45" s="71">
        <v>37889</v>
      </c>
      <c r="B45" s="23" t="s">
        <v>229</v>
      </c>
      <c r="C45" s="99" t="s">
        <v>247</v>
      </c>
      <c r="D45" s="9" t="s">
        <v>29</v>
      </c>
      <c r="E45" s="18" t="s">
        <v>248</v>
      </c>
      <c r="F45" s="38" t="s">
        <v>31</v>
      </c>
    </row>
    <row r="46" spans="1:6" s="27" customFormat="1" ht="26" x14ac:dyDescent="0.25">
      <c r="A46" s="71">
        <v>37880</v>
      </c>
      <c r="B46" s="23" t="s">
        <v>173</v>
      </c>
      <c r="C46" s="99" t="s">
        <v>246</v>
      </c>
      <c r="D46" s="9" t="s">
        <v>231</v>
      </c>
      <c r="E46" s="39" t="s">
        <v>233</v>
      </c>
      <c r="F46" s="38" t="s">
        <v>232</v>
      </c>
    </row>
    <row r="47" spans="1:6" s="27" customFormat="1" x14ac:dyDescent="0.25">
      <c r="A47" s="71">
        <v>37867</v>
      </c>
      <c r="B47" s="23" t="s">
        <v>228</v>
      </c>
      <c r="C47" s="23" t="s">
        <v>54</v>
      </c>
      <c r="D47" s="23" t="s">
        <v>83</v>
      </c>
      <c r="E47" s="25" t="s">
        <v>89</v>
      </c>
      <c r="F47" s="24" t="s">
        <v>84</v>
      </c>
    </row>
    <row r="48" spans="1:6" s="27" customFormat="1" x14ac:dyDescent="0.25">
      <c r="A48" s="71">
        <v>37858</v>
      </c>
      <c r="B48" s="23" t="s">
        <v>228</v>
      </c>
      <c r="C48" s="23" t="s">
        <v>54</v>
      </c>
      <c r="D48" s="9" t="s">
        <v>14</v>
      </c>
      <c r="E48" s="39" t="s">
        <v>138</v>
      </c>
      <c r="F48" s="38" t="s">
        <v>139</v>
      </c>
    </row>
    <row r="49" spans="1:6" s="28" customFormat="1" ht="39" x14ac:dyDescent="0.25">
      <c r="A49" s="83">
        <v>37858</v>
      </c>
      <c r="B49" s="84" t="s">
        <v>229</v>
      </c>
      <c r="C49" s="84" t="s">
        <v>54</v>
      </c>
      <c r="D49" s="85" t="s">
        <v>11</v>
      </c>
      <c r="E49" s="86" t="s">
        <v>117</v>
      </c>
      <c r="F49" s="87" t="s">
        <v>113</v>
      </c>
    </row>
    <row r="50" spans="1:6" s="72" customFormat="1" ht="26" x14ac:dyDescent="0.25">
      <c r="A50" s="71">
        <v>37854</v>
      </c>
      <c r="B50" s="23" t="s">
        <v>228</v>
      </c>
      <c r="C50" s="23" t="s">
        <v>54</v>
      </c>
      <c r="D50" s="9" t="s">
        <v>21</v>
      </c>
      <c r="E50" s="67" t="s">
        <v>226</v>
      </c>
      <c r="F50" s="38" t="s">
        <v>22</v>
      </c>
    </row>
    <row r="51" spans="1:6" s="28" customFormat="1" x14ac:dyDescent="0.25">
      <c r="A51" s="71">
        <v>37853</v>
      </c>
      <c r="B51" s="23" t="s">
        <v>173</v>
      </c>
      <c r="C51" s="23" t="s">
        <v>54</v>
      </c>
      <c r="D51" s="23" t="s">
        <v>98</v>
      </c>
      <c r="E51" s="25" t="s">
        <v>105</v>
      </c>
      <c r="F51" s="24" t="s">
        <v>106</v>
      </c>
    </row>
    <row r="52" spans="1:6" s="28" customFormat="1" x14ac:dyDescent="0.25">
      <c r="A52" s="71">
        <v>37852</v>
      </c>
      <c r="B52" s="23" t="s">
        <v>228</v>
      </c>
      <c r="C52" s="23" t="s">
        <v>54</v>
      </c>
      <c r="D52" s="23" t="s">
        <v>98</v>
      </c>
      <c r="E52" s="25" t="s">
        <v>82</v>
      </c>
      <c r="F52" s="24" t="s">
        <v>99</v>
      </c>
    </row>
    <row r="53" spans="1:6" s="27" customFormat="1" x14ac:dyDescent="0.25">
      <c r="A53" s="71">
        <v>37831</v>
      </c>
      <c r="B53" s="23" t="s">
        <v>228</v>
      </c>
      <c r="C53" s="23" t="s">
        <v>54</v>
      </c>
      <c r="D53" s="4" t="s">
        <v>61</v>
      </c>
      <c r="E53" s="17" t="s">
        <v>62</v>
      </c>
      <c r="F53" s="37" t="s">
        <v>37</v>
      </c>
    </row>
    <row r="54" spans="1:6" s="27" customFormat="1" x14ac:dyDescent="0.25">
      <c r="A54" s="71">
        <v>37831</v>
      </c>
      <c r="B54" s="23" t="s">
        <v>229</v>
      </c>
      <c r="C54" s="23" t="s">
        <v>54</v>
      </c>
      <c r="D54" s="4" t="s">
        <v>61</v>
      </c>
      <c r="E54" s="17" t="s">
        <v>62</v>
      </c>
      <c r="F54" s="37" t="s">
        <v>64</v>
      </c>
    </row>
    <row r="55" spans="1:6" s="27" customFormat="1" x14ac:dyDescent="0.25">
      <c r="A55" s="71">
        <v>37824</v>
      </c>
      <c r="B55" s="23" t="s">
        <v>228</v>
      </c>
      <c r="C55" s="23" t="s">
        <v>54</v>
      </c>
      <c r="D55" s="9" t="s">
        <v>132</v>
      </c>
      <c r="E55" s="39" t="s">
        <v>144</v>
      </c>
      <c r="F55" s="38" t="s">
        <v>145</v>
      </c>
    </row>
    <row r="56" spans="1:6" s="27" customFormat="1" ht="26" x14ac:dyDescent="0.25">
      <c r="A56" s="71">
        <v>37824</v>
      </c>
      <c r="B56" s="23" t="s">
        <v>184</v>
      </c>
      <c r="C56" s="23" t="s">
        <v>54</v>
      </c>
      <c r="D56" s="9" t="s">
        <v>218</v>
      </c>
      <c r="E56" s="39" t="s">
        <v>234</v>
      </c>
      <c r="F56" s="73" t="s">
        <v>227</v>
      </c>
    </row>
    <row r="57" spans="1:6" s="27" customFormat="1" ht="26" x14ac:dyDescent="0.25">
      <c r="A57" s="71">
        <v>37817</v>
      </c>
      <c r="B57" s="23" t="s">
        <v>228</v>
      </c>
      <c r="C57" s="23" t="s">
        <v>54</v>
      </c>
      <c r="D57" s="9" t="s">
        <v>130</v>
      </c>
      <c r="E57" s="39" t="s">
        <v>206</v>
      </c>
      <c r="F57" s="18" t="s">
        <v>147</v>
      </c>
    </row>
    <row r="58" spans="1:6" s="27" customFormat="1" x14ac:dyDescent="0.25">
      <c r="A58" s="65">
        <v>37817</v>
      </c>
      <c r="B58" s="66" t="s">
        <v>229</v>
      </c>
      <c r="C58" s="66" t="s">
        <v>54</v>
      </c>
      <c r="D58" s="9" t="s">
        <v>131</v>
      </c>
      <c r="E58" s="67" t="s">
        <v>222</v>
      </c>
      <c r="F58" s="38" t="s">
        <v>137</v>
      </c>
    </row>
    <row r="59" spans="1:6" s="27" customFormat="1" ht="26" x14ac:dyDescent="0.25">
      <c r="A59" s="22">
        <v>37790</v>
      </c>
      <c r="B59" s="23" t="s">
        <v>172</v>
      </c>
      <c r="C59" s="23" t="s">
        <v>54</v>
      </c>
      <c r="D59" s="9" t="s">
        <v>218</v>
      </c>
      <c r="E59" s="39" t="s">
        <v>219</v>
      </c>
      <c r="F59" s="38" t="s">
        <v>220</v>
      </c>
    </row>
    <row r="60" spans="1:6" s="54" customFormat="1" ht="26" x14ac:dyDescent="0.25">
      <c r="A60" s="22">
        <v>37790</v>
      </c>
      <c r="B60" s="23" t="s">
        <v>173</v>
      </c>
      <c r="C60" s="23" t="s">
        <v>54</v>
      </c>
      <c r="D60" s="9" t="s">
        <v>218</v>
      </c>
      <c r="E60" s="39" t="s">
        <v>219</v>
      </c>
      <c r="F60" s="38" t="s">
        <v>221</v>
      </c>
    </row>
    <row r="61" spans="1:6" s="27" customFormat="1" ht="26" x14ac:dyDescent="0.25">
      <c r="A61" s="71">
        <v>37777</v>
      </c>
      <c r="B61" s="23" t="s">
        <v>172</v>
      </c>
      <c r="C61" s="23" t="s">
        <v>54</v>
      </c>
      <c r="D61" s="9" t="s">
        <v>8</v>
      </c>
      <c r="E61" s="39" t="s">
        <v>217</v>
      </c>
      <c r="F61" s="38" t="s">
        <v>189</v>
      </c>
    </row>
    <row r="62" spans="1:6" s="27" customFormat="1" x14ac:dyDescent="0.25">
      <c r="A62" s="71">
        <v>37775</v>
      </c>
      <c r="B62" s="66" t="s">
        <v>170</v>
      </c>
      <c r="C62" s="66" t="s">
        <v>54</v>
      </c>
      <c r="D62" s="9" t="s">
        <v>195</v>
      </c>
      <c r="E62" s="67" t="s">
        <v>212</v>
      </c>
      <c r="F62" s="18" t="s">
        <v>198</v>
      </c>
    </row>
    <row r="63" spans="1:6" s="27" customFormat="1" hidden="1" x14ac:dyDescent="0.25">
      <c r="A63" s="71">
        <v>37770</v>
      </c>
      <c r="B63" s="23" t="s">
        <v>170</v>
      </c>
      <c r="C63" s="23" t="s">
        <v>54</v>
      </c>
      <c r="D63" s="9" t="s">
        <v>17</v>
      </c>
      <c r="E63" s="39" t="s">
        <v>80</v>
      </c>
      <c r="F63" s="18" t="s">
        <v>17</v>
      </c>
    </row>
    <row r="64" spans="1:6" s="27" customFormat="1" x14ac:dyDescent="0.25">
      <c r="A64" s="71">
        <v>37775</v>
      </c>
      <c r="B64" s="66" t="s">
        <v>171</v>
      </c>
      <c r="C64" s="66" t="s">
        <v>54</v>
      </c>
      <c r="D64" s="9" t="s">
        <v>195</v>
      </c>
      <c r="E64" s="67" t="s">
        <v>212</v>
      </c>
      <c r="F64" s="18" t="s">
        <v>201</v>
      </c>
    </row>
    <row r="65" spans="1:6" s="27" customFormat="1" x14ac:dyDescent="0.25">
      <c r="A65" s="71">
        <v>37775</v>
      </c>
      <c r="B65" s="66" t="s">
        <v>172</v>
      </c>
      <c r="C65" s="66" t="s">
        <v>54</v>
      </c>
      <c r="D65" s="9" t="s">
        <v>195</v>
      </c>
      <c r="E65" s="67" t="s">
        <v>212</v>
      </c>
      <c r="F65" s="18" t="s">
        <v>197</v>
      </c>
    </row>
    <row r="66" spans="1:6" s="27" customFormat="1" x14ac:dyDescent="0.25">
      <c r="A66" s="71">
        <v>37775</v>
      </c>
      <c r="B66" s="66" t="s">
        <v>173</v>
      </c>
      <c r="C66" s="66" t="s">
        <v>54</v>
      </c>
      <c r="D66" s="9" t="s">
        <v>195</v>
      </c>
      <c r="E66" s="67" t="s">
        <v>212</v>
      </c>
      <c r="F66" s="18" t="s">
        <v>200</v>
      </c>
    </row>
    <row r="67" spans="1:6" s="27" customFormat="1" x14ac:dyDescent="0.25">
      <c r="A67" s="71">
        <v>37770</v>
      </c>
      <c r="B67" s="66" t="s">
        <v>170</v>
      </c>
      <c r="C67" s="66" t="s">
        <v>54</v>
      </c>
      <c r="D67" s="9" t="s">
        <v>190</v>
      </c>
      <c r="E67" s="67" t="s">
        <v>211</v>
      </c>
      <c r="F67" s="18" t="s">
        <v>191</v>
      </c>
    </row>
    <row r="68" spans="1:6" s="27" customFormat="1" x14ac:dyDescent="0.25">
      <c r="A68" s="71">
        <v>37770</v>
      </c>
      <c r="B68" s="66" t="s">
        <v>171</v>
      </c>
      <c r="C68" s="66" t="s">
        <v>54</v>
      </c>
      <c r="D68" s="9" t="s">
        <v>190</v>
      </c>
      <c r="E68" s="67" t="s">
        <v>211</v>
      </c>
      <c r="F68" s="18" t="s">
        <v>192</v>
      </c>
    </row>
    <row r="69" spans="1:6" s="27" customFormat="1" x14ac:dyDescent="0.25">
      <c r="A69" s="71">
        <v>37770</v>
      </c>
      <c r="B69" s="66" t="s">
        <v>172</v>
      </c>
      <c r="C69" s="66" t="s">
        <v>54</v>
      </c>
      <c r="D69" s="9" t="s">
        <v>195</v>
      </c>
      <c r="E69" s="67" t="s">
        <v>212</v>
      </c>
      <c r="F69" s="18" t="s">
        <v>199</v>
      </c>
    </row>
    <row r="70" spans="1:6" s="72" customFormat="1" x14ac:dyDescent="0.25">
      <c r="A70" s="71">
        <v>37770</v>
      </c>
      <c r="B70" s="66" t="s">
        <v>173</v>
      </c>
      <c r="C70" s="66" t="s">
        <v>54</v>
      </c>
      <c r="D70" s="9" t="s">
        <v>195</v>
      </c>
      <c r="E70" s="67" t="s">
        <v>212</v>
      </c>
      <c r="F70" s="18" t="s">
        <v>196</v>
      </c>
    </row>
    <row r="71" spans="1:6" s="72" customFormat="1" x14ac:dyDescent="0.25">
      <c r="A71" s="71">
        <v>37769</v>
      </c>
      <c r="B71" s="66" t="s">
        <v>172</v>
      </c>
      <c r="C71" s="66" t="s">
        <v>54</v>
      </c>
      <c r="D71" s="9" t="s">
        <v>190</v>
      </c>
      <c r="E71" s="67" t="s">
        <v>211</v>
      </c>
      <c r="F71" s="18" t="s">
        <v>193</v>
      </c>
    </row>
    <row r="72" spans="1:6" s="28" customFormat="1" x14ac:dyDescent="0.25">
      <c r="A72" s="71">
        <v>37769</v>
      </c>
      <c r="B72" s="66" t="s">
        <v>173</v>
      </c>
      <c r="C72" s="66" t="s">
        <v>54</v>
      </c>
      <c r="D72" s="9" t="s">
        <v>190</v>
      </c>
      <c r="E72" s="67" t="s">
        <v>211</v>
      </c>
      <c r="F72" s="18" t="s">
        <v>194</v>
      </c>
    </row>
    <row r="73" spans="1:6" s="28" customFormat="1" ht="26" x14ac:dyDescent="0.25">
      <c r="A73" s="71">
        <v>37763</v>
      </c>
      <c r="B73" s="66" t="s">
        <v>170</v>
      </c>
      <c r="C73" s="66" t="s">
        <v>54</v>
      </c>
      <c r="D73" s="9" t="s">
        <v>21</v>
      </c>
      <c r="E73" s="67" t="s">
        <v>226</v>
      </c>
      <c r="F73" s="38" t="s">
        <v>22</v>
      </c>
    </row>
    <row r="74" spans="1:6" s="28" customFormat="1" ht="26" x14ac:dyDescent="0.25">
      <c r="A74" s="71">
        <v>37763</v>
      </c>
      <c r="B74" s="23" t="s">
        <v>171</v>
      </c>
      <c r="C74" s="23" t="s">
        <v>54</v>
      </c>
      <c r="D74" s="9" t="s">
        <v>187</v>
      </c>
      <c r="E74" s="39" t="s">
        <v>213</v>
      </c>
      <c r="F74" s="18" t="s">
        <v>188</v>
      </c>
    </row>
    <row r="75" spans="1:6" s="28" customFormat="1" ht="26" x14ac:dyDescent="0.25">
      <c r="A75" s="71">
        <v>37763</v>
      </c>
      <c r="B75" s="66" t="s">
        <v>172</v>
      </c>
      <c r="C75" s="66" t="s">
        <v>54</v>
      </c>
      <c r="D75" s="9" t="s">
        <v>185</v>
      </c>
      <c r="E75" s="67" t="s">
        <v>209</v>
      </c>
      <c r="F75" s="18" t="s">
        <v>204</v>
      </c>
    </row>
    <row r="76" spans="1:6" s="28" customFormat="1" x14ac:dyDescent="0.25">
      <c r="A76" s="71">
        <v>37763</v>
      </c>
      <c r="B76" s="66" t="s">
        <v>173</v>
      </c>
      <c r="C76" s="66" t="s">
        <v>54</v>
      </c>
      <c r="D76" s="9" t="s">
        <v>203</v>
      </c>
      <c r="E76" s="39" t="s">
        <v>207</v>
      </c>
      <c r="F76" s="18" t="s">
        <v>204</v>
      </c>
    </row>
    <row r="77" spans="1:6" s="28" customFormat="1" x14ac:dyDescent="0.25">
      <c r="A77" s="22">
        <v>37762</v>
      </c>
      <c r="B77" s="23" t="s">
        <v>170</v>
      </c>
      <c r="C77" s="23" t="s">
        <v>54</v>
      </c>
      <c r="D77" s="9" t="s">
        <v>18</v>
      </c>
      <c r="E77" s="18" t="s">
        <v>216</v>
      </c>
      <c r="F77" s="38" t="s">
        <v>215</v>
      </c>
    </row>
    <row r="78" spans="1:6" s="64" customFormat="1" ht="26" x14ac:dyDescent="0.25">
      <c r="A78" s="22">
        <v>37762</v>
      </c>
      <c r="B78" s="23" t="s">
        <v>171</v>
      </c>
      <c r="C78" s="23" t="s">
        <v>54</v>
      </c>
      <c r="D78" s="9" t="s">
        <v>179</v>
      </c>
      <c r="E78" s="39" t="s">
        <v>214</v>
      </c>
      <c r="F78" s="18" t="s">
        <v>181</v>
      </c>
    </row>
    <row r="79" spans="1:6" s="64" customFormat="1" ht="39" x14ac:dyDescent="0.25">
      <c r="A79" s="22">
        <v>37761</v>
      </c>
      <c r="B79" s="23" t="s">
        <v>170</v>
      </c>
      <c r="C79" s="23" t="s">
        <v>54</v>
      </c>
      <c r="D79" s="9" t="s">
        <v>176</v>
      </c>
      <c r="E79" s="39" t="s">
        <v>210</v>
      </c>
      <c r="F79" s="18" t="s">
        <v>92</v>
      </c>
    </row>
    <row r="80" spans="1:6" s="27" customFormat="1" ht="39" x14ac:dyDescent="0.25">
      <c r="A80" s="22">
        <v>37761</v>
      </c>
      <c r="B80" s="23" t="s">
        <v>171</v>
      </c>
      <c r="C80" s="23" t="s">
        <v>54</v>
      </c>
      <c r="D80" s="9" t="s">
        <v>176</v>
      </c>
      <c r="E80" s="39" t="s">
        <v>210</v>
      </c>
      <c r="F80" s="18" t="s">
        <v>177</v>
      </c>
    </row>
    <row r="81" spans="1:6" s="27" customFormat="1" ht="39" x14ac:dyDescent="0.25">
      <c r="A81" s="22">
        <v>37761</v>
      </c>
      <c r="B81" s="23" t="s">
        <v>172</v>
      </c>
      <c r="C81" s="23" t="s">
        <v>54</v>
      </c>
      <c r="D81" s="9" t="s">
        <v>176</v>
      </c>
      <c r="E81" s="39" t="s">
        <v>210</v>
      </c>
      <c r="F81" s="18" t="s">
        <v>178</v>
      </c>
    </row>
    <row r="82" spans="1:6" s="28" customFormat="1" ht="26" x14ac:dyDescent="0.25">
      <c r="A82" s="22">
        <v>37761</v>
      </c>
      <c r="B82" s="23" t="s">
        <v>173</v>
      </c>
      <c r="C82" s="23" t="s">
        <v>54</v>
      </c>
      <c r="D82" s="9" t="s">
        <v>179</v>
      </c>
      <c r="E82" s="39" t="s">
        <v>214</v>
      </c>
      <c r="F82" s="18" t="s">
        <v>180</v>
      </c>
    </row>
    <row r="83" spans="1:6" s="28" customFormat="1" ht="26" x14ac:dyDescent="0.25">
      <c r="A83" s="65">
        <v>37743</v>
      </c>
      <c r="B83" s="66" t="s">
        <v>170</v>
      </c>
      <c r="C83" s="66" t="s">
        <v>54</v>
      </c>
      <c r="D83" s="9" t="s">
        <v>187</v>
      </c>
      <c r="E83" s="67" t="s">
        <v>213</v>
      </c>
      <c r="F83" s="18" t="s">
        <v>202</v>
      </c>
    </row>
    <row r="84" spans="1:6" s="28" customFormat="1" x14ac:dyDescent="0.25">
      <c r="A84" s="65">
        <v>37743</v>
      </c>
      <c r="B84" s="66" t="s">
        <v>171</v>
      </c>
      <c r="C84" s="66" t="s">
        <v>54</v>
      </c>
      <c r="D84" s="9" t="s">
        <v>203</v>
      </c>
      <c r="E84" s="67" t="s">
        <v>207</v>
      </c>
      <c r="F84" s="18" t="s">
        <v>202</v>
      </c>
    </row>
    <row r="85" spans="1:6" s="28" customFormat="1" ht="26" x14ac:dyDescent="0.25">
      <c r="A85" s="22">
        <v>37743</v>
      </c>
      <c r="B85" s="23" t="s">
        <v>173</v>
      </c>
      <c r="C85" s="23" t="s">
        <v>54</v>
      </c>
      <c r="D85" s="9" t="s">
        <v>185</v>
      </c>
      <c r="E85" s="39" t="s">
        <v>208</v>
      </c>
      <c r="F85" s="18" t="s">
        <v>186</v>
      </c>
    </row>
    <row r="86" spans="1:6" s="62" customFormat="1" ht="26" x14ac:dyDescent="0.25">
      <c r="A86" s="22">
        <v>37743</v>
      </c>
      <c r="B86" s="23" t="s">
        <v>184</v>
      </c>
      <c r="C86" s="23" t="s">
        <v>54</v>
      </c>
      <c r="D86" s="9" t="s">
        <v>185</v>
      </c>
      <c r="E86" s="39" t="s">
        <v>209</v>
      </c>
      <c r="F86" s="18" t="s">
        <v>186</v>
      </c>
    </row>
    <row r="87" spans="1:6" s="28" customFormat="1" ht="26" x14ac:dyDescent="0.25">
      <c r="A87" s="22">
        <v>37742</v>
      </c>
      <c r="B87" s="23" t="s">
        <v>170</v>
      </c>
      <c r="C87" s="23" t="s">
        <v>54</v>
      </c>
      <c r="D87" s="9" t="s">
        <v>42</v>
      </c>
      <c r="E87" s="39" t="s">
        <v>134</v>
      </c>
      <c r="F87" s="38" t="s">
        <v>135</v>
      </c>
    </row>
    <row r="88" spans="1:6" s="26" customFormat="1" x14ac:dyDescent="0.25">
      <c r="A88" s="22">
        <v>37741</v>
      </c>
      <c r="B88" s="23" t="s">
        <v>170</v>
      </c>
      <c r="C88" s="23" t="s">
        <v>54</v>
      </c>
      <c r="D88" s="9" t="s">
        <v>203</v>
      </c>
      <c r="E88" s="39" t="s">
        <v>207</v>
      </c>
      <c r="F88" s="18" t="s">
        <v>92</v>
      </c>
    </row>
    <row r="89" spans="1:6" s="26" customFormat="1" x14ac:dyDescent="0.25">
      <c r="A89" s="22">
        <v>37741</v>
      </c>
      <c r="B89" s="23" t="s">
        <v>173</v>
      </c>
      <c r="C89" s="23" t="s">
        <v>54</v>
      </c>
      <c r="D89" s="9" t="s">
        <v>56</v>
      </c>
      <c r="E89" s="39" t="s">
        <v>174</v>
      </c>
      <c r="F89" s="38" t="s">
        <v>175</v>
      </c>
    </row>
    <row r="90" spans="1:6" s="28" customFormat="1" x14ac:dyDescent="0.25">
      <c r="A90" s="22">
        <v>37644</v>
      </c>
      <c r="B90" s="23" t="s">
        <v>149</v>
      </c>
      <c r="C90" s="24" t="s">
        <v>54</v>
      </c>
      <c r="D90" s="23" t="s">
        <v>83</v>
      </c>
      <c r="E90" s="25" t="s">
        <v>89</v>
      </c>
      <c r="F90" s="24" t="s">
        <v>84</v>
      </c>
    </row>
    <row r="91" spans="1:6" s="26" customFormat="1" x14ac:dyDescent="0.25">
      <c r="A91" s="22">
        <v>37643</v>
      </c>
      <c r="B91" s="23" t="s">
        <v>149</v>
      </c>
      <c r="C91" s="23" t="s">
        <v>54</v>
      </c>
      <c r="D91" s="9" t="s">
        <v>164</v>
      </c>
      <c r="E91" s="39" t="s">
        <v>165</v>
      </c>
      <c r="F91" s="38" t="s">
        <v>166</v>
      </c>
    </row>
    <row r="92" spans="1:6" s="26" customFormat="1" x14ac:dyDescent="0.25">
      <c r="A92" s="22">
        <v>37643</v>
      </c>
      <c r="B92" s="23" t="s">
        <v>150</v>
      </c>
      <c r="C92" s="23" t="s">
        <v>54</v>
      </c>
      <c r="D92" s="9" t="s">
        <v>164</v>
      </c>
      <c r="E92" s="39" t="s">
        <v>165</v>
      </c>
      <c r="F92" s="38" t="s">
        <v>167</v>
      </c>
    </row>
    <row r="93" spans="1:6" s="28" customFormat="1" x14ac:dyDescent="0.25">
      <c r="A93" s="22">
        <v>37643</v>
      </c>
      <c r="B93" s="23" t="s">
        <v>151</v>
      </c>
      <c r="C93" s="23" t="s">
        <v>54</v>
      </c>
      <c r="D93" s="9" t="s">
        <v>164</v>
      </c>
      <c r="E93" s="39" t="s">
        <v>165</v>
      </c>
      <c r="F93" s="38" t="s">
        <v>168</v>
      </c>
    </row>
    <row r="94" spans="1:6" s="26" customFormat="1" x14ac:dyDescent="0.25">
      <c r="A94" s="22">
        <v>37642</v>
      </c>
      <c r="B94" s="23" t="s">
        <v>149</v>
      </c>
      <c r="C94" s="23" t="s">
        <v>54</v>
      </c>
      <c r="D94" s="9" t="s">
        <v>132</v>
      </c>
      <c r="E94" s="39" t="s">
        <v>144</v>
      </c>
      <c r="F94" s="38" t="s">
        <v>145</v>
      </c>
    </row>
    <row r="95" spans="1:6" s="26" customFormat="1" ht="26" x14ac:dyDescent="0.25">
      <c r="A95" s="22">
        <v>37642</v>
      </c>
      <c r="B95" s="23" t="s">
        <v>150</v>
      </c>
      <c r="C95" s="23" t="s">
        <v>54</v>
      </c>
      <c r="D95" s="9" t="s">
        <v>158</v>
      </c>
      <c r="E95" s="25" t="s">
        <v>159</v>
      </c>
      <c r="F95" s="38" t="s">
        <v>160</v>
      </c>
    </row>
    <row r="96" spans="1:6" s="26" customFormat="1" x14ac:dyDescent="0.25">
      <c r="A96" s="22">
        <v>37607</v>
      </c>
      <c r="B96" s="23" t="s">
        <v>155</v>
      </c>
      <c r="C96" s="23" t="s">
        <v>157</v>
      </c>
      <c r="D96" s="23" t="s">
        <v>101</v>
      </c>
      <c r="E96" s="25" t="s">
        <v>104</v>
      </c>
      <c r="F96" s="24" t="s">
        <v>102</v>
      </c>
    </row>
    <row r="97" spans="1:6" s="26" customFormat="1" x14ac:dyDescent="0.25">
      <c r="A97" s="22">
        <v>37602</v>
      </c>
      <c r="B97" s="23" t="s">
        <v>149</v>
      </c>
      <c r="C97" s="23" t="s">
        <v>54</v>
      </c>
      <c r="D97" s="9" t="s">
        <v>118</v>
      </c>
      <c r="E97" s="25" t="s">
        <v>161</v>
      </c>
      <c r="F97" s="38" t="s">
        <v>162</v>
      </c>
    </row>
    <row r="98" spans="1:6" s="51" customFormat="1" ht="13.5" x14ac:dyDescent="0.25">
      <c r="A98" s="22">
        <v>37602</v>
      </c>
      <c r="B98" s="23" t="s">
        <v>150</v>
      </c>
      <c r="C98" s="23" t="s">
        <v>54</v>
      </c>
      <c r="D98" s="9" t="s">
        <v>118</v>
      </c>
      <c r="E98" s="25" t="s">
        <v>161</v>
      </c>
      <c r="F98" s="38" t="s">
        <v>120</v>
      </c>
    </row>
    <row r="99" spans="1:6" s="26" customFormat="1" x14ac:dyDescent="0.25">
      <c r="A99" s="22">
        <v>37602</v>
      </c>
      <c r="B99" s="23" t="s">
        <v>151</v>
      </c>
      <c r="C99" s="23" t="s">
        <v>54</v>
      </c>
      <c r="D99" s="9" t="s">
        <v>118</v>
      </c>
      <c r="E99" s="25" t="s">
        <v>161</v>
      </c>
      <c r="F99" s="38" t="s">
        <v>121</v>
      </c>
    </row>
    <row r="100" spans="1:6" s="26" customFormat="1" x14ac:dyDescent="0.25">
      <c r="A100" s="22">
        <v>37600</v>
      </c>
      <c r="B100" s="23" t="s">
        <v>149</v>
      </c>
      <c r="C100" s="23" t="s">
        <v>54</v>
      </c>
      <c r="D100" s="9" t="s">
        <v>56</v>
      </c>
      <c r="E100" s="25" t="s">
        <v>90</v>
      </c>
      <c r="F100" s="38" t="s">
        <v>148</v>
      </c>
    </row>
    <row r="101" spans="1:6" s="26" customFormat="1" x14ac:dyDescent="0.25">
      <c r="A101" s="22">
        <v>37600</v>
      </c>
      <c r="B101" s="23" t="s">
        <v>150</v>
      </c>
      <c r="C101" s="23" t="s">
        <v>54</v>
      </c>
      <c r="D101" s="9" t="s">
        <v>8</v>
      </c>
      <c r="E101" s="25" t="s">
        <v>10</v>
      </c>
      <c r="F101" s="38" t="s">
        <v>156</v>
      </c>
    </row>
    <row r="102" spans="1:6" s="26" customFormat="1" ht="26" x14ac:dyDescent="0.25">
      <c r="A102" s="22">
        <v>37574</v>
      </c>
      <c r="B102" s="23" t="s">
        <v>155</v>
      </c>
      <c r="C102" s="42" t="s">
        <v>133</v>
      </c>
      <c r="D102" s="9" t="s">
        <v>21</v>
      </c>
      <c r="E102" s="39" t="s">
        <v>223</v>
      </c>
      <c r="F102" s="38" t="s">
        <v>22</v>
      </c>
    </row>
    <row r="103" spans="1:6" s="26" customFormat="1" x14ac:dyDescent="0.25">
      <c r="A103" s="22">
        <v>37572</v>
      </c>
      <c r="B103" s="23" t="s">
        <v>150</v>
      </c>
      <c r="C103" s="42" t="s">
        <v>54</v>
      </c>
      <c r="D103" s="9" t="s">
        <v>152</v>
      </c>
      <c r="E103" s="39" t="s">
        <v>153</v>
      </c>
      <c r="F103" s="38" t="s">
        <v>154</v>
      </c>
    </row>
    <row r="104" spans="1:6" s="26" customFormat="1" x14ac:dyDescent="0.25">
      <c r="A104" s="22">
        <v>37572</v>
      </c>
      <c r="B104" s="23" t="s">
        <v>151</v>
      </c>
      <c r="C104" s="42" t="s">
        <v>54</v>
      </c>
      <c r="D104" s="9" t="s">
        <v>152</v>
      </c>
      <c r="E104" s="39" t="s">
        <v>153</v>
      </c>
      <c r="F104" s="38" t="s">
        <v>73</v>
      </c>
    </row>
    <row r="105" spans="1:6" s="26" customFormat="1" x14ac:dyDescent="0.25">
      <c r="A105" s="22">
        <v>37567</v>
      </c>
      <c r="B105" s="23" t="s">
        <v>150</v>
      </c>
      <c r="C105" s="42" t="s">
        <v>54</v>
      </c>
      <c r="D105" s="9" t="s">
        <v>130</v>
      </c>
      <c r="E105" s="39" t="s">
        <v>146</v>
      </c>
      <c r="F105" s="38" t="s">
        <v>147</v>
      </c>
    </row>
    <row r="106" spans="1:6" s="26" customFormat="1" x14ac:dyDescent="0.25">
      <c r="A106" s="22">
        <v>37566</v>
      </c>
      <c r="B106" s="23" t="s">
        <v>149</v>
      </c>
      <c r="C106" s="42" t="s">
        <v>54</v>
      </c>
      <c r="D106" s="9" t="s">
        <v>14</v>
      </c>
      <c r="E106" s="39" t="s">
        <v>138</v>
      </c>
      <c r="F106" s="38" t="s">
        <v>139</v>
      </c>
    </row>
    <row r="107" spans="1:6" s="26" customFormat="1" ht="26" x14ac:dyDescent="0.25">
      <c r="A107" s="22">
        <v>37566</v>
      </c>
      <c r="B107" s="23" t="s">
        <v>150</v>
      </c>
      <c r="C107" s="42" t="s">
        <v>54</v>
      </c>
      <c r="D107" s="9" t="s">
        <v>42</v>
      </c>
      <c r="E107" s="39" t="s">
        <v>134</v>
      </c>
      <c r="F107" s="38" t="s">
        <v>135</v>
      </c>
    </row>
    <row r="108" spans="1:6" s="26" customFormat="1" ht="26" x14ac:dyDescent="0.25">
      <c r="A108" s="22">
        <v>37539</v>
      </c>
      <c r="B108" s="23" t="s">
        <v>93</v>
      </c>
      <c r="C108" s="24" t="s">
        <v>54</v>
      </c>
      <c r="D108" s="9" t="s">
        <v>127</v>
      </c>
      <c r="E108" s="39" t="s">
        <v>140</v>
      </c>
      <c r="F108" s="38" t="s">
        <v>141</v>
      </c>
    </row>
    <row r="109" spans="1:6" s="26" customFormat="1" ht="26" x14ac:dyDescent="0.25">
      <c r="A109" s="22">
        <v>37539</v>
      </c>
      <c r="B109" s="23" t="s">
        <v>128</v>
      </c>
      <c r="C109" s="24" t="s">
        <v>54</v>
      </c>
      <c r="D109" s="9" t="s">
        <v>127</v>
      </c>
      <c r="E109" s="39" t="s">
        <v>140</v>
      </c>
      <c r="F109" s="38" t="s">
        <v>142</v>
      </c>
    </row>
    <row r="110" spans="1:6" s="26" customFormat="1" ht="26" x14ac:dyDescent="0.25">
      <c r="A110" s="22">
        <v>37539</v>
      </c>
      <c r="B110" s="23" t="s">
        <v>129</v>
      </c>
      <c r="C110" s="24" t="s">
        <v>54</v>
      </c>
      <c r="D110" s="9" t="s">
        <v>127</v>
      </c>
      <c r="E110" s="39" t="s">
        <v>140</v>
      </c>
      <c r="F110" s="38" t="s">
        <v>143</v>
      </c>
    </row>
    <row r="111" spans="1:6" s="26" customFormat="1" ht="26" x14ac:dyDescent="0.25">
      <c r="A111" s="22">
        <v>37529</v>
      </c>
      <c r="B111" s="23" t="s">
        <v>53</v>
      </c>
      <c r="C111" s="24" t="s">
        <v>54</v>
      </c>
      <c r="D111" s="9" t="s">
        <v>66</v>
      </c>
      <c r="E111" s="39" t="s">
        <v>125</v>
      </c>
      <c r="F111" s="38" t="s">
        <v>20</v>
      </c>
    </row>
    <row r="112" spans="1:6" s="26" customFormat="1" ht="26" x14ac:dyDescent="0.25">
      <c r="A112" s="22">
        <v>37522</v>
      </c>
      <c r="B112" s="23" t="s">
        <v>55</v>
      </c>
      <c r="C112" s="24" t="s">
        <v>54</v>
      </c>
      <c r="D112" s="9" t="s">
        <v>122</v>
      </c>
      <c r="E112" s="39" t="s">
        <v>123</v>
      </c>
      <c r="F112" s="20" t="s">
        <v>124</v>
      </c>
    </row>
    <row r="113" spans="1:6" s="26" customFormat="1" ht="26" x14ac:dyDescent="0.25">
      <c r="A113" s="22">
        <v>37497</v>
      </c>
      <c r="B113" s="23" t="s">
        <v>70</v>
      </c>
      <c r="C113" s="24" t="s">
        <v>54</v>
      </c>
      <c r="D113" s="9" t="s">
        <v>118</v>
      </c>
      <c r="E113" s="36" t="s">
        <v>126</v>
      </c>
      <c r="F113" s="20" t="s">
        <v>119</v>
      </c>
    </row>
    <row r="114" spans="1:6" s="26" customFormat="1" ht="26" x14ac:dyDescent="0.25">
      <c r="A114" s="22">
        <v>37497</v>
      </c>
      <c r="B114" s="23" t="s">
        <v>79</v>
      </c>
      <c r="C114" s="24" t="s">
        <v>54</v>
      </c>
      <c r="D114" s="9" t="s">
        <v>118</v>
      </c>
      <c r="E114" s="36" t="s">
        <v>126</v>
      </c>
      <c r="F114" s="20" t="s">
        <v>120</v>
      </c>
    </row>
    <row r="115" spans="1:6" s="26" customFormat="1" ht="26" x14ac:dyDescent="0.25">
      <c r="A115" s="22">
        <v>37497</v>
      </c>
      <c r="B115" s="23" t="s">
        <v>48</v>
      </c>
      <c r="C115" s="24" t="s">
        <v>54</v>
      </c>
      <c r="D115" s="9" t="s">
        <v>118</v>
      </c>
      <c r="E115" s="36" t="s">
        <v>126</v>
      </c>
      <c r="F115" s="20" t="s">
        <v>121</v>
      </c>
    </row>
    <row r="116" spans="1:6" s="26" customFormat="1" ht="39" x14ac:dyDescent="0.25">
      <c r="A116" s="22">
        <v>37475</v>
      </c>
      <c r="B116" s="23" t="s">
        <v>48</v>
      </c>
      <c r="C116" s="24" t="s">
        <v>54</v>
      </c>
      <c r="D116" s="9" t="s">
        <v>11</v>
      </c>
      <c r="E116" s="25" t="s">
        <v>117</v>
      </c>
      <c r="F116" s="20" t="s">
        <v>113</v>
      </c>
    </row>
    <row r="117" spans="1:6" s="27" customFormat="1" ht="26" x14ac:dyDescent="0.25">
      <c r="A117" s="22">
        <v>37468</v>
      </c>
      <c r="B117" s="23" t="s">
        <v>70</v>
      </c>
      <c r="C117" s="24" t="s">
        <v>54</v>
      </c>
      <c r="D117" s="9" t="s">
        <v>110</v>
      </c>
      <c r="E117" s="25" t="s">
        <v>115</v>
      </c>
      <c r="F117" s="20" t="s">
        <v>111</v>
      </c>
    </row>
    <row r="118" spans="1:6" s="27" customFormat="1" ht="26" x14ac:dyDescent="0.25">
      <c r="A118" s="22">
        <v>37468</v>
      </c>
      <c r="B118" s="23" t="s">
        <v>79</v>
      </c>
      <c r="C118" s="24" t="s">
        <v>54</v>
      </c>
      <c r="D118" s="9" t="s">
        <v>110</v>
      </c>
      <c r="E118" s="25" t="s">
        <v>115</v>
      </c>
      <c r="F118" s="20" t="s">
        <v>112</v>
      </c>
    </row>
    <row r="119" spans="1:6" s="28" customFormat="1" ht="26" x14ac:dyDescent="0.25">
      <c r="A119" s="22">
        <v>37468</v>
      </c>
      <c r="B119" s="23" t="s">
        <v>48</v>
      </c>
      <c r="C119" s="24" t="s">
        <v>54</v>
      </c>
      <c r="D119" s="9" t="s">
        <v>24</v>
      </c>
      <c r="E119" s="17" t="s">
        <v>81</v>
      </c>
      <c r="F119" s="37" t="s">
        <v>76</v>
      </c>
    </row>
    <row r="120" spans="1:6" s="28" customFormat="1" x14ac:dyDescent="0.25">
      <c r="A120" s="22">
        <v>37455</v>
      </c>
      <c r="B120" s="23" t="s">
        <v>103</v>
      </c>
      <c r="C120" s="24" t="s">
        <v>108</v>
      </c>
      <c r="D120" s="23" t="s">
        <v>40</v>
      </c>
      <c r="E120" s="25" t="s">
        <v>109</v>
      </c>
      <c r="F120" s="24" t="s">
        <v>107</v>
      </c>
    </row>
    <row r="121" spans="1:6" s="28" customFormat="1" x14ac:dyDescent="0.25">
      <c r="A121" s="22">
        <v>37448</v>
      </c>
      <c r="B121" s="23" t="s">
        <v>53</v>
      </c>
      <c r="C121" s="24" t="s">
        <v>54</v>
      </c>
      <c r="D121" s="23" t="s">
        <v>98</v>
      </c>
      <c r="E121" s="25" t="s">
        <v>105</v>
      </c>
      <c r="F121" s="24" t="s">
        <v>106</v>
      </c>
    </row>
    <row r="122" spans="1:6" s="29" customFormat="1" x14ac:dyDescent="0.25">
      <c r="A122" s="22">
        <v>37445</v>
      </c>
      <c r="B122" s="23" t="s">
        <v>48</v>
      </c>
      <c r="C122" s="24" t="s">
        <v>54</v>
      </c>
      <c r="D122" s="23" t="s">
        <v>101</v>
      </c>
      <c r="E122" s="25" t="s">
        <v>104</v>
      </c>
      <c r="F122" s="24" t="s">
        <v>102</v>
      </c>
    </row>
    <row r="123" spans="1:6" s="26" customFormat="1" x14ac:dyDescent="0.25">
      <c r="A123" s="22">
        <v>37434</v>
      </c>
      <c r="B123" s="23" t="s">
        <v>75</v>
      </c>
      <c r="C123" s="24" t="s">
        <v>54</v>
      </c>
      <c r="D123" s="23" t="s">
        <v>8</v>
      </c>
      <c r="E123" s="25" t="s">
        <v>10</v>
      </c>
      <c r="F123" s="24" t="s">
        <v>9</v>
      </c>
    </row>
    <row r="124" spans="1:6" s="26" customFormat="1" ht="26" x14ac:dyDescent="0.25">
      <c r="A124" s="22">
        <v>37434</v>
      </c>
      <c r="B124" s="23" t="s">
        <v>86</v>
      </c>
      <c r="C124" s="24" t="s">
        <v>54</v>
      </c>
      <c r="D124" s="23" t="s">
        <v>87</v>
      </c>
      <c r="E124" s="25" t="s">
        <v>91</v>
      </c>
      <c r="F124" s="24" t="s">
        <v>88</v>
      </c>
    </row>
    <row r="125" spans="1:6" s="26" customFormat="1" x14ac:dyDescent="0.25">
      <c r="A125" s="15">
        <v>37434</v>
      </c>
      <c r="B125" s="4" t="s">
        <v>53</v>
      </c>
      <c r="C125" s="5" t="s">
        <v>54</v>
      </c>
      <c r="D125" s="4" t="s">
        <v>100</v>
      </c>
      <c r="E125" s="17" t="s">
        <v>116</v>
      </c>
      <c r="F125" s="5" t="s">
        <v>20</v>
      </c>
    </row>
    <row r="126" spans="1:6" s="26" customFormat="1" x14ac:dyDescent="0.25">
      <c r="A126" s="22">
        <v>37427</v>
      </c>
      <c r="B126" s="23" t="s">
        <v>48</v>
      </c>
      <c r="C126" s="24" t="s">
        <v>54</v>
      </c>
      <c r="D126" s="23" t="s">
        <v>56</v>
      </c>
      <c r="E126" s="25" t="s">
        <v>90</v>
      </c>
      <c r="F126" s="24" t="s">
        <v>85</v>
      </c>
    </row>
    <row r="127" spans="1:6" s="26" customFormat="1" ht="26" x14ac:dyDescent="0.25">
      <c r="A127" s="22">
        <v>37426</v>
      </c>
      <c r="B127" s="23" t="s">
        <v>75</v>
      </c>
      <c r="C127" s="24" t="s">
        <v>54</v>
      </c>
      <c r="D127" s="23" t="s">
        <v>21</v>
      </c>
      <c r="E127" s="25" t="s">
        <v>225</v>
      </c>
      <c r="F127" s="24" t="s">
        <v>22</v>
      </c>
    </row>
    <row r="128" spans="1:6" s="26" customFormat="1" x14ac:dyDescent="0.25">
      <c r="A128" s="22">
        <v>37426</v>
      </c>
      <c r="B128" s="23" t="s">
        <v>48</v>
      </c>
      <c r="C128" s="24" t="s">
        <v>54</v>
      </c>
      <c r="D128" s="23" t="s">
        <v>83</v>
      </c>
      <c r="E128" s="25" t="s">
        <v>89</v>
      </c>
      <c r="F128" s="24" t="s">
        <v>84</v>
      </c>
    </row>
    <row r="129" spans="1:6" s="26" customFormat="1" x14ac:dyDescent="0.25">
      <c r="A129" s="22">
        <v>37425</v>
      </c>
      <c r="B129" s="23" t="s">
        <v>55</v>
      </c>
      <c r="C129" s="24" t="s">
        <v>54</v>
      </c>
      <c r="D129" s="23" t="s">
        <v>98</v>
      </c>
      <c r="E129" s="25" t="s">
        <v>82</v>
      </c>
      <c r="F129" s="24" t="s">
        <v>99</v>
      </c>
    </row>
    <row r="130" spans="1:6" s="26" customFormat="1" ht="26" x14ac:dyDescent="0.25">
      <c r="A130" s="22">
        <v>37405</v>
      </c>
      <c r="B130" s="23" t="s">
        <v>94</v>
      </c>
      <c r="C130" s="24" t="s">
        <v>54</v>
      </c>
      <c r="D130" s="23" t="s">
        <v>95</v>
      </c>
      <c r="E130" s="25" t="s">
        <v>114</v>
      </c>
      <c r="F130" s="24" t="s">
        <v>96</v>
      </c>
    </row>
    <row r="131" spans="1:6" s="26" customFormat="1" ht="26" x14ac:dyDescent="0.25">
      <c r="A131" s="22">
        <v>37405</v>
      </c>
      <c r="B131" s="23" t="s">
        <v>94</v>
      </c>
      <c r="C131" s="24" t="s">
        <v>54</v>
      </c>
      <c r="D131" s="23" t="s">
        <v>95</v>
      </c>
      <c r="E131" s="25" t="s">
        <v>114</v>
      </c>
      <c r="F131" s="24" t="s">
        <v>97</v>
      </c>
    </row>
    <row r="132" spans="1:6" s="26" customFormat="1" x14ac:dyDescent="0.25">
      <c r="A132" s="22">
        <v>37404</v>
      </c>
      <c r="B132" s="23" t="s">
        <v>93</v>
      </c>
      <c r="C132" s="24" t="s">
        <v>54</v>
      </c>
      <c r="D132" s="23" t="s">
        <v>71</v>
      </c>
      <c r="E132" s="25" t="s">
        <v>72</v>
      </c>
      <c r="F132" s="24" t="s">
        <v>23</v>
      </c>
    </row>
    <row r="133" spans="1:6" s="26" customFormat="1" x14ac:dyDescent="0.25">
      <c r="A133" s="22">
        <v>37404</v>
      </c>
      <c r="B133" s="23" t="s">
        <v>79</v>
      </c>
      <c r="C133" s="24" t="s">
        <v>54</v>
      </c>
      <c r="D133" s="23" t="s">
        <v>71</v>
      </c>
      <c r="E133" s="25" t="s">
        <v>72</v>
      </c>
      <c r="F133" s="24" t="s">
        <v>92</v>
      </c>
    </row>
    <row r="134" spans="1:6" s="10" customFormat="1" x14ac:dyDescent="0.25">
      <c r="A134" s="13">
        <v>37385</v>
      </c>
      <c r="B134" s="11" t="s">
        <v>70</v>
      </c>
      <c r="C134" s="21" t="s">
        <v>54</v>
      </c>
      <c r="D134" s="4" t="s">
        <v>71</v>
      </c>
      <c r="E134" s="17" t="s">
        <v>72</v>
      </c>
      <c r="F134" s="37" t="s">
        <v>73</v>
      </c>
    </row>
    <row r="135" spans="1:6" s="10" customFormat="1" x14ac:dyDescent="0.25">
      <c r="A135" s="13">
        <v>37385</v>
      </c>
      <c r="B135" s="11" t="s">
        <v>48</v>
      </c>
      <c r="C135" s="21" t="s">
        <v>54</v>
      </c>
      <c r="D135" s="4" t="s">
        <v>71</v>
      </c>
      <c r="E135" s="17" t="s">
        <v>72</v>
      </c>
      <c r="F135" s="37" t="s">
        <v>74</v>
      </c>
    </row>
    <row r="136" spans="1:6" s="10" customFormat="1" x14ac:dyDescent="0.25">
      <c r="A136" s="13">
        <v>37376</v>
      </c>
      <c r="B136" s="11" t="s">
        <v>48</v>
      </c>
      <c r="C136" s="21" t="s">
        <v>54</v>
      </c>
      <c r="D136" s="4" t="s">
        <v>67</v>
      </c>
      <c r="E136" s="17" t="s">
        <v>68</v>
      </c>
      <c r="F136" s="37" t="s">
        <v>69</v>
      </c>
    </row>
    <row r="137" spans="1:6" s="6" customFormat="1" x14ac:dyDescent="0.25">
      <c r="A137" s="68">
        <v>37371</v>
      </c>
      <c r="B137" s="69" t="s">
        <v>48</v>
      </c>
      <c r="C137" s="21" t="s">
        <v>6</v>
      </c>
      <c r="D137" s="69" t="s">
        <v>66</v>
      </c>
      <c r="E137" s="17" t="s">
        <v>65</v>
      </c>
      <c r="F137" s="70" t="s">
        <v>20</v>
      </c>
    </row>
    <row r="138" spans="1:6" s="10" customFormat="1" x14ac:dyDescent="0.25">
      <c r="A138" s="75">
        <v>37349</v>
      </c>
      <c r="B138" s="77" t="s">
        <v>55</v>
      </c>
      <c r="C138" s="78" t="s">
        <v>49</v>
      </c>
      <c r="D138" s="79" t="s">
        <v>61</v>
      </c>
      <c r="E138" s="80" t="s">
        <v>62</v>
      </c>
      <c r="F138" s="82" t="s">
        <v>64</v>
      </c>
    </row>
    <row r="139" spans="1:6" s="10" customFormat="1" x14ac:dyDescent="0.25">
      <c r="A139" s="74">
        <v>37348</v>
      </c>
      <c r="B139" s="76" t="s">
        <v>55</v>
      </c>
      <c r="C139" s="21" t="s">
        <v>49</v>
      </c>
      <c r="D139" s="29" t="s">
        <v>61</v>
      </c>
      <c r="E139" s="80" t="s">
        <v>62</v>
      </c>
      <c r="F139" s="81" t="s">
        <v>63</v>
      </c>
    </row>
    <row r="140" spans="1:6" s="10" customFormat="1" x14ac:dyDescent="0.25">
      <c r="A140" s="13">
        <v>37348</v>
      </c>
      <c r="B140" s="11" t="s">
        <v>53</v>
      </c>
      <c r="C140" s="21" t="s">
        <v>49</v>
      </c>
      <c r="D140" s="4" t="s">
        <v>61</v>
      </c>
      <c r="E140" s="17" t="s">
        <v>62</v>
      </c>
      <c r="F140" s="37" t="s">
        <v>37</v>
      </c>
    </row>
    <row r="141" spans="1:6" s="10" customFormat="1" x14ac:dyDescent="0.25">
      <c r="A141" s="13">
        <v>37347</v>
      </c>
      <c r="B141" s="11" t="s">
        <v>55</v>
      </c>
      <c r="C141" s="21" t="s">
        <v>49</v>
      </c>
      <c r="D141" s="4" t="s">
        <v>56</v>
      </c>
      <c r="E141" s="39" t="s">
        <v>174</v>
      </c>
      <c r="F141" s="37" t="s">
        <v>57</v>
      </c>
    </row>
    <row r="142" spans="1:6" s="10" customFormat="1" x14ac:dyDescent="0.25">
      <c r="A142" s="13">
        <v>37347</v>
      </c>
      <c r="B142" s="11" t="s">
        <v>53</v>
      </c>
      <c r="C142" s="21" t="s">
        <v>49</v>
      </c>
      <c r="D142" s="4" t="s">
        <v>58</v>
      </c>
      <c r="E142" s="17" t="s">
        <v>59</v>
      </c>
      <c r="F142" s="37" t="s">
        <v>60</v>
      </c>
    </row>
    <row r="143" spans="1:6" s="27" customFormat="1" x14ac:dyDescent="0.25">
      <c r="A143" s="13">
        <v>37322</v>
      </c>
      <c r="B143" s="12" t="s">
        <v>48</v>
      </c>
      <c r="C143" s="21" t="s">
        <v>49</v>
      </c>
      <c r="D143" s="12" t="s">
        <v>42</v>
      </c>
      <c r="E143" s="30" t="s">
        <v>43</v>
      </c>
      <c r="F143" s="21" t="s">
        <v>44</v>
      </c>
    </row>
    <row r="144" spans="1:6" s="10" customFormat="1" x14ac:dyDescent="0.25">
      <c r="A144" s="14">
        <v>37314</v>
      </c>
      <c r="B144" s="9" t="s">
        <v>53</v>
      </c>
      <c r="C144" s="20" t="s">
        <v>6</v>
      </c>
      <c r="D144" s="9" t="s">
        <v>50</v>
      </c>
      <c r="E144" s="18" t="s">
        <v>51</v>
      </c>
      <c r="F144" s="20" t="s">
        <v>52</v>
      </c>
    </row>
    <row r="145" spans="1:6" s="10" customFormat="1" x14ac:dyDescent="0.25">
      <c r="A145" s="13">
        <v>37299</v>
      </c>
      <c r="B145" s="12" t="s">
        <v>70</v>
      </c>
      <c r="C145" s="21" t="s">
        <v>6</v>
      </c>
      <c r="D145" s="12" t="s">
        <v>45</v>
      </c>
      <c r="E145" s="30" t="s">
        <v>46</v>
      </c>
      <c r="F145" s="21" t="s">
        <v>47</v>
      </c>
    </row>
    <row r="146" spans="1:6" s="31" customFormat="1" x14ac:dyDescent="0.25">
      <c r="A146" s="14">
        <v>37280</v>
      </c>
      <c r="B146" s="9" t="s">
        <v>75</v>
      </c>
      <c r="C146" s="20" t="s">
        <v>6</v>
      </c>
      <c r="D146" s="9" t="s">
        <v>29</v>
      </c>
      <c r="E146" s="18" t="s">
        <v>30</v>
      </c>
      <c r="F146" s="38" t="s">
        <v>32</v>
      </c>
    </row>
    <row r="147" spans="1:6" s="31" customFormat="1" x14ac:dyDescent="0.25">
      <c r="A147" s="14">
        <v>37280</v>
      </c>
      <c r="B147" s="9" t="s">
        <v>55</v>
      </c>
      <c r="C147" s="20" t="s">
        <v>6</v>
      </c>
      <c r="D147" s="9" t="s">
        <v>29</v>
      </c>
      <c r="E147" s="18" t="s">
        <v>30</v>
      </c>
      <c r="F147" s="38" t="s">
        <v>39</v>
      </c>
    </row>
    <row r="148" spans="1:6" s="27" customFormat="1" x14ac:dyDescent="0.25">
      <c r="A148" s="14">
        <v>37280</v>
      </c>
      <c r="B148" s="9" t="s">
        <v>53</v>
      </c>
      <c r="C148" s="20" t="s">
        <v>6</v>
      </c>
      <c r="D148" s="9" t="s">
        <v>29</v>
      </c>
      <c r="E148" s="18" t="s">
        <v>30</v>
      </c>
      <c r="F148" s="38" t="s">
        <v>31</v>
      </c>
    </row>
    <row r="149" spans="1:6" s="26" customFormat="1" x14ac:dyDescent="0.25">
      <c r="A149" s="22">
        <v>37279</v>
      </c>
      <c r="B149" s="23" t="s">
        <v>149</v>
      </c>
      <c r="C149" s="23" t="s">
        <v>54</v>
      </c>
      <c r="D149" s="9" t="s">
        <v>131</v>
      </c>
      <c r="E149" s="39" t="s">
        <v>136</v>
      </c>
      <c r="F149" s="38" t="s">
        <v>137</v>
      </c>
    </row>
    <row r="150" spans="1:6" s="26" customFormat="1" x14ac:dyDescent="0.25">
      <c r="A150" s="22">
        <v>37279</v>
      </c>
      <c r="B150" s="23" t="s">
        <v>150</v>
      </c>
      <c r="C150" s="23" t="s">
        <v>54</v>
      </c>
      <c r="D150" s="9" t="s">
        <v>45</v>
      </c>
      <c r="E150" s="39" t="s">
        <v>169</v>
      </c>
      <c r="F150" s="38" t="s">
        <v>47</v>
      </c>
    </row>
    <row r="151" spans="1:6" s="31" customFormat="1" x14ac:dyDescent="0.25">
      <c r="A151" s="14">
        <v>37273</v>
      </c>
      <c r="B151" s="9" t="s">
        <v>55</v>
      </c>
      <c r="C151" s="20" t="s">
        <v>6</v>
      </c>
      <c r="D151" s="9" t="s">
        <v>40</v>
      </c>
      <c r="E151" s="18" t="s">
        <v>41</v>
      </c>
      <c r="F151" s="38" t="s">
        <v>37</v>
      </c>
    </row>
    <row r="152" spans="1:6" s="31" customFormat="1" x14ac:dyDescent="0.25">
      <c r="A152" s="14">
        <v>37265</v>
      </c>
      <c r="B152" s="9" t="s">
        <v>55</v>
      </c>
      <c r="C152" s="20" t="s">
        <v>6</v>
      </c>
      <c r="D152" s="9" t="s">
        <v>28</v>
      </c>
      <c r="E152" s="18" t="s">
        <v>78</v>
      </c>
      <c r="F152" s="38" t="s">
        <v>27</v>
      </c>
    </row>
    <row r="153" spans="1:6" s="31" customFormat="1" x14ac:dyDescent="0.25">
      <c r="A153" s="14">
        <v>37264</v>
      </c>
      <c r="B153" s="9" t="s">
        <v>55</v>
      </c>
      <c r="C153" s="20" t="s">
        <v>6</v>
      </c>
      <c r="D153" s="9" t="s">
        <v>18</v>
      </c>
      <c r="E153" s="18" t="s">
        <v>33</v>
      </c>
      <c r="F153" s="38" t="s">
        <v>25</v>
      </c>
    </row>
    <row r="154" spans="1:6" s="31" customFormat="1" x14ac:dyDescent="0.25">
      <c r="A154" s="14">
        <v>37264</v>
      </c>
      <c r="B154" s="9" t="s">
        <v>53</v>
      </c>
      <c r="C154" s="20" t="s">
        <v>6</v>
      </c>
      <c r="D154" s="9" t="s">
        <v>36</v>
      </c>
      <c r="E154" s="18" t="s">
        <v>34</v>
      </c>
      <c r="F154" s="38" t="s">
        <v>35</v>
      </c>
    </row>
    <row r="155" spans="1:6" s="6" customFormat="1" ht="26" x14ac:dyDescent="0.25">
      <c r="A155" s="15">
        <v>37230</v>
      </c>
      <c r="B155" s="4" t="s">
        <v>55</v>
      </c>
      <c r="C155" s="5" t="s">
        <v>6</v>
      </c>
      <c r="D155" s="4" t="s">
        <v>24</v>
      </c>
      <c r="E155" s="17" t="s">
        <v>81</v>
      </c>
      <c r="F155" s="37" t="s">
        <v>76</v>
      </c>
    </row>
    <row r="156" spans="1:6" s="29" customFormat="1" x14ac:dyDescent="0.25">
      <c r="A156" s="15">
        <v>37230</v>
      </c>
      <c r="B156" s="4" t="s">
        <v>53</v>
      </c>
      <c r="C156" s="5" t="s">
        <v>6</v>
      </c>
      <c r="D156" s="4" t="s">
        <v>26</v>
      </c>
      <c r="E156" s="17" t="s">
        <v>19</v>
      </c>
      <c r="F156" s="37" t="s">
        <v>25</v>
      </c>
    </row>
    <row r="157" spans="1:6" s="6" customFormat="1" ht="26" x14ac:dyDescent="0.25">
      <c r="A157" s="15">
        <v>37229</v>
      </c>
      <c r="B157" s="4" t="s">
        <v>55</v>
      </c>
      <c r="C157" s="5" t="s">
        <v>6</v>
      </c>
      <c r="D157" s="4" t="s">
        <v>21</v>
      </c>
      <c r="E157" s="17" t="s">
        <v>224</v>
      </c>
      <c r="F157" s="37" t="s">
        <v>22</v>
      </c>
    </row>
    <row r="158" spans="1:6" s="6" customFormat="1" x14ac:dyDescent="0.25">
      <c r="A158" s="15">
        <v>37229</v>
      </c>
      <c r="B158" s="4" t="s">
        <v>53</v>
      </c>
      <c r="C158" s="5" t="s">
        <v>6</v>
      </c>
      <c r="D158" s="4" t="s">
        <v>18</v>
      </c>
      <c r="E158" s="17" t="s">
        <v>19</v>
      </c>
      <c r="F158" s="37" t="s">
        <v>23</v>
      </c>
    </row>
    <row r="159" spans="1:6" s="6" customFormat="1" ht="26" x14ac:dyDescent="0.25">
      <c r="A159" s="15">
        <v>37228</v>
      </c>
      <c r="B159" s="4" t="s">
        <v>55</v>
      </c>
      <c r="C159" s="5" t="s">
        <v>6</v>
      </c>
      <c r="D159" s="4" t="s">
        <v>14</v>
      </c>
      <c r="E159" s="17" t="s">
        <v>15</v>
      </c>
      <c r="F159" s="37" t="s">
        <v>16</v>
      </c>
    </row>
    <row r="160" spans="1:6" s="6" customFormat="1" x14ac:dyDescent="0.25">
      <c r="A160" s="15">
        <v>37228</v>
      </c>
      <c r="B160" s="4" t="s">
        <v>53</v>
      </c>
      <c r="C160" s="5" t="s">
        <v>6</v>
      </c>
      <c r="D160" s="4" t="s">
        <v>18</v>
      </c>
      <c r="E160" s="17" t="s">
        <v>19</v>
      </c>
      <c r="F160" s="37" t="s">
        <v>20</v>
      </c>
    </row>
    <row r="161" spans="1:6" s="6" customFormat="1" x14ac:dyDescent="0.25">
      <c r="A161" s="15">
        <v>37215</v>
      </c>
      <c r="B161" s="4" t="s">
        <v>70</v>
      </c>
      <c r="C161" s="5" t="s">
        <v>6</v>
      </c>
      <c r="D161" s="4" t="s">
        <v>8</v>
      </c>
      <c r="E161" s="17" t="s">
        <v>10</v>
      </c>
      <c r="F161" s="37" t="s">
        <v>9</v>
      </c>
    </row>
    <row r="162" spans="1:6" s="6" customFormat="1" ht="26" x14ac:dyDescent="0.25">
      <c r="A162" s="15">
        <v>37215</v>
      </c>
      <c r="B162" s="4" t="s">
        <v>77</v>
      </c>
      <c r="C162" s="5" t="s">
        <v>6</v>
      </c>
      <c r="D162" s="4" t="s">
        <v>11</v>
      </c>
      <c r="E162" s="17" t="s">
        <v>13</v>
      </c>
      <c r="F162" s="37" t="s">
        <v>12</v>
      </c>
    </row>
    <row r="163" spans="1:6" x14ac:dyDescent="0.3">
      <c r="A163" s="7"/>
    </row>
    <row r="164" spans="1:6" x14ac:dyDescent="0.3">
      <c r="A164" s="1" t="s">
        <v>7</v>
      </c>
    </row>
    <row r="165" spans="1:6" x14ac:dyDescent="0.3">
      <c r="B165" s="90" t="s">
        <v>243</v>
      </c>
      <c r="D165" s="1" t="s">
        <v>245</v>
      </c>
    </row>
    <row r="166" spans="1:6" x14ac:dyDescent="0.3">
      <c r="B166" s="90" t="s">
        <v>244</v>
      </c>
      <c r="D166" s="1" t="s">
        <v>284</v>
      </c>
    </row>
    <row r="167" spans="1:6" x14ac:dyDescent="0.3">
      <c r="B167" s="8"/>
    </row>
    <row r="168" spans="1:6" ht="23" x14ac:dyDescent="0.3">
      <c r="A168" s="89" t="s">
        <v>242</v>
      </c>
      <c r="C168" s="1"/>
      <c r="E168" s="1"/>
      <c r="F168" s="1"/>
    </row>
  </sheetData>
  <mergeCells count="2">
    <mergeCell ref="A3:F3"/>
    <mergeCell ref="A4:F4"/>
  </mergeCells>
  <phoneticPr fontId="0" type="noConversion"/>
  <hyperlinks>
    <hyperlink ref="B166" r:id="rId1"/>
    <hyperlink ref="B165" r:id="rId2"/>
    <hyperlink ref="A168" r:id="rId3"/>
  </hyperlinks>
  <pageMargins left="0.75" right="0.75" top="0.5" bottom="0.5" header="0.5" footer="0.5"/>
  <pageSetup orientation="landscape" horizontalDpi="4294967292" r:id="rId4"/>
  <headerFooter alignWithMargins="0"/>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SBIR Reviews</vt:lpstr>
      <vt:lpstr>Previous Reviews</vt:lpstr>
      <vt:lpstr>'SBIR Reviews'!Print_Area</vt:lpstr>
      <vt:lpstr>'Previous Reviews'!Print_Titles</vt:lpstr>
      <vt:lpstr>'SBIR Reviews'!Print_Titles</vt:lpstr>
    </vt:vector>
  </TitlesOfParts>
  <Manager>Rodrigo Manzano</Manager>
  <Company>Dell Computer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SBIR Six Month Reviews</dc:title>
  <dc:subject>Future and Prior SBIR Six Month Reviews</dc:subject>
  <dc:creator>RosarioLM</dc:creator>
  <cp:lastModifiedBy>Carina Negreanu</cp:lastModifiedBy>
  <cp:lastPrinted>2004-01-30T14:35:27Z</cp:lastPrinted>
  <dcterms:created xsi:type="dcterms:W3CDTF">2001-02-14T16:07:34Z</dcterms:created>
  <dcterms:modified xsi:type="dcterms:W3CDTF">2020-01-27T12:02:25Z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1216023633</vt:i4>
  </property>
  <property fmtid="{D5CDD505-2E9C-101B-9397-08002B2CF9AE}" pid="3" name="_EmailSubject">
    <vt:lpwstr/>
  </property>
  <property fmtid="{D5CDD505-2E9C-101B-9397-08002B2CF9AE}" pid="4" name="_AuthorEmail">
    <vt:lpwstr>Lecia.M.Rosario@baesystems.com</vt:lpwstr>
  </property>
  <property fmtid="{D5CDD505-2E9C-101B-9397-08002B2CF9AE}" pid="5" name="_AuthorEmailDisplayName">
    <vt:lpwstr>Rosario, Lecia M</vt:lpwstr>
  </property>
  <property fmtid="{D5CDD505-2E9C-101B-9397-08002B2CF9AE}" pid="6" name="_ReviewingToolsShownOnce">
    <vt:lpwstr/>
  </property>
</Properties>
</file>