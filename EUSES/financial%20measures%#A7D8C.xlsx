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CFC9F9B-466D-4CAC-87D5-BEBEEA4BDFFB}" xr6:coauthVersionLast="45" xr6:coauthVersionMax="45" xr10:uidLastSave="{00000000-0000-0000-0000-000000000000}"/>
  <bookViews>
    <workbookView xWindow="1900" yWindow="1900" windowWidth="28800" windowHeight="15460"/>
  </bookViews>
  <sheets>
    <sheet name="New Factors" sheetId="10864" r:id="rId1"/>
  </sheets>
  <externalReferences>
    <externalReference r:id="rId2"/>
    <externalReference r:id="rId3"/>
    <externalReference r:id="rId4"/>
  </externalReferences>
  <definedNames>
    <definedName name="_xlnm.Print_Area" localSheetId="0">'New Factors'!$A$1:$L$95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1" i="10864" l="1"/>
  <c r="J12" i="10864"/>
  <c r="F13" i="10864"/>
  <c r="I13" i="10864"/>
  <c r="J13" i="10864"/>
  <c r="J14" i="10864"/>
  <c r="J15" i="10864"/>
  <c r="F16" i="10864"/>
  <c r="I16" i="10864"/>
  <c r="H47" i="10864" s="1"/>
  <c r="H68" i="10864" s="1"/>
  <c r="J18" i="10864"/>
  <c r="F21" i="10864"/>
  <c r="I21" i="10864"/>
  <c r="J21" i="10864"/>
  <c r="L21" i="10864"/>
  <c r="F22" i="10864"/>
  <c r="I22" i="10864"/>
  <c r="J22" i="10864"/>
  <c r="K22" i="10864"/>
  <c r="F23" i="10864"/>
  <c r="J23" i="10864" s="1"/>
  <c r="I23" i="10864"/>
  <c r="K23" i="10864"/>
  <c r="F24" i="10864"/>
  <c r="I24" i="10864"/>
  <c r="J24" i="10864"/>
  <c r="K24" i="10864"/>
  <c r="D32" i="10864"/>
  <c r="D34" i="10864" s="1"/>
  <c r="E32" i="10864"/>
  <c r="E57" i="10864" s="1"/>
  <c r="F57" i="10864" s="1"/>
  <c r="G32" i="10864"/>
  <c r="G34" i="10864" s="1"/>
  <c r="H32" i="10864"/>
  <c r="H57" i="10864" s="1"/>
  <c r="I57" i="10864" s="1"/>
  <c r="J57" i="10864" s="1"/>
  <c r="K57" i="10864" s="1"/>
  <c r="I32" i="10864"/>
  <c r="D33" i="10864"/>
  <c r="E33" i="10864"/>
  <c r="F33" i="10864"/>
  <c r="G33" i="10864"/>
  <c r="I33" i="10864" s="1"/>
  <c r="J33" i="10864" s="1"/>
  <c r="K33" i="10864" s="1"/>
  <c r="H33" i="10864"/>
  <c r="J35" i="10864"/>
  <c r="D36" i="10864"/>
  <c r="J36" i="10864"/>
  <c r="D37" i="10864"/>
  <c r="G37" i="10864"/>
  <c r="J37" i="10864"/>
  <c r="D38" i="10864"/>
  <c r="G38" i="10864"/>
  <c r="J38" i="10864"/>
  <c r="D39" i="10864"/>
  <c r="E39" i="10864"/>
  <c r="E45" i="10864" s="1"/>
  <c r="F45" i="10864" s="1"/>
  <c r="F39" i="10864"/>
  <c r="H39" i="10864"/>
  <c r="H60" i="10864" s="1"/>
  <c r="I60" i="10864" s="1"/>
  <c r="J42" i="10864"/>
  <c r="D43" i="10864"/>
  <c r="G43" i="10864"/>
  <c r="D44" i="10864"/>
  <c r="D49" i="10864" s="1"/>
  <c r="D50" i="10864" s="1"/>
  <c r="E44" i="10864"/>
  <c r="E67" i="10864" s="1"/>
  <c r="F67" i="10864" s="1"/>
  <c r="G44" i="10864"/>
  <c r="G49" i="10864" s="1"/>
  <c r="H44" i="10864"/>
  <c r="H66" i="10864" s="1"/>
  <c r="I44" i="10864"/>
  <c r="D45" i="10864"/>
  <c r="G45" i="10864"/>
  <c r="D46" i="10864"/>
  <c r="G46" i="10864"/>
  <c r="G36" i="10864" s="1"/>
  <c r="G39" i="10864" s="1"/>
  <c r="I39" i="10864" s="1"/>
  <c r="J39" i="10864" s="1"/>
  <c r="L39" i="10864" s="1"/>
  <c r="D47" i="10864"/>
  <c r="E47" i="10864"/>
  <c r="F47" i="10864"/>
  <c r="G47" i="10864"/>
  <c r="D48" i="10864"/>
  <c r="J55" i="10864"/>
  <c r="D56" i="10864"/>
  <c r="D63" i="10864" s="1"/>
  <c r="E56" i="10864"/>
  <c r="F79" i="10864" s="1"/>
  <c r="G56" i="10864"/>
  <c r="G63" i="10864" s="1"/>
  <c r="H56" i="10864"/>
  <c r="I79" i="10864" s="1"/>
  <c r="I56" i="10864"/>
  <c r="D57" i="10864"/>
  <c r="G57" i="10864"/>
  <c r="D60" i="10864"/>
  <c r="E60" i="10864"/>
  <c r="F91" i="10864" s="1"/>
  <c r="F60" i="10864"/>
  <c r="G60" i="10864"/>
  <c r="J61" i="10864"/>
  <c r="D62" i="10864"/>
  <c r="G62" i="10864"/>
  <c r="J64" i="10864"/>
  <c r="D66" i="10864"/>
  <c r="D73" i="10864" s="1"/>
  <c r="E66" i="10864"/>
  <c r="F89" i="10864" s="1"/>
  <c r="F66" i="10864"/>
  <c r="G66" i="10864"/>
  <c r="D67" i="10864"/>
  <c r="G67" i="10864"/>
  <c r="D68" i="10864"/>
  <c r="E68" i="10864"/>
  <c r="F93" i="10864" s="1"/>
  <c r="F68" i="10864"/>
  <c r="G68" i="10864"/>
  <c r="D69" i="10864"/>
  <c r="F69" i="10864" s="1"/>
  <c r="J69" i="10864" s="1"/>
  <c r="K69" i="10864" s="1"/>
  <c r="G69" i="10864"/>
  <c r="H69" i="10864"/>
  <c r="I86" i="10864" s="1"/>
  <c r="L87" i="10864" s="1"/>
  <c r="L88" i="10864" s="1"/>
  <c r="I69" i="10864"/>
  <c r="D70" i="10864"/>
  <c r="G70" i="10864"/>
  <c r="H70" i="10864"/>
  <c r="I70" i="10864"/>
  <c r="D71" i="10864"/>
  <c r="E71" i="10864"/>
  <c r="F71" i="10864"/>
  <c r="G71" i="10864"/>
  <c r="I71" i="10864" s="1"/>
  <c r="J71" i="10864" s="1"/>
  <c r="L71" i="10864" s="1"/>
  <c r="H71" i="10864"/>
  <c r="D72" i="10864"/>
  <c r="G72" i="10864"/>
  <c r="F83" i="10864"/>
  <c r="F86" i="10864"/>
  <c r="F95" i="10864"/>
  <c r="I95" i="10864"/>
  <c r="J95" i="10864"/>
  <c r="L95" i="10864"/>
  <c r="I89" i="10864" l="1"/>
  <c r="I81" i="10864"/>
  <c r="G50" i="10864"/>
  <c r="J93" i="10864"/>
  <c r="I93" i="10864"/>
  <c r="I83" i="10864"/>
  <c r="I68" i="10864"/>
  <c r="J68" i="10864" s="1"/>
  <c r="K68" i="10864" s="1"/>
  <c r="I85" i="10864"/>
  <c r="J86" i="10864"/>
  <c r="L86" i="10864" s="1"/>
  <c r="J60" i="10864"/>
  <c r="K60" i="10864" s="1"/>
  <c r="I66" i="10864"/>
  <c r="J66" i="10864" s="1"/>
  <c r="L66" i="10864" s="1"/>
  <c r="I47" i="10864"/>
  <c r="J47" i="10864" s="1"/>
  <c r="K47" i="10864" s="1"/>
  <c r="J89" i="10864"/>
  <c r="D74" i="10864"/>
  <c r="F56" i="10864"/>
  <c r="F58" i="10864" s="1"/>
  <c r="F44" i="10864"/>
  <c r="J44" i="10864" s="1"/>
  <c r="L44" i="10864" s="1"/>
  <c r="I58" i="10864"/>
  <c r="F77" i="10864"/>
  <c r="E46" i="10864"/>
  <c r="F46" i="10864" s="1"/>
  <c r="F32" i="10864"/>
  <c r="J32" i="10864" s="1"/>
  <c r="K32" i="10864" s="1"/>
  <c r="J16" i="10864"/>
  <c r="H46" i="10864"/>
  <c r="I46" i="10864" s="1"/>
  <c r="J46" i="10864" s="1"/>
  <c r="L46" i="10864" s="1"/>
  <c r="I77" i="10864"/>
  <c r="H43" i="10864"/>
  <c r="I43" i="10864" s="1"/>
  <c r="H48" i="10864"/>
  <c r="I48" i="10864" s="1"/>
  <c r="E70" i="10864"/>
  <c r="F70" i="10864" s="1"/>
  <c r="J70" i="10864" s="1"/>
  <c r="K70" i="10864" s="1"/>
  <c r="G73" i="10864"/>
  <c r="G74" i="10864" s="1"/>
  <c r="E43" i="10864"/>
  <c r="F43" i="10864" s="1"/>
  <c r="H45" i="10864"/>
  <c r="I45" i="10864" s="1"/>
  <c r="J45" i="10864" s="1"/>
  <c r="L45" i="10864" s="1"/>
  <c r="E48" i="10864"/>
  <c r="F48" i="10864" s="1"/>
  <c r="E62" i="10864"/>
  <c r="F81" i="10864"/>
  <c r="H62" i="10864"/>
  <c r="H67" i="10864"/>
  <c r="I67" i="10864" s="1"/>
  <c r="J67" i="10864" s="1"/>
  <c r="L67" i="10864" s="1"/>
  <c r="F62" i="10864" l="1"/>
  <c r="F63" i="10864" s="1"/>
  <c r="F85" i="10864"/>
  <c r="I62" i="10864"/>
  <c r="I91" i="10864"/>
  <c r="J91" i="10864" s="1"/>
  <c r="J43" i="10864"/>
  <c r="K43" i="10864" s="1"/>
  <c r="J56" i="10864"/>
  <c r="K56" i="10864" s="1"/>
  <c r="J58" i="10864"/>
  <c r="J62" i="10864" l="1"/>
  <c r="L62" i="10864" s="1"/>
  <c r="I63" i="10864"/>
  <c r="J63" i="10864" s="1"/>
</calcChain>
</file>

<file path=xl/comments1.xml><?xml version="1.0" encoding="utf-8"?>
<comments xmlns="http://schemas.openxmlformats.org/spreadsheetml/2006/main">
  <authors>
    <author>Ken Harris</author>
    <author>Ken, Denise,  &amp;  Josh Harris</author>
  </authors>
  <commentList>
    <comment ref="E8" authorId="0" shapeId="0">
      <text>
        <r>
          <rPr>
            <b/>
            <sz val="8"/>
            <color indexed="81"/>
            <rFont val="Tahoma"/>
            <family val="2"/>
          </rPr>
          <t>Ken Harris:</t>
        </r>
        <r>
          <rPr>
            <sz val="8"/>
            <color indexed="81"/>
            <rFont val="Tahoma"/>
            <family val="2"/>
          </rPr>
          <t xml:space="preserve">
Faculty and employee data is fall 1999 IPEDS</t>
        </r>
      </text>
    </comment>
    <comment ref="E32" authorId="1" shapeId="0">
      <text>
        <r>
          <rPr>
            <b/>
            <sz val="8"/>
            <color indexed="81"/>
            <rFont val="Tahoma"/>
            <family val="2"/>
          </rPr>
          <t>Ken:  Fall 2000</t>
        </r>
      </text>
    </comment>
    <comment ref="H32" authorId="1" shapeId="0">
      <text>
        <r>
          <rPr>
            <b/>
            <sz val="8"/>
            <color indexed="81"/>
            <rFont val="Tahoma"/>
            <family val="2"/>
          </rPr>
          <t>Ken:  Fall 2000</t>
        </r>
      </text>
    </comment>
    <comment ref="G36" authorId="0" shapeId="0">
      <text>
        <r>
          <rPr>
            <b/>
            <sz val="8"/>
            <color indexed="81"/>
            <rFont val="Tahoma"/>
            <family val="2"/>
          </rPr>
          <t>Ken Harris:</t>
        </r>
        <r>
          <rPr>
            <sz val="8"/>
            <color indexed="81"/>
            <rFont val="Tahoma"/>
            <family val="2"/>
          </rPr>
          <t xml:space="preserve">
Less F&amp;A recovery, it is assumed that the peers report this in grants and contracts…most woud be in federal.</t>
        </r>
      </text>
    </comment>
    <comment ref="E39" authorId="0" shapeId="0">
      <text>
        <r>
          <rPr>
            <b/>
            <sz val="8"/>
            <color indexed="81"/>
            <rFont val="Tahoma"/>
            <family val="2"/>
          </rPr>
          <t>Ken Harris:</t>
        </r>
        <r>
          <rPr>
            <sz val="8"/>
            <color indexed="81"/>
            <rFont val="Tahoma"/>
            <family val="2"/>
          </rPr>
          <t xml:space="preserve">
Faculty FTE</t>
        </r>
      </text>
    </comment>
    <comment ref="H39" authorId="0" shapeId="0">
      <text>
        <r>
          <rPr>
            <b/>
            <sz val="8"/>
            <color indexed="81"/>
            <rFont val="Tahoma"/>
            <family val="2"/>
          </rPr>
          <t>Ken Harris:</t>
        </r>
        <r>
          <rPr>
            <sz val="8"/>
            <color indexed="81"/>
            <rFont val="Tahoma"/>
            <family val="2"/>
          </rPr>
          <t xml:space="preserve">
Faculty FTE</t>
        </r>
      </text>
    </comment>
    <comment ref="E45" authorId="0" shapeId="0">
      <text>
        <r>
          <rPr>
            <b/>
            <sz val="8"/>
            <color indexed="81"/>
            <rFont val="Tahoma"/>
            <family val="2"/>
          </rPr>
          <t>Ken Harris:</t>
        </r>
        <r>
          <rPr>
            <sz val="8"/>
            <color indexed="81"/>
            <rFont val="Tahoma"/>
            <family val="2"/>
          </rPr>
          <t xml:space="preserve">
Faculty FTE</t>
        </r>
      </text>
    </comment>
    <comment ref="H45" authorId="0" shapeId="0">
      <text>
        <r>
          <rPr>
            <b/>
            <sz val="8"/>
            <color indexed="81"/>
            <rFont val="Tahoma"/>
            <family val="2"/>
          </rPr>
          <t>Ken Harris:</t>
        </r>
        <r>
          <rPr>
            <sz val="8"/>
            <color indexed="81"/>
            <rFont val="Tahoma"/>
            <family val="2"/>
          </rPr>
          <t xml:space="preserve">
Faculty FTE</t>
        </r>
      </text>
    </comment>
    <comment ref="E46" authorId="0" shapeId="0">
      <text>
        <r>
          <rPr>
            <b/>
            <sz val="8"/>
            <color indexed="81"/>
            <rFont val="Tahoma"/>
            <family val="2"/>
          </rPr>
          <t>Ken Harris:</t>
        </r>
        <r>
          <rPr>
            <sz val="8"/>
            <color indexed="81"/>
            <rFont val="Tahoma"/>
            <family val="2"/>
          </rPr>
          <t xml:space="preserve">
Faculty FTE</t>
        </r>
      </text>
    </comment>
    <comment ref="H46" authorId="0" shapeId="0">
      <text>
        <r>
          <rPr>
            <b/>
            <sz val="8"/>
            <color indexed="81"/>
            <rFont val="Tahoma"/>
            <family val="2"/>
          </rPr>
          <t>Ken Harris:</t>
        </r>
        <r>
          <rPr>
            <sz val="8"/>
            <color indexed="81"/>
            <rFont val="Tahoma"/>
            <family val="2"/>
          </rPr>
          <t xml:space="preserve">
Faculty FTE</t>
        </r>
      </text>
    </comment>
    <comment ref="E47" authorId="0" shapeId="0">
      <text>
        <r>
          <rPr>
            <b/>
            <sz val="8"/>
            <color indexed="81"/>
            <rFont val="Tahoma"/>
            <family val="2"/>
          </rPr>
          <t>Ken Harris:</t>
        </r>
        <r>
          <rPr>
            <sz val="8"/>
            <color indexed="81"/>
            <rFont val="Tahoma"/>
            <family val="2"/>
          </rPr>
          <t xml:space="preserve">
Total board appointed fac/staff</t>
        </r>
      </text>
    </comment>
    <comment ref="H47" authorId="0" shapeId="0">
      <text>
        <r>
          <rPr>
            <b/>
            <sz val="8"/>
            <color indexed="81"/>
            <rFont val="Tahoma"/>
            <family val="2"/>
          </rPr>
          <t>Ken Harris:</t>
        </r>
        <r>
          <rPr>
            <sz val="8"/>
            <color indexed="81"/>
            <rFont val="Tahoma"/>
            <family val="2"/>
          </rPr>
          <t xml:space="preserve">
Total board appointed fac/staff</t>
        </r>
      </text>
    </comment>
  </commentList>
</comments>
</file>

<file path=xl/sharedStrings.xml><?xml version="1.0" encoding="utf-8"?>
<sst xmlns="http://schemas.openxmlformats.org/spreadsheetml/2006/main" count="109" uniqueCount="83">
  <si>
    <t>UNIVERSITY OF IDAHO</t>
  </si>
  <si>
    <t>UI to Peer</t>
  </si>
  <si>
    <t>UI FY01</t>
  </si>
  <si>
    <t>FY99 Peer Averages</t>
  </si>
  <si>
    <t>Peer Est.</t>
  </si>
  <si>
    <t>Organizational Alignment</t>
  </si>
  <si>
    <t>Student FTE</t>
  </si>
  <si>
    <t>Faculty FTE</t>
  </si>
  <si>
    <t>Staff FTE</t>
  </si>
  <si>
    <t>Gross square footage</t>
  </si>
  <si>
    <t>Financial Alignment</t>
  </si>
  <si>
    <t>REVENUES:</t>
  </si>
  <si>
    <t>Appropriated</t>
  </si>
  <si>
    <t>$/Student FTE</t>
  </si>
  <si>
    <t>Federal Appropriations</t>
  </si>
  <si>
    <t>Grants and Contracts</t>
  </si>
  <si>
    <t>Federal Grants and Contracts*</t>
  </si>
  <si>
    <t>State Grants and Contracts</t>
  </si>
  <si>
    <t>Private Grants and Contracts</t>
  </si>
  <si>
    <t>$/Faculty FTE</t>
  </si>
  <si>
    <t>Generated</t>
  </si>
  <si>
    <t>Student Tuition and Fees</t>
  </si>
  <si>
    <t>Sales &amp; Services of Auxiliary Enterprises</t>
  </si>
  <si>
    <t>$/Student HC</t>
  </si>
  <si>
    <t>Sales &amp; Services of Educational Activities</t>
  </si>
  <si>
    <t>F&amp;A Costs Recovered</t>
  </si>
  <si>
    <t>Other sources</t>
  </si>
  <si>
    <t>$/Employee FTE</t>
  </si>
  <si>
    <t>Private Gifts</t>
  </si>
  <si>
    <t>Total</t>
  </si>
  <si>
    <t>EXPENDITURES</t>
  </si>
  <si>
    <t>Primary</t>
  </si>
  <si>
    <t>Instruction</t>
  </si>
  <si>
    <t>Research</t>
  </si>
  <si>
    <t>Outreach (Need to identify subset)</t>
  </si>
  <si>
    <t>Public Service</t>
  </si>
  <si>
    <t>Infrastructure</t>
  </si>
  <si>
    <t>Academic Spt./Library</t>
  </si>
  <si>
    <t>Student Services</t>
  </si>
  <si>
    <t>Institutional Support</t>
  </si>
  <si>
    <t>Operations and Maintenance of Plant</t>
  </si>
  <si>
    <t>$/GSF</t>
  </si>
  <si>
    <t>Scholarships and Fellowships*</t>
  </si>
  <si>
    <t>Auxiliary Enterprises</t>
  </si>
  <si>
    <t>Mandatory Transfers</t>
  </si>
  <si>
    <t>??</t>
  </si>
  <si>
    <t>Space Alignment</t>
  </si>
  <si>
    <t>Headcount/FTE Ratio</t>
  </si>
  <si>
    <t>Faculty FTE per Student FTE</t>
  </si>
  <si>
    <t>Faculty FTE per Student Headcount</t>
  </si>
  <si>
    <t>Staff FTE per Student FTE</t>
  </si>
  <si>
    <t>Staff FTE per Student Headcount</t>
  </si>
  <si>
    <t>Total Space for students</t>
  </si>
  <si>
    <t>sq ft/Student FTE</t>
  </si>
  <si>
    <t>SF per Student Headcount</t>
  </si>
  <si>
    <t>SF per Faculty</t>
  </si>
  <si>
    <t>SF per Employee</t>
  </si>
  <si>
    <t>Total Space for faculty and staff</t>
  </si>
  <si>
    <t>Expenditure Graphs</t>
  </si>
  <si>
    <t>Operational Facts</t>
  </si>
  <si>
    <t>Students Headcount</t>
  </si>
  <si>
    <t>Faculty Headcount</t>
  </si>
  <si>
    <t>Stu. FTE/Fac. FTE</t>
  </si>
  <si>
    <t>Stu. FTE / Staff FTE</t>
  </si>
  <si>
    <t>Fac. FTE / Staff FTE</t>
  </si>
  <si>
    <t xml:space="preserve">  Students per staff</t>
  </si>
  <si>
    <t xml:space="preserve">  Students per faculty</t>
  </si>
  <si>
    <t xml:space="preserve">  Faculty per staff</t>
  </si>
  <si>
    <t xml:space="preserve">  Staff per Faculty</t>
  </si>
  <si>
    <t>Staff FTE / Fac. FTE</t>
  </si>
  <si>
    <t>Desired Alignment</t>
  </si>
  <si>
    <t>FTE</t>
  </si>
  <si>
    <t>$</t>
  </si>
  <si>
    <t>Square Feet</t>
  </si>
  <si>
    <t>Employee FTE</t>
  </si>
  <si>
    <t>sq ft/Employee FTE</t>
  </si>
  <si>
    <t xml:space="preserve">    Plant can support additional FTE</t>
  </si>
  <si>
    <t xml:space="preserve">      and head count.</t>
  </si>
  <si>
    <t xml:space="preserve">State Appropriations including endowment </t>
  </si>
  <si>
    <t>University of Idaho</t>
  </si>
  <si>
    <t>Financial Measures for Strategic Alignment of Resources</t>
  </si>
  <si>
    <t>(Difference)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</si>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</sst>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* #,##0.0_);_(* \(#,##0.0\);_(* &quot;-&quot;??_);_(@_)"/>
    <numFmt numFmtId="173" formatCode="_(* #,##0_);_(* \(#,##0\);_(* &quot;-&quot;??_);_(@_)"/>
    <numFmt numFmtId="175" formatCode="_(&quot;$&quot;* #,##0_);_(&quot;$&quot;* \(#,##0\);_(&quot;$&quot;* &quot;-&quot;??_);_(@_)"/>
    <numFmt numFmtId="176" formatCode="0.0%"/>
    <numFmt numFmtId="191" formatCode="0.00_);\(0.00\)"/>
  </numFmts>
  <fonts count="18" x14ac:knownFonts="1">
    <font>
      <sz val="10"/>
      <name val="Arial"/>
    </font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0"/>
      <color indexed="51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b/>
      <u val="singleAccounting"/>
      <sz val="10"/>
      <name val="Arial"/>
      <family val="2"/>
    </font>
    <font>
      <i/>
      <u/>
      <sz val="10"/>
      <name val="Arial"/>
      <family val="2"/>
    </font>
    <font>
      <b/>
      <sz val="1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Border="1"/>
    <xf numFmtId="173" fontId="1" fillId="0" borderId="0" xfId="1" applyNumberFormat="1"/>
    <xf numFmtId="175" fontId="1" fillId="0" borderId="0" xfId="2" applyNumberFormat="1"/>
    <xf numFmtId="175" fontId="1" fillId="0" borderId="0" xfId="2" applyNumberFormat="1" applyFill="1"/>
    <xf numFmtId="173" fontId="1" fillId="0" borderId="0" xfId="1" applyNumberFormat="1" applyFill="1"/>
    <xf numFmtId="0" fontId="4" fillId="0" borderId="0" xfId="0" applyFont="1" applyFill="1" applyBorder="1"/>
    <xf numFmtId="0" fontId="5" fillId="0" borderId="0" xfId="0" applyFont="1" applyFill="1" applyBorder="1"/>
    <xf numFmtId="173" fontId="1" fillId="0" borderId="0" xfId="1" applyNumberFormat="1" applyFill="1" applyBorder="1"/>
    <xf numFmtId="175" fontId="1" fillId="0" borderId="0" xfId="2" applyNumberFormat="1" applyFill="1" applyBorder="1"/>
    <xf numFmtId="0" fontId="0" fillId="0" borderId="0" xfId="0" applyFill="1" applyBorder="1"/>
    <xf numFmtId="0" fontId="6" fillId="0" borderId="0" xfId="0" applyFont="1" applyFill="1" applyBorder="1"/>
    <xf numFmtId="0" fontId="7" fillId="0" borderId="0" xfId="0" applyFont="1" applyFill="1" applyBorder="1"/>
    <xf numFmtId="173" fontId="6" fillId="0" borderId="0" xfId="1" applyNumberFormat="1" applyFont="1" applyFill="1" applyBorder="1"/>
    <xf numFmtId="175" fontId="6" fillId="0" borderId="0" xfId="2" applyNumberFormat="1" applyFont="1" applyFill="1" applyBorder="1"/>
    <xf numFmtId="0" fontId="6" fillId="0" borderId="0" xfId="0" applyFont="1" applyAlignment="1">
      <alignment horizontal="center"/>
    </xf>
    <xf numFmtId="173" fontId="7" fillId="0" borderId="0" xfId="1" applyNumberFormat="1" applyFont="1" applyFill="1" applyBorder="1" applyAlignment="1">
      <alignment horizontal="center"/>
    </xf>
    <xf numFmtId="0" fontId="6" fillId="0" borderId="1" xfId="0" applyFont="1" applyFill="1" applyBorder="1"/>
    <xf numFmtId="173" fontId="6" fillId="0" borderId="1" xfId="1" applyNumberFormat="1" applyFont="1" applyFill="1" applyBorder="1" applyAlignment="1">
      <alignment horizontal="center"/>
    </xf>
    <xf numFmtId="173" fontId="6" fillId="0" borderId="1" xfId="1" applyNumberFormat="1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175" fontId="6" fillId="0" borderId="1" xfId="2" applyNumberFormat="1" applyFont="1" applyBorder="1" applyAlignment="1">
      <alignment horizontal="center"/>
    </xf>
    <xf numFmtId="0" fontId="7" fillId="0" borderId="0" xfId="0" applyFont="1"/>
    <xf numFmtId="173" fontId="6" fillId="0" borderId="0" xfId="1" applyNumberFormat="1" applyFont="1" applyFill="1" applyBorder="1" applyAlignment="1">
      <alignment horizontal="center"/>
    </xf>
    <xf numFmtId="172" fontId="6" fillId="0" borderId="0" xfId="1" applyNumberFormat="1" applyFont="1" applyFill="1" applyBorder="1" applyAlignment="1">
      <alignment horizontal="center"/>
    </xf>
    <xf numFmtId="175" fontId="6" fillId="0" borderId="0" xfId="2" applyNumberFormat="1" applyFont="1" applyFill="1" applyBorder="1" applyAlignment="1">
      <alignment horizontal="center"/>
    </xf>
    <xf numFmtId="173" fontId="6" fillId="0" borderId="0" xfId="1" applyNumberFormat="1" applyFont="1" applyFill="1" applyBorder="1" applyAlignment="1">
      <alignment horizontal="left"/>
    </xf>
    <xf numFmtId="175" fontId="7" fillId="0" borderId="0" xfId="2" applyNumberFormat="1" applyFont="1"/>
    <xf numFmtId="175" fontId="7" fillId="0" borderId="0" xfId="2" applyNumberFormat="1" applyFont="1" applyFill="1" applyBorder="1" applyAlignment="1">
      <alignment horizontal="center"/>
    </xf>
    <xf numFmtId="173" fontId="7" fillId="0" borderId="0" xfId="1" applyNumberFormat="1" applyFont="1" applyFill="1" applyBorder="1" applyAlignment="1">
      <alignment horizontal="left"/>
    </xf>
    <xf numFmtId="173" fontId="7" fillId="0" borderId="0" xfId="0" applyNumberFormat="1" applyFont="1"/>
    <xf numFmtId="173" fontId="7" fillId="0" borderId="0" xfId="1" applyNumberFormat="1" applyFont="1" applyFill="1" applyBorder="1"/>
    <xf numFmtId="172" fontId="7" fillId="0" borderId="0" xfId="1" applyNumberFormat="1" applyFont="1" applyFill="1" applyBorder="1"/>
    <xf numFmtId="173" fontId="7" fillId="0" borderId="2" xfId="1" applyNumberFormat="1" applyFont="1" applyFill="1" applyBorder="1"/>
    <xf numFmtId="175" fontId="7" fillId="0" borderId="0" xfId="2" applyNumberFormat="1" applyFont="1" applyFill="1" applyBorder="1"/>
    <xf numFmtId="0" fontId="8" fillId="0" borderId="0" xfId="0" applyFont="1" applyFill="1" applyBorder="1"/>
    <xf numFmtId="173" fontId="8" fillId="0" borderId="0" xfId="1" applyNumberFormat="1" applyFont="1" applyFill="1" applyBorder="1"/>
    <xf numFmtId="173" fontId="6" fillId="0" borderId="2" xfId="1" applyNumberFormat="1" applyFont="1" applyFill="1" applyBorder="1"/>
    <xf numFmtId="176" fontId="7" fillId="0" borderId="0" xfId="3" applyNumberFormat="1" applyFont="1" applyFill="1" applyBorder="1"/>
    <xf numFmtId="0" fontId="9" fillId="0" borderId="0" xfId="0" applyFont="1"/>
    <xf numFmtId="173" fontId="7" fillId="0" borderId="3" xfId="1" applyNumberFormat="1" applyFont="1" applyFill="1" applyBorder="1"/>
    <xf numFmtId="173" fontId="7" fillId="0" borderId="4" xfId="1" applyNumberFormat="1" applyFont="1" applyFill="1" applyBorder="1"/>
    <xf numFmtId="175" fontId="8" fillId="0" borderId="0" xfId="2" applyNumberFormat="1" applyFont="1" applyFill="1" applyBorder="1"/>
    <xf numFmtId="173" fontId="8" fillId="0" borderId="2" xfId="1" applyNumberFormat="1" applyFont="1" applyFill="1" applyBorder="1"/>
    <xf numFmtId="173" fontId="10" fillId="0" borderId="0" xfId="1" applyNumberFormat="1" applyFont="1" applyFill="1" applyBorder="1"/>
    <xf numFmtId="175" fontId="6" fillId="0" borderId="5" xfId="2" applyNumberFormat="1" applyFont="1" applyFill="1" applyBorder="1"/>
    <xf numFmtId="175" fontId="6" fillId="0" borderId="6" xfId="2" applyNumberFormat="1" applyFont="1" applyFill="1" applyBorder="1"/>
    <xf numFmtId="175" fontId="7" fillId="0" borderId="0" xfId="2" applyNumberFormat="1" applyFont="1" applyFill="1"/>
    <xf numFmtId="0" fontId="6" fillId="0" borderId="0" xfId="0" applyFont="1" applyFill="1" applyBorder="1" applyAlignment="1">
      <alignment horizontal="center"/>
    </xf>
    <xf numFmtId="0" fontId="11" fillId="0" borderId="0" xfId="0" applyFont="1" applyFill="1" applyBorder="1"/>
    <xf numFmtId="173" fontId="12" fillId="0" borderId="0" xfId="1" applyNumberFormat="1" applyFont="1" applyFill="1" applyBorder="1" applyAlignment="1">
      <alignment horizontal="center"/>
    </xf>
    <xf numFmtId="175" fontId="7" fillId="0" borderId="1" xfId="2" applyNumberFormat="1" applyFont="1" applyFill="1" applyBorder="1"/>
    <xf numFmtId="173" fontId="6" fillId="0" borderId="7" xfId="1" applyNumberFormat="1" applyFont="1" applyFill="1" applyBorder="1"/>
    <xf numFmtId="173" fontId="7" fillId="0" borderId="1" xfId="1" applyNumberFormat="1" applyFont="1" applyFill="1" applyBorder="1"/>
    <xf numFmtId="173" fontId="7" fillId="0" borderId="1" xfId="0" applyNumberFormat="1" applyFont="1" applyBorder="1"/>
    <xf numFmtId="0" fontId="13" fillId="0" borderId="0" xfId="0" applyFont="1" applyFill="1" applyBorder="1"/>
    <xf numFmtId="171" fontId="7" fillId="0" borderId="0" xfId="1" applyNumberFormat="1" applyFont="1" applyFill="1" applyBorder="1"/>
    <xf numFmtId="170" fontId="7" fillId="0" borderId="0" xfId="2" applyNumberFormat="1" applyFont="1" applyFill="1" applyBorder="1"/>
    <xf numFmtId="173" fontId="10" fillId="0" borderId="2" xfId="1" applyNumberFormat="1" applyFont="1" applyFill="1" applyBorder="1"/>
    <xf numFmtId="0" fontId="7" fillId="0" borderId="0" xfId="0" quotePrefix="1" applyFont="1" applyFill="1" applyBorder="1"/>
    <xf numFmtId="0" fontId="8" fillId="0" borderId="0" xfId="0" quotePrefix="1" applyFont="1" applyFill="1" applyBorder="1"/>
    <xf numFmtId="173" fontId="8" fillId="0" borderId="3" xfId="1" applyNumberFormat="1" applyFont="1" applyFill="1" applyBorder="1"/>
    <xf numFmtId="173" fontId="10" fillId="0" borderId="4" xfId="1" applyNumberFormat="1" applyFont="1" applyFill="1" applyBorder="1"/>
    <xf numFmtId="175" fontId="7" fillId="0" borderId="5" xfId="2" applyNumberFormat="1" applyFont="1" applyFill="1" applyBorder="1"/>
    <xf numFmtId="172" fontId="7" fillId="0" borderId="0" xfId="3" applyNumberFormat="1" applyFont="1" applyFill="1" applyBorder="1"/>
    <xf numFmtId="171" fontId="7" fillId="0" borderId="0" xfId="3" applyNumberFormat="1" applyFont="1" applyFill="1" applyBorder="1"/>
    <xf numFmtId="173" fontId="7" fillId="0" borderId="0" xfId="3" applyNumberFormat="1" applyFont="1" applyFill="1" applyBorder="1"/>
    <xf numFmtId="0" fontId="14" fillId="0" borderId="0" xfId="0" applyFont="1"/>
    <xf numFmtId="2" fontId="7" fillId="0" borderId="0" xfId="0" applyNumberFormat="1" applyFont="1"/>
    <xf numFmtId="2" fontId="7" fillId="0" borderId="0" xfId="1" applyNumberFormat="1" applyFont="1" applyFill="1" applyBorder="1" applyAlignment="1">
      <alignment horizontal="right"/>
    </xf>
    <xf numFmtId="2" fontId="7" fillId="0" borderId="0" xfId="0" applyNumberFormat="1" applyFont="1" applyAlignment="1">
      <alignment horizontal="right"/>
    </xf>
    <xf numFmtId="2" fontId="7" fillId="0" borderId="0" xfId="2" applyNumberFormat="1" applyFont="1" applyAlignment="1">
      <alignment horizontal="right"/>
    </xf>
    <xf numFmtId="175" fontId="6" fillId="0" borderId="0" xfId="2" applyNumberFormat="1" applyFont="1" applyAlignment="1">
      <alignment horizontal="centerContinuous" vertical="justify"/>
    </xf>
    <xf numFmtId="0" fontId="10" fillId="0" borderId="0" xfId="0" applyFont="1" applyAlignment="1">
      <alignment horizontal="centerContinuous" vertical="justify"/>
    </xf>
    <xf numFmtId="171" fontId="7" fillId="0" borderId="0" xfId="0" applyNumberFormat="1" applyFont="1"/>
    <xf numFmtId="191" fontId="7" fillId="0" borderId="0" xfId="0" applyNumberFormat="1" applyFont="1" applyAlignment="1">
      <alignment horizontal="right"/>
    </xf>
    <xf numFmtId="39" fontId="7" fillId="0" borderId="0" xfId="2" applyNumberFormat="1" applyFont="1"/>
    <xf numFmtId="169" fontId="7" fillId="0" borderId="0" xfId="0" applyNumberFormat="1" applyFont="1"/>
    <xf numFmtId="169" fontId="7" fillId="0" borderId="0" xfId="2" applyNumberFormat="1" applyFont="1"/>
    <xf numFmtId="175" fontId="6" fillId="0" borderId="0" xfId="2" applyNumberFormat="1" applyFont="1" applyAlignment="1">
      <alignment horizontal="centerContinuous"/>
    </xf>
    <xf numFmtId="0" fontId="8" fillId="0" borderId="0" xfId="0" applyFont="1" applyAlignment="1">
      <alignment horizontal="center"/>
    </xf>
    <xf numFmtId="170" fontId="7" fillId="0" borderId="0" xfId="0" applyNumberFormat="1" applyFont="1" applyAlignment="1"/>
    <xf numFmtId="0" fontId="17" fillId="0" borderId="0" xfId="0" applyFont="1" applyFill="1" applyBorder="1"/>
    <xf numFmtId="0" fontId="2" fillId="0" borderId="0" xfId="0" applyFont="1" applyFill="1" applyBorder="1" applyAlignment="1">
      <alignment horizontal="centerContinuous"/>
    </xf>
    <xf numFmtId="0" fontId="3" fillId="0" borderId="0" xfId="0" applyFont="1" applyFill="1" applyBorder="1" applyAlignment="1">
      <alignment horizontal="centerContinuous"/>
    </xf>
    <xf numFmtId="173" fontId="3" fillId="0" borderId="0" xfId="1" applyNumberFormat="1" applyFont="1" applyFill="1" applyBorder="1" applyAlignment="1">
      <alignment horizontal="centerContinuous"/>
    </xf>
    <xf numFmtId="175" fontId="3" fillId="0" borderId="0" xfId="2" applyNumberFormat="1" applyFont="1" applyFill="1" applyBorder="1" applyAlignment="1">
      <alignment horizontal="centerContinuous"/>
    </xf>
    <xf numFmtId="0" fontId="3" fillId="0" borderId="0" xfId="0" applyFont="1" applyAlignment="1">
      <alignment horizontal="centerContinuous"/>
    </xf>
    <xf numFmtId="175" fontId="3" fillId="0" borderId="0" xfId="2" applyNumberFormat="1" applyFont="1" applyAlignment="1">
      <alignment horizontal="centerContinuous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Selected Benchmarks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'[1]New Factors'!$A$14:$C$14</c:f>
              <c:strCache>
                <c:ptCount val="1"/>
                <c:pt idx="0">
                  <c:v>State Appropriations  per Student FTE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'[1]New Factors'!$K$8:$W$8</c:f>
              <c:strCache>
                <c:ptCount val="13"/>
                <c:pt idx="0">
                  <c:v>UI FY99</c:v>
                </c:pt>
                <c:pt idx="2">
                  <c:v>UI FY00</c:v>
                </c:pt>
                <c:pt idx="3">
                  <c:v>UI FY00</c:v>
                </c:pt>
                <c:pt idx="4">
                  <c:v>UI FY00</c:v>
                </c:pt>
                <c:pt idx="5">
                  <c:v>UI FY01</c:v>
                </c:pt>
                <c:pt idx="6">
                  <c:v>UI FY01</c:v>
                </c:pt>
                <c:pt idx="8">
                  <c:v>UI FY01</c:v>
                </c:pt>
                <c:pt idx="10">
                  <c:v>FY99 Peer Averages</c:v>
                </c:pt>
                <c:pt idx="11">
                  <c:v>Peer Est.</c:v>
                </c:pt>
                <c:pt idx="12">
                  <c:v>Peer Est.</c:v>
                </c:pt>
              </c:strCache>
            </c:strRef>
          </c:cat>
          <c:val>
            <c:numRef>
              <c:f>'[1]New Factors'!$K$14:$W$14</c:f>
              <c:numCache>
                <c:formatCode>General</c:formatCode>
                <c:ptCount val="13"/>
                <c:pt idx="0">
                  <c:v>10525.990870234597</c:v>
                </c:pt>
                <c:pt idx="2">
                  <c:v>101531580</c:v>
                </c:pt>
                <c:pt idx="3">
                  <c:v>9408.5</c:v>
                </c:pt>
                <c:pt idx="4">
                  <c:v>10791.473667428389</c:v>
                </c:pt>
                <c:pt idx="5">
                  <c:v>106372963</c:v>
                </c:pt>
                <c:pt idx="6">
                  <c:v>9683</c:v>
                </c:pt>
                <c:pt idx="8">
                  <c:v>10985.537849839926</c:v>
                </c:pt>
                <c:pt idx="10">
                  <c:v>154466487</c:v>
                </c:pt>
                <c:pt idx="11">
                  <c:v>16118</c:v>
                </c:pt>
                <c:pt idx="12">
                  <c:v>9583.4772924680474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D-4908-B748-A6C36AC12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8212623"/>
        <c:axId val="1"/>
      </c:barChart>
      <c:catAx>
        <c:axId val="6982126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212623"/>
        <c:crosses val="autoZero"/>
        <c:crossBetween val="between"/>
      </c:valAx>
      <c:spPr>
        <a:gradFill rotWithShape="0">
          <a:gsLst>
            <a:gs pos="0">
              <a:srgbClr xmlns:mc="http://schemas.openxmlformats.org/markup-compatibility/2006" xmlns:a14="http://schemas.microsoft.com/office/drawing/2010/main" val="767647" mc:Ignorable="a14" a14:legacySpreadsheetColorIndex="43">
                <a:gamma/>
                <a:shade val="46275"/>
                <a:invGamma/>
              </a:srgbClr>
            </a:gs>
            <a:gs pos="50000">
              <a:srgbClr xmlns:mc="http://schemas.openxmlformats.org/markup-compatibility/2006" xmlns:a14="http://schemas.microsoft.com/office/drawing/2010/main" val="FFFF99" mc:Ignorable="a14" a14:legacySpreadsheetColorIndex="43"/>
            </a:gs>
            <a:gs pos="100000">
              <a:srgbClr xmlns:mc="http://schemas.openxmlformats.org/markup-compatibility/2006" xmlns:a14="http://schemas.microsoft.com/office/drawing/2010/main" val="767647" mc:Ignorable="a14" a14:legacySpreadsheetColorIndex="43">
                <a:gamma/>
                <a:shade val="46275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99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Selected Benchmarks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'[1]New Factors'!$A$21:$C$21</c:f>
              <c:strCache>
                <c:ptCount val="1"/>
                <c:pt idx="0">
                  <c:v>Grants and Contracts per Faculty FTE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5E0-4386-BE34-9FFF8855B382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'[1]New Factors'!$K$8:$W$8</c:f>
              <c:strCache>
                <c:ptCount val="13"/>
                <c:pt idx="0">
                  <c:v>UI FY99</c:v>
                </c:pt>
                <c:pt idx="2">
                  <c:v>UI FY00</c:v>
                </c:pt>
                <c:pt idx="3">
                  <c:v>UI FY00</c:v>
                </c:pt>
                <c:pt idx="4">
                  <c:v>UI FY00</c:v>
                </c:pt>
                <c:pt idx="5">
                  <c:v>UI FY01</c:v>
                </c:pt>
                <c:pt idx="6">
                  <c:v>UI FY01</c:v>
                </c:pt>
                <c:pt idx="8">
                  <c:v>UI FY01</c:v>
                </c:pt>
                <c:pt idx="10">
                  <c:v>FY99 Peer Averages</c:v>
                </c:pt>
                <c:pt idx="11">
                  <c:v>Peer Est.</c:v>
                </c:pt>
                <c:pt idx="12">
                  <c:v>Peer Est.</c:v>
                </c:pt>
              </c:strCache>
            </c:strRef>
          </c:cat>
          <c:val>
            <c:numRef>
              <c:f>'[1]New Factors'!$K$21:$W$21</c:f>
              <c:numCache>
                <c:formatCode>General</c:formatCode>
                <c:ptCount val="13"/>
                <c:pt idx="0">
                  <c:v>41904.231684408267</c:v>
                </c:pt>
                <c:pt idx="2">
                  <c:v>35957347</c:v>
                </c:pt>
                <c:pt idx="3">
                  <c:v>789.1</c:v>
                </c:pt>
                <c:pt idx="4">
                  <c:v>45567.541502978078</c:v>
                </c:pt>
                <c:pt idx="5">
                  <c:v>43721851.719999999</c:v>
                </c:pt>
                <c:pt idx="6">
                  <c:v>789.1</c:v>
                </c:pt>
                <c:pt idx="8">
                  <c:v>55407.238271448485</c:v>
                </c:pt>
                <c:pt idx="10">
                  <c:v>74773721.085000008</c:v>
                </c:pt>
                <c:pt idx="11">
                  <c:v>1170</c:v>
                </c:pt>
                <c:pt idx="12">
                  <c:v>63909.163320512831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E0-4386-BE34-9FFF8855B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5726639"/>
        <c:axId val="1"/>
      </c:barChart>
      <c:catAx>
        <c:axId val="795726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5726639"/>
        <c:crosses val="autoZero"/>
        <c:crossBetween val="between"/>
      </c:valAx>
      <c:spPr>
        <a:gradFill rotWithShape="0">
          <a:gsLst>
            <a:gs pos="0">
              <a:srgbClr xmlns:mc="http://schemas.openxmlformats.org/markup-compatibility/2006" xmlns:a14="http://schemas.microsoft.com/office/drawing/2010/main" val="767647" mc:Ignorable="a14" a14:legacySpreadsheetColorIndex="43">
                <a:gamma/>
                <a:shade val="46275"/>
                <a:invGamma/>
              </a:srgbClr>
            </a:gs>
            <a:gs pos="50000">
              <a:srgbClr xmlns:mc="http://schemas.openxmlformats.org/markup-compatibility/2006" xmlns:a14="http://schemas.microsoft.com/office/drawing/2010/main" val="FFFF99" mc:Ignorable="a14" a14:legacySpreadsheetColorIndex="43"/>
            </a:gs>
            <a:gs pos="100000">
              <a:srgbClr xmlns:mc="http://schemas.openxmlformats.org/markup-compatibility/2006" xmlns:a14="http://schemas.microsoft.com/office/drawing/2010/main" val="767647" mc:Ignorable="a14" a14:legacySpreadsheetColorIndex="43">
                <a:gamma/>
                <a:shade val="46275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t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99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Selected Benchmarks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'[1]New Factors'!$A$27:$C$27</c:f>
              <c:strCache>
                <c:ptCount val="1"/>
                <c:pt idx="0">
                  <c:v>F&amp;A Costs Recovered per Faculty FTE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'[1]New Factors'!$K$8:$W$8</c:f>
              <c:strCache>
                <c:ptCount val="13"/>
                <c:pt idx="0">
                  <c:v>UI FY99</c:v>
                </c:pt>
                <c:pt idx="2">
                  <c:v>UI FY00</c:v>
                </c:pt>
                <c:pt idx="3">
                  <c:v>UI FY00</c:v>
                </c:pt>
                <c:pt idx="4">
                  <c:v>UI FY00</c:v>
                </c:pt>
                <c:pt idx="5">
                  <c:v>UI FY01</c:v>
                </c:pt>
                <c:pt idx="6">
                  <c:v>UI FY01</c:v>
                </c:pt>
                <c:pt idx="8">
                  <c:v>UI FY01</c:v>
                </c:pt>
                <c:pt idx="10">
                  <c:v>FY99 Peer Averages</c:v>
                </c:pt>
                <c:pt idx="11">
                  <c:v>Peer Est.</c:v>
                </c:pt>
                <c:pt idx="12">
                  <c:v>Peer Est.</c:v>
                </c:pt>
              </c:strCache>
            </c:strRef>
          </c:cat>
          <c:val>
            <c:numRef>
              <c:f>'[1]New Factors'!$K$27:$W$27</c:f>
              <c:numCache>
                <c:formatCode>General</c:formatCode>
                <c:ptCount val="13"/>
                <c:pt idx="0">
                  <c:v>4987.1934877896056</c:v>
                </c:pt>
                <c:pt idx="2">
                  <c:v>4570807</c:v>
                </c:pt>
                <c:pt idx="3">
                  <c:v>789.1</c:v>
                </c:pt>
                <c:pt idx="4">
                  <c:v>5792.4306171587887</c:v>
                </c:pt>
                <c:pt idx="5">
                  <c:v>5500511</c:v>
                </c:pt>
                <c:pt idx="6">
                  <c:v>789.1</c:v>
                </c:pt>
                <c:pt idx="8">
                  <c:v>6970.6133569889744</c:v>
                </c:pt>
                <c:pt idx="10">
                  <c:v>10400277.300000001</c:v>
                </c:pt>
                <c:pt idx="11">
                  <c:v>1170</c:v>
                </c:pt>
                <c:pt idx="12">
                  <c:v>8889.1258974358989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7-44D3-8EBB-6951AD2B1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5727039"/>
        <c:axId val="1"/>
      </c:barChart>
      <c:catAx>
        <c:axId val="795727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5727039"/>
        <c:crosses val="autoZero"/>
        <c:crossBetween val="between"/>
      </c:valAx>
      <c:spPr>
        <a:gradFill rotWithShape="0">
          <a:gsLst>
            <a:gs pos="0">
              <a:srgbClr xmlns:mc="http://schemas.openxmlformats.org/markup-compatibility/2006" xmlns:a14="http://schemas.microsoft.com/office/drawing/2010/main" val="767647" mc:Ignorable="a14" a14:legacySpreadsheetColorIndex="43">
                <a:gamma/>
                <a:shade val="46275"/>
                <a:invGamma/>
              </a:srgbClr>
            </a:gs>
            <a:gs pos="50000">
              <a:srgbClr xmlns:mc="http://schemas.openxmlformats.org/markup-compatibility/2006" xmlns:a14="http://schemas.microsoft.com/office/drawing/2010/main" val="FFFF99" mc:Ignorable="a14" a14:legacySpreadsheetColorIndex="43"/>
            </a:gs>
            <a:gs pos="100000">
              <a:srgbClr xmlns:mc="http://schemas.openxmlformats.org/markup-compatibility/2006" xmlns:a14="http://schemas.microsoft.com/office/drawing/2010/main" val="767647" mc:Ignorable="a14" a14:legacySpreadsheetColorIndex="43">
                <a:gamma/>
                <a:shade val="46275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99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Selected Benchmarks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'[1]New Factors'!$A$39:$C$39</c:f>
              <c:strCache>
                <c:ptCount val="1"/>
                <c:pt idx="0">
                  <c:v>Instruction per Student FTE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'[1]New Factors'!$K$8:$W$8</c:f>
              <c:strCache>
                <c:ptCount val="13"/>
                <c:pt idx="0">
                  <c:v>UI FY99</c:v>
                </c:pt>
                <c:pt idx="2">
                  <c:v>UI FY00</c:v>
                </c:pt>
                <c:pt idx="3">
                  <c:v>UI FY00</c:v>
                </c:pt>
                <c:pt idx="4">
                  <c:v>UI FY00</c:v>
                </c:pt>
                <c:pt idx="5">
                  <c:v>UI FY01</c:v>
                </c:pt>
                <c:pt idx="6">
                  <c:v>UI FY01</c:v>
                </c:pt>
                <c:pt idx="8">
                  <c:v>UI FY01</c:v>
                </c:pt>
                <c:pt idx="10">
                  <c:v>FY99 Peer Averages</c:v>
                </c:pt>
                <c:pt idx="11">
                  <c:v>Peer Est.</c:v>
                </c:pt>
                <c:pt idx="12">
                  <c:v>Peer Est.</c:v>
                </c:pt>
              </c:strCache>
            </c:strRef>
          </c:cat>
          <c:val>
            <c:numRef>
              <c:f>'[1]New Factors'!$K$39:$W$39</c:f>
              <c:numCache>
                <c:formatCode>General</c:formatCode>
                <c:ptCount val="13"/>
                <c:pt idx="0">
                  <c:v>6952.2404530430758</c:v>
                </c:pt>
                <c:pt idx="2">
                  <c:v>68169637</c:v>
                </c:pt>
                <c:pt idx="3">
                  <c:v>9408.5</c:v>
                </c:pt>
                <c:pt idx="4">
                  <c:v>7245.5372269756072</c:v>
                </c:pt>
                <c:pt idx="5">
                  <c:v>75535426</c:v>
                </c:pt>
                <c:pt idx="6">
                  <c:v>9683</c:v>
                </c:pt>
                <c:pt idx="8">
                  <c:v>7800.8288753485494</c:v>
                </c:pt>
                <c:pt idx="10">
                  <c:v>109874244.90000001</c:v>
                </c:pt>
                <c:pt idx="11">
                  <c:v>16118</c:v>
                </c:pt>
                <c:pt idx="12">
                  <c:v>6816.8659200893417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B-4FB4-8662-0FC439CF3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5727439"/>
        <c:axId val="1"/>
      </c:barChart>
      <c:catAx>
        <c:axId val="795727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5727439"/>
        <c:crosses val="autoZero"/>
        <c:crossBetween val="between"/>
      </c:valAx>
      <c:spPr>
        <a:gradFill rotWithShape="0">
          <a:gsLst>
            <a:gs pos="0">
              <a:srgbClr xmlns:mc="http://schemas.openxmlformats.org/markup-compatibility/2006" xmlns:a14="http://schemas.microsoft.com/office/drawing/2010/main" val="767647" mc:Ignorable="a14" a14:legacySpreadsheetColorIndex="43">
                <a:gamma/>
                <a:shade val="46275"/>
                <a:invGamma/>
              </a:srgbClr>
            </a:gs>
            <a:gs pos="50000">
              <a:srgbClr xmlns:mc="http://schemas.openxmlformats.org/markup-compatibility/2006" xmlns:a14="http://schemas.microsoft.com/office/drawing/2010/main" val="FFFF99" mc:Ignorable="a14" a14:legacySpreadsheetColorIndex="43"/>
            </a:gs>
            <a:gs pos="100000">
              <a:srgbClr xmlns:mc="http://schemas.openxmlformats.org/markup-compatibility/2006" xmlns:a14="http://schemas.microsoft.com/office/drawing/2010/main" val="767647" mc:Ignorable="a14" a14:legacySpreadsheetColorIndex="43">
                <a:gamma/>
                <a:shade val="46275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99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Selected Benchmarks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'[1]New Factors'!$A$40:$C$40</c:f>
              <c:strCache>
                <c:ptCount val="1"/>
                <c:pt idx="0">
                  <c:v>Research per Faculty FTE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'[1]New Factors'!$K$8:$W$8</c:f>
              <c:strCache>
                <c:ptCount val="13"/>
                <c:pt idx="0">
                  <c:v>UI FY99</c:v>
                </c:pt>
                <c:pt idx="2">
                  <c:v>UI FY00</c:v>
                </c:pt>
                <c:pt idx="3">
                  <c:v>UI FY00</c:v>
                </c:pt>
                <c:pt idx="4">
                  <c:v>UI FY00</c:v>
                </c:pt>
                <c:pt idx="5">
                  <c:v>UI FY01</c:v>
                </c:pt>
                <c:pt idx="6">
                  <c:v>UI FY01</c:v>
                </c:pt>
                <c:pt idx="8">
                  <c:v>UI FY01</c:v>
                </c:pt>
                <c:pt idx="10">
                  <c:v>FY99 Peer Averages</c:v>
                </c:pt>
                <c:pt idx="11">
                  <c:v>Peer Est.</c:v>
                </c:pt>
                <c:pt idx="12">
                  <c:v>Peer Est.</c:v>
                </c:pt>
              </c:strCache>
            </c:strRef>
          </c:cat>
          <c:val>
            <c:numRef>
              <c:f>'[1]New Factors'!$K$40:$W$40</c:f>
              <c:numCache>
                <c:formatCode>General</c:formatCode>
                <c:ptCount val="13"/>
                <c:pt idx="0">
                  <c:v>62379.149655604255</c:v>
                </c:pt>
                <c:pt idx="2">
                  <c:v>51535011</c:v>
                </c:pt>
                <c:pt idx="3">
                  <c:v>789.1</c:v>
                </c:pt>
                <c:pt idx="4">
                  <c:v>65308.593334178178</c:v>
                </c:pt>
                <c:pt idx="5">
                  <c:v>55350288</c:v>
                </c:pt>
                <c:pt idx="6">
                  <c:v>789.1</c:v>
                </c:pt>
                <c:pt idx="8">
                  <c:v>70143.566087948289</c:v>
                </c:pt>
                <c:pt idx="10">
                  <c:v>77044591.049999997</c:v>
                </c:pt>
                <c:pt idx="11">
                  <c:v>1170</c:v>
                </c:pt>
                <c:pt idx="12">
                  <c:v>65850.077820512815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8-4EBA-B5C6-84F2B8BED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5728239"/>
        <c:axId val="1"/>
      </c:barChart>
      <c:catAx>
        <c:axId val="795728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5728239"/>
        <c:crosses val="autoZero"/>
        <c:crossBetween val="between"/>
      </c:valAx>
      <c:spPr>
        <a:gradFill rotWithShape="0">
          <a:gsLst>
            <a:gs pos="0">
              <a:srgbClr xmlns:mc="http://schemas.openxmlformats.org/markup-compatibility/2006" xmlns:a14="http://schemas.microsoft.com/office/drawing/2010/main" val="767647" mc:Ignorable="a14" a14:legacySpreadsheetColorIndex="43">
                <a:gamma/>
                <a:shade val="46275"/>
                <a:invGamma/>
              </a:srgbClr>
            </a:gs>
            <a:gs pos="50000">
              <a:srgbClr xmlns:mc="http://schemas.openxmlformats.org/markup-compatibility/2006" xmlns:a14="http://schemas.microsoft.com/office/drawing/2010/main" val="FFFF99" mc:Ignorable="a14" a14:legacySpreadsheetColorIndex="43"/>
            </a:gs>
            <a:gs pos="100000">
              <a:srgbClr xmlns:mc="http://schemas.openxmlformats.org/markup-compatibility/2006" xmlns:a14="http://schemas.microsoft.com/office/drawing/2010/main" val="767647" mc:Ignorable="a14" a14:legacySpreadsheetColorIndex="43">
                <a:gamma/>
                <a:shade val="46275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99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Selected Benchmarks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'[1]New Factors'!$A$46:$C$46</c:f>
              <c:strCache>
                <c:ptCount val="1"/>
                <c:pt idx="0">
                  <c:v>Academic Support per Student HC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'[1]New Factors'!$K$8:$W$8</c:f>
              <c:strCache>
                <c:ptCount val="13"/>
                <c:pt idx="0">
                  <c:v>UI FY99</c:v>
                </c:pt>
                <c:pt idx="2">
                  <c:v>UI FY00</c:v>
                </c:pt>
                <c:pt idx="3">
                  <c:v>UI FY00</c:v>
                </c:pt>
                <c:pt idx="4">
                  <c:v>UI FY00</c:v>
                </c:pt>
                <c:pt idx="5">
                  <c:v>UI FY01</c:v>
                </c:pt>
                <c:pt idx="6">
                  <c:v>UI FY01</c:v>
                </c:pt>
                <c:pt idx="8">
                  <c:v>UI FY01</c:v>
                </c:pt>
                <c:pt idx="10">
                  <c:v>FY99 Peer Averages</c:v>
                </c:pt>
                <c:pt idx="11">
                  <c:v>Peer Est.</c:v>
                </c:pt>
                <c:pt idx="12">
                  <c:v>Peer Est.</c:v>
                </c:pt>
              </c:strCache>
            </c:strRef>
          </c:cat>
          <c:val>
            <c:numRef>
              <c:f>'[1]New Factors'!$K$46:$W$46</c:f>
              <c:numCache>
                <c:formatCode>General</c:formatCode>
                <c:ptCount val="13"/>
                <c:pt idx="0">
                  <c:v>764.59176357436388</c:v>
                </c:pt>
                <c:pt idx="2">
                  <c:v>9228077</c:v>
                </c:pt>
                <c:pt idx="3">
                  <c:v>11305</c:v>
                </c:pt>
                <c:pt idx="4">
                  <c:v>816.28279522335254</c:v>
                </c:pt>
                <c:pt idx="5">
                  <c:v>10016759</c:v>
                </c:pt>
                <c:pt idx="6">
                  <c:v>11635</c:v>
                </c:pt>
                <c:pt idx="8">
                  <c:v>860.91611516974649</c:v>
                </c:pt>
                <c:pt idx="10">
                  <c:v>32998704.900000002</c:v>
                </c:pt>
                <c:pt idx="11">
                  <c:v>18727</c:v>
                </c:pt>
                <c:pt idx="12">
                  <c:v>1762.0924280450688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0-47EC-AD33-855E640DD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5729039"/>
        <c:axId val="1"/>
      </c:barChart>
      <c:catAx>
        <c:axId val="795729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5729039"/>
        <c:crosses val="autoZero"/>
        <c:crossBetween val="between"/>
      </c:valAx>
      <c:spPr>
        <a:gradFill rotWithShape="0">
          <a:gsLst>
            <a:gs pos="0">
              <a:srgbClr xmlns:mc="http://schemas.openxmlformats.org/markup-compatibility/2006" xmlns:a14="http://schemas.microsoft.com/office/drawing/2010/main" val="767647" mc:Ignorable="a14" a14:legacySpreadsheetColorIndex="43">
                <a:gamma/>
                <a:shade val="46275"/>
                <a:invGamma/>
              </a:srgbClr>
            </a:gs>
            <a:gs pos="50000">
              <a:srgbClr xmlns:mc="http://schemas.openxmlformats.org/markup-compatibility/2006" xmlns:a14="http://schemas.microsoft.com/office/drawing/2010/main" val="FFFF99" mc:Ignorable="a14" a14:legacySpreadsheetColorIndex="43"/>
            </a:gs>
            <a:gs pos="100000">
              <a:srgbClr xmlns:mc="http://schemas.openxmlformats.org/markup-compatibility/2006" xmlns:a14="http://schemas.microsoft.com/office/drawing/2010/main" val="767647" mc:Ignorable="a14" a14:legacySpreadsheetColorIndex="43">
                <a:gamma/>
                <a:shade val="46275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99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Selected Benchmarks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'[1]New Factors'!$A$70</c:f>
              <c:strCache>
                <c:ptCount val="1"/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FFFFFF" mc:Ignorable="a14" a14:legacySpreadsheetColorIndex="8">
                    <a:gamma/>
                    <a:tint val="0"/>
                    <a:invGamma/>
                  </a:srgbClr>
                </a:gs>
                <a:gs pos="100000">
                  <a:srgbClr xmlns:mc="http://schemas.openxmlformats.org/markup-compatibility/2006" xmlns:a14="http://schemas.microsoft.com/office/drawing/2010/main" val="000000" mc:Ignorable="a14" a14:legacySpreadsheetColorIndex="8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56-4396-859F-C23DCBC8776A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56-4396-859F-C23DCBC8776A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'[1]New Factors'!$S$58:$W$58</c:f>
              <c:numCache>
                <c:formatCode>General</c:formatCode>
                <c:ptCount val="5"/>
              </c:numCache>
            </c:numRef>
          </c:cat>
          <c:val>
            <c:numRef>
              <c:f>'[1]New Factors'!$S$70:$W$70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DC56-4396-859F-C23DCBC8776A}"/>
            </c:ext>
          </c:extLst>
        </c:ser>
        <c:ser>
          <c:idx val="1"/>
          <c:order val="1"/>
          <c:tx>
            <c:strRef>
              <c:f>'[1]New Factors'!$A$72</c:f>
              <c:strCache>
                <c:ptCount val="1"/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FFFF00" mc:Ignorable="a14" a14:legacySpreadsheetColorIndex="34"/>
                </a:gs>
                <a:gs pos="100000">
                  <a:srgbClr xmlns:mc="http://schemas.openxmlformats.org/markup-compatibility/2006" xmlns:a14="http://schemas.microsoft.com/office/drawing/2010/main" val="767600" mc:Ignorable="a14" a14:legacySpreadsheetColorIndex="34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FFFF00" mc:Ignorable="a14" a14:legacySpreadsheetColorIndex="34"/>
                  </a:gs>
                  <a:gs pos="100000">
                    <a:srgbClr xmlns:mc="http://schemas.openxmlformats.org/markup-compatibility/2006" xmlns:a14="http://schemas.microsoft.com/office/drawing/2010/main" val="767600" mc:Ignorable="a14" a14:legacySpreadsheetColorIndex="34">
                      <a:gamma/>
                      <a:shade val="46275"/>
                      <a:invGamma/>
                    </a:srgbClr>
                  </a:gs>
                </a:gsLst>
                <a:lin ang="540000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C56-4396-859F-C23DCBC8776A}"/>
              </c:ext>
            </c:extLst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56-4396-859F-C23DCBC8776A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C56-4396-859F-C23DCBC8776A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'[1]New Factors'!$S$72:$W$72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5-DC56-4396-859F-C23DCBC877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95726239"/>
        <c:axId val="1"/>
      </c:barChart>
      <c:catAx>
        <c:axId val="795726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5726239"/>
        <c:crosses val="autoZero"/>
        <c:crossBetween val="between"/>
      </c:valAx>
      <c:spPr>
        <a:gradFill rotWithShape="0">
          <a:gsLst>
            <a:gs pos="0">
              <a:srgbClr xmlns:mc="http://schemas.openxmlformats.org/markup-compatibility/2006" xmlns:a14="http://schemas.microsoft.com/office/drawing/2010/main" val="767647" mc:Ignorable="a14" a14:legacySpreadsheetColorIndex="43">
                <a:gamma/>
                <a:shade val="46275"/>
                <a:invGamma/>
              </a:srgbClr>
            </a:gs>
            <a:gs pos="50000">
              <a:srgbClr xmlns:mc="http://schemas.openxmlformats.org/markup-compatibility/2006" xmlns:a14="http://schemas.microsoft.com/office/drawing/2010/main" val="FFFF99" mc:Ignorable="a14" a14:legacySpreadsheetColorIndex="43"/>
            </a:gs>
            <a:gs pos="100000">
              <a:srgbClr xmlns:mc="http://schemas.openxmlformats.org/markup-compatibility/2006" xmlns:a14="http://schemas.microsoft.com/office/drawing/2010/main" val="767647" mc:Ignorable="a14" a14:legacySpreadsheetColorIndex="43">
                <a:gamma/>
                <a:shade val="46275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99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Selected Benchmarks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'[1]New Factors'!$A$74</c:f>
              <c:strCache>
                <c:ptCount val="1"/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FFFFFF" mc:Ignorable="a14" a14:legacySpreadsheetColorIndex="8">
                    <a:gamma/>
                    <a:tint val="0"/>
                    <a:invGamma/>
                  </a:srgbClr>
                </a:gs>
                <a:gs pos="100000">
                  <a:srgbClr xmlns:mc="http://schemas.openxmlformats.org/markup-compatibility/2006" xmlns:a14="http://schemas.microsoft.com/office/drawing/2010/main" val="000000" mc:Ignorable="a14" a14:legacySpreadsheetColorIndex="8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B30-4D30-BE9F-5266A4E1A97A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30-4D30-BE9F-5266A4E1A97A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'[1]New Factors'!$S$58:$W$58</c:f>
              <c:numCache>
                <c:formatCode>General</c:formatCode>
                <c:ptCount val="5"/>
              </c:numCache>
            </c:numRef>
          </c:cat>
          <c:val>
            <c:numRef>
              <c:f>'[1]New Factors'!$S$74:$W$74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0B30-4D30-BE9F-5266A4E1A97A}"/>
            </c:ext>
          </c:extLst>
        </c:ser>
        <c:ser>
          <c:idx val="1"/>
          <c:order val="1"/>
          <c:tx>
            <c:strRef>
              <c:f>'[1]New Factors'!$A$76</c:f>
              <c:strCache>
                <c:ptCount val="1"/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FFFF00" mc:Ignorable="a14" a14:legacySpreadsheetColorIndex="13"/>
                </a:gs>
                <a:gs pos="100000">
                  <a:srgbClr xmlns:mc="http://schemas.openxmlformats.org/markup-compatibility/2006" xmlns:a14="http://schemas.microsoft.com/office/drawing/2010/main" val="767600" mc:Ignorable="a14" a14:legacySpreadsheetColorIndex="13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B30-4D30-BE9F-5266A4E1A97A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30-4D30-BE9F-5266A4E1A97A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'[1]New Factors'!$S$76:$W$76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5-0B30-4D30-BE9F-5266A4E1A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5727839"/>
        <c:axId val="1"/>
      </c:barChart>
      <c:catAx>
        <c:axId val="795727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5727839"/>
        <c:crosses val="autoZero"/>
        <c:crossBetween val="between"/>
      </c:valAx>
      <c:spPr>
        <a:gradFill rotWithShape="0">
          <a:gsLst>
            <a:gs pos="0">
              <a:srgbClr xmlns:mc="http://schemas.openxmlformats.org/markup-compatibility/2006" xmlns:a14="http://schemas.microsoft.com/office/drawing/2010/main" val="767647" mc:Ignorable="a14" a14:legacySpreadsheetColorIndex="43">
                <a:gamma/>
                <a:shade val="46275"/>
                <a:invGamma/>
              </a:srgbClr>
            </a:gs>
            <a:gs pos="50000">
              <a:srgbClr xmlns:mc="http://schemas.openxmlformats.org/markup-compatibility/2006" xmlns:a14="http://schemas.microsoft.com/office/drawing/2010/main" val="FFFF99" mc:Ignorable="a14" a14:legacySpreadsheetColorIndex="43"/>
            </a:gs>
            <a:gs pos="100000">
              <a:srgbClr xmlns:mc="http://schemas.openxmlformats.org/markup-compatibility/2006" xmlns:a14="http://schemas.microsoft.com/office/drawing/2010/main" val="767647" mc:Ignorable="a14" a14:legacySpreadsheetColorIndex="43">
                <a:gamma/>
                <a:shade val="46275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99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Selected Benchmarks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'[1]New Factors'!$A$62</c:f>
              <c:strCache>
                <c:ptCount val="1"/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FFFFFF" mc:Ignorable="a14" a14:legacySpreadsheetColorIndex="8">
                    <a:gamma/>
                    <a:tint val="0"/>
                    <a:invGamma/>
                  </a:srgbClr>
                </a:gs>
                <a:gs pos="100000">
                  <a:srgbClr xmlns:mc="http://schemas.openxmlformats.org/markup-compatibility/2006" xmlns:a14="http://schemas.microsoft.com/office/drawing/2010/main" val="000000" mc:Ignorable="a14" a14:legacySpreadsheetColorIndex="8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C2F-45E5-AA65-20F87B40AB6D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2F-45E5-AA65-20F87B40AB6D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'[1]New Factors'!$S$58:$W$58</c:f>
              <c:numCache>
                <c:formatCode>General</c:formatCode>
                <c:ptCount val="5"/>
              </c:numCache>
            </c:numRef>
          </c:cat>
          <c:val>
            <c:numRef>
              <c:f>'[1]New Factors'!$S$62:$W$62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7C2F-45E5-AA65-20F87B40AB6D}"/>
            </c:ext>
          </c:extLst>
        </c:ser>
        <c:ser>
          <c:idx val="1"/>
          <c:order val="1"/>
          <c:tx>
            <c:strRef>
              <c:f>'[1]New Factors'!$A$64</c:f>
              <c:strCache>
                <c:ptCount val="1"/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FFFF00" mc:Ignorable="a14" a14:legacySpreadsheetColorIndex="34"/>
                </a:gs>
                <a:gs pos="100000">
                  <a:srgbClr xmlns:mc="http://schemas.openxmlformats.org/markup-compatibility/2006" xmlns:a14="http://schemas.microsoft.com/office/drawing/2010/main" val="767600" mc:Ignorable="a14" a14:legacySpreadsheetColorIndex="34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FFFF00" mc:Ignorable="a14" a14:legacySpreadsheetColorIndex="34"/>
                  </a:gs>
                  <a:gs pos="100000">
                    <a:srgbClr xmlns:mc="http://schemas.openxmlformats.org/markup-compatibility/2006" xmlns:a14="http://schemas.microsoft.com/office/drawing/2010/main" val="767600" mc:Ignorable="a14" a14:legacySpreadsheetColorIndex="34">
                      <a:gamma/>
                      <a:shade val="46275"/>
                      <a:invGamma/>
                    </a:srgbClr>
                  </a:gs>
                </a:gsLst>
                <a:lin ang="540000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C2F-45E5-AA65-20F87B40AB6D}"/>
              </c:ext>
            </c:extLst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2F-45E5-AA65-20F87B40AB6D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C2F-45E5-AA65-20F87B40AB6D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'[1]New Factors'!$S$64:$W$64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5-7C2F-45E5-AA65-20F87B40AB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95728639"/>
        <c:axId val="1"/>
      </c:barChart>
      <c:catAx>
        <c:axId val="795728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5728639"/>
        <c:crosses val="autoZero"/>
        <c:crossBetween val="between"/>
      </c:valAx>
      <c:spPr>
        <a:gradFill rotWithShape="0">
          <a:gsLst>
            <a:gs pos="0">
              <a:srgbClr xmlns:mc="http://schemas.openxmlformats.org/markup-compatibility/2006" xmlns:a14="http://schemas.microsoft.com/office/drawing/2010/main" val="767647" mc:Ignorable="a14" a14:legacySpreadsheetColorIndex="43">
                <a:gamma/>
                <a:shade val="46275"/>
                <a:invGamma/>
              </a:srgbClr>
            </a:gs>
            <a:gs pos="50000">
              <a:srgbClr xmlns:mc="http://schemas.openxmlformats.org/markup-compatibility/2006" xmlns:a14="http://schemas.microsoft.com/office/drawing/2010/main" val="FFFF99" mc:Ignorable="a14" a14:legacySpreadsheetColorIndex="43"/>
            </a:gs>
            <a:gs pos="100000">
              <a:srgbClr xmlns:mc="http://schemas.openxmlformats.org/markup-compatibility/2006" xmlns:a14="http://schemas.microsoft.com/office/drawing/2010/main" val="767647" mc:Ignorable="a14" a14:legacySpreadsheetColorIndex="43">
                <a:gamma/>
                <a:shade val="46275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99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Selected Benchmarks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'[1]New Factors'!$A$66</c:f>
              <c:strCache>
                <c:ptCount val="1"/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FFFFFF" mc:Ignorable="a14" a14:legacySpreadsheetColorIndex="8">
                    <a:gamma/>
                    <a:tint val="0"/>
                    <a:invGamma/>
                  </a:srgbClr>
                </a:gs>
                <a:gs pos="100000">
                  <a:srgbClr xmlns:mc="http://schemas.openxmlformats.org/markup-compatibility/2006" xmlns:a14="http://schemas.microsoft.com/office/drawing/2010/main" val="000000" mc:Ignorable="a14" a14:legacySpreadsheetColorIndex="8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AC-48BB-945A-2FCCE8ACA25E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AC-48BB-945A-2FCCE8ACA25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'[1]New Factors'!$S$58:$W$58</c:f>
              <c:numCache>
                <c:formatCode>General</c:formatCode>
                <c:ptCount val="5"/>
              </c:numCache>
            </c:numRef>
          </c:cat>
          <c:val>
            <c:numRef>
              <c:f>'[1]New Factors'!$S$66:$W$66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25AC-48BB-945A-2FCCE8ACA25E}"/>
            </c:ext>
          </c:extLst>
        </c:ser>
        <c:ser>
          <c:idx val="1"/>
          <c:order val="1"/>
          <c:tx>
            <c:strRef>
              <c:f>'[1]New Factors'!$A$68</c:f>
              <c:strCache>
                <c:ptCount val="1"/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FFFF00" mc:Ignorable="a14" a14:legacySpreadsheetColorIndex="34"/>
                </a:gs>
                <a:gs pos="100000">
                  <a:srgbClr xmlns:mc="http://schemas.openxmlformats.org/markup-compatibility/2006" xmlns:a14="http://schemas.microsoft.com/office/drawing/2010/main" val="767600" mc:Ignorable="a14" a14:legacySpreadsheetColorIndex="34">
                    <a:gamma/>
                    <a:shade val="4627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FFFF00" mc:Ignorable="a14" a14:legacySpreadsheetColorIndex="34"/>
                  </a:gs>
                  <a:gs pos="100000">
                    <a:srgbClr xmlns:mc="http://schemas.openxmlformats.org/markup-compatibility/2006" xmlns:a14="http://schemas.microsoft.com/office/drawing/2010/main" val="767600" mc:Ignorable="a14" a14:legacySpreadsheetColorIndex="34">
                      <a:gamma/>
                      <a:shade val="46275"/>
                      <a:invGamma/>
                    </a:srgbClr>
                  </a:gs>
                </a:gsLst>
                <a:lin ang="540000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5AC-48BB-945A-2FCCE8ACA25E}"/>
              </c:ext>
            </c:extLst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AC-48BB-945A-2FCCE8ACA25E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AC-48BB-945A-2FCCE8ACA25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'[1]New Factors'!$S$68:$W$68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5-25AC-48BB-945A-2FCCE8ACA2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95725439"/>
        <c:axId val="1"/>
      </c:barChart>
      <c:catAx>
        <c:axId val="795725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5725439"/>
        <c:crosses val="autoZero"/>
        <c:crossBetween val="between"/>
      </c:valAx>
      <c:spPr>
        <a:gradFill rotWithShape="0">
          <a:gsLst>
            <a:gs pos="0">
              <a:srgbClr xmlns:mc="http://schemas.openxmlformats.org/markup-compatibility/2006" xmlns:a14="http://schemas.microsoft.com/office/drawing/2010/main" val="767647" mc:Ignorable="a14" a14:legacySpreadsheetColorIndex="43">
                <a:gamma/>
                <a:shade val="46275"/>
                <a:invGamma/>
              </a:srgbClr>
            </a:gs>
            <a:gs pos="50000">
              <a:srgbClr xmlns:mc="http://schemas.openxmlformats.org/markup-compatibility/2006" xmlns:a14="http://schemas.microsoft.com/office/drawing/2010/main" val="FFFF99" mc:Ignorable="a14" a14:legacySpreadsheetColorIndex="43"/>
            </a:gs>
            <a:gs pos="100000">
              <a:srgbClr xmlns:mc="http://schemas.openxmlformats.org/markup-compatibility/2006" xmlns:a14="http://schemas.microsoft.com/office/drawing/2010/main" val="767647" mc:Ignorable="a14" a14:legacySpreadsheetColorIndex="43">
                <a:gamma/>
                <a:shade val="46275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99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138</xdr:row>
      <xdr:rowOff>0</xdr:rowOff>
    </xdr:from>
    <xdr:to>
      <xdr:col>2</xdr:col>
      <xdr:colOff>107950</xdr:colOff>
      <xdr:row>155</xdr:row>
      <xdr:rowOff>82550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155CB836-7582-4B3E-93BE-A3C9FD211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157</xdr:row>
      <xdr:rowOff>6350</xdr:rowOff>
    </xdr:from>
    <xdr:to>
      <xdr:col>3</xdr:col>
      <xdr:colOff>0</xdr:colOff>
      <xdr:row>174</xdr:row>
      <xdr:rowOff>133350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9007A805-2E7A-4AA1-BC5D-B96074CFE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176</xdr:row>
      <xdr:rowOff>6350</xdr:rowOff>
    </xdr:from>
    <xdr:to>
      <xdr:col>2</xdr:col>
      <xdr:colOff>69850</xdr:colOff>
      <xdr:row>193</xdr:row>
      <xdr:rowOff>139700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F73DC479-87D5-4FE9-AE12-49CFDB606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138</xdr:row>
      <xdr:rowOff>6350</xdr:rowOff>
    </xdr:from>
    <xdr:to>
      <xdr:col>11</xdr:col>
      <xdr:colOff>50800</xdr:colOff>
      <xdr:row>155</xdr:row>
      <xdr:rowOff>101600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0B4DF4DB-F534-4745-B702-AF2E1C911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157</xdr:row>
      <xdr:rowOff>19050</xdr:rowOff>
    </xdr:from>
    <xdr:to>
      <xdr:col>11</xdr:col>
      <xdr:colOff>31750</xdr:colOff>
      <xdr:row>174</xdr:row>
      <xdr:rowOff>139700</xdr:rowOff>
    </xdr:to>
    <xdr:graphicFrame macro="">
      <xdr:nvGraphicFramePr>
        <xdr:cNvPr id="1029" name="Chart 5">
          <a:extLst>
            <a:ext uri="{FF2B5EF4-FFF2-40B4-BE49-F238E27FC236}">
              <a16:creationId xmlns:a16="http://schemas.microsoft.com/office/drawing/2014/main" id="{68840D5B-BCC4-43A1-8F4F-9AA5B1127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175</xdr:row>
      <xdr:rowOff>139700</xdr:rowOff>
    </xdr:from>
    <xdr:to>
      <xdr:col>11</xdr:col>
      <xdr:colOff>38100</xdr:colOff>
      <xdr:row>193</xdr:row>
      <xdr:rowOff>101600</xdr:rowOff>
    </xdr:to>
    <xdr:graphicFrame macro="">
      <xdr:nvGraphicFramePr>
        <xdr:cNvPr id="1030" name="Chart 6">
          <a:extLst>
            <a:ext uri="{FF2B5EF4-FFF2-40B4-BE49-F238E27FC236}">
              <a16:creationId xmlns:a16="http://schemas.microsoft.com/office/drawing/2014/main" id="{C1CDB58D-30B5-4119-92E5-461997C23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190500</xdr:colOff>
      <xdr:row>97</xdr:row>
      <xdr:rowOff>69850</xdr:rowOff>
    </xdr:from>
    <xdr:to>
      <xdr:col>3</xdr:col>
      <xdr:colOff>0</xdr:colOff>
      <xdr:row>115</xdr:row>
      <xdr:rowOff>12700</xdr:rowOff>
    </xdr:to>
    <xdr:graphicFrame macro="">
      <xdr:nvGraphicFramePr>
        <xdr:cNvPr id="1031" name="Chart 7">
          <a:extLst>
            <a:ext uri="{FF2B5EF4-FFF2-40B4-BE49-F238E27FC236}">
              <a16:creationId xmlns:a16="http://schemas.microsoft.com/office/drawing/2014/main" id="{2A271A01-9DF0-4A6B-8263-4D3215F3A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97</xdr:row>
      <xdr:rowOff>0</xdr:rowOff>
    </xdr:from>
    <xdr:to>
      <xdr:col>11</xdr:col>
      <xdr:colOff>31750</xdr:colOff>
      <xdr:row>114</xdr:row>
      <xdr:rowOff>114300</xdr:rowOff>
    </xdr:to>
    <xdr:graphicFrame macro="">
      <xdr:nvGraphicFramePr>
        <xdr:cNvPr id="1032" name="Chart 8">
          <a:extLst>
            <a:ext uri="{FF2B5EF4-FFF2-40B4-BE49-F238E27FC236}">
              <a16:creationId xmlns:a16="http://schemas.microsoft.com/office/drawing/2014/main" id="{B52D5E12-ADF2-425C-822D-EB8E99461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158750</xdr:colOff>
      <xdr:row>117</xdr:row>
      <xdr:rowOff>19050</xdr:rowOff>
    </xdr:from>
    <xdr:to>
      <xdr:col>2</xdr:col>
      <xdr:colOff>101600</xdr:colOff>
      <xdr:row>134</xdr:row>
      <xdr:rowOff>127000</xdr:rowOff>
    </xdr:to>
    <xdr:graphicFrame macro="">
      <xdr:nvGraphicFramePr>
        <xdr:cNvPr id="1033" name="Chart 9">
          <a:extLst>
            <a:ext uri="{FF2B5EF4-FFF2-40B4-BE49-F238E27FC236}">
              <a16:creationId xmlns:a16="http://schemas.microsoft.com/office/drawing/2014/main" id="{44F1FD21-7190-452A-B8A1-946A9B49D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0</xdr:colOff>
      <xdr:row>117</xdr:row>
      <xdr:rowOff>0</xdr:rowOff>
    </xdr:from>
    <xdr:to>
      <xdr:col>11</xdr:col>
      <xdr:colOff>190500</xdr:colOff>
      <xdr:row>134</xdr:row>
      <xdr:rowOff>114300</xdr:rowOff>
    </xdr:to>
    <xdr:graphicFrame macro="">
      <xdr:nvGraphicFramePr>
        <xdr:cNvPr id="1034" name="Chart 10">
          <a:extLst>
            <a:ext uri="{FF2B5EF4-FFF2-40B4-BE49-F238E27FC236}">
              <a16:creationId xmlns:a16="http://schemas.microsoft.com/office/drawing/2014/main" id="{A1212566-0192-49D2-A5FD-B29485A65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orary%20Internet%20Files/OLKE380/RevExpDriver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FY2002%20Financial%20Pla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orary%20Internet%20Files/OLKE380/FY2002%20Financial%20Pla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Factors"/>
    </sheetNames>
    <sheetDataSet>
      <sheetData sheetId="0">
        <row r="8">
          <cell r="K8" t="str">
            <v>UI FY99</v>
          </cell>
          <cell r="M8" t="str">
            <v>UI FY00</v>
          </cell>
          <cell r="N8" t="str">
            <v>UI FY00</v>
          </cell>
          <cell r="O8" t="str">
            <v>UI FY00</v>
          </cell>
          <cell r="P8" t="str">
            <v>UI FY01</v>
          </cell>
          <cell r="Q8" t="str">
            <v>UI FY01</v>
          </cell>
          <cell r="S8" t="str">
            <v>UI FY01</v>
          </cell>
          <cell r="U8" t="str">
            <v>FY99 Peer Averages</v>
          </cell>
          <cell r="V8" t="str">
            <v>Peer Est.</v>
          </cell>
          <cell r="W8" t="str">
            <v>Peer Est.</v>
          </cell>
        </row>
        <row r="14">
          <cell r="A14" t="str">
            <v xml:space="preserve">State Appropriations </v>
          </cell>
          <cell r="B14" t="str">
            <v>per</v>
          </cell>
          <cell r="C14" t="str">
            <v>Student FTE</v>
          </cell>
          <cell r="K14">
            <v>10525.990870234597</v>
          </cell>
          <cell r="M14">
            <v>101531580</v>
          </cell>
          <cell r="N14">
            <v>9408.5</v>
          </cell>
          <cell r="O14">
            <v>10791.473667428389</v>
          </cell>
          <cell r="P14">
            <v>106372963</v>
          </cell>
          <cell r="Q14">
            <v>9683</v>
          </cell>
          <cell r="S14">
            <v>10985.537849839926</v>
          </cell>
          <cell r="U14">
            <v>154466487</v>
          </cell>
          <cell r="V14">
            <v>16118</v>
          </cell>
          <cell r="W14">
            <v>9583.4772924680474</v>
          </cell>
        </row>
        <row r="21">
          <cell r="A21" t="str">
            <v>Grants and Contracts</v>
          </cell>
          <cell r="B21" t="str">
            <v>per</v>
          </cell>
          <cell r="C21" t="str">
            <v>Faculty FTE</v>
          </cell>
          <cell r="K21">
            <v>41904.231684408267</v>
          </cell>
          <cell r="M21">
            <v>35957347</v>
          </cell>
          <cell r="N21">
            <v>789.1</v>
          </cell>
          <cell r="O21">
            <v>45567.541502978078</v>
          </cell>
          <cell r="P21">
            <v>43721851.719999999</v>
          </cell>
          <cell r="Q21">
            <v>789.1</v>
          </cell>
          <cell r="S21">
            <v>55407.238271448485</v>
          </cell>
          <cell r="U21">
            <v>74773721.085000008</v>
          </cell>
          <cell r="V21">
            <v>1170</v>
          </cell>
          <cell r="W21">
            <v>63909.163320512831</v>
          </cell>
        </row>
        <row r="27">
          <cell r="A27" t="str">
            <v>F&amp;A Costs Recovered</v>
          </cell>
          <cell r="B27" t="str">
            <v>per</v>
          </cell>
          <cell r="C27" t="str">
            <v>Faculty FTE</v>
          </cell>
          <cell r="K27">
            <v>4987.1934877896056</v>
          </cell>
          <cell r="M27">
            <v>4570807</v>
          </cell>
          <cell r="N27">
            <v>789.1</v>
          </cell>
          <cell r="O27">
            <v>5792.4306171587887</v>
          </cell>
          <cell r="P27">
            <v>5500511</v>
          </cell>
          <cell r="Q27">
            <v>789.1</v>
          </cell>
          <cell r="S27">
            <v>6970.6133569889744</v>
          </cell>
          <cell r="U27">
            <v>10400277.300000001</v>
          </cell>
          <cell r="V27">
            <v>1170</v>
          </cell>
          <cell r="W27">
            <v>8889.1258974358989</v>
          </cell>
        </row>
        <row r="39">
          <cell r="A39" t="str">
            <v>Instruction</v>
          </cell>
          <cell r="B39" t="str">
            <v>per</v>
          </cell>
          <cell r="C39" t="str">
            <v>Student FTE</v>
          </cell>
          <cell r="K39">
            <v>6952.2404530430758</v>
          </cell>
          <cell r="M39">
            <v>68169637</v>
          </cell>
          <cell r="N39">
            <v>9408.5</v>
          </cell>
          <cell r="O39">
            <v>7245.5372269756072</v>
          </cell>
          <cell r="P39">
            <v>75535426</v>
          </cell>
          <cell r="Q39">
            <v>9683</v>
          </cell>
          <cell r="S39">
            <v>7800.8288753485494</v>
          </cell>
          <cell r="U39">
            <v>109874244.90000001</v>
          </cell>
          <cell r="V39">
            <v>16118</v>
          </cell>
          <cell r="W39">
            <v>6816.8659200893417</v>
          </cell>
        </row>
        <row r="40">
          <cell r="A40" t="str">
            <v>Research</v>
          </cell>
          <cell r="B40" t="str">
            <v>per</v>
          </cell>
          <cell r="C40" t="str">
            <v>Faculty FTE</v>
          </cell>
          <cell r="K40">
            <v>62379.149655604255</v>
          </cell>
          <cell r="M40">
            <v>51535011</v>
          </cell>
          <cell r="N40">
            <v>789.1</v>
          </cell>
          <cell r="O40">
            <v>65308.593334178178</v>
          </cell>
          <cell r="P40">
            <v>55350288</v>
          </cell>
          <cell r="Q40">
            <v>789.1</v>
          </cell>
          <cell r="S40">
            <v>70143.566087948289</v>
          </cell>
          <cell r="U40">
            <v>77044591.049999997</v>
          </cell>
          <cell r="V40">
            <v>1170</v>
          </cell>
          <cell r="W40">
            <v>65850.077820512815</v>
          </cell>
        </row>
        <row r="46">
          <cell r="A46" t="str">
            <v>Academic Support</v>
          </cell>
          <cell r="B46" t="str">
            <v>per</v>
          </cell>
          <cell r="C46" t="str">
            <v>Student HC</v>
          </cell>
          <cell r="K46">
            <v>764.59176357436388</v>
          </cell>
          <cell r="M46">
            <v>9228077</v>
          </cell>
          <cell r="N46">
            <v>11305</v>
          </cell>
          <cell r="O46">
            <v>816.28279522335254</v>
          </cell>
          <cell r="P46">
            <v>10016759</v>
          </cell>
          <cell r="Q46">
            <v>11635</v>
          </cell>
          <cell r="S46">
            <v>860.91611516974649</v>
          </cell>
          <cell r="U46">
            <v>32998704.900000002</v>
          </cell>
          <cell r="V46">
            <v>18727</v>
          </cell>
          <cell r="W46">
            <v>1762.0924280450688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ions"/>
      <sheetName val="Plan Stucture"/>
      <sheetName val="Grants &amp; Contracts"/>
      <sheetName val="Charts"/>
      <sheetName val="Revised Matrix (3)"/>
      <sheetName val="Revised Matrix"/>
      <sheetName val="Enrollment Summary"/>
      <sheetName val="Revised Matrix (2)"/>
      <sheetName val="Revised Summary"/>
      <sheetName val="Summary"/>
      <sheetName val="Exec.Level"/>
      <sheetName val="Peer Index"/>
      <sheetName val="FTE&amp;HC Projections"/>
      <sheetName val="Operating History"/>
      <sheetName val="Sheet1"/>
      <sheetName val="New Factors"/>
      <sheetName val="Debt Service"/>
      <sheetName val="S &amp; S Aux Enterprises"/>
      <sheetName val="Gift &amp; Donation 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9">
          <cell r="N9">
            <v>106372963</v>
          </cell>
        </row>
        <row r="10">
          <cell r="N10">
            <v>4427710</v>
          </cell>
        </row>
        <row r="14">
          <cell r="N14">
            <v>23688299</v>
          </cell>
        </row>
        <row r="15">
          <cell r="N15">
            <v>7454816</v>
          </cell>
        </row>
        <row r="16">
          <cell r="N16">
            <v>12578736.719999999</v>
          </cell>
        </row>
        <row r="20">
          <cell r="N20">
            <v>43805435</v>
          </cell>
        </row>
        <row r="21">
          <cell r="N21">
            <v>21215742</v>
          </cell>
        </row>
        <row r="22">
          <cell r="N22">
            <v>4201069</v>
          </cell>
        </row>
        <row r="23">
          <cell r="N23">
            <v>5500511</v>
          </cell>
        </row>
        <row r="24">
          <cell r="N24">
            <v>21071536</v>
          </cell>
        </row>
        <row r="25">
          <cell r="N25">
            <v>5582092.2800000003</v>
          </cell>
        </row>
        <row r="34">
          <cell r="N34">
            <v>75535426</v>
          </cell>
        </row>
        <row r="35">
          <cell r="N35">
            <v>55350288</v>
          </cell>
        </row>
        <row r="36">
          <cell r="N36">
            <v>16637467</v>
          </cell>
        </row>
        <row r="43">
          <cell r="N43">
            <v>7183538</v>
          </cell>
        </row>
        <row r="44">
          <cell r="N44">
            <v>19654525</v>
          </cell>
        </row>
        <row r="45">
          <cell r="N45">
            <v>16938744</v>
          </cell>
        </row>
        <row r="46">
          <cell r="N46">
            <v>11414081</v>
          </cell>
        </row>
        <row r="47">
          <cell r="N47">
            <v>27771107</v>
          </cell>
        </row>
        <row r="48">
          <cell r="N48">
            <v>7973178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ions"/>
      <sheetName val="Plan Stucture"/>
      <sheetName val="Grants &amp; Contracts"/>
      <sheetName val="Charts"/>
      <sheetName val="Revised Matrix (3)"/>
      <sheetName val="Revised Matrix"/>
      <sheetName val="Enrollment Summary"/>
      <sheetName val="Revised Matrix (2)"/>
      <sheetName val="Revised Summary"/>
      <sheetName val="Summary"/>
      <sheetName val="Exec.Level"/>
      <sheetName val="Peer Index"/>
      <sheetName val="FTE&amp;HC Projections"/>
      <sheetName val="Operating History"/>
      <sheetName val="Sheet1"/>
      <sheetName val="New Factors"/>
      <sheetName val="Debt Service"/>
      <sheetName val="S &amp; S Aux Enterprises"/>
      <sheetName val="Gift &amp; Donation Hist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1">
          <cell r="N41">
            <v>10016759</v>
          </cell>
        </row>
        <row r="42">
          <cell r="N42">
            <v>6136049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194"/>
  <sheetViews>
    <sheetView tabSelected="1" topLeftCell="A3" workbookViewId="0">
      <selection activeCell="A3" sqref="A3"/>
    </sheetView>
  </sheetViews>
  <sheetFormatPr defaultRowHeight="12.5" x14ac:dyDescent="0.25"/>
  <cols>
    <col min="1" max="1" width="41.1796875" customWidth="1"/>
    <col min="2" max="2" width="18.7265625" style="24" customWidth="1"/>
    <col min="3" max="3" width="1.7265625" customWidth="1"/>
    <col min="4" max="4" width="14.26953125" hidden="1" customWidth="1"/>
    <col min="5" max="5" width="10.54296875" hidden="1" customWidth="1"/>
    <col min="6" max="6" width="11" style="6" customWidth="1"/>
    <col min="7" max="7" width="13.26953125" style="6" hidden="1" customWidth="1"/>
    <col min="8" max="8" width="12.7265625" style="6" hidden="1" customWidth="1"/>
    <col min="9" max="9" width="11.26953125" style="6" customWidth="1"/>
    <col min="10" max="10" width="12" customWidth="1"/>
    <col min="11" max="11" width="14" customWidth="1"/>
    <col min="12" max="12" width="12.26953125" style="5" customWidth="1"/>
    <col min="13" max="13" width="10.453125" bestFit="1" customWidth="1"/>
  </cols>
  <sheetData>
    <row r="1" spans="1:12" ht="18" hidden="1" x14ac:dyDescent="0.4">
      <c r="A1" s="1" t="s">
        <v>0</v>
      </c>
      <c r="B1" s="2"/>
      <c r="C1" s="3"/>
      <c r="D1" s="4"/>
      <c r="E1" s="4"/>
      <c r="G1" s="7"/>
      <c r="H1" s="7"/>
    </row>
    <row r="2" spans="1:12" ht="15.5" hidden="1" x14ac:dyDescent="0.35">
      <c r="A2" s="8"/>
      <c r="B2" s="9"/>
      <c r="C2" s="8"/>
      <c r="D2" s="10"/>
      <c r="E2" s="10"/>
      <c r="F2" s="11"/>
      <c r="G2" s="10"/>
      <c r="H2" s="10"/>
      <c r="I2" s="11"/>
    </row>
    <row r="3" spans="1:12" ht="18" x14ac:dyDescent="0.4">
      <c r="A3" s="85" t="s">
        <v>79</v>
      </c>
      <c r="B3" s="86"/>
      <c r="C3" s="85"/>
      <c r="D3" s="87"/>
      <c r="E3" s="87"/>
      <c r="F3" s="88"/>
      <c r="G3" s="87"/>
      <c r="H3" s="87"/>
      <c r="I3" s="88"/>
      <c r="J3" s="89"/>
      <c r="K3" s="89"/>
      <c r="L3" s="90"/>
    </row>
    <row r="4" spans="1:12" ht="18" x14ac:dyDescent="0.4">
      <c r="A4" s="85" t="s">
        <v>80</v>
      </c>
      <c r="B4" s="86"/>
      <c r="C4" s="85"/>
      <c r="D4" s="87"/>
      <c r="E4" s="87"/>
      <c r="F4" s="88"/>
      <c r="G4" s="87"/>
      <c r="H4" s="87"/>
      <c r="I4" s="88"/>
      <c r="J4" s="89"/>
      <c r="K4" s="89"/>
      <c r="L4" s="90"/>
    </row>
    <row r="5" spans="1:12" ht="15.5" x14ac:dyDescent="0.35">
      <c r="A5" s="8"/>
      <c r="B5" s="9"/>
      <c r="C5" s="8"/>
      <c r="D5" s="10"/>
      <c r="E5" s="10"/>
      <c r="F5" s="11"/>
      <c r="G5" s="10"/>
      <c r="H5" s="10"/>
      <c r="I5" s="11"/>
    </row>
    <row r="6" spans="1:12" ht="13" x14ac:dyDescent="0.3">
      <c r="A6" s="13"/>
      <c r="B6" s="14"/>
      <c r="C6" s="13"/>
      <c r="D6" s="15"/>
      <c r="E6" s="15"/>
      <c r="F6" s="16"/>
      <c r="G6" s="15"/>
      <c r="H6" s="15"/>
      <c r="I6" s="16"/>
      <c r="L6" s="74"/>
    </row>
    <row r="7" spans="1:12" ht="13" x14ac:dyDescent="0.3">
      <c r="A7" s="13"/>
      <c r="B7" s="14"/>
      <c r="C7" s="13"/>
      <c r="D7" s="15"/>
      <c r="E7" s="15"/>
      <c r="F7" s="16"/>
      <c r="G7" s="15"/>
      <c r="H7" s="15"/>
      <c r="I7" s="16"/>
      <c r="J7" s="17" t="s">
        <v>1</v>
      </c>
      <c r="K7" s="75" t="s">
        <v>70</v>
      </c>
      <c r="L7" s="81"/>
    </row>
    <row r="8" spans="1:12" s="24" customFormat="1" ht="13" x14ac:dyDescent="0.3">
      <c r="A8" s="13"/>
      <c r="B8" s="18"/>
      <c r="C8" s="19"/>
      <c r="D8" s="20" t="s">
        <v>2</v>
      </c>
      <c r="E8" s="20" t="s">
        <v>2</v>
      </c>
      <c r="F8" s="20" t="s">
        <v>2</v>
      </c>
      <c r="G8" s="21" t="s">
        <v>3</v>
      </c>
      <c r="H8" s="20" t="s">
        <v>4</v>
      </c>
      <c r="I8" s="20" t="s">
        <v>4</v>
      </c>
      <c r="J8" s="22" t="s">
        <v>82</v>
      </c>
      <c r="K8" s="22" t="s">
        <v>81</v>
      </c>
      <c r="L8" s="23" t="s">
        <v>82</v>
      </c>
    </row>
    <row r="9" spans="1:12" s="24" customFormat="1" ht="13" x14ac:dyDescent="0.3">
      <c r="A9" s="13"/>
      <c r="B9" s="18"/>
      <c r="C9" s="13"/>
      <c r="D9" s="25"/>
      <c r="E9" s="25"/>
      <c r="F9" s="25"/>
      <c r="G9" s="28"/>
      <c r="H9" s="25"/>
      <c r="I9" s="25"/>
      <c r="L9" s="29"/>
    </row>
    <row r="10" spans="1:12" s="24" customFormat="1" ht="13" x14ac:dyDescent="0.3">
      <c r="A10" s="13" t="s">
        <v>59</v>
      </c>
      <c r="B10" s="18"/>
      <c r="C10" s="14"/>
      <c r="D10" s="18"/>
      <c r="E10" s="18"/>
      <c r="F10" s="18"/>
      <c r="G10" s="31"/>
      <c r="H10" s="18"/>
      <c r="I10" s="18"/>
      <c r="L10" s="29"/>
    </row>
    <row r="11" spans="1:12" s="24" customFormat="1" x14ac:dyDescent="0.25">
      <c r="A11" s="24" t="s">
        <v>60</v>
      </c>
      <c r="B11" s="18"/>
      <c r="C11" s="14"/>
      <c r="D11" s="18"/>
      <c r="E11" s="18"/>
      <c r="F11" s="18">
        <v>11635</v>
      </c>
      <c r="G11" s="31"/>
      <c r="H11" s="18"/>
      <c r="I11" s="18">
        <v>18727</v>
      </c>
      <c r="J11" s="32">
        <f t="shared" ref="J11:J16" si="0">+I11-F11</f>
        <v>7092</v>
      </c>
      <c r="L11" s="29"/>
    </row>
    <row r="12" spans="1:12" s="24" customFormat="1" x14ac:dyDescent="0.25">
      <c r="A12" s="24" t="s">
        <v>6</v>
      </c>
      <c r="B12" s="18"/>
      <c r="C12" s="14"/>
      <c r="D12" s="18"/>
      <c r="E12" s="18"/>
      <c r="F12" s="18">
        <v>9683</v>
      </c>
      <c r="G12" s="31"/>
      <c r="H12" s="18"/>
      <c r="I12" s="18">
        <v>16118</v>
      </c>
      <c r="J12" s="32">
        <f t="shared" si="0"/>
        <v>6435</v>
      </c>
      <c r="L12" s="29"/>
    </row>
    <row r="13" spans="1:12" s="24" customFormat="1" x14ac:dyDescent="0.25">
      <c r="A13" s="14" t="s">
        <v>61</v>
      </c>
      <c r="B13" s="18"/>
      <c r="C13" s="14"/>
      <c r="D13" s="18"/>
      <c r="E13" s="18"/>
      <c r="F13" s="18">
        <f>749+83</f>
        <v>832</v>
      </c>
      <c r="G13" s="31"/>
      <c r="H13" s="18"/>
      <c r="I13" s="18">
        <f>1138+196</f>
        <v>1334</v>
      </c>
      <c r="J13" s="32">
        <f t="shared" si="0"/>
        <v>502</v>
      </c>
      <c r="L13" s="29"/>
    </row>
    <row r="14" spans="1:12" s="24" customFormat="1" x14ac:dyDescent="0.25">
      <c r="A14" s="14" t="s">
        <v>7</v>
      </c>
      <c r="B14" s="18"/>
      <c r="C14" s="14"/>
      <c r="D14" s="18"/>
      <c r="E14" s="18"/>
      <c r="F14" s="18">
        <v>777</v>
      </c>
      <c r="G14" s="31"/>
      <c r="H14" s="18"/>
      <c r="I14" s="18">
        <v>1203</v>
      </c>
      <c r="J14" s="32">
        <f t="shared" si="0"/>
        <v>426</v>
      </c>
      <c r="L14" s="29"/>
    </row>
    <row r="15" spans="1:12" s="24" customFormat="1" x14ac:dyDescent="0.25">
      <c r="A15" s="14" t="s">
        <v>8</v>
      </c>
      <c r="B15" s="18"/>
      <c r="C15" s="14"/>
      <c r="D15" s="18"/>
      <c r="E15" s="18"/>
      <c r="F15" s="18">
        <v>1579</v>
      </c>
      <c r="G15" s="31"/>
      <c r="H15" s="18"/>
      <c r="I15" s="18">
        <v>3127</v>
      </c>
      <c r="J15" s="32">
        <f t="shared" si="0"/>
        <v>1548</v>
      </c>
      <c r="L15" s="29"/>
    </row>
    <row r="16" spans="1:12" s="24" customFormat="1" x14ac:dyDescent="0.25">
      <c r="A16" s="14" t="s">
        <v>74</v>
      </c>
      <c r="B16" s="18"/>
      <c r="C16" s="14"/>
      <c r="D16" s="18"/>
      <c r="E16" s="18"/>
      <c r="F16" s="18">
        <f>SUM(F14:F15)</f>
        <v>2356</v>
      </c>
      <c r="G16" s="31"/>
      <c r="H16" s="18"/>
      <c r="I16" s="18">
        <f>SUM(I14:I15)</f>
        <v>4330</v>
      </c>
      <c r="J16" s="32">
        <f t="shared" si="0"/>
        <v>1974</v>
      </c>
      <c r="L16" s="29"/>
    </row>
    <row r="17" spans="1:12" s="24" customFormat="1" x14ac:dyDescent="0.25">
      <c r="A17" s="14"/>
      <c r="B17" s="18"/>
      <c r="C17" s="14"/>
      <c r="D17" s="18"/>
      <c r="E17" s="18"/>
      <c r="F17" s="18"/>
      <c r="G17" s="31"/>
      <c r="H17" s="18"/>
      <c r="I17" s="18"/>
      <c r="L17" s="29"/>
    </row>
    <row r="18" spans="1:12" s="24" customFormat="1" x14ac:dyDescent="0.25">
      <c r="A18" s="14" t="s">
        <v>9</v>
      </c>
      <c r="B18" s="18"/>
      <c r="C18" s="14"/>
      <c r="D18" s="18"/>
      <c r="E18" s="18"/>
      <c r="F18" s="18">
        <v>4299954</v>
      </c>
      <c r="G18" s="31"/>
      <c r="H18" s="18"/>
      <c r="I18" s="18">
        <v>5754982</v>
      </c>
      <c r="J18" s="32">
        <f>+I18-F18</f>
        <v>1455028</v>
      </c>
      <c r="L18" s="29"/>
    </row>
    <row r="19" spans="1:12" s="24" customFormat="1" x14ac:dyDescent="0.25">
      <c r="A19" s="14"/>
      <c r="B19" s="18"/>
      <c r="C19" s="14"/>
      <c r="D19" s="18"/>
      <c r="E19" s="18"/>
      <c r="F19" s="18"/>
      <c r="G19" s="31"/>
      <c r="H19" s="18"/>
      <c r="I19" s="18"/>
      <c r="L19" s="29"/>
    </row>
    <row r="20" spans="1:12" s="24" customFormat="1" ht="13" x14ac:dyDescent="0.3">
      <c r="A20" s="13" t="s">
        <v>5</v>
      </c>
      <c r="B20" s="18"/>
      <c r="C20" s="14"/>
      <c r="D20" s="18"/>
      <c r="E20" s="18"/>
      <c r="F20" s="18"/>
      <c r="G20" s="31"/>
      <c r="H20" s="18"/>
      <c r="I20" s="18"/>
      <c r="K20" s="82" t="s">
        <v>71</v>
      </c>
      <c r="L20" s="82" t="s">
        <v>71</v>
      </c>
    </row>
    <row r="21" spans="1:12" s="24" customFormat="1" x14ac:dyDescent="0.25">
      <c r="A21" s="14" t="s">
        <v>66</v>
      </c>
      <c r="B21" s="31" t="s">
        <v>62</v>
      </c>
      <c r="C21" s="14"/>
      <c r="D21" s="18"/>
      <c r="E21" s="18"/>
      <c r="F21" s="71">
        <f>F12/F14</f>
        <v>12.462033462033462</v>
      </c>
      <c r="G21" s="71"/>
      <c r="H21" s="71"/>
      <c r="I21" s="71">
        <f>I12/I14</f>
        <v>13.398171238570241</v>
      </c>
      <c r="J21" s="70">
        <f>+I21-F21</f>
        <v>0.93613777653677843</v>
      </c>
      <c r="K21" s="72"/>
      <c r="L21" s="73">
        <f>F14-(F12/I21)</f>
        <v>54.289427968730593</v>
      </c>
    </row>
    <row r="22" spans="1:12" s="24" customFormat="1" x14ac:dyDescent="0.25">
      <c r="A22" s="14" t="s">
        <v>65</v>
      </c>
      <c r="B22" s="31" t="s">
        <v>63</v>
      </c>
      <c r="C22" s="14"/>
      <c r="D22" s="18"/>
      <c r="E22" s="18"/>
      <c r="F22" s="71">
        <f>F12/F15</f>
        <v>6.1323622545915137</v>
      </c>
      <c r="G22" s="71"/>
      <c r="H22" s="71"/>
      <c r="I22" s="71">
        <f>I12/I15</f>
        <v>5.1544611448672848</v>
      </c>
      <c r="J22" s="70">
        <f>+I22-F22</f>
        <v>-0.97790110972422895</v>
      </c>
      <c r="K22" s="77">
        <f>F15-(F12/I22)</f>
        <v>-299.56688174711508</v>
      </c>
      <c r="L22" s="73"/>
    </row>
    <row r="23" spans="1:12" s="24" customFormat="1" x14ac:dyDescent="0.25">
      <c r="A23" s="14" t="s">
        <v>67</v>
      </c>
      <c r="B23" s="18" t="s">
        <v>64</v>
      </c>
      <c r="C23" s="14"/>
      <c r="D23" s="18"/>
      <c r="E23" s="18"/>
      <c r="F23" s="71">
        <f>F14/F15</f>
        <v>0.4920835972134262</v>
      </c>
      <c r="G23" s="31"/>
      <c r="H23" s="18"/>
      <c r="I23" s="71">
        <f>I14/I15</f>
        <v>0.38471378317876559</v>
      </c>
      <c r="J23" s="70">
        <f>+I23-F23</f>
        <v>-0.10736981403466062</v>
      </c>
      <c r="K23" s="76">
        <f>F15-(F14/I23)</f>
        <v>-440.68329177057353</v>
      </c>
      <c r="L23" s="29"/>
    </row>
    <row r="24" spans="1:12" s="24" customFormat="1" x14ac:dyDescent="0.25">
      <c r="A24" s="14" t="s">
        <v>68</v>
      </c>
      <c r="B24" s="18" t="s">
        <v>69</v>
      </c>
      <c r="C24" s="14"/>
      <c r="D24" s="18"/>
      <c r="E24" s="18"/>
      <c r="F24" s="71">
        <f>F15/F14</f>
        <v>2.032175032175032</v>
      </c>
      <c r="G24" s="31"/>
      <c r="H24" s="18"/>
      <c r="I24" s="71">
        <f>I15/I14</f>
        <v>2.5993349958437242</v>
      </c>
      <c r="J24" s="70">
        <f>+I24-F24</f>
        <v>0.56715996366869215</v>
      </c>
      <c r="K24" s="78">
        <f>F15-(F14*I24)</f>
        <v>-440.68329177057376</v>
      </c>
    </row>
    <row r="25" spans="1:12" s="24" customFormat="1" x14ac:dyDescent="0.25">
      <c r="A25" s="14"/>
      <c r="B25" s="18"/>
      <c r="C25" s="14"/>
      <c r="D25" s="18"/>
      <c r="E25" s="18"/>
      <c r="F25" s="71"/>
      <c r="G25" s="31"/>
      <c r="H25" s="18"/>
      <c r="I25" s="71"/>
      <c r="J25" s="70"/>
      <c r="L25" s="29"/>
    </row>
    <row r="26" spans="1:12" s="24" customFormat="1" x14ac:dyDescent="0.25">
      <c r="A26" s="14"/>
      <c r="B26" s="18"/>
      <c r="C26" s="14"/>
      <c r="D26" s="18"/>
      <c r="E26" s="18"/>
      <c r="F26" s="18"/>
      <c r="G26" s="31"/>
      <c r="H26" s="18"/>
      <c r="I26" s="18"/>
      <c r="L26" s="29"/>
    </row>
    <row r="27" spans="1:12" s="24" customFormat="1" ht="13" x14ac:dyDescent="0.3">
      <c r="A27" s="13" t="s">
        <v>10</v>
      </c>
      <c r="B27" s="18"/>
      <c r="C27" s="14"/>
      <c r="D27" s="18"/>
      <c r="E27" s="18"/>
      <c r="F27" s="18"/>
      <c r="G27" s="31"/>
      <c r="H27" s="18"/>
      <c r="I27" s="18"/>
      <c r="L27" s="29"/>
    </row>
    <row r="28" spans="1:12" s="24" customFormat="1" x14ac:dyDescent="0.25">
      <c r="A28" s="14"/>
      <c r="B28" s="18"/>
      <c r="C28" s="14"/>
      <c r="D28" s="18"/>
      <c r="E28" s="18"/>
      <c r="F28" s="30"/>
      <c r="G28" s="18"/>
      <c r="H28" s="18"/>
      <c r="I28" s="30"/>
      <c r="L28" s="29"/>
    </row>
    <row r="29" spans="1:12" s="24" customFormat="1" x14ac:dyDescent="0.25">
      <c r="A29" s="14" t="s">
        <v>11</v>
      </c>
      <c r="B29" s="14"/>
      <c r="C29" s="14"/>
      <c r="D29" s="33"/>
      <c r="E29" s="33"/>
      <c r="F29" s="36"/>
      <c r="G29" s="33"/>
      <c r="H29" s="33"/>
      <c r="I29" s="36"/>
      <c r="L29" s="29"/>
    </row>
    <row r="30" spans="1:12" s="24" customFormat="1" hidden="1" x14ac:dyDescent="0.25">
      <c r="A30" s="37" t="s">
        <v>12</v>
      </c>
      <c r="B30" s="38"/>
      <c r="C30" s="14"/>
      <c r="D30" s="33"/>
      <c r="E30" s="33"/>
      <c r="F30" s="36"/>
      <c r="G30" s="33"/>
      <c r="H30" s="33"/>
      <c r="I30" s="36"/>
      <c r="L30" s="29"/>
    </row>
    <row r="31" spans="1:12" s="24" customFormat="1" x14ac:dyDescent="0.25">
      <c r="A31" s="37" t="s">
        <v>12</v>
      </c>
      <c r="B31" s="38"/>
      <c r="C31" s="14"/>
      <c r="D31" s="33"/>
      <c r="E31" s="33"/>
      <c r="F31" s="36"/>
      <c r="G31" s="33"/>
      <c r="H31" s="33"/>
      <c r="I31" s="36"/>
      <c r="K31" s="82" t="s">
        <v>72</v>
      </c>
      <c r="L31" s="82" t="s">
        <v>72</v>
      </c>
    </row>
    <row r="32" spans="1:12" s="24" customFormat="1" x14ac:dyDescent="0.25">
      <c r="A32" s="84" t="s">
        <v>78</v>
      </c>
      <c r="B32" s="36" t="s">
        <v>13</v>
      </c>
      <c r="C32" s="14"/>
      <c r="D32" s="33">
        <f>+'[2]Operating History'!N9+9094000</f>
        <v>115466963</v>
      </c>
      <c r="E32" s="33">
        <f>+F12</f>
        <v>9683</v>
      </c>
      <c r="F32" s="36">
        <f>+D32/E32</f>
        <v>11924.709594134049</v>
      </c>
      <c r="G32" s="35">
        <f>147110940*1.05</f>
        <v>154466487</v>
      </c>
      <c r="H32" s="33">
        <f>+I12</f>
        <v>16118</v>
      </c>
      <c r="I32" s="36">
        <f>+G32/H32</f>
        <v>9583.4772924680474</v>
      </c>
      <c r="J32" s="32">
        <f>+I32-F32</f>
        <v>-2341.2323016660011</v>
      </c>
      <c r="K32" s="29">
        <f>J32*F12</f>
        <v>-22670152.377031889</v>
      </c>
      <c r="L32" s="80"/>
    </row>
    <row r="33" spans="1:12" s="41" customFormat="1" x14ac:dyDescent="0.25">
      <c r="A33" s="14" t="s">
        <v>14</v>
      </c>
      <c r="B33" s="36" t="s">
        <v>13</v>
      </c>
      <c r="C33" s="14"/>
      <c r="D33" s="33">
        <f>+'[2]Operating History'!N10</f>
        <v>4427710</v>
      </c>
      <c r="E33" s="33">
        <f>+E32</f>
        <v>9683</v>
      </c>
      <c r="F33" s="36">
        <f>+D33/E33</f>
        <v>457.26634307549313</v>
      </c>
      <c r="G33" s="35">
        <f>6554555*1.05</f>
        <v>6882282.75</v>
      </c>
      <c r="H33" s="33">
        <f>+H32</f>
        <v>16118</v>
      </c>
      <c r="I33" s="36">
        <f>+G33/H33</f>
        <v>426.99359411837696</v>
      </c>
      <c r="J33" s="32">
        <f>+I33-F33</f>
        <v>-30.272748957116164</v>
      </c>
      <c r="K33" s="79">
        <f>J33*F12</f>
        <v>-293131.0281517558</v>
      </c>
      <c r="L33" s="79"/>
    </row>
    <row r="34" spans="1:12" s="24" customFormat="1" x14ac:dyDescent="0.25">
      <c r="A34" s="14"/>
      <c r="B34" s="33"/>
      <c r="C34" s="14"/>
      <c r="D34" s="42">
        <f>SUM(D32:D33)</f>
        <v>119894673</v>
      </c>
      <c r="E34" s="33"/>
      <c r="F34" s="36"/>
      <c r="G34" s="43">
        <f>SUM(G32:G33)</f>
        <v>161348769.75</v>
      </c>
      <c r="H34" s="33"/>
      <c r="I34" s="36"/>
      <c r="J34" s="32"/>
      <c r="K34" s="79"/>
      <c r="L34" s="80"/>
    </row>
    <row r="35" spans="1:12" s="24" customFormat="1" hidden="1" x14ac:dyDescent="0.25">
      <c r="A35" s="37" t="s">
        <v>15</v>
      </c>
      <c r="B35" s="38"/>
      <c r="C35" s="37"/>
      <c r="D35" s="38"/>
      <c r="E35" s="38"/>
      <c r="F35" s="44"/>
      <c r="G35" s="45"/>
      <c r="H35" s="38"/>
      <c r="I35" s="44"/>
      <c r="J35" s="32">
        <f>+I35-F35</f>
        <v>0</v>
      </c>
      <c r="K35" s="79"/>
      <c r="L35" s="80"/>
    </row>
    <row r="36" spans="1:12" s="24" customFormat="1" hidden="1" x14ac:dyDescent="0.25">
      <c r="A36" s="14" t="s">
        <v>16</v>
      </c>
      <c r="B36" s="33"/>
      <c r="C36" s="14"/>
      <c r="D36" s="33">
        <f>+'[2]Operating History'!N14</f>
        <v>23688299</v>
      </c>
      <c r="E36" s="33"/>
      <c r="F36" s="36"/>
      <c r="G36" s="35">
        <f>(50414907-G46)*1.05</f>
        <v>42015361.185000002</v>
      </c>
      <c r="H36" s="33"/>
      <c r="I36" s="36"/>
      <c r="J36" s="32">
        <f>+I36-F36</f>
        <v>0</v>
      </c>
      <c r="K36" s="79"/>
      <c r="L36" s="80"/>
    </row>
    <row r="37" spans="1:12" s="24" customFormat="1" hidden="1" x14ac:dyDescent="0.25">
      <c r="A37" s="14" t="s">
        <v>17</v>
      </c>
      <c r="B37" s="33"/>
      <c r="C37" s="14"/>
      <c r="D37" s="33">
        <f>+'[2]Operating History'!N15</f>
        <v>7454816</v>
      </c>
      <c r="E37" s="33"/>
      <c r="F37" s="36"/>
      <c r="G37" s="35">
        <f>10551096*1.05</f>
        <v>11078650.800000001</v>
      </c>
      <c r="H37" s="33"/>
      <c r="I37" s="36"/>
      <c r="J37" s="32">
        <f>+I37-F37</f>
        <v>0</v>
      </c>
      <c r="K37" s="79"/>
      <c r="L37" s="80"/>
    </row>
    <row r="38" spans="1:12" s="24" customFormat="1" hidden="1" x14ac:dyDescent="0.25">
      <c r="A38" s="14" t="s">
        <v>18</v>
      </c>
      <c r="B38" s="33"/>
      <c r="C38" s="14"/>
      <c r="D38" s="33">
        <f>+'[2]Operating History'!N16</f>
        <v>12578736.719999999</v>
      </c>
      <c r="E38" s="33"/>
      <c r="F38" s="36"/>
      <c r="G38" s="35">
        <f>20647342*1.05</f>
        <v>21679709.100000001</v>
      </c>
      <c r="H38" s="33"/>
      <c r="I38" s="36"/>
      <c r="J38" s="32">
        <f>+I38-F38</f>
        <v>0</v>
      </c>
      <c r="K38" s="79"/>
      <c r="L38" s="80"/>
    </row>
    <row r="39" spans="1:12" s="24" customFormat="1" x14ac:dyDescent="0.25">
      <c r="A39" s="37" t="s">
        <v>15</v>
      </c>
      <c r="B39" s="33" t="s">
        <v>19</v>
      </c>
      <c r="C39" s="14"/>
      <c r="D39" s="42">
        <f>SUM(D36:D38)</f>
        <v>43721851.719999999</v>
      </c>
      <c r="E39" s="33">
        <f>+F14</f>
        <v>777</v>
      </c>
      <c r="F39" s="36">
        <f>+D39/E39</f>
        <v>56270.079433719431</v>
      </c>
      <c r="G39" s="43">
        <f>SUM(G36:G38)</f>
        <v>74773721.085000008</v>
      </c>
      <c r="H39" s="33">
        <f>+I14</f>
        <v>1203</v>
      </c>
      <c r="I39" s="36">
        <f>+G39/H39</f>
        <v>62156.044127182053</v>
      </c>
      <c r="J39" s="32">
        <f>+I39-F39</f>
        <v>5885.9646934626217</v>
      </c>
      <c r="K39" s="79"/>
      <c r="L39" s="29">
        <f>J39*F14</f>
        <v>4573394.5668204566</v>
      </c>
    </row>
    <row r="40" spans="1:12" s="24" customFormat="1" x14ac:dyDescent="0.25">
      <c r="A40" s="14"/>
      <c r="B40" s="33"/>
      <c r="C40" s="14"/>
      <c r="D40" s="33"/>
      <c r="E40" s="33"/>
      <c r="F40" s="36"/>
      <c r="G40" s="35"/>
      <c r="H40" s="33"/>
      <c r="I40" s="36"/>
      <c r="J40" s="32"/>
      <c r="K40" s="79"/>
      <c r="L40" s="80"/>
    </row>
    <row r="41" spans="1:12" s="24" customFormat="1" x14ac:dyDescent="0.25">
      <c r="A41" s="37" t="s">
        <v>20</v>
      </c>
      <c r="B41" s="33"/>
      <c r="C41" s="14"/>
      <c r="D41" s="33"/>
      <c r="E41" s="33"/>
      <c r="F41" s="36"/>
      <c r="G41" s="35"/>
      <c r="H41" s="33"/>
      <c r="I41" s="36"/>
      <c r="J41" s="32"/>
      <c r="K41" s="79"/>
      <c r="L41" s="80"/>
    </row>
    <row r="42" spans="1:12" s="24" customFormat="1" hidden="1" x14ac:dyDescent="0.25">
      <c r="A42" s="37" t="s">
        <v>20</v>
      </c>
      <c r="B42" s="38"/>
      <c r="C42" s="37"/>
      <c r="D42" s="38"/>
      <c r="E42" s="38"/>
      <c r="F42" s="44"/>
      <c r="G42" s="45"/>
      <c r="H42" s="38"/>
      <c r="I42" s="44"/>
      <c r="J42" s="32">
        <f t="shared" ref="J42:J47" si="1">+I42-F42</f>
        <v>0</v>
      </c>
      <c r="K42" s="79"/>
      <c r="L42" s="80"/>
    </row>
    <row r="43" spans="1:12" s="41" customFormat="1" x14ac:dyDescent="0.25">
      <c r="A43" s="14" t="s">
        <v>21</v>
      </c>
      <c r="B43" s="36" t="s">
        <v>13</v>
      </c>
      <c r="C43" s="14"/>
      <c r="D43" s="33">
        <f>+'[2]Operating History'!N20</f>
        <v>43805435</v>
      </c>
      <c r="E43" s="33">
        <f>+E32</f>
        <v>9683</v>
      </c>
      <c r="F43" s="36">
        <f t="shared" ref="F43:F48" si="2">+D43/E43</f>
        <v>4523.952803883094</v>
      </c>
      <c r="G43" s="35">
        <f>66628035*1.05</f>
        <v>69959436.75</v>
      </c>
      <c r="H43" s="33">
        <f>+H32</f>
        <v>16118</v>
      </c>
      <c r="I43" s="36">
        <f t="shared" ref="I43:I48" si="3">+G43/H43</f>
        <v>4340.4539490011166</v>
      </c>
      <c r="J43" s="32">
        <f t="shared" si="1"/>
        <v>-183.49885488197742</v>
      </c>
      <c r="K43" s="79">
        <f>J43*F12</f>
        <v>-1776819.4118221875</v>
      </c>
      <c r="L43" s="24"/>
    </row>
    <row r="44" spans="1:12" s="24" customFormat="1" x14ac:dyDescent="0.25">
      <c r="A44" s="14" t="s">
        <v>22</v>
      </c>
      <c r="B44" s="33" t="s">
        <v>23</v>
      </c>
      <c r="C44" s="14"/>
      <c r="D44" s="33">
        <f>+'[2]Operating History'!N21</f>
        <v>21215742</v>
      </c>
      <c r="E44" s="33">
        <f>+F11</f>
        <v>11635</v>
      </c>
      <c r="F44" s="36">
        <f t="shared" si="2"/>
        <v>1823.4415126772669</v>
      </c>
      <c r="G44" s="35">
        <f>51476151*1.05</f>
        <v>54049958.550000004</v>
      </c>
      <c r="H44" s="33">
        <f>+I11</f>
        <v>18727</v>
      </c>
      <c r="I44" s="36">
        <f t="shared" si="3"/>
        <v>2886.204867303893</v>
      </c>
      <c r="J44" s="32">
        <f t="shared" si="1"/>
        <v>1062.7633546266261</v>
      </c>
      <c r="K44" s="79"/>
      <c r="L44" s="80">
        <f>J44*F11</f>
        <v>12365251.631080795</v>
      </c>
    </row>
    <row r="45" spans="1:12" s="41" customFormat="1" x14ac:dyDescent="0.25">
      <c r="A45" s="14" t="s">
        <v>24</v>
      </c>
      <c r="B45" s="33" t="s">
        <v>19</v>
      </c>
      <c r="C45" s="14"/>
      <c r="D45" s="33">
        <f>+'[2]Operating History'!N22</f>
        <v>4201069</v>
      </c>
      <c r="E45" s="33">
        <f>+E39</f>
        <v>777</v>
      </c>
      <c r="F45" s="36">
        <f t="shared" si="2"/>
        <v>5406.7812097812093</v>
      </c>
      <c r="G45" s="35">
        <f>12582332*1.05</f>
        <v>13211448.600000001</v>
      </c>
      <c r="H45" s="33">
        <f>+H39</f>
        <v>1203</v>
      </c>
      <c r="I45" s="36">
        <f t="shared" si="3"/>
        <v>10982.085286783044</v>
      </c>
      <c r="J45" s="32">
        <f t="shared" si="1"/>
        <v>5575.3040770018342</v>
      </c>
      <c r="K45" s="79"/>
      <c r="L45" s="79">
        <f>J45*F14</f>
        <v>4332011.2678304249</v>
      </c>
    </row>
    <row r="46" spans="1:12" s="24" customFormat="1" x14ac:dyDescent="0.25">
      <c r="A46" s="14" t="s">
        <v>25</v>
      </c>
      <c r="B46" s="33" t="s">
        <v>19</v>
      </c>
      <c r="C46" s="14"/>
      <c r="D46" s="33">
        <f>+'[2]Operating History'!N23</f>
        <v>5500511</v>
      </c>
      <c r="E46" s="33">
        <f>+E39</f>
        <v>777</v>
      </c>
      <c r="F46" s="36">
        <f t="shared" si="2"/>
        <v>7079.1647361647365</v>
      </c>
      <c r="G46" s="35">
        <f>9905026*1.05</f>
        <v>10400277.300000001</v>
      </c>
      <c r="H46" s="33">
        <f>+H39</f>
        <v>1203</v>
      </c>
      <c r="I46" s="36">
        <f t="shared" si="3"/>
        <v>8645.2845386533663</v>
      </c>
      <c r="J46" s="32">
        <f t="shared" si="1"/>
        <v>1566.1198024886298</v>
      </c>
      <c r="K46" s="79"/>
      <c r="L46" s="80">
        <f>J46*F14</f>
        <v>1216875.0865336654</v>
      </c>
    </row>
    <row r="47" spans="1:12" s="41" customFormat="1" x14ac:dyDescent="0.25">
      <c r="A47" s="14" t="s">
        <v>26</v>
      </c>
      <c r="B47" s="33" t="s">
        <v>27</v>
      </c>
      <c r="C47" s="14"/>
      <c r="D47" s="33">
        <f>+'[2]Operating History'!N24-9094000</f>
        <v>11977536</v>
      </c>
      <c r="E47" s="33">
        <f>+F16</f>
        <v>2356</v>
      </c>
      <c r="F47" s="36">
        <f t="shared" si="2"/>
        <v>5083.8438030560274</v>
      </c>
      <c r="G47" s="35">
        <f>17780421*1.05</f>
        <v>18669442.050000001</v>
      </c>
      <c r="H47" s="33">
        <f>+I16</f>
        <v>4330</v>
      </c>
      <c r="I47" s="36">
        <f t="shared" si="3"/>
        <v>4311.649434180139</v>
      </c>
      <c r="J47" s="32">
        <f t="shared" si="1"/>
        <v>-772.19436887588836</v>
      </c>
      <c r="K47" s="79">
        <f>J47*F16</f>
        <v>-1819289.9330715931</v>
      </c>
      <c r="L47" s="79"/>
    </row>
    <row r="48" spans="1:12" s="24" customFormat="1" x14ac:dyDescent="0.25">
      <c r="A48" s="14" t="s">
        <v>28</v>
      </c>
      <c r="B48" s="33" t="s">
        <v>19</v>
      </c>
      <c r="C48" s="14"/>
      <c r="D48" s="33">
        <f>+'[2]Operating History'!N25</f>
        <v>5582092.2800000003</v>
      </c>
      <c r="E48" s="33">
        <f>+E39</f>
        <v>777</v>
      </c>
      <c r="F48" s="36">
        <f t="shared" si="2"/>
        <v>7184.1599485199486</v>
      </c>
      <c r="G48" s="35">
        <v>0</v>
      </c>
      <c r="H48" s="33">
        <f>+H39</f>
        <v>1203</v>
      </c>
      <c r="I48" s="36">
        <f t="shared" si="3"/>
        <v>0</v>
      </c>
      <c r="J48" s="32">
        <v>0</v>
      </c>
      <c r="K48" s="79"/>
      <c r="L48" s="80"/>
    </row>
    <row r="49" spans="1:12" s="24" customFormat="1" x14ac:dyDescent="0.25">
      <c r="A49" s="14"/>
      <c r="B49" s="33"/>
      <c r="C49" s="14"/>
      <c r="D49" s="42">
        <f>SUM(D43:D48)</f>
        <v>92282385.280000001</v>
      </c>
      <c r="E49" s="33"/>
      <c r="F49" s="36"/>
      <c r="G49" s="43">
        <f>SUM(G43:G48)</f>
        <v>166290563.25000003</v>
      </c>
      <c r="H49" s="33"/>
      <c r="I49" s="36"/>
      <c r="J49" s="32"/>
      <c r="K49" s="79"/>
      <c r="L49" s="80"/>
    </row>
    <row r="50" spans="1:12" s="24" customFormat="1" ht="13.5" hidden="1" thickBot="1" x14ac:dyDescent="0.35">
      <c r="A50" s="13" t="s">
        <v>29</v>
      </c>
      <c r="B50" s="36"/>
      <c r="C50" s="13"/>
      <c r="D50" s="47">
        <f>+D49+D39+D34</f>
        <v>255898910</v>
      </c>
      <c r="E50" s="16"/>
      <c r="F50" s="16"/>
      <c r="G50" s="48">
        <f>+G49+G39+G34</f>
        <v>402413054.08500004</v>
      </c>
      <c r="H50" s="16"/>
      <c r="I50" s="16"/>
      <c r="J50" s="32"/>
      <c r="K50" s="79"/>
      <c r="L50" s="80"/>
    </row>
    <row r="51" spans="1:12" s="24" customFormat="1" hidden="1" x14ac:dyDescent="0.25">
      <c r="A51" s="14"/>
      <c r="B51" s="33"/>
      <c r="C51" s="14"/>
      <c r="D51" s="33"/>
      <c r="E51" s="33"/>
      <c r="F51" s="36"/>
      <c r="G51" s="33"/>
      <c r="H51" s="33"/>
      <c r="I51" s="36"/>
      <c r="J51" s="32"/>
      <c r="K51" s="79"/>
      <c r="L51" s="80"/>
    </row>
    <row r="52" spans="1:12" s="24" customFormat="1" x14ac:dyDescent="0.25">
      <c r="F52" s="49"/>
      <c r="G52" s="49"/>
      <c r="H52" s="49"/>
      <c r="I52" s="49"/>
      <c r="J52" s="32"/>
      <c r="K52" s="79"/>
      <c r="L52" s="80"/>
    </row>
    <row r="53" spans="1:12" s="24" customFormat="1" ht="13" x14ac:dyDescent="0.3">
      <c r="A53" s="13"/>
      <c r="B53" s="33"/>
      <c r="C53" s="13"/>
      <c r="D53" s="15"/>
      <c r="E53" s="15"/>
      <c r="F53" s="16"/>
      <c r="G53" s="15"/>
      <c r="H53" s="15"/>
      <c r="I53" s="16"/>
      <c r="J53" s="32"/>
      <c r="K53" s="79"/>
      <c r="L53" s="80"/>
    </row>
    <row r="54" spans="1:12" s="24" customFormat="1" ht="13" x14ac:dyDescent="0.3">
      <c r="A54" s="14" t="s">
        <v>30</v>
      </c>
      <c r="B54" s="33"/>
      <c r="C54" s="50"/>
      <c r="D54" s="50"/>
      <c r="E54" s="50"/>
      <c r="F54" s="27"/>
      <c r="G54" s="50"/>
      <c r="H54" s="50"/>
      <c r="I54" s="27"/>
      <c r="J54" s="32"/>
      <c r="K54" s="79"/>
      <c r="L54" s="80"/>
    </row>
    <row r="55" spans="1:12" s="24" customFormat="1" ht="18.649999999999999" hidden="1" customHeight="1" x14ac:dyDescent="0.6">
      <c r="A55" s="51" t="s">
        <v>31</v>
      </c>
      <c r="B55" s="33"/>
      <c r="C55" s="51"/>
      <c r="D55" s="52"/>
      <c r="E55" s="26"/>
      <c r="F55" s="27"/>
      <c r="G55" s="52"/>
      <c r="H55" s="26"/>
      <c r="I55" s="27"/>
      <c r="J55" s="32">
        <f>+I55-F55</f>
        <v>0</v>
      </c>
      <c r="K55" s="79"/>
      <c r="L55" s="80"/>
    </row>
    <row r="56" spans="1:12" s="24" customFormat="1" ht="13" x14ac:dyDescent="0.3">
      <c r="A56" s="14" t="s">
        <v>32</v>
      </c>
      <c r="B56" s="36" t="s">
        <v>13</v>
      </c>
      <c r="C56" s="14"/>
      <c r="D56" s="33">
        <f>+'[2]Operating History'!N34</f>
        <v>75535426</v>
      </c>
      <c r="E56" s="33">
        <f>+E32</f>
        <v>9683</v>
      </c>
      <c r="F56" s="36">
        <f>+D56/E56</f>
        <v>7800.8288753485494</v>
      </c>
      <c r="G56" s="39">
        <f>104642138*1.05</f>
        <v>109874244.90000001</v>
      </c>
      <c r="H56" s="33">
        <f>+H32</f>
        <v>16118</v>
      </c>
      <c r="I56" s="36">
        <f>+G56/H56</f>
        <v>6816.8659200893417</v>
      </c>
      <c r="J56" s="32">
        <f>+I56-F56</f>
        <v>-983.96295525920777</v>
      </c>
      <c r="K56" s="80">
        <f>J56*F12</f>
        <v>-9527713.2957749087</v>
      </c>
    </row>
    <row r="57" spans="1:12" s="41" customFormat="1" ht="13" x14ac:dyDescent="0.3">
      <c r="A57" s="14" t="s">
        <v>33</v>
      </c>
      <c r="B57" s="36" t="s">
        <v>13</v>
      </c>
      <c r="C57" s="14"/>
      <c r="D57" s="33">
        <f>+'[2]Operating History'!N35</f>
        <v>55350288</v>
      </c>
      <c r="E57" s="33">
        <f>+E32</f>
        <v>9683</v>
      </c>
      <c r="F57" s="53">
        <f>+D57/E57</f>
        <v>5716.2333987400598</v>
      </c>
      <c r="G57" s="54">
        <f>73375801*1.05</f>
        <v>77044591.049999997</v>
      </c>
      <c r="H57" s="55">
        <f>+H32</f>
        <v>16118</v>
      </c>
      <c r="I57" s="53">
        <f>+G57/H57</f>
        <v>4780.0341884849231</v>
      </c>
      <c r="J57" s="56">
        <f>+I57-F57</f>
        <v>-936.19921025513668</v>
      </c>
      <c r="K57" s="79">
        <f>J57*F12</f>
        <v>-9065216.9529004879</v>
      </c>
    </row>
    <row r="58" spans="1:12" s="41" customFormat="1" ht="13" x14ac:dyDescent="0.3">
      <c r="A58" s="14"/>
      <c r="B58" s="36"/>
      <c r="C58" s="14"/>
      <c r="D58" s="33"/>
      <c r="E58" s="33"/>
      <c r="F58" s="36">
        <f>SUM(F56:F57)</f>
        <v>13517.06227408861</v>
      </c>
      <c r="G58" s="39"/>
      <c r="H58" s="33"/>
      <c r="I58" s="36">
        <f>SUM(I56:I57)</f>
        <v>11596.900108574264</v>
      </c>
      <c r="J58" s="32">
        <f>+I58-F58</f>
        <v>-1920.1621655143463</v>
      </c>
      <c r="K58" s="79"/>
    </row>
    <row r="59" spans="1:12" s="41" customFormat="1" ht="13" x14ac:dyDescent="0.3">
      <c r="A59" s="14"/>
      <c r="B59" s="36"/>
      <c r="C59" s="14"/>
      <c r="D59" s="33"/>
      <c r="E59" s="33"/>
      <c r="F59" s="36"/>
      <c r="G59" s="39"/>
      <c r="H59" s="33"/>
      <c r="I59" s="36"/>
      <c r="J59" s="32"/>
      <c r="K59" s="79"/>
    </row>
    <row r="60" spans="1:12" s="41" customFormat="1" ht="13" x14ac:dyDescent="0.3">
      <c r="A60" s="14" t="s">
        <v>33</v>
      </c>
      <c r="B60" s="33" t="s">
        <v>19</v>
      </c>
      <c r="C60" s="14"/>
      <c r="D60" s="33">
        <f>+'[2]Operating History'!N35</f>
        <v>55350288</v>
      </c>
      <c r="E60" s="33">
        <f>+E39</f>
        <v>777</v>
      </c>
      <c r="F60" s="36">
        <f>+D60/E60</f>
        <v>71235.891891891893</v>
      </c>
      <c r="G60" s="39">
        <f>73375801*1.05</f>
        <v>77044591.049999997</v>
      </c>
      <c r="H60" s="33">
        <f>+H39</f>
        <v>1203</v>
      </c>
      <c r="I60" s="36">
        <f>+G60/H60</f>
        <v>64043.716583541143</v>
      </c>
      <c r="J60" s="32">
        <f>+I60-F60</f>
        <v>-7192.1753083507501</v>
      </c>
      <c r="K60" s="79">
        <f>J60*F14</f>
        <v>-5588320.2145885332</v>
      </c>
    </row>
    <row r="61" spans="1:12" s="41" customFormat="1" ht="13" hidden="1" x14ac:dyDescent="0.3">
      <c r="A61" s="14" t="s">
        <v>34</v>
      </c>
      <c r="B61" s="33" t="s">
        <v>19</v>
      </c>
      <c r="C61" s="14"/>
      <c r="D61" s="33"/>
      <c r="E61" s="33"/>
      <c r="F61" s="36"/>
      <c r="G61" s="39"/>
      <c r="H61" s="33"/>
      <c r="I61" s="36"/>
      <c r="J61" s="32">
        <f>+I61-F61</f>
        <v>0</v>
      </c>
      <c r="K61" s="79"/>
      <c r="L61" s="79"/>
    </row>
    <row r="62" spans="1:12" s="24" customFormat="1" ht="13" x14ac:dyDescent="0.3">
      <c r="A62" s="14" t="s">
        <v>35</v>
      </c>
      <c r="B62" s="33" t="s">
        <v>19</v>
      </c>
      <c r="C62" s="37"/>
      <c r="D62" s="33">
        <f>+'[2]Operating History'!N36</f>
        <v>16637467</v>
      </c>
      <c r="E62" s="33">
        <f>+E39</f>
        <v>777</v>
      </c>
      <c r="F62" s="53">
        <f>+D62/E62</f>
        <v>21412.441441441442</v>
      </c>
      <c r="G62" s="54">
        <f>36933071*1.05</f>
        <v>38779724.550000004</v>
      </c>
      <c r="H62" s="55">
        <f>+H39</f>
        <v>1203</v>
      </c>
      <c r="I62" s="53">
        <f>+G62/H62</f>
        <v>32235.847506234419</v>
      </c>
      <c r="J62" s="56">
        <f>+I62-F62</f>
        <v>10823.406064792976</v>
      </c>
      <c r="L62" s="79">
        <f>J62*F14</f>
        <v>8409786.5123441424</v>
      </c>
    </row>
    <row r="63" spans="1:12" s="24" customFormat="1" ht="13" x14ac:dyDescent="0.3">
      <c r="A63" s="14"/>
      <c r="B63" s="33"/>
      <c r="C63" s="14"/>
      <c r="D63" s="42">
        <f>SUM(D56:D62)</f>
        <v>202873469</v>
      </c>
      <c r="E63" s="33"/>
      <c r="F63" s="36">
        <f>SUM(F60:F62)</f>
        <v>92648.333333333343</v>
      </c>
      <c r="G63" s="54">
        <f>SUM(G56:G62)</f>
        <v>302743151.55000001</v>
      </c>
      <c r="H63" s="33"/>
      <c r="I63" s="36">
        <f>SUM(I60:I62)</f>
        <v>96279.564089775566</v>
      </c>
      <c r="J63" s="32">
        <f>+I63-F63</f>
        <v>3631.2307564422226</v>
      </c>
      <c r="K63" s="79"/>
      <c r="L63" s="80"/>
    </row>
    <row r="64" spans="1:12" s="24" customFormat="1" ht="13" hidden="1" x14ac:dyDescent="0.3">
      <c r="A64" s="57" t="s">
        <v>36</v>
      </c>
      <c r="B64" s="33"/>
      <c r="C64" s="57"/>
      <c r="D64" s="33"/>
      <c r="E64" s="33"/>
      <c r="F64" s="36"/>
      <c r="G64" s="39"/>
      <c r="H64" s="33"/>
      <c r="I64" s="36"/>
      <c r="J64" s="32">
        <f>+I64-F64</f>
        <v>0</v>
      </c>
      <c r="K64" s="79"/>
      <c r="L64" s="80"/>
    </row>
    <row r="65" spans="1:12" s="24" customFormat="1" ht="13" x14ac:dyDescent="0.3">
      <c r="A65" s="57"/>
      <c r="B65" s="33"/>
      <c r="C65" s="57"/>
      <c r="D65" s="33"/>
      <c r="E65" s="33"/>
      <c r="F65" s="36"/>
      <c r="G65" s="39"/>
      <c r="H65" s="33"/>
      <c r="I65" s="36"/>
      <c r="J65" s="32"/>
      <c r="K65" s="79"/>
      <c r="L65" s="80"/>
    </row>
    <row r="66" spans="1:12" s="24" customFormat="1" ht="11.5" customHeight="1" x14ac:dyDescent="0.3">
      <c r="A66" s="14" t="s">
        <v>37</v>
      </c>
      <c r="B66" s="33" t="s">
        <v>23</v>
      </c>
      <c r="C66" s="14"/>
      <c r="D66" s="33">
        <f>+'[3]Operating History'!N41+'[3]Operating History'!N42</f>
        <v>16152808</v>
      </c>
      <c r="E66" s="33">
        <f>+E44</f>
        <v>11635</v>
      </c>
      <c r="F66" s="36">
        <f t="shared" ref="F66:F71" si="4">+D66/E66</f>
        <v>1388.2946282767512</v>
      </c>
      <c r="G66" s="39">
        <f>31427338*1.05</f>
        <v>32998704.900000002</v>
      </c>
      <c r="H66" s="33">
        <f>+H44</f>
        <v>18727</v>
      </c>
      <c r="I66" s="36">
        <f t="shared" ref="I66:I71" si="5">+G66/H66</f>
        <v>1762.0924280450688</v>
      </c>
      <c r="J66" s="32">
        <f t="shared" ref="J66:J71" si="6">+I66-F66</f>
        <v>373.79779976831765</v>
      </c>
      <c r="K66" s="79"/>
      <c r="L66" s="80">
        <f>J66*F11</f>
        <v>4349137.4003043761</v>
      </c>
    </row>
    <row r="67" spans="1:12" s="24" customFormat="1" ht="13" x14ac:dyDescent="0.3">
      <c r="A67" s="14" t="s">
        <v>38</v>
      </c>
      <c r="B67" s="33" t="s">
        <v>23</v>
      </c>
      <c r="C67" s="14"/>
      <c r="D67" s="33">
        <f>+'[2]Operating History'!N43</f>
        <v>7183538</v>
      </c>
      <c r="E67" s="33">
        <f>+E44</f>
        <v>11635</v>
      </c>
      <c r="F67" s="36">
        <f t="shared" si="4"/>
        <v>617.40764933390631</v>
      </c>
      <c r="G67" s="39">
        <f>13623388*1.05</f>
        <v>14304557.4</v>
      </c>
      <c r="H67" s="33">
        <f>+H44</f>
        <v>18727</v>
      </c>
      <c r="I67" s="36">
        <f t="shared" si="5"/>
        <v>763.84671330165008</v>
      </c>
      <c r="J67" s="32">
        <f t="shared" si="6"/>
        <v>146.43906396774378</v>
      </c>
      <c r="K67" s="79"/>
      <c r="L67" s="80">
        <f>J67*F11</f>
        <v>1703818.509264699</v>
      </c>
    </row>
    <row r="68" spans="1:12" s="41" customFormat="1" ht="13" x14ac:dyDescent="0.3">
      <c r="A68" s="14" t="s">
        <v>39</v>
      </c>
      <c r="B68" s="33" t="s">
        <v>27</v>
      </c>
      <c r="C68" s="14"/>
      <c r="D68" s="33">
        <f>+'[2]Operating History'!N44</f>
        <v>19654525</v>
      </c>
      <c r="E68" s="33">
        <f>+F16</f>
        <v>2356</v>
      </c>
      <c r="F68" s="36">
        <f t="shared" si="4"/>
        <v>8342.3280984719859</v>
      </c>
      <c r="G68" s="39">
        <f>22058261*1.05</f>
        <v>23161174.050000001</v>
      </c>
      <c r="H68" s="33">
        <f>+H47</f>
        <v>4330</v>
      </c>
      <c r="I68" s="36">
        <f t="shared" si="5"/>
        <v>5349.0009353348732</v>
      </c>
      <c r="J68" s="32">
        <f t="shared" si="6"/>
        <v>-2993.3271631371126</v>
      </c>
      <c r="K68" s="79">
        <f>J68*F15</f>
        <v>-4726463.590593501</v>
      </c>
      <c r="L68" s="79"/>
    </row>
    <row r="69" spans="1:12" s="24" customFormat="1" ht="13" x14ac:dyDescent="0.3">
      <c r="A69" s="14" t="s">
        <v>40</v>
      </c>
      <c r="B69" s="36" t="s">
        <v>41</v>
      </c>
      <c r="C69" s="14"/>
      <c r="D69" s="33">
        <f>+'[2]Operating History'!N45</f>
        <v>16938744</v>
      </c>
      <c r="E69" s="33">
        <v>4017770</v>
      </c>
      <c r="F69" s="59">
        <f t="shared" si="4"/>
        <v>4.2159566127478678</v>
      </c>
      <c r="G69" s="39">
        <f>20972283*1.05</f>
        <v>22020897.150000002</v>
      </c>
      <c r="H69" s="33">
        <f>+I18</f>
        <v>5754982</v>
      </c>
      <c r="I69" s="59">
        <f t="shared" si="5"/>
        <v>3.8264059123034619</v>
      </c>
      <c r="J69" s="83">
        <f t="shared" si="6"/>
        <v>-0.38955070044440587</v>
      </c>
      <c r="K69" s="79">
        <f>J69*F18</f>
        <v>-1675050.0925787247</v>
      </c>
      <c r="L69" s="80"/>
    </row>
    <row r="70" spans="1:12" s="41" customFormat="1" ht="13" x14ac:dyDescent="0.3">
      <c r="A70" s="14" t="s">
        <v>42</v>
      </c>
      <c r="B70" s="36" t="s">
        <v>13</v>
      </c>
      <c r="C70" s="14"/>
      <c r="D70" s="33">
        <f>+'[2]Operating History'!N46</f>
        <v>11414081</v>
      </c>
      <c r="E70" s="33">
        <f>+E32</f>
        <v>9683</v>
      </c>
      <c r="F70" s="36">
        <f t="shared" si="4"/>
        <v>1178.7752762573582</v>
      </c>
      <c r="G70" s="39">
        <f>17627843*1.05</f>
        <v>18509235.150000002</v>
      </c>
      <c r="H70" s="33">
        <f>+H32</f>
        <v>16118</v>
      </c>
      <c r="I70" s="36">
        <f t="shared" si="5"/>
        <v>1148.358056210448</v>
      </c>
      <c r="J70" s="32">
        <f t="shared" si="6"/>
        <v>-30.417220046910188</v>
      </c>
      <c r="K70" s="79">
        <f>J70*F12</f>
        <v>-294529.94171423133</v>
      </c>
      <c r="L70" s="79"/>
    </row>
    <row r="71" spans="1:12" s="24" customFormat="1" ht="13" x14ac:dyDescent="0.3">
      <c r="A71" s="14" t="s">
        <v>43</v>
      </c>
      <c r="B71" s="33" t="s">
        <v>23</v>
      </c>
      <c r="C71" s="14"/>
      <c r="D71" s="33">
        <f>+'[2]Operating History'!N47</f>
        <v>27771107</v>
      </c>
      <c r="E71" s="33">
        <f>+E44</f>
        <v>11635</v>
      </c>
      <c r="F71" s="36">
        <f t="shared" si="4"/>
        <v>2386.859217877095</v>
      </c>
      <c r="G71" s="39">
        <f>47484951*1.05</f>
        <v>49859198.550000004</v>
      </c>
      <c r="H71" s="33">
        <f>+H44</f>
        <v>18727</v>
      </c>
      <c r="I71" s="36">
        <f t="shared" si="5"/>
        <v>2662.4231617450741</v>
      </c>
      <c r="J71" s="32">
        <f t="shared" si="6"/>
        <v>275.56394386797911</v>
      </c>
      <c r="K71" s="79"/>
      <c r="L71" s="80">
        <f>J71*F11</f>
        <v>3206186.4869039371</v>
      </c>
    </row>
    <row r="72" spans="1:12" s="24" customFormat="1" ht="13" hidden="1" x14ac:dyDescent="0.3">
      <c r="A72" s="14" t="s">
        <v>44</v>
      </c>
      <c r="B72" s="33" t="s">
        <v>45</v>
      </c>
      <c r="C72" s="37"/>
      <c r="D72" s="38">
        <f>+'[2]Operating History'!N48</f>
        <v>7973178</v>
      </c>
      <c r="E72" s="38"/>
      <c r="F72" s="44"/>
      <c r="G72" s="60">
        <f>5266274*1.05</f>
        <v>5529587.7000000002</v>
      </c>
      <c r="H72" s="46"/>
      <c r="I72" s="44"/>
      <c r="L72" s="29"/>
    </row>
    <row r="73" spans="1:12" s="24" customFormat="1" ht="13" x14ac:dyDescent="0.3">
      <c r="A73" s="61"/>
      <c r="B73" s="33"/>
      <c r="C73" s="62"/>
      <c r="D73" s="63">
        <f>SUM(D66:D72)</f>
        <v>107087981</v>
      </c>
      <c r="E73" s="38"/>
      <c r="F73" s="44"/>
      <c r="G73" s="64">
        <f>SUM(G66:G72)</f>
        <v>166383354.90000001</v>
      </c>
      <c r="H73" s="46"/>
      <c r="I73" s="44"/>
      <c r="L73" s="29"/>
    </row>
    <row r="74" spans="1:12" s="24" customFormat="1" ht="13.5" thickBot="1" x14ac:dyDescent="0.35">
      <c r="A74" s="14"/>
      <c r="B74" s="36"/>
      <c r="C74" s="14"/>
      <c r="D74" s="65">
        <f>+D73+D63</f>
        <v>309961450</v>
      </c>
      <c r="E74" s="36"/>
      <c r="F74" s="36"/>
      <c r="G74" s="48">
        <f>+G73+G63</f>
        <v>469126506.45000005</v>
      </c>
      <c r="H74" s="16"/>
      <c r="I74" s="16"/>
      <c r="L74" s="29"/>
    </row>
    <row r="75" spans="1:12" s="24" customFormat="1" ht="13.5" thickTop="1" x14ac:dyDescent="0.3">
      <c r="A75" s="13" t="s">
        <v>46</v>
      </c>
      <c r="B75" s="36"/>
      <c r="C75" s="13"/>
      <c r="D75" s="16"/>
      <c r="E75" s="16"/>
      <c r="F75" s="25"/>
      <c r="G75" s="25"/>
      <c r="H75" s="25"/>
      <c r="I75" s="25"/>
      <c r="L75" s="29"/>
    </row>
    <row r="76" spans="1:12" s="24" customFormat="1" ht="13" x14ac:dyDescent="0.3">
      <c r="A76" s="13"/>
      <c r="B76" s="36"/>
      <c r="C76" s="13"/>
      <c r="D76" s="16"/>
      <c r="E76" s="16"/>
      <c r="F76" s="40"/>
      <c r="G76" s="40"/>
      <c r="H76" s="40"/>
      <c r="I76" s="40"/>
      <c r="K76" s="82" t="s">
        <v>73</v>
      </c>
      <c r="L76" s="82" t="s">
        <v>73</v>
      </c>
    </row>
    <row r="77" spans="1:12" s="24" customFormat="1" ht="13" hidden="1" x14ac:dyDescent="0.3">
      <c r="A77" s="14" t="s">
        <v>47</v>
      </c>
      <c r="B77" s="36"/>
      <c r="C77" s="13"/>
      <c r="D77" s="16"/>
      <c r="E77" s="16"/>
      <c r="F77" s="40">
        <f>+E32/E44</f>
        <v>0.83223033949290937</v>
      </c>
      <c r="G77" s="40"/>
      <c r="H77" s="40"/>
      <c r="I77" s="40">
        <f>+H32/H44</f>
        <v>0.86068243712287074</v>
      </c>
      <c r="L77" s="29"/>
    </row>
    <row r="78" spans="1:12" s="24" customFormat="1" ht="13" hidden="1" x14ac:dyDescent="0.3">
      <c r="A78" s="14"/>
      <c r="B78" s="36"/>
      <c r="C78" s="13"/>
      <c r="D78" s="16"/>
      <c r="E78" s="16"/>
      <c r="F78" s="40"/>
      <c r="G78" s="40"/>
      <c r="H78" s="40"/>
      <c r="I78" s="40"/>
      <c r="L78" s="29"/>
    </row>
    <row r="79" spans="1:12" s="24" customFormat="1" ht="13" hidden="1" x14ac:dyDescent="0.3">
      <c r="A79" s="14" t="s">
        <v>48</v>
      </c>
      <c r="B79" s="36"/>
      <c r="C79" s="13"/>
      <c r="D79" s="16"/>
      <c r="E79" s="16"/>
      <c r="F79" s="34">
        <f>+E56/E60</f>
        <v>12.462033462033462</v>
      </c>
      <c r="G79" s="66"/>
      <c r="H79" s="66"/>
      <c r="I79" s="34">
        <f>+H56/H60</f>
        <v>13.398171238570241</v>
      </c>
      <c r="L79" s="29"/>
    </row>
    <row r="80" spans="1:12" s="24" customFormat="1" ht="13" hidden="1" x14ac:dyDescent="0.3">
      <c r="A80" s="14"/>
      <c r="B80" s="36"/>
      <c r="C80" s="13"/>
      <c r="D80" s="16"/>
      <c r="E80" s="16"/>
      <c r="F80" s="66"/>
      <c r="G80" s="66"/>
      <c r="H80" s="66"/>
      <c r="I80" s="66"/>
      <c r="L80" s="29"/>
    </row>
    <row r="81" spans="1:13" s="24" customFormat="1" ht="13" hidden="1" x14ac:dyDescent="0.3">
      <c r="A81" s="14" t="s">
        <v>49</v>
      </c>
      <c r="B81" s="36"/>
      <c r="C81" s="13"/>
      <c r="D81" s="16"/>
      <c r="E81" s="16"/>
      <c r="F81" s="34">
        <f>+E66/E60</f>
        <v>14.974259974259974</v>
      </c>
      <c r="G81" s="66"/>
      <c r="H81" s="66"/>
      <c r="I81" s="34">
        <f>+H66/H60</f>
        <v>15.56691604322527</v>
      </c>
      <c r="L81" s="29"/>
    </row>
    <row r="82" spans="1:13" s="24" customFormat="1" ht="13" hidden="1" x14ac:dyDescent="0.3">
      <c r="A82" s="14"/>
      <c r="B82" s="36"/>
      <c r="C82" s="13"/>
      <c r="D82" s="16"/>
      <c r="E82" s="16"/>
      <c r="F82" s="34"/>
      <c r="G82" s="66"/>
      <c r="H82" s="66"/>
      <c r="I82" s="34"/>
      <c r="L82" s="29"/>
    </row>
    <row r="83" spans="1:13" s="24" customFormat="1" ht="13" hidden="1" x14ac:dyDescent="0.3">
      <c r="A83" s="14" t="s">
        <v>50</v>
      </c>
      <c r="B83" s="36"/>
      <c r="C83" s="13"/>
      <c r="D83" s="16"/>
      <c r="E83" s="16"/>
      <c r="F83" s="58">
        <f>+(E68-E60)/E56</f>
        <v>0.16306929670556647</v>
      </c>
      <c r="G83" s="67"/>
      <c r="H83" s="67"/>
      <c r="I83" s="58">
        <f>(H68-H60)/H56</f>
        <v>0.19400670058319891</v>
      </c>
      <c r="L83" s="29"/>
    </row>
    <row r="84" spans="1:13" s="24" customFormat="1" ht="13" hidden="1" x14ac:dyDescent="0.3">
      <c r="A84" s="14"/>
      <c r="B84" s="36"/>
      <c r="C84" s="13"/>
      <c r="D84" s="16"/>
      <c r="E84" s="16"/>
      <c r="F84" s="58"/>
      <c r="G84" s="67"/>
      <c r="H84" s="67"/>
      <c r="I84" s="58"/>
      <c r="L84" s="29"/>
    </row>
    <row r="85" spans="1:13" s="24" customFormat="1" ht="13" hidden="1" x14ac:dyDescent="0.3">
      <c r="A85" s="14" t="s">
        <v>51</v>
      </c>
      <c r="B85" s="36"/>
      <c r="C85" s="13"/>
      <c r="D85" s="16"/>
      <c r="E85" s="16"/>
      <c r="F85" s="58">
        <f>(E68-E62)/E66</f>
        <v>0.13571121615814352</v>
      </c>
      <c r="G85" s="67"/>
      <c r="H85" s="67"/>
      <c r="I85" s="58">
        <f>(H68-H60)/H66</f>
        <v>0.1669781598761147</v>
      </c>
      <c r="L85" s="29"/>
    </row>
    <row r="86" spans="1:13" s="24" customFormat="1" ht="13" x14ac:dyDescent="0.3">
      <c r="A86" s="14" t="s">
        <v>52</v>
      </c>
      <c r="B86" s="36" t="s">
        <v>53</v>
      </c>
      <c r="C86" s="13"/>
      <c r="D86" s="16"/>
      <c r="E86" s="16"/>
      <c r="F86" s="33">
        <f>+E69/F12</f>
        <v>414.93029019931839</v>
      </c>
      <c r="G86" s="68"/>
      <c r="H86" s="68"/>
      <c r="I86" s="33">
        <f>+H69/I12</f>
        <v>357.05310832609507</v>
      </c>
      <c r="J86" s="32">
        <f>+F86-I86</f>
        <v>57.877181873223321</v>
      </c>
      <c r="L86" s="32">
        <f>+J86*F12</f>
        <v>560424.75207842141</v>
      </c>
    </row>
    <row r="87" spans="1:13" s="24" customFormat="1" ht="13" x14ac:dyDescent="0.3">
      <c r="A87" s="14"/>
      <c r="B87" s="36" t="s">
        <v>76</v>
      </c>
      <c r="C87" s="13"/>
      <c r="D87" s="16"/>
      <c r="E87" s="16"/>
      <c r="F87" s="33"/>
      <c r="G87" s="68"/>
      <c r="H87" s="68"/>
      <c r="I87" s="33"/>
      <c r="J87" s="32"/>
      <c r="L87" s="32">
        <f>ROUND(+E69/I86,-1)</f>
        <v>11250</v>
      </c>
    </row>
    <row r="88" spans="1:13" s="24" customFormat="1" ht="13" x14ac:dyDescent="0.3">
      <c r="A88" s="14"/>
      <c r="B88" s="36" t="s">
        <v>77</v>
      </c>
      <c r="C88" s="13"/>
      <c r="D88" s="16"/>
      <c r="E88" s="16"/>
      <c r="F88" s="68"/>
      <c r="G88" s="68"/>
      <c r="H88" s="68"/>
      <c r="I88" s="68"/>
      <c r="J88" s="32"/>
      <c r="L88" s="32">
        <f>ROUND(L87/(F12/F11),-2)</f>
        <v>13500</v>
      </c>
      <c r="M88" s="76"/>
    </row>
    <row r="89" spans="1:13" s="24" customFormat="1" ht="13" hidden="1" x14ac:dyDescent="0.3">
      <c r="A89" s="14" t="s">
        <v>54</v>
      </c>
      <c r="B89" s="36"/>
      <c r="C89" s="13"/>
      <c r="D89" s="16"/>
      <c r="E89" s="16"/>
      <c r="F89" s="33">
        <f>+E69/E66</f>
        <v>345.31757627847014</v>
      </c>
      <c r="G89" s="68"/>
      <c r="H89" s="68"/>
      <c r="I89" s="33">
        <f>+H69/H66</f>
        <v>307.30933945639987</v>
      </c>
      <c r="J89" s="32">
        <f>+F89-I89</f>
        <v>38.008236822070273</v>
      </c>
    </row>
    <row r="90" spans="1:13" s="24" customFormat="1" ht="13" hidden="1" x14ac:dyDescent="0.3">
      <c r="A90" s="14"/>
      <c r="B90" s="36"/>
      <c r="C90" s="13"/>
      <c r="D90" s="16"/>
      <c r="E90" s="16"/>
      <c r="F90" s="68"/>
      <c r="G90" s="68"/>
      <c r="H90" s="68"/>
      <c r="I90" s="68"/>
      <c r="J90" s="32"/>
    </row>
    <row r="91" spans="1:13" s="24" customFormat="1" ht="13" hidden="1" x14ac:dyDescent="0.3">
      <c r="A91" s="14" t="s">
        <v>55</v>
      </c>
      <c r="B91" s="36"/>
      <c r="C91" s="13"/>
      <c r="D91" s="16"/>
      <c r="E91" s="16"/>
      <c r="F91" s="33">
        <f>+E69/E60</f>
        <v>5170.8751608751609</v>
      </c>
      <c r="G91" s="33"/>
      <c r="H91" s="33"/>
      <c r="I91" s="33">
        <f>+H69/H62</f>
        <v>4783.8586866167916</v>
      </c>
      <c r="J91" s="32">
        <f>+F91-I91</f>
        <v>387.01647425836927</v>
      </c>
    </row>
    <row r="92" spans="1:13" s="24" customFormat="1" ht="13" hidden="1" x14ac:dyDescent="0.3">
      <c r="A92" s="14"/>
      <c r="B92" s="36"/>
      <c r="C92" s="13"/>
      <c r="D92" s="16"/>
      <c r="E92" s="16"/>
      <c r="F92" s="33"/>
      <c r="G92" s="33"/>
      <c r="H92" s="33"/>
      <c r="I92" s="33"/>
      <c r="J92" s="32"/>
    </row>
    <row r="93" spans="1:13" s="24" customFormat="1" ht="13" hidden="1" x14ac:dyDescent="0.3">
      <c r="A93" s="14" t="s">
        <v>56</v>
      </c>
      <c r="B93" s="36"/>
      <c r="C93" s="13"/>
      <c r="D93" s="16"/>
      <c r="E93" s="16"/>
      <c r="F93" s="33">
        <f>+E69/E68</f>
        <v>1705.3353140916809</v>
      </c>
      <c r="G93" s="33"/>
      <c r="H93" s="33"/>
      <c r="I93" s="33">
        <f>+H69/H68</f>
        <v>1329.0951501154734</v>
      </c>
      <c r="J93" s="32">
        <f>+F93-I93</f>
        <v>376.24016397620744</v>
      </c>
    </row>
    <row r="94" spans="1:13" s="24" customFormat="1" ht="13" hidden="1" x14ac:dyDescent="0.3">
      <c r="A94" s="14"/>
      <c r="B94" s="36"/>
      <c r="C94" s="13"/>
      <c r="D94" s="16"/>
      <c r="E94" s="16"/>
      <c r="F94" s="33"/>
      <c r="G94" s="33"/>
      <c r="H94" s="33"/>
      <c r="I94" s="33"/>
      <c r="J94" s="32"/>
    </row>
    <row r="95" spans="1:13" s="24" customFormat="1" ht="13" x14ac:dyDescent="0.3">
      <c r="A95" s="14" t="s">
        <v>57</v>
      </c>
      <c r="B95" s="36" t="s">
        <v>75</v>
      </c>
      <c r="C95" s="13"/>
      <c r="D95" s="16"/>
      <c r="E95" s="16"/>
      <c r="F95" s="33">
        <f>+E69/F16</f>
        <v>1705.3353140916809</v>
      </c>
      <c r="G95" s="33"/>
      <c r="H95" s="33"/>
      <c r="I95" s="33">
        <f>+H69/I16</f>
        <v>1329.0951501154734</v>
      </c>
      <c r="J95" s="32">
        <f>+F95-I95</f>
        <v>376.24016397620744</v>
      </c>
      <c r="L95" s="32">
        <f>+J95*F16</f>
        <v>886421.82632794476</v>
      </c>
    </row>
    <row r="96" spans="1:13" s="24" customFormat="1" ht="13" x14ac:dyDescent="0.3">
      <c r="A96" s="14"/>
      <c r="B96" s="36"/>
      <c r="C96" s="13"/>
      <c r="D96" s="16"/>
      <c r="E96" s="16"/>
      <c r="F96" s="34"/>
      <c r="G96" s="34"/>
      <c r="H96" s="34"/>
      <c r="I96" s="34"/>
      <c r="J96" s="32"/>
      <c r="L96" s="29"/>
    </row>
    <row r="97" spans="1:9" ht="13" x14ac:dyDescent="0.3">
      <c r="A97" s="14"/>
      <c r="B97" s="36"/>
      <c r="C97" s="13"/>
      <c r="D97" s="16"/>
      <c r="E97" s="16"/>
      <c r="F97" s="40"/>
      <c r="G97" s="40"/>
      <c r="H97" s="40"/>
      <c r="I97" s="40"/>
    </row>
    <row r="98" spans="1:9" ht="13" hidden="1" x14ac:dyDescent="0.3">
      <c r="A98" s="14"/>
      <c r="B98" s="36"/>
      <c r="C98" s="13"/>
      <c r="D98" s="16"/>
      <c r="E98" s="16"/>
      <c r="F98" s="40"/>
      <c r="G98" s="40"/>
      <c r="H98" s="40"/>
      <c r="I98" s="40"/>
    </row>
    <row r="99" spans="1:9" ht="13" hidden="1" x14ac:dyDescent="0.3">
      <c r="A99" s="14"/>
      <c r="B99" s="36"/>
      <c r="C99" s="13"/>
      <c r="D99" s="16"/>
      <c r="E99" s="16"/>
      <c r="F99" s="40"/>
      <c r="G99" s="40"/>
      <c r="H99" s="40"/>
      <c r="I99" s="40"/>
    </row>
    <row r="100" spans="1:9" ht="13" hidden="1" x14ac:dyDescent="0.3">
      <c r="A100" s="14"/>
      <c r="B100" s="36"/>
      <c r="C100" s="13"/>
      <c r="D100" s="16"/>
      <c r="E100" s="16"/>
      <c r="F100" s="40"/>
      <c r="G100" s="40"/>
      <c r="H100" s="40"/>
      <c r="I100" s="40"/>
    </row>
    <row r="101" spans="1:9" ht="13" hidden="1" x14ac:dyDescent="0.3">
      <c r="A101" s="14"/>
      <c r="B101" s="36"/>
      <c r="C101" s="13"/>
      <c r="D101" s="16"/>
      <c r="E101" s="16"/>
      <c r="F101" s="40"/>
      <c r="G101" s="40"/>
      <c r="H101" s="40"/>
      <c r="I101" s="40"/>
    </row>
    <row r="102" spans="1:9" ht="13" hidden="1" x14ac:dyDescent="0.3">
      <c r="A102" s="14"/>
      <c r="B102" s="36"/>
      <c r="C102" s="13"/>
      <c r="D102" s="16"/>
      <c r="E102" s="16"/>
      <c r="F102" s="40"/>
      <c r="G102" s="40"/>
      <c r="H102" s="40"/>
      <c r="I102" s="40"/>
    </row>
    <row r="103" spans="1:9" ht="13" hidden="1" x14ac:dyDescent="0.3">
      <c r="A103" s="14"/>
      <c r="B103" s="36"/>
      <c r="C103" s="13"/>
      <c r="D103" s="16"/>
      <c r="E103" s="16"/>
      <c r="F103" s="40"/>
      <c r="G103" s="40"/>
      <c r="H103" s="40"/>
      <c r="I103" s="40"/>
    </row>
    <row r="104" spans="1:9" ht="13" hidden="1" x14ac:dyDescent="0.3">
      <c r="A104" s="14"/>
      <c r="B104" s="36"/>
      <c r="C104" s="13"/>
      <c r="D104" s="16"/>
      <c r="E104" s="16"/>
      <c r="F104" s="40"/>
      <c r="G104" s="40"/>
      <c r="H104" s="40"/>
      <c r="I104" s="40"/>
    </row>
    <row r="105" spans="1:9" ht="13" hidden="1" x14ac:dyDescent="0.3">
      <c r="A105" s="14"/>
      <c r="B105" s="36"/>
      <c r="C105" s="13"/>
      <c r="D105" s="16"/>
      <c r="E105" s="16"/>
      <c r="F105" s="40"/>
      <c r="G105" s="40"/>
      <c r="H105" s="40"/>
      <c r="I105" s="40"/>
    </row>
    <row r="106" spans="1:9" ht="13" hidden="1" x14ac:dyDescent="0.3">
      <c r="A106" s="14"/>
      <c r="B106" s="36"/>
      <c r="C106" s="13"/>
      <c r="D106" s="16"/>
      <c r="E106" s="16"/>
      <c r="F106" s="40"/>
      <c r="G106" s="40"/>
      <c r="H106" s="40"/>
      <c r="I106" s="40"/>
    </row>
    <row r="107" spans="1:9" ht="13" hidden="1" x14ac:dyDescent="0.3">
      <c r="A107" s="14"/>
      <c r="B107" s="36"/>
      <c r="C107" s="13"/>
      <c r="D107" s="16"/>
      <c r="E107" s="16"/>
      <c r="F107" s="40"/>
      <c r="G107" s="40"/>
      <c r="H107" s="40"/>
      <c r="I107" s="40"/>
    </row>
    <row r="108" spans="1:9" ht="13" hidden="1" x14ac:dyDescent="0.3">
      <c r="A108" s="14"/>
      <c r="B108" s="36"/>
      <c r="C108" s="13"/>
      <c r="D108" s="16"/>
      <c r="E108" s="16"/>
      <c r="F108" s="40"/>
      <c r="G108" s="40"/>
      <c r="H108" s="40"/>
      <c r="I108" s="40"/>
    </row>
    <row r="109" spans="1:9" ht="13" hidden="1" x14ac:dyDescent="0.3">
      <c r="A109" s="14"/>
      <c r="B109" s="36"/>
      <c r="C109" s="13"/>
      <c r="D109" s="16"/>
      <c r="E109" s="16"/>
      <c r="F109" s="40"/>
      <c r="G109" s="40"/>
      <c r="H109" s="40"/>
      <c r="I109" s="40"/>
    </row>
    <row r="110" spans="1:9" ht="13" hidden="1" x14ac:dyDescent="0.3">
      <c r="A110" s="14"/>
      <c r="B110" s="36"/>
      <c r="C110" s="13"/>
      <c r="D110" s="16"/>
      <c r="E110" s="16"/>
      <c r="F110" s="40"/>
      <c r="G110" s="40"/>
      <c r="H110" s="40"/>
      <c r="I110" s="40"/>
    </row>
    <row r="111" spans="1:9" ht="13" hidden="1" x14ac:dyDescent="0.3">
      <c r="A111" s="14"/>
      <c r="B111" s="36"/>
      <c r="C111" s="13"/>
      <c r="D111" s="16"/>
      <c r="E111" s="16"/>
      <c r="F111" s="40"/>
      <c r="G111" s="40"/>
      <c r="H111" s="40"/>
      <c r="I111" s="40"/>
    </row>
    <row r="112" spans="1:9" ht="13" hidden="1" x14ac:dyDescent="0.3">
      <c r="A112" s="14"/>
      <c r="B112" s="36"/>
      <c r="C112" s="13"/>
      <c r="D112" s="16"/>
      <c r="E112" s="16"/>
      <c r="F112" s="40"/>
      <c r="G112" s="40"/>
      <c r="H112" s="40"/>
      <c r="I112" s="40"/>
    </row>
    <row r="113" spans="1:9" ht="13" hidden="1" x14ac:dyDescent="0.3">
      <c r="A113" s="14"/>
      <c r="B113" s="36"/>
      <c r="C113" s="13"/>
      <c r="D113" s="16"/>
      <c r="E113" s="16"/>
      <c r="F113" s="40"/>
      <c r="G113" s="40"/>
      <c r="H113" s="40"/>
      <c r="I113" s="40"/>
    </row>
    <row r="114" spans="1:9" ht="13" hidden="1" x14ac:dyDescent="0.3">
      <c r="A114" s="14"/>
      <c r="B114" s="36"/>
      <c r="C114" s="13"/>
      <c r="D114" s="16"/>
      <c r="E114" s="16"/>
      <c r="F114" s="40"/>
      <c r="G114" s="40"/>
      <c r="H114" s="40"/>
      <c r="I114" s="40"/>
    </row>
    <row r="115" spans="1:9" ht="13" hidden="1" x14ac:dyDescent="0.3">
      <c r="A115" s="14"/>
      <c r="B115" s="36"/>
      <c r="C115" s="13"/>
      <c r="D115" s="16"/>
      <c r="E115" s="16"/>
      <c r="F115" s="40"/>
      <c r="G115" s="40"/>
      <c r="H115" s="40"/>
      <c r="I115" s="40"/>
    </row>
    <row r="116" spans="1:9" ht="13" hidden="1" x14ac:dyDescent="0.3">
      <c r="A116" s="14"/>
      <c r="B116" s="36"/>
      <c r="C116" s="13"/>
      <c r="D116" s="16"/>
      <c r="E116" s="16"/>
      <c r="F116" s="40"/>
      <c r="G116" s="40"/>
      <c r="H116" s="40"/>
      <c r="I116" s="40"/>
    </row>
    <row r="117" spans="1:9" ht="13" hidden="1" x14ac:dyDescent="0.3">
      <c r="A117" s="14"/>
      <c r="B117" s="36"/>
      <c r="C117" s="13"/>
      <c r="D117" s="16"/>
      <c r="E117" s="16"/>
      <c r="F117" s="40"/>
      <c r="G117" s="40"/>
      <c r="H117" s="40"/>
      <c r="I117" s="40"/>
    </row>
    <row r="118" spans="1:9" ht="13" hidden="1" x14ac:dyDescent="0.3">
      <c r="A118" s="14"/>
      <c r="B118" s="36"/>
      <c r="C118" s="13"/>
      <c r="D118" s="16"/>
      <c r="E118" s="16"/>
      <c r="F118" s="40"/>
      <c r="G118" s="40"/>
      <c r="H118" s="40"/>
      <c r="I118" s="40"/>
    </row>
    <row r="119" spans="1:9" ht="13" hidden="1" x14ac:dyDescent="0.3">
      <c r="A119" s="14"/>
      <c r="B119" s="36"/>
      <c r="C119" s="13"/>
      <c r="D119" s="16"/>
      <c r="E119" s="16"/>
      <c r="F119" s="40"/>
      <c r="G119" s="40"/>
      <c r="H119" s="40"/>
      <c r="I119" s="40"/>
    </row>
    <row r="120" spans="1:9" ht="13" hidden="1" x14ac:dyDescent="0.3">
      <c r="A120" s="14"/>
      <c r="B120" s="36"/>
      <c r="C120" s="13"/>
      <c r="D120" s="16"/>
      <c r="E120" s="16"/>
      <c r="F120" s="40"/>
      <c r="G120" s="40"/>
      <c r="H120" s="40"/>
      <c r="I120" s="40"/>
    </row>
    <row r="121" spans="1:9" ht="13" hidden="1" x14ac:dyDescent="0.3">
      <c r="A121" s="14"/>
      <c r="B121" s="36"/>
      <c r="C121" s="13"/>
      <c r="D121" s="16"/>
      <c r="E121" s="16"/>
      <c r="F121" s="40"/>
      <c r="G121" s="40"/>
      <c r="H121" s="40"/>
      <c r="I121" s="40"/>
    </row>
    <row r="122" spans="1:9" ht="13" hidden="1" x14ac:dyDescent="0.3">
      <c r="A122" s="14"/>
      <c r="B122" s="36"/>
      <c r="C122" s="13"/>
      <c r="D122" s="16"/>
      <c r="E122" s="16"/>
      <c r="F122" s="40"/>
      <c r="G122" s="40"/>
      <c r="H122" s="40"/>
      <c r="I122" s="40"/>
    </row>
    <row r="123" spans="1:9" ht="13" hidden="1" x14ac:dyDescent="0.3">
      <c r="A123" s="14"/>
      <c r="B123" s="36"/>
      <c r="C123" s="13"/>
      <c r="D123" s="16"/>
      <c r="E123" s="16"/>
      <c r="F123" s="40"/>
      <c r="G123" s="40"/>
      <c r="H123" s="40"/>
      <c r="I123" s="40"/>
    </row>
    <row r="124" spans="1:9" ht="13" hidden="1" x14ac:dyDescent="0.3">
      <c r="A124" s="14"/>
      <c r="B124" s="36"/>
      <c r="C124" s="13"/>
      <c r="D124" s="16"/>
      <c r="E124" s="16"/>
      <c r="F124" s="40"/>
      <c r="G124" s="40"/>
      <c r="H124" s="40"/>
      <c r="I124" s="40"/>
    </row>
    <row r="125" spans="1:9" ht="13" hidden="1" x14ac:dyDescent="0.3">
      <c r="A125" s="14"/>
      <c r="B125" s="36"/>
      <c r="C125" s="13"/>
      <c r="D125" s="16"/>
      <c r="E125" s="16"/>
      <c r="F125" s="40"/>
      <c r="G125" s="40"/>
      <c r="H125" s="40"/>
      <c r="I125" s="40"/>
    </row>
    <row r="126" spans="1:9" ht="13" hidden="1" x14ac:dyDescent="0.3">
      <c r="A126" s="14"/>
      <c r="B126" s="36"/>
      <c r="C126" s="13"/>
      <c r="D126" s="16"/>
      <c r="E126" s="16"/>
      <c r="F126" s="40"/>
      <c r="G126" s="40"/>
      <c r="H126" s="40"/>
      <c r="I126" s="40"/>
    </row>
    <row r="127" spans="1:9" ht="13" hidden="1" x14ac:dyDescent="0.3">
      <c r="A127" s="14"/>
      <c r="B127" s="36"/>
      <c r="C127" s="13"/>
      <c r="D127" s="16"/>
      <c r="E127" s="16"/>
      <c r="F127" s="40"/>
      <c r="G127" s="40"/>
      <c r="H127" s="40"/>
      <c r="I127" s="40"/>
    </row>
    <row r="128" spans="1:9" ht="13" hidden="1" x14ac:dyDescent="0.3">
      <c r="A128" s="14"/>
      <c r="B128" s="36"/>
      <c r="C128" s="13"/>
      <c r="D128" s="16"/>
      <c r="E128" s="16"/>
      <c r="F128" s="40"/>
      <c r="G128" s="40"/>
      <c r="H128" s="40"/>
      <c r="I128" s="40"/>
    </row>
    <row r="129" spans="1:12" ht="13" hidden="1" x14ac:dyDescent="0.3">
      <c r="A129" s="14"/>
      <c r="B129" s="36"/>
      <c r="C129" s="13"/>
      <c r="D129" s="16"/>
      <c r="E129" s="16"/>
      <c r="F129" s="40"/>
      <c r="G129" s="40"/>
      <c r="H129" s="40"/>
      <c r="I129" s="40"/>
    </row>
    <row r="130" spans="1:12" ht="13" hidden="1" x14ac:dyDescent="0.3">
      <c r="A130" s="14"/>
      <c r="B130" s="36"/>
      <c r="C130" s="13"/>
      <c r="D130" s="16"/>
      <c r="E130" s="16"/>
      <c r="F130" s="40"/>
      <c r="G130" s="40"/>
      <c r="H130" s="40"/>
      <c r="I130" s="40"/>
    </row>
    <row r="131" spans="1:12" ht="13" hidden="1" x14ac:dyDescent="0.3">
      <c r="A131" s="14"/>
      <c r="B131" s="36"/>
      <c r="C131" s="13"/>
      <c r="D131" s="16"/>
      <c r="E131" s="16"/>
      <c r="F131" s="40"/>
      <c r="G131" s="40"/>
      <c r="H131" s="40"/>
      <c r="I131" s="40"/>
    </row>
    <row r="132" spans="1:12" ht="13" hidden="1" x14ac:dyDescent="0.3">
      <c r="A132" s="14"/>
      <c r="B132" s="36"/>
      <c r="C132" s="13"/>
      <c r="D132" s="16"/>
      <c r="E132" s="16"/>
      <c r="F132" s="40"/>
      <c r="G132" s="40"/>
      <c r="H132" s="40"/>
      <c r="I132" s="40"/>
    </row>
    <row r="133" spans="1:12" ht="13" hidden="1" x14ac:dyDescent="0.3">
      <c r="A133" s="14"/>
      <c r="B133" s="36"/>
      <c r="C133" s="13"/>
      <c r="D133" s="16"/>
      <c r="E133" s="16"/>
      <c r="F133" s="40"/>
      <c r="G133" s="40"/>
      <c r="H133" s="40"/>
      <c r="I133" s="40"/>
    </row>
    <row r="134" spans="1:12" ht="13" hidden="1" x14ac:dyDescent="0.3">
      <c r="A134" s="14"/>
      <c r="B134" s="36"/>
      <c r="C134" s="13"/>
      <c r="D134" s="16"/>
      <c r="E134" s="16"/>
      <c r="F134" s="40"/>
      <c r="G134" s="40"/>
      <c r="H134" s="40"/>
      <c r="I134" s="40"/>
    </row>
    <row r="135" spans="1:12" ht="13" hidden="1" x14ac:dyDescent="0.3">
      <c r="A135" s="14"/>
      <c r="B135" s="36"/>
      <c r="C135" s="13"/>
      <c r="D135" s="16"/>
      <c r="E135" s="16"/>
      <c r="F135" s="40"/>
      <c r="G135" s="40"/>
      <c r="H135" s="40"/>
      <c r="I135" s="40"/>
    </row>
    <row r="136" spans="1:12" ht="13" hidden="1" x14ac:dyDescent="0.3">
      <c r="A136" s="14"/>
      <c r="B136" s="36"/>
      <c r="C136" s="13"/>
      <c r="D136" s="16"/>
      <c r="E136" s="16"/>
      <c r="F136" s="40"/>
      <c r="G136" s="40"/>
      <c r="H136" s="40"/>
      <c r="I136" s="40"/>
    </row>
    <row r="137" spans="1:12" ht="13" hidden="1" x14ac:dyDescent="0.3">
      <c r="A137" s="13"/>
      <c r="B137" s="36"/>
      <c r="C137" s="13"/>
      <c r="D137" s="16"/>
      <c r="E137" s="16"/>
      <c r="F137" s="16"/>
      <c r="G137" s="16"/>
      <c r="H137" s="16"/>
      <c r="I137" s="16" t="s">
        <v>58</v>
      </c>
    </row>
    <row r="138" spans="1:12" hidden="1" x14ac:dyDescent="0.25">
      <c r="A138" s="12"/>
      <c r="B138" s="14"/>
      <c r="C138" s="12"/>
      <c r="D138" s="12"/>
      <c r="E138" s="12"/>
      <c r="F138" s="11"/>
      <c r="G138" s="11"/>
      <c r="H138" s="11"/>
      <c r="I138" s="11"/>
      <c r="J138" s="12"/>
      <c r="K138" s="12"/>
      <c r="L138" s="11"/>
    </row>
    <row r="139" spans="1:12" hidden="1" x14ac:dyDescent="0.25"/>
    <row r="140" spans="1:12" ht="14" hidden="1" x14ac:dyDescent="0.3">
      <c r="A140" s="69"/>
    </row>
    <row r="141" spans="1:12" hidden="1" x14ac:dyDescent="0.25"/>
    <row r="142" spans="1:12" hidden="1" x14ac:dyDescent="0.25"/>
    <row r="143" spans="1:12" hidden="1" x14ac:dyDescent="0.25"/>
    <row r="144" spans="1:12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</sheetData>
  <phoneticPr fontId="0" type="noConversion"/>
  <printOptions horizontalCentered="1" gridLines="1"/>
  <pageMargins left="0.5" right="0.5" top="1" bottom="1" header="0.5" footer="0.5"/>
  <pageSetup scale="75" orientation="portrait" horizontalDpi="4294967292" r:id="rId1"/>
  <headerFooter alignWithMargins="0">
    <oddFooter>&amp;LE:\Worksheets\Projects\&amp;F\&amp;A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 Factors</vt:lpstr>
      <vt:lpstr>'New Factors'!Print_Area</vt:lpstr>
    </vt:vector>
  </TitlesOfParts>
  <Company>Business and Accounting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Harris</dc:creator>
  <cp:lastModifiedBy>Carina Negreanu</cp:lastModifiedBy>
  <cp:lastPrinted>2001-12-08T23:45:48Z</cp:lastPrinted>
  <dcterms:created xsi:type="dcterms:W3CDTF">2001-12-05T02:19:00Z</dcterms:created>
  <dcterms:modified xsi:type="dcterms:W3CDTF">2020-01-27T11:34:44Z</dcterms:modified>
</cp:coreProperties>
</file>