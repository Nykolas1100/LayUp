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8D667A1-8904-4D19-B9E3-C97021AD7E69}" xr6:coauthVersionLast="45" xr6:coauthVersionMax="45" xr10:uidLastSave="{00000000-0000-0000-0000-000000000000}"/>
  <bookViews>
    <workbookView xWindow="3420" yWindow="3420" windowWidth="28800" windowHeight="15460"/>
  </bookViews>
  <sheets>
    <sheet name="PIs" sheetId="2"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98" i="2" l="1"/>
  <c r="D104" i="2"/>
  <c r="E212" i="2"/>
  <c r="E213" i="2"/>
</calcChain>
</file>

<file path=xl/sharedStrings.xml><?xml version="1.0" encoding="utf-8"?>
<sst xmlns="http://schemas.openxmlformats.org/spreadsheetml/2006/main" count="1147" uniqueCount="573">
  <si>
    <t>Does the authority follow the CRE’s code of practice in rented housing and follow the Good Practice Standards for social landlords on tackling harassment included in the Code of Practice for Social Landlords: Tackling Racial Harassment?</t>
  </si>
  <si>
    <t>BV176</t>
  </si>
  <si>
    <t xml:space="preserve">The number of domestic violence refuge places per 10,000 population which are provided or supported by the authority </t>
  </si>
  <si>
    <t>BV183(i)</t>
  </si>
  <si>
    <t>Average length of stay in bed and breakfast accommodation (weeks): Bed and breakfast accommodation</t>
  </si>
  <si>
    <t>BV183(ii)</t>
  </si>
  <si>
    <t>Average length of stay in bed and breakfast accommodation (weeks): Hostel accommodation</t>
  </si>
  <si>
    <t>BV184a</t>
  </si>
  <si>
    <t>The proportion of LA homes which were non-decent at 1 April 2002</t>
  </si>
  <si>
    <t>BV184b</t>
  </si>
  <si>
    <t>% change in proportion of non-decent LA homes between 1 April 2002 and 1 April 2003</t>
  </si>
  <si>
    <t>BV185</t>
  </si>
  <si>
    <t>% of responsive (but not emergency) repairs during 2002/2003, for which the authority both made and kept an appointment</t>
  </si>
  <si>
    <t>LHD003</t>
  </si>
  <si>
    <t xml:space="preserve">% of all current tenants owing over 13 weeks rent at 31 March excluding those owing less than £250 </t>
  </si>
  <si>
    <t xml:space="preserve">The rent arrears process has been improved, this includes the production of automatic arrears letters at an earlier stages allowing officers to concentrate on other areas of arrears work. Monitoring reports have also improved to improve performance management against set targets. </t>
  </si>
  <si>
    <t>LHD008</t>
  </si>
  <si>
    <t>Average relet times for local authority dwellings let in the financial year (weeks)</t>
  </si>
  <si>
    <t>L-HD015</t>
  </si>
  <si>
    <t>Average weekly cost per local authority dwelling of management</t>
  </si>
  <si>
    <t>£27.31*</t>
  </si>
  <si>
    <t>L-HD016</t>
  </si>
  <si>
    <t>Average weekly cost per local authority dwelling of repairs</t>
  </si>
  <si>
    <t>£23.47*</t>
  </si>
  <si>
    <t>BV003d</t>
  </si>
  <si>
    <t>% of citizens satisfied with the overall service provided by the authority: Personal Social Services</t>
  </si>
  <si>
    <t>BV049</t>
  </si>
  <si>
    <t>Stability of placements of children looked after by the authority by reference to the percentage of children looked after on 31st March in any year with three or more placements during the year</t>
  </si>
  <si>
    <t xml:space="preserve">BV050 </t>
  </si>
  <si>
    <t>Educational qualifications of children looked after (interface indicator with education services) by reference to the percentage of young people leaving care aged 16 or over with at least 1 GCSE at grades A*-G, or General National Vocational Qualification (GNVQ)</t>
  </si>
  <si>
    <t>BV051</t>
  </si>
  <si>
    <t>Costs of services for children looked after by the authority by reference to the gross weekly expenditure per looked-after child in foster care or in a children's home</t>
  </si>
  <si>
    <t>The reduction in the thresholds for Child Protection intervention has impacted on the numbers of children becoming Looked After, to comply with statutory responsibilities. These placements are extremely expensive and small increases in their numbers have a significant effect on unit costs.</t>
  </si>
  <si>
    <t>BV052</t>
  </si>
  <si>
    <t>Cost of intensive social care for adults and older people by reference to the average gross weekly cost of providing care for adults and elderly people</t>
  </si>
  <si>
    <t>458*</t>
  </si>
  <si>
    <t>BV053</t>
  </si>
  <si>
    <t>Intensive home care per 1,000 population aged 65 or over</t>
  </si>
  <si>
    <t>BV054</t>
  </si>
  <si>
    <t>Older  people helped to live at home per 1,000 population aged 65 or over</t>
  </si>
  <si>
    <t>The increase over target in the rate of older people helped to live in the community underlines the Council's commitment to promoting independence and better care management practice within the service.</t>
  </si>
  <si>
    <t>BV055</t>
  </si>
  <si>
    <t>Clients receiving a review as a % of adult and older clients receiving a service</t>
  </si>
  <si>
    <t xml:space="preserve">Number of clients receiving a service in the year increased by 17% from last year. Many of these received a short-term service and did not require a review. Due to recruitment and retention problems in the social work teams there have been significant problems in managing the volume of reviews required whilst keeping up with referrals and assessments. However plans are in place to increase the review rate in 2003-04. </t>
  </si>
  <si>
    <t>BV056</t>
  </si>
  <si>
    <t>% of items of equipment delivered within 3 weeks</t>
  </si>
  <si>
    <t>% of items of equipment delivered within 7 working days</t>
  </si>
  <si>
    <t>BV058</t>
  </si>
  <si>
    <t>The Council anticipates considerable levels of re-organisation over the next 3 years, so this figure is expected to rise.  There is also evidence of an ageing work force in the Council's current profile.</t>
  </si>
  <si>
    <t xml:space="preserve">% of people receiving a statement of their needs and how they will be met </t>
  </si>
  <si>
    <t>Performance this year has been affected by the decline in the number of reviews commented on above and will improve as the rate of reviews increases in 2003-04. 87% of assessments carried out in the year resulted in the client receiving a statement of need.</t>
  </si>
  <si>
    <t>BV161</t>
  </si>
  <si>
    <t>Employment, education and training for care leavers</t>
  </si>
  <si>
    <t>BV162</t>
  </si>
  <si>
    <t>The % of child protection cases which should have been reviewed during the year that were reviewed</t>
  </si>
  <si>
    <t>BV163</t>
  </si>
  <si>
    <t>Adoptions of children looked after</t>
  </si>
  <si>
    <t>BV182</t>
  </si>
  <si>
    <t>Users who said they were satisfied with the help they received from Social Services</t>
  </si>
  <si>
    <t>BV190</t>
  </si>
  <si>
    <t>Users who said that if they asked for changes to services those changes were made</t>
  </si>
  <si>
    <t>L-SS001</t>
  </si>
  <si>
    <t>% of these children who are in family placements and adoption</t>
  </si>
  <si>
    <t>L-SS002</t>
  </si>
  <si>
    <t>% of these children eleven and over who were permanently excluded from school in the year</t>
  </si>
  <si>
    <t xml:space="preserve">This figure is strongly affected by the overall number of Looked After Children on the register for longer than one year.  This has risen from 115 to 176 children showing increased stability and the rise of long term fostering.  Both years only one child has been permanently excluded.  </t>
  </si>
  <si>
    <t>L-SS003</t>
  </si>
  <si>
    <t xml:space="preserve">% of children on the register for the year who had been visited at least once every six weeks by their social worker </t>
  </si>
  <si>
    <t>L-SS004</t>
  </si>
  <si>
    <t xml:space="preserve">% of children registered during the year on the Child Protection Register who had been previously registered </t>
  </si>
  <si>
    <t>The overall number of re-registrations has not increased significantly.  Family Groups are now split into individual children to determine the focus of the CPR episode within the group, giving a higher number of registrations during the year.  The Denominator has risen but the numerator has only slightly increased so when expressed as a % will be lower than previously.  This shows improved performance.</t>
  </si>
  <si>
    <t>L-SS005</t>
  </si>
  <si>
    <t>% of children de-registered on the child protection register who have been on the register for two years of more</t>
  </si>
  <si>
    <t>&lt;10%</t>
  </si>
  <si>
    <t xml:space="preserve">The overall number of de-registrations has decreased. Also Family Groups are now split into individual children to determine the focus of the Child Protection Register episode within the group, giving a higher number of de-registrations during the year.  As a part of service policy children will not remain on the Child Protection Register for longer than is necessary and all long term cases are given additional focus and attention. </t>
  </si>
  <si>
    <t>L-SS006</t>
  </si>
  <si>
    <t>L-SS007</t>
  </si>
  <si>
    <t>Assessments per 1,000 population aged 65 or over</t>
  </si>
  <si>
    <t xml:space="preserve">Due to recruitment and retention problems in the social work teams there have been significant problems in keeping up with referrals and assessments. However plans are in place to increase the review rate in 2003-04. In the older persons service teams there is an average 25% vacancy rate at social worker level and 50% to 90% of the team posts are filled by agency staff. The resulting retention/recruitment/training requirements cause extra difficulty in managing the volume of referrals, assessments and reviews.  </t>
  </si>
  <si>
    <t>L-SS008</t>
  </si>
  <si>
    <t>Number of nights respite care provided or funded by the authority per 1,000 adults</t>
  </si>
  <si>
    <t xml:space="preserve">The difference between the target and the actual for this indicator reflects enhanced performance in providing practical assistance to carers in recognition of their role in promoting the independence of people to live in the community.   The increase reflects the Council's commitment to assisting carers in promoting the independence of people to live in the community.   </t>
  </si>
  <si>
    <t>L-SS009a</t>
  </si>
  <si>
    <t>Number of adults whom the authority supports in residential care in the groups below per 1000 people: Adults aged 65 and over</t>
  </si>
  <si>
    <t xml:space="preserve">A decline in the rate of residential placements together with an increase in the rate of older people helped to live in the community confirms the Council's commitment to promoting independence.  </t>
  </si>
  <si>
    <t>L-SS009b</t>
  </si>
  <si>
    <t>Number of adults whom the authority supports in residential care in the groups below per 1000 people: Adults under 65</t>
  </si>
  <si>
    <t xml:space="preserve">The decrease in the rate of residential placements greater than the target and reflects enhanced performance in supporting adults to live in the community and as a result to minimise permanent residential/nursing placements.  The decrease in admissions reflects the commitment to supporting adults to live in the community and as a result to minimise permanent admissions to residential/nursing care.  </t>
  </si>
  <si>
    <t>L-SS010</t>
  </si>
  <si>
    <t xml:space="preserve">% of single adults going into residential and nursing care allocated single rooms </t>
  </si>
  <si>
    <t>L-SS011</t>
  </si>
  <si>
    <t xml:space="preserve">Relative spend on family support </t>
  </si>
  <si>
    <t>L-SS013</t>
  </si>
  <si>
    <t>The % of completed assessments following which a Statement of Need was notified to the client</t>
  </si>
  <si>
    <t>NR</t>
  </si>
  <si>
    <t>BV003c</t>
  </si>
  <si>
    <t>% of citizens satisfied with the overall service provided by the authority: Local Authority Education Service</t>
  </si>
  <si>
    <t xml:space="preserve">BV030 </t>
  </si>
  <si>
    <t>% of three year olds receiving a good quality free early years education in voluntary, private or maintained sectors</t>
  </si>
  <si>
    <t>BV033</t>
  </si>
  <si>
    <t xml:space="preserve">Youth Service expenditure per head of population in the Youth Service target age range </t>
  </si>
  <si>
    <t>£73.03*</t>
  </si>
  <si>
    <t xml:space="preserve">BV034a </t>
  </si>
  <si>
    <t>% of primary schools with 25% or more of their places unfilled</t>
  </si>
  <si>
    <t xml:space="preserve">BV034b </t>
  </si>
  <si>
    <t>% of secondary schools with more than 25% or more of their places unfilled</t>
  </si>
  <si>
    <t>7.7%*</t>
  </si>
  <si>
    <t>BV036a</t>
  </si>
  <si>
    <t>Net expenditure per pupil in LEA schools: Nursery and primary pupils under 5</t>
  </si>
  <si>
    <t>£4,565*</t>
  </si>
  <si>
    <t>That the increase year on year was due to a growth in grant funding.</t>
  </si>
  <si>
    <t>BV036b</t>
  </si>
  <si>
    <t>Net expenditure per pupil in LEA schools: Primary pupils aged 5 and over</t>
  </si>
  <si>
    <t>£3,354*</t>
  </si>
  <si>
    <t>BV036c</t>
  </si>
  <si>
    <t>Net expenditure per pupil in LEA schools : Secondary pupils under 16</t>
  </si>
  <si>
    <t>£3,859*</t>
  </si>
  <si>
    <t xml:space="preserve">BV038 </t>
  </si>
  <si>
    <t xml:space="preserve">% of 15 year-old pupils in schools maintained by the local education authority schools achieving 5 or more GCSEs at grades A*-C or equivalent </t>
  </si>
  <si>
    <t xml:space="preserve">BV039 </t>
  </si>
  <si>
    <t>% of 15 year-old pupils in schools maintained by the local education authority achieving one or more GCSEs at Grade A* - G including English and Maths</t>
  </si>
  <si>
    <t>Number of adults under 65 whom the authority helps to live at home per 1000 adults under 65</t>
  </si>
  <si>
    <t xml:space="preserve">BV040 </t>
  </si>
  <si>
    <t xml:space="preserve">% of pupils in schools maintained by the local education authority achieving Level 4 or above in the Key Stage 2 Maths test </t>
  </si>
  <si>
    <t xml:space="preserve">BV041 </t>
  </si>
  <si>
    <t xml:space="preserve">% of pupils in schools maintained by the local education authority achieving Level 4 or above in the Key Stage 2 English test </t>
  </si>
  <si>
    <t>BV043a</t>
  </si>
  <si>
    <t>% SEN statements prepared within 18 weeks excluding exceptions</t>
  </si>
  <si>
    <t>BV043b</t>
  </si>
  <si>
    <t xml:space="preserve">BV044a
</t>
  </si>
  <si>
    <t>Number of pupils permanently excluded during the year from schools maintained by the local education authority per 1,000 pupils at all maintained schools: Primary</t>
  </si>
  <si>
    <t xml:space="preserve"> A change in the government guidance on exclusions has led to an increase in exclusions nationally.</t>
  </si>
  <si>
    <t xml:space="preserve">BV044b
</t>
  </si>
  <si>
    <t>Number of pupils permanently excluded during the year from schools maintained by the local education authority per 1,000 pupils at all maintained schools: Secondary</t>
  </si>
  <si>
    <t xml:space="preserve">BV044c
</t>
  </si>
  <si>
    <t xml:space="preserve">Number of pupils permanently excluded during the year from schools maintained by the local education authority per 1,000 pupils at all maintained schools: Special schools </t>
  </si>
  <si>
    <t xml:space="preserve">BV044d
</t>
  </si>
  <si>
    <t>Number of pupils permanently excluded during the year from schools maintained by the local education authority per 1,000 pupils at all maintained schools: Overall</t>
  </si>
  <si>
    <t xml:space="preserve">BV045 </t>
  </si>
  <si>
    <t>% of half days missed due to total absence in secondary schools maintained by the local education authority</t>
  </si>
  <si>
    <t xml:space="preserve">BV046 </t>
  </si>
  <si>
    <t xml:space="preserve">% of half days missed due to total absence in primary schools maintained by the authority </t>
  </si>
  <si>
    <t xml:space="preserve">BV048 </t>
  </si>
  <si>
    <t>% of schools maintained by the authority subject to special measures on 14 December 2002</t>
  </si>
  <si>
    <t>Performance reflects an improvement as less schools were in special measures than was expected.</t>
  </si>
  <si>
    <t xml:space="preserve">BV114 </t>
  </si>
  <si>
    <t>The service operates a policy of visiting children on the Child Protection Register every 2 weeks.  Reports are produced to show which children currently on the register have/not been visited within schedule.  For 2001/02 three children failed the indicator due to being out of the country but remaining on the Child Protection Register (CPR) due to statutory requirements.  During 2002/03 one child has missed being visited within the statutory schedule.</t>
  </si>
  <si>
    <t>Satisfaction of tenants of council housing with opportunities for participation in management and decision making in relation to housing services provided by their landlord: with results further broken down by</t>
  </si>
  <si>
    <t>The adoption by the authority of a Local Cultural Strategy</t>
  </si>
  <si>
    <t>N/A</t>
  </si>
  <si>
    <t>BV115</t>
  </si>
  <si>
    <t xml:space="preserve">The cost per physical visit to public libraries </t>
  </si>
  <si>
    <t>BV117</t>
  </si>
  <si>
    <t>Number of physical visits per 1,000 of population to public library premises</t>
  </si>
  <si>
    <t>BV118c</t>
  </si>
  <si>
    <t>BV119b</t>
  </si>
  <si>
    <t xml:space="preserve">% residents satisfied with the LA Cultural services: Libraries </t>
  </si>
  <si>
    <t>BV119c</t>
  </si>
  <si>
    <t>% residents satisfied with the LA Cultural services: Museums</t>
  </si>
  <si>
    <t>BV159a</t>
  </si>
  <si>
    <t>The % of permanently excluded pupils provided with alternative tuition of: 5 hours or less</t>
  </si>
  <si>
    <t>There was no target applicable for this PI for 2002/3, as the indicator changed from measuring attendance to provision.  (However, under the previous indicator, a local target was set for 85% of permanently excluded pupils to receive 10 hours or more of educational provision per week.  Over the 2002/03 year, 82.35% of pupils did receive more than 10 hours, with the majority receiving significantly more due to the statutory requirement for full-time provision  from September 2002.) The target reflects the statutory duty to provide permanently excluded pupils with full-time provision.</t>
  </si>
  <si>
    <t>BV159b</t>
  </si>
  <si>
    <t>The % of permanently excluded pupils provided with alternative tuition of: 6-12 hours</t>
  </si>
  <si>
    <t>BV159c</t>
  </si>
  <si>
    <t>The % of permanently excluded pupils provided with alternative tuition of: 13-19 hours</t>
  </si>
  <si>
    <t>BV159d</t>
  </si>
  <si>
    <t>The % of permanently excluded pupils provided with alternative tuition of: 20 hours or more</t>
  </si>
  <si>
    <t xml:space="preserve">BV170a </t>
  </si>
  <si>
    <t xml:space="preserve">The number of visits/usages to museums per 1000 population </t>
  </si>
  <si>
    <t>Pitshanger Museum was closed between November - March for refurbishment leading to a drop in overall numbers compared to the previous year.</t>
  </si>
  <si>
    <t>BV170b</t>
  </si>
  <si>
    <t>The number of those visits that were in person per 1000 population</t>
  </si>
  <si>
    <t>BV170c</t>
  </si>
  <si>
    <t xml:space="preserve">The number of pupils visiting in organised school groups </t>
  </si>
  <si>
    <t xml:space="preserve">BV181a
</t>
  </si>
  <si>
    <t xml:space="preserve">Percentage of 14-year old pupils in schools maintained by the local education authority achieving Level 5 or above in the Key Stage 3 test in English </t>
  </si>
  <si>
    <t xml:space="preserve">BV181b
</t>
  </si>
  <si>
    <t xml:space="preserve">Percentage of 14-year old pupils in schools maintained by the local education authority achieving Level 5 or above in the Key Stage 3 test in Mathematics </t>
  </si>
  <si>
    <t xml:space="preserve">BV181c
</t>
  </si>
  <si>
    <t xml:space="preserve">Percentage of 14-year old pupils in schools maintained by the local education authority achieving Level 5 or above in the Key Stage 3 test in Science </t>
  </si>
  <si>
    <t xml:space="preserve">BV181d
</t>
  </si>
  <si>
    <t>Percentage of 14-year old pupils in schools maintained by the local education authority achieving Level 5 or above in the Key Stage 3 test in ICT</t>
  </si>
  <si>
    <t>BV193a</t>
  </si>
  <si>
    <t>Schools Budget as a % of the Schools Funding Assessment</t>
  </si>
  <si>
    <t>BV193b</t>
  </si>
  <si>
    <t>BV194a</t>
  </si>
  <si>
    <t>% of pupils achieving level 5 or above in Key Stage 2 in English</t>
  </si>
  <si>
    <t>BV194b</t>
  </si>
  <si>
    <t>% of pupils achieving level 5 or above in Key Stage 2 in Maths</t>
  </si>
  <si>
    <t xml:space="preserve">L-ED001     </t>
  </si>
  <si>
    <t>% of schools maintained by the authority with serious weakness on 14 December 2002</t>
  </si>
  <si>
    <t>This reflects and improvement as less maintained schools were in serious weaknesses than was expected when the target was originally set.</t>
  </si>
  <si>
    <t xml:space="preserve">L-ED006 </t>
  </si>
  <si>
    <t>Average GCSE/GNVQ points score of 15 year-old pupils in schools maintained by the authority</t>
  </si>
  <si>
    <t xml:space="preserve">L-ED007 </t>
  </si>
  <si>
    <t xml:space="preserve">Pupils with statements of special educational need as a % of all children </t>
  </si>
  <si>
    <t xml:space="preserve">L-ED008 </t>
  </si>
  <si>
    <t>The number of statements issued during the year per 1,000 children</t>
  </si>
  <si>
    <t>2.4*</t>
  </si>
  <si>
    <t>Change in performance is due to change in population figures.</t>
  </si>
  <si>
    <t xml:space="preserve">L-ED009 </t>
  </si>
  <si>
    <t xml:space="preserve">Pupils placed by the authority in special schools as a % of all children </t>
  </si>
  <si>
    <t xml:space="preserve">L-ED010    </t>
  </si>
  <si>
    <t>% of absences in secondary schools that are unauthorised absences</t>
  </si>
  <si>
    <t>Target was not achieved due to lower performance at one school.  This has now been addressed. In addition, performance is reflected in the national trend, with failure to meet the governments' unauthorised absence target - these targets have now been revised by the government to improve 10% on 2002/03 performance.</t>
  </si>
  <si>
    <t xml:space="preserve">L-ED013 </t>
  </si>
  <si>
    <t xml:space="preserve">% of primary pupils in schools where meals are available to all full-time pupils, who bought a school meal (excluding pupils entitled to free school meals) </t>
  </si>
  <si>
    <t xml:space="preserve">L-ED014 </t>
  </si>
  <si>
    <t xml:space="preserve">The price per primary school meal </t>
  </si>
  <si>
    <t>£1.48*</t>
  </si>
  <si>
    <t xml:space="preserve">% of students satisfied with adult education courses (if surveyed) </t>
  </si>
  <si>
    <t>L-ED017</t>
  </si>
  <si>
    <t xml:space="preserve">Number of books and recordings available in the council’s libraries per head of population
</t>
  </si>
  <si>
    <t>L-ED018</t>
  </si>
  <si>
    <t xml:space="preserve">Number of books and other items issued by the authority’s libraries per head of population </t>
  </si>
  <si>
    <t xml:space="preserve">BV157 </t>
  </si>
  <si>
    <t>% of interactions with the public, by type, which are capable of electronic service delivery and which are being delivered using internet protocols or other paperless methods</t>
  </si>
  <si>
    <t>L-EG024g</t>
  </si>
  <si>
    <t xml:space="preserve">% telephone calls answered within  20 secs between 8.30-5.30 (Mon-Fri) and emergency calls at other times - Overall Cross Council </t>
  </si>
  <si>
    <t>L-EG025a</t>
  </si>
  <si>
    <t>% of calls answered within 20 Secs by Out of hours between 5.30 - 8.30 (Mon - Fri)</t>
  </si>
  <si>
    <t>Imporvements in performnace are due to the introduction of a new telephone system.  A review is currently underway of the measures.</t>
  </si>
  <si>
    <t>L-EG025b</t>
  </si>
  <si>
    <t>% of calls answered within 20 Secs by Emergency repairline</t>
  </si>
  <si>
    <t>02/03 Target</t>
  </si>
  <si>
    <t>03/04 Target</t>
  </si>
  <si>
    <t>04/05 Target</t>
  </si>
  <si>
    <t>05/06 Target</t>
  </si>
  <si>
    <t>L-ED016</t>
  </si>
  <si>
    <t>Code</t>
  </si>
  <si>
    <t>Performance Indicator</t>
  </si>
  <si>
    <t xml:space="preserve">Ealing 00/01 </t>
  </si>
  <si>
    <t xml:space="preserve">Ealing 01/02 </t>
  </si>
  <si>
    <t xml:space="preserve">Ealing 02/03 </t>
  </si>
  <si>
    <t>01/02 London Top 25%</t>
  </si>
  <si>
    <t>Comment</t>
  </si>
  <si>
    <t>BV001a</t>
  </si>
  <si>
    <t>-</t>
  </si>
  <si>
    <t>No</t>
  </si>
  <si>
    <t>N/R</t>
  </si>
  <si>
    <t>Yes</t>
  </si>
  <si>
    <t>BV001d</t>
  </si>
  <si>
    <t>BV002a</t>
  </si>
  <si>
    <t>The level (if any) of the Equality Standard for Local Government to which the authority conforms</t>
  </si>
  <si>
    <t>BV002b</t>
  </si>
  <si>
    <t>The duty to promote race equality</t>
  </si>
  <si>
    <t>BV003h</t>
  </si>
  <si>
    <t>% of citizens satisfied with the overall service provided by the authority: Overall</t>
  </si>
  <si>
    <t>Targets for 2003/04 have been based on a number of factors.  These take into consideration restructuring that is either just completing or underway.  The strategic review of access to services will also impact on resident satisfaction.</t>
  </si>
  <si>
    <t>BV004</t>
  </si>
  <si>
    <t xml:space="preserve">% of those making complaints satisfied with the handling of those complaints                                     </t>
  </si>
  <si>
    <t>BV011a</t>
  </si>
  <si>
    <t>% of top 5% earners that are women</t>
  </si>
  <si>
    <t>CI</t>
  </si>
  <si>
    <t>Indicator has changed from previous year and now covers a wider range of the workforce.</t>
  </si>
  <si>
    <t>BV011b</t>
  </si>
  <si>
    <t>% of top 5% earners from black and ethnic minority groups</t>
  </si>
  <si>
    <t>NI</t>
  </si>
  <si>
    <t>BV012</t>
  </si>
  <si>
    <t xml:space="preserve">The number of working days/shifts lost to sickness absence </t>
  </si>
  <si>
    <t>BV014</t>
  </si>
  <si>
    <t xml:space="preserve">% of employees retiring early (excluding ill-health retirements) as a % of total workforce </t>
  </si>
  <si>
    <t>BV015</t>
  </si>
  <si>
    <t xml:space="preserve">The % of employees retiring on the grounds of ill health retirements as a % of total workforce </t>
  </si>
  <si>
    <t>% of local authority employees declaring that they meet the Disability Discrimination Act 1995 disability definition  compared with the percentage of economically active disabled people in the authority area</t>
  </si>
  <si>
    <t>% of local authority employees from minority ethnic communities compared with the percentage of the economically active minority ethnic community population in the authority area</t>
  </si>
  <si>
    <t>User satisfaction with benefit administration etc</t>
  </si>
  <si>
    <t>Increase in Schools Budget on the previous year as a percentage of the increase in Schools Funding Assessment on the previous year</t>
  </si>
  <si>
    <t>% population served by kerbside or within 1km of a recycling facility</t>
  </si>
  <si>
    <t>The 2002/03 target was based previous years performance.  The 2001/02 data is to be amended to reflect accuracy with the definition to include houses in multiple occupation. In addition, there has been a change in the system of grant allocation.</t>
  </si>
  <si>
    <t>Difference is due to a change in definition for this indicator - Public Utility works are no longer included.</t>
  </si>
  <si>
    <t>Target was set prior to the introduction of the Best Value Accounting Code of Practice.</t>
  </si>
  <si>
    <t>The figure for last year was reduced due to one family of four children did not receive a review within the schedule.  As a relatively small total it was significantly affected by the small number of children. This year all children have been reviewed within schedule.</t>
  </si>
  <si>
    <t>The figure  for Adoptions has continued to rise in line with departmental policy to increase the number of children looked after who are adopted during the year.</t>
  </si>
  <si>
    <t>The 2002/03 targets was not achieved due to service re-structuring. The 2003/04 target reflects a realistic improvement in current performance.</t>
  </si>
  <si>
    <t>Change in performance is due to Trading Standards monitoring the policies outlined in this indicator.</t>
  </si>
  <si>
    <t>Increased expenditure on children leaving care funded by additional grant from the DoH.</t>
  </si>
  <si>
    <t>The Council had a lower than expected level of ill health retirement during this period.</t>
  </si>
  <si>
    <t>BV016a</t>
  </si>
  <si>
    <t>BV016b</t>
  </si>
  <si>
    <t>% of economically active disabled people in the authority area</t>
  </si>
  <si>
    <t xml:space="preserve"> -</t>
  </si>
  <si>
    <t>BV017a</t>
  </si>
  <si>
    <t>BV017b</t>
  </si>
  <si>
    <t>% of economically active ethnic community people in the authority area</t>
  </si>
  <si>
    <t>BV126</t>
  </si>
  <si>
    <t xml:space="preserve">Domestic burglaries per 1,000 households </t>
  </si>
  <si>
    <t>PSA target</t>
  </si>
  <si>
    <t>BV127e</t>
  </si>
  <si>
    <t xml:space="preserve">Violent crimes (robberies) per 1,000 population </t>
  </si>
  <si>
    <t>Ealing has performed very well in reducing robberies during 2002/03 due to the 'Safer Streets' Campaign, launched during April 2002. Through the use of a local action plan of over 100 actions covering intelligence, investigation, forensics, targeting, diversion, crime prevention, and reducing re-offending each of which focused additional resources to tackling robbery  as a priority crime.</t>
  </si>
  <si>
    <t>BV128</t>
  </si>
  <si>
    <t>Vehicle crime per 1000 population</t>
  </si>
  <si>
    <t>The introduction of the 'Safer Streets' and 'Safer Homes' during 2002/03 has prioritised police resources towards robbery and burglary, and away from vehicle crime.</t>
  </si>
  <si>
    <t>BV174</t>
  </si>
  <si>
    <t>The number of Racial incidents recorded by the authority per 100,000 population</t>
  </si>
  <si>
    <t>Increase in the number of incidents recorded reflects the implementation of the Race Equality Scheme and extensive training that has been undertaken and is still ongoing.  The council would expect this indicator to increase in line with increasing awareness in the short to medium term.</t>
  </si>
  <si>
    <t>BV175</t>
  </si>
  <si>
    <t>The number of Racial incidents that resulted in further action</t>
  </si>
  <si>
    <t>BV177</t>
  </si>
  <si>
    <t>% of authority expenditure on legal and advice services which is spent on services that have been awarded the Quality Mark and meet a priority legal need identified in the Community Legal Service Partnership Strategic Plan</t>
  </si>
  <si>
    <t>BV189a</t>
  </si>
  <si>
    <t>% Residents feel fairly/ very safe after dark whilst outside in LA area</t>
  </si>
  <si>
    <t>BV189b</t>
  </si>
  <si>
    <t>% Residents feel fairly/ very safe during the day whilst outside in LA area</t>
  </si>
  <si>
    <t>L-CEX001</t>
  </si>
  <si>
    <t xml:space="preserve">Voluntary leavers as a % of staff in post </t>
  </si>
  <si>
    <t xml:space="preserve">The drop in turnover reflects a relatively stable year.  The Council anticipates considerable levels of re-organisation over the next 3 years, so this figure is expected to rise. </t>
  </si>
  <si>
    <t>L-CEX002a</t>
  </si>
  <si>
    <t>% complaints replied to within 10 working days Chief Executive’s Office</t>
  </si>
  <si>
    <t xml:space="preserve">The difference in performance with the previous year is being investigated.  The complaints policy was reviewed last year and all departments developed action plans to ensure they covered the need to record accurate data and take into consideration the requirements of the Race Equality Scheme.   </t>
  </si>
  <si>
    <t>L-CEX002b</t>
  </si>
  <si>
    <t>% complaints replied to within 10 working days -Resources Group</t>
  </si>
  <si>
    <t>L-CEX002c</t>
  </si>
  <si>
    <t>% complaints replied to within 10 working days - Environment</t>
  </si>
  <si>
    <t>L-CEX002d</t>
  </si>
  <si>
    <t xml:space="preserve">% complaints replied to within 10 working days - Housing </t>
  </si>
  <si>
    <t>L-CEX002e</t>
  </si>
  <si>
    <t>% complaints replied to within 10 working days - Education</t>
  </si>
  <si>
    <t>L-CEX002f</t>
  </si>
  <si>
    <t>% complaints replied to within 10 working days - Social Services</t>
  </si>
  <si>
    <t>L-CEX002g</t>
  </si>
  <si>
    <t>% complaints replied to within 10 working days - Overall Cross Council</t>
  </si>
  <si>
    <t>BV008</t>
  </si>
  <si>
    <t>% of undisputed invoices which were paid in 30 days of being received</t>
  </si>
  <si>
    <t>BV009</t>
  </si>
  <si>
    <t xml:space="preserve">% of Council Tax collected </t>
  </si>
  <si>
    <t>BV010</t>
  </si>
  <si>
    <t>% of business rates which should have been collected during the year that were received</t>
  </si>
  <si>
    <t xml:space="preserve">BV076 </t>
  </si>
  <si>
    <t>Does the authority have a written and pro-active strategy for combating fraud and error</t>
  </si>
  <si>
    <t xml:space="preserve">BV076 i)
</t>
  </si>
  <si>
    <t>Housing Benefit Security. The number of claimants visited, per 1,000 caseload</t>
  </si>
  <si>
    <t>BV076 ii)</t>
  </si>
  <si>
    <t>Housing Benefit Security. The number of fraud investigators employed, per 1,000 caseload</t>
  </si>
  <si>
    <t>BV076 iii)</t>
  </si>
  <si>
    <t>Housing Benefit Security. The number of fraud investigations, per 1,000 caseload</t>
  </si>
  <si>
    <t>BV076 iv)</t>
  </si>
  <si>
    <t>Housing Benefit Security. The number of prosecutions and sanctions, per 1,000 caseload</t>
  </si>
  <si>
    <t>BV078a</t>
  </si>
  <si>
    <t>Speed of Processing Housing Benefit and Council Tax Benefit: Average time for processing new claims (days)</t>
  </si>
  <si>
    <t xml:space="preserve">A major system failure in May/June 2003 led to a significant backlog of work and resulted to increased processing times for this indicator. Despite the backlog of claims has now been cleared, it impacted on performance for the last quarter of 2002/03.   Work is continuing to meet the targets for 2003/04.  </t>
  </si>
  <si>
    <t>BV078b</t>
  </si>
  <si>
    <t>On review, the 2002/03 target was more challanging than orignally anticipated.  The target was based on achieving the upper quartile target for this indicator.  Targets for future years have been based on steady improvement in performance.</t>
  </si>
  <si>
    <t>Speed of Processing Housing Benefit and Council Tax Benefit: Average time for processing notifications of changes of circumstance (days)</t>
  </si>
  <si>
    <t>BV078c</t>
  </si>
  <si>
    <t>Speed of Processing Housing Benefit and Council Tax Benefit: % of renewal claims processed on time</t>
  </si>
  <si>
    <t>BV079a</t>
  </si>
  <si>
    <t>Accuracy of processing: % of cases for which the calculation of the amount of benefit due was correct on the basis of the information available to the determination, for a sample of cases checked post determination</t>
  </si>
  <si>
    <t>BV079b</t>
  </si>
  <si>
    <t xml:space="preserve">Accuracy of processing: % of recoverable overpayments (excluding Council Tax Benefit) that were recovered in the year </t>
  </si>
  <si>
    <t>Change in performance is due to the definition for this indicator being revised.</t>
  </si>
  <si>
    <t>BV080a</t>
  </si>
  <si>
    <t xml:space="preserve">Satisfaction with: Contact/access facilities at the benefit office </t>
  </si>
  <si>
    <t>BV080b</t>
  </si>
  <si>
    <t>Service in benefit office</t>
  </si>
  <si>
    <t>BV080c</t>
  </si>
  <si>
    <t>Telephone service</t>
  </si>
  <si>
    <t>BV080d</t>
  </si>
  <si>
    <t>Staff in benefit office</t>
  </si>
  <si>
    <t>BV080e</t>
  </si>
  <si>
    <t>Clarity etc. of forms &amp; leaflets</t>
  </si>
  <si>
    <t>BV080f</t>
  </si>
  <si>
    <t>Time taken for a decision</t>
  </si>
  <si>
    <t>BV080g</t>
  </si>
  <si>
    <t xml:space="preserve">BV156 </t>
  </si>
  <si>
    <t>% of authority buildings open to the public in which all areas are suitable for and accessible to disabled people</t>
  </si>
  <si>
    <t xml:space="preserve">The 2002/03 target has not been achieved.  A thorough access audit of operational property is underway which will identify a programme of works necessary to bring buildings up to standard. In addition the Council's programme of asset disposal will target those properties which are not "fit for purpose" and ability to be adapted to meet accessibility criteria will be a key factor.  This will diminish the number of properties which do not comply. </t>
  </si>
  <si>
    <t>BV180a (i)</t>
  </si>
  <si>
    <t>The energy consumption/m2 of local authority operational property, compared with comparable buildings in the UK as a whole-Electricity</t>
  </si>
  <si>
    <t>BV180a (ii)</t>
  </si>
  <si>
    <t>The energy consumption/m2 of local authority operational property, compared with comparable buildings in the UK as a whole-Fossil Fuels</t>
  </si>
  <si>
    <t xml:space="preserve">L-RG002      </t>
  </si>
  <si>
    <t xml:space="preserve">Net cost of collecting council tax per chargeable dwelling </t>
  </si>
  <si>
    <t>£25.57*</t>
  </si>
  <si>
    <t>L-RG003</t>
  </si>
  <si>
    <t>Number of complaints determined by the ombudsman</t>
  </si>
  <si>
    <t>L-RG004</t>
  </si>
  <si>
    <t>Number of complaints to the ombudsman classified as 'maladministration'</t>
  </si>
  <si>
    <t>L-RG005</t>
  </si>
  <si>
    <t>Number of complaints to the ombudsman classified as local settlement</t>
  </si>
  <si>
    <t xml:space="preserve">L-RG006 </t>
  </si>
  <si>
    <t xml:space="preserve">% of electoral registration Form ‘A’s’ returned </t>
  </si>
  <si>
    <t>BV003a</t>
  </si>
  <si>
    <t>% of citizens satisfied with the overall service provided by the authority: Transport Services</t>
  </si>
  <si>
    <t>BV003b</t>
  </si>
  <si>
    <t>% of citizens satisfied with the overall service provided by the authority: Environmental Services</t>
  </si>
  <si>
    <t>BV003e</t>
  </si>
  <si>
    <t>% of citizens satisfied with the overall service provided by the authority: Planning Services</t>
  </si>
  <si>
    <t>BV003f</t>
  </si>
  <si>
    <t>% of citizens satisfied with the overall service provided by the authority: Cultural &amp; Recreational Services</t>
  </si>
  <si>
    <t>BV062</t>
  </si>
  <si>
    <t>Total tonnage of waste recycled</t>
  </si>
  <si>
    <t>% SEN statements prepared within 18 weeks including those affected by “exceptions to the rule” under the SEN Code of Practice</t>
  </si>
  <si>
    <t>% of library users who found the book/info they wanted or reserved it &amp; were satisfied with that outcome</t>
  </si>
  <si>
    <t>The proportion of unfit private sector dwellings made fit or demolished as a direct result of action by the local authority</t>
  </si>
  <si>
    <t>BV082a</t>
  </si>
  <si>
    <t>% of the total tonnage of household waste arising which have been recycled</t>
  </si>
  <si>
    <t>Recycling tonnage actually increased by 1309 tonnes, over 9% in 2002/03.  Unfortunately this has not resulted in the desired impact on the overall recycling rate as total arisings have increased by over 3% in Ealing. We are working with the waste disposal authority to investigate the reasons for the excessive increase in waste generated in the borough.</t>
  </si>
  <si>
    <t>BV082b</t>
  </si>
  <si>
    <t xml:space="preserve">% of the total tonnage of household waste arising which have been composted </t>
  </si>
  <si>
    <t>BV084</t>
  </si>
  <si>
    <t>Number of kilograms of household waste collected per head</t>
  </si>
  <si>
    <t>504.1kg</t>
  </si>
  <si>
    <t>BV086</t>
  </si>
  <si>
    <t xml:space="preserve">Cost of waste collection per household </t>
  </si>
  <si>
    <t>£36.30*</t>
  </si>
  <si>
    <t>Further refinements in cost identification for the calculation have been made from when the target was set.  Additionally there has been underspend on actual cost.</t>
  </si>
  <si>
    <t>BV089</t>
  </si>
  <si>
    <t>% satisfied with the cleanliness standard in their area</t>
  </si>
  <si>
    <t>BV090a</t>
  </si>
  <si>
    <t>% satisfied with: Refuse</t>
  </si>
  <si>
    <t>BV090b</t>
  </si>
  <si>
    <t>% satisfied with: Recycling</t>
  </si>
  <si>
    <t>BV090c</t>
  </si>
  <si>
    <t>% satisfied with: Civic Amenity Sites</t>
  </si>
  <si>
    <t>BV091</t>
  </si>
  <si>
    <t xml:space="preserve">% of population resident in the authority's area served by a kerbside collection of recyclables </t>
  </si>
  <si>
    <t xml:space="preserve"> - </t>
  </si>
  <si>
    <t xml:space="preserve">Change in indicator definition has resulted in a drop in performance. </t>
  </si>
  <si>
    <t>BV095</t>
  </si>
  <si>
    <t xml:space="preserve">Average cost of a working streetlight </t>
  </si>
  <si>
    <t>£72.40*</t>
  </si>
  <si>
    <t>The improvement in the figures is due to the fact that the council has now fully completed its street lighting inventory, thus give us a accurate record of the councils street lighting stock.</t>
  </si>
  <si>
    <t xml:space="preserve">BV096       </t>
  </si>
  <si>
    <t>Condition of principal roads</t>
  </si>
  <si>
    <t>BV097a</t>
  </si>
  <si>
    <t>Condition of non-principal roads: Non-principal classified roads</t>
  </si>
  <si>
    <t>Difference in performance and target is due to the implementation of Carriageway resurfacing and Patching works, which have resulted in improvement of the road infrastructure.</t>
  </si>
  <si>
    <t>BV097b</t>
  </si>
  <si>
    <t>Condition of non-principal roads: Classified roads</t>
  </si>
  <si>
    <t>BV099a</t>
  </si>
  <si>
    <t>Road Safety: Killed and seriously injured (total)</t>
  </si>
  <si>
    <r>
      <t>PSA target</t>
    </r>
    <r>
      <rPr>
        <sz val="10"/>
        <rFont val="Arial"/>
        <family val="2"/>
      </rPr>
      <t xml:space="preserve"> - Targets are derived from 1994-1998 data and straight line reduction by 40% for killed and seriously injured and 10% slight for 2000 to 2010.  Annual variations are always likely. The  Council is working with the Met Police on a joint safety campaign in June 2003. Council prioritises sites for local safety schemes and 20 mph zones on basis of casualty reduction. </t>
    </r>
  </si>
  <si>
    <t>BV099a (i)</t>
  </si>
  <si>
    <t>Pedestrian</t>
  </si>
  <si>
    <t>BV099a (ii)</t>
  </si>
  <si>
    <t>Pedal Cyclists</t>
  </si>
  <si>
    <t>BV099a (iii)</t>
  </si>
  <si>
    <t>Two Wheeled Motor Vehicle</t>
  </si>
  <si>
    <t>BV099a (iv)</t>
  </si>
  <si>
    <t>Car Users</t>
  </si>
  <si>
    <t>BV099a (v)</t>
  </si>
  <si>
    <t>Other vehicle users</t>
  </si>
  <si>
    <t>BV099b</t>
  </si>
  <si>
    <t>Road Safety: Slightly injured (total)</t>
  </si>
  <si>
    <t>BV099b (i)</t>
  </si>
  <si>
    <t>BV099b (ii)</t>
  </si>
  <si>
    <t>BV099b (iii)</t>
  </si>
  <si>
    <t>BV099b (iv)</t>
  </si>
  <si>
    <t>BV099b (v)</t>
  </si>
  <si>
    <t xml:space="preserve">BV100 </t>
  </si>
  <si>
    <t>Number of days of temporary traffic controls or road closure on traffic sensitive roads caused by local authority road works per km of traffic sensitive road</t>
  </si>
  <si>
    <t>BV106</t>
  </si>
  <si>
    <t>% of new homes built on previously developed land</t>
  </si>
  <si>
    <t>80% is London-wide target. Opportunities for building houses on previously developed land. i.e. 'brownfield' sites, are limited in Ealing.</t>
  </si>
  <si>
    <t>BV107</t>
  </si>
  <si>
    <t xml:space="preserve">Planning cost per head of population </t>
  </si>
  <si>
    <t>£9.87*</t>
  </si>
  <si>
    <t>BV109a</t>
  </si>
  <si>
    <t>% of planning applications determined - major</t>
  </si>
  <si>
    <t xml:space="preserve">Performance during the early part of 2002/03 declined due to recruitment and retention issues for planning.  Following a pilot re-structuring, the service is now back on track to meet targets. </t>
  </si>
  <si>
    <t>BV109b</t>
  </si>
  <si>
    <t xml:space="preserve">% of planning applications determined - minor </t>
  </si>
  <si>
    <t>BV109c</t>
  </si>
  <si>
    <t xml:space="preserve">% of planning applications determined - other </t>
  </si>
  <si>
    <t>BV111</t>
  </si>
  <si>
    <t>% of planning applicants satisfied with the service received</t>
  </si>
  <si>
    <t>BV119a</t>
  </si>
  <si>
    <t>% residents satisfied with the LA Cultural services: Sports/leisure facilities</t>
  </si>
  <si>
    <t>BV119e</t>
  </si>
  <si>
    <t>% residents satisfied with the LA Cultural services: Parks and open spaces</t>
  </si>
  <si>
    <t xml:space="preserve">BV165 </t>
  </si>
  <si>
    <t xml:space="preserve">% of pedestrian crossings with facilities for disabled people </t>
  </si>
  <si>
    <t>Performance has improved as result of £200,000 invested by Council in upgrading crossings.  More crossings were upgraded than initially planned.</t>
  </si>
  <si>
    <t>BV166a</t>
  </si>
  <si>
    <t>Score against checklist of enforcement best practice for environmental health</t>
  </si>
  <si>
    <t>BV166b</t>
  </si>
  <si>
    <t>Score against checklist of enforcement best practice for trading standards</t>
  </si>
  <si>
    <t>When will the strategy be in place?</t>
  </si>
  <si>
    <t>Is there partnership support for the production of the strategy?</t>
  </si>
  <si>
    <t>Is there a Community Strategy?</t>
  </si>
  <si>
    <t xml:space="preserve">BV178 </t>
  </si>
  <si>
    <t>% of total length of footpaths and other rights of way which were easy to use by members of the public</t>
  </si>
  <si>
    <t xml:space="preserve">Variation is due to the indicator being based on a sample size of 5%. Hence performance of 72%. A revised target of 70% is proposed for 03-04, rising by 5% each year, thereafter.  This will enable the council to set targets which reduces the effect of the variance and also increase, as our Rights of Way are improved.    </t>
  </si>
  <si>
    <t>BV179</t>
  </si>
  <si>
    <t xml:space="preserve">% of standard land searches carried out in 10 working days </t>
  </si>
  <si>
    <t xml:space="preserve">BV180b
</t>
  </si>
  <si>
    <t>Average lamp circuit wattage compared with average consumption/wattage by local authorities in the UK (kWh)</t>
  </si>
  <si>
    <t>BV186a</t>
  </si>
  <si>
    <t>Principal roads not needing major repair</t>
  </si>
  <si>
    <t>BV186b</t>
  </si>
  <si>
    <t>Non-principal roads not needing major repair</t>
  </si>
  <si>
    <t>BV187</t>
  </si>
  <si>
    <t>Condition of footways</t>
  </si>
  <si>
    <t>BV188</t>
  </si>
  <si>
    <t>The number of decisions delegated to officers as a % of all decisions</t>
  </si>
  <si>
    <t>BV200a</t>
  </si>
  <si>
    <t>Plan-making-Do you have a development plan (or alterations to it) that has been adopted in the last 5 years and the end date of which has not expired?</t>
  </si>
  <si>
    <t>BV200b</t>
  </si>
  <si>
    <t>Plan-making-If ‘No’, are there proposals on deposit for an alteration or replacement, with a published timetable for adopting those alterations or the replacement plan within three years?</t>
  </si>
  <si>
    <t>L-EG003</t>
  </si>
  <si>
    <t>Number of street cleansing complaints</t>
  </si>
  <si>
    <t>The fall in reported complaints regarding street cleansing and refuse collection, reflects the improved contract performance which has been assisted by close working and development of action plans with the contractor.</t>
  </si>
  <si>
    <t>L-EG004</t>
  </si>
  <si>
    <t xml:space="preserve">Average number of refuse collection complaints per week </t>
  </si>
  <si>
    <t>L-EG005</t>
  </si>
  <si>
    <t xml:space="preserve">% of highways that are of high or acceptable standard of cleanliness </t>
  </si>
  <si>
    <t>L-EG007</t>
  </si>
  <si>
    <t>Average time taken to remove abandoned vehicles (days)</t>
  </si>
  <si>
    <t>L-EG008</t>
  </si>
  <si>
    <t>Damage to roads and pavements - % made safe within 24hrs of reporting</t>
  </si>
  <si>
    <t>L-EG009</t>
  </si>
  <si>
    <t xml:space="preserve">% of street lights not working as planned </t>
  </si>
  <si>
    <t>Change in indicator definition has resulted in a drop in performance.</t>
  </si>
  <si>
    <t>Councils on going street lighting improvement programme has resulted in the improvement .</t>
  </si>
  <si>
    <t>L-EG010b(i)</t>
  </si>
  <si>
    <t>% of playgrounds which conform to national standards local unequipped play areas</t>
  </si>
  <si>
    <t xml:space="preserve">Changes in this indicator are a result of the ongoing refurbishment and improvement programme. </t>
  </si>
  <si>
    <t>L-EG010b(ii)</t>
  </si>
  <si>
    <t>% of playgrounds which conform to national standards for local equipped play areas</t>
  </si>
  <si>
    <t>L-EG010b(iii)</t>
  </si>
  <si>
    <t>% of playgrounds which conform to national standards for larger, neighbourhood equipped play areas</t>
  </si>
  <si>
    <t>L-EG011</t>
  </si>
  <si>
    <t xml:space="preserve"> % of available allotments in use</t>
  </si>
  <si>
    <t>L-EG014</t>
  </si>
  <si>
    <t xml:space="preserve">Number of decisions on planning appeals reported during the year </t>
  </si>
  <si>
    <t>L-EG015</t>
  </si>
  <si>
    <t xml:space="preserve">% of those appeals which were successful </t>
  </si>
  <si>
    <t xml:space="preserve"> &lt;30%</t>
  </si>
  <si>
    <t>Due to the relatively small number of appeals received overall, the variance from target in 02/03 resulted from an additional 4 appeals being allowed.  This number is not significant within the overall total of 132 appeals for that year.</t>
  </si>
  <si>
    <t>L-EG016a</t>
  </si>
  <si>
    <t>% of food premises inspections that should have been carried out, were carried out for high risk</t>
  </si>
  <si>
    <t>L-EG016b</t>
  </si>
  <si>
    <t>% of food premises inspections that should have been carried out, were carried out for low risk</t>
  </si>
  <si>
    <t>Improvement last year was a result of a more focused resource at food safety inspections following a restructuring of the service.</t>
  </si>
  <si>
    <t>L-EG022a</t>
  </si>
  <si>
    <t>Number of swims and other visits per 1,000 population</t>
  </si>
  <si>
    <t>L-EG023</t>
  </si>
  <si>
    <t>Number of leased Council pitches as a % of total Council managed pitches</t>
  </si>
  <si>
    <t>The target was not achieved due to the Tennis Centre Lease agreement for Lammas Park not being completed as planned.  This is now expected to be in place for 2003/04.</t>
  </si>
  <si>
    <t>L-EG028b</t>
  </si>
  <si>
    <t>The net cost per swim/visit</t>
  </si>
  <si>
    <t>£1.06*</t>
  </si>
  <si>
    <t xml:space="preserve">L-EG029 </t>
  </si>
  <si>
    <t xml:space="preserve">Net spending per head of population on environmental health and consumer protection </t>
  </si>
  <si>
    <t>£11.16*</t>
  </si>
  <si>
    <t>L-EG030</t>
  </si>
  <si>
    <t>Standard land search fee</t>
  </si>
  <si>
    <t>L-EG034</t>
  </si>
  <si>
    <t>L-EG035</t>
  </si>
  <si>
    <t>BV003g</t>
  </si>
  <si>
    <t>% of citizens satisfied with the overall service provided by the authority: Housing Services</t>
  </si>
  <si>
    <t xml:space="preserve">BV063 </t>
  </si>
  <si>
    <t xml:space="preserve">Energy Efficiency - the average SAP rating of local authority owned dwellings </t>
  </si>
  <si>
    <t>BV064</t>
  </si>
  <si>
    <t>The number of private sector dwellings that are returned into occupation or demolished during 2002/03 as a direct result of action by the local authority</t>
  </si>
  <si>
    <t>Performance has increased and exceeded target as a result of a new team being established in the housing service.  This is combined with the availability of additional funding and a lower average spend per property, resulted in a higher final figure.</t>
  </si>
  <si>
    <t>BV066a</t>
  </si>
  <si>
    <t>Local authority rent collection and arrears: proportion of rent collected</t>
  </si>
  <si>
    <t>BV074</t>
  </si>
  <si>
    <t>Tenant satisfaction with overall service</t>
  </si>
  <si>
    <t>BV074(i)</t>
  </si>
  <si>
    <t>% Black and minority ethnic - Tenant satisfaction with overall service</t>
  </si>
  <si>
    <t xml:space="preserve">BV074(ii)
</t>
  </si>
  <si>
    <t>% Non-black and minority ethnic tenants - Tenant satisfaction with overall satisfaction</t>
  </si>
  <si>
    <t xml:space="preserve">BV075
</t>
  </si>
  <si>
    <t>BV075(i)</t>
  </si>
  <si>
    <t xml:space="preserve">% Black and minority ethnic </t>
  </si>
  <si>
    <t>BV075(ii)</t>
  </si>
  <si>
    <t>% Non-black and minority ethnic tenants</t>
  </si>
  <si>
    <t xml:space="preserve">BV164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</si>
</sst>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6" formatCode="&quot;£&quot;#,##0_);[Red]\(&quot;£&quot;#,##0\)"/>
    <numFmt numFmtId="8" formatCode="&quot;£&quot;#,##0.00_);[Red]\(&quot;£&quot;#,##0.00\)"/>
    <numFmt numFmtId="167" formatCode="&quot;£&quot;#,##0.00_);[Red]\(&quot;£&quot;#,##0.00\)"/>
    <numFmt numFmtId="172" formatCode="0.0%"/>
    <numFmt numFmtId="173" formatCode="0.0"/>
    <numFmt numFmtId="174" formatCode="&quot;£&quot;#,##0.000;[Red]\-&quot;£&quot;#,##0.000"/>
  </numFmts>
  <fonts count="4" x14ac:knownFonts="1">
    <font>
      <sz val="10"/>
      <name val="Arial"/>
    </font>
    <font>
      <sz val="10"/>
      <name val="Arial"/>
    </font>
    <font>
      <sz val="10"/>
      <name val="Arial"/>
      <family val="2"/>
    </font>
    <font>
      <b/>
      <sz val="10"/>
      <name val="Arial"/>
      <family val="2"/>
    </font>
  </fonts>
  <fills count="4">
    <fill>
      <patternFill patternType="none"/>
    </fill>
    <fill>
      <patternFill patternType="gray125"/>
    </fill>
    <fill>
      <patternFill patternType="solid">
        <fgColor indexed="43"/>
        <bgColor indexed="64"/>
      </patternFill>
    </fill>
    <fill>
      <patternFill patternType="solid">
        <fgColor indexed="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59">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2" fillId="2" borderId="1" xfId="0" quotePrefix="1" applyFont="1" applyFill="1" applyBorder="1" applyAlignment="1">
      <alignment horizontal="center" vertical="center" wrapText="1"/>
    </xf>
    <xf numFmtId="0" fontId="2" fillId="0" borderId="0" xfId="0" applyFont="1"/>
    <xf numFmtId="0" fontId="0" fillId="0" borderId="1" xfId="0"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2" fontId="2" fillId="0" borderId="1" xfId="0" applyNumberFormat="1" applyFont="1" applyFill="1" applyBorder="1" applyAlignment="1">
      <alignment horizontal="center" vertical="center" wrapText="1"/>
    </xf>
    <xf numFmtId="0" fontId="2" fillId="0" borderId="1" xfId="0" applyFont="1" applyFill="1" applyBorder="1" applyAlignment="1">
      <alignment vertical="center" wrapText="1"/>
    </xf>
    <xf numFmtId="17" fontId="2" fillId="0" borderId="1" xfId="0" applyNumberFormat="1" applyFont="1" applyFill="1" applyBorder="1" applyAlignment="1">
      <alignment horizontal="center" vertical="center" wrapText="1"/>
    </xf>
    <xf numFmtId="0" fontId="3" fillId="0" borderId="1" xfId="0" applyFont="1" applyFill="1" applyBorder="1" applyAlignment="1">
      <alignment horizontal="center" vertical="center" wrapText="1"/>
    </xf>
    <xf numFmtId="9" fontId="2" fillId="0" borderId="1" xfId="0" applyNumberFormat="1" applyFont="1" applyFill="1" applyBorder="1" applyAlignment="1">
      <alignment horizontal="center" vertical="center" wrapText="1"/>
    </xf>
    <xf numFmtId="172" fontId="2" fillId="0" borderId="1" xfId="0" applyNumberFormat="1" applyFont="1" applyFill="1" applyBorder="1" applyAlignment="1">
      <alignment horizontal="center" vertical="center" wrapText="1"/>
    </xf>
    <xf numFmtId="10" fontId="2" fillId="0" borderId="1"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9" fontId="2" fillId="0" borderId="1" xfId="1" applyFont="1" applyFill="1" applyBorder="1" applyAlignment="1">
      <alignment horizontal="center" vertical="center" wrapText="1"/>
    </xf>
    <xf numFmtId="10" fontId="0" fillId="0" borderId="1" xfId="0" applyNumberFormat="1" applyFill="1" applyBorder="1" applyAlignment="1">
      <alignment horizontal="center" vertical="center" wrapText="1"/>
    </xf>
    <xf numFmtId="0" fontId="3" fillId="0" borderId="1" xfId="0" applyFont="1" applyFill="1" applyBorder="1" applyAlignment="1">
      <alignment vertical="center" wrapText="1"/>
    </xf>
    <xf numFmtId="173" fontId="2" fillId="0" borderId="1" xfId="0" applyNumberFormat="1" applyFont="1" applyFill="1" applyBorder="1" applyAlignment="1">
      <alignment horizontal="center" vertical="center" wrapText="1"/>
    </xf>
    <xf numFmtId="173" fontId="2" fillId="0" borderId="1" xfId="1" applyNumberFormat="1" applyFont="1" applyFill="1" applyBorder="1" applyAlignment="1">
      <alignment horizontal="center" vertical="center" wrapText="1"/>
    </xf>
    <xf numFmtId="172" fontId="0" fillId="0" borderId="1" xfId="0" applyNumberFormat="1" applyFill="1" applyBorder="1" applyAlignment="1">
      <alignment horizontal="center" vertical="center" wrapText="1"/>
    </xf>
    <xf numFmtId="9" fontId="2" fillId="0" borderId="1" xfId="0" applyNumberFormat="1" applyFont="1" applyBorder="1" applyAlignment="1">
      <alignment horizontal="center" vertical="center"/>
    </xf>
    <xf numFmtId="49" fontId="2" fillId="0" borderId="1" xfId="0" applyNumberFormat="1" applyFont="1" applyFill="1" applyBorder="1" applyAlignment="1">
      <alignment vertical="center" wrapText="1"/>
    </xf>
    <xf numFmtId="0" fontId="2" fillId="0" borderId="1" xfId="0" applyFont="1" applyBorder="1" applyAlignment="1">
      <alignment horizontal="center" vertical="center"/>
    </xf>
    <xf numFmtId="0" fontId="2" fillId="2" borderId="1" xfId="0" applyFont="1" applyFill="1" applyBorder="1" applyAlignment="1">
      <alignment vertical="center" wrapText="1"/>
    </xf>
    <xf numFmtId="172" fontId="2" fillId="0" borderId="1" xfId="0" applyNumberFormat="1" applyFont="1" applyFill="1" applyBorder="1" applyAlignment="1">
      <alignment horizontal="left" vertical="center" wrapText="1"/>
    </xf>
    <xf numFmtId="0" fontId="2" fillId="0" borderId="1" xfId="0" applyFont="1" applyFill="1" applyBorder="1" applyAlignment="1">
      <alignment horizontal="center" vertical="center"/>
    </xf>
    <xf numFmtId="172" fontId="2" fillId="0" borderId="1" xfId="1" applyNumberFormat="1" applyFont="1" applyFill="1" applyBorder="1" applyAlignment="1">
      <alignment horizontal="center" vertical="center" wrapText="1"/>
    </xf>
    <xf numFmtId="10" fontId="2" fillId="0" borderId="1" xfId="1" applyNumberFormat="1" applyFont="1" applyFill="1" applyBorder="1" applyAlignment="1">
      <alignment horizontal="center" vertical="center" wrapText="1"/>
    </xf>
    <xf numFmtId="8" fontId="2" fillId="0" borderId="1" xfId="0" applyNumberFormat="1" applyFont="1" applyFill="1" applyBorder="1" applyAlignment="1">
      <alignment horizontal="center" vertical="center" wrapText="1"/>
    </xf>
    <xf numFmtId="0" fontId="2" fillId="0" borderId="2" xfId="0" applyFont="1" applyFill="1" applyBorder="1" applyAlignment="1">
      <alignment horizontal="left" vertical="center" wrapText="1"/>
    </xf>
    <xf numFmtId="174" fontId="2" fillId="3" borderId="1" xfId="0" applyNumberFormat="1" applyFont="1" applyFill="1" applyBorder="1" applyAlignment="1">
      <alignment horizontal="center" vertical="center" wrapText="1"/>
    </xf>
    <xf numFmtId="8" fontId="2" fillId="3" borderId="1" xfId="0" applyNumberFormat="1" applyFont="1" applyFill="1" applyBorder="1" applyAlignment="1">
      <alignment horizontal="center" vertical="center" wrapText="1"/>
    </xf>
    <xf numFmtId="0" fontId="0" fillId="0" borderId="1" xfId="0" applyBorder="1" applyAlignment="1">
      <alignment horizontal="left" vertical="center" wrapText="1"/>
    </xf>
    <xf numFmtId="10" fontId="2" fillId="0" borderId="1" xfId="0" applyNumberFormat="1" applyFont="1" applyFill="1" applyBorder="1" applyAlignment="1">
      <alignment horizontal="center" vertical="center"/>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1" fontId="2" fillId="0" borderId="1" xfId="0" applyNumberFormat="1" applyFont="1" applyFill="1" applyBorder="1" applyAlignment="1">
      <alignment horizontal="center" vertical="center" wrapText="1"/>
    </xf>
    <xf numFmtId="3" fontId="2" fillId="0" borderId="1" xfId="0" applyNumberFormat="1" applyFont="1" applyFill="1" applyBorder="1" applyAlignment="1">
      <alignment horizontal="center" vertical="center" wrapText="1"/>
    </xf>
    <xf numFmtId="6" fontId="2" fillId="0" borderId="1" xfId="0" applyNumberFormat="1" applyFont="1" applyFill="1" applyBorder="1" applyAlignment="1">
      <alignment horizontal="center" vertical="center" wrapText="1"/>
    </xf>
    <xf numFmtId="0" fontId="2" fillId="2" borderId="1" xfId="0" applyFont="1" applyFill="1" applyBorder="1" applyAlignment="1">
      <alignment horizontal="left" vertical="center"/>
    </xf>
    <xf numFmtId="0" fontId="2" fillId="0" borderId="1" xfId="1" applyNumberFormat="1" applyFont="1" applyFill="1" applyBorder="1" applyAlignment="1">
      <alignment horizontal="center" vertical="center" wrapText="1"/>
    </xf>
    <xf numFmtId="9" fontId="0" fillId="0" borderId="1" xfId="0" applyNumberFormat="1" applyFill="1" applyBorder="1" applyAlignment="1">
      <alignment horizontal="center" vertical="center" wrapText="1"/>
    </xf>
    <xf numFmtId="8" fontId="0" fillId="0" borderId="1" xfId="0" applyNumberFormat="1" applyFill="1" applyBorder="1" applyAlignment="1">
      <alignment horizontal="center" vertical="center" wrapText="1"/>
    </xf>
    <xf numFmtId="9" fontId="2" fillId="0" borderId="1" xfId="0" applyNumberFormat="1" applyFont="1" applyFill="1" applyBorder="1" applyAlignment="1">
      <alignment horizontal="center" vertical="center"/>
    </xf>
    <xf numFmtId="6" fontId="0" fillId="0" borderId="1" xfId="0" applyNumberFormat="1" applyFill="1" applyBorder="1" applyAlignment="1">
      <alignment horizontal="center" vertical="center" wrapText="1"/>
    </xf>
    <xf numFmtId="167" fontId="2" fillId="0" borderId="1" xfId="0" applyNumberFormat="1" applyFont="1" applyFill="1" applyBorder="1" applyAlignment="1">
      <alignment horizontal="center" vertical="center"/>
    </xf>
    <xf numFmtId="0" fontId="2" fillId="0" borderId="1" xfId="0" applyFont="1" applyBorder="1" applyAlignment="1">
      <alignment vertical="center" wrapText="1"/>
    </xf>
    <xf numFmtId="0" fontId="0" fillId="0" borderId="1" xfId="0" applyBorder="1" applyAlignment="1">
      <alignment vertical="center" wrapText="1"/>
    </xf>
    <xf numFmtId="0" fontId="2" fillId="0" borderId="1" xfId="0" applyFont="1" applyBorder="1" applyAlignment="1">
      <alignment vertical="center"/>
    </xf>
    <xf numFmtId="0" fontId="0" fillId="0" borderId="1" xfId="0" applyFill="1" applyBorder="1" applyAlignment="1">
      <alignment horizontal="left" vertical="center" wrapText="1"/>
    </xf>
    <xf numFmtId="0" fontId="0" fillId="0" borderId="1" xfId="0" applyBorder="1" applyAlignment="1">
      <alignment vertical="center"/>
    </xf>
    <xf numFmtId="0" fontId="0" fillId="0" borderId="0" xfId="0" applyAlignment="1">
      <alignment vertical="center"/>
    </xf>
    <xf numFmtId="0" fontId="2" fillId="0" borderId="1" xfId="0" applyFont="1" applyFill="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0"/>
  <sheetViews>
    <sheetView tabSelected="1" view="pageBreakPreview" zoomScale="60" zoomScaleNormal="75" workbookViewId="0">
      <pane xSplit="1" ySplit="1" topLeftCell="B2" activePane="bottomRight" state="frozenSplit"/>
      <selection pane="topRight"/>
      <selection pane="bottomLeft"/>
      <selection pane="bottomRight" activeCell="J22" sqref="J22"/>
    </sheetView>
  </sheetViews>
  <sheetFormatPr defaultRowHeight="12.5" x14ac:dyDescent="0.25"/>
  <cols>
    <col min="1" max="1" width="13.81640625" customWidth="1"/>
    <col min="2" max="2" width="30.26953125" style="53" customWidth="1"/>
    <col min="3" max="5" width="8.453125" customWidth="1"/>
    <col min="6" max="6" width="8.1796875" customWidth="1"/>
    <col min="8" max="10" width="8.453125" customWidth="1"/>
    <col min="11" max="11" width="32" style="53" customWidth="1"/>
  </cols>
  <sheetData>
    <row r="1" spans="1:11" s="4" customFormat="1" ht="57" customHeight="1" x14ac:dyDescent="0.25">
      <c r="A1" s="1" t="s">
        <v>230</v>
      </c>
      <c r="B1" s="2" t="s">
        <v>231</v>
      </c>
      <c r="C1" s="1" t="s">
        <v>232</v>
      </c>
      <c r="D1" s="1" t="s">
        <v>233</v>
      </c>
      <c r="E1" s="1" t="s">
        <v>234</v>
      </c>
      <c r="F1" s="3" t="s">
        <v>225</v>
      </c>
      <c r="G1" s="1" t="s">
        <v>235</v>
      </c>
      <c r="H1" s="1" t="s">
        <v>226</v>
      </c>
      <c r="I1" s="1" t="s">
        <v>227</v>
      </c>
      <c r="J1" s="1" t="s">
        <v>228</v>
      </c>
      <c r="K1" s="3" t="s">
        <v>236</v>
      </c>
    </row>
    <row r="2" spans="1:11" ht="24.75" customHeight="1" x14ac:dyDescent="0.25">
      <c r="A2" s="2" t="s">
        <v>237</v>
      </c>
      <c r="B2" s="7" t="s">
        <v>482</v>
      </c>
      <c r="C2" s="6" t="s">
        <v>238</v>
      </c>
      <c r="D2" s="6" t="s">
        <v>238</v>
      </c>
      <c r="E2" s="6" t="s">
        <v>239</v>
      </c>
      <c r="F2" s="6" t="s">
        <v>240</v>
      </c>
      <c r="G2" s="6" t="s">
        <v>238</v>
      </c>
      <c r="H2" s="6" t="s">
        <v>241</v>
      </c>
      <c r="I2" s="6" t="s">
        <v>240</v>
      </c>
      <c r="J2" s="6" t="s">
        <v>240</v>
      </c>
      <c r="K2" s="9"/>
    </row>
    <row r="3" spans="1:11" ht="27.75" customHeight="1" x14ac:dyDescent="0.25">
      <c r="A3" s="2" t="s">
        <v>242</v>
      </c>
      <c r="B3" s="7" t="s">
        <v>480</v>
      </c>
      <c r="C3" s="6" t="s">
        <v>238</v>
      </c>
      <c r="D3" s="6" t="s">
        <v>238</v>
      </c>
      <c r="E3" s="6" t="s">
        <v>238</v>
      </c>
      <c r="F3" s="10">
        <v>37681</v>
      </c>
      <c r="G3" s="6" t="s">
        <v>238</v>
      </c>
      <c r="H3" s="10">
        <v>37773</v>
      </c>
      <c r="I3" s="6" t="s">
        <v>240</v>
      </c>
      <c r="J3" s="6" t="s">
        <v>240</v>
      </c>
      <c r="K3" s="9"/>
    </row>
    <row r="4" spans="1:11" ht="39" customHeight="1" x14ac:dyDescent="0.25">
      <c r="A4" s="2" t="s">
        <v>242</v>
      </c>
      <c r="B4" s="7" t="s">
        <v>481</v>
      </c>
      <c r="C4" s="6" t="s">
        <v>238</v>
      </c>
      <c r="D4" s="6" t="s">
        <v>238</v>
      </c>
      <c r="E4" s="10" t="s">
        <v>241</v>
      </c>
      <c r="F4" s="6" t="s">
        <v>240</v>
      </c>
      <c r="G4" s="6" t="s">
        <v>238</v>
      </c>
      <c r="H4" s="6" t="s">
        <v>241</v>
      </c>
      <c r="I4" s="6" t="s">
        <v>240</v>
      </c>
      <c r="J4" s="6" t="s">
        <v>240</v>
      </c>
      <c r="K4" s="9"/>
    </row>
    <row r="5" spans="1:11" ht="37.5" x14ac:dyDescent="0.25">
      <c r="A5" s="2" t="s">
        <v>243</v>
      </c>
      <c r="B5" s="7" t="s">
        <v>244</v>
      </c>
      <c r="C5" s="6" t="s">
        <v>238</v>
      </c>
      <c r="D5" s="6" t="s">
        <v>238</v>
      </c>
      <c r="E5" s="11">
        <v>2</v>
      </c>
      <c r="F5" s="6">
        <v>2</v>
      </c>
      <c r="G5" s="5">
        <v>2</v>
      </c>
      <c r="H5" s="6">
        <v>3</v>
      </c>
      <c r="I5" s="6">
        <v>3</v>
      </c>
      <c r="J5" s="6">
        <v>4</v>
      </c>
      <c r="K5" s="9"/>
    </row>
    <row r="6" spans="1:11" ht="25.5" customHeight="1" x14ac:dyDescent="0.25">
      <c r="A6" s="2" t="s">
        <v>245</v>
      </c>
      <c r="B6" s="7" t="s">
        <v>246</v>
      </c>
      <c r="C6" s="6" t="s">
        <v>238</v>
      </c>
      <c r="D6" s="6" t="s">
        <v>238</v>
      </c>
      <c r="E6" s="12">
        <v>0.6</v>
      </c>
      <c r="F6" s="6" t="s">
        <v>240</v>
      </c>
      <c r="G6" s="6" t="s">
        <v>238</v>
      </c>
      <c r="H6" s="12">
        <v>0.75</v>
      </c>
      <c r="I6" s="12">
        <v>0.8</v>
      </c>
      <c r="J6" s="12">
        <v>0.85</v>
      </c>
      <c r="K6" s="9"/>
    </row>
    <row r="7" spans="1:11" ht="37.5" x14ac:dyDescent="0.25">
      <c r="A7" s="25" t="s">
        <v>384</v>
      </c>
      <c r="B7" s="7" t="s">
        <v>385</v>
      </c>
      <c r="C7" s="12">
        <v>0.45</v>
      </c>
      <c r="D7" s="6" t="s">
        <v>282</v>
      </c>
      <c r="E7" s="12" t="s">
        <v>240</v>
      </c>
      <c r="F7" s="12" t="s">
        <v>240</v>
      </c>
      <c r="G7" s="6" t="s">
        <v>282</v>
      </c>
      <c r="H7" s="12">
        <v>0.55000000000000004</v>
      </c>
      <c r="I7" s="12" t="s">
        <v>240</v>
      </c>
      <c r="J7" s="12" t="s">
        <v>240</v>
      </c>
      <c r="K7" s="9"/>
    </row>
    <row r="8" spans="1:11" ht="37.5" x14ac:dyDescent="0.25">
      <c r="A8" s="25" t="s">
        <v>386</v>
      </c>
      <c r="B8" s="7" t="s">
        <v>387</v>
      </c>
      <c r="C8" s="12">
        <v>0.5</v>
      </c>
      <c r="D8" s="6" t="s">
        <v>282</v>
      </c>
      <c r="E8" s="12" t="s">
        <v>240</v>
      </c>
      <c r="F8" s="12" t="s">
        <v>240</v>
      </c>
      <c r="G8" s="6" t="s">
        <v>282</v>
      </c>
      <c r="H8" s="12">
        <v>0.51</v>
      </c>
      <c r="I8" s="12" t="s">
        <v>240</v>
      </c>
      <c r="J8" s="12" t="s">
        <v>240</v>
      </c>
      <c r="K8" s="9"/>
    </row>
    <row r="9" spans="1:11" ht="50" x14ac:dyDescent="0.25">
      <c r="A9" s="25" t="s">
        <v>95</v>
      </c>
      <c r="B9" s="7" t="s">
        <v>96</v>
      </c>
      <c r="C9" s="12">
        <v>0.38</v>
      </c>
      <c r="D9" s="6" t="s">
        <v>282</v>
      </c>
      <c r="E9" s="12" t="s">
        <v>240</v>
      </c>
      <c r="F9" s="12" t="s">
        <v>240</v>
      </c>
      <c r="G9" s="6" t="s">
        <v>282</v>
      </c>
      <c r="H9" s="12">
        <v>0.45</v>
      </c>
      <c r="I9" s="12" t="s">
        <v>240</v>
      </c>
      <c r="J9" s="12" t="s">
        <v>240</v>
      </c>
      <c r="K9" s="9"/>
    </row>
    <row r="10" spans="1:11" ht="54.75" customHeight="1" x14ac:dyDescent="0.25">
      <c r="A10" s="25" t="s">
        <v>24</v>
      </c>
      <c r="B10" s="7" t="s">
        <v>25</v>
      </c>
      <c r="C10" s="12">
        <v>0.24</v>
      </c>
      <c r="D10" s="6" t="s">
        <v>282</v>
      </c>
      <c r="E10" s="12" t="s">
        <v>240</v>
      </c>
      <c r="F10" s="12" t="s">
        <v>240</v>
      </c>
      <c r="G10" s="6" t="s">
        <v>282</v>
      </c>
      <c r="H10" s="12">
        <v>0.25</v>
      </c>
      <c r="I10" s="12" t="s">
        <v>240</v>
      </c>
      <c r="J10" s="12" t="s">
        <v>240</v>
      </c>
      <c r="K10" s="9"/>
    </row>
    <row r="11" spans="1:11" ht="37.5" x14ac:dyDescent="0.25">
      <c r="A11" s="25" t="s">
        <v>388</v>
      </c>
      <c r="B11" s="7" t="s">
        <v>389</v>
      </c>
      <c r="C11" s="12">
        <v>0.25</v>
      </c>
      <c r="D11" s="6" t="s">
        <v>282</v>
      </c>
      <c r="E11" s="12" t="s">
        <v>240</v>
      </c>
      <c r="F11" s="12" t="s">
        <v>240</v>
      </c>
      <c r="G11" s="6" t="s">
        <v>282</v>
      </c>
      <c r="H11" s="12">
        <v>0.27</v>
      </c>
      <c r="I11" s="12" t="s">
        <v>240</v>
      </c>
      <c r="J11" s="12" t="s">
        <v>240</v>
      </c>
      <c r="K11" s="9"/>
    </row>
    <row r="12" spans="1:11" ht="52.5" customHeight="1" x14ac:dyDescent="0.25">
      <c r="A12" s="25" t="s">
        <v>390</v>
      </c>
      <c r="B12" s="7" t="s">
        <v>391</v>
      </c>
      <c r="C12" s="12">
        <v>0.44</v>
      </c>
      <c r="D12" s="6" t="s">
        <v>282</v>
      </c>
      <c r="E12" s="12" t="s">
        <v>240</v>
      </c>
      <c r="F12" s="12" t="s">
        <v>240</v>
      </c>
      <c r="G12" s="6" t="s">
        <v>282</v>
      </c>
      <c r="H12" s="12">
        <v>0.46</v>
      </c>
      <c r="I12" s="12" t="s">
        <v>240</v>
      </c>
      <c r="J12" s="12" t="s">
        <v>240</v>
      </c>
      <c r="K12" s="9"/>
    </row>
    <row r="13" spans="1:11" ht="37.5" x14ac:dyDescent="0.25">
      <c r="A13" s="2" t="s">
        <v>552</v>
      </c>
      <c r="B13" s="7" t="s">
        <v>553</v>
      </c>
      <c r="C13" s="12">
        <v>0.21</v>
      </c>
      <c r="D13" s="6" t="s">
        <v>282</v>
      </c>
      <c r="E13" s="12" t="s">
        <v>240</v>
      </c>
      <c r="F13" s="12" t="s">
        <v>240</v>
      </c>
      <c r="G13" s="6" t="s">
        <v>282</v>
      </c>
      <c r="H13" s="12">
        <v>0.23</v>
      </c>
      <c r="I13" s="12" t="s">
        <v>240</v>
      </c>
      <c r="J13" s="12" t="s">
        <v>240</v>
      </c>
      <c r="K13" s="9"/>
    </row>
    <row r="14" spans="1:11" ht="49.5" customHeight="1" x14ac:dyDescent="0.25">
      <c r="A14" s="2" t="s">
        <v>247</v>
      </c>
      <c r="B14" s="7" t="s">
        <v>248</v>
      </c>
      <c r="C14" s="12">
        <v>0.49</v>
      </c>
      <c r="D14" s="6" t="s">
        <v>240</v>
      </c>
      <c r="E14" s="6" t="s">
        <v>240</v>
      </c>
      <c r="F14" s="6" t="s">
        <v>240</v>
      </c>
      <c r="G14" s="6" t="s">
        <v>238</v>
      </c>
      <c r="H14" s="12">
        <v>0.5</v>
      </c>
      <c r="I14" s="6" t="s">
        <v>240</v>
      </c>
      <c r="J14" s="6" t="s">
        <v>240</v>
      </c>
      <c r="K14" s="54" t="s">
        <v>249</v>
      </c>
    </row>
    <row r="15" spans="1:11" ht="60.75" customHeight="1" x14ac:dyDescent="0.25">
      <c r="A15" s="2" t="s">
        <v>250</v>
      </c>
      <c r="B15" s="7" t="s">
        <v>251</v>
      </c>
      <c r="C15" s="12">
        <v>0.32</v>
      </c>
      <c r="D15" s="6" t="s">
        <v>240</v>
      </c>
      <c r="E15" s="6" t="s">
        <v>240</v>
      </c>
      <c r="F15" s="6" t="s">
        <v>240</v>
      </c>
      <c r="G15" s="6" t="s">
        <v>238</v>
      </c>
      <c r="H15" s="12">
        <v>0.3</v>
      </c>
      <c r="I15" s="6" t="s">
        <v>240</v>
      </c>
      <c r="J15" s="6" t="s">
        <v>240</v>
      </c>
      <c r="K15" s="54"/>
    </row>
    <row r="16" spans="1:11" ht="37.5" x14ac:dyDescent="0.25">
      <c r="A16" s="25" t="s">
        <v>324</v>
      </c>
      <c r="B16" s="7" t="s">
        <v>325</v>
      </c>
      <c r="C16" s="12">
        <v>0.66</v>
      </c>
      <c r="D16" s="12">
        <v>0.7</v>
      </c>
      <c r="E16" s="13">
        <v>0.72299999999999998</v>
      </c>
      <c r="F16" s="12">
        <v>0.82</v>
      </c>
      <c r="G16" s="43">
        <v>0.84</v>
      </c>
      <c r="H16" s="12">
        <v>0.8</v>
      </c>
      <c r="I16" s="12">
        <v>0.9</v>
      </c>
      <c r="J16" s="12">
        <v>0.95</v>
      </c>
      <c r="K16" s="9"/>
    </row>
    <row r="17" spans="1:11" ht="30" customHeight="1" x14ac:dyDescent="0.25">
      <c r="A17" s="25" t="s">
        <v>326</v>
      </c>
      <c r="B17" s="7" t="s">
        <v>327</v>
      </c>
      <c r="C17" s="13">
        <v>0.93400000000000005</v>
      </c>
      <c r="D17" s="14">
        <v>0.94099999999999995</v>
      </c>
      <c r="E17" s="13">
        <v>0.94599999999999995</v>
      </c>
      <c r="F17" s="14">
        <v>0.95250000000000001</v>
      </c>
      <c r="G17" s="21">
        <v>0.96</v>
      </c>
      <c r="H17" s="13">
        <v>0.95299999999999996</v>
      </c>
      <c r="I17" s="13">
        <v>0.95399999999999996</v>
      </c>
      <c r="J17" s="13">
        <v>0.95499999999999996</v>
      </c>
      <c r="K17" s="9"/>
    </row>
    <row r="18" spans="1:11" ht="37.5" x14ac:dyDescent="0.25">
      <c r="A18" s="25" t="s">
        <v>328</v>
      </c>
      <c r="B18" s="7" t="s">
        <v>329</v>
      </c>
      <c r="C18" s="13">
        <v>0.98499999999999999</v>
      </c>
      <c r="D18" s="14">
        <v>0.98699999999999999</v>
      </c>
      <c r="E18" s="13">
        <v>0.98899999999999999</v>
      </c>
      <c r="F18" s="14">
        <v>0.98750000000000004</v>
      </c>
      <c r="G18" s="21">
        <v>0.99</v>
      </c>
      <c r="H18" s="14">
        <v>0.98799999999999999</v>
      </c>
      <c r="I18" s="14">
        <v>0.98850000000000005</v>
      </c>
      <c r="J18" s="14">
        <v>0.98899999999999999</v>
      </c>
      <c r="K18" s="18"/>
    </row>
    <row r="19" spans="1:11" ht="47.25" customHeight="1" x14ac:dyDescent="0.25">
      <c r="A19" s="2" t="s">
        <v>252</v>
      </c>
      <c r="B19" s="7" t="s">
        <v>253</v>
      </c>
      <c r="C19" s="6" t="s">
        <v>238</v>
      </c>
      <c r="D19" s="6" t="s">
        <v>238</v>
      </c>
      <c r="E19" s="13">
        <v>0.37219999999999998</v>
      </c>
      <c r="F19" s="14" t="s">
        <v>254</v>
      </c>
      <c r="G19" s="6" t="s">
        <v>238</v>
      </c>
      <c r="H19" s="12">
        <v>0.4</v>
      </c>
      <c r="I19" s="14">
        <v>0.42499999999999999</v>
      </c>
      <c r="J19" s="14">
        <v>0.45</v>
      </c>
      <c r="K19" s="9" t="s">
        <v>255</v>
      </c>
    </row>
    <row r="20" spans="1:11" ht="36.75" customHeight="1" x14ac:dyDescent="0.25">
      <c r="A20" s="2" t="s">
        <v>256</v>
      </c>
      <c r="B20" s="7" t="s">
        <v>257</v>
      </c>
      <c r="C20" s="6" t="s">
        <v>238</v>
      </c>
      <c r="D20" s="6" t="s">
        <v>238</v>
      </c>
      <c r="E20" s="13">
        <v>0.17219999999999999</v>
      </c>
      <c r="F20" s="6" t="s">
        <v>258</v>
      </c>
      <c r="G20" s="6" t="s">
        <v>238</v>
      </c>
      <c r="H20" s="14">
        <v>0.185</v>
      </c>
      <c r="I20" s="14">
        <v>0.2</v>
      </c>
      <c r="J20" s="14">
        <v>0.22500000000000001</v>
      </c>
      <c r="K20" s="48"/>
    </row>
    <row r="21" spans="1:11" ht="97.5" customHeight="1" x14ac:dyDescent="0.25">
      <c r="A21" s="2" t="s">
        <v>259</v>
      </c>
      <c r="B21" s="7" t="s">
        <v>260</v>
      </c>
      <c r="C21" s="15">
        <v>10.98</v>
      </c>
      <c r="D21" s="8">
        <v>13.32</v>
      </c>
      <c r="E21" s="8">
        <v>12.26</v>
      </c>
      <c r="F21" s="8">
        <v>8</v>
      </c>
      <c r="G21" s="15">
        <v>8.8000000000000007</v>
      </c>
      <c r="H21" s="8">
        <v>11</v>
      </c>
      <c r="I21" s="8">
        <v>10</v>
      </c>
      <c r="J21" s="8">
        <v>9</v>
      </c>
      <c r="K21" s="9" t="s">
        <v>344</v>
      </c>
    </row>
    <row r="22" spans="1:11" ht="87.75" customHeight="1" x14ac:dyDescent="0.25">
      <c r="A22" s="2" t="s">
        <v>261</v>
      </c>
      <c r="B22" s="7" t="s">
        <v>262</v>
      </c>
      <c r="C22" s="14">
        <v>5.0000000000000001E-3</v>
      </c>
      <c r="D22" s="14">
        <v>4.1000000000000003E-3</v>
      </c>
      <c r="E22" s="14">
        <v>5.7999999999999996E-3</v>
      </c>
      <c r="F22" s="14">
        <v>5.0000000000000001E-3</v>
      </c>
      <c r="G22" s="17">
        <v>2E-3</v>
      </c>
      <c r="H22" s="14">
        <v>7.0000000000000001E-3</v>
      </c>
      <c r="I22" s="14">
        <v>8.0000000000000002E-3</v>
      </c>
      <c r="J22" s="14">
        <v>7.0000000000000001E-3</v>
      </c>
      <c r="K22" s="9" t="s">
        <v>48</v>
      </c>
    </row>
    <row r="23" spans="1:11" ht="51" customHeight="1" x14ac:dyDescent="0.25">
      <c r="A23" s="2" t="s">
        <v>263</v>
      </c>
      <c r="B23" s="7" t="s">
        <v>264</v>
      </c>
      <c r="C23" s="14">
        <v>5.0000000000000001E-3</v>
      </c>
      <c r="D23" s="14">
        <v>3.3E-3</v>
      </c>
      <c r="E23" s="14">
        <v>2.5000000000000001E-3</v>
      </c>
      <c r="F23" s="14">
        <v>3.3E-3</v>
      </c>
      <c r="G23" s="17">
        <v>3.0000000000000001E-3</v>
      </c>
      <c r="H23" s="14">
        <v>3.3E-3</v>
      </c>
      <c r="I23" s="14">
        <v>3.0000000000000001E-3</v>
      </c>
      <c r="J23" s="14">
        <v>2.5000000000000001E-3</v>
      </c>
      <c r="K23" s="9" t="s">
        <v>278</v>
      </c>
    </row>
    <row r="24" spans="1:11" ht="95.25" customHeight="1" x14ac:dyDescent="0.25">
      <c r="A24" s="2" t="s">
        <v>279</v>
      </c>
      <c r="B24" s="7" t="s">
        <v>265</v>
      </c>
      <c r="C24" s="14">
        <v>2.1999999999999999E-2</v>
      </c>
      <c r="D24" s="13">
        <v>2.1999999999999999E-2</v>
      </c>
      <c r="E24" s="14">
        <v>3.6900000000000002E-2</v>
      </c>
      <c r="F24" s="14">
        <v>2.8000000000000001E-2</v>
      </c>
      <c r="G24" s="17">
        <v>2.1999999999999999E-2</v>
      </c>
      <c r="H24" s="14">
        <v>3.6999999999999998E-2</v>
      </c>
      <c r="I24" s="14">
        <v>3.6999999999999998E-2</v>
      </c>
      <c r="J24" s="14">
        <v>3.6999999999999998E-2</v>
      </c>
      <c r="K24" s="23"/>
    </row>
    <row r="25" spans="1:11" ht="38.25" customHeight="1" x14ac:dyDescent="0.25">
      <c r="A25" s="2" t="s">
        <v>280</v>
      </c>
      <c r="B25" s="7" t="s">
        <v>281</v>
      </c>
      <c r="C25" s="6" t="s">
        <v>282</v>
      </c>
      <c r="D25" s="13">
        <v>0.125</v>
      </c>
      <c r="E25" s="12">
        <v>0.11</v>
      </c>
      <c r="F25" s="6" t="s">
        <v>240</v>
      </c>
      <c r="G25" s="6" t="s">
        <v>282</v>
      </c>
      <c r="H25" s="6" t="s">
        <v>240</v>
      </c>
      <c r="I25" s="6" t="s">
        <v>240</v>
      </c>
      <c r="J25" s="6" t="s">
        <v>240</v>
      </c>
      <c r="K25" s="7"/>
    </row>
    <row r="26" spans="1:11" ht="85.5" customHeight="1" x14ac:dyDescent="0.25">
      <c r="A26" s="2" t="s">
        <v>283</v>
      </c>
      <c r="B26" s="7" t="s">
        <v>266</v>
      </c>
      <c r="C26" s="14">
        <v>0.38009999999999999</v>
      </c>
      <c r="D26" s="14">
        <v>0.41239999999999999</v>
      </c>
      <c r="E26" s="14">
        <v>0.41770000000000002</v>
      </c>
      <c r="F26" s="12">
        <v>0.42</v>
      </c>
      <c r="G26" s="6" t="s">
        <v>282</v>
      </c>
      <c r="H26" s="13">
        <v>0.42499999999999999</v>
      </c>
      <c r="I26" s="12">
        <v>0.44</v>
      </c>
      <c r="J26" s="12">
        <v>0.45</v>
      </c>
      <c r="K26" s="7"/>
    </row>
    <row r="27" spans="1:11" ht="44.25" customHeight="1" x14ac:dyDescent="0.25">
      <c r="A27" s="2" t="s">
        <v>284</v>
      </c>
      <c r="B27" s="7" t="s">
        <v>285</v>
      </c>
      <c r="C27" s="6" t="s">
        <v>282</v>
      </c>
      <c r="D27" s="14">
        <v>0.35399999999999998</v>
      </c>
      <c r="E27" s="12">
        <v>0.33</v>
      </c>
      <c r="F27" s="6" t="s">
        <v>240</v>
      </c>
      <c r="G27" s="6" t="s">
        <v>282</v>
      </c>
      <c r="H27" s="6" t="s">
        <v>240</v>
      </c>
      <c r="I27" s="6" t="s">
        <v>240</v>
      </c>
      <c r="J27" s="6" t="s">
        <v>240</v>
      </c>
      <c r="K27" s="7"/>
    </row>
    <row r="28" spans="1:11" ht="60" customHeight="1" x14ac:dyDescent="0.25">
      <c r="A28" s="25" t="s">
        <v>97</v>
      </c>
      <c r="B28" s="7" t="s">
        <v>98</v>
      </c>
      <c r="C28" s="13">
        <v>0.73799999999999999</v>
      </c>
      <c r="D28" s="13">
        <v>0.87</v>
      </c>
      <c r="E28" s="13">
        <v>0.87</v>
      </c>
      <c r="F28" s="12">
        <v>0.88</v>
      </c>
      <c r="G28" s="43">
        <v>0.87</v>
      </c>
      <c r="H28" s="12" t="s">
        <v>240</v>
      </c>
      <c r="I28" s="12" t="s">
        <v>240</v>
      </c>
      <c r="J28" s="12" t="s">
        <v>240</v>
      </c>
      <c r="K28" s="7"/>
    </row>
    <row r="29" spans="1:11" ht="44.25" customHeight="1" x14ac:dyDescent="0.25">
      <c r="A29" s="25" t="s">
        <v>99</v>
      </c>
      <c r="B29" s="7" t="s">
        <v>100</v>
      </c>
      <c r="C29" s="30">
        <v>74.03</v>
      </c>
      <c r="D29" s="30">
        <v>72.010000000000005</v>
      </c>
      <c r="E29" s="30" t="s">
        <v>101</v>
      </c>
      <c r="F29" s="30">
        <v>72.69</v>
      </c>
      <c r="G29" s="44">
        <v>71.290000000000006</v>
      </c>
      <c r="H29" s="30">
        <v>72</v>
      </c>
      <c r="I29" s="30">
        <v>74</v>
      </c>
      <c r="J29" s="30">
        <v>75</v>
      </c>
      <c r="K29" s="7"/>
    </row>
    <row r="30" spans="1:11" ht="39" customHeight="1" x14ac:dyDescent="0.25">
      <c r="A30" s="25" t="s">
        <v>102</v>
      </c>
      <c r="B30" s="7" t="s">
        <v>103</v>
      </c>
      <c r="C30" s="13">
        <v>0.108</v>
      </c>
      <c r="D30" s="14">
        <v>0.123</v>
      </c>
      <c r="E30" s="13">
        <v>0.108</v>
      </c>
      <c r="F30" s="13">
        <v>0.108</v>
      </c>
      <c r="G30" s="17">
        <v>0.03</v>
      </c>
      <c r="H30" s="12">
        <v>0.11</v>
      </c>
      <c r="I30" s="12">
        <v>0.1</v>
      </c>
      <c r="J30" s="12">
        <v>0.1</v>
      </c>
      <c r="K30" s="7"/>
    </row>
    <row r="31" spans="1:11" ht="37.5" x14ac:dyDescent="0.25">
      <c r="A31" s="25" t="s">
        <v>104</v>
      </c>
      <c r="B31" s="7" t="s">
        <v>105</v>
      </c>
      <c r="C31" s="12">
        <v>0</v>
      </c>
      <c r="D31" s="13">
        <v>7.6999999999999999E-2</v>
      </c>
      <c r="E31" s="13" t="s">
        <v>106</v>
      </c>
      <c r="F31" s="13">
        <v>7.6999999999999999E-2</v>
      </c>
      <c r="G31" s="17">
        <v>0</v>
      </c>
      <c r="H31" s="45">
        <v>0</v>
      </c>
      <c r="I31" s="45">
        <v>0</v>
      </c>
      <c r="J31" s="45">
        <v>0</v>
      </c>
      <c r="K31" s="7"/>
    </row>
    <row r="32" spans="1:11" ht="37.5" x14ac:dyDescent="0.25">
      <c r="A32" s="25" t="s">
        <v>107</v>
      </c>
      <c r="B32" s="7" t="s">
        <v>108</v>
      </c>
      <c r="C32" s="40">
        <v>3077</v>
      </c>
      <c r="D32" s="40">
        <v>3457</v>
      </c>
      <c r="E32" s="40" t="s">
        <v>109</v>
      </c>
      <c r="F32" s="40">
        <v>3609</v>
      </c>
      <c r="G32" s="46">
        <v>3309</v>
      </c>
      <c r="H32" s="12" t="s">
        <v>240</v>
      </c>
      <c r="I32" s="12" t="s">
        <v>240</v>
      </c>
      <c r="J32" s="12" t="s">
        <v>240</v>
      </c>
      <c r="K32" s="49" t="s">
        <v>110</v>
      </c>
    </row>
    <row r="33" spans="1:11" ht="37.5" x14ac:dyDescent="0.25">
      <c r="A33" s="25" t="s">
        <v>111</v>
      </c>
      <c r="B33" s="7" t="s">
        <v>112</v>
      </c>
      <c r="C33" s="40">
        <v>2598</v>
      </c>
      <c r="D33" s="40">
        <v>2956</v>
      </c>
      <c r="E33" s="40" t="s">
        <v>113</v>
      </c>
      <c r="F33" s="40">
        <v>3075</v>
      </c>
      <c r="G33" s="46">
        <v>2901</v>
      </c>
      <c r="H33" s="12" t="s">
        <v>240</v>
      </c>
      <c r="I33" s="12" t="s">
        <v>240</v>
      </c>
      <c r="J33" s="12" t="s">
        <v>240</v>
      </c>
      <c r="K33" s="50"/>
    </row>
    <row r="34" spans="1:11" ht="25" x14ac:dyDescent="0.25">
      <c r="A34" s="25" t="s">
        <v>114</v>
      </c>
      <c r="B34" s="7" t="s">
        <v>115</v>
      </c>
      <c r="C34" s="40">
        <v>3227</v>
      </c>
      <c r="D34" s="40">
        <v>3636</v>
      </c>
      <c r="E34" s="40" t="s">
        <v>116</v>
      </c>
      <c r="F34" s="40">
        <v>3742</v>
      </c>
      <c r="G34" s="46">
        <v>3486</v>
      </c>
      <c r="H34" s="12" t="s">
        <v>240</v>
      </c>
      <c r="I34" s="12" t="s">
        <v>240</v>
      </c>
      <c r="J34" s="12" t="s">
        <v>240</v>
      </c>
      <c r="K34" s="50"/>
    </row>
    <row r="35" spans="1:11" ht="62.5" x14ac:dyDescent="0.25">
      <c r="A35" s="25" t="s">
        <v>117</v>
      </c>
      <c r="B35" s="7" t="s">
        <v>118</v>
      </c>
      <c r="C35" s="13">
        <v>0.46100000000000002</v>
      </c>
      <c r="D35" s="12">
        <v>0.47</v>
      </c>
      <c r="E35" s="12">
        <v>0.5</v>
      </c>
      <c r="F35" s="12">
        <v>0.49</v>
      </c>
      <c r="G35" s="12">
        <v>0.55000000000000004</v>
      </c>
      <c r="H35" s="12">
        <v>0.51</v>
      </c>
      <c r="I35" s="12">
        <v>0.53</v>
      </c>
      <c r="J35" s="12">
        <v>0.53</v>
      </c>
      <c r="K35" s="50"/>
    </row>
    <row r="36" spans="1:11" ht="62.5" x14ac:dyDescent="0.25">
      <c r="A36" s="25" t="s">
        <v>119</v>
      </c>
      <c r="B36" s="7" t="s">
        <v>120</v>
      </c>
      <c r="C36" s="13">
        <v>0.98499999999999999</v>
      </c>
      <c r="D36" s="13">
        <v>0.98199999999999998</v>
      </c>
      <c r="E36" s="12">
        <v>0.91</v>
      </c>
      <c r="F36" s="12">
        <v>0.96</v>
      </c>
      <c r="G36" s="43">
        <v>0.96</v>
      </c>
      <c r="H36" s="12">
        <v>0.95</v>
      </c>
      <c r="I36" s="12">
        <v>0.97</v>
      </c>
      <c r="J36" s="12">
        <v>0.97</v>
      </c>
      <c r="K36" s="50"/>
    </row>
    <row r="37" spans="1:11" ht="50" x14ac:dyDescent="0.25">
      <c r="A37" s="25" t="s">
        <v>122</v>
      </c>
      <c r="B37" s="7" t="s">
        <v>123</v>
      </c>
      <c r="C37" s="12">
        <v>0.71</v>
      </c>
      <c r="D37" s="12">
        <v>0.73</v>
      </c>
      <c r="E37" s="13">
        <v>0.74399999999999999</v>
      </c>
      <c r="F37" s="12">
        <v>0.73</v>
      </c>
      <c r="G37" s="43">
        <v>0.75</v>
      </c>
      <c r="H37" s="45">
        <v>0.82</v>
      </c>
      <c r="I37" s="45">
        <v>0.84</v>
      </c>
      <c r="J37" s="45">
        <v>0.84</v>
      </c>
      <c r="K37" s="18" t="s">
        <v>288</v>
      </c>
    </row>
    <row r="38" spans="1:11" ht="50" x14ac:dyDescent="0.25">
      <c r="A38" s="25" t="s">
        <v>124</v>
      </c>
      <c r="B38" s="7" t="s">
        <v>125</v>
      </c>
      <c r="C38" s="12">
        <v>0.73</v>
      </c>
      <c r="D38" s="12">
        <v>0.77</v>
      </c>
      <c r="E38" s="13">
        <v>0.752</v>
      </c>
      <c r="F38" s="12">
        <v>0.79</v>
      </c>
      <c r="G38" s="43">
        <v>0.79</v>
      </c>
      <c r="H38" s="45">
        <v>0.82</v>
      </c>
      <c r="I38" s="45">
        <v>0.84</v>
      </c>
      <c r="J38" s="45">
        <v>0.84</v>
      </c>
      <c r="K38" s="18" t="s">
        <v>288</v>
      </c>
    </row>
    <row r="39" spans="1:11" ht="40.5" customHeight="1" x14ac:dyDescent="0.25">
      <c r="A39" s="25" t="s">
        <v>126</v>
      </c>
      <c r="B39" s="7" t="s">
        <v>127</v>
      </c>
      <c r="C39" s="13">
        <v>0.75900000000000001</v>
      </c>
      <c r="D39" s="13">
        <v>0.92600000000000005</v>
      </c>
      <c r="E39" s="12">
        <v>0.88</v>
      </c>
      <c r="F39" s="12">
        <v>0.94</v>
      </c>
      <c r="G39" s="43">
        <v>1</v>
      </c>
      <c r="H39" s="45">
        <v>0.94</v>
      </c>
      <c r="I39" s="45">
        <v>0.94</v>
      </c>
      <c r="J39" s="45">
        <v>0.95</v>
      </c>
      <c r="K39" s="50"/>
    </row>
    <row r="40" spans="1:11" ht="50" x14ac:dyDescent="0.25">
      <c r="A40" s="25" t="s">
        <v>128</v>
      </c>
      <c r="B40" s="7" t="s">
        <v>394</v>
      </c>
      <c r="C40" s="14">
        <v>0.214</v>
      </c>
      <c r="D40" s="13">
        <v>0.42599999999999999</v>
      </c>
      <c r="E40" s="12">
        <v>0.47</v>
      </c>
      <c r="F40" s="12">
        <v>0.45</v>
      </c>
      <c r="G40" s="43">
        <v>0.75</v>
      </c>
      <c r="H40" s="45">
        <v>0.47</v>
      </c>
      <c r="I40" s="45">
        <v>0.49</v>
      </c>
      <c r="J40" s="45">
        <v>0.51</v>
      </c>
      <c r="K40" s="34"/>
    </row>
    <row r="41" spans="1:11" ht="62.5" x14ac:dyDescent="0.25">
      <c r="A41" s="25" t="s">
        <v>129</v>
      </c>
      <c r="B41" s="7" t="s">
        <v>130</v>
      </c>
      <c r="C41" s="8">
        <v>0.17</v>
      </c>
      <c r="D41" s="27">
        <v>0.17</v>
      </c>
      <c r="E41" s="8">
        <v>0.34</v>
      </c>
      <c r="F41" s="8">
        <v>0.17</v>
      </c>
      <c r="G41" s="6" t="s">
        <v>282</v>
      </c>
      <c r="H41" s="27">
        <v>0.27</v>
      </c>
      <c r="I41" s="27">
        <v>0.27</v>
      </c>
      <c r="J41" s="27">
        <v>0.23</v>
      </c>
      <c r="K41" s="54" t="s">
        <v>131</v>
      </c>
    </row>
    <row r="42" spans="1:11" ht="75" x14ac:dyDescent="0.25">
      <c r="A42" s="25" t="s">
        <v>132</v>
      </c>
      <c r="B42" s="7" t="s">
        <v>133</v>
      </c>
      <c r="C42" s="8">
        <v>1.66</v>
      </c>
      <c r="D42" s="8">
        <v>1.89</v>
      </c>
      <c r="E42" s="8">
        <v>4.42</v>
      </c>
      <c r="F42" s="8">
        <v>4.09</v>
      </c>
      <c r="G42" s="6" t="s">
        <v>282</v>
      </c>
      <c r="H42" s="27">
        <v>3.65</v>
      </c>
      <c r="I42" s="27">
        <v>3.33</v>
      </c>
      <c r="J42" s="27">
        <v>3.01</v>
      </c>
      <c r="K42" s="54"/>
    </row>
    <row r="43" spans="1:11" ht="75" x14ac:dyDescent="0.25">
      <c r="A43" s="25" t="s">
        <v>134</v>
      </c>
      <c r="B43" s="7" t="s">
        <v>135</v>
      </c>
      <c r="C43" s="8">
        <v>0</v>
      </c>
      <c r="D43" s="8">
        <v>0</v>
      </c>
      <c r="E43" s="8">
        <v>0</v>
      </c>
      <c r="F43" s="8">
        <v>0</v>
      </c>
      <c r="G43" s="6" t="s">
        <v>282</v>
      </c>
      <c r="H43" s="27">
        <v>0</v>
      </c>
      <c r="I43" s="27">
        <v>2.1</v>
      </c>
      <c r="J43" s="27">
        <v>2.1</v>
      </c>
      <c r="K43" s="54"/>
    </row>
    <row r="44" spans="1:11" ht="62.5" x14ac:dyDescent="0.25">
      <c r="A44" s="25" t="s">
        <v>136</v>
      </c>
      <c r="B44" s="7" t="s">
        <v>137</v>
      </c>
      <c r="C44" s="8" t="s">
        <v>419</v>
      </c>
      <c r="D44" s="8">
        <v>0.84</v>
      </c>
      <c r="E44" s="8">
        <v>1.92</v>
      </c>
      <c r="F44" s="8">
        <v>1.69</v>
      </c>
      <c r="G44" s="6" t="s">
        <v>282</v>
      </c>
      <c r="H44" s="27">
        <v>1.51</v>
      </c>
      <c r="I44" s="27">
        <v>1.41</v>
      </c>
      <c r="J44" s="27">
        <v>1.27</v>
      </c>
      <c r="K44" s="54"/>
    </row>
    <row r="45" spans="1:11" ht="50" x14ac:dyDescent="0.25">
      <c r="A45" s="25" t="s">
        <v>138</v>
      </c>
      <c r="B45" s="7" t="s">
        <v>139</v>
      </c>
      <c r="C45" s="13" t="s">
        <v>282</v>
      </c>
      <c r="D45" s="14" t="s">
        <v>282</v>
      </c>
      <c r="E45" s="14">
        <v>8.6999999999999994E-2</v>
      </c>
      <c r="F45" s="14">
        <v>8.6999999999999994E-2</v>
      </c>
      <c r="G45" s="6" t="s">
        <v>282</v>
      </c>
      <c r="H45" s="35">
        <v>8.5999999999999993E-2</v>
      </c>
      <c r="I45" s="35">
        <v>8.5000000000000006E-2</v>
      </c>
      <c r="J45" s="35">
        <v>8.4000000000000005E-2</v>
      </c>
      <c r="K45" s="34"/>
    </row>
    <row r="46" spans="1:11" ht="37.5" x14ac:dyDescent="0.25">
      <c r="A46" s="25" t="s">
        <v>140</v>
      </c>
      <c r="B46" s="7" t="s">
        <v>141</v>
      </c>
      <c r="C46" s="13" t="s">
        <v>282</v>
      </c>
      <c r="D46" s="14" t="s">
        <v>282</v>
      </c>
      <c r="E46" s="14">
        <v>6.3E-2</v>
      </c>
      <c r="F46" s="14">
        <v>6.6000000000000003E-2</v>
      </c>
      <c r="G46" s="6" t="s">
        <v>282</v>
      </c>
      <c r="H46" s="35">
        <v>6.2E-2</v>
      </c>
      <c r="I46" s="35">
        <v>6.0999999999999999E-2</v>
      </c>
      <c r="J46" s="35">
        <v>6.0999999999999999E-2</v>
      </c>
      <c r="K46" s="34"/>
    </row>
    <row r="47" spans="1:11" ht="51" customHeight="1" x14ac:dyDescent="0.25">
      <c r="A47" s="25" t="s">
        <v>142</v>
      </c>
      <c r="B47" s="31" t="s">
        <v>143</v>
      </c>
      <c r="C47" s="13">
        <v>3.3000000000000002E-2</v>
      </c>
      <c r="D47" s="14">
        <v>3.3000000000000002E-2</v>
      </c>
      <c r="E47" s="14">
        <v>2.35E-2</v>
      </c>
      <c r="F47" s="13">
        <v>2.1999999999999999E-2</v>
      </c>
      <c r="G47" s="13">
        <v>0</v>
      </c>
      <c r="H47" s="35">
        <v>1.17E-2</v>
      </c>
      <c r="I47" s="35">
        <v>0</v>
      </c>
      <c r="J47" s="35">
        <v>0</v>
      </c>
      <c r="K47" s="49" t="s">
        <v>144</v>
      </c>
    </row>
    <row r="48" spans="1:11" ht="75" x14ac:dyDescent="0.25">
      <c r="A48" s="25" t="s">
        <v>26</v>
      </c>
      <c r="B48" s="7" t="s">
        <v>27</v>
      </c>
      <c r="C48" s="14">
        <v>9.2899999999999996E-2</v>
      </c>
      <c r="D48" s="14">
        <v>8.7300000000000003E-2</v>
      </c>
      <c r="E48" s="13">
        <v>8.7999999999999995E-2</v>
      </c>
      <c r="F48" s="12">
        <v>0.09</v>
      </c>
      <c r="G48" s="12">
        <v>0.15</v>
      </c>
      <c r="H48" s="13">
        <v>0.08</v>
      </c>
      <c r="I48" s="13">
        <v>0.08</v>
      </c>
      <c r="J48" s="13">
        <v>0.08</v>
      </c>
      <c r="K48" s="34"/>
    </row>
    <row r="49" spans="1:11" ht="105.75" customHeight="1" x14ac:dyDescent="0.25">
      <c r="A49" s="25" t="s">
        <v>28</v>
      </c>
      <c r="B49" s="7" t="s">
        <v>29</v>
      </c>
      <c r="C49" s="13">
        <v>0.16700000000000001</v>
      </c>
      <c r="D49" s="13">
        <v>0.35199999999999998</v>
      </c>
      <c r="E49" s="12">
        <v>0.43</v>
      </c>
      <c r="F49" s="12">
        <v>0.4</v>
      </c>
      <c r="G49" s="12">
        <v>0.42</v>
      </c>
      <c r="H49" s="13">
        <v>0.42799999999999999</v>
      </c>
      <c r="I49" s="12">
        <v>0.47</v>
      </c>
      <c r="J49" s="12">
        <v>0.5</v>
      </c>
      <c r="K49" s="18" t="s">
        <v>288</v>
      </c>
    </row>
    <row r="50" spans="1:11" ht="122.25" customHeight="1" x14ac:dyDescent="0.25">
      <c r="A50" s="25" t="s">
        <v>30</v>
      </c>
      <c r="B50" s="7" t="s">
        <v>31</v>
      </c>
      <c r="C50" s="40">
        <v>739</v>
      </c>
      <c r="D50" s="40">
        <v>755</v>
      </c>
      <c r="E50" s="40">
        <v>865</v>
      </c>
      <c r="F50" s="40">
        <v>651.95000000000005</v>
      </c>
      <c r="G50" s="40">
        <v>628</v>
      </c>
      <c r="H50" s="40">
        <v>380</v>
      </c>
      <c r="I50" s="40">
        <v>389</v>
      </c>
      <c r="J50" s="40">
        <v>398</v>
      </c>
      <c r="K50" s="51" t="s">
        <v>32</v>
      </c>
    </row>
    <row r="51" spans="1:11" ht="62.5" x14ac:dyDescent="0.25">
      <c r="A51" s="25" t="s">
        <v>33</v>
      </c>
      <c r="B51" s="7" t="s">
        <v>34</v>
      </c>
      <c r="C51" s="40">
        <v>462.86</v>
      </c>
      <c r="D51" s="40">
        <v>506</v>
      </c>
      <c r="E51" s="40" t="s">
        <v>35</v>
      </c>
      <c r="F51" s="40">
        <v>465.81</v>
      </c>
      <c r="G51" s="40">
        <v>447</v>
      </c>
      <c r="H51" s="40">
        <v>469</v>
      </c>
      <c r="I51" s="40">
        <v>481</v>
      </c>
      <c r="J51" s="40">
        <v>493</v>
      </c>
      <c r="K51" s="50"/>
    </row>
    <row r="52" spans="1:11" ht="34.5" customHeight="1" x14ac:dyDescent="0.25">
      <c r="A52" s="25" t="s">
        <v>36</v>
      </c>
      <c r="B52" s="7" t="s">
        <v>37</v>
      </c>
      <c r="C52" s="8">
        <v>14.8</v>
      </c>
      <c r="D52" s="8">
        <v>17.5</v>
      </c>
      <c r="E52" s="8">
        <v>16.64</v>
      </c>
      <c r="F52" s="8">
        <v>16.600000000000001</v>
      </c>
      <c r="G52" s="8">
        <v>0.22</v>
      </c>
      <c r="H52" s="8">
        <v>16.600000000000001</v>
      </c>
      <c r="I52" s="8">
        <v>16.600000000000001</v>
      </c>
      <c r="J52" s="8">
        <v>16.600000000000001</v>
      </c>
      <c r="K52" s="49"/>
    </row>
    <row r="53" spans="1:11" ht="87.5" x14ac:dyDescent="0.25">
      <c r="A53" s="25" t="s">
        <v>38</v>
      </c>
      <c r="B53" s="7" t="s">
        <v>39</v>
      </c>
      <c r="C53" s="6">
        <v>101.7</v>
      </c>
      <c r="D53" s="6">
        <v>106.1</v>
      </c>
      <c r="E53" s="6">
        <v>124.8</v>
      </c>
      <c r="F53" s="6">
        <v>110</v>
      </c>
      <c r="G53" s="6">
        <v>120</v>
      </c>
      <c r="H53" s="6">
        <v>120.5</v>
      </c>
      <c r="I53" s="6">
        <v>120.5</v>
      </c>
      <c r="J53" s="6">
        <v>120.5</v>
      </c>
      <c r="K53" s="49" t="s">
        <v>40</v>
      </c>
    </row>
    <row r="54" spans="1:11" ht="168.75" customHeight="1" x14ac:dyDescent="0.25">
      <c r="A54" s="25" t="s">
        <v>41</v>
      </c>
      <c r="B54" s="7" t="s">
        <v>42</v>
      </c>
      <c r="C54" s="13">
        <v>0.57699999999999996</v>
      </c>
      <c r="D54" s="12">
        <v>0.62</v>
      </c>
      <c r="E54" s="13">
        <v>0.20499999999999999</v>
      </c>
      <c r="F54" s="12">
        <v>0.7</v>
      </c>
      <c r="G54" s="12">
        <v>0.55000000000000004</v>
      </c>
      <c r="H54" s="12">
        <v>0.5</v>
      </c>
      <c r="I54" s="12">
        <v>0.5</v>
      </c>
      <c r="J54" s="12">
        <v>0.5</v>
      </c>
      <c r="K54" s="49" t="s">
        <v>43</v>
      </c>
    </row>
    <row r="55" spans="1:11" ht="30.75" customHeight="1" x14ac:dyDescent="0.25">
      <c r="A55" s="25" t="s">
        <v>44</v>
      </c>
      <c r="B55" s="7" t="s">
        <v>46</v>
      </c>
      <c r="C55" s="12" t="s">
        <v>419</v>
      </c>
      <c r="D55" s="13" t="s">
        <v>282</v>
      </c>
      <c r="E55" s="13" t="s">
        <v>282</v>
      </c>
      <c r="F55" s="12" t="s">
        <v>254</v>
      </c>
      <c r="G55" s="12" t="s">
        <v>282</v>
      </c>
      <c r="H55" s="13">
        <v>0.8</v>
      </c>
      <c r="I55" s="13">
        <v>0.8</v>
      </c>
      <c r="J55" s="13">
        <v>0.8</v>
      </c>
      <c r="K55" s="50"/>
    </row>
    <row r="56" spans="1:11" ht="34.5" customHeight="1" x14ac:dyDescent="0.25">
      <c r="A56" s="25" t="s">
        <v>44</v>
      </c>
      <c r="B56" s="7" t="s">
        <v>45</v>
      </c>
      <c r="C56" s="12">
        <v>0.94</v>
      </c>
      <c r="D56" s="13">
        <v>0.97199999999999998</v>
      </c>
      <c r="E56" s="13">
        <v>0.97499999999999998</v>
      </c>
      <c r="F56" s="12">
        <v>0.98</v>
      </c>
      <c r="G56" s="12">
        <v>0.97</v>
      </c>
      <c r="H56" s="12" t="s">
        <v>240</v>
      </c>
      <c r="I56" s="12" t="s">
        <v>240</v>
      </c>
      <c r="J56" s="12" t="s">
        <v>240</v>
      </c>
      <c r="K56" s="50"/>
    </row>
    <row r="57" spans="1:11" ht="113.25" customHeight="1" x14ac:dyDescent="0.25">
      <c r="A57" s="25" t="s">
        <v>47</v>
      </c>
      <c r="B57" s="7" t="s">
        <v>49</v>
      </c>
      <c r="C57" s="13">
        <v>0.80300000000000005</v>
      </c>
      <c r="D57" s="12">
        <v>0.41</v>
      </c>
      <c r="E57" s="13">
        <v>0.25900000000000001</v>
      </c>
      <c r="F57" s="12">
        <v>0.8</v>
      </c>
      <c r="G57" s="12">
        <v>0.93</v>
      </c>
      <c r="H57" s="12">
        <v>0.82</v>
      </c>
      <c r="I57" s="12">
        <v>0.82</v>
      </c>
      <c r="J57" s="12">
        <v>0.82</v>
      </c>
      <c r="K57" s="49" t="s">
        <v>50</v>
      </c>
    </row>
    <row r="58" spans="1:11" ht="87.5" x14ac:dyDescent="0.25">
      <c r="A58" s="25" t="s">
        <v>392</v>
      </c>
      <c r="B58" s="7" t="s">
        <v>396</v>
      </c>
      <c r="C58" s="14">
        <v>1.37E-2</v>
      </c>
      <c r="D58" s="14">
        <v>3.8899999999999997E-2</v>
      </c>
      <c r="E58" s="14">
        <v>3.3799999999999997E-2</v>
      </c>
      <c r="F58" s="12">
        <v>0.02</v>
      </c>
      <c r="G58" s="14">
        <v>4.9000000000000002E-2</v>
      </c>
      <c r="H58" s="14">
        <v>6.7599999999999993E-2</v>
      </c>
      <c r="I58" s="14">
        <v>6.2799999999999995E-2</v>
      </c>
      <c r="J58" s="14">
        <v>6.2799999999999995E-2</v>
      </c>
      <c r="K58" s="49" t="s">
        <v>270</v>
      </c>
    </row>
    <row r="59" spans="1:11" ht="37.5" x14ac:dyDescent="0.25">
      <c r="A59" s="2" t="s">
        <v>554</v>
      </c>
      <c r="B59" s="7" t="s">
        <v>555</v>
      </c>
      <c r="C59" s="6">
        <v>54</v>
      </c>
      <c r="D59" s="6">
        <v>54</v>
      </c>
      <c r="E59" s="6">
        <v>53</v>
      </c>
      <c r="F59" s="6">
        <v>56</v>
      </c>
      <c r="G59" s="6">
        <v>57</v>
      </c>
      <c r="H59" s="6">
        <v>55</v>
      </c>
      <c r="I59" s="6">
        <v>56</v>
      </c>
      <c r="J59" s="6">
        <v>57</v>
      </c>
      <c r="K59" s="50"/>
    </row>
    <row r="60" spans="1:11" ht="87.5" x14ac:dyDescent="0.25">
      <c r="A60" s="41" t="s">
        <v>556</v>
      </c>
      <c r="B60" s="7" t="s">
        <v>557</v>
      </c>
      <c r="C60" s="6">
        <v>0</v>
      </c>
      <c r="D60" s="6">
        <v>0</v>
      </c>
      <c r="E60" s="6">
        <v>20</v>
      </c>
      <c r="F60" s="38">
        <v>4</v>
      </c>
      <c r="G60" s="13">
        <v>5.5E-2</v>
      </c>
      <c r="H60" s="38">
        <v>100</v>
      </c>
      <c r="I60" s="38">
        <v>110</v>
      </c>
      <c r="J60" s="38">
        <v>120</v>
      </c>
      <c r="K60" s="34" t="s">
        <v>558</v>
      </c>
    </row>
    <row r="61" spans="1:11" ht="42.75" customHeight="1" x14ac:dyDescent="0.25">
      <c r="A61" s="2" t="s">
        <v>559</v>
      </c>
      <c r="B61" s="7" t="s">
        <v>560</v>
      </c>
      <c r="C61" s="13">
        <v>0.86199999999999999</v>
      </c>
      <c r="D61" s="13">
        <v>0.90500000000000003</v>
      </c>
      <c r="E61" s="14">
        <v>0.92700000000000005</v>
      </c>
      <c r="F61" s="12">
        <v>0.91</v>
      </c>
      <c r="G61" s="13">
        <v>0.96199999999999997</v>
      </c>
      <c r="H61" s="13">
        <v>0.93500000000000005</v>
      </c>
      <c r="I61" s="13">
        <v>0.94499999999999995</v>
      </c>
      <c r="J61" s="13">
        <v>0.96</v>
      </c>
      <c r="K61" s="50"/>
    </row>
    <row r="62" spans="1:11" ht="33" customHeight="1" x14ac:dyDescent="0.25">
      <c r="A62" s="2" t="s">
        <v>561</v>
      </c>
      <c r="B62" s="7" t="s">
        <v>562</v>
      </c>
      <c r="C62" s="12">
        <v>0.62</v>
      </c>
      <c r="D62" s="12">
        <v>0.62</v>
      </c>
      <c r="E62" s="12">
        <v>0.62</v>
      </c>
      <c r="F62" s="12">
        <v>0.62</v>
      </c>
      <c r="G62" s="12"/>
      <c r="H62" s="12">
        <v>0.65</v>
      </c>
      <c r="I62" s="12">
        <v>0.65</v>
      </c>
      <c r="J62" s="12">
        <v>0.65</v>
      </c>
      <c r="K62" s="50"/>
    </row>
    <row r="63" spans="1:11" ht="37.5" x14ac:dyDescent="0.25">
      <c r="A63" s="2" t="s">
        <v>563</v>
      </c>
      <c r="B63" s="7" t="s">
        <v>564</v>
      </c>
      <c r="C63" s="6" t="s">
        <v>282</v>
      </c>
      <c r="D63" s="6" t="s">
        <v>282</v>
      </c>
      <c r="E63" s="6" t="s">
        <v>282</v>
      </c>
      <c r="F63" s="12" t="s">
        <v>240</v>
      </c>
      <c r="G63" s="6" t="s">
        <v>282</v>
      </c>
      <c r="H63" s="12">
        <v>0.59</v>
      </c>
      <c r="I63" s="12">
        <v>0.59</v>
      </c>
      <c r="J63" s="12">
        <v>0.59</v>
      </c>
      <c r="K63" s="50"/>
    </row>
    <row r="64" spans="1:11" ht="37.5" x14ac:dyDescent="0.25">
      <c r="A64" s="2" t="s">
        <v>565</v>
      </c>
      <c r="B64" s="7" t="s">
        <v>566</v>
      </c>
      <c r="C64" s="6" t="s">
        <v>282</v>
      </c>
      <c r="D64" s="6" t="s">
        <v>282</v>
      </c>
      <c r="E64" s="6" t="s">
        <v>282</v>
      </c>
      <c r="F64" s="12" t="s">
        <v>240</v>
      </c>
      <c r="G64" s="6" t="s">
        <v>282</v>
      </c>
      <c r="H64" s="12">
        <v>0.67</v>
      </c>
      <c r="I64" s="12">
        <v>0.67</v>
      </c>
      <c r="J64" s="12">
        <v>0.67</v>
      </c>
      <c r="K64" s="49"/>
    </row>
    <row r="65" spans="1:11" ht="89.25" customHeight="1" x14ac:dyDescent="0.25">
      <c r="A65" s="2" t="s">
        <v>567</v>
      </c>
      <c r="B65" s="34" t="s">
        <v>147</v>
      </c>
      <c r="C65" s="6" t="s">
        <v>282</v>
      </c>
      <c r="D65" s="6" t="s">
        <v>282</v>
      </c>
      <c r="E65" s="6" t="s">
        <v>240</v>
      </c>
      <c r="F65" s="12" t="s">
        <v>240</v>
      </c>
      <c r="G65" s="6" t="s">
        <v>282</v>
      </c>
      <c r="H65" s="12">
        <v>0.55000000000000004</v>
      </c>
      <c r="I65" s="12">
        <v>0.55000000000000004</v>
      </c>
      <c r="J65" s="12">
        <v>0.55000000000000004</v>
      </c>
      <c r="K65" s="49"/>
    </row>
    <row r="66" spans="1:11" ht="26.25" customHeight="1" x14ac:dyDescent="0.25">
      <c r="A66" s="2" t="s">
        <v>568</v>
      </c>
      <c r="B66" s="7" t="s">
        <v>569</v>
      </c>
      <c r="C66" s="6" t="s">
        <v>282</v>
      </c>
      <c r="D66" s="6" t="s">
        <v>282</v>
      </c>
      <c r="E66" s="6" t="s">
        <v>240</v>
      </c>
      <c r="F66" s="12" t="s">
        <v>240</v>
      </c>
      <c r="G66" s="6" t="s">
        <v>282</v>
      </c>
      <c r="H66" s="12">
        <v>0.5</v>
      </c>
      <c r="I66" s="12">
        <v>0.5</v>
      </c>
      <c r="J66" s="12">
        <v>0.5</v>
      </c>
      <c r="K66" s="49"/>
    </row>
    <row r="67" spans="1:11" ht="25" x14ac:dyDescent="0.25">
      <c r="A67" s="25" t="s">
        <v>570</v>
      </c>
      <c r="B67" s="7" t="s">
        <v>571</v>
      </c>
      <c r="C67" s="6" t="s">
        <v>282</v>
      </c>
      <c r="D67" s="6" t="s">
        <v>282</v>
      </c>
      <c r="E67" s="6" t="s">
        <v>240</v>
      </c>
      <c r="F67" s="12" t="s">
        <v>240</v>
      </c>
      <c r="G67" s="6" t="s">
        <v>282</v>
      </c>
      <c r="H67" s="12">
        <v>0.56999999999999995</v>
      </c>
      <c r="I67" s="12">
        <v>0.56999999999999995</v>
      </c>
      <c r="J67" s="12">
        <v>0.56999999999999995</v>
      </c>
      <c r="K67" s="50"/>
    </row>
    <row r="68" spans="1:11" ht="37.5" x14ac:dyDescent="0.25">
      <c r="A68" s="25" t="s">
        <v>330</v>
      </c>
      <c r="B68" s="7" t="s">
        <v>331</v>
      </c>
      <c r="C68" s="6" t="s">
        <v>241</v>
      </c>
      <c r="D68" s="6" t="s">
        <v>241</v>
      </c>
      <c r="E68" s="6" t="s">
        <v>241</v>
      </c>
      <c r="F68" s="6" t="s">
        <v>241</v>
      </c>
      <c r="G68" s="6" t="s">
        <v>282</v>
      </c>
      <c r="H68" s="6" t="s">
        <v>240</v>
      </c>
      <c r="I68" s="6" t="s">
        <v>240</v>
      </c>
      <c r="J68" s="6" t="s">
        <v>240</v>
      </c>
      <c r="K68" s="49"/>
    </row>
    <row r="69" spans="1:11" ht="37.5" x14ac:dyDescent="0.25">
      <c r="A69" s="25" t="s">
        <v>332</v>
      </c>
      <c r="B69" s="7" t="s">
        <v>333</v>
      </c>
      <c r="C69" s="6" t="s">
        <v>282</v>
      </c>
      <c r="D69" s="6" t="s">
        <v>282</v>
      </c>
      <c r="E69" s="6" t="s">
        <v>282</v>
      </c>
      <c r="F69" s="6" t="s">
        <v>258</v>
      </c>
      <c r="G69" s="6" t="s">
        <v>282</v>
      </c>
      <c r="H69" s="6">
        <v>150</v>
      </c>
      <c r="I69" s="6">
        <v>150</v>
      </c>
      <c r="J69" s="6">
        <v>150</v>
      </c>
      <c r="K69" s="50"/>
    </row>
    <row r="70" spans="1:11" ht="37.5" x14ac:dyDescent="0.25">
      <c r="A70" s="25" t="s">
        <v>334</v>
      </c>
      <c r="B70" s="7" t="s">
        <v>335</v>
      </c>
      <c r="C70" s="6" t="s">
        <v>282</v>
      </c>
      <c r="D70" s="6" t="s">
        <v>282</v>
      </c>
      <c r="E70" s="6" t="s">
        <v>282</v>
      </c>
      <c r="F70" s="6" t="s">
        <v>258</v>
      </c>
      <c r="G70" s="6" t="s">
        <v>282</v>
      </c>
      <c r="H70" s="6">
        <v>0.2</v>
      </c>
      <c r="I70" s="6">
        <v>0.2</v>
      </c>
      <c r="J70" s="6">
        <v>0.2</v>
      </c>
      <c r="K70" s="50"/>
    </row>
    <row r="71" spans="1:11" ht="37.5" x14ac:dyDescent="0.25">
      <c r="A71" s="25" t="s">
        <v>336</v>
      </c>
      <c r="B71" s="31" t="s">
        <v>337</v>
      </c>
      <c r="C71" s="6" t="s">
        <v>282</v>
      </c>
      <c r="D71" s="6" t="s">
        <v>282</v>
      </c>
      <c r="E71" s="6" t="s">
        <v>282</v>
      </c>
      <c r="F71" s="6" t="s">
        <v>258</v>
      </c>
      <c r="G71" s="6" t="s">
        <v>282</v>
      </c>
      <c r="H71" s="6">
        <v>40</v>
      </c>
      <c r="I71" s="6">
        <v>40</v>
      </c>
      <c r="J71" s="6">
        <v>40</v>
      </c>
      <c r="K71" s="50"/>
    </row>
    <row r="72" spans="1:11" ht="37.5" x14ac:dyDescent="0.25">
      <c r="A72" s="25" t="s">
        <v>338</v>
      </c>
      <c r="B72" s="31" t="s">
        <v>339</v>
      </c>
      <c r="C72" s="6" t="s">
        <v>282</v>
      </c>
      <c r="D72" s="6" t="s">
        <v>282</v>
      </c>
      <c r="E72" s="6" t="s">
        <v>282</v>
      </c>
      <c r="F72" s="6" t="s">
        <v>258</v>
      </c>
      <c r="G72" s="6" t="s">
        <v>282</v>
      </c>
      <c r="H72" s="6">
        <v>6</v>
      </c>
      <c r="I72" s="6">
        <v>6</v>
      </c>
      <c r="J72" s="6">
        <v>6</v>
      </c>
      <c r="K72" s="50"/>
    </row>
    <row r="73" spans="1:11" ht="50" x14ac:dyDescent="0.25">
      <c r="A73" s="25" t="s">
        <v>340</v>
      </c>
      <c r="B73" s="31" t="s">
        <v>341</v>
      </c>
      <c r="C73" s="6">
        <v>137</v>
      </c>
      <c r="D73" s="6">
        <v>78.900000000000006</v>
      </c>
      <c r="E73" s="6">
        <v>80</v>
      </c>
      <c r="F73" s="6">
        <v>65</v>
      </c>
      <c r="G73" s="6">
        <v>52</v>
      </c>
      <c r="H73" s="6">
        <v>50</v>
      </c>
      <c r="I73" s="6">
        <v>40</v>
      </c>
      <c r="J73" s="6">
        <v>35</v>
      </c>
      <c r="K73" s="55" t="s">
        <v>342</v>
      </c>
    </row>
    <row r="74" spans="1:11" ht="62.5" x14ac:dyDescent="0.25">
      <c r="A74" s="25" t="s">
        <v>343</v>
      </c>
      <c r="B74" s="31" t="s">
        <v>345</v>
      </c>
      <c r="C74" s="6">
        <v>55</v>
      </c>
      <c r="D74" s="6">
        <v>13</v>
      </c>
      <c r="E74" s="6">
        <v>20</v>
      </c>
      <c r="F74" s="6">
        <v>15</v>
      </c>
      <c r="G74" s="6">
        <v>13</v>
      </c>
      <c r="H74" s="6">
        <v>12</v>
      </c>
      <c r="I74" s="6">
        <v>11</v>
      </c>
      <c r="J74" s="6">
        <v>10</v>
      </c>
      <c r="K74" s="55"/>
    </row>
    <row r="75" spans="1:11" ht="50" x14ac:dyDescent="0.25">
      <c r="A75" s="25" t="s">
        <v>346</v>
      </c>
      <c r="B75" s="7" t="s">
        <v>347</v>
      </c>
      <c r="C75" s="12">
        <v>0.23</v>
      </c>
      <c r="D75" s="12">
        <v>0.37</v>
      </c>
      <c r="E75" s="12">
        <v>0.44</v>
      </c>
      <c r="F75" s="12">
        <v>0.7</v>
      </c>
      <c r="G75" s="12">
        <v>0.76</v>
      </c>
      <c r="H75" s="12">
        <v>0.75</v>
      </c>
      <c r="I75" s="12">
        <v>0.8</v>
      </c>
      <c r="J75" s="12">
        <v>0.85</v>
      </c>
      <c r="K75" s="55"/>
    </row>
    <row r="76" spans="1:11" ht="87.5" x14ac:dyDescent="0.25">
      <c r="A76" s="25" t="s">
        <v>348</v>
      </c>
      <c r="B76" s="7" t="s">
        <v>349</v>
      </c>
      <c r="C76" s="12">
        <v>0.99</v>
      </c>
      <c r="D76" s="12">
        <v>0.99</v>
      </c>
      <c r="E76" s="12">
        <v>0.97</v>
      </c>
      <c r="F76" s="12">
        <v>0.96</v>
      </c>
      <c r="G76" s="12">
        <v>0.98</v>
      </c>
      <c r="H76" s="13">
        <v>0.96499999999999997</v>
      </c>
      <c r="I76" s="13">
        <v>0.97</v>
      </c>
      <c r="J76" s="13">
        <v>0.97499999999999998</v>
      </c>
      <c r="K76" s="34"/>
    </row>
    <row r="77" spans="1:11" ht="50" x14ac:dyDescent="0.25">
      <c r="A77" s="25" t="s">
        <v>350</v>
      </c>
      <c r="B77" s="7" t="s">
        <v>351</v>
      </c>
      <c r="C77" s="12">
        <v>0.41</v>
      </c>
      <c r="D77" s="13">
        <v>0.35</v>
      </c>
      <c r="E77" s="12">
        <v>0.28999999999999998</v>
      </c>
      <c r="F77" s="12">
        <v>0.3</v>
      </c>
      <c r="G77" s="12">
        <v>0.51</v>
      </c>
      <c r="H77" s="12">
        <v>0.3</v>
      </c>
      <c r="I77" s="12">
        <v>0.32</v>
      </c>
      <c r="J77" s="12">
        <v>0.34</v>
      </c>
      <c r="K77" s="34" t="s">
        <v>352</v>
      </c>
    </row>
    <row r="78" spans="1:11" ht="25" x14ac:dyDescent="0.25">
      <c r="A78" s="25" t="s">
        <v>353</v>
      </c>
      <c r="B78" s="26" t="s">
        <v>354</v>
      </c>
      <c r="C78" s="12"/>
      <c r="D78" s="6" t="s">
        <v>282</v>
      </c>
      <c r="E78" s="6" t="s">
        <v>240</v>
      </c>
      <c r="F78" s="6" t="s">
        <v>240</v>
      </c>
      <c r="G78" s="6" t="s">
        <v>282</v>
      </c>
      <c r="H78" s="12">
        <v>0.65</v>
      </c>
      <c r="I78" s="6" t="s">
        <v>240</v>
      </c>
      <c r="J78" s="6" t="s">
        <v>240</v>
      </c>
      <c r="K78" s="36"/>
    </row>
    <row r="79" spans="1:11" ht="20.25" customHeight="1" x14ac:dyDescent="0.25">
      <c r="A79" s="25" t="s">
        <v>355</v>
      </c>
      <c r="B79" s="26" t="s">
        <v>356</v>
      </c>
      <c r="C79" s="12"/>
      <c r="D79" s="6" t="s">
        <v>282</v>
      </c>
      <c r="E79" s="6" t="s">
        <v>240</v>
      </c>
      <c r="F79" s="6" t="s">
        <v>240</v>
      </c>
      <c r="G79" s="6" t="s">
        <v>282</v>
      </c>
      <c r="H79" s="12">
        <v>0.65</v>
      </c>
      <c r="I79" s="6" t="s">
        <v>240</v>
      </c>
      <c r="J79" s="6" t="s">
        <v>240</v>
      </c>
      <c r="K79" s="37"/>
    </row>
    <row r="80" spans="1:11" ht="18" customHeight="1" x14ac:dyDescent="0.25">
      <c r="A80" s="25" t="s">
        <v>357</v>
      </c>
      <c r="B80" s="26" t="s">
        <v>358</v>
      </c>
      <c r="C80" s="12"/>
      <c r="D80" s="6" t="s">
        <v>282</v>
      </c>
      <c r="E80" s="6" t="s">
        <v>240</v>
      </c>
      <c r="F80" s="6" t="s">
        <v>240</v>
      </c>
      <c r="G80" s="6" t="s">
        <v>282</v>
      </c>
      <c r="H80" s="12">
        <v>0.6</v>
      </c>
      <c r="I80" s="6" t="s">
        <v>240</v>
      </c>
      <c r="J80" s="6" t="s">
        <v>240</v>
      </c>
      <c r="K80" s="37"/>
    </row>
    <row r="81" spans="1:11" ht="16.5" customHeight="1" x14ac:dyDescent="0.25">
      <c r="A81" s="25" t="s">
        <v>359</v>
      </c>
      <c r="B81" s="26" t="s">
        <v>360</v>
      </c>
      <c r="C81" s="12"/>
      <c r="D81" s="6" t="s">
        <v>282</v>
      </c>
      <c r="E81" s="6" t="s">
        <v>240</v>
      </c>
      <c r="F81" s="6" t="s">
        <v>240</v>
      </c>
      <c r="G81" s="6" t="s">
        <v>282</v>
      </c>
      <c r="H81" s="12">
        <v>0.75</v>
      </c>
      <c r="I81" s="6" t="s">
        <v>240</v>
      </c>
      <c r="J81" s="6" t="s">
        <v>240</v>
      </c>
      <c r="K81" s="37"/>
    </row>
    <row r="82" spans="1:11" ht="20.25" customHeight="1" x14ac:dyDescent="0.25">
      <c r="A82" s="25" t="s">
        <v>361</v>
      </c>
      <c r="B82" s="26" t="s">
        <v>362</v>
      </c>
      <c r="C82" s="12"/>
      <c r="D82" s="6" t="s">
        <v>282</v>
      </c>
      <c r="E82" s="6" t="s">
        <v>240</v>
      </c>
      <c r="F82" s="6" t="s">
        <v>240</v>
      </c>
      <c r="G82" s="6" t="s">
        <v>282</v>
      </c>
      <c r="H82" s="12">
        <v>0.65</v>
      </c>
      <c r="I82" s="6" t="s">
        <v>240</v>
      </c>
      <c r="J82" s="6" t="s">
        <v>240</v>
      </c>
      <c r="K82" s="37"/>
    </row>
    <row r="83" spans="1:11" ht="18" customHeight="1" x14ac:dyDescent="0.25">
      <c r="A83" s="25" t="s">
        <v>363</v>
      </c>
      <c r="B83" s="26" t="s">
        <v>364</v>
      </c>
      <c r="C83" s="12"/>
      <c r="D83" s="6" t="s">
        <v>282</v>
      </c>
      <c r="E83" s="6" t="s">
        <v>240</v>
      </c>
      <c r="F83" s="6" t="s">
        <v>240</v>
      </c>
      <c r="G83" s="6" t="s">
        <v>282</v>
      </c>
      <c r="H83" s="12">
        <v>0.65</v>
      </c>
      <c r="I83" s="6" t="s">
        <v>240</v>
      </c>
      <c r="J83" s="6" t="s">
        <v>240</v>
      </c>
      <c r="K83" s="37"/>
    </row>
    <row r="84" spans="1:11" ht="25" x14ac:dyDescent="0.25">
      <c r="A84" s="25" t="s">
        <v>365</v>
      </c>
      <c r="B84" s="26" t="s">
        <v>267</v>
      </c>
      <c r="C84" s="6"/>
      <c r="D84" s="6" t="s">
        <v>282</v>
      </c>
      <c r="E84" s="6" t="s">
        <v>240</v>
      </c>
      <c r="F84" s="6" t="s">
        <v>240</v>
      </c>
      <c r="G84" s="6" t="s">
        <v>282</v>
      </c>
      <c r="H84" s="12">
        <v>0.65</v>
      </c>
      <c r="I84" s="6" t="s">
        <v>240</v>
      </c>
      <c r="J84" s="6" t="s">
        <v>240</v>
      </c>
      <c r="K84" s="37"/>
    </row>
    <row r="85" spans="1:11" ht="66" customHeight="1" x14ac:dyDescent="0.25">
      <c r="A85" s="25" t="s">
        <v>397</v>
      </c>
      <c r="B85" s="7" t="s">
        <v>398</v>
      </c>
      <c r="C85" s="14">
        <v>9.6299999999999997E-2</v>
      </c>
      <c r="D85" s="14">
        <v>9.2299999999999993E-2</v>
      </c>
      <c r="E85" s="14">
        <v>9.2600000000000002E-2</v>
      </c>
      <c r="F85" s="12">
        <v>0.12</v>
      </c>
      <c r="G85" s="14">
        <v>8.7999999999999995E-2</v>
      </c>
      <c r="H85" s="12">
        <v>0.16</v>
      </c>
      <c r="I85" s="12">
        <v>0.2</v>
      </c>
      <c r="J85" s="12">
        <v>0.2</v>
      </c>
      <c r="K85" s="56" t="s">
        <v>399</v>
      </c>
    </row>
    <row r="86" spans="1:11" ht="74.25" customHeight="1" x14ac:dyDescent="0.25">
      <c r="A86" s="25" t="s">
        <v>400</v>
      </c>
      <c r="B86" s="7" t="s">
        <v>401</v>
      </c>
      <c r="C86" s="14">
        <v>1.32E-2</v>
      </c>
      <c r="D86" s="14">
        <v>1.2800000000000001E-2</v>
      </c>
      <c r="E86" s="14">
        <v>1.46E-2</v>
      </c>
      <c r="F86" s="12">
        <v>0.03</v>
      </c>
      <c r="G86" s="14">
        <v>2.8000000000000001E-2</v>
      </c>
      <c r="H86" s="12">
        <v>0.04</v>
      </c>
      <c r="I86" s="12">
        <v>0.05</v>
      </c>
      <c r="J86" s="12">
        <v>0.1</v>
      </c>
      <c r="K86" s="56"/>
    </row>
    <row r="87" spans="1:11" ht="42.75" customHeight="1" x14ac:dyDescent="0.25">
      <c r="A87" s="25" t="s">
        <v>402</v>
      </c>
      <c r="B87" s="7" t="s">
        <v>403</v>
      </c>
      <c r="C87" s="6" t="s">
        <v>404</v>
      </c>
      <c r="D87" s="6">
        <v>507.04</v>
      </c>
      <c r="E87" s="6">
        <v>465</v>
      </c>
      <c r="F87" s="6">
        <v>520</v>
      </c>
      <c r="G87" s="6">
        <v>439</v>
      </c>
      <c r="H87" s="6">
        <v>450</v>
      </c>
      <c r="I87" s="6">
        <v>450</v>
      </c>
      <c r="J87" s="6">
        <v>450</v>
      </c>
      <c r="K87" s="37"/>
    </row>
    <row r="88" spans="1:11" ht="69.75" customHeight="1" x14ac:dyDescent="0.25">
      <c r="A88" s="25" t="s">
        <v>405</v>
      </c>
      <c r="B88" s="7" t="s">
        <v>406</v>
      </c>
      <c r="C88" s="30">
        <v>39.78</v>
      </c>
      <c r="D88" s="30">
        <v>39.17</v>
      </c>
      <c r="E88" s="30" t="s">
        <v>407</v>
      </c>
      <c r="F88" s="30">
        <v>46.62</v>
      </c>
      <c r="G88" s="30">
        <v>26.03</v>
      </c>
      <c r="H88" s="30">
        <v>37.75</v>
      </c>
      <c r="I88" s="30">
        <v>37</v>
      </c>
      <c r="J88" s="30">
        <v>36.26</v>
      </c>
      <c r="K88" s="49" t="s">
        <v>408</v>
      </c>
    </row>
    <row r="89" spans="1:11" ht="29.25" customHeight="1" x14ac:dyDescent="0.25">
      <c r="A89" s="25" t="s">
        <v>409</v>
      </c>
      <c r="B89" s="7" t="s">
        <v>410</v>
      </c>
      <c r="C89" s="12">
        <v>0.49</v>
      </c>
      <c r="D89" s="6" t="s">
        <v>282</v>
      </c>
      <c r="E89" s="12" t="s">
        <v>240</v>
      </c>
      <c r="F89" s="12" t="s">
        <v>240</v>
      </c>
      <c r="G89" s="6" t="s">
        <v>282</v>
      </c>
      <c r="H89" s="12">
        <v>0.51</v>
      </c>
      <c r="I89" s="12" t="s">
        <v>240</v>
      </c>
      <c r="J89" s="12" t="s">
        <v>240</v>
      </c>
      <c r="K89" s="37"/>
    </row>
    <row r="90" spans="1:11" ht="34.5" customHeight="1" x14ac:dyDescent="0.25">
      <c r="A90" s="25" t="s">
        <v>411</v>
      </c>
      <c r="B90" s="7" t="s">
        <v>412</v>
      </c>
      <c r="C90" s="12">
        <v>0.65</v>
      </c>
      <c r="D90" s="6" t="s">
        <v>282</v>
      </c>
      <c r="E90" s="12" t="s">
        <v>240</v>
      </c>
      <c r="F90" s="12" t="s">
        <v>240</v>
      </c>
      <c r="G90" s="6" t="s">
        <v>282</v>
      </c>
      <c r="H90" s="12">
        <v>0.67</v>
      </c>
      <c r="I90" s="12" t="s">
        <v>240</v>
      </c>
      <c r="J90" s="12" t="s">
        <v>240</v>
      </c>
      <c r="K90" s="49"/>
    </row>
    <row r="91" spans="1:11" ht="35.25" customHeight="1" x14ac:dyDescent="0.25">
      <c r="A91" s="25" t="s">
        <v>413</v>
      </c>
      <c r="B91" s="7" t="s">
        <v>414</v>
      </c>
      <c r="C91" s="12">
        <v>0.59</v>
      </c>
      <c r="D91" s="6" t="s">
        <v>282</v>
      </c>
      <c r="E91" s="12" t="s">
        <v>240</v>
      </c>
      <c r="F91" s="12" t="s">
        <v>240</v>
      </c>
      <c r="G91" s="6" t="s">
        <v>282</v>
      </c>
      <c r="H91" s="12">
        <v>0.6</v>
      </c>
      <c r="I91" s="12" t="s">
        <v>240</v>
      </c>
      <c r="J91" s="12" t="s">
        <v>240</v>
      </c>
      <c r="K91" s="49"/>
    </row>
    <row r="92" spans="1:11" ht="36" customHeight="1" x14ac:dyDescent="0.25">
      <c r="A92" s="25" t="s">
        <v>415</v>
      </c>
      <c r="B92" s="7" t="s">
        <v>416</v>
      </c>
      <c r="C92" s="12">
        <v>0.62</v>
      </c>
      <c r="D92" s="6" t="s">
        <v>282</v>
      </c>
      <c r="E92" s="12" t="s">
        <v>240</v>
      </c>
      <c r="F92" s="12" t="s">
        <v>240</v>
      </c>
      <c r="G92" s="6" t="s">
        <v>282</v>
      </c>
      <c r="H92" s="12">
        <v>0.6</v>
      </c>
      <c r="I92" s="12" t="s">
        <v>240</v>
      </c>
      <c r="J92" s="12" t="s">
        <v>240</v>
      </c>
      <c r="K92" s="49"/>
    </row>
    <row r="93" spans="1:11" ht="47.25" customHeight="1" x14ac:dyDescent="0.25">
      <c r="A93" s="25" t="s">
        <v>417</v>
      </c>
      <c r="B93" s="7" t="s">
        <v>418</v>
      </c>
      <c r="C93" s="6" t="s">
        <v>419</v>
      </c>
      <c r="D93" s="16">
        <v>1</v>
      </c>
      <c r="E93" s="12">
        <v>0.77</v>
      </c>
      <c r="F93" s="12">
        <v>1</v>
      </c>
      <c r="G93" s="6" t="s">
        <v>282</v>
      </c>
      <c r="H93" s="12">
        <v>0.8</v>
      </c>
      <c r="I93" s="12">
        <v>0.85</v>
      </c>
      <c r="J93" s="12">
        <v>0.9</v>
      </c>
      <c r="K93" s="48" t="s">
        <v>420</v>
      </c>
    </row>
    <row r="94" spans="1:11" ht="75" x14ac:dyDescent="0.25">
      <c r="A94" s="25" t="s">
        <v>421</v>
      </c>
      <c r="B94" s="7" t="s">
        <v>422</v>
      </c>
      <c r="C94" s="30">
        <v>94.47</v>
      </c>
      <c r="D94" s="30">
        <v>86.78</v>
      </c>
      <c r="E94" s="32" t="s">
        <v>423</v>
      </c>
      <c r="F94" s="30">
        <v>81.88</v>
      </c>
      <c r="G94" s="30">
        <v>61.74</v>
      </c>
      <c r="H94" s="33">
        <v>72.400000000000006</v>
      </c>
      <c r="I94" s="33">
        <v>72.400000000000006</v>
      </c>
      <c r="J94" s="33">
        <v>72.400000000000006</v>
      </c>
      <c r="K94" s="48" t="s">
        <v>424</v>
      </c>
    </row>
    <row r="95" spans="1:11" ht="45.75" customHeight="1" x14ac:dyDescent="0.25">
      <c r="A95" s="25" t="s">
        <v>425</v>
      </c>
      <c r="B95" s="7" t="s">
        <v>426</v>
      </c>
      <c r="C95" s="14">
        <v>7.6E-3</v>
      </c>
      <c r="D95" s="14">
        <v>9.4899999999999998E-2</v>
      </c>
      <c r="E95" s="14">
        <v>4.4299999999999999E-2</v>
      </c>
      <c r="F95" s="13">
        <v>0.16900000000000001</v>
      </c>
      <c r="G95" s="13">
        <v>0.04</v>
      </c>
      <c r="H95" s="28">
        <v>0.04</v>
      </c>
      <c r="I95" s="28">
        <v>3.5000000000000003E-2</v>
      </c>
      <c r="J95" s="28">
        <v>0.03</v>
      </c>
      <c r="K95" s="48" t="s">
        <v>515</v>
      </c>
    </row>
    <row r="96" spans="1:11" ht="36.75" customHeight="1" x14ac:dyDescent="0.25">
      <c r="A96" s="25" t="s">
        <v>427</v>
      </c>
      <c r="B96" s="7" t="s">
        <v>428</v>
      </c>
      <c r="C96" s="14">
        <v>0.13869999999999999</v>
      </c>
      <c r="D96" s="13">
        <v>0.16170000000000001</v>
      </c>
      <c r="E96" s="13">
        <v>9.8470000000000002E-2</v>
      </c>
      <c r="F96" s="13">
        <v>0.159</v>
      </c>
      <c r="G96" s="13">
        <v>0.08</v>
      </c>
      <c r="H96" s="12">
        <v>0.09</v>
      </c>
      <c r="I96" s="13">
        <v>0.08</v>
      </c>
      <c r="J96" s="13">
        <v>7.0000000000000007E-2</v>
      </c>
      <c r="K96" s="55" t="s">
        <v>429</v>
      </c>
    </row>
    <row r="97" spans="1:11" ht="43.5" customHeight="1" x14ac:dyDescent="0.25">
      <c r="A97" s="25" t="s">
        <v>430</v>
      </c>
      <c r="B97" s="7" t="s">
        <v>431</v>
      </c>
      <c r="C97" s="14">
        <v>0.14649999999999999</v>
      </c>
      <c r="D97" s="35">
        <v>0.15939999999999999</v>
      </c>
      <c r="E97" s="13">
        <v>8.9580000000000007E-2</v>
      </c>
      <c r="F97" s="13">
        <v>0.159</v>
      </c>
      <c r="G97" s="13">
        <v>0.03</v>
      </c>
      <c r="H97" s="12">
        <v>0.08</v>
      </c>
      <c r="I97" s="13">
        <v>7.0000000000000007E-2</v>
      </c>
      <c r="J97" s="13">
        <v>0.06</v>
      </c>
      <c r="K97" s="55"/>
    </row>
    <row r="98" spans="1:11" ht="25" x14ac:dyDescent="0.25">
      <c r="A98" s="25" t="s">
        <v>432</v>
      </c>
      <c r="B98" s="31" t="s">
        <v>433</v>
      </c>
      <c r="C98" s="6">
        <v>78.8</v>
      </c>
      <c r="D98" s="6">
        <f>SUM(D99:D103)</f>
        <v>64.2</v>
      </c>
      <c r="E98" s="6">
        <v>72.3</v>
      </c>
      <c r="F98" s="6">
        <v>82</v>
      </c>
      <c r="G98" s="6" t="s">
        <v>282</v>
      </c>
      <c r="H98" s="6">
        <v>84.87</v>
      </c>
      <c r="I98" s="6">
        <v>81.38</v>
      </c>
      <c r="J98" s="6">
        <v>77.94</v>
      </c>
      <c r="K98" s="57" t="s">
        <v>434</v>
      </c>
    </row>
    <row r="99" spans="1:11" x14ac:dyDescent="0.25">
      <c r="A99" s="25" t="s">
        <v>435</v>
      </c>
      <c r="B99" s="7" t="s">
        <v>436</v>
      </c>
      <c r="C99" s="6">
        <v>29.1</v>
      </c>
      <c r="D99" s="6">
        <v>20.2</v>
      </c>
      <c r="E99" s="6">
        <v>22.6</v>
      </c>
      <c r="F99" s="6">
        <v>26</v>
      </c>
      <c r="G99" s="6">
        <v>16</v>
      </c>
      <c r="H99" s="6">
        <v>26.96</v>
      </c>
      <c r="I99" s="6">
        <v>25.83</v>
      </c>
      <c r="J99" s="6">
        <v>24.74</v>
      </c>
      <c r="K99" s="58"/>
    </row>
    <row r="100" spans="1:11" x14ac:dyDescent="0.25">
      <c r="A100" s="25" t="s">
        <v>437</v>
      </c>
      <c r="B100" s="7" t="s">
        <v>438</v>
      </c>
      <c r="C100" s="6">
        <v>5.2</v>
      </c>
      <c r="D100" s="6">
        <v>4.8</v>
      </c>
      <c r="E100" s="6">
        <v>6.3</v>
      </c>
      <c r="F100" s="6">
        <v>6</v>
      </c>
      <c r="G100" s="6">
        <v>3</v>
      </c>
      <c r="H100" s="6">
        <v>6.1</v>
      </c>
      <c r="I100" s="6">
        <v>5.84</v>
      </c>
      <c r="J100" s="6">
        <v>5.6</v>
      </c>
      <c r="K100" s="58"/>
    </row>
    <row r="101" spans="1:11" x14ac:dyDescent="0.25">
      <c r="A101" s="25" t="s">
        <v>439</v>
      </c>
      <c r="B101" s="7" t="s">
        <v>440</v>
      </c>
      <c r="C101" s="6">
        <v>9.4</v>
      </c>
      <c r="D101" s="6">
        <v>11.6</v>
      </c>
      <c r="E101" s="6">
        <v>12.6</v>
      </c>
      <c r="F101" s="6">
        <v>9</v>
      </c>
      <c r="G101" s="6">
        <v>12</v>
      </c>
      <c r="H101" s="6">
        <v>9.4499999999999993</v>
      </c>
      <c r="I101" s="6">
        <v>9.0500000000000007</v>
      </c>
      <c r="J101" s="6">
        <v>8.69</v>
      </c>
      <c r="K101" s="58"/>
    </row>
    <row r="102" spans="1:11" x14ac:dyDescent="0.25">
      <c r="A102" s="25" t="s">
        <v>441</v>
      </c>
      <c r="B102" s="7" t="s">
        <v>442</v>
      </c>
      <c r="C102" s="6">
        <v>29.5</v>
      </c>
      <c r="D102" s="6">
        <v>24.1</v>
      </c>
      <c r="E102" s="6">
        <v>25.9</v>
      </c>
      <c r="F102" s="6">
        <v>36</v>
      </c>
      <c r="G102" s="6">
        <v>24</v>
      </c>
      <c r="H102" s="6">
        <v>37.28</v>
      </c>
      <c r="I102" s="6">
        <v>35.75</v>
      </c>
      <c r="J102" s="6">
        <v>34.26</v>
      </c>
      <c r="K102" s="58"/>
    </row>
    <row r="103" spans="1:11" x14ac:dyDescent="0.25">
      <c r="A103" s="25" t="s">
        <v>443</v>
      </c>
      <c r="B103" s="7" t="s">
        <v>444</v>
      </c>
      <c r="C103" s="6">
        <v>5.5</v>
      </c>
      <c r="D103" s="6">
        <v>3.5</v>
      </c>
      <c r="E103" s="6">
        <v>4.5999999999999996</v>
      </c>
      <c r="F103" s="6">
        <v>5</v>
      </c>
      <c r="G103" s="6">
        <v>3</v>
      </c>
      <c r="H103" s="6">
        <v>5.07</v>
      </c>
      <c r="I103" s="6">
        <v>4.88</v>
      </c>
      <c r="J103" s="6">
        <v>4.68</v>
      </c>
      <c r="K103" s="58"/>
    </row>
    <row r="104" spans="1:11" x14ac:dyDescent="0.25">
      <c r="A104" s="25" t="s">
        <v>445</v>
      </c>
      <c r="B104" s="7" t="s">
        <v>446</v>
      </c>
      <c r="C104" s="6">
        <v>563.5</v>
      </c>
      <c r="D104" s="6">
        <f>SUM(D105:D109)</f>
        <v>546.70000000000005</v>
      </c>
      <c r="E104" s="6">
        <v>570.79999999999995</v>
      </c>
      <c r="F104" s="6">
        <v>504</v>
      </c>
      <c r="G104" s="6" t="s">
        <v>282</v>
      </c>
      <c r="H104" s="6">
        <v>520.66999999999996</v>
      </c>
      <c r="I104" s="6">
        <v>515.79999999999995</v>
      </c>
      <c r="J104" s="6">
        <v>510.92</v>
      </c>
      <c r="K104" s="58"/>
    </row>
    <row r="105" spans="1:11" x14ac:dyDescent="0.25">
      <c r="A105" s="25" t="s">
        <v>447</v>
      </c>
      <c r="B105" s="7" t="s">
        <v>436</v>
      </c>
      <c r="C105" s="6">
        <v>96.5</v>
      </c>
      <c r="D105" s="6">
        <v>88.9</v>
      </c>
      <c r="E105" s="6">
        <v>80.3</v>
      </c>
      <c r="F105" s="6">
        <v>84</v>
      </c>
      <c r="G105" s="6">
        <v>57</v>
      </c>
      <c r="H105" s="6">
        <v>86.86</v>
      </c>
      <c r="I105" s="6">
        <v>86.03</v>
      </c>
      <c r="J105" s="6">
        <v>85.23</v>
      </c>
      <c r="K105" s="58"/>
    </row>
    <row r="106" spans="1:11" x14ac:dyDescent="0.25">
      <c r="A106" s="25" t="s">
        <v>448</v>
      </c>
      <c r="B106" s="7" t="s">
        <v>438</v>
      </c>
      <c r="C106" s="6">
        <v>35</v>
      </c>
      <c r="D106" s="6">
        <v>35.299999999999997</v>
      </c>
      <c r="E106" s="6">
        <v>37.799999999999997</v>
      </c>
      <c r="F106" s="6">
        <v>43</v>
      </c>
      <c r="G106" s="6">
        <v>25</v>
      </c>
      <c r="H106" s="6">
        <v>44.07</v>
      </c>
      <c r="I106" s="6">
        <v>43.64</v>
      </c>
      <c r="J106" s="6">
        <v>43.25</v>
      </c>
      <c r="K106" s="58"/>
    </row>
    <row r="107" spans="1:11" x14ac:dyDescent="0.25">
      <c r="A107" s="25" t="s">
        <v>449</v>
      </c>
      <c r="B107" s="7" t="s">
        <v>440</v>
      </c>
      <c r="C107" s="6">
        <v>65.400000000000006</v>
      </c>
      <c r="D107" s="6">
        <v>66.8</v>
      </c>
      <c r="E107" s="6">
        <v>85.9</v>
      </c>
      <c r="F107" s="6">
        <v>52</v>
      </c>
      <c r="G107" s="6">
        <v>53</v>
      </c>
      <c r="H107" s="6">
        <v>54.12</v>
      </c>
      <c r="I107" s="6">
        <v>53.63</v>
      </c>
      <c r="J107" s="6">
        <v>53.13</v>
      </c>
      <c r="K107" s="58"/>
    </row>
    <row r="108" spans="1:11" x14ac:dyDescent="0.25">
      <c r="A108" s="25" t="s">
        <v>450</v>
      </c>
      <c r="B108" s="7" t="s">
        <v>442</v>
      </c>
      <c r="C108" s="6">
        <v>316.7</v>
      </c>
      <c r="D108" s="6">
        <v>322</v>
      </c>
      <c r="E108" s="6">
        <v>323.3</v>
      </c>
      <c r="F108" s="6">
        <v>289</v>
      </c>
      <c r="G108" s="6">
        <v>208</v>
      </c>
      <c r="H108" s="6">
        <v>298.01</v>
      </c>
      <c r="I108" s="6">
        <v>295.22000000000003</v>
      </c>
      <c r="J108" s="6">
        <v>292.44</v>
      </c>
      <c r="K108" s="58"/>
    </row>
    <row r="109" spans="1:11" x14ac:dyDescent="0.25">
      <c r="A109" s="25" t="s">
        <v>451</v>
      </c>
      <c r="B109" s="7" t="s">
        <v>444</v>
      </c>
      <c r="C109" s="6">
        <v>50.8</v>
      </c>
      <c r="D109" s="6">
        <v>33.700000000000003</v>
      </c>
      <c r="E109" s="6">
        <v>43.4</v>
      </c>
      <c r="F109" s="6">
        <v>36</v>
      </c>
      <c r="G109" s="6">
        <v>33</v>
      </c>
      <c r="H109" s="6">
        <v>37.61</v>
      </c>
      <c r="I109" s="6">
        <v>37.28</v>
      </c>
      <c r="J109" s="6">
        <v>36.909999999999997</v>
      </c>
      <c r="K109" s="58"/>
    </row>
    <row r="110" spans="1:11" ht="62.5" x14ac:dyDescent="0.25">
      <c r="A110" s="25" t="s">
        <v>452</v>
      </c>
      <c r="B110" s="7" t="s">
        <v>453</v>
      </c>
      <c r="C110" s="6">
        <v>0.78</v>
      </c>
      <c r="D110" s="6">
        <v>1.85</v>
      </c>
      <c r="E110" s="8">
        <v>0.5</v>
      </c>
      <c r="F110" s="8">
        <v>1.5</v>
      </c>
      <c r="G110" s="8">
        <v>0.14000000000000001</v>
      </c>
      <c r="H110" s="8">
        <v>0.5</v>
      </c>
      <c r="I110" s="8">
        <v>0.5</v>
      </c>
      <c r="J110" s="8">
        <v>0.5</v>
      </c>
      <c r="K110" s="49" t="s">
        <v>271</v>
      </c>
    </row>
    <row r="111" spans="1:11" ht="50" x14ac:dyDescent="0.25">
      <c r="A111" s="25" t="s">
        <v>454</v>
      </c>
      <c r="B111" s="7" t="s">
        <v>455</v>
      </c>
      <c r="C111" s="12">
        <v>1</v>
      </c>
      <c r="D111" s="12">
        <v>1</v>
      </c>
      <c r="E111" s="12">
        <v>1</v>
      </c>
      <c r="F111" s="12">
        <v>0.8</v>
      </c>
      <c r="G111" s="12">
        <v>1</v>
      </c>
      <c r="H111" s="12">
        <v>0.8</v>
      </c>
      <c r="I111" s="12">
        <v>0.8</v>
      </c>
      <c r="J111" s="12">
        <v>0.8</v>
      </c>
      <c r="K111" s="49" t="s">
        <v>456</v>
      </c>
    </row>
    <row r="112" spans="1:11" ht="37.5" x14ac:dyDescent="0.25">
      <c r="A112" s="25" t="s">
        <v>457</v>
      </c>
      <c r="B112" s="7" t="s">
        <v>458</v>
      </c>
      <c r="C112" s="30">
        <v>8.56</v>
      </c>
      <c r="D112" s="30">
        <v>9.9600000000000009</v>
      </c>
      <c r="E112" s="30" t="s">
        <v>459</v>
      </c>
      <c r="F112" s="30">
        <v>7.97</v>
      </c>
      <c r="G112" s="30">
        <v>8.52</v>
      </c>
      <c r="H112" s="30">
        <v>9.6199999999999992</v>
      </c>
      <c r="I112" s="30">
        <v>9.43</v>
      </c>
      <c r="J112" s="30">
        <v>9.24</v>
      </c>
      <c r="K112" s="49" t="s">
        <v>272</v>
      </c>
    </row>
    <row r="113" spans="1:11" ht="29.25" customHeight="1" x14ac:dyDescent="0.25">
      <c r="A113" s="25" t="s">
        <v>460</v>
      </c>
      <c r="B113" s="7" t="s">
        <v>461</v>
      </c>
      <c r="C113" s="6" t="s">
        <v>282</v>
      </c>
      <c r="D113" s="6" t="s">
        <v>282</v>
      </c>
      <c r="E113" s="12">
        <v>0.28000000000000003</v>
      </c>
      <c r="F113" s="12">
        <v>0.3</v>
      </c>
      <c r="G113" s="6" t="s">
        <v>282</v>
      </c>
      <c r="H113" s="12">
        <v>0.5</v>
      </c>
      <c r="I113" s="12">
        <v>0.55000000000000004</v>
      </c>
      <c r="J113" s="12">
        <v>0.6</v>
      </c>
      <c r="K113" s="55" t="s">
        <v>462</v>
      </c>
    </row>
    <row r="114" spans="1:11" ht="27.75" customHeight="1" x14ac:dyDescent="0.25">
      <c r="A114" s="25" t="s">
        <v>463</v>
      </c>
      <c r="B114" s="7" t="s">
        <v>464</v>
      </c>
      <c r="C114" s="6" t="s">
        <v>282</v>
      </c>
      <c r="D114" s="6" t="s">
        <v>282</v>
      </c>
      <c r="E114" s="12">
        <v>0.43</v>
      </c>
      <c r="F114" s="12">
        <v>0.5</v>
      </c>
      <c r="G114" s="6" t="s">
        <v>282</v>
      </c>
      <c r="H114" s="12">
        <v>0.55000000000000004</v>
      </c>
      <c r="I114" s="12">
        <v>0.6</v>
      </c>
      <c r="J114" s="12">
        <v>0.65</v>
      </c>
      <c r="K114" s="55"/>
    </row>
    <row r="115" spans="1:11" ht="30.75" customHeight="1" x14ac:dyDescent="0.25">
      <c r="A115" s="25" t="s">
        <v>465</v>
      </c>
      <c r="B115" s="7" t="s">
        <v>466</v>
      </c>
      <c r="C115" s="6" t="s">
        <v>282</v>
      </c>
      <c r="D115" s="6" t="s">
        <v>282</v>
      </c>
      <c r="E115" s="12">
        <v>0.6</v>
      </c>
      <c r="F115" s="12">
        <v>0.67</v>
      </c>
      <c r="G115" s="6" t="s">
        <v>282</v>
      </c>
      <c r="H115" s="12">
        <v>0.75</v>
      </c>
      <c r="I115" s="12">
        <v>0.8</v>
      </c>
      <c r="J115" s="12">
        <v>0.8</v>
      </c>
      <c r="K115" s="55"/>
    </row>
    <row r="116" spans="1:11" ht="29.25" customHeight="1" x14ac:dyDescent="0.25">
      <c r="A116" s="25" t="s">
        <v>467</v>
      </c>
      <c r="B116" s="7" t="s">
        <v>468</v>
      </c>
      <c r="C116" s="6" t="s">
        <v>282</v>
      </c>
      <c r="D116" s="6" t="s">
        <v>282</v>
      </c>
      <c r="E116" s="12" t="s">
        <v>240</v>
      </c>
      <c r="F116" s="12" t="s">
        <v>240</v>
      </c>
      <c r="G116" s="6" t="s">
        <v>282</v>
      </c>
      <c r="H116" s="12">
        <v>0.57999999999999996</v>
      </c>
      <c r="I116" s="12" t="s">
        <v>240</v>
      </c>
      <c r="J116" s="12" t="s">
        <v>240</v>
      </c>
      <c r="K116" s="49"/>
    </row>
    <row r="117" spans="1:11" ht="31.5" customHeight="1" x14ac:dyDescent="0.25">
      <c r="A117" s="25" t="s">
        <v>145</v>
      </c>
      <c r="B117" s="7" t="s">
        <v>148</v>
      </c>
      <c r="C117" s="6" t="s">
        <v>239</v>
      </c>
      <c r="D117" s="6" t="s">
        <v>239</v>
      </c>
      <c r="E117" s="6" t="s">
        <v>149</v>
      </c>
      <c r="F117" s="6" t="s">
        <v>241</v>
      </c>
      <c r="G117" s="6"/>
      <c r="H117" s="6" t="s">
        <v>241</v>
      </c>
      <c r="I117" s="6" t="s">
        <v>149</v>
      </c>
      <c r="J117" s="6" t="s">
        <v>149</v>
      </c>
      <c r="K117" s="55"/>
    </row>
    <row r="118" spans="1:11" ht="30.75" customHeight="1" x14ac:dyDescent="0.25">
      <c r="A118" s="25" t="s">
        <v>150</v>
      </c>
      <c r="B118" s="7" t="s">
        <v>151</v>
      </c>
      <c r="C118" s="30">
        <v>4.84</v>
      </c>
      <c r="D118" s="30">
        <v>4.6900000000000004</v>
      </c>
      <c r="E118" s="30">
        <v>5.24</v>
      </c>
      <c r="F118" s="30">
        <v>4.83</v>
      </c>
      <c r="G118" s="30">
        <v>2.95</v>
      </c>
      <c r="H118" s="12" t="s">
        <v>240</v>
      </c>
      <c r="I118" s="12" t="s">
        <v>240</v>
      </c>
      <c r="J118" s="12" t="s">
        <v>240</v>
      </c>
      <c r="K118" s="55"/>
    </row>
    <row r="119" spans="1:11" ht="44.25" customHeight="1" x14ac:dyDescent="0.25">
      <c r="A119" s="25" t="s">
        <v>152</v>
      </c>
      <c r="B119" s="7" t="s">
        <v>153</v>
      </c>
      <c r="C119" s="6">
        <v>3.89</v>
      </c>
      <c r="D119" s="6">
        <v>3.77</v>
      </c>
      <c r="E119" s="8">
        <v>3.9159999999999999</v>
      </c>
      <c r="F119" s="6">
        <v>3.77</v>
      </c>
      <c r="G119" s="6">
        <v>7.62</v>
      </c>
      <c r="H119" s="8">
        <v>3.9</v>
      </c>
      <c r="I119" s="8">
        <v>4</v>
      </c>
      <c r="J119" s="8">
        <v>4.0999999999999996</v>
      </c>
      <c r="K119" s="55"/>
    </row>
    <row r="120" spans="1:11" ht="55.5" customHeight="1" x14ac:dyDescent="0.25">
      <c r="A120" s="25" t="s">
        <v>154</v>
      </c>
      <c r="B120" s="7" t="s">
        <v>395</v>
      </c>
      <c r="C120" s="6" t="s">
        <v>282</v>
      </c>
      <c r="D120" s="6" t="s">
        <v>282</v>
      </c>
      <c r="E120" s="12" t="s">
        <v>240</v>
      </c>
      <c r="F120" s="12" t="s">
        <v>240</v>
      </c>
      <c r="G120" s="6" t="s">
        <v>282</v>
      </c>
      <c r="H120" s="12">
        <v>0.77</v>
      </c>
      <c r="I120" s="12" t="s">
        <v>240</v>
      </c>
      <c r="J120" s="12" t="s">
        <v>240</v>
      </c>
      <c r="K120" s="50"/>
    </row>
    <row r="121" spans="1:11" ht="37.5" x14ac:dyDescent="0.25">
      <c r="A121" s="25" t="s">
        <v>469</v>
      </c>
      <c r="B121" s="31" t="s">
        <v>470</v>
      </c>
      <c r="C121" s="6" t="s">
        <v>282</v>
      </c>
      <c r="D121" s="6" t="s">
        <v>282</v>
      </c>
      <c r="E121" s="12" t="s">
        <v>240</v>
      </c>
      <c r="F121" s="12" t="s">
        <v>240</v>
      </c>
      <c r="G121" s="6" t="s">
        <v>282</v>
      </c>
      <c r="H121" s="12">
        <v>0.47</v>
      </c>
      <c r="I121" s="12" t="s">
        <v>240</v>
      </c>
      <c r="J121" s="12" t="s">
        <v>240</v>
      </c>
      <c r="K121" s="49"/>
    </row>
    <row r="122" spans="1:11" ht="29.25" customHeight="1" x14ac:dyDescent="0.25">
      <c r="A122" s="25" t="s">
        <v>155</v>
      </c>
      <c r="B122" s="7" t="s">
        <v>156</v>
      </c>
      <c r="C122" s="6" t="s">
        <v>282</v>
      </c>
      <c r="D122" s="6" t="s">
        <v>282</v>
      </c>
      <c r="E122" s="12" t="s">
        <v>240</v>
      </c>
      <c r="F122" s="12" t="s">
        <v>240</v>
      </c>
      <c r="G122" s="6" t="s">
        <v>282</v>
      </c>
      <c r="H122" s="12">
        <v>0.57999999999999996</v>
      </c>
      <c r="I122" s="12" t="s">
        <v>240</v>
      </c>
      <c r="J122" s="12" t="s">
        <v>240</v>
      </c>
      <c r="K122" s="49"/>
    </row>
    <row r="123" spans="1:11" ht="29.25" customHeight="1" x14ac:dyDescent="0.25">
      <c r="A123" s="25" t="s">
        <v>157</v>
      </c>
      <c r="B123" s="7" t="s">
        <v>158</v>
      </c>
      <c r="C123" s="6" t="s">
        <v>282</v>
      </c>
      <c r="D123" s="6" t="s">
        <v>282</v>
      </c>
      <c r="E123" s="12" t="s">
        <v>240</v>
      </c>
      <c r="F123" s="12" t="s">
        <v>240</v>
      </c>
      <c r="G123" s="6" t="s">
        <v>282</v>
      </c>
      <c r="H123" s="12">
        <v>0.36</v>
      </c>
      <c r="I123" s="12" t="s">
        <v>240</v>
      </c>
      <c r="J123" s="12" t="s">
        <v>240</v>
      </c>
      <c r="K123" s="50"/>
    </row>
    <row r="124" spans="1:11" ht="37.5" x14ac:dyDescent="0.25">
      <c r="A124" s="25" t="s">
        <v>471</v>
      </c>
      <c r="B124" s="7" t="s">
        <v>472</v>
      </c>
      <c r="C124" s="6" t="s">
        <v>282</v>
      </c>
      <c r="D124" s="6" t="s">
        <v>282</v>
      </c>
      <c r="E124" s="12" t="s">
        <v>240</v>
      </c>
      <c r="F124" s="12" t="s">
        <v>240</v>
      </c>
      <c r="G124" s="6" t="s">
        <v>282</v>
      </c>
      <c r="H124" s="12">
        <v>0.65</v>
      </c>
      <c r="I124" s="12" t="s">
        <v>240</v>
      </c>
      <c r="J124" s="12" t="s">
        <v>240</v>
      </c>
      <c r="K124" s="48"/>
    </row>
    <row r="125" spans="1:11" ht="25" x14ac:dyDescent="0.25">
      <c r="A125" s="2" t="s">
        <v>286</v>
      </c>
      <c r="B125" s="31" t="s">
        <v>287</v>
      </c>
      <c r="C125" s="6">
        <v>25.5</v>
      </c>
      <c r="D125" s="6">
        <v>25.5</v>
      </c>
      <c r="E125" s="6">
        <v>24.3</v>
      </c>
      <c r="F125" s="6">
        <v>25.25</v>
      </c>
      <c r="G125" s="6">
        <v>19.5</v>
      </c>
      <c r="H125" s="6">
        <v>24.4</v>
      </c>
      <c r="I125" s="19">
        <v>24</v>
      </c>
      <c r="J125" s="6">
        <v>23.5</v>
      </c>
      <c r="K125" s="18" t="s">
        <v>288</v>
      </c>
    </row>
    <row r="126" spans="1:11" ht="156.75" customHeight="1" x14ac:dyDescent="0.25">
      <c r="A126" s="2" t="s">
        <v>289</v>
      </c>
      <c r="B126" s="31" t="s">
        <v>290</v>
      </c>
      <c r="C126" s="6" t="s">
        <v>282</v>
      </c>
      <c r="D126" s="6">
        <v>7.3</v>
      </c>
      <c r="E126" s="19">
        <v>6</v>
      </c>
      <c r="F126" s="6">
        <v>7.3</v>
      </c>
      <c r="G126" s="6">
        <v>8.5</v>
      </c>
      <c r="H126" s="20">
        <v>5.0999999999999996</v>
      </c>
      <c r="I126" s="20">
        <v>5</v>
      </c>
      <c r="J126" s="20">
        <v>4.9000000000000004</v>
      </c>
      <c r="K126" s="48" t="s">
        <v>291</v>
      </c>
    </row>
    <row r="127" spans="1:11" ht="78.75" customHeight="1" x14ac:dyDescent="0.25">
      <c r="A127" s="2" t="s">
        <v>292</v>
      </c>
      <c r="B127" s="7" t="s">
        <v>293</v>
      </c>
      <c r="C127" s="6">
        <v>25.1</v>
      </c>
      <c r="D127" s="6">
        <v>23.7</v>
      </c>
      <c r="E127" s="6">
        <v>27.9</v>
      </c>
      <c r="F127" s="6">
        <v>23.7</v>
      </c>
      <c r="G127" s="6">
        <v>9.3000000000000007</v>
      </c>
      <c r="H127" s="20">
        <v>25.1</v>
      </c>
      <c r="I127" s="20">
        <v>24.8</v>
      </c>
      <c r="J127" s="20">
        <v>24.3</v>
      </c>
      <c r="K127" s="48" t="s">
        <v>294</v>
      </c>
    </row>
    <row r="128" spans="1:11" ht="183.75" customHeight="1" x14ac:dyDescent="0.25">
      <c r="A128" s="25" t="s">
        <v>366</v>
      </c>
      <c r="B128" s="7" t="s">
        <v>367</v>
      </c>
      <c r="C128" s="28">
        <v>1.2999999999999999E-2</v>
      </c>
      <c r="D128" s="29">
        <v>1.2999999999999999E-2</v>
      </c>
      <c r="E128" s="28">
        <v>1.2999999999999999E-2</v>
      </c>
      <c r="F128" s="29">
        <v>0.05</v>
      </c>
      <c r="G128" s="43">
        <v>0.37</v>
      </c>
      <c r="H128" s="29">
        <v>0.05</v>
      </c>
      <c r="I128" s="29">
        <v>0.1</v>
      </c>
      <c r="J128" s="29">
        <v>0.15</v>
      </c>
      <c r="K128" s="49" t="s">
        <v>368</v>
      </c>
    </row>
    <row r="129" spans="1:11" ht="75" x14ac:dyDescent="0.25">
      <c r="A129" s="25" t="s">
        <v>216</v>
      </c>
      <c r="B129" s="7" t="s">
        <v>217</v>
      </c>
      <c r="C129" s="6" t="s">
        <v>282</v>
      </c>
      <c r="D129" s="12">
        <v>0.55000000000000004</v>
      </c>
      <c r="E129" s="12">
        <v>0.55000000000000004</v>
      </c>
      <c r="F129" s="12">
        <v>0.5</v>
      </c>
      <c r="G129" s="43">
        <v>0.49</v>
      </c>
      <c r="H129" s="12">
        <v>0.75</v>
      </c>
      <c r="I129" s="12">
        <v>1</v>
      </c>
      <c r="J129" s="12">
        <v>1</v>
      </c>
      <c r="K129" s="49"/>
    </row>
    <row r="130" spans="1:11" ht="53.25" customHeight="1" x14ac:dyDescent="0.25">
      <c r="A130" s="25" t="s">
        <v>159</v>
      </c>
      <c r="B130" s="7" t="s">
        <v>160</v>
      </c>
      <c r="C130" s="6" t="s">
        <v>282</v>
      </c>
      <c r="D130" s="6" t="s">
        <v>282</v>
      </c>
      <c r="E130" s="35">
        <v>0.1429</v>
      </c>
      <c r="F130" s="12" t="s">
        <v>240</v>
      </c>
      <c r="G130" s="43">
        <v>0.75</v>
      </c>
      <c r="H130" s="45">
        <v>0</v>
      </c>
      <c r="I130" s="45">
        <v>0</v>
      </c>
      <c r="J130" s="45">
        <v>0</v>
      </c>
      <c r="K130" s="55" t="s">
        <v>161</v>
      </c>
    </row>
    <row r="131" spans="1:11" ht="57.75" customHeight="1" x14ac:dyDescent="0.25">
      <c r="A131" s="25" t="s">
        <v>162</v>
      </c>
      <c r="B131" s="7" t="s">
        <v>163</v>
      </c>
      <c r="C131" s="6" t="s">
        <v>282</v>
      </c>
      <c r="D131" s="6" t="s">
        <v>282</v>
      </c>
      <c r="E131" s="35">
        <v>5.8799999999999998E-2</v>
      </c>
      <c r="F131" s="12" t="s">
        <v>240</v>
      </c>
      <c r="G131" s="43">
        <v>0.55000000000000004</v>
      </c>
      <c r="H131" s="45">
        <v>0</v>
      </c>
      <c r="I131" s="45">
        <v>0</v>
      </c>
      <c r="J131" s="45">
        <v>0</v>
      </c>
      <c r="K131" s="55"/>
    </row>
    <row r="132" spans="1:11" ht="57.75" customHeight="1" x14ac:dyDescent="0.25">
      <c r="A132" s="25" t="s">
        <v>164</v>
      </c>
      <c r="B132" s="7" t="s">
        <v>165</v>
      </c>
      <c r="C132" s="6" t="s">
        <v>282</v>
      </c>
      <c r="D132" s="6" t="s">
        <v>282</v>
      </c>
      <c r="E132" s="35">
        <v>0.4622</v>
      </c>
      <c r="F132" s="12" t="s">
        <v>240</v>
      </c>
      <c r="G132" s="43">
        <v>0.05</v>
      </c>
      <c r="H132" s="45">
        <v>0</v>
      </c>
      <c r="I132" s="45">
        <v>0</v>
      </c>
      <c r="J132" s="45">
        <v>0</v>
      </c>
      <c r="K132" s="55"/>
    </row>
    <row r="133" spans="1:11" ht="57.75" customHeight="1" x14ac:dyDescent="0.25">
      <c r="A133" s="25" t="s">
        <v>166</v>
      </c>
      <c r="B133" s="7" t="s">
        <v>167</v>
      </c>
      <c r="C133" s="6" t="s">
        <v>282</v>
      </c>
      <c r="D133" s="6" t="s">
        <v>282</v>
      </c>
      <c r="E133" s="35">
        <v>0.33610000000000001</v>
      </c>
      <c r="F133" s="12" t="s">
        <v>240</v>
      </c>
      <c r="G133" s="6" t="s">
        <v>282</v>
      </c>
      <c r="H133" s="45">
        <v>0.85</v>
      </c>
      <c r="I133" s="45">
        <v>0.9</v>
      </c>
      <c r="J133" s="45">
        <v>0.95</v>
      </c>
      <c r="K133" s="55"/>
    </row>
    <row r="134" spans="1:11" ht="35.25" customHeight="1" x14ac:dyDescent="0.25">
      <c r="A134" s="25" t="s">
        <v>51</v>
      </c>
      <c r="B134" s="7" t="s">
        <v>52</v>
      </c>
      <c r="C134" s="12" t="s">
        <v>282</v>
      </c>
      <c r="D134" s="13">
        <v>0.57499999999999996</v>
      </c>
      <c r="E134" s="13">
        <v>0.56000000000000005</v>
      </c>
      <c r="F134" s="12">
        <v>0.6</v>
      </c>
      <c r="G134" s="12">
        <v>0.65</v>
      </c>
      <c r="H134" s="12">
        <v>0.8</v>
      </c>
      <c r="I134" s="12">
        <v>0.81</v>
      </c>
      <c r="J134" s="12">
        <v>0.82</v>
      </c>
      <c r="K134" s="34"/>
    </row>
    <row r="135" spans="1:11" ht="100" x14ac:dyDescent="0.25">
      <c r="A135" s="25" t="s">
        <v>53</v>
      </c>
      <c r="B135" s="7" t="s">
        <v>54</v>
      </c>
      <c r="C135" s="12">
        <v>0.92</v>
      </c>
      <c r="D135" s="12">
        <v>0.8</v>
      </c>
      <c r="E135" s="12">
        <v>1</v>
      </c>
      <c r="F135" s="12">
        <v>1</v>
      </c>
      <c r="G135" s="12">
        <v>0.99</v>
      </c>
      <c r="H135" s="12">
        <v>1</v>
      </c>
      <c r="I135" s="12">
        <v>1</v>
      </c>
      <c r="J135" s="12">
        <v>1</v>
      </c>
      <c r="K135" s="34" t="s">
        <v>273</v>
      </c>
    </row>
    <row r="136" spans="1:11" ht="62.5" x14ac:dyDescent="0.25">
      <c r="A136" s="25" t="s">
        <v>55</v>
      </c>
      <c r="B136" s="7" t="s">
        <v>56</v>
      </c>
      <c r="C136" s="14">
        <v>2.6800000000000001E-2</v>
      </c>
      <c r="D136" s="13">
        <v>6.6000000000000003E-2</v>
      </c>
      <c r="E136" s="12">
        <v>0.08</v>
      </c>
      <c r="F136" s="12">
        <v>0.08</v>
      </c>
      <c r="G136" s="12">
        <v>0.06</v>
      </c>
      <c r="H136" s="14">
        <v>8.2500000000000004E-2</v>
      </c>
      <c r="I136" s="14">
        <v>8.7999999999999995E-2</v>
      </c>
      <c r="J136" s="14">
        <v>9.8000000000000004E-2</v>
      </c>
      <c r="K136" s="34" t="s">
        <v>274</v>
      </c>
    </row>
    <row r="137" spans="1:11" ht="100" x14ac:dyDescent="0.25">
      <c r="A137" s="25" t="s">
        <v>572</v>
      </c>
      <c r="B137" s="7" t="s">
        <v>0</v>
      </c>
      <c r="C137" s="6" t="s">
        <v>241</v>
      </c>
      <c r="D137" s="6" t="s">
        <v>241</v>
      </c>
      <c r="E137" s="6" t="s">
        <v>241</v>
      </c>
      <c r="F137" s="6" t="s">
        <v>241</v>
      </c>
      <c r="G137" s="6" t="s">
        <v>282</v>
      </c>
      <c r="H137" s="6" t="s">
        <v>241</v>
      </c>
      <c r="I137" s="6" t="s">
        <v>241</v>
      </c>
      <c r="J137" s="6" t="s">
        <v>241</v>
      </c>
      <c r="K137" s="50"/>
    </row>
    <row r="138" spans="1:11" ht="66" customHeight="1" x14ac:dyDescent="0.25">
      <c r="A138" s="25" t="s">
        <v>473</v>
      </c>
      <c r="B138" s="7" t="s">
        <v>474</v>
      </c>
      <c r="C138" s="14">
        <v>0.49580000000000002</v>
      </c>
      <c r="D138" s="14">
        <v>0.62250000000000005</v>
      </c>
      <c r="E138" s="14">
        <v>0.76319999999999999</v>
      </c>
      <c r="F138" s="12">
        <v>0.67</v>
      </c>
      <c r="G138" s="12">
        <v>0.96</v>
      </c>
      <c r="H138" s="12">
        <v>0.8</v>
      </c>
      <c r="I138" s="12">
        <v>0.85</v>
      </c>
      <c r="J138" s="12">
        <v>0.9</v>
      </c>
      <c r="K138" s="49" t="s">
        <v>475</v>
      </c>
    </row>
    <row r="139" spans="1:11" ht="69.75" customHeight="1" x14ac:dyDescent="0.25">
      <c r="A139" s="25" t="s">
        <v>476</v>
      </c>
      <c r="B139" s="7" t="s">
        <v>477</v>
      </c>
      <c r="C139" s="6" t="s">
        <v>282</v>
      </c>
      <c r="D139" s="12">
        <v>0.59</v>
      </c>
      <c r="E139" s="16">
        <v>0.56999999999999995</v>
      </c>
      <c r="F139" s="16">
        <v>0.79</v>
      </c>
      <c r="G139" s="16">
        <v>0.78</v>
      </c>
      <c r="H139" s="16">
        <v>0.65</v>
      </c>
      <c r="I139" s="16">
        <v>0.75</v>
      </c>
      <c r="J139" s="16">
        <v>0.85</v>
      </c>
      <c r="K139" s="49" t="s">
        <v>275</v>
      </c>
    </row>
    <row r="140" spans="1:11" ht="39.75" customHeight="1" x14ac:dyDescent="0.25">
      <c r="A140" s="25" t="s">
        <v>478</v>
      </c>
      <c r="B140" s="7" t="s">
        <v>479</v>
      </c>
      <c r="C140" s="6" t="s">
        <v>282</v>
      </c>
      <c r="D140" s="12">
        <v>0.79</v>
      </c>
      <c r="E140" s="16">
        <v>0.89</v>
      </c>
      <c r="F140" s="16">
        <v>0.89</v>
      </c>
      <c r="G140" s="16">
        <v>0.83</v>
      </c>
      <c r="H140" s="16">
        <v>0.9</v>
      </c>
      <c r="I140" s="16">
        <v>0.9</v>
      </c>
      <c r="J140" s="16">
        <v>1</v>
      </c>
      <c r="K140" s="49" t="s">
        <v>276</v>
      </c>
    </row>
    <row r="141" spans="1:11" ht="25" x14ac:dyDescent="0.25">
      <c r="A141" s="25" t="s">
        <v>168</v>
      </c>
      <c r="B141" s="7" t="s">
        <v>169</v>
      </c>
      <c r="C141" s="6">
        <v>144</v>
      </c>
      <c r="D141" s="8">
        <v>180.61</v>
      </c>
      <c r="E141" s="6">
        <v>121.2</v>
      </c>
      <c r="F141" s="6">
        <v>28</v>
      </c>
      <c r="G141" s="6">
        <v>264</v>
      </c>
      <c r="H141" s="6">
        <v>123.6</v>
      </c>
      <c r="I141" s="6">
        <v>126.1</v>
      </c>
      <c r="J141" s="6">
        <v>128.6</v>
      </c>
      <c r="K141" s="55" t="s">
        <v>170</v>
      </c>
    </row>
    <row r="142" spans="1:11" ht="25" x14ac:dyDescent="0.25">
      <c r="A142" s="25" t="s">
        <v>171</v>
      </c>
      <c r="B142" s="7" t="s">
        <v>172</v>
      </c>
      <c r="C142" s="6">
        <v>120</v>
      </c>
      <c r="D142" s="8">
        <v>132.01</v>
      </c>
      <c r="E142" s="6">
        <v>100.4</v>
      </c>
      <c r="F142" s="6">
        <v>122</v>
      </c>
      <c r="G142" s="6">
        <v>178</v>
      </c>
      <c r="H142" s="6">
        <v>102.4</v>
      </c>
      <c r="I142" s="6">
        <v>104.4</v>
      </c>
      <c r="J142" s="6">
        <v>106.5</v>
      </c>
      <c r="K142" s="55"/>
    </row>
    <row r="143" spans="1:11" ht="25" x14ac:dyDescent="0.25">
      <c r="A143" s="25" t="s">
        <v>173</v>
      </c>
      <c r="B143" s="7" t="s">
        <v>174</v>
      </c>
      <c r="C143" s="12" t="s">
        <v>282</v>
      </c>
      <c r="D143" s="6">
        <v>4829</v>
      </c>
      <c r="E143" s="6">
        <v>4177</v>
      </c>
      <c r="F143" s="6">
        <v>3095</v>
      </c>
      <c r="G143" s="12" t="s">
        <v>282</v>
      </c>
      <c r="H143" s="6">
        <v>4260.5</v>
      </c>
      <c r="I143" s="6">
        <v>4345.7</v>
      </c>
      <c r="J143" s="6">
        <v>4432.6000000000004</v>
      </c>
      <c r="K143" s="55"/>
    </row>
    <row r="144" spans="1:11" ht="53.25" customHeight="1" x14ac:dyDescent="0.25">
      <c r="A144" s="2" t="s">
        <v>295</v>
      </c>
      <c r="B144" s="7" t="s">
        <v>296</v>
      </c>
      <c r="C144" s="6">
        <v>2.59</v>
      </c>
      <c r="D144" s="6">
        <v>28.3</v>
      </c>
      <c r="E144" s="6">
        <v>111.44</v>
      </c>
      <c r="F144" s="6">
        <v>85</v>
      </c>
      <c r="G144" s="5">
        <v>26</v>
      </c>
      <c r="H144" s="6">
        <v>150</v>
      </c>
      <c r="I144" s="6">
        <v>175</v>
      </c>
      <c r="J144" s="6">
        <v>200</v>
      </c>
      <c r="K144" s="54" t="s">
        <v>297</v>
      </c>
    </row>
    <row r="145" spans="1:11" ht="59.25" customHeight="1" x14ac:dyDescent="0.25">
      <c r="A145" s="2" t="s">
        <v>298</v>
      </c>
      <c r="B145" s="7" t="s">
        <v>299</v>
      </c>
      <c r="C145" s="12">
        <v>0.75</v>
      </c>
      <c r="D145" s="12">
        <v>0.69</v>
      </c>
      <c r="E145" s="13">
        <v>0.94340000000000002</v>
      </c>
      <c r="F145" s="12">
        <v>0.7</v>
      </c>
      <c r="G145" s="21">
        <v>0.8</v>
      </c>
      <c r="H145" s="12">
        <v>0.95</v>
      </c>
      <c r="I145" s="12">
        <v>0.95</v>
      </c>
      <c r="J145" s="12">
        <v>0.95</v>
      </c>
      <c r="K145" s="54"/>
    </row>
    <row r="146" spans="1:11" ht="56.25" customHeight="1" x14ac:dyDescent="0.25">
      <c r="A146" s="25" t="s">
        <v>1</v>
      </c>
      <c r="B146" s="7" t="s">
        <v>2</v>
      </c>
      <c r="C146" s="6">
        <v>0.77</v>
      </c>
      <c r="D146" s="6">
        <v>0.57999999999999996</v>
      </c>
      <c r="E146" s="6">
        <v>0.6</v>
      </c>
      <c r="F146" s="6">
        <v>0.6</v>
      </c>
      <c r="G146" s="6">
        <v>0.8</v>
      </c>
      <c r="H146" s="6">
        <v>0.6</v>
      </c>
      <c r="I146" s="6">
        <v>0.6</v>
      </c>
      <c r="J146" s="6">
        <v>0.6</v>
      </c>
      <c r="K146" s="18"/>
    </row>
    <row r="147" spans="1:11" ht="87.5" x14ac:dyDescent="0.25">
      <c r="A147" s="2" t="s">
        <v>300</v>
      </c>
      <c r="B147" s="7" t="s">
        <v>301</v>
      </c>
      <c r="C147" s="6" t="s">
        <v>282</v>
      </c>
      <c r="D147" s="6" t="s">
        <v>282</v>
      </c>
      <c r="E147" s="14">
        <v>0.21</v>
      </c>
      <c r="F147" s="6" t="s">
        <v>240</v>
      </c>
      <c r="G147" s="6" t="s">
        <v>282</v>
      </c>
      <c r="H147" s="12">
        <v>0.45</v>
      </c>
      <c r="I147" s="12">
        <v>0.65</v>
      </c>
      <c r="J147" s="12">
        <v>0.7</v>
      </c>
      <c r="K147" s="18"/>
    </row>
    <row r="148" spans="1:11" ht="129.75" customHeight="1" x14ac:dyDescent="0.25">
      <c r="A148" s="25" t="s">
        <v>483</v>
      </c>
      <c r="B148" s="7" t="s">
        <v>484</v>
      </c>
      <c r="C148" s="6" t="s">
        <v>282</v>
      </c>
      <c r="D148" s="13">
        <v>0.875</v>
      </c>
      <c r="E148" s="14">
        <v>0.72</v>
      </c>
      <c r="F148" s="12">
        <v>0.9</v>
      </c>
      <c r="G148" s="12">
        <v>1</v>
      </c>
      <c r="H148" s="12">
        <v>0.7</v>
      </c>
      <c r="I148" s="12">
        <v>0.75</v>
      </c>
      <c r="J148" s="12">
        <v>0.8</v>
      </c>
      <c r="K148" s="49" t="s">
        <v>485</v>
      </c>
    </row>
    <row r="149" spans="1:11" ht="31.5" customHeight="1" x14ac:dyDescent="0.25">
      <c r="A149" s="25" t="s">
        <v>486</v>
      </c>
      <c r="B149" s="7" t="s">
        <v>487</v>
      </c>
      <c r="C149" s="12">
        <v>1</v>
      </c>
      <c r="D149" s="14">
        <v>0.99990000000000001</v>
      </c>
      <c r="E149" s="12">
        <v>0.99</v>
      </c>
      <c r="F149" s="12">
        <v>1</v>
      </c>
      <c r="G149" s="12">
        <v>1</v>
      </c>
      <c r="H149" s="12">
        <v>0.99</v>
      </c>
      <c r="I149" s="12">
        <v>0.99</v>
      </c>
      <c r="J149" s="12">
        <v>0.99</v>
      </c>
      <c r="K149" s="49"/>
    </row>
    <row r="150" spans="1:11" ht="62.5" x14ac:dyDescent="0.25">
      <c r="A150" s="25" t="s">
        <v>369</v>
      </c>
      <c r="B150" s="7" t="s">
        <v>370</v>
      </c>
      <c r="C150" s="6" t="s">
        <v>282</v>
      </c>
      <c r="D150" s="6" t="s">
        <v>282</v>
      </c>
      <c r="E150" s="29">
        <v>0.901074916933986</v>
      </c>
      <c r="F150" s="6" t="s">
        <v>258</v>
      </c>
      <c r="G150" s="6" t="s">
        <v>282</v>
      </c>
      <c r="H150" s="14">
        <v>0.89500000000000002</v>
      </c>
      <c r="I150" s="14">
        <v>0.89200000000000002</v>
      </c>
      <c r="J150" s="12">
        <v>0.89</v>
      </c>
      <c r="K150" s="50"/>
    </row>
    <row r="151" spans="1:11" ht="62.5" x14ac:dyDescent="0.25">
      <c r="A151" s="25" t="s">
        <v>371</v>
      </c>
      <c r="B151" s="7" t="s">
        <v>372</v>
      </c>
      <c r="C151" s="6" t="s">
        <v>282</v>
      </c>
      <c r="D151" s="6" t="s">
        <v>282</v>
      </c>
      <c r="E151" s="29">
        <v>1.7190000000000001</v>
      </c>
      <c r="F151" s="6" t="s">
        <v>258</v>
      </c>
      <c r="G151" s="6" t="s">
        <v>282</v>
      </c>
      <c r="H151" s="14">
        <v>1.5901000000000001</v>
      </c>
      <c r="I151" s="14">
        <v>1.5126999999999999</v>
      </c>
      <c r="J151" s="14">
        <v>1.4611000000000001</v>
      </c>
      <c r="K151" s="50"/>
    </row>
    <row r="152" spans="1:11" ht="50" x14ac:dyDescent="0.25">
      <c r="A152" s="25" t="s">
        <v>488</v>
      </c>
      <c r="B152" s="7" t="s">
        <v>489</v>
      </c>
      <c r="C152" s="6" t="s">
        <v>282</v>
      </c>
      <c r="D152" s="6" t="s">
        <v>282</v>
      </c>
      <c r="E152" s="8">
        <v>330.73</v>
      </c>
      <c r="F152" s="8" t="s">
        <v>240</v>
      </c>
      <c r="G152" s="6" t="s">
        <v>282</v>
      </c>
      <c r="H152" s="29">
        <v>0.64200000000000002</v>
      </c>
      <c r="I152" s="29">
        <v>0.64170000000000005</v>
      </c>
      <c r="J152" s="29">
        <v>0.64149999999999996</v>
      </c>
      <c r="K152" s="49"/>
    </row>
    <row r="153" spans="1:11" ht="62.5" x14ac:dyDescent="0.25">
      <c r="A153" s="25" t="s">
        <v>175</v>
      </c>
      <c r="B153" s="7" t="s">
        <v>176</v>
      </c>
      <c r="C153" s="12" t="s">
        <v>282</v>
      </c>
      <c r="D153" s="12" t="s">
        <v>282</v>
      </c>
      <c r="E153" s="12">
        <v>0.6</v>
      </c>
      <c r="F153" s="12" t="s">
        <v>240</v>
      </c>
      <c r="G153" s="12" t="s">
        <v>282</v>
      </c>
      <c r="H153" s="45">
        <v>0.69</v>
      </c>
      <c r="I153" s="45">
        <v>0.75</v>
      </c>
      <c r="J153" s="45">
        <v>0.75</v>
      </c>
      <c r="K153" s="50"/>
    </row>
    <row r="154" spans="1:11" ht="62.5" x14ac:dyDescent="0.25">
      <c r="A154" s="25" t="s">
        <v>177</v>
      </c>
      <c r="B154" s="7" t="s">
        <v>178</v>
      </c>
      <c r="C154" s="12" t="s">
        <v>282</v>
      </c>
      <c r="D154" s="12" t="s">
        <v>282</v>
      </c>
      <c r="E154" s="12">
        <v>0.61</v>
      </c>
      <c r="F154" s="12" t="s">
        <v>240</v>
      </c>
      <c r="G154" s="12" t="s">
        <v>282</v>
      </c>
      <c r="H154" s="45">
        <v>0.69</v>
      </c>
      <c r="I154" s="45">
        <v>0.73</v>
      </c>
      <c r="J154" s="45">
        <v>0.73</v>
      </c>
      <c r="K154" s="50"/>
    </row>
    <row r="155" spans="1:11" ht="62.5" x14ac:dyDescent="0.25">
      <c r="A155" s="25" t="s">
        <v>179</v>
      </c>
      <c r="B155" s="7" t="s">
        <v>180</v>
      </c>
      <c r="C155" s="12" t="s">
        <v>282</v>
      </c>
      <c r="D155" s="12" t="s">
        <v>282</v>
      </c>
      <c r="E155" s="12">
        <v>0.6</v>
      </c>
      <c r="F155" s="12" t="s">
        <v>240</v>
      </c>
      <c r="G155" s="12" t="s">
        <v>282</v>
      </c>
      <c r="H155" s="45">
        <v>0.64</v>
      </c>
      <c r="I155" s="45">
        <v>0.69</v>
      </c>
      <c r="J155" s="45">
        <v>0.69</v>
      </c>
      <c r="K155" s="18"/>
    </row>
    <row r="156" spans="1:11" ht="62.5" x14ac:dyDescent="0.25">
      <c r="A156" s="25" t="s">
        <v>181</v>
      </c>
      <c r="B156" s="7" t="s">
        <v>182</v>
      </c>
      <c r="C156" s="12" t="s">
        <v>282</v>
      </c>
      <c r="D156" s="12" t="s">
        <v>282</v>
      </c>
      <c r="E156" s="12" t="s">
        <v>282</v>
      </c>
      <c r="F156" s="12" t="s">
        <v>258</v>
      </c>
      <c r="G156" s="12" t="s">
        <v>282</v>
      </c>
      <c r="H156" s="45">
        <v>0.57999999999999996</v>
      </c>
      <c r="I156" s="45">
        <v>0.6</v>
      </c>
      <c r="J156" s="45">
        <v>0.6</v>
      </c>
      <c r="K156" s="51"/>
    </row>
    <row r="157" spans="1:11" ht="37.5" x14ac:dyDescent="0.25">
      <c r="A157" s="25" t="s">
        <v>57</v>
      </c>
      <c r="B157" s="7" t="s">
        <v>58</v>
      </c>
      <c r="C157" s="6" t="s">
        <v>282</v>
      </c>
      <c r="D157" s="6" t="s">
        <v>282</v>
      </c>
      <c r="E157" s="14">
        <v>0.36170000000000002</v>
      </c>
      <c r="F157" s="12" t="s">
        <v>240</v>
      </c>
      <c r="G157" s="6" t="s">
        <v>282</v>
      </c>
      <c r="H157" s="12" t="s">
        <v>240</v>
      </c>
      <c r="I157" s="12" t="s">
        <v>240</v>
      </c>
      <c r="J157" s="12" t="s">
        <v>240</v>
      </c>
      <c r="K157" s="50"/>
    </row>
    <row r="158" spans="1:11" ht="53.25" customHeight="1" x14ac:dyDescent="0.25">
      <c r="A158" s="25" t="s">
        <v>3</v>
      </c>
      <c r="B158" s="7" t="s">
        <v>4</v>
      </c>
      <c r="C158" s="6" t="s">
        <v>282</v>
      </c>
      <c r="D158" s="6" t="s">
        <v>282</v>
      </c>
      <c r="E158" s="6">
        <v>51</v>
      </c>
      <c r="F158" s="12" t="s">
        <v>240</v>
      </c>
      <c r="G158" s="6" t="s">
        <v>282</v>
      </c>
      <c r="H158" s="24">
        <v>40</v>
      </c>
      <c r="I158" s="27">
        <v>35</v>
      </c>
      <c r="J158" s="27">
        <v>30</v>
      </c>
      <c r="K158" s="52"/>
    </row>
    <row r="159" spans="1:11" ht="37.5" x14ac:dyDescent="0.25">
      <c r="A159" s="25" t="s">
        <v>5</v>
      </c>
      <c r="B159" s="7" t="s">
        <v>6</v>
      </c>
      <c r="C159" s="6" t="s">
        <v>282</v>
      </c>
      <c r="D159" s="6" t="s">
        <v>282</v>
      </c>
      <c r="E159" s="6">
        <v>62</v>
      </c>
      <c r="F159" s="12" t="s">
        <v>240</v>
      </c>
      <c r="G159" s="6" t="s">
        <v>282</v>
      </c>
      <c r="H159" s="24">
        <v>50</v>
      </c>
      <c r="I159" s="27">
        <v>45</v>
      </c>
      <c r="J159" s="27">
        <v>40</v>
      </c>
      <c r="K159" s="49"/>
    </row>
    <row r="160" spans="1:11" ht="48" customHeight="1" x14ac:dyDescent="0.25">
      <c r="A160" s="25" t="s">
        <v>7</v>
      </c>
      <c r="B160" s="7" t="s">
        <v>8</v>
      </c>
      <c r="C160" s="6" t="s">
        <v>282</v>
      </c>
      <c r="D160" s="6" t="s">
        <v>282</v>
      </c>
      <c r="E160" s="12">
        <v>0.3</v>
      </c>
      <c r="F160" s="12" t="s">
        <v>240</v>
      </c>
      <c r="G160" s="6" t="s">
        <v>282</v>
      </c>
      <c r="H160" s="12">
        <v>0.31</v>
      </c>
      <c r="I160" s="12">
        <v>0.24</v>
      </c>
      <c r="J160" s="12">
        <v>0.15</v>
      </c>
      <c r="K160" s="18" t="s">
        <v>288</v>
      </c>
    </row>
    <row r="161" spans="1:11" ht="37.5" x14ac:dyDescent="0.25">
      <c r="A161" s="25" t="s">
        <v>9</v>
      </c>
      <c r="B161" s="7" t="s">
        <v>10</v>
      </c>
      <c r="C161" s="6" t="s">
        <v>282</v>
      </c>
      <c r="D161" s="6" t="s">
        <v>282</v>
      </c>
      <c r="E161" s="12">
        <v>3.3300000000000003E-2</v>
      </c>
      <c r="F161" s="12" t="s">
        <v>240</v>
      </c>
      <c r="G161" s="6" t="s">
        <v>282</v>
      </c>
      <c r="H161" s="12">
        <v>-0.22600000000000001</v>
      </c>
      <c r="I161" s="12">
        <v>-0.375</v>
      </c>
      <c r="J161" s="12">
        <v>-0.26700000000000002</v>
      </c>
      <c r="K161" s="18" t="s">
        <v>288</v>
      </c>
    </row>
    <row r="162" spans="1:11" ht="50" x14ac:dyDescent="0.25">
      <c r="A162" s="25" t="s">
        <v>11</v>
      </c>
      <c r="B162" s="7" t="s">
        <v>12</v>
      </c>
      <c r="C162" s="6" t="s">
        <v>282</v>
      </c>
      <c r="D162" s="6" t="s">
        <v>282</v>
      </c>
      <c r="E162" s="12">
        <v>0.22</v>
      </c>
      <c r="F162" s="12" t="s">
        <v>240</v>
      </c>
      <c r="G162" s="6" t="s">
        <v>282</v>
      </c>
      <c r="H162" s="12">
        <v>0.7</v>
      </c>
      <c r="I162" s="12">
        <v>0.8</v>
      </c>
      <c r="J162" s="12">
        <v>0.9</v>
      </c>
      <c r="K162" s="50"/>
    </row>
    <row r="163" spans="1:11" ht="27.75" customHeight="1" x14ac:dyDescent="0.25">
      <c r="A163" s="25" t="s">
        <v>490</v>
      </c>
      <c r="B163" s="7" t="s">
        <v>491</v>
      </c>
      <c r="C163" s="6" t="s">
        <v>282</v>
      </c>
      <c r="D163" s="6" t="s">
        <v>282</v>
      </c>
      <c r="E163" s="14">
        <v>4.8899999999999999E-2</v>
      </c>
      <c r="F163" s="12" t="s">
        <v>240</v>
      </c>
      <c r="G163" s="6" t="s">
        <v>282</v>
      </c>
      <c r="H163" s="14">
        <v>4.8899999999999999E-2</v>
      </c>
      <c r="I163" s="14">
        <v>4.8899999999999999E-2</v>
      </c>
      <c r="J163" s="14">
        <v>4.8899999999999999E-2</v>
      </c>
      <c r="K163" s="49"/>
    </row>
    <row r="164" spans="1:11" ht="25" x14ac:dyDescent="0.25">
      <c r="A164" s="25" t="s">
        <v>492</v>
      </c>
      <c r="B164" s="7" t="s">
        <v>493</v>
      </c>
      <c r="C164" s="6" t="s">
        <v>282</v>
      </c>
      <c r="D164" s="6" t="s">
        <v>282</v>
      </c>
      <c r="E164" s="14">
        <v>0.12520000000000001</v>
      </c>
      <c r="F164" s="12" t="s">
        <v>240</v>
      </c>
      <c r="G164" s="6" t="s">
        <v>282</v>
      </c>
      <c r="H164" s="14">
        <v>0.12520000000000001</v>
      </c>
      <c r="I164" s="14">
        <v>0.12520000000000001</v>
      </c>
      <c r="J164" s="14">
        <v>0.12520000000000001</v>
      </c>
      <c r="K164" s="50"/>
    </row>
    <row r="165" spans="1:11" ht="22.5" customHeight="1" x14ac:dyDescent="0.25">
      <c r="A165" s="25" t="s">
        <v>494</v>
      </c>
      <c r="B165" s="7" t="s">
        <v>495</v>
      </c>
      <c r="C165" s="6" t="s">
        <v>282</v>
      </c>
      <c r="D165" s="6" t="s">
        <v>282</v>
      </c>
      <c r="E165" s="29">
        <v>0.44259999999999999</v>
      </c>
      <c r="F165" s="12" t="s">
        <v>240</v>
      </c>
      <c r="G165" s="6" t="s">
        <v>282</v>
      </c>
      <c r="H165" s="16">
        <v>0.48</v>
      </c>
      <c r="I165" s="16">
        <v>0.53</v>
      </c>
      <c r="J165" s="16">
        <v>0.57999999999999996</v>
      </c>
      <c r="K165" s="34"/>
    </row>
    <row r="166" spans="1:11" ht="43.5" customHeight="1" x14ac:dyDescent="0.25">
      <c r="A166" s="25" t="s">
        <v>496</v>
      </c>
      <c r="B166" s="7" t="s">
        <v>497</v>
      </c>
      <c r="C166" s="6" t="s">
        <v>282</v>
      </c>
      <c r="D166" s="6" t="s">
        <v>282</v>
      </c>
      <c r="E166" s="14">
        <v>0.94</v>
      </c>
      <c r="F166" s="12">
        <v>0.9</v>
      </c>
      <c r="G166" s="6" t="s">
        <v>282</v>
      </c>
      <c r="H166" s="12">
        <v>0.92</v>
      </c>
      <c r="I166" s="12">
        <v>0.92</v>
      </c>
      <c r="J166" s="12">
        <v>0.92</v>
      </c>
      <c r="K166" s="34"/>
    </row>
    <row r="167" spans="1:11" ht="45.75" customHeight="1" x14ac:dyDescent="0.25">
      <c r="A167" s="2" t="s">
        <v>302</v>
      </c>
      <c r="B167" s="7" t="s">
        <v>303</v>
      </c>
      <c r="C167" s="6" t="s">
        <v>282</v>
      </c>
      <c r="D167" s="6" t="s">
        <v>282</v>
      </c>
      <c r="E167" s="22">
        <v>0.36</v>
      </c>
      <c r="F167" s="6" t="s">
        <v>240</v>
      </c>
      <c r="G167" s="6" t="s">
        <v>282</v>
      </c>
      <c r="H167" s="6" t="s">
        <v>240</v>
      </c>
      <c r="I167" s="6" t="s">
        <v>240</v>
      </c>
      <c r="J167" s="6" t="s">
        <v>240</v>
      </c>
      <c r="K167" s="50"/>
    </row>
    <row r="168" spans="1:11" ht="49.5" customHeight="1" x14ac:dyDescent="0.25">
      <c r="A168" s="2" t="s">
        <v>304</v>
      </c>
      <c r="B168" s="7" t="s">
        <v>305</v>
      </c>
      <c r="C168" s="6" t="s">
        <v>282</v>
      </c>
      <c r="D168" s="6" t="s">
        <v>282</v>
      </c>
      <c r="E168" s="22">
        <v>0.78</v>
      </c>
      <c r="F168" s="6" t="s">
        <v>240</v>
      </c>
      <c r="G168" s="6" t="s">
        <v>282</v>
      </c>
      <c r="H168" s="6" t="s">
        <v>240</v>
      </c>
      <c r="I168" s="6" t="s">
        <v>240</v>
      </c>
      <c r="J168" s="6" t="s">
        <v>240</v>
      </c>
      <c r="K168" s="50"/>
    </row>
    <row r="169" spans="1:11" ht="37.5" x14ac:dyDescent="0.25">
      <c r="A169" s="25" t="s">
        <v>59</v>
      </c>
      <c r="B169" s="7" t="s">
        <v>60</v>
      </c>
      <c r="C169" s="6" t="s">
        <v>282</v>
      </c>
      <c r="D169" s="6" t="s">
        <v>282</v>
      </c>
      <c r="E169" s="13">
        <v>0.41399999999999998</v>
      </c>
      <c r="F169" s="12" t="s">
        <v>240</v>
      </c>
      <c r="G169" s="6" t="s">
        <v>282</v>
      </c>
      <c r="H169" s="12" t="s">
        <v>240</v>
      </c>
      <c r="I169" s="12" t="s">
        <v>240</v>
      </c>
      <c r="J169" s="12" t="s">
        <v>240</v>
      </c>
      <c r="K169" s="50"/>
    </row>
    <row r="170" spans="1:11" ht="31.5" customHeight="1" x14ac:dyDescent="0.25">
      <c r="A170" s="25" t="s">
        <v>183</v>
      </c>
      <c r="B170" s="7" t="s">
        <v>184</v>
      </c>
      <c r="C170" s="12" t="s">
        <v>282</v>
      </c>
      <c r="D170" s="12" t="s">
        <v>282</v>
      </c>
      <c r="E170" s="12" t="s">
        <v>282</v>
      </c>
      <c r="F170" s="12" t="s">
        <v>258</v>
      </c>
      <c r="G170" s="12" t="s">
        <v>282</v>
      </c>
      <c r="H170" s="45">
        <v>1</v>
      </c>
      <c r="I170" s="45">
        <v>1</v>
      </c>
      <c r="J170" s="45">
        <v>1</v>
      </c>
      <c r="K170" s="34"/>
    </row>
    <row r="171" spans="1:11" ht="50" x14ac:dyDescent="0.25">
      <c r="A171" s="25" t="s">
        <v>185</v>
      </c>
      <c r="B171" s="7" t="s">
        <v>268</v>
      </c>
      <c r="C171" s="12" t="s">
        <v>282</v>
      </c>
      <c r="D171" s="12" t="s">
        <v>282</v>
      </c>
      <c r="E171" s="12" t="s">
        <v>282</v>
      </c>
      <c r="F171" s="12" t="s">
        <v>258</v>
      </c>
      <c r="G171" s="12" t="s">
        <v>282</v>
      </c>
      <c r="H171" s="45">
        <v>1</v>
      </c>
      <c r="I171" s="45">
        <v>1</v>
      </c>
      <c r="J171" s="45">
        <v>1</v>
      </c>
      <c r="K171" s="34"/>
    </row>
    <row r="172" spans="1:11" ht="42.75" customHeight="1" x14ac:dyDescent="0.25">
      <c r="A172" s="25" t="s">
        <v>186</v>
      </c>
      <c r="B172" s="7" t="s">
        <v>187</v>
      </c>
      <c r="C172" s="12" t="s">
        <v>282</v>
      </c>
      <c r="D172" s="12" t="s">
        <v>282</v>
      </c>
      <c r="E172" s="12" t="s">
        <v>282</v>
      </c>
      <c r="F172" s="12" t="s">
        <v>258</v>
      </c>
      <c r="G172" s="12" t="s">
        <v>282</v>
      </c>
      <c r="H172" s="45">
        <v>0.28999999999999998</v>
      </c>
      <c r="I172" s="45">
        <v>0.32</v>
      </c>
      <c r="J172" s="45">
        <v>0.32</v>
      </c>
      <c r="K172" s="34"/>
    </row>
    <row r="173" spans="1:11" ht="39" customHeight="1" x14ac:dyDescent="0.25">
      <c r="A173" s="25" t="s">
        <v>188</v>
      </c>
      <c r="B173" s="7" t="s">
        <v>189</v>
      </c>
      <c r="C173" s="12" t="s">
        <v>282</v>
      </c>
      <c r="D173" s="12" t="s">
        <v>282</v>
      </c>
      <c r="E173" s="12" t="s">
        <v>282</v>
      </c>
      <c r="F173" s="12" t="s">
        <v>258</v>
      </c>
      <c r="G173" s="12" t="s">
        <v>282</v>
      </c>
      <c r="H173" s="45">
        <v>0.3</v>
      </c>
      <c r="I173" s="45">
        <v>0.32</v>
      </c>
      <c r="J173" s="45">
        <v>0.32</v>
      </c>
      <c r="K173" s="34"/>
    </row>
    <row r="174" spans="1:11" ht="62.5" x14ac:dyDescent="0.25">
      <c r="A174" s="25" t="s">
        <v>498</v>
      </c>
      <c r="B174" s="7" t="s">
        <v>499</v>
      </c>
      <c r="C174" s="6" t="s">
        <v>282</v>
      </c>
      <c r="D174" s="6" t="s">
        <v>282</v>
      </c>
      <c r="E174" s="6" t="s">
        <v>258</v>
      </c>
      <c r="F174" s="12" t="s">
        <v>240</v>
      </c>
      <c r="G174" s="6" t="s">
        <v>282</v>
      </c>
      <c r="H174" s="6" t="s">
        <v>239</v>
      </c>
      <c r="I174" s="6" t="s">
        <v>241</v>
      </c>
      <c r="J174" s="6" t="s">
        <v>241</v>
      </c>
      <c r="K174" s="50"/>
    </row>
    <row r="175" spans="1:11" ht="87.5" x14ac:dyDescent="0.25">
      <c r="A175" s="25" t="s">
        <v>500</v>
      </c>
      <c r="B175" s="7" t="s">
        <v>501</v>
      </c>
      <c r="C175" s="6" t="s">
        <v>282</v>
      </c>
      <c r="D175" s="6" t="s">
        <v>282</v>
      </c>
      <c r="E175" s="6" t="s">
        <v>258</v>
      </c>
      <c r="F175" s="12" t="s">
        <v>240</v>
      </c>
      <c r="G175" s="6" t="s">
        <v>282</v>
      </c>
      <c r="H175" s="6" t="s">
        <v>241</v>
      </c>
      <c r="I175" s="6" t="s">
        <v>241</v>
      </c>
      <c r="J175" s="6" t="s">
        <v>241</v>
      </c>
      <c r="K175" s="49"/>
    </row>
    <row r="176" spans="1:11" ht="62.5" x14ac:dyDescent="0.25">
      <c r="A176" s="2" t="s">
        <v>306</v>
      </c>
      <c r="B176" s="7" t="s">
        <v>307</v>
      </c>
      <c r="C176" s="14">
        <v>0.254</v>
      </c>
      <c r="D176" s="14">
        <v>0.1598</v>
      </c>
      <c r="E176" s="14">
        <v>8.8499999999999995E-2</v>
      </c>
      <c r="F176" s="12">
        <v>0.15</v>
      </c>
      <c r="G176" s="6" t="s">
        <v>282</v>
      </c>
      <c r="H176" s="13">
        <v>0.15</v>
      </c>
      <c r="I176" s="13">
        <v>0.125</v>
      </c>
      <c r="J176" s="13">
        <v>0.14000000000000001</v>
      </c>
      <c r="K176" s="23" t="s">
        <v>308</v>
      </c>
    </row>
    <row r="177" spans="1:11" ht="37.5" x14ac:dyDescent="0.25">
      <c r="A177" s="2" t="s">
        <v>309</v>
      </c>
      <c r="B177" s="7" t="s">
        <v>310</v>
      </c>
      <c r="C177" s="12">
        <v>0.92</v>
      </c>
      <c r="D177" s="12">
        <v>1</v>
      </c>
      <c r="E177" s="13">
        <v>1</v>
      </c>
      <c r="F177" s="12">
        <v>0.9</v>
      </c>
      <c r="G177" s="6" t="s">
        <v>282</v>
      </c>
      <c r="H177" s="12">
        <v>0.95</v>
      </c>
      <c r="I177" s="12">
        <v>1</v>
      </c>
      <c r="J177" s="12">
        <v>1</v>
      </c>
      <c r="K177" s="54" t="s">
        <v>311</v>
      </c>
    </row>
    <row r="178" spans="1:11" ht="25" x14ac:dyDescent="0.25">
      <c r="A178" s="2" t="s">
        <v>312</v>
      </c>
      <c r="B178" s="7" t="s">
        <v>313</v>
      </c>
      <c r="C178" s="12">
        <v>0.71</v>
      </c>
      <c r="D178" s="12">
        <v>0.75</v>
      </c>
      <c r="E178" s="13">
        <v>0.63500000000000001</v>
      </c>
      <c r="F178" s="12">
        <v>0.9</v>
      </c>
      <c r="G178" s="6" t="s">
        <v>282</v>
      </c>
      <c r="H178" s="12">
        <v>0.95</v>
      </c>
      <c r="I178" s="12">
        <v>1</v>
      </c>
      <c r="J178" s="12">
        <v>1</v>
      </c>
      <c r="K178" s="54"/>
    </row>
    <row r="179" spans="1:11" ht="25" x14ac:dyDescent="0.25">
      <c r="A179" s="2" t="s">
        <v>314</v>
      </c>
      <c r="B179" s="7" t="s">
        <v>315</v>
      </c>
      <c r="C179" s="12">
        <v>0.86</v>
      </c>
      <c r="D179" s="12">
        <v>0.77</v>
      </c>
      <c r="E179" s="13">
        <v>0.61099999999999999</v>
      </c>
      <c r="F179" s="12">
        <v>0.9</v>
      </c>
      <c r="G179" s="6" t="s">
        <v>282</v>
      </c>
      <c r="H179" s="12">
        <v>0.95</v>
      </c>
      <c r="I179" s="12">
        <v>1</v>
      </c>
      <c r="J179" s="12">
        <v>1</v>
      </c>
      <c r="K179" s="54"/>
    </row>
    <row r="180" spans="1:11" ht="25" x14ac:dyDescent="0.25">
      <c r="A180" s="2" t="s">
        <v>316</v>
      </c>
      <c r="B180" s="7" t="s">
        <v>317</v>
      </c>
      <c r="C180" s="12">
        <v>0.72</v>
      </c>
      <c r="D180" s="12">
        <v>0.8</v>
      </c>
      <c r="E180" s="13">
        <v>0.71799999999999997</v>
      </c>
      <c r="F180" s="12">
        <v>0.9</v>
      </c>
      <c r="G180" s="6" t="s">
        <v>282</v>
      </c>
      <c r="H180" s="12">
        <v>0.95</v>
      </c>
      <c r="I180" s="12">
        <v>1</v>
      </c>
      <c r="J180" s="12">
        <v>1</v>
      </c>
      <c r="K180" s="54"/>
    </row>
    <row r="181" spans="1:11" ht="25" x14ac:dyDescent="0.25">
      <c r="A181" s="2" t="s">
        <v>318</v>
      </c>
      <c r="B181" s="7" t="s">
        <v>319</v>
      </c>
      <c r="C181" s="12">
        <v>0.55000000000000004</v>
      </c>
      <c r="D181" s="12">
        <v>0.45</v>
      </c>
      <c r="E181" s="13">
        <v>0.93</v>
      </c>
      <c r="F181" s="12">
        <v>0.9</v>
      </c>
      <c r="G181" s="6" t="s">
        <v>282</v>
      </c>
      <c r="H181" s="12">
        <v>0.95</v>
      </c>
      <c r="I181" s="12">
        <v>1</v>
      </c>
      <c r="J181" s="12">
        <v>1</v>
      </c>
      <c r="K181" s="54"/>
    </row>
    <row r="182" spans="1:11" ht="25" x14ac:dyDescent="0.25">
      <c r="A182" s="2" t="s">
        <v>320</v>
      </c>
      <c r="B182" s="7" t="s">
        <v>321</v>
      </c>
      <c r="C182" s="12">
        <v>0.41</v>
      </c>
      <c r="D182" s="12">
        <v>0.48</v>
      </c>
      <c r="E182" s="13">
        <v>0.46899999999999997</v>
      </c>
      <c r="F182" s="12">
        <v>0.9</v>
      </c>
      <c r="G182" s="6" t="s">
        <v>282</v>
      </c>
      <c r="H182" s="12">
        <v>0.95</v>
      </c>
      <c r="I182" s="12">
        <v>1</v>
      </c>
      <c r="J182" s="12">
        <v>1</v>
      </c>
      <c r="K182" s="54"/>
    </row>
    <row r="183" spans="1:11" ht="37.5" x14ac:dyDescent="0.25">
      <c r="A183" s="2" t="s">
        <v>322</v>
      </c>
      <c r="B183" s="7" t="s">
        <v>323</v>
      </c>
      <c r="C183" s="12">
        <v>0.71</v>
      </c>
      <c r="D183" s="12">
        <v>0.72</v>
      </c>
      <c r="E183" s="13">
        <v>0.626</v>
      </c>
      <c r="F183" s="12">
        <v>0.9</v>
      </c>
      <c r="G183" s="6" t="s">
        <v>282</v>
      </c>
      <c r="H183" s="12">
        <v>0.95</v>
      </c>
      <c r="I183" s="12">
        <v>1</v>
      </c>
      <c r="J183" s="12">
        <v>1</v>
      </c>
      <c r="K183" s="54"/>
    </row>
    <row r="184" spans="1:11" ht="50" x14ac:dyDescent="0.25">
      <c r="A184" s="25" t="s">
        <v>190</v>
      </c>
      <c r="B184" s="7" t="s">
        <v>191</v>
      </c>
      <c r="C184" s="13">
        <v>3.3000000000000002E-2</v>
      </c>
      <c r="D184" s="14">
        <v>1.0999999999999999E-2</v>
      </c>
      <c r="E184" s="14">
        <v>1.17E-2</v>
      </c>
      <c r="F184" s="13">
        <v>2.1999999999999999E-2</v>
      </c>
      <c r="G184" s="12" t="s">
        <v>282</v>
      </c>
      <c r="H184" s="45">
        <v>0</v>
      </c>
      <c r="I184" s="45">
        <v>0</v>
      </c>
      <c r="J184" s="45">
        <v>0</v>
      </c>
      <c r="K184" s="49" t="s">
        <v>192</v>
      </c>
    </row>
    <row r="185" spans="1:11" ht="54.75" customHeight="1" x14ac:dyDescent="0.25">
      <c r="A185" s="25" t="s">
        <v>193</v>
      </c>
      <c r="B185" s="7" t="s">
        <v>194</v>
      </c>
      <c r="C185" s="6">
        <v>39.200000000000003</v>
      </c>
      <c r="D185" s="15">
        <v>39.700000000000003</v>
      </c>
      <c r="E185" s="6">
        <v>39.9</v>
      </c>
      <c r="F185" s="6">
        <v>39</v>
      </c>
      <c r="G185" s="12" t="s">
        <v>282</v>
      </c>
      <c r="H185" s="27">
        <v>40.200000000000003</v>
      </c>
      <c r="I185" s="27">
        <v>41</v>
      </c>
      <c r="J185" s="27">
        <v>41</v>
      </c>
      <c r="K185" s="50"/>
    </row>
    <row r="186" spans="1:11" ht="47.25" customHeight="1" x14ac:dyDescent="0.25">
      <c r="A186" s="25" t="s">
        <v>195</v>
      </c>
      <c r="B186" s="7" t="s">
        <v>196</v>
      </c>
      <c r="C186" s="14">
        <v>1.9400000000000001E-2</v>
      </c>
      <c r="D186" s="14">
        <v>1.95E-2</v>
      </c>
      <c r="E186" s="14">
        <v>1.9800000000000002E-2</v>
      </c>
      <c r="F186" s="14">
        <v>1.95E-2</v>
      </c>
      <c r="G186" s="12" t="s">
        <v>282</v>
      </c>
      <c r="H186" s="45">
        <v>0.02</v>
      </c>
      <c r="I186" s="35">
        <v>1.9800000000000002E-2</v>
      </c>
      <c r="J186" s="35">
        <v>1.9599999999999999E-2</v>
      </c>
      <c r="K186" s="50"/>
    </row>
    <row r="187" spans="1:11" ht="35.25" customHeight="1" x14ac:dyDescent="0.25">
      <c r="A187" s="25" t="s">
        <v>197</v>
      </c>
      <c r="B187" s="7" t="s">
        <v>198</v>
      </c>
      <c r="C187" s="6">
        <v>2.7</v>
      </c>
      <c r="D187" s="6">
        <v>2.1</v>
      </c>
      <c r="E187" s="6" t="s">
        <v>199</v>
      </c>
      <c r="F187" s="6">
        <v>2.1</v>
      </c>
      <c r="G187" s="12" t="s">
        <v>282</v>
      </c>
      <c r="H187" s="27">
        <v>2.4</v>
      </c>
      <c r="I187" s="27">
        <v>2.35</v>
      </c>
      <c r="J187" s="27">
        <v>2.2999999999999998</v>
      </c>
      <c r="K187" s="49" t="s">
        <v>200</v>
      </c>
    </row>
    <row r="188" spans="1:11" ht="42.75" customHeight="1" x14ac:dyDescent="0.25">
      <c r="A188" s="25" t="s">
        <v>201</v>
      </c>
      <c r="B188" s="7" t="s">
        <v>202</v>
      </c>
      <c r="C188" s="12">
        <v>0.01</v>
      </c>
      <c r="D188" s="12">
        <v>0.01</v>
      </c>
      <c r="E188" s="14">
        <v>8.8999999999999999E-3</v>
      </c>
      <c r="F188" s="12">
        <v>0.01</v>
      </c>
      <c r="G188" s="12" t="s">
        <v>282</v>
      </c>
      <c r="H188" s="35">
        <v>8.9999999999999993E-3</v>
      </c>
      <c r="I188" s="35">
        <v>8.8199999999999997E-3</v>
      </c>
      <c r="J188" s="35">
        <v>8.6400000000000001E-3</v>
      </c>
      <c r="K188" s="50"/>
    </row>
    <row r="189" spans="1:11" ht="126.75" customHeight="1" x14ac:dyDescent="0.25">
      <c r="A189" s="25" t="s">
        <v>203</v>
      </c>
      <c r="B189" s="7" t="s">
        <v>204</v>
      </c>
      <c r="C189" s="13" t="s">
        <v>282</v>
      </c>
      <c r="D189" s="14" t="s">
        <v>282</v>
      </c>
      <c r="E189" s="14">
        <v>7.0000000000000001E-3</v>
      </c>
      <c r="F189" s="12">
        <v>0.01</v>
      </c>
      <c r="G189" s="12" t="s">
        <v>282</v>
      </c>
      <c r="H189" s="35">
        <v>7.0000000000000001E-3</v>
      </c>
      <c r="I189" s="35">
        <v>7.0000000000000001E-3</v>
      </c>
      <c r="J189" s="35">
        <v>7.0000000000000001E-3</v>
      </c>
      <c r="K189" s="49" t="s">
        <v>205</v>
      </c>
    </row>
    <row r="190" spans="1:11" ht="62.5" x14ac:dyDescent="0.25">
      <c r="A190" s="25" t="s">
        <v>206</v>
      </c>
      <c r="B190" s="7" t="s">
        <v>207</v>
      </c>
      <c r="C190" s="13">
        <v>0.27200000000000002</v>
      </c>
      <c r="D190" s="14">
        <v>0.26900000000000002</v>
      </c>
      <c r="E190" s="12">
        <v>0.28000000000000003</v>
      </c>
      <c r="F190" s="12">
        <v>0.28000000000000003</v>
      </c>
      <c r="G190" s="12" t="s">
        <v>282</v>
      </c>
      <c r="H190" s="45">
        <v>0.3</v>
      </c>
      <c r="I190" s="45">
        <v>0.32</v>
      </c>
      <c r="J190" s="45">
        <v>0.34</v>
      </c>
      <c r="K190" s="9"/>
    </row>
    <row r="191" spans="1:11" ht="39" customHeight="1" x14ac:dyDescent="0.25">
      <c r="A191" s="25" t="s">
        <v>208</v>
      </c>
      <c r="B191" s="7" t="s">
        <v>209</v>
      </c>
      <c r="C191" s="30">
        <v>1.37</v>
      </c>
      <c r="D191" s="12" t="s">
        <v>282</v>
      </c>
      <c r="E191" s="30" t="s">
        <v>210</v>
      </c>
      <c r="F191" s="12" t="s">
        <v>240</v>
      </c>
      <c r="G191" s="12" t="s">
        <v>282</v>
      </c>
      <c r="H191" s="47">
        <v>1.5</v>
      </c>
      <c r="I191" s="47">
        <v>1.5</v>
      </c>
      <c r="J191" s="47">
        <v>1.55</v>
      </c>
      <c r="K191" s="9"/>
    </row>
    <row r="192" spans="1:11" ht="31.5" customHeight="1" x14ac:dyDescent="0.25">
      <c r="A192" s="25" t="s">
        <v>229</v>
      </c>
      <c r="B192" s="7" t="s">
        <v>211</v>
      </c>
      <c r="C192" s="12" t="s">
        <v>282</v>
      </c>
      <c r="D192" s="12" t="s">
        <v>282</v>
      </c>
      <c r="E192" s="12" t="s">
        <v>282</v>
      </c>
      <c r="F192" s="12" t="s">
        <v>282</v>
      </c>
      <c r="G192" s="12" t="s">
        <v>282</v>
      </c>
      <c r="H192" s="45">
        <v>0.9</v>
      </c>
      <c r="I192" s="45">
        <v>0.92</v>
      </c>
      <c r="J192" s="45">
        <v>0.96</v>
      </c>
      <c r="K192" s="18"/>
    </row>
    <row r="193" spans="1:11" ht="62.5" x14ac:dyDescent="0.25">
      <c r="A193" s="25" t="s">
        <v>212</v>
      </c>
      <c r="B193" s="7" t="s">
        <v>213</v>
      </c>
      <c r="C193" s="6">
        <v>1.24</v>
      </c>
      <c r="D193" s="6">
        <v>1.02</v>
      </c>
      <c r="E193" s="6">
        <v>1.03</v>
      </c>
      <c r="F193" s="6">
        <v>1</v>
      </c>
      <c r="G193" s="12" t="s">
        <v>282</v>
      </c>
      <c r="H193" s="6">
        <v>1</v>
      </c>
      <c r="I193" s="6">
        <v>1</v>
      </c>
      <c r="J193" s="6">
        <v>0.98</v>
      </c>
      <c r="K193" s="18"/>
    </row>
    <row r="194" spans="1:11" ht="37.5" x14ac:dyDescent="0.25">
      <c r="A194" s="25" t="s">
        <v>214</v>
      </c>
      <c r="B194" s="7" t="s">
        <v>215</v>
      </c>
      <c r="C194" s="6">
        <v>4.8899999999999997</v>
      </c>
      <c r="D194" s="6">
        <v>4.9000000000000004</v>
      </c>
      <c r="E194" s="6">
        <v>4.3899999999999997</v>
      </c>
      <c r="F194" s="6">
        <v>4.95</v>
      </c>
      <c r="G194" s="12" t="s">
        <v>282</v>
      </c>
      <c r="H194" s="6">
        <v>4.95</v>
      </c>
      <c r="I194" s="6">
        <v>4.8499999999999996</v>
      </c>
      <c r="J194" s="6">
        <v>4.75</v>
      </c>
      <c r="K194" s="9"/>
    </row>
    <row r="195" spans="1:11" ht="51" customHeight="1" x14ac:dyDescent="0.25">
      <c r="A195" s="25" t="s">
        <v>502</v>
      </c>
      <c r="B195" s="7" t="s">
        <v>503</v>
      </c>
      <c r="C195" s="6">
        <v>3765</v>
      </c>
      <c r="D195" s="6">
        <v>2145</v>
      </c>
      <c r="E195" s="6">
        <v>1774</v>
      </c>
      <c r="F195" s="6">
        <v>2000</v>
      </c>
      <c r="G195" s="6" t="s">
        <v>282</v>
      </c>
      <c r="H195" s="6">
        <v>1500</v>
      </c>
      <c r="I195" s="6">
        <v>1250</v>
      </c>
      <c r="J195" s="6">
        <v>1000</v>
      </c>
      <c r="K195" s="55" t="s">
        <v>504</v>
      </c>
    </row>
    <row r="196" spans="1:11" ht="46.5" customHeight="1" x14ac:dyDescent="0.25">
      <c r="A196" s="25" t="s">
        <v>505</v>
      </c>
      <c r="B196" s="7" t="s">
        <v>506</v>
      </c>
      <c r="C196" s="6">
        <v>103</v>
      </c>
      <c r="D196" s="6">
        <v>144</v>
      </c>
      <c r="E196" s="6">
        <v>90.06</v>
      </c>
      <c r="F196" s="6">
        <v>100</v>
      </c>
      <c r="G196" s="6" t="s">
        <v>282</v>
      </c>
      <c r="H196" s="6">
        <v>50</v>
      </c>
      <c r="I196" s="6">
        <v>40</v>
      </c>
      <c r="J196" s="6">
        <v>35</v>
      </c>
      <c r="K196" s="55"/>
    </row>
    <row r="197" spans="1:11" ht="40.5" customHeight="1" x14ac:dyDescent="0.25">
      <c r="A197" s="25" t="s">
        <v>507</v>
      </c>
      <c r="B197" s="7" t="s">
        <v>508</v>
      </c>
      <c r="C197" s="12">
        <v>0.87</v>
      </c>
      <c r="D197" s="12">
        <v>0.91</v>
      </c>
      <c r="E197" s="12">
        <v>0.88</v>
      </c>
      <c r="F197" s="12">
        <v>0.94</v>
      </c>
      <c r="G197" s="6" t="s">
        <v>282</v>
      </c>
      <c r="H197" s="12">
        <v>0.9</v>
      </c>
      <c r="I197" s="12">
        <v>0.95</v>
      </c>
      <c r="J197" s="12">
        <v>0.97</v>
      </c>
      <c r="K197" s="7"/>
    </row>
    <row r="198" spans="1:11" ht="34.5" customHeight="1" x14ac:dyDescent="0.25">
      <c r="A198" s="25" t="s">
        <v>509</v>
      </c>
      <c r="B198" s="7" t="s">
        <v>510</v>
      </c>
      <c r="C198" s="6"/>
      <c r="D198" s="6">
        <v>21.77</v>
      </c>
      <c r="E198" s="6">
        <v>20.47</v>
      </c>
      <c r="F198" s="6">
        <v>18</v>
      </c>
      <c r="G198" s="6" t="s">
        <v>282</v>
      </c>
      <c r="H198" s="6">
        <v>8</v>
      </c>
      <c r="I198" s="6">
        <v>6</v>
      </c>
      <c r="J198" s="6">
        <v>4</v>
      </c>
      <c r="K198" s="7"/>
    </row>
    <row r="199" spans="1:11" ht="37.5" x14ac:dyDescent="0.25">
      <c r="A199" s="25" t="s">
        <v>511</v>
      </c>
      <c r="B199" s="7" t="s">
        <v>512</v>
      </c>
      <c r="C199" s="14">
        <v>0.76880000000000004</v>
      </c>
      <c r="D199" s="12">
        <v>1</v>
      </c>
      <c r="E199" s="14">
        <v>0.995</v>
      </c>
      <c r="F199" s="12">
        <v>1</v>
      </c>
      <c r="G199" s="12">
        <v>1</v>
      </c>
      <c r="H199" s="12">
        <v>1</v>
      </c>
      <c r="I199" s="12">
        <v>1</v>
      </c>
      <c r="J199" s="12">
        <v>1</v>
      </c>
      <c r="K199" s="7"/>
    </row>
    <row r="200" spans="1:11" ht="42" customHeight="1" x14ac:dyDescent="0.25">
      <c r="A200" s="25" t="s">
        <v>513</v>
      </c>
      <c r="B200" s="7" t="s">
        <v>514</v>
      </c>
      <c r="C200" s="14">
        <v>2.3199999999999998E-2</v>
      </c>
      <c r="D200" s="14">
        <v>1.9699999999999999E-2</v>
      </c>
      <c r="E200" s="14">
        <v>1.7000000000000001E-2</v>
      </c>
      <c r="F200" s="14">
        <v>1.8499999999999999E-2</v>
      </c>
      <c r="G200" s="6" t="s">
        <v>282</v>
      </c>
      <c r="H200" s="14">
        <v>1.4999999999999999E-2</v>
      </c>
      <c r="I200" s="14">
        <v>1.2500000000000001E-2</v>
      </c>
      <c r="J200" s="14">
        <v>0.01</v>
      </c>
      <c r="K200" s="49" t="s">
        <v>516</v>
      </c>
    </row>
    <row r="201" spans="1:11" ht="43.5" customHeight="1" x14ac:dyDescent="0.25">
      <c r="A201" s="25" t="s">
        <v>517</v>
      </c>
      <c r="B201" s="7" t="s">
        <v>518</v>
      </c>
      <c r="C201" s="12">
        <v>0</v>
      </c>
      <c r="D201" s="13">
        <v>0</v>
      </c>
      <c r="E201" s="12">
        <v>0</v>
      </c>
      <c r="F201" s="12">
        <v>0</v>
      </c>
      <c r="G201" s="6" t="s">
        <v>282</v>
      </c>
      <c r="H201" s="12">
        <v>0</v>
      </c>
      <c r="I201" s="12">
        <v>0</v>
      </c>
      <c r="J201" s="12">
        <v>0</v>
      </c>
      <c r="K201" s="55" t="s">
        <v>519</v>
      </c>
    </row>
    <row r="202" spans="1:11" ht="45.75" customHeight="1" x14ac:dyDescent="0.25">
      <c r="A202" s="25" t="s">
        <v>520</v>
      </c>
      <c r="B202" s="7" t="s">
        <v>521</v>
      </c>
      <c r="C202" s="12">
        <v>0.51</v>
      </c>
      <c r="D202" s="12">
        <v>0.51</v>
      </c>
      <c r="E202" s="12">
        <v>0.46</v>
      </c>
      <c r="F202" s="12">
        <v>0.51</v>
      </c>
      <c r="G202" s="6" t="s">
        <v>282</v>
      </c>
      <c r="H202" s="12">
        <v>0.56000000000000005</v>
      </c>
      <c r="I202" s="12">
        <v>0.66</v>
      </c>
      <c r="J202" s="12">
        <v>0.66</v>
      </c>
      <c r="K202" s="55"/>
    </row>
    <row r="203" spans="1:11" ht="45.75" customHeight="1" x14ac:dyDescent="0.25">
      <c r="A203" s="25" t="s">
        <v>522</v>
      </c>
      <c r="B203" s="7" t="s">
        <v>523</v>
      </c>
      <c r="C203" s="12">
        <v>0.01</v>
      </c>
      <c r="D203" s="12">
        <v>0.04</v>
      </c>
      <c r="E203" s="12">
        <v>7.0000000000000007E-2</v>
      </c>
      <c r="F203" s="12">
        <v>0.04</v>
      </c>
      <c r="G203" s="6" t="s">
        <v>282</v>
      </c>
      <c r="H203" s="12">
        <v>0.19</v>
      </c>
      <c r="I203" s="12">
        <v>0.19</v>
      </c>
      <c r="J203" s="12">
        <v>0.19</v>
      </c>
      <c r="K203" s="55"/>
    </row>
    <row r="204" spans="1:11" ht="24" customHeight="1" x14ac:dyDescent="0.25">
      <c r="A204" s="25" t="s">
        <v>524</v>
      </c>
      <c r="B204" s="7" t="s">
        <v>525</v>
      </c>
      <c r="C204" s="6">
        <v>0.72770000000000001</v>
      </c>
      <c r="D204" s="29">
        <v>0.74350000000000005</v>
      </c>
      <c r="E204" s="14">
        <v>0.76290000000000002</v>
      </c>
      <c r="F204" s="16">
        <v>0.75</v>
      </c>
      <c r="G204" s="6" t="s">
        <v>282</v>
      </c>
      <c r="H204" s="12">
        <v>0.77</v>
      </c>
      <c r="I204" s="12">
        <v>0.79</v>
      </c>
      <c r="J204" s="12">
        <v>0.8</v>
      </c>
      <c r="K204" s="50"/>
    </row>
    <row r="205" spans="1:11" ht="29.25" customHeight="1" x14ac:dyDescent="0.25">
      <c r="A205" s="25" t="s">
        <v>526</v>
      </c>
      <c r="B205" s="7" t="s">
        <v>527</v>
      </c>
      <c r="C205" s="6">
        <v>147</v>
      </c>
      <c r="D205" s="6">
        <v>132</v>
      </c>
      <c r="E205" s="6">
        <v>132</v>
      </c>
      <c r="F205" s="12" t="s">
        <v>240</v>
      </c>
      <c r="G205" s="6" t="s">
        <v>282</v>
      </c>
      <c r="H205" s="12" t="s">
        <v>240</v>
      </c>
      <c r="I205" s="12" t="s">
        <v>240</v>
      </c>
      <c r="J205" s="12" t="s">
        <v>240</v>
      </c>
      <c r="K205" s="50"/>
    </row>
    <row r="206" spans="1:11" ht="87.5" x14ac:dyDescent="0.25">
      <c r="A206" s="25" t="s">
        <v>528</v>
      </c>
      <c r="B206" s="7" t="s">
        <v>529</v>
      </c>
      <c r="C206" s="12">
        <v>0.32</v>
      </c>
      <c r="D206" s="12">
        <v>0.28000000000000003</v>
      </c>
      <c r="E206" s="13">
        <v>0.32500000000000001</v>
      </c>
      <c r="F206" s="12" t="s">
        <v>530</v>
      </c>
      <c r="G206" s="6" t="s">
        <v>282</v>
      </c>
      <c r="H206" s="12" t="s">
        <v>240</v>
      </c>
      <c r="I206" s="12" t="s">
        <v>240</v>
      </c>
      <c r="J206" s="12" t="s">
        <v>240</v>
      </c>
      <c r="K206" s="49" t="s">
        <v>531</v>
      </c>
    </row>
    <row r="207" spans="1:11" ht="37.5" x14ac:dyDescent="0.25">
      <c r="A207" s="25" t="s">
        <v>532</v>
      </c>
      <c r="B207" s="7" t="s">
        <v>533</v>
      </c>
      <c r="C207" s="12">
        <v>0.77</v>
      </c>
      <c r="D207" s="12">
        <v>1</v>
      </c>
      <c r="E207" s="12">
        <v>1</v>
      </c>
      <c r="F207" s="12">
        <v>1</v>
      </c>
      <c r="G207" s="6" t="s">
        <v>282</v>
      </c>
      <c r="H207" s="12">
        <v>1</v>
      </c>
      <c r="I207" s="12">
        <v>1</v>
      </c>
      <c r="J207" s="12">
        <v>1</v>
      </c>
      <c r="K207" s="50"/>
    </row>
    <row r="208" spans="1:11" ht="50" x14ac:dyDescent="0.25">
      <c r="A208" s="25" t="s">
        <v>534</v>
      </c>
      <c r="B208" s="7" t="s">
        <v>535</v>
      </c>
      <c r="C208" s="12">
        <v>0.49</v>
      </c>
      <c r="D208" s="12">
        <v>0.71</v>
      </c>
      <c r="E208" s="12">
        <v>1</v>
      </c>
      <c r="F208" s="12">
        <v>0.85</v>
      </c>
      <c r="G208" s="6" t="s">
        <v>282</v>
      </c>
      <c r="H208" s="12">
        <v>0.75</v>
      </c>
      <c r="I208" s="12">
        <v>0.85</v>
      </c>
      <c r="J208" s="12">
        <v>1</v>
      </c>
      <c r="K208" s="48" t="s">
        <v>536</v>
      </c>
    </row>
    <row r="209" spans="1:11" ht="34.5" customHeight="1" x14ac:dyDescent="0.25">
      <c r="A209" s="25" t="s">
        <v>537</v>
      </c>
      <c r="B209" s="7" t="s">
        <v>538</v>
      </c>
      <c r="C209" s="6">
        <v>3834</v>
      </c>
      <c r="D209" s="38">
        <v>3813</v>
      </c>
      <c r="E209" s="6">
        <v>3926</v>
      </c>
      <c r="F209" s="6">
        <v>3967</v>
      </c>
      <c r="G209" s="6" t="s">
        <v>282</v>
      </c>
      <c r="H209" s="39">
        <v>4100</v>
      </c>
      <c r="I209" s="39">
        <v>4300</v>
      </c>
      <c r="J209" s="39">
        <v>4300</v>
      </c>
      <c r="K209" s="34"/>
    </row>
    <row r="210" spans="1:11" ht="78.75" customHeight="1" x14ac:dyDescent="0.25">
      <c r="A210" s="25" t="s">
        <v>539</v>
      </c>
      <c r="B210" s="7" t="s">
        <v>540</v>
      </c>
      <c r="C210" s="6" t="s">
        <v>282</v>
      </c>
      <c r="D210" s="12">
        <v>0.3</v>
      </c>
      <c r="E210" s="13">
        <v>0.26</v>
      </c>
      <c r="F210" s="13">
        <v>0.315</v>
      </c>
      <c r="G210" s="6" t="s">
        <v>282</v>
      </c>
      <c r="H210" s="13">
        <v>0.315</v>
      </c>
      <c r="I210" s="13">
        <v>0.32</v>
      </c>
      <c r="J210" s="13">
        <v>0.33</v>
      </c>
      <c r="K210" s="48" t="s">
        <v>541</v>
      </c>
    </row>
    <row r="211" spans="1:11" ht="50" x14ac:dyDescent="0.25">
      <c r="A211" s="25" t="s">
        <v>218</v>
      </c>
      <c r="B211" s="7" t="s">
        <v>219</v>
      </c>
      <c r="C211" s="6" t="s">
        <v>282</v>
      </c>
      <c r="D211" s="6" t="s">
        <v>282</v>
      </c>
      <c r="E211" s="12">
        <v>0.94</v>
      </c>
      <c r="F211" s="12">
        <v>0.9</v>
      </c>
      <c r="G211" s="6" t="s">
        <v>282</v>
      </c>
      <c r="H211" s="12">
        <v>0.9</v>
      </c>
      <c r="I211" s="12" t="s">
        <v>240</v>
      </c>
      <c r="J211" s="12" t="s">
        <v>240</v>
      </c>
      <c r="K211" s="34"/>
    </row>
    <row r="212" spans="1:11" ht="37.5" x14ac:dyDescent="0.25">
      <c r="A212" s="25" t="s">
        <v>220</v>
      </c>
      <c r="B212" s="7" t="s">
        <v>221</v>
      </c>
      <c r="C212" s="12">
        <v>0.55000000000000004</v>
      </c>
      <c r="D212" s="12">
        <v>0.6</v>
      </c>
      <c r="E212" s="12">
        <f>((2759*0.8)+(4093*0.89)+(5267*0.89))/(2759+4093+5267)</f>
        <v>0.86951068570014034</v>
      </c>
      <c r="F212" s="12">
        <v>0.6</v>
      </c>
      <c r="G212" s="6" t="s">
        <v>282</v>
      </c>
      <c r="H212" s="12">
        <v>0.6</v>
      </c>
      <c r="I212" s="12" t="s">
        <v>240</v>
      </c>
      <c r="J212" s="12" t="s">
        <v>240</v>
      </c>
      <c r="K212" s="54" t="s">
        <v>222</v>
      </c>
    </row>
    <row r="213" spans="1:11" ht="30.75" customHeight="1" x14ac:dyDescent="0.25">
      <c r="A213" s="25" t="s">
        <v>223</v>
      </c>
      <c r="B213" s="7" t="s">
        <v>224</v>
      </c>
      <c r="C213" s="14">
        <v>0.72750000000000004</v>
      </c>
      <c r="D213" s="13">
        <v>0.73799999999999999</v>
      </c>
      <c r="E213" s="12">
        <f>((4244*0.81)+(8590*0.89)+(9917*0.91))/(4244+8590+9917)</f>
        <v>0.88379455848094601</v>
      </c>
      <c r="F213" s="12">
        <v>0.75</v>
      </c>
      <c r="G213" s="6" t="s">
        <v>282</v>
      </c>
      <c r="H213" s="12">
        <v>0.75</v>
      </c>
      <c r="I213" s="12" t="s">
        <v>240</v>
      </c>
      <c r="J213" s="12" t="s">
        <v>240</v>
      </c>
      <c r="K213" s="54"/>
    </row>
    <row r="214" spans="1:11" ht="21.75" customHeight="1" x14ac:dyDescent="0.25">
      <c r="A214" s="25" t="s">
        <v>542</v>
      </c>
      <c r="B214" s="7" t="s">
        <v>543</v>
      </c>
      <c r="C214" s="30">
        <v>2.2799999999999998</v>
      </c>
      <c r="D214" s="30">
        <v>1</v>
      </c>
      <c r="E214" s="30" t="s">
        <v>544</v>
      </c>
      <c r="F214" s="30">
        <v>1.1299999999999999</v>
      </c>
      <c r="G214" s="6" t="s">
        <v>282</v>
      </c>
      <c r="H214" s="30">
        <v>1.1299999999999999</v>
      </c>
      <c r="I214" s="30">
        <v>1.0900000000000001</v>
      </c>
      <c r="J214" s="30">
        <v>1.0900000000000001</v>
      </c>
      <c r="K214" s="50"/>
    </row>
    <row r="215" spans="1:11" ht="37.5" x14ac:dyDescent="0.25">
      <c r="A215" s="25" t="s">
        <v>545</v>
      </c>
      <c r="B215" s="7" t="s">
        <v>546</v>
      </c>
      <c r="C215" s="30">
        <v>11.58</v>
      </c>
      <c r="D215" s="30"/>
      <c r="E215" s="30" t="s">
        <v>547</v>
      </c>
      <c r="F215" s="30">
        <v>10.57</v>
      </c>
      <c r="G215" s="6" t="s">
        <v>282</v>
      </c>
      <c r="H215" s="30">
        <v>11.59</v>
      </c>
      <c r="I215" s="30">
        <v>11.36</v>
      </c>
      <c r="J215" s="30">
        <v>11.14</v>
      </c>
      <c r="K215" s="50"/>
    </row>
    <row r="216" spans="1:11" ht="24" customHeight="1" x14ac:dyDescent="0.25">
      <c r="A216" s="25" t="s">
        <v>548</v>
      </c>
      <c r="B216" s="7" t="s">
        <v>549</v>
      </c>
      <c r="C216" s="40">
        <v>130</v>
      </c>
      <c r="D216" s="40">
        <v>150</v>
      </c>
      <c r="E216" s="40">
        <v>180</v>
      </c>
      <c r="F216" s="40">
        <v>180</v>
      </c>
      <c r="G216" s="6" t="s">
        <v>282</v>
      </c>
      <c r="H216" s="40">
        <v>195</v>
      </c>
      <c r="I216" s="40">
        <v>205</v>
      </c>
      <c r="J216" s="40">
        <v>215</v>
      </c>
      <c r="K216" s="50"/>
    </row>
    <row r="217" spans="1:11" ht="42.75" customHeight="1" x14ac:dyDescent="0.25">
      <c r="A217" s="2" t="s">
        <v>550</v>
      </c>
      <c r="B217" s="34" t="s">
        <v>269</v>
      </c>
      <c r="C217" s="12"/>
      <c r="D217" s="12"/>
      <c r="E217" s="12">
        <v>1</v>
      </c>
      <c r="F217" s="12"/>
      <c r="G217" s="12"/>
      <c r="H217" s="12">
        <v>1</v>
      </c>
      <c r="I217" s="12">
        <v>1</v>
      </c>
      <c r="J217" s="12">
        <v>1</v>
      </c>
      <c r="K217" s="50"/>
    </row>
    <row r="218" spans="1:11" ht="29.25" customHeight="1" x14ac:dyDescent="0.25">
      <c r="A218" s="2" t="s">
        <v>551</v>
      </c>
      <c r="B218" s="34" t="s">
        <v>393</v>
      </c>
      <c r="C218" s="6"/>
      <c r="D218" s="6"/>
      <c r="E218" s="6">
        <v>15789</v>
      </c>
      <c r="F218" s="6"/>
      <c r="G218" s="6"/>
      <c r="H218" s="6">
        <v>20000</v>
      </c>
      <c r="I218" s="6">
        <v>21000</v>
      </c>
      <c r="J218" s="6">
        <v>31000</v>
      </c>
      <c r="K218" s="50"/>
    </row>
    <row r="219" spans="1:11" ht="100" x14ac:dyDescent="0.25">
      <c r="A219" s="25" t="s">
        <v>13</v>
      </c>
      <c r="B219" s="7" t="s">
        <v>14</v>
      </c>
      <c r="C219" s="13">
        <v>0.223</v>
      </c>
      <c r="D219" s="12">
        <v>0.17</v>
      </c>
      <c r="E219" s="13">
        <v>0.13800000000000001</v>
      </c>
      <c r="F219" s="13">
        <v>0.14799999999999999</v>
      </c>
      <c r="G219" s="6" t="s">
        <v>282</v>
      </c>
      <c r="H219" s="13">
        <v>0.12</v>
      </c>
      <c r="I219" s="13">
        <v>0.1</v>
      </c>
      <c r="J219" s="13">
        <v>0.08</v>
      </c>
      <c r="K219" s="49" t="s">
        <v>15</v>
      </c>
    </row>
    <row r="220" spans="1:11" ht="37.5" x14ac:dyDescent="0.25">
      <c r="A220" s="25" t="s">
        <v>16</v>
      </c>
      <c r="B220" s="7" t="s">
        <v>17</v>
      </c>
      <c r="C220" s="6">
        <v>7.4</v>
      </c>
      <c r="D220" s="6">
        <v>7.1</v>
      </c>
      <c r="E220" s="6">
        <v>6.8</v>
      </c>
      <c r="F220" s="6">
        <v>6.5</v>
      </c>
      <c r="G220" s="6">
        <v>5.0999999999999996</v>
      </c>
      <c r="H220" s="6">
        <v>6</v>
      </c>
      <c r="I220" s="6">
        <v>5.6</v>
      </c>
      <c r="J220" s="6">
        <v>5</v>
      </c>
      <c r="K220" s="50"/>
    </row>
    <row r="221" spans="1:11" ht="38.25" customHeight="1" x14ac:dyDescent="0.25">
      <c r="A221" s="25" t="s">
        <v>18</v>
      </c>
      <c r="B221" s="7" t="s">
        <v>19</v>
      </c>
      <c r="C221" s="30">
        <v>24.35</v>
      </c>
      <c r="D221" s="30">
        <v>25.32</v>
      </c>
      <c r="E221" s="30" t="s">
        <v>20</v>
      </c>
      <c r="F221" s="30">
        <v>27.04</v>
      </c>
      <c r="G221" s="30">
        <v>19.920000000000002</v>
      </c>
      <c r="H221" s="30">
        <v>30</v>
      </c>
      <c r="I221" s="30">
        <v>31.12</v>
      </c>
      <c r="J221" s="30">
        <v>31.99</v>
      </c>
      <c r="K221" s="50"/>
    </row>
    <row r="222" spans="1:11" ht="31.5" customHeight="1" x14ac:dyDescent="0.25">
      <c r="A222" s="25" t="s">
        <v>21</v>
      </c>
      <c r="B222" s="31" t="s">
        <v>22</v>
      </c>
      <c r="C222" s="30">
        <v>17.82</v>
      </c>
      <c r="D222" s="30">
        <v>21.2</v>
      </c>
      <c r="E222" s="30" t="s">
        <v>23</v>
      </c>
      <c r="F222" s="30">
        <v>22.62</v>
      </c>
      <c r="G222" s="30">
        <v>14.43</v>
      </c>
      <c r="H222" s="30">
        <v>23.66</v>
      </c>
      <c r="I222" s="30">
        <v>24.54</v>
      </c>
      <c r="J222" s="30">
        <v>25.23</v>
      </c>
      <c r="K222" s="50"/>
    </row>
    <row r="223" spans="1:11" ht="34.5" customHeight="1" x14ac:dyDescent="0.25">
      <c r="A223" s="25" t="s">
        <v>373</v>
      </c>
      <c r="B223" s="31" t="s">
        <v>374</v>
      </c>
      <c r="C223" s="30">
        <v>23.21</v>
      </c>
      <c r="D223" s="30">
        <v>25.21</v>
      </c>
      <c r="E223" s="30" t="s">
        <v>375</v>
      </c>
      <c r="F223" s="30">
        <v>25.07</v>
      </c>
      <c r="G223" s="6" t="s">
        <v>282</v>
      </c>
      <c r="H223" s="30">
        <v>23.19</v>
      </c>
      <c r="I223" s="30">
        <v>21.17</v>
      </c>
      <c r="J223" s="30">
        <v>21</v>
      </c>
      <c r="K223" s="50"/>
    </row>
    <row r="224" spans="1:11" ht="30.75" customHeight="1" x14ac:dyDescent="0.25">
      <c r="A224" s="25" t="s">
        <v>376</v>
      </c>
      <c r="B224" s="7" t="s">
        <v>377</v>
      </c>
      <c r="C224" s="6">
        <v>195</v>
      </c>
      <c r="D224" s="6">
        <v>227</v>
      </c>
      <c r="E224" s="6">
        <v>263</v>
      </c>
      <c r="F224" s="6">
        <v>330</v>
      </c>
      <c r="G224" s="6" t="s">
        <v>282</v>
      </c>
      <c r="H224" s="6" t="s">
        <v>240</v>
      </c>
      <c r="I224" s="6" t="s">
        <v>240</v>
      </c>
      <c r="J224" s="6" t="s">
        <v>240</v>
      </c>
      <c r="K224" s="49"/>
    </row>
    <row r="225" spans="1:11" ht="43.5" customHeight="1" x14ac:dyDescent="0.25">
      <c r="A225" s="25" t="s">
        <v>378</v>
      </c>
      <c r="B225" s="7" t="s">
        <v>379</v>
      </c>
      <c r="C225" s="6">
        <v>2</v>
      </c>
      <c r="D225" s="6">
        <v>0</v>
      </c>
      <c r="E225" s="6">
        <v>0</v>
      </c>
      <c r="F225" s="6">
        <v>1</v>
      </c>
      <c r="G225" s="6" t="s">
        <v>282</v>
      </c>
      <c r="H225" s="6" t="s">
        <v>240</v>
      </c>
      <c r="I225" s="6" t="s">
        <v>240</v>
      </c>
      <c r="J225" s="6" t="s">
        <v>240</v>
      </c>
      <c r="K225" s="50"/>
    </row>
    <row r="226" spans="1:11" ht="37.5" x14ac:dyDescent="0.25">
      <c r="A226" s="25" t="s">
        <v>380</v>
      </c>
      <c r="B226" s="7" t="s">
        <v>381</v>
      </c>
      <c r="C226" s="6">
        <v>74</v>
      </c>
      <c r="D226" s="6">
        <v>242</v>
      </c>
      <c r="E226" s="6">
        <v>122</v>
      </c>
      <c r="F226" s="6">
        <v>100</v>
      </c>
      <c r="G226" s="6" t="s">
        <v>282</v>
      </c>
      <c r="H226" s="6" t="s">
        <v>240</v>
      </c>
      <c r="I226" s="6" t="s">
        <v>240</v>
      </c>
      <c r="J226" s="6" t="s">
        <v>240</v>
      </c>
      <c r="K226" s="50"/>
    </row>
    <row r="227" spans="1:11" ht="31.5" customHeight="1" x14ac:dyDescent="0.25">
      <c r="A227" s="25" t="s">
        <v>382</v>
      </c>
      <c r="B227" s="7" t="s">
        <v>383</v>
      </c>
      <c r="C227" s="14">
        <v>0.99390000000000001</v>
      </c>
      <c r="D227" s="13">
        <v>0.97399999999999998</v>
      </c>
      <c r="E227" s="14">
        <v>0.96389999999999998</v>
      </c>
      <c r="F227" s="13">
        <v>0.97399999999999998</v>
      </c>
      <c r="G227" s="6" t="s">
        <v>282</v>
      </c>
      <c r="H227" s="13">
        <v>0.97</v>
      </c>
      <c r="I227" s="13">
        <v>0.97</v>
      </c>
      <c r="J227" s="13">
        <v>0.97</v>
      </c>
      <c r="K227" s="49"/>
    </row>
    <row r="228" spans="1:11" ht="31.5" customHeight="1" x14ac:dyDescent="0.25">
      <c r="A228" s="25" t="s">
        <v>61</v>
      </c>
      <c r="B228" s="7" t="s">
        <v>62</v>
      </c>
      <c r="C228" s="12">
        <v>0.66</v>
      </c>
      <c r="D228" s="13">
        <v>0.79500000000000004</v>
      </c>
      <c r="E228" s="13">
        <v>0.74299999999999999</v>
      </c>
      <c r="F228" s="12">
        <v>0.85</v>
      </c>
      <c r="G228" s="6" t="s">
        <v>282</v>
      </c>
      <c r="H228" s="12">
        <v>0.8</v>
      </c>
      <c r="I228" s="12">
        <v>0.81</v>
      </c>
      <c r="J228" s="12">
        <v>0.82</v>
      </c>
      <c r="K228" s="50"/>
    </row>
    <row r="229" spans="1:11" ht="100" x14ac:dyDescent="0.25">
      <c r="A229" s="25" t="s">
        <v>63</v>
      </c>
      <c r="B229" s="7" t="s">
        <v>64</v>
      </c>
      <c r="C229" s="6">
        <v>0.4</v>
      </c>
      <c r="D229" s="14">
        <v>8.6E-3</v>
      </c>
      <c r="E229" s="14">
        <v>5.5999999999999999E-3</v>
      </c>
      <c r="F229" s="13">
        <v>1.4E-2</v>
      </c>
      <c r="G229" s="6" t="s">
        <v>282</v>
      </c>
      <c r="H229" s="13">
        <v>0.01</v>
      </c>
      <c r="I229" s="13">
        <v>0.01</v>
      </c>
      <c r="J229" s="13">
        <v>0.01</v>
      </c>
      <c r="K229" s="34" t="s">
        <v>65</v>
      </c>
    </row>
    <row r="230" spans="1:11" ht="192.75" customHeight="1" x14ac:dyDescent="0.25">
      <c r="A230" s="25" t="s">
        <v>66</v>
      </c>
      <c r="B230" s="7" t="s">
        <v>67</v>
      </c>
      <c r="C230" s="12">
        <v>0.3</v>
      </c>
      <c r="D230" s="13">
        <v>0.82299999999999995</v>
      </c>
      <c r="E230" s="12">
        <v>0.93</v>
      </c>
      <c r="F230" s="12">
        <v>1</v>
      </c>
      <c r="G230" s="6" t="s">
        <v>282</v>
      </c>
      <c r="H230" s="12">
        <v>1</v>
      </c>
      <c r="I230" s="12">
        <v>1</v>
      </c>
      <c r="J230" s="12">
        <v>1</v>
      </c>
      <c r="K230" s="34" t="s">
        <v>146</v>
      </c>
    </row>
    <row r="231" spans="1:11" ht="177" customHeight="1" x14ac:dyDescent="0.25">
      <c r="A231" s="25" t="s">
        <v>68</v>
      </c>
      <c r="B231" s="7" t="s">
        <v>69</v>
      </c>
      <c r="C231" s="13">
        <v>0.17599999999999999</v>
      </c>
      <c r="D231" s="12">
        <v>0.28000000000000003</v>
      </c>
      <c r="E231" s="13">
        <v>0.14299999999999999</v>
      </c>
      <c r="F231" s="13">
        <v>0.13100000000000001</v>
      </c>
      <c r="G231" s="6" t="s">
        <v>282</v>
      </c>
      <c r="H231" s="13">
        <v>0.13</v>
      </c>
      <c r="I231" s="13">
        <v>0.12</v>
      </c>
      <c r="J231" s="13">
        <v>0.11</v>
      </c>
      <c r="K231" s="34" t="s">
        <v>70</v>
      </c>
    </row>
    <row r="232" spans="1:11" ht="177.75" customHeight="1" x14ac:dyDescent="0.25">
      <c r="A232" s="25" t="s">
        <v>71</v>
      </c>
      <c r="B232" s="7" t="s">
        <v>72</v>
      </c>
      <c r="C232" s="14">
        <v>3.9199999999999999E-2</v>
      </c>
      <c r="D232" s="14">
        <v>6.0100000000000001E-2</v>
      </c>
      <c r="E232" s="14">
        <v>1.5800000000000002E-2</v>
      </c>
      <c r="F232" s="12" t="s">
        <v>73</v>
      </c>
      <c r="G232" s="6" t="s">
        <v>282</v>
      </c>
      <c r="H232" s="13">
        <v>1.2999999999999999E-2</v>
      </c>
      <c r="I232" s="13">
        <v>1.0999999999999999E-2</v>
      </c>
      <c r="J232" s="12">
        <v>0.01</v>
      </c>
      <c r="K232" s="34" t="s">
        <v>74</v>
      </c>
    </row>
    <row r="233" spans="1:11" ht="37.5" x14ac:dyDescent="0.25">
      <c r="A233" s="25" t="s">
        <v>75</v>
      </c>
      <c r="B233" s="7" t="s">
        <v>121</v>
      </c>
      <c r="C233" s="6">
        <v>6.4</v>
      </c>
      <c r="D233" s="6">
        <v>7.5</v>
      </c>
      <c r="E233" s="6">
        <v>8.3000000000000007</v>
      </c>
      <c r="F233" s="19">
        <v>9</v>
      </c>
      <c r="G233" s="6" t="s">
        <v>282</v>
      </c>
      <c r="H233" s="19">
        <v>8.5</v>
      </c>
      <c r="I233" s="19">
        <v>8.5</v>
      </c>
      <c r="J233" s="19">
        <v>8.5</v>
      </c>
      <c r="K233" s="50"/>
    </row>
    <row r="234" spans="1:11" ht="187.5" x14ac:dyDescent="0.25">
      <c r="A234" s="25" t="s">
        <v>76</v>
      </c>
      <c r="B234" s="7" t="s">
        <v>77</v>
      </c>
      <c r="C234" s="6">
        <v>70.8</v>
      </c>
      <c r="D234" s="6">
        <v>64</v>
      </c>
      <c r="E234" s="6">
        <v>58.7</v>
      </c>
      <c r="F234" s="6">
        <v>37</v>
      </c>
      <c r="G234" s="6">
        <v>126</v>
      </c>
      <c r="H234" s="6">
        <v>75</v>
      </c>
      <c r="I234" s="6">
        <v>75</v>
      </c>
      <c r="J234" s="6">
        <v>75</v>
      </c>
      <c r="K234" s="49" t="s">
        <v>78</v>
      </c>
    </row>
    <row r="235" spans="1:11" ht="164.25" customHeight="1" x14ac:dyDescent="0.25">
      <c r="A235" s="25" t="s">
        <v>79</v>
      </c>
      <c r="B235" s="7" t="s">
        <v>80</v>
      </c>
      <c r="C235" s="6">
        <v>42.3</v>
      </c>
      <c r="D235" s="6">
        <v>26.3</v>
      </c>
      <c r="E235" s="6">
        <v>52.8</v>
      </c>
      <c r="F235" s="6">
        <v>30</v>
      </c>
      <c r="G235" s="6" t="s">
        <v>282</v>
      </c>
      <c r="H235" s="6">
        <v>45.5</v>
      </c>
      <c r="I235" s="6">
        <v>45.5</v>
      </c>
      <c r="J235" s="6">
        <v>45.5</v>
      </c>
      <c r="K235" s="34" t="s">
        <v>81</v>
      </c>
    </row>
    <row r="236" spans="1:11" ht="91.5" customHeight="1" x14ac:dyDescent="0.25">
      <c r="A236" s="25" t="s">
        <v>82</v>
      </c>
      <c r="B236" s="7" t="s">
        <v>83</v>
      </c>
      <c r="C236" s="6">
        <v>25</v>
      </c>
      <c r="D236" s="19">
        <v>23.3</v>
      </c>
      <c r="E236" s="42">
        <v>21.8</v>
      </c>
      <c r="F236" s="42">
        <v>24</v>
      </c>
      <c r="G236" s="6" t="s">
        <v>282</v>
      </c>
      <c r="H236" s="42">
        <v>22.5</v>
      </c>
      <c r="I236" s="42">
        <v>22.5</v>
      </c>
      <c r="J236" s="42">
        <v>22.5</v>
      </c>
      <c r="K236" s="34" t="s">
        <v>84</v>
      </c>
    </row>
    <row r="237" spans="1:11" ht="166.5" customHeight="1" x14ac:dyDescent="0.25">
      <c r="A237" s="25" t="s">
        <v>85</v>
      </c>
      <c r="B237" s="7" t="s">
        <v>86</v>
      </c>
      <c r="C237" s="6">
        <v>1.3</v>
      </c>
      <c r="D237" s="19">
        <v>2</v>
      </c>
      <c r="E237" s="15">
        <v>1.7</v>
      </c>
      <c r="F237" s="15">
        <v>2.1</v>
      </c>
      <c r="G237" s="6" t="s">
        <v>282</v>
      </c>
      <c r="H237" s="15">
        <v>1.6</v>
      </c>
      <c r="I237" s="15">
        <v>1.6</v>
      </c>
      <c r="J237" s="15">
        <v>1.6</v>
      </c>
      <c r="K237" s="34" t="s">
        <v>87</v>
      </c>
    </row>
    <row r="238" spans="1:11" ht="37.5" x14ac:dyDescent="0.25">
      <c r="A238" s="25" t="s">
        <v>88</v>
      </c>
      <c r="B238" s="7" t="s">
        <v>89</v>
      </c>
      <c r="C238" s="13">
        <v>0.76900000000000002</v>
      </c>
      <c r="D238" s="13">
        <v>0.72</v>
      </c>
      <c r="E238" s="13">
        <v>0.72199999999999998</v>
      </c>
      <c r="F238" s="12">
        <v>0.8</v>
      </c>
      <c r="G238" s="6" t="s">
        <v>282</v>
      </c>
      <c r="H238" s="12">
        <v>0.85</v>
      </c>
      <c r="I238" s="12">
        <v>0.85</v>
      </c>
      <c r="J238" s="12">
        <v>0.85</v>
      </c>
      <c r="K238" s="49"/>
    </row>
    <row r="239" spans="1:11" ht="52.5" customHeight="1" x14ac:dyDescent="0.25">
      <c r="A239" s="25" t="s">
        <v>90</v>
      </c>
      <c r="B239" s="7" t="s">
        <v>91</v>
      </c>
      <c r="C239" s="14">
        <v>0.1641</v>
      </c>
      <c r="D239" s="14">
        <v>0.26</v>
      </c>
      <c r="E239" s="14">
        <v>0.34</v>
      </c>
      <c r="F239" s="14">
        <v>0.23150000000000001</v>
      </c>
      <c r="G239" s="12">
        <v>0.24</v>
      </c>
      <c r="H239" s="14">
        <v>0.17199999999999999</v>
      </c>
      <c r="I239" s="14">
        <v>0.17199999999999999</v>
      </c>
      <c r="J239" s="14">
        <v>0.17199999999999999</v>
      </c>
      <c r="K239" s="51" t="s">
        <v>277</v>
      </c>
    </row>
    <row r="240" spans="1:11" ht="37.5" x14ac:dyDescent="0.25">
      <c r="A240" s="25" t="s">
        <v>92</v>
      </c>
      <c r="B240" s="7" t="s">
        <v>93</v>
      </c>
      <c r="C240" s="6" t="s">
        <v>282</v>
      </c>
      <c r="D240" s="6" t="s">
        <v>282</v>
      </c>
      <c r="E240" s="8">
        <v>87.3</v>
      </c>
      <c r="F240" s="8" t="s">
        <v>94</v>
      </c>
      <c r="G240" s="6" t="s">
        <v>282</v>
      </c>
      <c r="H240" s="8">
        <v>87</v>
      </c>
      <c r="I240" s="8">
        <v>87</v>
      </c>
      <c r="J240" s="8">
        <v>87</v>
      </c>
      <c r="K240" s="52"/>
    </row>
  </sheetData>
  <mergeCells count="15">
    <mergeCell ref="K96:K97"/>
    <mergeCell ref="K98:K109"/>
    <mergeCell ref="K41:K44"/>
    <mergeCell ref="K130:K133"/>
    <mergeCell ref="K141:K143"/>
    <mergeCell ref="K212:K213"/>
    <mergeCell ref="K117:K119"/>
    <mergeCell ref="K113:K115"/>
    <mergeCell ref="K195:K196"/>
    <mergeCell ref="K201:K203"/>
    <mergeCell ref="K14:K15"/>
    <mergeCell ref="K144:K145"/>
    <mergeCell ref="K177:K183"/>
    <mergeCell ref="K73:K75"/>
    <mergeCell ref="K85:K86"/>
  </mergeCells>
  <pageMargins left="0.63" right="0.63" top="0.4" bottom="0.4" header="0.41" footer="0.41"/>
  <pageSetup scale="88"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PIs</vt:lpstr>
    </vt:vector>
  </TitlesOfParts>
  <Company>London Borough Of Ealing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Shakira Jacobs</dc:creator>
  <cp:lastModifiedBy>Carina Negreanu</cp:lastModifiedBy>
  <cp:lastPrinted>2003-06-16T13:25:21Z</cp:lastPrinted>
  <dcterms:created xsi:type="dcterms:W3CDTF">2003-06-16T10:58:50Z</dcterms:created>
  <dcterms:modified xsi:type="dcterms:W3CDTF">2020-01-27T11:17:39Z</dcterms:modified>
</cp:coreProperties>
</file>