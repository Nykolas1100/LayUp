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C1AFAA-B572-43FC-905A-6BF164D72CE4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6" i="1" l="1"/>
  <c r="E81" i="1"/>
  <c r="E104" i="1"/>
  <c r="E80" i="1"/>
  <c r="E103" i="1"/>
  <c r="F81" i="1"/>
  <c r="F104" i="1"/>
  <c r="F80" i="1"/>
  <c r="F103" i="1"/>
  <c r="G81" i="1"/>
  <c r="G104" i="1"/>
  <c r="G80" i="1"/>
  <c r="G103" i="1"/>
  <c r="I81" i="1"/>
  <c r="I104" i="1"/>
  <c r="I80" i="1"/>
  <c r="I103" i="1"/>
  <c r="J81" i="1"/>
  <c r="J104" i="1"/>
  <c r="J80" i="1"/>
  <c r="J103" i="1"/>
  <c r="K81" i="1"/>
  <c r="K104" i="1"/>
  <c r="K80" i="1"/>
  <c r="K103" i="1"/>
  <c r="L81" i="1"/>
  <c r="L104" i="1"/>
  <c r="L80" i="1"/>
  <c r="L103" i="1"/>
  <c r="D81" i="1"/>
  <c r="D104" i="1"/>
  <c r="D80" i="1"/>
  <c r="D103" i="1"/>
  <c r="H80" i="1"/>
  <c r="H103" i="1"/>
  <c r="C80" i="1"/>
  <c r="C103" i="1"/>
  <c r="E105" i="1"/>
  <c r="F105" i="1"/>
  <c r="G105" i="1"/>
  <c r="I105" i="1"/>
  <c r="J105" i="1"/>
  <c r="K105" i="1"/>
  <c r="L105" i="1"/>
  <c r="E106" i="1"/>
  <c r="F106" i="1"/>
  <c r="G106" i="1"/>
  <c r="I106" i="1"/>
  <c r="J106" i="1"/>
  <c r="K106" i="1"/>
  <c r="L106" i="1"/>
  <c r="D106" i="1"/>
  <c r="D105" i="1"/>
  <c r="E83" i="1"/>
  <c r="F83" i="1"/>
  <c r="G83" i="1"/>
  <c r="I83" i="1"/>
  <c r="J83" i="1"/>
  <c r="K83" i="1"/>
  <c r="L83" i="1"/>
  <c r="E82" i="1"/>
  <c r="F82" i="1"/>
  <c r="G82" i="1"/>
  <c r="I82" i="1"/>
  <c r="J82" i="1"/>
  <c r="K82" i="1"/>
  <c r="L82" i="1"/>
  <c r="D83" i="1"/>
  <c r="D82" i="1"/>
  <c r="E53" i="1"/>
  <c r="E49" i="1"/>
  <c r="E50" i="1" s="1"/>
  <c r="D16" i="1"/>
  <c r="E17" i="1" s="1"/>
  <c r="D26" i="1"/>
  <c r="D12" i="1"/>
  <c r="D8" i="1"/>
  <c r="E9" i="1"/>
</calcChain>
</file>

<file path=xl/sharedStrings.xml><?xml version="1.0" encoding="utf-8"?>
<sst xmlns="http://schemas.openxmlformats.org/spreadsheetml/2006/main" count="167" uniqueCount="78">
  <si>
    <t>Ans. 5.6</t>
  </si>
  <si>
    <t>g/1000 cal</t>
  </si>
  <si>
    <t>Ans. 5.7</t>
  </si>
  <si>
    <t>Ans. 5.46</t>
  </si>
  <si>
    <t>Mean (μ) =</t>
  </si>
  <si>
    <t>S. D. (σ) =</t>
  </si>
  <si>
    <t>Pr(X&gt;140) = 1 - Pr(X&lt;=140)</t>
  </si>
  <si>
    <t>Pr(X&lt;=140) = N(140; 124, 20, true)</t>
  </si>
  <si>
    <t xml:space="preserve">Pr(X&gt;140) = </t>
  </si>
  <si>
    <t>Pr(X&lt;90) = N(90; 124, 20, true)</t>
  </si>
  <si>
    <t>Pr(X&gt;=0.30) = 1 - Pr(X&lt;=0.30)</t>
  </si>
  <si>
    <t>Pr(X&lt;=0.30) = N(0.30; 0.8, 0.48, true)</t>
  </si>
  <si>
    <t>Ans. 5.47</t>
  </si>
  <si>
    <t>Pr(X&lt;=0.30) = N(0.30; 0.05, 0.16, true)</t>
  </si>
  <si>
    <t>Ans. 5.48</t>
  </si>
  <si>
    <t xml:space="preserve">Pr(X&gt;=0.30) = </t>
  </si>
  <si>
    <t xml:space="preserve">Therefore, 85.12% of the vitamin-E group would be expected to show a </t>
  </si>
  <si>
    <t>change of at least 0.30 mg/dL.</t>
  </si>
  <si>
    <t>(I.e. test positive) given that you have taken vitamin-E.</t>
  </si>
  <si>
    <t>Ans. 5.49</t>
  </si>
  <si>
    <t>the placebo).</t>
  </si>
  <si>
    <t>Ans. 5.50</t>
  </si>
  <si>
    <r>
      <t xml:space="preserve">This is a measure of </t>
    </r>
    <r>
      <rPr>
        <b/>
        <sz val="10"/>
        <rFont val="Arial"/>
        <family val="2"/>
      </rPr>
      <t>senvitivity</t>
    </r>
    <r>
      <rPr>
        <sz val="10"/>
        <rFont val="Arial"/>
      </rPr>
      <t>, because it is the probability of complince</t>
    </r>
  </si>
  <si>
    <r>
      <t xml:space="preserve">This is a measure of </t>
    </r>
    <r>
      <rPr>
        <b/>
        <sz val="10"/>
        <rFont val="Arial"/>
        <family val="2"/>
      </rPr>
      <t>specificity</t>
    </r>
    <r>
      <rPr>
        <sz val="10"/>
        <rFont val="Arial"/>
      </rPr>
      <t xml:space="preserve"> because it is  the probability of not being</t>
    </r>
  </si>
  <si>
    <t>sensitivity = specificity</t>
  </si>
  <si>
    <t>specificity = Pr(X&lt;=D) = N(D; 0.05, 0.16, true) = (D - 0.05)/0.16</t>
  </si>
  <si>
    <t>sensitivity = Pr(X&gt;= D) = N(D; 0.8, 0.48, True) = 1 - (D - 0.8)/0.48</t>
  </si>
  <si>
    <t xml:space="preserve">Hence,  </t>
  </si>
  <si>
    <t>(0.8 - D)/0.48  = (D - 0.05)/0.16</t>
  </si>
  <si>
    <t>Therefore,  (0.16*0.8) + (0.48*0.05) = (0.48*D) + (0.16*D)</t>
  </si>
  <si>
    <t xml:space="preserve">D = </t>
  </si>
  <si>
    <t>Estimated compliance for vitamin-E  = 1 - (D - 0.8)/0.48</t>
  </si>
  <si>
    <t xml:space="preserve">sensitivity = </t>
  </si>
  <si>
    <t>Estimated complince for placebo = (D - 0.05) /0.16</t>
  </si>
  <si>
    <t>specificity</t>
  </si>
  <si>
    <t>vitamin-E group as well as iin the placebo group.</t>
  </si>
  <si>
    <t xml:space="preserve">Therefore, the equality in cmpliance in sensitivity and specificity would be 87.94% each in the </t>
  </si>
  <si>
    <t>Id</t>
  </si>
  <si>
    <t>Trtgrp</t>
  </si>
  <si>
    <t>Bashrtrt</t>
  </si>
  <si>
    <t>Lv1hrtrt</t>
  </si>
  <si>
    <t>Lv2hrtrt</t>
  </si>
  <si>
    <t>Lv3hrtrt</t>
  </si>
  <si>
    <t>Bassys</t>
  </si>
  <si>
    <t>Lv1sys</t>
  </si>
  <si>
    <t>Lv2sys</t>
  </si>
  <si>
    <t>Lv3sys</t>
  </si>
  <si>
    <t>P</t>
  </si>
  <si>
    <t>N</t>
  </si>
  <si>
    <t>Ans. 5.56</t>
  </si>
  <si>
    <t>Number</t>
  </si>
  <si>
    <t>Sum</t>
  </si>
  <si>
    <t>Mean</t>
  </si>
  <si>
    <t>St. Dev.</t>
  </si>
  <si>
    <t>NLv</t>
  </si>
  <si>
    <t>PLv</t>
  </si>
  <si>
    <t>ID</t>
  </si>
  <si>
    <t>Adade, Aaron</t>
  </si>
  <si>
    <t>STAT 464</t>
  </si>
  <si>
    <t>Due: 10/21/03</t>
  </si>
  <si>
    <t>Homework</t>
  </si>
  <si>
    <t>The distribution changes in these parameters, mean and standard deviation, look normal.</t>
  </si>
  <si>
    <t xml:space="preserve">Mean Values for Heart Rate </t>
  </si>
  <si>
    <t>Mean Values for Systolic Blood Pressure</t>
  </si>
  <si>
    <t>Ans. 5.57</t>
  </si>
  <si>
    <t>treatment. At level 3, there is an increase back to level one.</t>
  </si>
  <si>
    <t xml:space="preserve">In both experiments, the graphs indicate that nifedipine (N) is only effective through level 2 either to increase heart  </t>
  </si>
  <si>
    <t xml:space="preserve">The line graph showing the effect of nifedipine (N) on heart rate increases from level 1 through level 2 but shows a  </t>
  </si>
  <si>
    <t xml:space="preserve">decrease from level 2 to level 3. This means that the drug is effective in increasing heart rate from baseline through  </t>
  </si>
  <si>
    <t xml:space="preserve">The drug's effectiveness in decreasing systolic blood pressure (SBP) also goes from baseline through level 2 of the  </t>
  </si>
  <si>
    <t>level 2 but at level 1 it is very ineffecetive, rather it causes a decrease in heart rate back to level 2.</t>
  </si>
  <si>
    <t xml:space="preserve">However, propanolol (P) is very ineffective in causing any appreciable increase in heart rate. On the other hand, it's </t>
  </si>
  <si>
    <t xml:space="preserve">as effective in causing an increase in systolic blood pressure (SBP) as nifedipine (N), levels off from level 2 to level  </t>
  </si>
  <si>
    <t>3 while nifedipine causes an increase in SBP at level 3.</t>
  </si>
  <si>
    <t xml:space="preserve">rate or to decrease systolic blood pressure. The effect of nifedipine on SBP is relative equal to the effect of </t>
  </si>
  <si>
    <t>propanolol on SBP, but nifedipine is more effective in increasing heart rate than propanolol.</t>
  </si>
  <si>
    <t>1 - (D - 0.8)/0.48 ) = (D - 0.05)/0.16   =</t>
  </si>
  <si>
    <t xml:space="preserve">in compliance (I.e. test negativie) given that you did not take vitamin-E (I.e. they took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</si>
</sst>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Effect of Nifedipine (N) or Propanolol (P) on Heart Rate</a:t>
            </a:r>
          </a:p>
        </c:rich>
      </c:tx>
      <c:layout>
        <c:manualLayout>
          <c:xMode val="edge"/>
          <c:yMode val="edge"/>
          <c:x val="0.22211469959049304"/>
          <c:y val="3.2759687660304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72485129839674"/>
          <c:y val="0.22414523135997966"/>
          <c:w val="0.78824891063974978"/>
          <c:h val="0.500016285341493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Sheet1!$A$110</c:f>
              <c:strCache>
                <c:ptCount val="1"/>
                <c:pt idx="0">
                  <c:v>N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Sheet1!$B$109:$E$109</c:f>
              <c:strCache>
                <c:ptCount val="4"/>
                <c:pt idx="0">
                  <c:v>Bashrtrt</c:v>
                </c:pt>
                <c:pt idx="1">
                  <c:v>Lv1hrtrt</c:v>
                </c:pt>
                <c:pt idx="2">
                  <c:v>Lv2hrtrt</c:v>
                </c:pt>
                <c:pt idx="3">
                  <c:v>Lv3hrtrt</c:v>
                </c:pt>
              </c:strCache>
            </c:strRef>
          </c:xVal>
          <c:yVal>
            <c:numRef>
              <c:f>Sheet1!$B$110:$E$110</c:f>
              <c:numCache>
                <c:formatCode>General</c:formatCode>
                <c:ptCount val="4"/>
                <c:pt idx="0">
                  <c:v>71.72</c:v>
                </c:pt>
                <c:pt idx="1">
                  <c:v>77.83</c:v>
                </c:pt>
                <c:pt idx="2">
                  <c:v>91</c:v>
                </c:pt>
                <c:pt idx="3">
                  <c:v>79.569999999999993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48-499D-91F7-A3E1E4D6D026}"/>
            </c:ext>
          </c:extLst>
        </c:ser>
        <c:ser>
          <c:idx val="1"/>
          <c:order val="1"/>
          <c:tx>
            <c:strRef>
              <c:f>Sheet1!$A$111</c:f>
              <c:strCache>
                <c:ptCount val="1"/>
                <c:pt idx="0">
                  <c:v>P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1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strRef>
              <c:f>Sheet1!$B$109:$E$109</c:f>
              <c:strCache>
                <c:ptCount val="4"/>
                <c:pt idx="0">
                  <c:v>Bashrtrt</c:v>
                </c:pt>
                <c:pt idx="1">
                  <c:v>Lv1hrtrt</c:v>
                </c:pt>
                <c:pt idx="2">
                  <c:v>Lv2hrtrt</c:v>
                </c:pt>
                <c:pt idx="3">
                  <c:v>Lv3hrtrt</c:v>
                </c:pt>
              </c:strCache>
            </c:strRef>
          </c:xVal>
          <c:yVal>
            <c:numRef>
              <c:f>Sheet1!$B$111:$E$111</c:f>
              <c:numCache>
                <c:formatCode>General</c:formatCode>
                <c:ptCount val="4"/>
                <c:pt idx="0">
                  <c:v>76.81</c:v>
                </c:pt>
                <c:pt idx="1">
                  <c:v>79.69</c:v>
                </c:pt>
                <c:pt idx="2">
                  <c:v>73.180000000000007</c:v>
                </c:pt>
                <c:pt idx="3">
                  <c:v>71.56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48-499D-91F7-A3E1E4D6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865711"/>
        <c:axId val="1"/>
      </c:scatterChart>
      <c:valAx>
        <c:axId val="773865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Level of Heart Rate</a:t>
                </a:r>
              </a:p>
            </c:rich>
          </c:tx>
          <c:layout>
            <c:manualLayout>
              <c:xMode val="edge"/>
              <c:yMode val="edge"/>
              <c:x val="0.45662649869301364"/>
              <c:y val="0.825888967857155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65"/>
        <c:crossBetween val="midCat"/>
      </c:valAx>
      <c:valAx>
        <c:axId val="1"/>
        <c:scaling>
          <c:orientation val="minMax"/>
          <c:min val="6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Heart Rate (beats/min)</a:t>
                </a:r>
              </a:p>
            </c:rich>
          </c:tx>
          <c:layout>
            <c:manualLayout>
              <c:xMode val="edge"/>
              <c:yMode val="edge"/>
              <c:x val="8.2647330080183462E-2"/>
              <c:y val="0.250008142670746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86571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0187264251489208"/>
          <c:y val="0.89830511952730308"/>
          <c:w val="0.41323665040091728"/>
          <c:h val="9.138228663137631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Effect of Nifedipine (N) or Propanolol (P) on Systolic Blood Pressure (SBP)</a:t>
            </a:r>
          </a:p>
        </c:rich>
      </c:tx>
      <c:layout>
        <c:manualLayout>
          <c:xMode val="edge"/>
          <c:yMode val="edge"/>
          <c:x val="0.2045293734687291"/>
          <c:y val="3.64975194651580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681188817620675"/>
          <c:y val="0.26132223937053184"/>
          <c:w val="0.73650240734652928"/>
          <c:h val="0.437970233581896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Sheet1!$H$110</c:f>
              <c:strCache>
                <c:ptCount val="1"/>
                <c:pt idx="0">
                  <c:v>NLv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Sheet1!$I$109:$L$109</c:f>
              <c:strCache>
                <c:ptCount val="4"/>
                <c:pt idx="0">
                  <c:v>Bassys</c:v>
                </c:pt>
                <c:pt idx="1">
                  <c:v>Lv1sys</c:v>
                </c:pt>
                <c:pt idx="2">
                  <c:v>Lv2sys</c:v>
                </c:pt>
                <c:pt idx="3">
                  <c:v>Lv3sys</c:v>
                </c:pt>
              </c:strCache>
            </c:strRef>
          </c:xVal>
          <c:yVal>
            <c:numRef>
              <c:f>Sheet1!$I$110:$L$110</c:f>
              <c:numCache>
                <c:formatCode>General</c:formatCode>
                <c:ptCount val="4"/>
                <c:pt idx="0">
                  <c:v>150.83000000000001</c:v>
                </c:pt>
                <c:pt idx="1">
                  <c:v>142.88999999999999</c:v>
                </c:pt>
                <c:pt idx="2">
                  <c:v>133.25</c:v>
                </c:pt>
                <c:pt idx="3">
                  <c:v>134.25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6F-4680-8251-31E7066DA9EF}"/>
            </c:ext>
          </c:extLst>
        </c:ser>
        <c:ser>
          <c:idx val="1"/>
          <c:order val="1"/>
          <c:tx>
            <c:strRef>
              <c:f>Sheet1!$H$111</c:f>
              <c:strCache>
                <c:ptCount val="1"/>
                <c:pt idx="0">
                  <c:v>PLv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1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strRef>
              <c:f>Sheet1!$I$109:$L$109</c:f>
              <c:strCache>
                <c:ptCount val="4"/>
                <c:pt idx="0">
                  <c:v>Bassys</c:v>
                </c:pt>
                <c:pt idx="1">
                  <c:v>Lv1sys</c:v>
                </c:pt>
                <c:pt idx="2">
                  <c:v>Lv2sys</c:v>
                </c:pt>
                <c:pt idx="3">
                  <c:v>Lv3sys</c:v>
                </c:pt>
              </c:strCache>
            </c:strRef>
          </c:xVal>
          <c:yVal>
            <c:numRef>
              <c:f>Sheet1!$I$111:$L$111</c:f>
              <c:numCache>
                <c:formatCode>General</c:formatCode>
                <c:ptCount val="4"/>
                <c:pt idx="0">
                  <c:v>153.47</c:v>
                </c:pt>
                <c:pt idx="1">
                  <c:v>144.53</c:v>
                </c:pt>
                <c:pt idx="2">
                  <c:v>134.4</c:v>
                </c:pt>
                <c:pt idx="3">
                  <c:v>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6F-4680-8251-31E7066DA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863631"/>
        <c:axId val="1"/>
      </c:scatterChart>
      <c:valAx>
        <c:axId val="77386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Level of Systolic Blood Pressure (SBP)</a:t>
                </a:r>
              </a:p>
            </c:rich>
          </c:tx>
          <c:layout>
            <c:manualLayout>
              <c:xMode val="edge"/>
              <c:yMode val="edge"/>
              <c:x val="0.39135908961804894"/>
              <c:y val="0.78542661889020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Systolic Bloob Pressure (SBP) (mm Hg)</a:t>
                </a:r>
              </a:p>
            </c:rich>
          </c:tx>
          <c:layout>
            <c:manualLayout>
              <c:xMode val="edge"/>
              <c:yMode val="edge"/>
              <c:x val="8.4565029414955306E-2"/>
              <c:y val="0.270081644042169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86363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4514331772848034"/>
          <c:y val="0.89637907806428241"/>
          <c:w val="0.53885623394645932"/>
          <c:h val="8.6134145937773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117</xdr:row>
      <xdr:rowOff>25400</xdr:rowOff>
    </xdr:from>
    <xdr:to>
      <xdr:col>10</xdr:col>
      <xdr:colOff>374650</xdr:colOff>
      <xdr:row>140</xdr:row>
      <xdr:rowOff>57150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2621B84B-97F4-4CAB-95E8-54B3D8821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165100</xdr:colOff>
      <xdr:row>159</xdr:row>
      <xdr:rowOff>38100</xdr:rowOff>
    </xdr:from>
    <xdr:to>
      <xdr:col>10</xdr:col>
      <xdr:colOff>527050</xdr:colOff>
      <xdr:row>186</xdr:row>
      <xdr:rowOff>101600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4F7147C7-E4F1-4F97-B4DC-F2EBD7B25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1"/>
  <sheetViews>
    <sheetView tabSelected="1" topLeftCell="A162" workbookViewId="0">
      <selection activeCell="A113" sqref="A113"/>
    </sheetView>
  </sheetViews>
  <sheetFormatPr defaultRowHeight="12.5" x14ac:dyDescent="0.25"/>
  <sheetData>
    <row r="1" spans="1:8" s="1" customFormat="1" ht="13" x14ac:dyDescent="0.3">
      <c r="A1" s="1" t="s">
        <v>57</v>
      </c>
      <c r="D1" s="1" t="s">
        <v>58</v>
      </c>
      <c r="F1" s="1" t="s">
        <v>60</v>
      </c>
      <c r="H1" s="1" t="s">
        <v>59</v>
      </c>
    </row>
    <row r="2" spans="1:8" s="1" customFormat="1" ht="13" x14ac:dyDescent="0.3"/>
    <row r="3" spans="1:8" x14ac:dyDescent="0.25">
      <c r="B3" t="s">
        <v>4</v>
      </c>
      <c r="D3">
        <v>124</v>
      </c>
      <c r="E3" t="s">
        <v>1</v>
      </c>
    </row>
    <row r="4" spans="1:8" x14ac:dyDescent="0.25">
      <c r="B4" t="s">
        <v>5</v>
      </c>
      <c r="D4">
        <v>20</v>
      </c>
      <c r="E4" t="s">
        <v>1</v>
      </c>
    </row>
    <row r="6" spans="1:8" ht="13" x14ac:dyDescent="0.3">
      <c r="A6" s="1" t="s">
        <v>0</v>
      </c>
      <c r="B6" t="s">
        <v>6</v>
      </c>
    </row>
    <row r="7" spans="1:8" x14ac:dyDescent="0.25">
      <c r="B7" t="s">
        <v>7</v>
      </c>
    </row>
    <row r="8" spans="1:8" x14ac:dyDescent="0.25">
      <c r="D8">
        <f>NORMDIST(140,124,20,TRUE)</f>
        <v>0.78814460141660336</v>
      </c>
    </row>
    <row r="9" spans="1:8" ht="13" x14ac:dyDescent="0.3">
      <c r="B9" t="s">
        <v>8</v>
      </c>
      <c r="E9" s="1">
        <f>1-D8</f>
        <v>0.21185539858339664</v>
      </c>
    </row>
    <row r="11" spans="1:8" ht="13" x14ac:dyDescent="0.3">
      <c r="A11" s="1" t="s">
        <v>2</v>
      </c>
      <c r="B11" t="s">
        <v>9</v>
      </c>
    </row>
    <row r="12" spans="1:8" ht="13" x14ac:dyDescent="0.3">
      <c r="D12" s="1">
        <f>NORMDIST(90,124,20,TRUE)</f>
        <v>4.4565462758543041E-2</v>
      </c>
    </row>
    <row r="14" spans="1:8" ht="13" x14ac:dyDescent="0.3">
      <c r="A14" s="1" t="s">
        <v>3</v>
      </c>
      <c r="B14" t="s">
        <v>10</v>
      </c>
    </row>
    <row r="15" spans="1:8" x14ac:dyDescent="0.25">
      <c r="B15" t="s">
        <v>11</v>
      </c>
    </row>
    <row r="16" spans="1:8" x14ac:dyDescent="0.25">
      <c r="D16" s="2">
        <f>NORMDIST(0.3,0.8,0.48,TRUE)</f>
        <v>0.14878312418175199</v>
      </c>
    </row>
    <row r="17" spans="1:5" ht="13" x14ac:dyDescent="0.3">
      <c r="B17" t="s">
        <v>15</v>
      </c>
      <c r="D17" s="1"/>
      <c r="E17" s="1">
        <f>1-D16</f>
        <v>0.85121687581824801</v>
      </c>
    </row>
    <row r="18" spans="1:5" ht="13" x14ac:dyDescent="0.3">
      <c r="A18" t="s">
        <v>16</v>
      </c>
      <c r="D18" s="1"/>
    </row>
    <row r="19" spans="1:5" x14ac:dyDescent="0.25">
      <c r="A19" t="s">
        <v>17</v>
      </c>
    </row>
    <row r="21" spans="1:5" ht="13" x14ac:dyDescent="0.3">
      <c r="A21" s="1" t="s">
        <v>12</v>
      </c>
    </row>
    <row r="22" spans="1:5" ht="13" x14ac:dyDescent="0.3">
      <c r="B22" t="s">
        <v>22</v>
      </c>
    </row>
    <row r="23" spans="1:5" x14ac:dyDescent="0.25">
      <c r="A23" t="s">
        <v>18</v>
      </c>
    </row>
    <row r="25" spans="1:5" x14ac:dyDescent="0.25">
      <c r="A25" t="s">
        <v>14</v>
      </c>
      <c r="B25" t="s">
        <v>13</v>
      </c>
    </row>
    <row r="26" spans="1:5" ht="13" x14ac:dyDescent="0.3">
      <c r="D26" s="1">
        <f>NORMDIST(0.3,0.05,0.16,TRUE)</f>
        <v>0.94091487706733246</v>
      </c>
    </row>
    <row r="28" spans="1:5" ht="13" x14ac:dyDescent="0.3">
      <c r="A28" s="1" t="s">
        <v>19</v>
      </c>
    </row>
    <row r="29" spans="1:5" ht="13" x14ac:dyDescent="0.3">
      <c r="B29" t="s">
        <v>23</v>
      </c>
    </row>
    <row r="30" spans="1:5" x14ac:dyDescent="0.25">
      <c r="A30" t="s">
        <v>77</v>
      </c>
    </row>
    <row r="31" spans="1:5" x14ac:dyDescent="0.25">
      <c r="A31" t="s">
        <v>20</v>
      </c>
    </row>
    <row r="39" spans="1:9" s="1" customFormat="1" ht="13" x14ac:dyDescent="0.3">
      <c r="A39" s="1" t="s">
        <v>57</v>
      </c>
      <c r="D39" s="1" t="s">
        <v>58</v>
      </c>
      <c r="F39" s="1" t="s">
        <v>60</v>
      </c>
      <c r="H39" s="1" t="s">
        <v>59</v>
      </c>
    </row>
    <row r="41" spans="1:9" ht="13" x14ac:dyDescent="0.3">
      <c r="A41" s="1" t="s">
        <v>21</v>
      </c>
      <c r="B41" t="s">
        <v>24</v>
      </c>
    </row>
    <row r="42" spans="1:9" x14ac:dyDescent="0.25">
      <c r="B42" t="s">
        <v>26</v>
      </c>
    </row>
    <row r="43" spans="1:9" x14ac:dyDescent="0.25">
      <c r="B43" t="s">
        <v>25</v>
      </c>
    </row>
    <row r="44" spans="1:9" x14ac:dyDescent="0.25">
      <c r="B44" t="s">
        <v>27</v>
      </c>
      <c r="D44" t="s">
        <v>76</v>
      </c>
      <c r="H44" t="s">
        <v>28</v>
      </c>
    </row>
    <row r="45" spans="1:9" ht="13" x14ac:dyDescent="0.3">
      <c r="B45" t="s">
        <v>29</v>
      </c>
      <c r="H45" s="1"/>
      <c r="I45" s="1"/>
    </row>
    <row r="46" spans="1:9" ht="13" x14ac:dyDescent="0.3">
      <c r="D46" s="1" t="s">
        <v>30</v>
      </c>
      <c r="E46" s="1">
        <f>((0.16*0.8)+(0.48*0.05))/0.64</f>
        <v>0.23749999999999999</v>
      </c>
    </row>
    <row r="48" spans="1:9" x14ac:dyDescent="0.25">
      <c r="B48" t="s">
        <v>31</v>
      </c>
    </row>
    <row r="49" spans="1:12" x14ac:dyDescent="0.25">
      <c r="E49">
        <f>NORMDIST(E46,0.8,0.48,TRUE)</f>
        <v>0.12062362277058943</v>
      </c>
    </row>
    <row r="50" spans="1:12" ht="13" x14ac:dyDescent="0.3">
      <c r="B50" t="s">
        <v>32</v>
      </c>
      <c r="E50" s="1">
        <f>1-E49</f>
        <v>0.87937637722941053</v>
      </c>
    </row>
    <row r="52" spans="1:12" x14ac:dyDescent="0.25">
      <c r="B52" t="s">
        <v>33</v>
      </c>
    </row>
    <row r="53" spans="1:12" ht="13" x14ac:dyDescent="0.3">
      <c r="B53" t="s">
        <v>34</v>
      </c>
      <c r="E53" s="1">
        <f>NORMDIST(E46,0.05,0.16,TRUE)</f>
        <v>0.87937637722941053</v>
      </c>
    </row>
    <row r="54" spans="1:12" x14ac:dyDescent="0.25">
      <c r="A54" t="s">
        <v>36</v>
      </c>
    </row>
    <row r="55" spans="1:12" x14ac:dyDescent="0.25">
      <c r="A55" t="s">
        <v>35</v>
      </c>
    </row>
    <row r="57" spans="1:12" ht="13" x14ac:dyDescent="0.3">
      <c r="A57" s="1" t="s">
        <v>49</v>
      </c>
    </row>
    <row r="58" spans="1:12" x14ac:dyDescent="0.25">
      <c r="A58" s="3" t="s">
        <v>37</v>
      </c>
      <c r="B58" s="3" t="s">
        <v>38</v>
      </c>
      <c r="C58" s="3" t="s">
        <v>37</v>
      </c>
      <c r="D58" s="3" t="s">
        <v>39</v>
      </c>
      <c r="E58" s="3" t="s">
        <v>40</v>
      </c>
      <c r="F58" s="3" t="s">
        <v>41</v>
      </c>
      <c r="G58" s="3" t="s">
        <v>42</v>
      </c>
      <c r="H58" s="3" t="s">
        <v>37</v>
      </c>
      <c r="I58" s="3" t="s">
        <v>43</v>
      </c>
      <c r="J58" s="3" t="s">
        <v>44</v>
      </c>
      <c r="K58" s="3" t="s">
        <v>45</v>
      </c>
      <c r="L58" s="3" t="s">
        <v>46</v>
      </c>
    </row>
    <row r="59" spans="1:12" x14ac:dyDescent="0.25">
      <c r="A59">
        <v>2</v>
      </c>
      <c r="B59" s="4" t="s">
        <v>48</v>
      </c>
      <c r="C59">
        <v>2</v>
      </c>
      <c r="D59">
        <v>52</v>
      </c>
      <c r="E59">
        <v>64</v>
      </c>
      <c r="F59">
        <v>98</v>
      </c>
      <c r="H59">
        <v>2</v>
      </c>
      <c r="I59">
        <v>180</v>
      </c>
      <c r="J59">
        <v>156</v>
      </c>
      <c r="K59">
        <v>160</v>
      </c>
      <c r="L59">
        <v>140</v>
      </c>
    </row>
    <row r="60" spans="1:12" x14ac:dyDescent="0.25">
      <c r="A60">
        <v>4</v>
      </c>
      <c r="B60" s="4" t="s">
        <v>48</v>
      </c>
      <c r="C60">
        <v>4</v>
      </c>
      <c r="D60">
        <v>84</v>
      </c>
      <c r="E60">
        <v>88</v>
      </c>
      <c r="F60">
        <v>96</v>
      </c>
      <c r="G60">
        <v>112</v>
      </c>
      <c r="H60">
        <v>4</v>
      </c>
      <c r="I60">
        <v>136</v>
      </c>
      <c r="J60">
        <v>126</v>
      </c>
      <c r="K60">
        <v>122</v>
      </c>
      <c r="L60">
        <v>110</v>
      </c>
    </row>
    <row r="61" spans="1:12" x14ac:dyDescent="0.25">
      <c r="A61">
        <v>7</v>
      </c>
      <c r="B61" s="4" t="s">
        <v>48</v>
      </c>
      <c r="C61">
        <v>7</v>
      </c>
      <c r="D61">
        <v>116</v>
      </c>
      <c r="E61">
        <v>116</v>
      </c>
      <c r="H61">
        <v>7</v>
      </c>
      <c r="I61">
        <v>210</v>
      </c>
      <c r="J61">
        <v>230</v>
      </c>
    </row>
    <row r="62" spans="1:12" x14ac:dyDescent="0.25">
      <c r="A62">
        <v>8</v>
      </c>
      <c r="B62" s="4" t="s">
        <v>48</v>
      </c>
      <c r="C62">
        <v>8</v>
      </c>
      <c r="D62">
        <v>68</v>
      </c>
      <c r="E62">
        <v>68</v>
      </c>
      <c r="F62">
        <v>72</v>
      </c>
      <c r="G62">
        <v>84</v>
      </c>
      <c r="H62">
        <v>8</v>
      </c>
      <c r="I62">
        <v>170</v>
      </c>
      <c r="J62">
        <v>150</v>
      </c>
      <c r="K62">
        <v>150</v>
      </c>
      <c r="L62">
        <v>156</v>
      </c>
    </row>
    <row r="63" spans="1:12" x14ac:dyDescent="0.25">
      <c r="A63">
        <v>10</v>
      </c>
      <c r="B63" s="4" t="s">
        <v>48</v>
      </c>
      <c r="C63">
        <v>10</v>
      </c>
      <c r="D63">
        <v>64</v>
      </c>
      <c r="E63">
        <v>60</v>
      </c>
      <c r="H63">
        <v>10</v>
      </c>
      <c r="I63">
        <v>140</v>
      </c>
      <c r="J63">
        <v>120</v>
      </c>
    </row>
    <row r="64" spans="1:12" x14ac:dyDescent="0.25">
      <c r="A64">
        <v>11</v>
      </c>
      <c r="B64" s="4" t="s">
        <v>48</v>
      </c>
      <c r="C64">
        <v>11</v>
      </c>
      <c r="D64">
        <v>76</v>
      </c>
      <c r="E64">
        <v>90</v>
      </c>
      <c r="H64">
        <v>11</v>
      </c>
      <c r="I64">
        <v>160</v>
      </c>
      <c r="J64">
        <v>164</v>
      </c>
    </row>
    <row r="65" spans="1:12" x14ac:dyDescent="0.25">
      <c r="A65">
        <v>12</v>
      </c>
      <c r="B65" s="4" t="s">
        <v>48</v>
      </c>
      <c r="C65">
        <v>12</v>
      </c>
      <c r="D65">
        <v>88</v>
      </c>
      <c r="E65">
        <v>125</v>
      </c>
      <c r="F65">
        <v>140</v>
      </c>
      <c r="H65">
        <v>12</v>
      </c>
      <c r="I65">
        <v>150</v>
      </c>
      <c r="J65">
        <v>140</v>
      </c>
      <c r="K65">
        <v>140</v>
      </c>
    </row>
    <row r="66" spans="1:12" x14ac:dyDescent="0.25">
      <c r="A66">
        <v>17</v>
      </c>
      <c r="B66" s="4" t="s">
        <v>48</v>
      </c>
      <c r="C66">
        <v>17</v>
      </c>
      <c r="D66">
        <v>56</v>
      </c>
      <c r="E66">
        <v>58</v>
      </c>
      <c r="F66">
        <v>56</v>
      </c>
      <c r="G66">
        <v>60</v>
      </c>
      <c r="H66">
        <v>17</v>
      </c>
      <c r="I66">
        <v>110</v>
      </c>
      <c r="J66">
        <v>112</v>
      </c>
      <c r="K66">
        <v>102</v>
      </c>
      <c r="L66">
        <v>110</v>
      </c>
    </row>
    <row r="67" spans="1:12" x14ac:dyDescent="0.25">
      <c r="A67">
        <v>18</v>
      </c>
      <c r="B67" s="4" t="s">
        <v>48</v>
      </c>
      <c r="C67">
        <v>18</v>
      </c>
      <c r="D67">
        <v>56</v>
      </c>
      <c r="E67">
        <v>60</v>
      </c>
      <c r="H67">
        <v>18</v>
      </c>
      <c r="I67">
        <v>120</v>
      </c>
      <c r="J67">
        <v>120</v>
      </c>
    </row>
    <row r="68" spans="1:12" x14ac:dyDescent="0.25">
      <c r="A68">
        <v>19</v>
      </c>
      <c r="B68" s="4" t="s">
        <v>48</v>
      </c>
      <c r="C68">
        <v>19</v>
      </c>
      <c r="D68">
        <v>54</v>
      </c>
      <c r="E68">
        <v>60</v>
      </c>
      <c r="F68">
        <v>78</v>
      </c>
      <c r="G68">
        <v>76</v>
      </c>
      <c r="H68">
        <v>19</v>
      </c>
      <c r="I68">
        <v>125</v>
      </c>
      <c r="J68">
        <v>120</v>
      </c>
      <c r="K68">
        <v>118</v>
      </c>
      <c r="L68">
        <v>118</v>
      </c>
    </row>
    <row r="69" spans="1:12" x14ac:dyDescent="0.25">
      <c r="A69">
        <v>20</v>
      </c>
      <c r="B69" s="4" t="s">
        <v>48</v>
      </c>
      <c r="C69">
        <v>20</v>
      </c>
      <c r="D69">
        <v>60</v>
      </c>
      <c r="E69">
        <v>60</v>
      </c>
      <c r="H69">
        <v>20</v>
      </c>
      <c r="I69">
        <v>230</v>
      </c>
      <c r="J69">
        <v>170</v>
      </c>
    </row>
    <row r="70" spans="1:12" x14ac:dyDescent="0.25">
      <c r="A70">
        <v>22</v>
      </c>
      <c r="B70" s="4" t="s">
        <v>48</v>
      </c>
      <c r="C70">
        <v>22</v>
      </c>
      <c r="D70">
        <v>92</v>
      </c>
      <c r="E70">
        <v>100</v>
      </c>
      <c r="F70">
        <v>100</v>
      </c>
      <c r="G70">
        <v>100</v>
      </c>
      <c r="H70">
        <v>22</v>
      </c>
      <c r="I70">
        <v>124</v>
      </c>
      <c r="J70">
        <v>134</v>
      </c>
      <c r="K70">
        <v>146</v>
      </c>
      <c r="L70">
        <v>180</v>
      </c>
    </row>
    <row r="71" spans="1:12" x14ac:dyDescent="0.25">
      <c r="A71">
        <v>24</v>
      </c>
      <c r="B71" s="4" t="s">
        <v>48</v>
      </c>
      <c r="C71">
        <v>24</v>
      </c>
      <c r="D71">
        <v>100</v>
      </c>
      <c r="E71">
        <v>96</v>
      </c>
      <c r="H71">
        <v>24</v>
      </c>
      <c r="I71">
        <v>110</v>
      </c>
      <c r="J71">
        <v>116</v>
      </c>
    </row>
    <row r="72" spans="1:12" x14ac:dyDescent="0.25">
      <c r="A72">
        <v>26</v>
      </c>
      <c r="B72" s="4" t="s">
        <v>48</v>
      </c>
      <c r="C72">
        <v>26</v>
      </c>
      <c r="D72">
        <v>52</v>
      </c>
      <c r="E72">
        <v>74</v>
      </c>
      <c r="F72">
        <v>88</v>
      </c>
      <c r="G72">
        <v>66</v>
      </c>
      <c r="H72">
        <v>26</v>
      </c>
      <c r="I72">
        <v>164</v>
      </c>
      <c r="J72">
        <v>144</v>
      </c>
      <c r="K72">
        <v>128</v>
      </c>
      <c r="L72">
        <v>140</v>
      </c>
    </row>
    <row r="73" spans="1:12" x14ac:dyDescent="0.25">
      <c r="A73">
        <v>27</v>
      </c>
      <c r="B73" s="4" t="s">
        <v>48</v>
      </c>
      <c r="C73">
        <v>27</v>
      </c>
      <c r="D73">
        <v>76</v>
      </c>
      <c r="E73">
        <v>76</v>
      </c>
      <c r="H73">
        <v>27</v>
      </c>
      <c r="I73">
        <v>170</v>
      </c>
      <c r="J73">
        <v>170</v>
      </c>
    </row>
    <row r="74" spans="1:12" x14ac:dyDescent="0.25">
      <c r="A74">
        <v>30</v>
      </c>
      <c r="B74" s="4" t="s">
        <v>48</v>
      </c>
      <c r="C74">
        <v>30</v>
      </c>
      <c r="D74">
        <v>56</v>
      </c>
      <c r="E74">
        <v>54</v>
      </c>
      <c r="G74">
        <v>59</v>
      </c>
      <c r="H74">
        <v>30</v>
      </c>
      <c r="I74">
        <v>106</v>
      </c>
      <c r="J74">
        <v>124</v>
      </c>
      <c r="L74">
        <v>120</v>
      </c>
    </row>
    <row r="75" spans="1:12" x14ac:dyDescent="0.25">
      <c r="A75">
        <v>32</v>
      </c>
      <c r="B75" s="4" t="s">
        <v>48</v>
      </c>
      <c r="C75">
        <v>32</v>
      </c>
      <c r="D75">
        <v>51</v>
      </c>
      <c r="E75">
        <v>66</v>
      </c>
      <c r="H75">
        <v>32</v>
      </c>
      <c r="I75">
        <v>150</v>
      </c>
      <c r="J75">
        <v>136</v>
      </c>
    </row>
    <row r="76" spans="1:12" x14ac:dyDescent="0.25">
      <c r="A76">
        <v>34</v>
      </c>
      <c r="B76" s="4" t="s">
        <v>48</v>
      </c>
      <c r="C76">
        <v>34</v>
      </c>
      <c r="D76">
        <v>90</v>
      </c>
      <c r="E76">
        <v>86</v>
      </c>
      <c r="H76">
        <v>34</v>
      </c>
      <c r="I76">
        <v>160</v>
      </c>
      <c r="J76">
        <v>140</v>
      </c>
    </row>
    <row r="77" spans="1:12" s="1" customFormat="1" ht="13" x14ac:dyDescent="0.3">
      <c r="A77" s="1" t="s">
        <v>57</v>
      </c>
      <c r="D77" s="1" t="s">
        <v>58</v>
      </c>
      <c r="F77" s="1" t="s">
        <v>60</v>
      </c>
      <c r="H77" s="1" t="s">
        <v>59</v>
      </c>
    </row>
    <row r="78" spans="1:12" s="1" customFormat="1" ht="13" x14ac:dyDescent="0.3"/>
    <row r="79" spans="1:12" x14ac:dyDescent="0.25">
      <c r="A79" s="3"/>
      <c r="B79" s="3"/>
      <c r="C79" s="3" t="s">
        <v>37</v>
      </c>
      <c r="D79" s="3" t="s">
        <v>39</v>
      </c>
      <c r="E79" s="3" t="s">
        <v>40</v>
      </c>
      <c r="F79" s="3" t="s">
        <v>41</v>
      </c>
      <c r="G79" s="3" t="s">
        <v>42</v>
      </c>
      <c r="H79" s="3" t="s">
        <v>37</v>
      </c>
      <c r="I79" s="3" t="s">
        <v>43</v>
      </c>
      <c r="J79" s="3" t="s">
        <v>44</v>
      </c>
      <c r="K79" s="3" t="s">
        <v>45</v>
      </c>
      <c r="L79" s="3" t="s">
        <v>46</v>
      </c>
    </row>
    <row r="80" spans="1:12" x14ac:dyDescent="0.25">
      <c r="A80" t="s">
        <v>50</v>
      </c>
      <c r="B80" s="4"/>
      <c r="C80">
        <f>COUNT(C59:C76)</f>
        <v>18</v>
      </c>
      <c r="D80">
        <f t="shared" ref="D80:L80" si="0">COUNT(D59:D76)</f>
        <v>18</v>
      </c>
      <c r="E80">
        <f t="shared" si="0"/>
        <v>18</v>
      </c>
      <c r="F80">
        <f t="shared" si="0"/>
        <v>8</v>
      </c>
      <c r="G80">
        <f t="shared" si="0"/>
        <v>7</v>
      </c>
      <c r="H80">
        <f t="shared" si="0"/>
        <v>18</v>
      </c>
      <c r="I80">
        <f t="shared" si="0"/>
        <v>18</v>
      </c>
      <c r="J80">
        <f t="shared" si="0"/>
        <v>18</v>
      </c>
      <c r="K80">
        <f t="shared" si="0"/>
        <v>8</v>
      </c>
      <c r="L80">
        <f t="shared" si="0"/>
        <v>8</v>
      </c>
    </row>
    <row r="81" spans="1:12" x14ac:dyDescent="0.25">
      <c r="A81" t="s">
        <v>51</v>
      </c>
      <c r="B81" s="4"/>
      <c r="D81">
        <f>SUM(D59:D76)</f>
        <v>1291</v>
      </c>
      <c r="E81">
        <f t="shared" ref="E81:L81" si="1">SUM(E59:E76)</f>
        <v>1401</v>
      </c>
      <c r="F81">
        <f t="shared" si="1"/>
        <v>728</v>
      </c>
      <c r="G81">
        <f t="shared" si="1"/>
        <v>557</v>
      </c>
      <c r="I81">
        <f t="shared" si="1"/>
        <v>2715</v>
      </c>
      <c r="J81">
        <f t="shared" si="1"/>
        <v>2572</v>
      </c>
      <c r="K81">
        <f t="shared" si="1"/>
        <v>1066</v>
      </c>
      <c r="L81">
        <f t="shared" si="1"/>
        <v>1074</v>
      </c>
    </row>
    <row r="82" spans="1:12" s="1" customFormat="1" ht="13" x14ac:dyDescent="0.3">
      <c r="A82" s="1" t="s">
        <v>52</v>
      </c>
      <c r="B82" s="6"/>
      <c r="D82" s="7">
        <f>AVERAGE(D59:D76)</f>
        <v>71.722222222222229</v>
      </c>
      <c r="E82" s="7">
        <f t="shared" ref="E82:L82" si="2">AVERAGE(E59:E76)</f>
        <v>77.833333333333329</v>
      </c>
      <c r="F82" s="7">
        <f t="shared" si="2"/>
        <v>91</v>
      </c>
      <c r="G82" s="7">
        <f t="shared" si="2"/>
        <v>79.571428571428569</v>
      </c>
      <c r="H82" s="7"/>
      <c r="I82" s="7">
        <f t="shared" si="2"/>
        <v>150.83333333333334</v>
      </c>
      <c r="J82" s="7">
        <f t="shared" si="2"/>
        <v>142.88888888888889</v>
      </c>
      <c r="K82" s="7">
        <f t="shared" si="2"/>
        <v>133.25</v>
      </c>
      <c r="L82" s="7">
        <f t="shared" si="2"/>
        <v>134.25</v>
      </c>
    </row>
    <row r="83" spans="1:12" x14ac:dyDescent="0.25">
      <c r="A83" t="s">
        <v>53</v>
      </c>
      <c r="B83" s="4"/>
      <c r="D83" s="5">
        <f>STDEV(D59:D76)</f>
        <v>19.450708608158138</v>
      </c>
      <c r="E83" s="5">
        <f t="shared" ref="E83:L83" si="3">STDEV(E59:E76)</f>
        <v>21.004901388793549</v>
      </c>
      <c r="F83" s="5">
        <f t="shared" si="3"/>
        <v>24.84236013632475</v>
      </c>
      <c r="G83" s="5">
        <f t="shared" si="3"/>
        <v>20.378560162232112</v>
      </c>
      <c r="H83" s="5"/>
      <c r="I83" s="5">
        <f t="shared" si="3"/>
        <v>34.055750140718658</v>
      </c>
      <c r="J83" s="5">
        <f t="shared" si="3"/>
        <v>28.452000630347236</v>
      </c>
      <c r="K83" s="5">
        <f t="shared" si="3"/>
        <v>19.151650432422638</v>
      </c>
      <c r="L83" s="5">
        <f t="shared" si="3"/>
        <v>24.714079272465611</v>
      </c>
    </row>
    <row r="84" spans="1:12" x14ac:dyDescent="0.25">
      <c r="B84" s="4"/>
    </row>
    <row r="85" spans="1:12" x14ac:dyDescent="0.25">
      <c r="A85" s="3" t="s">
        <v>37</v>
      </c>
      <c r="B85" s="3" t="s">
        <v>38</v>
      </c>
      <c r="C85" s="3" t="s">
        <v>37</v>
      </c>
      <c r="D85" s="3" t="s">
        <v>39</v>
      </c>
      <c r="E85" s="3" t="s">
        <v>40</v>
      </c>
      <c r="F85" s="3" t="s">
        <v>41</v>
      </c>
      <c r="G85" s="3" t="s">
        <v>42</v>
      </c>
      <c r="H85" s="3" t="s">
        <v>37</v>
      </c>
      <c r="I85" s="3" t="s">
        <v>43</v>
      </c>
      <c r="J85" s="3" t="s">
        <v>44</v>
      </c>
      <c r="K85" s="3" t="s">
        <v>45</v>
      </c>
      <c r="L85" s="3" t="s">
        <v>46</v>
      </c>
    </row>
    <row r="86" spans="1:12" x14ac:dyDescent="0.25">
      <c r="A86">
        <v>1</v>
      </c>
      <c r="B86" s="4" t="s">
        <v>47</v>
      </c>
      <c r="C86">
        <v>1</v>
      </c>
      <c r="D86">
        <v>60</v>
      </c>
      <c r="E86">
        <v>70</v>
      </c>
      <c r="F86">
        <v>64</v>
      </c>
      <c r="H86">
        <v>1</v>
      </c>
      <c r="I86">
        <v>128</v>
      </c>
      <c r="J86">
        <v>110</v>
      </c>
      <c r="K86">
        <v>120</v>
      </c>
    </row>
    <row r="87" spans="1:12" x14ac:dyDescent="0.25">
      <c r="A87">
        <v>3</v>
      </c>
      <c r="B87" s="4" t="s">
        <v>47</v>
      </c>
      <c r="C87">
        <v>3</v>
      </c>
      <c r="D87">
        <v>100</v>
      </c>
      <c r="E87">
        <v>94</v>
      </c>
      <c r="H87">
        <v>3</v>
      </c>
      <c r="I87">
        <v>190</v>
      </c>
      <c r="J87">
        <v>140</v>
      </c>
    </row>
    <row r="88" spans="1:12" x14ac:dyDescent="0.25">
      <c r="A88">
        <v>5</v>
      </c>
      <c r="B88" s="4" t="s">
        <v>47</v>
      </c>
      <c r="C88">
        <v>5</v>
      </c>
      <c r="D88">
        <v>56</v>
      </c>
      <c r="E88">
        <v>70</v>
      </c>
      <c r="F88">
        <v>61</v>
      </c>
      <c r="G88">
        <v>64</v>
      </c>
      <c r="H88">
        <v>5</v>
      </c>
      <c r="I88">
        <v>230</v>
      </c>
      <c r="J88">
        <v>150</v>
      </c>
      <c r="K88">
        <v>130</v>
      </c>
      <c r="L88">
        <v>150</v>
      </c>
    </row>
    <row r="89" spans="1:12" x14ac:dyDescent="0.25">
      <c r="A89">
        <v>6</v>
      </c>
      <c r="B89" s="4" t="s">
        <v>47</v>
      </c>
      <c r="C89">
        <v>6</v>
      </c>
      <c r="D89">
        <v>105</v>
      </c>
      <c r="E89">
        <v>120</v>
      </c>
      <c r="H89">
        <v>6</v>
      </c>
      <c r="I89">
        <v>142</v>
      </c>
      <c r="J89">
        <v>150</v>
      </c>
    </row>
    <row r="90" spans="1:12" x14ac:dyDescent="0.25">
      <c r="A90">
        <v>9</v>
      </c>
      <c r="B90" s="4" t="s">
        <v>47</v>
      </c>
      <c r="C90">
        <v>9</v>
      </c>
      <c r="D90">
        <v>85</v>
      </c>
      <c r="E90">
        <v>88</v>
      </c>
      <c r="F90">
        <v>90</v>
      </c>
      <c r="G90">
        <v>92</v>
      </c>
      <c r="H90">
        <v>9</v>
      </c>
      <c r="I90">
        <v>150</v>
      </c>
      <c r="J90">
        <v>134</v>
      </c>
      <c r="K90">
        <v>140</v>
      </c>
      <c r="L90">
        <v>154</v>
      </c>
    </row>
    <row r="91" spans="1:12" x14ac:dyDescent="0.25">
      <c r="A91">
        <v>13</v>
      </c>
      <c r="B91" s="4" t="s">
        <v>47</v>
      </c>
      <c r="C91">
        <v>13</v>
      </c>
      <c r="D91">
        <v>88</v>
      </c>
      <c r="E91">
        <v>78</v>
      </c>
      <c r="F91">
        <v>80</v>
      </c>
      <c r="G91">
        <v>72</v>
      </c>
      <c r="H91">
        <v>13</v>
      </c>
      <c r="I91">
        <v>130</v>
      </c>
      <c r="J91">
        <v>120</v>
      </c>
      <c r="K91">
        <v>108</v>
      </c>
      <c r="L91">
        <v>118</v>
      </c>
    </row>
    <row r="92" spans="1:12" x14ac:dyDescent="0.25">
      <c r="A92">
        <v>14</v>
      </c>
      <c r="B92" s="4" t="s">
        <v>47</v>
      </c>
      <c r="C92">
        <v>14</v>
      </c>
      <c r="D92">
        <v>96</v>
      </c>
      <c r="E92">
        <v>114</v>
      </c>
      <c r="G92">
        <v>88</v>
      </c>
      <c r="H92">
        <v>14</v>
      </c>
      <c r="I92">
        <v>152</v>
      </c>
      <c r="J92">
        <v>144</v>
      </c>
      <c r="L92">
        <v>158</v>
      </c>
    </row>
    <row r="93" spans="1:12" x14ac:dyDescent="0.25">
      <c r="A93">
        <v>15</v>
      </c>
      <c r="B93" s="4" t="s">
        <v>47</v>
      </c>
      <c r="C93">
        <v>15</v>
      </c>
      <c r="D93">
        <v>54</v>
      </c>
      <c r="E93">
        <v>60</v>
      </c>
      <c r="F93">
        <v>52</v>
      </c>
      <c r="G93">
        <v>58</v>
      </c>
      <c r="H93">
        <v>15</v>
      </c>
      <c r="I93">
        <v>100</v>
      </c>
      <c r="J93">
        <v>100</v>
      </c>
      <c r="K93">
        <v>92</v>
      </c>
      <c r="L93">
        <v>110</v>
      </c>
    </row>
    <row r="94" spans="1:12" x14ac:dyDescent="0.25">
      <c r="A94">
        <v>16</v>
      </c>
      <c r="B94" s="4" t="s">
        <v>47</v>
      </c>
      <c r="C94">
        <v>16</v>
      </c>
      <c r="D94">
        <v>60</v>
      </c>
      <c r="E94">
        <v>62</v>
      </c>
      <c r="F94">
        <v>68</v>
      </c>
      <c r="G94">
        <v>60</v>
      </c>
      <c r="H94">
        <v>16</v>
      </c>
      <c r="I94">
        <v>170</v>
      </c>
      <c r="J94">
        <v>180</v>
      </c>
      <c r="K94">
        <v>206</v>
      </c>
      <c r="L94">
        <v>188</v>
      </c>
    </row>
    <row r="95" spans="1:12" x14ac:dyDescent="0.25">
      <c r="A95">
        <v>21</v>
      </c>
      <c r="B95" s="4" t="s">
        <v>47</v>
      </c>
      <c r="C95">
        <v>21</v>
      </c>
      <c r="D95">
        <v>60</v>
      </c>
      <c r="E95">
        <v>54</v>
      </c>
      <c r="F95">
        <v>60</v>
      </c>
      <c r="G95">
        <v>64</v>
      </c>
      <c r="H95">
        <v>21</v>
      </c>
      <c r="I95">
        <v>100</v>
      </c>
      <c r="J95">
        <v>120</v>
      </c>
      <c r="K95">
        <v>130</v>
      </c>
      <c r="L95">
        <v>116</v>
      </c>
    </row>
    <row r="96" spans="1:12" x14ac:dyDescent="0.25">
      <c r="A96">
        <v>23</v>
      </c>
      <c r="B96" s="4" t="s">
        <v>47</v>
      </c>
      <c r="C96">
        <v>23</v>
      </c>
      <c r="D96">
        <v>72</v>
      </c>
      <c r="E96">
        <v>84</v>
      </c>
      <c r="F96">
        <v>84</v>
      </c>
      <c r="H96">
        <v>23</v>
      </c>
      <c r="I96">
        <v>168</v>
      </c>
      <c r="J96">
        <v>178</v>
      </c>
      <c r="K96">
        <v>140</v>
      </c>
    </row>
    <row r="97" spans="1:12" x14ac:dyDescent="0.25">
      <c r="A97">
        <v>25</v>
      </c>
      <c r="B97" s="4" t="s">
        <v>47</v>
      </c>
      <c r="C97">
        <v>25</v>
      </c>
      <c r="D97">
        <v>100</v>
      </c>
      <c r="E97">
        <v>90</v>
      </c>
      <c r="F97">
        <v>113</v>
      </c>
      <c r="H97">
        <v>25</v>
      </c>
      <c r="I97">
        <v>150</v>
      </c>
      <c r="J97">
        <v>130</v>
      </c>
      <c r="K97">
        <v>128</v>
      </c>
    </row>
    <row r="98" spans="1:12" x14ac:dyDescent="0.25">
      <c r="A98">
        <v>28</v>
      </c>
      <c r="B98" s="4" t="s">
        <v>47</v>
      </c>
      <c r="C98">
        <v>28</v>
      </c>
      <c r="D98">
        <v>75</v>
      </c>
      <c r="E98">
        <v>75</v>
      </c>
      <c r="F98">
        <v>75</v>
      </c>
      <c r="G98">
        <v>88</v>
      </c>
      <c r="H98">
        <v>28</v>
      </c>
      <c r="I98">
        <v>152</v>
      </c>
      <c r="J98">
        <v>152</v>
      </c>
      <c r="K98">
        <v>150</v>
      </c>
      <c r="L98">
        <v>150</v>
      </c>
    </row>
    <row r="99" spans="1:12" x14ac:dyDescent="0.25">
      <c r="A99">
        <v>29</v>
      </c>
      <c r="B99" s="4" t="s">
        <v>47</v>
      </c>
      <c r="C99">
        <v>29</v>
      </c>
      <c r="D99">
        <v>58</v>
      </c>
      <c r="E99">
        <v>58</v>
      </c>
      <c r="F99">
        <v>58</v>
      </c>
      <c r="G99">
        <v>58</v>
      </c>
      <c r="H99">
        <v>29</v>
      </c>
    </row>
    <row r="100" spans="1:12" x14ac:dyDescent="0.25">
      <c r="A100">
        <v>31</v>
      </c>
      <c r="B100" s="4" t="s">
        <v>47</v>
      </c>
      <c r="C100">
        <v>31</v>
      </c>
      <c r="D100">
        <v>70</v>
      </c>
      <c r="E100">
        <v>60</v>
      </c>
      <c r="H100">
        <v>31</v>
      </c>
      <c r="I100">
        <v>160</v>
      </c>
      <c r="J100">
        <v>180</v>
      </c>
    </row>
    <row r="101" spans="1:12" x14ac:dyDescent="0.25">
      <c r="A101">
        <v>33</v>
      </c>
      <c r="B101" s="4" t="s">
        <v>47</v>
      </c>
      <c r="C101">
        <v>33</v>
      </c>
      <c r="D101">
        <v>90</v>
      </c>
      <c r="E101">
        <v>98</v>
      </c>
      <c r="H101">
        <v>33</v>
      </c>
      <c r="I101">
        <v>180</v>
      </c>
      <c r="J101">
        <v>180</v>
      </c>
    </row>
    <row r="102" spans="1:12" x14ac:dyDescent="0.25">
      <c r="B102" s="4"/>
    </row>
    <row r="103" spans="1:12" x14ac:dyDescent="0.25">
      <c r="A103" t="s">
        <v>50</v>
      </c>
      <c r="B103" s="4"/>
      <c r="C103">
        <f>COUNT(C86:C101)</f>
        <v>16</v>
      </c>
      <c r="D103">
        <f t="shared" ref="D103:L103" si="4">COUNT(D86:D101)</f>
        <v>16</v>
      </c>
      <c r="E103">
        <f t="shared" si="4"/>
        <v>16</v>
      </c>
      <c r="F103">
        <f t="shared" si="4"/>
        <v>11</v>
      </c>
      <c r="G103">
        <f t="shared" si="4"/>
        <v>9</v>
      </c>
      <c r="H103">
        <f t="shared" si="4"/>
        <v>16</v>
      </c>
      <c r="I103">
        <f t="shared" si="4"/>
        <v>15</v>
      </c>
      <c r="J103">
        <f t="shared" si="4"/>
        <v>15</v>
      </c>
      <c r="K103">
        <f t="shared" si="4"/>
        <v>10</v>
      </c>
      <c r="L103">
        <f t="shared" si="4"/>
        <v>8</v>
      </c>
    </row>
    <row r="104" spans="1:12" x14ac:dyDescent="0.25">
      <c r="A104" t="s">
        <v>51</v>
      </c>
      <c r="B104" s="4"/>
      <c r="D104">
        <f>SUM(D86:D101)</f>
        <v>1229</v>
      </c>
      <c r="E104">
        <f t="shared" ref="E104:L104" si="5">SUM(E86:E101)</f>
        <v>1275</v>
      </c>
      <c r="F104">
        <f t="shared" si="5"/>
        <v>805</v>
      </c>
      <c r="G104">
        <f t="shared" si="5"/>
        <v>644</v>
      </c>
      <c r="I104">
        <f t="shared" si="5"/>
        <v>2302</v>
      </c>
      <c r="J104">
        <f t="shared" si="5"/>
        <v>2168</v>
      </c>
      <c r="K104">
        <f t="shared" si="5"/>
        <v>1344</v>
      </c>
      <c r="L104">
        <f t="shared" si="5"/>
        <v>1144</v>
      </c>
    </row>
    <row r="105" spans="1:12" s="1" customFormat="1" ht="13" x14ac:dyDescent="0.3">
      <c r="A105" s="1" t="s">
        <v>52</v>
      </c>
      <c r="B105" s="6"/>
      <c r="D105" s="7">
        <f>AVERAGE(D86:D101)</f>
        <v>76.8125</v>
      </c>
      <c r="E105" s="7">
        <f t="shared" ref="E105:L105" si="6">AVERAGE(E86:E101)</f>
        <v>79.6875</v>
      </c>
      <c r="F105" s="7">
        <f t="shared" si="6"/>
        <v>73.181818181818187</v>
      </c>
      <c r="G105" s="7">
        <f t="shared" si="6"/>
        <v>71.555555555555557</v>
      </c>
      <c r="H105" s="7"/>
      <c r="I105" s="7">
        <f t="shared" si="6"/>
        <v>153.46666666666667</v>
      </c>
      <c r="J105" s="7">
        <f t="shared" si="6"/>
        <v>144.53333333333333</v>
      </c>
      <c r="K105" s="7">
        <f t="shared" si="6"/>
        <v>134.4</v>
      </c>
      <c r="L105" s="7">
        <f t="shared" si="6"/>
        <v>143</v>
      </c>
    </row>
    <row r="106" spans="1:12" x14ac:dyDescent="0.25">
      <c r="A106" t="s">
        <v>53</v>
      </c>
      <c r="B106" s="4"/>
      <c r="D106" s="5">
        <f>STDEV(D86:D101)</f>
        <v>17.948885759288792</v>
      </c>
      <c r="E106" s="5">
        <f t="shared" ref="E106:L106" si="7">STDEV(E86:E101)</f>
        <v>19.945655333096145</v>
      </c>
      <c r="F106" s="5">
        <f t="shared" si="7"/>
        <v>17.741579308608241</v>
      </c>
      <c r="G106" s="5">
        <f t="shared" si="7"/>
        <v>14.027750275000528</v>
      </c>
      <c r="H106" s="5"/>
      <c r="I106" s="5">
        <f t="shared" si="7"/>
        <v>33.27347005534304</v>
      </c>
      <c r="J106" s="5">
        <f t="shared" si="7"/>
        <v>26.36520072982206</v>
      </c>
      <c r="K106" s="5">
        <f t="shared" si="7"/>
        <v>30.21110906787618</v>
      </c>
      <c r="L106" s="5">
        <f t="shared" si="7"/>
        <v>26.48989025485545</v>
      </c>
    </row>
    <row r="108" spans="1:12" ht="13" x14ac:dyDescent="0.3">
      <c r="C108" s="1" t="s">
        <v>62</v>
      </c>
      <c r="D108" s="1"/>
      <c r="E108" s="1"/>
      <c r="I108" s="1" t="s">
        <v>63</v>
      </c>
      <c r="J108" s="1"/>
      <c r="K108" s="1"/>
      <c r="L108" s="1"/>
    </row>
    <row r="109" spans="1:12" ht="13" x14ac:dyDescent="0.3">
      <c r="A109" s="8" t="s">
        <v>56</v>
      </c>
      <c r="B109" s="9" t="s">
        <v>39</v>
      </c>
      <c r="C109" s="9" t="s">
        <v>40</v>
      </c>
      <c r="D109" s="9" t="s">
        <v>41</v>
      </c>
      <c r="E109" s="9" t="s">
        <v>42</v>
      </c>
      <c r="F109" s="1"/>
      <c r="G109" s="1"/>
      <c r="H109" s="2" t="s">
        <v>56</v>
      </c>
      <c r="I109" s="9" t="s">
        <v>43</v>
      </c>
      <c r="J109" s="9" t="s">
        <v>44</v>
      </c>
      <c r="K109" s="9" t="s">
        <v>45</v>
      </c>
      <c r="L109" s="9" t="s">
        <v>46</v>
      </c>
    </row>
    <row r="110" spans="1:12" ht="13" x14ac:dyDescent="0.3">
      <c r="A110" s="2" t="s">
        <v>48</v>
      </c>
      <c r="B110" s="2">
        <v>71.72</v>
      </c>
      <c r="C110" s="2">
        <v>77.83</v>
      </c>
      <c r="D110" s="2">
        <v>91</v>
      </c>
      <c r="E110" s="2">
        <v>79.569999999999993</v>
      </c>
      <c r="F110" s="1"/>
      <c r="G110" s="1"/>
      <c r="H110" s="2" t="s">
        <v>54</v>
      </c>
      <c r="I110" s="2">
        <v>150.83000000000001</v>
      </c>
      <c r="J110" s="2">
        <v>142.88999999999999</v>
      </c>
      <c r="K110" s="2">
        <v>133.25</v>
      </c>
      <c r="L110" s="2">
        <v>134.25</v>
      </c>
    </row>
    <row r="111" spans="1:12" ht="13" x14ac:dyDescent="0.3">
      <c r="A111" s="2" t="s">
        <v>47</v>
      </c>
      <c r="B111" s="2">
        <v>76.81</v>
      </c>
      <c r="C111" s="2">
        <v>79.69</v>
      </c>
      <c r="D111" s="2">
        <v>73.180000000000007</v>
      </c>
      <c r="E111" s="2">
        <v>71.56</v>
      </c>
      <c r="F111" s="1"/>
      <c r="G111" s="1"/>
      <c r="H111" s="2" t="s">
        <v>55</v>
      </c>
      <c r="I111" s="2">
        <v>153.47</v>
      </c>
      <c r="J111" s="2">
        <v>144.53</v>
      </c>
      <c r="K111" s="2">
        <v>134.4</v>
      </c>
      <c r="L111" s="2">
        <v>143</v>
      </c>
    </row>
    <row r="113" spans="1:8" ht="13" x14ac:dyDescent="0.3">
      <c r="A113" s="1" t="s">
        <v>49</v>
      </c>
      <c r="C113" t="s">
        <v>61</v>
      </c>
      <c r="D113" s="3"/>
      <c r="E113" s="3"/>
      <c r="F113" s="3"/>
      <c r="G113" s="3"/>
    </row>
    <row r="115" spans="1:8" s="1" customFormat="1" ht="13" x14ac:dyDescent="0.3">
      <c r="A115" s="1" t="s">
        <v>57</v>
      </c>
      <c r="D115" s="1" t="s">
        <v>58</v>
      </c>
      <c r="F115" s="1" t="s">
        <v>60</v>
      </c>
      <c r="H115" s="1" t="s">
        <v>59</v>
      </c>
    </row>
    <row r="117" spans="1:8" ht="13" x14ac:dyDescent="0.3">
      <c r="A117" s="1" t="s">
        <v>64</v>
      </c>
    </row>
    <row r="143" spans="1:1" x14ac:dyDescent="0.25">
      <c r="A143" t="s">
        <v>67</v>
      </c>
    </row>
    <row r="144" spans="1:1" x14ac:dyDescent="0.25">
      <c r="A144" t="s">
        <v>68</v>
      </c>
    </row>
    <row r="145" spans="1:8" x14ac:dyDescent="0.25">
      <c r="A145" t="s">
        <v>70</v>
      </c>
    </row>
    <row r="147" spans="1:8" x14ac:dyDescent="0.25">
      <c r="A147" t="s">
        <v>71</v>
      </c>
    </row>
    <row r="148" spans="1:8" x14ac:dyDescent="0.25">
      <c r="A148" t="s">
        <v>72</v>
      </c>
    </row>
    <row r="149" spans="1:8" x14ac:dyDescent="0.25">
      <c r="A149" t="s">
        <v>73</v>
      </c>
    </row>
    <row r="151" spans="1:8" x14ac:dyDescent="0.25">
      <c r="A151" t="s">
        <v>69</v>
      </c>
    </row>
    <row r="152" spans="1:8" x14ac:dyDescent="0.25">
      <c r="A152" t="s">
        <v>65</v>
      </c>
    </row>
    <row r="153" spans="1:8" s="1" customFormat="1" ht="13" x14ac:dyDescent="0.3">
      <c r="A153" s="1" t="s">
        <v>57</v>
      </c>
      <c r="D153" s="1" t="s">
        <v>58</v>
      </c>
      <c r="F153" s="1" t="s">
        <v>60</v>
      </c>
      <c r="H153" s="1" t="s">
        <v>59</v>
      </c>
    </row>
    <row r="155" spans="1:8" x14ac:dyDescent="0.25">
      <c r="A155" t="s">
        <v>66</v>
      </c>
    </row>
    <row r="156" spans="1:8" x14ac:dyDescent="0.25">
      <c r="A156" t="s">
        <v>74</v>
      </c>
    </row>
    <row r="157" spans="1:8" x14ac:dyDescent="0.25">
      <c r="A157" t="s">
        <v>75</v>
      </c>
    </row>
    <row r="191" s="1" customFormat="1" ht="13" x14ac:dyDescent="0.3"/>
  </sheetData>
  <phoneticPr fontId="0" type="noConversion"/>
  <pageMargins left="0.75" right="0.75" top="1" bottom="1" header="0.5" footer="0.5"/>
  <pageSetup orientation="landscape" horizontalDpi="204" verticalDpi="196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2003-10-20T20:02:43Z</cp:lastPrinted>
  <dcterms:created xsi:type="dcterms:W3CDTF">2000-10-17T04:37:11Z</dcterms:created>
  <dcterms:modified xsi:type="dcterms:W3CDTF">2020-01-27T12:40:49Z</dcterms:modified>
</cp:coreProperties>
</file>