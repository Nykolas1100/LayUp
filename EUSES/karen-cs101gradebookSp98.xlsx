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1C9DC1-1CCA-4805-83E6-C3EF5E7F8F8F}" xr6:coauthVersionLast="45" xr6:coauthVersionMax="45" xr10:uidLastSave="{00000000-0000-0000-0000-000000000000}"/>
  <bookViews>
    <workbookView xWindow="3420" yWindow="3420" windowWidth="28800" windowHeight="15460" tabRatio="643" firstSheet="4" activeTab="15"/>
  </bookViews>
  <sheets>
    <sheet name="REC 5" sheetId="1" r:id="rId1"/>
    <sheet name="REC 6" sheetId="2" r:id="rId2"/>
    <sheet name="REC 7" sheetId="3" r:id="rId3"/>
    <sheet name="REC 8" sheetId="4" r:id="rId4"/>
    <sheet name="REC 9" sheetId="5" r:id="rId5"/>
    <sheet name="REC 10" sheetId="6" r:id="rId6"/>
    <sheet name="REC 11" sheetId="7" r:id="rId7"/>
    <sheet name="REC 15" sheetId="8" r:id="rId8"/>
    <sheet name="REC 16" sheetId="9" r:id="rId9"/>
    <sheet name="REC 17" sheetId="10" r:id="rId10"/>
    <sheet name="REC 18" sheetId="11" r:id="rId11"/>
    <sheet name="REC 19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K2" i="6" l="1"/>
  <c r="M2" i="6"/>
  <c r="P2" i="6"/>
  <c r="Q2" i="6"/>
  <c r="S2" i="6"/>
  <c r="T2" i="6"/>
  <c r="U2" i="6"/>
  <c r="V2" i="6"/>
  <c r="X2" i="6"/>
  <c r="Y2" i="6"/>
  <c r="Z2" i="6"/>
  <c r="AA2" i="6"/>
  <c r="AB2" i="6"/>
  <c r="K3" i="6"/>
  <c r="M3" i="6"/>
  <c r="P3" i="6"/>
  <c r="Q3" i="6"/>
  <c r="S3" i="6"/>
  <c r="T3" i="6"/>
  <c r="U3" i="6"/>
  <c r="V3" i="6"/>
  <c r="X3" i="6"/>
  <c r="Y3" i="6"/>
  <c r="Z3" i="6"/>
  <c r="AA3" i="6"/>
  <c r="AB3" i="6"/>
  <c r="K4" i="6"/>
  <c r="M4" i="6"/>
  <c r="P4" i="6"/>
  <c r="Q4" i="6"/>
  <c r="S4" i="6"/>
  <c r="T4" i="6"/>
  <c r="U4" i="6"/>
  <c r="V4" i="6"/>
  <c r="X4" i="6"/>
  <c r="Y4" i="6"/>
  <c r="Z4" i="6"/>
  <c r="AA4" i="6"/>
  <c r="AB4" i="6"/>
  <c r="K5" i="6"/>
  <c r="M5" i="6"/>
  <c r="P5" i="6"/>
  <c r="Q5" i="6"/>
  <c r="S5" i="6"/>
  <c r="T5" i="6"/>
  <c r="U5" i="6"/>
  <c r="V5" i="6"/>
  <c r="X5" i="6"/>
  <c r="Y5" i="6"/>
  <c r="Z5" i="6"/>
  <c r="AA5" i="6"/>
  <c r="AB5" i="6"/>
  <c r="K6" i="6"/>
  <c r="M6" i="6"/>
  <c r="P6" i="6"/>
  <c r="Q6" i="6"/>
  <c r="S6" i="6"/>
  <c r="T6" i="6"/>
  <c r="U6" i="6"/>
  <c r="V6" i="6"/>
  <c r="X6" i="6"/>
  <c r="Y6" i="6"/>
  <c r="Z6" i="6"/>
  <c r="AA6" i="6"/>
  <c r="AB6" i="6"/>
  <c r="K7" i="6"/>
  <c r="M7" i="6"/>
  <c r="P7" i="6"/>
  <c r="Q7" i="6"/>
  <c r="S7" i="6"/>
  <c r="T7" i="6"/>
  <c r="U7" i="6"/>
  <c r="V7" i="6"/>
  <c r="X7" i="6"/>
  <c r="Y7" i="6"/>
  <c r="Z7" i="6"/>
  <c r="AA7" i="6"/>
  <c r="AB7" i="6"/>
  <c r="K8" i="6"/>
  <c r="M8" i="6"/>
  <c r="P8" i="6"/>
  <c r="Q8" i="6"/>
  <c r="S8" i="6"/>
  <c r="T8" i="6"/>
  <c r="U8" i="6"/>
  <c r="V8" i="6"/>
  <c r="X8" i="6"/>
  <c r="Y8" i="6"/>
  <c r="Z8" i="6"/>
  <c r="AA8" i="6"/>
  <c r="AB8" i="6"/>
  <c r="K9" i="6"/>
  <c r="M9" i="6"/>
  <c r="P9" i="6"/>
  <c r="Q9" i="6"/>
  <c r="S9" i="6"/>
  <c r="T9" i="6"/>
  <c r="U9" i="6"/>
  <c r="V9" i="6"/>
  <c r="X9" i="6"/>
  <c r="Y9" i="6"/>
  <c r="Z9" i="6"/>
  <c r="AA9" i="6"/>
  <c r="AB9" i="6"/>
  <c r="K10" i="6"/>
  <c r="M10" i="6"/>
  <c r="P10" i="6"/>
  <c r="Q10" i="6"/>
  <c r="S10" i="6"/>
  <c r="T10" i="6"/>
  <c r="U10" i="6"/>
  <c r="V10" i="6"/>
  <c r="X10" i="6"/>
  <c r="Y10" i="6"/>
  <c r="Z10" i="6"/>
  <c r="AA10" i="6"/>
  <c r="AB10" i="6"/>
  <c r="K11" i="6"/>
  <c r="M11" i="6"/>
  <c r="P11" i="6"/>
  <c r="Q11" i="6"/>
  <c r="S11" i="6"/>
  <c r="T11" i="6"/>
  <c r="U11" i="6"/>
  <c r="V11" i="6"/>
  <c r="X11" i="6"/>
  <c r="Y11" i="6"/>
  <c r="Z11" i="6"/>
  <c r="AA11" i="6"/>
  <c r="AB11" i="6"/>
  <c r="K12" i="6"/>
  <c r="M12" i="6"/>
  <c r="P12" i="6"/>
  <c r="Q12" i="6"/>
  <c r="S12" i="6"/>
  <c r="T12" i="6"/>
  <c r="U12" i="6"/>
  <c r="V12" i="6"/>
  <c r="X12" i="6"/>
  <c r="Y12" i="6"/>
  <c r="Z12" i="6"/>
  <c r="AA12" i="6"/>
  <c r="AB12" i="6"/>
  <c r="K13" i="6"/>
  <c r="M13" i="6"/>
  <c r="P13" i="6"/>
  <c r="Q13" i="6"/>
  <c r="S13" i="6"/>
  <c r="T13" i="6"/>
  <c r="U13" i="6"/>
  <c r="V13" i="6"/>
  <c r="X13" i="6"/>
  <c r="Y13" i="6"/>
  <c r="Z13" i="6"/>
  <c r="AA13" i="6"/>
  <c r="AB13" i="6"/>
  <c r="K14" i="6"/>
  <c r="M14" i="6"/>
  <c r="P14" i="6"/>
  <c r="Q14" i="6"/>
  <c r="S14" i="6"/>
  <c r="T14" i="6"/>
  <c r="U14" i="6"/>
  <c r="V14" i="6"/>
  <c r="X14" i="6"/>
  <c r="Y14" i="6"/>
  <c r="Z14" i="6"/>
  <c r="AA14" i="6"/>
  <c r="AB14" i="6"/>
  <c r="K15" i="6"/>
  <c r="M15" i="6"/>
  <c r="P15" i="6"/>
  <c r="Q15" i="6"/>
  <c r="S15" i="6"/>
  <c r="T15" i="6"/>
  <c r="U15" i="6"/>
  <c r="V15" i="6"/>
  <c r="X15" i="6"/>
  <c r="Y15" i="6"/>
  <c r="Z15" i="6"/>
  <c r="AA15" i="6"/>
  <c r="AB15" i="6"/>
  <c r="K16" i="6"/>
  <c r="M16" i="6"/>
  <c r="P16" i="6"/>
  <c r="Q16" i="6"/>
  <c r="S16" i="6"/>
  <c r="T16" i="6"/>
  <c r="U16" i="6"/>
  <c r="V16" i="6"/>
  <c r="X16" i="6"/>
  <c r="Y16" i="6"/>
  <c r="Z16" i="6"/>
  <c r="AA16" i="6"/>
  <c r="AB16" i="6"/>
  <c r="K17" i="6"/>
  <c r="M17" i="6"/>
  <c r="P17" i="6"/>
  <c r="Q17" i="6"/>
  <c r="S17" i="6"/>
  <c r="T17" i="6"/>
  <c r="U17" i="6"/>
  <c r="V17" i="6"/>
  <c r="X17" i="6"/>
  <c r="Y17" i="6"/>
  <c r="Z17" i="6"/>
  <c r="AA17" i="6"/>
  <c r="AB17" i="6"/>
  <c r="K2" i="7"/>
  <c r="M2" i="7"/>
  <c r="P2" i="7"/>
  <c r="Q2" i="7"/>
  <c r="S2" i="7"/>
  <c r="T2" i="7"/>
  <c r="U2" i="7"/>
  <c r="V2" i="7"/>
  <c r="X2" i="7"/>
  <c r="Y2" i="7"/>
  <c r="Z2" i="7"/>
  <c r="AA2" i="7"/>
  <c r="AB2" i="7"/>
  <c r="K3" i="7"/>
  <c r="M3" i="7"/>
  <c r="P3" i="7"/>
  <c r="Q3" i="7"/>
  <c r="S3" i="7"/>
  <c r="T3" i="7"/>
  <c r="U3" i="7"/>
  <c r="V3" i="7"/>
  <c r="X3" i="7"/>
  <c r="Y3" i="7"/>
  <c r="Z3" i="7"/>
  <c r="AA3" i="7"/>
  <c r="AB3" i="7"/>
  <c r="K4" i="7"/>
  <c r="M4" i="7"/>
  <c r="P4" i="7"/>
  <c r="Q4" i="7"/>
  <c r="S4" i="7"/>
  <c r="T4" i="7"/>
  <c r="U4" i="7"/>
  <c r="V4" i="7"/>
  <c r="X4" i="7"/>
  <c r="Y4" i="7"/>
  <c r="Z4" i="7"/>
  <c r="AA4" i="7"/>
  <c r="AB4" i="7"/>
  <c r="K5" i="7"/>
  <c r="M5" i="7"/>
  <c r="P5" i="7"/>
  <c r="Q5" i="7"/>
  <c r="S5" i="7"/>
  <c r="T5" i="7"/>
  <c r="U5" i="7"/>
  <c r="V5" i="7"/>
  <c r="X5" i="7"/>
  <c r="Y5" i="7"/>
  <c r="Z5" i="7"/>
  <c r="AA5" i="7"/>
  <c r="AB5" i="7"/>
  <c r="K6" i="7"/>
  <c r="M6" i="7"/>
  <c r="P6" i="7"/>
  <c r="Q6" i="7"/>
  <c r="S6" i="7"/>
  <c r="T6" i="7"/>
  <c r="U6" i="7"/>
  <c r="V6" i="7"/>
  <c r="X6" i="7"/>
  <c r="Y6" i="7"/>
  <c r="Z6" i="7"/>
  <c r="AA6" i="7"/>
  <c r="AB6" i="7"/>
  <c r="K7" i="7"/>
  <c r="M7" i="7"/>
  <c r="P7" i="7"/>
  <c r="Q7" i="7"/>
  <c r="S7" i="7"/>
  <c r="T7" i="7"/>
  <c r="U7" i="7"/>
  <c r="V7" i="7"/>
  <c r="X7" i="7"/>
  <c r="Y7" i="7"/>
  <c r="Z7" i="7"/>
  <c r="AA7" i="7"/>
  <c r="AB7" i="7"/>
  <c r="K8" i="7"/>
  <c r="M8" i="7"/>
  <c r="P8" i="7"/>
  <c r="Q8" i="7"/>
  <c r="S8" i="7"/>
  <c r="T8" i="7"/>
  <c r="U8" i="7"/>
  <c r="V8" i="7"/>
  <c r="X8" i="7"/>
  <c r="Y8" i="7"/>
  <c r="Z8" i="7"/>
  <c r="AA8" i="7"/>
  <c r="AB8" i="7"/>
  <c r="K9" i="7"/>
  <c r="M9" i="7"/>
  <c r="P9" i="7"/>
  <c r="Q9" i="7"/>
  <c r="S9" i="7"/>
  <c r="T9" i="7"/>
  <c r="U9" i="7"/>
  <c r="V9" i="7"/>
  <c r="X9" i="7"/>
  <c r="Y9" i="7"/>
  <c r="Z9" i="7"/>
  <c r="AA9" i="7"/>
  <c r="AB9" i="7"/>
  <c r="K10" i="7"/>
  <c r="M10" i="7"/>
  <c r="P10" i="7"/>
  <c r="Q10" i="7"/>
  <c r="S10" i="7"/>
  <c r="T10" i="7"/>
  <c r="U10" i="7"/>
  <c r="V10" i="7"/>
  <c r="X10" i="7"/>
  <c r="Y10" i="7"/>
  <c r="Z10" i="7"/>
  <c r="AA10" i="7"/>
  <c r="AB10" i="7"/>
  <c r="K11" i="7"/>
  <c r="M11" i="7"/>
  <c r="P11" i="7"/>
  <c r="Q11" i="7"/>
  <c r="S11" i="7"/>
  <c r="T11" i="7"/>
  <c r="U11" i="7"/>
  <c r="V11" i="7"/>
  <c r="X11" i="7"/>
  <c r="Y11" i="7"/>
  <c r="Z11" i="7"/>
  <c r="AA11" i="7"/>
  <c r="AB11" i="7"/>
  <c r="K12" i="7"/>
  <c r="M12" i="7"/>
  <c r="P12" i="7"/>
  <c r="Q12" i="7"/>
  <c r="S12" i="7"/>
  <c r="T12" i="7"/>
  <c r="U12" i="7"/>
  <c r="V12" i="7"/>
  <c r="X12" i="7"/>
  <c r="Y12" i="7"/>
  <c r="Z12" i="7"/>
  <c r="AA12" i="7"/>
  <c r="AB12" i="7"/>
  <c r="K13" i="7"/>
  <c r="M13" i="7"/>
  <c r="P13" i="7"/>
  <c r="Q13" i="7"/>
  <c r="S13" i="7"/>
  <c r="T13" i="7"/>
  <c r="U13" i="7"/>
  <c r="V13" i="7"/>
  <c r="X13" i="7"/>
  <c r="Y13" i="7"/>
  <c r="Z13" i="7"/>
  <c r="AA13" i="7"/>
  <c r="AB13" i="7"/>
  <c r="K14" i="7"/>
  <c r="M14" i="7"/>
  <c r="P14" i="7"/>
  <c r="Q14" i="7"/>
  <c r="S14" i="7"/>
  <c r="T14" i="7"/>
  <c r="U14" i="7"/>
  <c r="V14" i="7"/>
  <c r="X14" i="7"/>
  <c r="Y14" i="7"/>
  <c r="Z14" i="7"/>
  <c r="AA14" i="7"/>
  <c r="AB14" i="7"/>
  <c r="K15" i="7"/>
  <c r="M15" i="7"/>
  <c r="P15" i="7"/>
  <c r="Q15" i="7"/>
  <c r="S15" i="7"/>
  <c r="T15" i="7"/>
  <c r="U15" i="7"/>
  <c r="V15" i="7"/>
  <c r="X15" i="7"/>
  <c r="Y15" i="7"/>
  <c r="Z15" i="7"/>
  <c r="AA15" i="7"/>
  <c r="AB15" i="7"/>
  <c r="K16" i="7"/>
  <c r="M16" i="7"/>
  <c r="P16" i="7"/>
  <c r="Q16" i="7"/>
  <c r="S16" i="7"/>
  <c r="T16" i="7"/>
  <c r="U16" i="7"/>
  <c r="V16" i="7"/>
  <c r="X16" i="7"/>
  <c r="Y16" i="7"/>
  <c r="Z16" i="7"/>
  <c r="AA16" i="7"/>
  <c r="AB16" i="7"/>
  <c r="K17" i="7"/>
  <c r="M17" i="7"/>
  <c r="P17" i="7"/>
  <c r="Q17" i="7"/>
  <c r="S17" i="7"/>
  <c r="T17" i="7"/>
  <c r="U17" i="7"/>
  <c r="V17" i="7"/>
  <c r="X17" i="7"/>
  <c r="Y17" i="7"/>
  <c r="Z17" i="7"/>
  <c r="AA17" i="7"/>
  <c r="AB17" i="7"/>
  <c r="K18" i="7"/>
  <c r="M18" i="7"/>
  <c r="P18" i="7"/>
  <c r="Q18" i="7"/>
  <c r="S18" i="7"/>
  <c r="T18" i="7"/>
  <c r="U18" i="7"/>
  <c r="V18" i="7"/>
  <c r="X18" i="7"/>
  <c r="Y18" i="7"/>
  <c r="Z18" i="7"/>
  <c r="AA18" i="7"/>
  <c r="AB18" i="7"/>
  <c r="K19" i="7"/>
  <c r="M19" i="7"/>
  <c r="P19" i="7"/>
  <c r="Q19" i="7"/>
  <c r="S19" i="7"/>
  <c r="T19" i="7"/>
  <c r="U19" i="7"/>
  <c r="V19" i="7"/>
  <c r="X19" i="7"/>
  <c r="Y19" i="7"/>
  <c r="Z19" i="7"/>
  <c r="AA19" i="7"/>
  <c r="AB19" i="7"/>
  <c r="K21" i="7"/>
  <c r="K2" i="8"/>
  <c r="M2" i="8"/>
  <c r="P2" i="8"/>
  <c r="Q2" i="8"/>
  <c r="S2" i="8"/>
  <c r="T2" i="8"/>
  <c r="U2" i="8"/>
  <c r="V2" i="8"/>
  <c r="X2" i="8"/>
  <c r="Y2" i="8"/>
  <c r="Z2" i="8"/>
  <c r="AA2" i="8"/>
  <c r="AB2" i="8"/>
  <c r="K3" i="8"/>
  <c r="M3" i="8"/>
  <c r="P3" i="8"/>
  <c r="Q3" i="8"/>
  <c r="S3" i="8"/>
  <c r="T3" i="8"/>
  <c r="U3" i="8"/>
  <c r="V3" i="8"/>
  <c r="X3" i="8"/>
  <c r="Y3" i="8"/>
  <c r="Z3" i="8"/>
  <c r="AA3" i="8"/>
  <c r="AB3" i="8"/>
  <c r="K4" i="8"/>
  <c r="M4" i="8"/>
  <c r="P4" i="8"/>
  <c r="Q4" i="8"/>
  <c r="S4" i="8"/>
  <c r="T4" i="8"/>
  <c r="U4" i="8"/>
  <c r="V4" i="8"/>
  <c r="X4" i="8"/>
  <c r="Y4" i="8"/>
  <c r="Z4" i="8"/>
  <c r="AA4" i="8"/>
  <c r="AB4" i="8"/>
  <c r="K5" i="8"/>
  <c r="M5" i="8"/>
  <c r="P5" i="8"/>
  <c r="Q5" i="8"/>
  <c r="S5" i="8"/>
  <c r="T5" i="8"/>
  <c r="U5" i="8"/>
  <c r="V5" i="8"/>
  <c r="X5" i="8"/>
  <c r="Y5" i="8"/>
  <c r="Z5" i="8"/>
  <c r="AA5" i="8"/>
  <c r="AB5" i="8"/>
  <c r="K6" i="8"/>
  <c r="M6" i="8"/>
  <c r="P6" i="8"/>
  <c r="Q6" i="8"/>
  <c r="S6" i="8"/>
  <c r="T6" i="8"/>
  <c r="U6" i="8"/>
  <c r="V6" i="8"/>
  <c r="X6" i="8"/>
  <c r="Y6" i="8"/>
  <c r="Z6" i="8"/>
  <c r="AA6" i="8"/>
  <c r="AB6" i="8"/>
  <c r="K7" i="8"/>
  <c r="M7" i="8"/>
  <c r="P7" i="8"/>
  <c r="Q7" i="8"/>
  <c r="S7" i="8"/>
  <c r="T7" i="8"/>
  <c r="U7" i="8"/>
  <c r="V7" i="8"/>
  <c r="X7" i="8"/>
  <c r="Y7" i="8"/>
  <c r="Z7" i="8"/>
  <c r="AA7" i="8"/>
  <c r="AB7" i="8"/>
  <c r="K8" i="8"/>
  <c r="M8" i="8"/>
  <c r="P8" i="8"/>
  <c r="Q8" i="8"/>
  <c r="S8" i="8"/>
  <c r="T8" i="8"/>
  <c r="U8" i="8"/>
  <c r="V8" i="8"/>
  <c r="X8" i="8"/>
  <c r="Y8" i="8"/>
  <c r="Z8" i="8"/>
  <c r="AA8" i="8"/>
  <c r="AB8" i="8"/>
  <c r="K9" i="8"/>
  <c r="M9" i="8"/>
  <c r="P9" i="8"/>
  <c r="Q9" i="8"/>
  <c r="S9" i="8"/>
  <c r="T9" i="8"/>
  <c r="U9" i="8"/>
  <c r="V9" i="8"/>
  <c r="X9" i="8"/>
  <c r="Y9" i="8"/>
  <c r="Z9" i="8"/>
  <c r="AA9" i="8"/>
  <c r="AB9" i="8"/>
  <c r="K10" i="8"/>
  <c r="M10" i="8"/>
  <c r="P10" i="8"/>
  <c r="Q10" i="8"/>
  <c r="S10" i="8"/>
  <c r="T10" i="8"/>
  <c r="U10" i="8"/>
  <c r="V10" i="8"/>
  <c r="X10" i="8"/>
  <c r="Y10" i="8"/>
  <c r="Z10" i="8"/>
  <c r="AA10" i="8"/>
  <c r="AB10" i="8"/>
  <c r="K11" i="8"/>
  <c r="M11" i="8"/>
  <c r="P11" i="8"/>
  <c r="Q11" i="8"/>
  <c r="S11" i="8"/>
  <c r="T11" i="8"/>
  <c r="U11" i="8"/>
  <c r="V11" i="8"/>
  <c r="X11" i="8"/>
  <c r="Y11" i="8"/>
  <c r="Z11" i="8"/>
  <c r="AA11" i="8"/>
  <c r="AB11" i="8"/>
  <c r="K12" i="8"/>
  <c r="M12" i="8"/>
  <c r="P12" i="8"/>
  <c r="Q12" i="8"/>
  <c r="S12" i="8"/>
  <c r="T12" i="8"/>
  <c r="U12" i="8"/>
  <c r="V12" i="8"/>
  <c r="X12" i="8"/>
  <c r="Y12" i="8"/>
  <c r="Z12" i="8"/>
  <c r="AA12" i="8"/>
  <c r="AB12" i="8"/>
  <c r="K13" i="8"/>
  <c r="M13" i="8"/>
  <c r="P13" i="8"/>
  <c r="Q13" i="8"/>
  <c r="S13" i="8"/>
  <c r="T13" i="8"/>
  <c r="U13" i="8"/>
  <c r="V13" i="8"/>
  <c r="X13" i="8"/>
  <c r="Y13" i="8"/>
  <c r="Z13" i="8"/>
  <c r="AA13" i="8"/>
  <c r="AB13" i="8"/>
  <c r="K14" i="8"/>
  <c r="M14" i="8"/>
  <c r="P14" i="8"/>
  <c r="Q14" i="8"/>
  <c r="S14" i="8"/>
  <c r="T14" i="8"/>
  <c r="U14" i="8"/>
  <c r="V14" i="8"/>
  <c r="X14" i="8"/>
  <c r="Y14" i="8"/>
  <c r="Z14" i="8"/>
  <c r="AA14" i="8"/>
  <c r="AB14" i="8"/>
  <c r="K15" i="8"/>
  <c r="M15" i="8"/>
  <c r="P15" i="8"/>
  <c r="Q15" i="8"/>
  <c r="S15" i="8"/>
  <c r="T15" i="8"/>
  <c r="U15" i="8"/>
  <c r="V15" i="8"/>
  <c r="X15" i="8"/>
  <c r="Y15" i="8"/>
  <c r="Z15" i="8"/>
  <c r="AA15" i="8"/>
  <c r="AB15" i="8"/>
  <c r="K16" i="8"/>
  <c r="M16" i="8"/>
  <c r="P16" i="8"/>
  <c r="Q16" i="8"/>
  <c r="S16" i="8"/>
  <c r="T16" i="8"/>
  <c r="U16" i="8"/>
  <c r="V16" i="8"/>
  <c r="X16" i="8"/>
  <c r="Y16" i="8"/>
  <c r="Z16" i="8"/>
  <c r="AA16" i="8"/>
  <c r="AB16" i="8"/>
  <c r="K17" i="8"/>
  <c r="M17" i="8"/>
  <c r="P17" i="8"/>
  <c r="Q17" i="8"/>
  <c r="S17" i="8"/>
  <c r="T17" i="8"/>
  <c r="U17" i="8"/>
  <c r="V17" i="8"/>
  <c r="X17" i="8"/>
  <c r="Y17" i="8"/>
  <c r="Z17" i="8"/>
  <c r="AA17" i="8"/>
  <c r="AB17" i="8"/>
  <c r="K18" i="8"/>
  <c r="M18" i="8"/>
  <c r="P18" i="8"/>
  <c r="Q18" i="8"/>
  <c r="S18" i="8"/>
  <c r="T18" i="8"/>
  <c r="U18" i="8"/>
  <c r="V18" i="8"/>
  <c r="X18" i="8"/>
  <c r="Y18" i="8"/>
  <c r="Z18" i="8"/>
  <c r="AA18" i="8"/>
  <c r="AB18" i="8"/>
  <c r="K19" i="8"/>
  <c r="M19" i="8"/>
  <c r="P19" i="8"/>
  <c r="Q19" i="8"/>
  <c r="S19" i="8"/>
  <c r="T19" i="8"/>
  <c r="U19" i="8"/>
  <c r="V19" i="8"/>
  <c r="X19" i="8"/>
  <c r="Y19" i="8"/>
  <c r="Z19" i="8"/>
  <c r="AA19" i="8"/>
  <c r="AB19" i="8"/>
  <c r="K20" i="8"/>
  <c r="M20" i="8"/>
  <c r="P20" i="8"/>
  <c r="Q20" i="8"/>
  <c r="S20" i="8"/>
  <c r="T20" i="8"/>
  <c r="U20" i="8"/>
  <c r="V20" i="8"/>
  <c r="X20" i="8"/>
  <c r="Y20" i="8"/>
  <c r="Z20" i="8"/>
  <c r="AA20" i="8"/>
  <c r="AB20" i="8"/>
  <c r="K21" i="8"/>
  <c r="M21" i="8"/>
  <c r="P21" i="8"/>
  <c r="Q21" i="8"/>
  <c r="S21" i="8"/>
  <c r="T21" i="8"/>
  <c r="U21" i="8"/>
  <c r="V21" i="8"/>
  <c r="X21" i="8"/>
  <c r="Y21" i="8"/>
  <c r="Z21" i="8"/>
  <c r="AA21" i="8"/>
  <c r="AB21" i="8"/>
  <c r="K2" i="9"/>
  <c r="M2" i="9"/>
  <c r="P2" i="9"/>
  <c r="Q2" i="9"/>
  <c r="S2" i="9"/>
  <c r="T2" i="9"/>
  <c r="U2" i="9"/>
  <c r="V2" i="9"/>
  <c r="X2" i="9"/>
  <c r="Y2" i="9"/>
  <c r="Z2" i="9"/>
  <c r="AA2" i="9"/>
  <c r="AB2" i="9"/>
  <c r="K3" i="9"/>
  <c r="M3" i="9"/>
  <c r="P3" i="9"/>
  <c r="Q3" i="9"/>
  <c r="S3" i="9"/>
  <c r="T3" i="9"/>
  <c r="U3" i="9"/>
  <c r="V3" i="9"/>
  <c r="X3" i="9"/>
  <c r="Y3" i="9"/>
  <c r="Z3" i="9"/>
  <c r="AA3" i="9"/>
  <c r="AB3" i="9"/>
  <c r="K4" i="9"/>
  <c r="M4" i="9"/>
  <c r="P4" i="9"/>
  <c r="Q4" i="9"/>
  <c r="S4" i="9"/>
  <c r="T4" i="9"/>
  <c r="U4" i="9"/>
  <c r="V4" i="9"/>
  <c r="X4" i="9"/>
  <c r="Y4" i="9"/>
  <c r="Z4" i="9"/>
  <c r="AA4" i="9"/>
  <c r="AB4" i="9"/>
  <c r="K5" i="9"/>
  <c r="M5" i="9"/>
  <c r="P5" i="9"/>
  <c r="Q5" i="9"/>
  <c r="S5" i="9"/>
  <c r="T5" i="9"/>
  <c r="U5" i="9"/>
  <c r="V5" i="9"/>
  <c r="X5" i="9"/>
  <c r="Y5" i="9"/>
  <c r="Z5" i="9"/>
  <c r="AA5" i="9"/>
  <c r="AB5" i="9"/>
  <c r="K6" i="9"/>
  <c r="M6" i="9"/>
  <c r="P6" i="9"/>
  <c r="Q6" i="9"/>
  <c r="S6" i="9"/>
  <c r="T6" i="9"/>
  <c r="U6" i="9"/>
  <c r="V6" i="9"/>
  <c r="X6" i="9"/>
  <c r="Y6" i="9"/>
  <c r="Z6" i="9"/>
  <c r="AA6" i="9"/>
  <c r="AB6" i="9"/>
  <c r="K7" i="9"/>
  <c r="M7" i="9"/>
  <c r="P7" i="9"/>
  <c r="Q7" i="9"/>
  <c r="S7" i="9"/>
  <c r="T7" i="9"/>
  <c r="U7" i="9"/>
  <c r="V7" i="9"/>
  <c r="X7" i="9"/>
  <c r="Y7" i="9"/>
  <c r="Z7" i="9"/>
  <c r="AA7" i="9"/>
  <c r="AB7" i="9"/>
  <c r="K8" i="9"/>
  <c r="M8" i="9"/>
  <c r="P8" i="9"/>
  <c r="Q8" i="9"/>
  <c r="S8" i="9"/>
  <c r="T8" i="9"/>
  <c r="U8" i="9"/>
  <c r="V8" i="9"/>
  <c r="X8" i="9"/>
  <c r="Y8" i="9"/>
  <c r="Z8" i="9"/>
  <c r="AA8" i="9"/>
  <c r="AB8" i="9"/>
  <c r="K9" i="9"/>
  <c r="M9" i="9"/>
  <c r="P9" i="9"/>
  <c r="Q9" i="9"/>
  <c r="S9" i="9"/>
  <c r="T9" i="9"/>
  <c r="U9" i="9"/>
  <c r="V9" i="9"/>
  <c r="X9" i="9"/>
  <c r="Y9" i="9"/>
  <c r="Z9" i="9"/>
  <c r="AA9" i="9"/>
  <c r="AB9" i="9"/>
  <c r="K10" i="9"/>
  <c r="M10" i="9"/>
  <c r="P10" i="9"/>
  <c r="Q10" i="9"/>
  <c r="S10" i="9"/>
  <c r="T10" i="9"/>
  <c r="U10" i="9"/>
  <c r="V10" i="9"/>
  <c r="X10" i="9"/>
  <c r="Y10" i="9"/>
  <c r="Z10" i="9"/>
  <c r="AA10" i="9"/>
  <c r="AB10" i="9"/>
  <c r="K11" i="9"/>
  <c r="M11" i="9"/>
  <c r="P11" i="9"/>
  <c r="Q11" i="9"/>
  <c r="S11" i="9"/>
  <c r="T11" i="9"/>
  <c r="U11" i="9"/>
  <c r="V11" i="9"/>
  <c r="X11" i="9"/>
  <c r="Y11" i="9"/>
  <c r="Z11" i="9"/>
  <c r="AA11" i="9"/>
  <c r="AB11" i="9"/>
  <c r="K12" i="9"/>
  <c r="M12" i="9"/>
  <c r="P12" i="9"/>
  <c r="Q12" i="9"/>
  <c r="S12" i="9"/>
  <c r="T12" i="9"/>
  <c r="U12" i="9"/>
  <c r="V12" i="9"/>
  <c r="X12" i="9"/>
  <c r="Y12" i="9"/>
  <c r="Z12" i="9"/>
  <c r="AA12" i="9"/>
  <c r="AB12" i="9"/>
  <c r="K13" i="9"/>
  <c r="M13" i="9"/>
  <c r="P13" i="9"/>
  <c r="Q13" i="9"/>
  <c r="S13" i="9"/>
  <c r="T13" i="9"/>
  <c r="U13" i="9"/>
  <c r="V13" i="9"/>
  <c r="X13" i="9"/>
  <c r="Y13" i="9"/>
  <c r="Z13" i="9"/>
  <c r="AA13" i="9"/>
  <c r="AB13" i="9"/>
  <c r="K14" i="9"/>
  <c r="M14" i="9"/>
  <c r="P14" i="9"/>
  <c r="Q14" i="9"/>
  <c r="S14" i="9"/>
  <c r="T14" i="9"/>
  <c r="U14" i="9"/>
  <c r="V14" i="9"/>
  <c r="X14" i="9"/>
  <c r="Y14" i="9"/>
  <c r="Z14" i="9"/>
  <c r="AA14" i="9"/>
  <c r="AB14" i="9"/>
  <c r="K15" i="9"/>
  <c r="M15" i="9"/>
  <c r="P15" i="9"/>
  <c r="Q15" i="9"/>
  <c r="S15" i="9"/>
  <c r="T15" i="9"/>
  <c r="U15" i="9"/>
  <c r="V15" i="9"/>
  <c r="X15" i="9"/>
  <c r="Y15" i="9"/>
  <c r="Z15" i="9"/>
  <c r="AA15" i="9"/>
  <c r="AB15" i="9"/>
  <c r="K16" i="9"/>
  <c r="M16" i="9"/>
  <c r="P16" i="9"/>
  <c r="Q16" i="9"/>
  <c r="S16" i="9"/>
  <c r="T16" i="9"/>
  <c r="U16" i="9"/>
  <c r="V16" i="9"/>
  <c r="X16" i="9"/>
  <c r="Y16" i="9"/>
  <c r="Z16" i="9"/>
  <c r="AA16" i="9"/>
  <c r="AB16" i="9"/>
  <c r="K17" i="9"/>
  <c r="M17" i="9"/>
  <c r="P17" i="9"/>
  <c r="Q17" i="9"/>
  <c r="S17" i="9"/>
  <c r="T17" i="9"/>
  <c r="U17" i="9"/>
  <c r="V17" i="9"/>
  <c r="X17" i="9"/>
  <c r="Y17" i="9"/>
  <c r="Z17" i="9"/>
  <c r="AA17" i="9"/>
  <c r="AB17" i="9"/>
  <c r="K18" i="9"/>
  <c r="M18" i="9"/>
  <c r="P18" i="9"/>
  <c r="Q18" i="9"/>
  <c r="S18" i="9"/>
  <c r="T18" i="9"/>
  <c r="U18" i="9"/>
  <c r="V18" i="9"/>
  <c r="X18" i="9"/>
  <c r="Y18" i="9"/>
  <c r="Z18" i="9"/>
  <c r="AA18" i="9"/>
  <c r="AB18" i="9"/>
  <c r="K19" i="9"/>
  <c r="M19" i="9"/>
  <c r="P19" i="9"/>
  <c r="Q19" i="9"/>
  <c r="S19" i="9"/>
  <c r="T19" i="9"/>
  <c r="U19" i="9"/>
  <c r="V19" i="9"/>
  <c r="X19" i="9"/>
  <c r="Y19" i="9"/>
  <c r="Z19" i="9"/>
  <c r="AA19" i="9"/>
  <c r="AB19" i="9"/>
  <c r="K20" i="9"/>
  <c r="M20" i="9"/>
  <c r="P20" i="9"/>
  <c r="Q20" i="9"/>
  <c r="S20" i="9"/>
  <c r="T20" i="9"/>
  <c r="U20" i="9"/>
  <c r="V20" i="9"/>
  <c r="X20" i="9"/>
  <c r="Y20" i="9"/>
  <c r="Z20" i="9"/>
  <c r="AA20" i="9"/>
  <c r="AB20" i="9"/>
  <c r="K21" i="9"/>
  <c r="M21" i="9"/>
  <c r="P21" i="9"/>
  <c r="Q21" i="9"/>
  <c r="S21" i="9"/>
  <c r="T21" i="9"/>
  <c r="U21" i="9"/>
  <c r="V21" i="9"/>
  <c r="X21" i="9"/>
  <c r="Y21" i="9"/>
  <c r="Z21" i="9"/>
  <c r="AA21" i="9"/>
  <c r="AB21" i="9"/>
  <c r="K2" i="10"/>
  <c r="M2" i="10"/>
  <c r="P2" i="10"/>
  <c r="Q2" i="10"/>
  <c r="S2" i="10"/>
  <c r="T2" i="10"/>
  <c r="U2" i="10"/>
  <c r="V2" i="10"/>
  <c r="X2" i="10"/>
  <c r="Y2" i="10"/>
  <c r="Z2" i="10"/>
  <c r="AA2" i="10"/>
  <c r="AB2" i="10"/>
  <c r="K3" i="10"/>
  <c r="M3" i="10"/>
  <c r="P3" i="10"/>
  <c r="Q3" i="10"/>
  <c r="S3" i="10"/>
  <c r="T3" i="10"/>
  <c r="U3" i="10"/>
  <c r="V3" i="10"/>
  <c r="X3" i="10"/>
  <c r="Y3" i="10"/>
  <c r="Z3" i="10"/>
  <c r="AA3" i="10"/>
  <c r="AB3" i="10"/>
  <c r="K4" i="10"/>
  <c r="M4" i="10"/>
  <c r="P4" i="10"/>
  <c r="Q4" i="10"/>
  <c r="S4" i="10"/>
  <c r="T4" i="10"/>
  <c r="U4" i="10"/>
  <c r="V4" i="10"/>
  <c r="X4" i="10"/>
  <c r="Y4" i="10"/>
  <c r="Z4" i="10"/>
  <c r="AA4" i="10"/>
  <c r="AB4" i="10"/>
  <c r="K5" i="10"/>
  <c r="M5" i="10"/>
  <c r="P5" i="10"/>
  <c r="Q5" i="10"/>
  <c r="S5" i="10"/>
  <c r="T5" i="10"/>
  <c r="U5" i="10"/>
  <c r="V5" i="10"/>
  <c r="X5" i="10"/>
  <c r="Y5" i="10"/>
  <c r="Z5" i="10"/>
  <c r="AA5" i="10"/>
  <c r="AB5" i="10"/>
  <c r="K6" i="10"/>
  <c r="M6" i="10"/>
  <c r="P6" i="10"/>
  <c r="Q6" i="10"/>
  <c r="S6" i="10"/>
  <c r="T6" i="10"/>
  <c r="U6" i="10"/>
  <c r="V6" i="10"/>
  <c r="X6" i="10"/>
  <c r="Y6" i="10"/>
  <c r="Z6" i="10"/>
  <c r="AA6" i="10"/>
  <c r="AB6" i="10"/>
  <c r="K7" i="10"/>
  <c r="M7" i="10"/>
  <c r="P7" i="10"/>
  <c r="Q7" i="10"/>
  <c r="S7" i="10"/>
  <c r="T7" i="10"/>
  <c r="U7" i="10"/>
  <c r="V7" i="10"/>
  <c r="X7" i="10"/>
  <c r="Y7" i="10"/>
  <c r="Z7" i="10"/>
  <c r="AA7" i="10"/>
  <c r="AB7" i="10"/>
  <c r="K8" i="10"/>
  <c r="M8" i="10"/>
  <c r="P8" i="10"/>
  <c r="Q8" i="10"/>
  <c r="S8" i="10"/>
  <c r="T8" i="10"/>
  <c r="U8" i="10"/>
  <c r="V8" i="10"/>
  <c r="X8" i="10"/>
  <c r="Y8" i="10"/>
  <c r="Z8" i="10"/>
  <c r="AA8" i="10"/>
  <c r="AB8" i="10"/>
  <c r="K9" i="10"/>
  <c r="M9" i="10"/>
  <c r="P9" i="10"/>
  <c r="Q9" i="10"/>
  <c r="S9" i="10"/>
  <c r="T9" i="10"/>
  <c r="U9" i="10"/>
  <c r="V9" i="10"/>
  <c r="X9" i="10"/>
  <c r="Y9" i="10"/>
  <c r="Z9" i="10"/>
  <c r="AA9" i="10"/>
  <c r="AB9" i="10"/>
  <c r="K10" i="10"/>
  <c r="M10" i="10"/>
  <c r="P10" i="10"/>
  <c r="Q10" i="10"/>
  <c r="S10" i="10"/>
  <c r="T10" i="10"/>
  <c r="U10" i="10"/>
  <c r="V10" i="10"/>
  <c r="X10" i="10"/>
  <c r="Y10" i="10"/>
  <c r="Z10" i="10"/>
  <c r="AA10" i="10"/>
  <c r="AB10" i="10"/>
  <c r="K11" i="10"/>
  <c r="M11" i="10"/>
  <c r="P11" i="10"/>
  <c r="Q11" i="10"/>
  <c r="S11" i="10"/>
  <c r="T11" i="10"/>
  <c r="U11" i="10"/>
  <c r="V11" i="10"/>
  <c r="X11" i="10"/>
  <c r="Y11" i="10"/>
  <c r="Z11" i="10"/>
  <c r="AA11" i="10"/>
  <c r="AB11" i="10"/>
  <c r="K12" i="10"/>
  <c r="M12" i="10"/>
  <c r="P12" i="10"/>
  <c r="Q12" i="10"/>
  <c r="S12" i="10"/>
  <c r="T12" i="10"/>
  <c r="U12" i="10"/>
  <c r="V12" i="10"/>
  <c r="X12" i="10"/>
  <c r="Y12" i="10"/>
  <c r="Z12" i="10"/>
  <c r="AA12" i="10"/>
  <c r="AB12" i="10"/>
  <c r="K13" i="10"/>
  <c r="M13" i="10"/>
  <c r="P13" i="10"/>
  <c r="Q13" i="10"/>
  <c r="S13" i="10"/>
  <c r="T13" i="10"/>
  <c r="U13" i="10"/>
  <c r="V13" i="10"/>
  <c r="X13" i="10"/>
  <c r="Y13" i="10"/>
  <c r="Z13" i="10"/>
  <c r="AA13" i="10"/>
  <c r="AB13" i="10"/>
  <c r="K14" i="10"/>
  <c r="M14" i="10"/>
  <c r="P14" i="10"/>
  <c r="Q14" i="10"/>
  <c r="S14" i="10"/>
  <c r="T14" i="10"/>
  <c r="U14" i="10"/>
  <c r="V14" i="10"/>
  <c r="X14" i="10"/>
  <c r="Y14" i="10"/>
  <c r="Z14" i="10"/>
  <c r="AA14" i="10"/>
  <c r="AB14" i="10"/>
  <c r="K15" i="10"/>
  <c r="M15" i="10"/>
  <c r="P15" i="10"/>
  <c r="Q15" i="10"/>
  <c r="S15" i="10"/>
  <c r="T15" i="10"/>
  <c r="U15" i="10"/>
  <c r="V15" i="10"/>
  <c r="X15" i="10"/>
  <c r="Y15" i="10"/>
  <c r="Z15" i="10"/>
  <c r="AA15" i="10"/>
  <c r="AB15" i="10"/>
  <c r="K16" i="10"/>
  <c r="M16" i="10"/>
  <c r="P16" i="10"/>
  <c r="Q16" i="10"/>
  <c r="S16" i="10"/>
  <c r="T16" i="10"/>
  <c r="U16" i="10"/>
  <c r="V16" i="10"/>
  <c r="X16" i="10"/>
  <c r="Y16" i="10"/>
  <c r="Z16" i="10"/>
  <c r="AA16" i="10"/>
  <c r="AB16" i="10"/>
  <c r="K17" i="10"/>
  <c r="M17" i="10"/>
  <c r="P17" i="10"/>
  <c r="Q17" i="10"/>
  <c r="S17" i="10"/>
  <c r="T17" i="10"/>
  <c r="U17" i="10"/>
  <c r="V17" i="10"/>
  <c r="X17" i="10"/>
  <c r="Y17" i="10"/>
  <c r="Z17" i="10"/>
  <c r="AA17" i="10"/>
  <c r="AB17" i="10"/>
  <c r="K18" i="10"/>
  <c r="M18" i="10"/>
  <c r="P18" i="10"/>
  <c r="Q18" i="10"/>
  <c r="S18" i="10"/>
  <c r="T18" i="10"/>
  <c r="U18" i="10"/>
  <c r="V18" i="10"/>
  <c r="X18" i="10"/>
  <c r="Y18" i="10"/>
  <c r="Z18" i="10"/>
  <c r="AA18" i="10"/>
  <c r="AB18" i="10"/>
  <c r="K19" i="10"/>
  <c r="M19" i="10"/>
  <c r="P19" i="10"/>
  <c r="Q19" i="10"/>
  <c r="S19" i="10"/>
  <c r="T19" i="10"/>
  <c r="U19" i="10"/>
  <c r="V19" i="10"/>
  <c r="X19" i="10"/>
  <c r="Y19" i="10"/>
  <c r="Z19" i="10"/>
  <c r="AA19" i="10"/>
  <c r="AB19" i="10"/>
  <c r="K20" i="10"/>
  <c r="M20" i="10"/>
  <c r="P20" i="10"/>
  <c r="Q20" i="10"/>
  <c r="S20" i="10"/>
  <c r="T20" i="10"/>
  <c r="U20" i="10"/>
  <c r="V20" i="10"/>
  <c r="X20" i="10"/>
  <c r="Y20" i="10"/>
  <c r="Z20" i="10"/>
  <c r="AA20" i="10"/>
  <c r="AB20" i="10"/>
  <c r="K21" i="10"/>
  <c r="M21" i="10"/>
  <c r="P21" i="10"/>
  <c r="Q21" i="10"/>
  <c r="S21" i="10"/>
  <c r="T21" i="10"/>
  <c r="U21" i="10"/>
  <c r="V21" i="10"/>
  <c r="X21" i="10"/>
  <c r="Y21" i="10"/>
  <c r="Z21" i="10"/>
  <c r="AA21" i="10"/>
  <c r="AB21" i="10"/>
  <c r="K2" i="11"/>
  <c r="M2" i="11"/>
  <c r="P2" i="11"/>
  <c r="Q2" i="11"/>
  <c r="S2" i="11"/>
  <c r="T2" i="11"/>
  <c r="U2" i="11"/>
  <c r="V2" i="11"/>
  <c r="X2" i="11"/>
  <c r="Y2" i="11"/>
  <c r="Z2" i="11"/>
  <c r="AA2" i="11"/>
  <c r="AB2" i="11"/>
  <c r="K3" i="11"/>
  <c r="M3" i="11"/>
  <c r="P3" i="11"/>
  <c r="Q3" i="11"/>
  <c r="S3" i="11"/>
  <c r="T3" i="11"/>
  <c r="U3" i="11"/>
  <c r="V3" i="11"/>
  <c r="X3" i="11"/>
  <c r="Y3" i="11"/>
  <c r="Z3" i="11"/>
  <c r="AA3" i="11"/>
  <c r="AB3" i="11"/>
  <c r="K4" i="11"/>
  <c r="M4" i="11"/>
  <c r="P4" i="11"/>
  <c r="Q4" i="11"/>
  <c r="S4" i="11"/>
  <c r="T4" i="11"/>
  <c r="U4" i="11"/>
  <c r="V4" i="11"/>
  <c r="X4" i="11"/>
  <c r="Y4" i="11"/>
  <c r="Z4" i="11"/>
  <c r="AA4" i="11"/>
  <c r="AB4" i="11"/>
  <c r="K5" i="11"/>
  <c r="M5" i="11"/>
  <c r="P5" i="11"/>
  <c r="Q5" i="11"/>
  <c r="S5" i="11"/>
  <c r="T5" i="11"/>
  <c r="U5" i="11"/>
  <c r="V5" i="11"/>
  <c r="X5" i="11"/>
  <c r="Y5" i="11"/>
  <c r="Z5" i="11"/>
  <c r="AA5" i="11"/>
  <c r="AB5" i="11"/>
  <c r="K6" i="11"/>
  <c r="M6" i="11"/>
  <c r="P6" i="11"/>
  <c r="Q6" i="11"/>
  <c r="S6" i="11"/>
  <c r="T6" i="11"/>
  <c r="U6" i="11"/>
  <c r="V6" i="11"/>
  <c r="X6" i="11"/>
  <c r="Y6" i="11"/>
  <c r="Z6" i="11"/>
  <c r="AA6" i="11"/>
  <c r="AB6" i="11"/>
  <c r="K7" i="11"/>
  <c r="M7" i="11"/>
  <c r="P7" i="11"/>
  <c r="Q7" i="11"/>
  <c r="S7" i="11"/>
  <c r="T7" i="11"/>
  <c r="U7" i="11"/>
  <c r="V7" i="11"/>
  <c r="X7" i="11"/>
  <c r="Y7" i="11"/>
  <c r="Z7" i="11"/>
  <c r="AA7" i="11"/>
  <c r="AB7" i="11"/>
  <c r="K8" i="11"/>
  <c r="M8" i="11"/>
  <c r="P8" i="11"/>
  <c r="Q8" i="11"/>
  <c r="S8" i="11"/>
  <c r="T8" i="11"/>
  <c r="U8" i="11"/>
  <c r="V8" i="11"/>
  <c r="X8" i="11"/>
  <c r="Y8" i="11"/>
  <c r="Z8" i="11"/>
  <c r="AA8" i="11"/>
  <c r="AB8" i="11"/>
  <c r="K9" i="11"/>
  <c r="M9" i="11"/>
  <c r="P9" i="11"/>
  <c r="Q9" i="11"/>
  <c r="S9" i="11"/>
  <c r="T9" i="11"/>
  <c r="U9" i="11"/>
  <c r="V9" i="11"/>
  <c r="X9" i="11"/>
  <c r="Y9" i="11"/>
  <c r="Z9" i="11"/>
  <c r="AA9" i="11"/>
  <c r="AB9" i="11"/>
  <c r="K10" i="11"/>
  <c r="M10" i="11"/>
  <c r="P10" i="11"/>
  <c r="Q10" i="11"/>
  <c r="S10" i="11"/>
  <c r="T10" i="11"/>
  <c r="U10" i="11"/>
  <c r="V10" i="11"/>
  <c r="X10" i="11"/>
  <c r="Y10" i="11"/>
  <c r="Z10" i="11"/>
  <c r="AA10" i="11"/>
  <c r="AB10" i="11"/>
  <c r="K11" i="11"/>
  <c r="M11" i="11"/>
  <c r="P11" i="11"/>
  <c r="Q11" i="11"/>
  <c r="S11" i="11"/>
  <c r="T11" i="11"/>
  <c r="U11" i="11"/>
  <c r="V11" i="11"/>
  <c r="X11" i="11"/>
  <c r="Y11" i="11"/>
  <c r="Z11" i="11"/>
  <c r="AA11" i="11"/>
  <c r="AB11" i="11"/>
  <c r="K12" i="11"/>
  <c r="M12" i="11"/>
  <c r="P12" i="11"/>
  <c r="Q12" i="11"/>
  <c r="S12" i="11"/>
  <c r="T12" i="11"/>
  <c r="U12" i="11"/>
  <c r="V12" i="11"/>
  <c r="X12" i="11"/>
  <c r="Y12" i="11"/>
  <c r="Z12" i="11"/>
  <c r="AA12" i="11"/>
  <c r="AB12" i="11"/>
  <c r="K13" i="11"/>
  <c r="M13" i="11"/>
  <c r="P13" i="11"/>
  <c r="Q13" i="11"/>
  <c r="S13" i="11"/>
  <c r="T13" i="11"/>
  <c r="U13" i="11"/>
  <c r="V13" i="11"/>
  <c r="X13" i="11"/>
  <c r="Y13" i="11"/>
  <c r="Z13" i="11"/>
  <c r="AA13" i="11"/>
  <c r="AB13" i="11"/>
  <c r="K14" i="11"/>
  <c r="M14" i="11"/>
  <c r="P14" i="11"/>
  <c r="Q14" i="11"/>
  <c r="S14" i="11"/>
  <c r="T14" i="11"/>
  <c r="U14" i="11"/>
  <c r="V14" i="11"/>
  <c r="X14" i="11"/>
  <c r="Y14" i="11"/>
  <c r="Z14" i="11"/>
  <c r="AA14" i="11"/>
  <c r="AB14" i="11"/>
  <c r="K15" i="11"/>
  <c r="M15" i="11"/>
  <c r="P15" i="11"/>
  <c r="Q15" i="11"/>
  <c r="S15" i="11"/>
  <c r="T15" i="11"/>
  <c r="U15" i="11"/>
  <c r="V15" i="11"/>
  <c r="X15" i="11"/>
  <c r="Y15" i="11"/>
  <c r="Z15" i="11"/>
  <c r="AA15" i="11"/>
  <c r="AB15" i="11"/>
  <c r="K16" i="11"/>
  <c r="M16" i="11"/>
  <c r="P16" i="11"/>
  <c r="Q16" i="11"/>
  <c r="S16" i="11"/>
  <c r="T16" i="11"/>
  <c r="U16" i="11"/>
  <c r="V16" i="11"/>
  <c r="X16" i="11"/>
  <c r="Y16" i="11"/>
  <c r="Z16" i="11"/>
  <c r="AA16" i="11"/>
  <c r="AB16" i="11"/>
  <c r="K17" i="11"/>
  <c r="M17" i="11"/>
  <c r="P17" i="11"/>
  <c r="Q17" i="11"/>
  <c r="S17" i="11"/>
  <c r="T17" i="11"/>
  <c r="U17" i="11"/>
  <c r="V17" i="11"/>
  <c r="X17" i="11"/>
  <c r="Y17" i="11"/>
  <c r="Z17" i="11"/>
  <c r="AA17" i="11"/>
  <c r="AB17" i="11"/>
  <c r="K18" i="11"/>
  <c r="M18" i="11"/>
  <c r="P18" i="11"/>
  <c r="Q18" i="11"/>
  <c r="S18" i="11"/>
  <c r="T18" i="11"/>
  <c r="U18" i="11"/>
  <c r="V18" i="11"/>
  <c r="X18" i="11"/>
  <c r="Y18" i="11"/>
  <c r="Z18" i="11"/>
  <c r="AA18" i="11"/>
  <c r="AB18" i="11"/>
  <c r="K19" i="11"/>
  <c r="M19" i="11"/>
  <c r="P19" i="11"/>
  <c r="Q19" i="11"/>
  <c r="S19" i="11"/>
  <c r="T19" i="11"/>
  <c r="U19" i="11"/>
  <c r="V19" i="11"/>
  <c r="X19" i="11"/>
  <c r="Y19" i="11"/>
  <c r="Z19" i="11"/>
  <c r="AA19" i="11"/>
  <c r="AB19" i="11"/>
  <c r="K20" i="11"/>
  <c r="M20" i="11"/>
  <c r="P20" i="11"/>
  <c r="Q20" i="11"/>
  <c r="S20" i="11"/>
  <c r="T20" i="11"/>
  <c r="U20" i="11"/>
  <c r="V20" i="11"/>
  <c r="X20" i="11"/>
  <c r="Y20" i="11"/>
  <c r="Z20" i="11"/>
  <c r="AA20" i="11"/>
  <c r="AB20" i="11"/>
  <c r="K2" i="12"/>
  <c r="P2" i="12"/>
  <c r="Q2" i="12"/>
  <c r="S2" i="12"/>
  <c r="T2" i="12"/>
  <c r="U2" i="12"/>
  <c r="V2" i="12"/>
  <c r="X2" i="12"/>
  <c r="Y2" i="12"/>
  <c r="Z2" i="12"/>
  <c r="AA2" i="12"/>
  <c r="AB2" i="12"/>
  <c r="K3" i="12"/>
  <c r="M3" i="12"/>
  <c r="P3" i="12"/>
  <c r="Q3" i="12"/>
  <c r="S3" i="12"/>
  <c r="T3" i="12"/>
  <c r="U3" i="12"/>
  <c r="V3" i="12"/>
  <c r="X3" i="12"/>
  <c r="Y3" i="12"/>
  <c r="Z3" i="12"/>
  <c r="AA3" i="12"/>
  <c r="AB3" i="12"/>
  <c r="K4" i="12"/>
  <c r="M4" i="12"/>
  <c r="P4" i="12"/>
  <c r="Q4" i="12"/>
  <c r="S4" i="12"/>
  <c r="T4" i="12"/>
  <c r="U4" i="12"/>
  <c r="V4" i="12"/>
  <c r="X4" i="12"/>
  <c r="Y4" i="12"/>
  <c r="Z4" i="12"/>
  <c r="AA4" i="12"/>
  <c r="AB4" i="12"/>
  <c r="K5" i="12"/>
  <c r="M5" i="12"/>
  <c r="P5" i="12"/>
  <c r="Q5" i="12"/>
  <c r="S5" i="12"/>
  <c r="T5" i="12"/>
  <c r="U5" i="12"/>
  <c r="V5" i="12"/>
  <c r="X5" i="12"/>
  <c r="Y5" i="12"/>
  <c r="Z5" i="12"/>
  <c r="AA5" i="12"/>
  <c r="AB5" i="12"/>
  <c r="K6" i="12"/>
  <c r="M6" i="12"/>
  <c r="P6" i="12"/>
  <c r="Q6" i="12"/>
  <c r="S6" i="12"/>
  <c r="T6" i="12"/>
  <c r="U6" i="12"/>
  <c r="V6" i="12"/>
  <c r="X6" i="12"/>
  <c r="Y6" i="12"/>
  <c r="Z6" i="12"/>
  <c r="AA6" i="12"/>
  <c r="AB6" i="12"/>
  <c r="K7" i="12"/>
  <c r="M7" i="12"/>
  <c r="P7" i="12"/>
  <c r="Q7" i="12"/>
  <c r="S7" i="12"/>
  <c r="T7" i="12"/>
  <c r="U7" i="12"/>
  <c r="V7" i="12"/>
  <c r="X7" i="12"/>
  <c r="Y7" i="12"/>
  <c r="Z7" i="12"/>
  <c r="AA7" i="12"/>
  <c r="AB7" i="12"/>
  <c r="K8" i="12"/>
  <c r="M8" i="12"/>
  <c r="P8" i="12"/>
  <c r="Q8" i="12"/>
  <c r="S8" i="12"/>
  <c r="T8" i="12"/>
  <c r="U8" i="12"/>
  <c r="V8" i="12"/>
  <c r="X8" i="12"/>
  <c r="Y8" i="12"/>
  <c r="Z8" i="12"/>
  <c r="AA8" i="12"/>
  <c r="AB8" i="12"/>
  <c r="K9" i="12"/>
  <c r="M9" i="12"/>
  <c r="P9" i="12"/>
  <c r="Q9" i="12"/>
  <c r="S9" i="12"/>
  <c r="T9" i="12"/>
  <c r="U9" i="12"/>
  <c r="V9" i="12"/>
  <c r="X9" i="12"/>
  <c r="Y9" i="12"/>
  <c r="Z9" i="12"/>
  <c r="AA9" i="12"/>
  <c r="AB9" i="12"/>
  <c r="K10" i="12"/>
  <c r="M10" i="12"/>
  <c r="P10" i="12"/>
  <c r="Q10" i="12"/>
  <c r="S10" i="12"/>
  <c r="T10" i="12"/>
  <c r="U10" i="12"/>
  <c r="V10" i="12"/>
  <c r="X10" i="12"/>
  <c r="Y10" i="12"/>
  <c r="Z10" i="12"/>
  <c r="AA10" i="12"/>
  <c r="AB10" i="12"/>
  <c r="K11" i="12"/>
  <c r="M11" i="12"/>
  <c r="P11" i="12"/>
  <c r="Q11" i="12"/>
  <c r="S11" i="12"/>
  <c r="T11" i="12"/>
  <c r="U11" i="12"/>
  <c r="V11" i="12"/>
  <c r="X11" i="12"/>
  <c r="Y11" i="12"/>
  <c r="Z11" i="12"/>
  <c r="AA11" i="12"/>
  <c r="AB11" i="12"/>
  <c r="K12" i="12"/>
  <c r="M12" i="12"/>
  <c r="P12" i="12"/>
  <c r="Q12" i="12"/>
  <c r="S12" i="12"/>
  <c r="T12" i="12"/>
  <c r="U12" i="12"/>
  <c r="V12" i="12"/>
  <c r="X12" i="12"/>
  <c r="Y12" i="12"/>
  <c r="Z12" i="12"/>
  <c r="AA12" i="12"/>
  <c r="AB12" i="12"/>
  <c r="K13" i="12"/>
  <c r="M13" i="12"/>
  <c r="P13" i="12"/>
  <c r="Q13" i="12"/>
  <c r="S13" i="12"/>
  <c r="T13" i="12"/>
  <c r="U13" i="12"/>
  <c r="V13" i="12"/>
  <c r="X13" i="12"/>
  <c r="Y13" i="12"/>
  <c r="Z13" i="12"/>
  <c r="AA13" i="12"/>
  <c r="AB13" i="12"/>
  <c r="K14" i="12"/>
  <c r="M14" i="12"/>
  <c r="P14" i="12"/>
  <c r="Q14" i="12"/>
  <c r="S14" i="12"/>
  <c r="T14" i="12"/>
  <c r="U14" i="12"/>
  <c r="V14" i="12"/>
  <c r="X14" i="12"/>
  <c r="Y14" i="12"/>
  <c r="Z14" i="12"/>
  <c r="AA14" i="12"/>
  <c r="AB14" i="12"/>
  <c r="K15" i="12"/>
  <c r="M15" i="12"/>
  <c r="P15" i="12"/>
  <c r="Q15" i="12"/>
  <c r="S15" i="12"/>
  <c r="T15" i="12"/>
  <c r="U15" i="12"/>
  <c r="V15" i="12"/>
  <c r="X15" i="12"/>
  <c r="Y15" i="12"/>
  <c r="Z15" i="12"/>
  <c r="AA15" i="12"/>
  <c r="AB15" i="12"/>
  <c r="K16" i="12"/>
  <c r="M16" i="12"/>
  <c r="P16" i="12"/>
  <c r="Q16" i="12"/>
  <c r="S16" i="12"/>
  <c r="T16" i="12"/>
  <c r="U16" i="12"/>
  <c r="V16" i="12"/>
  <c r="X16" i="12"/>
  <c r="Y16" i="12"/>
  <c r="Z16" i="12"/>
  <c r="AA16" i="12"/>
  <c r="AB16" i="12"/>
  <c r="K17" i="12"/>
  <c r="M17" i="12"/>
  <c r="P17" i="12"/>
  <c r="Q17" i="12"/>
  <c r="S17" i="12"/>
  <c r="T17" i="12"/>
  <c r="U17" i="12"/>
  <c r="V17" i="12"/>
  <c r="X17" i="12"/>
  <c r="Y17" i="12"/>
  <c r="Z17" i="12"/>
  <c r="AA17" i="12"/>
  <c r="AB17" i="12"/>
  <c r="K18" i="12"/>
  <c r="P18" i="12"/>
  <c r="Q18" i="12"/>
  <c r="S18" i="12"/>
  <c r="T18" i="12"/>
  <c r="U18" i="12"/>
  <c r="V18" i="12"/>
  <c r="X18" i="12"/>
  <c r="Y18" i="12"/>
  <c r="Z18" i="12"/>
  <c r="AA18" i="12"/>
  <c r="AB18" i="12"/>
  <c r="X19" i="12"/>
  <c r="Y19" i="12"/>
  <c r="Z19" i="12"/>
  <c r="P2" i="1"/>
  <c r="Q2" i="1"/>
  <c r="S2" i="1"/>
  <c r="T2" i="1"/>
  <c r="U2" i="1"/>
  <c r="V2" i="1"/>
  <c r="X2" i="1"/>
  <c r="Y2" i="1"/>
  <c r="Z2" i="1"/>
  <c r="AA2" i="1"/>
  <c r="AB2" i="1"/>
  <c r="K3" i="1"/>
  <c r="M3" i="1"/>
  <c r="P3" i="1"/>
  <c r="Q3" i="1"/>
  <c r="S3" i="1"/>
  <c r="T3" i="1"/>
  <c r="U3" i="1"/>
  <c r="V3" i="1"/>
  <c r="X3" i="1"/>
  <c r="Y3" i="1"/>
  <c r="Z3" i="1"/>
  <c r="AA3" i="1"/>
  <c r="AB3" i="1"/>
  <c r="K4" i="1"/>
  <c r="M4" i="1"/>
  <c r="P4" i="1"/>
  <c r="Q4" i="1"/>
  <c r="S4" i="1"/>
  <c r="T4" i="1"/>
  <c r="U4" i="1"/>
  <c r="V4" i="1"/>
  <c r="X4" i="1"/>
  <c r="Y4" i="1"/>
  <c r="Z4" i="1"/>
  <c r="AA4" i="1"/>
  <c r="AB4" i="1"/>
  <c r="K5" i="1"/>
  <c r="M5" i="1"/>
  <c r="P5" i="1"/>
  <c r="Q5" i="1"/>
  <c r="S5" i="1"/>
  <c r="T5" i="1"/>
  <c r="U5" i="1"/>
  <c r="V5" i="1"/>
  <c r="X5" i="1"/>
  <c r="Y5" i="1"/>
  <c r="Z5" i="1"/>
  <c r="AA5" i="1"/>
  <c r="AB5" i="1"/>
  <c r="K6" i="1"/>
  <c r="M6" i="1"/>
  <c r="P6" i="1"/>
  <c r="Q6" i="1"/>
  <c r="S6" i="1"/>
  <c r="T6" i="1"/>
  <c r="U6" i="1"/>
  <c r="V6" i="1"/>
  <c r="X6" i="1"/>
  <c r="Y6" i="1"/>
  <c r="Z6" i="1"/>
  <c r="AA6" i="1"/>
  <c r="AB6" i="1"/>
  <c r="K7" i="1"/>
  <c r="M7" i="1"/>
  <c r="P7" i="1"/>
  <c r="Q7" i="1"/>
  <c r="S7" i="1"/>
  <c r="T7" i="1"/>
  <c r="U7" i="1"/>
  <c r="V7" i="1"/>
  <c r="X7" i="1"/>
  <c r="Y7" i="1"/>
  <c r="Z7" i="1"/>
  <c r="AA7" i="1"/>
  <c r="AB7" i="1"/>
  <c r="K8" i="1"/>
  <c r="M8" i="1"/>
  <c r="P8" i="1"/>
  <c r="Q8" i="1"/>
  <c r="S8" i="1"/>
  <c r="T8" i="1"/>
  <c r="U8" i="1"/>
  <c r="V8" i="1"/>
  <c r="X8" i="1"/>
  <c r="Y8" i="1"/>
  <c r="Z8" i="1"/>
  <c r="AA8" i="1"/>
  <c r="AB8" i="1"/>
  <c r="K9" i="1"/>
  <c r="M9" i="1"/>
  <c r="P9" i="1"/>
  <c r="Q9" i="1"/>
  <c r="S9" i="1"/>
  <c r="T9" i="1"/>
  <c r="U9" i="1"/>
  <c r="V9" i="1"/>
  <c r="X9" i="1"/>
  <c r="Y9" i="1"/>
  <c r="Z9" i="1"/>
  <c r="AA9" i="1"/>
  <c r="AB9" i="1"/>
  <c r="K10" i="1"/>
  <c r="M10" i="1"/>
  <c r="P10" i="1"/>
  <c r="Q10" i="1"/>
  <c r="S10" i="1"/>
  <c r="T10" i="1"/>
  <c r="U10" i="1"/>
  <c r="V10" i="1"/>
  <c r="X10" i="1"/>
  <c r="Y10" i="1"/>
  <c r="Z10" i="1"/>
  <c r="AA10" i="1"/>
  <c r="AB10" i="1"/>
  <c r="K11" i="1"/>
  <c r="M11" i="1"/>
  <c r="P11" i="1"/>
  <c r="Q11" i="1"/>
  <c r="S11" i="1"/>
  <c r="T11" i="1"/>
  <c r="U11" i="1"/>
  <c r="V11" i="1"/>
  <c r="X11" i="1"/>
  <c r="Y11" i="1"/>
  <c r="Z11" i="1"/>
  <c r="AA11" i="1"/>
  <c r="AB11" i="1"/>
  <c r="K12" i="1"/>
  <c r="M12" i="1"/>
  <c r="P12" i="1"/>
  <c r="Q12" i="1"/>
  <c r="S12" i="1"/>
  <c r="T12" i="1"/>
  <c r="U12" i="1"/>
  <c r="V12" i="1"/>
  <c r="X12" i="1"/>
  <c r="Y12" i="1"/>
  <c r="Z12" i="1"/>
  <c r="AA12" i="1"/>
  <c r="AB12" i="1"/>
  <c r="K13" i="1"/>
  <c r="M13" i="1"/>
  <c r="P13" i="1"/>
  <c r="Q13" i="1"/>
  <c r="S13" i="1"/>
  <c r="T13" i="1"/>
  <c r="U13" i="1"/>
  <c r="V13" i="1"/>
  <c r="X13" i="1"/>
  <c r="Y13" i="1"/>
  <c r="Z13" i="1"/>
  <c r="AA13" i="1"/>
  <c r="AB13" i="1"/>
  <c r="K14" i="1"/>
  <c r="M14" i="1"/>
  <c r="P14" i="1"/>
  <c r="Q14" i="1"/>
  <c r="S14" i="1"/>
  <c r="T14" i="1"/>
  <c r="U14" i="1"/>
  <c r="V14" i="1"/>
  <c r="X14" i="1"/>
  <c r="Y14" i="1"/>
  <c r="Z14" i="1"/>
  <c r="AA14" i="1"/>
  <c r="AB14" i="1"/>
  <c r="K15" i="1"/>
  <c r="M15" i="1"/>
  <c r="P15" i="1"/>
  <c r="Q15" i="1"/>
  <c r="S15" i="1"/>
  <c r="T15" i="1"/>
  <c r="U15" i="1"/>
  <c r="V15" i="1"/>
  <c r="X15" i="1"/>
  <c r="Y15" i="1"/>
  <c r="Z15" i="1"/>
  <c r="AA15" i="1"/>
  <c r="AB15" i="1"/>
  <c r="K16" i="1"/>
  <c r="M16" i="1"/>
  <c r="P16" i="1"/>
  <c r="Q16" i="1"/>
  <c r="S16" i="1"/>
  <c r="T16" i="1"/>
  <c r="U16" i="1"/>
  <c r="V16" i="1"/>
  <c r="X16" i="1"/>
  <c r="Y16" i="1"/>
  <c r="Z16" i="1"/>
  <c r="AA16" i="1"/>
  <c r="AB16" i="1"/>
  <c r="K17" i="1"/>
  <c r="M17" i="1"/>
  <c r="P17" i="1"/>
  <c r="Q17" i="1"/>
  <c r="S17" i="1"/>
  <c r="T17" i="1"/>
  <c r="U17" i="1"/>
  <c r="V17" i="1"/>
  <c r="X17" i="1"/>
  <c r="Y17" i="1"/>
  <c r="Z17" i="1"/>
  <c r="AA17" i="1"/>
  <c r="AB17" i="1"/>
  <c r="K18" i="1"/>
  <c r="M18" i="1"/>
  <c r="P18" i="1"/>
  <c r="Q18" i="1"/>
  <c r="S18" i="1"/>
  <c r="T18" i="1"/>
  <c r="U18" i="1"/>
  <c r="V18" i="1"/>
  <c r="X18" i="1"/>
  <c r="Y18" i="1"/>
  <c r="Z18" i="1"/>
  <c r="AA18" i="1"/>
  <c r="AB18" i="1"/>
  <c r="K2" i="2"/>
  <c r="M2" i="2"/>
  <c r="P2" i="2"/>
  <c r="Q2" i="2"/>
  <c r="S2" i="2"/>
  <c r="T2" i="2"/>
  <c r="U2" i="2"/>
  <c r="V2" i="2"/>
  <c r="X2" i="2"/>
  <c r="Y2" i="2"/>
  <c r="Z2" i="2"/>
  <c r="AA2" i="2"/>
  <c r="AB2" i="2"/>
  <c r="K3" i="2"/>
  <c r="M3" i="2"/>
  <c r="P3" i="2"/>
  <c r="Q3" i="2"/>
  <c r="S3" i="2"/>
  <c r="T3" i="2"/>
  <c r="U3" i="2"/>
  <c r="V3" i="2"/>
  <c r="X3" i="2"/>
  <c r="Y3" i="2"/>
  <c r="Z3" i="2"/>
  <c r="AA3" i="2"/>
  <c r="AB3" i="2"/>
  <c r="K4" i="2"/>
  <c r="M4" i="2"/>
  <c r="P4" i="2"/>
  <c r="Q4" i="2"/>
  <c r="S4" i="2"/>
  <c r="T4" i="2"/>
  <c r="U4" i="2"/>
  <c r="V4" i="2"/>
  <c r="X4" i="2"/>
  <c r="Y4" i="2"/>
  <c r="Z4" i="2"/>
  <c r="AA4" i="2"/>
  <c r="AB4" i="2"/>
  <c r="K5" i="2"/>
  <c r="M5" i="2"/>
  <c r="P5" i="2"/>
  <c r="Q5" i="2"/>
  <c r="S5" i="2"/>
  <c r="T5" i="2"/>
  <c r="U5" i="2"/>
  <c r="V5" i="2"/>
  <c r="X5" i="2"/>
  <c r="Y5" i="2"/>
  <c r="Z5" i="2"/>
  <c r="AA5" i="2"/>
  <c r="AB5" i="2"/>
  <c r="K6" i="2"/>
  <c r="M6" i="2"/>
  <c r="P6" i="2"/>
  <c r="Q6" i="2"/>
  <c r="S6" i="2"/>
  <c r="T6" i="2"/>
  <c r="U6" i="2"/>
  <c r="V6" i="2"/>
  <c r="X6" i="2"/>
  <c r="Y6" i="2"/>
  <c r="Z6" i="2"/>
  <c r="AA6" i="2"/>
  <c r="AB6" i="2"/>
  <c r="K7" i="2"/>
  <c r="M7" i="2"/>
  <c r="P7" i="2"/>
  <c r="Q7" i="2"/>
  <c r="S7" i="2"/>
  <c r="T7" i="2"/>
  <c r="U7" i="2"/>
  <c r="V7" i="2"/>
  <c r="X7" i="2"/>
  <c r="Y7" i="2"/>
  <c r="Z7" i="2"/>
  <c r="AA7" i="2"/>
  <c r="AB7" i="2"/>
  <c r="K8" i="2"/>
  <c r="M8" i="2"/>
  <c r="P8" i="2"/>
  <c r="Q8" i="2"/>
  <c r="S8" i="2"/>
  <c r="T8" i="2"/>
  <c r="U8" i="2"/>
  <c r="V8" i="2"/>
  <c r="X8" i="2"/>
  <c r="Y8" i="2"/>
  <c r="Z8" i="2"/>
  <c r="AA8" i="2"/>
  <c r="AB8" i="2"/>
  <c r="K9" i="2"/>
  <c r="M9" i="2"/>
  <c r="P9" i="2"/>
  <c r="Q9" i="2"/>
  <c r="S9" i="2"/>
  <c r="T9" i="2"/>
  <c r="U9" i="2"/>
  <c r="V9" i="2"/>
  <c r="X9" i="2"/>
  <c r="Y9" i="2"/>
  <c r="Z9" i="2"/>
  <c r="AA9" i="2"/>
  <c r="AB9" i="2"/>
  <c r="K10" i="2"/>
  <c r="M10" i="2"/>
  <c r="P10" i="2"/>
  <c r="Q10" i="2"/>
  <c r="S10" i="2"/>
  <c r="T10" i="2"/>
  <c r="U10" i="2"/>
  <c r="V10" i="2"/>
  <c r="X10" i="2"/>
  <c r="Y10" i="2"/>
  <c r="Z10" i="2"/>
  <c r="AA10" i="2"/>
  <c r="AB10" i="2"/>
  <c r="K11" i="2"/>
  <c r="M11" i="2"/>
  <c r="P11" i="2"/>
  <c r="Q11" i="2"/>
  <c r="S11" i="2"/>
  <c r="T11" i="2"/>
  <c r="U11" i="2"/>
  <c r="V11" i="2"/>
  <c r="X11" i="2"/>
  <c r="Y11" i="2"/>
  <c r="Z11" i="2"/>
  <c r="AA11" i="2"/>
  <c r="AB11" i="2"/>
  <c r="K12" i="2"/>
  <c r="M12" i="2"/>
  <c r="P12" i="2"/>
  <c r="Q12" i="2"/>
  <c r="S12" i="2"/>
  <c r="T12" i="2"/>
  <c r="U12" i="2"/>
  <c r="V12" i="2"/>
  <c r="X12" i="2"/>
  <c r="Y12" i="2"/>
  <c r="Z12" i="2"/>
  <c r="AA12" i="2"/>
  <c r="AB12" i="2"/>
  <c r="K13" i="2"/>
  <c r="M13" i="2"/>
  <c r="P13" i="2"/>
  <c r="Q13" i="2"/>
  <c r="S13" i="2"/>
  <c r="T13" i="2"/>
  <c r="U13" i="2"/>
  <c r="V13" i="2"/>
  <c r="X13" i="2"/>
  <c r="Y13" i="2"/>
  <c r="Z13" i="2"/>
  <c r="AA13" i="2"/>
  <c r="AB13" i="2"/>
  <c r="K14" i="2"/>
  <c r="M14" i="2"/>
  <c r="P14" i="2"/>
  <c r="Q14" i="2"/>
  <c r="S14" i="2"/>
  <c r="T14" i="2"/>
  <c r="U14" i="2"/>
  <c r="V14" i="2"/>
  <c r="X14" i="2"/>
  <c r="Y14" i="2"/>
  <c r="Z14" i="2"/>
  <c r="AA14" i="2"/>
  <c r="AB14" i="2"/>
  <c r="K15" i="2"/>
  <c r="M15" i="2"/>
  <c r="P15" i="2"/>
  <c r="Q15" i="2"/>
  <c r="S15" i="2"/>
  <c r="T15" i="2"/>
  <c r="U15" i="2"/>
  <c r="V15" i="2"/>
  <c r="X15" i="2"/>
  <c r="Y15" i="2"/>
  <c r="Z15" i="2"/>
  <c r="AA15" i="2"/>
  <c r="AB15" i="2"/>
  <c r="K16" i="2"/>
  <c r="M16" i="2"/>
  <c r="P16" i="2"/>
  <c r="Q16" i="2"/>
  <c r="S16" i="2"/>
  <c r="T16" i="2"/>
  <c r="U16" i="2"/>
  <c r="V16" i="2"/>
  <c r="X16" i="2"/>
  <c r="Y16" i="2"/>
  <c r="Z16" i="2"/>
  <c r="AA16" i="2"/>
  <c r="AB16" i="2"/>
  <c r="K17" i="2"/>
  <c r="M17" i="2"/>
  <c r="P17" i="2"/>
  <c r="Q17" i="2"/>
  <c r="S17" i="2"/>
  <c r="T17" i="2"/>
  <c r="U17" i="2"/>
  <c r="V17" i="2"/>
  <c r="X17" i="2"/>
  <c r="Y17" i="2"/>
  <c r="Z17" i="2"/>
  <c r="AA17" i="2"/>
  <c r="AB17" i="2"/>
  <c r="K18" i="2"/>
  <c r="M18" i="2"/>
  <c r="P18" i="2"/>
  <c r="Q18" i="2"/>
  <c r="S18" i="2"/>
  <c r="T18" i="2"/>
  <c r="U18" i="2"/>
  <c r="V18" i="2"/>
  <c r="X18" i="2"/>
  <c r="Y18" i="2"/>
  <c r="Z18" i="2"/>
  <c r="AA18" i="2"/>
  <c r="AB18" i="2"/>
  <c r="K19" i="2"/>
  <c r="M19" i="2"/>
  <c r="P19" i="2"/>
  <c r="Q19" i="2"/>
  <c r="S19" i="2"/>
  <c r="T19" i="2"/>
  <c r="U19" i="2"/>
  <c r="V19" i="2"/>
  <c r="X19" i="2"/>
  <c r="Y19" i="2"/>
  <c r="Z19" i="2"/>
  <c r="AA19" i="2"/>
  <c r="AB19" i="2"/>
  <c r="M2" i="3"/>
  <c r="P2" i="3"/>
  <c r="Q2" i="3"/>
  <c r="S2" i="3"/>
  <c r="T2" i="3"/>
  <c r="U2" i="3"/>
  <c r="V2" i="3"/>
  <c r="X2" i="3"/>
  <c r="Y2" i="3"/>
  <c r="Z2" i="3"/>
  <c r="AA2" i="3"/>
  <c r="AB2" i="3"/>
  <c r="K3" i="3"/>
  <c r="M3" i="3"/>
  <c r="P3" i="3"/>
  <c r="Q3" i="3"/>
  <c r="S3" i="3"/>
  <c r="T3" i="3"/>
  <c r="U3" i="3"/>
  <c r="V3" i="3"/>
  <c r="X3" i="3"/>
  <c r="Y3" i="3"/>
  <c r="Z3" i="3"/>
  <c r="AA3" i="3"/>
  <c r="AB3" i="3"/>
  <c r="K4" i="3"/>
  <c r="M4" i="3"/>
  <c r="P4" i="3"/>
  <c r="Q4" i="3"/>
  <c r="S4" i="3"/>
  <c r="T4" i="3"/>
  <c r="U4" i="3"/>
  <c r="V4" i="3"/>
  <c r="X4" i="3"/>
  <c r="Y4" i="3"/>
  <c r="Z4" i="3"/>
  <c r="AA4" i="3"/>
  <c r="AB4" i="3"/>
  <c r="K5" i="3"/>
  <c r="M5" i="3"/>
  <c r="P5" i="3"/>
  <c r="Q5" i="3"/>
  <c r="S5" i="3"/>
  <c r="T5" i="3"/>
  <c r="U5" i="3"/>
  <c r="V5" i="3"/>
  <c r="X5" i="3"/>
  <c r="Y5" i="3"/>
  <c r="Z5" i="3"/>
  <c r="AA5" i="3"/>
  <c r="AB5" i="3"/>
  <c r="K6" i="3"/>
  <c r="M6" i="3"/>
  <c r="P6" i="3"/>
  <c r="Q6" i="3"/>
  <c r="S6" i="3"/>
  <c r="T6" i="3"/>
  <c r="U6" i="3"/>
  <c r="V6" i="3"/>
  <c r="X6" i="3"/>
  <c r="Y6" i="3"/>
  <c r="Z6" i="3"/>
  <c r="AA6" i="3"/>
  <c r="AB6" i="3"/>
  <c r="K7" i="3"/>
  <c r="M7" i="3"/>
  <c r="P7" i="3"/>
  <c r="Q7" i="3"/>
  <c r="S7" i="3"/>
  <c r="T7" i="3"/>
  <c r="U7" i="3"/>
  <c r="V7" i="3"/>
  <c r="X7" i="3"/>
  <c r="Y7" i="3"/>
  <c r="Z7" i="3"/>
  <c r="AA7" i="3"/>
  <c r="AB7" i="3"/>
  <c r="K8" i="3"/>
  <c r="M8" i="3"/>
  <c r="P8" i="3"/>
  <c r="Q8" i="3"/>
  <c r="S8" i="3"/>
  <c r="T8" i="3"/>
  <c r="U8" i="3"/>
  <c r="V8" i="3"/>
  <c r="X8" i="3"/>
  <c r="Y8" i="3"/>
  <c r="Z8" i="3"/>
  <c r="AA8" i="3"/>
  <c r="AB8" i="3"/>
  <c r="K9" i="3"/>
  <c r="M9" i="3"/>
  <c r="P9" i="3"/>
  <c r="Q9" i="3"/>
  <c r="S9" i="3"/>
  <c r="T9" i="3"/>
  <c r="U9" i="3"/>
  <c r="V9" i="3"/>
  <c r="X9" i="3"/>
  <c r="Y9" i="3"/>
  <c r="Z9" i="3"/>
  <c r="AA9" i="3"/>
  <c r="AB9" i="3"/>
  <c r="K10" i="3"/>
  <c r="M10" i="3"/>
  <c r="P10" i="3"/>
  <c r="Q10" i="3"/>
  <c r="S10" i="3"/>
  <c r="T10" i="3"/>
  <c r="U10" i="3"/>
  <c r="V10" i="3"/>
  <c r="X10" i="3"/>
  <c r="Y10" i="3"/>
  <c r="Z10" i="3"/>
  <c r="AA10" i="3"/>
  <c r="AB10" i="3"/>
  <c r="K11" i="3"/>
  <c r="M11" i="3"/>
  <c r="P11" i="3"/>
  <c r="Q11" i="3"/>
  <c r="S11" i="3"/>
  <c r="T11" i="3"/>
  <c r="U11" i="3"/>
  <c r="V11" i="3"/>
  <c r="X11" i="3"/>
  <c r="Y11" i="3"/>
  <c r="Z11" i="3"/>
  <c r="AA11" i="3"/>
  <c r="AB11" i="3"/>
  <c r="K12" i="3"/>
  <c r="M12" i="3"/>
  <c r="P12" i="3"/>
  <c r="Q12" i="3"/>
  <c r="S12" i="3"/>
  <c r="T12" i="3"/>
  <c r="U12" i="3"/>
  <c r="V12" i="3"/>
  <c r="X12" i="3"/>
  <c r="Y12" i="3"/>
  <c r="Z12" i="3"/>
  <c r="AA12" i="3"/>
  <c r="AB12" i="3"/>
  <c r="K13" i="3"/>
  <c r="M13" i="3"/>
  <c r="P13" i="3"/>
  <c r="Q13" i="3"/>
  <c r="S13" i="3"/>
  <c r="T13" i="3"/>
  <c r="U13" i="3"/>
  <c r="V13" i="3"/>
  <c r="X13" i="3"/>
  <c r="Y13" i="3"/>
  <c r="Z13" i="3"/>
  <c r="AA13" i="3"/>
  <c r="AB13" i="3"/>
  <c r="K14" i="3"/>
  <c r="M14" i="3"/>
  <c r="P14" i="3"/>
  <c r="Q14" i="3"/>
  <c r="S14" i="3"/>
  <c r="T14" i="3"/>
  <c r="U14" i="3"/>
  <c r="V14" i="3"/>
  <c r="X14" i="3"/>
  <c r="Y14" i="3"/>
  <c r="Z14" i="3"/>
  <c r="AA14" i="3"/>
  <c r="AB14" i="3"/>
  <c r="K15" i="3"/>
  <c r="M15" i="3"/>
  <c r="P15" i="3"/>
  <c r="Q15" i="3"/>
  <c r="S15" i="3"/>
  <c r="T15" i="3"/>
  <c r="U15" i="3"/>
  <c r="V15" i="3"/>
  <c r="X15" i="3"/>
  <c r="Y15" i="3"/>
  <c r="Z15" i="3"/>
  <c r="AA15" i="3"/>
  <c r="AB15" i="3"/>
  <c r="K16" i="3"/>
  <c r="M16" i="3"/>
  <c r="P16" i="3"/>
  <c r="Q16" i="3"/>
  <c r="S16" i="3"/>
  <c r="T16" i="3"/>
  <c r="U16" i="3"/>
  <c r="V16" i="3"/>
  <c r="X16" i="3"/>
  <c r="Y16" i="3"/>
  <c r="Z16" i="3"/>
  <c r="AA16" i="3"/>
  <c r="AB16" i="3"/>
  <c r="K17" i="3"/>
  <c r="M17" i="3"/>
  <c r="P17" i="3"/>
  <c r="Q17" i="3"/>
  <c r="S17" i="3"/>
  <c r="T17" i="3"/>
  <c r="U17" i="3"/>
  <c r="V17" i="3"/>
  <c r="X17" i="3"/>
  <c r="Y17" i="3"/>
  <c r="Z17" i="3"/>
  <c r="AA17" i="3"/>
  <c r="AB17" i="3"/>
  <c r="K18" i="3"/>
  <c r="M18" i="3"/>
  <c r="P18" i="3"/>
  <c r="Q18" i="3"/>
  <c r="S18" i="3"/>
  <c r="T18" i="3"/>
  <c r="U18" i="3"/>
  <c r="V18" i="3"/>
  <c r="X18" i="3"/>
  <c r="Y18" i="3"/>
  <c r="Z18" i="3"/>
  <c r="AA18" i="3"/>
  <c r="AB18" i="3"/>
  <c r="K19" i="3"/>
  <c r="M19" i="3"/>
  <c r="P19" i="3"/>
  <c r="Q19" i="3"/>
  <c r="S19" i="3"/>
  <c r="T19" i="3"/>
  <c r="U19" i="3"/>
  <c r="V19" i="3"/>
  <c r="X19" i="3"/>
  <c r="Y19" i="3"/>
  <c r="Z19" i="3"/>
  <c r="AA19" i="3"/>
  <c r="AB19" i="3"/>
  <c r="K20" i="3"/>
  <c r="M20" i="3"/>
  <c r="P20" i="3"/>
  <c r="Q20" i="3"/>
  <c r="S20" i="3"/>
  <c r="T20" i="3"/>
  <c r="U20" i="3"/>
  <c r="V20" i="3"/>
  <c r="X20" i="3"/>
  <c r="Y20" i="3"/>
  <c r="Z20" i="3"/>
  <c r="AA20" i="3"/>
  <c r="AB20" i="3"/>
  <c r="K21" i="3"/>
  <c r="M21" i="3"/>
  <c r="P21" i="3"/>
  <c r="Q21" i="3"/>
  <c r="S21" i="3"/>
  <c r="T21" i="3"/>
  <c r="U21" i="3"/>
  <c r="V21" i="3"/>
  <c r="X21" i="3"/>
  <c r="Y21" i="3"/>
  <c r="Z21" i="3"/>
  <c r="AA21" i="3"/>
  <c r="AB21" i="3"/>
  <c r="K2" i="4"/>
  <c r="M2" i="4"/>
  <c r="P2" i="4"/>
  <c r="Q2" i="4"/>
  <c r="S2" i="4"/>
  <c r="T2" i="4"/>
  <c r="U2" i="4"/>
  <c r="V2" i="4"/>
  <c r="X2" i="4"/>
  <c r="Y2" i="4"/>
  <c r="Z2" i="4"/>
  <c r="AA2" i="4"/>
  <c r="AB2" i="4"/>
  <c r="K3" i="4"/>
  <c r="M3" i="4"/>
  <c r="P3" i="4"/>
  <c r="Q3" i="4"/>
  <c r="S3" i="4"/>
  <c r="T3" i="4"/>
  <c r="U3" i="4"/>
  <c r="V3" i="4"/>
  <c r="X3" i="4"/>
  <c r="Y3" i="4"/>
  <c r="Z3" i="4"/>
  <c r="AA3" i="4"/>
  <c r="AB3" i="4"/>
  <c r="K4" i="4"/>
  <c r="M4" i="4"/>
  <c r="P4" i="4"/>
  <c r="Q4" i="4"/>
  <c r="S4" i="4"/>
  <c r="T4" i="4"/>
  <c r="U4" i="4"/>
  <c r="V4" i="4"/>
  <c r="X4" i="4"/>
  <c r="Y4" i="4"/>
  <c r="Z4" i="4"/>
  <c r="AA4" i="4"/>
  <c r="AB4" i="4"/>
  <c r="K5" i="4"/>
  <c r="M5" i="4"/>
  <c r="P5" i="4"/>
  <c r="Q5" i="4"/>
  <c r="S5" i="4"/>
  <c r="T5" i="4"/>
  <c r="U5" i="4"/>
  <c r="V5" i="4"/>
  <c r="X5" i="4"/>
  <c r="Y5" i="4"/>
  <c r="Z5" i="4"/>
  <c r="AA5" i="4"/>
  <c r="AB5" i="4"/>
  <c r="K6" i="4"/>
  <c r="M6" i="4"/>
  <c r="P6" i="4"/>
  <c r="Q6" i="4"/>
  <c r="S6" i="4"/>
  <c r="T6" i="4"/>
  <c r="U6" i="4"/>
  <c r="V6" i="4"/>
  <c r="X6" i="4"/>
  <c r="Y6" i="4"/>
  <c r="Z6" i="4"/>
  <c r="AA6" i="4"/>
  <c r="AB6" i="4"/>
  <c r="K7" i="4"/>
  <c r="M7" i="4"/>
  <c r="P7" i="4"/>
  <c r="Q7" i="4"/>
  <c r="S7" i="4"/>
  <c r="T7" i="4"/>
  <c r="U7" i="4"/>
  <c r="V7" i="4"/>
  <c r="X7" i="4"/>
  <c r="Y7" i="4"/>
  <c r="Z7" i="4"/>
  <c r="AA7" i="4"/>
  <c r="AB7" i="4"/>
  <c r="K8" i="4"/>
  <c r="M8" i="4"/>
  <c r="P8" i="4"/>
  <c r="Q8" i="4"/>
  <c r="S8" i="4"/>
  <c r="T8" i="4"/>
  <c r="U8" i="4"/>
  <c r="V8" i="4"/>
  <c r="X8" i="4"/>
  <c r="Y8" i="4"/>
  <c r="Z8" i="4"/>
  <c r="AA8" i="4"/>
  <c r="AB8" i="4"/>
  <c r="K9" i="4"/>
  <c r="M9" i="4"/>
  <c r="P9" i="4"/>
  <c r="Q9" i="4"/>
  <c r="S9" i="4"/>
  <c r="T9" i="4"/>
  <c r="U9" i="4"/>
  <c r="V9" i="4"/>
  <c r="X9" i="4"/>
  <c r="Y9" i="4"/>
  <c r="Z9" i="4"/>
  <c r="AA9" i="4"/>
  <c r="AB9" i="4"/>
  <c r="K10" i="4"/>
  <c r="M10" i="4"/>
  <c r="P10" i="4"/>
  <c r="Q10" i="4"/>
  <c r="S10" i="4"/>
  <c r="T10" i="4"/>
  <c r="U10" i="4"/>
  <c r="V10" i="4"/>
  <c r="X10" i="4"/>
  <c r="Y10" i="4"/>
  <c r="Z10" i="4"/>
  <c r="AA10" i="4"/>
  <c r="AB10" i="4"/>
  <c r="K11" i="4"/>
  <c r="M11" i="4"/>
  <c r="P11" i="4"/>
  <c r="Q11" i="4"/>
  <c r="S11" i="4"/>
  <c r="T11" i="4"/>
  <c r="U11" i="4"/>
  <c r="V11" i="4"/>
  <c r="X11" i="4"/>
  <c r="Y11" i="4"/>
  <c r="Z11" i="4"/>
  <c r="AA11" i="4"/>
  <c r="AB11" i="4"/>
  <c r="K12" i="4"/>
  <c r="M12" i="4"/>
  <c r="P12" i="4"/>
  <c r="Q12" i="4"/>
  <c r="S12" i="4"/>
  <c r="T12" i="4"/>
  <c r="U12" i="4"/>
  <c r="V12" i="4"/>
  <c r="X12" i="4"/>
  <c r="Y12" i="4"/>
  <c r="Z12" i="4"/>
  <c r="AA12" i="4"/>
  <c r="AB12" i="4"/>
  <c r="K13" i="4"/>
  <c r="M13" i="4"/>
  <c r="P13" i="4"/>
  <c r="Q13" i="4"/>
  <c r="S13" i="4"/>
  <c r="T13" i="4"/>
  <c r="U13" i="4"/>
  <c r="V13" i="4"/>
  <c r="X13" i="4"/>
  <c r="Y13" i="4"/>
  <c r="Z13" i="4"/>
  <c r="AA13" i="4"/>
  <c r="AB13" i="4"/>
  <c r="K14" i="4"/>
  <c r="M14" i="4"/>
  <c r="P14" i="4"/>
  <c r="Q14" i="4"/>
  <c r="S14" i="4"/>
  <c r="T14" i="4"/>
  <c r="U14" i="4"/>
  <c r="V14" i="4"/>
  <c r="X14" i="4"/>
  <c r="Y14" i="4"/>
  <c r="Z14" i="4"/>
  <c r="AA14" i="4"/>
  <c r="AB14" i="4"/>
  <c r="K15" i="4"/>
  <c r="M15" i="4"/>
  <c r="P15" i="4"/>
  <c r="Q15" i="4"/>
  <c r="S15" i="4"/>
  <c r="T15" i="4"/>
  <c r="U15" i="4"/>
  <c r="V15" i="4"/>
  <c r="X15" i="4"/>
  <c r="Y15" i="4"/>
  <c r="Z15" i="4"/>
  <c r="AA15" i="4"/>
  <c r="AB15" i="4"/>
  <c r="K16" i="4"/>
  <c r="M16" i="4"/>
  <c r="P16" i="4"/>
  <c r="Q16" i="4"/>
  <c r="S16" i="4"/>
  <c r="T16" i="4"/>
  <c r="U16" i="4"/>
  <c r="V16" i="4"/>
  <c r="X16" i="4"/>
  <c r="Y16" i="4"/>
  <c r="Z16" i="4"/>
  <c r="AA16" i="4"/>
  <c r="AB16" i="4"/>
  <c r="K17" i="4"/>
  <c r="M17" i="4"/>
  <c r="P17" i="4"/>
  <c r="Q17" i="4"/>
  <c r="S17" i="4"/>
  <c r="T17" i="4"/>
  <c r="U17" i="4"/>
  <c r="V17" i="4"/>
  <c r="X17" i="4"/>
  <c r="Y17" i="4"/>
  <c r="Z17" i="4"/>
  <c r="AA17" i="4"/>
  <c r="AB17" i="4"/>
  <c r="K18" i="4"/>
  <c r="M18" i="4"/>
  <c r="P18" i="4"/>
  <c r="Q18" i="4"/>
  <c r="S18" i="4"/>
  <c r="T18" i="4"/>
  <c r="U18" i="4"/>
  <c r="V18" i="4"/>
  <c r="X18" i="4"/>
  <c r="Y18" i="4"/>
  <c r="Z18" i="4"/>
  <c r="AA18" i="4"/>
  <c r="AB18" i="4"/>
  <c r="K19" i="4"/>
  <c r="M19" i="4"/>
  <c r="P19" i="4"/>
  <c r="Q19" i="4"/>
  <c r="S19" i="4"/>
  <c r="T19" i="4"/>
  <c r="U19" i="4"/>
  <c r="V19" i="4"/>
  <c r="X19" i="4"/>
  <c r="Y19" i="4"/>
  <c r="Z19" i="4"/>
  <c r="AA19" i="4"/>
  <c r="AB19" i="4"/>
  <c r="K20" i="4"/>
  <c r="M20" i="4"/>
  <c r="P20" i="4"/>
  <c r="Q20" i="4"/>
  <c r="S20" i="4"/>
  <c r="T20" i="4"/>
  <c r="U20" i="4"/>
  <c r="V20" i="4"/>
  <c r="X20" i="4"/>
  <c r="Y20" i="4"/>
  <c r="Z20" i="4"/>
  <c r="AA20" i="4"/>
  <c r="AB20" i="4"/>
  <c r="K21" i="4"/>
  <c r="M21" i="4"/>
  <c r="P21" i="4"/>
  <c r="Q21" i="4"/>
  <c r="S21" i="4"/>
  <c r="T21" i="4"/>
  <c r="U21" i="4"/>
  <c r="V21" i="4"/>
  <c r="X21" i="4"/>
  <c r="Y21" i="4"/>
  <c r="Z21" i="4"/>
  <c r="AA21" i="4"/>
  <c r="AB21" i="4"/>
  <c r="K2" i="5"/>
  <c r="M2" i="5"/>
  <c r="P2" i="5"/>
  <c r="Q2" i="5"/>
  <c r="S2" i="5"/>
  <c r="T2" i="5"/>
  <c r="U2" i="5"/>
  <c r="V2" i="5"/>
  <c r="X2" i="5"/>
  <c r="Y2" i="5"/>
  <c r="Z2" i="5"/>
  <c r="AA2" i="5"/>
  <c r="AB2" i="5"/>
  <c r="K3" i="5"/>
  <c r="M3" i="5"/>
  <c r="P3" i="5"/>
  <c r="Q3" i="5"/>
  <c r="S3" i="5"/>
  <c r="T3" i="5"/>
  <c r="U3" i="5"/>
  <c r="V3" i="5"/>
  <c r="X3" i="5"/>
  <c r="Y3" i="5"/>
  <c r="Z3" i="5"/>
  <c r="AA3" i="5"/>
  <c r="AB3" i="5"/>
  <c r="K4" i="5"/>
  <c r="M4" i="5"/>
  <c r="P4" i="5"/>
  <c r="Q4" i="5"/>
  <c r="S4" i="5"/>
  <c r="T4" i="5"/>
  <c r="U4" i="5"/>
  <c r="V4" i="5"/>
  <c r="X4" i="5"/>
  <c r="Y4" i="5"/>
  <c r="Z4" i="5"/>
  <c r="AA4" i="5"/>
  <c r="AB4" i="5"/>
  <c r="K5" i="5"/>
  <c r="M5" i="5"/>
  <c r="P5" i="5"/>
  <c r="Q5" i="5"/>
  <c r="S5" i="5"/>
  <c r="T5" i="5"/>
  <c r="U5" i="5"/>
  <c r="V5" i="5"/>
  <c r="X5" i="5"/>
  <c r="Y5" i="5"/>
  <c r="Z5" i="5"/>
  <c r="AA5" i="5"/>
  <c r="AB5" i="5"/>
  <c r="K6" i="5"/>
  <c r="M6" i="5"/>
  <c r="P6" i="5"/>
  <c r="Q6" i="5"/>
  <c r="S6" i="5"/>
  <c r="T6" i="5"/>
  <c r="U6" i="5"/>
  <c r="V6" i="5"/>
  <c r="X6" i="5"/>
  <c r="Y6" i="5"/>
  <c r="Z6" i="5"/>
  <c r="AA6" i="5"/>
  <c r="AB6" i="5"/>
  <c r="K7" i="5"/>
  <c r="M7" i="5"/>
  <c r="P7" i="5"/>
  <c r="Q7" i="5"/>
  <c r="S7" i="5"/>
  <c r="T7" i="5"/>
  <c r="U7" i="5"/>
  <c r="V7" i="5"/>
  <c r="X7" i="5"/>
  <c r="Y7" i="5"/>
  <c r="Z7" i="5"/>
  <c r="AA7" i="5"/>
  <c r="AB7" i="5"/>
  <c r="K8" i="5"/>
  <c r="M8" i="5"/>
  <c r="P8" i="5"/>
  <c r="Q8" i="5"/>
  <c r="S8" i="5"/>
  <c r="T8" i="5"/>
  <c r="U8" i="5"/>
  <c r="V8" i="5"/>
  <c r="X8" i="5"/>
  <c r="Y8" i="5"/>
  <c r="Z8" i="5"/>
  <c r="AA8" i="5"/>
  <c r="AB8" i="5"/>
  <c r="K9" i="5"/>
  <c r="M9" i="5"/>
  <c r="P9" i="5"/>
  <c r="Q9" i="5"/>
  <c r="S9" i="5"/>
  <c r="T9" i="5"/>
  <c r="U9" i="5"/>
  <c r="V9" i="5"/>
  <c r="X9" i="5"/>
  <c r="Y9" i="5"/>
  <c r="Z9" i="5"/>
  <c r="AA9" i="5"/>
  <c r="AB9" i="5"/>
  <c r="K10" i="5"/>
  <c r="M10" i="5"/>
  <c r="P10" i="5"/>
  <c r="Q10" i="5"/>
  <c r="S10" i="5"/>
  <c r="T10" i="5"/>
  <c r="U10" i="5"/>
  <c r="V10" i="5"/>
  <c r="X10" i="5"/>
  <c r="Y10" i="5"/>
  <c r="Z10" i="5"/>
  <c r="AA10" i="5"/>
  <c r="AB10" i="5"/>
  <c r="K11" i="5"/>
  <c r="M11" i="5"/>
  <c r="P11" i="5"/>
  <c r="Q11" i="5"/>
  <c r="S11" i="5"/>
  <c r="T11" i="5"/>
  <c r="U11" i="5"/>
  <c r="V11" i="5"/>
  <c r="X11" i="5"/>
  <c r="Y11" i="5"/>
  <c r="Z11" i="5"/>
  <c r="AA11" i="5"/>
  <c r="AB11" i="5"/>
  <c r="K12" i="5"/>
  <c r="M12" i="5"/>
  <c r="P12" i="5"/>
  <c r="Q12" i="5"/>
  <c r="S12" i="5"/>
  <c r="T12" i="5"/>
  <c r="U12" i="5"/>
  <c r="V12" i="5"/>
  <c r="X12" i="5"/>
  <c r="Y12" i="5"/>
  <c r="Z12" i="5"/>
  <c r="AA12" i="5"/>
  <c r="AB12" i="5"/>
  <c r="K13" i="5"/>
  <c r="M13" i="5"/>
  <c r="P13" i="5"/>
  <c r="Q13" i="5"/>
  <c r="S13" i="5"/>
  <c r="T13" i="5"/>
  <c r="U13" i="5"/>
  <c r="V13" i="5"/>
  <c r="X13" i="5"/>
  <c r="Y13" i="5"/>
  <c r="Z13" i="5"/>
  <c r="AA13" i="5"/>
  <c r="AB13" i="5"/>
  <c r="K14" i="5"/>
  <c r="M14" i="5"/>
  <c r="P14" i="5"/>
  <c r="Q14" i="5"/>
  <c r="S14" i="5"/>
  <c r="T14" i="5"/>
  <c r="U14" i="5"/>
  <c r="V14" i="5"/>
  <c r="X14" i="5"/>
  <c r="Y14" i="5"/>
  <c r="Z14" i="5"/>
  <c r="AA14" i="5"/>
  <c r="AB14" i="5"/>
  <c r="K15" i="5"/>
  <c r="M15" i="5"/>
  <c r="P15" i="5"/>
  <c r="Q15" i="5"/>
  <c r="S15" i="5"/>
  <c r="T15" i="5"/>
  <c r="U15" i="5"/>
  <c r="V15" i="5"/>
  <c r="X15" i="5"/>
  <c r="Y15" i="5"/>
  <c r="Z15" i="5"/>
  <c r="AA15" i="5"/>
  <c r="AB15" i="5"/>
  <c r="K16" i="5"/>
  <c r="M16" i="5"/>
  <c r="P16" i="5"/>
  <c r="Q16" i="5"/>
  <c r="S16" i="5"/>
  <c r="T16" i="5"/>
  <c r="U16" i="5"/>
  <c r="V16" i="5"/>
  <c r="X16" i="5"/>
  <c r="Y16" i="5"/>
  <c r="Z16" i="5"/>
  <c r="AA16" i="5"/>
  <c r="AB16" i="5"/>
  <c r="K17" i="5"/>
  <c r="M17" i="5"/>
  <c r="P17" i="5"/>
  <c r="Q17" i="5"/>
  <c r="S17" i="5"/>
  <c r="T17" i="5"/>
  <c r="U17" i="5"/>
  <c r="V17" i="5"/>
  <c r="X17" i="5"/>
  <c r="Y17" i="5"/>
  <c r="Z17" i="5"/>
  <c r="AA17" i="5"/>
  <c r="AB17" i="5"/>
  <c r="K18" i="5"/>
  <c r="M18" i="5"/>
  <c r="P18" i="5"/>
  <c r="Q18" i="5"/>
  <c r="S18" i="5"/>
  <c r="T18" i="5"/>
  <c r="U18" i="5"/>
  <c r="V18" i="5"/>
  <c r="X18" i="5"/>
  <c r="Y18" i="5"/>
  <c r="Z18" i="5"/>
  <c r="AA18" i="5"/>
  <c r="AB18" i="5"/>
  <c r="K19" i="5"/>
  <c r="M19" i="5"/>
  <c r="P19" i="5"/>
  <c r="Q19" i="5"/>
  <c r="S19" i="5"/>
  <c r="T19" i="5"/>
  <c r="U19" i="5"/>
  <c r="V19" i="5"/>
  <c r="X19" i="5"/>
  <c r="Y19" i="5"/>
  <c r="Z19" i="5"/>
  <c r="AA19" i="5"/>
  <c r="AB19" i="5"/>
  <c r="K20" i="5"/>
  <c r="M20" i="5"/>
  <c r="P20" i="5"/>
  <c r="Q20" i="5"/>
  <c r="S20" i="5"/>
  <c r="T20" i="5"/>
  <c r="U20" i="5"/>
  <c r="V20" i="5"/>
  <c r="X20" i="5"/>
  <c r="Y20" i="5"/>
  <c r="Z20" i="5"/>
  <c r="AA20" i="5"/>
  <c r="AB20" i="5"/>
  <c r="P2" i="13"/>
  <c r="Q2" i="13"/>
  <c r="S2" i="13"/>
  <c r="T2" i="13"/>
  <c r="U2" i="13"/>
  <c r="V2" i="13"/>
  <c r="X2" i="13"/>
  <c r="Y2" i="13"/>
  <c r="Z2" i="13"/>
  <c r="AA2" i="13"/>
  <c r="AB2" i="13"/>
  <c r="P3" i="13"/>
  <c r="Q3" i="13"/>
  <c r="S3" i="13"/>
  <c r="T3" i="13"/>
  <c r="U3" i="13"/>
  <c r="V3" i="13"/>
  <c r="X3" i="13"/>
  <c r="Y3" i="13"/>
  <c r="Z3" i="13"/>
  <c r="AA3" i="13"/>
  <c r="AB3" i="13"/>
  <c r="P4" i="13"/>
  <c r="Q4" i="13"/>
  <c r="S4" i="13"/>
  <c r="T4" i="13"/>
  <c r="U4" i="13"/>
  <c r="V4" i="13"/>
  <c r="X4" i="13"/>
  <c r="Y4" i="13"/>
  <c r="Z4" i="13"/>
  <c r="AA4" i="13"/>
  <c r="AB4" i="13"/>
  <c r="P5" i="13"/>
  <c r="Q5" i="13"/>
  <c r="S5" i="13"/>
  <c r="T5" i="13"/>
  <c r="U5" i="13"/>
  <c r="V5" i="13"/>
  <c r="X5" i="13"/>
  <c r="Y5" i="13"/>
  <c r="Z5" i="13"/>
  <c r="AA5" i="13"/>
  <c r="AB5" i="13"/>
  <c r="P6" i="13"/>
  <c r="Q6" i="13"/>
  <c r="S6" i="13"/>
  <c r="T6" i="13"/>
  <c r="U6" i="13"/>
  <c r="V6" i="13"/>
  <c r="X6" i="13"/>
  <c r="Y6" i="13"/>
  <c r="Z6" i="13"/>
  <c r="AA6" i="13"/>
  <c r="AB6" i="13"/>
  <c r="P7" i="13"/>
  <c r="Q7" i="13"/>
  <c r="S7" i="13"/>
  <c r="T7" i="13"/>
  <c r="U7" i="13"/>
  <c r="V7" i="13"/>
  <c r="X7" i="13"/>
  <c r="Y7" i="13"/>
  <c r="Z7" i="13"/>
  <c r="AA7" i="13"/>
  <c r="AB7" i="13"/>
  <c r="P8" i="13"/>
  <c r="Q8" i="13"/>
  <c r="S8" i="13"/>
  <c r="T8" i="13"/>
  <c r="U8" i="13"/>
  <c r="V8" i="13"/>
  <c r="X8" i="13"/>
  <c r="Y8" i="13"/>
  <c r="Z8" i="13"/>
  <c r="AA8" i="13"/>
  <c r="AB8" i="13"/>
  <c r="P9" i="13"/>
  <c r="Q9" i="13"/>
  <c r="S9" i="13"/>
  <c r="T9" i="13"/>
  <c r="U9" i="13"/>
  <c r="V9" i="13"/>
  <c r="X9" i="13"/>
  <c r="Y9" i="13"/>
  <c r="Z9" i="13"/>
  <c r="AA9" i="13"/>
  <c r="AB9" i="13"/>
  <c r="P10" i="13"/>
  <c r="Q10" i="13"/>
  <c r="S10" i="13"/>
  <c r="T10" i="13"/>
  <c r="U10" i="13"/>
  <c r="V10" i="13"/>
  <c r="X10" i="13"/>
  <c r="Y10" i="13"/>
  <c r="Z10" i="13"/>
  <c r="AA10" i="13"/>
  <c r="AB10" i="13"/>
  <c r="P11" i="13"/>
  <c r="Q11" i="13"/>
  <c r="S11" i="13"/>
  <c r="T11" i="13"/>
  <c r="U11" i="13"/>
  <c r="V11" i="13"/>
  <c r="X11" i="13"/>
  <c r="Y11" i="13"/>
  <c r="Z11" i="13"/>
  <c r="AA11" i="13"/>
  <c r="AB11" i="13"/>
  <c r="P12" i="13"/>
  <c r="Q12" i="13"/>
  <c r="S12" i="13"/>
  <c r="T12" i="13"/>
  <c r="U12" i="13"/>
  <c r="V12" i="13"/>
  <c r="X12" i="13"/>
  <c r="Y12" i="13"/>
  <c r="Z12" i="13"/>
  <c r="AA12" i="13"/>
  <c r="AB12" i="13"/>
  <c r="P13" i="13"/>
  <c r="Q13" i="13"/>
  <c r="S13" i="13"/>
  <c r="T13" i="13"/>
  <c r="U13" i="13"/>
  <c r="V13" i="13"/>
  <c r="X13" i="13"/>
  <c r="Y13" i="13"/>
  <c r="Z13" i="13"/>
  <c r="AA13" i="13"/>
  <c r="AB13" i="13"/>
  <c r="P14" i="13"/>
  <c r="Q14" i="13"/>
  <c r="S14" i="13"/>
  <c r="T14" i="13"/>
  <c r="U14" i="13"/>
  <c r="V14" i="13"/>
  <c r="X14" i="13"/>
  <c r="Y14" i="13"/>
  <c r="Z14" i="13"/>
  <c r="AA14" i="13"/>
  <c r="AB14" i="13"/>
  <c r="P15" i="13"/>
  <c r="Q15" i="13"/>
  <c r="S15" i="13"/>
  <c r="T15" i="13"/>
  <c r="U15" i="13"/>
  <c r="V15" i="13"/>
  <c r="X15" i="13"/>
  <c r="Y15" i="13"/>
  <c r="Z15" i="13"/>
  <c r="AA15" i="13"/>
  <c r="AB15" i="13"/>
  <c r="P16" i="13"/>
  <c r="Q16" i="13"/>
  <c r="S16" i="13"/>
  <c r="T16" i="13"/>
  <c r="U16" i="13"/>
  <c r="V16" i="13"/>
  <c r="X16" i="13"/>
  <c r="Y16" i="13"/>
  <c r="Z16" i="13"/>
  <c r="AA16" i="13"/>
  <c r="AB16" i="13"/>
  <c r="P17" i="13"/>
  <c r="Q17" i="13"/>
  <c r="S17" i="13"/>
  <c r="T17" i="13"/>
  <c r="U17" i="13"/>
  <c r="V17" i="13"/>
  <c r="X17" i="13"/>
  <c r="Y17" i="13"/>
  <c r="Z17" i="13"/>
  <c r="AA17" i="13"/>
  <c r="AB17" i="13"/>
  <c r="P18" i="13"/>
  <c r="Q18" i="13"/>
  <c r="S18" i="13"/>
  <c r="T18" i="13"/>
  <c r="U18" i="13"/>
  <c r="V18" i="13"/>
  <c r="X18" i="13"/>
  <c r="Y18" i="13"/>
  <c r="Z18" i="13"/>
  <c r="AA18" i="13"/>
  <c r="AB18" i="13"/>
  <c r="Q19" i="13"/>
  <c r="S19" i="13"/>
  <c r="T19" i="13"/>
  <c r="U19" i="13"/>
  <c r="X19" i="13"/>
  <c r="Y19" i="13"/>
  <c r="Z19" i="13"/>
  <c r="AA19" i="13"/>
  <c r="AB19" i="13"/>
  <c r="Q20" i="13"/>
  <c r="S20" i="13"/>
  <c r="T20" i="13"/>
  <c r="U20" i="13"/>
  <c r="X20" i="13"/>
  <c r="Y20" i="13"/>
  <c r="Z20" i="13"/>
  <c r="AA20" i="13"/>
  <c r="AB20" i="13"/>
  <c r="Q21" i="13"/>
  <c r="S21" i="13"/>
  <c r="T21" i="13"/>
  <c r="U21" i="13"/>
  <c r="X21" i="13"/>
  <c r="Y21" i="13"/>
  <c r="Z21" i="13"/>
  <c r="AA21" i="13"/>
  <c r="AB21" i="13"/>
  <c r="Q22" i="13"/>
  <c r="S22" i="13"/>
  <c r="T22" i="13"/>
  <c r="U22" i="13"/>
  <c r="X22" i="13"/>
  <c r="Y22" i="13"/>
  <c r="Z22" i="13"/>
  <c r="AB22" i="13"/>
  <c r="S23" i="13"/>
  <c r="T23" i="13"/>
  <c r="U23" i="13"/>
  <c r="X23" i="13"/>
  <c r="P2" i="14"/>
  <c r="Q2" i="14"/>
  <c r="S2" i="14"/>
  <c r="T2" i="14"/>
  <c r="U2" i="14"/>
  <c r="V2" i="14"/>
  <c r="X2" i="14"/>
  <c r="Y2" i="14"/>
  <c r="Z2" i="14"/>
  <c r="AA2" i="14"/>
  <c r="AB2" i="14"/>
  <c r="P3" i="14"/>
  <c r="Q3" i="14"/>
  <c r="S3" i="14"/>
  <c r="T3" i="14"/>
  <c r="U3" i="14"/>
  <c r="V3" i="14"/>
  <c r="X3" i="14"/>
  <c r="Y3" i="14"/>
  <c r="Z3" i="14"/>
  <c r="AA3" i="14"/>
  <c r="AB3" i="14"/>
  <c r="P4" i="14"/>
  <c r="Q4" i="14"/>
  <c r="S4" i="14"/>
  <c r="T4" i="14"/>
  <c r="U4" i="14"/>
  <c r="V4" i="14"/>
  <c r="X4" i="14"/>
  <c r="Y4" i="14"/>
  <c r="Z4" i="14"/>
  <c r="AA4" i="14"/>
  <c r="AB4" i="14"/>
  <c r="P5" i="14"/>
  <c r="Q5" i="14"/>
  <c r="S5" i="14"/>
  <c r="T5" i="14"/>
  <c r="U5" i="14"/>
  <c r="V5" i="14"/>
  <c r="X5" i="14"/>
  <c r="Y5" i="14"/>
  <c r="Z5" i="14"/>
  <c r="AA5" i="14"/>
  <c r="AB5" i="14"/>
  <c r="P6" i="14"/>
  <c r="Q6" i="14"/>
  <c r="S6" i="14"/>
  <c r="T6" i="14"/>
  <c r="U6" i="14"/>
  <c r="V6" i="14"/>
  <c r="X6" i="14"/>
  <c r="Y6" i="14"/>
  <c r="Z6" i="14"/>
  <c r="AA6" i="14"/>
  <c r="AB6" i="14"/>
  <c r="P7" i="14"/>
  <c r="Q7" i="14"/>
  <c r="S7" i="14"/>
  <c r="T7" i="14"/>
  <c r="U7" i="14"/>
  <c r="V7" i="14"/>
  <c r="X7" i="14"/>
  <c r="Y7" i="14"/>
  <c r="Z7" i="14"/>
  <c r="AA7" i="14"/>
  <c r="AB7" i="14"/>
  <c r="P8" i="14"/>
  <c r="Q8" i="14"/>
  <c r="S8" i="14"/>
  <c r="T8" i="14"/>
  <c r="U8" i="14"/>
  <c r="V8" i="14"/>
  <c r="X8" i="14"/>
  <c r="Y8" i="14"/>
  <c r="Z8" i="14"/>
  <c r="AA8" i="14"/>
  <c r="AB8" i="14"/>
  <c r="P9" i="14"/>
  <c r="Q9" i="14"/>
  <c r="S9" i="14"/>
  <c r="T9" i="14"/>
  <c r="U9" i="14"/>
  <c r="V9" i="14"/>
  <c r="X9" i="14"/>
  <c r="Y9" i="14"/>
  <c r="Z9" i="14"/>
  <c r="AA9" i="14"/>
  <c r="AB9" i="14"/>
  <c r="P10" i="14"/>
  <c r="Q10" i="14"/>
  <c r="S10" i="14"/>
  <c r="T10" i="14"/>
  <c r="U10" i="14"/>
  <c r="V10" i="14"/>
  <c r="X10" i="14"/>
  <c r="Y10" i="14"/>
  <c r="Z10" i="14"/>
  <c r="AA10" i="14"/>
  <c r="AB10" i="14"/>
  <c r="P11" i="14"/>
  <c r="Q11" i="14"/>
  <c r="S11" i="14"/>
  <c r="T11" i="14"/>
  <c r="U11" i="14"/>
  <c r="V11" i="14"/>
  <c r="X11" i="14"/>
  <c r="Y11" i="14"/>
  <c r="Z11" i="14"/>
  <c r="AA11" i="14"/>
  <c r="AB11" i="14"/>
  <c r="P12" i="14"/>
  <c r="Q12" i="14"/>
  <c r="S12" i="14"/>
  <c r="T12" i="14"/>
  <c r="U12" i="14"/>
  <c r="V12" i="14"/>
  <c r="X12" i="14"/>
  <c r="Y12" i="14"/>
  <c r="Z12" i="14"/>
  <c r="AA12" i="14"/>
  <c r="AB12" i="14"/>
  <c r="P13" i="14"/>
  <c r="Q13" i="14"/>
  <c r="S13" i="14"/>
  <c r="T13" i="14"/>
  <c r="U13" i="14"/>
  <c r="V13" i="14"/>
  <c r="X13" i="14"/>
  <c r="Y13" i="14"/>
  <c r="Z13" i="14"/>
  <c r="AA13" i="14"/>
  <c r="AB13" i="14"/>
  <c r="P14" i="14"/>
  <c r="Q14" i="14"/>
  <c r="S14" i="14"/>
  <c r="T14" i="14"/>
  <c r="U14" i="14"/>
  <c r="V14" i="14"/>
  <c r="X14" i="14"/>
  <c r="Y14" i="14"/>
  <c r="Z14" i="14"/>
  <c r="AA14" i="14"/>
  <c r="AB14" i="14"/>
  <c r="P15" i="14"/>
  <c r="Q15" i="14"/>
  <c r="S15" i="14"/>
  <c r="T15" i="14"/>
  <c r="U15" i="14"/>
  <c r="V15" i="14"/>
  <c r="X15" i="14"/>
  <c r="Y15" i="14"/>
  <c r="Z15" i="14"/>
  <c r="AA15" i="14"/>
  <c r="AB15" i="14"/>
  <c r="P16" i="14"/>
  <c r="Q16" i="14"/>
  <c r="S16" i="14"/>
  <c r="T16" i="14"/>
  <c r="U16" i="14"/>
  <c r="V16" i="14"/>
  <c r="X16" i="14"/>
  <c r="Y16" i="14"/>
  <c r="Z16" i="14"/>
  <c r="AA16" i="14"/>
  <c r="AB16" i="14"/>
  <c r="P17" i="14"/>
  <c r="Q17" i="14"/>
  <c r="S17" i="14"/>
  <c r="T17" i="14"/>
  <c r="U17" i="14"/>
  <c r="V17" i="14"/>
  <c r="X17" i="14"/>
  <c r="Y17" i="14"/>
  <c r="Z17" i="14"/>
  <c r="AA17" i="14"/>
  <c r="AB17" i="14"/>
  <c r="P18" i="14"/>
  <c r="Q18" i="14"/>
  <c r="S18" i="14"/>
  <c r="T18" i="14"/>
  <c r="U18" i="14"/>
  <c r="V18" i="14"/>
  <c r="X18" i="14"/>
  <c r="Y18" i="14"/>
  <c r="Z18" i="14"/>
  <c r="AA18" i="14"/>
  <c r="AB18" i="14"/>
  <c r="Q19" i="14"/>
  <c r="S19" i="14"/>
  <c r="T19" i="14"/>
  <c r="U19" i="14"/>
  <c r="X19" i="14"/>
  <c r="Y19" i="14"/>
  <c r="Z19" i="14"/>
  <c r="AA19" i="14"/>
  <c r="AB19" i="14"/>
  <c r="Q20" i="14"/>
  <c r="S20" i="14"/>
  <c r="T20" i="14"/>
  <c r="U20" i="14"/>
  <c r="X20" i="14"/>
  <c r="Y20" i="14"/>
  <c r="Z20" i="14"/>
  <c r="AA20" i="14"/>
  <c r="AB20" i="14"/>
  <c r="Q21" i="14"/>
  <c r="S21" i="14"/>
  <c r="T21" i="14"/>
  <c r="U21" i="14"/>
  <c r="X21" i="14"/>
  <c r="Y21" i="14"/>
  <c r="Z21" i="14"/>
  <c r="AA21" i="14"/>
  <c r="AB21" i="14"/>
  <c r="Q22" i="14"/>
  <c r="S22" i="14"/>
  <c r="T22" i="14"/>
  <c r="U22" i="14"/>
  <c r="X22" i="14"/>
  <c r="Y22" i="14"/>
  <c r="Z22" i="14"/>
  <c r="AB22" i="14"/>
  <c r="S23" i="14"/>
  <c r="T23" i="14"/>
  <c r="U23" i="14"/>
  <c r="X23" i="14"/>
  <c r="P2" i="15"/>
  <c r="Q2" i="15"/>
  <c r="S2" i="15"/>
  <c r="T2" i="15"/>
  <c r="U2" i="15"/>
  <c r="V2" i="15"/>
  <c r="X2" i="15"/>
  <c r="Y2" i="15"/>
  <c r="Z2" i="15"/>
  <c r="AA2" i="15"/>
  <c r="AB2" i="15"/>
  <c r="P3" i="15"/>
  <c r="Q3" i="15"/>
  <c r="S3" i="15"/>
  <c r="T3" i="15"/>
  <c r="U3" i="15"/>
  <c r="V3" i="15"/>
  <c r="X3" i="15"/>
  <c r="Y3" i="15"/>
  <c r="Z3" i="15"/>
  <c r="AA3" i="15"/>
  <c r="AB3" i="15"/>
  <c r="P4" i="15"/>
  <c r="Q4" i="15"/>
  <c r="S4" i="15"/>
  <c r="T4" i="15"/>
  <c r="U4" i="15"/>
  <c r="V4" i="15"/>
  <c r="X4" i="15"/>
  <c r="Y4" i="15"/>
  <c r="Z4" i="15"/>
  <c r="AA4" i="15"/>
  <c r="AB4" i="15"/>
  <c r="P5" i="15"/>
  <c r="Q5" i="15"/>
  <c r="S5" i="15"/>
  <c r="T5" i="15"/>
  <c r="U5" i="15"/>
  <c r="V5" i="15"/>
  <c r="X5" i="15"/>
  <c r="Y5" i="15"/>
  <c r="Z5" i="15"/>
  <c r="AA5" i="15"/>
  <c r="AB5" i="15"/>
  <c r="P6" i="15"/>
  <c r="Q6" i="15"/>
  <c r="S6" i="15"/>
  <c r="T6" i="15"/>
  <c r="U6" i="15"/>
  <c r="V6" i="15"/>
  <c r="X6" i="15"/>
  <c r="Y6" i="15"/>
  <c r="Z6" i="15"/>
  <c r="AA6" i="15"/>
  <c r="AB6" i="15"/>
  <c r="P7" i="15"/>
  <c r="Q7" i="15"/>
  <c r="S7" i="15"/>
  <c r="T7" i="15"/>
  <c r="U7" i="15"/>
  <c r="V7" i="15"/>
  <c r="X7" i="15"/>
  <c r="Y7" i="15"/>
  <c r="Z7" i="15"/>
  <c r="AA7" i="15"/>
  <c r="AB7" i="15"/>
  <c r="P8" i="15"/>
  <c r="Q8" i="15"/>
  <c r="S8" i="15"/>
  <c r="T8" i="15"/>
  <c r="U8" i="15"/>
  <c r="V8" i="15"/>
  <c r="X8" i="15"/>
  <c r="Y8" i="15"/>
  <c r="Z8" i="15"/>
  <c r="AA8" i="15"/>
  <c r="AB8" i="15"/>
  <c r="P9" i="15"/>
  <c r="Q9" i="15"/>
  <c r="S9" i="15"/>
  <c r="T9" i="15"/>
  <c r="U9" i="15"/>
  <c r="V9" i="15"/>
  <c r="X9" i="15"/>
  <c r="Y9" i="15"/>
  <c r="Z9" i="15"/>
  <c r="AA9" i="15"/>
  <c r="AB9" i="15"/>
  <c r="P10" i="15"/>
  <c r="Q10" i="15"/>
  <c r="S10" i="15"/>
  <c r="T10" i="15"/>
  <c r="U10" i="15"/>
  <c r="V10" i="15"/>
  <c r="X10" i="15"/>
  <c r="Y10" i="15"/>
  <c r="Z10" i="15"/>
  <c r="AA10" i="15"/>
  <c r="AB10" i="15"/>
  <c r="P11" i="15"/>
  <c r="Q11" i="15"/>
  <c r="S11" i="15"/>
  <c r="T11" i="15"/>
  <c r="U11" i="15"/>
  <c r="V11" i="15"/>
  <c r="X11" i="15"/>
  <c r="Y11" i="15"/>
  <c r="Z11" i="15"/>
  <c r="AA11" i="15"/>
  <c r="AB11" i="15"/>
  <c r="P12" i="15"/>
  <c r="Q12" i="15"/>
  <c r="S12" i="15"/>
  <c r="T12" i="15"/>
  <c r="U12" i="15"/>
  <c r="V12" i="15"/>
  <c r="X12" i="15"/>
  <c r="Y12" i="15"/>
  <c r="Z12" i="15"/>
  <c r="AA12" i="15"/>
  <c r="AB12" i="15"/>
  <c r="P13" i="15"/>
  <c r="Q13" i="15"/>
  <c r="S13" i="15"/>
  <c r="T13" i="15"/>
  <c r="U13" i="15"/>
  <c r="V13" i="15"/>
  <c r="X13" i="15"/>
  <c r="Y13" i="15"/>
  <c r="Z13" i="15"/>
  <c r="AA13" i="15"/>
  <c r="AB13" i="15"/>
  <c r="P14" i="15"/>
  <c r="Q14" i="15"/>
  <c r="S14" i="15"/>
  <c r="T14" i="15"/>
  <c r="U14" i="15"/>
  <c r="V14" i="15"/>
  <c r="X14" i="15"/>
  <c r="Y14" i="15"/>
  <c r="Z14" i="15"/>
  <c r="AA14" i="15"/>
  <c r="AB14" i="15"/>
  <c r="P15" i="15"/>
  <c r="Q15" i="15"/>
  <c r="S15" i="15"/>
  <c r="T15" i="15"/>
  <c r="U15" i="15"/>
  <c r="V15" i="15"/>
  <c r="X15" i="15"/>
  <c r="Y15" i="15"/>
  <c r="Z15" i="15"/>
  <c r="AA15" i="15"/>
  <c r="AB15" i="15"/>
  <c r="P16" i="15"/>
  <c r="Q16" i="15"/>
  <c r="S16" i="15"/>
  <c r="T16" i="15"/>
  <c r="U16" i="15"/>
  <c r="V16" i="15"/>
  <c r="X16" i="15"/>
  <c r="Y16" i="15"/>
  <c r="Z16" i="15"/>
  <c r="AA16" i="15"/>
  <c r="AB16" i="15"/>
  <c r="P17" i="15"/>
  <c r="Q17" i="15"/>
  <c r="S17" i="15"/>
  <c r="T17" i="15"/>
  <c r="U17" i="15"/>
  <c r="V17" i="15"/>
  <c r="X17" i="15"/>
  <c r="Y17" i="15"/>
  <c r="Z17" i="15"/>
  <c r="AA17" i="15"/>
  <c r="AB17" i="15"/>
  <c r="P18" i="15"/>
  <c r="Q18" i="15"/>
  <c r="S18" i="15"/>
  <c r="T18" i="15"/>
  <c r="U18" i="15"/>
  <c r="V18" i="15"/>
  <c r="X18" i="15"/>
  <c r="Y18" i="15"/>
  <c r="Z18" i="15"/>
  <c r="AA18" i="15"/>
  <c r="AB18" i="15"/>
  <c r="Q19" i="15"/>
  <c r="S19" i="15"/>
  <c r="T19" i="15"/>
  <c r="U19" i="15"/>
  <c r="X19" i="15"/>
  <c r="Y19" i="15"/>
  <c r="Z19" i="15"/>
  <c r="AA19" i="15"/>
  <c r="AB19" i="15"/>
  <c r="Q20" i="15"/>
  <c r="S20" i="15"/>
  <c r="T20" i="15"/>
  <c r="U20" i="15"/>
  <c r="X20" i="15"/>
  <c r="Y20" i="15"/>
  <c r="Z20" i="15"/>
  <c r="AA20" i="15"/>
  <c r="AB20" i="15"/>
  <c r="Q21" i="15"/>
  <c r="S21" i="15"/>
  <c r="T21" i="15"/>
  <c r="U21" i="15"/>
  <c r="X21" i="15"/>
  <c r="Y21" i="15"/>
  <c r="Z21" i="15"/>
  <c r="AA21" i="15"/>
  <c r="AB21" i="15"/>
  <c r="Q22" i="15"/>
  <c r="S22" i="15"/>
  <c r="T22" i="15"/>
  <c r="U22" i="15"/>
  <c r="X22" i="15"/>
  <c r="Y22" i="15"/>
  <c r="Z22" i="15"/>
  <c r="AB22" i="15"/>
  <c r="S23" i="15"/>
  <c r="T23" i="15"/>
  <c r="U23" i="15"/>
  <c r="X23" i="15"/>
  <c r="P2" i="16"/>
  <c r="Q2" i="16"/>
  <c r="S2" i="16"/>
  <c r="T2" i="16"/>
  <c r="U2" i="16"/>
  <c r="V2" i="16"/>
  <c r="X2" i="16"/>
  <c r="Y2" i="16"/>
  <c r="Z2" i="16"/>
  <c r="AA2" i="16"/>
  <c r="AB2" i="16"/>
  <c r="P3" i="16"/>
  <c r="Q3" i="16"/>
  <c r="S3" i="16"/>
  <c r="T3" i="16"/>
  <c r="U3" i="16"/>
  <c r="V3" i="16"/>
  <c r="X3" i="16"/>
  <c r="Y3" i="16"/>
  <c r="Z3" i="16"/>
  <c r="AA3" i="16"/>
  <c r="AB3" i="16"/>
  <c r="P4" i="16"/>
  <c r="Q4" i="16"/>
  <c r="S4" i="16"/>
  <c r="T4" i="16"/>
  <c r="U4" i="16"/>
  <c r="V4" i="16"/>
  <c r="X4" i="16"/>
  <c r="Y4" i="16"/>
  <c r="Z4" i="16"/>
  <c r="AA4" i="16"/>
  <c r="AB4" i="16"/>
  <c r="P5" i="16"/>
  <c r="Q5" i="16"/>
  <c r="S5" i="16"/>
  <c r="T5" i="16"/>
  <c r="U5" i="16"/>
  <c r="V5" i="16"/>
  <c r="X5" i="16"/>
  <c r="Y5" i="16"/>
  <c r="Z5" i="16"/>
  <c r="AA5" i="16"/>
  <c r="AB5" i="16"/>
  <c r="P6" i="16"/>
  <c r="Q6" i="16"/>
  <c r="S6" i="16"/>
  <c r="T6" i="16"/>
  <c r="U6" i="16"/>
  <c r="V6" i="16"/>
  <c r="X6" i="16"/>
  <c r="Y6" i="16"/>
  <c r="Z6" i="16"/>
  <c r="AA6" i="16"/>
  <c r="AB6" i="16"/>
  <c r="P7" i="16"/>
  <c r="Q7" i="16"/>
  <c r="S7" i="16"/>
  <c r="T7" i="16"/>
  <c r="U7" i="16"/>
  <c r="V7" i="16"/>
  <c r="X7" i="16"/>
  <c r="Y7" i="16"/>
  <c r="Z7" i="16"/>
  <c r="AA7" i="16"/>
  <c r="AB7" i="16"/>
  <c r="P8" i="16"/>
  <c r="Q8" i="16"/>
  <c r="S8" i="16"/>
  <c r="T8" i="16"/>
  <c r="U8" i="16"/>
  <c r="V8" i="16"/>
  <c r="X8" i="16"/>
  <c r="Y8" i="16"/>
  <c r="Z8" i="16"/>
  <c r="AA8" i="16"/>
  <c r="AB8" i="16"/>
  <c r="P9" i="16"/>
  <c r="Q9" i="16"/>
  <c r="S9" i="16"/>
  <c r="T9" i="16"/>
  <c r="U9" i="16"/>
  <c r="V9" i="16"/>
  <c r="X9" i="16"/>
  <c r="Y9" i="16"/>
  <c r="Z9" i="16"/>
  <c r="AA9" i="16"/>
  <c r="AB9" i="16"/>
  <c r="P10" i="16"/>
  <c r="Q10" i="16"/>
  <c r="S10" i="16"/>
  <c r="T10" i="16"/>
  <c r="U10" i="16"/>
  <c r="V10" i="16"/>
  <c r="X10" i="16"/>
  <c r="Y10" i="16"/>
  <c r="Z10" i="16"/>
  <c r="AA10" i="16"/>
  <c r="AB10" i="16"/>
  <c r="P11" i="16"/>
  <c r="Q11" i="16"/>
  <c r="S11" i="16"/>
  <c r="T11" i="16"/>
  <c r="U11" i="16"/>
  <c r="V11" i="16"/>
  <c r="X11" i="16"/>
  <c r="Y11" i="16"/>
  <c r="Z11" i="16"/>
  <c r="AA11" i="16"/>
  <c r="AB11" i="16"/>
  <c r="P12" i="16"/>
  <c r="Q12" i="16"/>
  <c r="S12" i="16"/>
  <c r="T12" i="16"/>
  <c r="U12" i="16"/>
  <c r="V12" i="16"/>
  <c r="X12" i="16"/>
  <c r="Y12" i="16"/>
  <c r="Z12" i="16"/>
  <c r="AA12" i="16"/>
  <c r="AB12" i="16"/>
  <c r="P13" i="16"/>
  <c r="Q13" i="16"/>
  <c r="S13" i="16"/>
  <c r="T13" i="16"/>
  <c r="U13" i="16"/>
  <c r="V13" i="16"/>
  <c r="X13" i="16"/>
  <c r="Y13" i="16"/>
  <c r="Z13" i="16"/>
  <c r="AA13" i="16"/>
  <c r="AB13" i="16"/>
  <c r="P14" i="16"/>
  <c r="Q14" i="16"/>
  <c r="S14" i="16"/>
  <c r="T14" i="16"/>
  <c r="U14" i="16"/>
  <c r="V14" i="16"/>
  <c r="X14" i="16"/>
  <c r="Y14" i="16"/>
  <c r="Z14" i="16"/>
  <c r="AA14" i="16"/>
  <c r="AB14" i="16"/>
  <c r="P15" i="16"/>
  <c r="Q15" i="16"/>
  <c r="S15" i="16"/>
  <c r="T15" i="16"/>
  <c r="U15" i="16"/>
  <c r="V15" i="16"/>
  <c r="X15" i="16"/>
  <c r="Y15" i="16"/>
  <c r="Z15" i="16"/>
  <c r="AA15" i="16"/>
  <c r="AB15" i="16"/>
  <c r="P16" i="16"/>
  <c r="Q16" i="16"/>
  <c r="S16" i="16"/>
  <c r="T16" i="16"/>
  <c r="U16" i="16"/>
  <c r="V16" i="16"/>
  <c r="X16" i="16"/>
  <c r="Y16" i="16"/>
  <c r="Z16" i="16"/>
  <c r="AA16" i="16"/>
  <c r="AB16" i="16"/>
  <c r="P17" i="16"/>
  <c r="Q17" i="16"/>
  <c r="S17" i="16"/>
  <c r="T17" i="16"/>
  <c r="U17" i="16"/>
  <c r="V17" i="16"/>
  <c r="X17" i="16"/>
  <c r="Y17" i="16"/>
  <c r="Z17" i="16"/>
  <c r="AA17" i="16"/>
  <c r="AB17" i="16"/>
  <c r="P18" i="16"/>
  <c r="Q18" i="16"/>
  <c r="S18" i="16"/>
  <c r="T18" i="16"/>
  <c r="U18" i="16"/>
  <c r="V18" i="16"/>
  <c r="X18" i="16"/>
  <c r="Y18" i="16"/>
  <c r="Z18" i="16"/>
  <c r="AA18" i="16"/>
  <c r="AB18" i="16"/>
  <c r="Q19" i="16"/>
  <c r="S19" i="16"/>
  <c r="T19" i="16"/>
  <c r="U19" i="16"/>
  <c r="X19" i="16"/>
  <c r="Y19" i="16"/>
  <c r="Z19" i="16"/>
  <c r="AA19" i="16"/>
  <c r="AB19" i="16"/>
  <c r="Q20" i="16"/>
  <c r="S20" i="16"/>
  <c r="T20" i="16"/>
  <c r="U20" i="16"/>
  <c r="X20" i="16"/>
  <c r="Y20" i="16"/>
  <c r="Z20" i="16"/>
  <c r="AA20" i="16"/>
  <c r="AB20" i="16"/>
  <c r="Q21" i="16"/>
  <c r="S21" i="16"/>
  <c r="T21" i="16"/>
  <c r="U21" i="16"/>
  <c r="X21" i="16"/>
  <c r="Y21" i="16"/>
  <c r="Z21" i="16"/>
  <c r="AA21" i="16"/>
  <c r="AB21" i="16"/>
  <c r="Q22" i="16"/>
  <c r="S22" i="16"/>
  <c r="T22" i="16"/>
  <c r="U22" i="16"/>
  <c r="X22" i="16"/>
  <c r="Y22" i="16"/>
  <c r="Z22" i="16"/>
  <c r="AB22" i="16"/>
  <c r="S23" i="16"/>
  <c r="T23" i="16"/>
  <c r="U23" i="16"/>
  <c r="X23" i="16"/>
</calcChain>
</file>

<file path=xl/sharedStrings.xml><?xml version="1.0" encoding="utf-8"?>
<sst xmlns="http://schemas.openxmlformats.org/spreadsheetml/2006/main" count="581" uniqueCount="84">
  <si>
    <t>ID1</t>
  </si>
  <si>
    <t>ID2</t>
  </si>
  <si>
    <t>NAME</t>
  </si>
  <si>
    <t>LEC</t>
  </si>
  <si>
    <t>REC</t>
  </si>
  <si>
    <t>Q1</t>
  </si>
  <si>
    <t>Q2</t>
  </si>
  <si>
    <t>Q3</t>
  </si>
  <si>
    <t>Q4</t>
  </si>
  <si>
    <t>Q5</t>
  </si>
  <si>
    <t>Q AVG</t>
  </si>
  <si>
    <t>MID1</t>
  </si>
  <si>
    <t>mid1</t>
  </si>
  <si>
    <t>mid2</t>
  </si>
  <si>
    <t>MID3</t>
  </si>
  <si>
    <t>mid3</t>
  </si>
  <si>
    <t>midavg</t>
  </si>
  <si>
    <t>finpts</t>
  </si>
  <si>
    <t>fin%</t>
  </si>
  <si>
    <t>exavg</t>
  </si>
  <si>
    <t>ck QA,EA</t>
  </si>
  <si>
    <t xml:space="preserve">  AVG</t>
  </si>
  <si>
    <t>GRADE</t>
  </si>
  <si>
    <t>Andersen, Erik J</t>
  </si>
  <si>
    <t>F</t>
  </si>
  <si>
    <t>Bartlett, Stacy Ann</t>
  </si>
  <si>
    <t xml:space="preserve">Buchner, Mary-Laura </t>
  </si>
  <si>
    <t>Connor, Angela Carol</t>
  </si>
  <si>
    <t>Eckertson, Tracy Rene</t>
  </si>
  <si>
    <t>Felix, Aida Catalina</t>
  </si>
  <si>
    <t>Flynn, Steven W</t>
  </si>
  <si>
    <t>Gray, Monica L</t>
  </si>
  <si>
    <t>Hacking, Lene-Birgitte Busk</t>
  </si>
  <si>
    <t>Mc Claughry, Tyler Haynes</t>
  </si>
  <si>
    <t>Naegle, Autumn Lee</t>
  </si>
  <si>
    <t>Perdue, Amy Lucille</t>
  </si>
  <si>
    <t xml:space="preserve">Rawlins, Samuel James </t>
  </si>
  <si>
    <t>Reynolds, Brandon C</t>
  </si>
  <si>
    <t xml:space="preserve">Salisbury, Velvet Kirstin </t>
  </si>
  <si>
    <t>Tana, Christopher Frank</t>
  </si>
  <si>
    <t xml:space="preserve">Zelenyuk, Valentin </t>
  </si>
  <si>
    <t>Doe, John</t>
  </si>
  <si>
    <t>Al-Muhaimedi, Anas A</t>
  </si>
  <si>
    <t>Burks, Matthew Clarke</t>
  </si>
  <si>
    <t>Cale, Jason Robert</t>
  </si>
  <si>
    <t>Collson, Christopher Mathew</t>
  </si>
  <si>
    <t>Gartung, Matthew Mark</t>
  </si>
  <si>
    <t>Lane, Byron Demond</t>
  </si>
  <si>
    <t>Lesh, Matthew William</t>
  </si>
  <si>
    <t>Magana, Maricela</t>
  </si>
  <si>
    <t>Marchington, Shauna Eileen</t>
  </si>
  <si>
    <t>Mc Kernan, Leah Dawn</t>
  </si>
  <si>
    <t>543xx7</t>
  </si>
  <si>
    <t>Miranda, Jaime</t>
  </si>
  <si>
    <t>Neisz, Autumn Heather</t>
  </si>
  <si>
    <t>Nguyen, Nixon Anh</t>
  </si>
  <si>
    <t>O Brien, Maggie Kayleen</t>
  </si>
  <si>
    <t>Parmenter, Michael Lee</t>
  </si>
  <si>
    <t>Salinas, Enrique A</t>
  </si>
  <si>
    <t>Song, Kimberly Lynn</t>
  </si>
  <si>
    <t>Van Dyke, Carmen Eunice</t>
  </si>
  <si>
    <t>Westby, Jesse James</t>
  </si>
  <si>
    <t>Zuments, Viktors Hung</t>
  </si>
  <si>
    <t>Aldridge, Caleb Alan</t>
  </si>
  <si>
    <t xml:space="preserve">Altfillisch, Angela Clare </t>
  </si>
  <si>
    <t xml:space="preserve">Beck, Michelle Elizabeth </t>
  </si>
  <si>
    <t>Buchholz, Matthew Alan</t>
  </si>
  <si>
    <t xml:space="preserve">De Jager, Richard Brian </t>
  </si>
  <si>
    <t>Derr, Jason Douglas</t>
  </si>
  <si>
    <t>Ehlers, Aaron R</t>
  </si>
  <si>
    <t>Hughes, Daniel David Matthew</t>
  </si>
  <si>
    <t>Kirk, Justin O</t>
  </si>
  <si>
    <t>Laufer, Eric Albert</t>
  </si>
  <si>
    <t xml:space="preserve">Martinez, Rosalie Diane </t>
  </si>
  <si>
    <t>Mc Kenna, Kristy Anne</t>
  </si>
  <si>
    <t xml:space="preserve">Ojima, Naoko </t>
  </si>
  <si>
    <t>Osawa, Daniel K</t>
  </si>
  <si>
    <t>Pearce, Samuel L</t>
  </si>
  <si>
    <t xml:space="preserve">Price, Carolyn D </t>
  </si>
  <si>
    <t>Solakian, Nicholas Michael</t>
  </si>
  <si>
    <t>Stringham, Ginger Pauline</t>
  </si>
  <si>
    <t>Vaughn, Michelle</t>
  </si>
  <si>
    <t>Vecchi, Angela Renee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</si>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</sst>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8"/>
  <sheetViews>
    <sheetView topLeftCell="O1" workbookViewId="0">
      <selection activeCell="T21" sqref="T21"/>
    </sheetView>
  </sheetViews>
  <sheetFormatPr defaultColWidth="11.453125" defaultRowHeight="12.5"/>
  <cols>
    <col min="1" max="1" width="6" customWidth="1"/>
    <col min="2" max="2" width="5" customWidth="1"/>
    <col min="3" max="3" width="21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54315</v>
      </c>
      <c r="B2">
        <v>5757</v>
      </c>
      <c r="C2" t="s">
        <v>23</v>
      </c>
      <c r="D2">
        <v>2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P2">
        <f t="shared" ref="P2:P18" si="0">IF(O2&gt;0, O2+2, O2)</f>
        <v>0</v>
      </c>
      <c r="Q2">
        <f t="shared" ref="Q2:Q18" si="1">ROUND(((M2+N2+P2)-MIN(M2,N2,P2)) /2,1)</f>
        <v>0</v>
      </c>
      <c r="R2">
        <v>0</v>
      </c>
      <c r="S2">
        <f t="shared" ref="S2:S18" si="2">ROUND(R2/146*100, 2)</f>
        <v>0</v>
      </c>
      <c r="T2">
        <f t="shared" ref="T2:T18" si="3">ROUND((2*Q2+S2)/3,2)</f>
        <v>0</v>
      </c>
      <c r="U2" t="str">
        <f t="shared" ref="U2:U18" si="4">IF(OR(K2&lt;59,T2&lt;59),"F", " ")</f>
        <v>F</v>
      </c>
      <c r="V2">
        <f t="shared" ref="V2:V18" si="5">ROUND(K2*0.4+Q2*0.4+S2*0.2,2)</f>
        <v>0</v>
      </c>
      <c r="W2" t="s">
        <v>24</v>
      </c>
      <c r="X2" t="str">
        <f t="shared" ref="X2:X18" si="6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18" si="7">IF(V2&lt;59,"F","")</f>
        <v>F</v>
      </c>
    </row>
    <row r="3" spans="1:28">
      <c r="A3">
        <v>54417</v>
      </c>
      <c r="B3">
        <v>9544</v>
      </c>
      <c r="C3" t="s">
        <v>25</v>
      </c>
      <c r="D3">
        <v>2</v>
      </c>
      <c r="E3">
        <v>5</v>
      </c>
      <c r="F3">
        <v>100</v>
      </c>
      <c r="G3">
        <v>94.11</v>
      </c>
      <c r="H3">
        <v>100</v>
      </c>
      <c r="I3">
        <v>100</v>
      </c>
      <c r="J3">
        <v>0</v>
      </c>
      <c r="K3">
        <f t="shared" ref="K3:K18" si="8">ROUND((F3+G3+H3+I3+J3-MIN(F3:J3) )/4,1)</f>
        <v>98.5</v>
      </c>
      <c r="L3">
        <v>89</v>
      </c>
      <c r="M3">
        <f t="shared" ref="M3:M18" si="9">ROUND(L3/99*100,2)</f>
        <v>89.9</v>
      </c>
      <c r="N3">
        <v>93</v>
      </c>
      <c r="O3">
        <v>0</v>
      </c>
      <c r="P3">
        <f t="shared" si="0"/>
        <v>0</v>
      </c>
      <c r="Q3">
        <f t="shared" si="1"/>
        <v>91.5</v>
      </c>
      <c r="R3">
        <v>132</v>
      </c>
      <c r="S3">
        <f t="shared" si="2"/>
        <v>90.41</v>
      </c>
      <c r="T3">
        <f t="shared" si="3"/>
        <v>91.14</v>
      </c>
      <c r="U3" t="str">
        <f t="shared" si="4"/>
        <v xml:space="preserve"> </v>
      </c>
      <c r="V3">
        <f t="shared" si="5"/>
        <v>94.08</v>
      </c>
      <c r="X3" t="str">
        <f t="shared" si="6"/>
        <v>A</v>
      </c>
      <c r="Y3" t="str">
        <f t="shared" ref="Y3:Y18" si="10">IF(AND($W3="",$X3=""),IF($V3&gt;=86,"B+",IF($V3&gt;=82,"B",IF($V3&gt;=79,"B-",""))),"")</f>
        <v/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7"/>
        <v/>
      </c>
    </row>
    <row r="4" spans="1:28">
      <c r="A4">
        <v>54396</v>
      </c>
      <c r="B4">
        <v>8309</v>
      </c>
      <c r="C4" t="s">
        <v>26</v>
      </c>
      <c r="D4">
        <v>2</v>
      </c>
      <c r="E4">
        <v>5</v>
      </c>
      <c r="F4">
        <v>93.75</v>
      </c>
      <c r="G4">
        <v>0</v>
      </c>
      <c r="H4">
        <v>0</v>
      </c>
      <c r="I4">
        <v>0</v>
      </c>
      <c r="J4">
        <v>0</v>
      </c>
      <c r="K4">
        <f t="shared" si="8"/>
        <v>23.4</v>
      </c>
      <c r="L4">
        <v>39</v>
      </c>
      <c r="M4">
        <f t="shared" si="9"/>
        <v>39.39</v>
      </c>
      <c r="N4">
        <v>0</v>
      </c>
      <c r="O4">
        <v>0</v>
      </c>
      <c r="P4">
        <f t="shared" si="0"/>
        <v>0</v>
      </c>
      <c r="Q4">
        <f t="shared" si="1"/>
        <v>19.7</v>
      </c>
      <c r="R4">
        <v>0</v>
      </c>
      <c r="S4">
        <f t="shared" si="2"/>
        <v>0</v>
      </c>
      <c r="T4">
        <f t="shared" si="3"/>
        <v>13.13</v>
      </c>
      <c r="U4" t="str">
        <f t="shared" si="4"/>
        <v>F</v>
      </c>
      <c r="V4">
        <f t="shared" si="5"/>
        <v>17.239999999999998</v>
      </c>
      <c r="W4" t="s">
        <v>24</v>
      </c>
      <c r="X4" t="str">
        <f t="shared" si="6"/>
        <v/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7"/>
        <v>F</v>
      </c>
    </row>
    <row r="5" spans="1:28">
      <c r="A5">
        <v>54423</v>
      </c>
      <c r="B5">
        <v>3717</v>
      </c>
      <c r="C5" t="s">
        <v>27</v>
      </c>
      <c r="D5">
        <v>2</v>
      </c>
      <c r="E5">
        <v>5</v>
      </c>
      <c r="F5">
        <v>100</v>
      </c>
      <c r="G5">
        <v>64.7</v>
      </c>
      <c r="H5">
        <v>80</v>
      </c>
      <c r="I5">
        <v>100</v>
      </c>
      <c r="J5">
        <v>0</v>
      </c>
      <c r="K5">
        <f t="shared" si="8"/>
        <v>86.2</v>
      </c>
      <c r="L5">
        <v>63</v>
      </c>
      <c r="M5">
        <f t="shared" si="9"/>
        <v>63.64</v>
      </c>
      <c r="N5">
        <v>83</v>
      </c>
      <c r="O5">
        <v>77</v>
      </c>
      <c r="P5">
        <f t="shared" si="0"/>
        <v>79</v>
      </c>
      <c r="Q5">
        <f t="shared" si="1"/>
        <v>81</v>
      </c>
      <c r="R5">
        <v>98</v>
      </c>
      <c r="S5">
        <f t="shared" si="2"/>
        <v>67.12</v>
      </c>
      <c r="T5">
        <f t="shared" si="3"/>
        <v>76.37</v>
      </c>
      <c r="U5" t="str">
        <f t="shared" si="4"/>
        <v xml:space="preserve"> </v>
      </c>
      <c r="V5">
        <f t="shared" si="5"/>
        <v>80.3</v>
      </c>
      <c r="X5" t="str">
        <f t="shared" si="6"/>
        <v/>
      </c>
      <c r="Y5" t="str">
        <f t="shared" si="10"/>
        <v>B-</v>
      </c>
      <c r="Z5" t="str">
        <f t="shared" si="11"/>
        <v/>
      </c>
      <c r="AA5" t="str">
        <f t="shared" si="12"/>
        <v/>
      </c>
      <c r="AB5" t="str">
        <f t="shared" si="7"/>
        <v/>
      </c>
    </row>
    <row r="6" spans="1:28">
      <c r="A6">
        <v>54019</v>
      </c>
      <c r="B6">
        <v>6150</v>
      </c>
      <c r="C6" t="s">
        <v>28</v>
      </c>
      <c r="D6">
        <v>2</v>
      </c>
      <c r="E6">
        <v>5</v>
      </c>
      <c r="F6">
        <v>90.63</v>
      </c>
      <c r="G6">
        <v>88.23</v>
      </c>
      <c r="H6">
        <v>95</v>
      </c>
      <c r="I6">
        <v>80</v>
      </c>
      <c r="J6">
        <v>100</v>
      </c>
      <c r="K6">
        <f t="shared" si="8"/>
        <v>93.5</v>
      </c>
      <c r="L6">
        <v>76</v>
      </c>
      <c r="M6">
        <f t="shared" si="9"/>
        <v>76.77</v>
      </c>
      <c r="N6">
        <v>85</v>
      </c>
      <c r="O6">
        <v>0</v>
      </c>
      <c r="P6">
        <f t="shared" si="0"/>
        <v>0</v>
      </c>
      <c r="Q6">
        <f t="shared" si="1"/>
        <v>80.900000000000006</v>
      </c>
      <c r="R6">
        <v>120</v>
      </c>
      <c r="S6">
        <f t="shared" si="2"/>
        <v>82.19</v>
      </c>
      <c r="T6">
        <f t="shared" si="3"/>
        <v>81.33</v>
      </c>
      <c r="U6" t="str">
        <f t="shared" si="4"/>
        <v xml:space="preserve"> </v>
      </c>
      <c r="V6">
        <f t="shared" si="5"/>
        <v>86.2</v>
      </c>
      <c r="X6" t="str">
        <f t="shared" si="6"/>
        <v/>
      </c>
      <c r="Y6" t="str">
        <f t="shared" si="10"/>
        <v>B+</v>
      </c>
      <c r="Z6" t="str">
        <f t="shared" si="11"/>
        <v/>
      </c>
      <c r="AA6" t="str">
        <f t="shared" si="12"/>
        <v/>
      </c>
      <c r="AB6" t="str">
        <f t="shared" si="7"/>
        <v/>
      </c>
    </row>
    <row r="7" spans="1:28">
      <c r="A7">
        <v>54319</v>
      </c>
      <c r="B7">
        <v>4955</v>
      </c>
      <c r="C7" t="s">
        <v>29</v>
      </c>
      <c r="D7">
        <v>1</v>
      </c>
      <c r="E7">
        <v>5</v>
      </c>
      <c r="F7">
        <v>100</v>
      </c>
      <c r="G7">
        <v>94.11</v>
      </c>
      <c r="H7">
        <v>95</v>
      </c>
      <c r="I7">
        <v>100</v>
      </c>
      <c r="J7">
        <v>0</v>
      </c>
      <c r="K7">
        <f t="shared" si="8"/>
        <v>97.3</v>
      </c>
      <c r="L7">
        <v>71</v>
      </c>
      <c r="M7">
        <f t="shared" si="9"/>
        <v>71.72</v>
      </c>
      <c r="N7">
        <v>83</v>
      </c>
      <c r="O7">
        <v>0</v>
      </c>
      <c r="P7">
        <f t="shared" si="0"/>
        <v>0</v>
      </c>
      <c r="Q7">
        <f t="shared" si="1"/>
        <v>77.400000000000006</v>
      </c>
      <c r="R7">
        <v>117</v>
      </c>
      <c r="S7">
        <f t="shared" si="2"/>
        <v>80.14</v>
      </c>
      <c r="T7">
        <f t="shared" si="3"/>
        <v>78.31</v>
      </c>
      <c r="U7" t="str">
        <f t="shared" si="4"/>
        <v xml:space="preserve"> </v>
      </c>
      <c r="V7">
        <f t="shared" si="5"/>
        <v>85.91</v>
      </c>
      <c r="X7" t="str">
        <f t="shared" si="6"/>
        <v/>
      </c>
      <c r="Y7" t="str">
        <f t="shared" si="10"/>
        <v>B</v>
      </c>
      <c r="Z7" t="str">
        <f t="shared" si="11"/>
        <v/>
      </c>
      <c r="AA7" t="str">
        <f t="shared" si="12"/>
        <v/>
      </c>
      <c r="AB7" t="str">
        <f t="shared" si="7"/>
        <v/>
      </c>
    </row>
    <row r="8" spans="1:28">
      <c r="A8">
        <v>2544</v>
      </c>
      <c r="B8">
        <v>9049</v>
      </c>
      <c r="C8" t="s">
        <v>30</v>
      </c>
      <c r="D8">
        <v>1</v>
      </c>
      <c r="E8">
        <v>5</v>
      </c>
      <c r="F8">
        <v>100</v>
      </c>
      <c r="G8">
        <v>100</v>
      </c>
      <c r="H8">
        <v>95</v>
      </c>
      <c r="I8">
        <v>80</v>
      </c>
      <c r="J8">
        <v>0</v>
      </c>
      <c r="K8">
        <f t="shared" si="8"/>
        <v>93.8</v>
      </c>
      <c r="L8">
        <v>86</v>
      </c>
      <c r="M8">
        <f t="shared" si="9"/>
        <v>86.87</v>
      </c>
      <c r="N8">
        <v>94</v>
      </c>
      <c r="O8">
        <v>0</v>
      </c>
      <c r="P8">
        <f t="shared" si="0"/>
        <v>0</v>
      </c>
      <c r="Q8">
        <f t="shared" si="1"/>
        <v>90.4</v>
      </c>
      <c r="R8">
        <v>125</v>
      </c>
      <c r="S8">
        <f t="shared" si="2"/>
        <v>85.62</v>
      </c>
      <c r="T8">
        <f t="shared" si="3"/>
        <v>88.81</v>
      </c>
      <c r="U8" t="str">
        <f t="shared" si="4"/>
        <v xml:space="preserve"> </v>
      </c>
      <c r="V8">
        <f t="shared" si="5"/>
        <v>90.8</v>
      </c>
      <c r="X8" t="str">
        <f t="shared" si="6"/>
        <v>A-</v>
      </c>
      <c r="Y8" t="str">
        <f t="shared" si="10"/>
        <v/>
      </c>
      <c r="Z8" t="str">
        <f t="shared" si="11"/>
        <v/>
      </c>
      <c r="AA8" t="str">
        <f t="shared" si="12"/>
        <v/>
      </c>
      <c r="AB8" t="str">
        <f t="shared" si="7"/>
        <v/>
      </c>
    </row>
    <row r="9" spans="1:28">
      <c r="A9">
        <v>54317</v>
      </c>
      <c r="B9">
        <v>2711</v>
      </c>
      <c r="C9" t="s">
        <v>31</v>
      </c>
      <c r="D9">
        <v>2</v>
      </c>
      <c r="E9">
        <v>5</v>
      </c>
      <c r="F9">
        <v>100</v>
      </c>
      <c r="G9">
        <v>100</v>
      </c>
      <c r="H9">
        <v>100</v>
      </c>
      <c r="I9">
        <v>100</v>
      </c>
      <c r="J9">
        <v>0</v>
      </c>
      <c r="K9">
        <f t="shared" si="8"/>
        <v>100</v>
      </c>
      <c r="L9">
        <v>83</v>
      </c>
      <c r="M9">
        <f t="shared" si="9"/>
        <v>83.84</v>
      </c>
      <c r="N9">
        <v>92</v>
      </c>
      <c r="O9">
        <v>89</v>
      </c>
      <c r="P9">
        <f t="shared" si="0"/>
        <v>91</v>
      </c>
      <c r="Q9">
        <f t="shared" si="1"/>
        <v>91.5</v>
      </c>
      <c r="R9">
        <v>126</v>
      </c>
      <c r="S9">
        <f t="shared" si="2"/>
        <v>86.3</v>
      </c>
      <c r="T9">
        <f t="shared" si="3"/>
        <v>89.77</v>
      </c>
      <c r="U9" t="str">
        <f t="shared" si="4"/>
        <v xml:space="preserve"> </v>
      </c>
      <c r="V9">
        <f t="shared" si="5"/>
        <v>93.86</v>
      </c>
      <c r="X9" t="str">
        <f t="shared" si="6"/>
        <v>A</v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7"/>
        <v/>
      </c>
    </row>
    <row r="10" spans="1:28">
      <c r="A10">
        <v>44186</v>
      </c>
      <c r="B10">
        <v>7112</v>
      </c>
      <c r="C10" t="s">
        <v>32</v>
      </c>
      <c r="D10">
        <v>2</v>
      </c>
      <c r="E10">
        <v>5</v>
      </c>
      <c r="F10">
        <v>100</v>
      </c>
      <c r="G10">
        <v>76.47</v>
      </c>
      <c r="H10">
        <v>95</v>
      </c>
      <c r="I10">
        <v>80</v>
      </c>
      <c r="J10">
        <v>100</v>
      </c>
      <c r="K10">
        <f t="shared" si="8"/>
        <v>93.8</v>
      </c>
      <c r="L10">
        <v>88</v>
      </c>
      <c r="M10">
        <f t="shared" si="9"/>
        <v>88.89</v>
      </c>
      <c r="N10">
        <v>87</v>
      </c>
      <c r="O10">
        <v>0</v>
      </c>
      <c r="P10">
        <f t="shared" si="0"/>
        <v>0</v>
      </c>
      <c r="Q10">
        <f t="shared" si="1"/>
        <v>87.9</v>
      </c>
      <c r="R10">
        <v>137</v>
      </c>
      <c r="S10">
        <f t="shared" si="2"/>
        <v>93.84</v>
      </c>
      <c r="T10">
        <f t="shared" si="3"/>
        <v>89.88</v>
      </c>
      <c r="U10" t="str">
        <f t="shared" si="4"/>
        <v xml:space="preserve"> </v>
      </c>
      <c r="V10">
        <f t="shared" si="5"/>
        <v>91.45</v>
      </c>
      <c r="X10" t="str">
        <f t="shared" si="6"/>
        <v>A-</v>
      </c>
      <c r="Y10" t="str">
        <f t="shared" si="10"/>
        <v/>
      </c>
      <c r="Z10" t="str">
        <f t="shared" si="11"/>
        <v/>
      </c>
      <c r="AA10" t="str">
        <f t="shared" si="12"/>
        <v/>
      </c>
      <c r="AB10" t="str">
        <f t="shared" si="7"/>
        <v/>
      </c>
    </row>
    <row r="11" spans="1:28">
      <c r="A11">
        <v>54431</v>
      </c>
      <c r="B11">
        <v>5217</v>
      </c>
      <c r="C11" t="s">
        <v>33</v>
      </c>
      <c r="D11">
        <v>2</v>
      </c>
      <c r="E11">
        <v>5</v>
      </c>
      <c r="F11">
        <v>93.75</v>
      </c>
      <c r="G11">
        <v>11.76</v>
      </c>
      <c r="H11">
        <v>65</v>
      </c>
      <c r="I11">
        <v>80</v>
      </c>
      <c r="J11">
        <v>100</v>
      </c>
      <c r="K11">
        <f t="shared" si="8"/>
        <v>84.7</v>
      </c>
      <c r="L11">
        <v>23</v>
      </c>
      <c r="M11">
        <f t="shared" si="9"/>
        <v>23.23</v>
      </c>
      <c r="N11">
        <v>32</v>
      </c>
      <c r="O11">
        <v>44</v>
      </c>
      <c r="P11">
        <f t="shared" si="0"/>
        <v>46</v>
      </c>
      <c r="Q11">
        <f t="shared" si="1"/>
        <v>39</v>
      </c>
      <c r="R11">
        <v>64</v>
      </c>
      <c r="S11">
        <f t="shared" si="2"/>
        <v>43.84</v>
      </c>
      <c r="T11">
        <f t="shared" si="3"/>
        <v>40.61</v>
      </c>
      <c r="U11" t="str">
        <f t="shared" si="4"/>
        <v>F</v>
      </c>
      <c r="V11">
        <f t="shared" si="5"/>
        <v>58.25</v>
      </c>
      <c r="W11" t="s">
        <v>24</v>
      </c>
      <c r="X11" t="str">
        <f t="shared" si="6"/>
        <v/>
      </c>
      <c r="Y11" t="str">
        <f t="shared" si="10"/>
        <v/>
      </c>
      <c r="Z11" t="str">
        <f t="shared" si="11"/>
        <v/>
      </c>
      <c r="AA11" t="str">
        <f t="shared" si="12"/>
        <v/>
      </c>
      <c r="AB11" t="str">
        <f t="shared" si="7"/>
        <v>F</v>
      </c>
    </row>
    <row r="12" spans="1:28">
      <c r="A12">
        <v>54033</v>
      </c>
      <c r="B12">
        <v>2191</v>
      </c>
      <c r="C12" t="s">
        <v>34</v>
      </c>
      <c r="D12">
        <v>1</v>
      </c>
      <c r="E12">
        <v>5</v>
      </c>
      <c r="F12">
        <v>100</v>
      </c>
      <c r="G12">
        <v>100</v>
      </c>
      <c r="H12">
        <v>100</v>
      </c>
      <c r="I12">
        <v>80</v>
      </c>
      <c r="J12">
        <v>0</v>
      </c>
      <c r="K12">
        <f t="shared" si="8"/>
        <v>95</v>
      </c>
      <c r="L12">
        <v>89</v>
      </c>
      <c r="M12">
        <f t="shared" si="9"/>
        <v>89.9</v>
      </c>
      <c r="N12">
        <v>93</v>
      </c>
      <c r="O12">
        <v>0</v>
      </c>
      <c r="P12">
        <f t="shared" si="0"/>
        <v>0</v>
      </c>
      <c r="Q12">
        <f t="shared" si="1"/>
        <v>91.5</v>
      </c>
      <c r="R12">
        <v>127</v>
      </c>
      <c r="S12">
        <f t="shared" si="2"/>
        <v>86.99</v>
      </c>
      <c r="T12">
        <f t="shared" si="3"/>
        <v>90</v>
      </c>
      <c r="U12" t="str">
        <f t="shared" si="4"/>
        <v xml:space="preserve"> </v>
      </c>
      <c r="V12">
        <f t="shared" si="5"/>
        <v>92</v>
      </c>
      <c r="X12" t="str">
        <f t="shared" si="6"/>
        <v>A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7"/>
        <v/>
      </c>
    </row>
    <row r="13" spans="1:28">
      <c r="A13">
        <v>54113</v>
      </c>
      <c r="B13">
        <v>2186</v>
      </c>
      <c r="C13" t="s">
        <v>35</v>
      </c>
      <c r="D13">
        <v>2</v>
      </c>
      <c r="E13">
        <v>5</v>
      </c>
      <c r="F13">
        <v>93.75</v>
      </c>
      <c r="G13">
        <v>100</v>
      </c>
      <c r="H13">
        <v>95</v>
      </c>
      <c r="I13">
        <v>80</v>
      </c>
      <c r="J13">
        <v>0</v>
      </c>
      <c r="K13">
        <f t="shared" si="8"/>
        <v>92.2</v>
      </c>
      <c r="L13">
        <v>68</v>
      </c>
      <c r="M13">
        <f t="shared" si="9"/>
        <v>68.69</v>
      </c>
      <c r="N13">
        <v>81</v>
      </c>
      <c r="O13">
        <v>64</v>
      </c>
      <c r="P13">
        <f t="shared" si="0"/>
        <v>66</v>
      </c>
      <c r="Q13">
        <f t="shared" si="1"/>
        <v>74.8</v>
      </c>
      <c r="R13">
        <v>93</v>
      </c>
      <c r="S13">
        <f t="shared" si="2"/>
        <v>63.7</v>
      </c>
      <c r="T13">
        <f t="shared" si="3"/>
        <v>71.099999999999994</v>
      </c>
      <c r="U13" t="str">
        <f t="shared" si="4"/>
        <v xml:space="preserve"> </v>
      </c>
      <c r="V13">
        <f t="shared" si="5"/>
        <v>79.540000000000006</v>
      </c>
      <c r="X13" t="str">
        <f t="shared" si="6"/>
        <v/>
      </c>
      <c r="Y13" t="str">
        <f t="shared" si="10"/>
        <v>B-</v>
      </c>
      <c r="Z13" t="str">
        <f t="shared" si="11"/>
        <v/>
      </c>
      <c r="AA13" t="str">
        <f t="shared" si="12"/>
        <v/>
      </c>
      <c r="AB13" t="str">
        <f t="shared" si="7"/>
        <v/>
      </c>
    </row>
    <row r="14" spans="1:28">
      <c r="A14">
        <v>54121</v>
      </c>
      <c r="B14">
        <v>9052</v>
      </c>
      <c r="C14" t="s">
        <v>36</v>
      </c>
      <c r="D14">
        <v>2</v>
      </c>
      <c r="E14">
        <v>5</v>
      </c>
      <c r="F14">
        <v>100</v>
      </c>
      <c r="G14">
        <v>23.52</v>
      </c>
      <c r="H14">
        <v>100</v>
      </c>
      <c r="I14">
        <v>80</v>
      </c>
      <c r="J14">
        <v>100</v>
      </c>
      <c r="K14">
        <f t="shared" si="8"/>
        <v>95</v>
      </c>
      <c r="L14">
        <v>73</v>
      </c>
      <c r="M14">
        <f t="shared" si="9"/>
        <v>73.739999999999995</v>
      </c>
      <c r="N14">
        <v>78</v>
      </c>
      <c r="O14">
        <v>0</v>
      </c>
      <c r="P14">
        <f t="shared" si="0"/>
        <v>0</v>
      </c>
      <c r="Q14">
        <f t="shared" si="1"/>
        <v>75.900000000000006</v>
      </c>
      <c r="R14">
        <v>113</v>
      </c>
      <c r="S14">
        <f t="shared" si="2"/>
        <v>77.400000000000006</v>
      </c>
      <c r="T14">
        <f t="shared" si="3"/>
        <v>76.400000000000006</v>
      </c>
      <c r="U14" t="str">
        <f t="shared" si="4"/>
        <v xml:space="preserve"> </v>
      </c>
      <c r="V14">
        <f t="shared" si="5"/>
        <v>83.84</v>
      </c>
      <c r="X14" t="str">
        <f t="shared" si="6"/>
        <v/>
      </c>
      <c r="Y14" t="str">
        <f t="shared" si="10"/>
        <v>B</v>
      </c>
      <c r="Z14" t="str">
        <f t="shared" si="11"/>
        <v/>
      </c>
      <c r="AA14" t="str">
        <f t="shared" si="12"/>
        <v/>
      </c>
      <c r="AB14" t="str">
        <f t="shared" si="7"/>
        <v/>
      </c>
    </row>
    <row r="15" spans="1:28">
      <c r="A15">
        <v>54023</v>
      </c>
      <c r="B15">
        <v>4661</v>
      </c>
      <c r="C15" t="s">
        <v>37</v>
      </c>
      <c r="D15">
        <v>2</v>
      </c>
      <c r="E15">
        <v>5</v>
      </c>
      <c r="F15">
        <v>93.75</v>
      </c>
      <c r="G15">
        <v>2.94</v>
      </c>
      <c r="H15">
        <v>90</v>
      </c>
      <c r="I15">
        <v>70</v>
      </c>
      <c r="J15">
        <v>100</v>
      </c>
      <c r="K15">
        <f t="shared" si="8"/>
        <v>88.4</v>
      </c>
      <c r="L15">
        <v>50</v>
      </c>
      <c r="M15">
        <f t="shared" si="9"/>
        <v>50.51</v>
      </c>
      <c r="N15">
        <v>54</v>
      </c>
      <c r="O15">
        <v>63</v>
      </c>
      <c r="P15">
        <f t="shared" si="0"/>
        <v>65</v>
      </c>
      <c r="Q15">
        <f t="shared" si="1"/>
        <v>59.5</v>
      </c>
      <c r="R15">
        <v>112</v>
      </c>
      <c r="S15">
        <f t="shared" si="2"/>
        <v>76.709999999999994</v>
      </c>
      <c r="T15">
        <f t="shared" si="3"/>
        <v>65.239999999999995</v>
      </c>
      <c r="U15" t="str">
        <f t="shared" si="4"/>
        <v xml:space="preserve"> </v>
      </c>
      <c r="V15">
        <f t="shared" si="5"/>
        <v>74.5</v>
      </c>
      <c r="X15" t="str">
        <f t="shared" si="6"/>
        <v/>
      </c>
      <c r="Y15" t="str">
        <f t="shared" si="10"/>
        <v/>
      </c>
      <c r="Z15" t="str">
        <f t="shared" si="11"/>
        <v>C</v>
      </c>
      <c r="AA15" t="str">
        <f t="shared" si="12"/>
        <v/>
      </c>
      <c r="AB15" t="str">
        <f t="shared" si="7"/>
        <v/>
      </c>
    </row>
    <row r="16" spans="1:28">
      <c r="A16">
        <v>54221</v>
      </c>
      <c r="B16">
        <v>2012</v>
      </c>
      <c r="C16" t="s">
        <v>38</v>
      </c>
      <c r="D16">
        <v>2</v>
      </c>
      <c r="E16">
        <v>5</v>
      </c>
      <c r="F16">
        <v>100</v>
      </c>
      <c r="G16">
        <v>100</v>
      </c>
      <c r="H16">
        <v>95</v>
      </c>
      <c r="I16">
        <v>80</v>
      </c>
      <c r="J16">
        <v>90</v>
      </c>
      <c r="K16">
        <f t="shared" si="8"/>
        <v>96.3</v>
      </c>
      <c r="L16">
        <v>62</v>
      </c>
      <c r="M16">
        <f t="shared" si="9"/>
        <v>62.63</v>
      </c>
      <c r="N16">
        <v>66</v>
      </c>
      <c r="O16">
        <v>51</v>
      </c>
      <c r="P16">
        <f t="shared" si="0"/>
        <v>53</v>
      </c>
      <c r="Q16">
        <f t="shared" si="1"/>
        <v>64.3</v>
      </c>
      <c r="R16">
        <v>77</v>
      </c>
      <c r="S16">
        <f t="shared" si="2"/>
        <v>52.74</v>
      </c>
      <c r="T16">
        <f t="shared" si="3"/>
        <v>60.45</v>
      </c>
      <c r="U16" t="str">
        <f t="shared" si="4"/>
        <v xml:space="preserve"> </v>
      </c>
      <c r="V16">
        <f t="shared" si="5"/>
        <v>74.790000000000006</v>
      </c>
      <c r="X16" t="str">
        <f t="shared" si="6"/>
        <v/>
      </c>
      <c r="Y16" t="str">
        <f t="shared" si="10"/>
        <v/>
      </c>
      <c r="Z16" t="str">
        <f t="shared" si="11"/>
        <v>C</v>
      </c>
      <c r="AA16" t="str">
        <f t="shared" si="12"/>
        <v/>
      </c>
      <c r="AB16" t="str">
        <f t="shared" si="7"/>
        <v/>
      </c>
    </row>
    <row r="17" spans="1:28">
      <c r="A17">
        <v>21296</v>
      </c>
      <c r="B17">
        <v>7809</v>
      </c>
      <c r="C17" t="s">
        <v>39</v>
      </c>
      <c r="D17">
        <v>1</v>
      </c>
      <c r="E17">
        <v>5</v>
      </c>
      <c r="F17">
        <v>93.75</v>
      </c>
      <c r="G17">
        <v>82.35</v>
      </c>
      <c r="H17">
        <v>95</v>
      </c>
      <c r="I17">
        <v>0</v>
      </c>
      <c r="J17">
        <v>100</v>
      </c>
      <c r="K17">
        <f t="shared" si="8"/>
        <v>92.8</v>
      </c>
      <c r="L17">
        <v>83</v>
      </c>
      <c r="M17">
        <f t="shared" si="9"/>
        <v>83.84</v>
      </c>
      <c r="N17">
        <v>77</v>
      </c>
      <c r="O17">
        <v>73</v>
      </c>
      <c r="P17">
        <f t="shared" si="0"/>
        <v>75</v>
      </c>
      <c r="Q17">
        <f t="shared" si="1"/>
        <v>80.400000000000006</v>
      </c>
      <c r="R17">
        <v>123</v>
      </c>
      <c r="S17">
        <f t="shared" si="2"/>
        <v>84.25</v>
      </c>
      <c r="T17">
        <f t="shared" si="3"/>
        <v>81.680000000000007</v>
      </c>
      <c r="U17" t="str">
        <f t="shared" si="4"/>
        <v xml:space="preserve"> </v>
      </c>
      <c r="V17">
        <f t="shared" si="5"/>
        <v>86.13</v>
      </c>
      <c r="X17" t="str">
        <f t="shared" si="6"/>
        <v/>
      </c>
      <c r="Y17" t="str">
        <f t="shared" si="10"/>
        <v>B+</v>
      </c>
      <c r="Z17" t="str">
        <f t="shared" si="11"/>
        <v/>
      </c>
      <c r="AA17" t="str">
        <f t="shared" si="12"/>
        <v/>
      </c>
      <c r="AB17" t="str">
        <f t="shared" si="7"/>
        <v/>
      </c>
    </row>
    <row r="18" spans="1:28">
      <c r="A18">
        <v>54351</v>
      </c>
      <c r="B18">
        <v>6550</v>
      </c>
      <c r="C18" t="s">
        <v>40</v>
      </c>
      <c r="D18">
        <v>2</v>
      </c>
      <c r="E18">
        <v>5</v>
      </c>
      <c r="F18">
        <v>93.75</v>
      </c>
      <c r="G18">
        <v>88.23</v>
      </c>
      <c r="H18">
        <v>100</v>
      </c>
      <c r="I18">
        <v>100</v>
      </c>
      <c r="J18">
        <v>100</v>
      </c>
      <c r="K18">
        <f t="shared" si="8"/>
        <v>98.4</v>
      </c>
      <c r="L18">
        <v>91</v>
      </c>
      <c r="M18">
        <f t="shared" si="9"/>
        <v>91.92</v>
      </c>
      <c r="N18">
        <v>89</v>
      </c>
      <c r="O18">
        <v>89</v>
      </c>
      <c r="P18">
        <f t="shared" si="0"/>
        <v>91</v>
      </c>
      <c r="Q18">
        <f t="shared" si="1"/>
        <v>91.5</v>
      </c>
      <c r="R18">
        <v>134</v>
      </c>
      <c r="S18">
        <f t="shared" si="2"/>
        <v>91.78</v>
      </c>
      <c r="T18">
        <f t="shared" si="3"/>
        <v>91.59</v>
      </c>
      <c r="U18" t="str">
        <f t="shared" si="4"/>
        <v xml:space="preserve"> </v>
      </c>
      <c r="V18">
        <f t="shared" si="5"/>
        <v>94.32</v>
      </c>
      <c r="X18" t="str">
        <f t="shared" si="6"/>
        <v>A</v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7"/>
        <v/>
      </c>
    </row>
  </sheetData>
  <printOptions gridLines="1" gridLinesSet="0"/>
  <pageMargins left="0.75" right="0.75" top="1" bottom="1" header="0.5" footer="0.5"/>
  <pageSetup paperSize="0" scale="73" orientation="landscape" horizontalDpi="4294967292" verticalDpi="4294967292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9"/>
  <sheetViews>
    <sheetView workbookViewId="0">
      <selection activeCell="C23" sqref="C23"/>
    </sheetView>
  </sheetViews>
  <sheetFormatPr defaultColWidth="11.453125" defaultRowHeight="12.5"/>
  <cols>
    <col min="1" max="1" width="6" customWidth="1"/>
    <col min="2" max="2" width="5" customWidth="1"/>
    <col min="3" max="3" width="21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54296</v>
      </c>
      <c r="B2">
        <v>165</v>
      </c>
      <c r="C2" t="s">
        <v>41</v>
      </c>
      <c r="D2">
        <v>2</v>
      </c>
      <c r="E2">
        <v>6</v>
      </c>
      <c r="F2">
        <v>100</v>
      </c>
      <c r="G2">
        <v>100</v>
      </c>
      <c r="H2">
        <v>95</v>
      </c>
      <c r="I2">
        <v>100</v>
      </c>
      <c r="J2">
        <v>0</v>
      </c>
      <c r="K2">
        <f t="shared" ref="K2:K19" si="0">ROUND((SUM(F2:J2)-MIN(F2:J2))/4,1)</f>
        <v>98.8</v>
      </c>
      <c r="L2">
        <v>76</v>
      </c>
      <c r="M2">
        <f t="shared" ref="M2:M19" si="1">ROUND(L2/99*100,2)</f>
        <v>76.77</v>
      </c>
      <c r="N2">
        <v>93</v>
      </c>
      <c r="O2">
        <v>0</v>
      </c>
      <c r="P2">
        <f t="shared" ref="P2:P17" si="2">IF(O2&gt;0, O2+2, O2)</f>
        <v>0</v>
      </c>
      <c r="Q2">
        <f t="shared" ref="Q2:Q19" si="3">ROUND(((M2+N2+P2)-MIN(M2,N2,P2)) /2,1)</f>
        <v>84.9</v>
      </c>
      <c r="R2">
        <v>83</v>
      </c>
      <c r="S2">
        <f t="shared" ref="S2:S19" si="4">ROUND(R2/146*100, 2)</f>
        <v>56.85</v>
      </c>
      <c r="T2">
        <f t="shared" ref="T2:T19" si="5">ROUND((2*Q2+S2)/3,2)</f>
        <v>75.55</v>
      </c>
      <c r="U2" t="str">
        <f t="shared" ref="U2:U19" si="6">IF(OR(K2&lt;59,T2&lt;59),"F", " ")</f>
        <v xml:space="preserve"> </v>
      </c>
      <c r="V2">
        <f t="shared" ref="V2:V17" si="7">ROUND(K2*0.4+Q2*0.4+S2*0.2,2)</f>
        <v>84.85</v>
      </c>
      <c r="X2" t="str">
        <f t="shared" ref="X2:X19" si="8">IF(NOT(W2="F"),IF(V2&gt;=92,"A",IF(V2&gt;=89,"A-","")),"")</f>
        <v/>
      </c>
      <c r="Y2" t="str">
        <f>IF(AND($W2="",$X2=""),IF($V2&gt;=86,"B+",IF($V2&gt;=82,"B",IF($V2&gt;=79,"B-",""))),"")</f>
        <v>B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19" si="9">IF(V2&lt;59,"F","")</f>
        <v/>
      </c>
    </row>
    <row r="3" spans="1:28">
      <c r="A3">
        <v>54327</v>
      </c>
      <c r="B3">
        <v>3881</v>
      </c>
      <c r="C3" t="s">
        <v>41</v>
      </c>
      <c r="D3">
        <v>1</v>
      </c>
      <c r="E3">
        <v>6</v>
      </c>
      <c r="F3">
        <v>87.5</v>
      </c>
      <c r="G3">
        <v>100</v>
      </c>
      <c r="H3">
        <v>95</v>
      </c>
      <c r="I3">
        <v>100</v>
      </c>
      <c r="J3">
        <v>0</v>
      </c>
      <c r="K3">
        <f t="shared" si="0"/>
        <v>95.6</v>
      </c>
      <c r="L3">
        <v>60</v>
      </c>
      <c r="M3">
        <f t="shared" si="1"/>
        <v>60.61</v>
      </c>
      <c r="N3">
        <v>87</v>
      </c>
      <c r="O3">
        <v>39</v>
      </c>
      <c r="P3">
        <f t="shared" si="2"/>
        <v>41</v>
      </c>
      <c r="Q3">
        <f t="shared" si="3"/>
        <v>73.8</v>
      </c>
      <c r="R3">
        <v>88</v>
      </c>
      <c r="S3">
        <f t="shared" si="4"/>
        <v>60.27</v>
      </c>
      <c r="T3">
        <f t="shared" si="5"/>
        <v>69.290000000000006</v>
      </c>
      <c r="U3" t="str">
        <f t="shared" si="6"/>
        <v xml:space="preserve"> </v>
      </c>
      <c r="V3">
        <f t="shared" si="7"/>
        <v>79.81</v>
      </c>
      <c r="X3" t="str">
        <f t="shared" si="8"/>
        <v/>
      </c>
      <c r="Y3" t="str">
        <f t="shared" ref="Y3:Y18" si="10">IF(AND($W3="",$X3=""),IF($V3&gt;=86,"B+",IF($V3&gt;=82,"B",IF($V3&gt;=79,"B-",""))),"")</f>
        <v>B-</v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54415</v>
      </c>
      <c r="B4">
        <v>761</v>
      </c>
      <c r="C4" t="s">
        <v>41</v>
      </c>
      <c r="D4">
        <v>2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M4">
        <f t="shared" si="1"/>
        <v>0</v>
      </c>
      <c r="N4">
        <v>0</v>
      </c>
      <c r="O4">
        <v>0</v>
      </c>
      <c r="P4">
        <f t="shared" si="2"/>
        <v>0</v>
      </c>
      <c r="Q4">
        <f t="shared" si="3"/>
        <v>0</v>
      </c>
      <c r="R4">
        <v>0</v>
      </c>
      <c r="S4">
        <f t="shared" si="4"/>
        <v>0</v>
      </c>
      <c r="T4">
        <f t="shared" si="5"/>
        <v>0</v>
      </c>
      <c r="U4" t="str">
        <f t="shared" si="6"/>
        <v>F</v>
      </c>
      <c r="V4">
        <f t="shared" si="7"/>
        <v>0</v>
      </c>
      <c r="W4" t="s">
        <v>24</v>
      </c>
      <c r="X4" t="str">
        <f t="shared" si="8"/>
        <v/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9"/>
        <v>F</v>
      </c>
    </row>
    <row r="5" spans="1:28">
      <c r="A5">
        <v>54396</v>
      </c>
      <c r="B5">
        <v>9684</v>
      </c>
      <c r="C5" t="s">
        <v>41</v>
      </c>
      <c r="D5">
        <v>2</v>
      </c>
      <c r="E5">
        <v>6</v>
      </c>
      <c r="F5">
        <v>87.5</v>
      </c>
      <c r="G5">
        <v>87.5</v>
      </c>
      <c r="H5">
        <v>95</v>
      </c>
      <c r="I5">
        <v>0</v>
      </c>
      <c r="J5">
        <v>70</v>
      </c>
      <c r="K5">
        <f t="shared" si="0"/>
        <v>85</v>
      </c>
      <c r="L5">
        <v>47</v>
      </c>
      <c r="M5">
        <f t="shared" si="1"/>
        <v>47.47</v>
      </c>
      <c r="N5">
        <v>41</v>
      </c>
      <c r="O5">
        <v>54</v>
      </c>
      <c r="P5">
        <f t="shared" si="2"/>
        <v>56</v>
      </c>
      <c r="Q5">
        <f t="shared" si="3"/>
        <v>51.7</v>
      </c>
      <c r="R5">
        <v>67</v>
      </c>
      <c r="S5">
        <f t="shared" si="4"/>
        <v>45.89</v>
      </c>
      <c r="T5">
        <f t="shared" si="5"/>
        <v>49.76</v>
      </c>
      <c r="U5" t="str">
        <f t="shared" si="6"/>
        <v>F</v>
      </c>
      <c r="V5">
        <f t="shared" si="7"/>
        <v>63.86</v>
      </c>
      <c r="W5" t="s">
        <v>24</v>
      </c>
      <c r="X5" t="str">
        <f t="shared" si="8"/>
        <v/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/>
      </c>
    </row>
    <row r="6" spans="1:28">
      <c r="A6">
        <v>57335</v>
      </c>
      <c r="B6">
        <v>6591</v>
      </c>
      <c r="C6" t="s">
        <v>41</v>
      </c>
      <c r="D6">
        <v>1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f t="shared" si="0"/>
        <v>0</v>
      </c>
      <c r="M6">
        <f t="shared" si="1"/>
        <v>0</v>
      </c>
      <c r="N6">
        <v>0</v>
      </c>
      <c r="O6">
        <v>0</v>
      </c>
      <c r="P6">
        <f t="shared" si="2"/>
        <v>0</v>
      </c>
      <c r="Q6">
        <f t="shared" si="3"/>
        <v>0</v>
      </c>
      <c r="R6">
        <v>0</v>
      </c>
      <c r="S6">
        <f t="shared" si="4"/>
        <v>0</v>
      </c>
      <c r="T6">
        <f t="shared" si="5"/>
        <v>0</v>
      </c>
      <c r="U6" t="str">
        <f t="shared" si="6"/>
        <v>F</v>
      </c>
      <c r="V6">
        <f t="shared" si="7"/>
        <v>0</v>
      </c>
      <c r="W6" t="s">
        <v>24</v>
      </c>
      <c r="X6" t="str">
        <f t="shared" si="8"/>
        <v/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9"/>
        <v>F</v>
      </c>
    </row>
    <row r="7" spans="1:28">
      <c r="A7">
        <v>53076</v>
      </c>
      <c r="B7">
        <v>4180</v>
      </c>
      <c r="C7" t="s">
        <v>41</v>
      </c>
      <c r="D7">
        <v>2</v>
      </c>
      <c r="E7">
        <v>6</v>
      </c>
      <c r="F7">
        <v>93.75</v>
      </c>
      <c r="G7">
        <v>87.5</v>
      </c>
      <c r="H7">
        <v>100</v>
      </c>
      <c r="I7">
        <v>100</v>
      </c>
      <c r="J7">
        <v>90</v>
      </c>
      <c r="K7">
        <f t="shared" si="0"/>
        <v>95.9</v>
      </c>
      <c r="L7">
        <v>79</v>
      </c>
      <c r="M7">
        <f t="shared" si="1"/>
        <v>79.8</v>
      </c>
      <c r="N7">
        <v>84</v>
      </c>
      <c r="O7">
        <v>82</v>
      </c>
      <c r="P7">
        <f t="shared" si="2"/>
        <v>84</v>
      </c>
      <c r="Q7">
        <f t="shared" si="3"/>
        <v>84</v>
      </c>
      <c r="R7">
        <v>125</v>
      </c>
      <c r="S7">
        <f t="shared" si="4"/>
        <v>85.62</v>
      </c>
      <c r="T7">
        <f t="shared" si="5"/>
        <v>84.54</v>
      </c>
      <c r="U7" t="str">
        <f t="shared" si="6"/>
        <v xml:space="preserve"> </v>
      </c>
      <c r="V7">
        <f t="shared" si="7"/>
        <v>89.08</v>
      </c>
      <c r="X7" t="str">
        <f t="shared" si="8"/>
        <v>A-</v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9"/>
        <v/>
      </c>
    </row>
    <row r="8" spans="1:28">
      <c r="A8">
        <v>54123</v>
      </c>
      <c r="B8">
        <v>739</v>
      </c>
      <c r="C8" t="s">
        <v>41</v>
      </c>
      <c r="D8">
        <v>2</v>
      </c>
      <c r="E8">
        <v>6</v>
      </c>
      <c r="F8">
        <v>100</v>
      </c>
      <c r="G8">
        <v>68.75</v>
      </c>
      <c r="H8">
        <v>100</v>
      </c>
      <c r="I8">
        <v>100</v>
      </c>
      <c r="J8">
        <v>0</v>
      </c>
      <c r="K8">
        <f t="shared" si="0"/>
        <v>92.2</v>
      </c>
      <c r="L8">
        <v>78</v>
      </c>
      <c r="M8">
        <f t="shared" si="1"/>
        <v>78.790000000000006</v>
      </c>
      <c r="N8">
        <v>80</v>
      </c>
      <c r="O8">
        <v>0</v>
      </c>
      <c r="P8">
        <f t="shared" si="2"/>
        <v>0</v>
      </c>
      <c r="Q8">
        <f t="shared" si="3"/>
        <v>79.400000000000006</v>
      </c>
      <c r="R8">
        <v>115</v>
      </c>
      <c r="S8">
        <f t="shared" si="4"/>
        <v>78.77</v>
      </c>
      <c r="T8">
        <f t="shared" si="5"/>
        <v>79.19</v>
      </c>
      <c r="U8" t="str">
        <f t="shared" si="6"/>
        <v xml:space="preserve"> </v>
      </c>
      <c r="V8">
        <f t="shared" si="7"/>
        <v>84.39</v>
      </c>
      <c r="X8" t="str">
        <f t="shared" si="8"/>
        <v/>
      </c>
      <c r="Y8" t="str">
        <f t="shared" si="10"/>
        <v>B</v>
      </c>
      <c r="Z8" t="str">
        <f t="shared" si="11"/>
        <v/>
      </c>
      <c r="AA8" t="str">
        <f t="shared" si="12"/>
        <v/>
      </c>
      <c r="AB8" t="str">
        <f t="shared" si="9"/>
        <v/>
      </c>
    </row>
    <row r="9" spans="1:28">
      <c r="A9">
        <v>54311</v>
      </c>
      <c r="B9">
        <v>4270</v>
      </c>
      <c r="C9" t="s">
        <v>41</v>
      </c>
      <c r="D9">
        <v>2</v>
      </c>
      <c r="E9">
        <v>6</v>
      </c>
      <c r="F9">
        <v>100</v>
      </c>
      <c r="G9">
        <v>93.75</v>
      </c>
      <c r="H9">
        <v>100</v>
      </c>
      <c r="I9">
        <v>0</v>
      </c>
      <c r="J9">
        <v>100</v>
      </c>
      <c r="K9">
        <f t="shared" si="0"/>
        <v>98.4</v>
      </c>
      <c r="L9">
        <v>65</v>
      </c>
      <c r="M9">
        <f t="shared" si="1"/>
        <v>65.66</v>
      </c>
      <c r="N9">
        <v>95</v>
      </c>
      <c r="O9">
        <v>63</v>
      </c>
      <c r="P9">
        <f t="shared" si="2"/>
        <v>65</v>
      </c>
      <c r="Q9">
        <f t="shared" si="3"/>
        <v>80.3</v>
      </c>
      <c r="R9">
        <v>103</v>
      </c>
      <c r="S9">
        <f t="shared" si="4"/>
        <v>70.55</v>
      </c>
      <c r="T9">
        <f t="shared" si="5"/>
        <v>77.05</v>
      </c>
      <c r="U9" t="str">
        <f t="shared" si="6"/>
        <v xml:space="preserve"> </v>
      </c>
      <c r="V9">
        <f t="shared" si="7"/>
        <v>85.59</v>
      </c>
      <c r="X9" t="str">
        <f t="shared" si="8"/>
        <v/>
      </c>
      <c r="Y9" t="str">
        <f t="shared" si="10"/>
        <v>B</v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54135</v>
      </c>
      <c r="B10">
        <v>6521</v>
      </c>
      <c r="C10" t="s">
        <v>41</v>
      </c>
      <c r="D10">
        <v>1</v>
      </c>
      <c r="E10">
        <v>6</v>
      </c>
      <c r="F10">
        <v>100</v>
      </c>
      <c r="G10">
        <v>100</v>
      </c>
      <c r="H10">
        <v>100</v>
      </c>
      <c r="I10">
        <v>100</v>
      </c>
      <c r="J10">
        <v>0</v>
      </c>
      <c r="K10">
        <f t="shared" si="0"/>
        <v>100</v>
      </c>
      <c r="L10">
        <v>89</v>
      </c>
      <c r="M10">
        <f t="shared" si="1"/>
        <v>89.9</v>
      </c>
      <c r="N10">
        <v>79</v>
      </c>
      <c r="O10">
        <v>79</v>
      </c>
      <c r="P10">
        <f t="shared" si="2"/>
        <v>81</v>
      </c>
      <c r="Q10">
        <f t="shared" si="3"/>
        <v>85.5</v>
      </c>
      <c r="R10">
        <v>130</v>
      </c>
      <c r="S10">
        <f t="shared" si="4"/>
        <v>89.04</v>
      </c>
      <c r="T10">
        <f t="shared" si="5"/>
        <v>86.68</v>
      </c>
      <c r="U10" t="str">
        <f t="shared" si="6"/>
        <v xml:space="preserve"> </v>
      </c>
      <c r="V10">
        <f t="shared" si="7"/>
        <v>92.01</v>
      </c>
      <c r="X10" t="str">
        <f t="shared" si="8"/>
        <v>A</v>
      </c>
      <c r="Y10" t="str">
        <f t="shared" si="10"/>
        <v/>
      </c>
      <c r="Z10" t="str">
        <f t="shared" si="11"/>
        <v/>
      </c>
      <c r="AA10" t="str">
        <f t="shared" si="12"/>
        <v/>
      </c>
      <c r="AB10" t="str">
        <f t="shared" si="9"/>
        <v/>
      </c>
    </row>
    <row r="11" spans="1:28">
      <c r="A11">
        <v>54327</v>
      </c>
      <c r="B11">
        <v>9779</v>
      </c>
      <c r="C11" t="s">
        <v>41</v>
      </c>
      <c r="D11">
        <v>2</v>
      </c>
      <c r="E11">
        <v>6</v>
      </c>
      <c r="F11">
        <v>93.75</v>
      </c>
      <c r="G11">
        <v>76.47</v>
      </c>
      <c r="H11">
        <v>100</v>
      </c>
      <c r="I11">
        <v>100</v>
      </c>
      <c r="J11">
        <v>0</v>
      </c>
      <c r="K11">
        <f t="shared" si="0"/>
        <v>92.6</v>
      </c>
      <c r="L11">
        <v>62</v>
      </c>
      <c r="M11">
        <f t="shared" si="1"/>
        <v>62.63</v>
      </c>
      <c r="N11">
        <v>76</v>
      </c>
      <c r="O11">
        <v>68</v>
      </c>
      <c r="P11">
        <f t="shared" si="2"/>
        <v>70</v>
      </c>
      <c r="Q11">
        <f t="shared" si="3"/>
        <v>73</v>
      </c>
      <c r="R11">
        <v>97</v>
      </c>
      <c r="S11">
        <f t="shared" si="4"/>
        <v>66.44</v>
      </c>
      <c r="T11">
        <f t="shared" si="5"/>
        <v>70.81</v>
      </c>
      <c r="U11" t="str">
        <f t="shared" si="6"/>
        <v xml:space="preserve"> </v>
      </c>
      <c r="V11">
        <f t="shared" si="7"/>
        <v>79.53</v>
      </c>
      <c r="X11" t="str">
        <f t="shared" si="8"/>
        <v/>
      </c>
      <c r="Y11" t="str">
        <f t="shared" si="10"/>
        <v>B-</v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54111</v>
      </c>
      <c r="B12">
        <v>6968</v>
      </c>
      <c r="C12" t="s">
        <v>41</v>
      </c>
      <c r="D12">
        <v>2</v>
      </c>
      <c r="E12">
        <v>6</v>
      </c>
      <c r="F12">
        <v>100</v>
      </c>
      <c r="G12">
        <v>62.5</v>
      </c>
      <c r="H12">
        <v>0</v>
      </c>
      <c r="I12">
        <v>90</v>
      </c>
      <c r="J12">
        <v>100</v>
      </c>
      <c r="K12">
        <f t="shared" si="0"/>
        <v>88.1</v>
      </c>
      <c r="L12">
        <v>46</v>
      </c>
      <c r="M12">
        <f t="shared" si="1"/>
        <v>46.46</v>
      </c>
      <c r="N12">
        <v>77</v>
      </c>
      <c r="O12">
        <v>70</v>
      </c>
      <c r="P12">
        <f t="shared" si="2"/>
        <v>72</v>
      </c>
      <c r="Q12">
        <f t="shared" si="3"/>
        <v>74.5</v>
      </c>
      <c r="R12">
        <v>107</v>
      </c>
      <c r="S12">
        <f t="shared" si="4"/>
        <v>73.290000000000006</v>
      </c>
      <c r="T12">
        <f t="shared" si="5"/>
        <v>74.099999999999994</v>
      </c>
      <c r="U12" t="str">
        <f t="shared" si="6"/>
        <v xml:space="preserve"> </v>
      </c>
      <c r="V12">
        <f t="shared" si="7"/>
        <v>79.7</v>
      </c>
      <c r="X12" t="str">
        <f t="shared" si="8"/>
        <v/>
      </c>
      <c r="Y12" t="str">
        <f t="shared" si="10"/>
        <v>B-</v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54096</v>
      </c>
      <c r="B13">
        <v>2381</v>
      </c>
      <c r="C13" t="s">
        <v>41</v>
      </c>
      <c r="D13">
        <v>2</v>
      </c>
      <c r="E13">
        <v>6</v>
      </c>
      <c r="F13">
        <v>93.75</v>
      </c>
      <c r="G13">
        <v>81.25</v>
      </c>
      <c r="H13">
        <v>100</v>
      </c>
      <c r="I13">
        <v>0</v>
      </c>
      <c r="J13">
        <v>100</v>
      </c>
      <c r="K13">
        <f t="shared" si="0"/>
        <v>93.8</v>
      </c>
      <c r="M13">
        <f t="shared" si="1"/>
        <v>0</v>
      </c>
      <c r="N13">
        <v>70</v>
      </c>
      <c r="O13">
        <v>62</v>
      </c>
      <c r="P13">
        <f t="shared" si="2"/>
        <v>64</v>
      </c>
      <c r="Q13">
        <f t="shared" si="3"/>
        <v>67</v>
      </c>
      <c r="R13">
        <v>116</v>
      </c>
      <c r="S13">
        <f t="shared" si="4"/>
        <v>79.45</v>
      </c>
      <c r="T13">
        <f t="shared" si="5"/>
        <v>71.150000000000006</v>
      </c>
      <c r="U13" t="str">
        <f t="shared" si="6"/>
        <v xml:space="preserve"> </v>
      </c>
      <c r="V13">
        <f t="shared" si="7"/>
        <v>80.209999999999994</v>
      </c>
      <c r="X13" t="str">
        <f t="shared" si="8"/>
        <v/>
      </c>
      <c r="Y13" t="str">
        <f t="shared" si="10"/>
        <v>B-</v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54002</v>
      </c>
      <c r="B14">
        <v>8028</v>
      </c>
      <c r="C14" t="s">
        <v>41</v>
      </c>
      <c r="D14">
        <v>2</v>
      </c>
      <c r="E14">
        <v>6</v>
      </c>
      <c r="F14">
        <v>100</v>
      </c>
      <c r="G14">
        <v>100</v>
      </c>
      <c r="H14">
        <v>100</v>
      </c>
      <c r="I14">
        <v>100</v>
      </c>
      <c r="J14">
        <v>0</v>
      </c>
      <c r="K14">
        <f t="shared" si="0"/>
        <v>100</v>
      </c>
      <c r="L14">
        <v>59</v>
      </c>
      <c r="M14">
        <f t="shared" si="1"/>
        <v>59.6</v>
      </c>
      <c r="N14">
        <v>90</v>
      </c>
      <c r="O14">
        <v>77</v>
      </c>
      <c r="P14">
        <f t="shared" si="2"/>
        <v>79</v>
      </c>
      <c r="Q14">
        <f t="shared" si="3"/>
        <v>84.5</v>
      </c>
      <c r="R14">
        <v>119</v>
      </c>
      <c r="S14">
        <f t="shared" si="4"/>
        <v>81.510000000000005</v>
      </c>
      <c r="T14">
        <f t="shared" si="5"/>
        <v>83.5</v>
      </c>
      <c r="U14" t="str">
        <f t="shared" si="6"/>
        <v xml:space="preserve"> </v>
      </c>
      <c r="V14">
        <f t="shared" si="7"/>
        <v>90.1</v>
      </c>
      <c r="X14" t="str">
        <f t="shared" si="8"/>
        <v>A-</v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9"/>
        <v/>
      </c>
    </row>
    <row r="15" spans="1:28">
      <c r="A15">
        <v>47013</v>
      </c>
      <c r="B15">
        <v>8252</v>
      </c>
      <c r="C15" t="s">
        <v>41</v>
      </c>
      <c r="D15">
        <v>2</v>
      </c>
      <c r="E15">
        <v>6</v>
      </c>
      <c r="F15">
        <v>93.75</v>
      </c>
      <c r="G15">
        <v>100</v>
      </c>
      <c r="H15">
        <v>95</v>
      </c>
      <c r="I15">
        <v>0</v>
      </c>
      <c r="J15">
        <v>80</v>
      </c>
      <c r="K15">
        <f t="shared" si="0"/>
        <v>92.2</v>
      </c>
      <c r="L15">
        <v>73</v>
      </c>
      <c r="M15">
        <f t="shared" si="1"/>
        <v>73.739999999999995</v>
      </c>
      <c r="N15">
        <v>84</v>
      </c>
      <c r="O15">
        <v>81</v>
      </c>
      <c r="P15">
        <f t="shared" si="2"/>
        <v>83</v>
      </c>
      <c r="Q15">
        <f t="shared" si="3"/>
        <v>83.5</v>
      </c>
      <c r="R15">
        <v>121</v>
      </c>
      <c r="S15">
        <f t="shared" si="4"/>
        <v>82.88</v>
      </c>
      <c r="T15">
        <f t="shared" si="5"/>
        <v>83.29</v>
      </c>
      <c r="U15" t="str">
        <f t="shared" si="6"/>
        <v xml:space="preserve"> </v>
      </c>
      <c r="V15">
        <f t="shared" si="7"/>
        <v>86.86</v>
      </c>
      <c r="X15" t="str">
        <f t="shared" si="8"/>
        <v/>
      </c>
      <c r="Y15" t="str">
        <f t="shared" si="10"/>
        <v>B+</v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54413</v>
      </c>
      <c r="B16">
        <v>1996</v>
      </c>
      <c r="C16" t="s">
        <v>41</v>
      </c>
      <c r="D16">
        <v>2</v>
      </c>
      <c r="E16">
        <v>6</v>
      </c>
      <c r="F16">
        <v>100</v>
      </c>
      <c r="G16">
        <v>100</v>
      </c>
      <c r="H16">
        <v>100</v>
      </c>
      <c r="I16">
        <v>100</v>
      </c>
      <c r="J16">
        <v>0</v>
      </c>
      <c r="K16">
        <f t="shared" si="0"/>
        <v>100</v>
      </c>
      <c r="L16">
        <v>61</v>
      </c>
      <c r="M16">
        <f t="shared" si="1"/>
        <v>61.62</v>
      </c>
      <c r="N16">
        <v>87</v>
      </c>
      <c r="O16">
        <v>72</v>
      </c>
      <c r="P16">
        <f t="shared" si="2"/>
        <v>74</v>
      </c>
      <c r="Q16">
        <f t="shared" si="3"/>
        <v>80.5</v>
      </c>
      <c r="R16">
        <v>119</v>
      </c>
      <c r="S16">
        <f t="shared" si="4"/>
        <v>81.510000000000005</v>
      </c>
      <c r="T16">
        <f t="shared" si="5"/>
        <v>80.84</v>
      </c>
      <c r="U16" t="str">
        <f t="shared" si="6"/>
        <v xml:space="preserve"> </v>
      </c>
      <c r="V16">
        <f t="shared" si="7"/>
        <v>88.5</v>
      </c>
      <c r="X16" t="str">
        <f t="shared" si="8"/>
        <v/>
      </c>
      <c r="Y16" t="str">
        <f t="shared" si="10"/>
        <v>B+</v>
      </c>
      <c r="Z16" t="str">
        <f t="shared" si="11"/>
        <v/>
      </c>
      <c r="AA16" t="str">
        <f t="shared" si="12"/>
        <v/>
      </c>
      <c r="AB16" t="str">
        <f t="shared" si="9"/>
        <v/>
      </c>
    </row>
    <row r="17" spans="1:28">
      <c r="A17">
        <v>54221</v>
      </c>
      <c r="B17">
        <v>6160</v>
      </c>
      <c r="C17" t="s">
        <v>41</v>
      </c>
      <c r="D17">
        <v>2</v>
      </c>
      <c r="E17">
        <v>6</v>
      </c>
      <c r="F17">
        <v>93.75</v>
      </c>
      <c r="G17">
        <v>100</v>
      </c>
      <c r="H17">
        <v>100</v>
      </c>
      <c r="I17">
        <v>100</v>
      </c>
      <c r="J17">
        <v>0</v>
      </c>
      <c r="K17">
        <f t="shared" si="0"/>
        <v>98.4</v>
      </c>
      <c r="L17">
        <v>62</v>
      </c>
      <c r="M17">
        <f t="shared" si="1"/>
        <v>62.63</v>
      </c>
      <c r="N17">
        <v>84</v>
      </c>
      <c r="O17">
        <v>76</v>
      </c>
      <c r="P17">
        <f t="shared" si="2"/>
        <v>78</v>
      </c>
      <c r="Q17">
        <f t="shared" si="3"/>
        <v>81</v>
      </c>
      <c r="R17">
        <v>122</v>
      </c>
      <c r="S17">
        <f t="shared" si="4"/>
        <v>83.56</v>
      </c>
      <c r="T17">
        <f t="shared" si="5"/>
        <v>81.849999999999994</v>
      </c>
      <c r="U17" t="str">
        <f t="shared" si="6"/>
        <v xml:space="preserve"> </v>
      </c>
      <c r="V17">
        <f t="shared" si="7"/>
        <v>88.47</v>
      </c>
      <c r="X17" t="str">
        <f t="shared" si="8"/>
        <v/>
      </c>
      <c r="Y17" t="str">
        <f t="shared" si="10"/>
        <v>B+</v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54227</v>
      </c>
      <c r="B18">
        <v>7900</v>
      </c>
      <c r="C18" t="s">
        <v>41</v>
      </c>
      <c r="D18">
        <v>2</v>
      </c>
      <c r="E18">
        <v>6</v>
      </c>
      <c r="F18">
        <v>87.5</v>
      </c>
      <c r="G18">
        <v>100</v>
      </c>
      <c r="H18">
        <v>100</v>
      </c>
      <c r="I18">
        <v>100</v>
      </c>
      <c r="J18">
        <v>0</v>
      </c>
      <c r="K18">
        <f t="shared" si="0"/>
        <v>96.9</v>
      </c>
      <c r="L18">
        <v>68</v>
      </c>
      <c r="M18">
        <f t="shared" si="1"/>
        <v>68.69</v>
      </c>
      <c r="N18">
        <v>79</v>
      </c>
      <c r="O18">
        <v>82</v>
      </c>
      <c r="P18">
        <f>IF(O18&gt;0, O18+2, O18)</f>
        <v>84</v>
      </c>
      <c r="Q18">
        <f t="shared" si="3"/>
        <v>81.5</v>
      </c>
      <c r="R18">
        <v>128</v>
      </c>
      <c r="S18">
        <f t="shared" si="4"/>
        <v>87.67</v>
      </c>
      <c r="T18">
        <f t="shared" si="5"/>
        <v>83.56</v>
      </c>
      <c r="U18" t="str">
        <f t="shared" si="6"/>
        <v xml:space="preserve"> </v>
      </c>
      <c r="V18">
        <f>ROUND(K18*0.4+Q18*0.4+S18*0.2,2)</f>
        <v>88.89</v>
      </c>
      <c r="X18" t="str">
        <f t="shared" si="8"/>
        <v/>
      </c>
      <c r="Y18" t="str">
        <f t="shared" si="10"/>
        <v>B+</v>
      </c>
      <c r="Z18" t="str">
        <f t="shared" si="11"/>
        <v/>
      </c>
      <c r="AA18" t="str">
        <f t="shared" si="12"/>
        <v/>
      </c>
      <c r="AB18" t="str">
        <f t="shared" si="9"/>
        <v/>
      </c>
    </row>
    <row r="19" spans="1:28">
      <c r="A19">
        <v>54049</v>
      </c>
      <c r="B19">
        <v>697</v>
      </c>
      <c r="C19" t="s">
        <v>41</v>
      </c>
      <c r="D19">
        <v>2</v>
      </c>
      <c r="E19">
        <v>6</v>
      </c>
      <c r="F19">
        <v>93.75</v>
      </c>
      <c r="G19">
        <v>100</v>
      </c>
      <c r="H19">
        <v>100</v>
      </c>
      <c r="I19">
        <v>100</v>
      </c>
      <c r="J19">
        <v>70</v>
      </c>
      <c r="K19">
        <f t="shared" si="0"/>
        <v>98.4</v>
      </c>
      <c r="L19">
        <v>70</v>
      </c>
      <c r="M19">
        <f t="shared" si="1"/>
        <v>70.709999999999994</v>
      </c>
      <c r="N19">
        <v>91</v>
      </c>
      <c r="O19">
        <v>88</v>
      </c>
      <c r="P19">
        <f>IF(O19&gt;0, O19+2, O19)</f>
        <v>90</v>
      </c>
      <c r="Q19">
        <f t="shared" si="3"/>
        <v>90.5</v>
      </c>
      <c r="R19">
        <v>112</v>
      </c>
      <c r="S19">
        <f t="shared" si="4"/>
        <v>76.709999999999994</v>
      </c>
      <c r="T19">
        <f t="shared" si="5"/>
        <v>85.9</v>
      </c>
      <c r="U19" t="str">
        <f t="shared" si="6"/>
        <v xml:space="preserve"> </v>
      </c>
      <c r="V19">
        <f>ROUND(K19*0.4+Q19*0.4+S19*0.2,2)</f>
        <v>90.9</v>
      </c>
      <c r="X19" t="str">
        <f t="shared" si="8"/>
        <v>A-</v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/>
      </c>
    </row>
  </sheetData>
  <printOptions gridLines="1" gridLinesSet="0"/>
  <pageMargins left="0.75" right="0.75" top="1" bottom="1" header="0.5" footer="0.5"/>
  <pageSetup paperSize="0" scale="73" orientation="landscape" horizontalDpi="4294967292" verticalDpi="4294967292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"/>
  <sheetViews>
    <sheetView topLeftCell="D1" workbookViewId="0">
      <selection activeCell="X14" sqref="X14"/>
    </sheetView>
  </sheetViews>
  <sheetFormatPr defaultColWidth="11.453125" defaultRowHeight="12.5"/>
  <cols>
    <col min="1" max="1" width="6" customWidth="1"/>
    <col min="2" max="2" width="5" customWidth="1"/>
    <col min="3" max="3" width="21.179687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5.45312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93007</v>
      </c>
      <c r="B2">
        <v>5205</v>
      </c>
      <c r="C2" t="s">
        <v>42</v>
      </c>
      <c r="D2">
        <v>1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 t="shared" ref="M2:M19" si="0">ROUND(L2/99*100,2)</f>
        <v>0</v>
      </c>
      <c r="N2">
        <v>0</v>
      </c>
      <c r="O2">
        <v>0</v>
      </c>
      <c r="P2">
        <f t="shared" ref="P2:P17" si="1">IF(O2&gt;0, O2+2, O2)</f>
        <v>0</v>
      </c>
      <c r="Q2">
        <f t="shared" ref="Q2:Q21" si="2">ROUND(((M2+N2+P2)-MIN(M2,N2,P2)) /2,1)</f>
        <v>0</v>
      </c>
      <c r="R2">
        <v>0</v>
      </c>
      <c r="S2">
        <f t="shared" ref="S2:S21" si="3">ROUND(R2/146*100, 2)</f>
        <v>0</v>
      </c>
      <c r="T2">
        <f t="shared" ref="T2:T21" si="4">ROUND((2*Q2+S2)/3,2)</f>
        <v>0</v>
      </c>
      <c r="U2" t="str">
        <f t="shared" ref="U2:U21" si="5">IF(OR(K2&lt;59,T2&lt;59),"F", " ")</f>
        <v>F</v>
      </c>
      <c r="V2">
        <f t="shared" ref="V2:V17" si="6">ROUND(K2*0.4+Q2*0.4+S2*0.2,2)</f>
        <v>0</v>
      </c>
      <c r="W2" t="s">
        <v>24</v>
      </c>
      <c r="X2" t="str">
        <f t="shared" ref="X2:X21" si="7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1" si="8">IF(V2&lt;59,"F","")</f>
        <v>F</v>
      </c>
    </row>
    <row r="3" spans="1:28">
      <c r="A3">
        <v>55181</v>
      </c>
      <c r="B3">
        <v>4137</v>
      </c>
      <c r="C3" t="s">
        <v>43</v>
      </c>
      <c r="D3">
        <v>2</v>
      </c>
      <c r="E3">
        <v>7</v>
      </c>
      <c r="F3">
        <v>75</v>
      </c>
      <c r="G3">
        <v>93.75</v>
      </c>
      <c r="H3">
        <v>100</v>
      </c>
      <c r="I3">
        <v>95.65</v>
      </c>
      <c r="J3">
        <v>0</v>
      </c>
      <c r="K3">
        <f t="shared" ref="K3:K21" si="9">ROUND((SUM(F3:J3)-MIN(F3:J3))/4,1)</f>
        <v>91.1</v>
      </c>
      <c r="L3">
        <v>81</v>
      </c>
      <c r="M3">
        <f t="shared" si="0"/>
        <v>81.819999999999993</v>
      </c>
      <c r="N3">
        <v>87</v>
      </c>
      <c r="O3">
        <v>0</v>
      </c>
      <c r="P3">
        <f t="shared" si="1"/>
        <v>0</v>
      </c>
      <c r="Q3">
        <f t="shared" si="2"/>
        <v>84.4</v>
      </c>
      <c r="R3">
        <v>133</v>
      </c>
      <c r="S3">
        <f t="shared" si="3"/>
        <v>91.1</v>
      </c>
      <c r="T3">
        <f t="shared" si="4"/>
        <v>86.63</v>
      </c>
      <c r="U3" t="str">
        <f t="shared" si="5"/>
        <v xml:space="preserve"> </v>
      </c>
      <c r="V3">
        <f t="shared" si="6"/>
        <v>88.42</v>
      </c>
      <c r="X3" t="str">
        <f t="shared" si="7"/>
        <v/>
      </c>
      <c r="Y3" t="str">
        <f t="shared" ref="Y3:Y18" si="10">IF(AND($W3="",$X3=""),IF($V3&gt;=86,"B+",IF($V3&gt;=82,"B",IF($V3&gt;=79,"B-",""))),"")</f>
        <v>B+</v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8"/>
        <v/>
      </c>
    </row>
    <row r="4" spans="1:28">
      <c r="A4">
        <v>62405</v>
      </c>
      <c r="B4">
        <v>4709</v>
      </c>
      <c r="C4" t="s">
        <v>44</v>
      </c>
      <c r="D4">
        <v>1</v>
      </c>
      <c r="E4">
        <v>7</v>
      </c>
      <c r="F4">
        <v>87.5</v>
      </c>
      <c r="G4">
        <v>100</v>
      </c>
      <c r="H4">
        <v>0</v>
      </c>
      <c r="I4">
        <v>86.96</v>
      </c>
      <c r="J4">
        <v>100</v>
      </c>
      <c r="K4">
        <f t="shared" si="9"/>
        <v>93.6</v>
      </c>
      <c r="L4">
        <v>60</v>
      </c>
      <c r="M4">
        <f t="shared" si="0"/>
        <v>60.61</v>
      </c>
      <c r="N4">
        <v>83</v>
      </c>
      <c r="O4">
        <v>0</v>
      </c>
      <c r="P4">
        <f t="shared" si="1"/>
        <v>0</v>
      </c>
      <c r="Q4">
        <f t="shared" si="2"/>
        <v>71.8</v>
      </c>
      <c r="R4">
        <v>116</v>
      </c>
      <c r="S4">
        <f t="shared" si="3"/>
        <v>79.45</v>
      </c>
      <c r="T4">
        <f t="shared" si="4"/>
        <v>74.349999999999994</v>
      </c>
      <c r="U4" t="str">
        <f t="shared" si="5"/>
        <v xml:space="preserve"> </v>
      </c>
      <c r="V4">
        <f t="shared" si="6"/>
        <v>82.05</v>
      </c>
      <c r="X4" t="str">
        <f t="shared" si="7"/>
        <v/>
      </c>
      <c r="Y4" t="str">
        <f t="shared" si="10"/>
        <v>B</v>
      </c>
      <c r="Z4" t="str">
        <f t="shared" si="11"/>
        <v/>
      </c>
      <c r="AA4" t="str">
        <f t="shared" si="12"/>
        <v/>
      </c>
      <c r="AB4" t="str">
        <f t="shared" si="8"/>
        <v/>
      </c>
    </row>
    <row r="5" spans="1:28">
      <c r="A5">
        <v>54315</v>
      </c>
      <c r="B5">
        <v>891</v>
      </c>
      <c r="C5" t="s">
        <v>45</v>
      </c>
      <c r="D5">
        <v>2</v>
      </c>
      <c r="E5">
        <v>7</v>
      </c>
      <c r="F5">
        <v>93.75</v>
      </c>
      <c r="G5">
        <v>100</v>
      </c>
      <c r="H5">
        <v>30</v>
      </c>
      <c r="I5">
        <v>91.3</v>
      </c>
      <c r="J5">
        <v>100</v>
      </c>
      <c r="K5">
        <f t="shared" si="9"/>
        <v>96.3</v>
      </c>
      <c r="L5">
        <v>67</v>
      </c>
      <c r="M5">
        <f t="shared" si="0"/>
        <v>67.680000000000007</v>
      </c>
      <c r="N5">
        <v>59</v>
      </c>
      <c r="O5">
        <v>61</v>
      </c>
      <c r="P5">
        <f t="shared" si="1"/>
        <v>63</v>
      </c>
      <c r="Q5">
        <f t="shared" si="2"/>
        <v>65.3</v>
      </c>
      <c r="R5">
        <v>110</v>
      </c>
      <c r="S5">
        <f t="shared" si="3"/>
        <v>75.34</v>
      </c>
      <c r="T5">
        <f t="shared" si="4"/>
        <v>68.650000000000006</v>
      </c>
      <c r="U5" t="str">
        <f t="shared" si="5"/>
        <v xml:space="preserve"> </v>
      </c>
      <c r="V5">
        <f t="shared" si="6"/>
        <v>79.709999999999994</v>
      </c>
      <c r="X5" t="str">
        <f t="shared" si="7"/>
        <v/>
      </c>
      <c r="Y5" t="str">
        <f t="shared" si="10"/>
        <v>B-</v>
      </c>
      <c r="Z5" t="str">
        <f t="shared" si="11"/>
        <v/>
      </c>
      <c r="AA5" t="str">
        <f t="shared" si="12"/>
        <v/>
      </c>
      <c r="AB5" t="str">
        <f t="shared" si="8"/>
        <v/>
      </c>
    </row>
    <row r="6" spans="1:28">
      <c r="A6">
        <v>61138</v>
      </c>
      <c r="B6">
        <v>9757</v>
      </c>
      <c r="C6" t="s">
        <v>46</v>
      </c>
      <c r="D6">
        <v>2</v>
      </c>
      <c r="E6">
        <v>7</v>
      </c>
      <c r="F6">
        <v>0</v>
      </c>
      <c r="G6">
        <v>100</v>
      </c>
      <c r="H6">
        <v>100</v>
      </c>
      <c r="I6">
        <v>95.65</v>
      </c>
      <c r="J6">
        <v>100</v>
      </c>
      <c r="K6">
        <f t="shared" si="9"/>
        <v>98.9</v>
      </c>
      <c r="M6">
        <f t="shared" si="0"/>
        <v>0</v>
      </c>
      <c r="N6">
        <v>72</v>
      </c>
      <c r="O6">
        <v>76</v>
      </c>
      <c r="P6">
        <f t="shared" si="1"/>
        <v>78</v>
      </c>
      <c r="Q6">
        <f t="shared" si="2"/>
        <v>75</v>
      </c>
      <c r="R6">
        <v>106</v>
      </c>
      <c r="S6">
        <f t="shared" si="3"/>
        <v>72.599999999999994</v>
      </c>
      <c r="T6">
        <f t="shared" si="4"/>
        <v>74.2</v>
      </c>
      <c r="U6" t="str">
        <f t="shared" si="5"/>
        <v xml:space="preserve"> </v>
      </c>
      <c r="V6">
        <f t="shared" si="6"/>
        <v>84.08</v>
      </c>
      <c r="X6" t="str">
        <f t="shared" si="7"/>
        <v/>
      </c>
      <c r="Y6" t="str">
        <f t="shared" si="10"/>
        <v>B</v>
      </c>
      <c r="Z6" t="str">
        <f t="shared" si="11"/>
        <v/>
      </c>
      <c r="AA6" t="str">
        <f t="shared" si="12"/>
        <v/>
      </c>
      <c r="AB6" t="str">
        <f t="shared" si="8"/>
        <v/>
      </c>
    </row>
    <row r="7" spans="1:28">
      <c r="A7">
        <v>45587</v>
      </c>
      <c r="B7">
        <v>7838</v>
      </c>
      <c r="C7" t="s">
        <v>47</v>
      </c>
      <c r="D7">
        <v>2</v>
      </c>
      <c r="E7">
        <v>7</v>
      </c>
      <c r="F7">
        <v>0</v>
      </c>
      <c r="G7">
        <v>68.75</v>
      </c>
      <c r="H7">
        <v>95</v>
      </c>
      <c r="I7">
        <v>0</v>
      </c>
      <c r="J7">
        <v>0</v>
      </c>
      <c r="K7">
        <f t="shared" si="9"/>
        <v>40.9</v>
      </c>
      <c r="M7">
        <f t="shared" si="0"/>
        <v>0</v>
      </c>
      <c r="N7">
        <v>52</v>
      </c>
      <c r="O7">
        <v>0</v>
      </c>
      <c r="P7">
        <f t="shared" si="1"/>
        <v>0</v>
      </c>
      <c r="Q7">
        <f t="shared" si="2"/>
        <v>26</v>
      </c>
      <c r="R7">
        <v>0</v>
      </c>
      <c r="S7">
        <f t="shared" si="3"/>
        <v>0</v>
      </c>
      <c r="T7">
        <f t="shared" si="4"/>
        <v>17.329999999999998</v>
      </c>
      <c r="U7" t="str">
        <f t="shared" si="5"/>
        <v>F</v>
      </c>
      <c r="V7">
        <f t="shared" si="6"/>
        <v>26.76</v>
      </c>
      <c r="W7" t="s">
        <v>24</v>
      </c>
      <c r="X7" t="str">
        <f t="shared" si="7"/>
        <v/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8"/>
        <v>F</v>
      </c>
    </row>
    <row r="8" spans="1:28">
      <c r="A8">
        <v>54394</v>
      </c>
      <c r="B8">
        <v>4500</v>
      </c>
      <c r="C8" t="s">
        <v>48</v>
      </c>
      <c r="D8">
        <v>1</v>
      </c>
      <c r="E8">
        <v>7</v>
      </c>
      <c r="F8">
        <v>93.75</v>
      </c>
      <c r="G8">
        <v>100</v>
      </c>
      <c r="H8">
        <v>0</v>
      </c>
      <c r="I8">
        <v>95.65</v>
      </c>
      <c r="J8">
        <v>100</v>
      </c>
      <c r="K8">
        <f t="shared" si="9"/>
        <v>97.4</v>
      </c>
      <c r="L8">
        <v>58</v>
      </c>
      <c r="M8">
        <f t="shared" si="0"/>
        <v>58.59</v>
      </c>
      <c r="N8">
        <v>86</v>
      </c>
      <c r="O8">
        <v>70</v>
      </c>
      <c r="P8">
        <f t="shared" si="1"/>
        <v>72</v>
      </c>
      <c r="Q8">
        <f t="shared" si="2"/>
        <v>79</v>
      </c>
      <c r="R8">
        <v>112</v>
      </c>
      <c r="S8">
        <f t="shared" si="3"/>
        <v>76.709999999999994</v>
      </c>
      <c r="T8">
        <f t="shared" si="4"/>
        <v>78.239999999999995</v>
      </c>
      <c r="U8" t="str">
        <f t="shared" si="5"/>
        <v xml:space="preserve"> </v>
      </c>
      <c r="V8">
        <f t="shared" si="6"/>
        <v>85.9</v>
      </c>
      <c r="X8" t="str">
        <f t="shared" si="7"/>
        <v/>
      </c>
      <c r="Y8" t="str">
        <f t="shared" si="10"/>
        <v>B</v>
      </c>
      <c r="Z8" t="str">
        <f t="shared" si="11"/>
        <v/>
      </c>
      <c r="AA8" t="str">
        <f t="shared" si="12"/>
        <v/>
      </c>
      <c r="AB8" t="str">
        <f t="shared" si="8"/>
        <v/>
      </c>
    </row>
    <row r="9" spans="1:28">
      <c r="A9">
        <v>54421</v>
      </c>
      <c r="B9">
        <v>6078</v>
      </c>
      <c r="C9" t="s">
        <v>49</v>
      </c>
      <c r="E9">
        <v>7</v>
      </c>
      <c r="F9">
        <v>87.5</v>
      </c>
      <c r="G9">
        <v>100</v>
      </c>
      <c r="H9">
        <v>0</v>
      </c>
      <c r="I9">
        <v>95.65</v>
      </c>
      <c r="J9">
        <v>100</v>
      </c>
      <c r="K9">
        <f t="shared" si="9"/>
        <v>95.8</v>
      </c>
      <c r="L9">
        <v>74</v>
      </c>
      <c r="M9">
        <f t="shared" si="0"/>
        <v>74.75</v>
      </c>
      <c r="N9">
        <v>78</v>
      </c>
      <c r="O9">
        <v>0</v>
      </c>
      <c r="P9">
        <f t="shared" si="1"/>
        <v>0</v>
      </c>
      <c r="Q9">
        <f t="shared" si="2"/>
        <v>76.400000000000006</v>
      </c>
      <c r="R9">
        <v>103</v>
      </c>
      <c r="S9">
        <f t="shared" si="3"/>
        <v>70.55</v>
      </c>
      <c r="T9">
        <f t="shared" si="4"/>
        <v>74.45</v>
      </c>
      <c r="U9" t="str">
        <f t="shared" si="5"/>
        <v xml:space="preserve"> </v>
      </c>
      <c r="V9">
        <f t="shared" si="6"/>
        <v>82.99</v>
      </c>
      <c r="X9" t="str">
        <f t="shared" si="7"/>
        <v/>
      </c>
      <c r="Y9" t="str">
        <f t="shared" si="10"/>
        <v>B</v>
      </c>
      <c r="Z9" t="str">
        <f t="shared" si="11"/>
        <v/>
      </c>
      <c r="AA9" t="str">
        <f t="shared" si="12"/>
        <v/>
      </c>
      <c r="AB9" t="str">
        <f t="shared" si="8"/>
        <v/>
      </c>
    </row>
    <row r="10" spans="1:28">
      <c r="A10">
        <v>54392</v>
      </c>
      <c r="B10">
        <v>7242</v>
      </c>
      <c r="C10" t="s">
        <v>50</v>
      </c>
      <c r="D10">
        <v>2</v>
      </c>
      <c r="E10">
        <v>7</v>
      </c>
      <c r="F10">
        <v>93.75</v>
      </c>
      <c r="G10">
        <v>100</v>
      </c>
      <c r="H10">
        <v>0</v>
      </c>
      <c r="I10">
        <v>0</v>
      </c>
      <c r="J10">
        <v>90</v>
      </c>
      <c r="K10">
        <f t="shared" si="9"/>
        <v>70.900000000000006</v>
      </c>
      <c r="L10">
        <v>63</v>
      </c>
      <c r="M10">
        <f t="shared" si="0"/>
        <v>63.64</v>
      </c>
      <c r="N10">
        <v>68</v>
      </c>
      <c r="O10">
        <v>62</v>
      </c>
      <c r="P10">
        <f t="shared" si="1"/>
        <v>64</v>
      </c>
      <c r="Q10">
        <f t="shared" si="2"/>
        <v>66</v>
      </c>
      <c r="R10">
        <v>112</v>
      </c>
      <c r="S10">
        <f t="shared" si="3"/>
        <v>76.709999999999994</v>
      </c>
      <c r="T10">
        <f t="shared" si="4"/>
        <v>69.569999999999993</v>
      </c>
      <c r="U10" t="str">
        <f t="shared" si="5"/>
        <v xml:space="preserve"> </v>
      </c>
      <c r="V10">
        <f t="shared" si="6"/>
        <v>70.099999999999994</v>
      </c>
      <c r="X10" t="str">
        <f t="shared" si="7"/>
        <v/>
      </c>
      <c r="Y10" t="str">
        <f t="shared" si="10"/>
        <v/>
      </c>
      <c r="Z10" t="str">
        <f t="shared" si="11"/>
        <v>C-</v>
      </c>
      <c r="AA10" t="str">
        <f t="shared" si="12"/>
        <v/>
      </c>
      <c r="AB10" t="str">
        <f t="shared" si="8"/>
        <v/>
      </c>
    </row>
    <row r="11" spans="1:28">
      <c r="A11">
        <v>54321</v>
      </c>
      <c r="B11">
        <v>427</v>
      </c>
      <c r="C11" t="s">
        <v>51</v>
      </c>
      <c r="D11">
        <v>2</v>
      </c>
      <c r="E11">
        <v>7</v>
      </c>
      <c r="F11">
        <v>81.25</v>
      </c>
      <c r="G11">
        <v>100</v>
      </c>
      <c r="H11">
        <v>95</v>
      </c>
      <c r="I11">
        <v>95.65</v>
      </c>
      <c r="J11">
        <v>0</v>
      </c>
      <c r="K11">
        <f t="shared" si="9"/>
        <v>93</v>
      </c>
      <c r="L11">
        <v>63</v>
      </c>
      <c r="M11">
        <f t="shared" si="0"/>
        <v>63.64</v>
      </c>
      <c r="N11">
        <v>82</v>
      </c>
      <c r="O11">
        <v>73</v>
      </c>
      <c r="P11">
        <f t="shared" si="1"/>
        <v>75</v>
      </c>
      <c r="Q11">
        <f t="shared" si="2"/>
        <v>78.5</v>
      </c>
      <c r="R11">
        <v>108</v>
      </c>
      <c r="S11">
        <f t="shared" si="3"/>
        <v>73.97</v>
      </c>
      <c r="T11">
        <f t="shared" si="4"/>
        <v>76.989999999999995</v>
      </c>
      <c r="U11" t="str">
        <f t="shared" si="5"/>
        <v xml:space="preserve"> </v>
      </c>
      <c r="V11">
        <f t="shared" si="6"/>
        <v>83.39</v>
      </c>
      <c r="X11" t="str">
        <f t="shared" si="7"/>
        <v/>
      </c>
      <c r="Y11" t="str">
        <f t="shared" si="10"/>
        <v>B</v>
      </c>
      <c r="Z11" t="str">
        <f t="shared" si="11"/>
        <v/>
      </c>
      <c r="AA11" t="str">
        <f t="shared" si="12"/>
        <v/>
      </c>
      <c r="AB11" t="str">
        <f t="shared" si="8"/>
        <v/>
      </c>
    </row>
    <row r="12" spans="1:28">
      <c r="A12" t="s">
        <v>52</v>
      </c>
      <c r="B12">
        <v>3753</v>
      </c>
      <c r="C12" t="s">
        <v>53</v>
      </c>
      <c r="E12">
        <v>7</v>
      </c>
      <c r="F12">
        <v>75</v>
      </c>
      <c r="G12">
        <v>0</v>
      </c>
      <c r="H12">
        <v>0</v>
      </c>
      <c r="I12">
        <v>0</v>
      </c>
      <c r="J12">
        <v>0</v>
      </c>
      <c r="K12">
        <f t="shared" si="9"/>
        <v>18.8</v>
      </c>
      <c r="L12">
        <v>28</v>
      </c>
      <c r="M12">
        <f t="shared" si="0"/>
        <v>28.28</v>
      </c>
      <c r="N12">
        <v>0</v>
      </c>
      <c r="O12">
        <v>0</v>
      </c>
      <c r="P12">
        <f t="shared" si="1"/>
        <v>0</v>
      </c>
      <c r="Q12">
        <f t="shared" si="2"/>
        <v>14.1</v>
      </c>
      <c r="R12">
        <v>0</v>
      </c>
      <c r="S12">
        <f t="shared" si="3"/>
        <v>0</v>
      </c>
      <c r="T12">
        <f t="shared" si="4"/>
        <v>9.4</v>
      </c>
      <c r="U12" t="str">
        <f t="shared" si="5"/>
        <v>F</v>
      </c>
      <c r="V12">
        <f t="shared" si="6"/>
        <v>13.16</v>
      </c>
      <c r="W12" t="s">
        <v>24</v>
      </c>
      <c r="X12" t="str">
        <f t="shared" si="7"/>
        <v/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8"/>
        <v>F</v>
      </c>
    </row>
    <row r="13" spans="1:28">
      <c r="A13">
        <v>47482</v>
      </c>
      <c r="B13">
        <v>964</v>
      </c>
      <c r="C13" t="s">
        <v>54</v>
      </c>
      <c r="D13">
        <v>2</v>
      </c>
      <c r="E13">
        <v>7</v>
      </c>
      <c r="F13">
        <v>100</v>
      </c>
      <c r="G13">
        <v>68.75</v>
      </c>
      <c r="H13">
        <v>90</v>
      </c>
      <c r="I13">
        <v>95.65</v>
      </c>
      <c r="J13">
        <v>0</v>
      </c>
      <c r="K13">
        <f t="shared" si="9"/>
        <v>88.6</v>
      </c>
      <c r="L13">
        <v>52</v>
      </c>
      <c r="M13">
        <f t="shared" si="0"/>
        <v>52.53</v>
      </c>
      <c r="N13">
        <v>62</v>
      </c>
      <c r="O13">
        <v>70</v>
      </c>
      <c r="P13">
        <f t="shared" si="1"/>
        <v>72</v>
      </c>
      <c r="Q13">
        <f t="shared" si="2"/>
        <v>67</v>
      </c>
      <c r="R13">
        <v>108</v>
      </c>
      <c r="S13">
        <f t="shared" si="3"/>
        <v>73.97</v>
      </c>
      <c r="T13">
        <f t="shared" si="4"/>
        <v>69.319999999999993</v>
      </c>
      <c r="U13" t="str">
        <f t="shared" si="5"/>
        <v xml:space="preserve"> </v>
      </c>
      <c r="V13">
        <f t="shared" si="6"/>
        <v>77.03</v>
      </c>
      <c r="X13" t="str">
        <f t="shared" si="7"/>
        <v/>
      </c>
      <c r="Y13" t="str">
        <f t="shared" si="10"/>
        <v/>
      </c>
      <c r="Z13" t="str">
        <f t="shared" si="11"/>
        <v>C+</v>
      </c>
      <c r="AA13" t="str">
        <f t="shared" si="12"/>
        <v/>
      </c>
      <c r="AB13" t="str">
        <f t="shared" si="8"/>
        <v/>
      </c>
    </row>
    <row r="14" spans="1:28">
      <c r="A14">
        <v>54096</v>
      </c>
      <c r="B14">
        <v>1799</v>
      </c>
      <c r="C14" t="s">
        <v>55</v>
      </c>
      <c r="D14">
        <v>2</v>
      </c>
      <c r="E14">
        <v>7</v>
      </c>
      <c r="F14">
        <v>87.5</v>
      </c>
      <c r="G14">
        <v>100</v>
      </c>
      <c r="H14">
        <v>95</v>
      </c>
      <c r="I14">
        <v>95.65</v>
      </c>
      <c r="J14">
        <v>0</v>
      </c>
      <c r="K14">
        <f t="shared" si="9"/>
        <v>94.5</v>
      </c>
      <c r="L14">
        <v>71</v>
      </c>
      <c r="M14">
        <f t="shared" si="0"/>
        <v>71.72</v>
      </c>
      <c r="N14">
        <v>74</v>
      </c>
      <c r="O14">
        <v>92</v>
      </c>
      <c r="P14">
        <f t="shared" si="1"/>
        <v>94</v>
      </c>
      <c r="Q14">
        <f t="shared" si="2"/>
        <v>84</v>
      </c>
      <c r="R14">
        <v>117</v>
      </c>
      <c r="S14">
        <f t="shared" si="3"/>
        <v>80.14</v>
      </c>
      <c r="T14">
        <f t="shared" si="4"/>
        <v>82.71</v>
      </c>
      <c r="U14" t="str">
        <f t="shared" si="5"/>
        <v xml:space="preserve"> </v>
      </c>
      <c r="V14">
        <f t="shared" si="6"/>
        <v>87.43</v>
      </c>
      <c r="X14" t="str">
        <f t="shared" si="7"/>
        <v/>
      </c>
      <c r="Y14" t="str">
        <f t="shared" si="10"/>
        <v>B+</v>
      </c>
      <c r="Z14" t="str">
        <f t="shared" si="11"/>
        <v/>
      </c>
      <c r="AA14" t="str">
        <f t="shared" si="12"/>
        <v/>
      </c>
      <c r="AB14" t="str">
        <f t="shared" si="8"/>
        <v/>
      </c>
    </row>
    <row r="15" spans="1:28">
      <c r="A15">
        <v>54421</v>
      </c>
      <c r="B15">
        <v>8734</v>
      </c>
      <c r="C15" t="s">
        <v>56</v>
      </c>
      <c r="D15">
        <v>2</v>
      </c>
      <c r="E15">
        <v>7</v>
      </c>
      <c r="F15">
        <v>81.25</v>
      </c>
      <c r="G15">
        <v>64.709999999999994</v>
      </c>
      <c r="H15">
        <v>75</v>
      </c>
      <c r="I15">
        <v>0</v>
      </c>
      <c r="J15">
        <v>0</v>
      </c>
      <c r="K15">
        <f t="shared" si="9"/>
        <v>55.2</v>
      </c>
      <c r="L15">
        <v>47</v>
      </c>
      <c r="M15">
        <f t="shared" si="0"/>
        <v>47.47</v>
      </c>
      <c r="N15">
        <v>41</v>
      </c>
      <c r="O15">
        <v>14</v>
      </c>
      <c r="P15">
        <f t="shared" si="1"/>
        <v>16</v>
      </c>
      <c r="Q15">
        <f t="shared" si="2"/>
        <v>44.2</v>
      </c>
      <c r="R15">
        <v>75</v>
      </c>
      <c r="S15">
        <f t="shared" si="3"/>
        <v>51.37</v>
      </c>
      <c r="T15">
        <f t="shared" si="4"/>
        <v>46.59</v>
      </c>
      <c r="U15" t="str">
        <f t="shared" si="5"/>
        <v>F</v>
      </c>
      <c r="V15">
        <f t="shared" si="6"/>
        <v>50.03</v>
      </c>
      <c r="W15" t="s">
        <v>24</v>
      </c>
      <c r="X15" t="str">
        <f t="shared" si="7"/>
        <v/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8"/>
        <v>F</v>
      </c>
    </row>
    <row r="16" spans="1:28">
      <c r="A16">
        <v>54431</v>
      </c>
      <c r="B16">
        <v>1730</v>
      </c>
      <c r="C16" t="s">
        <v>57</v>
      </c>
      <c r="D16">
        <v>1</v>
      </c>
      <c r="E16">
        <v>7</v>
      </c>
      <c r="F16">
        <v>93.75</v>
      </c>
      <c r="G16">
        <v>87.5</v>
      </c>
      <c r="H16">
        <v>85</v>
      </c>
      <c r="I16">
        <v>43.48</v>
      </c>
      <c r="J16">
        <v>0</v>
      </c>
      <c r="K16">
        <f t="shared" si="9"/>
        <v>77.400000000000006</v>
      </c>
      <c r="L16">
        <v>53</v>
      </c>
      <c r="M16">
        <f t="shared" si="0"/>
        <v>53.54</v>
      </c>
      <c r="N16">
        <v>54</v>
      </c>
      <c r="O16">
        <v>53</v>
      </c>
      <c r="P16">
        <f t="shared" si="1"/>
        <v>55</v>
      </c>
      <c r="Q16">
        <f t="shared" si="2"/>
        <v>54.5</v>
      </c>
      <c r="R16">
        <v>91</v>
      </c>
      <c r="S16">
        <f t="shared" si="3"/>
        <v>62.33</v>
      </c>
      <c r="T16">
        <f t="shared" si="4"/>
        <v>57.11</v>
      </c>
      <c r="U16" t="str">
        <f t="shared" si="5"/>
        <v>F</v>
      </c>
      <c r="V16">
        <f t="shared" si="6"/>
        <v>65.23</v>
      </c>
      <c r="W16" t="s">
        <v>24</v>
      </c>
      <c r="X16" t="str">
        <f t="shared" si="7"/>
        <v/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8"/>
        <v/>
      </c>
    </row>
    <row r="17" spans="1:28">
      <c r="A17">
        <v>54227</v>
      </c>
      <c r="B17">
        <v>1619</v>
      </c>
      <c r="C17" t="s">
        <v>58</v>
      </c>
      <c r="D17">
        <v>1</v>
      </c>
      <c r="E17">
        <v>7</v>
      </c>
      <c r="F17">
        <v>87.5</v>
      </c>
      <c r="G17">
        <v>100</v>
      </c>
      <c r="H17">
        <v>100</v>
      </c>
      <c r="I17">
        <v>95.65</v>
      </c>
      <c r="J17">
        <v>0</v>
      </c>
      <c r="K17">
        <f t="shared" si="9"/>
        <v>95.8</v>
      </c>
      <c r="L17">
        <v>68</v>
      </c>
      <c r="M17">
        <f t="shared" si="0"/>
        <v>68.69</v>
      </c>
      <c r="N17">
        <v>67</v>
      </c>
      <c r="O17">
        <v>0</v>
      </c>
      <c r="P17">
        <f t="shared" si="1"/>
        <v>0</v>
      </c>
      <c r="Q17">
        <f t="shared" si="2"/>
        <v>67.8</v>
      </c>
      <c r="R17">
        <v>119</v>
      </c>
      <c r="S17">
        <f t="shared" si="3"/>
        <v>81.510000000000005</v>
      </c>
      <c r="T17">
        <f t="shared" si="4"/>
        <v>72.37</v>
      </c>
      <c r="U17" t="str">
        <f t="shared" si="5"/>
        <v xml:space="preserve"> </v>
      </c>
      <c r="V17">
        <f t="shared" si="6"/>
        <v>81.739999999999995</v>
      </c>
      <c r="X17" t="str">
        <f t="shared" si="7"/>
        <v/>
      </c>
      <c r="Y17" t="str">
        <f t="shared" si="10"/>
        <v>B-</v>
      </c>
      <c r="Z17" t="str">
        <f t="shared" si="11"/>
        <v/>
      </c>
      <c r="AA17" t="str">
        <f t="shared" si="12"/>
        <v/>
      </c>
      <c r="AB17" t="str">
        <f t="shared" si="8"/>
        <v/>
      </c>
    </row>
    <row r="18" spans="1:28">
      <c r="A18">
        <v>57535</v>
      </c>
      <c r="B18">
        <v>8801</v>
      </c>
      <c r="C18" t="s">
        <v>59</v>
      </c>
      <c r="D18">
        <v>2</v>
      </c>
      <c r="E18">
        <v>7</v>
      </c>
      <c r="F18">
        <v>81.25</v>
      </c>
      <c r="G18">
        <v>68.75</v>
      </c>
      <c r="H18">
        <v>95</v>
      </c>
      <c r="I18">
        <v>26.09</v>
      </c>
      <c r="J18">
        <v>100</v>
      </c>
      <c r="K18">
        <f t="shared" si="9"/>
        <v>86.3</v>
      </c>
      <c r="L18">
        <v>47</v>
      </c>
      <c r="M18">
        <f t="shared" si="0"/>
        <v>47.47</v>
      </c>
      <c r="N18">
        <v>54</v>
      </c>
      <c r="O18">
        <v>68</v>
      </c>
      <c r="P18">
        <f>IF(O18&gt;0, O18+2, O18)</f>
        <v>70</v>
      </c>
      <c r="Q18">
        <f t="shared" si="2"/>
        <v>62</v>
      </c>
      <c r="R18">
        <v>80</v>
      </c>
      <c r="S18">
        <f t="shared" si="3"/>
        <v>54.79</v>
      </c>
      <c r="T18">
        <f t="shared" si="4"/>
        <v>59.6</v>
      </c>
      <c r="U18" t="str">
        <f t="shared" si="5"/>
        <v xml:space="preserve"> </v>
      </c>
      <c r="V18">
        <f>ROUND(K18*0.4+Q18*0.4+S18*0.2,2)</f>
        <v>70.28</v>
      </c>
      <c r="X18" t="str">
        <f t="shared" si="7"/>
        <v/>
      </c>
      <c r="Y18" t="str">
        <f t="shared" si="10"/>
        <v/>
      </c>
      <c r="Z18" t="str">
        <f t="shared" si="11"/>
        <v>C-</v>
      </c>
      <c r="AA18" t="str">
        <f t="shared" si="12"/>
        <v/>
      </c>
      <c r="AB18" t="str">
        <f t="shared" si="8"/>
        <v/>
      </c>
    </row>
    <row r="19" spans="1:28">
      <c r="A19">
        <v>54223</v>
      </c>
      <c r="B19">
        <v>4033</v>
      </c>
      <c r="C19" t="s">
        <v>60</v>
      </c>
      <c r="D19">
        <v>2</v>
      </c>
      <c r="E19">
        <v>7</v>
      </c>
      <c r="F19">
        <v>93.75</v>
      </c>
      <c r="G19">
        <v>100</v>
      </c>
      <c r="H19">
        <v>100</v>
      </c>
      <c r="I19">
        <v>95.65</v>
      </c>
      <c r="J19">
        <v>0</v>
      </c>
      <c r="K19">
        <f t="shared" si="9"/>
        <v>97.4</v>
      </c>
      <c r="L19">
        <v>84</v>
      </c>
      <c r="M19">
        <f t="shared" si="0"/>
        <v>84.85</v>
      </c>
      <c r="N19">
        <v>91</v>
      </c>
      <c r="O19">
        <v>69</v>
      </c>
      <c r="P19">
        <f>IF(O19&gt;0, O19+2, O19)</f>
        <v>71</v>
      </c>
      <c r="Q19">
        <f t="shared" si="2"/>
        <v>87.9</v>
      </c>
      <c r="R19">
        <v>126</v>
      </c>
      <c r="S19">
        <f t="shared" si="3"/>
        <v>86.3</v>
      </c>
      <c r="T19">
        <f t="shared" si="4"/>
        <v>87.37</v>
      </c>
      <c r="U19" t="str">
        <f t="shared" si="5"/>
        <v xml:space="preserve"> </v>
      </c>
      <c r="V19">
        <f>ROUND(K19*0.4+Q19*0.4+S19*0.2,2)</f>
        <v>91.38</v>
      </c>
      <c r="X19" t="str">
        <f t="shared" si="7"/>
        <v>A-</v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8"/>
        <v/>
      </c>
    </row>
    <row r="20" spans="1:28">
      <c r="A20">
        <v>54413</v>
      </c>
      <c r="B20">
        <v>4912</v>
      </c>
      <c r="C20" t="s">
        <v>61</v>
      </c>
      <c r="D20">
        <v>1</v>
      </c>
      <c r="E20">
        <v>7</v>
      </c>
      <c r="F20">
        <v>100</v>
      </c>
      <c r="G20">
        <v>0</v>
      </c>
      <c r="H20">
        <v>0</v>
      </c>
      <c r="I20">
        <v>0</v>
      </c>
      <c r="J20">
        <v>0</v>
      </c>
      <c r="K20">
        <f t="shared" si="9"/>
        <v>25</v>
      </c>
      <c r="M20">
        <f>L20/99*100</f>
        <v>0</v>
      </c>
      <c r="N20">
        <v>47</v>
      </c>
      <c r="O20">
        <v>0</v>
      </c>
      <c r="P20">
        <f>IF(O20&gt;0, O20+2, O20)</f>
        <v>0</v>
      </c>
      <c r="Q20">
        <f t="shared" si="2"/>
        <v>23.5</v>
      </c>
      <c r="R20">
        <v>0</v>
      </c>
      <c r="S20">
        <f t="shared" si="3"/>
        <v>0</v>
      </c>
      <c r="T20">
        <f t="shared" si="4"/>
        <v>15.67</v>
      </c>
      <c r="U20" t="str">
        <f t="shared" si="5"/>
        <v>F</v>
      </c>
      <c r="V20">
        <f>ROUND(K20*0.4+Q20*0.4+S20*0.2,2)</f>
        <v>19.399999999999999</v>
      </c>
      <c r="W20" t="s">
        <v>24</v>
      </c>
      <c r="X20" t="str">
        <f t="shared" si="7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8"/>
        <v>F</v>
      </c>
    </row>
    <row r="21" spans="1:28">
      <c r="A21">
        <v>54102</v>
      </c>
      <c r="B21">
        <v>7046</v>
      </c>
      <c r="C21" t="s">
        <v>62</v>
      </c>
      <c r="D21">
        <v>2</v>
      </c>
      <c r="E21">
        <v>7</v>
      </c>
      <c r="F21">
        <v>100</v>
      </c>
      <c r="G21">
        <v>100</v>
      </c>
      <c r="H21">
        <v>95</v>
      </c>
      <c r="I21">
        <v>91.3</v>
      </c>
      <c r="J21">
        <v>100</v>
      </c>
      <c r="K21">
        <f t="shared" si="9"/>
        <v>98.8</v>
      </c>
      <c r="L21">
        <v>48</v>
      </c>
      <c r="M21">
        <f>L21/99*100</f>
        <v>48.484848484848484</v>
      </c>
      <c r="N21">
        <v>81</v>
      </c>
      <c r="O21">
        <v>82</v>
      </c>
      <c r="P21">
        <f>IF(O21&gt;0, O21+2, O21)</f>
        <v>84</v>
      </c>
      <c r="Q21">
        <f t="shared" si="2"/>
        <v>82.5</v>
      </c>
      <c r="R21">
        <v>132</v>
      </c>
      <c r="S21">
        <f t="shared" si="3"/>
        <v>90.41</v>
      </c>
      <c r="T21">
        <f t="shared" si="4"/>
        <v>85.14</v>
      </c>
      <c r="U21" t="str">
        <f t="shared" si="5"/>
        <v xml:space="preserve"> </v>
      </c>
      <c r="V21">
        <f>ROUND(K21*0.4+Q21*0.4+S21*0.2,2)</f>
        <v>90.6</v>
      </c>
      <c r="X21" t="str">
        <f t="shared" si="7"/>
        <v>A-</v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8"/>
        <v/>
      </c>
    </row>
  </sheetData>
  <printOptions gridLines="1" gridLinesSet="0"/>
  <pageMargins left="0.75" right="0.75" top="1" bottom="1" header="0.5" footer="0.5"/>
  <pageSetup paperSize="0" scale="73" orientation="landscape" horizontalDpi="4294967292" verticalDpi="4294967292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"/>
  <sheetViews>
    <sheetView topLeftCell="D1" workbookViewId="0">
      <selection activeCell="T6" sqref="T6"/>
    </sheetView>
  </sheetViews>
  <sheetFormatPr defaultColWidth="11.453125" defaultRowHeight="12.5"/>
  <cols>
    <col min="1" max="1" width="6" customWidth="1"/>
    <col min="2" max="2" width="5" customWidth="1"/>
    <col min="3" max="3" width="21.816406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7265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53902</v>
      </c>
      <c r="B2">
        <v>8158</v>
      </c>
      <c r="C2" t="s">
        <v>63</v>
      </c>
      <c r="D2">
        <v>1</v>
      </c>
      <c r="E2">
        <v>8</v>
      </c>
      <c r="F2">
        <v>100</v>
      </c>
      <c r="G2">
        <v>100</v>
      </c>
      <c r="H2">
        <v>100</v>
      </c>
      <c r="I2">
        <v>100</v>
      </c>
      <c r="J2">
        <v>0</v>
      </c>
      <c r="K2">
        <f t="shared" ref="K2:K21" si="0">ROUND((SUM(F2:J2)-MIN(F2:J2))/4,1)</f>
        <v>100</v>
      </c>
      <c r="L2">
        <v>73</v>
      </c>
      <c r="M2">
        <f t="shared" ref="M2:M21" si="1">ROUND(L2/99*100,2)</f>
        <v>73.739999999999995</v>
      </c>
      <c r="N2">
        <v>86</v>
      </c>
      <c r="O2">
        <v>51</v>
      </c>
      <c r="P2">
        <f t="shared" ref="P2:P21" si="2">IF(O2&gt;0, O2+2, O2)</f>
        <v>53</v>
      </c>
      <c r="Q2">
        <f t="shared" ref="Q2:Q21" si="3">ROUND(((M2+N2+P2)-MIN(M2,N2,P2)) /2,1)</f>
        <v>79.900000000000006</v>
      </c>
      <c r="R2">
        <v>135</v>
      </c>
      <c r="S2">
        <f t="shared" ref="S2:S21" si="4">ROUND(R2/146*100, 2)</f>
        <v>92.47</v>
      </c>
      <c r="T2">
        <f>ROUND((2*Q2+S2)/3,2)</f>
        <v>84.09</v>
      </c>
      <c r="U2" t="str">
        <f t="shared" ref="U2:U21" si="5">IF(OR(K2&lt;59,T2&lt;59),"F", " ")</f>
        <v xml:space="preserve"> </v>
      </c>
      <c r="V2">
        <f t="shared" ref="V2:V17" si="6">ROUND(K2*0.4+Q2*0.4+S2*0.2,2)</f>
        <v>90.45</v>
      </c>
      <c r="X2" t="str">
        <f t="shared" ref="X2:X21" si="7">IF(NOT(W2="F"),IF(V2&gt;=92,"A",IF(V2&gt;=89,"A-","")),"")</f>
        <v>A-</v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1" si="8">IF(V2&lt;59,"F","")</f>
        <v/>
      </c>
    </row>
    <row r="3" spans="1:28">
      <c r="A3">
        <v>48592</v>
      </c>
      <c r="B3">
        <v>9410</v>
      </c>
      <c r="C3" t="s">
        <v>64</v>
      </c>
      <c r="D3">
        <v>2</v>
      </c>
      <c r="E3">
        <v>8</v>
      </c>
      <c r="F3">
        <v>78.125</v>
      </c>
      <c r="G3">
        <v>88.24</v>
      </c>
      <c r="H3">
        <v>95</v>
      </c>
      <c r="I3">
        <v>95.65</v>
      </c>
      <c r="J3">
        <v>100</v>
      </c>
      <c r="K3">
        <f t="shared" si="0"/>
        <v>94.7</v>
      </c>
      <c r="L3">
        <v>69</v>
      </c>
      <c r="M3">
        <f t="shared" si="1"/>
        <v>69.7</v>
      </c>
      <c r="N3">
        <v>0</v>
      </c>
      <c r="O3">
        <v>75</v>
      </c>
      <c r="P3">
        <f t="shared" si="2"/>
        <v>77</v>
      </c>
      <c r="Q3">
        <f t="shared" si="3"/>
        <v>73.400000000000006</v>
      </c>
      <c r="R3">
        <v>112</v>
      </c>
      <c r="S3">
        <f t="shared" si="4"/>
        <v>76.709999999999994</v>
      </c>
      <c r="T3">
        <f>ROUND((2*Q3+S3)/3,2)</f>
        <v>74.5</v>
      </c>
      <c r="U3" t="str">
        <f t="shared" si="5"/>
        <v xml:space="preserve"> </v>
      </c>
      <c r="V3">
        <f t="shared" si="6"/>
        <v>82.58</v>
      </c>
      <c r="X3" t="str">
        <f t="shared" si="7"/>
        <v/>
      </c>
      <c r="Y3" t="str">
        <f t="shared" ref="Y3:Y18" si="9">IF(AND($W3="",$X3=""),IF($V3&gt;=86,"B+",IF($V3&gt;=82,"B",IF($V3&gt;=79,"B-",""))),"")</f>
        <v>B</v>
      </c>
      <c r="Z3" t="str">
        <f t="shared" ref="Z3:Z18" si="10">IF(AND($W3="",$X3="",$Y3=""),IF($V3&gt;=76,"C+",IF($V3&gt;=72,"C",IF($V3&gt;=69,"C-",""))),"")</f>
        <v/>
      </c>
      <c r="AA3" t="str">
        <f t="shared" ref="AA3:AA18" si="11">IF(AND($W3="",$X3="",$Y3="",$Z3=""),IF($V3&gt;=66,"D+",IF($V3&gt;=62,"D",IF($V3&gt;=59,"D-",""))),"")</f>
        <v/>
      </c>
      <c r="AB3" t="str">
        <f t="shared" si="8"/>
        <v/>
      </c>
    </row>
    <row r="4" spans="1:28">
      <c r="A4">
        <v>54208</v>
      </c>
      <c r="B4">
        <v>1210</v>
      </c>
      <c r="C4" t="s">
        <v>65</v>
      </c>
      <c r="D4">
        <v>2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v>56</v>
      </c>
      <c r="M4">
        <f t="shared" si="1"/>
        <v>56.57</v>
      </c>
      <c r="N4">
        <v>0</v>
      </c>
      <c r="O4">
        <v>0</v>
      </c>
      <c r="P4">
        <f t="shared" si="2"/>
        <v>0</v>
      </c>
      <c r="Q4">
        <f t="shared" si="3"/>
        <v>28.3</v>
      </c>
      <c r="R4">
        <v>0</v>
      </c>
      <c r="S4">
        <f t="shared" si="4"/>
        <v>0</v>
      </c>
      <c r="T4">
        <f>ROUND((2*Q4+S4)/3,2)</f>
        <v>18.87</v>
      </c>
      <c r="U4" t="str">
        <f t="shared" si="5"/>
        <v>F</v>
      </c>
      <c r="V4">
        <f t="shared" si="6"/>
        <v>11.32</v>
      </c>
      <c r="W4" t="s">
        <v>24</v>
      </c>
      <c r="X4" t="str">
        <f t="shared" si="7"/>
        <v/>
      </c>
      <c r="Y4" t="str">
        <f t="shared" si="9"/>
        <v/>
      </c>
      <c r="Z4" t="str">
        <f t="shared" si="10"/>
        <v/>
      </c>
      <c r="AA4" t="str">
        <f t="shared" si="11"/>
        <v/>
      </c>
      <c r="AB4" t="str">
        <f t="shared" si="8"/>
        <v>F</v>
      </c>
    </row>
    <row r="5" spans="1:28">
      <c r="A5">
        <v>57466</v>
      </c>
      <c r="B5">
        <v>180</v>
      </c>
      <c r="C5" t="s">
        <v>66</v>
      </c>
      <c r="D5">
        <v>1</v>
      </c>
      <c r="E5">
        <v>8</v>
      </c>
      <c r="F5">
        <v>93.75</v>
      </c>
      <c r="G5">
        <v>94.12</v>
      </c>
      <c r="H5">
        <v>100</v>
      </c>
      <c r="I5">
        <v>98.91</v>
      </c>
      <c r="J5">
        <v>0</v>
      </c>
      <c r="K5">
        <f t="shared" si="0"/>
        <v>96.7</v>
      </c>
      <c r="L5">
        <v>84</v>
      </c>
      <c r="M5">
        <f t="shared" si="1"/>
        <v>84.85</v>
      </c>
      <c r="N5">
        <v>91</v>
      </c>
      <c r="O5">
        <v>86</v>
      </c>
      <c r="P5">
        <f t="shared" si="2"/>
        <v>88</v>
      </c>
      <c r="Q5">
        <f t="shared" si="3"/>
        <v>89.5</v>
      </c>
      <c r="R5">
        <v>124</v>
      </c>
      <c r="S5">
        <f t="shared" si="4"/>
        <v>84.93</v>
      </c>
      <c r="T5">
        <f>ROUND((2*Q5+S5)/3,2)</f>
        <v>87.98</v>
      </c>
      <c r="U5" t="str">
        <f t="shared" si="5"/>
        <v xml:space="preserve"> </v>
      </c>
      <c r="V5">
        <f t="shared" si="6"/>
        <v>91.47</v>
      </c>
      <c r="X5" t="str">
        <f t="shared" si="7"/>
        <v>A-</v>
      </c>
      <c r="Y5" t="str">
        <f t="shared" si="9"/>
        <v/>
      </c>
      <c r="Z5" t="str">
        <f t="shared" si="10"/>
        <v/>
      </c>
      <c r="AA5" t="str">
        <f t="shared" si="11"/>
        <v/>
      </c>
      <c r="AB5" t="str">
        <f t="shared" si="8"/>
        <v/>
      </c>
    </row>
    <row r="6" spans="1:28">
      <c r="A6">
        <v>54323</v>
      </c>
      <c r="B6">
        <v>7209</v>
      </c>
      <c r="C6" t="s">
        <v>67</v>
      </c>
      <c r="D6">
        <v>1</v>
      </c>
      <c r="E6">
        <v>8</v>
      </c>
      <c r="F6">
        <v>68.75</v>
      </c>
      <c r="G6">
        <v>0</v>
      </c>
      <c r="H6">
        <v>73.75</v>
      </c>
      <c r="I6">
        <v>0</v>
      </c>
      <c r="J6">
        <v>90</v>
      </c>
      <c r="K6">
        <f t="shared" si="0"/>
        <v>58.1</v>
      </c>
      <c r="L6">
        <v>61</v>
      </c>
      <c r="M6">
        <f t="shared" si="1"/>
        <v>61.62</v>
      </c>
      <c r="N6">
        <v>53</v>
      </c>
      <c r="O6">
        <v>0</v>
      </c>
      <c r="P6">
        <f t="shared" si="2"/>
        <v>0</v>
      </c>
      <c r="Q6">
        <f t="shared" si="3"/>
        <v>57.3</v>
      </c>
      <c r="R6">
        <v>87</v>
      </c>
      <c r="S6">
        <f t="shared" si="4"/>
        <v>59.59</v>
      </c>
      <c r="T6">
        <f>ROUND((0.2*M6+0.1*N6+0.3*S6)/0.6,2)</f>
        <v>59.17</v>
      </c>
      <c r="U6" t="str">
        <f t="shared" si="5"/>
        <v>F</v>
      </c>
      <c r="V6">
        <f t="shared" si="6"/>
        <v>58.08</v>
      </c>
      <c r="W6" t="s">
        <v>24</v>
      </c>
      <c r="X6" t="str">
        <f t="shared" si="7"/>
        <v/>
      </c>
      <c r="Y6" t="str">
        <f t="shared" si="9"/>
        <v/>
      </c>
      <c r="Z6" t="str">
        <f t="shared" si="10"/>
        <v/>
      </c>
      <c r="AA6" t="str">
        <f t="shared" si="11"/>
        <v/>
      </c>
      <c r="AB6" t="str">
        <f t="shared" si="8"/>
        <v>F</v>
      </c>
    </row>
    <row r="7" spans="1:28">
      <c r="A7">
        <v>53374</v>
      </c>
      <c r="B7">
        <v>2480</v>
      </c>
      <c r="C7" t="s">
        <v>68</v>
      </c>
      <c r="D7">
        <v>1</v>
      </c>
      <c r="E7">
        <v>8</v>
      </c>
      <c r="F7">
        <v>87.5</v>
      </c>
      <c r="G7">
        <v>82.35</v>
      </c>
      <c r="I7">
        <v>95.65</v>
      </c>
      <c r="J7">
        <v>0</v>
      </c>
      <c r="K7">
        <f t="shared" si="0"/>
        <v>66.400000000000006</v>
      </c>
      <c r="L7">
        <v>79</v>
      </c>
      <c r="M7">
        <f t="shared" si="1"/>
        <v>79.8</v>
      </c>
      <c r="N7">
        <v>71</v>
      </c>
      <c r="O7">
        <v>64</v>
      </c>
      <c r="P7">
        <f t="shared" si="2"/>
        <v>66</v>
      </c>
      <c r="Q7">
        <f t="shared" si="3"/>
        <v>75.400000000000006</v>
      </c>
      <c r="R7">
        <v>108</v>
      </c>
      <c r="S7">
        <f t="shared" si="4"/>
        <v>73.97</v>
      </c>
      <c r="T7">
        <f t="shared" ref="T7:T21" si="12">ROUND((2*Q7+S7)/3,2)</f>
        <v>74.92</v>
      </c>
      <c r="U7" t="str">
        <f t="shared" si="5"/>
        <v xml:space="preserve"> </v>
      </c>
      <c r="V7">
        <f t="shared" si="6"/>
        <v>71.510000000000005</v>
      </c>
      <c r="X7" t="str">
        <f t="shared" si="7"/>
        <v/>
      </c>
      <c r="Y7" t="str">
        <f t="shared" si="9"/>
        <v/>
      </c>
      <c r="Z7" t="str">
        <f t="shared" si="10"/>
        <v>C-</v>
      </c>
      <c r="AA7" t="str">
        <f t="shared" si="11"/>
        <v/>
      </c>
      <c r="AB7" t="str">
        <f t="shared" si="8"/>
        <v/>
      </c>
    </row>
    <row r="8" spans="1:28">
      <c r="A8">
        <v>54015</v>
      </c>
      <c r="B8">
        <v>3526</v>
      </c>
      <c r="C8" t="s">
        <v>69</v>
      </c>
      <c r="D8">
        <v>2</v>
      </c>
      <c r="E8">
        <v>8</v>
      </c>
      <c r="F8">
        <v>84.375</v>
      </c>
      <c r="G8">
        <v>64.709999999999994</v>
      </c>
      <c r="H8">
        <v>91</v>
      </c>
      <c r="I8">
        <v>91.3</v>
      </c>
      <c r="J8">
        <v>100</v>
      </c>
      <c r="K8">
        <f t="shared" si="0"/>
        <v>91.7</v>
      </c>
      <c r="L8">
        <v>71</v>
      </c>
      <c r="M8">
        <f t="shared" si="1"/>
        <v>71.72</v>
      </c>
      <c r="N8">
        <v>74</v>
      </c>
      <c r="O8">
        <v>0</v>
      </c>
      <c r="P8">
        <f t="shared" si="2"/>
        <v>0</v>
      </c>
      <c r="Q8">
        <f t="shared" si="3"/>
        <v>72.900000000000006</v>
      </c>
      <c r="R8">
        <v>106</v>
      </c>
      <c r="S8">
        <f t="shared" si="4"/>
        <v>72.599999999999994</v>
      </c>
      <c r="T8">
        <f t="shared" si="12"/>
        <v>72.8</v>
      </c>
      <c r="U8" t="str">
        <f t="shared" si="5"/>
        <v xml:space="preserve"> </v>
      </c>
      <c r="V8">
        <f t="shared" si="6"/>
        <v>80.36</v>
      </c>
      <c r="X8" t="str">
        <f t="shared" si="7"/>
        <v/>
      </c>
      <c r="Y8" t="str">
        <f t="shared" si="9"/>
        <v>B-</v>
      </c>
      <c r="Z8" t="str">
        <f t="shared" si="10"/>
        <v/>
      </c>
      <c r="AA8" t="str">
        <f t="shared" si="11"/>
        <v/>
      </c>
      <c r="AB8" t="str">
        <f t="shared" si="8"/>
        <v/>
      </c>
    </row>
    <row r="9" spans="1:28">
      <c r="A9">
        <v>52433</v>
      </c>
      <c r="B9">
        <v>4309</v>
      </c>
      <c r="C9" t="s">
        <v>70</v>
      </c>
      <c r="D9">
        <v>2</v>
      </c>
      <c r="E9">
        <v>8</v>
      </c>
      <c r="F9">
        <v>75</v>
      </c>
      <c r="G9">
        <v>70.59</v>
      </c>
      <c r="H9">
        <v>95</v>
      </c>
      <c r="I9">
        <v>0</v>
      </c>
      <c r="J9">
        <v>80</v>
      </c>
      <c r="K9">
        <f t="shared" si="0"/>
        <v>80.099999999999994</v>
      </c>
      <c r="L9">
        <v>42</v>
      </c>
      <c r="M9">
        <f t="shared" si="1"/>
        <v>42.42</v>
      </c>
      <c r="N9">
        <v>66</v>
      </c>
      <c r="O9">
        <v>70</v>
      </c>
      <c r="P9">
        <f t="shared" si="2"/>
        <v>72</v>
      </c>
      <c r="Q9">
        <f t="shared" si="3"/>
        <v>69</v>
      </c>
      <c r="R9">
        <v>103</v>
      </c>
      <c r="S9">
        <f t="shared" si="4"/>
        <v>70.55</v>
      </c>
      <c r="T9">
        <f t="shared" si="12"/>
        <v>69.52</v>
      </c>
      <c r="U9" t="str">
        <f t="shared" si="5"/>
        <v xml:space="preserve"> </v>
      </c>
      <c r="V9">
        <f t="shared" si="6"/>
        <v>73.75</v>
      </c>
      <c r="X9" t="str">
        <f t="shared" si="7"/>
        <v/>
      </c>
      <c r="Y9" t="str">
        <f t="shared" si="9"/>
        <v/>
      </c>
      <c r="Z9" t="str">
        <f t="shared" si="10"/>
        <v>C</v>
      </c>
      <c r="AA9" t="str">
        <f t="shared" si="11"/>
        <v/>
      </c>
      <c r="AB9" t="str">
        <f t="shared" si="8"/>
        <v/>
      </c>
    </row>
    <row r="10" spans="1:28">
      <c r="A10">
        <v>60305</v>
      </c>
      <c r="B10">
        <v>3970</v>
      </c>
      <c r="C10" t="s">
        <v>71</v>
      </c>
      <c r="D10">
        <v>1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f t="shared" si="0"/>
        <v>0</v>
      </c>
      <c r="M10">
        <f t="shared" si="1"/>
        <v>0</v>
      </c>
      <c r="N10">
        <v>0</v>
      </c>
      <c r="O10">
        <v>0</v>
      </c>
      <c r="P10">
        <f t="shared" si="2"/>
        <v>0</v>
      </c>
      <c r="Q10">
        <f t="shared" si="3"/>
        <v>0</v>
      </c>
      <c r="R10">
        <v>0</v>
      </c>
      <c r="S10">
        <f t="shared" si="4"/>
        <v>0</v>
      </c>
      <c r="T10">
        <f t="shared" si="12"/>
        <v>0</v>
      </c>
      <c r="U10" t="str">
        <f t="shared" si="5"/>
        <v>F</v>
      </c>
      <c r="V10">
        <f t="shared" si="6"/>
        <v>0</v>
      </c>
      <c r="W10" t="s">
        <v>24</v>
      </c>
      <c r="X10" t="str">
        <f t="shared" si="7"/>
        <v/>
      </c>
      <c r="Y10" t="str">
        <f t="shared" si="9"/>
        <v/>
      </c>
      <c r="Z10" t="str">
        <f t="shared" si="10"/>
        <v/>
      </c>
      <c r="AA10" t="str">
        <f t="shared" si="11"/>
        <v/>
      </c>
      <c r="AB10" t="str">
        <f t="shared" si="8"/>
        <v>F</v>
      </c>
    </row>
    <row r="11" spans="1:28">
      <c r="A11">
        <v>54121</v>
      </c>
      <c r="B11">
        <v>1889</v>
      </c>
      <c r="C11" t="s">
        <v>72</v>
      </c>
      <c r="D11">
        <v>2</v>
      </c>
      <c r="E11">
        <v>8</v>
      </c>
      <c r="F11">
        <v>0</v>
      </c>
      <c r="G11">
        <v>0</v>
      </c>
      <c r="H11">
        <v>0</v>
      </c>
      <c r="I11">
        <v>0</v>
      </c>
      <c r="J11">
        <v>0</v>
      </c>
      <c r="K11">
        <f t="shared" si="0"/>
        <v>0</v>
      </c>
      <c r="M11">
        <f t="shared" si="1"/>
        <v>0</v>
      </c>
      <c r="N11">
        <v>0</v>
      </c>
      <c r="O11">
        <v>0</v>
      </c>
      <c r="P11">
        <f t="shared" si="2"/>
        <v>0</v>
      </c>
      <c r="Q11">
        <f t="shared" si="3"/>
        <v>0</v>
      </c>
      <c r="R11">
        <v>0</v>
      </c>
      <c r="S11">
        <f t="shared" si="4"/>
        <v>0</v>
      </c>
      <c r="T11">
        <f t="shared" si="12"/>
        <v>0</v>
      </c>
      <c r="U11" t="str">
        <f t="shared" si="5"/>
        <v>F</v>
      </c>
      <c r="V11">
        <f t="shared" si="6"/>
        <v>0</v>
      </c>
      <c r="W11" t="s">
        <v>24</v>
      </c>
      <c r="X11" t="str">
        <f t="shared" si="7"/>
        <v/>
      </c>
      <c r="Y11" t="str">
        <f t="shared" si="9"/>
        <v/>
      </c>
      <c r="Z11" t="str">
        <f t="shared" si="10"/>
        <v/>
      </c>
      <c r="AA11" t="str">
        <f t="shared" si="11"/>
        <v/>
      </c>
      <c r="AB11" t="str">
        <f t="shared" si="8"/>
        <v>F</v>
      </c>
    </row>
    <row r="12" spans="1:28">
      <c r="A12">
        <v>54394</v>
      </c>
      <c r="B12">
        <v>8465</v>
      </c>
      <c r="C12" t="s">
        <v>73</v>
      </c>
      <c r="D12">
        <v>2</v>
      </c>
      <c r="E12">
        <v>8</v>
      </c>
      <c r="F12">
        <v>90.625</v>
      </c>
      <c r="G12">
        <v>70.59</v>
      </c>
      <c r="H12">
        <v>80</v>
      </c>
      <c r="I12">
        <v>95.65</v>
      </c>
      <c r="J12">
        <v>0</v>
      </c>
      <c r="K12">
        <f t="shared" si="0"/>
        <v>84.2</v>
      </c>
      <c r="L12">
        <v>71</v>
      </c>
      <c r="M12">
        <f t="shared" si="1"/>
        <v>71.72</v>
      </c>
      <c r="N12">
        <v>61</v>
      </c>
      <c r="O12">
        <v>64</v>
      </c>
      <c r="P12">
        <f t="shared" si="2"/>
        <v>66</v>
      </c>
      <c r="Q12">
        <f t="shared" si="3"/>
        <v>68.900000000000006</v>
      </c>
      <c r="R12">
        <v>96</v>
      </c>
      <c r="S12">
        <f t="shared" si="4"/>
        <v>65.75</v>
      </c>
      <c r="T12">
        <f t="shared" si="12"/>
        <v>67.849999999999994</v>
      </c>
      <c r="U12" t="str">
        <f t="shared" si="5"/>
        <v xml:space="preserve"> </v>
      </c>
      <c r="V12">
        <f t="shared" si="6"/>
        <v>74.39</v>
      </c>
      <c r="X12" t="str">
        <f t="shared" si="7"/>
        <v/>
      </c>
      <c r="Y12" t="str">
        <f t="shared" si="9"/>
        <v/>
      </c>
      <c r="Z12" t="str">
        <f t="shared" si="10"/>
        <v>C</v>
      </c>
      <c r="AA12" t="str">
        <f t="shared" si="11"/>
        <v/>
      </c>
      <c r="AB12" t="str">
        <f t="shared" si="8"/>
        <v/>
      </c>
    </row>
    <row r="13" spans="1:28">
      <c r="A13">
        <v>16868</v>
      </c>
      <c r="B13">
        <v>3557</v>
      </c>
      <c r="C13" t="s">
        <v>74</v>
      </c>
      <c r="D13">
        <v>2</v>
      </c>
      <c r="E13">
        <v>8</v>
      </c>
      <c r="F13">
        <v>87.5</v>
      </c>
      <c r="G13">
        <v>76.47</v>
      </c>
      <c r="H13">
        <v>95</v>
      </c>
      <c r="I13">
        <v>100</v>
      </c>
      <c r="J13">
        <v>0</v>
      </c>
      <c r="K13">
        <f t="shared" si="0"/>
        <v>89.7</v>
      </c>
      <c r="L13">
        <v>71</v>
      </c>
      <c r="M13">
        <f t="shared" si="1"/>
        <v>71.72</v>
      </c>
      <c r="N13">
        <v>86</v>
      </c>
      <c r="O13">
        <v>86</v>
      </c>
      <c r="P13">
        <f t="shared" si="2"/>
        <v>88</v>
      </c>
      <c r="Q13">
        <f t="shared" si="3"/>
        <v>87</v>
      </c>
      <c r="R13">
        <v>118</v>
      </c>
      <c r="S13">
        <f t="shared" si="4"/>
        <v>80.819999999999993</v>
      </c>
      <c r="T13">
        <f t="shared" si="12"/>
        <v>84.94</v>
      </c>
      <c r="U13" t="str">
        <f t="shared" si="5"/>
        <v xml:space="preserve"> </v>
      </c>
      <c r="V13">
        <f t="shared" si="6"/>
        <v>86.84</v>
      </c>
      <c r="X13" t="str">
        <f t="shared" si="7"/>
        <v/>
      </c>
      <c r="Y13" t="str">
        <f t="shared" si="9"/>
        <v>B+</v>
      </c>
      <c r="Z13" t="str">
        <f t="shared" si="10"/>
        <v/>
      </c>
      <c r="AA13" t="str">
        <f t="shared" si="11"/>
        <v/>
      </c>
      <c r="AB13" t="str">
        <f t="shared" si="8"/>
        <v/>
      </c>
    </row>
    <row r="14" spans="1:28">
      <c r="A14">
        <v>93014</v>
      </c>
      <c r="B14">
        <v>9359</v>
      </c>
      <c r="C14" t="s">
        <v>75</v>
      </c>
      <c r="D14">
        <v>2</v>
      </c>
      <c r="E14">
        <v>8</v>
      </c>
      <c r="F14">
        <v>81.25</v>
      </c>
      <c r="G14">
        <v>82.35</v>
      </c>
      <c r="H14">
        <v>95</v>
      </c>
      <c r="I14">
        <v>95.65</v>
      </c>
      <c r="J14">
        <v>100</v>
      </c>
      <c r="K14">
        <f t="shared" si="0"/>
        <v>93.3</v>
      </c>
      <c r="L14">
        <v>45</v>
      </c>
      <c r="M14">
        <f t="shared" si="1"/>
        <v>45.45</v>
      </c>
      <c r="N14">
        <v>83</v>
      </c>
      <c r="O14">
        <v>78</v>
      </c>
      <c r="P14">
        <f t="shared" si="2"/>
        <v>80</v>
      </c>
      <c r="Q14">
        <f t="shared" si="3"/>
        <v>81.5</v>
      </c>
      <c r="R14">
        <v>115</v>
      </c>
      <c r="S14">
        <f t="shared" si="4"/>
        <v>78.77</v>
      </c>
      <c r="T14">
        <f t="shared" si="12"/>
        <v>80.59</v>
      </c>
      <c r="U14" t="str">
        <f t="shared" si="5"/>
        <v xml:space="preserve"> </v>
      </c>
      <c r="V14">
        <f t="shared" si="6"/>
        <v>85.67</v>
      </c>
      <c r="X14" t="str">
        <f t="shared" si="7"/>
        <v/>
      </c>
      <c r="Y14" t="str">
        <f t="shared" si="9"/>
        <v>B</v>
      </c>
      <c r="Z14" t="str">
        <f t="shared" si="10"/>
        <v/>
      </c>
      <c r="AA14" t="str">
        <f t="shared" si="11"/>
        <v/>
      </c>
      <c r="AB14" t="str">
        <f t="shared" si="8"/>
        <v/>
      </c>
    </row>
    <row r="15" spans="1:28">
      <c r="A15">
        <v>57596</v>
      </c>
      <c r="B15">
        <v>4463</v>
      </c>
      <c r="C15" t="s">
        <v>76</v>
      </c>
      <c r="D15">
        <v>1</v>
      </c>
      <c r="E15">
        <v>8</v>
      </c>
      <c r="F15">
        <v>96.875</v>
      </c>
      <c r="G15">
        <v>82.35</v>
      </c>
      <c r="H15">
        <v>100</v>
      </c>
      <c r="I15">
        <v>100</v>
      </c>
      <c r="J15">
        <v>100</v>
      </c>
      <c r="K15">
        <f t="shared" si="0"/>
        <v>99.2</v>
      </c>
      <c r="L15">
        <v>88</v>
      </c>
      <c r="M15">
        <f t="shared" si="1"/>
        <v>88.89</v>
      </c>
      <c r="N15">
        <v>94</v>
      </c>
      <c r="O15">
        <v>83</v>
      </c>
      <c r="P15">
        <f t="shared" si="2"/>
        <v>85</v>
      </c>
      <c r="Q15">
        <f t="shared" si="3"/>
        <v>91.4</v>
      </c>
      <c r="R15">
        <v>134</v>
      </c>
      <c r="S15">
        <f t="shared" si="4"/>
        <v>91.78</v>
      </c>
      <c r="T15">
        <f t="shared" si="12"/>
        <v>91.53</v>
      </c>
      <c r="U15" t="str">
        <f t="shared" si="5"/>
        <v xml:space="preserve"> </v>
      </c>
      <c r="V15">
        <f t="shared" si="6"/>
        <v>94.6</v>
      </c>
      <c r="X15" t="str">
        <f t="shared" si="7"/>
        <v>A</v>
      </c>
      <c r="Y15" t="str">
        <f t="shared" si="9"/>
        <v/>
      </c>
      <c r="Z15" t="str">
        <f t="shared" si="10"/>
        <v/>
      </c>
      <c r="AA15" t="str">
        <f t="shared" si="11"/>
        <v/>
      </c>
      <c r="AB15" t="str">
        <f t="shared" si="8"/>
        <v/>
      </c>
    </row>
    <row r="16" spans="1:28">
      <c r="A16">
        <v>54121</v>
      </c>
      <c r="B16">
        <v>9630</v>
      </c>
      <c r="C16" t="s">
        <v>77</v>
      </c>
      <c r="D16">
        <v>2</v>
      </c>
      <c r="E16">
        <v>8</v>
      </c>
      <c r="F16">
        <v>68.75</v>
      </c>
      <c r="G16">
        <v>0</v>
      </c>
      <c r="H16">
        <v>70</v>
      </c>
      <c r="I16">
        <v>30.43</v>
      </c>
      <c r="J16">
        <v>0</v>
      </c>
      <c r="K16">
        <f t="shared" si="0"/>
        <v>42.3</v>
      </c>
      <c r="L16">
        <v>61</v>
      </c>
      <c r="M16">
        <f t="shared" si="1"/>
        <v>61.62</v>
      </c>
      <c r="N16">
        <v>69</v>
      </c>
      <c r="O16">
        <v>68</v>
      </c>
      <c r="P16">
        <f t="shared" si="2"/>
        <v>70</v>
      </c>
      <c r="Q16">
        <f t="shared" si="3"/>
        <v>69.5</v>
      </c>
      <c r="R16">
        <v>0</v>
      </c>
      <c r="S16">
        <f t="shared" si="4"/>
        <v>0</v>
      </c>
      <c r="T16">
        <f t="shared" si="12"/>
        <v>46.33</v>
      </c>
      <c r="U16" t="str">
        <f t="shared" si="5"/>
        <v>F</v>
      </c>
      <c r="V16">
        <f t="shared" si="6"/>
        <v>44.72</v>
      </c>
      <c r="W16" t="s">
        <v>24</v>
      </c>
      <c r="X16" t="str">
        <f t="shared" si="7"/>
        <v/>
      </c>
      <c r="Y16" t="str">
        <f t="shared" si="9"/>
        <v/>
      </c>
      <c r="Z16" t="str">
        <f t="shared" si="10"/>
        <v/>
      </c>
      <c r="AA16" t="str">
        <f t="shared" si="11"/>
        <v/>
      </c>
      <c r="AB16" t="str">
        <f t="shared" si="8"/>
        <v>F</v>
      </c>
    </row>
    <row r="17" spans="1:28">
      <c r="A17">
        <v>54135</v>
      </c>
      <c r="B17">
        <v>7815</v>
      </c>
      <c r="C17" t="s">
        <v>78</v>
      </c>
      <c r="D17">
        <v>2</v>
      </c>
      <c r="E17">
        <v>8</v>
      </c>
      <c r="F17">
        <v>81.25</v>
      </c>
      <c r="G17">
        <v>82.35</v>
      </c>
      <c r="H17">
        <v>95</v>
      </c>
      <c r="I17">
        <v>69.569999999999993</v>
      </c>
      <c r="J17">
        <v>80</v>
      </c>
      <c r="K17">
        <f t="shared" si="0"/>
        <v>84.7</v>
      </c>
      <c r="L17">
        <v>69</v>
      </c>
      <c r="M17">
        <f t="shared" si="1"/>
        <v>69.7</v>
      </c>
      <c r="N17">
        <v>84</v>
      </c>
      <c r="O17">
        <v>81</v>
      </c>
      <c r="P17">
        <f t="shared" si="2"/>
        <v>83</v>
      </c>
      <c r="Q17">
        <f t="shared" si="3"/>
        <v>83.5</v>
      </c>
      <c r="R17">
        <v>122</v>
      </c>
      <c r="S17">
        <f t="shared" si="4"/>
        <v>83.56</v>
      </c>
      <c r="T17">
        <f t="shared" si="12"/>
        <v>83.52</v>
      </c>
      <c r="U17" t="str">
        <f t="shared" si="5"/>
        <v xml:space="preserve"> </v>
      </c>
      <c r="V17">
        <f t="shared" si="6"/>
        <v>83.99</v>
      </c>
      <c r="X17" t="str">
        <f t="shared" si="7"/>
        <v/>
      </c>
      <c r="Y17" t="str">
        <f t="shared" si="9"/>
        <v>B</v>
      </c>
      <c r="Z17" t="str">
        <f t="shared" si="10"/>
        <v/>
      </c>
      <c r="AA17" t="str">
        <f t="shared" si="11"/>
        <v/>
      </c>
      <c r="AB17" t="str">
        <f t="shared" si="8"/>
        <v/>
      </c>
    </row>
    <row r="18" spans="1:28">
      <c r="A18">
        <v>56985</v>
      </c>
      <c r="B18">
        <v>8958</v>
      </c>
      <c r="C18" t="s">
        <v>79</v>
      </c>
      <c r="D18">
        <v>2</v>
      </c>
      <c r="E18">
        <v>8</v>
      </c>
      <c r="F18">
        <v>100</v>
      </c>
      <c r="G18">
        <v>100</v>
      </c>
      <c r="H18">
        <v>100</v>
      </c>
      <c r="I18">
        <v>0</v>
      </c>
      <c r="J18">
        <v>100</v>
      </c>
      <c r="K18">
        <f t="shared" si="0"/>
        <v>100</v>
      </c>
      <c r="L18">
        <v>73</v>
      </c>
      <c r="M18">
        <f t="shared" si="1"/>
        <v>73.739999999999995</v>
      </c>
      <c r="N18">
        <v>0</v>
      </c>
      <c r="O18">
        <v>65</v>
      </c>
      <c r="P18">
        <f t="shared" si="2"/>
        <v>67</v>
      </c>
      <c r="Q18">
        <f t="shared" si="3"/>
        <v>70.400000000000006</v>
      </c>
      <c r="R18">
        <v>117</v>
      </c>
      <c r="S18">
        <f t="shared" si="4"/>
        <v>80.14</v>
      </c>
      <c r="T18">
        <f t="shared" si="12"/>
        <v>73.650000000000006</v>
      </c>
      <c r="U18" t="str">
        <f t="shared" si="5"/>
        <v xml:space="preserve"> </v>
      </c>
      <c r="V18">
        <f>ROUND(K18*0.4+Q18*0.4+S18*0.2,2)</f>
        <v>84.19</v>
      </c>
      <c r="X18" t="str">
        <f t="shared" si="7"/>
        <v/>
      </c>
      <c r="Y18" t="str">
        <f t="shared" si="9"/>
        <v>B</v>
      </c>
      <c r="Z18" t="str">
        <f t="shared" si="10"/>
        <v/>
      </c>
      <c r="AA18" t="str">
        <f t="shared" si="11"/>
        <v/>
      </c>
      <c r="AB18" t="str">
        <f t="shared" si="8"/>
        <v/>
      </c>
    </row>
    <row r="19" spans="1:28">
      <c r="A19">
        <v>52015</v>
      </c>
      <c r="B19">
        <v>9453</v>
      </c>
      <c r="C19" t="s">
        <v>80</v>
      </c>
      <c r="D19">
        <v>2</v>
      </c>
      <c r="E19">
        <v>8</v>
      </c>
      <c r="F19">
        <v>87.5</v>
      </c>
      <c r="G19">
        <v>76.47</v>
      </c>
      <c r="H19">
        <v>85</v>
      </c>
      <c r="I19">
        <v>86.96</v>
      </c>
      <c r="J19">
        <v>90</v>
      </c>
      <c r="K19">
        <f t="shared" si="0"/>
        <v>87.4</v>
      </c>
      <c r="L19">
        <v>64</v>
      </c>
      <c r="M19">
        <f t="shared" si="1"/>
        <v>64.650000000000006</v>
      </c>
      <c r="N19">
        <v>73</v>
      </c>
      <c r="O19">
        <v>73</v>
      </c>
      <c r="P19">
        <f t="shared" si="2"/>
        <v>75</v>
      </c>
      <c r="Q19">
        <f t="shared" si="3"/>
        <v>74</v>
      </c>
      <c r="R19">
        <v>91</v>
      </c>
      <c r="S19">
        <f t="shared" si="4"/>
        <v>62.33</v>
      </c>
      <c r="T19">
        <f t="shared" si="12"/>
        <v>70.11</v>
      </c>
      <c r="U19" t="str">
        <f t="shared" si="5"/>
        <v xml:space="preserve"> </v>
      </c>
      <c r="V19">
        <f>ROUND(K19*0.4+Q19*0.4+S19*0.2,2)</f>
        <v>77.03</v>
      </c>
      <c r="X19" t="str">
        <f t="shared" si="7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>C+</v>
      </c>
      <c r="AA19" t="str">
        <f>IF(AND($W19="",$X19="",$Y19="",$Z19=""),IF($V19&gt;=66,"D+",IF($V19&gt;=62,"D",IF($V19&gt;=59,"D-",""))),"")</f>
        <v/>
      </c>
      <c r="AB19" t="str">
        <f t="shared" si="8"/>
        <v/>
      </c>
    </row>
    <row r="20" spans="1:28">
      <c r="A20">
        <v>54227</v>
      </c>
      <c r="B20">
        <v>7900</v>
      </c>
      <c r="C20" t="s">
        <v>81</v>
      </c>
      <c r="J20">
        <v>0</v>
      </c>
      <c r="K20">
        <f t="shared" si="0"/>
        <v>0</v>
      </c>
      <c r="M20">
        <f t="shared" si="1"/>
        <v>0</v>
      </c>
      <c r="N20">
        <v>0</v>
      </c>
      <c r="O20">
        <v>0</v>
      </c>
      <c r="P20">
        <f t="shared" si="2"/>
        <v>0</v>
      </c>
      <c r="Q20">
        <f t="shared" si="3"/>
        <v>0</v>
      </c>
      <c r="R20">
        <v>0</v>
      </c>
      <c r="S20">
        <f t="shared" si="4"/>
        <v>0</v>
      </c>
      <c r="T20">
        <f t="shared" si="12"/>
        <v>0</v>
      </c>
      <c r="U20" t="str">
        <f t="shared" si="5"/>
        <v>F</v>
      </c>
      <c r="V20">
        <f>ROUND(K20*0.4+Q20*0.4+S20*0.2,2)</f>
        <v>0</v>
      </c>
      <c r="W20" t="s">
        <v>24</v>
      </c>
      <c r="X20" t="str">
        <f t="shared" si="7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8"/>
        <v>F</v>
      </c>
    </row>
    <row r="21" spans="1:28">
      <c r="A21">
        <v>54121</v>
      </c>
      <c r="B21">
        <v>8986</v>
      </c>
      <c r="C21" t="s">
        <v>82</v>
      </c>
      <c r="D21">
        <v>1</v>
      </c>
      <c r="E21">
        <v>8</v>
      </c>
      <c r="F21">
        <v>81.25</v>
      </c>
      <c r="G21">
        <v>100</v>
      </c>
      <c r="H21">
        <v>78.75</v>
      </c>
      <c r="I21">
        <v>95.65</v>
      </c>
      <c r="J21">
        <v>0</v>
      </c>
      <c r="K21">
        <f t="shared" si="0"/>
        <v>88.9</v>
      </c>
      <c r="L21">
        <v>73</v>
      </c>
      <c r="M21">
        <f t="shared" si="1"/>
        <v>73.739999999999995</v>
      </c>
      <c r="N21">
        <v>84</v>
      </c>
      <c r="O21">
        <v>79</v>
      </c>
      <c r="P21">
        <f t="shared" si="2"/>
        <v>81</v>
      </c>
      <c r="Q21">
        <f t="shared" si="3"/>
        <v>82.5</v>
      </c>
      <c r="R21">
        <v>134</v>
      </c>
      <c r="S21">
        <f t="shared" si="4"/>
        <v>91.78</v>
      </c>
      <c r="T21">
        <f t="shared" si="12"/>
        <v>85.59</v>
      </c>
      <c r="U21" t="str">
        <f t="shared" si="5"/>
        <v xml:space="preserve"> </v>
      </c>
      <c r="V21">
        <f>ROUND(K21*0.4+Q21*0.4+S21*0.2,2)</f>
        <v>86.92</v>
      </c>
      <c r="X21" t="str">
        <f t="shared" si="7"/>
        <v/>
      </c>
      <c r="Y21" t="str">
        <f>IF(AND($W21="",$X21=""),IF($V21&gt;=86,"B+",IF($V21&gt;=82,"B",IF($V21&gt;=79,"B-",""))),"")</f>
        <v>B+</v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8"/>
        <v/>
      </c>
    </row>
  </sheetData>
  <printOptions gridLines="1" gridLinesSet="0"/>
  <pageMargins left="0.75" right="0.75" top="1" bottom="1" header="0.5" footer="0.5"/>
  <pageSetup paperSize="0" scale="73" orientation="landscape" horizontalDpi="4294967292" verticalDpi="4294967292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0"/>
  <sheetViews>
    <sheetView workbookViewId="0">
      <selection activeCell="C2" sqref="C2:C20"/>
    </sheetView>
  </sheetViews>
  <sheetFormatPr defaultColWidth="11.453125" defaultRowHeight="12.5"/>
  <cols>
    <col min="1" max="1" width="6" customWidth="1"/>
    <col min="2" max="2" width="5" customWidth="1"/>
    <col min="3" max="3" width="20.54296875" customWidth="1"/>
    <col min="4" max="4" width="8.54296875" customWidth="1"/>
    <col min="5" max="5" width="11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54104</v>
      </c>
      <c r="B2">
        <v>9137</v>
      </c>
      <c r="C2" t="s">
        <v>41</v>
      </c>
      <c r="D2">
        <v>2</v>
      </c>
      <c r="E2">
        <v>9</v>
      </c>
      <c r="F2">
        <v>100</v>
      </c>
      <c r="G2">
        <v>100</v>
      </c>
      <c r="H2">
        <v>100</v>
      </c>
      <c r="I2">
        <v>95.65</v>
      </c>
      <c r="J2">
        <v>0</v>
      </c>
      <c r="K2">
        <f t="shared" ref="K2:K20" si="0">ROUND((SUM(F2:J2)-MIN(F2:J2))/4,1)</f>
        <v>98.9</v>
      </c>
      <c r="L2">
        <v>89</v>
      </c>
      <c r="M2">
        <f t="shared" ref="M2:M20" si="1">ROUND(L2/99*100,2)</f>
        <v>89.9</v>
      </c>
      <c r="N2">
        <v>89</v>
      </c>
      <c r="O2">
        <v>0</v>
      </c>
      <c r="P2">
        <f t="shared" ref="P2:P17" si="2">IF(O2&gt;0, O2+2, O2)</f>
        <v>0</v>
      </c>
      <c r="Q2">
        <f t="shared" ref="Q2:Q20" si="3">ROUND(((M2+N2+P2)-MIN(M2,N2,P2)) /2,1)</f>
        <v>89.5</v>
      </c>
      <c r="R2">
        <v>123</v>
      </c>
      <c r="S2">
        <f t="shared" ref="S2:S20" si="4">ROUND(R2/146*100, 2)</f>
        <v>84.25</v>
      </c>
      <c r="T2">
        <f t="shared" ref="T2:T20" si="5">ROUND((2*Q2+S2)/3,2)</f>
        <v>87.75</v>
      </c>
      <c r="U2" t="str">
        <f t="shared" ref="U2:U20" si="6">IF(OR(K2&lt;59,T2&lt;59),"F", " ")</f>
        <v xml:space="preserve"> </v>
      </c>
      <c r="V2">
        <f t="shared" ref="V2:V17" si="7">ROUND(K2*0.4+Q2*0.4+S2*0.2,2)</f>
        <v>92.21</v>
      </c>
      <c r="X2" t="str">
        <f t="shared" ref="X2:X20" si="8">IF(NOT(W2="F"),IF(V2&gt;=92,"A",IF(V2&gt;=89,"A-","")),"")</f>
        <v>A</v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0" si="9">IF(V2&lt;59,"F","")</f>
        <v/>
      </c>
    </row>
    <row r="3" spans="1:28">
      <c r="A3">
        <v>54419</v>
      </c>
      <c r="B3">
        <v>3752</v>
      </c>
      <c r="C3" t="s">
        <v>41</v>
      </c>
      <c r="D3">
        <v>2</v>
      </c>
      <c r="E3">
        <v>9</v>
      </c>
      <c r="F3">
        <v>93.75</v>
      </c>
      <c r="G3">
        <v>100</v>
      </c>
      <c r="H3">
        <v>100</v>
      </c>
      <c r="I3">
        <v>95.65</v>
      </c>
      <c r="J3">
        <v>0</v>
      </c>
      <c r="K3">
        <f t="shared" si="0"/>
        <v>97.4</v>
      </c>
      <c r="L3">
        <v>67</v>
      </c>
      <c r="M3">
        <f t="shared" si="1"/>
        <v>67.680000000000007</v>
      </c>
      <c r="N3">
        <v>81</v>
      </c>
      <c r="O3">
        <v>90</v>
      </c>
      <c r="P3">
        <f t="shared" si="2"/>
        <v>92</v>
      </c>
      <c r="Q3">
        <f t="shared" si="3"/>
        <v>86.5</v>
      </c>
      <c r="R3">
        <v>126</v>
      </c>
      <c r="S3">
        <f t="shared" si="4"/>
        <v>86.3</v>
      </c>
      <c r="T3">
        <f t="shared" si="5"/>
        <v>86.43</v>
      </c>
      <c r="U3" t="str">
        <f t="shared" si="6"/>
        <v xml:space="preserve"> </v>
      </c>
      <c r="V3">
        <f t="shared" si="7"/>
        <v>90.82</v>
      </c>
      <c r="X3" t="str">
        <f t="shared" si="8"/>
        <v>A-</v>
      </c>
      <c r="Y3" t="str">
        <f t="shared" ref="Y3:Y18" si="10">IF(AND($W3="",$X3=""),IF($V3&gt;=86,"B+",IF($V3&gt;=82,"B",IF($V3&gt;=79,"B-",""))),"")</f>
        <v/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54117</v>
      </c>
      <c r="B4">
        <v>1462</v>
      </c>
      <c r="C4" t="s">
        <v>41</v>
      </c>
      <c r="D4">
        <v>2</v>
      </c>
      <c r="E4">
        <v>9</v>
      </c>
      <c r="F4">
        <v>93.75</v>
      </c>
      <c r="G4">
        <v>100</v>
      </c>
      <c r="H4">
        <v>100</v>
      </c>
      <c r="I4">
        <v>91.3</v>
      </c>
      <c r="J4">
        <v>100</v>
      </c>
      <c r="K4">
        <f t="shared" si="0"/>
        <v>98.4</v>
      </c>
      <c r="L4">
        <v>76</v>
      </c>
      <c r="M4">
        <f t="shared" si="1"/>
        <v>76.77</v>
      </c>
      <c r="N4">
        <v>85</v>
      </c>
      <c r="O4">
        <v>93</v>
      </c>
      <c r="P4">
        <f t="shared" si="2"/>
        <v>95</v>
      </c>
      <c r="Q4">
        <f t="shared" si="3"/>
        <v>90</v>
      </c>
      <c r="R4">
        <v>126</v>
      </c>
      <c r="S4">
        <f t="shared" si="4"/>
        <v>86.3</v>
      </c>
      <c r="T4">
        <f t="shared" si="5"/>
        <v>88.77</v>
      </c>
      <c r="U4" t="str">
        <f t="shared" si="6"/>
        <v xml:space="preserve"> </v>
      </c>
      <c r="V4">
        <f t="shared" si="7"/>
        <v>92.62</v>
      </c>
      <c r="X4" t="str">
        <f t="shared" si="8"/>
        <v>A</v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9"/>
        <v/>
      </c>
    </row>
    <row r="5" spans="1:28">
      <c r="A5">
        <v>51804</v>
      </c>
      <c r="B5">
        <v>3820</v>
      </c>
      <c r="C5" t="s">
        <v>41</v>
      </c>
      <c r="D5">
        <v>2</v>
      </c>
      <c r="E5">
        <v>9</v>
      </c>
      <c r="F5">
        <v>81.25</v>
      </c>
      <c r="G5">
        <v>100</v>
      </c>
      <c r="H5">
        <v>100</v>
      </c>
      <c r="I5">
        <v>95.65</v>
      </c>
      <c r="J5">
        <v>100</v>
      </c>
      <c r="K5">
        <f t="shared" si="0"/>
        <v>98.9</v>
      </c>
      <c r="L5">
        <v>90</v>
      </c>
      <c r="M5">
        <f t="shared" si="1"/>
        <v>90.91</v>
      </c>
      <c r="N5">
        <v>96</v>
      </c>
      <c r="O5">
        <v>80</v>
      </c>
      <c r="P5">
        <f t="shared" si="2"/>
        <v>82</v>
      </c>
      <c r="Q5">
        <f t="shared" si="3"/>
        <v>93.5</v>
      </c>
      <c r="R5">
        <v>129</v>
      </c>
      <c r="S5">
        <f t="shared" si="4"/>
        <v>88.36</v>
      </c>
      <c r="T5">
        <f t="shared" si="5"/>
        <v>91.79</v>
      </c>
      <c r="U5" t="str">
        <f t="shared" si="6"/>
        <v xml:space="preserve"> </v>
      </c>
      <c r="V5">
        <f t="shared" si="7"/>
        <v>94.63</v>
      </c>
      <c r="X5" t="str">
        <f t="shared" si="8"/>
        <v>A</v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/>
      </c>
    </row>
    <row r="6" spans="1:28">
      <c r="A6">
        <v>55349</v>
      </c>
      <c r="B6">
        <v>9124</v>
      </c>
      <c r="C6" t="s">
        <v>41</v>
      </c>
      <c r="D6">
        <v>2</v>
      </c>
      <c r="E6">
        <v>9</v>
      </c>
      <c r="F6">
        <v>100</v>
      </c>
      <c r="G6">
        <v>100</v>
      </c>
      <c r="H6">
        <v>100</v>
      </c>
      <c r="I6">
        <v>86.96</v>
      </c>
      <c r="J6">
        <v>0</v>
      </c>
      <c r="K6">
        <f t="shared" si="0"/>
        <v>96.7</v>
      </c>
      <c r="L6">
        <v>94</v>
      </c>
      <c r="M6">
        <f t="shared" si="1"/>
        <v>94.95</v>
      </c>
      <c r="N6">
        <v>89</v>
      </c>
      <c r="O6">
        <v>0</v>
      </c>
      <c r="P6">
        <f t="shared" si="2"/>
        <v>0</v>
      </c>
      <c r="Q6">
        <f t="shared" si="3"/>
        <v>92</v>
      </c>
      <c r="R6">
        <v>122</v>
      </c>
      <c r="S6">
        <f t="shared" si="4"/>
        <v>83.56</v>
      </c>
      <c r="T6">
        <f t="shared" si="5"/>
        <v>89.19</v>
      </c>
      <c r="U6" t="str">
        <f t="shared" si="6"/>
        <v xml:space="preserve"> </v>
      </c>
      <c r="V6">
        <f t="shared" si="7"/>
        <v>92.19</v>
      </c>
      <c r="X6" t="str">
        <f t="shared" si="8"/>
        <v>A</v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51919</v>
      </c>
      <c r="B7">
        <v>7669</v>
      </c>
      <c r="C7" t="s">
        <v>41</v>
      </c>
      <c r="D7">
        <v>1</v>
      </c>
      <c r="E7">
        <v>9</v>
      </c>
      <c r="F7">
        <v>93.75</v>
      </c>
      <c r="G7">
        <v>88.24</v>
      </c>
      <c r="H7">
        <v>0</v>
      </c>
      <c r="I7">
        <v>95.65</v>
      </c>
      <c r="J7">
        <v>0</v>
      </c>
      <c r="K7">
        <f t="shared" si="0"/>
        <v>69.400000000000006</v>
      </c>
      <c r="L7">
        <v>79</v>
      </c>
      <c r="M7">
        <f t="shared" si="1"/>
        <v>79.8</v>
      </c>
      <c r="N7">
        <v>66</v>
      </c>
      <c r="O7">
        <v>57</v>
      </c>
      <c r="P7">
        <f t="shared" si="2"/>
        <v>59</v>
      </c>
      <c r="Q7">
        <f t="shared" si="3"/>
        <v>72.900000000000006</v>
      </c>
      <c r="R7">
        <v>84</v>
      </c>
      <c r="S7">
        <f t="shared" si="4"/>
        <v>57.53</v>
      </c>
      <c r="T7">
        <f t="shared" si="5"/>
        <v>67.78</v>
      </c>
      <c r="U7" t="str">
        <f t="shared" si="6"/>
        <v xml:space="preserve"> </v>
      </c>
      <c r="V7">
        <f t="shared" si="7"/>
        <v>68.430000000000007</v>
      </c>
      <c r="X7" t="str">
        <f t="shared" si="8"/>
        <v/>
      </c>
      <c r="Y7" t="str">
        <f t="shared" si="10"/>
        <v/>
      </c>
      <c r="Z7" t="str">
        <f t="shared" si="11"/>
        <v/>
      </c>
      <c r="AA7" t="str">
        <f t="shared" si="12"/>
        <v>D+</v>
      </c>
      <c r="AB7" t="str">
        <f t="shared" si="9"/>
        <v/>
      </c>
    </row>
    <row r="8" spans="1:28">
      <c r="A8">
        <v>93021</v>
      </c>
      <c r="B8">
        <v>792</v>
      </c>
      <c r="C8" t="s">
        <v>41</v>
      </c>
      <c r="D8">
        <v>2</v>
      </c>
      <c r="E8">
        <v>9</v>
      </c>
      <c r="F8">
        <v>87.5</v>
      </c>
      <c r="G8">
        <v>94.12</v>
      </c>
      <c r="H8">
        <v>100</v>
      </c>
      <c r="I8">
        <v>95.65</v>
      </c>
      <c r="J8">
        <v>90</v>
      </c>
      <c r="K8">
        <f t="shared" si="0"/>
        <v>94.9</v>
      </c>
      <c r="L8">
        <v>71</v>
      </c>
      <c r="M8">
        <f t="shared" si="1"/>
        <v>71.72</v>
      </c>
      <c r="N8">
        <v>73</v>
      </c>
      <c r="O8">
        <v>0</v>
      </c>
      <c r="P8">
        <f t="shared" si="2"/>
        <v>0</v>
      </c>
      <c r="Q8">
        <f t="shared" si="3"/>
        <v>72.400000000000006</v>
      </c>
      <c r="R8">
        <v>120</v>
      </c>
      <c r="S8">
        <f t="shared" si="4"/>
        <v>82.19</v>
      </c>
      <c r="T8">
        <f t="shared" si="5"/>
        <v>75.66</v>
      </c>
      <c r="U8" t="str">
        <f t="shared" si="6"/>
        <v xml:space="preserve"> </v>
      </c>
      <c r="V8">
        <f t="shared" si="7"/>
        <v>83.36</v>
      </c>
      <c r="X8" t="str">
        <f t="shared" si="8"/>
        <v/>
      </c>
      <c r="Y8" t="str">
        <f t="shared" si="10"/>
        <v>B</v>
      </c>
      <c r="Z8" t="str">
        <f t="shared" si="11"/>
        <v/>
      </c>
      <c r="AA8" t="str">
        <f t="shared" si="12"/>
        <v/>
      </c>
      <c r="AB8" t="str">
        <f t="shared" si="9"/>
        <v/>
      </c>
    </row>
    <row r="9" spans="1:28">
      <c r="A9">
        <v>54098</v>
      </c>
      <c r="B9">
        <v>2021</v>
      </c>
      <c r="C9" t="s">
        <v>41</v>
      </c>
      <c r="D9">
        <v>2</v>
      </c>
      <c r="E9">
        <v>9</v>
      </c>
      <c r="F9">
        <v>93.75</v>
      </c>
      <c r="G9">
        <v>0</v>
      </c>
      <c r="H9">
        <v>95</v>
      </c>
      <c r="I9">
        <v>95.65</v>
      </c>
      <c r="J9">
        <v>100</v>
      </c>
      <c r="K9">
        <f t="shared" si="0"/>
        <v>96.1</v>
      </c>
      <c r="L9">
        <v>81</v>
      </c>
      <c r="M9">
        <f t="shared" si="1"/>
        <v>81.819999999999993</v>
      </c>
      <c r="N9">
        <v>90</v>
      </c>
      <c r="O9">
        <v>88</v>
      </c>
      <c r="P9">
        <f t="shared" si="2"/>
        <v>90</v>
      </c>
      <c r="Q9">
        <f t="shared" si="3"/>
        <v>90</v>
      </c>
      <c r="R9">
        <v>114</v>
      </c>
      <c r="S9">
        <f t="shared" si="4"/>
        <v>78.08</v>
      </c>
      <c r="T9">
        <f t="shared" si="5"/>
        <v>86.03</v>
      </c>
      <c r="U9" t="str">
        <f t="shared" si="6"/>
        <v xml:space="preserve"> </v>
      </c>
      <c r="V9">
        <f t="shared" si="7"/>
        <v>90.06</v>
      </c>
      <c r="X9" t="str">
        <f t="shared" si="8"/>
        <v>A-</v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54033</v>
      </c>
      <c r="B10">
        <v>2907</v>
      </c>
      <c r="C10" t="s">
        <v>41</v>
      </c>
      <c r="D10">
        <v>1</v>
      </c>
      <c r="E10">
        <v>9</v>
      </c>
      <c r="F10">
        <v>100</v>
      </c>
      <c r="G10">
        <v>94.12</v>
      </c>
      <c r="H10">
        <v>95</v>
      </c>
      <c r="I10">
        <v>95.65</v>
      </c>
      <c r="J10">
        <v>0</v>
      </c>
      <c r="K10">
        <f t="shared" si="0"/>
        <v>96.2</v>
      </c>
      <c r="L10">
        <v>61</v>
      </c>
      <c r="M10">
        <f t="shared" si="1"/>
        <v>61.62</v>
      </c>
      <c r="N10">
        <v>86</v>
      </c>
      <c r="O10">
        <v>82</v>
      </c>
      <c r="P10">
        <f t="shared" si="2"/>
        <v>84</v>
      </c>
      <c r="Q10">
        <f t="shared" si="3"/>
        <v>85</v>
      </c>
      <c r="R10">
        <v>110</v>
      </c>
      <c r="S10">
        <f t="shared" si="4"/>
        <v>75.34</v>
      </c>
      <c r="T10">
        <f t="shared" si="5"/>
        <v>81.78</v>
      </c>
      <c r="U10" t="str">
        <f t="shared" si="6"/>
        <v xml:space="preserve"> </v>
      </c>
      <c r="V10">
        <f t="shared" si="7"/>
        <v>87.55</v>
      </c>
      <c r="X10" t="str">
        <f t="shared" si="8"/>
        <v/>
      </c>
      <c r="Y10" t="str">
        <f t="shared" si="10"/>
        <v>B+</v>
      </c>
      <c r="Z10" t="str">
        <f t="shared" si="11"/>
        <v/>
      </c>
      <c r="AA10" t="str">
        <f t="shared" si="12"/>
        <v/>
      </c>
      <c r="AB10" t="str">
        <f t="shared" si="9"/>
        <v/>
      </c>
    </row>
    <row r="11" spans="1:28">
      <c r="A11">
        <v>54415</v>
      </c>
      <c r="B11">
        <v>3327</v>
      </c>
      <c r="C11" t="s">
        <v>41</v>
      </c>
      <c r="D11">
        <v>2</v>
      </c>
      <c r="E11">
        <v>9</v>
      </c>
      <c r="F11">
        <v>68.75</v>
      </c>
      <c r="G11">
        <v>82.35</v>
      </c>
      <c r="H11">
        <v>0</v>
      </c>
      <c r="I11">
        <v>91.3</v>
      </c>
      <c r="J11">
        <v>100</v>
      </c>
      <c r="K11">
        <f t="shared" si="0"/>
        <v>85.6</v>
      </c>
      <c r="M11">
        <f t="shared" si="1"/>
        <v>0</v>
      </c>
      <c r="N11">
        <v>70</v>
      </c>
      <c r="O11">
        <v>64</v>
      </c>
      <c r="P11">
        <f t="shared" si="2"/>
        <v>66</v>
      </c>
      <c r="Q11">
        <f t="shared" si="3"/>
        <v>68</v>
      </c>
      <c r="R11">
        <v>115</v>
      </c>
      <c r="S11">
        <f t="shared" si="4"/>
        <v>78.77</v>
      </c>
      <c r="T11">
        <f t="shared" si="5"/>
        <v>71.59</v>
      </c>
      <c r="U11" t="str">
        <f t="shared" si="6"/>
        <v xml:space="preserve"> </v>
      </c>
      <c r="V11">
        <f t="shared" si="7"/>
        <v>77.19</v>
      </c>
      <c r="X11" t="str">
        <f t="shared" si="8"/>
        <v/>
      </c>
      <c r="Y11" t="str">
        <f t="shared" si="10"/>
        <v/>
      </c>
      <c r="Z11" t="str">
        <f t="shared" si="11"/>
        <v>C+</v>
      </c>
      <c r="AA11" t="str">
        <f t="shared" si="12"/>
        <v/>
      </c>
      <c r="AB11" t="str">
        <f t="shared" si="9"/>
        <v/>
      </c>
    </row>
    <row r="12" spans="1:28">
      <c r="A12">
        <v>54419</v>
      </c>
      <c r="B12">
        <v>9230</v>
      </c>
      <c r="C12" t="s">
        <v>41</v>
      </c>
      <c r="D12">
        <v>2</v>
      </c>
      <c r="E12">
        <v>9</v>
      </c>
      <c r="F12">
        <v>100</v>
      </c>
      <c r="G12">
        <v>100</v>
      </c>
      <c r="H12">
        <v>100</v>
      </c>
      <c r="I12">
        <v>100</v>
      </c>
      <c r="J12">
        <v>0</v>
      </c>
      <c r="K12">
        <f t="shared" si="0"/>
        <v>100</v>
      </c>
      <c r="L12">
        <v>88</v>
      </c>
      <c r="M12">
        <f t="shared" si="1"/>
        <v>88.89</v>
      </c>
      <c r="N12">
        <v>92</v>
      </c>
      <c r="O12">
        <v>0</v>
      </c>
      <c r="P12">
        <f t="shared" si="2"/>
        <v>0</v>
      </c>
      <c r="Q12">
        <f t="shared" si="3"/>
        <v>90.4</v>
      </c>
      <c r="R12">
        <v>139</v>
      </c>
      <c r="S12">
        <f t="shared" si="4"/>
        <v>95.21</v>
      </c>
      <c r="T12">
        <f t="shared" si="5"/>
        <v>92</v>
      </c>
      <c r="U12" t="str">
        <f t="shared" si="6"/>
        <v xml:space="preserve"> </v>
      </c>
      <c r="V12">
        <f t="shared" si="7"/>
        <v>95.2</v>
      </c>
      <c r="X12" t="str">
        <f t="shared" si="8"/>
        <v>A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57283</v>
      </c>
      <c r="B13">
        <v>7676</v>
      </c>
      <c r="C13" t="s">
        <v>41</v>
      </c>
      <c r="D13">
        <v>2</v>
      </c>
      <c r="E13">
        <v>9</v>
      </c>
      <c r="F13">
        <v>100</v>
      </c>
      <c r="G13">
        <v>94.12</v>
      </c>
      <c r="H13">
        <v>100</v>
      </c>
      <c r="I13">
        <v>95.65</v>
      </c>
      <c r="J13">
        <v>0</v>
      </c>
      <c r="K13">
        <f t="shared" si="0"/>
        <v>97.4</v>
      </c>
      <c r="L13">
        <v>0</v>
      </c>
      <c r="M13">
        <f t="shared" si="1"/>
        <v>0</v>
      </c>
      <c r="N13">
        <v>80</v>
      </c>
      <c r="O13">
        <v>80</v>
      </c>
      <c r="P13">
        <f t="shared" si="2"/>
        <v>82</v>
      </c>
      <c r="Q13">
        <f t="shared" si="3"/>
        <v>81</v>
      </c>
      <c r="R13">
        <v>126</v>
      </c>
      <c r="S13">
        <f t="shared" si="4"/>
        <v>86.3</v>
      </c>
      <c r="T13">
        <f t="shared" si="5"/>
        <v>82.77</v>
      </c>
      <c r="U13" t="str">
        <f t="shared" si="6"/>
        <v xml:space="preserve"> </v>
      </c>
      <c r="V13">
        <f t="shared" si="7"/>
        <v>88.62</v>
      </c>
      <c r="X13" t="str">
        <f t="shared" si="8"/>
        <v/>
      </c>
      <c r="Y13" t="str">
        <f t="shared" si="10"/>
        <v>B+</v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23121</v>
      </c>
      <c r="B14">
        <v>396</v>
      </c>
      <c r="C14" t="s">
        <v>41</v>
      </c>
      <c r="D14">
        <v>1</v>
      </c>
      <c r="E14">
        <v>9</v>
      </c>
      <c r="F14">
        <v>87.5</v>
      </c>
      <c r="G14">
        <v>100</v>
      </c>
      <c r="H14">
        <v>75</v>
      </c>
      <c r="I14">
        <v>91.3</v>
      </c>
      <c r="J14">
        <v>0</v>
      </c>
      <c r="K14">
        <f t="shared" si="0"/>
        <v>88.5</v>
      </c>
      <c r="L14">
        <v>49</v>
      </c>
      <c r="M14">
        <f t="shared" si="1"/>
        <v>49.49</v>
      </c>
      <c r="N14">
        <v>68</v>
      </c>
      <c r="O14">
        <v>48</v>
      </c>
      <c r="P14">
        <f t="shared" si="2"/>
        <v>50</v>
      </c>
      <c r="Q14">
        <f t="shared" si="3"/>
        <v>59</v>
      </c>
      <c r="R14">
        <v>75</v>
      </c>
      <c r="S14">
        <f t="shared" si="4"/>
        <v>51.37</v>
      </c>
      <c r="T14">
        <f t="shared" si="5"/>
        <v>56.46</v>
      </c>
      <c r="U14" t="str">
        <f t="shared" si="6"/>
        <v>F</v>
      </c>
      <c r="V14">
        <f t="shared" si="7"/>
        <v>69.27</v>
      </c>
      <c r="W14" t="s">
        <v>24</v>
      </c>
      <c r="X14" t="str">
        <f t="shared" si="8"/>
        <v/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9"/>
        <v/>
      </c>
    </row>
    <row r="15" spans="1:28">
      <c r="A15">
        <v>54311</v>
      </c>
      <c r="B15">
        <v>7269</v>
      </c>
      <c r="C15" t="s">
        <v>41</v>
      </c>
      <c r="D15">
        <v>2</v>
      </c>
      <c r="E15">
        <v>9</v>
      </c>
      <c r="F15">
        <v>87.5</v>
      </c>
      <c r="G15">
        <v>94.12</v>
      </c>
      <c r="H15">
        <v>95</v>
      </c>
      <c r="I15">
        <v>91.3</v>
      </c>
      <c r="J15">
        <v>0</v>
      </c>
      <c r="K15">
        <f t="shared" si="0"/>
        <v>92</v>
      </c>
      <c r="L15">
        <v>85</v>
      </c>
      <c r="M15">
        <f t="shared" si="1"/>
        <v>85.86</v>
      </c>
      <c r="N15">
        <v>86</v>
      </c>
      <c r="O15">
        <v>89</v>
      </c>
      <c r="P15">
        <f t="shared" si="2"/>
        <v>91</v>
      </c>
      <c r="Q15">
        <f t="shared" si="3"/>
        <v>88.5</v>
      </c>
      <c r="R15">
        <v>131</v>
      </c>
      <c r="S15">
        <f t="shared" si="4"/>
        <v>89.73</v>
      </c>
      <c r="T15">
        <f t="shared" si="5"/>
        <v>88.91</v>
      </c>
      <c r="U15" t="str">
        <f t="shared" si="6"/>
        <v xml:space="preserve"> </v>
      </c>
      <c r="V15">
        <f t="shared" si="7"/>
        <v>90.15</v>
      </c>
      <c r="X15" t="str">
        <f t="shared" si="8"/>
        <v>A-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54317</v>
      </c>
      <c r="B16">
        <v>1595</v>
      </c>
      <c r="C16" t="s">
        <v>41</v>
      </c>
      <c r="D16">
        <v>1</v>
      </c>
      <c r="E16">
        <v>9</v>
      </c>
      <c r="F16">
        <v>0</v>
      </c>
      <c r="G16">
        <v>88.24</v>
      </c>
      <c r="H16">
        <v>85</v>
      </c>
      <c r="I16">
        <v>86.96</v>
      </c>
      <c r="J16">
        <v>100</v>
      </c>
      <c r="K16">
        <f t="shared" si="0"/>
        <v>90.1</v>
      </c>
      <c r="L16">
        <v>48</v>
      </c>
      <c r="M16">
        <f t="shared" si="1"/>
        <v>48.48</v>
      </c>
      <c r="N16">
        <v>61</v>
      </c>
      <c r="O16">
        <v>66</v>
      </c>
      <c r="P16">
        <f t="shared" si="2"/>
        <v>68</v>
      </c>
      <c r="Q16">
        <f t="shared" si="3"/>
        <v>64.5</v>
      </c>
      <c r="R16">
        <v>106</v>
      </c>
      <c r="S16">
        <f t="shared" si="4"/>
        <v>72.599999999999994</v>
      </c>
      <c r="T16">
        <f t="shared" si="5"/>
        <v>67.2</v>
      </c>
      <c r="U16" t="str">
        <f t="shared" si="6"/>
        <v xml:space="preserve"> </v>
      </c>
      <c r="V16">
        <f t="shared" si="7"/>
        <v>76.36</v>
      </c>
      <c r="X16" t="str">
        <f t="shared" si="8"/>
        <v/>
      </c>
      <c r="Y16" t="str">
        <f t="shared" si="10"/>
        <v/>
      </c>
      <c r="Z16" t="str">
        <f t="shared" si="11"/>
        <v>C+</v>
      </c>
      <c r="AA16" t="str">
        <f t="shared" si="12"/>
        <v/>
      </c>
      <c r="AB16" t="str">
        <f t="shared" si="9"/>
        <v/>
      </c>
    </row>
    <row r="17" spans="1:28">
      <c r="A17">
        <v>54035</v>
      </c>
      <c r="B17">
        <v>4669</v>
      </c>
      <c r="C17" t="s">
        <v>41</v>
      </c>
      <c r="D17">
        <v>2</v>
      </c>
      <c r="E17">
        <v>9</v>
      </c>
      <c r="F17">
        <v>93.75</v>
      </c>
      <c r="G17">
        <v>76.47</v>
      </c>
      <c r="H17">
        <v>95</v>
      </c>
      <c r="I17">
        <v>100</v>
      </c>
      <c r="J17">
        <v>100</v>
      </c>
      <c r="K17">
        <f t="shared" si="0"/>
        <v>97.2</v>
      </c>
      <c r="L17">
        <v>73</v>
      </c>
      <c r="M17">
        <f t="shared" si="1"/>
        <v>73.739999999999995</v>
      </c>
      <c r="N17">
        <v>81</v>
      </c>
      <c r="O17">
        <v>89</v>
      </c>
      <c r="P17">
        <f t="shared" si="2"/>
        <v>91</v>
      </c>
      <c r="Q17">
        <f t="shared" si="3"/>
        <v>86</v>
      </c>
      <c r="R17">
        <v>127</v>
      </c>
      <c r="S17">
        <f t="shared" si="4"/>
        <v>86.99</v>
      </c>
      <c r="T17">
        <f t="shared" si="5"/>
        <v>86.33</v>
      </c>
      <c r="U17" t="str">
        <f t="shared" si="6"/>
        <v xml:space="preserve"> </v>
      </c>
      <c r="V17">
        <f t="shared" si="7"/>
        <v>90.68</v>
      </c>
      <c r="X17" t="str">
        <f t="shared" si="8"/>
        <v>A-</v>
      </c>
      <c r="Y17" t="str">
        <f t="shared" si="10"/>
        <v/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54023</v>
      </c>
      <c r="B18">
        <v>2905</v>
      </c>
      <c r="C18" t="s">
        <v>41</v>
      </c>
      <c r="D18">
        <v>2</v>
      </c>
      <c r="E18">
        <v>9</v>
      </c>
      <c r="F18">
        <v>87.5</v>
      </c>
      <c r="G18">
        <v>100</v>
      </c>
      <c r="H18">
        <v>100</v>
      </c>
      <c r="I18">
        <v>95.65</v>
      </c>
      <c r="J18">
        <v>0</v>
      </c>
      <c r="K18">
        <f t="shared" si="0"/>
        <v>95.8</v>
      </c>
      <c r="L18">
        <v>89</v>
      </c>
      <c r="M18">
        <f t="shared" si="1"/>
        <v>89.9</v>
      </c>
      <c r="N18">
        <v>78</v>
      </c>
      <c r="O18">
        <v>0</v>
      </c>
      <c r="P18">
        <f>IF(O18&gt;0, O18+2, O18)</f>
        <v>0</v>
      </c>
      <c r="Q18">
        <f t="shared" si="3"/>
        <v>84</v>
      </c>
      <c r="R18">
        <v>135</v>
      </c>
      <c r="S18">
        <f t="shared" si="4"/>
        <v>92.47</v>
      </c>
      <c r="T18">
        <f t="shared" si="5"/>
        <v>86.82</v>
      </c>
      <c r="U18" t="str">
        <f t="shared" si="6"/>
        <v xml:space="preserve"> </v>
      </c>
      <c r="V18">
        <f>ROUND(K18*0.4+Q18*0.4+S18*0.2,2)</f>
        <v>90.41</v>
      </c>
      <c r="X18" t="str">
        <f t="shared" si="8"/>
        <v>A-</v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9"/>
        <v/>
      </c>
    </row>
    <row r="19" spans="1:28">
      <c r="A19">
        <v>53888</v>
      </c>
      <c r="B19">
        <v>5379</v>
      </c>
      <c r="C19" t="s">
        <v>41</v>
      </c>
      <c r="D19">
        <v>1</v>
      </c>
      <c r="E19">
        <v>9</v>
      </c>
      <c r="F19">
        <v>100</v>
      </c>
      <c r="G19">
        <v>94.12</v>
      </c>
      <c r="H19">
        <v>100</v>
      </c>
      <c r="I19">
        <v>95.65</v>
      </c>
      <c r="J19">
        <v>100</v>
      </c>
      <c r="K19">
        <f t="shared" si="0"/>
        <v>98.9</v>
      </c>
      <c r="L19">
        <v>73</v>
      </c>
      <c r="M19">
        <f t="shared" si="1"/>
        <v>73.739999999999995</v>
      </c>
      <c r="N19">
        <v>90</v>
      </c>
      <c r="O19">
        <v>85</v>
      </c>
      <c r="P19">
        <f>IF(O19&gt;0, O19+2, O19)</f>
        <v>87</v>
      </c>
      <c r="Q19">
        <f t="shared" si="3"/>
        <v>88.5</v>
      </c>
      <c r="R19">
        <v>130</v>
      </c>
      <c r="S19">
        <f t="shared" si="4"/>
        <v>89.04</v>
      </c>
      <c r="T19">
        <f t="shared" si="5"/>
        <v>88.68</v>
      </c>
      <c r="U19" t="str">
        <f t="shared" si="6"/>
        <v xml:space="preserve"> </v>
      </c>
      <c r="V19">
        <f>ROUND(K19*0.4+Q19*0.4+S19*0.2,2)</f>
        <v>92.77</v>
      </c>
      <c r="X19" t="str">
        <f t="shared" si="8"/>
        <v>A</v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/>
      </c>
    </row>
    <row r="20" spans="1:28">
      <c r="A20">
        <v>54423</v>
      </c>
      <c r="B20">
        <v>5103</v>
      </c>
      <c r="C20" t="s">
        <v>41</v>
      </c>
      <c r="D20">
        <v>2</v>
      </c>
      <c r="E20">
        <v>9</v>
      </c>
      <c r="F20">
        <v>87.5</v>
      </c>
      <c r="G20">
        <v>0</v>
      </c>
      <c r="H20">
        <v>95</v>
      </c>
      <c r="I20">
        <v>95.65</v>
      </c>
      <c r="J20">
        <v>100</v>
      </c>
      <c r="K20">
        <f t="shared" si="0"/>
        <v>94.5</v>
      </c>
      <c r="L20">
        <v>78</v>
      </c>
      <c r="M20">
        <f t="shared" si="1"/>
        <v>78.790000000000006</v>
      </c>
      <c r="N20">
        <v>77</v>
      </c>
      <c r="O20">
        <v>64</v>
      </c>
      <c r="P20">
        <f>IF(O20&gt;0, O20+2, O20)</f>
        <v>66</v>
      </c>
      <c r="Q20">
        <f t="shared" si="3"/>
        <v>77.900000000000006</v>
      </c>
      <c r="R20">
        <v>140</v>
      </c>
      <c r="S20">
        <f t="shared" si="4"/>
        <v>95.89</v>
      </c>
      <c r="T20">
        <f t="shared" si="5"/>
        <v>83.9</v>
      </c>
      <c r="U20" t="str">
        <f t="shared" si="6"/>
        <v xml:space="preserve"> </v>
      </c>
      <c r="V20">
        <f>ROUND(K20*0.4+Q20*0.4+S20*0.2,2)</f>
        <v>88.14</v>
      </c>
      <c r="X20" t="str">
        <f t="shared" si="8"/>
        <v/>
      </c>
      <c r="Y20" t="str">
        <f>IF(AND($W20="",$X20=""),IF($V20&gt;=86,"B+",IF($V20&gt;=82,"B",IF($V20&gt;=79,"B-",""))),"")</f>
        <v>B+</v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9"/>
        <v/>
      </c>
    </row>
  </sheetData>
  <printOptions gridLines="1" gridLinesSet="0"/>
  <pageMargins left="0.75" right="0.75" top="1" bottom="1" header="0.5" footer="0.5"/>
  <pageSetup paperSize="0" scale="74" orientation="landscape" horizontalDpi="4294967292" verticalDpi="4294967292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7"/>
  <sheetViews>
    <sheetView workbookViewId="0">
      <selection activeCell="C2" sqref="C2:C17"/>
    </sheetView>
  </sheetViews>
  <sheetFormatPr defaultColWidth="11.453125" defaultRowHeight="12.5"/>
  <cols>
    <col min="1" max="1" width="6" customWidth="1"/>
    <col min="2" max="2" width="5" customWidth="1"/>
    <col min="3" max="3" width="20.269531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51904</v>
      </c>
      <c r="B2">
        <v>4006</v>
      </c>
      <c r="C2" t="s">
        <v>41</v>
      </c>
      <c r="D2">
        <v>1</v>
      </c>
      <c r="E2">
        <v>10</v>
      </c>
      <c r="F2">
        <v>87.5</v>
      </c>
      <c r="G2">
        <v>35.29</v>
      </c>
      <c r="H2">
        <v>85</v>
      </c>
      <c r="I2">
        <v>100</v>
      </c>
      <c r="J2">
        <v>100</v>
      </c>
      <c r="K2">
        <f t="shared" ref="K2:K17" si="0">ROUND((SUM(F2:J2)-MIN(F2:J2))/4,1)</f>
        <v>93.1</v>
      </c>
      <c r="L2">
        <v>52</v>
      </c>
      <c r="M2">
        <f t="shared" ref="M2:M17" si="1">ROUND(L2/99*100,2)</f>
        <v>52.53</v>
      </c>
      <c r="N2">
        <v>82</v>
      </c>
      <c r="O2">
        <v>75</v>
      </c>
      <c r="P2">
        <f t="shared" ref="P2:P17" si="2">IF(O2&gt;0, O2+2, O2)</f>
        <v>77</v>
      </c>
      <c r="Q2">
        <f t="shared" ref="Q2:Q17" si="3">ROUND(((M2+N2+P2)-MIN(M2,N2,P2)) /2,1)</f>
        <v>79.5</v>
      </c>
      <c r="R2">
        <v>103</v>
      </c>
      <c r="S2">
        <f t="shared" ref="S2:S17" si="4">ROUND(R2/146*100, 2)</f>
        <v>70.55</v>
      </c>
      <c r="T2">
        <f t="shared" ref="T2:T17" si="5">ROUND((2*Q2+S2)/3,2)</f>
        <v>76.52</v>
      </c>
      <c r="U2" t="str">
        <f t="shared" ref="U2:U17" si="6">IF(OR(K2&lt;59,T2&lt;59),"F", " ")</f>
        <v xml:space="preserve"> </v>
      </c>
      <c r="V2">
        <f t="shared" ref="V2:V17" si="7">ROUND(K2*0.4+Q2*0.4+S2*0.2,2)</f>
        <v>83.15</v>
      </c>
      <c r="X2" t="str">
        <f t="shared" ref="X2:X17" si="8">IF(NOT(W2="F"),IF(V2&gt;=92,"A",IF(V2&gt;=89,"A-","")),"")</f>
        <v/>
      </c>
      <c r="Y2" t="str">
        <f>IF(AND($W2="",$X2=""),IF($V2&gt;=86,"B+",IF($V2&gt;=82,"B",IF($V2&gt;=79,"B-",""))),"")</f>
        <v>B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17" si="9">IF(V2&lt;59,"F","")</f>
        <v/>
      </c>
    </row>
    <row r="3" spans="1:28">
      <c r="A3">
        <v>54319</v>
      </c>
      <c r="B3">
        <v>3326</v>
      </c>
      <c r="C3" t="s">
        <v>41</v>
      </c>
      <c r="D3">
        <v>1</v>
      </c>
      <c r="E3">
        <v>10</v>
      </c>
      <c r="F3">
        <v>100</v>
      </c>
      <c r="G3">
        <v>88.24</v>
      </c>
      <c r="H3">
        <v>100</v>
      </c>
      <c r="I3">
        <v>95.65</v>
      </c>
      <c r="J3">
        <v>100</v>
      </c>
      <c r="K3">
        <f t="shared" si="0"/>
        <v>98.9</v>
      </c>
      <c r="L3">
        <v>60</v>
      </c>
      <c r="M3">
        <f t="shared" si="1"/>
        <v>60.61</v>
      </c>
      <c r="N3">
        <v>73</v>
      </c>
      <c r="O3">
        <v>83</v>
      </c>
      <c r="P3">
        <f t="shared" si="2"/>
        <v>85</v>
      </c>
      <c r="Q3">
        <f t="shared" si="3"/>
        <v>79</v>
      </c>
      <c r="R3">
        <v>113</v>
      </c>
      <c r="S3">
        <f t="shared" si="4"/>
        <v>77.400000000000006</v>
      </c>
      <c r="T3">
        <f t="shared" si="5"/>
        <v>78.47</v>
      </c>
      <c r="U3" t="str">
        <f t="shared" si="6"/>
        <v xml:space="preserve"> </v>
      </c>
      <c r="V3">
        <f t="shared" si="7"/>
        <v>86.64</v>
      </c>
      <c r="X3" t="str">
        <f t="shared" si="8"/>
        <v/>
      </c>
      <c r="Y3" t="str">
        <f t="shared" ref="Y3:Y17" si="10">IF(AND($W3="",$X3=""),IF($V3&gt;=86,"B+",IF($V3&gt;=82,"B",IF($V3&gt;=79,"B-",""))),"")</f>
        <v>B+</v>
      </c>
      <c r="Z3" t="str">
        <f t="shared" ref="Z3:Z17" si="11">IF(AND($W3="",$X3="",$Y3=""),IF($V3&gt;=76,"C+",IF($V3&gt;=72,"C",IF($V3&gt;=69,"C-",""))),"")</f>
        <v/>
      </c>
      <c r="AA3" t="str">
        <f t="shared" ref="AA3:AA17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60210</v>
      </c>
      <c r="B4">
        <v>4782</v>
      </c>
      <c r="C4" t="s">
        <v>41</v>
      </c>
      <c r="D4">
        <v>1</v>
      </c>
      <c r="E4">
        <v>10</v>
      </c>
      <c r="F4">
        <v>81.25</v>
      </c>
      <c r="G4">
        <v>70.59</v>
      </c>
      <c r="H4">
        <v>70</v>
      </c>
      <c r="I4">
        <v>78.260000000000005</v>
      </c>
      <c r="J4">
        <v>0</v>
      </c>
      <c r="K4">
        <f t="shared" si="0"/>
        <v>75</v>
      </c>
      <c r="L4">
        <v>64</v>
      </c>
      <c r="M4">
        <f t="shared" si="1"/>
        <v>64.650000000000006</v>
      </c>
      <c r="N4">
        <v>83</v>
      </c>
      <c r="O4">
        <v>74</v>
      </c>
      <c r="P4">
        <f t="shared" si="2"/>
        <v>76</v>
      </c>
      <c r="Q4">
        <f t="shared" si="3"/>
        <v>79.5</v>
      </c>
      <c r="R4">
        <v>130</v>
      </c>
      <c r="S4">
        <f t="shared" si="4"/>
        <v>89.04</v>
      </c>
      <c r="T4">
        <f t="shared" si="5"/>
        <v>82.68</v>
      </c>
      <c r="U4" t="str">
        <f t="shared" si="6"/>
        <v xml:space="preserve"> </v>
      </c>
      <c r="V4">
        <f t="shared" si="7"/>
        <v>79.61</v>
      </c>
      <c r="X4" t="str">
        <f t="shared" si="8"/>
        <v/>
      </c>
      <c r="Y4" t="str">
        <f t="shared" si="10"/>
        <v>B-</v>
      </c>
      <c r="Z4" t="str">
        <f t="shared" si="11"/>
        <v/>
      </c>
      <c r="AA4" t="str">
        <f t="shared" si="12"/>
        <v/>
      </c>
      <c r="AB4" t="str">
        <f t="shared" si="9"/>
        <v/>
      </c>
    </row>
    <row r="5" spans="1:28">
      <c r="A5">
        <v>54421</v>
      </c>
      <c r="B5">
        <v>7325</v>
      </c>
      <c r="C5" t="s">
        <v>41</v>
      </c>
      <c r="D5">
        <v>1</v>
      </c>
      <c r="E5">
        <v>10</v>
      </c>
      <c r="F5">
        <v>100</v>
      </c>
      <c r="G5">
        <v>100</v>
      </c>
      <c r="H5">
        <v>85</v>
      </c>
      <c r="I5">
        <v>0</v>
      </c>
      <c r="J5">
        <v>0</v>
      </c>
      <c r="K5">
        <f t="shared" si="0"/>
        <v>71.3</v>
      </c>
      <c r="L5">
        <v>53</v>
      </c>
      <c r="M5">
        <f t="shared" si="1"/>
        <v>53.54</v>
      </c>
      <c r="N5">
        <v>78</v>
      </c>
      <c r="O5">
        <v>0</v>
      </c>
      <c r="P5">
        <f t="shared" si="2"/>
        <v>0</v>
      </c>
      <c r="Q5">
        <f t="shared" si="3"/>
        <v>65.8</v>
      </c>
      <c r="R5">
        <v>0</v>
      </c>
      <c r="S5">
        <f t="shared" si="4"/>
        <v>0</v>
      </c>
      <c r="T5">
        <f t="shared" si="5"/>
        <v>43.87</v>
      </c>
      <c r="U5" t="str">
        <f t="shared" si="6"/>
        <v>F</v>
      </c>
      <c r="V5">
        <f t="shared" si="7"/>
        <v>54.84</v>
      </c>
      <c r="W5" t="s">
        <v>24</v>
      </c>
      <c r="X5" t="str">
        <f t="shared" si="8"/>
        <v/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>F</v>
      </c>
    </row>
    <row r="6" spans="1:28">
      <c r="A6">
        <v>54347</v>
      </c>
      <c r="B6">
        <v>9599</v>
      </c>
      <c r="C6" t="s">
        <v>41</v>
      </c>
      <c r="D6">
        <v>1</v>
      </c>
      <c r="E6">
        <v>10</v>
      </c>
      <c r="F6">
        <v>100</v>
      </c>
      <c r="G6">
        <v>100</v>
      </c>
      <c r="H6">
        <v>0</v>
      </c>
      <c r="I6">
        <v>95.65</v>
      </c>
      <c r="J6">
        <v>100</v>
      </c>
      <c r="K6">
        <f t="shared" si="0"/>
        <v>98.9</v>
      </c>
      <c r="L6">
        <v>66</v>
      </c>
      <c r="M6">
        <f t="shared" si="1"/>
        <v>66.67</v>
      </c>
      <c r="N6">
        <v>86</v>
      </c>
      <c r="O6">
        <v>82</v>
      </c>
      <c r="P6">
        <f t="shared" si="2"/>
        <v>84</v>
      </c>
      <c r="Q6">
        <f t="shared" si="3"/>
        <v>85</v>
      </c>
      <c r="R6">
        <v>136</v>
      </c>
      <c r="S6">
        <f t="shared" si="4"/>
        <v>93.15</v>
      </c>
      <c r="T6">
        <f t="shared" si="5"/>
        <v>87.72</v>
      </c>
      <c r="U6" t="str">
        <f t="shared" si="6"/>
        <v xml:space="preserve"> </v>
      </c>
      <c r="V6">
        <f t="shared" si="7"/>
        <v>92.19</v>
      </c>
      <c r="X6" t="str">
        <f t="shared" si="8"/>
        <v>A</v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54011</v>
      </c>
      <c r="B7">
        <v>2672</v>
      </c>
      <c r="C7" t="s">
        <v>41</v>
      </c>
      <c r="D7">
        <v>2</v>
      </c>
      <c r="E7">
        <v>10</v>
      </c>
      <c r="F7">
        <v>93.75</v>
      </c>
      <c r="G7">
        <v>100</v>
      </c>
      <c r="H7">
        <v>100</v>
      </c>
      <c r="I7">
        <v>95.65</v>
      </c>
      <c r="J7">
        <v>0</v>
      </c>
      <c r="K7">
        <f t="shared" si="0"/>
        <v>97.4</v>
      </c>
      <c r="L7">
        <v>60</v>
      </c>
      <c r="M7">
        <f t="shared" si="1"/>
        <v>60.61</v>
      </c>
      <c r="N7">
        <v>88</v>
      </c>
      <c r="O7">
        <v>87</v>
      </c>
      <c r="P7">
        <f t="shared" si="2"/>
        <v>89</v>
      </c>
      <c r="Q7">
        <f t="shared" si="3"/>
        <v>88.5</v>
      </c>
      <c r="R7">
        <v>124</v>
      </c>
      <c r="S7">
        <f t="shared" si="4"/>
        <v>84.93</v>
      </c>
      <c r="T7">
        <f t="shared" si="5"/>
        <v>87.31</v>
      </c>
      <c r="U7" t="str">
        <f t="shared" si="6"/>
        <v xml:space="preserve"> </v>
      </c>
      <c r="V7">
        <f t="shared" si="7"/>
        <v>91.35</v>
      </c>
      <c r="X7" t="str">
        <f t="shared" si="8"/>
        <v>A-</v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9"/>
        <v/>
      </c>
    </row>
    <row r="8" spans="1:28">
      <c r="A8">
        <v>93020</v>
      </c>
      <c r="B8">
        <v>7456</v>
      </c>
      <c r="C8" t="s">
        <v>41</v>
      </c>
      <c r="D8">
        <v>1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f t="shared" si="0"/>
        <v>0</v>
      </c>
      <c r="M8">
        <f t="shared" si="1"/>
        <v>0</v>
      </c>
      <c r="N8">
        <v>0</v>
      </c>
      <c r="O8">
        <v>0</v>
      </c>
      <c r="P8">
        <f t="shared" si="2"/>
        <v>0</v>
      </c>
      <c r="Q8">
        <f t="shared" si="3"/>
        <v>0</v>
      </c>
      <c r="R8">
        <v>0</v>
      </c>
      <c r="S8">
        <f t="shared" si="4"/>
        <v>0</v>
      </c>
      <c r="T8">
        <f t="shared" si="5"/>
        <v>0</v>
      </c>
      <c r="U8" t="str">
        <f t="shared" si="6"/>
        <v>F</v>
      </c>
      <c r="V8">
        <f t="shared" si="7"/>
        <v>0</v>
      </c>
      <c r="W8" t="s">
        <v>24</v>
      </c>
      <c r="X8" t="str">
        <f t="shared" si="8"/>
        <v/>
      </c>
      <c r="Y8" t="str">
        <f t="shared" si="10"/>
        <v/>
      </c>
      <c r="Z8" t="str">
        <f t="shared" si="11"/>
        <v/>
      </c>
      <c r="AA8" t="str">
        <f t="shared" si="12"/>
        <v/>
      </c>
      <c r="AB8" t="str">
        <f t="shared" si="9"/>
        <v>F</v>
      </c>
    </row>
    <row r="9" spans="1:28">
      <c r="A9">
        <v>53596</v>
      </c>
      <c r="B9">
        <v>4718</v>
      </c>
      <c r="C9" t="s">
        <v>41</v>
      </c>
      <c r="D9">
        <v>2</v>
      </c>
      <c r="E9">
        <v>10</v>
      </c>
      <c r="F9">
        <v>100</v>
      </c>
      <c r="G9">
        <v>100</v>
      </c>
      <c r="H9">
        <v>95</v>
      </c>
      <c r="I9">
        <v>95.65</v>
      </c>
      <c r="J9">
        <v>0</v>
      </c>
      <c r="K9">
        <f t="shared" si="0"/>
        <v>97.7</v>
      </c>
      <c r="L9">
        <v>83</v>
      </c>
      <c r="M9">
        <f t="shared" si="1"/>
        <v>83.84</v>
      </c>
      <c r="N9">
        <v>90</v>
      </c>
      <c r="O9">
        <v>87</v>
      </c>
      <c r="P9">
        <f t="shared" si="2"/>
        <v>89</v>
      </c>
      <c r="Q9">
        <f t="shared" si="3"/>
        <v>89.5</v>
      </c>
      <c r="R9">
        <v>124</v>
      </c>
      <c r="S9">
        <f t="shared" si="4"/>
        <v>84.93</v>
      </c>
      <c r="T9">
        <f t="shared" si="5"/>
        <v>87.98</v>
      </c>
      <c r="U9" t="str">
        <f t="shared" si="6"/>
        <v xml:space="preserve"> </v>
      </c>
      <c r="V9">
        <f t="shared" si="7"/>
        <v>91.87</v>
      </c>
      <c r="X9" t="str">
        <f t="shared" si="8"/>
        <v>A-</v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56649</v>
      </c>
      <c r="B10">
        <v>3986</v>
      </c>
      <c r="C10" t="s">
        <v>41</v>
      </c>
      <c r="D10">
        <v>2</v>
      </c>
      <c r="E10">
        <v>10</v>
      </c>
      <c r="F10">
        <v>100</v>
      </c>
      <c r="G10">
        <v>0</v>
      </c>
      <c r="H10">
        <v>95</v>
      </c>
      <c r="I10">
        <v>0</v>
      </c>
      <c r="J10">
        <v>100</v>
      </c>
      <c r="K10">
        <f t="shared" si="0"/>
        <v>73.8</v>
      </c>
      <c r="L10">
        <v>53</v>
      </c>
      <c r="M10">
        <f t="shared" si="1"/>
        <v>53.54</v>
      </c>
      <c r="N10">
        <v>71</v>
      </c>
      <c r="O10">
        <v>53</v>
      </c>
      <c r="P10">
        <f t="shared" si="2"/>
        <v>55</v>
      </c>
      <c r="Q10">
        <f t="shared" si="3"/>
        <v>63</v>
      </c>
      <c r="R10">
        <v>110</v>
      </c>
      <c r="S10">
        <f t="shared" si="4"/>
        <v>75.34</v>
      </c>
      <c r="T10">
        <f t="shared" si="5"/>
        <v>67.11</v>
      </c>
      <c r="U10" t="str">
        <f t="shared" si="6"/>
        <v xml:space="preserve"> </v>
      </c>
      <c r="V10">
        <f t="shared" si="7"/>
        <v>69.790000000000006</v>
      </c>
      <c r="X10" t="str">
        <f t="shared" si="8"/>
        <v/>
      </c>
      <c r="Y10" t="str">
        <f t="shared" si="10"/>
        <v/>
      </c>
      <c r="Z10" t="str">
        <f t="shared" si="11"/>
        <v>C-</v>
      </c>
      <c r="AA10" t="str">
        <f t="shared" si="12"/>
        <v/>
      </c>
      <c r="AB10" t="str">
        <f t="shared" si="9"/>
        <v/>
      </c>
    </row>
    <row r="11" spans="1:28">
      <c r="A11">
        <v>54147</v>
      </c>
      <c r="B11">
        <v>6629</v>
      </c>
      <c r="C11" t="s">
        <v>41</v>
      </c>
      <c r="D11">
        <v>1</v>
      </c>
      <c r="E11">
        <v>10</v>
      </c>
      <c r="F11">
        <v>100</v>
      </c>
      <c r="G11">
        <v>94.12</v>
      </c>
      <c r="H11">
        <v>95</v>
      </c>
      <c r="I11">
        <v>100</v>
      </c>
      <c r="J11">
        <v>0</v>
      </c>
      <c r="K11">
        <f t="shared" si="0"/>
        <v>97.3</v>
      </c>
      <c r="L11">
        <v>92</v>
      </c>
      <c r="M11">
        <f t="shared" si="1"/>
        <v>92.93</v>
      </c>
      <c r="N11">
        <v>88</v>
      </c>
      <c r="O11">
        <v>48</v>
      </c>
      <c r="P11">
        <f t="shared" si="2"/>
        <v>50</v>
      </c>
      <c r="Q11">
        <f t="shared" si="3"/>
        <v>90.5</v>
      </c>
      <c r="R11">
        <v>124</v>
      </c>
      <c r="S11">
        <f t="shared" si="4"/>
        <v>84.93</v>
      </c>
      <c r="T11">
        <f t="shared" si="5"/>
        <v>88.64</v>
      </c>
      <c r="U11" t="str">
        <f t="shared" si="6"/>
        <v xml:space="preserve"> </v>
      </c>
      <c r="V11">
        <f t="shared" si="7"/>
        <v>92.11</v>
      </c>
      <c r="X11" t="str">
        <f t="shared" si="8"/>
        <v>A</v>
      </c>
      <c r="Y11" t="str">
        <f t="shared" si="10"/>
        <v/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57608</v>
      </c>
      <c r="B12">
        <v>8336</v>
      </c>
      <c r="C12" t="s">
        <v>41</v>
      </c>
      <c r="D12">
        <v>1</v>
      </c>
      <c r="E12">
        <v>10</v>
      </c>
      <c r="F12">
        <v>93.75</v>
      </c>
      <c r="G12">
        <v>0</v>
      </c>
      <c r="H12">
        <v>95</v>
      </c>
      <c r="I12">
        <v>95.65</v>
      </c>
      <c r="J12">
        <v>100</v>
      </c>
      <c r="K12">
        <f t="shared" si="0"/>
        <v>96.1</v>
      </c>
      <c r="L12">
        <v>60</v>
      </c>
      <c r="M12">
        <f t="shared" si="1"/>
        <v>60.61</v>
      </c>
      <c r="N12">
        <v>86</v>
      </c>
      <c r="O12">
        <v>63</v>
      </c>
      <c r="P12">
        <f t="shared" si="2"/>
        <v>65</v>
      </c>
      <c r="Q12">
        <f t="shared" si="3"/>
        <v>75.5</v>
      </c>
      <c r="R12">
        <v>127</v>
      </c>
      <c r="S12">
        <f t="shared" si="4"/>
        <v>86.99</v>
      </c>
      <c r="T12">
        <f t="shared" si="5"/>
        <v>79.33</v>
      </c>
      <c r="U12" t="str">
        <f t="shared" si="6"/>
        <v xml:space="preserve"> </v>
      </c>
      <c r="V12">
        <f t="shared" si="7"/>
        <v>86.04</v>
      </c>
      <c r="X12" t="str">
        <f t="shared" si="8"/>
        <v/>
      </c>
      <c r="Y12" t="str">
        <f t="shared" si="10"/>
        <v>B+</v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25845</v>
      </c>
      <c r="B13">
        <v>1837</v>
      </c>
      <c r="C13" t="s">
        <v>41</v>
      </c>
      <c r="D13">
        <v>1</v>
      </c>
      <c r="E13">
        <v>10</v>
      </c>
      <c r="F13">
        <v>100</v>
      </c>
      <c r="G13">
        <v>100</v>
      </c>
      <c r="H13">
        <v>95</v>
      </c>
      <c r="I13">
        <v>0</v>
      </c>
      <c r="J13">
        <v>100</v>
      </c>
      <c r="K13">
        <f t="shared" si="0"/>
        <v>98.8</v>
      </c>
      <c r="L13">
        <v>97</v>
      </c>
      <c r="M13">
        <f t="shared" si="1"/>
        <v>97.98</v>
      </c>
      <c r="N13">
        <v>98</v>
      </c>
      <c r="O13">
        <v>0</v>
      </c>
      <c r="P13">
        <f t="shared" si="2"/>
        <v>0</v>
      </c>
      <c r="Q13">
        <f t="shared" si="3"/>
        <v>98</v>
      </c>
      <c r="R13">
        <v>134</v>
      </c>
      <c r="S13">
        <f t="shared" si="4"/>
        <v>91.78</v>
      </c>
      <c r="T13">
        <f t="shared" si="5"/>
        <v>95.93</v>
      </c>
      <c r="U13" t="str">
        <f t="shared" si="6"/>
        <v xml:space="preserve"> </v>
      </c>
      <c r="V13">
        <f t="shared" si="7"/>
        <v>97.08</v>
      </c>
      <c r="X13" t="str">
        <f t="shared" si="8"/>
        <v>A</v>
      </c>
      <c r="Y13" t="str">
        <f t="shared" si="10"/>
        <v/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54317</v>
      </c>
      <c r="B14">
        <v>5241</v>
      </c>
      <c r="C14" t="s">
        <v>41</v>
      </c>
      <c r="D14">
        <v>1</v>
      </c>
      <c r="E14">
        <v>10</v>
      </c>
      <c r="F14">
        <v>100</v>
      </c>
      <c r="G14">
        <v>100</v>
      </c>
      <c r="H14">
        <v>100</v>
      </c>
      <c r="I14">
        <v>0</v>
      </c>
      <c r="J14">
        <v>100</v>
      </c>
      <c r="K14">
        <f t="shared" si="0"/>
        <v>100</v>
      </c>
      <c r="L14">
        <v>87</v>
      </c>
      <c r="M14">
        <f t="shared" si="1"/>
        <v>87.88</v>
      </c>
      <c r="N14">
        <v>86</v>
      </c>
      <c r="O14">
        <v>0</v>
      </c>
      <c r="P14">
        <f t="shared" si="2"/>
        <v>0</v>
      </c>
      <c r="Q14">
        <f t="shared" si="3"/>
        <v>86.9</v>
      </c>
      <c r="R14">
        <v>122</v>
      </c>
      <c r="S14">
        <f t="shared" si="4"/>
        <v>83.56</v>
      </c>
      <c r="T14">
        <f t="shared" si="5"/>
        <v>85.79</v>
      </c>
      <c r="U14" t="str">
        <f t="shared" si="6"/>
        <v xml:space="preserve"> </v>
      </c>
      <c r="V14">
        <f t="shared" si="7"/>
        <v>91.47</v>
      </c>
      <c r="X14" t="str">
        <f t="shared" si="8"/>
        <v>A-</v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9"/>
        <v/>
      </c>
    </row>
    <row r="15" spans="1:28">
      <c r="A15">
        <v>54194</v>
      </c>
      <c r="B15">
        <v>1575</v>
      </c>
      <c r="C15" t="s">
        <v>41</v>
      </c>
      <c r="D15">
        <v>2</v>
      </c>
      <c r="E15">
        <v>10</v>
      </c>
      <c r="F15">
        <v>100</v>
      </c>
      <c r="G15">
        <v>94.12</v>
      </c>
      <c r="H15">
        <v>100</v>
      </c>
      <c r="I15">
        <v>91.3</v>
      </c>
      <c r="J15">
        <v>0</v>
      </c>
      <c r="K15">
        <f t="shared" si="0"/>
        <v>96.4</v>
      </c>
      <c r="L15">
        <v>75</v>
      </c>
      <c r="M15">
        <f t="shared" si="1"/>
        <v>75.760000000000005</v>
      </c>
      <c r="N15">
        <v>92</v>
      </c>
      <c r="O15">
        <v>81</v>
      </c>
      <c r="P15">
        <f t="shared" si="2"/>
        <v>83</v>
      </c>
      <c r="Q15">
        <f t="shared" si="3"/>
        <v>87.5</v>
      </c>
      <c r="R15">
        <v>127</v>
      </c>
      <c r="S15">
        <f t="shared" si="4"/>
        <v>86.99</v>
      </c>
      <c r="T15">
        <f t="shared" si="5"/>
        <v>87.33</v>
      </c>
      <c r="U15" t="str">
        <f t="shared" si="6"/>
        <v xml:space="preserve"> </v>
      </c>
      <c r="V15">
        <f t="shared" si="7"/>
        <v>90.96</v>
      </c>
      <c r="X15" t="str">
        <f t="shared" si="8"/>
        <v>A-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54221</v>
      </c>
      <c r="B16">
        <v>5183</v>
      </c>
      <c r="C16" t="s">
        <v>41</v>
      </c>
      <c r="D16">
        <v>2</v>
      </c>
      <c r="E16">
        <v>10</v>
      </c>
      <c r="F16">
        <v>87.5</v>
      </c>
      <c r="G16">
        <v>94.12</v>
      </c>
      <c r="H16">
        <v>100</v>
      </c>
      <c r="I16">
        <v>0</v>
      </c>
      <c r="J16">
        <v>100</v>
      </c>
      <c r="K16">
        <f t="shared" si="0"/>
        <v>95.4</v>
      </c>
      <c r="L16">
        <v>73</v>
      </c>
      <c r="M16">
        <f t="shared" si="1"/>
        <v>73.739999999999995</v>
      </c>
      <c r="N16">
        <v>98</v>
      </c>
      <c r="O16">
        <v>93</v>
      </c>
      <c r="P16">
        <f t="shared" si="2"/>
        <v>95</v>
      </c>
      <c r="Q16">
        <f t="shared" si="3"/>
        <v>96.5</v>
      </c>
      <c r="R16">
        <v>113</v>
      </c>
      <c r="S16">
        <f t="shared" si="4"/>
        <v>77.400000000000006</v>
      </c>
      <c r="T16">
        <f t="shared" si="5"/>
        <v>90.13</v>
      </c>
      <c r="U16" t="str">
        <f t="shared" si="6"/>
        <v xml:space="preserve"> </v>
      </c>
      <c r="V16">
        <f t="shared" si="7"/>
        <v>92.24</v>
      </c>
      <c r="X16" t="str">
        <f t="shared" si="8"/>
        <v>A</v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9"/>
        <v/>
      </c>
    </row>
    <row r="17" spans="1:28">
      <c r="A17">
        <v>54321</v>
      </c>
      <c r="B17">
        <v>4824</v>
      </c>
      <c r="C17" t="s">
        <v>41</v>
      </c>
      <c r="D17">
        <v>2</v>
      </c>
      <c r="E17">
        <v>10</v>
      </c>
      <c r="F17">
        <v>81.25</v>
      </c>
      <c r="G17">
        <v>0</v>
      </c>
      <c r="H17">
        <v>95</v>
      </c>
      <c r="I17">
        <v>86.96</v>
      </c>
      <c r="J17">
        <v>100</v>
      </c>
      <c r="K17">
        <f t="shared" si="0"/>
        <v>90.8</v>
      </c>
      <c r="L17">
        <v>75</v>
      </c>
      <c r="M17">
        <f t="shared" si="1"/>
        <v>75.760000000000005</v>
      </c>
      <c r="N17">
        <v>84</v>
      </c>
      <c r="O17">
        <v>0</v>
      </c>
      <c r="P17">
        <f t="shared" si="2"/>
        <v>0</v>
      </c>
      <c r="Q17">
        <f t="shared" si="3"/>
        <v>79.900000000000006</v>
      </c>
      <c r="R17">
        <v>118</v>
      </c>
      <c r="S17">
        <f t="shared" si="4"/>
        <v>80.819999999999993</v>
      </c>
      <c r="T17">
        <f t="shared" si="5"/>
        <v>80.209999999999994</v>
      </c>
      <c r="U17" t="str">
        <f t="shared" si="6"/>
        <v xml:space="preserve"> </v>
      </c>
      <c r="V17">
        <f t="shared" si="7"/>
        <v>84.44</v>
      </c>
      <c r="X17" t="str">
        <f t="shared" si="8"/>
        <v/>
      </c>
      <c r="Y17" t="str">
        <f t="shared" si="10"/>
        <v>B</v>
      </c>
      <c r="Z17" t="str">
        <f t="shared" si="11"/>
        <v/>
      </c>
      <c r="AA17" t="str">
        <f t="shared" si="12"/>
        <v/>
      </c>
      <c r="AB17" t="str">
        <f t="shared" si="9"/>
        <v/>
      </c>
    </row>
  </sheetData>
  <printOptions gridLines="1" gridLinesSet="0"/>
  <pageMargins left="0.75" right="0.75" top="1" bottom="1" header="0.5" footer="0.5"/>
  <pageSetup paperSize="0" scale="74" orientation="landscape" horizontalDpi="4294967292" verticalDpi="4294967292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"/>
  <sheetViews>
    <sheetView workbookViewId="0">
      <selection activeCell="C21" sqref="C21"/>
    </sheetView>
  </sheetViews>
  <sheetFormatPr defaultColWidth="11.453125" defaultRowHeight="12.5"/>
  <cols>
    <col min="1" max="1" width="6" customWidth="1"/>
    <col min="2" max="2" width="5" customWidth="1"/>
    <col min="3" max="3" width="25.269531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54227</v>
      </c>
      <c r="B2">
        <v>7183</v>
      </c>
      <c r="C2" t="s">
        <v>41</v>
      </c>
      <c r="D2">
        <v>2</v>
      </c>
      <c r="E2">
        <v>11</v>
      </c>
      <c r="F2">
        <v>93.75</v>
      </c>
      <c r="G2">
        <v>76.47</v>
      </c>
      <c r="H2">
        <v>75</v>
      </c>
      <c r="I2">
        <v>70</v>
      </c>
      <c r="J2">
        <v>0</v>
      </c>
      <c r="K2">
        <f t="shared" ref="K2:K19" si="0">ROUND((SUM(F2:J2)-MIN(F2:J2))/4,1)</f>
        <v>78.8</v>
      </c>
      <c r="L2">
        <v>63</v>
      </c>
      <c r="M2">
        <f t="shared" ref="M2:M19" si="1">ROUND(L2/99*100,2)</f>
        <v>63.64</v>
      </c>
      <c r="N2">
        <v>64</v>
      </c>
      <c r="O2">
        <v>48</v>
      </c>
      <c r="P2">
        <f t="shared" ref="P2:P17" si="2">IF(O2&gt;0, O2+2, O2)</f>
        <v>50</v>
      </c>
      <c r="Q2">
        <f t="shared" ref="Q2:Q19" si="3">ROUND(((M2+N2+P2)-MIN(M2,N2,P2)) /2,1)</f>
        <v>63.8</v>
      </c>
      <c r="R2">
        <v>114</v>
      </c>
      <c r="S2">
        <f t="shared" ref="S2:S8" si="4">ROUND(R2/146*100, 2)</f>
        <v>78.08</v>
      </c>
      <c r="T2">
        <f t="shared" ref="T2:T19" si="5">ROUND((2*Q2+S2)/3,2)</f>
        <v>68.56</v>
      </c>
      <c r="U2" t="str">
        <f t="shared" ref="U2:U19" si="6">IF(OR(K2&lt;59,T2&lt;59),"F", " ")</f>
        <v xml:space="preserve"> </v>
      </c>
      <c r="V2">
        <f t="shared" ref="V2:V17" si="7">ROUND(K2*0.4+Q2*0.4+S2*0.2,2)</f>
        <v>72.66</v>
      </c>
      <c r="X2" t="str">
        <f t="shared" ref="X2:X19" si="8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>C</v>
      </c>
      <c r="AA2" t="str">
        <f>IF(AND($W2="",$X2="",$Y2="",$Z2=""),IF($V2&gt;=66,"D+",IF($V2&gt;=62,"D",IF($V2&gt;=59,"D-",""))),"")</f>
        <v/>
      </c>
      <c r="AB2" t="str">
        <f t="shared" ref="AB2:AB19" si="9">IF(V2&lt;59,"F","")</f>
        <v/>
      </c>
    </row>
    <row r="3" spans="1:28">
      <c r="A3">
        <v>54492</v>
      </c>
      <c r="B3">
        <v>3921</v>
      </c>
      <c r="C3" t="s">
        <v>41</v>
      </c>
      <c r="D3">
        <v>2</v>
      </c>
      <c r="E3">
        <v>11</v>
      </c>
      <c r="F3">
        <v>100</v>
      </c>
      <c r="G3">
        <v>94.12</v>
      </c>
      <c r="H3">
        <v>0</v>
      </c>
      <c r="I3">
        <v>80</v>
      </c>
      <c r="J3">
        <v>100</v>
      </c>
      <c r="K3">
        <f t="shared" si="0"/>
        <v>93.5</v>
      </c>
      <c r="L3">
        <v>74</v>
      </c>
      <c r="M3">
        <f t="shared" si="1"/>
        <v>74.75</v>
      </c>
      <c r="N3">
        <v>89</v>
      </c>
      <c r="O3">
        <v>82</v>
      </c>
      <c r="P3">
        <f t="shared" si="2"/>
        <v>84</v>
      </c>
      <c r="Q3">
        <f t="shared" si="3"/>
        <v>86.5</v>
      </c>
      <c r="R3">
        <v>121</v>
      </c>
      <c r="S3">
        <f t="shared" si="4"/>
        <v>82.88</v>
      </c>
      <c r="T3">
        <f t="shared" si="5"/>
        <v>85.29</v>
      </c>
      <c r="U3" t="str">
        <f t="shared" si="6"/>
        <v xml:space="preserve"> </v>
      </c>
      <c r="V3">
        <f t="shared" si="7"/>
        <v>88.58</v>
      </c>
      <c r="X3" t="str">
        <f t="shared" si="8"/>
        <v/>
      </c>
      <c r="Y3" t="str">
        <f t="shared" ref="Y3:Y18" si="10">IF(AND($W3="",$X3=""),IF($V3&gt;=86,"B+",IF($V3&gt;=82,"B",IF($V3&gt;=79,"B-",""))),"")</f>
        <v>B+</v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26888</v>
      </c>
      <c r="B4">
        <v>9955</v>
      </c>
      <c r="C4" t="s">
        <v>41</v>
      </c>
      <c r="D4">
        <v>1</v>
      </c>
      <c r="E4">
        <v>11</v>
      </c>
      <c r="F4">
        <v>100</v>
      </c>
      <c r="G4">
        <v>100</v>
      </c>
      <c r="H4">
        <v>95</v>
      </c>
      <c r="I4">
        <v>60</v>
      </c>
      <c r="J4">
        <v>90</v>
      </c>
      <c r="K4">
        <f t="shared" si="0"/>
        <v>96.3</v>
      </c>
      <c r="L4">
        <v>66</v>
      </c>
      <c r="M4">
        <f t="shared" si="1"/>
        <v>66.67</v>
      </c>
      <c r="N4">
        <v>89</v>
      </c>
      <c r="O4">
        <v>77</v>
      </c>
      <c r="P4">
        <f t="shared" si="2"/>
        <v>79</v>
      </c>
      <c r="Q4">
        <f t="shared" si="3"/>
        <v>84</v>
      </c>
      <c r="R4">
        <v>131</v>
      </c>
      <c r="S4">
        <f t="shared" si="4"/>
        <v>89.73</v>
      </c>
      <c r="T4">
        <f t="shared" si="5"/>
        <v>85.91</v>
      </c>
      <c r="U4" t="str">
        <f t="shared" si="6"/>
        <v xml:space="preserve"> </v>
      </c>
      <c r="V4">
        <f t="shared" si="7"/>
        <v>90.07</v>
      </c>
      <c r="X4" t="str">
        <f t="shared" si="8"/>
        <v>A-</v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9"/>
        <v/>
      </c>
    </row>
    <row r="5" spans="1:28">
      <c r="A5">
        <v>17768</v>
      </c>
      <c r="B5">
        <v>2459</v>
      </c>
      <c r="C5" t="s">
        <v>41</v>
      </c>
      <c r="D5">
        <v>2</v>
      </c>
      <c r="E5">
        <v>11</v>
      </c>
      <c r="F5">
        <v>93.75</v>
      </c>
      <c r="G5">
        <v>0</v>
      </c>
      <c r="H5">
        <v>0</v>
      </c>
      <c r="I5">
        <v>0</v>
      </c>
      <c r="J5">
        <v>0</v>
      </c>
      <c r="K5">
        <f t="shared" si="0"/>
        <v>23.4</v>
      </c>
      <c r="L5">
        <v>45</v>
      </c>
      <c r="M5">
        <f t="shared" si="1"/>
        <v>45.45</v>
      </c>
      <c r="N5">
        <v>64</v>
      </c>
      <c r="O5">
        <v>73</v>
      </c>
      <c r="P5">
        <f t="shared" si="2"/>
        <v>75</v>
      </c>
      <c r="Q5">
        <f t="shared" si="3"/>
        <v>69.5</v>
      </c>
      <c r="R5">
        <v>87</v>
      </c>
      <c r="S5">
        <f t="shared" si="4"/>
        <v>59.59</v>
      </c>
      <c r="T5">
        <f t="shared" si="5"/>
        <v>66.2</v>
      </c>
      <c r="U5" t="str">
        <f t="shared" si="6"/>
        <v>F</v>
      </c>
      <c r="V5">
        <f t="shared" si="7"/>
        <v>49.08</v>
      </c>
      <c r="W5" t="s">
        <v>24</v>
      </c>
      <c r="X5" t="str">
        <f t="shared" si="8"/>
        <v/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>F</v>
      </c>
    </row>
    <row r="6" spans="1:28">
      <c r="A6">
        <v>54323</v>
      </c>
      <c r="B6">
        <v>7239</v>
      </c>
      <c r="C6" t="s">
        <v>41</v>
      </c>
      <c r="D6">
        <v>1</v>
      </c>
      <c r="E6">
        <v>11</v>
      </c>
      <c r="F6">
        <v>93.75</v>
      </c>
      <c r="G6">
        <v>100</v>
      </c>
      <c r="H6">
        <v>95</v>
      </c>
      <c r="I6">
        <v>80</v>
      </c>
      <c r="J6">
        <v>70</v>
      </c>
      <c r="K6">
        <f t="shared" si="0"/>
        <v>92.2</v>
      </c>
      <c r="L6">
        <v>76</v>
      </c>
      <c r="M6">
        <f t="shared" si="1"/>
        <v>76.77</v>
      </c>
      <c r="N6">
        <v>73</v>
      </c>
      <c r="O6">
        <v>57</v>
      </c>
      <c r="P6">
        <f t="shared" si="2"/>
        <v>59</v>
      </c>
      <c r="Q6">
        <f t="shared" si="3"/>
        <v>74.900000000000006</v>
      </c>
      <c r="R6">
        <v>100</v>
      </c>
      <c r="S6">
        <f t="shared" si="4"/>
        <v>68.489999999999995</v>
      </c>
      <c r="T6">
        <f t="shared" si="5"/>
        <v>72.760000000000005</v>
      </c>
      <c r="U6" t="str">
        <f t="shared" si="6"/>
        <v xml:space="preserve"> </v>
      </c>
      <c r="V6">
        <f t="shared" si="7"/>
        <v>80.540000000000006</v>
      </c>
      <c r="X6" t="str">
        <f t="shared" si="8"/>
        <v/>
      </c>
      <c r="Y6" t="str">
        <f t="shared" si="10"/>
        <v>B-</v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54092</v>
      </c>
      <c r="B7">
        <v>2508</v>
      </c>
      <c r="C7" t="s">
        <v>41</v>
      </c>
      <c r="D7">
        <v>2</v>
      </c>
      <c r="E7">
        <v>11</v>
      </c>
      <c r="F7">
        <v>81.25</v>
      </c>
      <c r="G7">
        <v>76.47</v>
      </c>
      <c r="H7">
        <v>0</v>
      </c>
      <c r="I7">
        <v>80</v>
      </c>
      <c r="J7">
        <v>100</v>
      </c>
      <c r="K7">
        <f t="shared" si="0"/>
        <v>84.4</v>
      </c>
      <c r="L7">
        <v>77</v>
      </c>
      <c r="M7">
        <f t="shared" si="1"/>
        <v>77.78</v>
      </c>
      <c r="N7">
        <v>58</v>
      </c>
      <c r="O7">
        <v>70</v>
      </c>
      <c r="P7">
        <f t="shared" si="2"/>
        <v>72</v>
      </c>
      <c r="Q7">
        <f t="shared" si="3"/>
        <v>74.900000000000006</v>
      </c>
      <c r="R7">
        <v>105</v>
      </c>
      <c r="S7">
        <f t="shared" si="4"/>
        <v>71.92</v>
      </c>
      <c r="T7">
        <f t="shared" si="5"/>
        <v>73.91</v>
      </c>
      <c r="U7" t="str">
        <f t="shared" si="6"/>
        <v xml:space="preserve"> </v>
      </c>
      <c r="V7">
        <f t="shared" si="7"/>
        <v>78.099999999999994</v>
      </c>
      <c r="X7" t="str">
        <f t="shared" si="8"/>
        <v/>
      </c>
      <c r="Y7" t="str">
        <f t="shared" si="10"/>
        <v/>
      </c>
      <c r="Z7" t="str">
        <f t="shared" si="11"/>
        <v>C+</v>
      </c>
      <c r="AA7" t="str">
        <f t="shared" si="12"/>
        <v/>
      </c>
      <c r="AB7" t="str">
        <f t="shared" si="9"/>
        <v/>
      </c>
    </row>
    <row r="8" spans="1:28">
      <c r="A8">
        <v>54219</v>
      </c>
      <c r="B8">
        <v>1562</v>
      </c>
      <c r="C8" t="s">
        <v>41</v>
      </c>
      <c r="D8">
        <v>2</v>
      </c>
      <c r="E8">
        <v>11</v>
      </c>
      <c r="F8">
        <v>93.75</v>
      </c>
      <c r="G8">
        <v>100</v>
      </c>
      <c r="H8">
        <v>100</v>
      </c>
      <c r="I8">
        <v>100</v>
      </c>
      <c r="J8">
        <v>0</v>
      </c>
      <c r="K8">
        <f t="shared" si="0"/>
        <v>98.4</v>
      </c>
      <c r="L8">
        <v>94</v>
      </c>
      <c r="M8">
        <f t="shared" si="1"/>
        <v>94.95</v>
      </c>
      <c r="N8">
        <v>92</v>
      </c>
      <c r="O8">
        <v>0</v>
      </c>
      <c r="P8">
        <f t="shared" si="2"/>
        <v>0</v>
      </c>
      <c r="Q8">
        <f t="shared" si="3"/>
        <v>93.5</v>
      </c>
      <c r="R8">
        <v>134</v>
      </c>
      <c r="S8">
        <f t="shared" si="4"/>
        <v>91.78</v>
      </c>
      <c r="T8">
        <f t="shared" si="5"/>
        <v>92.93</v>
      </c>
      <c r="U8" t="str">
        <f t="shared" si="6"/>
        <v xml:space="preserve"> </v>
      </c>
      <c r="V8">
        <f t="shared" si="7"/>
        <v>95.12</v>
      </c>
      <c r="X8" t="str">
        <f t="shared" si="8"/>
        <v>A</v>
      </c>
      <c r="Y8" t="str">
        <f t="shared" si="10"/>
        <v/>
      </c>
      <c r="Z8" t="str">
        <f t="shared" si="11"/>
        <v/>
      </c>
      <c r="AA8" t="str">
        <f t="shared" si="12"/>
        <v/>
      </c>
      <c r="AB8" t="str">
        <f t="shared" si="9"/>
        <v/>
      </c>
    </row>
    <row r="9" spans="1:28">
      <c r="A9">
        <v>54298</v>
      </c>
      <c r="B9">
        <v>1408</v>
      </c>
      <c r="C9" t="s">
        <v>41</v>
      </c>
      <c r="D9">
        <v>1</v>
      </c>
      <c r="E9">
        <v>11</v>
      </c>
      <c r="F9">
        <v>0</v>
      </c>
      <c r="G9">
        <v>88.24</v>
      </c>
      <c r="H9">
        <v>100</v>
      </c>
      <c r="I9">
        <v>100</v>
      </c>
      <c r="J9">
        <v>100</v>
      </c>
      <c r="K9">
        <f t="shared" si="0"/>
        <v>97.1</v>
      </c>
      <c r="L9">
        <v>82</v>
      </c>
      <c r="M9">
        <f t="shared" si="1"/>
        <v>82.83</v>
      </c>
      <c r="N9">
        <v>95</v>
      </c>
      <c r="O9">
        <v>0</v>
      </c>
      <c r="P9">
        <f t="shared" si="2"/>
        <v>0</v>
      </c>
      <c r="Q9">
        <f t="shared" si="3"/>
        <v>88.9</v>
      </c>
      <c r="R9">
        <v>126</v>
      </c>
      <c r="S9">
        <f>ROUND(R9/146*100, 2)</f>
        <v>86.3</v>
      </c>
      <c r="T9">
        <f t="shared" si="5"/>
        <v>88.03</v>
      </c>
      <c r="U9" t="str">
        <f t="shared" si="6"/>
        <v xml:space="preserve"> </v>
      </c>
      <c r="V9">
        <f t="shared" si="7"/>
        <v>91.66</v>
      </c>
      <c r="X9" t="str">
        <f t="shared" si="8"/>
        <v>A-</v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54004</v>
      </c>
      <c r="B10">
        <v>6490</v>
      </c>
      <c r="C10" t="s">
        <v>41</v>
      </c>
      <c r="D10">
        <v>2</v>
      </c>
      <c r="E10">
        <v>11</v>
      </c>
      <c r="F10">
        <v>93.75</v>
      </c>
      <c r="G10">
        <v>94.12</v>
      </c>
      <c r="H10">
        <v>100</v>
      </c>
      <c r="I10">
        <v>100</v>
      </c>
      <c r="J10">
        <v>0</v>
      </c>
      <c r="K10">
        <f t="shared" si="0"/>
        <v>97</v>
      </c>
      <c r="L10">
        <v>74</v>
      </c>
      <c r="M10">
        <f t="shared" si="1"/>
        <v>74.75</v>
      </c>
      <c r="N10">
        <v>75</v>
      </c>
      <c r="O10">
        <v>0</v>
      </c>
      <c r="P10">
        <f t="shared" si="2"/>
        <v>0</v>
      </c>
      <c r="Q10">
        <f t="shared" si="3"/>
        <v>74.900000000000006</v>
      </c>
      <c r="R10">
        <v>99</v>
      </c>
      <c r="S10">
        <f>ROUND(R10/146*100, 2)</f>
        <v>67.81</v>
      </c>
      <c r="T10">
        <f t="shared" si="5"/>
        <v>72.540000000000006</v>
      </c>
      <c r="U10" t="str">
        <f t="shared" si="6"/>
        <v xml:space="preserve"> </v>
      </c>
      <c r="V10">
        <f t="shared" si="7"/>
        <v>82.32</v>
      </c>
      <c r="X10" t="str">
        <f t="shared" si="8"/>
        <v/>
      </c>
      <c r="Y10" t="str">
        <f t="shared" si="10"/>
        <v>B</v>
      </c>
      <c r="Z10" t="str">
        <f t="shared" si="11"/>
        <v/>
      </c>
      <c r="AA10" t="str">
        <f t="shared" si="12"/>
        <v/>
      </c>
      <c r="AB10" t="str">
        <f t="shared" si="9"/>
        <v/>
      </c>
    </row>
    <row r="11" spans="1:28">
      <c r="A11">
        <v>57682</v>
      </c>
      <c r="B11">
        <v>518</v>
      </c>
      <c r="C11" t="s">
        <v>41</v>
      </c>
      <c r="D11">
        <v>2</v>
      </c>
      <c r="E11">
        <v>11</v>
      </c>
      <c r="F11">
        <v>93.75</v>
      </c>
      <c r="G11">
        <v>94.12</v>
      </c>
      <c r="H11">
        <v>55</v>
      </c>
      <c r="I11">
        <v>90</v>
      </c>
      <c r="J11">
        <v>100</v>
      </c>
      <c r="K11">
        <f t="shared" si="0"/>
        <v>94.5</v>
      </c>
      <c r="L11">
        <v>83</v>
      </c>
      <c r="M11">
        <f t="shared" si="1"/>
        <v>83.84</v>
      </c>
      <c r="N11">
        <v>76</v>
      </c>
      <c r="O11">
        <v>54</v>
      </c>
      <c r="P11">
        <f t="shared" si="2"/>
        <v>56</v>
      </c>
      <c r="Q11">
        <f t="shared" si="3"/>
        <v>79.900000000000006</v>
      </c>
      <c r="R11">
        <v>125</v>
      </c>
      <c r="S11">
        <f t="shared" ref="S11:S19" si="13">ROUND(R11/146*100, 2)</f>
        <v>85.62</v>
      </c>
      <c r="T11">
        <f t="shared" si="5"/>
        <v>81.81</v>
      </c>
      <c r="U11" t="str">
        <f t="shared" si="6"/>
        <v xml:space="preserve"> </v>
      </c>
      <c r="V11">
        <f t="shared" si="7"/>
        <v>86.88</v>
      </c>
      <c r="X11" t="str">
        <f t="shared" si="8"/>
        <v/>
      </c>
      <c r="Y11" t="str">
        <f t="shared" si="10"/>
        <v>B+</v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57578</v>
      </c>
      <c r="B12">
        <v>7989</v>
      </c>
      <c r="C12" t="s">
        <v>41</v>
      </c>
      <c r="D12">
        <v>2</v>
      </c>
      <c r="E12">
        <v>11</v>
      </c>
      <c r="F12">
        <v>87.5</v>
      </c>
      <c r="G12">
        <v>64.709999999999994</v>
      </c>
      <c r="H12">
        <v>75</v>
      </c>
      <c r="I12">
        <v>90</v>
      </c>
      <c r="J12">
        <v>100</v>
      </c>
      <c r="K12">
        <f t="shared" si="0"/>
        <v>88.1</v>
      </c>
      <c r="L12">
        <v>76</v>
      </c>
      <c r="M12">
        <f t="shared" si="1"/>
        <v>76.77</v>
      </c>
      <c r="N12">
        <v>73</v>
      </c>
      <c r="O12">
        <v>71</v>
      </c>
      <c r="P12">
        <f t="shared" si="2"/>
        <v>73</v>
      </c>
      <c r="Q12">
        <f t="shared" si="3"/>
        <v>74.900000000000006</v>
      </c>
      <c r="R12">
        <v>103</v>
      </c>
      <c r="S12">
        <f t="shared" si="13"/>
        <v>70.55</v>
      </c>
      <c r="T12">
        <f t="shared" si="5"/>
        <v>73.45</v>
      </c>
      <c r="U12" t="str">
        <f t="shared" si="6"/>
        <v xml:space="preserve"> </v>
      </c>
      <c r="V12">
        <f t="shared" si="7"/>
        <v>79.31</v>
      </c>
      <c r="X12" t="str">
        <f t="shared" si="8"/>
        <v/>
      </c>
      <c r="Y12" t="str">
        <f t="shared" si="10"/>
        <v>B-</v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57293</v>
      </c>
      <c r="B13">
        <v>7744</v>
      </c>
      <c r="C13" t="s">
        <v>41</v>
      </c>
      <c r="D13">
        <v>1</v>
      </c>
      <c r="E13">
        <v>11</v>
      </c>
      <c r="F13">
        <v>93.75</v>
      </c>
      <c r="G13">
        <v>100</v>
      </c>
      <c r="H13">
        <v>95</v>
      </c>
      <c r="I13">
        <v>100</v>
      </c>
      <c r="J13">
        <v>0</v>
      </c>
      <c r="K13">
        <f t="shared" si="0"/>
        <v>97.2</v>
      </c>
      <c r="L13">
        <v>53</v>
      </c>
      <c r="M13">
        <f t="shared" si="1"/>
        <v>53.54</v>
      </c>
      <c r="N13">
        <v>54</v>
      </c>
      <c r="O13">
        <v>68</v>
      </c>
      <c r="P13">
        <f t="shared" si="2"/>
        <v>70</v>
      </c>
      <c r="Q13">
        <f t="shared" si="3"/>
        <v>62</v>
      </c>
      <c r="R13">
        <v>106</v>
      </c>
      <c r="S13">
        <f t="shared" si="13"/>
        <v>72.599999999999994</v>
      </c>
      <c r="T13">
        <f t="shared" si="5"/>
        <v>65.53</v>
      </c>
      <c r="U13" t="str">
        <f t="shared" si="6"/>
        <v xml:space="preserve"> </v>
      </c>
      <c r="V13">
        <f t="shared" si="7"/>
        <v>78.2</v>
      </c>
      <c r="X13" t="str">
        <f t="shared" si="8"/>
        <v/>
      </c>
      <c r="Y13" t="str">
        <f t="shared" si="10"/>
        <v/>
      </c>
      <c r="Z13" t="str">
        <f t="shared" si="11"/>
        <v>C+</v>
      </c>
      <c r="AA13" t="str">
        <f t="shared" si="12"/>
        <v/>
      </c>
      <c r="AB13" t="str">
        <f t="shared" si="9"/>
        <v/>
      </c>
    </row>
    <row r="14" spans="1:28">
      <c r="A14">
        <v>54402</v>
      </c>
      <c r="B14">
        <v>8203</v>
      </c>
      <c r="C14" t="s">
        <v>41</v>
      </c>
      <c r="D14">
        <v>1</v>
      </c>
      <c r="E14">
        <v>11</v>
      </c>
      <c r="F14">
        <v>0</v>
      </c>
      <c r="G14">
        <v>58.82</v>
      </c>
      <c r="H14">
        <v>0</v>
      </c>
      <c r="I14">
        <v>0</v>
      </c>
      <c r="J14">
        <v>80</v>
      </c>
      <c r="K14">
        <f t="shared" si="0"/>
        <v>34.700000000000003</v>
      </c>
      <c r="L14">
        <v>62</v>
      </c>
      <c r="M14">
        <f t="shared" si="1"/>
        <v>62.63</v>
      </c>
      <c r="N14">
        <v>35</v>
      </c>
      <c r="O14">
        <v>52</v>
      </c>
      <c r="P14">
        <f t="shared" si="2"/>
        <v>54</v>
      </c>
      <c r="Q14">
        <f t="shared" si="3"/>
        <v>58.3</v>
      </c>
      <c r="R14">
        <v>90</v>
      </c>
      <c r="S14">
        <f t="shared" si="13"/>
        <v>61.64</v>
      </c>
      <c r="T14">
        <f t="shared" si="5"/>
        <v>59.41</v>
      </c>
      <c r="U14" t="str">
        <f t="shared" si="6"/>
        <v>F</v>
      </c>
      <c r="V14">
        <f t="shared" si="7"/>
        <v>49.53</v>
      </c>
      <c r="W14" t="s">
        <v>24</v>
      </c>
      <c r="X14" t="str">
        <f t="shared" si="8"/>
        <v/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9"/>
        <v>F</v>
      </c>
    </row>
    <row r="15" spans="1:28">
      <c r="A15">
        <v>54023</v>
      </c>
      <c r="B15">
        <v>6146</v>
      </c>
      <c r="C15" t="s">
        <v>41</v>
      </c>
      <c r="D15">
        <v>1</v>
      </c>
      <c r="E15">
        <v>11</v>
      </c>
      <c r="F15">
        <v>100</v>
      </c>
      <c r="G15">
        <v>82.35</v>
      </c>
      <c r="H15">
        <v>0</v>
      </c>
      <c r="I15">
        <v>90</v>
      </c>
      <c r="J15">
        <v>100</v>
      </c>
      <c r="K15">
        <f t="shared" si="0"/>
        <v>93.1</v>
      </c>
      <c r="L15">
        <v>86</v>
      </c>
      <c r="M15">
        <f t="shared" si="1"/>
        <v>86.87</v>
      </c>
      <c r="N15">
        <v>85</v>
      </c>
      <c r="O15">
        <v>63</v>
      </c>
      <c r="P15">
        <f t="shared" si="2"/>
        <v>65</v>
      </c>
      <c r="Q15">
        <f t="shared" si="3"/>
        <v>85.9</v>
      </c>
      <c r="R15">
        <v>131</v>
      </c>
      <c r="S15">
        <f t="shared" si="13"/>
        <v>89.73</v>
      </c>
      <c r="T15">
        <f t="shared" si="5"/>
        <v>87.18</v>
      </c>
      <c r="U15" t="str">
        <f t="shared" si="6"/>
        <v xml:space="preserve"> </v>
      </c>
      <c r="V15">
        <f t="shared" si="7"/>
        <v>89.55</v>
      </c>
      <c r="X15" t="str">
        <f t="shared" si="8"/>
        <v>A-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54002</v>
      </c>
      <c r="B16">
        <v>437</v>
      </c>
      <c r="C16" t="s">
        <v>41</v>
      </c>
      <c r="D16">
        <v>2</v>
      </c>
      <c r="E16">
        <v>11</v>
      </c>
      <c r="F16">
        <v>87.5</v>
      </c>
      <c r="G16">
        <v>94.12</v>
      </c>
      <c r="H16">
        <v>0</v>
      </c>
      <c r="I16">
        <v>100</v>
      </c>
      <c r="J16">
        <v>100</v>
      </c>
      <c r="K16">
        <f t="shared" si="0"/>
        <v>95.4</v>
      </c>
      <c r="L16">
        <v>45</v>
      </c>
      <c r="M16">
        <f t="shared" si="1"/>
        <v>45.45</v>
      </c>
      <c r="N16">
        <v>0</v>
      </c>
      <c r="O16">
        <v>50</v>
      </c>
      <c r="P16">
        <f t="shared" si="2"/>
        <v>52</v>
      </c>
      <c r="Q16">
        <f t="shared" si="3"/>
        <v>48.7</v>
      </c>
      <c r="R16">
        <v>96</v>
      </c>
      <c r="S16">
        <f t="shared" si="13"/>
        <v>65.75</v>
      </c>
      <c r="T16">
        <f t="shared" si="5"/>
        <v>54.38</v>
      </c>
      <c r="U16" t="str">
        <f t="shared" si="6"/>
        <v>F</v>
      </c>
      <c r="V16">
        <f t="shared" si="7"/>
        <v>70.790000000000006</v>
      </c>
      <c r="W16" t="s">
        <v>24</v>
      </c>
      <c r="X16" t="str">
        <f t="shared" si="8"/>
        <v/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9"/>
        <v/>
      </c>
    </row>
    <row r="17" spans="1:28">
      <c r="A17">
        <v>54645</v>
      </c>
      <c r="B17">
        <v>992</v>
      </c>
      <c r="C17" t="s">
        <v>41</v>
      </c>
      <c r="D17">
        <v>2</v>
      </c>
      <c r="E17">
        <v>11</v>
      </c>
      <c r="F17">
        <v>100</v>
      </c>
      <c r="G17">
        <v>94.12</v>
      </c>
      <c r="H17">
        <v>0</v>
      </c>
      <c r="I17">
        <v>100</v>
      </c>
      <c r="J17">
        <v>100</v>
      </c>
      <c r="K17">
        <f t="shared" si="0"/>
        <v>98.5</v>
      </c>
      <c r="L17">
        <v>42</v>
      </c>
      <c r="M17">
        <f t="shared" si="1"/>
        <v>42.42</v>
      </c>
      <c r="N17">
        <v>77</v>
      </c>
      <c r="O17">
        <v>55</v>
      </c>
      <c r="P17">
        <f t="shared" si="2"/>
        <v>57</v>
      </c>
      <c r="Q17">
        <f t="shared" si="3"/>
        <v>67</v>
      </c>
      <c r="R17">
        <v>99</v>
      </c>
      <c r="S17">
        <f t="shared" si="13"/>
        <v>67.81</v>
      </c>
      <c r="T17">
        <f t="shared" si="5"/>
        <v>67.27</v>
      </c>
      <c r="U17" t="str">
        <f t="shared" si="6"/>
        <v xml:space="preserve"> </v>
      </c>
      <c r="V17">
        <f t="shared" si="7"/>
        <v>79.760000000000005</v>
      </c>
      <c r="X17" t="str">
        <f t="shared" si="8"/>
        <v/>
      </c>
      <c r="Y17" t="str">
        <f t="shared" si="10"/>
        <v>B-</v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54023</v>
      </c>
      <c r="B18">
        <v>2142</v>
      </c>
      <c r="C18" t="s">
        <v>41</v>
      </c>
      <c r="D18">
        <v>1</v>
      </c>
      <c r="E18">
        <v>11</v>
      </c>
      <c r="F18">
        <v>100</v>
      </c>
      <c r="G18">
        <v>47.06</v>
      </c>
      <c r="H18">
        <v>95</v>
      </c>
      <c r="I18">
        <v>80</v>
      </c>
      <c r="J18">
        <v>0</v>
      </c>
      <c r="K18">
        <f t="shared" si="0"/>
        <v>80.5</v>
      </c>
      <c r="L18">
        <v>66</v>
      </c>
      <c r="M18">
        <f t="shared" si="1"/>
        <v>66.67</v>
      </c>
      <c r="N18">
        <v>80</v>
      </c>
      <c r="O18">
        <v>70</v>
      </c>
      <c r="P18">
        <f>IF(O18&gt;0, O18+2, O18)</f>
        <v>72</v>
      </c>
      <c r="Q18">
        <f t="shared" si="3"/>
        <v>76</v>
      </c>
      <c r="R18">
        <v>114</v>
      </c>
      <c r="S18">
        <f t="shared" si="13"/>
        <v>78.08</v>
      </c>
      <c r="T18">
        <f t="shared" si="5"/>
        <v>76.69</v>
      </c>
      <c r="U18" t="str">
        <f t="shared" si="6"/>
        <v xml:space="preserve"> </v>
      </c>
      <c r="V18">
        <f>ROUND(K18*0.4+Q18*0.4+S18*0.2,2)</f>
        <v>78.22</v>
      </c>
      <c r="X18" t="str">
        <f t="shared" si="8"/>
        <v/>
      </c>
      <c r="Y18" t="str">
        <f t="shared" si="10"/>
        <v/>
      </c>
      <c r="Z18" t="str">
        <f t="shared" si="11"/>
        <v>C+</v>
      </c>
      <c r="AA18" t="str">
        <f t="shared" si="12"/>
        <v/>
      </c>
      <c r="AB18" t="str">
        <f t="shared" si="9"/>
        <v/>
      </c>
    </row>
    <row r="19" spans="1:28">
      <c r="A19">
        <v>54004</v>
      </c>
      <c r="B19">
        <v>6103</v>
      </c>
      <c r="C19" t="s">
        <v>41</v>
      </c>
      <c r="D19">
        <v>2</v>
      </c>
      <c r="E19">
        <v>11</v>
      </c>
      <c r="F19">
        <v>93.75</v>
      </c>
      <c r="G19">
        <v>94.12</v>
      </c>
      <c r="H19">
        <v>0</v>
      </c>
      <c r="I19">
        <v>0</v>
      </c>
      <c r="J19">
        <v>0</v>
      </c>
      <c r="K19">
        <f t="shared" si="0"/>
        <v>47</v>
      </c>
      <c r="L19">
        <v>43</v>
      </c>
      <c r="M19">
        <f t="shared" si="1"/>
        <v>43.43</v>
      </c>
      <c r="N19">
        <v>53</v>
      </c>
      <c r="O19">
        <v>0</v>
      </c>
      <c r="P19">
        <f>IF(O19&gt;0, O19+2, O19)</f>
        <v>0</v>
      </c>
      <c r="Q19">
        <f t="shared" si="3"/>
        <v>48.2</v>
      </c>
      <c r="R19">
        <v>0</v>
      </c>
      <c r="S19">
        <f t="shared" si="13"/>
        <v>0</v>
      </c>
      <c r="T19">
        <f t="shared" si="5"/>
        <v>32.130000000000003</v>
      </c>
      <c r="U19" t="str">
        <f t="shared" si="6"/>
        <v>F</v>
      </c>
      <c r="V19">
        <f>ROUND(K19*0.4+Q19*0.4+S19*0.2,2)</f>
        <v>38.08</v>
      </c>
      <c r="W19" t="s">
        <v>24</v>
      </c>
      <c r="X19" t="str">
        <f t="shared" si="8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>F</v>
      </c>
    </row>
    <row r="21" spans="1:28">
      <c r="A21">
        <v>99999</v>
      </c>
      <c r="B21">
        <v>9999</v>
      </c>
      <c r="C21" t="s">
        <v>41</v>
      </c>
      <c r="D21">
        <v>0</v>
      </c>
      <c r="E21">
        <v>0</v>
      </c>
      <c r="F21">
        <v>100</v>
      </c>
      <c r="G21">
        <v>82.35</v>
      </c>
      <c r="H21">
        <v>0</v>
      </c>
      <c r="I21">
        <v>90</v>
      </c>
      <c r="J21">
        <v>90</v>
      </c>
      <c r="K21">
        <f>ROUND((SUM(F21:J21)-MIN(F21:J21))/4,1)</f>
        <v>90.6</v>
      </c>
    </row>
  </sheetData>
  <printOptions gridLines="1" gridLinesSet="0"/>
  <pageMargins left="0.75" right="0.75" top="1" bottom="1" header="0.5" footer="0.5"/>
  <pageSetup paperSize="0" scale="71" orientation="landscape" horizontalDpi="4294967292" verticalDpi="4294967292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2.5429687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56587</v>
      </c>
      <c r="B2">
        <v>2613</v>
      </c>
      <c r="C2" t="s">
        <v>41</v>
      </c>
      <c r="D2">
        <v>1</v>
      </c>
      <c r="E2">
        <v>15</v>
      </c>
      <c r="F2">
        <v>93.75</v>
      </c>
      <c r="G2">
        <v>100</v>
      </c>
      <c r="H2">
        <v>90</v>
      </c>
      <c r="I2">
        <v>82.61</v>
      </c>
      <c r="J2">
        <v>0</v>
      </c>
      <c r="K2">
        <f t="shared" ref="K2:K21" si="0">ROUND((SUM(F2:J2)-MIN(F2:J2))/4,1)</f>
        <v>91.6</v>
      </c>
      <c r="L2">
        <v>55</v>
      </c>
      <c r="M2">
        <f t="shared" ref="M2:M21" si="1">ROUND(L2/99*100,2)</f>
        <v>55.56</v>
      </c>
      <c r="N2">
        <v>86</v>
      </c>
      <c r="O2">
        <v>66</v>
      </c>
      <c r="P2">
        <f t="shared" ref="P2:P21" si="2">IF(O2&gt;0, O2+2, O2)</f>
        <v>68</v>
      </c>
      <c r="Q2">
        <f t="shared" ref="Q2:Q21" si="3">ROUND(((M2+N2+P2)-MIN(M2,N2,P2)) /2,1)</f>
        <v>77</v>
      </c>
      <c r="R2">
        <v>89</v>
      </c>
      <c r="S2">
        <f t="shared" ref="S2:S21" si="4">ROUND(R2/146*100, 2)</f>
        <v>60.96</v>
      </c>
      <c r="T2">
        <f t="shared" ref="T2:T21" si="5">ROUND((2*Q2+S2)/3,2)</f>
        <v>71.650000000000006</v>
      </c>
      <c r="U2" t="str">
        <f t="shared" ref="U2:U21" si="6">IF(OR(K2&lt;59,T2&lt;59),"F", " ")</f>
        <v xml:space="preserve"> </v>
      </c>
      <c r="V2">
        <f t="shared" ref="V2:V17" si="7">ROUND(K2*0.4+Q2*0.4+S2*0.2,2)</f>
        <v>79.63</v>
      </c>
      <c r="X2" t="str">
        <f t="shared" ref="X2:X21" si="8">IF(NOT(W2="F"),IF(V2&gt;=92,"A",IF(V2&gt;=89,"A-","")),"")</f>
        <v/>
      </c>
      <c r="Y2" t="str">
        <f>IF(AND($W2="",$X2=""),IF($V2&gt;=86,"B+",IF($V2&gt;=82,"B",IF($V2&gt;=79,"B-",""))),"")</f>
        <v>B-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1" si="9">IF(V2&lt;59,"F","")</f>
        <v/>
      </c>
    </row>
    <row r="3" spans="1:28">
      <c r="A3">
        <v>61922</v>
      </c>
      <c r="B3">
        <v>2889</v>
      </c>
      <c r="C3" t="s">
        <v>41</v>
      </c>
      <c r="D3">
        <v>2</v>
      </c>
      <c r="E3">
        <v>15</v>
      </c>
      <c r="F3">
        <v>84.375</v>
      </c>
      <c r="G3">
        <v>70.59</v>
      </c>
      <c r="H3">
        <v>95</v>
      </c>
      <c r="I3">
        <v>95.65</v>
      </c>
      <c r="J3">
        <v>90</v>
      </c>
      <c r="K3">
        <f t="shared" si="0"/>
        <v>91.3</v>
      </c>
      <c r="L3">
        <v>59</v>
      </c>
      <c r="M3">
        <f t="shared" si="1"/>
        <v>59.6</v>
      </c>
      <c r="N3">
        <v>75</v>
      </c>
      <c r="O3">
        <v>0</v>
      </c>
      <c r="P3">
        <f t="shared" si="2"/>
        <v>0</v>
      </c>
      <c r="Q3">
        <f t="shared" si="3"/>
        <v>67.3</v>
      </c>
      <c r="R3">
        <v>96</v>
      </c>
      <c r="S3">
        <f t="shared" si="4"/>
        <v>65.75</v>
      </c>
      <c r="T3">
        <f t="shared" si="5"/>
        <v>66.78</v>
      </c>
      <c r="U3" t="str">
        <f t="shared" si="6"/>
        <v xml:space="preserve"> </v>
      </c>
      <c r="V3">
        <f t="shared" si="7"/>
        <v>76.59</v>
      </c>
      <c r="X3" t="str">
        <f t="shared" si="8"/>
        <v/>
      </c>
      <c r="Y3" t="str">
        <f t="shared" ref="Y3:Y18" si="10">IF(AND($W3="",$X3=""),IF($V3&gt;=86,"B+",IF($V3&gt;=82,"B",IF($V3&gt;=79,"B-",""))),"")</f>
        <v/>
      </c>
      <c r="Z3" t="str">
        <f t="shared" ref="Z3:Z18" si="11">IF(AND($W3="",$X3="",$Y3=""),IF($V3&gt;=76,"C+",IF($V3&gt;=72,"C",IF($V3&gt;=69,"C-",""))),"")</f>
        <v>C+</v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54294</v>
      </c>
      <c r="B4">
        <v>425</v>
      </c>
      <c r="C4" t="s">
        <v>41</v>
      </c>
      <c r="D4">
        <v>2</v>
      </c>
      <c r="E4">
        <v>15</v>
      </c>
      <c r="F4">
        <v>73.4375</v>
      </c>
      <c r="G4">
        <v>0</v>
      </c>
      <c r="H4">
        <v>90</v>
      </c>
      <c r="I4">
        <v>43.48</v>
      </c>
      <c r="J4">
        <v>70</v>
      </c>
      <c r="K4">
        <f t="shared" si="0"/>
        <v>69.2</v>
      </c>
      <c r="L4">
        <v>72</v>
      </c>
      <c r="M4">
        <f t="shared" si="1"/>
        <v>72.73</v>
      </c>
      <c r="N4">
        <v>62</v>
      </c>
      <c r="O4">
        <v>83</v>
      </c>
      <c r="P4">
        <f t="shared" si="2"/>
        <v>85</v>
      </c>
      <c r="Q4">
        <f t="shared" si="3"/>
        <v>78.900000000000006</v>
      </c>
      <c r="R4">
        <v>115</v>
      </c>
      <c r="S4">
        <f t="shared" si="4"/>
        <v>78.77</v>
      </c>
      <c r="T4">
        <f t="shared" si="5"/>
        <v>78.86</v>
      </c>
      <c r="U4" t="str">
        <f t="shared" si="6"/>
        <v xml:space="preserve"> </v>
      </c>
      <c r="V4">
        <f t="shared" si="7"/>
        <v>74.989999999999995</v>
      </c>
      <c r="X4" t="str">
        <f t="shared" si="8"/>
        <v/>
      </c>
      <c r="Y4" t="str">
        <f t="shared" si="10"/>
        <v/>
      </c>
      <c r="Z4" t="str">
        <f t="shared" si="11"/>
        <v>C</v>
      </c>
      <c r="AA4" t="str">
        <f t="shared" si="12"/>
        <v/>
      </c>
      <c r="AB4" t="str">
        <f t="shared" si="9"/>
        <v/>
      </c>
    </row>
    <row r="5" spans="1:28">
      <c r="A5">
        <v>54321</v>
      </c>
      <c r="B5">
        <v>420</v>
      </c>
      <c r="C5" t="s">
        <v>41</v>
      </c>
      <c r="D5">
        <v>2</v>
      </c>
      <c r="E5">
        <v>15</v>
      </c>
      <c r="F5">
        <v>90.625</v>
      </c>
      <c r="G5">
        <v>0</v>
      </c>
      <c r="H5">
        <v>85</v>
      </c>
      <c r="I5">
        <v>60.87</v>
      </c>
      <c r="J5">
        <v>100</v>
      </c>
      <c r="K5">
        <f t="shared" si="0"/>
        <v>84.1</v>
      </c>
      <c r="L5">
        <v>90</v>
      </c>
      <c r="M5">
        <f t="shared" si="1"/>
        <v>90.91</v>
      </c>
      <c r="N5">
        <v>78</v>
      </c>
      <c r="O5">
        <v>0</v>
      </c>
      <c r="P5">
        <f t="shared" si="2"/>
        <v>0</v>
      </c>
      <c r="Q5">
        <f t="shared" si="3"/>
        <v>84.5</v>
      </c>
      <c r="R5">
        <v>117</v>
      </c>
      <c r="S5">
        <f t="shared" si="4"/>
        <v>80.14</v>
      </c>
      <c r="T5">
        <f t="shared" si="5"/>
        <v>83.05</v>
      </c>
      <c r="U5" t="str">
        <f t="shared" si="6"/>
        <v xml:space="preserve"> </v>
      </c>
      <c r="V5">
        <f t="shared" si="7"/>
        <v>83.47</v>
      </c>
      <c r="X5" t="str">
        <f t="shared" si="8"/>
        <v/>
      </c>
      <c r="Y5" t="str">
        <f t="shared" si="10"/>
        <v>B</v>
      </c>
      <c r="Z5" t="str">
        <f t="shared" si="11"/>
        <v/>
      </c>
      <c r="AA5" t="str">
        <f t="shared" si="12"/>
        <v/>
      </c>
      <c r="AB5" t="str">
        <f t="shared" si="9"/>
        <v/>
      </c>
    </row>
    <row r="6" spans="1:28">
      <c r="A6">
        <v>56073</v>
      </c>
      <c r="B6">
        <v>4709</v>
      </c>
      <c r="C6" t="s">
        <v>41</v>
      </c>
      <c r="D6">
        <v>2</v>
      </c>
      <c r="E6">
        <v>15</v>
      </c>
      <c r="F6">
        <v>96.875</v>
      </c>
      <c r="G6">
        <v>85.29</v>
      </c>
      <c r="H6">
        <v>95</v>
      </c>
      <c r="I6">
        <v>95.65</v>
      </c>
      <c r="J6">
        <v>0</v>
      </c>
      <c r="K6">
        <f t="shared" si="0"/>
        <v>93.2</v>
      </c>
      <c r="L6">
        <v>88</v>
      </c>
      <c r="M6">
        <f t="shared" si="1"/>
        <v>88.89</v>
      </c>
      <c r="N6">
        <v>79</v>
      </c>
      <c r="O6">
        <v>0</v>
      </c>
      <c r="P6">
        <f t="shared" si="2"/>
        <v>0</v>
      </c>
      <c r="Q6">
        <f t="shared" si="3"/>
        <v>83.9</v>
      </c>
      <c r="R6">
        <v>113</v>
      </c>
      <c r="S6">
        <f t="shared" si="4"/>
        <v>77.400000000000006</v>
      </c>
      <c r="T6">
        <f t="shared" si="5"/>
        <v>81.73</v>
      </c>
      <c r="U6" t="str">
        <f t="shared" si="6"/>
        <v xml:space="preserve"> </v>
      </c>
      <c r="V6">
        <f t="shared" si="7"/>
        <v>86.32</v>
      </c>
      <c r="X6" t="str">
        <f t="shared" si="8"/>
        <v/>
      </c>
      <c r="Y6" t="str">
        <f t="shared" si="10"/>
        <v>B+</v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52449</v>
      </c>
      <c r="B7">
        <v>3745</v>
      </c>
      <c r="C7" t="s">
        <v>41</v>
      </c>
      <c r="D7">
        <v>2</v>
      </c>
      <c r="E7">
        <v>15</v>
      </c>
      <c r="F7">
        <v>100</v>
      </c>
      <c r="G7">
        <v>0</v>
      </c>
      <c r="H7">
        <v>95</v>
      </c>
      <c r="I7">
        <v>100</v>
      </c>
      <c r="J7">
        <v>100</v>
      </c>
      <c r="K7">
        <f t="shared" si="0"/>
        <v>98.8</v>
      </c>
      <c r="L7">
        <v>83</v>
      </c>
      <c r="M7">
        <f t="shared" si="1"/>
        <v>83.84</v>
      </c>
      <c r="N7">
        <v>90</v>
      </c>
      <c r="O7">
        <v>0</v>
      </c>
      <c r="P7">
        <f t="shared" si="2"/>
        <v>0</v>
      </c>
      <c r="Q7">
        <f t="shared" si="3"/>
        <v>86.9</v>
      </c>
      <c r="R7">
        <v>120</v>
      </c>
      <c r="S7">
        <f t="shared" si="4"/>
        <v>82.19</v>
      </c>
      <c r="T7">
        <f t="shared" si="5"/>
        <v>85.33</v>
      </c>
      <c r="U7" t="str">
        <f t="shared" si="6"/>
        <v xml:space="preserve"> </v>
      </c>
      <c r="V7">
        <f t="shared" si="7"/>
        <v>90.72</v>
      </c>
      <c r="X7" t="str">
        <f t="shared" si="8"/>
        <v>A-</v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9"/>
        <v/>
      </c>
    </row>
    <row r="8" spans="1:28">
      <c r="A8">
        <v>54421</v>
      </c>
      <c r="B8">
        <v>161</v>
      </c>
      <c r="C8" t="s">
        <v>41</v>
      </c>
      <c r="D8">
        <v>2</v>
      </c>
      <c r="E8">
        <v>15</v>
      </c>
      <c r="F8">
        <v>81.25</v>
      </c>
      <c r="G8">
        <v>88.24</v>
      </c>
      <c r="H8">
        <v>85</v>
      </c>
      <c r="I8">
        <v>0</v>
      </c>
      <c r="J8">
        <v>95</v>
      </c>
      <c r="K8">
        <f t="shared" si="0"/>
        <v>87.4</v>
      </c>
      <c r="L8">
        <v>79</v>
      </c>
      <c r="M8">
        <f t="shared" si="1"/>
        <v>79.8</v>
      </c>
      <c r="N8">
        <v>79</v>
      </c>
      <c r="O8">
        <v>0</v>
      </c>
      <c r="P8">
        <f t="shared" si="2"/>
        <v>0</v>
      </c>
      <c r="Q8">
        <f t="shared" si="3"/>
        <v>79.400000000000006</v>
      </c>
      <c r="R8">
        <v>111</v>
      </c>
      <c r="S8">
        <f t="shared" si="4"/>
        <v>76.03</v>
      </c>
      <c r="T8">
        <f t="shared" si="5"/>
        <v>78.28</v>
      </c>
      <c r="U8" t="str">
        <f t="shared" si="6"/>
        <v xml:space="preserve"> </v>
      </c>
      <c r="V8">
        <f t="shared" si="7"/>
        <v>81.93</v>
      </c>
      <c r="X8" t="str">
        <f t="shared" si="8"/>
        <v/>
      </c>
      <c r="Y8" t="str">
        <f t="shared" si="10"/>
        <v>B-</v>
      </c>
      <c r="Z8" t="str">
        <f t="shared" si="11"/>
        <v/>
      </c>
      <c r="AA8" t="str">
        <f t="shared" si="12"/>
        <v/>
      </c>
      <c r="AB8" t="str">
        <f t="shared" si="9"/>
        <v/>
      </c>
    </row>
    <row r="9" spans="1:28">
      <c r="A9">
        <v>53880</v>
      </c>
      <c r="B9">
        <v>5017</v>
      </c>
      <c r="C9" t="s">
        <v>41</v>
      </c>
      <c r="D9">
        <v>2</v>
      </c>
      <c r="E9">
        <v>15</v>
      </c>
      <c r="F9">
        <v>90.625</v>
      </c>
      <c r="G9">
        <v>82.35</v>
      </c>
      <c r="H9">
        <v>55</v>
      </c>
      <c r="I9">
        <v>100</v>
      </c>
      <c r="J9">
        <v>55</v>
      </c>
      <c r="K9">
        <f t="shared" si="0"/>
        <v>82</v>
      </c>
      <c r="L9">
        <v>41</v>
      </c>
      <c r="M9">
        <f t="shared" si="1"/>
        <v>41.41</v>
      </c>
      <c r="N9">
        <v>49</v>
      </c>
      <c r="O9">
        <v>50</v>
      </c>
      <c r="P9">
        <f t="shared" si="2"/>
        <v>52</v>
      </c>
      <c r="Q9">
        <f t="shared" si="3"/>
        <v>50.5</v>
      </c>
      <c r="R9">
        <v>91</v>
      </c>
      <c r="S9">
        <f t="shared" si="4"/>
        <v>62.33</v>
      </c>
      <c r="T9">
        <f t="shared" si="5"/>
        <v>54.44</v>
      </c>
      <c r="U9" t="str">
        <f t="shared" si="6"/>
        <v>F</v>
      </c>
      <c r="V9">
        <f t="shared" si="7"/>
        <v>65.47</v>
      </c>
      <c r="W9" t="s">
        <v>24</v>
      </c>
      <c r="X9" t="str">
        <f t="shared" si="8"/>
        <v/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54206</v>
      </c>
      <c r="B10">
        <v>7204</v>
      </c>
      <c r="C10" t="s">
        <v>41</v>
      </c>
      <c r="D10">
        <v>2</v>
      </c>
      <c r="E10">
        <v>15</v>
      </c>
      <c r="F10">
        <v>92.1875</v>
      </c>
      <c r="G10">
        <v>58.82</v>
      </c>
      <c r="H10">
        <v>100</v>
      </c>
      <c r="I10">
        <v>0</v>
      </c>
      <c r="J10">
        <v>90</v>
      </c>
      <c r="K10">
        <f t="shared" si="0"/>
        <v>85.3</v>
      </c>
      <c r="L10">
        <v>76</v>
      </c>
      <c r="M10">
        <f t="shared" si="1"/>
        <v>76.77</v>
      </c>
      <c r="N10">
        <v>78</v>
      </c>
      <c r="O10">
        <v>0</v>
      </c>
      <c r="P10">
        <f t="shared" si="2"/>
        <v>0</v>
      </c>
      <c r="Q10">
        <f t="shared" si="3"/>
        <v>77.400000000000006</v>
      </c>
      <c r="R10">
        <v>99</v>
      </c>
      <c r="S10">
        <f t="shared" si="4"/>
        <v>67.81</v>
      </c>
      <c r="T10">
        <f t="shared" si="5"/>
        <v>74.2</v>
      </c>
      <c r="U10" t="str">
        <f t="shared" si="6"/>
        <v xml:space="preserve"> </v>
      </c>
      <c r="V10">
        <f t="shared" si="7"/>
        <v>78.64</v>
      </c>
      <c r="X10" t="str">
        <f t="shared" si="8"/>
        <v/>
      </c>
      <c r="Y10" t="str">
        <f t="shared" si="10"/>
        <v/>
      </c>
      <c r="Z10" t="str">
        <f t="shared" si="11"/>
        <v>C+</v>
      </c>
      <c r="AA10" t="str">
        <f t="shared" si="12"/>
        <v/>
      </c>
      <c r="AB10" t="str">
        <f t="shared" si="9"/>
        <v/>
      </c>
    </row>
    <row r="11" spans="1:28">
      <c r="A11">
        <v>54098</v>
      </c>
      <c r="B11">
        <v>7068</v>
      </c>
      <c r="C11" t="s">
        <v>41</v>
      </c>
      <c r="D11">
        <v>2</v>
      </c>
      <c r="E11">
        <v>15</v>
      </c>
      <c r="F11">
        <v>93.75</v>
      </c>
      <c r="G11">
        <v>82.35</v>
      </c>
      <c r="H11">
        <v>100</v>
      </c>
      <c r="I11">
        <v>77.17</v>
      </c>
      <c r="J11">
        <v>70</v>
      </c>
      <c r="K11">
        <f t="shared" si="0"/>
        <v>88.3</v>
      </c>
      <c r="L11">
        <v>83</v>
      </c>
      <c r="M11">
        <f t="shared" si="1"/>
        <v>83.84</v>
      </c>
      <c r="N11">
        <v>53</v>
      </c>
      <c r="O11">
        <v>88</v>
      </c>
      <c r="P11">
        <f t="shared" si="2"/>
        <v>90</v>
      </c>
      <c r="Q11">
        <f t="shared" si="3"/>
        <v>86.9</v>
      </c>
      <c r="R11">
        <v>106</v>
      </c>
      <c r="S11">
        <f t="shared" si="4"/>
        <v>72.599999999999994</v>
      </c>
      <c r="T11">
        <f t="shared" si="5"/>
        <v>82.13</v>
      </c>
      <c r="U11" t="str">
        <f t="shared" si="6"/>
        <v xml:space="preserve"> </v>
      </c>
      <c r="V11">
        <f t="shared" si="7"/>
        <v>84.6</v>
      </c>
      <c r="X11" t="str">
        <f t="shared" si="8"/>
        <v/>
      </c>
      <c r="Y11" t="str">
        <f t="shared" si="10"/>
        <v>B</v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54315</v>
      </c>
      <c r="B12">
        <v>2113</v>
      </c>
      <c r="C12" t="s">
        <v>41</v>
      </c>
      <c r="D12">
        <v>2</v>
      </c>
      <c r="E12">
        <v>15</v>
      </c>
      <c r="F12">
        <v>100</v>
      </c>
      <c r="G12">
        <v>100</v>
      </c>
      <c r="H12">
        <v>100</v>
      </c>
      <c r="I12">
        <v>95.65</v>
      </c>
      <c r="J12">
        <v>0</v>
      </c>
      <c r="K12">
        <f t="shared" si="0"/>
        <v>98.9</v>
      </c>
      <c r="L12">
        <v>83</v>
      </c>
      <c r="M12">
        <f t="shared" si="1"/>
        <v>83.84</v>
      </c>
      <c r="N12">
        <v>98</v>
      </c>
      <c r="O12">
        <v>0</v>
      </c>
      <c r="P12">
        <f t="shared" si="2"/>
        <v>0</v>
      </c>
      <c r="Q12">
        <f t="shared" si="3"/>
        <v>90.9</v>
      </c>
      <c r="R12">
        <v>130</v>
      </c>
      <c r="S12">
        <f t="shared" si="4"/>
        <v>89.04</v>
      </c>
      <c r="T12">
        <f t="shared" si="5"/>
        <v>90.28</v>
      </c>
      <c r="U12" t="str">
        <f t="shared" si="6"/>
        <v xml:space="preserve"> </v>
      </c>
      <c r="V12">
        <f t="shared" si="7"/>
        <v>93.73</v>
      </c>
      <c r="X12" t="str">
        <f t="shared" si="8"/>
        <v>A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45845</v>
      </c>
      <c r="B13">
        <v>6468</v>
      </c>
      <c r="C13" t="s">
        <v>41</v>
      </c>
      <c r="D13">
        <v>2</v>
      </c>
      <c r="E13">
        <v>15</v>
      </c>
      <c r="F13">
        <v>89.0625</v>
      </c>
      <c r="G13">
        <v>52.94</v>
      </c>
      <c r="H13">
        <v>95</v>
      </c>
      <c r="I13">
        <v>95.65</v>
      </c>
      <c r="J13">
        <v>100</v>
      </c>
      <c r="K13">
        <f t="shared" si="0"/>
        <v>94.9</v>
      </c>
      <c r="L13">
        <v>54</v>
      </c>
      <c r="M13">
        <f t="shared" si="1"/>
        <v>54.55</v>
      </c>
      <c r="N13">
        <v>87</v>
      </c>
      <c r="O13">
        <v>75</v>
      </c>
      <c r="P13">
        <f t="shared" si="2"/>
        <v>77</v>
      </c>
      <c r="Q13">
        <f t="shared" si="3"/>
        <v>82</v>
      </c>
      <c r="R13">
        <v>124</v>
      </c>
      <c r="S13">
        <f t="shared" si="4"/>
        <v>84.93</v>
      </c>
      <c r="T13">
        <f t="shared" si="5"/>
        <v>82.98</v>
      </c>
      <c r="U13" t="str">
        <f t="shared" si="6"/>
        <v xml:space="preserve"> </v>
      </c>
      <c r="V13">
        <f t="shared" si="7"/>
        <v>87.75</v>
      </c>
      <c r="X13" t="str">
        <f t="shared" si="8"/>
        <v/>
      </c>
      <c r="Y13" t="str">
        <f t="shared" si="10"/>
        <v>B+</v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54206</v>
      </c>
      <c r="B14">
        <v>9883</v>
      </c>
      <c r="C14" t="s">
        <v>41</v>
      </c>
      <c r="D14">
        <v>2</v>
      </c>
      <c r="E14">
        <v>15</v>
      </c>
      <c r="F14">
        <v>85.9375</v>
      </c>
      <c r="G14">
        <v>26.47</v>
      </c>
      <c r="H14">
        <v>75</v>
      </c>
      <c r="I14">
        <v>73.91</v>
      </c>
      <c r="J14">
        <v>0</v>
      </c>
      <c r="K14">
        <f t="shared" si="0"/>
        <v>65.3</v>
      </c>
      <c r="L14">
        <v>78</v>
      </c>
      <c r="M14">
        <f t="shared" si="1"/>
        <v>78.790000000000006</v>
      </c>
      <c r="N14">
        <v>47</v>
      </c>
      <c r="O14">
        <v>53</v>
      </c>
      <c r="P14">
        <f t="shared" si="2"/>
        <v>55</v>
      </c>
      <c r="Q14">
        <f t="shared" si="3"/>
        <v>66.900000000000006</v>
      </c>
      <c r="R14">
        <v>71</v>
      </c>
      <c r="S14">
        <f t="shared" si="4"/>
        <v>48.63</v>
      </c>
      <c r="T14">
        <f t="shared" si="5"/>
        <v>60.81</v>
      </c>
      <c r="U14" t="str">
        <f t="shared" si="6"/>
        <v xml:space="preserve"> </v>
      </c>
      <c r="V14">
        <f t="shared" si="7"/>
        <v>62.61</v>
      </c>
      <c r="X14" t="str">
        <f t="shared" si="8"/>
        <v/>
      </c>
      <c r="Y14" t="str">
        <f t="shared" si="10"/>
        <v/>
      </c>
      <c r="Z14" t="str">
        <f t="shared" si="11"/>
        <v/>
      </c>
      <c r="AA14" t="str">
        <f t="shared" si="12"/>
        <v>D</v>
      </c>
      <c r="AB14" t="str">
        <f t="shared" si="9"/>
        <v/>
      </c>
    </row>
    <row r="15" spans="1:28">
      <c r="A15">
        <v>57680</v>
      </c>
      <c r="B15">
        <v>1378</v>
      </c>
      <c r="C15" t="s">
        <v>41</v>
      </c>
      <c r="D15">
        <v>2</v>
      </c>
      <c r="E15">
        <v>15</v>
      </c>
      <c r="F15">
        <v>100</v>
      </c>
      <c r="G15">
        <v>100</v>
      </c>
      <c r="H15">
        <v>100</v>
      </c>
      <c r="I15">
        <v>0</v>
      </c>
      <c r="J15">
        <v>100</v>
      </c>
      <c r="K15">
        <f t="shared" si="0"/>
        <v>100</v>
      </c>
      <c r="L15">
        <v>93</v>
      </c>
      <c r="M15">
        <f t="shared" si="1"/>
        <v>93.94</v>
      </c>
      <c r="N15">
        <v>91</v>
      </c>
      <c r="O15">
        <v>0</v>
      </c>
      <c r="P15">
        <f t="shared" si="2"/>
        <v>0</v>
      </c>
      <c r="Q15">
        <f t="shared" si="3"/>
        <v>92.5</v>
      </c>
      <c r="R15">
        <v>135</v>
      </c>
      <c r="S15">
        <f t="shared" si="4"/>
        <v>92.47</v>
      </c>
      <c r="T15">
        <f t="shared" si="5"/>
        <v>92.49</v>
      </c>
      <c r="U15" t="str">
        <f t="shared" si="6"/>
        <v xml:space="preserve"> </v>
      </c>
      <c r="V15">
        <f t="shared" si="7"/>
        <v>95.49</v>
      </c>
      <c r="X15" t="str">
        <f t="shared" si="8"/>
        <v>A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57179</v>
      </c>
      <c r="B16">
        <v>3628</v>
      </c>
      <c r="C16" t="s">
        <v>41</v>
      </c>
      <c r="D16">
        <v>1</v>
      </c>
      <c r="E16">
        <v>15</v>
      </c>
      <c r="F16">
        <v>60.9375</v>
      </c>
      <c r="G16">
        <v>100</v>
      </c>
      <c r="H16">
        <v>0</v>
      </c>
      <c r="I16">
        <v>100</v>
      </c>
      <c r="J16">
        <v>100</v>
      </c>
      <c r="K16">
        <f t="shared" si="0"/>
        <v>90.2</v>
      </c>
      <c r="L16">
        <v>79</v>
      </c>
      <c r="M16">
        <f t="shared" si="1"/>
        <v>79.8</v>
      </c>
      <c r="N16">
        <v>91</v>
      </c>
      <c r="O16">
        <v>78</v>
      </c>
      <c r="P16">
        <f t="shared" si="2"/>
        <v>80</v>
      </c>
      <c r="Q16">
        <f t="shared" si="3"/>
        <v>85.5</v>
      </c>
      <c r="R16">
        <v>110</v>
      </c>
      <c r="S16">
        <f t="shared" si="4"/>
        <v>75.34</v>
      </c>
      <c r="T16">
        <f t="shared" si="5"/>
        <v>82.11</v>
      </c>
      <c r="U16" t="str">
        <f t="shared" si="6"/>
        <v xml:space="preserve"> </v>
      </c>
      <c r="V16">
        <f t="shared" si="7"/>
        <v>85.35</v>
      </c>
      <c r="X16" t="str">
        <f t="shared" si="8"/>
        <v/>
      </c>
      <c r="Y16" t="str">
        <f t="shared" si="10"/>
        <v>B</v>
      </c>
      <c r="Z16" t="str">
        <f t="shared" si="11"/>
        <v/>
      </c>
      <c r="AA16" t="str">
        <f t="shared" si="12"/>
        <v/>
      </c>
      <c r="AB16" t="str">
        <f t="shared" si="9"/>
        <v/>
      </c>
    </row>
    <row r="17" spans="1:28">
      <c r="A17">
        <v>54498</v>
      </c>
      <c r="B17">
        <v>9051</v>
      </c>
      <c r="C17" t="s">
        <v>41</v>
      </c>
      <c r="D17">
        <v>2</v>
      </c>
      <c r="E17">
        <v>15</v>
      </c>
      <c r="F17">
        <v>78.125</v>
      </c>
      <c r="G17">
        <v>70.59</v>
      </c>
      <c r="H17">
        <v>95</v>
      </c>
      <c r="I17">
        <v>100</v>
      </c>
      <c r="J17">
        <v>0</v>
      </c>
      <c r="K17">
        <f t="shared" si="0"/>
        <v>85.9</v>
      </c>
      <c r="L17">
        <v>76</v>
      </c>
      <c r="M17">
        <f t="shared" si="1"/>
        <v>76.77</v>
      </c>
      <c r="N17">
        <v>85</v>
      </c>
      <c r="O17">
        <v>80</v>
      </c>
      <c r="P17">
        <f t="shared" si="2"/>
        <v>82</v>
      </c>
      <c r="Q17">
        <f t="shared" si="3"/>
        <v>83.5</v>
      </c>
      <c r="R17">
        <v>107</v>
      </c>
      <c r="S17">
        <f t="shared" si="4"/>
        <v>73.290000000000006</v>
      </c>
      <c r="T17">
        <f t="shared" si="5"/>
        <v>80.099999999999994</v>
      </c>
      <c r="U17" t="str">
        <f t="shared" si="6"/>
        <v xml:space="preserve"> </v>
      </c>
      <c r="V17">
        <f t="shared" si="7"/>
        <v>82.42</v>
      </c>
      <c r="X17" t="str">
        <f t="shared" si="8"/>
        <v/>
      </c>
      <c r="Y17" t="str">
        <f t="shared" si="10"/>
        <v>B</v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54117</v>
      </c>
      <c r="B18">
        <v>5745</v>
      </c>
      <c r="C18" t="s">
        <v>41</v>
      </c>
      <c r="D18">
        <v>1</v>
      </c>
      <c r="E18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M18">
        <f t="shared" si="1"/>
        <v>0</v>
      </c>
      <c r="N18">
        <v>0</v>
      </c>
      <c r="O18">
        <v>0</v>
      </c>
      <c r="P18">
        <f t="shared" si="2"/>
        <v>0</v>
      </c>
      <c r="Q18">
        <f t="shared" si="3"/>
        <v>0</v>
      </c>
      <c r="R18">
        <v>0</v>
      </c>
      <c r="S18">
        <f t="shared" si="4"/>
        <v>0</v>
      </c>
      <c r="T18">
        <f t="shared" si="5"/>
        <v>0</v>
      </c>
      <c r="U18" t="str">
        <f t="shared" si="6"/>
        <v>F</v>
      </c>
      <c r="V18">
        <f>ROUND(K18*0.4+Q18*0.4+S18*0.2,2)</f>
        <v>0</v>
      </c>
      <c r="W18" t="s">
        <v>24</v>
      </c>
      <c r="X18" t="str">
        <f t="shared" si="8"/>
        <v/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9"/>
        <v>F</v>
      </c>
    </row>
    <row r="19" spans="1:28">
      <c r="A19">
        <v>51796</v>
      </c>
      <c r="B19">
        <v>2928</v>
      </c>
      <c r="C19" t="s">
        <v>41</v>
      </c>
      <c r="D19">
        <v>2</v>
      </c>
      <c r="E19">
        <v>15</v>
      </c>
      <c r="F19">
        <v>100</v>
      </c>
      <c r="G19">
        <v>100</v>
      </c>
      <c r="H19">
        <v>100</v>
      </c>
      <c r="I19">
        <v>95.65</v>
      </c>
      <c r="J19">
        <v>0</v>
      </c>
      <c r="K19">
        <f t="shared" si="0"/>
        <v>98.9</v>
      </c>
      <c r="L19">
        <v>91</v>
      </c>
      <c r="M19">
        <f t="shared" si="1"/>
        <v>91.92</v>
      </c>
      <c r="N19">
        <v>96</v>
      </c>
      <c r="O19">
        <v>0</v>
      </c>
      <c r="P19">
        <f t="shared" si="2"/>
        <v>0</v>
      </c>
      <c r="Q19">
        <f t="shared" si="3"/>
        <v>94</v>
      </c>
      <c r="R19">
        <v>135</v>
      </c>
      <c r="S19">
        <f t="shared" si="4"/>
        <v>92.47</v>
      </c>
      <c r="T19">
        <f t="shared" si="5"/>
        <v>93.49</v>
      </c>
      <c r="U19" t="str">
        <f t="shared" si="6"/>
        <v xml:space="preserve"> </v>
      </c>
      <c r="V19">
        <f>ROUND(K19*0.4+Q19*0.4+S19*0.2,2)</f>
        <v>95.65</v>
      </c>
      <c r="X19" t="str">
        <f t="shared" si="8"/>
        <v>A</v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/>
      </c>
    </row>
    <row r="20" spans="1:28">
      <c r="A20">
        <v>54308</v>
      </c>
      <c r="B20">
        <v>4789</v>
      </c>
      <c r="C20" t="s">
        <v>41</v>
      </c>
      <c r="D20">
        <v>2</v>
      </c>
      <c r="E20">
        <v>15</v>
      </c>
      <c r="F20">
        <v>0</v>
      </c>
      <c r="G20">
        <v>70.59</v>
      </c>
      <c r="H20">
        <v>100</v>
      </c>
      <c r="I20">
        <v>95.65</v>
      </c>
      <c r="J20">
        <v>100</v>
      </c>
      <c r="K20">
        <f t="shared" si="0"/>
        <v>91.6</v>
      </c>
      <c r="M20">
        <f t="shared" si="1"/>
        <v>0</v>
      </c>
      <c r="N20">
        <v>89</v>
      </c>
      <c r="O20">
        <v>93</v>
      </c>
      <c r="P20">
        <f t="shared" si="2"/>
        <v>95</v>
      </c>
      <c r="Q20">
        <f t="shared" si="3"/>
        <v>92</v>
      </c>
      <c r="R20">
        <v>119</v>
      </c>
      <c r="S20">
        <f t="shared" si="4"/>
        <v>81.510000000000005</v>
      </c>
      <c r="T20">
        <f t="shared" si="5"/>
        <v>88.5</v>
      </c>
      <c r="U20" t="str">
        <f t="shared" si="6"/>
        <v xml:space="preserve"> </v>
      </c>
      <c r="V20">
        <f>ROUND(K20*0.4+Q20*0.4+S20*0.2,2)</f>
        <v>89.74</v>
      </c>
      <c r="X20" t="str">
        <f t="shared" si="8"/>
        <v>A-</v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9"/>
        <v/>
      </c>
    </row>
    <row r="21" spans="1:28">
      <c r="A21">
        <v>60266</v>
      </c>
      <c r="B21">
        <v>9128</v>
      </c>
      <c r="C21" t="s">
        <v>41</v>
      </c>
      <c r="D21">
        <v>2</v>
      </c>
      <c r="E21">
        <v>15</v>
      </c>
      <c r="F21">
        <v>87.5</v>
      </c>
      <c r="G21">
        <v>100</v>
      </c>
      <c r="H21">
        <v>95</v>
      </c>
      <c r="I21">
        <v>0</v>
      </c>
      <c r="J21">
        <v>100</v>
      </c>
      <c r="K21">
        <f t="shared" si="0"/>
        <v>95.6</v>
      </c>
      <c r="L21">
        <v>77</v>
      </c>
      <c r="M21">
        <f t="shared" si="1"/>
        <v>77.78</v>
      </c>
      <c r="N21">
        <v>97</v>
      </c>
      <c r="O21">
        <v>0</v>
      </c>
      <c r="P21">
        <f t="shared" si="2"/>
        <v>0</v>
      </c>
      <c r="Q21">
        <f t="shared" si="3"/>
        <v>87.4</v>
      </c>
      <c r="R21">
        <v>120</v>
      </c>
      <c r="S21">
        <f t="shared" si="4"/>
        <v>82.19</v>
      </c>
      <c r="T21">
        <f t="shared" si="5"/>
        <v>85.66</v>
      </c>
      <c r="U21" t="str">
        <f t="shared" si="6"/>
        <v xml:space="preserve"> </v>
      </c>
      <c r="V21">
        <f>ROUND(K21*0.4+Q21*0.4+S21*0.2,2)</f>
        <v>89.64</v>
      </c>
      <c r="X21" t="str">
        <f t="shared" si="8"/>
        <v>A-</v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9"/>
        <v/>
      </c>
    </row>
  </sheetData>
  <printOptions gridLines="1" gridLinesSet="0"/>
  <pageMargins left="0.75" right="0.75" top="1" bottom="1" header="0.5" footer="0.5"/>
  <pageSetup paperSize="0" scale="72" orientation="landscape" horizontalDpi="4294967292" verticalDpi="4294967292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2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3.72656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54023</v>
      </c>
      <c r="B2">
        <v>266</v>
      </c>
      <c r="C2" t="s">
        <v>41</v>
      </c>
      <c r="D2">
        <v>2</v>
      </c>
      <c r="E2">
        <v>16</v>
      </c>
      <c r="F2">
        <v>100</v>
      </c>
      <c r="G2">
        <v>94.12</v>
      </c>
      <c r="H2">
        <v>100</v>
      </c>
      <c r="I2">
        <v>82.61</v>
      </c>
      <c r="J2">
        <v>100</v>
      </c>
      <c r="K2">
        <f t="shared" ref="K2:K21" si="0">ROUND((SUM(F2:J2)-MIN(F2:J2))/4,1)</f>
        <v>98.5</v>
      </c>
      <c r="L2">
        <v>86</v>
      </c>
      <c r="M2">
        <f t="shared" ref="M2:M21" si="1">ROUND(L2/99*100,2)</f>
        <v>86.87</v>
      </c>
      <c r="N2">
        <v>85</v>
      </c>
      <c r="O2">
        <v>73</v>
      </c>
      <c r="P2">
        <f t="shared" ref="P2:P17" si="2">IF(O2&gt;0, O2+2, O2)</f>
        <v>75</v>
      </c>
      <c r="Q2">
        <f t="shared" ref="Q2:Q21" si="3">ROUND(((M2+N2+P2)-MIN(M2,N2,P2)) /2,1)</f>
        <v>85.9</v>
      </c>
      <c r="R2">
        <v>98</v>
      </c>
      <c r="S2">
        <f t="shared" ref="S2:S21" si="4">ROUND(R2/146*100, 2)</f>
        <v>67.12</v>
      </c>
      <c r="T2">
        <f t="shared" ref="T2:T21" si="5">ROUND((2*Q2+S2)/3,2)</f>
        <v>79.64</v>
      </c>
      <c r="U2" t="str">
        <f t="shared" ref="U2:U21" si="6">IF(OR(K2&lt;59,T2&lt;59),"F", " ")</f>
        <v xml:space="preserve"> </v>
      </c>
      <c r="V2">
        <f t="shared" ref="V2:V17" si="7">ROUND(K2*0.4+Q2*0.4+S2*0.2,2)</f>
        <v>87.18</v>
      </c>
      <c r="X2" t="str">
        <f t="shared" ref="X2:X21" si="8">IF(NOT(W2="F"),IF(V2&gt;=92,"A",IF(V2&gt;=89,"A-","")),"")</f>
        <v/>
      </c>
      <c r="Y2" t="str">
        <f>IF(AND($W2="",$X2=""),IF($V2&gt;=86,"B+",IF($V2&gt;=82,"B",IF($V2&gt;=79,"B-",""))),"")</f>
        <v>B+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1" si="9">IF(V2&lt;59,"F","")</f>
        <v/>
      </c>
    </row>
    <row r="3" spans="1:28">
      <c r="A3">
        <v>54125</v>
      </c>
      <c r="B3">
        <v>3611</v>
      </c>
      <c r="C3" t="s">
        <v>41</v>
      </c>
      <c r="D3">
        <v>2</v>
      </c>
      <c r="E3">
        <v>16</v>
      </c>
      <c r="F3">
        <v>0</v>
      </c>
      <c r="G3">
        <v>0</v>
      </c>
      <c r="H3">
        <v>50</v>
      </c>
      <c r="I3">
        <v>82.61</v>
      </c>
      <c r="J3">
        <v>60</v>
      </c>
      <c r="K3">
        <f t="shared" si="0"/>
        <v>48.2</v>
      </c>
      <c r="L3">
        <v>85</v>
      </c>
      <c r="M3">
        <f t="shared" si="1"/>
        <v>85.86</v>
      </c>
      <c r="N3">
        <v>69</v>
      </c>
      <c r="O3">
        <v>70</v>
      </c>
      <c r="P3">
        <f t="shared" si="2"/>
        <v>72</v>
      </c>
      <c r="Q3">
        <f t="shared" si="3"/>
        <v>78.900000000000006</v>
      </c>
      <c r="R3">
        <v>116</v>
      </c>
      <c r="S3">
        <f t="shared" si="4"/>
        <v>79.45</v>
      </c>
      <c r="T3">
        <f t="shared" si="5"/>
        <v>79.08</v>
      </c>
      <c r="U3" t="str">
        <f t="shared" si="6"/>
        <v>F</v>
      </c>
      <c r="V3">
        <f t="shared" si="7"/>
        <v>66.73</v>
      </c>
      <c r="W3" t="s">
        <v>24</v>
      </c>
      <c r="X3" t="str">
        <f t="shared" si="8"/>
        <v/>
      </c>
      <c r="Y3" t="str">
        <f t="shared" ref="Y3:Y18" si="10">IF(AND($W3="",$X3=""),IF($V3&gt;=86,"B+",IF($V3&gt;=82,"B",IF($V3&gt;=79,"B-",""))),"")</f>
        <v/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54496</v>
      </c>
      <c r="B4">
        <v>1549</v>
      </c>
      <c r="C4" t="s">
        <v>41</v>
      </c>
      <c r="D4">
        <v>2</v>
      </c>
      <c r="E4">
        <v>16</v>
      </c>
      <c r="F4">
        <v>43.75</v>
      </c>
      <c r="G4">
        <v>82.35</v>
      </c>
      <c r="H4">
        <v>95</v>
      </c>
      <c r="I4">
        <v>86.96</v>
      </c>
      <c r="J4">
        <v>0</v>
      </c>
      <c r="K4">
        <f t="shared" si="0"/>
        <v>77</v>
      </c>
      <c r="L4">
        <v>54</v>
      </c>
      <c r="M4">
        <f t="shared" si="1"/>
        <v>54.55</v>
      </c>
      <c r="N4">
        <v>87</v>
      </c>
      <c r="O4">
        <v>62</v>
      </c>
      <c r="P4">
        <f t="shared" si="2"/>
        <v>64</v>
      </c>
      <c r="Q4">
        <f t="shared" si="3"/>
        <v>75.5</v>
      </c>
      <c r="R4">
        <v>123</v>
      </c>
      <c r="S4">
        <f t="shared" si="4"/>
        <v>84.25</v>
      </c>
      <c r="T4">
        <f t="shared" si="5"/>
        <v>78.42</v>
      </c>
      <c r="U4" t="str">
        <f t="shared" si="6"/>
        <v xml:space="preserve"> </v>
      </c>
      <c r="V4">
        <f t="shared" si="7"/>
        <v>77.849999999999994</v>
      </c>
      <c r="X4" t="str">
        <f t="shared" si="8"/>
        <v/>
      </c>
      <c r="Y4" t="str">
        <f t="shared" si="10"/>
        <v/>
      </c>
      <c r="Z4" t="str">
        <f t="shared" si="11"/>
        <v>C+</v>
      </c>
      <c r="AA4" t="str">
        <f t="shared" si="12"/>
        <v/>
      </c>
      <c r="AB4" t="str">
        <f t="shared" si="9"/>
        <v/>
      </c>
    </row>
    <row r="5" spans="1:28">
      <c r="A5">
        <v>54394</v>
      </c>
      <c r="B5">
        <v>6114</v>
      </c>
      <c r="C5" t="s">
        <v>41</v>
      </c>
      <c r="D5">
        <v>2</v>
      </c>
      <c r="E5">
        <v>16</v>
      </c>
      <c r="F5">
        <v>87.5</v>
      </c>
      <c r="G5">
        <v>82.35</v>
      </c>
      <c r="H5">
        <v>88.75</v>
      </c>
      <c r="I5">
        <v>100</v>
      </c>
      <c r="J5">
        <v>90</v>
      </c>
      <c r="K5">
        <f t="shared" si="0"/>
        <v>91.6</v>
      </c>
      <c r="L5">
        <v>80</v>
      </c>
      <c r="M5">
        <f t="shared" si="1"/>
        <v>80.81</v>
      </c>
      <c r="N5">
        <v>91</v>
      </c>
      <c r="O5">
        <v>89</v>
      </c>
      <c r="P5">
        <f t="shared" si="2"/>
        <v>91</v>
      </c>
      <c r="Q5">
        <f t="shared" si="3"/>
        <v>91</v>
      </c>
      <c r="R5">
        <v>125</v>
      </c>
      <c r="S5">
        <f t="shared" si="4"/>
        <v>85.62</v>
      </c>
      <c r="T5">
        <f t="shared" si="5"/>
        <v>89.21</v>
      </c>
      <c r="U5" t="str">
        <f t="shared" si="6"/>
        <v xml:space="preserve"> </v>
      </c>
      <c r="V5">
        <f t="shared" si="7"/>
        <v>90.16</v>
      </c>
      <c r="X5" t="str">
        <f t="shared" si="8"/>
        <v>A-</v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/>
      </c>
    </row>
    <row r="6" spans="1:28">
      <c r="A6">
        <v>60603</v>
      </c>
      <c r="B6">
        <v>5888</v>
      </c>
      <c r="C6" t="s">
        <v>41</v>
      </c>
      <c r="D6">
        <v>1</v>
      </c>
      <c r="E6">
        <v>16</v>
      </c>
      <c r="F6">
        <v>76.5625</v>
      </c>
      <c r="G6">
        <v>0</v>
      </c>
      <c r="H6">
        <v>70</v>
      </c>
      <c r="I6">
        <v>78.260000000000005</v>
      </c>
      <c r="J6">
        <v>0</v>
      </c>
      <c r="K6">
        <f t="shared" si="0"/>
        <v>56.2</v>
      </c>
      <c r="L6">
        <v>63</v>
      </c>
      <c r="M6">
        <f t="shared" si="1"/>
        <v>63.64</v>
      </c>
      <c r="N6">
        <v>61</v>
      </c>
      <c r="O6">
        <v>38</v>
      </c>
      <c r="P6">
        <f t="shared" si="2"/>
        <v>40</v>
      </c>
      <c r="Q6">
        <f t="shared" si="3"/>
        <v>62.3</v>
      </c>
      <c r="R6">
        <v>101</v>
      </c>
      <c r="S6">
        <f t="shared" si="4"/>
        <v>69.180000000000007</v>
      </c>
      <c r="T6">
        <f t="shared" si="5"/>
        <v>64.59</v>
      </c>
      <c r="U6" t="str">
        <f t="shared" si="6"/>
        <v>F</v>
      </c>
      <c r="V6">
        <f t="shared" si="7"/>
        <v>61.24</v>
      </c>
      <c r="W6" t="s">
        <v>24</v>
      </c>
      <c r="X6" t="str">
        <f t="shared" si="8"/>
        <v/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54394</v>
      </c>
      <c r="B7">
        <v>7434</v>
      </c>
      <c r="C7" t="s">
        <v>41</v>
      </c>
      <c r="D7">
        <v>2</v>
      </c>
      <c r="E7">
        <v>16</v>
      </c>
      <c r="F7">
        <v>56.25</v>
      </c>
      <c r="G7">
        <v>41.18</v>
      </c>
      <c r="H7">
        <v>0</v>
      </c>
      <c r="I7">
        <v>95.65</v>
      </c>
      <c r="J7">
        <v>100</v>
      </c>
      <c r="K7">
        <f t="shared" si="0"/>
        <v>73.3</v>
      </c>
      <c r="L7">
        <v>66</v>
      </c>
      <c r="M7">
        <f t="shared" si="1"/>
        <v>66.67</v>
      </c>
      <c r="N7">
        <v>83</v>
      </c>
      <c r="O7">
        <v>63</v>
      </c>
      <c r="P7">
        <f t="shared" si="2"/>
        <v>65</v>
      </c>
      <c r="Q7">
        <f t="shared" si="3"/>
        <v>74.8</v>
      </c>
      <c r="R7">
        <v>123</v>
      </c>
      <c r="S7">
        <f t="shared" si="4"/>
        <v>84.25</v>
      </c>
      <c r="T7">
        <f t="shared" si="5"/>
        <v>77.95</v>
      </c>
      <c r="U7" t="str">
        <f t="shared" si="6"/>
        <v xml:space="preserve"> </v>
      </c>
      <c r="V7">
        <f t="shared" si="7"/>
        <v>76.09</v>
      </c>
      <c r="X7" t="str">
        <f t="shared" si="8"/>
        <v/>
      </c>
      <c r="Y7" t="str">
        <f t="shared" si="10"/>
        <v/>
      </c>
      <c r="Z7" t="str">
        <f t="shared" si="11"/>
        <v>C+</v>
      </c>
      <c r="AA7" t="str">
        <f t="shared" si="12"/>
        <v/>
      </c>
      <c r="AB7" t="str">
        <f t="shared" si="9"/>
        <v/>
      </c>
    </row>
    <row r="8" spans="1:28">
      <c r="A8">
        <v>54098</v>
      </c>
      <c r="B8">
        <v>5490</v>
      </c>
      <c r="C8" t="s">
        <v>41</v>
      </c>
      <c r="D8">
        <v>2</v>
      </c>
      <c r="E8">
        <v>16</v>
      </c>
      <c r="F8">
        <v>68.75</v>
      </c>
      <c r="G8">
        <v>85.29</v>
      </c>
      <c r="H8">
        <v>75</v>
      </c>
      <c r="I8">
        <v>95.65</v>
      </c>
      <c r="J8">
        <v>55</v>
      </c>
      <c r="K8">
        <f t="shared" si="0"/>
        <v>81.2</v>
      </c>
      <c r="L8">
        <v>66</v>
      </c>
      <c r="M8">
        <f t="shared" si="1"/>
        <v>66.67</v>
      </c>
      <c r="N8">
        <v>0</v>
      </c>
      <c r="O8">
        <v>67</v>
      </c>
      <c r="P8">
        <f t="shared" si="2"/>
        <v>69</v>
      </c>
      <c r="Q8">
        <f t="shared" si="3"/>
        <v>67.8</v>
      </c>
      <c r="R8">
        <v>102</v>
      </c>
      <c r="S8">
        <f t="shared" si="4"/>
        <v>69.86</v>
      </c>
      <c r="T8">
        <f t="shared" si="5"/>
        <v>68.489999999999995</v>
      </c>
      <c r="U8" t="str">
        <f t="shared" si="6"/>
        <v xml:space="preserve"> </v>
      </c>
      <c r="V8">
        <f t="shared" si="7"/>
        <v>73.569999999999993</v>
      </c>
      <c r="X8" t="str">
        <f t="shared" si="8"/>
        <v/>
      </c>
      <c r="Y8" t="str">
        <f t="shared" si="10"/>
        <v/>
      </c>
      <c r="Z8" t="str">
        <f t="shared" si="11"/>
        <v>C</v>
      </c>
      <c r="AA8" t="str">
        <f t="shared" si="12"/>
        <v/>
      </c>
      <c r="AB8" t="str">
        <f t="shared" si="9"/>
        <v/>
      </c>
    </row>
    <row r="9" spans="1:28">
      <c r="A9">
        <v>54196</v>
      </c>
      <c r="B9">
        <v>2084</v>
      </c>
      <c r="C9" t="s">
        <v>41</v>
      </c>
      <c r="D9">
        <v>2</v>
      </c>
      <c r="E9">
        <v>16</v>
      </c>
      <c r="F9">
        <v>65.625</v>
      </c>
      <c r="G9">
        <v>94.12</v>
      </c>
      <c r="H9">
        <v>86</v>
      </c>
      <c r="I9">
        <v>82.61</v>
      </c>
      <c r="J9">
        <v>90</v>
      </c>
      <c r="K9">
        <f t="shared" si="0"/>
        <v>88.2</v>
      </c>
      <c r="L9">
        <v>84</v>
      </c>
      <c r="M9">
        <f t="shared" si="1"/>
        <v>84.85</v>
      </c>
      <c r="N9">
        <v>0</v>
      </c>
      <c r="O9">
        <v>81</v>
      </c>
      <c r="P9">
        <f t="shared" si="2"/>
        <v>83</v>
      </c>
      <c r="Q9">
        <f t="shared" si="3"/>
        <v>83.9</v>
      </c>
      <c r="R9">
        <v>125</v>
      </c>
      <c r="S9">
        <f t="shared" si="4"/>
        <v>85.62</v>
      </c>
      <c r="T9">
        <f t="shared" si="5"/>
        <v>84.47</v>
      </c>
      <c r="U9" t="str">
        <f t="shared" si="6"/>
        <v xml:space="preserve"> </v>
      </c>
      <c r="V9">
        <f t="shared" si="7"/>
        <v>85.96</v>
      </c>
      <c r="X9" t="str">
        <f t="shared" si="8"/>
        <v/>
      </c>
      <c r="Y9" t="str">
        <f t="shared" si="10"/>
        <v>B</v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56549</v>
      </c>
      <c r="B10">
        <v>8525</v>
      </c>
      <c r="C10" t="s">
        <v>41</v>
      </c>
      <c r="D10">
        <v>1</v>
      </c>
      <c r="E10">
        <v>16</v>
      </c>
      <c r="F10">
        <v>100</v>
      </c>
      <c r="G10">
        <v>97.06</v>
      </c>
      <c r="H10">
        <v>100</v>
      </c>
      <c r="I10">
        <v>91.3</v>
      </c>
      <c r="J10">
        <v>0</v>
      </c>
      <c r="K10">
        <f t="shared" si="0"/>
        <v>97.1</v>
      </c>
      <c r="L10">
        <v>78</v>
      </c>
      <c r="M10">
        <f t="shared" si="1"/>
        <v>78.790000000000006</v>
      </c>
      <c r="N10">
        <v>88</v>
      </c>
      <c r="O10">
        <v>0</v>
      </c>
      <c r="P10">
        <f t="shared" si="2"/>
        <v>0</v>
      </c>
      <c r="Q10">
        <f t="shared" si="3"/>
        <v>83.4</v>
      </c>
      <c r="R10">
        <v>106</v>
      </c>
      <c r="S10">
        <f t="shared" si="4"/>
        <v>72.599999999999994</v>
      </c>
      <c r="T10">
        <f t="shared" si="5"/>
        <v>79.8</v>
      </c>
      <c r="U10" t="str">
        <f t="shared" si="6"/>
        <v xml:space="preserve"> </v>
      </c>
      <c r="V10">
        <f t="shared" si="7"/>
        <v>86.72</v>
      </c>
      <c r="X10" t="str">
        <f t="shared" si="8"/>
        <v/>
      </c>
      <c r="Y10" t="str">
        <f t="shared" si="10"/>
        <v>B+</v>
      </c>
      <c r="Z10" t="str">
        <f t="shared" si="11"/>
        <v/>
      </c>
      <c r="AA10" t="str">
        <f t="shared" si="12"/>
        <v/>
      </c>
      <c r="AB10" t="str">
        <f t="shared" si="9"/>
        <v/>
      </c>
    </row>
    <row r="11" spans="1:28">
      <c r="A11">
        <v>54139</v>
      </c>
      <c r="B11">
        <v>4915</v>
      </c>
      <c r="C11" t="s">
        <v>41</v>
      </c>
      <c r="D11">
        <v>2</v>
      </c>
      <c r="E11">
        <v>16</v>
      </c>
      <c r="F11">
        <v>100</v>
      </c>
      <c r="G11">
        <v>100</v>
      </c>
      <c r="H11">
        <v>100</v>
      </c>
      <c r="I11">
        <v>100</v>
      </c>
      <c r="J11">
        <v>0</v>
      </c>
      <c r="K11">
        <f t="shared" si="0"/>
        <v>100</v>
      </c>
      <c r="L11">
        <v>41</v>
      </c>
      <c r="M11">
        <f t="shared" si="1"/>
        <v>41.41</v>
      </c>
      <c r="N11">
        <v>83</v>
      </c>
      <c r="O11">
        <v>87</v>
      </c>
      <c r="P11">
        <f t="shared" si="2"/>
        <v>89</v>
      </c>
      <c r="Q11">
        <f t="shared" si="3"/>
        <v>86</v>
      </c>
      <c r="R11">
        <v>107</v>
      </c>
      <c r="S11">
        <f t="shared" si="4"/>
        <v>73.290000000000006</v>
      </c>
      <c r="T11">
        <f t="shared" si="5"/>
        <v>81.760000000000005</v>
      </c>
      <c r="U11" t="str">
        <f t="shared" si="6"/>
        <v xml:space="preserve"> </v>
      </c>
      <c r="V11">
        <f t="shared" si="7"/>
        <v>89.06</v>
      </c>
      <c r="X11" t="str">
        <f t="shared" si="8"/>
        <v>A-</v>
      </c>
      <c r="Y11" t="str">
        <f t="shared" si="10"/>
        <v/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54337</v>
      </c>
      <c r="B12">
        <v>2917</v>
      </c>
      <c r="C12" t="s">
        <v>41</v>
      </c>
      <c r="D12">
        <v>1</v>
      </c>
      <c r="E12">
        <v>16</v>
      </c>
      <c r="F12">
        <v>81.25</v>
      </c>
      <c r="G12">
        <v>100</v>
      </c>
      <c r="H12">
        <v>100</v>
      </c>
      <c r="I12">
        <v>95.65</v>
      </c>
      <c r="J12">
        <v>0</v>
      </c>
      <c r="K12">
        <f t="shared" si="0"/>
        <v>94.2</v>
      </c>
      <c r="L12">
        <v>60</v>
      </c>
      <c r="M12">
        <f t="shared" si="1"/>
        <v>60.61</v>
      </c>
      <c r="N12">
        <v>97</v>
      </c>
      <c r="O12">
        <v>89</v>
      </c>
      <c r="P12">
        <f t="shared" si="2"/>
        <v>91</v>
      </c>
      <c r="Q12">
        <f t="shared" si="3"/>
        <v>94</v>
      </c>
      <c r="R12">
        <v>114</v>
      </c>
      <c r="S12">
        <f t="shared" si="4"/>
        <v>78.08</v>
      </c>
      <c r="T12">
        <f t="shared" si="5"/>
        <v>88.69</v>
      </c>
      <c r="U12" t="str">
        <f t="shared" si="6"/>
        <v xml:space="preserve"> </v>
      </c>
      <c r="V12">
        <f t="shared" si="7"/>
        <v>90.9</v>
      </c>
      <c r="X12" t="str">
        <f t="shared" si="8"/>
        <v>A-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54215</v>
      </c>
      <c r="B13">
        <v>5986</v>
      </c>
      <c r="C13" t="s">
        <v>41</v>
      </c>
      <c r="D13">
        <v>2</v>
      </c>
      <c r="E13">
        <v>16</v>
      </c>
      <c r="F13">
        <v>85.9375</v>
      </c>
      <c r="G13">
        <v>82.35</v>
      </c>
      <c r="H13">
        <v>95</v>
      </c>
      <c r="I13">
        <v>39.130000000000003</v>
      </c>
      <c r="J13">
        <v>100</v>
      </c>
      <c r="K13">
        <f t="shared" si="0"/>
        <v>90.8</v>
      </c>
      <c r="L13">
        <v>86</v>
      </c>
      <c r="M13">
        <f t="shared" si="1"/>
        <v>86.87</v>
      </c>
      <c r="N13">
        <v>89</v>
      </c>
      <c r="O13">
        <v>66</v>
      </c>
      <c r="P13">
        <f t="shared" si="2"/>
        <v>68</v>
      </c>
      <c r="Q13">
        <f t="shared" si="3"/>
        <v>87.9</v>
      </c>
      <c r="R13">
        <v>132</v>
      </c>
      <c r="S13">
        <f t="shared" si="4"/>
        <v>90.41</v>
      </c>
      <c r="T13">
        <f t="shared" si="5"/>
        <v>88.74</v>
      </c>
      <c r="U13" t="str">
        <f t="shared" si="6"/>
        <v xml:space="preserve"> </v>
      </c>
      <c r="V13">
        <f t="shared" si="7"/>
        <v>89.56</v>
      </c>
      <c r="X13" t="str">
        <f t="shared" si="8"/>
        <v>A-</v>
      </c>
      <c r="Y13" t="str">
        <f t="shared" si="10"/>
        <v/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54221</v>
      </c>
      <c r="B14">
        <v>1245</v>
      </c>
      <c r="C14" t="s">
        <v>41</v>
      </c>
      <c r="D14">
        <v>1</v>
      </c>
      <c r="E14">
        <v>16</v>
      </c>
      <c r="F14">
        <v>82.8125</v>
      </c>
      <c r="G14">
        <v>73.53</v>
      </c>
      <c r="H14">
        <v>95</v>
      </c>
      <c r="I14">
        <v>82.61</v>
      </c>
      <c r="J14">
        <v>90</v>
      </c>
      <c r="K14">
        <f t="shared" si="0"/>
        <v>87.6</v>
      </c>
      <c r="L14">
        <v>79</v>
      </c>
      <c r="M14">
        <f t="shared" si="1"/>
        <v>79.8</v>
      </c>
      <c r="N14">
        <v>74</v>
      </c>
      <c r="O14">
        <v>89</v>
      </c>
      <c r="P14">
        <f t="shared" si="2"/>
        <v>91</v>
      </c>
      <c r="Q14">
        <f t="shared" si="3"/>
        <v>85.4</v>
      </c>
      <c r="R14">
        <v>101</v>
      </c>
      <c r="S14">
        <f t="shared" si="4"/>
        <v>69.180000000000007</v>
      </c>
      <c r="T14">
        <f t="shared" si="5"/>
        <v>79.989999999999995</v>
      </c>
      <c r="U14" t="str">
        <f t="shared" si="6"/>
        <v xml:space="preserve"> </v>
      </c>
      <c r="V14">
        <f t="shared" si="7"/>
        <v>83.04</v>
      </c>
      <c r="X14" t="str">
        <f t="shared" si="8"/>
        <v/>
      </c>
      <c r="Y14" t="str">
        <f t="shared" si="10"/>
        <v>B</v>
      </c>
      <c r="Z14" t="str">
        <f t="shared" si="11"/>
        <v/>
      </c>
      <c r="AA14" t="str">
        <f t="shared" si="12"/>
        <v/>
      </c>
      <c r="AB14" t="str">
        <f t="shared" si="9"/>
        <v/>
      </c>
    </row>
    <row r="15" spans="1:28">
      <c r="A15">
        <v>54435</v>
      </c>
      <c r="B15">
        <v>2086</v>
      </c>
      <c r="C15" t="s">
        <v>41</v>
      </c>
      <c r="D15">
        <v>2</v>
      </c>
      <c r="E15">
        <v>16</v>
      </c>
      <c r="F15">
        <v>100</v>
      </c>
      <c r="G15">
        <v>97.06</v>
      </c>
      <c r="H15">
        <v>100</v>
      </c>
      <c r="I15">
        <v>95.65</v>
      </c>
      <c r="J15">
        <v>0</v>
      </c>
      <c r="K15">
        <f t="shared" si="0"/>
        <v>98.2</v>
      </c>
      <c r="L15">
        <v>67</v>
      </c>
      <c r="M15">
        <f t="shared" si="1"/>
        <v>67.680000000000007</v>
      </c>
      <c r="N15">
        <v>97</v>
      </c>
      <c r="O15">
        <v>89</v>
      </c>
      <c r="P15">
        <f t="shared" si="2"/>
        <v>91</v>
      </c>
      <c r="Q15">
        <f t="shared" si="3"/>
        <v>94</v>
      </c>
      <c r="R15">
        <v>118</v>
      </c>
      <c r="S15">
        <f t="shared" si="4"/>
        <v>80.819999999999993</v>
      </c>
      <c r="T15">
        <f t="shared" si="5"/>
        <v>89.61</v>
      </c>
      <c r="U15" t="str">
        <f t="shared" si="6"/>
        <v xml:space="preserve"> </v>
      </c>
      <c r="V15">
        <f t="shared" si="7"/>
        <v>93.04</v>
      </c>
      <c r="X15" t="str">
        <f t="shared" si="8"/>
        <v>A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54004</v>
      </c>
      <c r="B16">
        <v>4271</v>
      </c>
      <c r="C16" t="s">
        <v>41</v>
      </c>
      <c r="D16">
        <v>2</v>
      </c>
      <c r="E16">
        <v>16</v>
      </c>
      <c r="F16">
        <v>90.625</v>
      </c>
      <c r="G16">
        <v>47.06</v>
      </c>
      <c r="H16">
        <v>55</v>
      </c>
      <c r="I16">
        <v>52.17</v>
      </c>
      <c r="J16">
        <v>80</v>
      </c>
      <c r="K16">
        <f t="shared" si="0"/>
        <v>69.400000000000006</v>
      </c>
      <c r="L16">
        <v>64</v>
      </c>
      <c r="M16">
        <f t="shared" si="1"/>
        <v>64.650000000000006</v>
      </c>
      <c r="N16">
        <v>75</v>
      </c>
      <c r="O16">
        <v>74</v>
      </c>
      <c r="P16">
        <f t="shared" si="2"/>
        <v>76</v>
      </c>
      <c r="Q16">
        <f t="shared" si="3"/>
        <v>75.5</v>
      </c>
      <c r="R16">
        <v>99</v>
      </c>
      <c r="S16">
        <f t="shared" si="4"/>
        <v>67.81</v>
      </c>
      <c r="T16">
        <f t="shared" si="5"/>
        <v>72.94</v>
      </c>
      <c r="U16" t="str">
        <f t="shared" si="6"/>
        <v xml:space="preserve"> </v>
      </c>
      <c r="V16">
        <f t="shared" si="7"/>
        <v>71.52</v>
      </c>
      <c r="X16" t="str">
        <f t="shared" si="8"/>
        <v/>
      </c>
      <c r="Y16" t="str">
        <f t="shared" si="10"/>
        <v/>
      </c>
      <c r="Z16" t="str">
        <f t="shared" si="11"/>
        <v>C-</v>
      </c>
      <c r="AA16" t="str">
        <f t="shared" si="12"/>
        <v/>
      </c>
      <c r="AB16" t="str">
        <f t="shared" si="9"/>
        <v/>
      </c>
    </row>
    <row r="17" spans="1:28">
      <c r="A17">
        <v>7260</v>
      </c>
      <c r="B17">
        <v>2654</v>
      </c>
      <c r="C17" t="s">
        <v>41</v>
      </c>
      <c r="D17">
        <v>2</v>
      </c>
      <c r="E17">
        <v>16</v>
      </c>
      <c r="F17">
        <v>100</v>
      </c>
      <c r="G17">
        <v>100</v>
      </c>
      <c r="H17">
        <v>95</v>
      </c>
      <c r="I17">
        <v>82.61</v>
      </c>
      <c r="J17">
        <v>0</v>
      </c>
      <c r="K17">
        <f t="shared" si="0"/>
        <v>94.4</v>
      </c>
      <c r="L17">
        <v>57</v>
      </c>
      <c r="M17">
        <f t="shared" si="1"/>
        <v>57.58</v>
      </c>
      <c r="N17">
        <v>93</v>
      </c>
      <c r="O17">
        <v>77</v>
      </c>
      <c r="P17">
        <f t="shared" si="2"/>
        <v>79</v>
      </c>
      <c r="Q17">
        <f t="shared" si="3"/>
        <v>86</v>
      </c>
      <c r="R17">
        <v>103</v>
      </c>
      <c r="S17">
        <f t="shared" si="4"/>
        <v>70.55</v>
      </c>
      <c r="T17">
        <f t="shared" si="5"/>
        <v>80.849999999999994</v>
      </c>
      <c r="U17" t="str">
        <f t="shared" si="6"/>
        <v xml:space="preserve"> </v>
      </c>
      <c r="V17">
        <f t="shared" si="7"/>
        <v>86.27</v>
      </c>
      <c r="X17" t="str">
        <f t="shared" si="8"/>
        <v/>
      </c>
      <c r="Y17" t="str">
        <f t="shared" si="10"/>
        <v>B+</v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54323</v>
      </c>
      <c r="B18">
        <v>1354</v>
      </c>
      <c r="C18" t="s">
        <v>41</v>
      </c>
      <c r="D18">
        <v>2</v>
      </c>
      <c r="E18">
        <v>16</v>
      </c>
      <c r="F18">
        <v>90.625</v>
      </c>
      <c r="G18">
        <v>0</v>
      </c>
      <c r="H18">
        <v>100</v>
      </c>
      <c r="I18">
        <v>100</v>
      </c>
      <c r="J18">
        <v>100</v>
      </c>
      <c r="K18">
        <f t="shared" si="0"/>
        <v>97.7</v>
      </c>
      <c r="L18">
        <v>94</v>
      </c>
      <c r="M18">
        <f t="shared" si="1"/>
        <v>94.95</v>
      </c>
      <c r="N18">
        <v>96</v>
      </c>
      <c r="O18">
        <v>0</v>
      </c>
      <c r="P18">
        <f>IF(O18&gt;0, O18+2, O18)</f>
        <v>0</v>
      </c>
      <c r="Q18">
        <f t="shared" si="3"/>
        <v>95.5</v>
      </c>
      <c r="R18">
        <v>144</v>
      </c>
      <c r="S18">
        <f t="shared" si="4"/>
        <v>98.63</v>
      </c>
      <c r="T18">
        <f t="shared" si="5"/>
        <v>96.54</v>
      </c>
      <c r="U18" t="str">
        <f t="shared" si="6"/>
        <v xml:space="preserve"> </v>
      </c>
      <c r="V18">
        <f>ROUND(K18*0.4+Q18*0.4+S18*0.2,2)</f>
        <v>97.01</v>
      </c>
      <c r="X18" t="str">
        <f t="shared" si="8"/>
        <v>A</v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9"/>
        <v/>
      </c>
    </row>
    <row r="19" spans="1:28">
      <c r="A19">
        <v>43339</v>
      </c>
      <c r="B19">
        <v>2555</v>
      </c>
      <c r="C19" t="s">
        <v>41</v>
      </c>
      <c r="D19">
        <v>2</v>
      </c>
      <c r="E19">
        <v>16</v>
      </c>
      <c r="F19">
        <v>78.125</v>
      </c>
      <c r="G19">
        <v>100</v>
      </c>
      <c r="H19">
        <v>80</v>
      </c>
      <c r="I19">
        <v>34.78</v>
      </c>
      <c r="J19">
        <v>100</v>
      </c>
      <c r="K19">
        <f t="shared" si="0"/>
        <v>89.5</v>
      </c>
      <c r="L19">
        <v>74</v>
      </c>
      <c r="M19">
        <f t="shared" si="1"/>
        <v>74.75</v>
      </c>
      <c r="N19">
        <v>60</v>
      </c>
      <c r="O19">
        <v>54</v>
      </c>
      <c r="P19">
        <f>IF(O19&gt;0, O19+2, O19)</f>
        <v>56</v>
      </c>
      <c r="Q19">
        <f t="shared" si="3"/>
        <v>67.400000000000006</v>
      </c>
      <c r="R19">
        <v>121</v>
      </c>
      <c r="S19">
        <f t="shared" si="4"/>
        <v>82.88</v>
      </c>
      <c r="T19">
        <f t="shared" si="5"/>
        <v>72.56</v>
      </c>
      <c r="U19" t="str">
        <f t="shared" si="6"/>
        <v xml:space="preserve"> </v>
      </c>
      <c r="V19">
        <f>ROUND(K19*0.4+Q19*0.4+S19*0.2,2)</f>
        <v>79.34</v>
      </c>
      <c r="X19" t="str">
        <f t="shared" si="8"/>
        <v/>
      </c>
      <c r="Y19" t="str">
        <f>IF(AND($W19="",$X19=""),IF($V19&gt;=86,"B+",IF($V19&gt;=82,"B",IF($V19&gt;=79,"B-",""))),"")</f>
        <v>B-</v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/>
      </c>
    </row>
    <row r="20" spans="1:28">
      <c r="A20">
        <v>62410</v>
      </c>
      <c r="B20">
        <v>5489</v>
      </c>
      <c r="C20" t="s">
        <v>41</v>
      </c>
      <c r="D20">
        <v>2</v>
      </c>
      <c r="E20">
        <v>16</v>
      </c>
      <c r="F20">
        <v>93.75</v>
      </c>
      <c r="G20">
        <v>35.29</v>
      </c>
      <c r="H20">
        <v>65</v>
      </c>
      <c r="I20">
        <v>78.260000000000005</v>
      </c>
      <c r="J20">
        <v>90</v>
      </c>
      <c r="K20">
        <f t="shared" si="0"/>
        <v>81.8</v>
      </c>
      <c r="L20">
        <v>50</v>
      </c>
      <c r="M20">
        <f t="shared" si="1"/>
        <v>50.51</v>
      </c>
      <c r="N20">
        <v>75</v>
      </c>
      <c r="O20">
        <v>53</v>
      </c>
      <c r="P20">
        <f>IF(O20&gt;0, O20+2, O20)</f>
        <v>55</v>
      </c>
      <c r="Q20">
        <f t="shared" si="3"/>
        <v>65</v>
      </c>
      <c r="R20">
        <v>85</v>
      </c>
      <c r="S20">
        <f t="shared" si="4"/>
        <v>58.22</v>
      </c>
      <c r="T20">
        <f t="shared" si="5"/>
        <v>62.74</v>
      </c>
      <c r="U20" t="str">
        <f t="shared" si="6"/>
        <v xml:space="preserve"> </v>
      </c>
      <c r="V20">
        <f>ROUND(K20*0.4+Q20*0.4+S20*0.2,2)</f>
        <v>70.36</v>
      </c>
      <c r="X20" t="str">
        <f t="shared" si="8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>C-</v>
      </c>
      <c r="AA20" t="str">
        <f>IF(AND($W20="",$X20="",$Y20="",$Z20=""),IF($V20&gt;=66,"D+",IF($V20&gt;=62,"D",IF($V20&gt;=59,"D-",""))),"")</f>
        <v/>
      </c>
      <c r="AB20" t="str">
        <f t="shared" si="9"/>
        <v/>
      </c>
    </row>
    <row r="21" spans="1:28">
      <c r="A21">
        <v>57476</v>
      </c>
      <c r="B21">
        <v>2995</v>
      </c>
      <c r="C21" t="s">
        <v>41</v>
      </c>
      <c r="D21">
        <v>2</v>
      </c>
      <c r="E21">
        <v>16</v>
      </c>
      <c r="F21">
        <v>100</v>
      </c>
      <c r="G21">
        <v>94.12</v>
      </c>
      <c r="H21">
        <v>100</v>
      </c>
      <c r="I21">
        <v>91.3</v>
      </c>
      <c r="J21">
        <v>0</v>
      </c>
      <c r="K21">
        <f t="shared" si="0"/>
        <v>96.4</v>
      </c>
      <c r="L21">
        <v>94</v>
      </c>
      <c r="M21">
        <f t="shared" si="1"/>
        <v>94.95</v>
      </c>
      <c r="N21">
        <v>84</v>
      </c>
      <c r="O21">
        <v>65</v>
      </c>
      <c r="P21">
        <f>IF(O21&gt;0, O21+2, O21)</f>
        <v>67</v>
      </c>
      <c r="Q21">
        <f t="shared" si="3"/>
        <v>89.5</v>
      </c>
      <c r="R21">
        <v>131</v>
      </c>
      <c r="S21">
        <f t="shared" si="4"/>
        <v>89.73</v>
      </c>
      <c r="T21">
        <f t="shared" si="5"/>
        <v>89.58</v>
      </c>
      <c r="U21" t="str">
        <f t="shared" si="6"/>
        <v xml:space="preserve"> </v>
      </c>
      <c r="V21">
        <f>ROUND(K21*0.4+Q21*0.4+S21*0.2,2)</f>
        <v>92.31</v>
      </c>
      <c r="X21" t="str">
        <f t="shared" si="8"/>
        <v>A</v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9"/>
        <v/>
      </c>
    </row>
    <row r="22" spans="1:28">
      <c r="G22" t="s">
        <v>83</v>
      </c>
    </row>
  </sheetData>
  <printOptions gridLines="1" gridLinesSet="0"/>
  <pageMargins left="0.75" right="0.75" top="1" bottom="1" header="0.5" footer="0.5"/>
  <pageSetup paperSize="0" scale="72" orientation="landscape" horizontalDpi="4294967292" verticalDpi="4294967292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"/>
  <sheetViews>
    <sheetView workbookViewId="0">
      <selection activeCell="C2" sqref="C2:C21"/>
    </sheetView>
  </sheetViews>
  <sheetFormatPr defaultColWidth="11.453125" defaultRowHeight="12.5"/>
  <cols>
    <col min="1" max="1" width="6" customWidth="1"/>
    <col min="2" max="2" width="5" customWidth="1"/>
    <col min="3" max="3" width="21.4531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54421</v>
      </c>
      <c r="B2">
        <v>1830</v>
      </c>
      <c r="C2" t="s">
        <v>41</v>
      </c>
      <c r="D2">
        <v>2</v>
      </c>
      <c r="E2">
        <v>17</v>
      </c>
      <c r="F2">
        <v>96.875</v>
      </c>
      <c r="G2">
        <v>76.47</v>
      </c>
      <c r="H2">
        <v>80</v>
      </c>
      <c r="I2">
        <v>0</v>
      </c>
      <c r="J2">
        <v>100</v>
      </c>
      <c r="K2">
        <f t="shared" ref="K2:K21" si="0">ROUND((SUM(F2:J2)-MIN(F2:J2))/4,1)</f>
        <v>88.3</v>
      </c>
      <c r="L2">
        <v>79</v>
      </c>
      <c r="M2">
        <f t="shared" ref="M2:M21" si="1">ROUND(L2/99*100,2)</f>
        <v>79.8</v>
      </c>
      <c r="N2">
        <v>62</v>
      </c>
      <c r="O2">
        <v>77</v>
      </c>
      <c r="P2">
        <f t="shared" ref="P2:P17" si="2">IF(O2&gt;0, O2+2, O2)</f>
        <v>79</v>
      </c>
      <c r="Q2">
        <f t="shared" ref="Q2:Q21" si="3">ROUND(((M2+N2+P2)-MIN(M2,N2,P2)) /2,1)</f>
        <v>79.400000000000006</v>
      </c>
      <c r="R2">
        <v>105</v>
      </c>
      <c r="S2">
        <f t="shared" ref="S2:S21" si="4">ROUND(R2/146*100, 2)</f>
        <v>71.92</v>
      </c>
      <c r="T2">
        <f t="shared" ref="T2:T21" si="5">ROUND((2*Q2+S2)/3,2)</f>
        <v>76.91</v>
      </c>
      <c r="U2" t="str">
        <f t="shared" ref="U2:U21" si="6">IF(OR(K2&lt;59,T2&lt;59),"F", " ")</f>
        <v xml:space="preserve"> </v>
      </c>
      <c r="V2">
        <f t="shared" ref="V2:V17" si="7">ROUND(K2*0.4+Q2*0.4+S2*0.2,2)</f>
        <v>81.459999999999994</v>
      </c>
      <c r="X2" t="str">
        <f t="shared" ref="X2:X20" si="8">IF(NOT(W2="F"),IF(V2&gt;=92,"A",IF(V2&gt;=89,"A-","")),"")</f>
        <v/>
      </c>
      <c r="Y2" t="str">
        <f>IF(AND($W2="",$X2=""),IF($V2&gt;=86,"B+",IF($V2&gt;=82,"B",IF($V2&gt;=79,"B-",""))),"")</f>
        <v>B-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1" si="9">IF(V2&lt;59,"F","")</f>
        <v/>
      </c>
    </row>
    <row r="3" spans="1:28">
      <c r="A3">
        <v>51980</v>
      </c>
      <c r="B3">
        <v>493</v>
      </c>
      <c r="C3" t="s">
        <v>41</v>
      </c>
      <c r="D3">
        <v>2</v>
      </c>
      <c r="E3">
        <v>17</v>
      </c>
      <c r="F3">
        <v>100</v>
      </c>
      <c r="G3">
        <v>94.11</v>
      </c>
      <c r="H3">
        <v>100</v>
      </c>
      <c r="I3">
        <v>86.96</v>
      </c>
      <c r="J3">
        <v>0</v>
      </c>
      <c r="K3">
        <f t="shared" si="0"/>
        <v>95.3</v>
      </c>
      <c r="L3">
        <v>87</v>
      </c>
      <c r="M3">
        <f t="shared" si="1"/>
        <v>87.88</v>
      </c>
      <c r="N3">
        <v>87</v>
      </c>
      <c r="O3">
        <v>0</v>
      </c>
      <c r="P3">
        <f t="shared" si="2"/>
        <v>0</v>
      </c>
      <c r="Q3">
        <f t="shared" si="3"/>
        <v>87.4</v>
      </c>
      <c r="R3">
        <v>123</v>
      </c>
      <c r="S3">
        <f t="shared" si="4"/>
        <v>84.25</v>
      </c>
      <c r="T3">
        <f t="shared" si="5"/>
        <v>86.35</v>
      </c>
      <c r="U3" t="str">
        <f t="shared" si="6"/>
        <v xml:space="preserve"> </v>
      </c>
      <c r="V3">
        <f t="shared" si="7"/>
        <v>89.93</v>
      </c>
      <c r="X3" t="str">
        <f t="shared" si="8"/>
        <v>A-</v>
      </c>
      <c r="Y3" t="str">
        <f t="shared" ref="Y3:Y18" si="10">IF(AND($W3="",$X3=""),IF($V3&gt;=86,"B+",IF($V3&gt;=82,"B",IF($V3&gt;=79,"B-",""))),"")</f>
        <v/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54398</v>
      </c>
      <c r="B4">
        <v>6756</v>
      </c>
      <c r="C4" t="s">
        <v>41</v>
      </c>
      <c r="D4">
        <v>1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M4">
        <f t="shared" si="1"/>
        <v>0</v>
      </c>
      <c r="N4">
        <v>0</v>
      </c>
      <c r="O4">
        <v>0</v>
      </c>
      <c r="P4">
        <f t="shared" si="2"/>
        <v>0</v>
      </c>
      <c r="Q4">
        <f t="shared" si="3"/>
        <v>0</v>
      </c>
      <c r="R4">
        <v>0</v>
      </c>
      <c r="S4">
        <f t="shared" si="4"/>
        <v>0</v>
      </c>
      <c r="T4">
        <f t="shared" si="5"/>
        <v>0</v>
      </c>
      <c r="U4" t="str">
        <f t="shared" si="6"/>
        <v>F</v>
      </c>
      <c r="V4">
        <f t="shared" si="7"/>
        <v>0</v>
      </c>
      <c r="W4" t="s">
        <v>24</v>
      </c>
      <c r="X4" t="str">
        <f t="shared" si="8"/>
        <v/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9"/>
        <v>F</v>
      </c>
    </row>
    <row r="5" spans="1:28">
      <c r="A5">
        <v>54423</v>
      </c>
      <c r="B5">
        <v>7678</v>
      </c>
      <c r="C5" t="s">
        <v>41</v>
      </c>
      <c r="D5">
        <v>2</v>
      </c>
      <c r="E5">
        <v>17</v>
      </c>
      <c r="F5">
        <v>93.75</v>
      </c>
      <c r="G5">
        <v>100</v>
      </c>
      <c r="H5">
        <v>100</v>
      </c>
      <c r="I5">
        <v>91.3</v>
      </c>
      <c r="J5">
        <v>0</v>
      </c>
      <c r="K5">
        <f t="shared" si="0"/>
        <v>96.3</v>
      </c>
      <c r="L5">
        <v>49</v>
      </c>
      <c r="M5">
        <f t="shared" si="1"/>
        <v>49.49</v>
      </c>
      <c r="N5">
        <v>59</v>
      </c>
      <c r="O5">
        <v>61</v>
      </c>
      <c r="P5">
        <f t="shared" si="2"/>
        <v>63</v>
      </c>
      <c r="Q5">
        <f t="shared" si="3"/>
        <v>61</v>
      </c>
      <c r="R5">
        <v>88</v>
      </c>
      <c r="S5">
        <f t="shared" si="4"/>
        <v>60.27</v>
      </c>
      <c r="T5">
        <f t="shared" si="5"/>
        <v>60.76</v>
      </c>
      <c r="U5" t="str">
        <f t="shared" si="6"/>
        <v xml:space="preserve"> </v>
      </c>
      <c r="V5">
        <f t="shared" si="7"/>
        <v>74.97</v>
      </c>
      <c r="X5" t="str">
        <f t="shared" si="8"/>
        <v/>
      </c>
      <c r="Y5" t="str">
        <f t="shared" si="10"/>
        <v/>
      </c>
      <c r="Z5" t="str">
        <f t="shared" si="11"/>
        <v>C</v>
      </c>
      <c r="AA5" t="str">
        <f t="shared" si="12"/>
        <v/>
      </c>
      <c r="AB5" t="str">
        <f t="shared" si="9"/>
        <v/>
      </c>
    </row>
    <row r="6" spans="1:28">
      <c r="A6">
        <v>54408</v>
      </c>
      <c r="B6">
        <v>7515</v>
      </c>
      <c r="C6" t="s">
        <v>41</v>
      </c>
      <c r="D6">
        <v>2</v>
      </c>
      <c r="E6">
        <v>17</v>
      </c>
      <c r="F6">
        <v>100</v>
      </c>
      <c r="G6">
        <v>100</v>
      </c>
      <c r="H6">
        <v>95</v>
      </c>
      <c r="I6">
        <v>95.65</v>
      </c>
      <c r="J6">
        <v>0</v>
      </c>
      <c r="K6">
        <f t="shared" si="0"/>
        <v>97.7</v>
      </c>
      <c r="L6">
        <v>77</v>
      </c>
      <c r="M6">
        <f t="shared" si="1"/>
        <v>77.78</v>
      </c>
      <c r="N6">
        <v>70</v>
      </c>
      <c r="O6">
        <v>0</v>
      </c>
      <c r="P6">
        <f t="shared" si="2"/>
        <v>0</v>
      </c>
      <c r="Q6">
        <f t="shared" si="3"/>
        <v>73.900000000000006</v>
      </c>
      <c r="R6">
        <v>87</v>
      </c>
      <c r="S6">
        <f t="shared" si="4"/>
        <v>59.59</v>
      </c>
      <c r="T6">
        <f t="shared" si="5"/>
        <v>69.13</v>
      </c>
      <c r="U6" t="str">
        <f t="shared" si="6"/>
        <v xml:space="preserve"> </v>
      </c>
      <c r="V6">
        <f t="shared" si="7"/>
        <v>80.56</v>
      </c>
      <c r="X6" t="str">
        <f t="shared" si="8"/>
        <v/>
      </c>
      <c r="Y6" t="str">
        <f t="shared" si="10"/>
        <v>B-</v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54011</v>
      </c>
      <c r="B7">
        <v>7170</v>
      </c>
      <c r="C7" t="s">
        <v>41</v>
      </c>
      <c r="D7">
        <v>1</v>
      </c>
      <c r="E7">
        <v>17</v>
      </c>
      <c r="F7">
        <v>100</v>
      </c>
      <c r="G7">
        <v>100</v>
      </c>
      <c r="H7">
        <v>100</v>
      </c>
      <c r="I7">
        <v>78.260000000000005</v>
      </c>
      <c r="J7">
        <v>100</v>
      </c>
      <c r="K7">
        <f t="shared" si="0"/>
        <v>100</v>
      </c>
      <c r="L7">
        <v>84</v>
      </c>
      <c r="M7">
        <f t="shared" si="1"/>
        <v>84.85</v>
      </c>
      <c r="N7">
        <v>89</v>
      </c>
      <c r="O7">
        <v>55</v>
      </c>
      <c r="P7">
        <f t="shared" si="2"/>
        <v>57</v>
      </c>
      <c r="Q7">
        <f t="shared" si="3"/>
        <v>86.9</v>
      </c>
      <c r="R7">
        <v>125</v>
      </c>
      <c r="S7">
        <f t="shared" si="4"/>
        <v>85.62</v>
      </c>
      <c r="T7">
        <f t="shared" si="5"/>
        <v>86.47</v>
      </c>
      <c r="U7" t="str">
        <f t="shared" si="6"/>
        <v xml:space="preserve"> </v>
      </c>
      <c r="V7">
        <f t="shared" si="7"/>
        <v>91.88</v>
      </c>
      <c r="X7" t="str">
        <f t="shared" si="8"/>
        <v>A-</v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9"/>
        <v/>
      </c>
    </row>
    <row r="8" spans="1:28">
      <c r="A8">
        <v>54317</v>
      </c>
      <c r="B8">
        <v>5607</v>
      </c>
      <c r="C8" t="s">
        <v>41</v>
      </c>
      <c r="D8">
        <v>1</v>
      </c>
      <c r="E8">
        <v>17</v>
      </c>
      <c r="F8">
        <v>93.75</v>
      </c>
      <c r="G8">
        <v>100</v>
      </c>
      <c r="H8">
        <v>80</v>
      </c>
      <c r="I8">
        <v>86.96</v>
      </c>
      <c r="J8">
        <v>90</v>
      </c>
      <c r="K8">
        <f t="shared" si="0"/>
        <v>92.7</v>
      </c>
      <c r="L8">
        <v>56</v>
      </c>
      <c r="M8">
        <f t="shared" si="1"/>
        <v>56.57</v>
      </c>
      <c r="N8">
        <v>79</v>
      </c>
      <c r="O8">
        <v>45</v>
      </c>
      <c r="P8">
        <f t="shared" si="2"/>
        <v>47</v>
      </c>
      <c r="Q8">
        <f t="shared" si="3"/>
        <v>67.8</v>
      </c>
      <c r="R8">
        <v>88</v>
      </c>
      <c r="S8">
        <f t="shared" si="4"/>
        <v>60.27</v>
      </c>
      <c r="T8">
        <f t="shared" si="5"/>
        <v>65.290000000000006</v>
      </c>
      <c r="U8" t="str">
        <f t="shared" si="6"/>
        <v xml:space="preserve"> </v>
      </c>
      <c r="V8">
        <f t="shared" si="7"/>
        <v>76.25</v>
      </c>
      <c r="X8" t="str">
        <f t="shared" si="8"/>
        <v/>
      </c>
      <c r="Y8" t="str">
        <f t="shared" si="10"/>
        <v/>
      </c>
      <c r="Z8" t="str">
        <f t="shared" si="11"/>
        <v>C+</v>
      </c>
      <c r="AA8" t="str">
        <f t="shared" si="12"/>
        <v/>
      </c>
      <c r="AB8" t="str">
        <f t="shared" si="9"/>
        <v/>
      </c>
    </row>
    <row r="9" spans="1:28">
      <c r="A9">
        <v>54019</v>
      </c>
      <c r="B9">
        <v>8401</v>
      </c>
      <c r="C9" t="s">
        <v>41</v>
      </c>
      <c r="D9">
        <v>2</v>
      </c>
      <c r="E9">
        <v>17</v>
      </c>
      <c r="F9">
        <v>100</v>
      </c>
      <c r="G9">
        <v>94.11</v>
      </c>
      <c r="H9">
        <v>100</v>
      </c>
      <c r="I9">
        <v>0</v>
      </c>
      <c r="J9">
        <v>100</v>
      </c>
      <c r="K9">
        <f t="shared" si="0"/>
        <v>98.5</v>
      </c>
      <c r="L9">
        <v>64</v>
      </c>
      <c r="M9">
        <f t="shared" si="1"/>
        <v>64.650000000000006</v>
      </c>
      <c r="N9">
        <v>79</v>
      </c>
      <c r="O9">
        <v>68</v>
      </c>
      <c r="P9">
        <f t="shared" si="2"/>
        <v>70</v>
      </c>
      <c r="Q9">
        <f t="shared" si="3"/>
        <v>74.5</v>
      </c>
      <c r="R9">
        <v>130</v>
      </c>
      <c r="S9">
        <f t="shared" si="4"/>
        <v>89.04</v>
      </c>
      <c r="T9">
        <f t="shared" si="5"/>
        <v>79.349999999999994</v>
      </c>
      <c r="U9" t="str">
        <f t="shared" si="6"/>
        <v xml:space="preserve"> </v>
      </c>
      <c r="V9">
        <f t="shared" si="7"/>
        <v>87.01</v>
      </c>
      <c r="X9" t="str">
        <f t="shared" si="8"/>
        <v/>
      </c>
      <c r="Y9" t="str">
        <f t="shared" si="10"/>
        <v>B+</v>
      </c>
      <c r="Z9" t="str">
        <f t="shared" si="11"/>
        <v/>
      </c>
      <c r="AA9" t="str">
        <f t="shared" si="12"/>
        <v/>
      </c>
      <c r="AB9" t="str">
        <f t="shared" si="9"/>
        <v/>
      </c>
    </row>
    <row r="10" spans="1:28">
      <c r="A10">
        <v>54215</v>
      </c>
      <c r="B10">
        <v>1808</v>
      </c>
      <c r="C10" t="s">
        <v>41</v>
      </c>
      <c r="D10">
        <v>2</v>
      </c>
      <c r="E10">
        <v>17</v>
      </c>
      <c r="F10">
        <v>100</v>
      </c>
      <c r="G10">
        <v>100</v>
      </c>
      <c r="H10">
        <v>100</v>
      </c>
      <c r="I10">
        <v>0</v>
      </c>
      <c r="J10">
        <v>100</v>
      </c>
      <c r="K10">
        <f t="shared" si="0"/>
        <v>100</v>
      </c>
      <c r="L10">
        <v>98</v>
      </c>
      <c r="M10">
        <f t="shared" si="1"/>
        <v>98.99</v>
      </c>
      <c r="N10">
        <v>87</v>
      </c>
      <c r="O10">
        <v>60</v>
      </c>
      <c r="P10">
        <f t="shared" si="2"/>
        <v>62</v>
      </c>
      <c r="Q10">
        <f t="shared" si="3"/>
        <v>93</v>
      </c>
      <c r="R10">
        <v>122</v>
      </c>
      <c r="S10">
        <f t="shared" si="4"/>
        <v>83.56</v>
      </c>
      <c r="T10">
        <f t="shared" si="5"/>
        <v>89.85</v>
      </c>
      <c r="U10" t="str">
        <f t="shared" si="6"/>
        <v xml:space="preserve"> </v>
      </c>
      <c r="V10">
        <f t="shared" si="7"/>
        <v>93.91</v>
      </c>
      <c r="X10" t="str">
        <f t="shared" si="8"/>
        <v>A</v>
      </c>
      <c r="Y10" t="str">
        <f t="shared" si="10"/>
        <v/>
      </c>
      <c r="Z10" t="str">
        <f t="shared" si="11"/>
        <v/>
      </c>
      <c r="AA10" t="str">
        <f t="shared" si="12"/>
        <v/>
      </c>
      <c r="AB10" t="str">
        <f t="shared" si="9"/>
        <v/>
      </c>
    </row>
    <row r="11" spans="1:28">
      <c r="A11">
        <v>54188</v>
      </c>
      <c r="B11">
        <v>3906</v>
      </c>
      <c r="C11" t="s">
        <v>41</v>
      </c>
      <c r="D11">
        <v>2</v>
      </c>
      <c r="E11">
        <v>17</v>
      </c>
      <c r="F11">
        <v>93.75</v>
      </c>
      <c r="G11">
        <v>0</v>
      </c>
      <c r="H11">
        <v>100</v>
      </c>
      <c r="I11">
        <v>100</v>
      </c>
      <c r="J11">
        <v>100</v>
      </c>
      <c r="K11">
        <f t="shared" si="0"/>
        <v>98.4</v>
      </c>
      <c r="L11">
        <v>74</v>
      </c>
      <c r="M11">
        <f t="shared" si="1"/>
        <v>74.75</v>
      </c>
      <c r="N11">
        <v>0</v>
      </c>
      <c r="O11">
        <v>78</v>
      </c>
      <c r="P11">
        <f t="shared" si="2"/>
        <v>80</v>
      </c>
      <c r="Q11">
        <f t="shared" si="3"/>
        <v>77.400000000000006</v>
      </c>
      <c r="R11">
        <v>107</v>
      </c>
      <c r="S11">
        <f t="shared" si="4"/>
        <v>73.290000000000006</v>
      </c>
      <c r="T11">
        <f t="shared" si="5"/>
        <v>76.03</v>
      </c>
      <c r="U11" t="str">
        <f t="shared" si="6"/>
        <v xml:space="preserve"> </v>
      </c>
      <c r="V11">
        <f t="shared" si="7"/>
        <v>84.98</v>
      </c>
      <c r="X11" t="str">
        <f t="shared" si="8"/>
        <v/>
      </c>
      <c r="Y11" t="str">
        <f t="shared" si="10"/>
        <v>B</v>
      </c>
      <c r="Z11" t="str">
        <f t="shared" si="11"/>
        <v/>
      </c>
      <c r="AA11" t="str">
        <f t="shared" si="12"/>
        <v/>
      </c>
      <c r="AB11" t="str">
        <f t="shared" si="9"/>
        <v/>
      </c>
    </row>
    <row r="12" spans="1:28">
      <c r="A12">
        <v>53966</v>
      </c>
      <c r="B12">
        <v>5693</v>
      </c>
      <c r="C12" t="s">
        <v>41</v>
      </c>
      <c r="D12">
        <v>1</v>
      </c>
      <c r="E12">
        <v>17</v>
      </c>
      <c r="F12">
        <v>100</v>
      </c>
      <c r="G12">
        <v>82.35</v>
      </c>
      <c r="H12">
        <v>95</v>
      </c>
      <c r="I12">
        <v>39.130000000000003</v>
      </c>
      <c r="J12">
        <v>100</v>
      </c>
      <c r="K12">
        <f t="shared" si="0"/>
        <v>94.3</v>
      </c>
      <c r="L12">
        <v>68</v>
      </c>
      <c r="M12">
        <f t="shared" si="1"/>
        <v>68.69</v>
      </c>
      <c r="N12">
        <v>79</v>
      </c>
      <c r="O12">
        <v>54</v>
      </c>
      <c r="P12">
        <f t="shared" si="2"/>
        <v>56</v>
      </c>
      <c r="Q12">
        <f t="shared" si="3"/>
        <v>73.8</v>
      </c>
      <c r="R12">
        <v>124</v>
      </c>
      <c r="S12">
        <f t="shared" si="4"/>
        <v>84.93</v>
      </c>
      <c r="T12">
        <f t="shared" si="5"/>
        <v>77.510000000000005</v>
      </c>
      <c r="U12" t="str">
        <f t="shared" si="6"/>
        <v xml:space="preserve"> </v>
      </c>
      <c r="V12">
        <f t="shared" si="7"/>
        <v>84.23</v>
      </c>
      <c r="X12" t="str">
        <f t="shared" si="8"/>
        <v/>
      </c>
      <c r="Y12" t="str">
        <f t="shared" si="10"/>
        <v>B</v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54225</v>
      </c>
      <c r="B13">
        <v>9799</v>
      </c>
      <c r="C13" t="s">
        <v>41</v>
      </c>
      <c r="D13">
        <v>1</v>
      </c>
      <c r="E13">
        <v>17</v>
      </c>
      <c r="F13">
        <v>87.5</v>
      </c>
      <c r="G13">
        <v>0</v>
      </c>
      <c r="H13">
        <v>70</v>
      </c>
      <c r="I13">
        <v>86.96</v>
      </c>
      <c r="J13">
        <v>0</v>
      </c>
      <c r="K13">
        <f t="shared" si="0"/>
        <v>61.1</v>
      </c>
      <c r="L13">
        <v>40</v>
      </c>
      <c r="M13">
        <f t="shared" si="1"/>
        <v>40.4</v>
      </c>
      <c r="N13">
        <v>59</v>
      </c>
      <c r="O13">
        <v>40</v>
      </c>
      <c r="P13">
        <f t="shared" si="2"/>
        <v>42</v>
      </c>
      <c r="Q13">
        <f t="shared" si="3"/>
        <v>50.5</v>
      </c>
      <c r="R13">
        <v>52</v>
      </c>
      <c r="S13">
        <f t="shared" si="4"/>
        <v>35.619999999999997</v>
      </c>
      <c r="T13">
        <f t="shared" si="5"/>
        <v>45.54</v>
      </c>
      <c r="U13" t="str">
        <f t="shared" si="6"/>
        <v>F</v>
      </c>
      <c r="V13">
        <f t="shared" si="7"/>
        <v>51.76</v>
      </c>
      <c r="W13" t="s">
        <v>24</v>
      </c>
      <c r="X13" t="str">
        <f t="shared" si="8"/>
        <v/>
      </c>
      <c r="Y13" t="str">
        <f t="shared" si="10"/>
        <v/>
      </c>
      <c r="Z13" t="str">
        <f t="shared" si="11"/>
        <v/>
      </c>
      <c r="AA13" t="str">
        <f t="shared" si="12"/>
        <v/>
      </c>
      <c r="AB13" t="str">
        <f t="shared" si="9"/>
        <v>F</v>
      </c>
    </row>
    <row r="14" spans="1:28">
      <c r="A14">
        <v>57139</v>
      </c>
      <c r="B14">
        <v>3153</v>
      </c>
      <c r="C14" t="s">
        <v>41</v>
      </c>
      <c r="D14">
        <v>1</v>
      </c>
      <c r="E14">
        <v>17</v>
      </c>
      <c r="F14">
        <v>87.5</v>
      </c>
      <c r="G14">
        <v>58.82</v>
      </c>
      <c r="H14">
        <v>65</v>
      </c>
      <c r="I14">
        <v>86.96</v>
      </c>
      <c r="J14">
        <v>70</v>
      </c>
      <c r="K14">
        <f t="shared" si="0"/>
        <v>77.400000000000006</v>
      </c>
      <c r="L14">
        <v>74</v>
      </c>
      <c r="M14">
        <f t="shared" si="1"/>
        <v>74.75</v>
      </c>
      <c r="N14">
        <v>78</v>
      </c>
      <c r="O14">
        <v>69</v>
      </c>
      <c r="P14">
        <f t="shared" si="2"/>
        <v>71</v>
      </c>
      <c r="Q14">
        <f t="shared" si="3"/>
        <v>76.400000000000006</v>
      </c>
      <c r="R14">
        <v>111</v>
      </c>
      <c r="S14">
        <f t="shared" si="4"/>
        <v>76.03</v>
      </c>
      <c r="T14">
        <f t="shared" si="5"/>
        <v>76.28</v>
      </c>
      <c r="U14" t="str">
        <f t="shared" si="6"/>
        <v xml:space="preserve"> </v>
      </c>
      <c r="V14">
        <f t="shared" si="7"/>
        <v>76.73</v>
      </c>
      <c r="X14" t="str">
        <f t="shared" si="8"/>
        <v/>
      </c>
      <c r="Y14" t="str">
        <f t="shared" si="10"/>
        <v/>
      </c>
      <c r="Z14" t="str">
        <f t="shared" si="11"/>
        <v>C+</v>
      </c>
      <c r="AA14" t="str">
        <f t="shared" si="12"/>
        <v/>
      </c>
      <c r="AB14" t="str">
        <f t="shared" si="9"/>
        <v/>
      </c>
    </row>
    <row r="15" spans="1:28">
      <c r="A15">
        <v>54319</v>
      </c>
      <c r="B15">
        <v>2783</v>
      </c>
      <c r="C15" t="s">
        <v>41</v>
      </c>
      <c r="D15">
        <v>2</v>
      </c>
      <c r="E15">
        <v>17</v>
      </c>
      <c r="F15">
        <v>87.5</v>
      </c>
      <c r="G15">
        <v>88.23</v>
      </c>
      <c r="H15">
        <v>80</v>
      </c>
      <c r="I15">
        <v>73.91</v>
      </c>
      <c r="J15">
        <v>0</v>
      </c>
      <c r="K15">
        <f t="shared" si="0"/>
        <v>82.4</v>
      </c>
      <c r="L15">
        <v>85</v>
      </c>
      <c r="M15">
        <f t="shared" si="1"/>
        <v>85.86</v>
      </c>
      <c r="N15">
        <v>80</v>
      </c>
      <c r="O15">
        <v>74</v>
      </c>
      <c r="P15">
        <f t="shared" si="2"/>
        <v>76</v>
      </c>
      <c r="Q15">
        <f t="shared" si="3"/>
        <v>82.9</v>
      </c>
      <c r="R15">
        <v>133</v>
      </c>
      <c r="S15">
        <f t="shared" si="4"/>
        <v>91.1</v>
      </c>
      <c r="T15">
        <f t="shared" si="5"/>
        <v>85.63</v>
      </c>
      <c r="U15" t="str">
        <f t="shared" si="6"/>
        <v xml:space="preserve"> </v>
      </c>
      <c r="V15">
        <f t="shared" si="7"/>
        <v>84.34</v>
      </c>
      <c r="X15" t="str">
        <f t="shared" si="8"/>
        <v/>
      </c>
      <c r="Y15" t="str">
        <f t="shared" si="10"/>
        <v>B</v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93020</v>
      </c>
      <c r="B16">
        <v>4035</v>
      </c>
      <c r="C16" t="s">
        <v>41</v>
      </c>
      <c r="D16">
        <v>2</v>
      </c>
      <c r="E16">
        <v>17</v>
      </c>
      <c r="F16">
        <v>0</v>
      </c>
      <c r="G16">
        <v>0</v>
      </c>
      <c r="H16">
        <v>0</v>
      </c>
      <c r="I16">
        <v>0</v>
      </c>
      <c r="J16">
        <v>0</v>
      </c>
      <c r="K16">
        <f t="shared" si="0"/>
        <v>0</v>
      </c>
      <c r="M16">
        <f t="shared" si="1"/>
        <v>0</v>
      </c>
      <c r="N16">
        <v>0</v>
      </c>
      <c r="O16">
        <v>0</v>
      </c>
      <c r="P16">
        <f t="shared" si="2"/>
        <v>0</v>
      </c>
      <c r="Q16">
        <f t="shared" si="3"/>
        <v>0</v>
      </c>
      <c r="R16">
        <v>0</v>
      </c>
      <c r="S16">
        <f t="shared" si="4"/>
        <v>0</v>
      </c>
      <c r="T16">
        <f t="shared" si="5"/>
        <v>0</v>
      </c>
      <c r="U16" t="str">
        <f t="shared" si="6"/>
        <v>F</v>
      </c>
      <c r="V16">
        <f t="shared" si="7"/>
        <v>0</v>
      </c>
      <c r="W16" t="s">
        <v>24</v>
      </c>
      <c r="X16" t="str">
        <f t="shared" si="8"/>
        <v/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9"/>
        <v>F</v>
      </c>
    </row>
    <row r="17" spans="1:28">
      <c r="A17">
        <v>54323</v>
      </c>
      <c r="B17">
        <v>3686</v>
      </c>
      <c r="C17" t="s">
        <v>41</v>
      </c>
      <c r="D17">
        <v>1</v>
      </c>
      <c r="E17">
        <v>17</v>
      </c>
      <c r="F17">
        <v>100</v>
      </c>
      <c r="G17">
        <v>100</v>
      </c>
      <c r="H17">
        <v>100</v>
      </c>
      <c r="I17">
        <v>100</v>
      </c>
      <c r="J17">
        <v>0</v>
      </c>
      <c r="K17">
        <f t="shared" si="0"/>
        <v>100</v>
      </c>
      <c r="L17">
        <v>87</v>
      </c>
      <c r="M17">
        <f t="shared" si="1"/>
        <v>87.88</v>
      </c>
      <c r="N17">
        <v>90</v>
      </c>
      <c r="O17">
        <v>94</v>
      </c>
      <c r="P17">
        <f t="shared" si="2"/>
        <v>96</v>
      </c>
      <c r="Q17">
        <f t="shared" si="3"/>
        <v>93</v>
      </c>
      <c r="R17">
        <v>137</v>
      </c>
      <c r="S17">
        <f t="shared" si="4"/>
        <v>93.84</v>
      </c>
      <c r="T17">
        <f t="shared" si="5"/>
        <v>93.28</v>
      </c>
      <c r="U17" t="str">
        <f t="shared" si="6"/>
        <v xml:space="preserve"> </v>
      </c>
      <c r="V17">
        <f t="shared" si="7"/>
        <v>95.97</v>
      </c>
      <c r="X17" t="str">
        <f t="shared" si="8"/>
        <v>A</v>
      </c>
      <c r="Y17" t="str">
        <f t="shared" si="10"/>
        <v/>
      </c>
      <c r="Z17" t="str">
        <f t="shared" si="11"/>
        <v/>
      </c>
      <c r="AA17" t="str">
        <f t="shared" si="12"/>
        <v/>
      </c>
      <c r="AB17" t="str">
        <f t="shared" si="9"/>
        <v/>
      </c>
    </row>
    <row r="18" spans="1:28">
      <c r="A18">
        <v>54119</v>
      </c>
      <c r="B18">
        <v>6423</v>
      </c>
      <c r="C18" t="s">
        <v>41</v>
      </c>
      <c r="D18">
        <v>2</v>
      </c>
      <c r="E18">
        <v>17</v>
      </c>
      <c r="F18">
        <v>100</v>
      </c>
      <c r="G18">
        <v>100</v>
      </c>
      <c r="H18">
        <v>95</v>
      </c>
      <c r="I18">
        <v>86.96</v>
      </c>
      <c r="J18">
        <v>100</v>
      </c>
      <c r="K18">
        <f t="shared" si="0"/>
        <v>98.8</v>
      </c>
      <c r="L18">
        <v>81</v>
      </c>
      <c r="M18">
        <f t="shared" si="1"/>
        <v>81.819999999999993</v>
      </c>
      <c r="N18">
        <v>77</v>
      </c>
      <c r="O18">
        <v>70</v>
      </c>
      <c r="P18">
        <f>IF(O18&gt;0, O18+2, O18)</f>
        <v>72</v>
      </c>
      <c r="Q18">
        <f t="shared" si="3"/>
        <v>79.400000000000006</v>
      </c>
      <c r="R18">
        <v>109</v>
      </c>
      <c r="S18">
        <f t="shared" si="4"/>
        <v>74.66</v>
      </c>
      <c r="T18">
        <f t="shared" si="5"/>
        <v>77.819999999999993</v>
      </c>
      <c r="U18" t="str">
        <f t="shared" si="6"/>
        <v xml:space="preserve"> </v>
      </c>
      <c r="V18">
        <f>ROUND(K18*0.4+Q18*0.4+S18*0.2,2)</f>
        <v>86.21</v>
      </c>
      <c r="X18" t="str">
        <f t="shared" si="8"/>
        <v/>
      </c>
      <c r="Y18" t="str">
        <f t="shared" si="10"/>
        <v>B+</v>
      </c>
      <c r="Z18" t="str">
        <f t="shared" si="11"/>
        <v/>
      </c>
      <c r="AA18" t="str">
        <f t="shared" si="12"/>
        <v/>
      </c>
      <c r="AB18" t="str">
        <f t="shared" si="9"/>
        <v/>
      </c>
    </row>
    <row r="19" spans="1:28">
      <c r="A19">
        <v>54292</v>
      </c>
      <c r="B19">
        <v>615</v>
      </c>
      <c r="C19" t="s">
        <v>41</v>
      </c>
      <c r="D19">
        <v>2</v>
      </c>
      <c r="E19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f t="shared" si="0"/>
        <v>0</v>
      </c>
      <c r="M19">
        <f t="shared" si="1"/>
        <v>0</v>
      </c>
      <c r="N19">
        <v>0</v>
      </c>
      <c r="O19">
        <v>0</v>
      </c>
      <c r="P19">
        <f>IF(O19&gt;0, O19+2, O19)</f>
        <v>0</v>
      </c>
      <c r="Q19">
        <f t="shared" si="3"/>
        <v>0</v>
      </c>
      <c r="R19">
        <v>0</v>
      </c>
      <c r="S19">
        <f t="shared" si="4"/>
        <v>0</v>
      </c>
      <c r="T19">
        <f t="shared" si="5"/>
        <v>0</v>
      </c>
      <c r="U19" t="str">
        <f t="shared" si="6"/>
        <v>F</v>
      </c>
      <c r="V19">
        <f>ROUND(K19*0.4+Q19*0.4+S19*0.2,2)</f>
        <v>0</v>
      </c>
      <c r="W19" t="s">
        <v>24</v>
      </c>
      <c r="X19" t="str">
        <f t="shared" si="8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>F</v>
      </c>
    </row>
    <row r="20" spans="1:28">
      <c r="A20">
        <v>54227</v>
      </c>
      <c r="B20">
        <v>911</v>
      </c>
      <c r="C20" t="s">
        <v>41</v>
      </c>
      <c r="D20">
        <v>2</v>
      </c>
      <c r="E20">
        <v>17</v>
      </c>
      <c r="F20">
        <v>81.25</v>
      </c>
      <c r="G20">
        <v>70.58</v>
      </c>
      <c r="H20">
        <v>65</v>
      </c>
      <c r="I20">
        <v>39.130000000000003</v>
      </c>
      <c r="J20">
        <v>100</v>
      </c>
      <c r="K20">
        <f t="shared" si="0"/>
        <v>79.2</v>
      </c>
      <c r="L20">
        <v>39</v>
      </c>
      <c r="M20">
        <f t="shared" si="1"/>
        <v>39.39</v>
      </c>
      <c r="N20">
        <v>80</v>
      </c>
      <c r="O20">
        <v>77</v>
      </c>
      <c r="P20">
        <f>IF(O20&gt;0, O20+2, O20)</f>
        <v>79</v>
      </c>
      <c r="Q20">
        <f t="shared" si="3"/>
        <v>79.5</v>
      </c>
      <c r="R20">
        <v>106</v>
      </c>
      <c r="S20">
        <f t="shared" si="4"/>
        <v>72.599999999999994</v>
      </c>
      <c r="T20">
        <f t="shared" si="5"/>
        <v>77.2</v>
      </c>
      <c r="U20" t="str">
        <f t="shared" si="6"/>
        <v xml:space="preserve"> </v>
      </c>
      <c r="V20">
        <f>ROUND(K20*0.4+Q20*0.4+S20*0.2,2)</f>
        <v>78</v>
      </c>
      <c r="X20" t="str">
        <f t="shared" si="8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>C+</v>
      </c>
      <c r="AA20" t="str">
        <f>IF(AND($W20="",$X20="",$Y20="",$Z20=""),IF($V20&gt;=66,"D+",IF($V20&gt;=62,"D",IF($V20&gt;=59,"D-",""))),"")</f>
        <v/>
      </c>
      <c r="AB20" t="str">
        <f t="shared" si="9"/>
        <v/>
      </c>
    </row>
    <row r="21" spans="1:28">
      <c r="A21">
        <v>54221</v>
      </c>
      <c r="B21">
        <v>103</v>
      </c>
      <c r="C21" t="s">
        <v>41</v>
      </c>
      <c r="D21">
        <v>2</v>
      </c>
      <c r="E21">
        <v>17</v>
      </c>
      <c r="F21">
        <v>93.75</v>
      </c>
      <c r="G21">
        <v>100</v>
      </c>
      <c r="H21">
        <v>100</v>
      </c>
      <c r="I21">
        <v>100</v>
      </c>
      <c r="J21">
        <v>100</v>
      </c>
      <c r="K21">
        <f t="shared" si="0"/>
        <v>100</v>
      </c>
      <c r="L21">
        <v>72</v>
      </c>
      <c r="M21">
        <f t="shared" si="1"/>
        <v>72.73</v>
      </c>
      <c r="N21">
        <v>82</v>
      </c>
      <c r="O21">
        <v>84</v>
      </c>
      <c r="P21">
        <f>IF(O21&gt;0, O21+2, O21)</f>
        <v>86</v>
      </c>
      <c r="Q21">
        <f t="shared" si="3"/>
        <v>84</v>
      </c>
      <c r="R21">
        <v>133</v>
      </c>
      <c r="S21">
        <f t="shared" si="4"/>
        <v>91.1</v>
      </c>
      <c r="T21">
        <f t="shared" si="5"/>
        <v>86.37</v>
      </c>
      <c r="U21" t="str">
        <f t="shared" si="6"/>
        <v xml:space="preserve"> </v>
      </c>
      <c r="V21">
        <f>ROUND(K21*0.4+Q21*0.4+S21*0.2,2)</f>
        <v>91.82</v>
      </c>
      <c r="X21" t="str">
        <f>IF(NOT(W21="F"),IF(V21&gt;=91.5,"A",IF(V21&gt;=88.5,"A-","")),"")</f>
        <v>A</v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9"/>
        <v/>
      </c>
    </row>
  </sheetData>
  <printOptions gridLines="1" gridLinesSet="0"/>
  <pageMargins left="0.75" right="0.75" top="1" bottom="1" header="0.5" footer="0.5"/>
  <pageSetup paperSize="0" scale="73" orientation="landscape" horizontalDpi="4294967292" verticalDpi="4294967292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0"/>
  <sheetViews>
    <sheetView workbookViewId="0">
      <selection activeCell="C2" sqref="C2:C20"/>
    </sheetView>
  </sheetViews>
  <sheetFormatPr defaultColWidth="11.453125" defaultRowHeight="12.5"/>
  <cols>
    <col min="1" max="1" width="6" customWidth="1"/>
    <col min="2" max="2" width="5" customWidth="1"/>
    <col min="3" max="3" width="19.179687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54408</v>
      </c>
      <c r="B2">
        <v>9772</v>
      </c>
      <c r="C2" t="s">
        <v>41</v>
      </c>
      <c r="D2">
        <v>1</v>
      </c>
      <c r="E2">
        <v>18</v>
      </c>
      <c r="F2">
        <v>93.75</v>
      </c>
      <c r="G2">
        <v>75</v>
      </c>
      <c r="H2">
        <v>95</v>
      </c>
      <c r="I2">
        <v>95.65</v>
      </c>
      <c r="J2">
        <v>0</v>
      </c>
      <c r="K2">
        <f t="shared" ref="K2:K20" si="0">ROUND((SUM(F2:J2)-MIN(F2:J2))/4,1)</f>
        <v>89.9</v>
      </c>
      <c r="L2">
        <v>72</v>
      </c>
      <c r="M2">
        <f t="shared" ref="M2:M20" si="1">ROUND(L2/99*100,2)</f>
        <v>72.73</v>
      </c>
      <c r="N2">
        <v>82</v>
      </c>
      <c r="O2">
        <v>83</v>
      </c>
      <c r="P2">
        <f t="shared" ref="P2:P20" si="2">IF(O2&gt;0, O2+2, O2)</f>
        <v>85</v>
      </c>
      <c r="Q2">
        <f t="shared" ref="Q2:Q20" si="3">ROUND(((M2+N2+P2)-MIN(M2,N2,P2)) /2,1)</f>
        <v>83.5</v>
      </c>
      <c r="R2">
        <v>112</v>
      </c>
      <c r="S2">
        <f t="shared" ref="S2:S20" si="4">ROUND(R2/146*100, 2)</f>
        <v>76.709999999999994</v>
      </c>
      <c r="T2">
        <f t="shared" ref="T2:T20" si="5">ROUND((2*Q2+S2)/3,2)</f>
        <v>81.239999999999995</v>
      </c>
      <c r="U2" t="str">
        <f t="shared" ref="U2:U20" si="6">IF(OR(K2&lt;59,T2&lt;59),"F", " ")</f>
        <v xml:space="preserve"> </v>
      </c>
      <c r="V2">
        <f t="shared" ref="V2:V17" si="7">ROUND(K2*0.4+Q2*0.4+S2*0.2,2)</f>
        <v>84.7</v>
      </c>
      <c r="X2" t="str">
        <f t="shared" ref="X2:X20" si="8">IF(NOT(W2="F"),IF(V2&gt;=92,"A",IF(V2&gt;=89,"A-","")),"")</f>
        <v/>
      </c>
      <c r="Y2" t="str">
        <f>IF(AND($W2="",$X2=""),IF($V2&gt;=86,"B+",IF($V2&gt;=82,"B",IF($V2&gt;=79,"B-",""))),"")</f>
        <v>B</v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0" si="9">IF(V2&lt;59,"F","")</f>
        <v/>
      </c>
    </row>
    <row r="3" spans="1:28">
      <c r="A3">
        <v>57468</v>
      </c>
      <c r="B3">
        <v>9145</v>
      </c>
      <c r="C3" t="s">
        <v>41</v>
      </c>
      <c r="D3">
        <v>2</v>
      </c>
      <c r="E3">
        <v>18</v>
      </c>
      <c r="F3">
        <v>87.5</v>
      </c>
      <c r="G3">
        <v>100</v>
      </c>
      <c r="H3">
        <v>100</v>
      </c>
      <c r="I3">
        <v>91.3</v>
      </c>
      <c r="J3">
        <v>100</v>
      </c>
      <c r="K3">
        <f t="shared" si="0"/>
        <v>97.8</v>
      </c>
      <c r="L3">
        <v>75</v>
      </c>
      <c r="M3">
        <f t="shared" si="1"/>
        <v>75.760000000000005</v>
      </c>
      <c r="N3">
        <v>72</v>
      </c>
      <c r="O3">
        <v>72</v>
      </c>
      <c r="P3">
        <f t="shared" si="2"/>
        <v>74</v>
      </c>
      <c r="Q3">
        <f t="shared" si="3"/>
        <v>74.900000000000006</v>
      </c>
      <c r="R3">
        <v>120</v>
      </c>
      <c r="S3">
        <f t="shared" si="4"/>
        <v>82.19</v>
      </c>
      <c r="T3">
        <f t="shared" si="5"/>
        <v>77.33</v>
      </c>
      <c r="U3" t="str">
        <f t="shared" si="6"/>
        <v xml:space="preserve"> </v>
      </c>
      <c r="V3">
        <f t="shared" si="7"/>
        <v>85.52</v>
      </c>
      <c r="X3" t="str">
        <f t="shared" si="8"/>
        <v/>
      </c>
      <c r="Y3" t="str">
        <f t="shared" ref="Y3:Y18" si="10">IF(AND($W3="",$X3=""),IF($V3&gt;=86,"B+",IF($V3&gt;=82,"B",IF($V3&gt;=79,"B-",""))),"")</f>
        <v>B</v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9"/>
        <v/>
      </c>
    </row>
    <row r="4" spans="1:28">
      <c r="A4">
        <v>54023</v>
      </c>
      <c r="B4">
        <v>8896</v>
      </c>
      <c r="C4" t="s">
        <v>41</v>
      </c>
      <c r="D4">
        <v>1</v>
      </c>
      <c r="E4">
        <v>18</v>
      </c>
      <c r="F4">
        <v>100</v>
      </c>
      <c r="G4">
        <v>100</v>
      </c>
      <c r="H4">
        <v>0</v>
      </c>
      <c r="I4">
        <v>100</v>
      </c>
      <c r="J4">
        <v>100</v>
      </c>
      <c r="K4">
        <f t="shared" si="0"/>
        <v>100</v>
      </c>
      <c r="L4">
        <v>79</v>
      </c>
      <c r="M4">
        <f t="shared" si="1"/>
        <v>79.8</v>
      </c>
      <c r="N4">
        <v>66</v>
      </c>
      <c r="O4">
        <v>0</v>
      </c>
      <c r="P4">
        <f t="shared" si="2"/>
        <v>0</v>
      </c>
      <c r="Q4">
        <f t="shared" si="3"/>
        <v>72.900000000000006</v>
      </c>
      <c r="R4">
        <v>123</v>
      </c>
      <c r="S4">
        <f t="shared" si="4"/>
        <v>84.25</v>
      </c>
      <c r="T4">
        <f t="shared" si="5"/>
        <v>76.680000000000007</v>
      </c>
      <c r="U4" t="str">
        <f t="shared" si="6"/>
        <v xml:space="preserve"> </v>
      </c>
      <c r="V4">
        <f t="shared" si="7"/>
        <v>86.01</v>
      </c>
      <c r="X4" t="str">
        <f t="shared" si="8"/>
        <v/>
      </c>
      <c r="Y4" t="str">
        <f t="shared" si="10"/>
        <v>B+</v>
      </c>
      <c r="Z4" t="str">
        <f t="shared" si="11"/>
        <v/>
      </c>
      <c r="AA4" t="str">
        <f t="shared" si="12"/>
        <v/>
      </c>
      <c r="AB4" t="str">
        <f t="shared" si="9"/>
        <v/>
      </c>
    </row>
    <row r="5" spans="1:28">
      <c r="A5">
        <v>56135</v>
      </c>
      <c r="B5">
        <v>4014</v>
      </c>
      <c r="C5" t="s">
        <v>41</v>
      </c>
      <c r="D5">
        <v>2</v>
      </c>
      <c r="E5">
        <v>18</v>
      </c>
      <c r="F5">
        <v>100</v>
      </c>
      <c r="G5">
        <v>0</v>
      </c>
      <c r="H5">
        <v>100</v>
      </c>
      <c r="I5">
        <v>100</v>
      </c>
      <c r="J5">
        <v>100</v>
      </c>
      <c r="K5">
        <f t="shared" si="0"/>
        <v>100</v>
      </c>
      <c r="L5">
        <v>73</v>
      </c>
      <c r="M5">
        <f t="shared" si="1"/>
        <v>73.739999999999995</v>
      </c>
      <c r="N5">
        <v>0</v>
      </c>
      <c r="O5">
        <v>82</v>
      </c>
      <c r="P5">
        <f t="shared" si="2"/>
        <v>84</v>
      </c>
      <c r="Q5">
        <f t="shared" si="3"/>
        <v>78.900000000000006</v>
      </c>
      <c r="R5">
        <v>140</v>
      </c>
      <c r="S5">
        <f t="shared" si="4"/>
        <v>95.89</v>
      </c>
      <c r="T5">
        <f t="shared" si="5"/>
        <v>84.56</v>
      </c>
      <c r="U5" t="str">
        <f t="shared" si="6"/>
        <v xml:space="preserve"> </v>
      </c>
      <c r="V5">
        <f t="shared" si="7"/>
        <v>90.74</v>
      </c>
      <c r="X5" t="str">
        <f t="shared" si="8"/>
        <v>A-</v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9"/>
        <v/>
      </c>
    </row>
    <row r="6" spans="1:28">
      <c r="A6">
        <v>54231</v>
      </c>
      <c r="B6">
        <v>6124</v>
      </c>
      <c r="C6" t="s">
        <v>41</v>
      </c>
      <c r="D6">
        <v>1</v>
      </c>
      <c r="E6">
        <v>18</v>
      </c>
      <c r="F6">
        <v>100</v>
      </c>
      <c r="G6">
        <v>100</v>
      </c>
      <c r="H6">
        <v>95</v>
      </c>
      <c r="I6">
        <v>86.96</v>
      </c>
      <c r="J6">
        <v>0</v>
      </c>
      <c r="K6">
        <f t="shared" si="0"/>
        <v>95.5</v>
      </c>
      <c r="L6">
        <v>94</v>
      </c>
      <c r="M6">
        <f t="shared" si="1"/>
        <v>94.95</v>
      </c>
      <c r="N6">
        <v>95</v>
      </c>
      <c r="O6">
        <v>0</v>
      </c>
      <c r="P6">
        <f t="shared" si="2"/>
        <v>0</v>
      </c>
      <c r="Q6">
        <f t="shared" si="3"/>
        <v>95</v>
      </c>
      <c r="R6">
        <v>136</v>
      </c>
      <c r="S6">
        <f t="shared" si="4"/>
        <v>93.15</v>
      </c>
      <c r="T6">
        <f t="shared" si="5"/>
        <v>94.38</v>
      </c>
      <c r="U6" t="str">
        <f t="shared" si="6"/>
        <v xml:space="preserve"> </v>
      </c>
      <c r="V6">
        <f t="shared" si="7"/>
        <v>94.83</v>
      </c>
      <c r="X6" t="str">
        <f t="shared" si="8"/>
        <v>A</v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9"/>
        <v/>
      </c>
    </row>
    <row r="7" spans="1:28">
      <c r="A7">
        <v>54429</v>
      </c>
      <c r="B7">
        <v>868</v>
      </c>
      <c r="C7" t="s">
        <v>41</v>
      </c>
      <c r="D7">
        <v>2</v>
      </c>
      <c r="E7">
        <v>18</v>
      </c>
      <c r="F7">
        <v>87.5</v>
      </c>
      <c r="G7">
        <v>0</v>
      </c>
      <c r="H7">
        <v>95</v>
      </c>
      <c r="I7">
        <v>91.3</v>
      </c>
      <c r="J7">
        <v>100</v>
      </c>
      <c r="K7">
        <f t="shared" si="0"/>
        <v>93.5</v>
      </c>
      <c r="L7">
        <v>59</v>
      </c>
      <c r="M7">
        <f t="shared" si="1"/>
        <v>59.6</v>
      </c>
      <c r="N7">
        <v>70</v>
      </c>
      <c r="O7">
        <v>0</v>
      </c>
      <c r="P7">
        <f t="shared" si="2"/>
        <v>0</v>
      </c>
      <c r="Q7">
        <f t="shared" si="3"/>
        <v>64.8</v>
      </c>
      <c r="R7">
        <v>74</v>
      </c>
      <c r="S7">
        <f t="shared" si="4"/>
        <v>50.68</v>
      </c>
      <c r="T7">
        <f t="shared" si="5"/>
        <v>60.09</v>
      </c>
      <c r="U7" t="str">
        <f t="shared" si="6"/>
        <v xml:space="preserve"> </v>
      </c>
      <c r="V7">
        <f t="shared" si="7"/>
        <v>73.459999999999994</v>
      </c>
      <c r="X7" t="str">
        <f t="shared" si="8"/>
        <v/>
      </c>
      <c r="Y7" t="str">
        <f t="shared" si="10"/>
        <v/>
      </c>
      <c r="Z7" t="str">
        <f t="shared" si="11"/>
        <v>C</v>
      </c>
      <c r="AA7" t="str">
        <f t="shared" si="12"/>
        <v/>
      </c>
      <c r="AB7" t="str">
        <f t="shared" si="9"/>
        <v/>
      </c>
    </row>
    <row r="8" spans="1:28">
      <c r="A8">
        <v>54306</v>
      </c>
      <c r="B8">
        <v>9165</v>
      </c>
      <c r="C8" t="s">
        <v>41</v>
      </c>
      <c r="D8">
        <v>2</v>
      </c>
      <c r="E8">
        <v>18</v>
      </c>
      <c r="F8">
        <v>87.5</v>
      </c>
      <c r="G8">
        <v>100</v>
      </c>
      <c r="H8">
        <v>0</v>
      </c>
      <c r="I8">
        <v>69.569999999999993</v>
      </c>
      <c r="J8">
        <v>0</v>
      </c>
      <c r="K8">
        <f t="shared" si="0"/>
        <v>64.3</v>
      </c>
      <c r="L8">
        <v>57</v>
      </c>
      <c r="M8">
        <f t="shared" si="1"/>
        <v>57.58</v>
      </c>
      <c r="N8">
        <v>68</v>
      </c>
      <c r="O8">
        <v>48</v>
      </c>
      <c r="P8">
        <f t="shared" si="2"/>
        <v>50</v>
      </c>
      <c r="Q8">
        <f t="shared" si="3"/>
        <v>62.8</v>
      </c>
      <c r="R8">
        <v>82</v>
      </c>
      <c r="S8">
        <f t="shared" si="4"/>
        <v>56.16</v>
      </c>
      <c r="T8">
        <f t="shared" si="5"/>
        <v>60.59</v>
      </c>
      <c r="U8" t="str">
        <f t="shared" si="6"/>
        <v xml:space="preserve"> </v>
      </c>
      <c r="V8">
        <f t="shared" si="7"/>
        <v>62.07</v>
      </c>
      <c r="X8" t="str">
        <f t="shared" si="8"/>
        <v/>
      </c>
      <c r="Y8" t="str">
        <f t="shared" si="10"/>
        <v/>
      </c>
      <c r="Z8" t="str">
        <f t="shared" si="11"/>
        <v/>
      </c>
      <c r="AA8" t="str">
        <f t="shared" si="12"/>
        <v>D</v>
      </c>
      <c r="AB8" t="str">
        <f t="shared" si="9"/>
        <v/>
      </c>
    </row>
    <row r="9" spans="1:28">
      <c r="A9">
        <v>54241</v>
      </c>
      <c r="B9">
        <v>669</v>
      </c>
      <c r="C9" t="s">
        <v>41</v>
      </c>
      <c r="D9">
        <v>2</v>
      </c>
      <c r="E9">
        <v>18</v>
      </c>
      <c r="F9">
        <v>100</v>
      </c>
      <c r="G9">
        <v>100</v>
      </c>
      <c r="H9">
        <v>95</v>
      </c>
      <c r="I9">
        <v>82.61</v>
      </c>
      <c r="J9">
        <v>0</v>
      </c>
      <c r="K9">
        <f t="shared" si="0"/>
        <v>94.4</v>
      </c>
      <c r="L9">
        <v>53</v>
      </c>
      <c r="M9">
        <f t="shared" si="1"/>
        <v>53.54</v>
      </c>
      <c r="N9">
        <v>73</v>
      </c>
      <c r="O9">
        <v>61</v>
      </c>
      <c r="P9">
        <f t="shared" si="2"/>
        <v>63</v>
      </c>
      <c r="Q9">
        <f t="shared" si="3"/>
        <v>68</v>
      </c>
      <c r="R9">
        <v>95</v>
      </c>
      <c r="S9">
        <f t="shared" si="4"/>
        <v>65.069999999999993</v>
      </c>
      <c r="T9">
        <f t="shared" si="5"/>
        <v>67.02</v>
      </c>
      <c r="U9" t="str">
        <f t="shared" si="6"/>
        <v xml:space="preserve"> </v>
      </c>
      <c r="V9">
        <f t="shared" si="7"/>
        <v>77.97</v>
      </c>
      <c r="X9" t="str">
        <f t="shared" si="8"/>
        <v/>
      </c>
      <c r="Y9" t="str">
        <f t="shared" si="10"/>
        <v/>
      </c>
      <c r="Z9" t="str">
        <f t="shared" si="11"/>
        <v>C+</v>
      </c>
      <c r="AA9" t="str">
        <f t="shared" si="12"/>
        <v/>
      </c>
      <c r="AB9" t="str">
        <f t="shared" si="9"/>
        <v/>
      </c>
    </row>
    <row r="10" spans="1:28">
      <c r="A10">
        <v>60426</v>
      </c>
      <c r="B10">
        <v>3921</v>
      </c>
      <c r="C10" t="s">
        <v>41</v>
      </c>
      <c r="D10">
        <v>1</v>
      </c>
      <c r="E10">
        <v>18</v>
      </c>
      <c r="F10">
        <v>87.5</v>
      </c>
      <c r="G10">
        <v>93.75</v>
      </c>
      <c r="H10">
        <v>95</v>
      </c>
      <c r="I10">
        <v>78.260000000000005</v>
      </c>
      <c r="J10">
        <v>0</v>
      </c>
      <c r="K10">
        <f t="shared" si="0"/>
        <v>88.6</v>
      </c>
      <c r="L10">
        <v>65</v>
      </c>
      <c r="M10">
        <f t="shared" si="1"/>
        <v>65.66</v>
      </c>
      <c r="N10">
        <v>73</v>
      </c>
      <c r="O10">
        <v>51</v>
      </c>
      <c r="P10">
        <f t="shared" si="2"/>
        <v>53</v>
      </c>
      <c r="Q10">
        <f t="shared" si="3"/>
        <v>69.3</v>
      </c>
      <c r="R10">
        <v>104</v>
      </c>
      <c r="S10">
        <f t="shared" si="4"/>
        <v>71.23</v>
      </c>
      <c r="T10">
        <f t="shared" si="5"/>
        <v>69.94</v>
      </c>
      <c r="U10" t="str">
        <f t="shared" si="6"/>
        <v xml:space="preserve"> </v>
      </c>
      <c r="V10">
        <f t="shared" si="7"/>
        <v>77.41</v>
      </c>
      <c r="X10" t="str">
        <f t="shared" si="8"/>
        <v/>
      </c>
      <c r="Y10" t="str">
        <f t="shared" si="10"/>
        <v/>
      </c>
      <c r="Z10" t="str">
        <f t="shared" si="11"/>
        <v>C+</v>
      </c>
      <c r="AA10" t="str">
        <f t="shared" si="12"/>
        <v/>
      </c>
      <c r="AB10" t="str">
        <f t="shared" si="9"/>
        <v/>
      </c>
    </row>
    <row r="11" spans="1:28">
      <c r="A11">
        <v>54184</v>
      </c>
      <c r="B11">
        <v>7728</v>
      </c>
      <c r="C11" t="s">
        <v>41</v>
      </c>
      <c r="D11">
        <v>2</v>
      </c>
      <c r="E11">
        <v>18</v>
      </c>
      <c r="F11">
        <v>81.25</v>
      </c>
      <c r="G11">
        <v>75</v>
      </c>
      <c r="H11">
        <v>80</v>
      </c>
      <c r="I11">
        <v>0</v>
      </c>
      <c r="J11">
        <v>100</v>
      </c>
      <c r="K11">
        <f t="shared" si="0"/>
        <v>84.1</v>
      </c>
      <c r="L11">
        <v>59</v>
      </c>
      <c r="M11">
        <f t="shared" si="1"/>
        <v>59.6</v>
      </c>
      <c r="N11">
        <v>64</v>
      </c>
      <c r="O11">
        <v>76</v>
      </c>
      <c r="P11">
        <f t="shared" si="2"/>
        <v>78</v>
      </c>
      <c r="Q11">
        <f t="shared" si="3"/>
        <v>71</v>
      </c>
      <c r="R11">
        <v>100</v>
      </c>
      <c r="S11">
        <f t="shared" si="4"/>
        <v>68.489999999999995</v>
      </c>
      <c r="T11">
        <f t="shared" si="5"/>
        <v>70.16</v>
      </c>
      <c r="U11" t="str">
        <f t="shared" si="6"/>
        <v xml:space="preserve"> </v>
      </c>
      <c r="V11">
        <f t="shared" si="7"/>
        <v>75.739999999999995</v>
      </c>
      <c r="X11" t="str">
        <f t="shared" si="8"/>
        <v/>
      </c>
      <c r="Y11" t="str">
        <f t="shared" si="10"/>
        <v/>
      </c>
      <c r="Z11" t="str">
        <f t="shared" si="11"/>
        <v>C</v>
      </c>
      <c r="AA11" t="str">
        <f t="shared" si="12"/>
        <v/>
      </c>
      <c r="AB11" t="str">
        <f t="shared" si="9"/>
        <v/>
      </c>
    </row>
    <row r="12" spans="1:28">
      <c r="A12">
        <v>54215</v>
      </c>
      <c r="B12">
        <v>8824</v>
      </c>
      <c r="C12" t="s">
        <v>41</v>
      </c>
      <c r="D12">
        <v>1</v>
      </c>
      <c r="E12">
        <v>18</v>
      </c>
      <c r="F12">
        <v>100</v>
      </c>
      <c r="G12">
        <v>93.75</v>
      </c>
      <c r="H12">
        <v>100</v>
      </c>
      <c r="I12">
        <v>100</v>
      </c>
      <c r="J12">
        <v>0</v>
      </c>
      <c r="K12">
        <f t="shared" si="0"/>
        <v>98.4</v>
      </c>
      <c r="L12">
        <v>88</v>
      </c>
      <c r="M12">
        <f t="shared" si="1"/>
        <v>88.89</v>
      </c>
      <c r="N12">
        <v>77</v>
      </c>
      <c r="O12">
        <v>69</v>
      </c>
      <c r="P12">
        <f t="shared" si="2"/>
        <v>71</v>
      </c>
      <c r="Q12">
        <f t="shared" si="3"/>
        <v>82.9</v>
      </c>
      <c r="R12">
        <v>129</v>
      </c>
      <c r="S12">
        <f t="shared" si="4"/>
        <v>88.36</v>
      </c>
      <c r="T12">
        <f t="shared" si="5"/>
        <v>84.72</v>
      </c>
      <c r="U12" t="str">
        <f t="shared" si="6"/>
        <v xml:space="preserve"> </v>
      </c>
      <c r="V12">
        <f t="shared" si="7"/>
        <v>90.19</v>
      </c>
      <c r="X12" t="str">
        <f t="shared" si="8"/>
        <v>A-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9"/>
        <v/>
      </c>
    </row>
    <row r="13" spans="1:28">
      <c r="A13">
        <v>54117</v>
      </c>
      <c r="B13">
        <v>4518</v>
      </c>
      <c r="C13" t="s">
        <v>41</v>
      </c>
      <c r="D13">
        <v>2</v>
      </c>
      <c r="E13">
        <v>18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f t="shared" si="0"/>
        <v>100</v>
      </c>
      <c r="M13">
        <f t="shared" si="1"/>
        <v>0</v>
      </c>
      <c r="N13">
        <v>93</v>
      </c>
      <c r="O13">
        <v>88</v>
      </c>
      <c r="P13">
        <f t="shared" si="2"/>
        <v>90</v>
      </c>
      <c r="Q13">
        <f t="shared" si="3"/>
        <v>91.5</v>
      </c>
      <c r="R13">
        <v>135</v>
      </c>
      <c r="S13">
        <f t="shared" si="4"/>
        <v>92.47</v>
      </c>
      <c r="T13">
        <f t="shared" si="5"/>
        <v>91.82</v>
      </c>
      <c r="U13" t="str">
        <f t="shared" si="6"/>
        <v xml:space="preserve"> </v>
      </c>
      <c r="V13">
        <f t="shared" si="7"/>
        <v>95.09</v>
      </c>
      <c r="X13" t="str">
        <f t="shared" si="8"/>
        <v>A</v>
      </c>
      <c r="Y13" t="str">
        <f t="shared" si="10"/>
        <v/>
      </c>
      <c r="Z13" t="str">
        <f t="shared" si="11"/>
        <v/>
      </c>
      <c r="AA13" t="str">
        <f t="shared" si="12"/>
        <v/>
      </c>
      <c r="AB13" t="str">
        <f t="shared" si="9"/>
        <v/>
      </c>
    </row>
    <row r="14" spans="1:28">
      <c r="A14">
        <v>61101</v>
      </c>
      <c r="B14">
        <v>6706</v>
      </c>
      <c r="C14" t="s">
        <v>41</v>
      </c>
      <c r="D14">
        <v>1</v>
      </c>
      <c r="E14">
        <v>18</v>
      </c>
      <c r="F14">
        <v>100</v>
      </c>
      <c r="G14">
        <v>93.75</v>
      </c>
      <c r="H14">
        <v>85</v>
      </c>
      <c r="I14">
        <v>69.569999999999993</v>
      </c>
      <c r="J14">
        <v>80</v>
      </c>
      <c r="K14">
        <f t="shared" si="0"/>
        <v>89.7</v>
      </c>
      <c r="L14">
        <v>37</v>
      </c>
      <c r="M14">
        <f t="shared" si="1"/>
        <v>37.369999999999997</v>
      </c>
      <c r="N14">
        <v>44</v>
      </c>
      <c r="O14">
        <v>32</v>
      </c>
      <c r="P14">
        <f t="shared" si="2"/>
        <v>34</v>
      </c>
      <c r="Q14">
        <f t="shared" si="3"/>
        <v>40.700000000000003</v>
      </c>
      <c r="R14">
        <v>67</v>
      </c>
      <c r="S14">
        <f t="shared" si="4"/>
        <v>45.89</v>
      </c>
      <c r="T14">
        <f t="shared" si="5"/>
        <v>42.43</v>
      </c>
      <c r="U14" t="str">
        <f t="shared" si="6"/>
        <v>F</v>
      </c>
      <c r="V14">
        <f t="shared" si="7"/>
        <v>61.34</v>
      </c>
      <c r="W14" t="s">
        <v>24</v>
      </c>
      <c r="X14" t="str">
        <f t="shared" si="8"/>
        <v/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9"/>
        <v/>
      </c>
    </row>
    <row r="15" spans="1:28">
      <c r="A15">
        <v>61003</v>
      </c>
      <c r="B15">
        <v>817</v>
      </c>
      <c r="C15" t="s">
        <v>41</v>
      </c>
      <c r="D15">
        <v>2</v>
      </c>
      <c r="E15">
        <v>18</v>
      </c>
      <c r="F15">
        <v>100</v>
      </c>
      <c r="G15">
        <v>100</v>
      </c>
      <c r="H15">
        <v>95</v>
      </c>
      <c r="I15">
        <v>0</v>
      </c>
      <c r="J15">
        <v>100</v>
      </c>
      <c r="K15">
        <f t="shared" si="0"/>
        <v>98.8</v>
      </c>
      <c r="L15">
        <v>78</v>
      </c>
      <c r="M15">
        <f t="shared" si="1"/>
        <v>78.790000000000006</v>
      </c>
      <c r="N15">
        <v>97</v>
      </c>
      <c r="O15">
        <v>72</v>
      </c>
      <c r="P15">
        <f t="shared" si="2"/>
        <v>74</v>
      </c>
      <c r="Q15">
        <f t="shared" si="3"/>
        <v>87.9</v>
      </c>
      <c r="R15">
        <v>124</v>
      </c>
      <c r="S15">
        <f t="shared" si="4"/>
        <v>84.93</v>
      </c>
      <c r="T15">
        <f t="shared" si="5"/>
        <v>86.91</v>
      </c>
      <c r="U15" t="str">
        <f t="shared" si="6"/>
        <v xml:space="preserve"> </v>
      </c>
      <c r="V15">
        <f t="shared" si="7"/>
        <v>91.67</v>
      </c>
      <c r="X15" t="str">
        <f t="shared" si="8"/>
        <v>A-</v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9"/>
        <v/>
      </c>
    </row>
    <row r="16" spans="1:28">
      <c r="A16">
        <v>54419</v>
      </c>
      <c r="B16">
        <v>4264</v>
      </c>
      <c r="C16" t="s">
        <v>41</v>
      </c>
      <c r="D16">
        <v>1</v>
      </c>
      <c r="E16">
        <v>18</v>
      </c>
      <c r="F16">
        <v>0</v>
      </c>
      <c r="G16">
        <v>0</v>
      </c>
      <c r="H16">
        <v>80</v>
      </c>
      <c r="I16">
        <v>100</v>
      </c>
      <c r="J16">
        <v>0</v>
      </c>
      <c r="K16">
        <f t="shared" si="0"/>
        <v>45</v>
      </c>
      <c r="L16">
        <v>70</v>
      </c>
      <c r="M16">
        <f t="shared" si="1"/>
        <v>70.709999999999994</v>
      </c>
      <c r="N16">
        <v>78</v>
      </c>
      <c r="O16">
        <v>0</v>
      </c>
      <c r="P16">
        <f t="shared" si="2"/>
        <v>0</v>
      </c>
      <c r="Q16">
        <f t="shared" si="3"/>
        <v>74.400000000000006</v>
      </c>
      <c r="R16">
        <v>121</v>
      </c>
      <c r="S16">
        <f t="shared" si="4"/>
        <v>82.88</v>
      </c>
      <c r="T16">
        <f t="shared" si="5"/>
        <v>77.23</v>
      </c>
      <c r="U16" t="str">
        <f t="shared" si="6"/>
        <v>F</v>
      </c>
      <c r="V16">
        <f t="shared" si="7"/>
        <v>64.34</v>
      </c>
      <c r="W16" t="s">
        <v>24</v>
      </c>
      <c r="X16" t="str">
        <f t="shared" si="8"/>
        <v/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9"/>
        <v/>
      </c>
    </row>
    <row r="17" spans="1:28">
      <c r="A17">
        <v>54098</v>
      </c>
      <c r="B17">
        <v>8832</v>
      </c>
      <c r="C17" t="s">
        <v>41</v>
      </c>
      <c r="D17">
        <v>1</v>
      </c>
      <c r="E17">
        <v>18</v>
      </c>
      <c r="F17">
        <v>87.5</v>
      </c>
      <c r="G17">
        <v>0</v>
      </c>
      <c r="H17">
        <v>0</v>
      </c>
      <c r="I17">
        <v>0</v>
      </c>
      <c r="J17">
        <v>0</v>
      </c>
      <c r="K17">
        <f t="shared" si="0"/>
        <v>21.9</v>
      </c>
      <c r="L17">
        <v>63</v>
      </c>
      <c r="M17">
        <f t="shared" si="1"/>
        <v>63.64</v>
      </c>
      <c r="N17">
        <v>74</v>
      </c>
      <c r="O17">
        <v>0</v>
      </c>
      <c r="P17">
        <f t="shared" si="2"/>
        <v>0</v>
      </c>
      <c r="Q17">
        <f t="shared" si="3"/>
        <v>68.8</v>
      </c>
      <c r="R17">
        <v>0</v>
      </c>
      <c r="S17">
        <f t="shared" si="4"/>
        <v>0</v>
      </c>
      <c r="T17">
        <f t="shared" si="5"/>
        <v>45.87</v>
      </c>
      <c r="U17" t="str">
        <f t="shared" si="6"/>
        <v>F</v>
      </c>
      <c r="V17">
        <f t="shared" si="7"/>
        <v>36.28</v>
      </c>
      <c r="W17" t="s">
        <v>24</v>
      </c>
      <c r="X17" t="str">
        <f t="shared" si="8"/>
        <v/>
      </c>
      <c r="Y17" t="str">
        <f t="shared" si="10"/>
        <v/>
      </c>
      <c r="Z17" t="str">
        <f t="shared" si="11"/>
        <v/>
      </c>
      <c r="AA17" t="str">
        <f t="shared" si="12"/>
        <v/>
      </c>
      <c r="AB17" t="str">
        <f t="shared" si="9"/>
        <v>F</v>
      </c>
    </row>
    <row r="18" spans="1:28">
      <c r="A18">
        <v>54204</v>
      </c>
      <c r="B18">
        <v>9317</v>
      </c>
      <c r="C18" t="s">
        <v>41</v>
      </c>
      <c r="D18">
        <v>1</v>
      </c>
      <c r="E18">
        <v>18</v>
      </c>
      <c r="F18">
        <v>87.5</v>
      </c>
      <c r="G18">
        <v>68.75</v>
      </c>
      <c r="H18">
        <v>80</v>
      </c>
      <c r="I18">
        <v>0</v>
      </c>
      <c r="J18">
        <v>0</v>
      </c>
      <c r="K18">
        <f t="shared" si="0"/>
        <v>59.1</v>
      </c>
      <c r="L18">
        <v>0</v>
      </c>
      <c r="M18">
        <f t="shared" si="1"/>
        <v>0</v>
      </c>
      <c r="N18">
        <v>0</v>
      </c>
      <c r="O18">
        <v>0</v>
      </c>
      <c r="P18">
        <f t="shared" si="2"/>
        <v>0</v>
      </c>
      <c r="Q18">
        <f t="shared" si="3"/>
        <v>0</v>
      </c>
      <c r="R18">
        <v>0</v>
      </c>
      <c r="S18">
        <f t="shared" si="4"/>
        <v>0</v>
      </c>
      <c r="T18">
        <f t="shared" si="5"/>
        <v>0</v>
      </c>
      <c r="U18" t="str">
        <f t="shared" si="6"/>
        <v>F</v>
      </c>
      <c r="V18">
        <f>ROUND(K18*0.4+Q18*0.4+S18*0.2,2)</f>
        <v>23.64</v>
      </c>
      <c r="W18" t="s">
        <v>24</v>
      </c>
      <c r="X18" t="str">
        <f t="shared" si="8"/>
        <v/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9"/>
        <v>F</v>
      </c>
    </row>
    <row r="19" spans="1:28">
      <c r="A19">
        <v>54317</v>
      </c>
      <c r="B19">
        <v>1468</v>
      </c>
      <c r="C19" t="s">
        <v>41</v>
      </c>
      <c r="D19">
        <v>2</v>
      </c>
      <c r="E19">
        <v>18</v>
      </c>
      <c r="F19">
        <v>87.5</v>
      </c>
      <c r="G19">
        <v>75</v>
      </c>
      <c r="H19">
        <v>50</v>
      </c>
      <c r="I19">
        <v>69.569999999999993</v>
      </c>
      <c r="J19">
        <v>0</v>
      </c>
      <c r="K19">
        <f t="shared" si="0"/>
        <v>70.5</v>
      </c>
      <c r="L19">
        <v>53</v>
      </c>
      <c r="M19">
        <f t="shared" si="1"/>
        <v>53.54</v>
      </c>
      <c r="N19">
        <v>44</v>
      </c>
      <c r="O19">
        <v>45</v>
      </c>
      <c r="P19">
        <f t="shared" si="2"/>
        <v>47</v>
      </c>
      <c r="Q19">
        <f t="shared" si="3"/>
        <v>50.3</v>
      </c>
      <c r="R19">
        <v>77</v>
      </c>
      <c r="S19">
        <f t="shared" si="4"/>
        <v>52.74</v>
      </c>
      <c r="T19">
        <f t="shared" si="5"/>
        <v>51.11</v>
      </c>
      <c r="U19" t="str">
        <f t="shared" si="6"/>
        <v>F</v>
      </c>
      <c r="V19">
        <f>ROUND(K19*0.4+Q19*0.4+S19*0.2,2)</f>
        <v>58.87</v>
      </c>
      <c r="W19" t="s">
        <v>24</v>
      </c>
      <c r="X19" t="str">
        <f t="shared" si="8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9"/>
        <v>F</v>
      </c>
    </row>
    <row r="20" spans="1:28">
      <c r="A20">
        <v>54121</v>
      </c>
      <c r="B20">
        <v>9888</v>
      </c>
      <c r="C20" t="s">
        <v>41</v>
      </c>
      <c r="D20">
        <v>1</v>
      </c>
      <c r="E20">
        <v>18</v>
      </c>
      <c r="F20">
        <v>100</v>
      </c>
      <c r="G20">
        <v>0</v>
      </c>
      <c r="H20">
        <v>95</v>
      </c>
      <c r="I20">
        <v>69.569999999999993</v>
      </c>
      <c r="J20">
        <v>80</v>
      </c>
      <c r="K20">
        <f t="shared" si="0"/>
        <v>86.1</v>
      </c>
      <c r="L20">
        <v>81</v>
      </c>
      <c r="M20">
        <f t="shared" si="1"/>
        <v>81.819999999999993</v>
      </c>
      <c r="N20">
        <v>80</v>
      </c>
      <c r="O20">
        <v>0</v>
      </c>
      <c r="P20">
        <f t="shared" si="2"/>
        <v>0</v>
      </c>
      <c r="Q20">
        <f t="shared" si="3"/>
        <v>80.900000000000006</v>
      </c>
      <c r="R20">
        <v>104</v>
      </c>
      <c r="S20">
        <f t="shared" si="4"/>
        <v>71.23</v>
      </c>
      <c r="T20">
        <f t="shared" si="5"/>
        <v>77.680000000000007</v>
      </c>
      <c r="U20" t="str">
        <f t="shared" si="6"/>
        <v xml:space="preserve"> </v>
      </c>
      <c r="V20">
        <f>ROUND(K20*0.4+Q20*0.4+S20*0.2,2)</f>
        <v>81.05</v>
      </c>
      <c r="X20" t="str">
        <f t="shared" si="8"/>
        <v/>
      </c>
      <c r="Y20" t="str">
        <f>IF(AND($W20="",$X20=""),IF($V20&gt;=86,"B+",IF($V20&gt;=82,"B",IF($V20&gt;=79,"B-",""))),"")</f>
        <v>B-</v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9"/>
        <v/>
      </c>
    </row>
  </sheetData>
  <printOptions gridLines="1" gridLinesSet="0"/>
  <pageMargins left="0.75" right="0.75" top="1" bottom="1" header="0.5" footer="0.5"/>
  <pageSetup paperSize="0" scale="74" orientation="landscape" horizontalDpi="4294967292" verticalDpi="4294967292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9"/>
  <sheetViews>
    <sheetView workbookViewId="0">
      <selection activeCell="C2" sqref="C2:C18"/>
    </sheetView>
  </sheetViews>
  <sheetFormatPr defaultColWidth="11.453125" defaultRowHeight="12.5"/>
  <cols>
    <col min="1" max="1" width="6" customWidth="1"/>
    <col min="2" max="2" width="5" customWidth="1"/>
    <col min="3" max="3" width="19.81640625" customWidth="1"/>
    <col min="4" max="4" width="3.54296875" customWidth="1"/>
    <col min="5" max="5" width="3.7265625" customWidth="1"/>
    <col min="6" max="7" width="5.7265625" customWidth="1"/>
    <col min="8" max="8" width="4.7265625" customWidth="1"/>
    <col min="9" max="9" width="4" customWidth="1"/>
    <col min="10" max="10" width="4.453125" customWidth="1"/>
    <col min="11" max="11" width="4.81640625" customWidth="1"/>
    <col min="12" max="12" width="0.54296875" customWidth="1"/>
    <col min="13" max="13" width="4.8164062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8">
      <c r="A2">
        <v>54315</v>
      </c>
      <c r="B2">
        <v>5757</v>
      </c>
      <c r="C2" t="s">
        <v>41</v>
      </c>
      <c r="E2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8" si="0">ROUND((SUM(F2:J2)-MIN(F2:J2))/4,1)</f>
        <v>0</v>
      </c>
      <c r="L2">
        <v>0</v>
      </c>
      <c r="N2">
        <v>0</v>
      </c>
      <c r="O2">
        <v>0</v>
      </c>
      <c r="P2">
        <f t="shared" ref="P2:P18" si="1">IF(O2&gt;0, O2+2, O2)</f>
        <v>0</v>
      </c>
      <c r="Q2">
        <f t="shared" ref="Q2:Q18" si="2">ROUND(((M2+N2+P2)-MIN(M2,N2,P2)) /2,1)</f>
        <v>0</v>
      </c>
      <c r="R2">
        <v>0</v>
      </c>
      <c r="S2">
        <f t="shared" ref="S2:S18" si="3">ROUND(R2/146*100, 2)</f>
        <v>0</v>
      </c>
      <c r="T2">
        <f t="shared" ref="T2:T18" si="4">ROUND((2*Q2+S2)/3,2)</f>
        <v>0</v>
      </c>
      <c r="U2" t="str">
        <f t="shared" ref="U2:U18" si="5">IF(OR(K2&lt;59,T2&lt;59),"F", " ")</f>
        <v>F</v>
      </c>
      <c r="V2">
        <f t="shared" ref="V2:V18" si="6">ROUND(K2*0.4+Q2*0.4+S2*0.2,2)</f>
        <v>0</v>
      </c>
      <c r="W2" t="s">
        <v>24</v>
      </c>
      <c r="X2" t="str">
        <f t="shared" ref="X2:X19" si="7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18" si="8">IF(V2&lt;59,"F","")</f>
        <v>F</v>
      </c>
    </row>
    <row r="3" spans="1:28">
      <c r="A3">
        <v>54221</v>
      </c>
      <c r="B3">
        <v>8079</v>
      </c>
      <c r="C3" t="s">
        <v>41</v>
      </c>
      <c r="D3">
        <v>2</v>
      </c>
      <c r="E3">
        <v>19</v>
      </c>
      <c r="F3">
        <v>100</v>
      </c>
      <c r="G3">
        <v>81.25</v>
      </c>
      <c r="H3">
        <v>75</v>
      </c>
      <c r="I3">
        <v>91.3</v>
      </c>
      <c r="J3">
        <v>0</v>
      </c>
      <c r="K3">
        <f t="shared" si="0"/>
        <v>86.9</v>
      </c>
      <c r="L3">
        <v>77</v>
      </c>
      <c r="M3">
        <f t="shared" ref="M3:M17" si="9">ROUND(L3/99*100,2)</f>
        <v>77.78</v>
      </c>
      <c r="N3">
        <v>81</v>
      </c>
      <c r="O3">
        <v>64</v>
      </c>
      <c r="P3">
        <f t="shared" si="1"/>
        <v>66</v>
      </c>
      <c r="Q3">
        <f t="shared" si="2"/>
        <v>79.400000000000006</v>
      </c>
      <c r="R3">
        <v>95</v>
      </c>
      <c r="S3">
        <f t="shared" si="3"/>
        <v>65.069999999999993</v>
      </c>
      <c r="T3">
        <f t="shared" si="4"/>
        <v>74.62</v>
      </c>
      <c r="U3" t="str">
        <f t="shared" si="5"/>
        <v xml:space="preserve"> </v>
      </c>
      <c r="V3">
        <f t="shared" si="6"/>
        <v>79.53</v>
      </c>
      <c r="X3" t="str">
        <f t="shared" si="7"/>
        <v/>
      </c>
      <c r="Y3" t="str">
        <f t="shared" ref="Y3:Y18" si="10">IF(AND($W3="",$X3=""),IF($V3&gt;=86,"B+",IF($V3&gt;=82,"B",IF($V3&gt;=79,"B-",""))),"")</f>
        <v>B-</v>
      </c>
      <c r="Z3" t="str">
        <f t="shared" ref="Z3:Z18" si="11">IF(AND($W3="",$X3="",$Y3=""),IF($V3&gt;=76,"C+",IF($V3&gt;=72,"C",IF($V3&gt;=69,"C-",""))),"")</f>
        <v/>
      </c>
      <c r="AA3" t="str">
        <f t="shared" ref="AA3:AA18" si="12">IF(AND($W3="",$X3="",$Y3="",$Z3=""),IF($V3&gt;=66,"D+",IF($V3&gt;=62,"D",IF($V3&gt;=59,"D-",""))),"")</f>
        <v/>
      </c>
      <c r="AB3" t="str">
        <f t="shared" si="8"/>
        <v/>
      </c>
    </row>
    <row r="4" spans="1:28">
      <c r="A4">
        <v>51494</v>
      </c>
      <c r="B4">
        <v>9720</v>
      </c>
      <c r="C4" t="s">
        <v>41</v>
      </c>
      <c r="D4">
        <v>1</v>
      </c>
      <c r="E4">
        <v>19</v>
      </c>
      <c r="F4">
        <v>100</v>
      </c>
      <c r="G4">
        <v>100</v>
      </c>
      <c r="H4">
        <v>100</v>
      </c>
      <c r="I4">
        <v>100</v>
      </c>
      <c r="J4">
        <v>0</v>
      </c>
      <c r="K4">
        <f t="shared" si="0"/>
        <v>100</v>
      </c>
      <c r="L4">
        <v>92</v>
      </c>
      <c r="M4">
        <f t="shared" si="9"/>
        <v>92.93</v>
      </c>
      <c r="N4">
        <v>88</v>
      </c>
      <c r="O4">
        <v>0</v>
      </c>
      <c r="P4">
        <f t="shared" si="1"/>
        <v>0</v>
      </c>
      <c r="Q4">
        <f t="shared" si="2"/>
        <v>90.5</v>
      </c>
      <c r="R4">
        <v>106</v>
      </c>
      <c r="S4">
        <f t="shared" si="3"/>
        <v>72.599999999999994</v>
      </c>
      <c r="T4">
        <f t="shared" si="4"/>
        <v>84.53</v>
      </c>
      <c r="U4" t="str">
        <f t="shared" si="5"/>
        <v xml:space="preserve"> </v>
      </c>
      <c r="V4">
        <f t="shared" si="6"/>
        <v>90.72</v>
      </c>
      <c r="X4" t="str">
        <f t="shared" si="7"/>
        <v>A-</v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8"/>
        <v/>
      </c>
    </row>
    <row r="5" spans="1:28">
      <c r="A5">
        <v>54096</v>
      </c>
      <c r="B5">
        <v>4294</v>
      </c>
      <c r="C5" t="s">
        <v>41</v>
      </c>
      <c r="D5">
        <v>1</v>
      </c>
      <c r="E5">
        <v>19</v>
      </c>
      <c r="F5">
        <v>100</v>
      </c>
      <c r="G5">
        <v>100</v>
      </c>
      <c r="H5">
        <v>0</v>
      </c>
      <c r="I5">
        <v>0</v>
      </c>
      <c r="J5">
        <v>80</v>
      </c>
      <c r="K5">
        <f t="shared" si="0"/>
        <v>70</v>
      </c>
      <c r="L5">
        <v>42</v>
      </c>
      <c r="M5">
        <f t="shared" si="9"/>
        <v>42.42</v>
      </c>
      <c r="N5">
        <v>58</v>
      </c>
      <c r="O5">
        <v>46</v>
      </c>
      <c r="P5">
        <f t="shared" si="1"/>
        <v>48</v>
      </c>
      <c r="Q5">
        <f t="shared" si="2"/>
        <v>53</v>
      </c>
      <c r="R5">
        <v>113</v>
      </c>
      <c r="S5">
        <f t="shared" si="3"/>
        <v>77.400000000000006</v>
      </c>
      <c r="T5">
        <f t="shared" si="4"/>
        <v>61.13</v>
      </c>
      <c r="U5" t="str">
        <f t="shared" si="5"/>
        <v xml:space="preserve"> </v>
      </c>
      <c r="V5">
        <f t="shared" si="6"/>
        <v>64.680000000000007</v>
      </c>
      <c r="X5" t="str">
        <f t="shared" si="7"/>
        <v/>
      </c>
      <c r="Y5" t="str">
        <f t="shared" si="10"/>
        <v/>
      </c>
      <c r="Z5" t="str">
        <f t="shared" si="11"/>
        <v/>
      </c>
      <c r="AA5" t="str">
        <f t="shared" si="12"/>
        <v>D</v>
      </c>
      <c r="AB5" t="str">
        <f t="shared" si="8"/>
        <v/>
      </c>
    </row>
    <row r="6" spans="1:28">
      <c r="A6">
        <v>14944</v>
      </c>
      <c r="B6">
        <v>8311</v>
      </c>
      <c r="C6" t="s">
        <v>41</v>
      </c>
      <c r="D6">
        <v>1</v>
      </c>
      <c r="E6">
        <v>19</v>
      </c>
      <c r="F6">
        <v>100</v>
      </c>
      <c r="G6">
        <v>62.5</v>
      </c>
      <c r="H6">
        <v>15</v>
      </c>
      <c r="I6">
        <v>91.3</v>
      </c>
      <c r="J6">
        <v>0</v>
      </c>
      <c r="K6">
        <f t="shared" si="0"/>
        <v>67.2</v>
      </c>
      <c r="L6">
        <v>58</v>
      </c>
      <c r="M6">
        <f t="shared" si="9"/>
        <v>58.59</v>
      </c>
      <c r="N6">
        <v>81</v>
      </c>
      <c r="O6">
        <v>67</v>
      </c>
      <c r="P6">
        <f t="shared" si="1"/>
        <v>69</v>
      </c>
      <c r="Q6">
        <f t="shared" si="2"/>
        <v>75</v>
      </c>
      <c r="R6">
        <v>117</v>
      </c>
      <c r="S6">
        <f t="shared" si="3"/>
        <v>80.14</v>
      </c>
      <c r="T6">
        <f t="shared" si="4"/>
        <v>76.709999999999994</v>
      </c>
      <c r="U6" t="str">
        <f t="shared" si="5"/>
        <v xml:space="preserve"> </v>
      </c>
      <c r="V6">
        <f t="shared" si="6"/>
        <v>72.91</v>
      </c>
      <c r="X6" t="str">
        <f t="shared" si="7"/>
        <v/>
      </c>
      <c r="Y6" t="str">
        <f t="shared" si="10"/>
        <v/>
      </c>
      <c r="Z6" t="str">
        <f t="shared" si="11"/>
        <v>C</v>
      </c>
      <c r="AA6" t="str">
        <f t="shared" si="12"/>
        <v/>
      </c>
      <c r="AB6" t="str">
        <f t="shared" si="8"/>
        <v/>
      </c>
    </row>
    <row r="7" spans="1:28">
      <c r="A7">
        <v>54294</v>
      </c>
      <c r="B7">
        <v>9780</v>
      </c>
      <c r="C7" t="s">
        <v>41</v>
      </c>
      <c r="D7">
        <v>1</v>
      </c>
      <c r="E7">
        <v>19</v>
      </c>
      <c r="F7">
        <v>100</v>
      </c>
      <c r="G7">
        <v>100</v>
      </c>
      <c r="H7">
        <v>95</v>
      </c>
      <c r="I7">
        <v>0</v>
      </c>
      <c r="J7">
        <v>100</v>
      </c>
      <c r="K7">
        <f t="shared" si="0"/>
        <v>98.8</v>
      </c>
      <c r="L7">
        <v>76</v>
      </c>
      <c r="M7">
        <f t="shared" si="9"/>
        <v>76.77</v>
      </c>
      <c r="N7">
        <v>91</v>
      </c>
      <c r="O7">
        <v>95</v>
      </c>
      <c r="P7">
        <f t="shared" si="1"/>
        <v>97</v>
      </c>
      <c r="Q7">
        <f t="shared" si="2"/>
        <v>94</v>
      </c>
      <c r="R7">
        <v>129</v>
      </c>
      <c r="S7">
        <f t="shared" si="3"/>
        <v>88.36</v>
      </c>
      <c r="T7">
        <f t="shared" si="4"/>
        <v>92.12</v>
      </c>
      <c r="U7" t="str">
        <f t="shared" si="5"/>
        <v xml:space="preserve"> </v>
      </c>
      <c r="V7">
        <f t="shared" si="6"/>
        <v>94.79</v>
      </c>
      <c r="X7" t="str">
        <f t="shared" si="7"/>
        <v>A</v>
      </c>
      <c r="Y7" t="str">
        <f t="shared" si="10"/>
        <v/>
      </c>
      <c r="Z7" t="str">
        <f t="shared" si="11"/>
        <v/>
      </c>
      <c r="AA7" t="str">
        <f t="shared" si="12"/>
        <v/>
      </c>
      <c r="AB7" t="str">
        <f t="shared" si="8"/>
        <v/>
      </c>
    </row>
    <row r="8" spans="1:28">
      <c r="A8">
        <v>50306</v>
      </c>
      <c r="B8">
        <v>6650</v>
      </c>
      <c r="C8" t="s">
        <v>41</v>
      </c>
      <c r="D8">
        <v>1</v>
      </c>
      <c r="E8">
        <v>19</v>
      </c>
      <c r="F8">
        <v>93.33</v>
      </c>
      <c r="G8">
        <v>0</v>
      </c>
      <c r="H8">
        <v>90</v>
      </c>
      <c r="I8">
        <v>91.3</v>
      </c>
      <c r="J8">
        <v>90</v>
      </c>
      <c r="K8">
        <f t="shared" si="0"/>
        <v>91.2</v>
      </c>
      <c r="L8">
        <v>87</v>
      </c>
      <c r="M8">
        <f t="shared" si="9"/>
        <v>87.88</v>
      </c>
      <c r="N8">
        <v>83</v>
      </c>
      <c r="O8">
        <v>0</v>
      </c>
      <c r="P8">
        <f t="shared" si="1"/>
        <v>0</v>
      </c>
      <c r="Q8">
        <f t="shared" si="2"/>
        <v>85.4</v>
      </c>
      <c r="R8">
        <v>118</v>
      </c>
      <c r="S8">
        <f t="shared" si="3"/>
        <v>80.819999999999993</v>
      </c>
      <c r="T8">
        <f t="shared" si="4"/>
        <v>83.87</v>
      </c>
      <c r="U8" t="str">
        <f t="shared" si="5"/>
        <v xml:space="preserve"> </v>
      </c>
      <c r="V8">
        <f t="shared" si="6"/>
        <v>86.8</v>
      </c>
      <c r="X8" t="str">
        <f t="shared" si="7"/>
        <v/>
      </c>
      <c r="Y8" t="str">
        <f t="shared" si="10"/>
        <v>B+</v>
      </c>
      <c r="Z8" t="str">
        <f t="shared" si="11"/>
        <v/>
      </c>
      <c r="AA8" t="str">
        <f t="shared" si="12"/>
        <v/>
      </c>
      <c r="AB8" t="str">
        <f t="shared" si="8"/>
        <v/>
      </c>
    </row>
    <row r="9" spans="1:28">
      <c r="A9">
        <v>54004</v>
      </c>
      <c r="B9">
        <v>1876</v>
      </c>
      <c r="C9" t="s">
        <v>41</v>
      </c>
      <c r="D9">
        <v>1</v>
      </c>
      <c r="E9">
        <v>19</v>
      </c>
      <c r="F9">
        <v>93.33</v>
      </c>
      <c r="G9">
        <v>87.5</v>
      </c>
      <c r="H9">
        <v>0</v>
      </c>
      <c r="I9">
        <v>95.65</v>
      </c>
      <c r="J9">
        <v>80</v>
      </c>
      <c r="K9">
        <f t="shared" si="0"/>
        <v>89.1</v>
      </c>
      <c r="L9">
        <v>78</v>
      </c>
      <c r="M9">
        <f t="shared" si="9"/>
        <v>78.790000000000006</v>
      </c>
      <c r="N9">
        <v>58</v>
      </c>
      <c r="O9">
        <v>76</v>
      </c>
      <c r="P9">
        <f t="shared" si="1"/>
        <v>78</v>
      </c>
      <c r="Q9">
        <f t="shared" si="2"/>
        <v>78.400000000000006</v>
      </c>
      <c r="R9">
        <v>118</v>
      </c>
      <c r="S9">
        <f t="shared" si="3"/>
        <v>80.819999999999993</v>
      </c>
      <c r="T9">
        <f t="shared" si="4"/>
        <v>79.209999999999994</v>
      </c>
      <c r="U9" t="str">
        <f t="shared" si="5"/>
        <v xml:space="preserve"> </v>
      </c>
      <c r="V9">
        <f t="shared" si="6"/>
        <v>83.16</v>
      </c>
      <c r="X9" t="str">
        <f t="shared" si="7"/>
        <v/>
      </c>
      <c r="Y9" t="str">
        <f t="shared" si="10"/>
        <v>B</v>
      </c>
      <c r="Z9" t="str">
        <f t="shared" si="11"/>
        <v/>
      </c>
      <c r="AA9" t="str">
        <f t="shared" si="12"/>
        <v/>
      </c>
      <c r="AB9" t="str">
        <f t="shared" si="8"/>
        <v/>
      </c>
    </row>
    <row r="10" spans="1:28">
      <c r="A10">
        <v>54492</v>
      </c>
      <c r="B10">
        <v>7942</v>
      </c>
      <c r="C10" t="s">
        <v>41</v>
      </c>
      <c r="D10">
        <v>2</v>
      </c>
      <c r="E10">
        <v>19</v>
      </c>
      <c r="F10">
        <v>100</v>
      </c>
      <c r="G10">
        <v>100</v>
      </c>
      <c r="H10">
        <v>95</v>
      </c>
      <c r="I10">
        <v>100</v>
      </c>
      <c r="J10">
        <v>100</v>
      </c>
      <c r="K10">
        <f t="shared" si="0"/>
        <v>100</v>
      </c>
      <c r="L10">
        <v>87</v>
      </c>
      <c r="M10">
        <f t="shared" si="9"/>
        <v>87.88</v>
      </c>
      <c r="N10">
        <v>90</v>
      </c>
      <c r="O10">
        <v>91</v>
      </c>
      <c r="P10">
        <f t="shared" si="1"/>
        <v>93</v>
      </c>
      <c r="Q10">
        <f t="shared" si="2"/>
        <v>91.5</v>
      </c>
      <c r="R10">
        <v>135</v>
      </c>
      <c r="S10">
        <f t="shared" si="3"/>
        <v>92.47</v>
      </c>
      <c r="T10">
        <f t="shared" si="4"/>
        <v>91.82</v>
      </c>
      <c r="U10" t="str">
        <f t="shared" si="5"/>
        <v xml:space="preserve"> </v>
      </c>
      <c r="V10">
        <f t="shared" si="6"/>
        <v>95.09</v>
      </c>
      <c r="X10" t="str">
        <f t="shared" si="7"/>
        <v>A</v>
      </c>
      <c r="Y10" t="str">
        <f t="shared" si="10"/>
        <v/>
      </c>
      <c r="Z10" t="str">
        <f t="shared" si="11"/>
        <v/>
      </c>
      <c r="AA10" t="str">
        <f t="shared" si="12"/>
        <v/>
      </c>
      <c r="AB10" t="str">
        <f t="shared" si="8"/>
        <v/>
      </c>
    </row>
    <row r="11" spans="1:28">
      <c r="A11">
        <v>54496</v>
      </c>
      <c r="B11">
        <v>8014</v>
      </c>
      <c r="C11" t="s">
        <v>41</v>
      </c>
      <c r="D11">
        <v>2</v>
      </c>
      <c r="E11">
        <v>19</v>
      </c>
      <c r="F11">
        <v>100</v>
      </c>
      <c r="G11">
        <v>100</v>
      </c>
      <c r="H11">
        <v>100</v>
      </c>
      <c r="I11">
        <v>100</v>
      </c>
      <c r="J11">
        <v>0</v>
      </c>
      <c r="K11">
        <f t="shared" si="0"/>
        <v>100</v>
      </c>
      <c r="L11">
        <v>89</v>
      </c>
      <c r="M11">
        <f t="shared" si="9"/>
        <v>89.9</v>
      </c>
      <c r="N11">
        <v>96</v>
      </c>
      <c r="O11">
        <v>0</v>
      </c>
      <c r="P11">
        <f t="shared" si="1"/>
        <v>0</v>
      </c>
      <c r="Q11">
        <f t="shared" si="2"/>
        <v>93</v>
      </c>
      <c r="R11">
        <v>131</v>
      </c>
      <c r="S11">
        <f t="shared" si="3"/>
        <v>89.73</v>
      </c>
      <c r="T11">
        <f t="shared" si="4"/>
        <v>91.91</v>
      </c>
      <c r="U11" t="str">
        <f t="shared" si="5"/>
        <v xml:space="preserve"> </v>
      </c>
      <c r="V11">
        <f t="shared" si="6"/>
        <v>95.15</v>
      </c>
      <c r="X11" t="str">
        <f t="shared" si="7"/>
        <v>A</v>
      </c>
      <c r="Y11" t="str">
        <f t="shared" si="10"/>
        <v/>
      </c>
      <c r="Z11" t="str">
        <f t="shared" si="11"/>
        <v/>
      </c>
      <c r="AA11" t="str">
        <f t="shared" si="12"/>
        <v/>
      </c>
      <c r="AB11" t="str">
        <f t="shared" si="8"/>
        <v/>
      </c>
    </row>
    <row r="12" spans="1:28">
      <c r="A12">
        <v>54398</v>
      </c>
      <c r="B12">
        <v>2331</v>
      </c>
      <c r="C12" t="s">
        <v>41</v>
      </c>
      <c r="D12">
        <v>1</v>
      </c>
      <c r="E12">
        <v>19</v>
      </c>
      <c r="F12">
        <v>90</v>
      </c>
      <c r="G12">
        <v>0</v>
      </c>
      <c r="H12">
        <v>90</v>
      </c>
      <c r="I12">
        <v>100</v>
      </c>
      <c r="J12">
        <v>70</v>
      </c>
      <c r="K12">
        <f t="shared" si="0"/>
        <v>87.5</v>
      </c>
      <c r="L12">
        <v>60</v>
      </c>
      <c r="M12">
        <f t="shared" si="9"/>
        <v>60.61</v>
      </c>
      <c r="N12">
        <v>61</v>
      </c>
      <c r="O12">
        <v>60</v>
      </c>
      <c r="P12">
        <f t="shared" si="1"/>
        <v>62</v>
      </c>
      <c r="Q12">
        <f t="shared" si="2"/>
        <v>61.5</v>
      </c>
      <c r="R12">
        <v>100</v>
      </c>
      <c r="S12">
        <f t="shared" si="3"/>
        <v>68.489999999999995</v>
      </c>
      <c r="T12">
        <f t="shared" si="4"/>
        <v>63.83</v>
      </c>
      <c r="U12" t="str">
        <f t="shared" si="5"/>
        <v xml:space="preserve"> </v>
      </c>
      <c r="V12">
        <f t="shared" si="6"/>
        <v>73.3</v>
      </c>
      <c r="X12" t="str">
        <f t="shared" si="7"/>
        <v/>
      </c>
      <c r="Y12" t="str">
        <f t="shared" si="10"/>
        <v/>
      </c>
      <c r="Z12" t="str">
        <f t="shared" si="11"/>
        <v>C</v>
      </c>
      <c r="AA12" t="str">
        <f t="shared" si="12"/>
        <v/>
      </c>
      <c r="AB12" t="str">
        <f t="shared" si="8"/>
        <v/>
      </c>
    </row>
    <row r="13" spans="1:28">
      <c r="A13">
        <v>57468</v>
      </c>
      <c r="B13">
        <v>7345</v>
      </c>
      <c r="C13" t="s">
        <v>41</v>
      </c>
      <c r="D13">
        <v>2</v>
      </c>
      <c r="E13">
        <v>19</v>
      </c>
      <c r="F13">
        <v>100</v>
      </c>
      <c r="G13">
        <v>75</v>
      </c>
      <c r="H13">
        <v>100</v>
      </c>
      <c r="I13">
        <v>100</v>
      </c>
      <c r="J13">
        <v>90</v>
      </c>
      <c r="K13">
        <f t="shared" si="0"/>
        <v>97.5</v>
      </c>
      <c r="L13">
        <v>62</v>
      </c>
      <c r="M13">
        <f t="shared" si="9"/>
        <v>62.63</v>
      </c>
      <c r="N13">
        <v>71</v>
      </c>
      <c r="O13">
        <v>65</v>
      </c>
      <c r="P13">
        <f t="shared" si="1"/>
        <v>67</v>
      </c>
      <c r="Q13">
        <f t="shared" si="2"/>
        <v>69</v>
      </c>
      <c r="R13">
        <v>115</v>
      </c>
      <c r="S13">
        <f t="shared" si="3"/>
        <v>78.77</v>
      </c>
      <c r="T13">
        <f t="shared" si="4"/>
        <v>72.260000000000005</v>
      </c>
      <c r="U13" t="str">
        <f t="shared" si="5"/>
        <v xml:space="preserve"> </v>
      </c>
      <c r="V13">
        <f t="shared" si="6"/>
        <v>82.35</v>
      </c>
      <c r="X13" t="str">
        <f t="shared" si="7"/>
        <v/>
      </c>
      <c r="Y13" t="str">
        <f t="shared" si="10"/>
        <v>B</v>
      </c>
      <c r="Z13" t="str">
        <f t="shared" si="11"/>
        <v/>
      </c>
      <c r="AA13" t="str">
        <f t="shared" si="12"/>
        <v/>
      </c>
      <c r="AB13" t="str">
        <f t="shared" si="8"/>
        <v/>
      </c>
    </row>
    <row r="14" spans="1:28">
      <c r="A14">
        <v>21617</v>
      </c>
      <c r="B14">
        <v>2622</v>
      </c>
      <c r="C14" t="s">
        <v>41</v>
      </c>
      <c r="D14">
        <v>2</v>
      </c>
      <c r="E14">
        <v>19</v>
      </c>
      <c r="F14">
        <v>0</v>
      </c>
      <c r="G14">
        <v>0</v>
      </c>
      <c r="H14">
        <v>0</v>
      </c>
      <c r="I14">
        <v>0</v>
      </c>
      <c r="J14">
        <v>0</v>
      </c>
      <c r="K14">
        <f t="shared" si="0"/>
        <v>0</v>
      </c>
      <c r="M14">
        <f t="shared" si="9"/>
        <v>0</v>
      </c>
      <c r="N14">
        <v>0</v>
      </c>
      <c r="O14">
        <v>0</v>
      </c>
      <c r="P14">
        <f t="shared" si="1"/>
        <v>0</v>
      </c>
      <c r="Q14">
        <f t="shared" si="2"/>
        <v>0</v>
      </c>
      <c r="R14">
        <v>0</v>
      </c>
      <c r="S14">
        <f t="shared" si="3"/>
        <v>0</v>
      </c>
      <c r="T14">
        <f t="shared" si="4"/>
        <v>0</v>
      </c>
      <c r="U14" t="str">
        <f t="shared" si="5"/>
        <v>F</v>
      </c>
      <c r="V14">
        <f t="shared" si="6"/>
        <v>0</v>
      </c>
      <c r="W14" t="s">
        <v>24</v>
      </c>
      <c r="X14" t="str">
        <f t="shared" si="7"/>
        <v/>
      </c>
      <c r="Y14" t="str">
        <f t="shared" si="10"/>
        <v/>
      </c>
      <c r="Z14" t="str">
        <f t="shared" si="11"/>
        <v/>
      </c>
      <c r="AA14" t="str">
        <f t="shared" si="12"/>
        <v/>
      </c>
      <c r="AB14" t="str">
        <f t="shared" si="8"/>
        <v>F</v>
      </c>
    </row>
    <row r="15" spans="1:28">
      <c r="A15">
        <v>54215</v>
      </c>
      <c r="B15">
        <v>3607</v>
      </c>
      <c r="C15" t="s">
        <v>41</v>
      </c>
      <c r="D15">
        <v>1</v>
      </c>
      <c r="E15">
        <v>19</v>
      </c>
      <c r="F15">
        <v>86.66</v>
      </c>
      <c r="G15">
        <v>75</v>
      </c>
      <c r="H15">
        <v>85</v>
      </c>
      <c r="I15">
        <v>100</v>
      </c>
      <c r="J15">
        <v>100</v>
      </c>
      <c r="K15">
        <f t="shared" si="0"/>
        <v>92.9</v>
      </c>
      <c r="L15">
        <v>65</v>
      </c>
      <c r="M15">
        <f t="shared" si="9"/>
        <v>65.66</v>
      </c>
      <c r="N15">
        <v>72</v>
      </c>
      <c r="O15">
        <v>64</v>
      </c>
      <c r="P15">
        <f t="shared" si="1"/>
        <v>66</v>
      </c>
      <c r="Q15">
        <f t="shared" si="2"/>
        <v>69</v>
      </c>
      <c r="R15">
        <v>101</v>
      </c>
      <c r="S15">
        <f t="shared" si="3"/>
        <v>69.180000000000007</v>
      </c>
      <c r="T15">
        <f t="shared" si="4"/>
        <v>69.06</v>
      </c>
      <c r="U15" t="str">
        <f t="shared" si="5"/>
        <v xml:space="preserve"> </v>
      </c>
      <c r="V15">
        <f t="shared" si="6"/>
        <v>78.599999999999994</v>
      </c>
      <c r="X15" t="str">
        <f t="shared" si="7"/>
        <v/>
      </c>
      <c r="Y15" t="str">
        <f t="shared" si="10"/>
        <v/>
      </c>
      <c r="Z15" t="str">
        <f t="shared" si="11"/>
        <v>C+</v>
      </c>
      <c r="AA15" t="str">
        <f t="shared" si="12"/>
        <v/>
      </c>
      <c r="AB15" t="str">
        <f t="shared" si="8"/>
        <v/>
      </c>
    </row>
    <row r="16" spans="1:28">
      <c r="A16">
        <v>54225</v>
      </c>
      <c r="B16">
        <v>5617</v>
      </c>
      <c r="C16" t="s">
        <v>41</v>
      </c>
      <c r="D16">
        <v>2</v>
      </c>
      <c r="E16">
        <v>19</v>
      </c>
      <c r="F16">
        <v>100</v>
      </c>
      <c r="G16">
        <v>0</v>
      </c>
      <c r="H16">
        <v>60</v>
      </c>
      <c r="I16">
        <v>0</v>
      </c>
      <c r="J16">
        <v>0</v>
      </c>
      <c r="K16">
        <f t="shared" si="0"/>
        <v>40</v>
      </c>
      <c r="L16">
        <v>57</v>
      </c>
      <c r="M16">
        <f t="shared" si="9"/>
        <v>57.58</v>
      </c>
      <c r="N16">
        <v>0</v>
      </c>
      <c r="O16">
        <v>0</v>
      </c>
      <c r="P16">
        <f t="shared" si="1"/>
        <v>0</v>
      </c>
      <c r="Q16">
        <f t="shared" si="2"/>
        <v>28.8</v>
      </c>
      <c r="R16">
        <v>0</v>
      </c>
      <c r="S16">
        <f t="shared" si="3"/>
        <v>0</v>
      </c>
      <c r="T16">
        <f t="shared" si="4"/>
        <v>19.2</v>
      </c>
      <c r="U16" t="str">
        <f t="shared" si="5"/>
        <v>F</v>
      </c>
      <c r="V16">
        <f t="shared" si="6"/>
        <v>27.52</v>
      </c>
      <c r="W16" t="s">
        <v>24</v>
      </c>
      <c r="X16" t="str">
        <f t="shared" si="7"/>
        <v/>
      </c>
      <c r="Y16" t="str">
        <f t="shared" si="10"/>
        <v/>
      </c>
      <c r="Z16" t="str">
        <f t="shared" si="11"/>
        <v/>
      </c>
      <c r="AA16" t="str">
        <f t="shared" si="12"/>
        <v/>
      </c>
      <c r="AB16" t="str">
        <f t="shared" si="8"/>
        <v>F</v>
      </c>
    </row>
    <row r="17" spans="1:28">
      <c r="A17">
        <v>26477</v>
      </c>
      <c r="B17">
        <v>4810</v>
      </c>
      <c r="C17" t="s">
        <v>41</v>
      </c>
      <c r="D17">
        <v>2</v>
      </c>
      <c r="E17">
        <v>19</v>
      </c>
      <c r="F17">
        <v>93.33</v>
      </c>
      <c r="G17">
        <v>56.25</v>
      </c>
      <c r="H17">
        <v>0</v>
      </c>
      <c r="I17">
        <v>100</v>
      </c>
      <c r="J17">
        <v>100</v>
      </c>
      <c r="K17">
        <f t="shared" si="0"/>
        <v>87.4</v>
      </c>
      <c r="L17">
        <v>74</v>
      </c>
      <c r="M17">
        <f t="shared" si="9"/>
        <v>74.75</v>
      </c>
      <c r="N17">
        <v>86</v>
      </c>
      <c r="O17">
        <v>87</v>
      </c>
      <c r="P17">
        <f t="shared" si="1"/>
        <v>89</v>
      </c>
      <c r="Q17">
        <f t="shared" si="2"/>
        <v>87.5</v>
      </c>
      <c r="R17">
        <v>118</v>
      </c>
      <c r="S17">
        <f t="shared" si="3"/>
        <v>80.819999999999993</v>
      </c>
      <c r="T17">
        <f t="shared" si="4"/>
        <v>85.27</v>
      </c>
      <c r="U17" t="str">
        <f t="shared" si="5"/>
        <v xml:space="preserve"> </v>
      </c>
      <c r="V17">
        <f t="shared" si="6"/>
        <v>86.12</v>
      </c>
      <c r="X17" t="str">
        <f t="shared" si="7"/>
        <v/>
      </c>
      <c r="Y17" t="str">
        <f t="shared" si="10"/>
        <v>B+</v>
      </c>
      <c r="Z17" t="str">
        <f t="shared" si="11"/>
        <v/>
      </c>
      <c r="AA17" t="str">
        <f t="shared" si="12"/>
        <v/>
      </c>
      <c r="AB17" t="str">
        <f t="shared" si="8"/>
        <v/>
      </c>
    </row>
    <row r="18" spans="1:28">
      <c r="A18">
        <v>56387</v>
      </c>
      <c r="B18">
        <v>9790</v>
      </c>
      <c r="C18" t="s">
        <v>41</v>
      </c>
      <c r="D18">
        <v>1</v>
      </c>
      <c r="E18">
        <v>19</v>
      </c>
      <c r="F18">
        <v>0</v>
      </c>
      <c r="G18">
        <v>0</v>
      </c>
      <c r="H18">
        <v>0</v>
      </c>
      <c r="I18">
        <v>0</v>
      </c>
      <c r="J18">
        <v>0</v>
      </c>
      <c r="K18">
        <f t="shared" si="0"/>
        <v>0</v>
      </c>
      <c r="L18">
        <v>0</v>
      </c>
      <c r="M18">
        <v>0</v>
      </c>
      <c r="N18">
        <v>0</v>
      </c>
      <c r="O18">
        <v>0</v>
      </c>
      <c r="P18">
        <f t="shared" si="1"/>
        <v>0</v>
      </c>
      <c r="Q18">
        <f t="shared" si="2"/>
        <v>0</v>
      </c>
      <c r="R18">
        <v>0</v>
      </c>
      <c r="S18">
        <f t="shared" si="3"/>
        <v>0</v>
      </c>
      <c r="T18">
        <f t="shared" si="4"/>
        <v>0</v>
      </c>
      <c r="U18" t="str">
        <f t="shared" si="5"/>
        <v>F</v>
      </c>
      <c r="V18">
        <f t="shared" si="6"/>
        <v>0</v>
      </c>
      <c r="W18" t="s">
        <v>24</v>
      </c>
      <c r="X18" t="str">
        <f t="shared" si="7"/>
        <v/>
      </c>
      <c r="Y18" t="str">
        <f t="shared" si="10"/>
        <v/>
      </c>
      <c r="Z18" t="str">
        <f t="shared" si="11"/>
        <v/>
      </c>
      <c r="AA18" t="str">
        <f t="shared" si="12"/>
        <v/>
      </c>
      <c r="AB18" t="str">
        <f t="shared" si="8"/>
        <v>F</v>
      </c>
    </row>
    <row r="19" spans="1:28">
      <c r="X19" t="str">
        <f t="shared" si="7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</row>
  </sheetData>
  <printOptions gridLines="1" gridLinesSet="0"/>
  <pageMargins left="0.75" right="0.75" top="1" bottom="1" header="0.5" footer="0.5"/>
  <pageSetup paperSize="0" scale="74" orientation="landscape" horizontalDpi="4294967292" verticalDpi="4294967292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M1:AB23"/>
  <sheetViews>
    <sheetView workbookViewId="0">
      <selection activeCell="T22" sqref="T22"/>
    </sheetView>
  </sheetViews>
  <sheetFormatPr defaultColWidth="11.453125" defaultRowHeight="12.5"/>
  <cols>
    <col min="8" max="8" width="4.7265625" customWidth="1"/>
    <col min="9" max="9" width="4" customWidth="1"/>
    <col min="10" max="10" width="4.453125" customWidth="1"/>
    <col min="12" max="12" width="0.5429687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3:28">
      <c r="M1" t="s">
        <v>12</v>
      </c>
      <c r="N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3:28">
      <c r="P2">
        <f t="shared" ref="P2:P18" si="0">IF(O2&gt;0, O2+2, O2)</f>
        <v>0</v>
      </c>
      <c r="Q2">
        <f t="shared" ref="Q2:Q22" si="1">ROUND(((M2+N2+P2)-MIN(M2,N2,P2)) /2,1)</f>
        <v>0</v>
      </c>
      <c r="S2">
        <f t="shared" ref="S2:S23" si="2">ROUND(R2/146*100, 2)</f>
        <v>0</v>
      </c>
      <c r="T2">
        <f t="shared" ref="T2:T23" si="3">ROUND((2*Q2+S2)/3,2)</f>
        <v>0</v>
      </c>
      <c r="U2" t="str">
        <f t="shared" ref="U2:U23" si="4">IF(OR(K2&lt;59,T2&lt;59),"F", " ")</f>
        <v>F</v>
      </c>
      <c r="V2">
        <f t="shared" ref="V2:V18" si="5">ROUND(K2*0.4+Q2*0.4+S2*0.2,2)</f>
        <v>0</v>
      </c>
      <c r="X2" t="str">
        <f t="shared" ref="X2:X22" si="6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2" si="7">IF(V2&lt;59,"F","")</f>
        <v>F</v>
      </c>
    </row>
    <row r="3" spans="13:28">
      <c r="P3">
        <f t="shared" si="0"/>
        <v>0</v>
      </c>
      <c r="Q3">
        <f t="shared" si="1"/>
        <v>0</v>
      </c>
      <c r="S3">
        <f t="shared" si="2"/>
        <v>0</v>
      </c>
      <c r="T3">
        <f t="shared" si="3"/>
        <v>0</v>
      </c>
      <c r="U3" t="str">
        <f t="shared" si="4"/>
        <v>F</v>
      </c>
      <c r="V3">
        <f t="shared" si="5"/>
        <v>0</v>
      </c>
      <c r="X3" t="str">
        <f t="shared" si="6"/>
        <v/>
      </c>
      <c r="Y3" t="str">
        <f t="shared" ref="Y3:Y18" si="8">IF(AND($W3="",$X3=""),IF($V3&gt;=86,"B+",IF($V3&gt;=82,"B",IF($V3&gt;=79,"B-",""))),"")</f>
        <v/>
      </c>
      <c r="Z3" t="str">
        <f t="shared" ref="Z3:Z18" si="9">IF(AND($W3="",$X3="",$Y3=""),IF($V3&gt;=76,"C+",IF($V3&gt;=72,"C",IF($V3&gt;=69,"C-",""))),"")</f>
        <v/>
      </c>
      <c r="AA3" t="str">
        <f t="shared" ref="AA3:AA18" si="10">IF(AND($W3="",$X3="",$Y3="",$Z3=""),IF($V3&gt;=66,"D+",IF($V3&gt;=62,"D",IF($V3&gt;=59,"D-",""))),"")</f>
        <v/>
      </c>
      <c r="AB3" t="str">
        <f t="shared" si="7"/>
        <v>F</v>
      </c>
    </row>
    <row r="4" spans="13:28">
      <c r="P4">
        <f t="shared" si="0"/>
        <v>0</v>
      </c>
      <c r="Q4">
        <f t="shared" si="1"/>
        <v>0</v>
      </c>
      <c r="S4">
        <f t="shared" si="2"/>
        <v>0</v>
      </c>
      <c r="T4">
        <f t="shared" si="3"/>
        <v>0</v>
      </c>
      <c r="U4" t="str">
        <f t="shared" si="4"/>
        <v>F</v>
      </c>
      <c r="V4">
        <f t="shared" si="5"/>
        <v>0</v>
      </c>
      <c r="X4" t="str">
        <f t="shared" si="6"/>
        <v/>
      </c>
      <c r="Y4" t="str">
        <f t="shared" si="8"/>
        <v/>
      </c>
      <c r="Z4" t="str">
        <f t="shared" si="9"/>
        <v/>
      </c>
      <c r="AA4" t="str">
        <f t="shared" si="10"/>
        <v/>
      </c>
      <c r="AB4" t="str">
        <f t="shared" si="7"/>
        <v>F</v>
      </c>
    </row>
    <row r="5" spans="13:28">
      <c r="P5">
        <f t="shared" si="0"/>
        <v>0</v>
      </c>
      <c r="Q5">
        <f t="shared" si="1"/>
        <v>0</v>
      </c>
      <c r="S5">
        <f t="shared" si="2"/>
        <v>0</v>
      </c>
      <c r="T5">
        <f t="shared" si="3"/>
        <v>0</v>
      </c>
      <c r="U5" t="str">
        <f t="shared" si="4"/>
        <v>F</v>
      </c>
      <c r="V5">
        <f t="shared" si="5"/>
        <v>0</v>
      </c>
      <c r="X5" t="str">
        <f t="shared" si="6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7"/>
        <v>F</v>
      </c>
    </row>
    <row r="6" spans="13:28">
      <c r="P6">
        <f t="shared" si="0"/>
        <v>0</v>
      </c>
      <c r="Q6">
        <f t="shared" si="1"/>
        <v>0</v>
      </c>
      <c r="S6">
        <f t="shared" si="2"/>
        <v>0</v>
      </c>
      <c r="T6">
        <f t="shared" si="3"/>
        <v>0</v>
      </c>
      <c r="U6" t="str">
        <f t="shared" si="4"/>
        <v>F</v>
      </c>
      <c r="V6">
        <f t="shared" si="5"/>
        <v>0</v>
      </c>
      <c r="X6" t="str">
        <f t="shared" si="6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7"/>
        <v>F</v>
      </c>
    </row>
    <row r="7" spans="13:28">
      <c r="P7">
        <f t="shared" si="0"/>
        <v>0</v>
      </c>
      <c r="Q7">
        <f t="shared" si="1"/>
        <v>0</v>
      </c>
      <c r="S7">
        <f t="shared" si="2"/>
        <v>0</v>
      </c>
      <c r="T7">
        <f t="shared" si="3"/>
        <v>0</v>
      </c>
      <c r="U7" t="str">
        <f t="shared" si="4"/>
        <v>F</v>
      </c>
      <c r="V7">
        <f t="shared" si="5"/>
        <v>0</v>
      </c>
      <c r="X7" t="str">
        <f t="shared" si="6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7"/>
        <v>F</v>
      </c>
    </row>
    <row r="8" spans="13:28">
      <c r="P8">
        <f t="shared" si="0"/>
        <v>0</v>
      </c>
      <c r="Q8">
        <f t="shared" si="1"/>
        <v>0</v>
      </c>
      <c r="S8">
        <f t="shared" si="2"/>
        <v>0</v>
      </c>
      <c r="T8">
        <f t="shared" si="3"/>
        <v>0</v>
      </c>
      <c r="U8" t="str">
        <f t="shared" si="4"/>
        <v>F</v>
      </c>
      <c r="V8">
        <f t="shared" si="5"/>
        <v>0</v>
      </c>
      <c r="X8" t="str">
        <f t="shared" si="6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7"/>
        <v>F</v>
      </c>
    </row>
    <row r="9" spans="13:28">
      <c r="P9">
        <f t="shared" si="0"/>
        <v>0</v>
      </c>
      <c r="Q9">
        <f t="shared" si="1"/>
        <v>0</v>
      </c>
      <c r="S9">
        <f t="shared" si="2"/>
        <v>0</v>
      </c>
      <c r="T9">
        <f t="shared" si="3"/>
        <v>0</v>
      </c>
      <c r="U9" t="str">
        <f t="shared" si="4"/>
        <v>F</v>
      </c>
      <c r="V9">
        <f t="shared" si="5"/>
        <v>0</v>
      </c>
      <c r="X9" t="str">
        <f t="shared" si="6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7"/>
        <v>F</v>
      </c>
    </row>
    <row r="10" spans="13:28">
      <c r="P10">
        <f t="shared" si="0"/>
        <v>0</v>
      </c>
      <c r="Q10">
        <f t="shared" si="1"/>
        <v>0</v>
      </c>
      <c r="S10">
        <f t="shared" si="2"/>
        <v>0</v>
      </c>
      <c r="T10">
        <f t="shared" si="3"/>
        <v>0</v>
      </c>
      <c r="U10" t="str">
        <f t="shared" si="4"/>
        <v>F</v>
      </c>
      <c r="V10">
        <f t="shared" si="5"/>
        <v>0</v>
      </c>
      <c r="X10" t="str">
        <f t="shared" si="6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7"/>
        <v>F</v>
      </c>
    </row>
    <row r="11" spans="13:28">
      <c r="P11">
        <f t="shared" si="0"/>
        <v>0</v>
      </c>
      <c r="Q11">
        <f t="shared" si="1"/>
        <v>0</v>
      </c>
      <c r="S11">
        <f t="shared" si="2"/>
        <v>0</v>
      </c>
      <c r="T11">
        <f t="shared" si="3"/>
        <v>0</v>
      </c>
      <c r="U11" t="str">
        <f t="shared" si="4"/>
        <v>F</v>
      </c>
      <c r="V11">
        <f t="shared" si="5"/>
        <v>0</v>
      </c>
      <c r="X11" t="str">
        <f t="shared" si="6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7"/>
        <v>F</v>
      </c>
    </row>
    <row r="12" spans="13:28">
      <c r="P12">
        <f t="shared" si="0"/>
        <v>0</v>
      </c>
      <c r="Q12">
        <f t="shared" si="1"/>
        <v>0</v>
      </c>
      <c r="S12">
        <f t="shared" si="2"/>
        <v>0</v>
      </c>
      <c r="T12">
        <f t="shared" si="3"/>
        <v>0</v>
      </c>
      <c r="U12" t="str">
        <f t="shared" si="4"/>
        <v>F</v>
      </c>
      <c r="V12">
        <f t="shared" si="5"/>
        <v>0</v>
      </c>
      <c r="X12" t="str">
        <f t="shared" si="6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7"/>
        <v>F</v>
      </c>
    </row>
    <row r="13" spans="13:28">
      <c r="P13">
        <f t="shared" si="0"/>
        <v>0</v>
      </c>
      <c r="Q13">
        <f t="shared" si="1"/>
        <v>0</v>
      </c>
      <c r="S13">
        <f t="shared" si="2"/>
        <v>0</v>
      </c>
      <c r="T13">
        <f t="shared" si="3"/>
        <v>0</v>
      </c>
      <c r="U13" t="str">
        <f t="shared" si="4"/>
        <v>F</v>
      </c>
      <c r="V13">
        <f t="shared" si="5"/>
        <v>0</v>
      </c>
      <c r="X13" t="str">
        <f t="shared" si="6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7"/>
        <v>F</v>
      </c>
    </row>
    <row r="14" spans="13:28">
      <c r="P14">
        <f t="shared" si="0"/>
        <v>0</v>
      </c>
      <c r="Q14">
        <f t="shared" si="1"/>
        <v>0</v>
      </c>
      <c r="S14">
        <f t="shared" si="2"/>
        <v>0</v>
      </c>
      <c r="T14">
        <f t="shared" si="3"/>
        <v>0</v>
      </c>
      <c r="U14" t="str">
        <f t="shared" si="4"/>
        <v>F</v>
      </c>
      <c r="V14">
        <f t="shared" si="5"/>
        <v>0</v>
      </c>
      <c r="X14" t="str">
        <f t="shared" si="6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7"/>
        <v>F</v>
      </c>
    </row>
    <row r="15" spans="13:28">
      <c r="P15">
        <f t="shared" si="0"/>
        <v>0</v>
      </c>
      <c r="Q15">
        <f t="shared" si="1"/>
        <v>0</v>
      </c>
      <c r="S15">
        <f t="shared" si="2"/>
        <v>0</v>
      </c>
      <c r="T15">
        <f t="shared" si="3"/>
        <v>0</v>
      </c>
      <c r="U15" t="str">
        <f t="shared" si="4"/>
        <v>F</v>
      </c>
      <c r="V15">
        <f t="shared" si="5"/>
        <v>0</v>
      </c>
      <c r="X15" t="str">
        <f t="shared" si="6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7"/>
        <v>F</v>
      </c>
    </row>
    <row r="16" spans="13:28">
      <c r="P16">
        <f t="shared" si="0"/>
        <v>0</v>
      </c>
      <c r="Q16">
        <f t="shared" si="1"/>
        <v>0</v>
      </c>
      <c r="S16">
        <f t="shared" si="2"/>
        <v>0</v>
      </c>
      <c r="T16">
        <f t="shared" si="3"/>
        <v>0</v>
      </c>
      <c r="U16" t="str">
        <f t="shared" si="4"/>
        <v>F</v>
      </c>
      <c r="V16">
        <f t="shared" si="5"/>
        <v>0</v>
      </c>
      <c r="X16" t="str">
        <f t="shared" si="6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7"/>
        <v>F</v>
      </c>
    </row>
    <row r="17" spans="16:28">
      <c r="P17">
        <f t="shared" si="0"/>
        <v>0</v>
      </c>
      <c r="Q17">
        <f t="shared" si="1"/>
        <v>0</v>
      </c>
      <c r="S17">
        <f t="shared" si="2"/>
        <v>0</v>
      </c>
      <c r="T17">
        <f t="shared" si="3"/>
        <v>0</v>
      </c>
      <c r="U17" t="str">
        <f t="shared" si="4"/>
        <v>F</v>
      </c>
      <c r="V17">
        <f t="shared" si="5"/>
        <v>0</v>
      </c>
      <c r="X17" t="str">
        <f t="shared" si="6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7"/>
        <v>F</v>
      </c>
    </row>
    <row r="18" spans="16:28">
      <c r="P18">
        <f t="shared" si="0"/>
        <v>0</v>
      </c>
      <c r="Q18">
        <f t="shared" si="1"/>
        <v>0</v>
      </c>
      <c r="S18">
        <f t="shared" si="2"/>
        <v>0</v>
      </c>
      <c r="T18">
        <f t="shared" si="3"/>
        <v>0</v>
      </c>
      <c r="U18" t="str">
        <f t="shared" si="4"/>
        <v>F</v>
      </c>
      <c r="V18">
        <f t="shared" si="5"/>
        <v>0</v>
      </c>
      <c r="X18" t="str">
        <f t="shared" si="6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7"/>
        <v>F</v>
      </c>
    </row>
    <row r="19" spans="16:28">
      <c r="Q19">
        <f t="shared" si="1"/>
        <v>0</v>
      </c>
      <c r="S19">
        <f t="shared" si="2"/>
        <v>0</v>
      </c>
      <c r="T19">
        <f t="shared" si="3"/>
        <v>0</v>
      </c>
      <c r="U19" t="str">
        <f t="shared" si="4"/>
        <v>F</v>
      </c>
      <c r="X19" t="str">
        <f t="shared" si="6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7"/>
        <v>F</v>
      </c>
    </row>
    <row r="20" spans="16:28">
      <c r="Q20">
        <f t="shared" si="1"/>
        <v>0</v>
      </c>
      <c r="S20">
        <f t="shared" si="2"/>
        <v>0</v>
      </c>
      <c r="T20">
        <f t="shared" si="3"/>
        <v>0</v>
      </c>
      <c r="U20" t="str">
        <f t="shared" si="4"/>
        <v>F</v>
      </c>
      <c r="X20" t="str">
        <f t="shared" si="6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7"/>
        <v>F</v>
      </c>
    </row>
    <row r="21" spans="16:28">
      <c r="Q21">
        <f t="shared" si="1"/>
        <v>0</v>
      </c>
      <c r="S21">
        <f t="shared" si="2"/>
        <v>0</v>
      </c>
      <c r="T21">
        <f t="shared" si="3"/>
        <v>0</v>
      </c>
      <c r="U21" t="str">
        <f t="shared" si="4"/>
        <v>F</v>
      </c>
      <c r="X21" t="str">
        <f t="shared" si="6"/>
        <v/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7"/>
        <v>F</v>
      </c>
    </row>
    <row r="22" spans="16:28">
      <c r="Q22">
        <f t="shared" si="1"/>
        <v>0</v>
      </c>
      <c r="S22">
        <f t="shared" si="2"/>
        <v>0</v>
      </c>
      <c r="T22">
        <f t="shared" si="3"/>
        <v>0</v>
      </c>
      <c r="U22" t="str">
        <f t="shared" si="4"/>
        <v>F</v>
      </c>
      <c r="X22" t="str">
        <f t="shared" si="6"/>
        <v/>
      </c>
      <c r="Y22" t="str">
        <f>IF(AND($W22="",$X22=""),IF($V22&gt;=86,"B+",IF($V22&gt;=82,"B",IF($V22&gt;=79,"B-",""))),"")</f>
        <v/>
      </c>
      <c r="Z22" t="str">
        <f>IF(AND($W22="",$X22="",$Y22=""),IF($V22&gt;=76,"C+",IF($V22&gt;=72,"C",IF($V22&gt;=69,"C-",""))),"")</f>
        <v/>
      </c>
      <c r="AB22" t="str">
        <f t="shared" si="7"/>
        <v>F</v>
      </c>
    </row>
    <row r="23" spans="16:28">
      <c r="S23">
        <f t="shared" si="2"/>
        <v>0</v>
      </c>
      <c r="T23">
        <f t="shared" si="3"/>
        <v>0</v>
      </c>
      <c r="U23" t="str">
        <f t="shared" si="4"/>
        <v>F</v>
      </c>
      <c r="X23" t="e">
        <f>IF(NOT(W23=F),IF(V23&gt;=92,"A",IF(V23&gt;=89,"A-","")),"")</f>
        <v>#NAME?</v>
      </c>
    </row>
  </sheetData>
  <printOptions gridLines="1" gridLinesSet="0"/>
  <pageMargins left="0.75" right="0.75" top="1" bottom="1" header="0.5" footer="0.5"/>
  <pageSetup paperSize="0" scale="58" orientation="landscape" horizontalDpi="4294967292" verticalDpi="4294967292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M1:AB23"/>
  <sheetViews>
    <sheetView workbookViewId="0">
      <selection activeCell="T22" sqref="T22"/>
    </sheetView>
  </sheetViews>
  <sheetFormatPr defaultColWidth="11.453125" defaultRowHeight="12.5"/>
  <cols>
    <col min="8" max="8" width="4.7265625" customWidth="1"/>
    <col min="9" max="9" width="4" customWidth="1"/>
    <col min="10" max="10" width="4.453125" customWidth="1"/>
    <col min="12" max="12" width="0.5429687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3:28">
      <c r="M1" t="s">
        <v>12</v>
      </c>
      <c r="N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3:28">
      <c r="P2">
        <f t="shared" ref="P2:P18" si="0">IF(O2&gt;0, O2+2, O2)</f>
        <v>0</v>
      </c>
      <c r="Q2">
        <f t="shared" ref="Q2:Q22" si="1">ROUND(((M2+N2+P2)-MIN(M2,N2,P2)) /2,1)</f>
        <v>0</v>
      </c>
      <c r="S2">
        <f t="shared" ref="S2:S23" si="2">ROUND(R2/146*100, 2)</f>
        <v>0</v>
      </c>
      <c r="T2">
        <f t="shared" ref="T2:T23" si="3">ROUND((2*Q2+S2)/3,2)</f>
        <v>0</v>
      </c>
      <c r="U2" t="str">
        <f t="shared" ref="U2:U23" si="4">IF(OR(K2&lt;59,T2&lt;59),"F", " ")</f>
        <v>F</v>
      </c>
      <c r="V2">
        <f t="shared" ref="V2:V18" si="5">ROUND(K2*0.4+Q2*0.4+S2*0.2,2)</f>
        <v>0</v>
      </c>
      <c r="X2" t="str">
        <f t="shared" ref="X2:X22" si="6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2" si="7">IF(V2&lt;59,"F","")</f>
        <v>F</v>
      </c>
    </row>
    <row r="3" spans="13:28">
      <c r="P3">
        <f t="shared" si="0"/>
        <v>0</v>
      </c>
      <c r="Q3">
        <f t="shared" si="1"/>
        <v>0</v>
      </c>
      <c r="S3">
        <f t="shared" si="2"/>
        <v>0</v>
      </c>
      <c r="T3">
        <f t="shared" si="3"/>
        <v>0</v>
      </c>
      <c r="U3" t="str">
        <f t="shared" si="4"/>
        <v>F</v>
      </c>
      <c r="V3">
        <f t="shared" si="5"/>
        <v>0</v>
      </c>
      <c r="X3" t="str">
        <f t="shared" si="6"/>
        <v/>
      </c>
      <c r="Y3" t="str">
        <f t="shared" ref="Y3:Y18" si="8">IF(AND($W3="",$X3=""),IF($V3&gt;=86,"B+",IF($V3&gt;=82,"B",IF($V3&gt;=79,"B-",""))),"")</f>
        <v/>
      </c>
      <c r="Z3" t="str">
        <f t="shared" ref="Z3:Z18" si="9">IF(AND($W3="",$X3="",$Y3=""),IF($V3&gt;=76,"C+",IF($V3&gt;=72,"C",IF($V3&gt;=69,"C-",""))),"")</f>
        <v/>
      </c>
      <c r="AA3" t="str">
        <f t="shared" ref="AA3:AA18" si="10">IF(AND($W3="",$X3="",$Y3="",$Z3=""),IF($V3&gt;=66,"D+",IF($V3&gt;=62,"D",IF($V3&gt;=59,"D-",""))),"")</f>
        <v/>
      </c>
      <c r="AB3" t="str">
        <f t="shared" si="7"/>
        <v>F</v>
      </c>
    </row>
    <row r="4" spans="13:28">
      <c r="P4">
        <f t="shared" si="0"/>
        <v>0</v>
      </c>
      <c r="Q4">
        <f t="shared" si="1"/>
        <v>0</v>
      </c>
      <c r="S4">
        <f t="shared" si="2"/>
        <v>0</v>
      </c>
      <c r="T4">
        <f t="shared" si="3"/>
        <v>0</v>
      </c>
      <c r="U4" t="str">
        <f t="shared" si="4"/>
        <v>F</v>
      </c>
      <c r="V4">
        <f t="shared" si="5"/>
        <v>0</v>
      </c>
      <c r="X4" t="str">
        <f t="shared" si="6"/>
        <v/>
      </c>
      <c r="Y4" t="str">
        <f t="shared" si="8"/>
        <v/>
      </c>
      <c r="Z4" t="str">
        <f t="shared" si="9"/>
        <v/>
      </c>
      <c r="AA4" t="str">
        <f t="shared" si="10"/>
        <v/>
      </c>
      <c r="AB4" t="str">
        <f t="shared" si="7"/>
        <v>F</v>
      </c>
    </row>
    <row r="5" spans="13:28">
      <c r="P5">
        <f t="shared" si="0"/>
        <v>0</v>
      </c>
      <c r="Q5">
        <f t="shared" si="1"/>
        <v>0</v>
      </c>
      <c r="S5">
        <f t="shared" si="2"/>
        <v>0</v>
      </c>
      <c r="T5">
        <f t="shared" si="3"/>
        <v>0</v>
      </c>
      <c r="U5" t="str">
        <f t="shared" si="4"/>
        <v>F</v>
      </c>
      <c r="V5">
        <f t="shared" si="5"/>
        <v>0</v>
      </c>
      <c r="X5" t="str">
        <f t="shared" si="6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7"/>
        <v>F</v>
      </c>
    </row>
    <row r="6" spans="13:28">
      <c r="P6">
        <f t="shared" si="0"/>
        <v>0</v>
      </c>
      <c r="Q6">
        <f t="shared" si="1"/>
        <v>0</v>
      </c>
      <c r="S6">
        <f t="shared" si="2"/>
        <v>0</v>
      </c>
      <c r="T6">
        <f t="shared" si="3"/>
        <v>0</v>
      </c>
      <c r="U6" t="str">
        <f t="shared" si="4"/>
        <v>F</v>
      </c>
      <c r="V6">
        <f t="shared" si="5"/>
        <v>0</v>
      </c>
      <c r="X6" t="str">
        <f t="shared" si="6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7"/>
        <v>F</v>
      </c>
    </row>
    <row r="7" spans="13:28">
      <c r="P7">
        <f t="shared" si="0"/>
        <v>0</v>
      </c>
      <c r="Q7">
        <f t="shared" si="1"/>
        <v>0</v>
      </c>
      <c r="S7">
        <f t="shared" si="2"/>
        <v>0</v>
      </c>
      <c r="T7">
        <f t="shared" si="3"/>
        <v>0</v>
      </c>
      <c r="U7" t="str">
        <f t="shared" si="4"/>
        <v>F</v>
      </c>
      <c r="V7">
        <f t="shared" si="5"/>
        <v>0</v>
      </c>
      <c r="X7" t="str">
        <f t="shared" si="6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7"/>
        <v>F</v>
      </c>
    </row>
    <row r="8" spans="13:28">
      <c r="P8">
        <f t="shared" si="0"/>
        <v>0</v>
      </c>
      <c r="Q8">
        <f t="shared" si="1"/>
        <v>0</v>
      </c>
      <c r="S8">
        <f t="shared" si="2"/>
        <v>0</v>
      </c>
      <c r="T8">
        <f t="shared" si="3"/>
        <v>0</v>
      </c>
      <c r="U8" t="str">
        <f t="shared" si="4"/>
        <v>F</v>
      </c>
      <c r="V8">
        <f t="shared" si="5"/>
        <v>0</v>
      </c>
      <c r="X8" t="str">
        <f t="shared" si="6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7"/>
        <v>F</v>
      </c>
    </row>
    <row r="9" spans="13:28">
      <c r="P9">
        <f t="shared" si="0"/>
        <v>0</v>
      </c>
      <c r="Q9">
        <f t="shared" si="1"/>
        <v>0</v>
      </c>
      <c r="S9">
        <f t="shared" si="2"/>
        <v>0</v>
      </c>
      <c r="T9">
        <f t="shared" si="3"/>
        <v>0</v>
      </c>
      <c r="U9" t="str">
        <f t="shared" si="4"/>
        <v>F</v>
      </c>
      <c r="V9">
        <f t="shared" si="5"/>
        <v>0</v>
      </c>
      <c r="X9" t="str">
        <f t="shared" si="6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7"/>
        <v>F</v>
      </c>
    </row>
    <row r="10" spans="13:28">
      <c r="P10">
        <f t="shared" si="0"/>
        <v>0</v>
      </c>
      <c r="Q10">
        <f t="shared" si="1"/>
        <v>0</v>
      </c>
      <c r="S10">
        <f t="shared" si="2"/>
        <v>0</v>
      </c>
      <c r="T10">
        <f t="shared" si="3"/>
        <v>0</v>
      </c>
      <c r="U10" t="str">
        <f t="shared" si="4"/>
        <v>F</v>
      </c>
      <c r="V10">
        <f t="shared" si="5"/>
        <v>0</v>
      </c>
      <c r="X10" t="str">
        <f t="shared" si="6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7"/>
        <v>F</v>
      </c>
    </row>
    <row r="11" spans="13:28">
      <c r="P11">
        <f t="shared" si="0"/>
        <v>0</v>
      </c>
      <c r="Q11">
        <f t="shared" si="1"/>
        <v>0</v>
      </c>
      <c r="S11">
        <f t="shared" si="2"/>
        <v>0</v>
      </c>
      <c r="T11">
        <f t="shared" si="3"/>
        <v>0</v>
      </c>
      <c r="U11" t="str">
        <f t="shared" si="4"/>
        <v>F</v>
      </c>
      <c r="V11">
        <f t="shared" si="5"/>
        <v>0</v>
      </c>
      <c r="X11" t="str">
        <f t="shared" si="6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7"/>
        <v>F</v>
      </c>
    </row>
    <row r="12" spans="13:28">
      <c r="P12">
        <f t="shared" si="0"/>
        <v>0</v>
      </c>
      <c r="Q12">
        <f t="shared" si="1"/>
        <v>0</v>
      </c>
      <c r="S12">
        <f t="shared" si="2"/>
        <v>0</v>
      </c>
      <c r="T12">
        <f t="shared" si="3"/>
        <v>0</v>
      </c>
      <c r="U12" t="str">
        <f t="shared" si="4"/>
        <v>F</v>
      </c>
      <c r="V12">
        <f t="shared" si="5"/>
        <v>0</v>
      </c>
      <c r="X12" t="str">
        <f t="shared" si="6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7"/>
        <v>F</v>
      </c>
    </row>
    <row r="13" spans="13:28">
      <c r="P13">
        <f t="shared" si="0"/>
        <v>0</v>
      </c>
      <c r="Q13">
        <f t="shared" si="1"/>
        <v>0</v>
      </c>
      <c r="S13">
        <f t="shared" si="2"/>
        <v>0</v>
      </c>
      <c r="T13">
        <f t="shared" si="3"/>
        <v>0</v>
      </c>
      <c r="U13" t="str">
        <f t="shared" si="4"/>
        <v>F</v>
      </c>
      <c r="V13">
        <f t="shared" si="5"/>
        <v>0</v>
      </c>
      <c r="X13" t="str">
        <f t="shared" si="6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7"/>
        <v>F</v>
      </c>
    </row>
    <row r="14" spans="13:28">
      <c r="P14">
        <f t="shared" si="0"/>
        <v>0</v>
      </c>
      <c r="Q14">
        <f t="shared" si="1"/>
        <v>0</v>
      </c>
      <c r="S14">
        <f t="shared" si="2"/>
        <v>0</v>
      </c>
      <c r="T14">
        <f t="shared" si="3"/>
        <v>0</v>
      </c>
      <c r="U14" t="str">
        <f t="shared" si="4"/>
        <v>F</v>
      </c>
      <c r="V14">
        <f t="shared" si="5"/>
        <v>0</v>
      </c>
      <c r="X14" t="str">
        <f t="shared" si="6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7"/>
        <v>F</v>
      </c>
    </row>
    <row r="15" spans="13:28">
      <c r="P15">
        <f t="shared" si="0"/>
        <v>0</v>
      </c>
      <c r="Q15">
        <f t="shared" si="1"/>
        <v>0</v>
      </c>
      <c r="S15">
        <f t="shared" si="2"/>
        <v>0</v>
      </c>
      <c r="T15">
        <f t="shared" si="3"/>
        <v>0</v>
      </c>
      <c r="U15" t="str">
        <f t="shared" si="4"/>
        <v>F</v>
      </c>
      <c r="V15">
        <f t="shared" si="5"/>
        <v>0</v>
      </c>
      <c r="X15" t="str">
        <f t="shared" si="6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7"/>
        <v>F</v>
      </c>
    </row>
    <row r="16" spans="13:28">
      <c r="P16">
        <f t="shared" si="0"/>
        <v>0</v>
      </c>
      <c r="Q16">
        <f t="shared" si="1"/>
        <v>0</v>
      </c>
      <c r="S16">
        <f t="shared" si="2"/>
        <v>0</v>
      </c>
      <c r="T16">
        <f t="shared" si="3"/>
        <v>0</v>
      </c>
      <c r="U16" t="str">
        <f t="shared" si="4"/>
        <v>F</v>
      </c>
      <c r="V16">
        <f t="shared" si="5"/>
        <v>0</v>
      </c>
      <c r="X16" t="str">
        <f t="shared" si="6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7"/>
        <v>F</v>
      </c>
    </row>
    <row r="17" spans="16:28">
      <c r="P17">
        <f t="shared" si="0"/>
        <v>0</v>
      </c>
      <c r="Q17">
        <f t="shared" si="1"/>
        <v>0</v>
      </c>
      <c r="S17">
        <f t="shared" si="2"/>
        <v>0</v>
      </c>
      <c r="T17">
        <f t="shared" si="3"/>
        <v>0</v>
      </c>
      <c r="U17" t="str">
        <f t="shared" si="4"/>
        <v>F</v>
      </c>
      <c r="V17">
        <f t="shared" si="5"/>
        <v>0</v>
      </c>
      <c r="X17" t="str">
        <f t="shared" si="6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7"/>
        <v>F</v>
      </c>
    </row>
    <row r="18" spans="16:28">
      <c r="P18">
        <f t="shared" si="0"/>
        <v>0</v>
      </c>
      <c r="Q18">
        <f t="shared" si="1"/>
        <v>0</v>
      </c>
      <c r="S18">
        <f t="shared" si="2"/>
        <v>0</v>
      </c>
      <c r="T18">
        <f t="shared" si="3"/>
        <v>0</v>
      </c>
      <c r="U18" t="str">
        <f t="shared" si="4"/>
        <v>F</v>
      </c>
      <c r="V18">
        <f t="shared" si="5"/>
        <v>0</v>
      </c>
      <c r="X18" t="str">
        <f t="shared" si="6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7"/>
        <v>F</v>
      </c>
    </row>
    <row r="19" spans="16:28">
      <c r="Q19">
        <f t="shared" si="1"/>
        <v>0</v>
      </c>
      <c r="S19">
        <f t="shared" si="2"/>
        <v>0</v>
      </c>
      <c r="T19">
        <f t="shared" si="3"/>
        <v>0</v>
      </c>
      <c r="U19" t="str">
        <f t="shared" si="4"/>
        <v>F</v>
      </c>
      <c r="X19" t="str">
        <f t="shared" si="6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7"/>
        <v>F</v>
      </c>
    </row>
    <row r="20" spans="16:28">
      <c r="Q20">
        <f t="shared" si="1"/>
        <v>0</v>
      </c>
      <c r="S20">
        <f t="shared" si="2"/>
        <v>0</v>
      </c>
      <c r="T20">
        <f t="shared" si="3"/>
        <v>0</v>
      </c>
      <c r="U20" t="str">
        <f t="shared" si="4"/>
        <v>F</v>
      </c>
      <c r="X20" t="str">
        <f t="shared" si="6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7"/>
        <v>F</v>
      </c>
    </row>
    <row r="21" spans="16:28">
      <c r="Q21">
        <f t="shared" si="1"/>
        <v>0</v>
      </c>
      <c r="S21">
        <f t="shared" si="2"/>
        <v>0</v>
      </c>
      <c r="T21">
        <f t="shared" si="3"/>
        <v>0</v>
      </c>
      <c r="U21" t="str">
        <f t="shared" si="4"/>
        <v>F</v>
      </c>
      <c r="X21" t="str">
        <f t="shared" si="6"/>
        <v/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7"/>
        <v>F</v>
      </c>
    </row>
    <row r="22" spans="16:28">
      <c r="Q22">
        <f t="shared" si="1"/>
        <v>0</v>
      </c>
      <c r="S22">
        <f t="shared" si="2"/>
        <v>0</v>
      </c>
      <c r="T22">
        <f t="shared" si="3"/>
        <v>0</v>
      </c>
      <c r="U22" t="str">
        <f t="shared" si="4"/>
        <v>F</v>
      </c>
      <c r="X22" t="str">
        <f t="shared" si="6"/>
        <v/>
      </c>
      <c r="Y22" t="str">
        <f>IF(AND($W22="",$X22=""),IF($V22&gt;=86,"B+",IF($V22&gt;=82,"B",IF($V22&gt;=79,"B-",""))),"")</f>
        <v/>
      </c>
      <c r="Z22" t="str">
        <f>IF(AND($W22="",$X22="",$Y22=""),IF($V22&gt;=76,"C+",IF($V22&gt;=72,"C",IF($V22&gt;=69,"C-",""))),"")</f>
        <v/>
      </c>
      <c r="AB22" t="str">
        <f t="shared" si="7"/>
        <v>F</v>
      </c>
    </row>
    <row r="23" spans="16:28">
      <c r="S23">
        <f t="shared" si="2"/>
        <v>0</v>
      </c>
      <c r="T23">
        <f t="shared" si="3"/>
        <v>0</v>
      </c>
      <c r="U23" t="str">
        <f t="shared" si="4"/>
        <v>F</v>
      </c>
      <c r="X23" t="e">
        <f>IF(NOT(W23=F),IF(V23&gt;=92,"A",IF(V23&gt;=89,"A-","")),"")</f>
        <v>#NAME?</v>
      </c>
    </row>
  </sheetData>
  <printOptions gridLines="1" gridLinesSet="0"/>
  <pageMargins left="0.75" right="0.75" top="1" bottom="1" header="0.5" footer="0.5"/>
  <pageSetup paperSize="0" scale="58" orientation="landscape" horizontalDpi="4294967292" verticalDpi="4294967292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M1:AB23"/>
  <sheetViews>
    <sheetView workbookViewId="0">
      <selection activeCell="T22" sqref="T22"/>
    </sheetView>
  </sheetViews>
  <sheetFormatPr defaultColWidth="11.453125" defaultRowHeight="12.5"/>
  <cols>
    <col min="8" max="8" width="4.7265625" customWidth="1"/>
    <col min="9" max="9" width="4" customWidth="1"/>
    <col min="10" max="10" width="4.453125" customWidth="1"/>
    <col min="12" max="12" width="0.5429687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3:28">
      <c r="M1" t="s">
        <v>12</v>
      </c>
      <c r="N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3:28">
      <c r="P2">
        <f t="shared" ref="P2:P18" si="0">IF(O2&gt;0, O2+2, O2)</f>
        <v>0</v>
      </c>
      <c r="Q2">
        <f t="shared" ref="Q2:Q22" si="1">ROUND(((M2+N2+P2)-MIN(M2,N2,P2)) /2,1)</f>
        <v>0</v>
      </c>
      <c r="S2">
        <f t="shared" ref="S2:S23" si="2">ROUND(R2/146*100, 2)</f>
        <v>0</v>
      </c>
      <c r="T2">
        <f t="shared" ref="T2:T23" si="3">ROUND((2*Q2+S2)/3,2)</f>
        <v>0</v>
      </c>
      <c r="U2" t="str">
        <f t="shared" ref="U2:U23" si="4">IF(OR(K2&lt;59,T2&lt;59),"F", " ")</f>
        <v>F</v>
      </c>
      <c r="V2">
        <f t="shared" ref="V2:V18" si="5">ROUND(K2*0.4+Q2*0.4+S2*0.2,2)</f>
        <v>0</v>
      </c>
      <c r="X2" t="str">
        <f t="shared" ref="X2:X22" si="6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2" si="7">IF(V2&lt;59,"F","")</f>
        <v>F</v>
      </c>
    </row>
    <row r="3" spans="13:28">
      <c r="P3">
        <f t="shared" si="0"/>
        <v>0</v>
      </c>
      <c r="Q3">
        <f t="shared" si="1"/>
        <v>0</v>
      </c>
      <c r="S3">
        <f t="shared" si="2"/>
        <v>0</v>
      </c>
      <c r="T3">
        <f t="shared" si="3"/>
        <v>0</v>
      </c>
      <c r="U3" t="str">
        <f t="shared" si="4"/>
        <v>F</v>
      </c>
      <c r="V3">
        <f t="shared" si="5"/>
        <v>0</v>
      </c>
      <c r="X3" t="str">
        <f t="shared" si="6"/>
        <v/>
      </c>
      <c r="Y3" t="str">
        <f t="shared" ref="Y3:Y18" si="8">IF(AND($W3="",$X3=""),IF($V3&gt;=86,"B+",IF($V3&gt;=82,"B",IF($V3&gt;=79,"B-",""))),"")</f>
        <v/>
      </c>
      <c r="Z3" t="str">
        <f t="shared" ref="Z3:Z18" si="9">IF(AND($W3="",$X3="",$Y3=""),IF($V3&gt;=76,"C+",IF($V3&gt;=72,"C",IF($V3&gt;=69,"C-",""))),"")</f>
        <v/>
      </c>
      <c r="AA3" t="str">
        <f t="shared" ref="AA3:AA18" si="10">IF(AND($W3="",$X3="",$Y3="",$Z3=""),IF($V3&gt;=66,"D+",IF($V3&gt;=62,"D",IF($V3&gt;=59,"D-",""))),"")</f>
        <v/>
      </c>
      <c r="AB3" t="str">
        <f t="shared" si="7"/>
        <v>F</v>
      </c>
    </row>
    <row r="4" spans="13:28">
      <c r="P4">
        <f t="shared" si="0"/>
        <v>0</v>
      </c>
      <c r="Q4">
        <f t="shared" si="1"/>
        <v>0</v>
      </c>
      <c r="S4">
        <f t="shared" si="2"/>
        <v>0</v>
      </c>
      <c r="T4">
        <f t="shared" si="3"/>
        <v>0</v>
      </c>
      <c r="U4" t="str">
        <f t="shared" si="4"/>
        <v>F</v>
      </c>
      <c r="V4">
        <f t="shared" si="5"/>
        <v>0</v>
      </c>
      <c r="X4" t="str">
        <f t="shared" si="6"/>
        <v/>
      </c>
      <c r="Y4" t="str">
        <f t="shared" si="8"/>
        <v/>
      </c>
      <c r="Z4" t="str">
        <f t="shared" si="9"/>
        <v/>
      </c>
      <c r="AA4" t="str">
        <f t="shared" si="10"/>
        <v/>
      </c>
      <c r="AB4" t="str">
        <f t="shared" si="7"/>
        <v>F</v>
      </c>
    </row>
    <row r="5" spans="13:28">
      <c r="P5">
        <f t="shared" si="0"/>
        <v>0</v>
      </c>
      <c r="Q5">
        <f t="shared" si="1"/>
        <v>0</v>
      </c>
      <c r="S5">
        <f t="shared" si="2"/>
        <v>0</v>
      </c>
      <c r="T5">
        <f t="shared" si="3"/>
        <v>0</v>
      </c>
      <c r="U5" t="str">
        <f t="shared" si="4"/>
        <v>F</v>
      </c>
      <c r="V5">
        <f t="shared" si="5"/>
        <v>0</v>
      </c>
      <c r="X5" t="str">
        <f t="shared" si="6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7"/>
        <v>F</v>
      </c>
    </row>
    <row r="6" spans="13:28">
      <c r="P6">
        <f t="shared" si="0"/>
        <v>0</v>
      </c>
      <c r="Q6">
        <f t="shared" si="1"/>
        <v>0</v>
      </c>
      <c r="S6">
        <f t="shared" si="2"/>
        <v>0</v>
      </c>
      <c r="T6">
        <f t="shared" si="3"/>
        <v>0</v>
      </c>
      <c r="U6" t="str">
        <f t="shared" si="4"/>
        <v>F</v>
      </c>
      <c r="V6">
        <f t="shared" si="5"/>
        <v>0</v>
      </c>
      <c r="X6" t="str">
        <f t="shared" si="6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7"/>
        <v>F</v>
      </c>
    </row>
    <row r="7" spans="13:28">
      <c r="P7">
        <f t="shared" si="0"/>
        <v>0</v>
      </c>
      <c r="Q7">
        <f t="shared" si="1"/>
        <v>0</v>
      </c>
      <c r="S7">
        <f t="shared" si="2"/>
        <v>0</v>
      </c>
      <c r="T7">
        <f t="shared" si="3"/>
        <v>0</v>
      </c>
      <c r="U7" t="str">
        <f t="shared" si="4"/>
        <v>F</v>
      </c>
      <c r="V7">
        <f t="shared" si="5"/>
        <v>0</v>
      </c>
      <c r="X7" t="str">
        <f t="shared" si="6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7"/>
        <v>F</v>
      </c>
    </row>
    <row r="8" spans="13:28">
      <c r="P8">
        <f t="shared" si="0"/>
        <v>0</v>
      </c>
      <c r="Q8">
        <f t="shared" si="1"/>
        <v>0</v>
      </c>
      <c r="S8">
        <f t="shared" si="2"/>
        <v>0</v>
      </c>
      <c r="T8">
        <f t="shared" si="3"/>
        <v>0</v>
      </c>
      <c r="U8" t="str">
        <f t="shared" si="4"/>
        <v>F</v>
      </c>
      <c r="V8">
        <f t="shared" si="5"/>
        <v>0</v>
      </c>
      <c r="X8" t="str">
        <f t="shared" si="6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7"/>
        <v>F</v>
      </c>
    </row>
    <row r="9" spans="13:28">
      <c r="P9">
        <f t="shared" si="0"/>
        <v>0</v>
      </c>
      <c r="Q9">
        <f t="shared" si="1"/>
        <v>0</v>
      </c>
      <c r="S9">
        <f t="shared" si="2"/>
        <v>0</v>
      </c>
      <c r="T9">
        <f t="shared" si="3"/>
        <v>0</v>
      </c>
      <c r="U9" t="str">
        <f t="shared" si="4"/>
        <v>F</v>
      </c>
      <c r="V9">
        <f t="shared" si="5"/>
        <v>0</v>
      </c>
      <c r="X9" t="str">
        <f t="shared" si="6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7"/>
        <v>F</v>
      </c>
    </row>
    <row r="10" spans="13:28">
      <c r="P10">
        <f t="shared" si="0"/>
        <v>0</v>
      </c>
      <c r="Q10">
        <f t="shared" si="1"/>
        <v>0</v>
      </c>
      <c r="S10">
        <f t="shared" si="2"/>
        <v>0</v>
      </c>
      <c r="T10">
        <f t="shared" si="3"/>
        <v>0</v>
      </c>
      <c r="U10" t="str">
        <f t="shared" si="4"/>
        <v>F</v>
      </c>
      <c r="V10">
        <f t="shared" si="5"/>
        <v>0</v>
      </c>
      <c r="X10" t="str">
        <f t="shared" si="6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7"/>
        <v>F</v>
      </c>
    </row>
    <row r="11" spans="13:28">
      <c r="P11">
        <f t="shared" si="0"/>
        <v>0</v>
      </c>
      <c r="Q11">
        <f t="shared" si="1"/>
        <v>0</v>
      </c>
      <c r="S11">
        <f t="shared" si="2"/>
        <v>0</v>
      </c>
      <c r="T11">
        <f t="shared" si="3"/>
        <v>0</v>
      </c>
      <c r="U11" t="str">
        <f t="shared" si="4"/>
        <v>F</v>
      </c>
      <c r="V11">
        <f t="shared" si="5"/>
        <v>0</v>
      </c>
      <c r="X11" t="str">
        <f t="shared" si="6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7"/>
        <v>F</v>
      </c>
    </row>
    <row r="12" spans="13:28">
      <c r="P12">
        <f t="shared" si="0"/>
        <v>0</v>
      </c>
      <c r="Q12">
        <f t="shared" si="1"/>
        <v>0</v>
      </c>
      <c r="S12">
        <f t="shared" si="2"/>
        <v>0</v>
      </c>
      <c r="T12">
        <f t="shared" si="3"/>
        <v>0</v>
      </c>
      <c r="U12" t="str">
        <f t="shared" si="4"/>
        <v>F</v>
      </c>
      <c r="V12">
        <f t="shared" si="5"/>
        <v>0</v>
      </c>
      <c r="X12" t="str">
        <f t="shared" si="6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7"/>
        <v>F</v>
      </c>
    </row>
    <row r="13" spans="13:28">
      <c r="P13">
        <f t="shared" si="0"/>
        <v>0</v>
      </c>
      <c r="Q13">
        <f t="shared" si="1"/>
        <v>0</v>
      </c>
      <c r="S13">
        <f t="shared" si="2"/>
        <v>0</v>
      </c>
      <c r="T13">
        <f t="shared" si="3"/>
        <v>0</v>
      </c>
      <c r="U13" t="str">
        <f t="shared" si="4"/>
        <v>F</v>
      </c>
      <c r="V13">
        <f t="shared" si="5"/>
        <v>0</v>
      </c>
      <c r="X13" t="str">
        <f t="shared" si="6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7"/>
        <v>F</v>
      </c>
    </row>
    <row r="14" spans="13:28">
      <c r="P14">
        <f t="shared" si="0"/>
        <v>0</v>
      </c>
      <c r="Q14">
        <f t="shared" si="1"/>
        <v>0</v>
      </c>
      <c r="S14">
        <f t="shared" si="2"/>
        <v>0</v>
      </c>
      <c r="T14">
        <f t="shared" si="3"/>
        <v>0</v>
      </c>
      <c r="U14" t="str">
        <f t="shared" si="4"/>
        <v>F</v>
      </c>
      <c r="V14">
        <f t="shared" si="5"/>
        <v>0</v>
      </c>
      <c r="X14" t="str">
        <f t="shared" si="6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7"/>
        <v>F</v>
      </c>
    </row>
    <row r="15" spans="13:28">
      <c r="P15">
        <f t="shared" si="0"/>
        <v>0</v>
      </c>
      <c r="Q15">
        <f t="shared" si="1"/>
        <v>0</v>
      </c>
      <c r="S15">
        <f t="shared" si="2"/>
        <v>0</v>
      </c>
      <c r="T15">
        <f t="shared" si="3"/>
        <v>0</v>
      </c>
      <c r="U15" t="str">
        <f t="shared" si="4"/>
        <v>F</v>
      </c>
      <c r="V15">
        <f t="shared" si="5"/>
        <v>0</v>
      </c>
      <c r="X15" t="str">
        <f t="shared" si="6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7"/>
        <v>F</v>
      </c>
    </row>
    <row r="16" spans="13:28">
      <c r="P16">
        <f t="shared" si="0"/>
        <v>0</v>
      </c>
      <c r="Q16">
        <f t="shared" si="1"/>
        <v>0</v>
      </c>
      <c r="S16">
        <f t="shared" si="2"/>
        <v>0</v>
      </c>
      <c r="T16">
        <f t="shared" si="3"/>
        <v>0</v>
      </c>
      <c r="U16" t="str">
        <f t="shared" si="4"/>
        <v>F</v>
      </c>
      <c r="V16">
        <f t="shared" si="5"/>
        <v>0</v>
      </c>
      <c r="X16" t="str">
        <f t="shared" si="6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7"/>
        <v>F</v>
      </c>
    </row>
    <row r="17" spans="16:28">
      <c r="P17">
        <f t="shared" si="0"/>
        <v>0</v>
      </c>
      <c r="Q17">
        <f t="shared" si="1"/>
        <v>0</v>
      </c>
      <c r="S17">
        <f t="shared" si="2"/>
        <v>0</v>
      </c>
      <c r="T17">
        <f t="shared" si="3"/>
        <v>0</v>
      </c>
      <c r="U17" t="str">
        <f t="shared" si="4"/>
        <v>F</v>
      </c>
      <c r="V17">
        <f t="shared" si="5"/>
        <v>0</v>
      </c>
      <c r="X17" t="str">
        <f t="shared" si="6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7"/>
        <v>F</v>
      </c>
    </row>
    <row r="18" spans="16:28">
      <c r="P18">
        <f t="shared" si="0"/>
        <v>0</v>
      </c>
      <c r="Q18">
        <f t="shared" si="1"/>
        <v>0</v>
      </c>
      <c r="S18">
        <f t="shared" si="2"/>
        <v>0</v>
      </c>
      <c r="T18">
        <f t="shared" si="3"/>
        <v>0</v>
      </c>
      <c r="U18" t="str">
        <f t="shared" si="4"/>
        <v>F</v>
      </c>
      <c r="V18">
        <f t="shared" si="5"/>
        <v>0</v>
      </c>
      <c r="X18" t="str">
        <f t="shared" si="6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7"/>
        <v>F</v>
      </c>
    </row>
    <row r="19" spans="16:28">
      <c r="Q19">
        <f t="shared" si="1"/>
        <v>0</v>
      </c>
      <c r="S19">
        <f t="shared" si="2"/>
        <v>0</v>
      </c>
      <c r="T19">
        <f t="shared" si="3"/>
        <v>0</v>
      </c>
      <c r="U19" t="str">
        <f t="shared" si="4"/>
        <v>F</v>
      </c>
      <c r="X19" t="str">
        <f t="shared" si="6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7"/>
        <v>F</v>
      </c>
    </row>
    <row r="20" spans="16:28">
      <c r="Q20">
        <f t="shared" si="1"/>
        <v>0</v>
      </c>
      <c r="S20">
        <f t="shared" si="2"/>
        <v>0</v>
      </c>
      <c r="T20">
        <f t="shared" si="3"/>
        <v>0</v>
      </c>
      <c r="U20" t="str">
        <f t="shared" si="4"/>
        <v>F</v>
      </c>
      <c r="X20" t="str">
        <f t="shared" si="6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7"/>
        <v>F</v>
      </c>
    </row>
    <row r="21" spans="16:28">
      <c r="Q21">
        <f t="shared" si="1"/>
        <v>0</v>
      </c>
      <c r="S21">
        <f t="shared" si="2"/>
        <v>0</v>
      </c>
      <c r="T21">
        <f t="shared" si="3"/>
        <v>0</v>
      </c>
      <c r="U21" t="str">
        <f t="shared" si="4"/>
        <v>F</v>
      </c>
      <c r="X21" t="str">
        <f t="shared" si="6"/>
        <v/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7"/>
        <v>F</v>
      </c>
    </row>
    <row r="22" spans="16:28">
      <c r="Q22">
        <f t="shared" si="1"/>
        <v>0</v>
      </c>
      <c r="S22">
        <f t="shared" si="2"/>
        <v>0</v>
      </c>
      <c r="T22">
        <f t="shared" si="3"/>
        <v>0</v>
      </c>
      <c r="U22" t="str">
        <f t="shared" si="4"/>
        <v>F</v>
      </c>
      <c r="X22" t="str">
        <f t="shared" si="6"/>
        <v/>
      </c>
      <c r="Y22" t="str">
        <f>IF(AND($W22="",$X22=""),IF($V22&gt;=86,"B+",IF($V22&gt;=82,"B",IF($V22&gt;=79,"B-",""))),"")</f>
        <v/>
      </c>
      <c r="Z22" t="str">
        <f>IF(AND($W22="",$X22="",$Y22=""),IF($V22&gt;=76,"C+",IF($V22&gt;=72,"C",IF($V22&gt;=69,"C-",""))),"")</f>
        <v/>
      </c>
      <c r="AB22" t="str">
        <f t="shared" si="7"/>
        <v>F</v>
      </c>
    </row>
    <row r="23" spans="16:28">
      <c r="S23">
        <f t="shared" si="2"/>
        <v>0</v>
      </c>
      <c r="T23">
        <f t="shared" si="3"/>
        <v>0</v>
      </c>
      <c r="U23" t="str">
        <f t="shared" si="4"/>
        <v>F</v>
      </c>
      <c r="X23" t="e">
        <f>IF(NOT(W23=F),IF(V23&gt;=92,"A",IF(V23&gt;=89,"A-","")),"")</f>
        <v>#NAME?</v>
      </c>
    </row>
  </sheetData>
  <printOptions gridLines="1" gridLinesSet="0"/>
  <pageMargins left="0.75" right="0.75" top="1" bottom="1" header="0.5" footer="0.5"/>
  <pageSetup paperSize="0" scale="58" orientation="landscape" horizontalDpi="4294967292" verticalDpi="4294967292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M1:AB23"/>
  <sheetViews>
    <sheetView tabSelected="1" workbookViewId="0">
      <selection activeCell="T22" sqref="T22"/>
    </sheetView>
  </sheetViews>
  <sheetFormatPr defaultColWidth="11.453125" defaultRowHeight="12.5"/>
  <cols>
    <col min="8" max="8" width="4.7265625" customWidth="1"/>
    <col min="9" max="9" width="4" customWidth="1"/>
    <col min="10" max="10" width="4.453125" customWidth="1"/>
    <col min="12" max="12" width="0.54296875" customWidth="1"/>
    <col min="14" max="14" width="4.26953125" customWidth="1"/>
    <col min="15" max="15" width="0.453125" customWidth="1"/>
    <col min="16" max="16" width="4.26953125" customWidth="1"/>
    <col min="17" max="17" width="5.54296875" customWidth="1"/>
    <col min="18" max="18" width="4.81640625" customWidth="1"/>
    <col min="19" max="19" width="5.81640625" customWidth="1"/>
    <col min="20" max="20" width="5" customWidth="1"/>
    <col min="21" max="21" width="6.26953125" customWidth="1"/>
    <col min="22" max="22" width="5.7265625" customWidth="1"/>
    <col min="23" max="28" width="2.7265625" customWidth="1"/>
  </cols>
  <sheetData>
    <row r="1" spans="13:28">
      <c r="M1" t="s">
        <v>12</v>
      </c>
      <c r="N1" t="s">
        <v>13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3:28">
      <c r="P2">
        <f t="shared" ref="P2:P18" si="0">IF(O2&gt;0, O2+2, O2)</f>
        <v>0</v>
      </c>
      <c r="Q2">
        <f t="shared" ref="Q2:Q22" si="1">ROUND(((M2+N2+P2)-MIN(M2,N2,P2)) /2,1)</f>
        <v>0</v>
      </c>
      <c r="S2">
        <f t="shared" ref="S2:S23" si="2">ROUND(R2/146*100, 2)</f>
        <v>0</v>
      </c>
      <c r="T2">
        <f t="shared" ref="T2:T23" si="3">ROUND((2*Q2+S2)/3,2)</f>
        <v>0</v>
      </c>
      <c r="U2" t="str">
        <f t="shared" ref="U2:U23" si="4">IF(OR(K2&lt;59,T2&lt;59),"F", " ")</f>
        <v>F</v>
      </c>
      <c r="V2">
        <f t="shared" ref="V2:V18" si="5">ROUND(K2*0.4+Q2*0.4+S2*0.2,2)</f>
        <v>0</v>
      </c>
      <c r="X2" t="str">
        <f t="shared" ref="X2:X22" si="6">IF(NOT(W2="F"),IF(V2&gt;=92,"A",IF(V2&gt;=89,"A-","")),"")</f>
        <v/>
      </c>
      <c r="Y2" t="str">
        <f>IF(AND($W2="",$X2=""),IF($V2&gt;=86,"B+",IF($V2&gt;=82,"B",IF($V2&gt;=79,"B-",""))),"")</f>
        <v/>
      </c>
      <c r="Z2" t="str">
        <f>IF(AND($W2="",$X2="",$Y2=""),IF($V2&gt;=76,"C+",IF($V2&gt;=72,"C",IF($V2&gt;=69,"C-",""))),"")</f>
        <v/>
      </c>
      <c r="AA2" t="str">
        <f>IF(AND($W2="",$X2="",$Y2="",$Z2=""),IF($V2&gt;=66,"D+",IF($V2&gt;=62,"D",IF($V2&gt;=59,"D-",""))),"")</f>
        <v/>
      </c>
      <c r="AB2" t="str">
        <f t="shared" ref="AB2:AB22" si="7">IF(V2&lt;59,"F","")</f>
        <v>F</v>
      </c>
    </row>
    <row r="3" spans="13:28">
      <c r="P3">
        <f t="shared" si="0"/>
        <v>0</v>
      </c>
      <c r="Q3">
        <f t="shared" si="1"/>
        <v>0</v>
      </c>
      <c r="S3">
        <f t="shared" si="2"/>
        <v>0</v>
      </c>
      <c r="T3">
        <f t="shared" si="3"/>
        <v>0</v>
      </c>
      <c r="U3" t="str">
        <f t="shared" si="4"/>
        <v>F</v>
      </c>
      <c r="V3">
        <f t="shared" si="5"/>
        <v>0</v>
      </c>
      <c r="X3" t="str">
        <f t="shared" si="6"/>
        <v/>
      </c>
      <c r="Y3" t="str">
        <f t="shared" ref="Y3:Y18" si="8">IF(AND($W3="",$X3=""),IF($V3&gt;=86,"B+",IF($V3&gt;=82,"B",IF($V3&gt;=79,"B-",""))),"")</f>
        <v/>
      </c>
      <c r="Z3" t="str">
        <f t="shared" ref="Z3:Z18" si="9">IF(AND($W3="",$X3="",$Y3=""),IF($V3&gt;=76,"C+",IF($V3&gt;=72,"C",IF($V3&gt;=69,"C-",""))),"")</f>
        <v/>
      </c>
      <c r="AA3" t="str">
        <f t="shared" ref="AA3:AA18" si="10">IF(AND($W3="",$X3="",$Y3="",$Z3=""),IF($V3&gt;=66,"D+",IF($V3&gt;=62,"D",IF($V3&gt;=59,"D-",""))),"")</f>
        <v/>
      </c>
      <c r="AB3" t="str">
        <f t="shared" si="7"/>
        <v>F</v>
      </c>
    </row>
    <row r="4" spans="13:28">
      <c r="P4">
        <f t="shared" si="0"/>
        <v>0</v>
      </c>
      <c r="Q4">
        <f t="shared" si="1"/>
        <v>0</v>
      </c>
      <c r="S4">
        <f t="shared" si="2"/>
        <v>0</v>
      </c>
      <c r="T4">
        <f t="shared" si="3"/>
        <v>0</v>
      </c>
      <c r="U4" t="str">
        <f t="shared" si="4"/>
        <v>F</v>
      </c>
      <c r="V4">
        <f t="shared" si="5"/>
        <v>0</v>
      </c>
      <c r="X4" t="str">
        <f t="shared" si="6"/>
        <v/>
      </c>
      <c r="Y4" t="str">
        <f t="shared" si="8"/>
        <v/>
      </c>
      <c r="Z4" t="str">
        <f t="shared" si="9"/>
        <v/>
      </c>
      <c r="AA4" t="str">
        <f t="shared" si="10"/>
        <v/>
      </c>
      <c r="AB4" t="str">
        <f t="shared" si="7"/>
        <v>F</v>
      </c>
    </row>
    <row r="5" spans="13:28">
      <c r="P5">
        <f t="shared" si="0"/>
        <v>0</v>
      </c>
      <c r="Q5">
        <f t="shared" si="1"/>
        <v>0</v>
      </c>
      <c r="S5">
        <f t="shared" si="2"/>
        <v>0</v>
      </c>
      <c r="T5">
        <f t="shared" si="3"/>
        <v>0</v>
      </c>
      <c r="U5" t="str">
        <f t="shared" si="4"/>
        <v>F</v>
      </c>
      <c r="V5">
        <f t="shared" si="5"/>
        <v>0</v>
      </c>
      <c r="X5" t="str">
        <f t="shared" si="6"/>
        <v/>
      </c>
      <c r="Y5" t="str">
        <f t="shared" si="8"/>
        <v/>
      </c>
      <c r="Z5" t="str">
        <f t="shared" si="9"/>
        <v/>
      </c>
      <c r="AA5" t="str">
        <f t="shared" si="10"/>
        <v/>
      </c>
      <c r="AB5" t="str">
        <f t="shared" si="7"/>
        <v>F</v>
      </c>
    </row>
    <row r="6" spans="13:28">
      <c r="P6">
        <f t="shared" si="0"/>
        <v>0</v>
      </c>
      <c r="Q6">
        <f t="shared" si="1"/>
        <v>0</v>
      </c>
      <c r="S6">
        <f t="shared" si="2"/>
        <v>0</v>
      </c>
      <c r="T6">
        <f t="shared" si="3"/>
        <v>0</v>
      </c>
      <c r="U6" t="str">
        <f t="shared" si="4"/>
        <v>F</v>
      </c>
      <c r="V6">
        <f t="shared" si="5"/>
        <v>0</v>
      </c>
      <c r="X6" t="str">
        <f t="shared" si="6"/>
        <v/>
      </c>
      <c r="Y6" t="str">
        <f t="shared" si="8"/>
        <v/>
      </c>
      <c r="Z6" t="str">
        <f t="shared" si="9"/>
        <v/>
      </c>
      <c r="AA6" t="str">
        <f t="shared" si="10"/>
        <v/>
      </c>
      <c r="AB6" t="str">
        <f t="shared" si="7"/>
        <v>F</v>
      </c>
    </row>
    <row r="7" spans="13:28">
      <c r="P7">
        <f t="shared" si="0"/>
        <v>0</v>
      </c>
      <c r="Q7">
        <f t="shared" si="1"/>
        <v>0</v>
      </c>
      <c r="S7">
        <f t="shared" si="2"/>
        <v>0</v>
      </c>
      <c r="T7">
        <f t="shared" si="3"/>
        <v>0</v>
      </c>
      <c r="U7" t="str">
        <f t="shared" si="4"/>
        <v>F</v>
      </c>
      <c r="V7">
        <f t="shared" si="5"/>
        <v>0</v>
      </c>
      <c r="X7" t="str">
        <f t="shared" si="6"/>
        <v/>
      </c>
      <c r="Y7" t="str">
        <f t="shared" si="8"/>
        <v/>
      </c>
      <c r="Z7" t="str">
        <f t="shared" si="9"/>
        <v/>
      </c>
      <c r="AA7" t="str">
        <f t="shared" si="10"/>
        <v/>
      </c>
      <c r="AB7" t="str">
        <f t="shared" si="7"/>
        <v>F</v>
      </c>
    </row>
    <row r="8" spans="13:28">
      <c r="P8">
        <f t="shared" si="0"/>
        <v>0</v>
      </c>
      <c r="Q8">
        <f t="shared" si="1"/>
        <v>0</v>
      </c>
      <c r="S8">
        <f t="shared" si="2"/>
        <v>0</v>
      </c>
      <c r="T8">
        <f t="shared" si="3"/>
        <v>0</v>
      </c>
      <c r="U8" t="str">
        <f t="shared" si="4"/>
        <v>F</v>
      </c>
      <c r="V8">
        <f t="shared" si="5"/>
        <v>0</v>
      </c>
      <c r="X8" t="str">
        <f t="shared" si="6"/>
        <v/>
      </c>
      <c r="Y8" t="str">
        <f t="shared" si="8"/>
        <v/>
      </c>
      <c r="Z8" t="str">
        <f t="shared" si="9"/>
        <v/>
      </c>
      <c r="AA8" t="str">
        <f t="shared" si="10"/>
        <v/>
      </c>
      <c r="AB8" t="str">
        <f t="shared" si="7"/>
        <v>F</v>
      </c>
    </row>
    <row r="9" spans="13:28">
      <c r="P9">
        <f t="shared" si="0"/>
        <v>0</v>
      </c>
      <c r="Q9">
        <f t="shared" si="1"/>
        <v>0</v>
      </c>
      <c r="S9">
        <f t="shared" si="2"/>
        <v>0</v>
      </c>
      <c r="T9">
        <f t="shared" si="3"/>
        <v>0</v>
      </c>
      <c r="U9" t="str">
        <f t="shared" si="4"/>
        <v>F</v>
      </c>
      <c r="V9">
        <f t="shared" si="5"/>
        <v>0</v>
      </c>
      <c r="X9" t="str">
        <f t="shared" si="6"/>
        <v/>
      </c>
      <c r="Y9" t="str">
        <f t="shared" si="8"/>
        <v/>
      </c>
      <c r="Z9" t="str">
        <f t="shared" si="9"/>
        <v/>
      </c>
      <c r="AA9" t="str">
        <f t="shared" si="10"/>
        <v/>
      </c>
      <c r="AB9" t="str">
        <f t="shared" si="7"/>
        <v>F</v>
      </c>
    </row>
    <row r="10" spans="13:28">
      <c r="P10">
        <f t="shared" si="0"/>
        <v>0</v>
      </c>
      <c r="Q10">
        <f t="shared" si="1"/>
        <v>0</v>
      </c>
      <c r="S10">
        <f t="shared" si="2"/>
        <v>0</v>
      </c>
      <c r="T10">
        <f t="shared" si="3"/>
        <v>0</v>
      </c>
      <c r="U10" t="str">
        <f t="shared" si="4"/>
        <v>F</v>
      </c>
      <c r="V10">
        <f t="shared" si="5"/>
        <v>0</v>
      </c>
      <c r="X10" t="str">
        <f t="shared" si="6"/>
        <v/>
      </c>
      <c r="Y10" t="str">
        <f t="shared" si="8"/>
        <v/>
      </c>
      <c r="Z10" t="str">
        <f t="shared" si="9"/>
        <v/>
      </c>
      <c r="AA10" t="str">
        <f t="shared" si="10"/>
        <v/>
      </c>
      <c r="AB10" t="str">
        <f t="shared" si="7"/>
        <v>F</v>
      </c>
    </row>
    <row r="11" spans="13:28">
      <c r="P11">
        <f t="shared" si="0"/>
        <v>0</v>
      </c>
      <c r="Q11">
        <f t="shared" si="1"/>
        <v>0</v>
      </c>
      <c r="S11">
        <f t="shared" si="2"/>
        <v>0</v>
      </c>
      <c r="T11">
        <f t="shared" si="3"/>
        <v>0</v>
      </c>
      <c r="U11" t="str">
        <f t="shared" si="4"/>
        <v>F</v>
      </c>
      <c r="V11">
        <f t="shared" si="5"/>
        <v>0</v>
      </c>
      <c r="X11" t="str">
        <f t="shared" si="6"/>
        <v/>
      </c>
      <c r="Y11" t="str">
        <f t="shared" si="8"/>
        <v/>
      </c>
      <c r="Z11" t="str">
        <f t="shared" si="9"/>
        <v/>
      </c>
      <c r="AA11" t="str">
        <f t="shared" si="10"/>
        <v/>
      </c>
      <c r="AB11" t="str">
        <f t="shared" si="7"/>
        <v>F</v>
      </c>
    </row>
    <row r="12" spans="13:28">
      <c r="P12">
        <f t="shared" si="0"/>
        <v>0</v>
      </c>
      <c r="Q12">
        <f t="shared" si="1"/>
        <v>0</v>
      </c>
      <c r="S12">
        <f t="shared" si="2"/>
        <v>0</v>
      </c>
      <c r="T12">
        <f t="shared" si="3"/>
        <v>0</v>
      </c>
      <c r="U12" t="str">
        <f t="shared" si="4"/>
        <v>F</v>
      </c>
      <c r="V12">
        <f t="shared" si="5"/>
        <v>0</v>
      </c>
      <c r="X12" t="str">
        <f t="shared" si="6"/>
        <v/>
      </c>
      <c r="Y12" t="str">
        <f t="shared" si="8"/>
        <v/>
      </c>
      <c r="Z12" t="str">
        <f t="shared" si="9"/>
        <v/>
      </c>
      <c r="AA12" t="str">
        <f t="shared" si="10"/>
        <v/>
      </c>
      <c r="AB12" t="str">
        <f t="shared" si="7"/>
        <v>F</v>
      </c>
    </row>
    <row r="13" spans="13:28">
      <c r="P13">
        <f t="shared" si="0"/>
        <v>0</v>
      </c>
      <c r="Q13">
        <f t="shared" si="1"/>
        <v>0</v>
      </c>
      <c r="S13">
        <f t="shared" si="2"/>
        <v>0</v>
      </c>
      <c r="T13">
        <f t="shared" si="3"/>
        <v>0</v>
      </c>
      <c r="U13" t="str">
        <f t="shared" si="4"/>
        <v>F</v>
      </c>
      <c r="V13">
        <f t="shared" si="5"/>
        <v>0</v>
      </c>
      <c r="X13" t="str">
        <f t="shared" si="6"/>
        <v/>
      </c>
      <c r="Y13" t="str">
        <f t="shared" si="8"/>
        <v/>
      </c>
      <c r="Z13" t="str">
        <f t="shared" si="9"/>
        <v/>
      </c>
      <c r="AA13" t="str">
        <f t="shared" si="10"/>
        <v/>
      </c>
      <c r="AB13" t="str">
        <f t="shared" si="7"/>
        <v>F</v>
      </c>
    </row>
    <row r="14" spans="13:28">
      <c r="P14">
        <f t="shared" si="0"/>
        <v>0</v>
      </c>
      <c r="Q14">
        <f t="shared" si="1"/>
        <v>0</v>
      </c>
      <c r="S14">
        <f t="shared" si="2"/>
        <v>0</v>
      </c>
      <c r="T14">
        <f t="shared" si="3"/>
        <v>0</v>
      </c>
      <c r="U14" t="str">
        <f t="shared" si="4"/>
        <v>F</v>
      </c>
      <c r="V14">
        <f t="shared" si="5"/>
        <v>0</v>
      </c>
      <c r="X14" t="str">
        <f t="shared" si="6"/>
        <v/>
      </c>
      <c r="Y14" t="str">
        <f t="shared" si="8"/>
        <v/>
      </c>
      <c r="Z14" t="str">
        <f t="shared" si="9"/>
        <v/>
      </c>
      <c r="AA14" t="str">
        <f t="shared" si="10"/>
        <v/>
      </c>
      <c r="AB14" t="str">
        <f t="shared" si="7"/>
        <v>F</v>
      </c>
    </row>
    <row r="15" spans="13:28">
      <c r="P15">
        <f t="shared" si="0"/>
        <v>0</v>
      </c>
      <c r="Q15">
        <f t="shared" si="1"/>
        <v>0</v>
      </c>
      <c r="S15">
        <f t="shared" si="2"/>
        <v>0</v>
      </c>
      <c r="T15">
        <f t="shared" si="3"/>
        <v>0</v>
      </c>
      <c r="U15" t="str">
        <f t="shared" si="4"/>
        <v>F</v>
      </c>
      <c r="V15">
        <f t="shared" si="5"/>
        <v>0</v>
      </c>
      <c r="X15" t="str">
        <f t="shared" si="6"/>
        <v/>
      </c>
      <c r="Y15" t="str">
        <f t="shared" si="8"/>
        <v/>
      </c>
      <c r="Z15" t="str">
        <f t="shared" si="9"/>
        <v/>
      </c>
      <c r="AA15" t="str">
        <f t="shared" si="10"/>
        <v/>
      </c>
      <c r="AB15" t="str">
        <f t="shared" si="7"/>
        <v>F</v>
      </c>
    </row>
    <row r="16" spans="13:28">
      <c r="P16">
        <f t="shared" si="0"/>
        <v>0</v>
      </c>
      <c r="Q16">
        <f t="shared" si="1"/>
        <v>0</v>
      </c>
      <c r="S16">
        <f t="shared" si="2"/>
        <v>0</v>
      </c>
      <c r="T16">
        <f t="shared" si="3"/>
        <v>0</v>
      </c>
      <c r="U16" t="str">
        <f t="shared" si="4"/>
        <v>F</v>
      </c>
      <c r="V16">
        <f t="shared" si="5"/>
        <v>0</v>
      </c>
      <c r="X16" t="str">
        <f t="shared" si="6"/>
        <v/>
      </c>
      <c r="Y16" t="str">
        <f t="shared" si="8"/>
        <v/>
      </c>
      <c r="Z16" t="str">
        <f t="shared" si="9"/>
        <v/>
      </c>
      <c r="AA16" t="str">
        <f t="shared" si="10"/>
        <v/>
      </c>
      <c r="AB16" t="str">
        <f t="shared" si="7"/>
        <v>F</v>
      </c>
    </row>
    <row r="17" spans="16:28">
      <c r="P17">
        <f t="shared" si="0"/>
        <v>0</v>
      </c>
      <c r="Q17">
        <f t="shared" si="1"/>
        <v>0</v>
      </c>
      <c r="S17">
        <f t="shared" si="2"/>
        <v>0</v>
      </c>
      <c r="T17">
        <f t="shared" si="3"/>
        <v>0</v>
      </c>
      <c r="U17" t="str">
        <f t="shared" si="4"/>
        <v>F</v>
      </c>
      <c r="V17">
        <f t="shared" si="5"/>
        <v>0</v>
      </c>
      <c r="X17" t="str">
        <f t="shared" si="6"/>
        <v/>
      </c>
      <c r="Y17" t="str">
        <f t="shared" si="8"/>
        <v/>
      </c>
      <c r="Z17" t="str">
        <f t="shared" si="9"/>
        <v/>
      </c>
      <c r="AA17" t="str">
        <f t="shared" si="10"/>
        <v/>
      </c>
      <c r="AB17" t="str">
        <f t="shared" si="7"/>
        <v>F</v>
      </c>
    </row>
    <row r="18" spans="16:28">
      <c r="P18">
        <f t="shared" si="0"/>
        <v>0</v>
      </c>
      <c r="Q18">
        <f t="shared" si="1"/>
        <v>0</v>
      </c>
      <c r="S18">
        <f t="shared" si="2"/>
        <v>0</v>
      </c>
      <c r="T18">
        <f t="shared" si="3"/>
        <v>0</v>
      </c>
      <c r="U18" t="str">
        <f t="shared" si="4"/>
        <v>F</v>
      </c>
      <c r="V18">
        <f t="shared" si="5"/>
        <v>0</v>
      </c>
      <c r="X18" t="str">
        <f t="shared" si="6"/>
        <v/>
      </c>
      <c r="Y18" t="str">
        <f t="shared" si="8"/>
        <v/>
      </c>
      <c r="Z18" t="str">
        <f t="shared" si="9"/>
        <v/>
      </c>
      <c r="AA18" t="str">
        <f t="shared" si="10"/>
        <v/>
      </c>
      <c r="AB18" t="str">
        <f t="shared" si="7"/>
        <v>F</v>
      </c>
    </row>
    <row r="19" spans="16:28">
      <c r="Q19">
        <f t="shared" si="1"/>
        <v>0</v>
      </c>
      <c r="S19">
        <f t="shared" si="2"/>
        <v>0</v>
      </c>
      <c r="T19">
        <f t="shared" si="3"/>
        <v>0</v>
      </c>
      <c r="U19" t="str">
        <f t="shared" si="4"/>
        <v>F</v>
      </c>
      <c r="X19" t="str">
        <f t="shared" si="6"/>
        <v/>
      </c>
      <c r="Y19" t="str">
        <f>IF(AND($W19="",$X19=""),IF($V19&gt;=86,"B+",IF($V19&gt;=82,"B",IF($V19&gt;=79,"B-",""))),"")</f>
        <v/>
      </c>
      <c r="Z19" t="str">
        <f>IF(AND($W19="",$X19="",$Y19=""),IF($V19&gt;=76,"C+",IF($V19&gt;=72,"C",IF($V19&gt;=69,"C-",""))),"")</f>
        <v/>
      </c>
      <c r="AA19" t="str">
        <f>IF(AND($W19="",$X19="",$Y19="",$Z19=""),IF($V19&gt;=66,"D+",IF($V19&gt;=62,"D",IF($V19&gt;=59,"D-",""))),"")</f>
        <v/>
      </c>
      <c r="AB19" t="str">
        <f t="shared" si="7"/>
        <v>F</v>
      </c>
    </row>
    <row r="20" spans="16:28">
      <c r="Q20">
        <f t="shared" si="1"/>
        <v>0</v>
      </c>
      <c r="S20">
        <f t="shared" si="2"/>
        <v>0</v>
      </c>
      <c r="T20">
        <f t="shared" si="3"/>
        <v>0</v>
      </c>
      <c r="U20" t="str">
        <f t="shared" si="4"/>
        <v>F</v>
      </c>
      <c r="X20" t="str">
        <f t="shared" si="6"/>
        <v/>
      </c>
      <c r="Y20" t="str">
        <f>IF(AND($W20="",$X20=""),IF($V20&gt;=86,"B+",IF($V20&gt;=82,"B",IF($V20&gt;=79,"B-",""))),"")</f>
        <v/>
      </c>
      <c r="Z20" t="str">
        <f>IF(AND($W20="",$X20="",$Y20=""),IF($V20&gt;=76,"C+",IF($V20&gt;=72,"C",IF($V20&gt;=69,"C-",""))),"")</f>
        <v/>
      </c>
      <c r="AA20" t="str">
        <f>IF(AND($W20="",$X20="",$Y20="",$Z20=""),IF($V20&gt;=66,"D+",IF($V20&gt;=62,"D",IF($V20&gt;=59,"D-",""))),"")</f>
        <v/>
      </c>
      <c r="AB20" t="str">
        <f t="shared" si="7"/>
        <v>F</v>
      </c>
    </row>
    <row r="21" spans="16:28">
      <c r="Q21">
        <f t="shared" si="1"/>
        <v>0</v>
      </c>
      <c r="S21">
        <f t="shared" si="2"/>
        <v>0</v>
      </c>
      <c r="T21">
        <f t="shared" si="3"/>
        <v>0</v>
      </c>
      <c r="U21" t="str">
        <f t="shared" si="4"/>
        <v>F</v>
      </c>
      <c r="X21" t="str">
        <f t="shared" si="6"/>
        <v/>
      </c>
      <c r="Y21" t="str">
        <f>IF(AND($W21="",$X21=""),IF($V21&gt;=86,"B+",IF($V21&gt;=82,"B",IF($V21&gt;=79,"B-",""))),"")</f>
        <v/>
      </c>
      <c r="Z21" t="str">
        <f>IF(AND($W21="",$X21="",$Y21=""),IF($V21&gt;=76,"C+",IF($V21&gt;=72,"C",IF($V21&gt;=69,"C-",""))),"")</f>
        <v/>
      </c>
      <c r="AA21" t="str">
        <f>IF(AND($W21="",$X21="",$Y21="",$Z21=""),IF($V21&gt;=66,"D+",IF($V21&gt;=62,"D",IF($V21&gt;=59,"D-",""))),"")</f>
        <v/>
      </c>
      <c r="AB21" t="str">
        <f t="shared" si="7"/>
        <v>F</v>
      </c>
    </row>
    <row r="22" spans="16:28">
      <c r="Q22">
        <f t="shared" si="1"/>
        <v>0</v>
      </c>
      <c r="S22">
        <f t="shared" si="2"/>
        <v>0</v>
      </c>
      <c r="T22">
        <f t="shared" si="3"/>
        <v>0</v>
      </c>
      <c r="U22" t="str">
        <f t="shared" si="4"/>
        <v>F</v>
      </c>
      <c r="X22" t="str">
        <f t="shared" si="6"/>
        <v/>
      </c>
      <c r="Y22" t="str">
        <f>IF(AND($W22="",$X22=""),IF($V22&gt;=86,"B+",IF($V22&gt;=82,"B",IF($V22&gt;=79,"B-",""))),"")</f>
        <v/>
      </c>
      <c r="Z22" t="str">
        <f>IF(AND($W22="",$X22="",$Y22=""),IF($V22&gt;=76,"C+",IF($V22&gt;=72,"C",IF($V22&gt;=69,"C-",""))),"")</f>
        <v/>
      </c>
      <c r="AB22" t="str">
        <f t="shared" si="7"/>
        <v>F</v>
      </c>
    </row>
    <row r="23" spans="16:28">
      <c r="S23">
        <f t="shared" si="2"/>
        <v>0</v>
      </c>
      <c r="T23">
        <f t="shared" si="3"/>
        <v>0</v>
      </c>
      <c r="U23" t="str">
        <f t="shared" si="4"/>
        <v>F</v>
      </c>
      <c r="X23" t="e">
        <f>IF(NOT(W23=F),IF(V23&gt;=92,"A",IF(V23&gt;=89,"A-","")),"")</f>
        <v>#NAME?</v>
      </c>
    </row>
  </sheetData>
  <printOptions gridLines="1" gridLinesSet="0"/>
  <pageMargins left="0.75" right="0.75" top="1" bottom="1" header="0.5" footer="0.5"/>
  <pageSetup paperSize="0" scale="58" orientation="landscape" horizontalDpi="4294967292" verticalDpi="4294967292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REC 5</vt:lpstr>
      <vt:lpstr>REC 6</vt:lpstr>
      <vt:lpstr>REC 7</vt:lpstr>
      <vt:lpstr>REC 8</vt:lpstr>
      <vt:lpstr>REC 9</vt:lpstr>
      <vt:lpstr>REC 10</vt:lpstr>
      <vt:lpstr>REC 11</vt:lpstr>
      <vt:lpstr>REC 15</vt:lpstr>
      <vt:lpstr>REC 16</vt:lpstr>
      <vt:lpstr>REC 17</vt:lpstr>
      <vt:lpstr>REC 18</vt:lpstr>
      <vt:lpstr>REC 19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 Lab</dc:creator>
  <cp:lastModifiedBy>Carina Negreanu</cp:lastModifiedBy>
  <dcterms:created xsi:type="dcterms:W3CDTF">2004-01-13T00:00:54Z</dcterms:created>
  <dcterms:modified xsi:type="dcterms:W3CDTF">2020-01-27T10:31:50Z</dcterms:modified>
</cp:coreProperties>
</file>