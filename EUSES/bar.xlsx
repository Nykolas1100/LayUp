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217F16-62F6-478C-9275-0471882B138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5" i="1" l="1"/>
  <c r="Z7" i="1"/>
  <c r="X9" i="1"/>
  <c r="U12" i="1"/>
  <c r="X12" i="1"/>
  <c r="U14" i="1"/>
  <c r="X14" i="1"/>
  <c r="Z14" i="1"/>
  <c r="R17" i="1"/>
  <c r="T17" i="1"/>
  <c r="Y18" i="1"/>
  <c r="E19" i="1"/>
  <c r="T19" i="1"/>
  <c r="X20" i="1"/>
  <c r="E21" i="1"/>
  <c r="T21" i="1"/>
  <c r="E23" i="1"/>
  <c r="T23" i="1"/>
  <c r="X24" i="1"/>
  <c r="E25" i="1"/>
  <c r="T25" i="1"/>
  <c r="X25" i="1"/>
  <c r="X26" i="1"/>
  <c r="X27" i="1"/>
  <c r="R28" i="1"/>
  <c r="R30" i="1"/>
  <c r="V30" i="1"/>
  <c r="E32" i="1"/>
  <c r="T32" i="1"/>
  <c r="AE36" i="1"/>
  <c r="AF36" i="1"/>
  <c r="H67" i="1"/>
  <c r="L67" i="1"/>
  <c r="H71" i="1"/>
</calcChain>
</file>

<file path=xl/sharedStrings.xml><?xml version="1.0" encoding="utf-8"?>
<sst xmlns="http://schemas.openxmlformats.org/spreadsheetml/2006/main" count="187" uniqueCount="139">
  <si>
    <t>PAGE01</t>
  </si>
  <si>
    <t>ADDJUSTPG 01</t>
  </si>
  <si>
    <t>STATE OF NEW MEXICO</t>
  </si>
  <si>
    <t>DOC. ID.:</t>
  </si>
  <si>
    <t>*************  ADDITIONAL JUSTIFICATION PAGE  *************</t>
  </si>
  <si>
    <t>SUBMIT COPIES (as applicable)</t>
  </si>
  <si>
    <t>DEPARTMENT OF EDUCATION</t>
  </si>
  <si>
    <t>a. Grant/ Allocation notice</t>
  </si>
  <si>
    <t>300 Don Gaspar</t>
  </si>
  <si>
    <t>FED. TAX ID.:</t>
  </si>
  <si>
    <t>b. Publication and form 910B-5 for</t>
  </si>
  <si>
    <t>Santa Fe, New Mexico 87501-2786</t>
  </si>
  <si>
    <t>Please Identify One:</t>
  </si>
  <si>
    <t xml:space="preserve">   increases over $1,000 in</t>
  </si>
  <si>
    <t>Operational Fund/Capital Outlay</t>
  </si>
  <si>
    <t>General Fund/Capital Outlay</t>
  </si>
  <si>
    <t xml:space="preserve">   Operational (non-categorical)</t>
  </si>
  <si>
    <t>BUDGET ADJUSTMENT REQUEST</t>
  </si>
  <si>
    <t>/Debt Service</t>
  </si>
  <si>
    <t xml:space="preserve">Fiscal Year </t>
  </si>
  <si>
    <t>Direct Grant</t>
  </si>
  <si>
    <t>ADJUSTMENT CHANGES INTENT/SCOPE OF PROGRAM YES OR NO:</t>
  </si>
  <si>
    <t>Flowthrough</t>
  </si>
  <si>
    <t>FLOWTHROUGH ONLY</t>
  </si>
  <si>
    <t>(Program or Adm.)</t>
  </si>
  <si>
    <t>BUDGET PERIOD</t>
  </si>
  <si>
    <t xml:space="preserve">TO  </t>
  </si>
  <si>
    <t>Name</t>
  </si>
  <si>
    <t>A. CARRYOVER</t>
  </si>
  <si>
    <t>Transportation (Local Board Only)</t>
  </si>
  <si>
    <t>B. TOTAL CURRENT YEAR ALLOCATION</t>
  </si>
  <si>
    <t>C. ADMINISTRATIVE POOL ALLOCATION</t>
  </si>
  <si>
    <t>SELECT ONE:</t>
  </si>
  <si>
    <t>INITIAL BUDG.</t>
  </si>
  <si>
    <t>(Flowthrough)</t>
  </si>
  <si>
    <t xml:space="preserve">D. TOTAL FUNDING AVAILABLE:  </t>
  </si>
  <si>
    <t>INCREASE</t>
  </si>
  <si>
    <t>DECREASE</t>
  </si>
  <si>
    <t>TRANSFERS</t>
  </si>
  <si>
    <t>ENTITY NAME:</t>
  </si>
  <si>
    <t>CONTACT:</t>
  </si>
  <si>
    <t xml:space="preserve"> TELEPHONE:</t>
  </si>
  <si>
    <t>TOTAL APPROVED BUDGET (Flowthrough)</t>
  </si>
  <si>
    <t>(ROUND UP TO THE NEAREST DOLLAR)</t>
  </si>
  <si>
    <t>REVENUE</t>
  </si>
  <si>
    <t>FUNCTION/OBJECT</t>
  </si>
  <si>
    <t>AND FUND</t>
  </si>
  <si>
    <t>EXPENDITURE</t>
  </si>
  <si>
    <t>PRESENT</t>
  </si>
  <si>
    <t>AMOUNT OF</t>
  </si>
  <si>
    <t>ADJUSTED</t>
  </si>
  <si>
    <t>ADD'L</t>
  </si>
  <si>
    <t xml:space="preserve"> </t>
  </si>
  <si>
    <t>CODE</t>
  </si>
  <si>
    <t>FROM</t>
  </si>
  <si>
    <t>TO</t>
  </si>
  <si>
    <t>DESCRIPTION</t>
  </si>
  <si>
    <t>BUDGET</t>
  </si>
  <si>
    <t>ADJUSTMENT</t>
  </si>
  <si>
    <t>FTE</t>
  </si>
  <si>
    <t>JUSTIFICATION</t>
  </si>
  <si>
    <t>REF.:</t>
  </si>
  <si>
    <t>OBJECT</t>
  </si>
  <si>
    <t>DECRIPTION</t>
  </si>
  <si>
    <t>Superintendent</t>
  </si>
  <si>
    <t>Principals</t>
  </si>
  <si>
    <t>Administrative Associates</t>
  </si>
  <si>
    <t>Administrative Assistants</t>
  </si>
  <si>
    <t>Associate. Super. Fin/Bus Mgr</t>
  </si>
  <si>
    <t>Coordinators/Subj.Mat. Spec.</t>
  </si>
  <si>
    <t>Library/Media Specialists</t>
  </si>
  <si>
    <t>Library/Media Assistants</t>
  </si>
  <si>
    <t>Guidance Counselors</t>
  </si>
  <si>
    <t>Registered Nurses</t>
  </si>
  <si>
    <t>Health Assistants</t>
  </si>
  <si>
    <t>Sec./Clerical/Tech. Assists.</t>
  </si>
  <si>
    <t>School/Student Support</t>
  </si>
  <si>
    <t>Duty Personnel</t>
  </si>
  <si>
    <t>Business Office Support</t>
  </si>
  <si>
    <t/>
  </si>
  <si>
    <t>Diagnosticians</t>
  </si>
  <si>
    <t>Speech Therapists</t>
  </si>
  <si>
    <t>Occupational Therapists</t>
  </si>
  <si>
    <t>Therapists</t>
  </si>
  <si>
    <t>Psychologists</t>
  </si>
  <si>
    <t>Audiologists</t>
  </si>
  <si>
    <t>Interpreters</t>
  </si>
  <si>
    <t>Specialists</t>
  </si>
  <si>
    <t>Bus Assistants</t>
  </si>
  <si>
    <t>Teachers-Grades 1-12</t>
  </si>
  <si>
    <t>Teachers-Special Education</t>
  </si>
  <si>
    <t>Teachers-Early Childhood Educ.</t>
  </si>
  <si>
    <t>Teachers-Preschool (exclude Sp. Ed.)</t>
  </si>
  <si>
    <t>SUB TOTAL</t>
  </si>
  <si>
    <t>TOTAL FTE</t>
  </si>
  <si>
    <t>Data Processing</t>
  </si>
  <si>
    <t>Compliance with Sections 10-15-1 and 22-8-12, NMSA, 1978 Compilation:</t>
  </si>
  <si>
    <t>Substitutes-Sick Leave</t>
  </si>
  <si>
    <t>A. The requested budget/changes were authorized at a scheduled</t>
  </si>
  <si>
    <t>INDIRECT COST</t>
  </si>
  <si>
    <t>Substitutes-Other Leave</t>
  </si>
  <si>
    <t>Separation Pay</t>
  </si>
  <si>
    <t>TOTAL</t>
  </si>
  <si>
    <t>Maintenance</t>
  </si>
  <si>
    <t>Custodial</t>
  </si>
  <si>
    <t>Warehouse/Delivery</t>
  </si>
  <si>
    <t>Food Service</t>
  </si>
  <si>
    <t>FUNCTION/OBJ</t>
  </si>
  <si>
    <t>Athletics</t>
  </si>
  <si>
    <t>Adult Education</t>
  </si>
  <si>
    <t>Recreation</t>
  </si>
  <si>
    <t>Summer School/After School</t>
  </si>
  <si>
    <t>Bus Drivers</t>
  </si>
  <si>
    <t>Crosswalk/Security Guards</t>
  </si>
  <si>
    <t>Activities Salaries</t>
  </si>
  <si>
    <t>Extended Services for Students</t>
  </si>
  <si>
    <t>SCHOOL DISTRICT CERTIFICATION</t>
  </si>
  <si>
    <t>SDE APPROVAL</t>
  </si>
  <si>
    <t>Instr. Assts. Grades 1-12</t>
  </si>
  <si>
    <t>Instr. Assts. Special Educ.</t>
  </si>
  <si>
    <t>Instr. Assts. Early Child. Ed.</t>
  </si>
  <si>
    <t>SUPERINTENDENT</t>
  </si>
  <si>
    <t xml:space="preserve">DATE     </t>
  </si>
  <si>
    <t>ANALYST</t>
  </si>
  <si>
    <t>PROGRAM DIRECTOR</t>
  </si>
  <si>
    <t>DATE</t>
  </si>
  <si>
    <t>Instr. Assts. Preschool (exclude Sp. Ed.)</t>
  </si>
  <si>
    <t>ERA</t>
  </si>
  <si>
    <t>ERA-Retiree Health</t>
  </si>
  <si>
    <t>FISCAL OFFICER</t>
  </si>
  <si>
    <t>AGENCY SUPPORT/SCHOOL BUD.</t>
  </si>
  <si>
    <t>FICA Taxes</t>
  </si>
  <si>
    <t>Medicare</t>
  </si>
  <si>
    <t>SDE  568 - 96</t>
  </si>
  <si>
    <t>ADDITIONAL JUSTIFICATION PAGE</t>
  </si>
  <si>
    <t>Health/Medical</t>
  </si>
  <si>
    <t xml:space="preserve">                                                                                                                                                                                                                                  B. Justification for the transfer: Explaination such as "underbudgeted","insufficient budget", or "needed to close out</t>
  </si>
  <si>
    <t xml:space="preserve">                                                                                                                                                               Project" ARE NOT ACCEPTABLE. Attach additional sheets if necessary.</t>
  </si>
  <si>
    <t>Board of Education meeting open to the public on:  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</si>
</sst>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5" formatCode="&quot;$&quot;#,##0"/>
    <numFmt numFmtId="176" formatCode="mm/dd/yy"/>
    <numFmt numFmtId="177" formatCode="0.00000"/>
    <numFmt numFmtId="178" formatCode="0.0000"/>
  </numFmts>
  <fonts count="11" x14ac:knownFonts="1">
    <font>
      <sz val="10"/>
      <name val="Arial"/>
    </font>
    <font>
      <sz val="12"/>
      <color indexed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i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6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ck">
        <color indexed="8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3" fillId="0" borderId="0" xfId="0" applyNumberFormat="1" applyFont="1"/>
    <xf numFmtId="3" fontId="3" fillId="0" borderId="1" xfId="0" applyNumberFormat="1" applyFont="1" applyBorder="1"/>
    <xf numFmtId="3" fontId="1" fillId="0" borderId="2" xfId="0" applyNumberFormat="1" applyFont="1" applyBorder="1"/>
    <xf numFmtId="3" fontId="2" fillId="0" borderId="3" xfId="0" applyNumberFormat="1" applyFont="1" applyBorder="1"/>
    <xf numFmtId="3" fontId="3" fillId="0" borderId="0" xfId="0" applyNumberFormat="1" applyFont="1" applyAlignment="1">
      <alignment horizontal="centerContinuous"/>
    </xf>
    <xf numFmtId="3" fontId="3" fillId="0" borderId="3" xfId="0" applyNumberFormat="1" applyFont="1" applyBorder="1"/>
    <xf numFmtId="3" fontId="4" fillId="0" borderId="0" xfId="0" applyNumberFormat="1" applyFont="1"/>
    <xf numFmtId="3" fontId="2" fillId="0" borderId="2" xfId="0" applyNumberFormat="1" applyFont="1" applyBorder="1"/>
    <xf numFmtId="3" fontId="3" fillId="0" borderId="2" xfId="0" applyNumberFormat="1" applyFont="1" applyBorder="1"/>
    <xf numFmtId="3" fontId="1" fillId="0" borderId="0" xfId="0" applyNumberFormat="1" applyFont="1" applyAlignment="1">
      <alignment horizontal="centerContinuous"/>
    </xf>
    <xf numFmtId="3" fontId="5" fillId="0" borderId="3" xfId="0" applyNumberFormat="1" applyFont="1" applyBorder="1"/>
    <xf numFmtId="3" fontId="6" fillId="0" borderId="0" xfId="0" applyNumberFormat="1" applyFont="1"/>
    <xf numFmtId="3" fontId="3" fillId="0" borderId="0" xfId="0" applyNumberFormat="1" applyFont="1" applyAlignment="1">
      <alignment horizontal="right"/>
    </xf>
    <xf numFmtId="3" fontId="7" fillId="0" borderId="0" xfId="0" applyNumberFormat="1" applyFont="1"/>
    <xf numFmtId="3" fontId="8" fillId="0" borderId="0" xfId="0" applyNumberFormat="1" applyFont="1" applyAlignment="1">
      <alignment horizontal="centerContinuous"/>
    </xf>
    <xf numFmtId="3" fontId="1" fillId="0" borderId="2" xfId="0" applyNumberFormat="1" applyFont="1" applyBorder="1" applyAlignment="1">
      <alignment horizontal="centerContinuous"/>
    </xf>
    <xf numFmtId="3" fontId="1" fillId="0" borderId="1" xfId="0" applyNumberFormat="1" applyFont="1" applyBorder="1"/>
    <xf numFmtId="3" fontId="1" fillId="0" borderId="3" xfId="0" applyNumberFormat="1" applyFont="1" applyBorder="1"/>
    <xf numFmtId="3" fontId="7" fillId="0" borderId="3" xfId="0" applyNumberFormat="1" applyFont="1" applyBorder="1" applyAlignment="1">
      <alignment horizontal="centerContinuous"/>
    </xf>
    <xf numFmtId="3" fontId="1" fillId="0" borderId="0" xfId="0" applyNumberFormat="1" applyFont="1" applyAlignment="1">
      <alignment horizontal="right"/>
    </xf>
    <xf numFmtId="3" fontId="6" fillId="0" borderId="3" xfId="0" applyNumberFormat="1" applyFont="1" applyBorder="1"/>
    <xf numFmtId="3" fontId="7" fillId="0" borderId="3" xfId="0" applyNumberFormat="1" applyFont="1" applyBorder="1"/>
    <xf numFmtId="3" fontId="5" fillId="0" borderId="0" xfId="0" applyNumberFormat="1" applyFont="1"/>
    <xf numFmtId="3" fontId="5" fillId="0" borderId="1" xfId="0" applyNumberFormat="1" applyFont="1" applyBorder="1"/>
    <xf numFmtId="3" fontId="9" fillId="0" borderId="0" xfId="0" applyNumberFormat="1" applyFont="1"/>
    <xf numFmtId="3" fontId="9" fillId="0" borderId="3" xfId="0" applyNumberFormat="1" applyFont="1" applyBorder="1"/>
    <xf numFmtId="3" fontId="6" fillId="0" borderId="0" xfId="0" applyNumberFormat="1" applyFont="1" applyAlignment="1">
      <alignment horizontal="centerContinuous"/>
    </xf>
    <xf numFmtId="3" fontId="3" fillId="0" borderId="3" xfId="0" applyNumberFormat="1" applyFont="1" applyBorder="1" applyAlignment="1">
      <alignment horizontal="centerContinuous"/>
    </xf>
    <xf numFmtId="175" fontId="1" fillId="0" borderId="0" xfId="0" applyNumberFormat="1" applyFont="1"/>
    <xf numFmtId="3" fontId="7" fillId="0" borderId="0" xfId="0" applyNumberFormat="1" applyFont="1" applyAlignment="1">
      <alignment horizontal="centerContinuous"/>
    </xf>
    <xf numFmtId="1" fontId="2" fillId="0" borderId="0" xfId="0" applyNumberFormat="1" applyFont="1"/>
    <xf numFmtId="3" fontId="7" fillId="0" borderId="4" xfId="0" applyNumberFormat="1" applyFont="1" applyBorder="1" applyAlignment="1">
      <alignment horizontal="centerContinuous"/>
    </xf>
    <xf numFmtId="3" fontId="7" fillId="0" borderId="5" xfId="0" applyNumberFormat="1" applyFont="1" applyBorder="1" applyAlignment="1">
      <alignment horizontal="centerContinuous"/>
    </xf>
    <xf numFmtId="3" fontId="7" fillId="0" borderId="4" xfId="0" applyNumberFormat="1" applyFont="1" applyBorder="1"/>
    <xf numFmtId="3" fontId="7" fillId="0" borderId="5" xfId="0" applyNumberFormat="1" applyFont="1" applyBorder="1"/>
    <xf numFmtId="3" fontId="6" fillId="0" borderId="6" xfId="0" applyNumberFormat="1" applyFont="1" applyBorder="1"/>
    <xf numFmtId="3" fontId="7" fillId="0" borderId="6" xfId="0" applyNumberFormat="1" applyFont="1" applyBorder="1" applyAlignment="1">
      <alignment horizontal="centerContinuous"/>
    </xf>
    <xf numFmtId="3" fontId="7" fillId="0" borderId="6" xfId="0" applyNumberFormat="1" applyFont="1" applyBorder="1"/>
    <xf numFmtId="3" fontId="7" fillId="0" borderId="0" xfId="0" applyNumberFormat="1" applyFont="1" applyAlignment="1">
      <alignment horizontal="center"/>
    </xf>
    <xf numFmtId="176" fontId="2" fillId="0" borderId="0" xfId="0" applyNumberFormat="1" applyFont="1"/>
    <xf numFmtId="20" fontId="2" fillId="0" borderId="0" xfId="0" applyNumberFormat="1" applyFont="1"/>
    <xf numFmtId="3" fontId="7" fillId="0" borderId="6" xfId="0" applyNumberFormat="1" applyFont="1" applyBorder="1" applyAlignment="1">
      <alignment horizontal="center"/>
    </xf>
    <xf numFmtId="3" fontId="7" fillId="0" borderId="7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1" fillId="0" borderId="4" xfId="0" applyNumberFormat="1" applyFont="1" applyBorder="1"/>
    <xf numFmtId="3" fontId="1" fillId="0" borderId="5" xfId="0" applyNumberFormat="1" applyFont="1" applyBorder="1"/>
    <xf numFmtId="3" fontId="2" fillId="0" borderId="6" xfId="0" applyNumberFormat="1" applyFont="1" applyBorder="1"/>
    <xf numFmtId="177" fontId="1" fillId="0" borderId="6" xfId="0" applyNumberFormat="1" applyFont="1" applyBorder="1" applyProtection="1">
      <protection locked="0"/>
    </xf>
    <xf numFmtId="0" fontId="1" fillId="0" borderId="6" xfId="0" applyFont="1" applyBorder="1" applyProtection="1">
      <protection locked="0"/>
    </xf>
    <xf numFmtId="3" fontId="1" fillId="0" borderId="6" xfId="0" applyNumberFormat="1" applyFont="1" applyBorder="1"/>
    <xf numFmtId="4" fontId="1" fillId="0" borderId="6" xfId="0" applyNumberFormat="1" applyFont="1" applyBorder="1" applyProtection="1">
      <protection locked="0"/>
    </xf>
    <xf numFmtId="0" fontId="1" fillId="0" borderId="0" xfId="0" applyFont="1" applyProtection="1">
      <protection locked="0"/>
    </xf>
    <xf numFmtId="1" fontId="1" fillId="0" borderId="0" xfId="0" applyNumberFormat="1" applyFont="1"/>
    <xf numFmtId="3" fontId="1" fillId="0" borderId="7" xfId="0" applyNumberFormat="1" applyFont="1" applyBorder="1"/>
    <xf numFmtId="4" fontId="1" fillId="0" borderId="7" xfId="0" applyNumberFormat="1" applyFont="1" applyBorder="1"/>
    <xf numFmtId="1" fontId="2" fillId="0" borderId="2" xfId="0" applyNumberFormat="1" applyFont="1" applyBorder="1"/>
    <xf numFmtId="4" fontId="1" fillId="0" borderId="7" xfId="0" applyNumberFormat="1" applyFont="1" applyBorder="1" applyProtection="1">
      <protection locked="0"/>
    </xf>
    <xf numFmtId="3" fontId="6" fillId="0" borderId="4" xfId="0" applyNumberFormat="1" applyFont="1" applyBorder="1"/>
    <xf numFmtId="3" fontId="1" fillId="0" borderId="8" xfId="0" applyNumberFormat="1" applyFont="1" applyBorder="1"/>
    <xf numFmtId="4" fontId="1" fillId="0" borderId="3" xfId="0" applyNumberFormat="1" applyFont="1" applyBorder="1"/>
    <xf numFmtId="3" fontId="6" fillId="0" borderId="7" xfId="0" applyNumberFormat="1" applyFont="1" applyBorder="1"/>
    <xf numFmtId="4" fontId="2" fillId="0" borderId="0" xfId="0" applyNumberFormat="1" applyFont="1"/>
    <xf numFmtId="0" fontId="5" fillId="0" borderId="0" xfId="0" applyFont="1" applyAlignment="1">
      <alignment horizontal="centerContinuous"/>
    </xf>
    <xf numFmtId="178" fontId="1" fillId="0" borderId="0" xfId="0" applyNumberFormat="1" applyFont="1" applyProtection="1">
      <protection locked="0"/>
    </xf>
    <xf numFmtId="3" fontId="10" fillId="0" borderId="0" xfId="0" applyNumberFormat="1" applyFont="1"/>
    <xf numFmtId="178" fontId="1" fillId="0" borderId="2" xfId="0" applyNumberFormat="1" applyFont="1" applyBorder="1" applyProtection="1">
      <protection locked="0"/>
    </xf>
    <xf numFmtId="3" fontId="10" fillId="0" borderId="2" xfId="0" applyNumberFormat="1" applyFont="1" applyBorder="1"/>
    <xf numFmtId="3" fontId="3" fillId="1" borderId="1" xfId="0" applyNumberFormat="1" applyFont="1" applyFill="1" applyBorder="1" applyAlignment="1">
      <alignment horizontal="centerContinuous"/>
    </xf>
    <xf numFmtId="3" fontId="3" fillId="1" borderId="2" xfId="0" applyNumberFormat="1" applyFont="1" applyFill="1" applyBorder="1" applyAlignment="1">
      <alignment horizontal="centerContinuous"/>
    </xf>
    <xf numFmtId="15" fontId="1" fillId="0" borderId="0" xfId="0" applyNumberFormat="1" applyFont="1" applyProtection="1">
      <protection locked="0"/>
    </xf>
    <xf numFmtId="3" fontId="1" fillId="0" borderId="1" xfId="0" applyNumberFormat="1" applyFont="1" applyBorder="1" applyAlignment="1">
      <alignment horizontal="centerContinuous"/>
    </xf>
    <xf numFmtId="3" fontId="1" fillId="0" borderId="2" xfId="0" applyNumberFormat="1" applyFont="1" applyBorder="1" applyAlignment="1" applyProtection="1">
      <alignment horizontal="centerContinuous"/>
      <protection locked="0"/>
    </xf>
    <xf numFmtId="3" fontId="1" fillId="0" borderId="3" xfId="0" applyNumberFormat="1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1"/>
  <sheetViews>
    <sheetView tabSelected="1" view="pageBreakPreview" zoomScale="60" zoomScaleNormal="100" workbookViewId="0">
      <selection activeCell="B3" sqref="B3"/>
    </sheetView>
  </sheetViews>
  <sheetFormatPr defaultRowHeight="12.5" x14ac:dyDescent="0.25"/>
  <cols>
    <col min="1" max="1" width="7" customWidth="1"/>
    <col min="2" max="2" width="22" customWidth="1"/>
    <col min="3" max="3" width="14.81640625" customWidth="1"/>
    <col min="4" max="4" width="15.1796875" customWidth="1"/>
    <col min="5" max="5" width="32.26953125" customWidth="1"/>
    <col min="6" max="6" width="20.26953125" customWidth="1"/>
    <col min="8" max="8" width="18.7265625" customWidth="1"/>
    <col min="9" max="9" width="7.7265625" customWidth="1"/>
    <col min="10" max="10" width="18.7265625" customWidth="1"/>
    <col min="11" max="11" width="11" customWidth="1"/>
    <col min="12" max="12" width="17.26953125" customWidth="1"/>
  </cols>
  <sheetData>
    <row r="1" spans="1:43" ht="15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ht="15.5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ht="15.5" x14ac:dyDescent="0.35">
      <c r="A3" s="2"/>
      <c r="B3" s="5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4"/>
      <c r="O3" s="4"/>
      <c r="P3" s="4"/>
      <c r="Q3" s="5" t="s">
        <v>1</v>
      </c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5.5" x14ac:dyDescent="0.35">
      <c r="A4" s="2"/>
      <c r="B4" s="2"/>
      <c r="C4" s="2"/>
      <c r="D4" s="2"/>
      <c r="E4" s="2"/>
      <c r="F4" s="2"/>
      <c r="G4" s="2"/>
      <c r="H4" s="2"/>
      <c r="I4" s="6"/>
      <c r="J4" s="7"/>
      <c r="K4" s="7"/>
      <c r="L4" s="7"/>
      <c r="M4" s="8"/>
      <c r="N4" s="4"/>
      <c r="O4" s="4"/>
      <c r="P4" s="4"/>
      <c r="Q4" s="4"/>
      <c r="R4" s="4"/>
      <c r="S4" s="4"/>
      <c r="T4" s="4"/>
      <c r="U4" s="4"/>
      <c r="V4" s="4"/>
      <c r="W4" s="4"/>
      <c r="X4" s="6"/>
      <c r="Y4" s="7"/>
      <c r="Z4" s="7"/>
      <c r="AA4" s="7"/>
      <c r="AB4" s="8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ht="15.5" x14ac:dyDescent="0.35">
      <c r="A5" s="2"/>
      <c r="B5" s="2"/>
      <c r="C5" s="2"/>
      <c r="D5" s="9" t="s">
        <v>2</v>
      </c>
      <c r="E5" s="9"/>
      <c r="F5" s="9"/>
      <c r="G5" s="9"/>
      <c r="H5" s="9"/>
      <c r="I5" s="10" t="s">
        <v>3</v>
      </c>
      <c r="J5" s="5"/>
      <c r="K5" s="2"/>
      <c r="L5" s="2"/>
      <c r="M5" s="8"/>
      <c r="N5" s="4"/>
      <c r="O5" s="4"/>
      <c r="P5" s="4"/>
      <c r="Q5" s="4"/>
      <c r="R5" s="4"/>
      <c r="S5" s="9" t="s">
        <v>4</v>
      </c>
      <c r="T5" s="9"/>
      <c r="U5" s="9"/>
      <c r="V5" s="9"/>
      <c r="W5" s="9"/>
      <c r="X5" s="10" t="s">
        <v>3</v>
      </c>
      <c r="Y5" s="5"/>
      <c r="Z5" s="2">
        <f>$D$4</f>
        <v>0</v>
      </c>
      <c r="AA5" s="2"/>
      <c r="AB5" s="8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.5" x14ac:dyDescent="0.35">
      <c r="A6" s="2"/>
      <c r="B6" s="11" t="s">
        <v>5</v>
      </c>
      <c r="C6" s="11"/>
      <c r="D6" s="9" t="s">
        <v>6</v>
      </c>
      <c r="E6" s="9"/>
      <c r="F6" s="9"/>
      <c r="G6" s="9"/>
      <c r="H6" s="9"/>
      <c r="I6" s="6"/>
      <c r="J6" s="7"/>
      <c r="K6" s="7"/>
      <c r="L6" s="7"/>
      <c r="M6" s="8"/>
      <c r="N6" s="4"/>
      <c r="O6" s="4"/>
      <c r="P6" s="4"/>
      <c r="Q6" s="11" t="s">
        <v>5</v>
      </c>
      <c r="R6" s="11"/>
      <c r="S6" s="9" t="s">
        <v>6</v>
      </c>
      <c r="T6" s="9"/>
      <c r="U6" s="9"/>
      <c r="V6" s="9"/>
      <c r="W6" s="9"/>
      <c r="X6" s="6"/>
      <c r="Y6" s="12"/>
      <c r="Z6" s="12"/>
      <c r="AA6" s="7"/>
      <c r="AB6" s="8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.5" x14ac:dyDescent="0.35">
      <c r="A7" s="2"/>
      <c r="B7" s="11" t="s">
        <v>7</v>
      </c>
      <c r="C7" s="2"/>
      <c r="D7" s="9" t="s">
        <v>8</v>
      </c>
      <c r="E7" s="9"/>
      <c r="F7" s="9"/>
      <c r="G7" s="9"/>
      <c r="H7" s="9"/>
      <c r="I7" s="10" t="s">
        <v>9</v>
      </c>
      <c r="J7" s="5"/>
      <c r="K7" s="1"/>
      <c r="L7" s="2"/>
      <c r="M7" s="8"/>
      <c r="N7" s="4"/>
      <c r="O7" s="4"/>
      <c r="P7" s="4"/>
      <c r="Q7" s="11" t="s">
        <v>7</v>
      </c>
      <c r="R7" s="4"/>
      <c r="S7" s="9" t="s">
        <v>8</v>
      </c>
      <c r="T7" s="9"/>
      <c r="U7" s="9"/>
      <c r="V7" s="9"/>
      <c r="W7" s="9"/>
      <c r="X7" s="10" t="s">
        <v>9</v>
      </c>
      <c r="Y7" s="5"/>
      <c r="Z7" s="1" t="str">
        <f>$D$5</f>
        <v>STATE OF NEW MEXICO</v>
      </c>
      <c r="AA7" s="2"/>
      <c r="AB7" s="8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5.5" x14ac:dyDescent="0.35">
      <c r="A8" s="2"/>
      <c r="B8" s="11" t="s">
        <v>10</v>
      </c>
      <c r="C8" s="11"/>
      <c r="D8" s="9" t="s">
        <v>11</v>
      </c>
      <c r="E8" s="9"/>
      <c r="F8" s="9"/>
      <c r="G8" s="9"/>
      <c r="H8" s="9"/>
      <c r="I8" s="6" t="s">
        <v>12</v>
      </c>
      <c r="J8" s="13"/>
      <c r="K8" s="7"/>
      <c r="L8" s="7"/>
      <c r="M8" s="8"/>
      <c r="N8" s="4"/>
      <c r="O8" s="4"/>
      <c r="P8" s="4"/>
      <c r="Q8" s="11" t="s">
        <v>10</v>
      </c>
      <c r="R8" s="11"/>
      <c r="S8" s="9" t="s">
        <v>11</v>
      </c>
      <c r="T8" s="9"/>
      <c r="U8" s="9"/>
      <c r="V8" s="9"/>
      <c r="W8" s="9"/>
      <c r="X8" s="6" t="s">
        <v>12</v>
      </c>
      <c r="Y8" s="13"/>
      <c r="Z8" s="12"/>
      <c r="AA8" s="7"/>
      <c r="AB8" s="8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ht="15.5" x14ac:dyDescent="0.35">
      <c r="A9" s="2"/>
      <c r="B9" s="11" t="s">
        <v>13</v>
      </c>
      <c r="C9" s="2"/>
      <c r="D9" s="2"/>
      <c r="E9" s="14"/>
      <c r="F9" s="14"/>
      <c r="G9" s="14"/>
      <c r="H9" s="14"/>
      <c r="I9" s="15"/>
      <c r="J9" s="16" t="s">
        <v>14</v>
      </c>
      <c r="K9" s="16"/>
      <c r="L9" s="2"/>
      <c r="M9" s="8"/>
      <c r="N9" s="4"/>
      <c r="O9" s="4"/>
      <c r="P9" s="4"/>
      <c r="Q9" s="11" t="s">
        <v>13</v>
      </c>
      <c r="R9" s="4"/>
      <c r="S9" s="4"/>
      <c r="T9" s="14"/>
      <c r="U9" s="14"/>
      <c r="V9" s="14"/>
      <c r="W9" s="14"/>
      <c r="X9" s="15" t="str">
        <f>$D$7</f>
        <v>300 Don Gaspar</v>
      </c>
      <c r="Y9" s="16" t="s">
        <v>15</v>
      </c>
      <c r="Z9" s="16"/>
      <c r="AA9" s="2"/>
      <c r="AB9" s="8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5.5" x14ac:dyDescent="0.35">
      <c r="A10" s="2"/>
      <c r="B10" s="11" t="s">
        <v>16</v>
      </c>
      <c r="C10" s="11"/>
      <c r="D10" s="9" t="s">
        <v>17</v>
      </c>
      <c r="E10" s="9"/>
      <c r="F10" s="9"/>
      <c r="G10" s="9"/>
      <c r="H10" s="9"/>
      <c r="I10" s="15"/>
      <c r="J10" s="16" t="s">
        <v>18</v>
      </c>
      <c r="K10" s="2"/>
      <c r="L10" s="2"/>
      <c r="M10" s="8"/>
      <c r="N10" s="4"/>
      <c r="O10" s="4"/>
      <c r="P10" s="4"/>
      <c r="Q10" s="11" t="s">
        <v>16</v>
      </c>
      <c r="R10" s="11"/>
      <c r="S10" s="9" t="s">
        <v>17</v>
      </c>
      <c r="T10" s="9"/>
      <c r="U10" s="9"/>
      <c r="V10" s="9"/>
      <c r="W10" s="9"/>
      <c r="X10" s="15"/>
      <c r="Y10" s="16" t="s">
        <v>18</v>
      </c>
      <c r="Z10" s="4"/>
      <c r="AA10" s="2"/>
      <c r="AB10" s="8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5.5" x14ac:dyDescent="0.35">
      <c r="A11" s="2"/>
      <c r="B11" s="2"/>
      <c r="C11" s="2"/>
      <c r="D11" s="2"/>
      <c r="E11" s="2"/>
      <c r="F11" s="2"/>
      <c r="G11" s="2"/>
      <c r="H11" s="2"/>
      <c r="I11" s="15"/>
      <c r="J11" s="2"/>
      <c r="K11" s="2"/>
      <c r="L11" s="2"/>
      <c r="M11" s="8"/>
      <c r="N11" s="4"/>
      <c r="O11" s="4"/>
      <c r="P11" s="4"/>
      <c r="Q11" s="4"/>
      <c r="R11" s="4"/>
      <c r="S11" s="4"/>
      <c r="T11" s="4"/>
      <c r="U11" s="4"/>
      <c r="V11" s="4"/>
      <c r="W11" s="4"/>
      <c r="X11" s="15"/>
      <c r="Y11" s="4"/>
      <c r="Z11" s="4"/>
      <c r="AA11" s="2"/>
      <c r="AB11" s="8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5.5" x14ac:dyDescent="0.35">
      <c r="A12" s="2"/>
      <c r="B12" s="2"/>
      <c r="C12" s="2"/>
      <c r="D12" s="2"/>
      <c r="E12" s="17" t="s">
        <v>19</v>
      </c>
      <c r="F12" s="2"/>
      <c r="G12" s="2"/>
      <c r="H12" s="2"/>
      <c r="I12" s="15"/>
      <c r="J12" s="16" t="s">
        <v>20</v>
      </c>
      <c r="K12" s="2"/>
      <c r="L12" s="2"/>
      <c r="M12" s="8"/>
      <c r="N12" s="4"/>
      <c r="O12" s="4"/>
      <c r="P12" s="4"/>
      <c r="Q12" s="4"/>
      <c r="R12" s="4"/>
      <c r="S12" s="4"/>
      <c r="T12" s="17" t="s">
        <v>19</v>
      </c>
      <c r="U12" s="2">
        <f>$D$3</f>
        <v>0</v>
      </c>
      <c r="V12" s="4"/>
      <c r="W12" s="4"/>
      <c r="X12" s="15" t="str">
        <f>$D$8</f>
        <v>Santa Fe, New Mexico 87501-2786</v>
      </c>
      <c r="Y12" s="16" t="s">
        <v>20</v>
      </c>
      <c r="Z12" s="4"/>
      <c r="AA12" s="2"/>
      <c r="AB12" s="8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ht="15.5" x14ac:dyDescent="0.35">
      <c r="A13" s="2"/>
      <c r="B13" s="2"/>
      <c r="C13" s="2"/>
      <c r="D13" s="2"/>
      <c r="E13" s="2"/>
      <c r="F13" s="7"/>
      <c r="G13" s="2"/>
      <c r="H13" s="2"/>
      <c r="I13" s="15"/>
      <c r="J13" s="2"/>
      <c r="K13" s="2"/>
      <c r="L13" s="2"/>
      <c r="M13" s="8"/>
      <c r="N13" s="4"/>
      <c r="O13" s="4"/>
      <c r="P13" s="4"/>
      <c r="Q13" s="4"/>
      <c r="R13" s="4"/>
      <c r="S13" s="4"/>
      <c r="T13" s="4"/>
      <c r="U13" s="12"/>
      <c r="V13" s="4"/>
      <c r="W13" s="4"/>
      <c r="X13" s="15"/>
      <c r="Y13" s="4"/>
      <c r="Z13" s="4"/>
      <c r="AA13" s="2"/>
      <c r="AB13" s="8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ht="15.5" x14ac:dyDescent="0.35">
      <c r="A14" s="2"/>
      <c r="B14" s="18" t="s">
        <v>21</v>
      </c>
      <c r="C14" s="18"/>
      <c r="D14" s="18"/>
      <c r="E14" s="18"/>
      <c r="F14" s="2"/>
      <c r="G14" s="2"/>
      <c r="H14" s="2"/>
      <c r="I14" s="15"/>
      <c r="J14" s="16" t="s">
        <v>22</v>
      </c>
      <c r="K14" s="2"/>
      <c r="L14" s="2"/>
      <c r="M14" s="2"/>
      <c r="N14" s="2"/>
      <c r="O14" s="4"/>
      <c r="P14" s="4"/>
      <c r="Q14" s="18" t="s">
        <v>21</v>
      </c>
      <c r="R14" s="18"/>
      <c r="S14" s="18"/>
      <c r="T14" s="18"/>
      <c r="U14" s="2">
        <f>$D$21</f>
        <v>0</v>
      </c>
      <c r="V14" s="4"/>
      <c r="W14" s="4"/>
      <c r="X14" s="15">
        <f>$D$9</f>
        <v>0</v>
      </c>
      <c r="Y14" s="16" t="s">
        <v>22</v>
      </c>
      <c r="Z14" s="18" t="str">
        <f>$D$10</f>
        <v>BUDGET ADJUSTMENT REQUEST</v>
      </c>
      <c r="AA14" s="18"/>
      <c r="AB14" s="8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 ht="15.5" x14ac:dyDescent="0.35">
      <c r="A15" s="2"/>
      <c r="B15" s="19" t="s">
        <v>23</v>
      </c>
      <c r="C15" s="19"/>
      <c r="D15" s="19"/>
      <c r="E15" s="19"/>
      <c r="F15" s="7"/>
      <c r="G15" s="2"/>
      <c r="H15" s="2"/>
      <c r="I15" s="15"/>
      <c r="J15" s="2"/>
      <c r="K15" s="20" t="s">
        <v>24</v>
      </c>
      <c r="L15" s="20"/>
      <c r="M15" s="8"/>
      <c r="N15" s="4"/>
      <c r="O15" s="4"/>
      <c r="P15" s="4"/>
      <c r="Q15" s="19" t="s">
        <v>23</v>
      </c>
      <c r="R15" s="19"/>
      <c r="S15" s="19"/>
      <c r="T15" s="19"/>
      <c r="U15" s="12"/>
      <c r="V15" s="4"/>
      <c r="W15" s="4"/>
      <c r="X15" s="15"/>
      <c r="Y15" s="4"/>
      <c r="Z15" s="20" t="s">
        <v>24</v>
      </c>
      <c r="AA15" s="20"/>
      <c r="AB15" s="8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5.5" x14ac:dyDescent="0.35">
      <c r="A16" s="2"/>
      <c r="B16" s="21"/>
      <c r="C16" s="7"/>
      <c r="D16" s="7"/>
      <c r="E16" s="7"/>
      <c r="F16" s="7"/>
      <c r="G16" s="7"/>
      <c r="H16" s="22"/>
      <c r="I16" s="15"/>
      <c r="J16" s="2"/>
      <c r="K16" s="2"/>
      <c r="L16" s="2"/>
      <c r="M16" s="8"/>
      <c r="N16" s="4"/>
      <c r="O16" s="4"/>
      <c r="P16" s="4"/>
      <c r="Q16" s="21"/>
      <c r="R16" s="7"/>
      <c r="S16" s="7"/>
      <c r="T16" s="7"/>
      <c r="U16" s="7"/>
      <c r="V16" s="7"/>
      <c r="W16" s="8"/>
      <c r="X16" s="15"/>
      <c r="Y16" s="4"/>
      <c r="Z16" s="4"/>
      <c r="AA16" s="2"/>
      <c r="AB16" s="8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15.5" x14ac:dyDescent="0.35">
      <c r="A17" s="2"/>
      <c r="B17" s="23" t="s">
        <v>25</v>
      </c>
      <c r="C17" s="1"/>
      <c r="D17" s="24" t="s">
        <v>26</v>
      </c>
      <c r="E17" s="1"/>
      <c r="F17" s="2"/>
      <c r="G17" s="2"/>
      <c r="H17" s="22"/>
      <c r="I17" s="15"/>
      <c r="J17" s="2"/>
      <c r="K17" s="2"/>
      <c r="L17" s="2"/>
      <c r="M17" s="8"/>
      <c r="N17" s="4"/>
      <c r="O17" s="4"/>
      <c r="P17" s="4"/>
      <c r="Q17" s="23" t="s">
        <v>25</v>
      </c>
      <c r="R17" s="1">
        <f>$D$24</f>
        <v>0</v>
      </c>
      <c r="S17" s="24" t="s">
        <v>26</v>
      </c>
      <c r="T17" s="1">
        <f>$D$25</f>
        <v>0</v>
      </c>
      <c r="U17" s="4"/>
      <c r="V17" s="2"/>
      <c r="W17" s="8"/>
      <c r="X17" s="15"/>
      <c r="Y17" s="4"/>
      <c r="Z17" s="4"/>
      <c r="AA17" s="2"/>
      <c r="AB17" s="8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5.5" x14ac:dyDescent="0.35">
      <c r="A18" s="2"/>
      <c r="B18" s="22"/>
      <c r="C18" s="7"/>
      <c r="D18" s="7"/>
      <c r="E18" s="7"/>
      <c r="F18" s="2"/>
      <c r="G18" s="2"/>
      <c r="H18" s="22"/>
      <c r="I18" s="25" t="s">
        <v>27</v>
      </c>
      <c r="J18" s="2"/>
      <c r="K18" s="2"/>
      <c r="L18" s="14"/>
      <c r="M18" s="8"/>
      <c r="N18" s="4"/>
      <c r="O18" s="4"/>
      <c r="P18" s="4"/>
      <c r="Q18" s="22"/>
      <c r="R18" s="12"/>
      <c r="S18" s="12"/>
      <c r="T18" s="12"/>
      <c r="U18" s="4"/>
      <c r="V18" s="2"/>
      <c r="W18" s="8"/>
      <c r="X18" s="25" t="s">
        <v>27</v>
      </c>
      <c r="Y18" s="2">
        <f>$D$11</f>
        <v>0</v>
      </c>
      <c r="Z18" s="2"/>
      <c r="AA18" s="14"/>
      <c r="AB18" s="8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5.5" x14ac:dyDescent="0.35">
      <c r="A19" s="2"/>
      <c r="B19" s="26" t="s">
        <v>28</v>
      </c>
      <c r="C19" s="2"/>
      <c r="D19" s="2"/>
      <c r="E19" s="2">
        <f>$D$26</f>
        <v>0</v>
      </c>
      <c r="F19" s="2"/>
      <c r="G19" s="2"/>
      <c r="H19" s="22"/>
      <c r="I19" s="22"/>
      <c r="J19" s="7"/>
      <c r="K19" s="7"/>
      <c r="L19" s="7"/>
      <c r="M19" s="8"/>
      <c r="N19" s="4"/>
      <c r="O19" s="4"/>
      <c r="P19" s="4"/>
      <c r="Q19" s="26" t="s">
        <v>28</v>
      </c>
      <c r="R19" s="4"/>
      <c r="S19" s="4"/>
      <c r="T19" s="2">
        <f>$D$26</f>
        <v>0</v>
      </c>
      <c r="U19" s="4"/>
      <c r="V19" s="2"/>
      <c r="W19" s="8"/>
      <c r="X19" s="22"/>
      <c r="Y19" s="12"/>
      <c r="Z19" s="12"/>
      <c r="AA19" s="7"/>
      <c r="AB19" s="8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5.5" x14ac:dyDescent="0.35">
      <c r="A20" s="2"/>
      <c r="B20" s="25"/>
      <c r="C20" s="2"/>
      <c r="D20" s="2"/>
      <c r="E20" s="7"/>
      <c r="F20" s="16"/>
      <c r="G20" s="2"/>
      <c r="H20" s="22"/>
      <c r="I20" s="15"/>
      <c r="J20" s="27"/>
      <c r="K20" s="27"/>
      <c r="L20" s="2"/>
      <c r="M20" s="8"/>
      <c r="N20" s="4"/>
      <c r="O20" s="4"/>
      <c r="P20" s="4"/>
      <c r="Q20" s="25"/>
      <c r="R20" s="4"/>
      <c r="S20" s="4"/>
      <c r="T20" s="12"/>
      <c r="U20" s="16"/>
      <c r="V20" s="2"/>
      <c r="W20" s="8"/>
      <c r="X20" s="15">
        <f>$D$12</f>
        <v>0</v>
      </c>
      <c r="Y20" s="16" t="s">
        <v>29</v>
      </c>
      <c r="Z20" s="16"/>
      <c r="AA20" s="16"/>
      <c r="AB20" s="8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ht="15.5" x14ac:dyDescent="0.35">
      <c r="A21" s="2"/>
      <c r="B21" s="26" t="s">
        <v>30</v>
      </c>
      <c r="C21" s="18"/>
      <c r="D21" s="18"/>
      <c r="E21" s="2">
        <f>$D$27</f>
        <v>0</v>
      </c>
      <c r="F21" s="2"/>
      <c r="G21" s="2"/>
      <c r="H21" s="22"/>
      <c r="I21" s="15"/>
      <c r="J21" s="2"/>
      <c r="K21" s="2"/>
      <c r="L21" s="2"/>
      <c r="M21" s="8"/>
      <c r="N21" s="4"/>
      <c r="O21" s="4"/>
      <c r="P21" s="4"/>
      <c r="Q21" s="26" t="s">
        <v>30</v>
      </c>
      <c r="R21" s="18"/>
      <c r="S21" s="18"/>
      <c r="T21" s="2">
        <f>$D$27</f>
        <v>0</v>
      </c>
      <c r="U21" s="4"/>
      <c r="V21" s="2"/>
      <c r="W21" s="8"/>
      <c r="X21" s="15"/>
      <c r="Y21" s="2"/>
      <c r="Z21" s="2"/>
      <c r="AA21" s="2"/>
      <c r="AB21" s="8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ht="15.5" x14ac:dyDescent="0.35">
      <c r="A22" s="2"/>
      <c r="B22" s="25"/>
      <c r="C22" s="2"/>
      <c r="D22" s="2"/>
      <c r="E22" s="7"/>
      <c r="F22" s="2"/>
      <c r="G22" s="2"/>
      <c r="H22" s="22"/>
      <c r="I22" s="28"/>
      <c r="J22" s="7"/>
      <c r="K22" s="7"/>
      <c r="L22" s="7"/>
      <c r="M22" s="8"/>
      <c r="N22" s="4"/>
      <c r="O22" s="4"/>
      <c r="P22" s="4"/>
      <c r="Q22" s="25"/>
      <c r="R22" s="4"/>
      <c r="S22" s="4"/>
      <c r="T22" s="12"/>
      <c r="U22" s="4"/>
      <c r="V22" s="2"/>
      <c r="W22" s="8"/>
      <c r="X22" s="28"/>
      <c r="Y22" s="12"/>
      <c r="Z22" s="12"/>
      <c r="AA22" s="7"/>
      <c r="AB22" s="8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ht="15.5" x14ac:dyDescent="0.35">
      <c r="A23" s="2"/>
      <c r="B23" s="26" t="s">
        <v>31</v>
      </c>
      <c r="C23" s="18"/>
      <c r="D23" s="18"/>
      <c r="E23" s="2">
        <f>$D$28</f>
        <v>0</v>
      </c>
      <c r="F23" s="2"/>
      <c r="G23" s="2"/>
      <c r="H23" s="22"/>
      <c r="I23" s="30" t="s">
        <v>32</v>
      </c>
      <c r="J23" s="29"/>
      <c r="K23" s="2"/>
      <c r="L23" s="2"/>
      <c r="M23" s="8"/>
      <c r="N23" s="4"/>
      <c r="O23" s="4"/>
      <c r="P23" s="4"/>
      <c r="Q23" s="26" t="s">
        <v>31</v>
      </c>
      <c r="R23" s="18"/>
      <c r="S23" s="18"/>
      <c r="T23" s="2">
        <f>$D$28</f>
        <v>0</v>
      </c>
      <c r="U23" s="4"/>
      <c r="V23" s="2"/>
      <c r="W23" s="8"/>
      <c r="X23" s="30" t="s">
        <v>32</v>
      </c>
      <c r="Y23" s="29"/>
      <c r="Z23" s="4"/>
      <c r="AA23" s="2"/>
      <c r="AB23" s="8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 ht="15.5" x14ac:dyDescent="0.35">
      <c r="A24" s="2"/>
      <c r="B24" s="25"/>
      <c r="C24" s="2"/>
      <c r="D24" s="2"/>
      <c r="E24" s="7"/>
      <c r="F24" s="2"/>
      <c r="G24" s="2"/>
      <c r="H24" s="22"/>
      <c r="I24" s="15"/>
      <c r="J24" s="2" t="s">
        <v>33</v>
      </c>
      <c r="K24" s="31" t="s">
        <v>34</v>
      </c>
      <c r="L24" s="31"/>
      <c r="M24" s="8"/>
      <c r="N24" s="4"/>
      <c r="O24" s="4"/>
      <c r="P24" s="4"/>
      <c r="Q24" s="25"/>
      <c r="R24" s="4"/>
      <c r="S24" s="4"/>
      <c r="T24" s="12"/>
      <c r="U24" s="4"/>
      <c r="V24" s="2"/>
      <c r="W24" s="8"/>
      <c r="X24" s="15">
        <f>$D$14</f>
        <v>0</v>
      </c>
      <c r="Y24" s="4" t="s">
        <v>33</v>
      </c>
      <c r="Z24" s="31" t="s">
        <v>34</v>
      </c>
      <c r="AA24" s="31"/>
      <c r="AB24" s="8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 ht="15.5" x14ac:dyDescent="0.35">
      <c r="A25" s="2"/>
      <c r="B25" s="32" t="s">
        <v>35</v>
      </c>
      <c r="C25" s="9"/>
      <c r="D25" s="9"/>
      <c r="E25" s="33">
        <f>E59+E61+E63</f>
        <v>0</v>
      </c>
      <c r="F25" s="2"/>
      <c r="G25" s="2"/>
      <c r="H25" s="22"/>
      <c r="I25" s="15"/>
      <c r="J25" s="2" t="s">
        <v>36</v>
      </c>
      <c r="K25" s="2"/>
      <c r="L25" s="2"/>
      <c r="M25" s="8"/>
      <c r="N25" s="4"/>
      <c r="O25" s="4"/>
      <c r="P25" s="4"/>
      <c r="Q25" s="32" t="s">
        <v>35</v>
      </c>
      <c r="R25" s="9"/>
      <c r="S25" s="9"/>
      <c r="T25" s="33">
        <f>T59+T61+T63</f>
        <v>0</v>
      </c>
      <c r="U25" s="4"/>
      <c r="V25" s="2"/>
      <c r="W25" s="8"/>
      <c r="X25" s="15">
        <f>$D$15</f>
        <v>0</v>
      </c>
      <c r="Y25" s="4" t="s">
        <v>36</v>
      </c>
      <c r="Z25" s="4"/>
      <c r="AA25" s="2"/>
      <c r="AB25" s="8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5.5" x14ac:dyDescent="0.35">
      <c r="A26" s="2"/>
      <c r="B26" s="22"/>
      <c r="C26" s="2"/>
      <c r="D26" s="2"/>
      <c r="E26" s="7"/>
      <c r="F26" s="2"/>
      <c r="G26" s="2"/>
      <c r="H26" s="22"/>
      <c r="I26" s="15"/>
      <c r="J26" s="2" t="s">
        <v>37</v>
      </c>
      <c r="K26" s="2"/>
      <c r="L26" s="2"/>
      <c r="M26" s="8"/>
      <c r="N26" s="4"/>
      <c r="O26" s="4"/>
      <c r="P26" s="4"/>
      <c r="Q26" s="22"/>
      <c r="R26" s="2"/>
      <c r="S26" s="2"/>
      <c r="T26" s="7"/>
      <c r="U26" s="2"/>
      <c r="V26" s="2"/>
      <c r="W26" s="8"/>
      <c r="X26" s="15">
        <f>$D$16</f>
        <v>0</v>
      </c>
      <c r="Y26" s="4" t="s">
        <v>37</v>
      </c>
      <c r="Z26" s="4"/>
      <c r="AA26" s="2"/>
      <c r="AB26" s="8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5.5" x14ac:dyDescent="0.35">
      <c r="A27" s="2"/>
      <c r="B27" s="7"/>
      <c r="C27" s="7"/>
      <c r="D27" s="7"/>
      <c r="E27" s="7"/>
      <c r="F27" s="7"/>
      <c r="G27" s="7"/>
      <c r="H27" s="2"/>
      <c r="I27" s="15"/>
      <c r="J27" s="2" t="s">
        <v>38</v>
      </c>
      <c r="K27" s="2"/>
      <c r="L27" s="2"/>
      <c r="M27" s="8"/>
      <c r="N27" s="4"/>
      <c r="O27" s="4"/>
      <c r="P27" s="4"/>
      <c r="Q27" s="12"/>
      <c r="R27" s="12"/>
      <c r="S27" s="12"/>
      <c r="T27" s="12"/>
      <c r="U27" s="12"/>
      <c r="V27" s="12"/>
      <c r="W27" s="4"/>
      <c r="X27" s="15" t="str">
        <f>$D$17</f>
        <v xml:space="preserve">TO  </v>
      </c>
      <c r="Y27" s="4" t="s">
        <v>38</v>
      </c>
      <c r="Z27" s="4"/>
      <c r="AA27" s="2"/>
      <c r="AB27" s="8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5.5" x14ac:dyDescent="0.35">
      <c r="A28" s="2"/>
      <c r="B28" s="9" t="s">
        <v>39</v>
      </c>
      <c r="C28" s="2"/>
      <c r="D28" s="2"/>
      <c r="E28" s="2"/>
      <c r="F28" s="2"/>
      <c r="G28" s="2"/>
      <c r="H28" s="2"/>
      <c r="I28" s="22"/>
      <c r="J28" s="2"/>
      <c r="K28" s="2"/>
      <c r="L28" s="2"/>
      <c r="M28" s="8"/>
      <c r="N28" s="4"/>
      <c r="O28" s="4"/>
      <c r="P28" s="4"/>
      <c r="Q28" s="9" t="s">
        <v>39</v>
      </c>
      <c r="R28" s="2">
        <f>$D$32</f>
        <v>0</v>
      </c>
      <c r="S28" s="2"/>
      <c r="T28" s="2"/>
      <c r="U28" s="4"/>
      <c r="V28" s="4"/>
      <c r="W28" s="4"/>
      <c r="X28" s="22"/>
      <c r="Y28" s="2"/>
      <c r="Z28" s="2"/>
      <c r="AA28" s="2"/>
      <c r="AB28" s="8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15.5" x14ac:dyDescent="0.35">
      <c r="A29" s="2"/>
      <c r="B29" s="5"/>
      <c r="C29" s="7"/>
      <c r="D29" s="7"/>
      <c r="E29" s="7"/>
      <c r="F29" s="2"/>
      <c r="G29" s="2"/>
      <c r="H29" s="2"/>
      <c r="I29" s="7"/>
      <c r="J29" s="7"/>
      <c r="K29" s="7"/>
      <c r="L29" s="7"/>
      <c r="M29" s="4"/>
      <c r="N29" s="4"/>
      <c r="O29" s="4"/>
      <c r="P29" s="4"/>
      <c r="Q29" s="5"/>
      <c r="R29" s="12"/>
      <c r="S29" s="12"/>
      <c r="T29" s="12"/>
      <c r="U29" s="4"/>
      <c r="V29" s="4"/>
      <c r="W29" s="4"/>
      <c r="X29" s="12"/>
      <c r="Y29" s="12"/>
      <c r="Z29" s="12"/>
      <c r="AA29" s="12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ht="15.5" x14ac:dyDescent="0.35">
      <c r="A30" s="2"/>
      <c r="B30" s="5" t="s">
        <v>40</v>
      </c>
      <c r="C30" s="2"/>
      <c r="D30" s="2"/>
      <c r="E30" s="2"/>
      <c r="F30" s="5" t="s">
        <v>41</v>
      </c>
      <c r="G30" s="1"/>
      <c r="H30" s="2"/>
      <c r="I30" s="2"/>
      <c r="J30" s="2"/>
      <c r="K30" s="2"/>
      <c r="L30" s="2"/>
      <c r="M30" s="4"/>
      <c r="N30" s="4"/>
      <c r="O30" s="4"/>
      <c r="P30" s="4"/>
      <c r="Q30" s="5" t="s">
        <v>40</v>
      </c>
      <c r="R30" s="2">
        <f>$D$33</f>
        <v>0</v>
      </c>
      <c r="S30" s="2"/>
      <c r="T30" s="2"/>
      <c r="U30" s="5" t="s">
        <v>41</v>
      </c>
      <c r="V30" s="1">
        <f>$D$34</f>
        <v>0</v>
      </c>
      <c r="W30" s="2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ht="15.5" x14ac:dyDescent="0.35">
      <c r="A31" s="2"/>
      <c r="B31" s="2"/>
      <c r="C31" s="7"/>
      <c r="D31" s="7"/>
      <c r="E31" s="7"/>
      <c r="F31" s="2"/>
      <c r="G31" s="7"/>
      <c r="H31" s="7"/>
      <c r="I31" s="2"/>
      <c r="J31" s="2"/>
      <c r="K31" s="2"/>
      <c r="L31" s="2"/>
      <c r="M31" s="4"/>
      <c r="N31" s="4"/>
      <c r="O31" s="4"/>
      <c r="P31" s="4"/>
      <c r="Q31" s="4"/>
      <c r="R31" s="12"/>
      <c r="S31" s="12"/>
      <c r="T31" s="12"/>
      <c r="U31" s="4"/>
      <c r="V31" s="12"/>
      <c r="W31" s="12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 ht="15.5" x14ac:dyDescent="0.35">
      <c r="A32" s="2"/>
      <c r="B32" s="34" t="s">
        <v>42</v>
      </c>
      <c r="C32" s="34"/>
      <c r="D32" s="34"/>
      <c r="E32" s="33">
        <f>$D$19</f>
        <v>0</v>
      </c>
      <c r="F32" s="2"/>
      <c r="G32" s="2"/>
      <c r="H32" s="2"/>
      <c r="I32" s="2"/>
      <c r="J32" s="2"/>
      <c r="K32" s="2"/>
      <c r="L32" s="2"/>
      <c r="M32" s="4"/>
      <c r="N32" s="4"/>
      <c r="O32" s="4"/>
      <c r="P32" s="4"/>
      <c r="Q32" s="34" t="s">
        <v>42</v>
      </c>
      <c r="R32" s="34"/>
      <c r="S32" s="34"/>
      <c r="T32" s="33">
        <f>$D$19</f>
        <v>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ht="15.5" x14ac:dyDescent="0.35">
      <c r="A33" s="2"/>
      <c r="B33" s="2"/>
      <c r="C33" s="2"/>
      <c r="D33" s="2"/>
      <c r="E33" s="7"/>
      <c r="F33" s="2"/>
      <c r="G33" s="2"/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12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6" thickBot="1" x14ac:dyDescent="0.4">
      <c r="A34" s="2"/>
      <c r="B34" s="18" t="s">
        <v>0</v>
      </c>
      <c r="C34" s="34" t="s">
        <v>43</v>
      </c>
      <c r="D34" s="34"/>
      <c r="E34" s="34"/>
      <c r="F34" s="34"/>
      <c r="G34" s="34"/>
      <c r="H34" s="34"/>
      <c r="I34" s="34"/>
      <c r="J34" s="34"/>
      <c r="K34" s="34"/>
      <c r="L34" s="34"/>
      <c r="M34" s="4"/>
      <c r="N34" s="4"/>
      <c r="O34" s="4"/>
      <c r="P34" s="35"/>
      <c r="Q34" s="18" t="s">
        <v>1</v>
      </c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6" thickTop="1" x14ac:dyDescent="0.35">
      <c r="A35" s="2"/>
      <c r="B35" s="36" t="s">
        <v>44</v>
      </c>
      <c r="C35" s="36" t="s">
        <v>45</v>
      </c>
      <c r="D35" s="37"/>
      <c r="E35" s="38"/>
      <c r="F35" s="38"/>
      <c r="G35" s="39"/>
      <c r="H35" s="38"/>
      <c r="I35" s="39"/>
      <c r="J35" s="38"/>
      <c r="K35" s="39"/>
      <c r="L35" s="39"/>
      <c r="M35" s="40"/>
      <c r="N35" s="4"/>
      <c r="O35" s="4"/>
      <c r="P35" s="35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5.5" x14ac:dyDescent="0.35">
      <c r="A36" s="2"/>
      <c r="B36" s="41" t="s">
        <v>46</v>
      </c>
      <c r="C36" s="41" t="s">
        <v>47</v>
      </c>
      <c r="D36" s="34"/>
      <c r="E36" s="42"/>
      <c r="F36" s="41" t="s">
        <v>48</v>
      </c>
      <c r="G36" s="18"/>
      <c r="H36" s="41" t="s">
        <v>49</v>
      </c>
      <c r="I36" s="34"/>
      <c r="J36" s="41" t="s">
        <v>50</v>
      </c>
      <c r="K36" s="34"/>
      <c r="L36" s="43" t="s">
        <v>51</v>
      </c>
      <c r="M36" s="40"/>
      <c r="N36" s="4"/>
      <c r="O36" s="4"/>
      <c r="P36" s="35"/>
      <c r="Q36" s="4"/>
      <c r="R36" s="4"/>
      <c r="S36" s="4"/>
      <c r="T36" s="35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4">
        <f ca="1">NOW()</f>
        <v>43857.469765856484</v>
      </c>
      <c r="AF36" s="45">
        <f ca="1">NOW()</f>
        <v>43857.469765856484</v>
      </c>
      <c r="AG36" s="4" t="s">
        <v>52</v>
      </c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 ht="16" thickBot="1" x14ac:dyDescent="0.4">
      <c r="A37" s="2"/>
      <c r="B37" s="46" t="s">
        <v>53</v>
      </c>
      <c r="C37" s="47" t="s">
        <v>54</v>
      </c>
      <c r="D37" s="47" t="s">
        <v>55</v>
      </c>
      <c r="E37" s="46" t="s">
        <v>56</v>
      </c>
      <c r="F37" s="41" t="s">
        <v>57</v>
      </c>
      <c r="G37" s="18"/>
      <c r="H37" s="41" t="s">
        <v>58</v>
      </c>
      <c r="I37" s="34"/>
      <c r="J37" s="41" t="s">
        <v>57</v>
      </c>
      <c r="K37" s="34"/>
      <c r="L37" s="43" t="s">
        <v>59</v>
      </c>
      <c r="M37" s="40"/>
      <c r="N37" s="4"/>
      <c r="O37" s="4"/>
      <c r="P37" s="4"/>
      <c r="Q37" s="9" t="s">
        <v>45</v>
      </c>
      <c r="R37" s="4"/>
      <c r="S37" s="9" t="s">
        <v>60</v>
      </c>
      <c r="T37" s="9"/>
      <c r="U37" s="9"/>
      <c r="V37" s="9"/>
      <c r="W37" s="9"/>
      <c r="X37" s="9"/>
      <c r="Y37" s="9"/>
      <c r="Z37" s="9"/>
      <c r="AA37" s="9"/>
      <c r="AB37" s="4"/>
      <c r="AC37" s="4"/>
      <c r="AD37" s="4"/>
      <c r="AE37" s="48" t="s">
        <v>61</v>
      </c>
      <c r="AF37" s="48" t="s">
        <v>62</v>
      </c>
      <c r="AG37" s="48" t="s">
        <v>63</v>
      </c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 ht="16" thickTop="1" x14ac:dyDescent="0.35">
      <c r="A38" s="2"/>
      <c r="B38" s="49"/>
      <c r="C38" s="49"/>
      <c r="D38" s="49"/>
      <c r="E38" s="49"/>
      <c r="F38" s="49"/>
      <c r="G38" s="50"/>
      <c r="H38" s="49"/>
      <c r="I38" s="50"/>
      <c r="J38" s="49"/>
      <c r="K38" s="50"/>
      <c r="L38" s="49"/>
      <c r="M38" s="51"/>
      <c r="N38" s="4"/>
      <c r="O38" s="4"/>
      <c r="P38" s="4"/>
      <c r="Q38" s="4"/>
      <c r="R38" s="4"/>
      <c r="S38" s="4"/>
      <c r="T38" s="35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ht="15.5" x14ac:dyDescent="0.35">
      <c r="A39" s="2">
        <v>1</v>
      </c>
      <c r="B39" s="52"/>
      <c r="C39" s="53"/>
      <c r="D39" s="53"/>
      <c r="E39" s="54"/>
      <c r="F39" s="54"/>
      <c r="G39" s="2"/>
      <c r="H39" s="54"/>
      <c r="I39" s="2"/>
      <c r="J39" s="54"/>
      <c r="K39" s="2"/>
      <c r="L39" s="55"/>
      <c r="M39" s="51"/>
      <c r="N39" s="4">
        <v>1</v>
      </c>
      <c r="O39" s="4"/>
      <c r="P39" s="4">
        <v>1</v>
      </c>
      <c r="Q39" s="56"/>
      <c r="R39" s="4"/>
      <c r="S39" s="56"/>
      <c r="T39" s="57"/>
      <c r="U39" s="2"/>
      <c r="V39" s="2"/>
      <c r="W39" s="2"/>
      <c r="X39" s="2"/>
      <c r="Y39" s="2"/>
      <c r="Z39" s="2"/>
      <c r="AA39" s="2"/>
      <c r="AB39" s="4"/>
      <c r="AC39" s="4">
        <v>1</v>
      </c>
      <c r="AD39" s="4"/>
      <c r="AE39" s="3">
        <v>1</v>
      </c>
      <c r="AF39" s="3">
        <v>1111</v>
      </c>
      <c r="AG39" s="4" t="s">
        <v>64</v>
      </c>
      <c r="AH39" s="4" t="s">
        <v>52</v>
      </c>
      <c r="AI39" s="4"/>
      <c r="AJ39" s="4"/>
      <c r="AK39" s="4"/>
      <c r="AL39" s="4"/>
      <c r="AM39" s="4"/>
      <c r="AN39" s="4"/>
      <c r="AO39" s="4"/>
      <c r="AP39" s="4"/>
      <c r="AQ39" s="4"/>
    </row>
    <row r="40" spans="1:43" ht="15.5" x14ac:dyDescent="0.35">
      <c r="A40" s="2"/>
      <c r="B40" s="58"/>
      <c r="C40" s="58"/>
      <c r="D40" s="58"/>
      <c r="E40" s="58"/>
      <c r="F40" s="58"/>
      <c r="G40" s="7"/>
      <c r="H40" s="58"/>
      <c r="I40" s="7"/>
      <c r="J40" s="58"/>
      <c r="K40" s="7"/>
      <c r="L40" s="59"/>
      <c r="M40" s="51"/>
      <c r="N40" s="4"/>
      <c r="O40" s="4"/>
      <c r="P40" s="4"/>
      <c r="Q40" s="12"/>
      <c r="R40" s="4"/>
      <c r="S40" s="12"/>
      <c r="T40" s="60"/>
      <c r="U40" s="12"/>
      <c r="V40" s="12"/>
      <c r="W40" s="12"/>
      <c r="X40" s="12"/>
      <c r="Y40" s="12"/>
      <c r="Z40" s="12"/>
      <c r="AA40" s="12"/>
      <c r="AB40" s="4"/>
      <c r="AC40" s="4"/>
      <c r="AD40" s="4"/>
      <c r="AE40" s="3">
        <v>2</v>
      </c>
      <c r="AF40" s="3">
        <v>1112</v>
      </c>
      <c r="AG40" s="4" t="s">
        <v>65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 ht="15.5" x14ac:dyDescent="0.35">
      <c r="A41" s="2">
        <v>2</v>
      </c>
      <c r="B41" s="52"/>
      <c r="C41" s="53"/>
      <c r="D41" s="53"/>
      <c r="E41" s="54"/>
      <c r="F41" s="54"/>
      <c r="G41" s="2"/>
      <c r="H41" s="54"/>
      <c r="I41" s="2"/>
      <c r="J41" s="54"/>
      <c r="K41" s="2"/>
      <c r="L41" s="55"/>
      <c r="M41" s="51"/>
      <c r="N41" s="4">
        <v>2</v>
      </c>
      <c r="O41" s="4"/>
      <c r="P41" s="4">
        <v>2</v>
      </c>
      <c r="Q41" s="56"/>
      <c r="R41" s="4"/>
      <c r="S41" s="56"/>
      <c r="T41" s="57"/>
      <c r="U41" s="2"/>
      <c r="V41" s="2"/>
      <c r="W41" s="2"/>
      <c r="X41" s="2"/>
      <c r="Y41" s="2"/>
      <c r="Z41" s="2"/>
      <c r="AA41" s="2"/>
      <c r="AB41" s="4"/>
      <c r="AC41" s="4">
        <v>2</v>
      </c>
      <c r="AD41" s="4"/>
      <c r="AE41" s="3">
        <v>3</v>
      </c>
      <c r="AF41" s="3">
        <v>1113</v>
      </c>
      <c r="AG41" s="4" t="s">
        <v>66</v>
      </c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5.5" x14ac:dyDescent="0.35">
      <c r="A42" s="2"/>
      <c r="B42" s="58"/>
      <c r="C42" s="58"/>
      <c r="D42" s="58"/>
      <c r="E42" s="58"/>
      <c r="F42" s="58"/>
      <c r="G42" s="7"/>
      <c r="H42" s="58"/>
      <c r="I42" s="7"/>
      <c r="J42" s="58"/>
      <c r="K42" s="7"/>
      <c r="L42" s="59"/>
      <c r="M42" s="51"/>
      <c r="N42" s="4"/>
      <c r="O42" s="4"/>
      <c r="P42" s="4"/>
      <c r="Q42" s="12"/>
      <c r="R42" s="4"/>
      <c r="S42" s="12"/>
      <c r="T42" s="60"/>
      <c r="U42" s="12"/>
      <c r="V42" s="12"/>
      <c r="W42" s="12"/>
      <c r="X42" s="12"/>
      <c r="Y42" s="12"/>
      <c r="Z42" s="12"/>
      <c r="AA42" s="12"/>
      <c r="AB42" s="4"/>
      <c r="AC42" s="4"/>
      <c r="AD42" s="4"/>
      <c r="AE42" s="3">
        <v>4</v>
      </c>
      <c r="AF42" s="3">
        <v>1114</v>
      </c>
      <c r="AG42" s="4" t="s">
        <v>67</v>
      </c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5.5" x14ac:dyDescent="0.35">
      <c r="A43" s="2">
        <v>3</v>
      </c>
      <c r="B43" s="52"/>
      <c r="C43" s="53"/>
      <c r="D43" s="53"/>
      <c r="E43" s="54"/>
      <c r="F43" s="54"/>
      <c r="G43" s="2"/>
      <c r="H43" s="54"/>
      <c r="I43" s="2"/>
      <c r="J43" s="54"/>
      <c r="K43" s="2"/>
      <c r="L43" s="55"/>
      <c r="M43" s="51"/>
      <c r="N43" s="4">
        <v>3</v>
      </c>
      <c r="O43" s="4"/>
      <c r="P43" s="4">
        <v>3</v>
      </c>
      <c r="Q43" s="56"/>
      <c r="R43" s="4"/>
      <c r="S43" s="56"/>
      <c r="T43" s="57"/>
      <c r="U43" s="2"/>
      <c r="V43" s="2"/>
      <c r="W43" s="2"/>
      <c r="X43" s="2"/>
      <c r="Y43" s="2"/>
      <c r="Z43" s="2"/>
      <c r="AA43" s="2"/>
      <c r="AB43" s="4"/>
      <c r="AC43" s="4">
        <v>3</v>
      </c>
      <c r="AD43" s="4"/>
      <c r="AE43" s="3">
        <v>5</v>
      </c>
      <c r="AF43" s="3">
        <v>1115</v>
      </c>
      <c r="AG43" s="4" t="s">
        <v>68</v>
      </c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5.5" x14ac:dyDescent="0.35">
      <c r="A44" s="2"/>
      <c r="B44" s="58"/>
      <c r="C44" s="58"/>
      <c r="D44" s="58"/>
      <c r="E44" s="58"/>
      <c r="F44" s="58"/>
      <c r="G44" s="7"/>
      <c r="H44" s="58"/>
      <c r="I44" s="7"/>
      <c r="J44" s="58"/>
      <c r="K44" s="7"/>
      <c r="L44" s="59"/>
      <c r="M44" s="51"/>
      <c r="N44" s="4"/>
      <c r="O44" s="4"/>
      <c r="P44" s="4"/>
      <c r="Q44" s="12"/>
      <c r="R44" s="4"/>
      <c r="S44" s="12"/>
      <c r="T44" s="60"/>
      <c r="U44" s="12"/>
      <c r="V44" s="12"/>
      <c r="W44" s="12"/>
      <c r="X44" s="12"/>
      <c r="Y44" s="12"/>
      <c r="Z44" s="12"/>
      <c r="AA44" s="12"/>
      <c r="AB44" s="4"/>
      <c r="AC44" s="4"/>
      <c r="AD44" s="4"/>
      <c r="AE44" s="3">
        <v>6</v>
      </c>
      <c r="AF44" s="3">
        <v>1211</v>
      </c>
      <c r="AG44" s="4" t="s">
        <v>69</v>
      </c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ht="15.5" x14ac:dyDescent="0.35">
      <c r="A45" s="2">
        <v>4</v>
      </c>
      <c r="B45" s="52"/>
      <c r="C45" s="53"/>
      <c r="D45" s="53"/>
      <c r="E45" s="54"/>
      <c r="F45" s="54"/>
      <c r="G45" s="2"/>
      <c r="H45" s="54"/>
      <c r="I45" s="2"/>
      <c r="J45" s="54"/>
      <c r="K45" s="2"/>
      <c r="L45" s="55"/>
      <c r="M45" s="51"/>
      <c r="N45" s="4">
        <v>4</v>
      </c>
      <c r="O45" s="4"/>
      <c r="P45" s="4">
        <v>4</v>
      </c>
      <c r="Q45" s="56"/>
      <c r="R45" s="4"/>
      <c r="S45" s="56"/>
      <c r="T45" s="57"/>
      <c r="U45" s="2"/>
      <c r="V45" s="2"/>
      <c r="W45" s="2"/>
      <c r="X45" s="2"/>
      <c r="Y45" s="2"/>
      <c r="Z45" s="2"/>
      <c r="AA45" s="2"/>
      <c r="AB45" s="4"/>
      <c r="AC45" s="4">
        <v>4</v>
      </c>
      <c r="AD45" s="4"/>
      <c r="AE45" s="3">
        <v>7</v>
      </c>
      <c r="AF45" s="3">
        <v>1212</v>
      </c>
      <c r="AG45" s="4" t="s">
        <v>70</v>
      </c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ht="15.5" x14ac:dyDescent="0.35">
      <c r="A46" s="2"/>
      <c r="B46" s="58"/>
      <c r="C46" s="58"/>
      <c r="D46" s="58"/>
      <c r="E46" s="58"/>
      <c r="F46" s="58"/>
      <c r="G46" s="7"/>
      <c r="H46" s="58"/>
      <c r="I46" s="7"/>
      <c r="J46" s="58"/>
      <c r="K46" s="7"/>
      <c r="L46" s="59"/>
      <c r="M46" s="51"/>
      <c r="N46" s="4"/>
      <c r="O46" s="4"/>
      <c r="P46" s="4"/>
      <c r="Q46" s="12"/>
      <c r="R46" s="4"/>
      <c r="S46" s="12"/>
      <c r="T46" s="60"/>
      <c r="U46" s="12"/>
      <c r="V46" s="12"/>
      <c r="W46" s="12"/>
      <c r="X46" s="12"/>
      <c r="Y46" s="12"/>
      <c r="Z46" s="12"/>
      <c r="AA46" s="12"/>
      <c r="AB46" s="4"/>
      <c r="AC46" s="4"/>
      <c r="AD46" s="4"/>
      <c r="AE46" s="3">
        <v>8</v>
      </c>
      <c r="AF46" s="3">
        <v>1213</v>
      </c>
      <c r="AG46" s="4" t="s">
        <v>71</v>
      </c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ht="15.5" x14ac:dyDescent="0.35">
      <c r="A47" s="2">
        <v>5</v>
      </c>
      <c r="B47" s="52"/>
      <c r="C47" s="53"/>
      <c r="D47" s="53"/>
      <c r="E47" s="54"/>
      <c r="F47" s="54"/>
      <c r="G47" s="2"/>
      <c r="H47" s="54"/>
      <c r="I47" s="2"/>
      <c r="J47" s="54"/>
      <c r="K47" s="2"/>
      <c r="L47" s="55"/>
      <c r="M47" s="51"/>
      <c r="N47" s="4">
        <v>5</v>
      </c>
      <c r="O47" s="4"/>
      <c r="P47" s="4">
        <v>5</v>
      </c>
      <c r="Q47" s="56"/>
      <c r="R47" s="4"/>
      <c r="S47" s="56"/>
      <c r="T47" s="57"/>
      <c r="U47" s="2"/>
      <c r="V47" s="2"/>
      <c r="W47" s="2"/>
      <c r="X47" s="2"/>
      <c r="Y47" s="2"/>
      <c r="Z47" s="2"/>
      <c r="AA47" s="2"/>
      <c r="AB47" s="4"/>
      <c r="AC47" s="4">
        <v>5</v>
      </c>
      <c r="AD47" s="4"/>
      <c r="AE47" s="3">
        <v>9</v>
      </c>
      <c r="AF47" s="3">
        <v>1214</v>
      </c>
      <c r="AG47" s="4" t="s">
        <v>72</v>
      </c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ht="15.5" x14ac:dyDescent="0.35">
      <c r="A48" s="2"/>
      <c r="B48" s="58"/>
      <c r="C48" s="58"/>
      <c r="D48" s="58"/>
      <c r="E48" s="58"/>
      <c r="F48" s="58"/>
      <c r="G48" s="7"/>
      <c r="H48" s="58"/>
      <c r="I48" s="7"/>
      <c r="J48" s="58"/>
      <c r="K48" s="7"/>
      <c r="L48" s="59"/>
      <c r="M48" s="51"/>
      <c r="N48" s="4"/>
      <c r="O48" s="4"/>
      <c r="P48" s="4"/>
      <c r="Q48" s="12"/>
      <c r="R48" s="4"/>
      <c r="S48" s="12"/>
      <c r="T48" s="60"/>
      <c r="U48" s="12"/>
      <c r="V48" s="12"/>
      <c r="W48" s="12"/>
      <c r="X48" s="12"/>
      <c r="Y48" s="12"/>
      <c r="Z48" s="12"/>
      <c r="AA48" s="12"/>
      <c r="AB48" s="4"/>
      <c r="AC48" s="4"/>
      <c r="AD48" s="4"/>
      <c r="AE48" s="3">
        <v>10</v>
      </c>
      <c r="AF48" s="3">
        <v>1215</v>
      </c>
      <c r="AG48" s="4" t="s">
        <v>73</v>
      </c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 ht="15.5" x14ac:dyDescent="0.35">
      <c r="A49" s="2">
        <v>6</v>
      </c>
      <c r="B49" s="52"/>
      <c r="C49" s="53"/>
      <c r="D49" s="53"/>
      <c r="E49" s="54"/>
      <c r="F49" s="54"/>
      <c r="G49" s="2"/>
      <c r="H49" s="54"/>
      <c r="I49" s="2"/>
      <c r="J49" s="54"/>
      <c r="K49" s="2"/>
      <c r="L49" s="55"/>
      <c r="M49" s="51"/>
      <c r="N49" s="4">
        <v>6</v>
      </c>
      <c r="O49" s="4"/>
      <c r="P49" s="4">
        <v>6</v>
      </c>
      <c r="Q49" s="56"/>
      <c r="R49" s="4"/>
      <c r="S49" s="56"/>
      <c r="T49" s="57"/>
      <c r="U49" s="2"/>
      <c r="V49" s="2"/>
      <c r="W49" s="2"/>
      <c r="X49" s="2"/>
      <c r="Y49" s="2"/>
      <c r="Z49" s="2"/>
      <c r="AA49" s="2"/>
      <c r="AB49" s="4"/>
      <c r="AC49" s="4">
        <v>6</v>
      </c>
      <c r="AD49" s="4"/>
      <c r="AE49" s="3">
        <v>11</v>
      </c>
      <c r="AF49" s="3">
        <v>1216</v>
      </c>
      <c r="AG49" s="4" t="s">
        <v>74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5.5" x14ac:dyDescent="0.35">
      <c r="A50" s="2"/>
      <c r="B50" s="58"/>
      <c r="C50" s="58"/>
      <c r="D50" s="58"/>
      <c r="E50" s="58"/>
      <c r="F50" s="58"/>
      <c r="G50" s="7"/>
      <c r="H50" s="58"/>
      <c r="I50" s="7"/>
      <c r="J50" s="58"/>
      <c r="K50" s="7"/>
      <c r="L50" s="59"/>
      <c r="M50" s="51"/>
      <c r="N50" s="4"/>
      <c r="O50" s="4"/>
      <c r="P50" s="4"/>
      <c r="Q50" s="12"/>
      <c r="R50" s="4"/>
      <c r="S50" s="12"/>
      <c r="T50" s="60"/>
      <c r="U50" s="12"/>
      <c r="V50" s="12"/>
      <c r="W50" s="12"/>
      <c r="X50" s="12"/>
      <c r="Y50" s="12"/>
      <c r="Z50" s="12"/>
      <c r="AA50" s="12"/>
      <c r="AB50" s="4"/>
      <c r="AC50" s="4"/>
      <c r="AD50" s="4"/>
      <c r="AE50" s="3">
        <v>12</v>
      </c>
      <c r="AF50" s="3">
        <v>1217</v>
      </c>
      <c r="AG50" s="4" t="s">
        <v>75</v>
      </c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5.5" x14ac:dyDescent="0.35">
      <c r="A51" s="2">
        <v>7</v>
      </c>
      <c r="B51" s="52"/>
      <c r="C51" s="53"/>
      <c r="D51" s="53"/>
      <c r="E51" s="54"/>
      <c r="F51" s="54"/>
      <c r="G51" s="2"/>
      <c r="H51" s="54"/>
      <c r="I51" s="2"/>
      <c r="J51" s="54"/>
      <c r="K51" s="2"/>
      <c r="L51" s="55"/>
      <c r="M51" s="51"/>
      <c r="N51" s="4">
        <v>7</v>
      </c>
      <c r="O51" s="4"/>
      <c r="P51" s="4">
        <v>7</v>
      </c>
      <c r="Q51" s="56"/>
      <c r="R51" s="4"/>
      <c r="S51" s="56"/>
      <c r="T51" s="57"/>
      <c r="U51" s="2"/>
      <c r="V51" s="2"/>
      <c r="W51" s="2"/>
      <c r="X51" s="2"/>
      <c r="Y51" s="2"/>
      <c r="Z51" s="2"/>
      <c r="AA51" s="2"/>
      <c r="AB51" s="4"/>
      <c r="AC51" s="4">
        <v>7</v>
      </c>
      <c r="AD51" s="4"/>
      <c r="AE51" s="3">
        <v>13</v>
      </c>
      <c r="AF51" s="3">
        <v>1218</v>
      </c>
      <c r="AG51" s="4" t="s">
        <v>76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5.5" x14ac:dyDescent="0.35">
      <c r="A52" s="2"/>
      <c r="B52" s="58"/>
      <c r="C52" s="58"/>
      <c r="D52" s="58"/>
      <c r="E52" s="58"/>
      <c r="F52" s="58"/>
      <c r="G52" s="7"/>
      <c r="H52" s="58"/>
      <c r="I52" s="7"/>
      <c r="J52" s="58"/>
      <c r="K52" s="7"/>
      <c r="L52" s="59"/>
      <c r="M52" s="51"/>
      <c r="N52" s="4"/>
      <c r="O52" s="4"/>
      <c r="P52" s="4"/>
      <c r="Q52" s="12"/>
      <c r="R52" s="4"/>
      <c r="S52" s="12"/>
      <c r="T52" s="60"/>
      <c r="U52" s="12"/>
      <c r="V52" s="12"/>
      <c r="W52" s="12"/>
      <c r="X52" s="12"/>
      <c r="Y52" s="12"/>
      <c r="Z52" s="12"/>
      <c r="AA52" s="12"/>
      <c r="AB52" s="4"/>
      <c r="AC52" s="4"/>
      <c r="AD52" s="4"/>
      <c r="AE52" s="3">
        <v>14</v>
      </c>
      <c r="AF52" s="3">
        <v>1219</v>
      </c>
      <c r="AG52" s="4" t="s">
        <v>77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ht="15.5" x14ac:dyDescent="0.35">
      <c r="A53" s="2">
        <v>8</v>
      </c>
      <c r="B53" s="52"/>
      <c r="C53" s="53"/>
      <c r="D53" s="53"/>
      <c r="E53" s="54"/>
      <c r="F53" s="54"/>
      <c r="G53" s="2"/>
      <c r="H53" s="54"/>
      <c r="I53" s="2"/>
      <c r="J53" s="54"/>
      <c r="K53" s="2"/>
      <c r="L53" s="55"/>
      <c r="M53" s="51"/>
      <c r="N53" s="4">
        <v>8</v>
      </c>
      <c r="O53" s="4"/>
      <c r="P53" s="4">
        <v>8</v>
      </c>
      <c r="Q53" s="56"/>
      <c r="R53" s="4"/>
      <c r="S53" s="56"/>
      <c r="T53" s="57"/>
      <c r="U53" s="2"/>
      <c r="V53" s="2"/>
      <c r="W53" s="2"/>
      <c r="X53" s="2"/>
      <c r="Y53" s="2"/>
      <c r="Z53" s="2"/>
      <c r="AA53" s="2"/>
      <c r="AB53" s="4"/>
      <c r="AC53" s="4">
        <v>8</v>
      </c>
      <c r="AD53" s="4"/>
      <c r="AE53" s="3">
        <v>15</v>
      </c>
      <c r="AF53" s="3">
        <v>1220</v>
      </c>
      <c r="AG53" s="4" t="s">
        <v>78</v>
      </c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ht="15.5" x14ac:dyDescent="0.35">
      <c r="A54" s="2" t="s">
        <v>79</v>
      </c>
      <c r="B54" s="58"/>
      <c r="C54" s="58"/>
      <c r="D54" s="58"/>
      <c r="E54" s="58"/>
      <c r="F54" s="58"/>
      <c r="G54" s="7"/>
      <c r="H54" s="58"/>
      <c r="I54" s="7"/>
      <c r="J54" s="58"/>
      <c r="K54" s="7"/>
      <c r="L54" s="59"/>
      <c r="M54" s="51"/>
      <c r="N54" s="4" t="s">
        <v>79</v>
      </c>
      <c r="O54" s="4"/>
      <c r="P54" s="4"/>
      <c r="Q54" s="12"/>
      <c r="R54" s="4"/>
      <c r="S54" s="12"/>
      <c r="T54" s="60"/>
      <c r="U54" s="12"/>
      <c r="V54" s="12"/>
      <c r="W54" s="12"/>
      <c r="X54" s="12"/>
      <c r="Y54" s="12"/>
      <c r="Z54" s="12"/>
      <c r="AA54" s="12"/>
      <c r="AB54" s="4"/>
      <c r="AC54" s="4"/>
      <c r="AD54" s="4"/>
      <c r="AE54" s="3">
        <v>16</v>
      </c>
      <c r="AF54" s="3">
        <v>1311</v>
      </c>
      <c r="AG54" s="4" t="s">
        <v>80</v>
      </c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ht="15.5" x14ac:dyDescent="0.35">
      <c r="A55" s="2">
        <v>9</v>
      </c>
      <c r="B55" s="52"/>
      <c r="C55" s="53"/>
      <c r="D55" s="53"/>
      <c r="E55" s="54"/>
      <c r="F55" s="54"/>
      <c r="G55" s="2"/>
      <c r="H55" s="54"/>
      <c r="I55" s="2"/>
      <c r="J55" s="54"/>
      <c r="K55" s="2"/>
      <c r="L55" s="55"/>
      <c r="M55" s="51"/>
      <c r="N55" s="4">
        <v>9</v>
      </c>
      <c r="O55" s="4"/>
      <c r="P55" s="4">
        <v>9</v>
      </c>
      <c r="Q55" s="56"/>
      <c r="R55" s="4"/>
      <c r="S55" s="56"/>
      <c r="T55" s="57"/>
      <c r="U55" s="2"/>
      <c r="V55" s="2"/>
      <c r="W55" s="2"/>
      <c r="X55" s="2"/>
      <c r="Y55" s="2"/>
      <c r="Z55" s="2"/>
      <c r="AA55" s="2"/>
      <c r="AB55" s="4"/>
      <c r="AC55" s="4">
        <v>9</v>
      </c>
      <c r="AD55" s="4"/>
      <c r="AE55" s="3">
        <v>17</v>
      </c>
      <c r="AF55" s="3">
        <v>1312</v>
      </c>
      <c r="AG55" s="4" t="s">
        <v>81</v>
      </c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ht="15.5" x14ac:dyDescent="0.35">
      <c r="A56" s="2"/>
      <c r="B56" s="58"/>
      <c r="C56" s="58"/>
      <c r="D56" s="58"/>
      <c r="E56" s="58"/>
      <c r="F56" s="58"/>
      <c r="G56" s="7"/>
      <c r="H56" s="58"/>
      <c r="I56" s="7"/>
      <c r="J56" s="58"/>
      <c r="K56" s="7"/>
      <c r="L56" s="59"/>
      <c r="M56" s="51"/>
      <c r="N56" s="4"/>
      <c r="O56" s="4"/>
      <c r="P56" s="4"/>
      <c r="Q56" s="12"/>
      <c r="R56" s="4"/>
      <c r="S56" s="12"/>
      <c r="T56" s="60"/>
      <c r="U56" s="12"/>
      <c r="V56" s="12"/>
      <c r="W56" s="12"/>
      <c r="X56" s="12"/>
      <c r="Y56" s="12"/>
      <c r="Z56" s="12"/>
      <c r="AA56" s="12"/>
      <c r="AB56" s="4"/>
      <c r="AC56" s="4"/>
      <c r="AD56" s="4"/>
      <c r="AE56" s="3">
        <v>18</v>
      </c>
      <c r="AF56" s="3">
        <v>1313</v>
      </c>
      <c r="AG56" s="4" t="s">
        <v>82</v>
      </c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ht="15.5" x14ac:dyDescent="0.35">
      <c r="A57" s="2">
        <v>10</v>
      </c>
      <c r="B57" s="52"/>
      <c r="C57" s="53"/>
      <c r="D57" s="53"/>
      <c r="E57" s="54"/>
      <c r="F57" s="54"/>
      <c r="G57" s="2"/>
      <c r="H57" s="54"/>
      <c r="I57" s="2"/>
      <c r="J57" s="54"/>
      <c r="K57" s="2"/>
      <c r="L57" s="55"/>
      <c r="M57" s="51"/>
      <c r="N57" s="4">
        <v>10</v>
      </c>
      <c r="O57" s="4"/>
      <c r="P57" s="4">
        <v>10</v>
      </c>
      <c r="Q57" s="56"/>
      <c r="R57" s="4"/>
      <c r="S57" s="56"/>
      <c r="T57" s="57"/>
      <c r="U57" s="2"/>
      <c r="V57" s="2"/>
      <c r="W57" s="2"/>
      <c r="X57" s="2"/>
      <c r="Y57" s="2"/>
      <c r="Z57" s="2"/>
      <c r="AA57" s="2"/>
      <c r="AB57" s="4"/>
      <c r="AC57" s="4">
        <v>10</v>
      </c>
      <c r="AD57" s="4"/>
      <c r="AE57" s="3">
        <v>19</v>
      </c>
      <c r="AF57" s="3">
        <v>1314</v>
      </c>
      <c r="AG57" s="4" t="s">
        <v>83</v>
      </c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5.5" x14ac:dyDescent="0.35">
      <c r="A58" s="2"/>
      <c r="B58" s="58"/>
      <c r="C58" s="58"/>
      <c r="D58" s="58"/>
      <c r="E58" s="58"/>
      <c r="F58" s="58"/>
      <c r="G58" s="7"/>
      <c r="H58" s="58"/>
      <c r="I58" s="7"/>
      <c r="J58" s="58"/>
      <c r="K58" s="7"/>
      <c r="L58" s="59"/>
      <c r="M58" s="51"/>
      <c r="N58" s="4"/>
      <c r="O58" s="4"/>
      <c r="P58" s="4"/>
      <c r="Q58" s="12"/>
      <c r="R58" s="4"/>
      <c r="S58" s="12"/>
      <c r="T58" s="60"/>
      <c r="U58" s="12"/>
      <c r="V58" s="12"/>
      <c r="W58" s="12"/>
      <c r="X58" s="12"/>
      <c r="Y58" s="12"/>
      <c r="Z58" s="12"/>
      <c r="AA58" s="12"/>
      <c r="AB58" s="4"/>
      <c r="AC58" s="4"/>
      <c r="AD58" s="4"/>
      <c r="AE58" s="3">
        <v>20</v>
      </c>
      <c r="AF58" s="3">
        <v>1315</v>
      </c>
      <c r="AG58" s="4" t="s">
        <v>84</v>
      </c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5.5" x14ac:dyDescent="0.35">
      <c r="A59" s="2">
        <v>11</v>
      </c>
      <c r="B59" s="52"/>
      <c r="C59" s="53"/>
      <c r="D59" s="53"/>
      <c r="E59" s="54"/>
      <c r="F59" s="54"/>
      <c r="G59" s="2"/>
      <c r="H59" s="54"/>
      <c r="I59" s="2"/>
      <c r="J59" s="54"/>
      <c r="K59" s="2"/>
      <c r="L59" s="55"/>
      <c r="M59" s="51"/>
      <c r="N59" s="4">
        <v>11</v>
      </c>
      <c r="O59" s="4"/>
      <c r="P59" s="4">
        <v>11</v>
      </c>
      <c r="Q59" s="56"/>
      <c r="R59" s="4"/>
      <c r="S59" s="56"/>
      <c r="T59" s="57"/>
      <c r="U59" s="2"/>
      <c r="V59" s="2"/>
      <c r="W59" s="2"/>
      <c r="X59" s="2"/>
      <c r="Y59" s="2"/>
      <c r="Z59" s="2"/>
      <c r="AA59" s="2"/>
      <c r="AB59" s="4"/>
      <c r="AC59" s="4">
        <v>11</v>
      </c>
      <c r="AD59" s="4"/>
      <c r="AE59" s="3">
        <v>21</v>
      </c>
      <c r="AF59" s="3">
        <v>1316</v>
      </c>
      <c r="AG59" s="4" t="s">
        <v>85</v>
      </c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5.5" x14ac:dyDescent="0.35">
      <c r="A60" s="2"/>
      <c r="B60" s="58"/>
      <c r="C60" s="58"/>
      <c r="D60" s="58"/>
      <c r="E60" s="58"/>
      <c r="F60" s="58"/>
      <c r="G60" s="7"/>
      <c r="H60" s="58"/>
      <c r="I60" s="7"/>
      <c r="J60" s="58"/>
      <c r="K60" s="7"/>
      <c r="L60" s="59"/>
      <c r="M60" s="51"/>
      <c r="N60" s="4"/>
      <c r="O60" s="4"/>
      <c r="P60" s="4"/>
      <c r="Q60" s="12"/>
      <c r="R60" s="4"/>
      <c r="S60" s="12"/>
      <c r="T60" s="60"/>
      <c r="U60" s="12"/>
      <c r="V60" s="12"/>
      <c r="W60" s="12"/>
      <c r="X60" s="12"/>
      <c r="Y60" s="12"/>
      <c r="Z60" s="12"/>
      <c r="AA60" s="12"/>
      <c r="AB60" s="4"/>
      <c r="AC60" s="4"/>
      <c r="AD60" s="4"/>
      <c r="AE60" s="3">
        <v>22</v>
      </c>
      <c r="AF60" s="3">
        <v>1317</v>
      </c>
      <c r="AG60" s="4" t="s">
        <v>86</v>
      </c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ht="15.5" x14ac:dyDescent="0.35">
      <c r="A61" s="2">
        <v>12</v>
      </c>
      <c r="B61" s="52"/>
      <c r="C61" s="53"/>
      <c r="D61" s="53"/>
      <c r="E61" s="54"/>
      <c r="F61" s="54"/>
      <c r="G61" s="2"/>
      <c r="H61" s="54"/>
      <c r="I61" s="2"/>
      <c r="J61" s="54"/>
      <c r="K61" s="2"/>
      <c r="L61" s="55"/>
      <c r="M61" s="51"/>
      <c r="N61" s="4">
        <v>12</v>
      </c>
      <c r="O61" s="4"/>
      <c r="P61" s="4">
        <v>12</v>
      </c>
      <c r="Q61" s="56"/>
      <c r="R61" s="4"/>
      <c r="S61" s="56"/>
      <c r="T61" s="57"/>
      <c r="U61" s="2"/>
      <c r="V61" s="2"/>
      <c r="W61" s="2"/>
      <c r="X61" s="2"/>
      <c r="Y61" s="2"/>
      <c r="Z61" s="2"/>
      <c r="AA61" s="2"/>
      <c r="AB61" s="4"/>
      <c r="AC61" s="4">
        <v>12</v>
      </c>
      <c r="AD61" s="4"/>
      <c r="AE61" s="3">
        <v>23</v>
      </c>
      <c r="AF61" s="3">
        <v>1318</v>
      </c>
      <c r="AG61" s="4" t="s">
        <v>87</v>
      </c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ht="15.5" x14ac:dyDescent="0.35">
      <c r="A62" s="2"/>
      <c r="B62" s="58"/>
      <c r="C62" s="58"/>
      <c r="D62" s="58"/>
      <c r="E62" s="58"/>
      <c r="F62" s="58"/>
      <c r="G62" s="7"/>
      <c r="H62" s="58"/>
      <c r="I62" s="7"/>
      <c r="J62" s="58"/>
      <c r="K62" s="7"/>
      <c r="L62" s="59"/>
      <c r="M62" s="51"/>
      <c r="N62" s="4"/>
      <c r="O62" s="4"/>
      <c r="P62" s="4"/>
      <c r="Q62" s="12"/>
      <c r="R62" s="4"/>
      <c r="S62" s="12"/>
      <c r="T62" s="60"/>
      <c r="U62" s="12"/>
      <c r="V62" s="12"/>
      <c r="W62" s="12"/>
      <c r="X62" s="12"/>
      <c r="Y62" s="12"/>
      <c r="Z62" s="12"/>
      <c r="AA62" s="12"/>
      <c r="AB62" s="4"/>
      <c r="AC62" s="4"/>
      <c r="AD62" s="4"/>
      <c r="AE62" s="3">
        <v>24</v>
      </c>
      <c r="AF62" s="3">
        <v>1319</v>
      </c>
      <c r="AG62" s="4" t="s">
        <v>88</v>
      </c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 ht="15.5" x14ac:dyDescent="0.35">
      <c r="A63" s="2">
        <v>13</v>
      </c>
      <c r="B63" s="52"/>
      <c r="C63" s="53"/>
      <c r="D63" s="53"/>
      <c r="E63" s="54"/>
      <c r="F63" s="54"/>
      <c r="G63" s="2"/>
      <c r="H63" s="54"/>
      <c r="I63" s="2"/>
      <c r="J63" s="54"/>
      <c r="K63" s="2"/>
      <c r="L63" s="55"/>
      <c r="M63" s="51"/>
      <c r="N63" s="4">
        <v>13</v>
      </c>
      <c r="O63" s="4"/>
      <c r="P63" s="4">
        <v>13</v>
      </c>
      <c r="Q63" s="56"/>
      <c r="R63" s="4"/>
      <c r="S63" s="56"/>
      <c r="T63" s="57"/>
      <c r="U63" s="2"/>
      <c r="V63" s="2"/>
      <c r="W63" s="2"/>
      <c r="X63" s="2"/>
      <c r="Y63" s="2"/>
      <c r="Z63" s="2"/>
      <c r="AA63" s="2"/>
      <c r="AB63" s="4"/>
      <c r="AC63" s="4">
        <v>13</v>
      </c>
      <c r="AD63" s="4"/>
      <c r="AE63" s="3">
        <v>25</v>
      </c>
      <c r="AF63" s="3">
        <v>1411</v>
      </c>
      <c r="AG63" s="4" t="s">
        <v>89</v>
      </c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 ht="15.5" x14ac:dyDescent="0.35">
      <c r="A64" s="2"/>
      <c r="B64" s="58"/>
      <c r="C64" s="58"/>
      <c r="D64" s="58"/>
      <c r="E64" s="58"/>
      <c r="F64" s="58"/>
      <c r="G64" s="7"/>
      <c r="H64" s="58"/>
      <c r="I64" s="7"/>
      <c r="J64" s="58"/>
      <c r="K64" s="7"/>
      <c r="L64" s="61"/>
      <c r="M64" s="51"/>
      <c r="N64" s="4"/>
      <c r="O64" s="4"/>
      <c r="P64" s="4"/>
      <c r="Q64" s="12"/>
      <c r="R64" s="4"/>
      <c r="S64" s="12"/>
      <c r="T64" s="60"/>
      <c r="U64" s="12"/>
      <c r="V64" s="12"/>
      <c r="W64" s="12"/>
      <c r="X64" s="12"/>
      <c r="Y64" s="12"/>
      <c r="Z64" s="12"/>
      <c r="AA64" s="12"/>
      <c r="AB64" s="4"/>
      <c r="AC64" s="4"/>
      <c r="AD64" s="4"/>
      <c r="AE64" s="3">
        <v>26</v>
      </c>
      <c r="AF64" s="3">
        <v>1412</v>
      </c>
      <c r="AG64" s="4" t="s">
        <v>90</v>
      </c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 ht="16" thickBot="1" x14ac:dyDescent="0.4">
      <c r="A65" s="2">
        <v>14</v>
      </c>
      <c r="B65" s="52"/>
      <c r="C65" s="53"/>
      <c r="D65" s="53"/>
      <c r="E65" s="54"/>
      <c r="F65" s="54"/>
      <c r="G65" s="2"/>
      <c r="H65" s="54"/>
      <c r="I65" s="2"/>
      <c r="J65" s="54"/>
      <c r="K65" s="2"/>
      <c r="L65" s="55"/>
      <c r="M65" s="51"/>
      <c r="N65" s="4">
        <v>14</v>
      </c>
      <c r="O65" s="4"/>
      <c r="P65" s="4">
        <v>14</v>
      </c>
      <c r="Q65" s="56"/>
      <c r="R65" s="4"/>
      <c r="S65" s="56"/>
      <c r="T65" s="57"/>
      <c r="U65" s="2"/>
      <c r="V65" s="2"/>
      <c r="W65" s="2"/>
      <c r="X65" s="2"/>
      <c r="Y65" s="2"/>
      <c r="Z65" s="2"/>
      <c r="AA65" s="2"/>
      <c r="AB65" s="4"/>
      <c r="AC65" s="4">
        <v>14</v>
      </c>
      <c r="AD65" s="4"/>
      <c r="AE65" s="3">
        <v>27</v>
      </c>
      <c r="AF65" s="3">
        <v>1413</v>
      </c>
      <c r="AG65" s="4" t="s">
        <v>91</v>
      </c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6" thickTop="1" x14ac:dyDescent="0.35">
      <c r="A66" s="2"/>
      <c r="B66" s="50"/>
      <c r="C66" s="50"/>
      <c r="D66" s="50"/>
      <c r="E66" s="50"/>
      <c r="F66" s="62"/>
      <c r="G66" s="50"/>
      <c r="H66" s="63"/>
      <c r="I66" s="50"/>
      <c r="J66" s="49"/>
      <c r="K66" s="49"/>
      <c r="L66" s="63"/>
      <c r="M66" s="51"/>
      <c r="N66" s="4"/>
      <c r="O66" s="4"/>
      <c r="P66" s="4"/>
      <c r="Q66" s="12"/>
      <c r="R66" s="4"/>
      <c r="S66" s="12"/>
      <c r="T66" s="60"/>
      <c r="U66" s="12"/>
      <c r="V66" s="12"/>
      <c r="W66" s="12"/>
      <c r="X66" s="12"/>
      <c r="Y66" s="12"/>
      <c r="Z66" s="12"/>
      <c r="AA66" s="12"/>
      <c r="AB66" s="4"/>
      <c r="AC66" s="4"/>
      <c r="AD66" s="4"/>
      <c r="AE66" s="4">
        <v>28</v>
      </c>
      <c r="AF66" s="3">
        <v>1414</v>
      </c>
      <c r="AG66" s="4" t="s">
        <v>92</v>
      </c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6" thickBot="1" x14ac:dyDescent="0.4">
      <c r="A67" s="2"/>
      <c r="B67" s="2"/>
      <c r="C67" s="2"/>
      <c r="D67" s="2"/>
      <c r="E67" s="2"/>
      <c r="F67" s="40" t="s">
        <v>93</v>
      </c>
      <c r="G67" s="2"/>
      <c r="H67" s="22">
        <f>SUM(H78:H105)</f>
        <v>0</v>
      </c>
      <c r="I67" s="2"/>
      <c r="J67" s="54"/>
      <c r="K67" s="42" t="s">
        <v>94</v>
      </c>
      <c r="L67" s="64">
        <f>SUM(L79:L105)</f>
        <v>0</v>
      </c>
      <c r="M67" s="51"/>
      <c r="N67" s="4"/>
      <c r="O67" s="4"/>
      <c r="P67" s="4">
        <v>15</v>
      </c>
      <c r="Q67" s="56"/>
      <c r="R67" s="4"/>
      <c r="S67" s="56"/>
      <c r="T67" s="57"/>
      <c r="U67" s="2"/>
      <c r="V67" s="2"/>
      <c r="W67" s="2"/>
      <c r="X67" s="2"/>
      <c r="Y67" s="2"/>
      <c r="Z67" s="2"/>
      <c r="AA67" s="2"/>
      <c r="AB67" s="4"/>
      <c r="AC67" s="4">
        <v>15</v>
      </c>
      <c r="AD67" s="4"/>
      <c r="AE67" s="3">
        <v>29</v>
      </c>
      <c r="AF67" s="3">
        <v>1511</v>
      </c>
      <c r="AG67" s="4" t="s">
        <v>95</v>
      </c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6" thickTop="1" x14ac:dyDescent="0.35">
      <c r="A68" s="2"/>
      <c r="B68" s="31" t="s">
        <v>96</v>
      </c>
      <c r="C68" s="31"/>
      <c r="D68" s="31"/>
      <c r="E68" s="31"/>
      <c r="F68" s="65"/>
      <c r="G68" s="7"/>
      <c r="H68" s="21"/>
      <c r="I68" s="7"/>
      <c r="J68" s="54"/>
      <c r="K68" s="50"/>
      <c r="L68" s="50"/>
      <c r="M68" s="4"/>
      <c r="N68" s="4"/>
      <c r="O68" s="66"/>
      <c r="P68" s="4"/>
      <c r="Q68" s="12"/>
      <c r="R68" s="4"/>
      <c r="S68" s="12"/>
      <c r="T68" s="60"/>
      <c r="U68" s="12"/>
      <c r="V68" s="12"/>
      <c r="W68" s="12"/>
      <c r="X68" s="12"/>
      <c r="Y68" s="12"/>
      <c r="Z68" s="12"/>
      <c r="AA68" s="12"/>
      <c r="AB68" s="4"/>
      <c r="AC68" s="4"/>
      <c r="AD68" s="4"/>
      <c r="AE68" s="3">
        <v>30</v>
      </c>
      <c r="AF68" s="3">
        <v>1611</v>
      </c>
      <c r="AG68" s="4" t="s">
        <v>97</v>
      </c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 ht="15.5" x14ac:dyDescent="0.35">
      <c r="A69" s="2"/>
      <c r="B69" s="31" t="s">
        <v>98</v>
      </c>
      <c r="C69" s="31"/>
      <c r="D69" s="31"/>
      <c r="E69" s="31"/>
      <c r="F69" s="40" t="s">
        <v>99</v>
      </c>
      <c r="G69" s="2"/>
      <c r="H69" s="22">
        <v>0</v>
      </c>
      <c r="I69" s="2"/>
      <c r="J69" s="54"/>
      <c r="K69" s="2"/>
      <c r="L69" s="2"/>
      <c r="M69" s="4"/>
      <c r="N69" s="4"/>
      <c r="O69" s="4"/>
      <c r="P69" s="4">
        <v>16</v>
      </c>
      <c r="Q69" s="56"/>
      <c r="R69" s="4"/>
      <c r="S69" s="56"/>
      <c r="T69" s="57"/>
      <c r="U69" s="2"/>
      <c r="V69" s="2"/>
      <c r="W69" s="2"/>
      <c r="X69" s="2"/>
      <c r="Y69" s="2"/>
      <c r="Z69" s="2"/>
      <c r="AA69" s="2"/>
      <c r="AB69" s="4"/>
      <c r="AC69" s="4">
        <v>16</v>
      </c>
      <c r="AD69" s="4"/>
      <c r="AE69" s="3">
        <v>31</v>
      </c>
      <c r="AF69" s="3">
        <v>1612</v>
      </c>
      <c r="AG69" s="4" t="s">
        <v>100</v>
      </c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 ht="15.5" x14ac:dyDescent="0.35">
      <c r="A70" s="2"/>
      <c r="B70" s="31" t="s">
        <v>138</v>
      </c>
      <c r="C70" s="31"/>
      <c r="D70" s="31"/>
      <c r="E70" s="67"/>
      <c r="F70" s="65"/>
      <c r="G70" s="7"/>
      <c r="H70" s="21"/>
      <c r="I70" s="7"/>
      <c r="J70" s="54"/>
      <c r="K70" s="2"/>
      <c r="L70" s="2"/>
      <c r="M70" s="4"/>
      <c r="N70" s="4"/>
      <c r="O70" s="4" t="s">
        <v>52</v>
      </c>
      <c r="P70" s="4"/>
      <c r="Q70" s="12"/>
      <c r="R70" s="4"/>
      <c r="S70" s="12"/>
      <c r="T70" s="60"/>
      <c r="U70" s="12"/>
      <c r="V70" s="12"/>
      <c r="W70" s="12"/>
      <c r="X70" s="12"/>
      <c r="Y70" s="12"/>
      <c r="Z70" s="12"/>
      <c r="AA70" s="12"/>
      <c r="AB70" s="4"/>
      <c r="AC70" s="4"/>
      <c r="AD70" s="4"/>
      <c r="AE70" s="4">
        <v>32</v>
      </c>
      <c r="AF70" s="3">
        <v>1613</v>
      </c>
      <c r="AG70" s="4" t="s">
        <v>101</v>
      </c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 ht="16" thickBot="1" x14ac:dyDescent="0.4">
      <c r="A71" s="2"/>
      <c r="B71" s="2"/>
      <c r="C71" s="2"/>
      <c r="D71" s="2"/>
      <c r="E71" s="2"/>
      <c r="F71" s="42" t="s">
        <v>102</v>
      </c>
      <c r="G71" s="2"/>
      <c r="H71" s="22">
        <f>H107+H109</f>
        <v>0</v>
      </c>
      <c r="I71" s="2"/>
      <c r="J71" s="54"/>
      <c r="K71" s="2"/>
      <c r="L71" s="2"/>
      <c r="M71" s="4"/>
      <c r="N71" s="4"/>
      <c r="O71" s="4"/>
      <c r="P71" s="4">
        <v>17</v>
      </c>
      <c r="Q71" s="56"/>
      <c r="R71" s="4"/>
      <c r="S71" s="56"/>
      <c r="T71" s="57"/>
      <c r="U71" s="2"/>
      <c r="V71" s="2"/>
      <c r="W71" s="2"/>
      <c r="X71" s="2"/>
      <c r="Y71" s="2"/>
      <c r="Z71" s="2"/>
      <c r="AA71" s="2"/>
      <c r="AB71" s="4"/>
      <c r="AC71" s="4">
        <v>17</v>
      </c>
      <c r="AD71" s="4"/>
      <c r="AE71" s="3">
        <v>33</v>
      </c>
      <c r="AF71" s="3">
        <v>1614</v>
      </c>
      <c r="AG71" s="4" t="s">
        <v>103</v>
      </c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 ht="16" thickTop="1" x14ac:dyDescent="0.35">
      <c r="A72" s="2"/>
      <c r="B72" s="31" t="s">
        <v>136</v>
      </c>
      <c r="C72" s="2"/>
      <c r="D72" s="2"/>
      <c r="E72" s="2"/>
      <c r="F72" s="50"/>
      <c r="G72" s="50"/>
      <c r="H72" s="50"/>
      <c r="I72" s="50"/>
      <c r="J72" s="2"/>
      <c r="K72" s="2"/>
      <c r="L72" s="2"/>
      <c r="M72" s="4"/>
      <c r="N72" s="4"/>
      <c r="O72" s="4"/>
      <c r="P72" s="4"/>
      <c r="Q72" s="12"/>
      <c r="R72" s="4"/>
      <c r="S72" s="12"/>
      <c r="T72" s="60"/>
      <c r="U72" s="12"/>
      <c r="V72" s="12"/>
      <c r="W72" s="12"/>
      <c r="X72" s="12"/>
      <c r="Y72" s="12"/>
      <c r="Z72" s="12"/>
      <c r="AA72" s="12"/>
      <c r="AB72" s="4"/>
      <c r="AC72" s="4"/>
      <c r="AD72" s="4"/>
      <c r="AE72" s="3">
        <v>34</v>
      </c>
      <c r="AF72" s="3">
        <v>1615</v>
      </c>
      <c r="AG72" s="4" t="s">
        <v>104</v>
      </c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 ht="15.5" x14ac:dyDescent="0.35">
      <c r="A73" s="2"/>
      <c r="B73" s="31" t="s">
        <v>137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>
        <v>18</v>
      </c>
      <c r="Q73" s="56"/>
      <c r="R73" s="4"/>
      <c r="S73" s="56"/>
      <c r="T73" s="57"/>
      <c r="U73" s="2"/>
      <c r="V73" s="2"/>
      <c r="W73" s="2"/>
      <c r="X73" s="2"/>
      <c r="Y73" s="2"/>
      <c r="Z73" s="2"/>
      <c r="AA73" s="2"/>
      <c r="AB73" s="4"/>
      <c r="AC73" s="4">
        <v>18</v>
      </c>
      <c r="AD73" s="4"/>
      <c r="AE73" s="3">
        <v>35</v>
      </c>
      <c r="AF73" s="3">
        <v>1616</v>
      </c>
      <c r="AG73" s="4" t="s">
        <v>105</v>
      </c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 ht="15.5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12"/>
      <c r="R74" s="4"/>
      <c r="S74" s="12"/>
      <c r="T74" s="60"/>
      <c r="U74" s="12"/>
      <c r="V74" s="12"/>
      <c r="W74" s="12"/>
      <c r="X74" s="12"/>
      <c r="Y74" s="12"/>
      <c r="Z74" s="12"/>
      <c r="AA74" s="12"/>
      <c r="AB74" s="4"/>
      <c r="AC74" s="4"/>
      <c r="AD74" s="4"/>
      <c r="AE74" s="3">
        <v>36</v>
      </c>
      <c r="AF74" s="3">
        <v>1617</v>
      </c>
      <c r="AG74" s="4" t="s">
        <v>106</v>
      </c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 ht="15.5" x14ac:dyDescent="0.35">
      <c r="A75" s="2"/>
      <c r="B75" s="14" t="s">
        <v>107</v>
      </c>
      <c r="C75" s="2"/>
      <c r="D75" s="14" t="s">
        <v>60</v>
      </c>
      <c r="E75" s="14"/>
      <c r="F75" s="2"/>
      <c r="G75" s="2"/>
      <c r="H75" s="14" t="s">
        <v>107</v>
      </c>
      <c r="I75" s="2"/>
      <c r="J75" s="14" t="s">
        <v>60</v>
      </c>
      <c r="K75" s="14"/>
      <c r="L75" s="14"/>
      <c r="M75" s="4"/>
      <c r="N75" s="4"/>
      <c r="O75" s="4"/>
      <c r="P75" s="4">
        <v>19</v>
      </c>
      <c r="Q75" s="56"/>
      <c r="R75" s="4"/>
      <c r="S75" s="56"/>
      <c r="T75" s="57"/>
      <c r="U75" s="2"/>
      <c r="V75" s="2"/>
      <c r="W75" s="2"/>
      <c r="X75" s="2"/>
      <c r="Y75" s="2"/>
      <c r="Z75" s="2"/>
      <c r="AA75" s="2"/>
      <c r="AB75" s="4"/>
      <c r="AC75" s="4">
        <v>19</v>
      </c>
      <c r="AD75" s="4"/>
      <c r="AE75" s="3">
        <v>37</v>
      </c>
      <c r="AF75" s="3">
        <v>1618</v>
      </c>
      <c r="AG75" s="4" t="s">
        <v>108</v>
      </c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ht="15.5" x14ac:dyDescent="0.35">
      <c r="A76" s="2"/>
      <c r="B76" s="68"/>
      <c r="C76" s="2"/>
      <c r="D76" s="2"/>
      <c r="E76" s="2"/>
      <c r="F76" s="2"/>
      <c r="G76" s="2"/>
      <c r="H76" s="68"/>
      <c r="I76" s="2"/>
      <c r="J76" s="69"/>
      <c r="K76" s="2"/>
      <c r="L76" s="2"/>
      <c r="M76" s="4"/>
      <c r="N76" s="4"/>
      <c r="O76" s="4"/>
      <c r="P76" s="4"/>
      <c r="Q76" s="12"/>
      <c r="R76" s="4"/>
      <c r="S76" s="12"/>
      <c r="T76" s="60"/>
      <c r="U76" s="12"/>
      <c r="V76" s="12"/>
      <c r="W76" s="12"/>
      <c r="X76" s="12"/>
      <c r="Y76" s="12"/>
      <c r="Z76" s="12"/>
      <c r="AA76" s="12"/>
      <c r="AB76" s="4"/>
      <c r="AC76" s="4"/>
      <c r="AD76" s="4"/>
      <c r="AE76" s="3">
        <v>38</v>
      </c>
      <c r="AF76" s="3">
        <v>1619</v>
      </c>
      <c r="AG76" s="4" t="s">
        <v>109</v>
      </c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 ht="15.5" x14ac:dyDescent="0.35">
      <c r="A77" s="2"/>
      <c r="B77" s="70"/>
      <c r="C77" s="2"/>
      <c r="D77" s="12"/>
      <c r="E77" s="7"/>
      <c r="F77" s="2"/>
      <c r="G77" s="2"/>
      <c r="H77" s="70"/>
      <c r="I77" s="2"/>
      <c r="J77" s="71"/>
      <c r="K77" s="7"/>
      <c r="L77" s="7"/>
      <c r="M77" s="4"/>
      <c r="N77" s="4"/>
      <c r="O77" s="4"/>
      <c r="P77" s="4">
        <v>20</v>
      </c>
      <c r="Q77" s="56"/>
      <c r="R77" s="4"/>
      <c r="S77" s="56"/>
      <c r="T77" s="57"/>
      <c r="U77" s="2"/>
      <c r="V77" s="2"/>
      <c r="W77" s="2"/>
      <c r="X77" s="2"/>
      <c r="Y77" s="2"/>
      <c r="Z77" s="2"/>
      <c r="AA77" s="2"/>
      <c r="AB77" s="4"/>
      <c r="AC77" s="4">
        <v>20</v>
      </c>
      <c r="AD77" s="4"/>
      <c r="AE77" s="3">
        <v>39</v>
      </c>
      <c r="AF77" s="3">
        <v>1620</v>
      </c>
      <c r="AG77" s="4" t="s">
        <v>110</v>
      </c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 ht="15.5" x14ac:dyDescent="0.35">
      <c r="A78" s="2"/>
      <c r="B78" s="70"/>
      <c r="C78" s="2"/>
      <c r="D78" s="12"/>
      <c r="E78" s="7"/>
      <c r="F78" s="2"/>
      <c r="G78" s="2"/>
      <c r="H78" s="70"/>
      <c r="I78" s="2"/>
      <c r="J78" s="71"/>
      <c r="K78" s="7"/>
      <c r="L78" s="7"/>
      <c r="M78" s="4"/>
      <c r="N78" s="4"/>
      <c r="O78" s="4"/>
      <c r="P78" s="4"/>
      <c r="Q78" s="12"/>
      <c r="R78" s="4"/>
      <c r="S78" s="12"/>
      <c r="T78" s="60"/>
      <c r="U78" s="12"/>
      <c r="V78" s="12"/>
      <c r="W78" s="12"/>
      <c r="X78" s="12"/>
      <c r="Y78" s="12"/>
      <c r="Z78" s="12"/>
      <c r="AA78" s="12"/>
      <c r="AB78" s="4"/>
      <c r="AC78" s="4"/>
      <c r="AD78" s="4"/>
      <c r="AE78" s="3">
        <v>40</v>
      </c>
      <c r="AF78" s="3">
        <v>1621</v>
      </c>
      <c r="AG78" s="4" t="s">
        <v>111</v>
      </c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 ht="15.5" x14ac:dyDescent="0.35">
      <c r="A79" s="2"/>
      <c r="B79" s="70"/>
      <c r="C79" s="2"/>
      <c r="D79" s="12"/>
      <c r="E79" s="7"/>
      <c r="F79" s="2"/>
      <c r="G79" s="2"/>
      <c r="H79" s="70"/>
      <c r="I79" s="2"/>
      <c r="J79" s="71"/>
      <c r="K79" s="7"/>
      <c r="L79" s="7"/>
      <c r="M79" s="4"/>
      <c r="N79" s="4"/>
      <c r="O79" s="4"/>
      <c r="P79" s="4">
        <v>21</v>
      </c>
      <c r="Q79" s="56"/>
      <c r="R79" s="4"/>
      <c r="S79" s="56"/>
      <c r="T79" s="57"/>
      <c r="U79" s="2"/>
      <c r="V79" s="2"/>
      <c r="W79" s="2"/>
      <c r="X79" s="2"/>
      <c r="Y79" s="2"/>
      <c r="Z79" s="2"/>
      <c r="AA79" s="2"/>
      <c r="AB79" s="4"/>
      <c r="AC79" s="4">
        <v>21</v>
      </c>
      <c r="AD79" s="4"/>
      <c r="AE79" s="4">
        <v>41</v>
      </c>
      <c r="AF79" s="3">
        <v>1622</v>
      </c>
      <c r="AG79" s="4" t="s">
        <v>112</v>
      </c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 ht="15.5" x14ac:dyDescent="0.35">
      <c r="A80" s="2"/>
      <c r="B80" s="70"/>
      <c r="C80" s="2"/>
      <c r="D80" s="12"/>
      <c r="E80" s="7"/>
      <c r="F80" s="2"/>
      <c r="G80" s="2"/>
      <c r="H80" s="70"/>
      <c r="I80" s="2"/>
      <c r="J80" s="71"/>
      <c r="K80" s="7"/>
      <c r="L80" s="7"/>
      <c r="M80" s="4"/>
      <c r="N80" s="4"/>
      <c r="O80" s="4"/>
      <c r="P80" s="4"/>
      <c r="Q80" s="12"/>
      <c r="R80" s="4"/>
      <c r="S80" s="12"/>
      <c r="T80" s="60"/>
      <c r="U80" s="12"/>
      <c r="V80" s="12"/>
      <c r="W80" s="12"/>
      <c r="X80" s="12"/>
      <c r="Y80" s="12"/>
      <c r="Z80" s="12"/>
      <c r="AA80" s="12"/>
      <c r="AB80" s="4"/>
      <c r="AC80" s="4"/>
      <c r="AD80" s="4"/>
      <c r="AE80" s="3">
        <v>42</v>
      </c>
      <c r="AF80" s="3">
        <v>1623</v>
      </c>
      <c r="AG80" s="4" t="s">
        <v>113</v>
      </c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 ht="15.5" x14ac:dyDescent="0.35">
      <c r="A81" s="2"/>
      <c r="B81" s="7"/>
      <c r="C81" s="2"/>
      <c r="D81" s="71"/>
      <c r="E81" s="7"/>
      <c r="F81" s="2"/>
      <c r="G81" s="2"/>
      <c r="H81" s="7"/>
      <c r="I81" s="2"/>
      <c r="J81" s="7"/>
      <c r="K81" s="7"/>
      <c r="L81" s="7"/>
      <c r="M81" s="4"/>
      <c r="N81" s="4"/>
      <c r="O81" s="4"/>
      <c r="P81" s="4">
        <v>22</v>
      </c>
      <c r="Q81" s="56"/>
      <c r="R81" s="4"/>
      <c r="S81" s="56"/>
      <c r="T81" s="57"/>
      <c r="U81" s="2"/>
      <c r="V81" s="2"/>
      <c r="W81" s="2"/>
      <c r="X81" s="2"/>
      <c r="Y81" s="2"/>
      <c r="Z81" s="2"/>
      <c r="AA81" s="2"/>
      <c r="AB81" s="4"/>
      <c r="AC81" s="4">
        <v>22</v>
      </c>
      <c r="AD81" s="4"/>
      <c r="AE81" s="3">
        <v>43</v>
      </c>
      <c r="AF81" s="3">
        <v>1624</v>
      </c>
      <c r="AG81" s="4" t="s">
        <v>114</v>
      </c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spans="1:43" ht="15.5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12"/>
      <c r="R82" s="4"/>
      <c r="S82" s="12"/>
      <c r="T82" s="60"/>
      <c r="U82" s="12"/>
      <c r="V82" s="12"/>
      <c r="W82" s="12"/>
      <c r="X82" s="12"/>
      <c r="Y82" s="12"/>
      <c r="Z82" s="12"/>
      <c r="AA82" s="12"/>
      <c r="AB82" s="4"/>
      <c r="AC82" s="4"/>
      <c r="AD82" s="4"/>
      <c r="AE82" s="3">
        <v>44</v>
      </c>
      <c r="AF82" s="3">
        <v>1625</v>
      </c>
      <c r="AG82" s="4" t="s">
        <v>115</v>
      </c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1:43" ht="15.5" x14ac:dyDescent="0.35">
      <c r="A83" s="2"/>
      <c r="B83" s="72" t="s">
        <v>116</v>
      </c>
      <c r="C83" s="73"/>
      <c r="D83" s="73"/>
      <c r="E83" s="73"/>
      <c r="F83" s="22"/>
      <c r="G83" s="2"/>
      <c r="H83" s="72" t="s">
        <v>117</v>
      </c>
      <c r="I83" s="73"/>
      <c r="J83" s="73"/>
      <c r="K83" s="73"/>
      <c r="L83" s="73"/>
      <c r="M83" s="8"/>
      <c r="N83" s="4"/>
      <c r="O83" s="4"/>
      <c r="P83" s="4">
        <v>23</v>
      </c>
      <c r="Q83" s="56"/>
      <c r="R83" s="4"/>
      <c r="S83" s="56"/>
      <c r="T83" s="57"/>
      <c r="U83" s="2"/>
      <c r="V83" s="2"/>
      <c r="W83" s="2"/>
      <c r="X83" s="2"/>
      <c r="Y83" s="2"/>
      <c r="Z83" s="2"/>
      <c r="AA83" s="2"/>
      <c r="AB83" s="4"/>
      <c r="AC83" s="4">
        <v>23</v>
      </c>
      <c r="AD83" s="4"/>
      <c r="AE83" s="3">
        <v>45</v>
      </c>
      <c r="AF83" s="3">
        <v>1711</v>
      </c>
      <c r="AG83" s="4" t="s">
        <v>118</v>
      </c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ht="15.5" x14ac:dyDescent="0.35">
      <c r="A84" s="2"/>
      <c r="B84" s="21"/>
      <c r="C84" s="7"/>
      <c r="D84" s="7"/>
      <c r="E84" s="7"/>
      <c r="F84" s="22"/>
      <c r="G84" s="2"/>
      <c r="H84" s="21"/>
      <c r="I84" s="7"/>
      <c r="J84" s="7"/>
      <c r="K84" s="7"/>
      <c r="L84" s="7"/>
      <c r="M84" s="8"/>
      <c r="N84" s="4"/>
      <c r="O84" s="4"/>
      <c r="P84" s="4"/>
      <c r="Q84" s="12"/>
      <c r="R84" s="4"/>
      <c r="S84" s="12"/>
      <c r="T84" s="12"/>
      <c r="U84" s="12"/>
      <c r="V84" s="12"/>
      <c r="W84" s="12"/>
      <c r="X84" s="12"/>
      <c r="Y84" s="12"/>
      <c r="Z84" s="12"/>
      <c r="AA84" s="12"/>
      <c r="AB84" s="4"/>
      <c r="AC84" s="4"/>
      <c r="AD84" s="4"/>
      <c r="AE84" s="3">
        <v>46</v>
      </c>
      <c r="AF84" s="3">
        <v>1712</v>
      </c>
      <c r="AG84" s="4" t="s">
        <v>119</v>
      </c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 ht="15.5" x14ac:dyDescent="0.35">
      <c r="A85" s="2"/>
      <c r="B85" s="22"/>
      <c r="C85" s="2"/>
      <c r="D85" s="2"/>
      <c r="E85" s="74"/>
      <c r="F85" s="22"/>
      <c r="G85" s="2"/>
      <c r="H85" s="22"/>
      <c r="I85" s="2"/>
      <c r="J85" s="2"/>
      <c r="K85" s="2"/>
      <c r="L85" s="2"/>
      <c r="M85" s="8"/>
      <c r="N85" s="4"/>
      <c r="O85" s="4"/>
      <c r="P85" s="4">
        <v>24</v>
      </c>
      <c r="Q85" s="56"/>
      <c r="R85" s="4"/>
      <c r="S85" s="56"/>
      <c r="T85" s="57"/>
      <c r="U85" s="2"/>
      <c r="V85" s="2"/>
      <c r="W85" s="2"/>
      <c r="X85" s="2"/>
      <c r="Y85" s="2"/>
      <c r="Z85" s="2"/>
      <c r="AA85" s="2"/>
      <c r="AB85" s="4"/>
      <c r="AC85" s="4">
        <v>24</v>
      </c>
      <c r="AD85" s="4"/>
      <c r="AE85" s="3">
        <v>47</v>
      </c>
      <c r="AF85" s="3">
        <v>1713</v>
      </c>
      <c r="AG85" s="4" t="s">
        <v>120</v>
      </c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spans="1:43" ht="15.5" x14ac:dyDescent="0.35">
      <c r="A86" s="2"/>
      <c r="B86" s="75" t="s">
        <v>121</v>
      </c>
      <c r="C86" s="20"/>
      <c r="D86" s="20"/>
      <c r="E86" s="76" t="s">
        <v>122</v>
      </c>
      <c r="F86" s="77" t="s">
        <v>123</v>
      </c>
      <c r="G86" s="14"/>
      <c r="H86" s="75" t="s">
        <v>124</v>
      </c>
      <c r="I86" s="20"/>
      <c r="J86" s="20"/>
      <c r="K86" s="20"/>
      <c r="L86" s="7" t="s">
        <v>125</v>
      </c>
      <c r="M86" s="8"/>
      <c r="N86" s="4"/>
      <c r="O86" s="4"/>
      <c r="P86" s="4"/>
      <c r="Q86" s="12"/>
      <c r="R86" s="4"/>
      <c r="S86" s="12"/>
      <c r="T86" s="60"/>
      <c r="U86" s="12"/>
      <c r="V86" s="12"/>
      <c r="W86" s="12"/>
      <c r="X86" s="12"/>
      <c r="Y86" s="12"/>
      <c r="Z86" s="12"/>
      <c r="AA86" s="12"/>
      <c r="AB86" s="4"/>
      <c r="AC86" s="4"/>
      <c r="AD86" s="4"/>
      <c r="AE86" s="4">
        <v>48</v>
      </c>
      <c r="AF86" s="3">
        <v>1714</v>
      </c>
      <c r="AG86" s="4" t="s">
        <v>126</v>
      </c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spans="1:43" ht="15.5" x14ac:dyDescent="0.35">
      <c r="A87" s="2"/>
      <c r="B87" s="22"/>
      <c r="C87" s="2"/>
      <c r="D87" s="2"/>
      <c r="E87" s="2"/>
      <c r="F87" s="21"/>
      <c r="G87" s="7"/>
      <c r="H87" s="22"/>
      <c r="I87" s="2"/>
      <c r="J87" s="2"/>
      <c r="K87" s="2"/>
      <c r="L87" s="2"/>
      <c r="M87" s="8"/>
      <c r="N87" s="4"/>
      <c r="O87" s="4"/>
      <c r="P87" s="4">
        <v>25</v>
      </c>
      <c r="Q87" s="56"/>
      <c r="R87" s="4"/>
      <c r="S87" s="56"/>
      <c r="T87" s="57"/>
      <c r="U87" s="2"/>
      <c r="V87" s="2"/>
      <c r="W87" s="2"/>
      <c r="X87" s="2"/>
      <c r="Y87" s="2"/>
      <c r="Z87" s="2"/>
      <c r="AA87" s="2"/>
      <c r="AB87" s="4"/>
      <c r="AC87" s="4">
        <v>25</v>
      </c>
      <c r="AD87" s="4"/>
      <c r="AE87" s="3">
        <v>49</v>
      </c>
      <c r="AF87" s="3">
        <v>2111</v>
      </c>
      <c r="AG87" s="4" t="s">
        <v>127</v>
      </c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spans="1:43" ht="15.5" x14ac:dyDescent="0.35">
      <c r="A88" s="2"/>
      <c r="B88" s="22"/>
      <c r="C88" s="2"/>
      <c r="D88" s="2"/>
      <c r="E88" s="74"/>
      <c r="F88" s="22"/>
      <c r="G88" s="2"/>
      <c r="H88" s="22"/>
      <c r="I88" s="2"/>
      <c r="J88" s="2"/>
      <c r="K88" s="2"/>
      <c r="L88" s="2"/>
      <c r="M88" s="8"/>
      <c r="N88" s="4"/>
      <c r="O88" s="4"/>
      <c r="P88" s="4"/>
      <c r="Q88" s="12"/>
      <c r="R88" s="4"/>
      <c r="S88" s="12"/>
      <c r="T88" s="12"/>
      <c r="U88" s="12"/>
      <c r="V88" s="12"/>
      <c r="W88" s="12"/>
      <c r="X88" s="12"/>
      <c r="Y88" s="12"/>
      <c r="Z88" s="12"/>
      <c r="AA88" s="12"/>
      <c r="AB88" s="4"/>
      <c r="AC88" s="4"/>
      <c r="AD88" s="4"/>
      <c r="AE88" s="3">
        <v>50</v>
      </c>
      <c r="AF88" s="3">
        <v>2112</v>
      </c>
      <c r="AG88" s="4" t="s">
        <v>128</v>
      </c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1:43" ht="15.5" x14ac:dyDescent="0.35">
      <c r="A89" s="2"/>
      <c r="B89" s="75" t="s">
        <v>129</v>
      </c>
      <c r="C89" s="20"/>
      <c r="D89" s="20"/>
      <c r="E89" s="20" t="s">
        <v>122</v>
      </c>
      <c r="F89" s="21"/>
      <c r="G89" s="7"/>
      <c r="H89" s="75" t="s">
        <v>130</v>
      </c>
      <c r="I89" s="20"/>
      <c r="J89" s="20"/>
      <c r="K89" s="20"/>
      <c r="L89" s="7" t="s">
        <v>125</v>
      </c>
      <c r="M89" s="8"/>
      <c r="N89" s="4"/>
      <c r="O89" s="4"/>
      <c r="P89" s="4">
        <v>26</v>
      </c>
      <c r="Q89" s="56"/>
      <c r="R89" s="4"/>
      <c r="S89" s="56"/>
      <c r="T89" s="2"/>
      <c r="U89" s="2"/>
      <c r="V89" s="2"/>
      <c r="W89" s="2"/>
      <c r="X89" s="2"/>
      <c r="Y89" s="2"/>
      <c r="Z89" s="2"/>
      <c r="AA89" s="2"/>
      <c r="AB89" s="4"/>
      <c r="AC89" s="4">
        <v>26</v>
      </c>
      <c r="AD89" s="4"/>
      <c r="AE89" s="3">
        <v>51</v>
      </c>
      <c r="AF89" s="3">
        <v>2211</v>
      </c>
      <c r="AG89" s="4" t="s">
        <v>131</v>
      </c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spans="1:43" ht="15.5" x14ac:dyDescent="0.35">
      <c r="A90" s="2"/>
      <c r="B90" s="7"/>
      <c r="C90" s="7"/>
      <c r="D90" s="7"/>
      <c r="E90" s="7"/>
      <c r="F90" s="2"/>
      <c r="G90" s="2"/>
      <c r="H90" s="7"/>
      <c r="I90" s="7"/>
      <c r="J90" s="7"/>
      <c r="K90" s="7"/>
      <c r="L90" s="7"/>
      <c r="M90" s="4"/>
      <c r="N90" s="4"/>
      <c r="O90" s="4"/>
      <c r="P90" s="4"/>
      <c r="Q90" s="12"/>
      <c r="R90" s="4"/>
      <c r="S90" s="12"/>
      <c r="T90" s="12"/>
      <c r="U90" s="12"/>
      <c r="V90" s="12"/>
      <c r="W90" s="12"/>
      <c r="X90" s="12"/>
      <c r="Y90" s="12"/>
      <c r="Z90" s="12"/>
      <c r="AA90" s="12"/>
      <c r="AB90" s="4"/>
      <c r="AC90" s="4"/>
      <c r="AD90" s="4"/>
      <c r="AE90" s="3">
        <v>52</v>
      </c>
      <c r="AF90" s="3">
        <v>2212</v>
      </c>
      <c r="AG90" s="4" t="s">
        <v>132</v>
      </c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1:43" ht="15.5" x14ac:dyDescent="0.35">
      <c r="A91" s="2"/>
      <c r="B91" s="9" t="s">
        <v>133</v>
      </c>
      <c r="C91" s="2"/>
      <c r="D91" s="2"/>
      <c r="E91" s="2"/>
      <c r="F91" s="2"/>
      <c r="G91" s="2"/>
      <c r="H91" s="2"/>
      <c r="I91" s="2"/>
      <c r="J91" s="17"/>
      <c r="K91" s="5"/>
      <c r="L91" s="2"/>
      <c r="M91" s="4"/>
      <c r="N91" s="4"/>
      <c r="O91" s="4"/>
      <c r="P91" s="4"/>
      <c r="Q91" s="9" t="s">
        <v>133</v>
      </c>
      <c r="R91" s="4"/>
      <c r="S91" s="4"/>
      <c r="T91" s="4"/>
      <c r="U91" s="4"/>
      <c r="V91" s="4"/>
      <c r="W91" s="9" t="s">
        <v>134</v>
      </c>
      <c r="X91" s="9"/>
      <c r="Y91" s="9"/>
      <c r="Z91" s="9"/>
      <c r="AA91" s="4"/>
      <c r="AB91" s="4"/>
      <c r="AC91" s="4"/>
      <c r="AD91" s="4"/>
      <c r="AE91" s="3">
        <v>53</v>
      </c>
      <c r="AF91" s="3">
        <v>2311</v>
      </c>
      <c r="AG91" s="4" t="s">
        <v>135</v>
      </c>
      <c r="AH91" s="4"/>
      <c r="AI91" s="4"/>
      <c r="AJ91" s="4"/>
      <c r="AK91" s="4"/>
      <c r="AL91" s="4"/>
      <c r="AM91" s="4"/>
      <c r="AN91" s="4"/>
      <c r="AO91" s="4"/>
      <c r="AP91" s="4"/>
      <c r="AQ91" s="4"/>
    </row>
  </sheetData>
  <phoneticPr fontId="0" type="noConversion"/>
  <printOptions horizontalCentered="1" verticalCentered="1"/>
  <pageMargins left="0.25" right="0.25" top="0.25" bottom="0.25" header="0.5" footer="0.5"/>
  <pageSetup scale="44" orientation="portrait" horizontalDpi="4294967292" verticalDpi="300" r:id="rId1"/>
  <headerFooter alignWithMargins="0"/>
  <colBreaks count="1" manualBreakCount="1">
    <brk id="14" max="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cp:lastPrinted>2001-03-05T20:53:55Z</cp:lastPrinted>
  <dcterms:created xsi:type="dcterms:W3CDTF">2001-03-05T20:37:00Z</dcterms:created>
  <dcterms:modified xsi:type="dcterms:W3CDTF">2020-01-27T11:16:28Z</dcterms:modified>
</cp:coreProperties>
</file>