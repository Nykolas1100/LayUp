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10FE6E-9F97-4CE4-8AB9-F4C3A66C78E6}" xr6:coauthVersionLast="45" xr6:coauthVersionMax="45" xr10:uidLastSave="{00000000-0000-0000-0000-000000000000}"/>
  <bookViews>
    <workbookView xWindow="2660" yWindow="2660" windowWidth="28800" windowHeight="15460" tabRatio="897" firstSheet="1" activeTab="1"/>
  </bookViews>
  <sheets>
    <sheet name="Upgrade" sheetId="1" state="veryHidden" r:id="rId1"/>
    <sheet name="Introduction" sheetId="2" r:id="rId2"/>
    <sheet name="Assumptions" sheetId="3" r:id="rId3"/>
    <sheet name="Income" sheetId="4" r:id="rId4"/>
    <sheet name="Cashflow" sheetId="5" r:id="rId5"/>
    <sheet name="Balances" sheetId="6" r:id="rId6"/>
    <sheet name="Review" sheetId="7" r:id="rId7"/>
    <sheet name="Report" sheetId="8" r:id="rId8"/>
  </sheets>
  <definedNames>
    <definedName name="aa">#REF!</definedName>
    <definedName name="acharts">#REF!</definedName>
    <definedName name="allannualfig">#REF!</definedName>
    <definedName name="allmonthsfig">#REF!</definedName>
    <definedName name="allquartersfig">#REF!</definedName>
    <definedName name="AutoOpen">#REF!</definedName>
    <definedName name="calcerrortest">#REF!</definedName>
    <definedName name="checkall">#REF!</definedName>
    <definedName name="checkerr">#REF!</definedName>
    <definedName name="code1">#REF!</definedName>
    <definedName name="code10">#REF!</definedName>
    <definedName name="code11">#REF!</definedName>
    <definedName name="code2">#REF!</definedName>
    <definedName name="code3">#REF!</definedName>
    <definedName name="code4">#REF!</definedName>
    <definedName name="code5">#REF!</definedName>
    <definedName name="coname">#REF!</definedName>
    <definedName name="crederr">#REF!</definedName>
    <definedName name="currsym">#REF!</definedName>
    <definedName name="curru">#REF!</definedName>
    <definedName name="currunit">#REF!</definedName>
    <definedName name="description">#REF!</definedName>
    <definedName name="endvalue">#REF!</definedName>
    <definedName name="errorerr">#REF!</definedName>
    <definedName name="_fig1">#REF!</definedName>
    <definedName name="_fig10">#REF!</definedName>
    <definedName name="fig10x">#REF!</definedName>
    <definedName name="_fig11">#REF!</definedName>
    <definedName name="fig11x">#REF!</definedName>
    <definedName name="_fig12">#REF!</definedName>
    <definedName name="fig12x">#REF!</definedName>
    <definedName name="_fig13">#REF!</definedName>
    <definedName name="fig13x">#REF!</definedName>
    <definedName name="_fig14">#REF!</definedName>
    <definedName name="fig14x">#REF!</definedName>
    <definedName name="_fig15">#REF!</definedName>
    <definedName name="fig15x">#REF!</definedName>
    <definedName name="_fig16">#REF!</definedName>
    <definedName name="fig16x">#REF!</definedName>
    <definedName name="_fig17">#REF!</definedName>
    <definedName name="fig17x">#REF!</definedName>
    <definedName name="_fig18">#REF!</definedName>
    <definedName name="fig18x">#REF!</definedName>
    <definedName name="_fig19">#REF!</definedName>
    <definedName name="fig19x">#REF!</definedName>
    <definedName name="fig1x">#REF!</definedName>
    <definedName name="_fig2">#REF!</definedName>
    <definedName name="fig2x">#REF!</definedName>
    <definedName name="_fig3">#REF!</definedName>
    <definedName name="fig3x">#REF!</definedName>
    <definedName name="_fig4">#REF!</definedName>
    <definedName name="fig4x">#REF!</definedName>
    <definedName name="_fig5">#REF!</definedName>
    <definedName name="fig5x">#REF!</definedName>
    <definedName name="_fig6">#REF!</definedName>
    <definedName name="fig6x">#REF!</definedName>
    <definedName name="_fig7">#REF!</definedName>
    <definedName name="fig7x">#REF!</definedName>
    <definedName name="_fig8">#REF!</definedName>
    <definedName name="fig8x">#REF!</definedName>
    <definedName name="_fig9">#REF!</definedName>
    <definedName name="fig9x">#REF!</definedName>
    <definedName name="firstreport">#REF!</definedName>
    <definedName name="fivereport">#REF!</definedName>
    <definedName name="form">#REF!</definedName>
    <definedName name="Group_1">#REF!</definedName>
    <definedName name="Group_2">#REF!</definedName>
    <definedName name="Group_3">#REF!</definedName>
    <definedName name="Group_4">#REF!</definedName>
    <definedName name="Group1">#REF!</definedName>
    <definedName name="Group2">#REF!</definedName>
    <definedName name="Group3">#REF!</definedName>
    <definedName name="Group4">#REF!</definedName>
    <definedName name="helperror">#REF!</definedName>
    <definedName name="ma">#REF!</definedName>
    <definedName name="mb">#REF!</definedName>
    <definedName name="mbs">#REF!</definedName>
    <definedName name="_mbs1">#REF!</definedName>
    <definedName name="mc">#REF!</definedName>
    <definedName name="MC_Season">#REF!</definedName>
    <definedName name="mcf">#REF!</definedName>
    <definedName name="_mcf1">#REF!</definedName>
    <definedName name="mcf1a">#REF!</definedName>
    <definedName name="mcf1b">#REF!</definedName>
    <definedName name="mcfa">#REF!</definedName>
    <definedName name="mcfb">#REF!</definedName>
    <definedName name="mcharts">#REF!</definedName>
    <definedName name="mf">#REF!</definedName>
    <definedName name="mm">#REF!</definedName>
    <definedName name="MM_Season">#REF!</definedName>
    <definedName name="mo">#REF!</definedName>
    <definedName name="MO_Season">#REF!</definedName>
    <definedName name="month">#REF!</definedName>
    <definedName name="monthlybalerr">#REF!</definedName>
    <definedName name="mpl">#REF!</definedName>
    <definedName name="_mpl1">#REF!</definedName>
    <definedName name="mpr">#REF!</definedName>
    <definedName name="_mpr1">#REF!</definedName>
    <definedName name="Ms">#REF!</definedName>
    <definedName name="MS_Season">#REF!</definedName>
    <definedName name="msy">#REF!</definedName>
    <definedName name="_msy1">#REF!</definedName>
    <definedName name="mt">#REF!</definedName>
    <definedName name="norows">#REF!</definedName>
    <definedName name="openbalerr">#REF!</definedName>
    <definedName name="phaseerr">#REF!</definedName>
    <definedName name="_xlnm.Print_Titles" localSheetId="0">Upgrade!$B:$C</definedName>
    <definedName name="purcherr">#REF!</definedName>
    <definedName name="q3adr">#REF!</definedName>
    <definedName name="q3avati">#REF!</definedName>
    <definedName name="q3avats">#REF!</definedName>
    <definedName name="q3capexpd">#REF!</definedName>
    <definedName name="q3cgc">#REF!</definedName>
    <definedName name="q3com2">#REF!</definedName>
    <definedName name="q3cts">#REF!</definedName>
    <definedName name="q3dirc2">#REF!</definedName>
    <definedName name="q3divdue">#REF!</definedName>
    <definedName name="q3divpd">#REF!</definedName>
    <definedName name="q3ectr2">#REF!</definedName>
    <definedName name="q3ectr3">#REF!</definedName>
    <definedName name="q3egr2">#REF!</definedName>
    <definedName name="q3fgs">#REF!</definedName>
    <definedName name="q3gntpd">#REF!</definedName>
    <definedName name="q3grantsdue">#REF!</definedName>
    <definedName name="q3ircb">#REF!</definedName>
    <definedName name="q3irl">#REF!</definedName>
    <definedName name="q3irod">#REF!</definedName>
    <definedName name="q3nal2">#REF!</definedName>
    <definedName name="q3oh2">#REF!</definedName>
    <definedName name="q3pce2">#REF!</definedName>
    <definedName name="q3pd2">#REF!</definedName>
    <definedName name="q3sales2">#REF!</definedName>
    <definedName name="q3shareno">#REF!</definedName>
    <definedName name="q3shareproceed">#REF!</definedName>
    <definedName name="q4cgc">#REF!</definedName>
    <definedName name="q4com">#REF!</definedName>
    <definedName name="q4cts">#REF!</definedName>
    <definedName name="q4ect">#REF!</definedName>
    <definedName name="q4egr">#REF!</definedName>
    <definedName name="q4fgs">#REF!</definedName>
    <definedName name="q4nal">#REF!</definedName>
    <definedName name="q4oh">#REF!</definedName>
    <definedName name="q4pce">#REF!</definedName>
    <definedName name="q4pd">#REF!</definedName>
    <definedName name="q4sales">#REF!</definedName>
    <definedName name="qa">#REF!</definedName>
    <definedName name="_qa1">#REF!</definedName>
    <definedName name="_qa2">#REF!</definedName>
    <definedName name="qaccdepn">#REF!</definedName>
    <definedName name="qbs">#REF!</definedName>
    <definedName name="_qbs1">#REF!</definedName>
    <definedName name="qcapex">#REF!</definedName>
    <definedName name="qcf">#REF!</definedName>
    <definedName name="_qcf1">#REF!</definedName>
    <definedName name="qcharts">#REF!</definedName>
    <definedName name="qcoffa">#REF!</definedName>
    <definedName name="qcredgiven">#REF!</definedName>
    <definedName name="qcredtaken">#REF!</definedName>
    <definedName name="qcurr">#REF!</definedName>
    <definedName name="qcurrunit">#REF!</definedName>
    <definedName name="qdepnrate">#REF!</definedName>
    <definedName name="qdirco">#REF!</definedName>
    <definedName name="qdividend">#REF!</definedName>
    <definedName name="qgrants">#REF!</definedName>
    <definedName name="qintcash">#REF!</definedName>
    <definedName name="qintod">#REF!</definedName>
    <definedName name="qmatl">#REF!</definedName>
    <definedName name="qmonth">#REF!</definedName>
    <definedName name="qnewloans">#REF!</definedName>
    <definedName name="qoh">#REF!</definedName>
    <definedName name="qopencash">#REF!</definedName>
    <definedName name="qopencashc">#REF!</definedName>
    <definedName name="qopencred">#REF!</definedName>
    <definedName name="qopencredc">#REF!</definedName>
    <definedName name="qopendebt">#REF!</definedName>
    <definedName name="qopendebtc">#REF!</definedName>
    <definedName name="qopenfg">#REF!</definedName>
    <definedName name="qopenfgb">#REF!</definedName>
    <definedName name="qopenloan">#REF!</definedName>
    <definedName name="qopenshar">#REF!</definedName>
    <definedName name="qopenworth">#REF!</definedName>
    <definedName name="qpix">#REF!</definedName>
    <definedName name="qpl">#REF!</definedName>
    <definedName name="_qpl1">#REF!</definedName>
    <definedName name="qpr">#REF!</definedName>
    <definedName name="qq3adr">#REF!</definedName>
    <definedName name="qq3avati">#REF!</definedName>
    <definedName name="qq3avats">#REF!</definedName>
    <definedName name="qq3capexpd">#REF!</definedName>
    <definedName name="qq3cgc">#REF!</definedName>
    <definedName name="qq3com2">#REF!</definedName>
    <definedName name="qq3cts">#REF!</definedName>
    <definedName name="qq3dirc2">#REF!</definedName>
    <definedName name="qq3divdue">#REF!</definedName>
    <definedName name="qq3divpd">#REF!</definedName>
    <definedName name="qq3ectr2">#REF!</definedName>
    <definedName name="qq3ectr3">#REF!</definedName>
    <definedName name="qq3fgs">#REF!</definedName>
    <definedName name="qq3ircb">#REF!</definedName>
    <definedName name="qq3irl">#REF!</definedName>
    <definedName name="qq3irod">#REF!</definedName>
    <definedName name="qq3nal2">#REF!</definedName>
    <definedName name="qq3oh2">#REF!</definedName>
    <definedName name="qq3pce2">#REF!</definedName>
    <definedName name="qq3pd2">#REF!</definedName>
    <definedName name="qq3sales2">#REF!</definedName>
    <definedName name="qq3shareno">#REF!</definedName>
    <definedName name="qq3shareproceed">#REF!</definedName>
    <definedName name="qq4cgc">#REF!</definedName>
    <definedName name="qq4com">#REF!</definedName>
    <definedName name="qq4cts">#REF!</definedName>
    <definedName name="qq4ect">#REF!</definedName>
    <definedName name="qq4fgs">#REF!</definedName>
    <definedName name="qq4nal">#REF!</definedName>
    <definedName name="qq4oh">#REF!</definedName>
    <definedName name="qq4pce">#REF!</definedName>
    <definedName name="qq4pd">#REF!</definedName>
    <definedName name="qq4sales">#REF!</definedName>
    <definedName name="qqaccdepn">#REF!</definedName>
    <definedName name="qqcapex">#REF!</definedName>
    <definedName name="qqcoffa">#REF!</definedName>
    <definedName name="qqcredgiven">#REF!</definedName>
    <definedName name="qqcredtaken">#REF!</definedName>
    <definedName name="qqdepnrate">#REF!</definedName>
    <definedName name="qqdirco">#REF!</definedName>
    <definedName name="qqdividend">#REF!</definedName>
    <definedName name="qqintcash">#REF!</definedName>
    <definedName name="qqintod">#REF!</definedName>
    <definedName name="qqintoda">#REF!</definedName>
    <definedName name="qqmatl">#REF!</definedName>
    <definedName name="qqnewloans">#REF!</definedName>
    <definedName name="qqoh">#REF!</definedName>
    <definedName name="qqopencasha">#REF!</definedName>
    <definedName name="qqopencashb">#REF!</definedName>
    <definedName name="qqopencred">#REF!</definedName>
    <definedName name="qqopencredc">#REF!</definedName>
    <definedName name="qqopendebt">#REF!</definedName>
    <definedName name="qqopendebtc">#REF!</definedName>
    <definedName name="qqopenfga">#REF!</definedName>
    <definedName name="qqopenfgc">#REF!</definedName>
    <definedName name="qqopenloan">#REF!</definedName>
    <definedName name="qqopenshar">#REF!</definedName>
    <definedName name="qqopenworth">#REF!</definedName>
    <definedName name="qqopenwortha">#REF!</definedName>
    <definedName name="qqpix">#REF!</definedName>
    <definedName name="qqrmstock">#REF!</definedName>
    <definedName name="qqsales">#REF!</definedName>
    <definedName name="qqshareno">#REF!</definedName>
    <definedName name="qqshareproceed">#REF!</definedName>
    <definedName name="qqstock">#REF!</definedName>
    <definedName name="qqtax">#REF!</definedName>
    <definedName name="qqvatinputperc">#REF!</definedName>
    <definedName name="qqvatinputperca">#REF!</definedName>
    <definedName name="qqvatinputs">#REF!</definedName>
    <definedName name="qqvatinputsa">#REF!</definedName>
    <definedName name="qqvatinputsb">#REF!</definedName>
    <definedName name="qqvatpay">#REF!</definedName>
    <definedName name="qqvatsales">#REF!</definedName>
    <definedName name="qrmstock">#REF!</definedName>
    <definedName name="qsales">#REF!</definedName>
    <definedName name="qshareno">#REF!</definedName>
    <definedName name="qshareproceed">#REF!</definedName>
    <definedName name="qstock">#REF!</definedName>
    <definedName name="qtax">#REF!</definedName>
    <definedName name="quarterlybalerr">#REF!</definedName>
    <definedName name="quik">#REF!</definedName>
    <definedName name="quikplanass">#REF!</definedName>
    <definedName name="quikplanass1">#REF!</definedName>
    <definedName name="quiktourtest">#REF!</definedName>
    <definedName name="qvatinputperc">#REF!</definedName>
    <definedName name="qvatinputs">#REF!</definedName>
    <definedName name="qvatpay">#REF!</definedName>
    <definedName name="qvatsales">#REF!</definedName>
    <definedName name="qyear">#REF!</definedName>
    <definedName name="regcompany">#REF!</definedName>
    <definedName name="regcompany1">#REF!</definedName>
    <definedName name="reguser">#REF!</definedName>
    <definedName name="reguser1">#REF!</definedName>
    <definedName name="reguser2">#REF!</definedName>
    <definedName name="salestax">#REF!</definedName>
    <definedName name="sens">#REF!</definedName>
    <definedName name="sens1">#REF!</definedName>
    <definedName name="sens2">#REF!</definedName>
    <definedName name="setversionnumber">#REF!</definedName>
    <definedName name="shareware">#REF!</definedName>
    <definedName name="stockerr">#REF!</definedName>
    <definedName name="testprotect">#REF!</definedName>
    <definedName name="testseven">#REF!</definedName>
    <definedName name="text">#REF!</definedName>
    <definedName name="text1">#REF!</definedName>
    <definedName name="upgradeform">Upgrade!$B$1:$O$74</definedName>
    <definedName name="vcell">#REF!</definedName>
    <definedName name="versionnum">#REF!</definedName>
    <definedName name="versionnumber">#REF!</definedName>
    <definedName name="year">#REF!</definedName>
    <definedName name="zoom">#REF!</definedName>
    <definedName name="zoomdefaultvalue">#REF!</definedName>
    <definedName name="zoomreset">#REF!</definedName>
  </definedNames>
  <calcPr calcId="0" calcMode="manual" fullCalcOnLoad="1" iterate="1" iterateCount="1"/>
</workbook>
</file>

<file path=xl/calcChain.xml><?xml version="1.0" encoding="utf-8"?>
<calcChain xmlns="http://schemas.openxmlformats.org/spreadsheetml/2006/main">
  <c r="C13" i="1" l="1"/>
  <c r="D13" i="1"/>
  <c r="E13" i="1"/>
  <c r="J13" i="1"/>
  <c r="H44" i="1"/>
  <c r="H45" i="1"/>
  <c r="H46" i="1"/>
  <c r="H48" i="1"/>
</calcChain>
</file>

<file path=xl/sharedStrings.xml><?xml version="1.0" encoding="utf-8"?>
<sst xmlns="http://schemas.openxmlformats.org/spreadsheetml/2006/main" count="1036" uniqueCount="582">
  <si>
    <t>Shareware Upgrade Form</t>
  </si>
  <si>
    <t>You can upgrade electronically by phone,</t>
  </si>
  <si>
    <t xml:space="preserve">             fax, post, e-mail or WWW.</t>
  </si>
  <si>
    <t>The cost of upgrading the shareware version of Exl-Plan and (optional) 125-page bound manual are as follows:</t>
  </si>
  <si>
    <t xml:space="preserve">    License for one copy of Exl-Plan Pro:</t>
  </si>
  <si>
    <t>US$</t>
  </si>
  <si>
    <t xml:space="preserve">    One copy of manual (optional):</t>
  </si>
  <si>
    <t>Unit prices relate to 1-3 licensed copies &amp; include airmail postage (where applicable). Contact Invest-Tech Limited for prices</t>
  </si>
  <si>
    <t>for 4+ copies and site licences, or for delivery by courier. Prices valid until December 2000. US-based addressees</t>
  </si>
  <si>
    <t>upgrading via a distributor should add State Sales Tax if they reside in the same State as the distributor.</t>
  </si>
  <si>
    <t>Code Number:</t>
  </si>
  <si>
    <t>Release Number:</t>
  </si>
  <si>
    <t>Edition of Exl-Plan (mark one box):</t>
  </si>
  <si>
    <t xml:space="preserve"> US/Canadian</t>
  </si>
  <si>
    <t xml:space="preserve"> UK/International</t>
  </si>
  <si>
    <t xml:space="preserve">  NOTE: The Code Number can be used to remotely upgrade this copy of Exl-Plan. As a result, you can now start to enter</t>
  </si>
  <si>
    <t xml:space="preserve">  meaningful assumptions into this copy which you will be able to upgrade to the fully operational version. This will save</t>
  </si>
  <si>
    <t xml:space="preserve">  time and will eliminate the need to re-entry assumptions as well as further downloading and installation. Once payment</t>
  </si>
  <si>
    <t xml:space="preserve">  has been cleared (normally within 24 hours), an Unlock Code will be sent to the user,  usually by the same route</t>
  </si>
  <si>
    <t xml:space="preserve">  (post, fax, phone or e-mail) as was used to seek the upgrade.</t>
  </si>
  <si>
    <t xml:space="preserve">  If you do not want your copy of Exl-Plan to be remotely upgraded, delete the Code Number above and a disk containing the</t>
  </si>
  <si>
    <t xml:space="preserve">  latest upgraded version will be airmailed. Irrespectively, a disk will be sent if the above release number has been superseded.</t>
  </si>
  <si>
    <t>Name:</t>
  </si>
  <si>
    <t>Position:</t>
  </si>
  <si>
    <t>Company:</t>
  </si>
  <si>
    <t>Address:</t>
  </si>
  <si>
    <t>VAT Number:</t>
  </si>
  <si>
    <t xml:space="preserve">    Leave blank if located outside European Union (EU)</t>
  </si>
  <si>
    <t xml:space="preserve">     If based in Ireland, VAT (Value Added Tax) at 21% will be automatically added. If located in another EU State, VAT will </t>
  </si>
  <si>
    <t xml:space="preserve">     be added unless a bona fide VAT number is indicated above for the business. If located outside the EU, no VAT applies.</t>
  </si>
  <si>
    <t>Tel No:</t>
  </si>
  <si>
    <t>Fax No.:</t>
  </si>
  <si>
    <t>Day-time telephone number essential</t>
  </si>
  <si>
    <t>E-mail address:</t>
  </si>
  <si>
    <t xml:space="preserve">   &lt;&lt; Double check your address !!!</t>
  </si>
  <si>
    <t xml:space="preserve">Payment accepted by credit card, International Money Order, or bank draft (US$). </t>
  </si>
  <si>
    <t>Drafts etc. should be made payable to "Invest-Tech Limited". We reserve the right to delay despatch until payment</t>
  </si>
  <si>
    <t>has been cleared. Note: The manual is optional but will not be supplied without an upgrade.</t>
  </si>
  <si>
    <t>Copies</t>
  </si>
  <si>
    <t>Cost of upgrade(s)</t>
  </si>
  <si>
    <t>Cost of manual(s) - optional</t>
  </si>
  <si>
    <t>Sub-Total (Press F9 to update)</t>
  </si>
  <si>
    <t>Press F9</t>
  </si>
  <si>
    <t>VAT at 21% (See note above)</t>
  </si>
  <si>
    <t>to Update</t>
  </si>
  <si>
    <t xml:space="preserve"> &lt;&lt; Ignore if based outside European Union</t>
  </si>
  <si>
    <t>Total (Press F9 to update)</t>
  </si>
  <si>
    <t>this Table</t>
  </si>
  <si>
    <t>IMO or draft enclosed for:</t>
  </si>
  <si>
    <t>Payment by credit card (mark a box):</t>
  </si>
  <si>
    <t>Visa</t>
  </si>
  <si>
    <t xml:space="preserve">  Mastercard</t>
  </si>
  <si>
    <t xml:space="preserve">       Access</t>
  </si>
  <si>
    <t>Credit card number:</t>
  </si>
  <si>
    <t>Expiry:</t>
  </si>
  <si>
    <t>Month</t>
  </si>
  <si>
    <t>Year</t>
  </si>
  <si>
    <t>Signature of card holder:</t>
  </si>
  <si>
    <t>X</t>
  </si>
  <si>
    <t xml:space="preserve">    Essential if ordering by mail or fax.</t>
  </si>
  <si>
    <t>Address of card holder (if different from address indicated above):</t>
  </si>
  <si>
    <t>From what source did you acquire this shareware copy of Exl-Plan:</t>
  </si>
  <si>
    <t>Any special delivery requirements or comments about Exl-Plan:</t>
  </si>
  <si>
    <t xml:space="preserve">Please double check all your details. </t>
  </si>
  <si>
    <t>Thank you for the order. Please return this completed form to:</t>
  </si>
  <si>
    <t xml:space="preserve">      Invest-Tech Limited, 27 Ardmeen Park, Blackrock, Co Dublin, Ireland</t>
  </si>
  <si>
    <t xml:space="preserve">      Tel: +353-1-283 4083    Fax: +353-1-278 2391  </t>
  </si>
  <si>
    <t xml:space="preserve">      E-mail:    brianf@iol.ie     or      sales@planware.org     (Copy/paste entire form into a message)</t>
  </si>
  <si>
    <t xml:space="preserve">      Web:    www.planware.ie/resource/planware    or   www.planware.org   (Online ordering facilities available)</t>
  </si>
  <si>
    <t>PlanWare On-Line Financial Planning Results</t>
  </si>
  <si>
    <t xml:space="preserve">Welcome to the results file for Planware's on-line financial planner. This </t>
  </si>
  <si>
    <t xml:space="preserve">worksheet contains a general introduction to the planner and assessment </t>
  </si>
  <si>
    <t xml:space="preserve">of your projections. </t>
  </si>
  <si>
    <t>Your references for these projections are as follows:</t>
  </si>
  <si>
    <t>Your e-mail address:</t>
  </si>
  <si>
    <t xml:space="preserve"> sss@ssss.xxx</t>
  </si>
  <si>
    <t>Your name:</t>
  </si>
  <si>
    <t xml:space="preserve"> Your name</t>
  </si>
  <si>
    <t>Your business name/code:</t>
  </si>
  <si>
    <t xml:space="preserve"> Big Biz Inc</t>
  </si>
  <si>
    <t>Date of calculation:</t>
  </si>
  <si>
    <t>The projections were created from your assumptions which are reproduced</t>
  </si>
  <si>
    <t xml:space="preserve">in the Assumptions sheet (click the Assumptions tab). The remaining sheets </t>
  </si>
  <si>
    <t>contain values-only pro-forma projections for the five years together with a</t>
  </si>
  <si>
    <t>summary report.</t>
  </si>
  <si>
    <t xml:space="preserve">The projections were generated using Exl-Plan, our range of Windows-based </t>
  </si>
  <si>
    <t>financial planners. We used its Quik-Plan facility which has been specifically</t>
  </si>
  <si>
    <t>developed to allow users to create high-level, quick and dirty projections using</t>
  </si>
  <si>
    <t>minimal assumptions. To derive these projections our planner used about</t>
  </si>
  <si>
    <t>ten thousand formulae to calculate values monthly for the first year, quarterly</t>
  </si>
  <si>
    <t xml:space="preserve">for the second &amp; third years and annually for the fourth &amp; fifth years. </t>
  </si>
  <si>
    <t>We offer six versions of Exl-Plan - for small, mid-size and larger businesses and start-ups</t>
  </si>
  <si>
    <t>using either US/Canadian or UK/International terminologies and account formats.</t>
  </si>
  <si>
    <t>For these projections, we used the Exl-Plan Pro for 'larger' businesses with US formats.</t>
  </si>
  <si>
    <t>For further information about Exl-Plan, please visit our web site:</t>
  </si>
  <si>
    <t>http://www.planware.org</t>
  </si>
  <si>
    <t>Shareware versions of Exl-Plan can be downloaded from our site.</t>
  </si>
  <si>
    <t>For further information, contact:</t>
  </si>
  <si>
    <t>Invest-Tech Limited</t>
  </si>
  <si>
    <t>27 Ardmeen Park, Blackrock, Co Dublin, Ireland</t>
  </si>
  <si>
    <t>Tel:  +353-1-283 4083</t>
  </si>
  <si>
    <t>Fax:  +353-1-2782391</t>
  </si>
  <si>
    <t>E-mail: info@planware.org</t>
  </si>
  <si>
    <t>We hope that you found this exercise interesting and useful. Please make</t>
  </si>
  <si>
    <t xml:space="preserve">contact if you have any comments, queries or suggestions. </t>
  </si>
  <si>
    <t>An automated assessment of your assumptions suggests that the following items</t>
  </si>
  <si>
    <t>should be reviewed with special care (some lines below may appear blank):</t>
  </si>
  <si>
    <t>First-Year Assumptions</t>
  </si>
  <si>
    <t xml:space="preserve">   - No comments</t>
  </si>
  <si>
    <t>Second &amp; Subsequent Years</t>
  </si>
  <si>
    <t xml:space="preserve">   - Compound gowth rate for sales over final 4 years is 40% - is this realistic?</t>
  </si>
  <si>
    <t xml:space="preserve">   - Variation between growth rates for sales &amp; direct costs for second year.</t>
  </si>
  <si>
    <t xml:space="preserve">   - Variation between growth rates for sales &amp; direct costs for third-fifth years - is this planned?</t>
  </si>
  <si>
    <t xml:space="preserve">   - Variation between growth rates for sales &amp; overhead costs for third-fifth years - is this planned?</t>
  </si>
  <si>
    <t>End of Automated Assessment</t>
  </si>
  <si>
    <t>PlanWare:  On-Line Financial Planning Results - 1</t>
  </si>
  <si>
    <t>This table is a copy of your submitted assumptions. Below it is an explanation as to how Quik-Plan used the assumptions.</t>
  </si>
  <si>
    <t>Quik-Plan Assumptions Report</t>
  </si>
  <si>
    <t xml:space="preserve"> Year in which to start projections</t>
  </si>
  <si>
    <t xml:space="preserve"> Enter as 4 digits - like 19XX</t>
  </si>
  <si>
    <t xml:space="preserve"> Month for start of the projections</t>
  </si>
  <si>
    <t xml:space="preserve"> Enter month number - between 1 to 12</t>
  </si>
  <si>
    <t xml:space="preserve"> Currency unit</t>
  </si>
  <si>
    <t xml:space="preserve"> 000</t>
  </si>
  <si>
    <t xml:space="preserve"> Enter "000 (thousands - note the " before 000), Mln (millions) or Bn (millions)</t>
  </si>
  <si>
    <t xml:space="preserve"> Currency symbol</t>
  </si>
  <si>
    <t xml:space="preserve"> US$</t>
  </si>
  <si>
    <t xml:space="preserve"> Enter up to 3 characters as label and press F9 to update the units below</t>
  </si>
  <si>
    <t>Assumptions for First Year</t>
  </si>
  <si>
    <t xml:space="preserve"> Variables</t>
  </si>
  <si>
    <t>Values</t>
  </si>
  <si>
    <t xml:space="preserve">   Units                               Guidance</t>
  </si>
  <si>
    <t xml:space="preserve"> Average monthly sales</t>
  </si>
  <si>
    <t xml:space="preserve">  US$ 000s</t>
  </si>
  <si>
    <t xml:space="preserve"> Enter sales value net of all sales taxes and discounts.</t>
  </si>
  <si>
    <t xml:space="preserve"> Desired average finished inventory</t>
  </si>
  <si>
    <t>% of sales</t>
  </si>
  <si>
    <t xml:space="preserve"> Express as % average monthly sales. Set to zero for a distribution</t>
  </si>
  <si>
    <t xml:space="preserve">    or service business.</t>
  </si>
  <si>
    <t xml:space="preserve"> Cost of materials/goods</t>
  </si>
  <si>
    <t xml:space="preserve"> As % sales</t>
  </si>
  <si>
    <t xml:space="preserve"> } Set to zero for a labor-only service business. These can refer to</t>
  </si>
  <si>
    <t xml:space="preserve"> Target materials/goods inventory</t>
  </si>
  <si>
    <t xml:space="preserve"> } purchases/inventory for resale if a distribution business.</t>
  </si>
  <si>
    <t xml:space="preserve"> Average monthly direct costs </t>
  </si>
  <si>
    <t xml:space="preserve"> May be zero in case of a distribution business.</t>
  </si>
  <si>
    <t xml:space="preserve"> Average monthly overhead expenses</t>
  </si>
  <si>
    <t xml:space="preserve"> Exclude depreciation &amp; interest.</t>
  </si>
  <si>
    <t xml:space="preserve"> Opening total cost of fixed assets</t>
  </si>
  <si>
    <t xml:space="preserve"> Use cost at the start date of projections, not the depreciated value.</t>
  </si>
  <si>
    <t xml:space="preserve"> Accumulated opening depreciation</t>
  </si>
  <si>
    <t xml:space="preserve"> Use value at the start day of projections.</t>
  </si>
  <si>
    <t xml:space="preserve"> Average depreciation rate</t>
  </si>
  <si>
    <t xml:space="preserve"> % p.a.</t>
  </si>
  <si>
    <t xml:space="preserve"> Use approximate weighted-average rate covering all fixed assets.</t>
  </si>
  <si>
    <t xml:space="preserve"> Planned capital expenditure for year</t>
  </si>
  <si>
    <t xml:space="preserve"> Interest rate for cash balances</t>
  </si>
  <si>
    <t xml:space="preserve"> Use approximate weighted-average rate.</t>
  </si>
  <si>
    <t xml:space="preserve"> Interest rate for all debt/notes</t>
  </si>
  <si>
    <t xml:space="preserve"> Opening cash balance (deficit)</t>
  </si>
  <si>
    <t xml:space="preserve"> If deficit (e.g. short-term loan or line of credit), enter minus value.</t>
  </si>
  <si>
    <t xml:space="preserve"> Opening longterm debt/notes</t>
  </si>
  <si>
    <t xml:space="preserve"> Combine value of all outstanding long-term debt/loans/notes etc.</t>
  </si>
  <si>
    <t xml:space="preserve"> Net change in longterm debt/notes in yr</t>
  </si>
  <si>
    <t xml:space="preserve"> Use + for a net increase and - for a net reduction during the year.</t>
  </si>
  <si>
    <t xml:space="preserve"> Opening accounts receivable</t>
  </si>
  <si>
    <t xml:space="preserve"> As at start date of projections. Exclude expected bad debts.</t>
  </si>
  <si>
    <t xml:space="preserve"> Opening accounts payable</t>
  </si>
  <si>
    <t xml:space="preserve"> As at start date of projections. Include any other planned payments.</t>
  </si>
  <si>
    <t xml:space="preserve"> Average credit given on sales</t>
  </si>
  <si>
    <t xml:space="preserve"> Days sales</t>
  </si>
  <si>
    <t xml:space="preserve"> Use estimate which takes any cash sales into account.</t>
  </si>
  <si>
    <t xml:space="preserve"> Average credit taken for materials/goods</t>
  </si>
  <si>
    <t xml:space="preserve"> Estimate should take account of any suppliers which give no credit.</t>
  </si>
  <si>
    <t xml:space="preserve"> Expected federal/state tax rate</t>
  </si>
  <si>
    <t xml:space="preserve"> %</t>
  </si>
  <si>
    <t xml:space="preserve"> Use the effective, rather than standard, rate.</t>
  </si>
  <si>
    <t xml:space="preserve"> Planned dividend for year</t>
  </si>
  <si>
    <t xml:space="preserve"> Indicate dividends declared.</t>
  </si>
  <si>
    <t xml:space="preserve"> Opening number of shares</t>
  </si>
  <si>
    <t xml:space="preserve">  000s</t>
  </si>
  <si>
    <t xml:space="preserve"> Indicate issued shares only.</t>
  </si>
  <si>
    <t xml:space="preserve"> Proceeds of new stock issues</t>
  </si>
  <si>
    <t xml:space="preserve"> Specify proceeds net of all fund-raising costs.</t>
  </si>
  <si>
    <t xml:space="preserve"> Number of new shares issued</t>
  </si>
  <si>
    <t xml:space="preserve"> This number will be added to the opening number of shares.</t>
  </si>
  <si>
    <t>Assumptions for Following Years</t>
  </si>
  <si>
    <t>2nd Yr</t>
  </si>
  <si>
    <t xml:space="preserve">   3-5 Yrs (Enter annual averages)</t>
  </si>
  <si>
    <t xml:space="preserve"> % annual change - sales</t>
  </si>
  <si>
    <t xml:space="preserve"> % change over previous year. Allow for volume or price changes.</t>
  </si>
  <si>
    <t xml:space="preserve"> As % sales. This should be consistent with % used for the first year.</t>
  </si>
  <si>
    <t xml:space="preserve"> % annual change - direct costs </t>
  </si>
  <si>
    <t xml:space="preserve"> } % changes over previous year. Take account of any changes in</t>
  </si>
  <si>
    <t xml:space="preserve"> % annual change - overhead expenses</t>
  </si>
  <si>
    <t xml:space="preserve"> } sales volumes, cost inflation and productivity.</t>
  </si>
  <si>
    <t xml:space="preserve"> Planned capital expenditure</t>
  </si>
  <si>
    <t xml:space="preserve">  US$ 000s. Average per year.</t>
  </si>
  <si>
    <t xml:space="preserve"> Net change in longterm debt/notes</t>
  </si>
  <si>
    <t xml:space="preserve">  US$ 000s. Average per year. Use + for net increase &amp; - for net reduction.</t>
  </si>
  <si>
    <t xml:space="preserve"> %. Use the effective, not standard, rates.</t>
  </si>
  <si>
    <t xml:space="preserve"> Planned dividends</t>
  </si>
  <si>
    <t>Specify proceeds net of costs.</t>
  </si>
  <si>
    <t>Indicates numbers of shares.</t>
  </si>
  <si>
    <t>This table indicates how your assumptions for the first year were processed.</t>
  </si>
  <si>
    <t>Units</t>
  </si>
  <si>
    <t>How assumptions were used</t>
  </si>
  <si>
    <t xml:space="preserve"> Sales allocated equally to each month.</t>
  </si>
  <si>
    <t xml:space="preserve"> Inventory values based on sales are reduced to values based on direct costs.</t>
  </si>
  <si>
    <t xml:space="preserve"> Constant values used in each month.</t>
  </si>
  <si>
    <t xml:space="preserve"> Inserted into opening balance sheet.</t>
  </si>
  <si>
    <t xml:space="preserve"> Depreciation calculated on monthly basis.</t>
  </si>
  <si>
    <t xml:space="preserve"> Divided equally between fouth, seventh, tenth and twelfth months.</t>
  </si>
  <si>
    <t xml:space="preserve"> Interest receivable calculated monthly on basis basis of cash balances and cashflow.</t>
  </si>
  <si>
    <t xml:space="preserve"> Interest payable calculated monthly on basis basis of loans o/s and cashflow.</t>
  </si>
  <si>
    <t xml:space="preserve"> Inserted into opening balance sheet. Receipts made on tapered basis over 4 months</t>
  </si>
  <si>
    <t xml:space="preserve"> Inserted into opening balance sheet. Payments made on tapered basis over 4 months</t>
  </si>
  <si>
    <t xml:space="preserve"> Tax payments are made in second quarter of second year.</t>
  </si>
  <si>
    <t xml:space="preserve"> Dividends payments divided between second and fourth quarters</t>
  </si>
  <si>
    <t xml:space="preserve"> Proceeds received in seventh month.</t>
  </si>
  <si>
    <t>PlanWare:  On-Line Financial Planning Results - 2</t>
  </si>
  <si>
    <t>Years ending</t>
  </si>
  <si>
    <t>99-00</t>
  </si>
  <si>
    <t>00-01</t>
  </si>
  <si>
    <t>01-02</t>
  </si>
  <si>
    <t>02-03</t>
  </si>
  <si>
    <t>03-04</t>
  </si>
  <si>
    <t>Feb</t>
  </si>
  <si>
    <t>INCOME STATEMENTS</t>
  </si>
  <si>
    <t xml:space="preserve"> US$ 000</t>
  </si>
  <si>
    <t>Sales</t>
  </si>
  <si>
    <t>Cost of sales</t>
  </si>
  <si>
    <t>Gross margin</t>
  </si>
  <si>
    <t>Overhead expenses</t>
  </si>
  <si>
    <t>Bad debts</t>
  </si>
  <si>
    <t>Depreciation</t>
  </si>
  <si>
    <t>Operating lease payments</t>
  </si>
  <si>
    <t>Total operating expenses</t>
  </si>
  <si>
    <t>Income from operations</t>
  </si>
  <si>
    <t>Other income/expenses:</t>
  </si>
  <si>
    <t xml:space="preserve"> -Profit (loss) fixed asset disposals</t>
  </si>
  <si>
    <t xml:space="preserve"> -Intangible asset amortization</t>
  </si>
  <si>
    <t xml:space="preserve"> -Miscellaneous income</t>
  </si>
  <si>
    <t>Total other income (expenses)</t>
  </si>
  <si>
    <t>Earnings before interest/taxes</t>
  </si>
  <si>
    <t>Interest expense/income:</t>
  </si>
  <si>
    <t xml:space="preserve"> -Interest expense</t>
  </si>
  <si>
    <t xml:space="preserve"> -Lease interest expense</t>
  </si>
  <si>
    <t xml:space="preserve"> -Interest income</t>
  </si>
  <si>
    <t>Net interest expense (income)</t>
  </si>
  <si>
    <t>Net income before taxes</t>
  </si>
  <si>
    <t>Taxes</t>
  </si>
  <si>
    <t>Net income</t>
  </si>
  <si>
    <t>Dividends declared</t>
  </si>
  <si>
    <t>Transferred to reserves</t>
  </si>
  <si>
    <t>PlanWare:  On-Line Financial Planning Results - 3</t>
  </si>
  <si>
    <t>CASHFLOW STATEMENTS</t>
  </si>
  <si>
    <t>Operating activities</t>
  </si>
  <si>
    <t>Taxes paid</t>
  </si>
  <si>
    <t>Profit (loss) fixed asset disposal</t>
  </si>
  <si>
    <t>Non-cash items:</t>
  </si>
  <si>
    <t xml:space="preserve">    Depreciation</t>
  </si>
  <si>
    <t xml:space="preserve">    Intangible asset amortization</t>
  </si>
  <si>
    <t>Changes in operating assets &amp; liabilities:</t>
  </si>
  <si>
    <t xml:space="preserve">    Inventory</t>
  </si>
  <si>
    <t xml:space="preserve">    Accounts receivable</t>
  </si>
  <si>
    <t xml:space="preserve">    Accounts payable</t>
  </si>
  <si>
    <t xml:space="preserve">    Prepaid &amp; accrued expenses</t>
  </si>
  <si>
    <t xml:space="preserve">    Payroll taxes/benefits</t>
  </si>
  <si>
    <t xml:space="preserve">    Sales Tax adjustment</t>
  </si>
  <si>
    <t>Net cash provided by operations</t>
  </si>
  <si>
    <t>Investing activities</t>
  </si>
  <si>
    <t>Purchases of fixed assets</t>
  </si>
  <si>
    <t>Disposals of fixed assets</t>
  </si>
  <si>
    <t>Net cash provided by investing</t>
  </si>
  <si>
    <t>Financing activities</t>
  </si>
  <si>
    <t>Issue of stock</t>
  </si>
  <si>
    <t>Dividends paid</t>
  </si>
  <si>
    <t>New long-term loans &amp; debt/notes</t>
  </si>
  <si>
    <t>Repayments of long-term loans &amp; debt/notes</t>
  </si>
  <si>
    <t>Lease repayments</t>
  </si>
  <si>
    <t>Net cash provided by financing</t>
  </si>
  <si>
    <t>Increase (decrease) in cash</t>
  </si>
  <si>
    <t>Closing net cash balance (deficit)</t>
  </si>
  <si>
    <t>PlanWare:  On-Line Financial Planning Results - 4</t>
  </si>
  <si>
    <t>98-99</t>
  </si>
  <si>
    <t>BALANCE SHEETS</t>
  </si>
  <si>
    <t>ASSETS</t>
  </si>
  <si>
    <t>Current assets:</t>
  </si>
  <si>
    <t xml:space="preserve">  Cash at bank</t>
  </si>
  <si>
    <t xml:space="preserve">  Accounts receivable</t>
  </si>
  <si>
    <t xml:space="preserve">  Inventory</t>
  </si>
  <si>
    <t xml:space="preserve">  Prepaid expenses</t>
  </si>
  <si>
    <t xml:space="preserve">  Sales Tax recoverable</t>
  </si>
  <si>
    <t>Total current assets</t>
  </si>
  <si>
    <t>Net fixed assets</t>
  </si>
  <si>
    <t>Net intangible assets</t>
  </si>
  <si>
    <t>Total assets</t>
  </si>
  <si>
    <t>LIABILITIES</t>
  </si>
  <si>
    <t>Current liabilities:</t>
  </si>
  <si>
    <t xml:space="preserve">  Accounts payable</t>
  </si>
  <si>
    <t xml:space="preserve">  Capital expenditure creditors</t>
  </si>
  <si>
    <t xml:space="preserve">  Accrued expenses</t>
  </si>
  <si>
    <t xml:space="preserve">  Payroll taxes/benefits</t>
  </si>
  <si>
    <t xml:space="preserve">  Dividends</t>
  </si>
  <si>
    <t xml:space="preserve">  Taxes</t>
  </si>
  <si>
    <t xml:space="preserve">  Sales Tax payable</t>
  </si>
  <si>
    <t xml:space="preserve">  Short-term loans/line of credit</t>
  </si>
  <si>
    <t xml:space="preserve">  Current portion of longterm liabilities:</t>
  </si>
  <si>
    <t xml:space="preserve">      Longterm debt/notes</t>
  </si>
  <si>
    <t xml:space="preserve">      Other loans</t>
  </si>
  <si>
    <t xml:space="preserve">      Lease debt</t>
  </si>
  <si>
    <t>Total current liabilities</t>
  </si>
  <si>
    <t>Longterm liabilities:</t>
  </si>
  <si>
    <t xml:space="preserve">  Longterm debt/notes</t>
  </si>
  <si>
    <t xml:space="preserve">  Other loans</t>
  </si>
  <si>
    <t xml:space="preserve">  Lease debt</t>
  </si>
  <si>
    <t>Total longterm liabilities</t>
  </si>
  <si>
    <t>Equity:</t>
  </si>
  <si>
    <t xml:space="preserve">  Equity investments</t>
  </si>
  <si>
    <t xml:space="preserve">  Retained earnings</t>
  </si>
  <si>
    <t>Total owners' equity</t>
  </si>
  <si>
    <t>Total liabilities &amp; equity</t>
  </si>
  <si>
    <t>PlanWare:  On-Line Financial Planning Results - 5</t>
  </si>
  <si>
    <t>PERFORMANCE REVIEW</t>
  </si>
  <si>
    <t>As % total sales:</t>
  </si>
  <si>
    <t xml:space="preserve"> -Gross margin</t>
  </si>
  <si>
    <t>na</t>
  </si>
  <si>
    <t xml:space="preserve"> -Income from operations</t>
  </si>
  <si>
    <t xml:space="preserve"> -Net income before taxes</t>
  </si>
  <si>
    <t xml:space="preserve"> -Research &amp; development</t>
  </si>
  <si>
    <t/>
  </si>
  <si>
    <t xml:space="preserve"> -Selling/freight expenses</t>
  </si>
  <si>
    <t>Projected sales as % breakeven</t>
  </si>
  <si>
    <t>Headcount</t>
  </si>
  <si>
    <t xml:space="preserve">     -</t>
  </si>
  <si>
    <t>Changes over previous year (%):</t>
  </si>
  <si>
    <t xml:space="preserve"> -Sales</t>
  </si>
  <si>
    <t xml:space="preserve"> -Transfers to reserves</t>
  </si>
  <si>
    <t xml:space="preserve"> -Owner's equity</t>
  </si>
  <si>
    <t xml:space="preserve"> -Dividends per share</t>
  </si>
  <si>
    <t xml:space="preserve"> -Earnings per share</t>
  </si>
  <si>
    <t>Net income before taxes/total assets (% pa)</t>
  </si>
  <si>
    <t>Return on owners' equity (% pa)</t>
  </si>
  <si>
    <t>Annual sales/total assets (times)</t>
  </si>
  <si>
    <t>Annual sales/net fixed assets (times)</t>
  </si>
  <si>
    <t>Net debt as percentage of</t>
  </si>
  <si>
    <t xml:space="preserve">  owners' equity</t>
  </si>
  <si>
    <t>Interest cover (times)</t>
  </si>
  <si>
    <t>Current asset ratio (times)</t>
  </si>
  <si>
    <t>Accounts receivable (days sales)</t>
  </si>
  <si>
    <t>Inventory (days sales)</t>
  </si>
  <si>
    <t>Accounts payable (days costs &amp; expenses)</t>
  </si>
  <si>
    <t>Cumulative issued shares ( 000s)</t>
  </si>
  <si>
    <t>Net assets per share ( US$)</t>
  </si>
  <si>
    <t>Earnings per share ( US$)</t>
  </si>
  <si>
    <t>Dividend per share ( US$)</t>
  </si>
  <si>
    <t>Dividend cover (times)</t>
  </si>
  <si>
    <t>PlanWare:  On-Line Financial Planning Results - 6</t>
  </si>
  <si>
    <t>TEXTUAL SUMMARY REPORT</t>
  </si>
  <si>
    <t>Date prepared:</t>
  </si>
  <si>
    <t>The following three operational &amp; financial reports for  BIG BIZ INC cover</t>
  </si>
  <si>
    <t>the months and years commencing in Mar 1999. They have been derived</t>
  </si>
  <si>
    <t>from the detailed assumptions in Exl-Plan Pro's Monthly, Quarterly and Annual</t>
  </si>
  <si>
    <t>Reports.</t>
  </si>
  <si>
    <t>1.  FIRST-YEAR OPERATIONAL  REPORT -  BIG BIZ INC</t>
  </si>
  <si>
    <t>This First-Year Operational Report covers the twelve months to end Feb 2000</t>
  </si>
  <si>
    <t>based on detailed monthly projections and assumptions. The</t>
  </si>
  <si>
    <t>following table summarizes quarterly sales projections for the year:</t>
  </si>
  <si>
    <t xml:space="preserve">                                  Quarter Ends in Year to Feb 2000</t>
  </si>
  <si>
    <t>Annual</t>
  </si>
  <si>
    <t>1 Qtr</t>
  </si>
  <si>
    <t>2 Qtr</t>
  </si>
  <si>
    <t>3 Qtr</t>
  </si>
  <si>
    <t>4 Qtr</t>
  </si>
  <si>
    <t>Total</t>
  </si>
  <si>
    <t>Product Group:</t>
  </si>
  <si>
    <t xml:space="preserve"> - Group1</t>
  </si>
  <si>
    <t xml:space="preserve"> - Group2</t>
  </si>
  <si>
    <t xml:space="preserve"> - Group3</t>
  </si>
  <si>
    <t xml:space="preserve"> - Group4</t>
  </si>
  <si>
    <t>Total sales</t>
  </si>
  <si>
    <t>% Quarterly changes</t>
  </si>
  <si>
    <t>NA</t>
  </si>
  <si>
    <t xml:space="preserve">This shows that Group1 will account for 100% of projected sales; that Group2 will account for </t>
  </si>
  <si>
    <t>a further 0%; that Group3 will account  for 0%; and that Group4 will account  for 0%.</t>
  </si>
  <si>
    <t>Projected inventory levels for the four quarters are as follows:</t>
  </si>
  <si>
    <t>Opening</t>
  </si>
  <si>
    <t xml:space="preserve">             Quarter Ends in Year to Feb 2000</t>
  </si>
  <si>
    <t>Inventories</t>
  </si>
  <si>
    <t>Levels</t>
  </si>
  <si>
    <t xml:space="preserve"> 1st</t>
  </si>
  <si>
    <t>2nd</t>
  </si>
  <si>
    <t>3rd</t>
  </si>
  <si>
    <t>4th</t>
  </si>
  <si>
    <t>Finished goods</t>
  </si>
  <si>
    <t>Materials/goods</t>
  </si>
  <si>
    <t>Total inventory</t>
  </si>
  <si>
    <t>The projected average materials/goods cost percentages for the four quarters are</t>
  </si>
  <si>
    <t>as follows:</t>
  </si>
  <si>
    <t xml:space="preserve">                 Quarterly Averages for Year to Feb 2000</t>
  </si>
  <si>
    <t>Product Groups</t>
  </si>
  <si>
    <t>Averages</t>
  </si>
  <si>
    <t>% Sales</t>
  </si>
  <si>
    <t>Group1</t>
  </si>
  <si>
    <t>Group2</t>
  </si>
  <si>
    <t>Group3</t>
  </si>
  <si>
    <t>Group4</t>
  </si>
  <si>
    <t>The projected headcounts at quarter ends are as follows:</t>
  </si>
  <si>
    <t>Functions</t>
  </si>
  <si>
    <t>Nos</t>
  </si>
  <si>
    <t>Direct labor:</t>
  </si>
  <si>
    <t>Total direct labor</t>
  </si>
  <si>
    <t>Indirect labor</t>
  </si>
  <si>
    <t>Supervisory staff</t>
  </si>
  <si>
    <t>Clerical</t>
  </si>
  <si>
    <t>Management</t>
  </si>
  <si>
    <t>Research &amp; development</t>
  </si>
  <si>
    <t>Total headcount</t>
  </si>
  <si>
    <t>Direct costs and overhead expenses are summarized below.</t>
  </si>
  <si>
    <t>Quarters in Year to Feb 2000</t>
  </si>
  <si>
    <t>Cost  Analysis</t>
  </si>
  <si>
    <t>Materials/packaging/goods</t>
  </si>
  <si>
    <t>Direct labor</t>
  </si>
  <si>
    <t>Other direct</t>
  </si>
  <si>
    <t>Total Cost of sales</t>
  </si>
  <si>
    <t>Overhead expenses:</t>
  </si>
  <si>
    <t>Operational (indirect)</t>
  </si>
  <si>
    <t>Selling &amp; freight</t>
  </si>
  <si>
    <t>Management/admin staff</t>
  </si>
  <si>
    <t>Administration</t>
  </si>
  <si>
    <t>Occupancy/general</t>
  </si>
  <si>
    <t>Total overhead expenses</t>
  </si>
  <si>
    <t>Total direct costs &amp; expenses</t>
  </si>
  <si>
    <t>Proposed capital expenditure (excluding leasing) is summarized in the next table.</t>
  </si>
  <si>
    <t>Capital Expenditure</t>
  </si>
  <si>
    <t>Land, buildings &amp; improvements</t>
  </si>
  <si>
    <t>Plant, equipment &amp; machinery</t>
  </si>
  <si>
    <t>Automobiles, vehicles etc.</t>
  </si>
  <si>
    <t>Total capital expenditure</t>
  </si>
  <si>
    <t>Changes in longterm debt and leasing are summarized below.</t>
  </si>
  <si>
    <t>Debt &amp; Leasing</t>
  </si>
  <si>
    <t>Increase in longterm debt/notes</t>
  </si>
  <si>
    <t>Longterm debt/note repayments</t>
  </si>
  <si>
    <t>Net changes in longterm debt/notes</t>
  </si>
  <si>
    <t>Increases in 'other loans'</t>
  </si>
  <si>
    <t>'Other loan' repayments</t>
  </si>
  <si>
    <t>Net changes in 'other loans'</t>
  </si>
  <si>
    <t>Increases in leases</t>
  </si>
  <si>
    <t>Net changes in leases</t>
  </si>
  <si>
    <t>Overall changes in loans &amp; leases</t>
  </si>
  <si>
    <t>Other significant transactions during the year include the following:</t>
  </si>
  <si>
    <t>Other Transactions</t>
  </si>
  <si>
    <t>Proceeds of share issues</t>
  </si>
  <si>
    <t>Proceeds of fixed asset sales</t>
  </si>
  <si>
    <t>2.  FIRST-YEAR FINANCIAL  REPORT -  BIG BIZ INC</t>
  </si>
  <si>
    <t>This First-Year Financial Report covers the twelve months to end Feb 2000</t>
  </si>
  <si>
    <t>based on detailed monthly projections and assumptions.</t>
  </si>
  <si>
    <t>The following table analyses sales and gross margins by</t>
  </si>
  <si>
    <t>main product group for the full year:</t>
  </si>
  <si>
    <t>Gross</t>
  </si>
  <si>
    <t>Year to end Feb 2000</t>
  </si>
  <si>
    <t>Margin</t>
  </si>
  <si>
    <t>This shows that Group1 will account for 100% of projected sales</t>
  </si>
  <si>
    <t>(100% of total gross margin); that Group2 will account for a further</t>
  </si>
  <si>
    <t xml:space="preserve">0% of sales (0% of total gross margin); that Group3 will account </t>
  </si>
  <si>
    <t xml:space="preserve">for 0% of sales (0% of total gross margin); that Group4 will account </t>
  </si>
  <si>
    <t>for the balance of 0% of sales (0% of total gross margin).</t>
  </si>
  <si>
    <t>The projected overall gross margin is 33%.</t>
  </si>
  <si>
    <t>Based on projected sales of  US$5040  000,  BIG BIZ INC</t>
  </si>
  <si>
    <t>expects to report a pretax profit of  US$267  000 for the year.</t>
  </si>
  <si>
    <t>The following table analyses these projections:</t>
  </si>
  <si>
    <t>Gross Margin</t>
  </si>
  <si>
    <t xml:space="preserve"> -Operational (indirect)</t>
  </si>
  <si>
    <t xml:space="preserve"> -Selling &amp; freight</t>
  </si>
  <si>
    <t xml:space="preserve"> -Management/admin staff</t>
  </si>
  <si>
    <t xml:space="preserve"> -Administration</t>
  </si>
  <si>
    <t xml:space="preserve"> -Occupancy/general</t>
  </si>
  <si>
    <t xml:space="preserve"> -Profit (loss) disposal of fixed assets</t>
  </si>
  <si>
    <t>Earnings before interest &amp; taxes</t>
  </si>
  <si>
    <t>Based on detailed monthly projections, the net cash inflow</t>
  </si>
  <si>
    <t>for the twelve months will be  US$196  000. The projected year-end bank</t>
  </si>
  <si>
    <t>position will be a  US$96  000 cash balance.</t>
  </si>
  <si>
    <t xml:space="preserve">The next table compares the projected results with those for </t>
  </si>
  <si>
    <t>the previous year which ended in Feb 1999.</t>
  </si>
  <si>
    <t>Years ending:</t>
  </si>
  <si>
    <t xml:space="preserve">  Feb 1999</t>
  </si>
  <si>
    <t xml:space="preserve">  Feb 2000</t>
  </si>
  <si>
    <t xml:space="preserve"> Change</t>
  </si>
  <si>
    <t>%</t>
  </si>
  <si>
    <t>Other income, interest expense etc.</t>
  </si>
  <si>
    <t>This indicates that sales could increase by  US$5040  000 while</t>
  </si>
  <si>
    <t>net income could improve by  US$267  000 over the year.</t>
  </si>
  <si>
    <t>The following table summarizes cashflows for the year by quarter.</t>
  </si>
  <si>
    <t>Cashflows</t>
  </si>
  <si>
    <t>Total cash receipts</t>
  </si>
  <si>
    <t>Total cash payments</t>
  </si>
  <si>
    <t>Net cashflow</t>
  </si>
  <si>
    <t>Closing cash balance (deficit)</t>
  </si>
  <si>
    <t>The following key assumptions regarding rates etc. were used</t>
  </si>
  <si>
    <t>in compiling the projections for the year to end Feb 2000.</t>
  </si>
  <si>
    <t>Items</t>
  </si>
  <si>
    <t>Value</t>
  </si>
  <si>
    <t>Basis</t>
  </si>
  <si>
    <t>Headcount:</t>
  </si>
  <si>
    <t xml:space="preserve">  Direct workers</t>
  </si>
  <si>
    <t xml:space="preserve">  Avg monthly numbers</t>
  </si>
  <si>
    <t xml:space="preserve">  All other staff</t>
  </si>
  <si>
    <t xml:space="preserve">  As percent sales</t>
  </si>
  <si>
    <t>Depreciation:</t>
  </si>
  <si>
    <t xml:space="preserve">  Land, buildings &amp; improvements</t>
  </si>
  <si>
    <t xml:space="preserve">  Annual % rates</t>
  </si>
  <si>
    <t xml:space="preserve">  Plant, equipment &amp; machinery</t>
  </si>
  <si>
    <t xml:space="preserve">  Automobiles, vehicles etc.</t>
  </si>
  <si>
    <t>Interest rates (% pa):</t>
  </si>
  <si>
    <t xml:space="preserve">  Monthly average</t>
  </si>
  <si>
    <t>Working capital:</t>
  </si>
  <si>
    <t xml:space="preserve">  Accounts receivable (days sales)</t>
  </si>
  <si>
    <t xml:space="preserve">  Based on full-yr sales</t>
  </si>
  <si>
    <t xml:space="preserve">  Inventory (days sales)</t>
  </si>
  <si>
    <t xml:space="preserve">  Accounts payable (days costs &amp; exs)</t>
  </si>
  <si>
    <t xml:space="preserve">  Based on full-yr costs</t>
  </si>
  <si>
    <t>The following key ratios have been derived from the 12-month</t>
  </si>
  <si>
    <t>projections for the year ending Feb 2000:</t>
  </si>
  <si>
    <t>Max/Min</t>
  </si>
  <si>
    <t>Full Year</t>
  </si>
  <si>
    <t>Ratios</t>
  </si>
  <si>
    <t>Monthly</t>
  </si>
  <si>
    <t>or Year End</t>
  </si>
  <si>
    <t>Profitability:</t>
  </si>
  <si>
    <t xml:space="preserve">  Gross margin (% sales)</t>
  </si>
  <si>
    <t>Max Value</t>
  </si>
  <si>
    <t xml:space="preserve">  Net income before taxes (% sales)</t>
  </si>
  <si>
    <t>Min Value</t>
  </si>
  <si>
    <t>Debt/equity (%)</t>
  </si>
  <si>
    <t>Sales/total assets (times)</t>
  </si>
  <si>
    <t>Net income before taxes/total assets (%)</t>
  </si>
  <si>
    <t>This table indicates that the following financial indicators</t>
  </si>
  <si>
    <t>derived from the detailed projections, may be out-of-line with</t>
  </si>
  <si>
    <t>generally-accepted norms:</t>
  </si>
  <si>
    <t xml:space="preserve">    * Debt/equity ratio may be too high</t>
  </si>
  <si>
    <t>3.  FIVE-YEAR FINANCIAL REPORT -  BIG BIZ INC</t>
  </si>
  <si>
    <t>This Financial Report covers the five years to the end of Feb 2004. It has</t>
  </si>
  <si>
    <t xml:space="preserve">been based on detailed monthly projections for the first year and </t>
  </si>
  <si>
    <t>quarterly/full-year projections for the following years.</t>
  </si>
  <si>
    <t>The following table summarizes the projected trading performance:</t>
  </si>
  <si>
    <t>Years to end Feb</t>
  </si>
  <si>
    <t>Act/Est</t>
  </si>
  <si>
    <t>Proj</t>
  </si>
  <si>
    <t>For the first three years under review, sales should change by 16%</t>
  </si>
  <si>
    <t>and projected net income before taxes for the third year are  US$284  000.</t>
  </si>
  <si>
    <t>For the fifth year, sales should reach  US$7044  000 and projected</t>
  </si>
  <si>
    <t>net income before taxes could be  US$346  000.</t>
  </si>
  <si>
    <t>The projected cashflows for  BIG BIZ INC during the years</t>
  </si>
  <si>
    <t>under review are summarized below:</t>
  </si>
  <si>
    <t>Net cashflows from:</t>
  </si>
  <si>
    <t xml:space="preserve">    Operations</t>
  </si>
  <si>
    <t xml:space="preserve">    Investing activities</t>
  </si>
  <si>
    <t xml:space="preserve">    Financing activities</t>
  </si>
  <si>
    <t>Increase (decr) cash</t>
  </si>
  <si>
    <t>The projected cumulative net cash inflow over the five years is</t>
  </si>
  <si>
    <t xml:space="preserve"> US$835  000.</t>
  </si>
  <si>
    <t>The next table shows the projected balance sheets.</t>
  </si>
  <si>
    <t xml:space="preserve">  Cash</t>
  </si>
  <si>
    <t xml:space="preserve">  Other</t>
  </si>
  <si>
    <t>Total Current Assets</t>
  </si>
  <si>
    <t>Fixed &amp; intang assets</t>
  </si>
  <si>
    <t xml:space="preserve">  Short-term loans/credit</t>
  </si>
  <si>
    <t>Total Current Liabilities</t>
  </si>
  <si>
    <t>Total liabilities</t>
  </si>
  <si>
    <t>The projected change in owners' equity is  US$800  000 and the</t>
  </si>
  <si>
    <t>expected closing net cash position is  US$735  000.</t>
  </si>
  <si>
    <t xml:space="preserve">The overall projected performance of  BIG BIZ INC for the years </t>
  </si>
  <si>
    <t>under review is assessed in the following table:</t>
  </si>
  <si>
    <t>Gross margin (% sales)</t>
  </si>
  <si>
    <t>Net income before taxes (% sales)</t>
  </si>
  <si>
    <t>Sales as % breakeven</t>
  </si>
  <si>
    <t>Net debt as percent</t>
  </si>
  <si>
    <t xml:space="preserve">  owners' equity (Max=200%)</t>
  </si>
  <si>
    <t xml:space="preserve">This table indicates that the following financial ratios may be </t>
  </si>
  <si>
    <t>out-of-line with generally accepted norms for one or more years:</t>
  </si>
  <si>
    <t xml:space="preserve">    * Net income before taxes as % total assets may be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</si>
</sst>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0" formatCode="0_)"/>
    <numFmt numFmtId="171" formatCode="#,##0_);[Red]\(#,##0\)"/>
    <numFmt numFmtId="172" formatCode="0_);[Red]\-0_)"/>
    <numFmt numFmtId="173" formatCode="#,##0.0_);[Red]\(#,##0.0\)"/>
    <numFmt numFmtId="175" formatCode="0.0_)"/>
    <numFmt numFmtId="176" formatCode="#,##0.00_);[Red]\(#,##0.00\)"/>
    <numFmt numFmtId="177" formatCode="#,##0_);\(#,##0\)"/>
    <numFmt numFmtId="180" formatCode=";;;"/>
    <numFmt numFmtId="181" formatCode="General_);[Red]\-General_)"/>
    <numFmt numFmtId="183" formatCode="#,##0.0_);\(#,##0.0\)"/>
    <numFmt numFmtId="184" formatCode="0.00_)"/>
  </numFmts>
  <fonts count="47" x14ac:knownFonts="1">
    <font>
      <sz val="12"/>
      <color indexed="8"/>
      <name val="Arial"/>
    </font>
    <font>
      <b/>
      <sz val="12"/>
      <color indexed="8"/>
      <name val="Arial"/>
    </font>
    <font>
      <sz val="18"/>
      <color indexed="8"/>
      <name val="Arial"/>
    </font>
    <font>
      <sz val="14"/>
      <color indexed="8"/>
      <name val="Arial"/>
      <family val="2"/>
    </font>
    <font>
      <u val="double"/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u val="double"/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u/>
      <sz val="14"/>
      <color indexed="12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2"/>
      <name val="Arial"/>
      <family val="2"/>
    </font>
    <font>
      <b/>
      <sz val="18"/>
      <color indexed="8"/>
      <name val="Arial"/>
      <family val="2"/>
    </font>
    <font>
      <sz val="12"/>
      <color indexed="8"/>
      <name val="Arial"/>
      <family val="2"/>
    </font>
    <font>
      <b/>
      <u/>
      <sz val="24"/>
      <color indexed="12"/>
      <name val="Arial"/>
      <family val="2"/>
    </font>
    <font>
      <sz val="12"/>
      <name val="Arial"/>
      <family val="2"/>
    </font>
    <font>
      <u/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8"/>
      <color indexed="8"/>
      <name val="Arial"/>
      <family val="2"/>
    </font>
    <font>
      <b/>
      <sz val="24"/>
      <color indexed="8"/>
      <name val="Arial"/>
      <family val="2"/>
    </font>
    <font>
      <b/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u/>
      <sz val="11"/>
      <color indexed="8"/>
      <name val="Arial"/>
      <family val="2"/>
    </font>
    <font>
      <sz val="11"/>
      <color indexed="10"/>
      <name val="Arial"/>
      <family val="2"/>
    </font>
    <font>
      <b/>
      <sz val="11"/>
      <color indexed="8"/>
      <name val="Arial"/>
      <family val="2"/>
    </font>
    <font>
      <b/>
      <u/>
      <sz val="20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u/>
      <sz val="11"/>
      <name val="Arial"/>
      <family val="2"/>
    </font>
    <font>
      <b/>
      <sz val="11"/>
      <color indexed="10"/>
      <name val="Arial"/>
      <family val="2"/>
    </font>
    <font>
      <b/>
      <i/>
      <sz val="12"/>
      <color indexed="10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2"/>
      <color indexed="10"/>
      <name val="Arial"/>
      <family val="2"/>
    </font>
    <font>
      <b/>
      <u val="doubleAccounting"/>
      <sz val="12"/>
      <color indexed="8"/>
      <name val="Arial"/>
      <family val="2"/>
    </font>
    <font>
      <u/>
      <sz val="11"/>
      <color indexed="12"/>
      <name val="Arial"/>
      <family val="2"/>
    </font>
    <font>
      <b/>
      <u/>
      <sz val="32"/>
      <color indexed="10"/>
      <name val="Arial"/>
      <family val="2"/>
    </font>
    <font>
      <b/>
      <u/>
      <sz val="18"/>
      <color indexed="12"/>
      <name val="Arial"/>
      <family val="2"/>
    </font>
    <font>
      <b/>
      <u/>
      <sz val="24"/>
      <color indexed="10"/>
      <name val="Arial"/>
      <family val="2"/>
    </font>
    <font>
      <b/>
      <u/>
      <sz val="12"/>
      <color indexed="10"/>
      <name val="Arial"/>
      <family val="2"/>
    </font>
    <font>
      <sz val="18"/>
      <name val="Arial"/>
      <family val="2"/>
    </font>
    <font>
      <b/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</borders>
  <cellStyleXfs count="1">
    <xf numFmtId="0" fontId="0" fillId="0" borderId="0"/>
  </cellStyleXfs>
  <cellXfs count="379">
    <xf numFmtId="0" fontId="0" fillId="0" borderId="0" xfId="0"/>
    <xf numFmtId="171" fontId="0" fillId="0" borderId="0" xfId="0" applyNumberFormat="1"/>
    <xf numFmtId="173" fontId="0" fillId="0" borderId="1" xfId="0" applyNumberFormat="1" applyBorder="1"/>
    <xf numFmtId="173" fontId="1" fillId="0" borderId="1" xfId="0" applyNumberFormat="1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173" fontId="0" fillId="0" borderId="0" xfId="0" applyNumberFormat="1" applyAlignment="1">
      <alignment horizontal="right"/>
    </xf>
    <xf numFmtId="171" fontId="0" fillId="0" borderId="2" xfId="0" applyNumberFormat="1" applyBorder="1"/>
    <xf numFmtId="171" fontId="1" fillId="0" borderId="0" xfId="0" applyNumberFormat="1" applyFont="1"/>
    <xf numFmtId="171" fontId="1" fillId="0" borderId="2" xfId="0" applyNumberFormat="1" applyFont="1" applyBorder="1"/>
    <xf numFmtId="171" fontId="1" fillId="0" borderId="3" xfId="0" applyNumberFormat="1" applyFont="1" applyBorder="1"/>
    <xf numFmtId="171" fontId="1" fillId="0" borderId="4" xfId="0" applyNumberFormat="1" applyFont="1" applyBorder="1"/>
    <xf numFmtId="177" fontId="0" fillId="0" borderId="0" xfId="0" applyNumberFormat="1"/>
    <xf numFmtId="173" fontId="0" fillId="0" borderId="2" xfId="0" applyNumberFormat="1" applyBorder="1" applyAlignment="1">
      <alignment horizontal="right"/>
    </xf>
    <xf numFmtId="173" fontId="1" fillId="0" borderId="5" xfId="0" applyNumberFormat="1" applyFont="1" applyBorder="1"/>
    <xf numFmtId="171" fontId="0" fillId="0" borderId="1" xfId="0" applyNumberFormat="1" applyBorder="1"/>
    <xf numFmtId="171" fontId="0" fillId="0" borderId="6" xfId="0" applyNumberFormat="1" applyBorder="1"/>
    <xf numFmtId="171" fontId="0" fillId="0" borderId="3" xfId="0" applyNumberFormat="1" applyBorder="1"/>
    <xf numFmtId="171" fontId="5" fillId="0" borderId="1" xfId="0" applyNumberFormat="1" applyFont="1" applyBorder="1"/>
    <xf numFmtId="171" fontId="0" fillId="0" borderId="0" xfId="0" applyNumberFormat="1" applyAlignment="1">
      <alignment horizontal="right"/>
    </xf>
    <xf numFmtId="171" fontId="0" fillId="0" borderId="2" xfId="0" applyNumberFormat="1" applyBorder="1" applyAlignment="1">
      <alignment horizontal="right"/>
    </xf>
    <xf numFmtId="171" fontId="1" fillId="0" borderId="1" xfId="0" applyNumberFormat="1" applyFont="1" applyBorder="1"/>
    <xf numFmtId="171" fontId="7" fillId="0" borderId="1" xfId="0" applyNumberFormat="1" applyFont="1" applyBorder="1"/>
    <xf numFmtId="171" fontId="6" fillId="0" borderId="0" xfId="0" applyNumberFormat="1" applyFont="1"/>
    <xf numFmtId="176" fontId="0" fillId="0" borderId="0" xfId="0" applyNumberFormat="1" applyAlignment="1">
      <alignment horizontal="right"/>
    </xf>
    <xf numFmtId="176" fontId="0" fillId="0" borderId="2" xfId="0" applyNumberFormat="1" applyBorder="1" applyAlignment="1">
      <alignment horizontal="right"/>
    </xf>
    <xf numFmtId="173" fontId="0" fillId="0" borderId="3" xfId="0" applyNumberFormat="1" applyBorder="1" applyAlignment="1">
      <alignment horizontal="right"/>
    </xf>
    <xf numFmtId="173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175" fontId="0" fillId="0" borderId="0" xfId="0" applyNumberFormat="1"/>
    <xf numFmtId="0" fontId="0" fillId="0" borderId="7" xfId="0" applyBorder="1"/>
    <xf numFmtId="0" fontId="8" fillId="0" borderId="0" xfId="0" applyFont="1"/>
    <xf numFmtId="183" fontId="0" fillId="0" borderId="0" xfId="0" applyNumberFormat="1"/>
    <xf numFmtId="183" fontId="0" fillId="0" borderId="2" xfId="0" applyNumberFormat="1" applyBorder="1"/>
    <xf numFmtId="183" fontId="9" fillId="0" borderId="0" xfId="0" applyNumberFormat="1" applyFont="1"/>
    <xf numFmtId="183" fontId="9" fillId="0" borderId="2" xfId="0" applyNumberFormat="1" applyFont="1" applyBorder="1"/>
    <xf numFmtId="0" fontId="1" fillId="0" borderId="5" xfId="0" applyFont="1" applyBorder="1"/>
    <xf numFmtId="183" fontId="1" fillId="0" borderId="8" xfId="0" applyNumberFormat="1" applyFont="1" applyBorder="1"/>
    <xf numFmtId="183" fontId="1" fillId="0" borderId="9" xfId="0" applyNumberFormat="1" applyFont="1" applyBorder="1"/>
    <xf numFmtId="0" fontId="0" fillId="0" borderId="6" xfId="0" applyBorder="1"/>
    <xf numFmtId="183" fontId="0" fillId="0" borderId="3" xfId="0" applyNumberFormat="1" applyBorder="1"/>
    <xf numFmtId="183" fontId="1" fillId="0" borderId="10" xfId="0" applyNumberFormat="1" applyFont="1" applyBorder="1"/>
    <xf numFmtId="0" fontId="1" fillId="0" borderId="6" xfId="0" applyFont="1" applyBorder="1"/>
    <xf numFmtId="183" fontId="1" fillId="0" borderId="3" xfId="0" applyNumberFormat="1" applyFont="1" applyBorder="1"/>
    <xf numFmtId="183" fontId="1" fillId="0" borderId="4" xfId="0" applyNumberFormat="1" applyFont="1" applyBorder="1"/>
    <xf numFmtId="0" fontId="0" fillId="0" borderId="2" xfId="0" applyBorder="1" applyAlignment="1">
      <alignment horizontal="right"/>
    </xf>
    <xf numFmtId="183" fontId="0" fillId="0" borderId="4" xfId="0" applyNumberFormat="1" applyBorder="1"/>
    <xf numFmtId="177" fontId="0" fillId="0" borderId="2" xfId="0" applyNumberFormat="1" applyBorder="1"/>
    <xf numFmtId="177" fontId="9" fillId="0" borderId="0" xfId="0" applyNumberFormat="1" applyFont="1"/>
    <xf numFmtId="177" fontId="9" fillId="0" borderId="2" xfId="0" applyNumberFormat="1" applyFont="1" applyBorder="1"/>
    <xf numFmtId="0" fontId="1" fillId="0" borderId="1" xfId="0" applyFont="1" applyBorder="1"/>
    <xf numFmtId="0" fontId="1" fillId="0" borderId="0" xfId="0" applyFont="1"/>
    <xf numFmtId="177" fontId="1" fillId="0" borderId="0" xfId="0" applyNumberFormat="1" applyFont="1"/>
    <xf numFmtId="177" fontId="1" fillId="0" borderId="2" xfId="0" applyNumberFormat="1" applyFont="1" applyBorder="1"/>
    <xf numFmtId="0" fontId="0" fillId="0" borderId="5" xfId="0" applyBorder="1"/>
    <xf numFmtId="0" fontId="0" fillId="0" borderId="8" xfId="0" applyBorder="1"/>
    <xf numFmtId="177" fontId="0" fillId="0" borderId="8" xfId="0" applyNumberFormat="1" applyBorder="1"/>
    <xf numFmtId="177" fontId="0" fillId="0" borderId="9" xfId="0" applyNumberFormat="1" applyBorder="1"/>
    <xf numFmtId="177" fontId="1" fillId="0" borderId="3" xfId="0" applyNumberFormat="1" applyFont="1" applyBorder="1"/>
    <xf numFmtId="177" fontId="1" fillId="0" borderId="4" xfId="0" applyNumberFormat="1" applyFont="1" applyBorder="1"/>
    <xf numFmtId="183" fontId="1" fillId="0" borderId="0" xfId="0" applyNumberFormat="1" applyFont="1"/>
    <xf numFmtId="0" fontId="1" fillId="0" borderId="3" xfId="0" applyFont="1" applyBorder="1"/>
    <xf numFmtId="170" fontId="1" fillId="0" borderId="0" xfId="0" applyNumberFormat="1" applyFont="1"/>
    <xf numFmtId="175" fontId="0" fillId="0" borderId="1" xfId="0" applyNumberFormat="1" applyBorder="1"/>
    <xf numFmtId="175" fontId="1" fillId="0" borderId="6" xfId="0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/>
    <xf numFmtId="175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5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5" fontId="0" fillId="0" borderId="6" xfId="0" applyNumberFormat="1" applyBorder="1"/>
    <xf numFmtId="170" fontId="0" fillId="0" borderId="4" xfId="0" applyNumberFormat="1" applyBorder="1" applyAlignment="1">
      <alignment horizontal="center"/>
    </xf>
    <xf numFmtId="170" fontId="0" fillId="0" borderId="0" xfId="0" applyNumberFormat="1"/>
    <xf numFmtId="175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84" fontId="0" fillId="0" borderId="0" xfId="0" applyNumberFormat="1"/>
    <xf numFmtId="184" fontId="0" fillId="0" borderId="3" xfId="0" applyNumberFormat="1" applyBorder="1"/>
    <xf numFmtId="15" fontId="0" fillId="0" borderId="0" xfId="0" applyNumberFormat="1"/>
    <xf numFmtId="0" fontId="14" fillId="0" borderId="0" xfId="0" applyFont="1" applyProtection="1"/>
    <xf numFmtId="0" fontId="0" fillId="0" borderId="0" xfId="0" applyBorder="1"/>
    <xf numFmtId="175" fontId="0" fillId="0" borderId="11" xfId="0" applyNumberFormat="1" applyBorder="1"/>
    <xf numFmtId="175" fontId="0" fillId="0" borderId="12" xfId="0" applyNumberFormat="1" applyBorder="1"/>
    <xf numFmtId="171" fontId="4" fillId="0" borderId="12" xfId="0" applyNumberFormat="1" applyFont="1" applyBorder="1"/>
    <xf numFmtId="171" fontId="11" fillId="0" borderId="3" xfId="0" applyNumberFormat="1" applyFont="1" applyBorder="1" applyProtection="1"/>
    <xf numFmtId="171" fontId="11" fillId="0" borderId="4" xfId="0" applyNumberFormat="1" applyFont="1" applyBorder="1" applyProtection="1"/>
    <xf numFmtId="180" fontId="16" fillId="0" borderId="0" xfId="0" applyNumberFormat="1" applyFont="1" applyAlignment="1">
      <alignment horizontal="right"/>
    </xf>
    <xf numFmtId="180" fontId="16" fillId="0" borderId="2" xfId="0" applyNumberFormat="1" applyFont="1" applyBorder="1" applyAlignment="1">
      <alignment horizontal="right"/>
    </xf>
    <xf numFmtId="180" fontId="16" fillId="0" borderId="0" xfId="0" quotePrefix="1" applyNumberFormat="1" applyFont="1" applyAlignment="1">
      <alignment horizontal="left"/>
    </xf>
    <xf numFmtId="0" fontId="0" fillId="0" borderId="11" xfId="0" applyBorder="1"/>
    <xf numFmtId="0" fontId="0" fillId="0" borderId="12" xfId="0" applyBorder="1"/>
    <xf numFmtId="171" fontId="0" fillId="0" borderId="11" xfId="0" applyNumberFormat="1" applyBorder="1"/>
    <xf numFmtId="171" fontId="0" fillId="0" borderId="0" xfId="0" applyNumberFormat="1" applyBorder="1"/>
    <xf numFmtId="171" fontId="0" fillId="0" borderId="12" xfId="0" applyNumberFormat="1" applyBorder="1"/>
    <xf numFmtId="171" fontId="18" fillId="0" borderId="0" xfId="0" applyNumberFormat="1" applyFont="1" applyBorder="1"/>
    <xf numFmtId="0" fontId="0" fillId="0" borderId="13" xfId="0" applyBorder="1"/>
    <xf numFmtId="0" fontId="0" fillId="0" borderId="14" xfId="0" applyBorder="1"/>
    <xf numFmtId="171" fontId="18" fillId="0" borderId="0" xfId="0" applyNumberFormat="1" applyFont="1"/>
    <xf numFmtId="183" fontId="0" fillId="0" borderId="3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1" xfId="0" applyFont="1" applyBorder="1"/>
    <xf numFmtId="177" fontId="1" fillId="0" borderId="0" xfId="0" applyNumberFormat="1" applyFont="1" applyBorder="1"/>
    <xf numFmtId="177" fontId="1" fillId="0" borderId="12" xfId="0" applyNumberFormat="1" applyFont="1" applyBorder="1"/>
    <xf numFmtId="177" fontId="9" fillId="0" borderId="0" xfId="0" applyNumberFormat="1" applyFont="1" applyBorder="1"/>
    <xf numFmtId="177" fontId="9" fillId="0" borderId="12" xfId="0" applyNumberFormat="1" applyFont="1" applyBorder="1"/>
    <xf numFmtId="0" fontId="1" fillId="0" borderId="13" xfId="0" applyFont="1" applyBorder="1"/>
    <xf numFmtId="177" fontId="1" fillId="0" borderId="14" xfId="0" applyNumberFormat="1" applyFont="1" applyBorder="1"/>
    <xf numFmtId="177" fontId="1" fillId="0" borderId="15" xfId="0" applyNumberFormat="1" applyFont="1" applyBorder="1"/>
    <xf numFmtId="173" fontId="1" fillId="0" borderId="1" xfId="0" quotePrefix="1" applyNumberFormat="1" applyFont="1" applyBorder="1" applyAlignment="1">
      <alignment horizontal="left"/>
    </xf>
    <xf numFmtId="171" fontId="11" fillId="0" borderId="0" xfId="0" applyNumberFormat="1" applyFont="1"/>
    <xf numFmtId="173" fontId="14" fillId="2" borderId="10" xfId="0" applyNumberFormat="1" applyFont="1" applyFill="1" applyBorder="1" applyProtection="1"/>
    <xf numFmtId="173" fontId="14" fillId="2" borderId="16" xfId="0" applyNumberFormat="1" applyFont="1" applyFill="1" applyBorder="1" applyProtection="1"/>
    <xf numFmtId="173" fontId="14" fillId="2" borderId="17" xfId="0" applyNumberFormat="1" applyFont="1" applyFill="1" applyBorder="1" applyProtection="1"/>
    <xf numFmtId="173" fontId="14" fillId="2" borderId="1" xfId="0" applyNumberFormat="1" applyFont="1" applyFill="1" applyBorder="1" applyProtection="1"/>
    <xf numFmtId="173" fontId="14" fillId="2" borderId="0" xfId="0" applyNumberFormat="1" applyFont="1" applyFill="1" applyProtection="1"/>
    <xf numFmtId="173" fontId="14" fillId="2" borderId="2" xfId="0" applyNumberFormat="1" applyFont="1" applyFill="1" applyBorder="1" applyProtection="1"/>
    <xf numFmtId="173" fontId="14" fillId="2" borderId="0" xfId="0" quotePrefix="1" applyNumberFormat="1" applyFont="1" applyFill="1" applyBorder="1" applyAlignment="1" applyProtection="1">
      <alignment horizontal="left"/>
    </xf>
    <xf numFmtId="173" fontId="14" fillId="2" borderId="18" xfId="0" applyNumberFormat="1" applyFont="1" applyFill="1" applyBorder="1" applyProtection="1"/>
    <xf numFmtId="173" fontId="14" fillId="2" borderId="1" xfId="0" quotePrefix="1" applyNumberFormat="1" applyFont="1" applyFill="1" applyBorder="1" applyAlignment="1" applyProtection="1">
      <alignment horizontal="left"/>
    </xf>
    <xf numFmtId="173" fontId="14" fillId="2" borderId="19" xfId="0" applyNumberFormat="1" applyFont="1" applyFill="1" applyBorder="1" applyProtection="1"/>
    <xf numFmtId="173" fontId="14" fillId="2" borderId="9" xfId="0" applyNumberFormat="1" applyFont="1" applyFill="1" applyBorder="1" applyProtection="1"/>
    <xf numFmtId="173" fontId="14" fillId="2" borderId="20" xfId="0" applyNumberFormat="1" applyFont="1" applyFill="1" applyBorder="1" applyProtection="1"/>
    <xf numFmtId="173" fontId="14" fillId="2" borderId="6" xfId="0" applyNumberFormat="1" applyFont="1" applyFill="1" applyBorder="1" applyProtection="1"/>
    <xf numFmtId="173" fontId="14" fillId="2" borderId="3" xfId="0" applyNumberFormat="1" applyFont="1" applyFill="1" applyBorder="1" applyProtection="1"/>
    <xf numFmtId="173" fontId="14" fillId="2" borderId="4" xfId="0" applyNumberFormat="1" applyFont="1" applyFill="1" applyBorder="1" applyProtection="1"/>
    <xf numFmtId="171" fontId="16" fillId="0" borderId="12" xfId="0" quotePrefix="1" applyNumberFormat="1" applyFont="1" applyBorder="1" applyAlignment="1">
      <alignment horizontal="right"/>
    </xf>
    <xf numFmtId="171" fontId="16" fillId="0" borderId="0" xfId="0" quotePrefix="1" applyNumberFormat="1" applyFont="1" applyAlignment="1">
      <alignment horizontal="right"/>
    </xf>
    <xf numFmtId="0" fontId="26" fillId="0" borderId="0" xfId="0" applyFont="1"/>
    <xf numFmtId="0" fontId="26" fillId="0" borderId="21" xfId="0" applyFont="1" applyBorder="1" applyAlignment="1">
      <alignment horizontal="right"/>
    </xf>
    <xf numFmtId="0" fontId="26" fillId="0" borderId="22" xfId="0" applyFont="1" applyBorder="1" applyAlignment="1">
      <alignment horizontal="left"/>
    </xf>
    <xf numFmtId="0" fontId="26" fillId="0" borderId="0" xfId="0" applyFont="1" applyFill="1" applyBorder="1"/>
    <xf numFmtId="0" fontId="30" fillId="0" borderId="23" xfId="0" applyFont="1" applyBorder="1" applyAlignment="1">
      <alignment horizontal="centerContinuous"/>
    </xf>
    <xf numFmtId="0" fontId="30" fillId="0" borderId="24" xfId="0" applyFont="1" applyBorder="1" applyAlignment="1">
      <alignment horizontal="centerContinuous"/>
    </xf>
    <xf numFmtId="0" fontId="26" fillId="0" borderId="11" xfId="0" applyFont="1" applyBorder="1"/>
    <xf numFmtId="0" fontId="26" fillId="0" borderId="0" xfId="0" applyFont="1" applyBorder="1"/>
    <xf numFmtId="0" fontId="26" fillId="0" borderId="12" xfId="0" applyFont="1" applyBorder="1"/>
    <xf numFmtId="0" fontId="29" fillId="0" borderId="11" xfId="0" applyFont="1" applyBorder="1"/>
    <xf numFmtId="0" fontId="29" fillId="0" borderId="0" xfId="0" applyFont="1" applyBorder="1"/>
    <xf numFmtId="0" fontId="28" fillId="0" borderId="0" xfId="0" applyFont="1" applyBorder="1"/>
    <xf numFmtId="0" fontId="26" fillId="0" borderId="0" xfId="0" applyFont="1" applyBorder="1" applyAlignment="1">
      <alignment horizontal="right"/>
    </xf>
    <xf numFmtId="0" fontId="26" fillId="0" borderId="0" xfId="0" applyFont="1" applyBorder="1" applyAlignment="1">
      <alignment horizontal="left"/>
    </xf>
    <xf numFmtId="0" fontId="26" fillId="0" borderId="11" xfId="0" applyFont="1" applyFill="1" applyBorder="1"/>
    <xf numFmtId="0" fontId="26" fillId="0" borderId="14" xfId="0" applyFont="1" applyBorder="1"/>
    <xf numFmtId="0" fontId="26" fillId="0" borderId="15" xfId="0" applyFont="1" applyBorder="1"/>
    <xf numFmtId="0" fontId="30" fillId="0" borderId="23" xfId="0" applyFont="1" applyBorder="1" applyAlignment="1">
      <alignment horizontal="left"/>
    </xf>
    <xf numFmtId="0" fontId="0" fillId="0" borderId="25" xfId="0" applyBorder="1"/>
    <xf numFmtId="0" fontId="28" fillId="0" borderId="11" xfId="0" applyFont="1" applyBorder="1"/>
    <xf numFmtId="0" fontId="26" fillId="3" borderId="0" xfId="0" applyFont="1" applyFill="1"/>
    <xf numFmtId="0" fontId="30" fillId="3" borderId="0" xfId="0" applyFont="1" applyFill="1" applyAlignment="1">
      <alignment horizontal="centerContinuous"/>
    </xf>
    <xf numFmtId="0" fontId="30" fillId="0" borderId="23" xfId="0" applyFont="1" applyBorder="1" applyAlignment="1" applyProtection="1">
      <alignment horizontal="centerContinuous"/>
    </xf>
    <xf numFmtId="0" fontId="26" fillId="0" borderId="0" xfId="0" quotePrefix="1" applyFont="1" applyBorder="1"/>
    <xf numFmtId="0" fontId="31" fillId="4" borderId="26" xfId="0" applyFont="1" applyFill="1" applyBorder="1" applyProtection="1">
      <protection locked="0"/>
    </xf>
    <xf numFmtId="0" fontId="31" fillId="4" borderId="26" xfId="0" applyFont="1" applyFill="1" applyBorder="1" applyAlignment="1" applyProtection="1">
      <alignment horizontal="center"/>
      <protection locked="0"/>
    </xf>
    <xf numFmtId="0" fontId="31" fillId="4" borderId="27" xfId="0" applyFont="1" applyFill="1" applyBorder="1" applyAlignment="1" applyProtection="1">
      <alignment horizontal="center"/>
      <protection locked="0"/>
    </xf>
    <xf numFmtId="0" fontId="19" fillId="0" borderId="0" xfId="0" applyFont="1" applyBorder="1"/>
    <xf numFmtId="0" fontId="26" fillId="0" borderId="11" xfId="0" applyFont="1" applyBorder="1" applyProtection="1">
      <protection locked="0"/>
    </xf>
    <xf numFmtId="0" fontId="31" fillId="4" borderId="26" xfId="0" applyFont="1" applyFill="1" applyBorder="1" applyAlignment="1" applyProtection="1">
      <alignment horizontal="centerContinuous"/>
      <protection locked="0"/>
    </xf>
    <xf numFmtId="0" fontId="31" fillId="4" borderId="28" xfId="0" applyFont="1" applyFill="1" applyBorder="1" applyAlignment="1" applyProtection="1">
      <alignment horizontal="centerContinuous"/>
      <protection locked="0"/>
    </xf>
    <xf numFmtId="0" fontId="32" fillId="4" borderId="26" xfId="0" applyFont="1" applyFill="1" applyBorder="1" applyAlignment="1" applyProtection="1">
      <alignment horizontal="centerContinuous"/>
      <protection locked="0"/>
    </xf>
    <xf numFmtId="0" fontId="29" fillId="0" borderId="0" xfId="0" applyFont="1" applyBorder="1" applyAlignment="1">
      <alignment horizontal="right"/>
    </xf>
    <xf numFmtId="0" fontId="31" fillId="4" borderId="29" xfId="0" applyFont="1" applyFill="1" applyBorder="1" applyAlignment="1" applyProtection="1">
      <alignment horizontal="centerContinuous"/>
      <protection locked="0"/>
    </xf>
    <xf numFmtId="2" fontId="26" fillId="0" borderId="0" xfId="0" applyNumberFormat="1" applyFont="1" applyBorder="1"/>
    <xf numFmtId="2" fontId="27" fillId="0" borderId="0" xfId="0" applyNumberFormat="1" applyFont="1" applyBorder="1"/>
    <xf numFmtId="2" fontId="33" fillId="0" borderId="0" xfId="0" quotePrefix="1" applyNumberFormat="1" applyFont="1" applyFill="1" applyBorder="1" applyAlignment="1" applyProtection="1">
      <alignment horizontal="right"/>
    </xf>
    <xf numFmtId="173" fontId="12" fillId="4" borderId="30" xfId="0" applyNumberFormat="1" applyFont="1" applyFill="1" applyBorder="1" applyProtection="1">
      <protection locked="0"/>
    </xf>
    <xf numFmtId="173" fontId="12" fillId="4" borderId="31" xfId="0" applyNumberFormat="1" applyFont="1" applyFill="1" applyBorder="1" applyProtection="1">
      <protection locked="0"/>
    </xf>
    <xf numFmtId="1" fontId="1" fillId="5" borderId="16" xfId="0" applyNumberFormat="1" applyFont="1" applyFill="1" applyBorder="1" applyAlignment="1">
      <alignment horizontal="right"/>
    </xf>
    <xf numFmtId="1" fontId="1" fillId="5" borderId="17" xfId="0" applyNumberFormat="1" applyFont="1" applyFill="1" applyBorder="1" applyAlignment="1">
      <alignment horizontal="right"/>
    </xf>
    <xf numFmtId="171" fontId="1" fillId="5" borderId="32" xfId="0" applyNumberFormat="1" applyFont="1" applyFill="1" applyBorder="1" applyAlignment="1">
      <alignment horizontal="center"/>
    </xf>
    <xf numFmtId="171" fontId="1" fillId="5" borderId="3" xfId="0" applyNumberFormat="1" applyFont="1" applyFill="1" applyBorder="1" applyAlignment="1">
      <alignment horizontal="right"/>
    </xf>
    <xf numFmtId="171" fontId="1" fillId="5" borderId="10" xfId="0" applyNumberFormat="1" applyFont="1" applyFill="1" applyBorder="1" applyAlignment="1">
      <alignment horizontal="center"/>
    </xf>
    <xf numFmtId="171" fontId="1" fillId="5" borderId="6" xfId="0" applyNumberFormat="1" applyFont="1" applyFill="1" applyBorder="1" applyAlignment="1">
      <alignment horizontal="center"/>
    </xf>
    <xf numFmtId="171" fontId="23" fillId="5" borderId="33" xfId="0" applyNumberFormat="1" applyFont="1" applyFill="1" applyBorder="1" applyAlignment="1" applyProtection="1">
      <alignment horizontal="centerContinuous"/>
    </xf>
    <xf numFmtId="173" fontId="14" fillId="5" borderId="34" xfId="0" applyNumberFormat="1" applyFont="1" applyFill="1" applyBorder="1" applyAlignment="1" applyProtection="1">
      <alignment horizontal="centerContinuous"/>
    </xf>
    <xf numFmtId="173" fontId="14" fillId="5" borderId="35" xfId="0" applyNumberFormat="1" applyFont="1" applyFill="1" applyBorder="1" applyAlignment="1" applyProtection="1">
      <alignment horizontal="centerContinuous"/>
    </xf>
    <xf numFmtId="173" fontId="22" fillId="5" borderId="10" xfId="0" applyNumberFormat="1" applyFont="1" applyFill="1" applyBorder="1" applyAlignment="1" applyProtection="1">
      <alignment horizontal="centerContinuous"/>
    </xf>
    <xf numFmtId="173" fontId="24" fillId="5" borderId="16" xfId="0" applyNumberFormat="1" applyFont="1" applyFill="1" applyBorder="1" applyAlignment="1" applyProtection="1">
      <alignment horizontal="centerContinuous"/>
    </xf>
    <xf numFmtId="173" fontId="24" fillId="5" borderId="17" xfId="0" applyNumberFormat="1" applyFont="1" applyFill="1" applyBorder="1" applyAlignment="1" applyProtection="1">
      <alignment horizontal="centerContinuous"/>
    </xf>
    <xf numFmtId="173" fontId="24" fillId="5" borderId="6" xfId="0" applyNumberFormat="1" applyFont="1" applyFill="1" applyBorder="1" applyAlignment="1" applyProtection="1">
      <alignment horizontal="center"/>
    </xf>
    <xf numFmtId="173" fontId="24" fillId="5" borderId="3" xfId="0" applyNumberFormat="1" applyFont="1" applyFill="1" applyBorder="1" applyAlignment="1" applyProtection="1">
      <alignment horizontal="center" vertical="top"/>
    </xf>
    <xf numFmtId="0" fontId="24" fillId="5" borderId="4" xfId="0" applyFont="1" applyFill="1" applyBorder="1" applyAlignment="1" applyProtection="1">
      <alignment horizontal="center"/>
    </xf>
    <xf numFmtId="172" fontId="12" fillId="4" borderId="36" xfId="0" applyNumberFormat="1" applyFont="1" applyFill="1" applyBorder="1" applyAlignment="1" applyProtection="1">
      <alignment horizontal="right"/>
      <protection locked="0"/>
    </xf>
    <xf numFmtId="172" fontId="12" fillId="4" borderId="30" xfId="0" applyNumberFormat="1" applyFont="1" applyFill="1" applyBorder="1" applyAlignment="1" applyProtection="1">
      <alignment horizontal="right"/>
      <protection locked="0"/>
    </xf>
    <xf numFmtId="181" fontId="12" fillId="4" borderId="30" xfId="0" quotePrefix="1" applyNumberFormat="1" applyFont="1" applyFill="1" applyBorder="1" applyAlignment="1" applyProtection="1">
      <alignment horizontal="right"/>
      <protection locked="0"/>
    </xf>
    <xf numFmtId="181" fontId="12" fillId="4" borderId="30" xfId="0" applyNumberFormat="1" applyFont="1" applyFill="1" applyBorder="1" applyAlignment="1" applyProtection="1">
      <alignment horizontal="right"/>
      <protection locked="0"/>
    </xf>
    <xf numFmtId="171" fontId="12" fillId="4" borderId="30" xfId="0" applyNumberFormat="1" applyFont="1" applyFill="1" applyBorder="1" applyProtection="1">
      <protection locked="0"/>
    </xf>
    <xf numFmtId="173" fontId="12" fillId="4" borderId="37" xfId="0" applyNumberFormat="1" applyFont="1" applyFill="1" applyBorder="1" applyProtection="1">
      <protection locked="0"/>
    </xf>
    <xf numFmtId="0" fontId="1" fillId="5" borderId="10" xfId="0" applyFont="1" applyFill="1" applyBorder="1" applyAlignment="1">
      <alignment horizontal="center"/>
    </xf>
    <xf numFmtId="0" fontId="1" fillId="5" borderId="16" xfId="0" quotePrefix="1" applyFont="1" applyFill="1" applyBorder="1" applyAlignment="1">
      <alignment horizontal="centerContinuous"/>
    </xf>
    <xf numFmtId="0" fontId="1" fillId="5" borderId="16" xfId="0" applyFont="1" applyFill="1" applyBorder="1" applyAlignment="1">
      <alignment horizontal="centerContinuous"/>
    </xf>
    <xf numFmtId="0" fontId="1" fillId="5" borderId="16" xfId="0" applyFont="1" applyFill="1" applyBorder="1"/>
    <xf numFmtId="0" fontId="1" fillId="5" borderId="17" xfId="0" applyFont="1" applyFill="1" applyBorder="1" applyAlignment="1">
      <alignment horizontal="right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right"/>
    </xf>
    <xf numFmtId="0" fontId="1" fillId="5" borderId="9" xfId="0" applyFont="1" applyFill="1" applyBorder="1" applyAlignment="1">
      <alignment horizontal="right"/>
    </xf>
    <xf numFmtId="0" fontId="0" fillId="5" borderId="10" xfId="0" applyFill="1" applyBorder="1"/>
    <xf numFmtId="0" fontId="1" fillId="5" borderId="16" xfId="0" applyFont="1" applyFill="1" applyBorder="1" applyAlignment="1">
      <alignment horizontal="right"/>
    </xf>
    <xf numFmtId="0" fontId="1" fillId="5" borderId="17" xfId="0" applyFont="1" applyFill="1" applyBorder="1" applyAlignment="1">
      <alignment horizontal="centerContinuous"/>
    </xf>
    <xf numFmtId="0" fontId="1" fillId="5" borderId="16" xfId="0" applyFont="1" applyFill="1" applyBorder="1" applyAlignment="1">
      <alignment horizontal="left"/>
    </xf>
    <xf numFmtId="0" fontId="0" fillId="5" borderId="16" xfId="0" applyFill="1" applyBorder="1"/>
    <xf numFmtId="0" fontId="0" fillId="5" borderId="8" xfId="0" applyFill="1" applyBorder="1"/>
    <xf numFmtId="0" fontId="11" fillId="5" borderId="5" xfId="0" applyFont="1" applyFill="1" applyBorder="1" applyAlignment="1" applyProtection="1">
      <alignment horizontal="center"/>
    </xf>
    <xf numFmtId="0" fontId="1" fillId="5" borderId="16" xfId="0" quotePrefix="1" applyFont="1" applyFill="1" applyBorder="1" applyAlignment="1">
      <alignment horizontal="left"/>
    </xf>
    <xf numFmtId="0" fontId="18" fillId="5" borderId="16" xfId="0" applyFont="1" applyFill="1" applyBorder="1"/>
    <xf numFmtId="0" fontId="1" fillId="5" borderId="5" xfId="0" applyFont="1" applyFill="1" applyBorder="1" applyAlignment="1">
      <alignment horizontal="left"/>
    </xf>
    <xf numFmtId="0" fontId="1" fillId="5" borderId="38" xfId="0" applyFont="1" applyFill="1" applyBorder="1" applyAlignment="1">
      <alignment horizontal="right"/>
    </xf>
    <xf numFmtId="0" fontId="1" fillId="5" borderId="39" xfId="0" applyFont="1" applyFill="1" applyBorder="1"/>
    <xf numFmtId="0" fontId="1" fillId="5" borderId="39" xfId="0" applyFont="1" applyFill="1" applyBorder="1" applyAlignment="1">
      <alignment horizontal="right"/>
    </xf>
    <xf numFmtId="0" fontId="1" fillId="5" borderId="40" xfId="0" applyFont="1" applyFill="1" applyBorder="1" applyAlignment="1">
      <alignment horizontal="right"/>
    </xf>
    <xf numFmtId="0" fontId="1" fillId="5" borderId="38" xfId="0" applyFont="1" applyFill="1" applyBorder="1" applyAlignment="1">
      <alignment horizontal="centerContinuous"/>
    </xf>
    <xf numFmtId="0" fontId="1" fillId="5" borderId="38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Continuous"/>
    </xf>
    <xf numFmtId="0" fontId="1" fillId="5" borderId="40" xfId="0" applyFont="1" applyFill="1" applyBorder="1" applyAlignment="1">
      <alignment horizontal="centerContinuous"/>
    </xf>
    <xf numFmtId="0" fontId="1" fillId="5" borderId="10" xfId="0" applyFont="1" applyFill="1" applyBorder="1"/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8" xfId="0" applyFont="1" applyFill="1" applyBorder="1"/>
    <xf numFmtId="0" fontId="1" fillId="5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Continuous"/>
    </xf>
    <xf numFmtId="0" fontId="1" fillId="5" borderId="9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right"/>
    </xf>
    <xf numFmtId="0" fontId="1" fillId="5" borderId="24" xfId="0" applyFont="1" applyFill="1" applyBorder="1" applyAlignment="1">
      <alignment horizontal="right"/>
    </xf>
    <xf numFmtId="0" fontId="1" fillId="5" borderId="41" xfId="0" applyFont="1" applyFill="1" applyBorder="1"/>
    <xf numFmtId="0" fontId="1" fillId="5" borderId="42" xfId="0" applyFont="1" applyFill="1" applyBorder="1" applyAlignment="1">
      <alignment horizontal="right"/>
    </xf>
    <xf numFmtId="0" fontId="1" fillId="5" borderId="5" xfId="0" applyFont="1" applyFill="1" applyBorder="1"/>
    <xf numFmtId="0" fontId="34" fillId="0" borderId="11" xfId="0" applyFont="1" applyBorder="1"/>
    <xf numFmtId="0" fontId="20" fillId="0" borderId="0" xfId="0" applyFont="1" applyBorder="1"/>
    <xf numFmtId="0" fontId="14" fillId="0" borderId="11" xfId="0" applyFont="1" applyBorder="1"/>
    <xf numFmtId="0" fontId="35" fillId="0" borderId="11" xfId="0" applyFont="1" applyBorder="1"/>
    <xf numFmtId="173" fontId="0" fillId="0" borderId="0" xfId="0" applyNumberFormat="1" applyBorder="1" applyAlignment="1">
      <alignment horizontal="right"/>
    </xf>
    <xf numFmtId="0" fontId="0" fillId="0" borderId="0" xfId="0" quotePrefix="1"/>
    <xf numFmtId="171" fontId="1" fillId="0" borderId="0" xfId="0" applyNumberFormat="1" applyFont="1" applyBorder="1"/>
    <xf numFmtId="171" fontId="4" fillId="0" borderId="0" xfId="0" applyNumberFormat="1" applyFont="1" applyBorder="1"/>
    <xf numFmtId="171" fontId="1" fillId="0" borderId="12" xfId="0" applyNumberFormat="1" applyFont="1" applyBorder="1"/>
    <xf numFmtId="0" fontId="28" fillId="0" borderId="0" xfId="0" applyFont="1" applyBorder="1" applyAlignment="1">
      <alignment horizontal="centerContinuous"/>
    </xf>
    <xf numFmtId="173" fontId="14" fillId="2" borderId="2" xfId="0" applyNumberFormat="1" applyFont="1" applyFill="1" applyBorder="1" applyAlignment="1" applyProtection="1">
      <alignment horizontal="left"/>
    </xf>
    <xf numFmtId="173" fontId="24" fillId="5" borderId="3" xfId="0" applyNumberFormat="1" applyFont="1" applyFill="1" applyBorder="1" applyAlignment="1" applyProtection="1">
      <alignment horizontal="left"/>
    </xf>
    <xf numFmtId="0" fontId="1" fillId="0" borderId="0" xfId="0" applyFont="1" applyBorder="1"/>
    <xf numFmtId="183" fontId="1" fillId="0" borderId="0" xfId="0" applyNumberFormat="1" applyFont="1" applyBorder="1"/>
    <xf numFmtId="183" fontId="0" fillId="0" borderId="0" xfId="0" applyNumberFormat="1" applyBorder="1"/>
    <xf numFmtId="0" fontId="17" fillId="0" borderId="1" xfId="0" applyFont="1" applyBorder="1"/>
    <xf numFmtId="0" fontId="31" fillId="4" borderId="43" xfId="0" applyFont="1" applyFill="1" applyBorder="1" applyAlignment="1" applyProtection="1">
      <alignment horizontal="centerContinuous"/>
      <protection locked="0"/>
    </xf>
    <xf numFmtId="0" fontId="29" fillId="0" borderId="11" xfId="0" applyFont="1" applyBorder="1" applyProtection="1"/>
    <xf numFmtId="0" fontId="31" fillId="0" borderId="0" xfId="0" applyFont="1" applyFill="1" applyBorder="1" applyAlignment="1" applyProtection="1">
      <alignment horizontal="centerContinuous"/>
    </xf>
    <xf numFmtId="0" fontId="29" fillId="0" borderId="11" xfId="0" applyFont="1" applyFill="1" applyBorder="1" applyProtection="1"/>
    <xf numFmtId="173" fontId="24" fillId="5" borderId="3" xfId="0" quotePrefix="1" applyNumberFormat="1" applyFont="1" applyFill="1" applyBorder="1" applyAlignment="1" applyProtection="1">
      <alignment horizontal="left"/>
    </xf>
    <xf numFmtId="173" fontId="14" fillId="2" borderId="44" xfId="0" applyNumberFormat="1" applyFont="1" applyFill="1" applyBorder="1" applyProtection="1"/>
    <xf numFmtId="171" fontId="14" fillId="2" borderId="44" xfId="0" applyNumberFormat="1" applyFont="1" applyFill="1" applyBorder="1" applyProtection="1"/>
    <xf numFmtId="171" fontId="36" fillId="0" borderId="0" xfId="0" applyNumberFormat="1" applyFont="1"/>
    <xf numFmtId="171" fontId="14" fillId="0" borderId="0" xfId="0" applyNumberFormat="1" applyFont="1"/>
    <xf numFmtId="171" fontId="11" fillId="0" borderId="12" xfId="0" applyNumberFormat="1" applyFont="1" applyBorder="1"/>
    <xf numFmtId="171" fontId="18" fillId="0" borderId="12" xfId="0" applyNumberFormat="1" applyFont="1" applyBorder="1"/>
    <xf numFmtId="0" fontId="16" fillId="0" borderId="0" xfId="0" applyFont="1" applyBorder="1"/>
    <xf numFmtId="0" fontId="18" fillId="0" borderId="11" xfId="0" applyFont="1" applyBorder="1"/>
    <xf numFmtId="171" fontId="14" fillId="0" borderId="12" xfId="0" applyNumberFormat="1" applyFont="1" applyBorder="1"/>
    <xf numFmtId="171" fontId="36" fillId="0" borderId="0" xfId="0" applyNumberFormat="1" applyFont="1" applyBorder="1"/>
    <xf numFmtId="171" fontId="36" fillId="0" borderId="12" xfId="0" applyNumberFormat="1" applyFont="1" applyBorder="1"/>
    <xf numFmtId="171" fontId="1" fillId="5" borderId="45" xfId="0" applyNumberFormat="1" applyFont="1" applyFill="1" applyBorder="1" applyAlignment="1">
      <alignment horizontal="center"/>
    </xf>
    <xf numFmtId="171" fontId="10" fillId="0" borderId="11" xfId="0" applyNumberFormat="1" applyFont="1" applyBorder="1"/>
    <xf numFmtId="171" fontId="1" fillId="0" borderId="11" xfId="0" applyNumberFormat="1" applyFont="1" applyBorder="1"/>
    <xf numFmtId="171" fontId="18" fillId="0" borderId="11" xfId="0" applyNumberFormat="1" applyFont="1" applyBorder="1"/>
    <xf numFmtId="171" fontId="36" fillId="0" borderId="11" xfId="0" applyNumberFormat="1" applyFont="1" applyBorder="1"/>
    <xf numFmtId="171" fontId="1" fillId="0" borderId="32" xfId="0" applyNumberFormat="1" applyFont="1" applyBorder="1"/>
    <xf numFmtId="171" fontId="6" fillId="0" borderId="12" xfId="0" applyNumberFormat="1" applyFont="1" applyBorder="1"/>
    <xf numFmtId="171" fontId="0" fillId="0" borderId="46" xfId="0" applyNumberFormat="1" applyBorder="1"/>
    <xf numFmtId="171" fontId="0" fillId="0" borderId="12" xfId="0" applyNumberFormat="1" applyBorder="1" applyAlignment="1">
      <alignment horizontal="right"/>
    </xf>
    <xf numFmtId="171" fontId="7" fillId="0" borderId="11" xfId="0" applyNumberFormat="1" applyFont="1" applyBorder="1"/>
    <xf numFmtId="171" fontId="18" fillId="0" borderId="11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71" fontId="0" fillId="0" borderId="32" xfId="0" applyNumberFormat="1" applyBorder="1"/>
    <xf numFmtId="171" fontId="38" fillId="0" borderId="1" xfId="0" applyNumberFormat="1" applyFont="1" applyBorder="1"/>
    <xf numFmtId="173" fontId="0" fillId="0" borderId="12" xfId="0" applyNumberFormat="1" applyBorder="1" applyAlignment="1">
      <alignment horizontal="right"/>
    </xf>
    <xf numFmtId="171" fontId="16" fillId="0" borderId="1" xfId="0" applyNumberFormat="1" applyFont="1" applyBorder="1"/>
    <xf numFmtId="171" fontId="0" fillId="0" borderId="0" xfId="0" applyNumberFormat="1" applyBorder="1" applyAlignment="1">
      <alignment horizontal="right"/>
    </xf>
    <xf numFmtId="176" fontId="0" fillId="0" borderId="12" xfId="0" applyNumberFormat="1" applyBorder="1" applyAlignment="1">
      <alignment horizontal="right"/>
    </xf>
    <xf numFmtId="176" fontId="0" fillId="0" borderId="0" xfId="0" applyNumberFormat="1" applyBorder="1" applyAlignment="1">
      <alignment horizontal="center"/>
    </xf>
    <xf numFmtId="173" fontId="14" fillId="0" borderId="1" xfId="0" applyNumberFormat="1" applyFont="1" applyBorder="1" applyAlignment="1">
      <alignment horizontal="left"/>
    </xf>
    <xf numFmtId="183" fontId="14" fillId="0" borderId="0" xfId="0" applyNumberFormat="1" applyFont="1"/>
    <xf numFmtId="183" fontId="17" fillId="0" borderId="0" xfId="0" applyNumberFormat="1" applyFont="1"/>
    <xf numFmtId="183" fontId="18" fillId="0" borderId="0" xfId="0" applyNumberFormat="1" applyFont="1"/>
    <xf numFmtId="177" fontId="0" fillId="0" borderId="12" xfId="0" applyNumberFormat="1" applyBorder="1"/>
    <xf numFmtId="177" fontId="18" fillId="0" borderId="12" xfId="0" applyNumberFormat="1" applyFont="1" applyBorder="1"/>
    <xf numFmtId="175" fontId="1" fillId="0" borderId="11" xfId="0" applyNumberFormat="1" applyFont="1" applyBorder="1"/>
    <xf numFmtId="0" fontId="0" fillId="0" borderId="47" xfId="0" applyBorder="1"/>
    <xf numFmtId="170" fontId="0" fillId="0" borderId="14" xfId="0" applyNumberFormat="1" applyBorder="1" applyAlignment="1">
      <alignment horizontal="center"/>
    </xf>
    <xf numFmtId="0" fontId="0" fillId="0" borderId="48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177" fontId="18" fillId="0" borderId="0" xfId="0" applyNumberFormat="1" applyFont="1"/>
    <xf numFmtId="177" fontId="39" fillId="0" borderId="0" xfId="0" applyNumberFormat="1" applyFont="1"/>
    <xf numFmtId="177" fontId="39" fillId="0" borderId="12" xfId="0" applyNumberFormat="1" applyFont="1" applyBorder="1"/>
    <xf numFmtId="0" fontId="19" fillId="0" borderId="11" xfId="0" applyFont="1" applyBorder="1"/>
    <xf numFmtId="0" fontId="19" fillId="0" borderId="49" xfId="0" applyFont="1" applyBorder="1" applyAlignment="1">
      <alignment horizontal="centerContinuous"/>
    </xf>
    <xf numFmtId="0" fontId="19" fillId="0" borderId="0" xfId="0" applyFont="1" applyBorder="1" applyAlignment="1">
      <alignment horizontal="right"/>
    </xf>
    <xf numFmtId="0" fontId="28" fillId="0" borderId="0" xfId="0" applyFont="1" applyBorder="1" applyAlignment="1">
      <alignment horizontal="left"/>
    </xf>
    <xf numFmtId="0" fontId="26" fillId="0" borderId="0" xfId="0" applyFont="1" applyBorder="1" applyAlignment="1" applyProtection="1">
      <alignment horizontal="right"/>
    </xf>
    <xf numFmtId="0" fontId="26" fillId="0" borderId="27" xfId="0" applyFont="1" applyBorder="1" applyAlignment="1">
      <alignment horizontal="center"/>
    </xf>
    <xf numFmtId="2" fontId="26" fillId="0" borderId="50" xfId="0" applyNumberFormat="1" applyFont="1" applyBorder="1"/>
    <xf numFmtId="2" fontId="27" fillId="0" borderId="50" xfId="0" applyNumberFormat="1" applyFont="1" applyBorder="1"/>
    <xf numFmtId="2" fontId="19" fillId="0" borderId="51" xfId="0" quotePrefix="1" applyNumberFormat="1" applyFont="1" applyFill="1" applyBorder="1" applyAlignment="1" applyProtection="1">
      <alignment horizontal="right"/>
    </xf>
    <xf numFmtId="0" fontId="26" fillId="0" borderId="0" xfId="0" applyFont="1" applyBorder="1" applyAlignment="1">
      <alignment horizontal="center"/>
    </xf>
    <xf numFmtId="2" fontId="19" fillId="0" borderId="0" xfId="0" applyNumberFormat="1" applyFont="1" applyFill="1" applyBorder="1" applyProtection="1"/>
    <xf numFmtId="2" fontId="19" fillId="0" borderId="0" xfId="0" quotePrefix="1" applyNumberFormat="1" applyFont="1" applyFill="1" applyBorder="1" applyAlignment="1" applyProtection="1">
      <alignment horizontal="right"/>
    </xf>
    <xf numFmtId="2" fontId="40" fillId="4" borderId="52" xfId="0" applyNumberFormat="1" applyFont="1" applyFill="1" applyBorder="1" applyAlignment="1" applyProtection="1">
      <alignment horizontal="right"/>
      <protection locked="0"/>
    </xf>
    <xf numFmtId="2" fontId="28" fillId="0" borderId="0" xfId="0" applyNumberFormat="1" applyFont="1" applyFill="1" applyBorder="1" applyProtection="1"/>
    <xf numFmtId="171" fontId="17" fillId="0" borderId="0" xfId="0" applyNumberFormat="1" applyFont="1"/>
    <xf numFmtId="171" fontId="17" fillId="0" borderId="12" xfId="0" applyNumberFormat="1" applyFont="1" applyBorder="1"/>
    <xf numFmtId="171" fontId="17" fillId="0" borderId="2" xfId="0" applyNumberFormat="1" applyFont="1" applyBorder="1"/>
    <xf numFmtId="171" fontId="17" fillId="0" borderId="0" xfId="0" applyNumberFormat="1" applyFont="1" applyBorder="1"/>
    <xf numFmtId="171" fontId="10" fillId="0" borderId="0" xfId="0" applyNumberFormat="1" applyFont="1"/>
    <xf numFmtId="171" fontId="10" fillId="0" borderId="12" xfId="0" applyNumberFormat="1" applyFont="1" applyBorder="1"/>
    <xf numFmtId="0" fontId="11" fillId="0" borderId="11" xfId="0" applyFont="1" applyBorder="1"/>
    <xf numFmtId="171" fontId="11" fillId="0" borderId="11" xfId="0" applyNumberFormat="1" applyFont="1" applyBorder="1"/>
    <xf numFmtId="171" fontId="11" fillId="0" borderId="0" xfId="0" applyNumberFormat="1" applyFont="1" applyBorder="1"/>
    <xf numFmtId="0" fontId="15" fillId="0" borderId="0" xfId="0" applyFont="1" applyBorder="1"/>
    <xf numFmtId="171" fontId="36" fillId="0" borderId="0" xfId="0" applyNumberFormat="1" applyFont="1" applyAlignment="1">
      <alignment horizontal="right"/>
    </xf>
    <xf numFmtId="171" fontId="14" fillId="0" borderId="0" xfId="0" applyNumberFormat="1" applyFont="1" applyAlignment="1">
      <alignment horizontal="right"/>
    </xf>
    <xf numFmtId="171" fontId="14" fillId="0" borderId="1" xfId="0" applyNumberFormat="1" applyFont="1" applyBorder="1"/>
    <xf numFmtId="171" fontId="37" fillId="0" borderId="1" xfId="0" applyNumberFormat="1" applyFont="1" applyBorder="1"/>
    <xf numFmtId="171" fontId="12" fillId="0" borderId="1" xfId="0" applyNumberFormat="1" applyFont="1" applyBorder="1"/>
    <xf numFmtId="171" fontId="11" fillId="0" borderId="1" xfId="0" applyNumberFormat="1" applyFont="1" applyBorder="1"/>
    <xf numFmtId="171" fontId="12" fillId="0" borderId="0" xfId="0" applyNumberFormat="1" applyFont="1"/>
    <xf numFmtId="171" fontId="18" fillId="0" borderId="0" xfId="0" applyNumberFormat="1" applyFont="1" applyAlignment="1">
      <alignment horizontal="right"/>
    </xf>
    <xf numFmtId="171" fontId="16" fillId="0" borderId="0" xfId="0" quotePrefix="1" applyNumberFormat="1" applyFont="1"/>
    <xf numFmtId="171" fontId="21" fillId="0" borderId="6" xfId="0" applyNumberFormat="1" applyFont="1" applyBorder="1"/>
    <xf numFmtId="171" fontId="36" fillId="0" borderId="12" xfId="0" applyNumberFormat="1" applyFont="1" applyBorder="1" applyAlignment="1">
      <alignment horizontal="right"/>
    </xf>
    <xf numFmtId="171" fontId="14" fillId="0" borderId="12" xfId="0" applyNumberFormat="1" applyFont="1" applyBorder="1" applyAlignment="1">
      <alignment horizontal="right"/>
    </xf>
    <xf numFmtId="171" fontId="14" fillId="0" borderId="12" xfId="0" applyNumberFormat="1" applyFont="1" applyFill="1" applyBorder="1" applyAlignment="1">
      <alignment horizontal="right"/>
    </xf>
    <xf numFmtId="171" fontId="16" fillId="0" borderId="12" xfId="0" quotePrefix="1" applyNumberFormat="1" applyFont="1" applyBorder="1"/>
    <xf numFmtId="171" fontId="18" fillId="0" borderId="12" xfId="0" applyNumberFormat="1" applyFont="1" applyBorder="1" applyAlignment="1">
      <alignment horizontal="right"/>
    </xf>
    <xf numFmtId="171" fontId="12" fillId="0" borderId="12" xfId="0" applyNumberFormat="1" applyFont="1" applyBorder="1"/>
    <xf numFmtId="171" fontId="11" fillId="0" borderId="1" xfId="0" applyNumberFormat="1" applyFont="1" applyBorder="1" applyAlignment="1">
      <alignment horizontal="center"/>
    </xf>
    <xf numFmtId="171" fontId="18" fillId="0" borderId="1" xfId="0" applyNumberFormat="1" applyFont="1" applyBorder="1" applyAlignment="1">
      <alignment horizontal="center"/>
    </xf>
    <xf numFmtId="0" fontId="4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43" fillId="0" borderId="0" xfId="0" applyFont="1"/>
    <xf numFmtId="0" fontId="44" fillId="0" borderId="0" xfId="0" applyFont="1"/>
    <xf numFmtId="0" fontId="3" fillId="0" borderId="0" xfId="0" applyFont="1"/>
    <xf numFmtId="0" fontId="45" fillId="0" borderId="0" xfId="0" applyFont="1"/>
    <xf numFmtId="0" fontId="0" fillId="5" borderId="53" xfId="0" applyFill="1" applyBorder="1"/>
    <xf numFmtId="183" fontId="0" fillId="0" borderId="12" xfId="0" applyNumberFormat="1" applyBorder="1"/>
    <xf numFmtId="183" fontId="9" fillId="0" borderId="12" xfId="0" applyNumberFormat="1" applyFont="1" applyBorder="1"/>
    <xf numFmtId="183" fontId="1" fillId="0" borderId="12" xfId="0" applyNumberFormat="1" applyFont="1" applyBorder="1"/>
    <xf numFmtId="183" fontId="1" fillId="0" borderId="42" xfId="0" applyNumberFormat="1" applyFont="1" applyBorder="1"/>
    <xf numFmtId="183" fontId="1" fillId="0" borderId="46" xfId="0" applyNumberFormat="1" applyFont="1" applyBorder="1"/>
    <xf numFmtId="183" fontId="0" fillId="0" borderId="46" xfId="0" applyNumberFormat="1" applyBorder="1"/>
    <xf numFmtId="0" fontId="1" fillId="5" borderId="53" xfId="0" applyFont="1" applyFill="1" applyBorder="1" applyAlignment="1">
      <alignment horizontal="right"/>
    </xf>
    <xf numFmtId="170" fontId="0" fillId="0" borderId="12" xfId="0" applyNumberFormat="1" applyBorder="1"/>
    <xf numFmtId="175" fontId="0" fillId="0" borderId="12" xfId="0" applyNumberFormat="1" applyBorder="1" applyAlignment="1">
      <alignment horizontal="right"/>
    </xf>
    <xf numFmtId="170" fontId="0" fillId="0" borderId="12" xfId="0" applyNumberFormat="1" applyBorder="1" applyAlignment="1">
      <alignment horizontal="right"/>
    </xf>
    <xf numFmtId="184" fontId="0" fillId="0" borderId="12" xfId="0" applyNumberFormat="1" applyBorder="1"/>
    <xf numFmtId="184" fontId="0" fillId="0" borderId="46" xfId="0" applyNumberFormat="1" applyBorder="1"/>
    <xf numFmtId="171" fontId="1" fillId="5" borderId="4" xfId="0" applyNumberFormat="1" applyFont="1" applyFill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173" fontId="14" fillId="2" borderId="47" xfId="0" applyNumberFormat="1" applyFont="1" applyFill="1" applyBorder="1" applyProtection="1"/>
    <xf numFmtId="173" fontId="12" fillId="4" borderId="54" xfId="0" applyNumberFormat="1" applyFont="1" applyFill="1" applyBorder="1" applyProtection="1">
      <protection locked="0"/>
    </xf>
    <xf numFmtId="173" fontId="14" fillId="2" borderId="55" xfId="0" applyNumberFormat="1" applyFont="1" applyFill="1" applyBorder="1" applyProtection="1"/>
    <xf numFmtId="173" fontId="14" fillId="2" borderId="48" xfId="0" applyNumberFormat="1" applyFont="1" applyFill="1" applyBorder="1" applyProtection="1"/>
    <xf numFmtId="173" fontId="24" fillId="5" borderId="3" xfId="0" applyNumberFormat="1" applyFont="1" applyFill="1" applyBorder="1" applyAlignment="1" applyProtection="1">
      <alignment horizontal="center"/>
    </xf>
    <xf numFmtId="177" fontId="0" fillId="0" borderId="0" xfId="0" applyNumberFormat="1" applyBorder="1"/>
    <xf numFmtId="177" fontId="39" fillId="0" borderId="0" xfId="0" applyNumberFormat="1" applyFont="1" applyBorder="1"/>
    <xf numFmtId="177" fontId="18" fillId="0" borderId="0" xfId="0" applyNumberFormat="1" applyFont="1" applyBorder="1"/>
    <xf numFmtId="183" fontId="9" fillId="0" borderId="0" xfId="0" applyNumberFormat="1" applyFont="1" applyBorder="1"/>
    <xf numFmtId="0" fontId="46" fillId="2" borderId="0" xfId="0" applyFont="1" applyFill="1" applyAlignment="1">
      <alignment horizontal="left"/>
    </xf>
    <xf numFmtId="0" fontId="25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139700</xdr:colOff>
          <xdr:row>2</xdr:row>
          <xdr:rowOff>0</xdr:rowOff>
        </xdr:from>
        <xdr:to>
          <xdr:col>10</xdr:col>
          <xdr:colOff>184150</xdr:colOff>
          <xdr:row>3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F99A46F-720C-4AC4-B063-517656399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More Upgrade Info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266700</xdr:colOff>
          <xdr:row>2</xdr:row>
          <xdr:rowOff>0</xdr:rowOff>
        </xdr:from>
        <xdr:to>
          <xdr:col>14</xdr:col>
          <xdr:colOff>304800</xdr:colOff>
          <xdr:row>3</xdr:row>
          <xdr:rowOff>38100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FEA16BA-4289-4578-A247-4CBD71A6E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Form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85"/>
  <sheetViews>
    <sheetView showGridLines="0" showRowColHeaders="0" showZeros="0" zoomScale="75" workbookViewId="0"/>
  </sheetViews>
  <sheetFormatPr defaultColWidth="0" defaultRowHeight="14" zeroHeight="1" x14ac:dyDescent="0.3"/>
  <cols>
    <col min="1" max="1" width="9.765625" style="131" customWidth="1"/>
    <col min="2" max="2" width="21.53515625" style="131" customWidth="1"/>
    <col min="3" max="4" width="4.765625" style="131" customWidth="1"/>
    <col min="5" max="5" width="5.765625" style="131" customWidth="1"/>
    <col min="6" max="7" width="4.765625" style="131" customWidth="1"/>
    <col min="8" max="8" width="6.765625" style="131" customWidth="1"/>
    <col min="9" max="9" width="4.765625" style="131" customWidth="1"/>
    <col min="10" max="10" width="6.765625" style="131" customWidth="1"/>
    <col min="11" max="11" width="4.765625" style="131" customWidth="1"/>
    <col min="12" max="12" width="6.765625" style="131" customWidth="1"/>
    <col min="13" max="13" width="4.765625" style="131" customWidth="1"/>
    <col min="14" max="14" width="6.765625" style="131" customWidth="1"/>
    <col min="15" max="15" width="4.765625" style="131" customWidth="1"/>
    <col min="16" max="16" width="0.84375" style="131" customWidth="1"/>
    <col min="17" max="24" width="4.765625" style="131" hidden="1"/>
    <col min="25" max="16384" width="0" style="131" hidden="1"/>
  </cols>
  <sheetData>
    <row r="1" spans="1:16" ht="25" x14ac:dyDescent="0.5">
      <c r="A1" s="151"/>
      <c r="B1" s="149"/>
      <c r="C1" s="148" t="s">
        <v>0</v>
      </c>
      <c r="D1" s="135"/>
      <c r="E1" s="153"/>
      <c r="F1" s="135"/>
      <c r="G1" s="135"/>
      <c r="H1" s="135"/>
      <c r="I1" s="135"/>
      <c r="J1" s="135"/>
      <c r="K1" s="135"/>
      <c r="L1" s="135"/>
      <c r="M1" s="135"/>
      <c r="N1" s="135"/>
      <c r="O1" s="136"/>
      <c r="P1" s="152"/>
    </row>
    <row r="2" spans="1:16" x14ac:dyDescent="0.3">
      <c r="A2" s="151"/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9"/>
      <c r="P2" s="151"/>
    </row>
    <row r="3" spans="1:16" ht="15.5" x14ac:dyDescent="0.35">
      <c r="A3" s="151"/>
      <c r="B3" s="234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9"/>
      <c r="P3" s="151"/>
    </row>
    <row r="4" spans="1:16" ht="15.5" x14ac:dyDescent="0.35">
      <c r="A4" s="151"/>
      <c r="B4" s="234" t="s">
        <v>2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9"/>
      <c r="P4" s="151"/>
    </row>
    <row r="5" spans="1:16" x14ac:dyDescent="0.3">
      <c r="A5" s="151"/>
      <c r="B5" s="137" t="s">
        <v>3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9"/>
      <c r="P5" s="151"/>
    </row>
    <row r="6" spans="1:16" ht="15.5" x14ac:dyDescent="0.35">
      <c r="A6" s="151"/>
      <c r="B6" s="137" t="s">
        <v>4</v>
      </c>
      <c r="C6" s="83"/>
      <c r="D6" s="83"/>
      <c r="E6" s="132" t="s">
        <v>5</v>
      </c>
      <c r="F6" s="133">
        <v>129</v>
      </c>
      <c r="G6" s="301"/>
      <c r="H6" s="144"/>
      <c r="I6" s="143"/>
      <c r="J6" s="144"/>
      <c r="K6" s="143"/>
      <c r="L6" s="144"/>
      <c r="M6" s="138"/>
      <c r="N6" s="138"/>
      <c r="O6" s="139"/>
      <c r="P6" s="151"/>
    </row>
    <row r="7" spans="1:16" ht="15.5" x14ac:dyDescent="0.35">
      <c r="A7" s="151"/>
      <c r="B7" s="137" t="s">
        <v>6</v>
      </c>
      <c r="C7" s="83"/>
      <c r="D7" s="83"/>
      <c r="E7" s="132" t="s">
        <v>5</v>
      </c>
      <c r="F7" s="133">
        <v>20</v>
      </c>
      <c r="G7" s="143"/>
      <c r="H7" s="144"/>
      <c r="I7" s="143"/>
      <c r="J7" s="144"/>
      <c r="K7" s="143"/>
      <c r="L7" s="144"/>
      <c r="M7" s="138"/>
      <c r="N7" s="138"/>
      <c r="O7" s="139"/>
      <c r="P7" s="151"/>
    </row>
    <row r="8" spans="1:16" ht="15.5" x14ac:dyDescent="0.35">
      <c r="A8" s="151"/>
      <c r="B8" s="297"/>
      <c r="C8" s="258"/>
      <c r="D8" s="258"/>
      <c r="E8" s="298"/>
      <c r="F8" s="298"/>
      <c r="G8" s="299"/>
      <c r="H8" s="300"/>
      <c r="I8" s="240"/>
      <c r="J8" s="240"/>
      <c r="K8" s="240"/>
      <c r="L8" s="240"/>
      <c r="M8" s="138"/>
      <c r="N8" s="138"/>
      <c r="O8" s="139"/>
      <c r="P8" s="151"/>
    </row>
    <row r="9" spans="1:16" x14ac:dyDescent="0.3">
      <c r="A9" s="151"/>
      <c r="B9" s="137" t="s">
        <v>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9"/>
      <c r="P9" s="151"/>
    </row>
    <row r="10" spans="1:16" x14ac:dyDescent="0.3">
      <c r="A10" s="151"/>
      <c r="B10" s="137" t="s">
        <v>8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9"/>
      <c r="P10" s="151"/>
    </row>
    <row r="11" spans="1:16" x14ac:dyDescent="0.3">
      <c r="A11" s="151"/>
      <c r="B11" s="137" t="s">
        <v>9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9"/>
      <c r="P11" s="151"/>
    </row>
    <row r="12" spans="1:16" x14ac:dyDescent="0.3">
      <c r="A12" s="151"/>
      <c r="B12" s="137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9"/>
      <c r="P12" s="151"/>
    </row>
    <row r="13" spans="1:16" ht="15.5" x14ac:dyDescent="0.35">
      <c r="A13" s="151"/>
      <c r="B13" s="140" t="s">
        <v>10</v>
      </c>
      <c r="C13" s="160" t="e">
        <f>+#REF!</f>
        <v>#REF!</v>
      </c>
      <c r="D13" s="160" t="e">
        <f>+#REF!</f>
        <v>#REF!</v>
      </c>
      <c r="E13" s="160" t="e">
        <f>+#REF!</f>
        <v>#REF!</v>
      </c>
      <c r="F13" s="154"/>
      <c r="G13" s="232" t="s">
        <v>11</v>
      </c>
      <c r="H13"/>
      <c r="I13" s="138"/>
      <c r="J13" s="138" t="e">
        <f>#REF!</f>
        <v>#REF!</v>
      </c>
      <c r="K13" s="138"/>
      <c r="L13" s="138"/>
      <c r="M13" s="138"/>
      <c r="N13" s="138"/>
      <c r="O13" s="139"/>
      <c r="P13" s="151"/>
    </row>
    <row r="14" spans="1:16" ht="16" thickBot="1" x14ac:dyDescent="0.4">
      <c r="A14" s="151"/>
      <c r="B14" s="250"/>
      <c r="C14" s="249"/>
      <c r="D14" s="249"/>
      <c r="E14" s="249"/>
      <c r="F14" s="154"/>
      <c r="G14" s="232"/>
      <c r="H14"/>
      <c r="I14" s="138"/>
      <c r="J14" s="138"/>
      <c r="K14" s="138"/>
      <c r="L14" s="138"/>
      <c r="M14" s="138"/>
      <c r="N14" s="138"/>
      <c r="O14" s="139"/>
      <c r="P14" s="151"/>
    </row>
    <row r="15" spans="1:16" ht="16" thickBot="1" x14ac:dyDescent="0.4">
      <c r="A15" s="151"/>
      <c r="B15" s="248" t="s">
        <v>12</v>
      </c>
      <c r="C15" s="249"/>
      <c r="D15" s="249"/>
      <c r="E15" s="247"/>
      <c r="F15" s="138" t="s">
        <v>13</v>
      </c>
      <c r="G15" s="232"/>
      <c r="H15"/>
      <c r="I15" s="247"/>
      <c r="J15" s="138" t="s">
        <v>14</v>
      </c>
      <c r="K15" s="138"/>
      <c r="L15" s="138"/>
      <c r="M15" s="138"/>
      <c r="N15" s="138"/>
      <c r="O15" s="139"/>
      <c r="P15" s="151"/>
    </row>
    <row r="16" spans="1:16" x14ac:dyDescent="0.3">
      <c r="A16" s="151"/>
      <c r="B16" s="137" t="s">
        <v>15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9"/>
      <c r="P16" s="151"/>
    </row>
    <row r="17" spans="1:16" x14ac:dyDescent="0.3">
      <c r="A17" s="151"/>
      <c r="B17" s="137" t="s">
        <v>16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9"/>
      <c r="P17" s="151"/>
    </row>
    <row r="18" spans="1:16" x14ac:dyDescent="0.3">
      <c r="A18" s="151"/>
      <c r="B18" s="137" t="s">
        <v>17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9"/>
      <c r="P18" s="151"/>
    </row>
    <row r="19" spans="1:16" x14ac:dyDescent="0.3">
      <c r="A19" s="151"/>
      <c r="B19" s="137" t="s">
        <v>18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9"/>
      <c r="P19" s="151"/>
    </row>
    <row r="20" spans="1:16" x14ac:dyDescent="0.3">
      <c r="A20" s="151"/>
      <c r="B20" s="137" t="s">
        <v>19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9"/>
      <c r="P20" s="151"/>
    </row>
    <row r="21" spans="1:16" x14ac:dyDescent="0.3">
      <c r="A21" s="151"/>
      <c r="B21" s="150" t="s">
        <v>20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9"/>
      <c r="P21" s="151"/>
    </row>
    <row r="22" spans="1:16" x14ac:dyDescent="0.3">
      <c r="A22" s="151"/>
      <c r="B22" s="150" t="s">
        <v>21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P22" s="151"/>
    </row>
    <row r="23" spans="1:16" x14ac:dyDescent="0.3">
      <c r="A23" s="151"/>
      <c r="B23" s="137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9"/>
      <c r="P23" s="151"/>
    </row>
    <row r="24" spans="1:16" x14ac:dyDescent="0.3">
      <c r="A24" s="151"/>
      <c r="B24" s="140" t="s">
        <v>22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1"/>
      <c r="P24" s="151"/>
    </row>
    <row r="25" spans="1:16" x14ac:dyDescent="0.3">
      <c r="A25" s="151"/>
      <c r="B25" s="137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9"/>
      <c r="P25" s="151"/>
    </row>
    <row r="26" spans="1:16" x14ac:dyDescent="0.3">
      <c r="A26" s="151"/>
      <c r="B26" s="140" t="s">
        <v>23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1"/>
      <c r="P26" s="151"/>
    </row>
    <row r="27" spans="1:16" x14ac:dyDescent="0.3">
      <c r="A27" s="151"/>
      <c r="B27" s="137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9"/>
      <c r="P27" s="151"/>
    </row>
    <row r="28" spans="1:16" x14ac:dyDescent="0.3">
      <c r="A28" s="151"/>
      <c r="B28" s="140" t="s">
        <v>24</v>
      </c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1"/>
      <c r="P28" s="151"/>
    </row>
    <row r="29" spans="1:16" x14ac:dyDescent="0.3">
      <c r="A29" s="151"/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P29" s="151"/>
    </row>
    <row r="30" spans="1:16" x14ac:dyDescent="0.3">
      <c r="A30" s="151"/>
      <c r="B30" s="140" t="s">
        <v>25</v>
      </c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1"/>
      <c r="P30" s="151"/>
    </row>
    <row r="31" spans="1:16" x14ac:dyDescent="0.3">
      <c r="A31" s="151"/>
      <c r="B31" s="137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9"/>
      <c r="P31" s="151"/>
    </row>
    <row r="32" spans="1:16" x14ac:dyDescent="0.3">
      <c r="A32" s="151"/>
      <c r="B32" s="140" t="s">
        <v>26</v>
      </c>
      <c r="C32" s="160"/>
      <c r="D32" s="160"/>
      <c r="E32" s="160"/>
      <c r="F32" s="160"/>
      <c r="G32" s="160"/>
      <c r="H32" s="142" t="s">
        <v>27</v>
      </c>
      <c r="I32" s="138"/>
      <c r="J32" s="138"/>
      <c r="K32" s="138"/>
      <c r="L32" s="138"/>
      <c r="M32" s="138"/>
      <c r="N32" s="138"/>
      <c r="O32" s="139"/>
      <c r="P32" s="151"/>
    </row>
    <row r="33" spans="1:16" x14ac:dyDescent="0.3">
      <c r="A33" s="151"/>
      <c r="B33" s="150" t="s">
        <v>28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  <c r="P33" s="151"/>
    </row>
    <row r="34" spans="1:16" x14ac:dyDescent="0.3">
      <c r="A34" s="151"/>
      <c r="B34" s="150" t="s">
        <v>29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9"/>
      <c r="P34" s="151"/>
    </row>
    <row r="35" spans="1:16" x14ac:dyDescent="0.3">
      <c r="A35" s="151"/>
      <c r="B35" s="137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9"/>
      <c r="P35" s="151"/>
    </row>
    <row r="36" spans="1:16" ht="15.5" x14ac:dyDescent="0.35">
      <c r="A36" s="151"/>
      <c r="B36" s="140" t="s">
        <v>30</v>
      </c>
      <c r="C36" s="160"/>
      <c r="D36" s="160"/>
      <c r="E36" s="160"/>
      <c r="F36" s="160"/>
      <c r="G36" s="160"/>
      <c r="H36" s="83"/>
      <c r="I36" s="141" t="s">
        <v>31</v>
      </c>
      <c r="J36" s="138"/>
      <c r="K36" s="160"/>
      <c r="L36" s="160"/>
      <c r="M36" s="160"/>
      <c r="N36" s="160"/>
      <c r="O36" s="161"/>
      <c r="P36" s="151"/>
    </row>
    <row r="37" spans="1:16" x14ac:dyDescent="0.3">
      <c r="A37" s="151"/>
      <c r="B37" s="137"/>
      <c r="C37" s="142" t="s">
        <v>32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9"/>
      <c r="P37" s="151"/>
    </row>
    <row r="38" spans="1:16" ht="15.5" x14ac:dyDescent="0.35">
      <c r="A38" s="151"/>
      <c r="B38" s="140" t="s">
        <v>33</v>
      </c>
      <c r="C38" s="160"/>
      <c r="D38" s="160"/>
      <c r="E38" s="160"/>
      <c r="F38" s="160"/>
      <c r="G38" s="160"/>
      <c r="H38" s="142" t="s">
        <v>34</v>
      </c>
      <c r="I38"/>
      <c r="J38" s="138"/>
      <c r="K38" s="138"/>
      <c r="L38" s="138"/>
      <c r="M38" s="138"/>
      <c r="N38" s="138"/>
      <c r="O38" s="139"/>
      <c r="P38" s="151"/>
    </row>
    <row r="39" spans="1:16" x14ac:dyDescent="0.3">
      <c r="A39" s="151"/>
      <c r="B39" s="137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9"/>
      <c r="P39" s="151"/>
    </row>
    <row r="40" spans="1:16" x14ac:dyDescent="0.3">
      <c r="A40" s="151"/>
      <c r="B40" s="137" t="s">
        <v>35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9"/>
      <c r="P40" s="151"/>
    </row>
    <row r="41" spans="1:16" x14ac:dyDescent="0.3">
      <c r="A41" s="151"/>
      <c r="B41" s="137" t="s">
        <v>36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9"/>
      <c r="P41" s="151"/>
    </row>
    <row r="42" spans="1:16" x14ac:dyDescent="0.3">
      <c r="A42" s="151"/>
      <c r="B42" s="159" t="s">
        <v>37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9"/>
      <c r="P42" s="151"/>
    </row>
    <row r="43" spans="1:16" x14ac:dyDescent="0.3">
      <c r="A43" s="151"/>
      <c r="B43" s="137"/>
      <c r="C43" s="138"/>
      <c r="D43" s="138"/>
      <c r="E43" s="138"/>
      <c r="F43" s="138" t="s">
        <v>38</v>
      </c>
      <c r="G43" s="138"/>
      <c r="H43" s="302" t="s">
        <v>5</v>
      </c>
      <c r="I43" s="306"/>
      <c r="J43" s="306"/>
      <c r="K43" s="306"/>
      <c r="L43" s="306"/>
      <c r="M43" s="138"/>
      <c r="N43" s="306"/>
      <c r="O43" s="139"/>
      <c r="P43" s="151"/>
    </row>
    <row r="44" spans="1:16" x14ac:dyDescent="0.3">
      <c r="A44" s="151"/>
      <c r="B44" s="140" t="s">
        <v>39</v>
      </c>
      <c r="C44" s="138"/>
      <c r="D44" s="138"/>
      <c r="E44" s="138"/>
      <c r="F44" s="156">
        <v>1</v>
      </c>
      <c r="G44" s="138"/>
      <c r="H44" s="303">
        <f t="shared" ref="H44:H45" si="0">+F44*F6</f>
        <v>129</v>
      </c>
      <c r="I44" s="165"/>
      <c r="J44" s="165"/>
      <c r="K44" s="165"/>
      <c r="L44" s="165"/>
      <c r="M44" s="138"/>
      <c r="N44" s="165"/>
      <c r="O44" s="139"/>
      <c r="P44" s="151"/>
    </row>
    <row r="45" spans="1:16" x14ac:dyDescent="0.3">
      <c r="A45" s="151"/>
      <c r="B45" s="140" t="s">
        <v>40</v>
      </c>
      <c r="C45" s="138"/>
      <c r="D45" s="138"/>
      <c r="E45" s="138"/>
      <c r="F45" s="156">
        <v>1</v>
      </c>
      <c r="G45" s="138"/>
      <c r="H45" s="304">
        <f t="shared" si="0"/>
        <v>20</v>
      </c>
      <c r="I45" s="165"/>
      <c r="J45" s="166"/>
      <c r="K45" s="165"/>
      <c r="L45" s="166"/>
      <c r="M45" s="138"/>
      <c r="N45" s="166"/>
      <c r="O45" s="139"/>
      <c r="P45" s="151"/>
    </row>
    <row r="46" spans="1:16" x14ac:dyDescent="0.3">
      <c r="A46" s="151"/>
      <c r="B46" s="140" t="s">
        <v>41</v>
      </c>
      <c r="C46" s="138"/>
      <c r="D46" s="138"/>
      <c r="E46" s="138"/>
      <c r="F46" s="142" t="s">
        <v>42</v>
      </c>
      <c r="G46" s="138"/>
      <c r="H46" s="303">
        <f>+H45+H44</f>
        <v>149</v>
      </c>
      <c r="I46" s="165"/>
      <c r="J46" s="165"/>
      <c r="K46" s="165"/>
      <c r="L46" s="165"/>
      <c r="M46" s="138"/>
      <c r="N46" s="165"/>
      <c r="O46" s="139"/>
      <c r="P46" s="151"/>
    </row>
    <row r="47" spans="1:16" x14ac:dyDescent="0.3">
      <c r="A47" s="151"/>
      <c r="B47" s="140" t="s">
        <v>43</v>
      </c>
      <c r="C47" s="138"/>
      <c r="D47" s="138"/>
      <c r="E47" s="138"/>
      <c r="F47" s="142" t="s">
        <v>44</v>
      </c>
      <c r="G47" s="138"/>
      <c r="H47" s="309"/>
      <c r="I47" s="310" t="s">
        <v>45</v>
      </c>
      <c r="J47" s="308"/>
      <c r="K47" s="307"/>
      <c r="L47" s="308"/>
      <c r="M47" s="138"/>
      <c r="N47" s="167"/>
      <c r="O47" s="139"/>
      <c r="P47" s="151"/>
    </row>
    <row r="48" spans="1:16" x14ac:dyDescent="0.3">
      <c r="A48" s="151"/>
      <c r="B48" s="140" t="s">
        <v>46</v>
      </c>
      <c r="C48" s="138"/>
      <c r="D48" s="138"/>
      <c r="E48" s="138"/>
      <c r="F48" s="142" t="s">
        <v>47</v>
      </c>
      <c r="G48" s="138"/>
      <c r="H48" s="305">
        <f>+H46+H47</f>
        <v>149</v>
      </c>
      <c r="I48" s="307"/>
      <c r="J48" s="308"/>
      <c r="K48" s="307"/>
      <c r="L48" s="308"/>
      <c r="M48" s="138"/>
      <c r="N48" s="307"/>
      <c r="O48" s="139"/>
      <c r="P48" s="151"/>
    </row>
    <row r="49" spans="1:16" x14ac:dyDescent="0.3">
      <c r="A49" s="151"/>
      <c r="B49" s="137"/>
      <c r="C49" s="138"/>
      <c r="D49" s="138"/>
      <c r="E49" s="138"/>
      <c r="F49" s="138"/>
      <c r="G49" s="138"/>
      <c r="H49" s="158"/>
      <c r="I49" s="138"/>
      <c r="J49" s="138"/>
      <c r="K49" s="138"/>
      <c r="L49" s="138"/>
      <c r="M49" s="138"/>
      <c r="N49" s="138"/>
      <c r="O49" s="139"/>
      <c r="P49" s="151"/>
    </row>
    <row r="50" spans="1:16" ht="15.5" x14ac:dyDescent="0.35">
      <c r="A50" s="151"/>
      <c r="B50" s="140" t="s">
        <v>48</v>
      </c>
      <c r="C50" s="138"/>
      <c r="D50" s="83" t="s">
        <v>5</v>
      </c>
      <c r="E50" s="160"/>
      <c r="F50" s="160"/>
      <c r="G50" s="142"/>
      <c r="H50"/>
      <c r="I50" s="138"/>
      <c r="J50" s="138"/>
      <c r="K50" s="138"/>
      <c r="L50" s="138"/>
      <c r="M50" s="138"/>
      <c r="N50" s="138"/>
      <c r="O50" s="139"/>
      <c r="P50" s="151"/>
    </row>
    <row r="51" spans="1:16" ht="15.5" x14ac:dyDescent="0.35">
      <c r="A51" s="151"/>
      <c r="B51" s="92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9"/>
      <c r="P51" s="151"/>
    </row>
    <row r="52" spans="1:16" x14ac:dyDescent="0.3">
      <c r="A52" s="151"/>
      <c r="B52" s="140" t="s">
        <v>49</v>
      </c>
      <c r="C52" s="138"/>
      <c r="D52" s="138"/>
      <c r="E52" s="143" t="s">
        <v>50</v>
      </c>
      <c r="F52" s="157"/>
      <c r="G52" s="138" t="s">
        <v>51</v>
      </c>
      <c r="H52" s="138"/>
      <c r="I52" s="157"/>
      <c r="J52" s="144" t="s">
        <v>52</v>
      </c>
      <c r="K52" s="138"/>
      <c r="L52" s="157"/>
      <c r="M52" s="138"/>
      <c r="N52" s="138"/>
      <c r="O52" s="139"/>
      <c r="P52" s="151"/>
    </row>
    <row r="53" spans="1:16" x14ac:dyDescent="0.3">
      <c r="A53" s="151"/>
      <c r="B53" s="137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9"/>
      <c r="P53" s="151"/>
    </row>
    <row r="54" spans="1:16" x14ac:dyDescent="0.3">
      <c r="A54" s="151"/>
      <c r="B54" s="140" t="s">
        <v>53</v>
      </c>
      <c r="C54" s="138"/>
      <c r="D54" s="155"/>
      <c r="E54" s="138"/>
      <c r="F54" s="155"/>
      <c r="G54" s="138"/>
      <c r="H54" s="155"/>
      <c r="I54" s="138"/>
      <c r="J54" s="155"/>
      <c r="K54" s="138"/>
      <c r="L54" s="138"/>
      <c r="M54" s="138"/>
      <c r="N54" s="138"/>
      <c r="O54" s="139"/>
      <c r="P54" s="151"/>
    </row>
    <row r="55" spans="1:16" x14ac:dyDescent="0.3">
      <c r="A55" s="151"/>
      <c r="B55" s="137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9"/>
      <c r="P55" s="151"/>
    </row>
    <row r="56" spans="1:16" x14ac:dyDescent="0.3">
      <c r="A56" s="151"/>
      <c r="B56" s="140" t="s">
        <v>54</v>
      </c>
      <c r="C56" s="138"/>
      <c r="D56" s="143" t="s">
        <v>55</v>
      </c>
      <c r="E56" s="155"/>
      <c r="F56" s="143" t="s">
        <v>56</v>
      </c>
      <c r="G56" s="155"/>
      <c r="H56" s="138"/>
      <c r="I56" s="138"/>
      <c r="J56" s="138"/>
      <c r="K56" s="138"/>
      <c r="L56" s="138"/>
      <c r="M56" s="138"/>
      <c r="N56" s="138"/>
      <c r="O56" s="139"/>
      <c r="P56" s="151"/>
    </row>
    <row r="57" spans="1:16" x14ac:dyDescent="0.3">
      <c r="A57" s="151"/>
      <c r="B57" s="137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9"/>
      <c r="P57" s="151"/>
    </row>
    <row r="58" spans="1:16" x14ac:dyDescent="0.3">
      <c r="A58" s="151"/>
      <c r="B58" s="140" t="s">
        <v>57</v>
      </c>
      <c r="C58" s="163" t="s">
        <v>58</v>
      </c>
      <c r="D58" s="162"/>
      <c r="E58" s="160"/>
      <c r="F58" s="160"/>
      <c r="G58" s="160"/>
      <c r="H58" s="160"/>
      <c r="I58" s="160"/>
      <c r="J58" s="142" t="s">
        <v>59</v>
      </c>
      <c r="K58" s="138"/>
      <c r="L58" s="138"/>
      <c r="M58" s="138"/>
      <c r="N58" s="138"/>
      <c r="O58" s="139"/>
      <c r="P58" s="151"/>
    </row>
    <row r="59" spans="1:16" x14ac:dyDescent="0.3">
      <c r="A59" s="151"/>
      <c r="B59" s="140" t="s">
        <v>60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9"/>
      <c r="P59" s="151"/>
    </row>
    <row r="60" spans="1:16" x14ac:dyDescent="0.3">
      <c r="A60" s="151"/>
      <c r="B60" s="137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9"/>
      <c r="P60" s="151"/>
    </row>
    <row r="61" spans="1:16" x14ac:dyDescent="0.3">
      <c r="A61" s="151"/>
      <c r="B61" s="164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1"/>
      <c r="P61" s="151"/>
    </row>
    <row r="62" spans="1:16" x14ac:dyDescent="0.3">
      <c r="A62" s="151"/>
      <c r="B62" s="140" t="s">
        <v>61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9"/>
      <c r="P62" s="151"/>
    </row>
    <row r="63" spans="1:16" x14ac:dyDescent="0.3">
      <c r="A63" s="151"/>
      <c r="B63" s="137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9"/>
      <c r="P63" s="151"/>
    </row>
    <row r="64" spans="1:16" x14ac:dyDescent="0.3">
      <c r="A64" s="151"/>
      <c r="B64" s="164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1"/>
      <c r="P64" s="151"/>
    </row>
    <row r="65" spans="1:16" x14ac:dyDescent="0.3">
      <c r="A65" s="151"/>
      <c r="B65" s="140" t="s">
        <v>62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9"/>
      <c r="P65" s="151"/>
    </row>
    <row r="66" spans="1:16" x14ac:dyDescent="0.3">
      <c r="A66" s="151"/>
      <c r="B66" s="137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9"/>
      <c r="P66" s="151"/>
    </row>
    <row r="67" spans="1:16" x14ac:dyDescent="0.3">
      <c r="A67" s="151"/>
      <c r="B67" s="164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1"/>
      <c r="P67" s="151"/>
    </row>
    <row r="68" spans="1:16" x14ac:dyDescent="0.3">
      <c r="A68" s="151"/>
      <c r="B68" s="145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8"/>
      <c r="N68" s="138"/>
      <c r="O68" s="139"/>
      <c r="P68" s="151"/>
    </row>
    <row r="69" spans="1:16" x14ac:dyDescent="0.3">
      <c r="A69" s="151"/>
      <c r="B69" s="164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1"/>
      <c r="P69" s="151"/>
    </row>
    <row r="70" spans="1:16" x14ac:dyDescent="0.3">
      <c r="A70" s="151"/>
      <c r="B70" s="231" t="s">
        <v>63</v>
      </c>
      <c r="C70" s="138"/>
      <c r="D70" s="138"/>
      <c r="E70" s="232" t="s">
        <v>64</v>
      </c>
      <c r="F70" s="138"/>
      <c r="G70" s="138"/>
      <c r="H70" s="138"/>
      <c r="I70" s="138"/>
      <c r="J70" s="138"/>
      <c r="K70" s="138"/>
      <c r="L70" s="138"/>
      <c r="M70" s="138"/>
      <c r="N70" s="138"/>
      <c r="O70" s="139"/>
      <c r="P70" s="151"/>
    </row>
    <row r="71" spans="1:16" ht="15.5" x14ac:dyDescent="0.35">
      <c r="A71" s="151"/>
      <c r="B71" s="233" t="s">
        <v>65</v>
      </c>
      <c r="C71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9"/>
      <c r="P71" s="151"/>
    </row>
    <row r="72" spans="1:16" ht="15.5" x14ac:dyDescent="0.35">
      <c r="A72" s="151"/>
      <c r="B72" s="233" t="s">
        <v>66</v>
      </c>
      <c r="C72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9"/>
      <c r="P72" s="151"/>
    </row>
    <row r="73" spans="1:16" ht="15.5" x14ac:dyDescent="0.35">
      <c r="A73" s="151"/>
      <c r="B73" s="233" t="s">
        <v>67</v>
      </c>
      <c r="C73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9"/>
      <c r="P73" s="151"/>
    </row>
    <row r="74" spans="1:16" ht="16" thickBot="1" x14ac:dyDescent="0.4">
      <c r="A74" s="151"/>
      <c r="B74" s="98" t="s">
        <v>68</v>
      </c>
      <c r="C74" s="99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7"/>
      <c r="P74" s="151"/>
    </row>
    <row r="75" spans="1:16" hidden="1" x14ac:dyDescent="0.3"/>
    <row r="76" spans="1:16" hidden="1" x14ac:dyDescent="0.3"/>
    <row r="77" spans="1:16" hidden="1" x14ac:dyDescent="0.3"/>
    <row r="78" spans="1:16" hidden="1" x14ac:dyDescent="0.3"/>
    <row r="79" spans="1:16" hidden="1" x14ac:dyDescent="0.3"/>
    <row r="80" spans="1:16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sheetProtection password="CF74" sheet="1" objects="1" scenarios="1"/>
  <printOptions gridLinesSet="0"/>
  <pageMargins left="0.75" right="0.75" top="1" bottom="1" header="0.5" footer="0.5"/>
  <pageSetup fitToHeight="2" orientation="portrait" horizontalDpi="300" verticalDpi="300" r:id="rId1"/>
  <headerFooter alignWithMargins="0">
    <oddHeader>&amp;C&amp;D &amp;T&amp;R&amp;F&amp;LAny Company</oddHeader>
    <oddFooter>&amp;RPage &amp;P&amp;LChange description via Tools/Setup menu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helpbuttonupgrade">
                <anchor moveWithCells="1" sizeWithCells="1">
                  <from>
                    <xdr:col>6</xdr:col>
                    <xdr:colOff>139700</xdr:colOff>
                    <xdr:row>2</xdr:row>
                    <xdr:rowOff>0</xdr:rowOff>
                  </from>
                  <to>
                    <xdr:col>10</xdr:col>
                    <xdr:colOff>184150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Line="0" autoPict="0" macro="[0]!printupgradeform">
                <anchor moveWithCells="1" sizeWithCells="1">
                  <from>
                    <xdr:col>10</xdr:col>
                    <xdr:colOff>266700</xdr:colOff>
                    <xdr:row>2</xdr:row>
                    <xdr:rowOff>0</xdr:rowOff>
                  </from>
                  <to>
                    <xdr:col>14</xdr:col>
                    <xdr:colOff>304800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6"/>
  <sheetViews>
    <sheetView showGridLines="0" showRowColHeaders="0" tabSelected="1" zoomScale="50" workbookViewId="0"/>
  </sheetViews>
  <sheetFormatPr defaultRowHeight="15.5" x14ac:dyDescent="0.35"/>
  <cols>
    <col min="2" max="2" width="9.53515625" customWidth="1"/>
    <col min="7" max="7" width="11.765625" customWidth="1"/>
  </cols>
  <sheetData>
    <row r="1" spans="2:8" ht="40" x14ac:dyDescent="0.8">
      <c r="B1" s="339" t="s">
        <v>69</v>
      </c>
    </row>
    <row r="2" spans="2:8" ht="20" x14ac:dyDescent="0.4">
      <c r="B2" s="376"/>
      <c r="C2" s="376"/>
    </row>
    <row r="3" spans="2:8" ht="22.5" x14ac:dyDescent="0.45">
      <c r="B3" s="340" t="s">
        <v>70</v>
      </c>
      <c r="C3" s="340"/>
      <c r="D3" s="340"/>
      <c r="E3" s="340"/>
      <c r="F3" s="340"/>
      <c r="G3" s="340"/>
      <c r="H3" s="340"/>
    </row>
    <row r="4" spans="2:8" ht="22.5" x14ac:dyDescent="0.45">
      <c r="B4" s="340" t="s">
        <v>71</v>
      </c>
      <c r="C4" s="340"/>
      <c r="D4" s="340"/>
      <c r="E4" s="340"/>
      <c r="F4" s="340"/>
      <c r="G4" s="340"/>
      <c r="H4" s="340"/>
    </row>
    <row r="5" spans="2:8" ht="22.5" x14ac:dyDescent="0.45">
      <c r="B5" s="340" t="s">
        <v>72</v>
      </c>
      <c r="C5" s="340"/>
      <c r="D5" s="340"/>
      <c r="E5" s="340"/>
      <c r="F5" s="340"/>
      <c r="G5" s="340"/>
      <c r="H5" s="340"/>
    </row>
    <row r="6" spans="2:8" ht="22.5" x14ac:dyDescent="0.45">
      <c r="B6" s="340"/>
      <c r="C6" s="340"/>
      <c r="D6" s="340"/>
      <c r="E6" s="340"/>
      <c r="F6" s="340"/>
      <c r="G6" s="340"/>
      <c r="H6" s="340"/>
    </row>
    <row r="7" spans="2:8" ht="22.5" x14ac:dyDescent="0.45">
      <c r="B7" s="340" t="s">
        <v>73</v>
      </c>
      <c r="C7" s="340"/>
      <c r="D7" s="340"/>
      <c r="E7" s="340"/>
      <c r="F7" s="340"/>
      <c r="G7" s="340"/>
      <c r="H7" s="340"/>
    </row>
    <row r="8" spans="2:8" ht="22.5" x14ac:dyDescent="0.45">
      <c r="B8" s="340"/>
      <c r="C8" s="340"/>
      <c r="D8" s="340"/>
      <c r="E8" s="340"/>
      <c r="F8" s="340"/>
      <c r="G8" s="340"/>
      <c r="H8" s="340"/>
    </row>
    <row r="9" spans="2:8" ht="22.5" x14ac:dyDescent="0.45">
      <c r="B9" s="340"/>
      <c r="C9" s="340" t="s">
        <v>74</v>
      </c>
      <c r="D9" s="340"/>
      <c r="F9" s="340"/>
      <c r="G9" s="378" t="s">
        <v>75</v>
      </c>
      <c r="H9" s="340"/>
    </row>
    <row r="10" spans="2:8" ht="22.5" x14ac:dyDescent="0.45">
      <c r="B10" s="340"/>
      <c r="C10" s="340" t="s">
        <v>76</v>
      </c>
      <c r="D10" s="340"/>
      <c r="F10" s="340"/>
      <c r="G10" s="378" t="s">
        <v>77</v>
      </c>
      <c r="H10" s="340"/>
    </row>
    <row r="11" spans="2:8" ht="22.5" x14ac:dyDescent="0.45">
      <c r="B11" s="340"/>
      <c r="C11" s="340" t="s">
        <v>78</v>
      </c>
      <c r="D11" s="340"/>
      <c r="F11" s="340"/>
      <c r="G11" s="378" t="s">
        <v>79</v>
      </c>
      <c r="H11" s="340"/>
    </row>
    <row r="12" spans="2:8" ht="22.5" x14ac:dyDescent="0.45">
      <c r="B12" s="340"/>
      <c r="C12" s="340" t="s">
        <v>80</v>
      </c>
      <c r="D12" s="340"/>
      <c r="F12" s="340"/>
      <c r="G12" s="346">
        <v>36131.481486689816</v>
      </c>
      <c r="H12" s="340"/>
    </row>
    <row r="13" spans="2:8" ht="22.5" x14ac:dyDescent="0.45">
      <c r="B13" s="340"/>
      <c r="C13" s="340"/>
      <c r="D13" s="340"/>
      <c r="E13" s="340"/>
      <c r="F13" s="340"/>
      <c r="G13" s="340"/>
      <c r="H13" s="340"/>
    </row>
    <row r="14" spans="2:8" ht="22.5" x14ac:dyDescent="0.45">
      <c r="B14" s="340" t="s">
        <v>81</v>
      </c>
      <c r="C14" s="340"/>
      <c r="D14" s="340"/>
      <c r="E14" s="340"/>
      <c r="F14" s="340"/>
      <c r="G14" s="340"/>
      <c r="H14" s="340"/>
    </row>
    <row r="15" spans="2:8" ht="22.5" x14ac:dyDescent="0.45">
      <c r="B15" s="340" t="s">
        <v>82</v>
      </c>
      <c r="C15" s="340"/>
      <c r="D15" s="340"/>
      <c r="E15" s="340"/>
      <c r="F15" s="340"/>
      <c r="G15" s="340"/>
      <c r="H15" s="340"/>
    </row>
    <row r="16" spans="2:8" ht="22.5" x14ac:dyDescent="0.45">
      <c r="B16" s="340" t="s">
        <v>83</v>
      </c>
      <c r="C16" s="340"/>
      <c r="D16" s="340"/>
      <c r="E16" s="340"/>
      <c r="F16" s="340"/>
      <c r="G16" s="340"/>
      <c r="H16" s="340"/>
    </row>
    <row r="17" spans="2:14" ht="22.5" x14ac:dyDescent="0.45">
      <c r="B17" s="340" t="s">
        <v>84</v>
      </c>
      <c r="C17" s="340"/>
      <c r="D17" s="340"/>
      <c r="E17" s="340"/>
      <c r="F17" s="340"/>
      <c r="G17" s="340"/>
      <c r="H17" s="340"/>
    </row>
    <row r="18" spans="2:14" ht="22.5" x14ac:dyDescent="0.45">
      <c r="B18" s="340"/>
      <c r="C18" s="340"/>
      <c r="D18" s="340"/>
      <c r="E18" s="340"/>
      <c r="F18" s="340"/>
      <c r="G18" s="340"/>
      <c r="H18" s="340"/>
    </row>
    <row r="19" spans="2:14" ht="22.5" x14ac:dyDescent="0.45">
      <c r="B19" s="340" t="s">
        <v>85</v>
      </c>
      <c r="C19" s="340"/>
      <c r="D19" s="340"/>
      <c r="E19" s="340"/>
      <c r="F19" s="340"/>
      <c r="G19" s="340"/>
      <c r="H19" s="340"/>
    </row>
    <row r="20" spans="2:14" ht="22.5" x14ac:dyDescent="0.45">
      <c r="B20" s="345" t="s">
        <v>86</v>
      </c>
      <c r="C20" s="340"/>
      <c r="D20" s="340"/>
      <c r="E20" s="340"/>
      <c r="F20" s="340"/>
      <c r="G20" s="340"/>
      <c r="H20" s="340"/>
    </row>
    <row r="21" spans="2:14" ht="22.5" x14ac:dyDescent="0.45">
      <c r="B21" s="340" t="s">
        <v>87</v>
      </c>
      <c r="C21" s="340"/>
      <c r="D21" s="340"/>
      <c r="E21" s="340"/>
      <c r="F21" s="340"/>
      <c r="G21" s="340"/>
      <c r="H21" s="340"/>
    </row>
    <row r="22" spans="2:14" ht="22.5" x14ac:dyDescent="0.45">
      <c r="B22" s="340" t="s">
        <v>88</v>
      </c>
      <c r="C22" s="340"/>
      <c r="D22" s="340"/>
      <c r="E22" s="340"/>
      <c r="F22" s="340"/>
      <c r="G22" s="340"/>
      <c r="H22" s="340"/>
    </row>
    <row r="23" spans="2:14" ht="22.5" x14ac:dyDescent="0.45">
      <c r="B23" s="340" t="s">
        <v>89</v>
      </c>
      <c r="C23" s="340"/>
      <c r="D23" s="340"/>
      <c r="E23" s="340"/>
      <c r="F23" s="340"/>
      <c r="G23" s="340"/>
      <c r="H23" s="340"/>
      <c r="N23" s="340"/>
    </row>
    <row r="24" spans="2:14" ht="22.5" x14ac:dyDescent="0.45">
      <c r="B24" s="340" t="s">
        <v>90</v>
      </c>
      <c r="C24" s="340"/>
      <c r="D24" s="340"/>
      <c r="E24" s="340"/>
      <c r="F24" s="340"/>
      <c r="G24" s="340"/>
      <c r="H24" s="340"/>
      <c r="N24" s="340"/>
    </row>
    <row r="25" spans="2:14" ht="22.5" x14ac:dyDescent="0.45">
      <c r="B25" s="340"/>
      <c r="C25" s="340"/>
      <c r="D25" s="340"/>
      <c r="E25" s="340"/>
      <c r="F25" s="340"/>
      <c r="G25" s="340"/>
      <c r="H25" s="340"/>
      <c r="N25" s="340"/>
    </row>
    <row r="26" spans="2:14" ht="22.5" x14ac:dyDescent="0.45">
      <c r="B26" s="350" t="s">
        <v>91</v>
      </c>
      <c r="C26" s="340"/>
      <c r="D26" s="340"/>
      <c r="E26" s="340"/>
      <c r="F26" s="340"/>
      <c r="G26" s="340"/>
      <c r="H26" s="340"/>
      <c r="N26" s="340"/>
    </row>
    <row r="27" spans="2:14" ht="22.5" x14ac:dyDescent="0.45">
      <c r="B27" s="350" t="s">
        <v>92</v>
      </c>
      <c r="C27" s="340"/>
      <c r="D27" s="340"/>
      <c r="E27" s="340"/>
      <c r="F27" s="340"/>
      <c r="G27" s="340"/>
      <c r="H27" s="340"/>
      <c r="N27" s="340"/>
    </row>
    <row r="28" spans="2:14" ht="22.5" x14ac:dyDescent="0.45">
      <c r="B28" s="350" t="s">
        <v>93</v>
      </c>
      <c r="C28" s="340"/>
      <c r="D28" s="340"/>
      <c r="E28" s="340"/>
      <c r="F28" s="340"/>
      <c r="G28" s="340"/>
      <c r="H28" s="340"/>
      <c r="N28" s="340"/>
    </row>
    <row r="29" spans="2:14" ht="22.5" x14ac:dyDescent="0.45">
      <c r="B29" s="340" t="s">
        <v>94</v>
      </c>
      <c r="C29" s="340"/>
      <c r="D29" s="340"/>
      <c r="E29" s="340"/>
      <c r="F29" s="340"/>
      <c r="G29" s="340"/>
      <c r="H29" s="340"/>
      <c r="N29" s="340"/>
    </row>
    <row r="30" spans="2:14" ht="22.5" x14ac:dyDescent="0.45">
      <c r="B30" s="340"/>
      <c r="C30" s="340"/>
      <c r="D30" s="340"/>
      <c r="E30" s="340"/>
      <c r="F30" s="340"/>
      <c r="G30" s="340"/>
      <c r="H30" s="340"/>
      <c r="N30" s="340"/>
    </row>
    <row r="31" spans="2:14" ht="22.5" x14ac:dyDescent="0.45">
      <c r="B31" s="340"/>
      <c r="C31" s="340"/>
      <c r="D31" s="340" t="s">
        <v>95</v>
      </c>
      <c r="E31" s="340"/>
      <c r="F31" s="340"/>
      <c r="G31" s="340"/>
      <c r="H31" s="340"/>
      <c r="N31" s="340"/>
    </row>
    <row r="32" spans="2:14" ht="22.5" x14ac:dyDescent="0.45">
      <c r="B32" s="340"/>
      <c r="C32" s="340"/>
      <c r="D32" s="340"/>
      <c r="E32" s="340"/>
      <c r="F32" s="340"/>
      <c r="G32" s="340"/>
      <c r="H32" s="340"/>
      <c r="N32" s="340"/>
    </row>
    <row r="33" spans="2:14" ht="22.5" x14ac:dyDescent="0.45">
      <c r="B33" s="340" t="s">
        <v>96</v>
      </c>
      <c r="C33" s="340"/>
      <c r="D33" s="340"/>
      <c r="E33" s="340"/>
      <c r="F33" s="340"/>
      <c r="G33" s="340"/>
      <c r="H33" s="340"/>
      <c r="N33" s="340"/>
    </row>
    <row r="34" spans="2:14" ht="22.5" x14ac:dyDescent="0.45">
      <c r="B34" s="340" t="s">
        <v>97</v>
      </c>
      <c r="C34" s="340"/>
      <c r="D34" s="340"/>
      <c r="E34" s="340"/>
      <c r="F34" s="340"/>
      <c r="G34" s="340"/>
      <c r="H34" s="340"/>
      <c r="N34" s="340"/>
    </row>
    <row r="35" spans="2:14" ht="22.5" x14ac:dyDescent="0.45">
      <c r="B35" s="340"/>
      <c r="C35" s="340"/>
      <c r="D35" s="340"/>
      <c r="E35" s="340"/>
      <c r="F35" s="340"/>
      <c r="G35" s="340"/>
      <c r="H35" s="340"/>
      <c r="N35" s="340"/>
    </row>
    <row r="36" spans="2:14" ht="22.5" x14ac:dyDescent="0.45">
      <c r="B36" s="340"/>
      <c r="C36" s="340" t="s">
        <v>98</v>
      </c>
      <c r="D36" s="340"/>
      <c r="E36" s="340"/>
      <c r="F36" s="340"/>
      <c r="G36" s="340"/>
      <c r="H36" s="340"/>
      <c r="N36" s="340"/>
    </row>
    <row r="37" spans="2:14" ht="22.5" x14ac:dyDescent="0.45">
      <c r="B37" s="340"/>
      <c r="C37" s="340" t="s">
        <v>99</v>
      </c>
      <c r="D37" s="340"/>
      <c r="E37" s="340"/>
      <c r="F37" s="340"/>
      <c r="G37" s="340"/>
      <c r="H37" s="340"/>
      <c r="N37" s="340"/>
    </row>
    <row r="38" spans="2:14" ht="22.5" x14ac:dyDescent="0.45">
      <c r="B38" s="340"/>
      <c r="C38" s="340"/>
      <c r="D38" s="340"/>
      <c r="E38" s="340"/>
      <c r="F38" s="340"/>
      <c r="G38" s="340"/>
      <c r="H38" s="340"/>
      <c r="N38" s="340"/>
    </row>
    <row r="39" spans="2:14" ht="22.5" x14ac:dyDescent="0.45">
      <c r="B39" s="340"/>
      <c r="C39" s="340" t="s">
        <v>100</v>
      </c>
      <c r="D39" s="340"/>
      <c r="E39" s="340"/>
      <c r="F39" s="340"/>
      <c r="G39" s="340"/>
      <c r="H39" s="340"/>
      <c r="N39" s="340"/>
    </row>
    <row r="40" spans="2:14" ht="22.5" x14ac:dyDescent="0.45">
      <c r="B40" s="340"/>
      <c r="C40" s="340" t="s">
        <v>101</v>
      </c>
      <c r="D40" s="340"/>
      <c r="E40" s="340"/>
      <c r="F40" s="340"/>
      <c r="G40" s="340"/>
      <c r="H40" s="340"/>
      <c r="N40" s="340"/>
    </row>
    <row r="41" spans="2:14" ht="22.5" x14ac:dyDescent="0.45">
      <c r="B41" s="340"/>
      <c r="C41" s="340"/>
      <c r="D41" s="340"/>
      <c r="E41" s="340"/>
      <c r="F41" s="340"/>
      <c r="G41" s="340"/>
      <c r="H41" s="340"/>
      <c r="N41" s="340"/>
    </row>
    <row r="42" spans="2:14" ht="22.5" x14ac:dyDescent="0.45">
      <c r="B42" s="340"/>
      <c r="C42" s="340" t="s">
        <v>102</v>
      </c>
      <c r="D42" s="340"/>
      <c r="E42" s="340"/>
      <c r="F42" s="340"/>
      <c r="G42" s="340"/>
      <c r="H42" s="340"/>
      <c r="N42" s="340"/>
    </row>
    <row r="43" spans="2:14" ht="22.5" x14ac:dyDescent="0.45">
      <c r="B43" s="340"/>
      <c r="C43" s="340"/>
      <c r="D43" s="340"/>
      <c r="E43" s="340"/>
      <c r="F43" s="340"/>
      <c r="G43" s="340"/>
      <c r="H43" s="340"/>
      <c r="N43" s="340"/>
    </row>
    <row r="44" spans="2:14" ht="22.5" x14ac:dyDescent="0.45">
      <c r="B44" s="340" t="s">
        <v>103</v>
      </c>
      <c r="F44" s="340"/>
      <c r="G44" s="340"/>
      <c r="H44" s="340"/>
      <c r="N44" s="340"/>
    </row>
    <row r="45" spans="2:14" ht="22.5" x14ac:dyDescent="0.45">
      <c r="B45" s="340" t="s">
        <v>104</v>
      </c>
      <c r="F45" s="340"/>
      <c r="G45" s="340"/>
      <c r="H45" s="340"/>
      <c r="N45" s="340"/>
    </row>
    <row r="46" spans="2:14" ht="22.5" x14ac:dyDescent="0.45">
      <c r="B46" s="340"/>
      <c r="F46" s="340"/>
      <c r="G46" s="340"/>
      <c r="H46" s="340"/>
      <c r="N46" s="340"/>
    </row>
    <row r="47" spans="2:14" ht="23" x14ac:dyDescent="0.5">
      <c r="B47" s="365" t="s">
        <v>105</v>
      </c>
      <c r="C47" s="340"/>
      <c r="D47" s="340"/>
      <c r="E47" s="340"/>
      <c r="F47" s="340"/>
      <c r="G47" s="340"/>
      <c r="H47" s="340"/>
    </row>
    <row r="48" spans="2:14" ht="23" x14ac:dyDescent="0.5">
      <c r="B48" s="366" t="s">
        <v>106</v>
      </c>
      <c r="C48" s="340"/>
      <c r="D48" s="340"/>
      <c r="E48" s="340"/>
      <c r="F48" s="340"/>
      <c r="G48" s="340"/>
      <c r="H48" s="340"/>
    </row>
    <row r="49" spans="2:8" ht="22.5" x14ac:dyDescent="0.45">
      <c r="B49" s="341"/>
      <c r="C49" s="340"/>
      <c r="D49" s="340"/>
      <c r="E49" s="340"/>
      <c r="F49" s="340"/>
      <c r="G49" s="340"/>
      <c r="H49" s="340"/>
    </row>
    <row r="50" spans="2:8" ht="23" x14ac:dyDescent="0.5">
      <c r="B50" s="342" t="s">
        <v>107</v>
      </c>
      <c r="C50" s="340"/>
      <c r="D50" s="340"/>
      <c r="E50" s="340"/>
      <c r="F50" s="340"/>
      <c r="G50" s="340"/>
      <c r="H50" s="340"/>
    </row>
    <row r="51" spans="2:8" ht="22.5" x14ac:dyDescent="0.45">
      <c r="B51" s="343" t="s">
        <v>108</v>
      </c>
      <c r="C51" s="340"/>
      <c r="D51" s="340"/>
      <c r="E51" s="340"/>
      <c r="F51" s="340"/>
      <c r="G51" s="340"/>
      <c r="H51" s="340"/>
    </row>
    <row r="52" spans="2:8" ht="22.5" x14ac:dyDescent="0.45">
      <c r="B52" s="343" t="s">
        <v>108</v>
      </c>
      <c r="C52" s="340"/>
      <c r="D52" s="340"/>
      <c r="E52" s="340"/>
      <c r="F52" s="340"/>
      <c r="G52" s="340"/>
      <c r="H52" s="340"/>
    </row>
    <row r="53" spans="2:8" ht="22.5" x14ac:dyDescent="0.45">
      <c r="B53" s="343" t="s">
        <v>108</v>
      </c>
      <c r="C53" s="340"/>
      <c r="D53" s="340"/>
      <c r="E53" s="340"/>
      <c r="F53" s="340"/>
      <c r="G53" s="340"/>
      <c r="H53" s="340"/>
    </row>
    <row r="54" spans="2:8" ht="22.5" x14ac:dyDescent="0.45">
      <c r="B54" s="343" t="s">
        <v>108</v>
      </c>
      <c r="C54" s="340"/>
      <c r="D54" s="340"/>
      <c r="E54" s="340"/>
      <c r="F54" s="340"/>
      <c r="G54" s="340"/>
      <c r="H54" s="340"/>
    </row>
    <row r="55" spans="2:8" ht="22.5" x14ac:dyDescent="0.45">
      <c r="B55" s="343" t="s">
        <v>108</v>
      </c>
      <c r="C55" s="340"/>
      <c r="D55" s="340"/>
      <c r="E55" s="340"/>
      <c r="F55" s="340"/>
      <c r="G55" s="340"/>
      <c r="H55" s="340"/>
    </row>
    <row r="56" spans="2:8" ht="22.5" x14ac:dyDescent="0.45">
      <c r="B56" s="343" t="s">
        <v>108</v>
      </c>
      <c r="C56" s="340"/>
      <c r="D56" s="340"/>
      <c r="E56" s="340"/>
      <c r="F56" s="340"/>
      <c r="G56" s="340"/>
      <c r="H56" s="340"/>
    </row>
    <row r="57" spans="2:8" ht="22.5" x14ac:dyDescent="0.45">
      <c r="B57" s="343" t="s">
        <v>108</v>
      </c>
      <c r="C57" s="340"/>
      <c r="D57" s="340"/>
      <c r="E57" s="340"/>
      <c r="F57" s="340"/>
      <c r="G57" s="340"/>
      <c r="H57" s="340"/>
    </row>
    <row r="58" spans="2:8" ht="22.5" x14ac:dyDescent="0.45">
      <c r="B58" s="343" t="s">
        <v>108</v>
      </c>
      <c r="C58" s="340"/>
      <c r="D58" s="340"/>
      <c r="E58" s="340"/>
      <c r="F58" s="340"/>
      <c r="G58" s="340"/>
      <c r="H58" s="340"/>
    </row>
    <row r="59" spans="2:8" ht="22.5" x14ac:dyDescent="0.45">
      <c r="B59" s="343" t="s">
        <v>108</v>
      </c>
      <c r="C59" s="340"/>
      <c r="D59" s="340"/>
      <c r="E59" s="340"/>
      <c r="F59" s="340"/>
      <c r="G59" s="340"/>
      <c r="H59" s="340"/>
    </row>
    <row r="60" spans="2:8" ht="22.5" x14ac:dyDescent="0.45">
      <c r="B60" s="343" t="s">
        <v>108</v>
      </c>
      <c r="C60" s="340"/>
      <c r="D60" s="340"/>
      <c r="E60" s="340"/>
      <c r="F60" s="340"/>
      <c r="G60" s="340"/>
      <c r="H60" s="340"/>
    </row>
    <row r="61" spans="2:8" ht="22.5" x14ac:dyDescent="0.45">
      <c r="B61" s="343" t="s">
        <v>108</v>
      </c>
      <c r="C61" s="340"/>
      <c r="D61" s="340"/>
      <c r="E61" s="340"/>
      <c r="F61" s="340"/>
      <c r="G61" s="340"/>
      <c r="H61" s="340"/>
    </row>
    <row r="62" spans="2:8" ht="22.5" x14ac:dyDescent="0.45">
      <c r="B62" s="343" t="s">
        <v>108</v>
      </c>
      <c r="C62" s="340"/>
      <c r="D62" s="340"/>
      <c r="E62" s="340"/>
      <c r="F62" s="340"/>
      <c r="G62" s="340"/>
      <c r="H62" s="340"/>
    </row>
    <row r="63" spans="2:8" ht="22.5" x14ac:dyDescent="0.45">
      <c r="B63" s="343" t="s">
        <v>108</v>
      </c>
      <c r="C63" s="340"/>
      <c r="D63" s="340"/>
      <c r="E63" s="340"/>
      <c r="F63" s="340"/>
      <c r="G63" s="340"/>
      <c r="H63" s="340"/>
    </row>
    <row r="64" spans="2:8" ht="17.5" x14ac:dyDescent="0.35">
      <c r="B64" s="343" t="s">
        <v>108</v>
      </c>
    </row>
    <row r="65" spans="2:2" ht="17.5" x14ac:dyDescent="0.35">
      <c r="B65" s="343" t="s">
        <v>108</v>
      </c>
    </row>
    <row r="66" spans="2:2" ht="17.5" x14ac:dyDescent="0.35">
      <c r="B66" s="343" t="s">
        <v>108</v>
      </c>
    </row>
    <row r="67" spans="2:2" ht="17.5" x14ac:dyDescent="0.35">
      <c r="B67" s="343" t="s">
        <v>108</v>
      </c>
    </row>
    <row r="68" spans="2:2" ht="17.5" x14ac:dyDescent="0.35">
      <c r="B68" s="343" t="s">
        <v>108</v>
      </c>
    </row>
    <row r="69" spans="2:2" ht="17.5" x14ac:dyDescent="0.35">
      <c r="B69" s="344"/>
    </row>
    <row r="70" spans="2:2" ht="23" x14ac:dyDescent="0.5">
      <c r="B70" s="342" t="s">
        <v>109</v>
      </c>
    </row>
    <row r="71" spans="2:2" ht="17.5" x14ac:dyDescent="0.35">
      <c r="B71" s="343" t="s">
        <v>108</v>
      </c>
    </row>
    <row r="72" spans="2:2" ht="17.5" x14ac:dyDescent="0.35">
      <c r="B72" s="343" t="s">
        <v>108</v>
      </c>
    </row>
    <row r="73" spans="2:2" ht="17.5" x14ac:dyDescent="0.35">
      <c r="B73" s="343" t="s">
        <v>110</v>
      </c>
    </row>
    <row r="74" spans="2:2" ht="17.5" x14ac:dyDescent="0.35">
      <c r="B74" s="343" t="s">
        <v>108</v>
      </c>
    </row>
    <row r="75" spans="2:2" ht="17.5" x14ac:dyDescent="0.35">
      <c r="B75" s="343" t="s">
        <v>108</v>
      </c>
    </row>
    <row r="76" spans="2:2" ht="17.5" x14ac:dyDescent="0.35">
      <c r="B76" s="343" t="s">
        <v>111</v>
      </c>
    </row>
    <row r="77" spans="2:2" ht="17.5" x14ac:dyDescent="0.35">
      <c r="B77" s="343" t="s">
        <v>112</v>
      </c>
    </row>
    <row r="78" spans="2:2" ht="17.5" x14ac:dyDescent="0.35">
      <c r="B78" s="343" t="s">
        <v>108</v>
      </c>
    </row>
    <row r="79" spans="2:2" ht="17.5" x14ac:dyDescent="0.35">
      <c r="B79" s="343" t="s">
        <v>113</v>
      </c>
    </row>
    <row r="80" spans="2:2" ht="17.5" x14ac:dyDescent="0.35">
      <c r="B80" s="343" t="s">
        <v>108</v>
      </c>
    </row>
    <row r="81" spans="2:2" ht="17.5" x14ac:dyDescent="0.35">
      <c r="B81" s="343" t="s">
        <v>108</v>
      </c>
    </row>
    <row r="82" spans="2:2" ht="17.5" x14ac:dyDescent="0.35">
      <c r="B82" s="343" t="s">
        <v>108</v>
      </c>
    </row>
    <row r="83" spans="2:2" ht="17.5" x14ac:dyDescent="0.35">
      <c r="B83" s="343" t="s">
        <v>108</v>
      </c>
    </row>
    <row r="84" spans="2:2" ht="17.5" x14ac:dyDescent="0.35">
      <c r="B84" s="343" t="s">
        <v>108</v>
      </c>
    </row>
    <row r="85" spans="2:2" ht="22.5" x14ac:dyDescent="0.45">
      <c r="B85" s="340"/>
    </row>
    <row r="86" spans="2:2" ht="18" x14ac:dyDescent="0.4">
      <c r="B86" s="377" t="s">
        <v>114</v>
      </c>
    </row>
  </sheetData>
  <printOptions gridLinesSet="0"/>
  <pageMargins left="0.75" right="0.75" top="1" bottom="1" header="0.5" footer="0.5"/>
  <pageSetup paperSize="9" scale="60" fitToHeight="2" orientation="portrait" horizontalDpi="4294967292" verticalDpi="0" r:id="rId1"/>
  <headerFooter alignWithMargins="0">
    <oddHeader>&amp;L&amp;P of &amp;N&amp;C&amp;A&amp;R&amp;D</oddHeader>
    <oddFooter>&amp;LCompiled using the PlanWare Online Financial Planner at www.planware.org&amp;R© Copyright  Invest-Tech Limited  1998</oddFooter>
  </headerFooter>
  <rowBreaks count="1" manualBreakCount="1">
    <brk id="45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0"/>
  <sheetViews>
    <sheetView showGridLines="0" showRowColHeaders="0" zoomScale="50" workbookViewId="0"/>
  </sheetViews>
  <sheetFormatPr defaultRowHeight="15.5" x14ac:dyDescent="0.35"/>
  <cols>
    <col min="1" max="1" width="4.3046875" customWidth="1"/>
    <col min="2" max="2" width="32.765625" customWidth="1"/>
    <col min="3" max="3" width="8.84375" customWidth="1"/>
    <col min="4" max="4" width="10.765625" customWidth="1"/>
    <col min="5" max="5" width="55.765625" customWidth="1"/>
  </cols>
  <sheetData>
    <row r="1" spans="2:5" ht="30" x14ac:dyDescent="0.6">
      <c r="B1" s="347" t="s">
        <v>115</v>
      </c>
    </row>
    <row r="2" spans="2:5" x14ac:dyDescent="0.35">
      <c r="B2" s="348"/>
    </row>
    <row r="3" spans="2:5" ht="17.5" x14ac:dyDescent="0.35">
      <c r="B3" s="349" t="s">
        <v>116</v>
      </c>
    </row>
    <row r="4" spans="2:5" ht="16" thickBot="1" x14ac:dyDescent="0.4"/>
    <row r="5" spans="2:5" ht="30.5" thickBot="1" x14ac:dyDescent="0.65">
      <c r="B5" s="176" t="s">
        <v>117</v>
      </c>
      <c r="C5" s="177"/>
      <c r="D5" s="177"/>
      <c r="E5" s="178"/>
    </row>
    <row r="6" spans="2:5" x14ac:dyDescent="0.35">
      <c r="B6" s="114" t="s">
        <v>118</v>
      </c>
      <c r="C6" s="185">
        <v>1999</v>
      </c>
      <c r="D6" s="115" t="s">
        <v>119</v>
      </c>
      <c r="E6" s="116"/>
    </row>
    <row r="7" spans="2:5" x14ac:dyDescent="0.35">
      <c r="B7" s="117" t="s">
        <v>120</v>
      </c>
      <c r="C7" s="186">
        <v>3</v>
      </c>
      <c r="D7" s="118" t="s">
        <v>121</v>
      </c>
      <c r="E7" s="119"/>
    </row>
    <row r="8" spans="2:5" x14ac:dyDescent="0.35">
      <c r="B8" s="117" t="s">
        <v>122</v>
      </c>
      <c r="C8" s="187" t="s">
        <v>123</v>
      </c>
      <c r="D8" s="120" t="s">
        <v>124</v>
      </c>
      <c r="E8" s="119"/>
    </row>
    <row r="9" spans="2:5" ht="16" thickBot="1" x14ac:dyDescent="0.4">
      <c r="B9" s="117" t="s">
        <v>125</v>
      </c>
      <c r="C9" s="188" t="s">
        <v>126</v>
      </c>
      <c r="D9" s="118" t="s">
        <v>127</v>
      </c>
      <c r="E9" s="119"/>
    </row>
    <row r="10" spans="2:5" ht="23" x14ac:dyDescent="0.5">
      <c r="B10" s="179" t="s">
        <v>128</v>
      </c>
      <c r="C10" s="180"/>
      <c r="D10" s="180"/>
      <c r="E10" s="181"/>
    </row>
    <row r="11" spans="2:5" ht="18.5" thickBot="1" x14ac:dyDescent="0.45">
      <c r="B11" s="182" t="s">
        <v>129</v>
      </c>
      <c r="C11" s="183" t="s">
        <v>130</v>
      </c>
      <c r="D11" s="242" t="s">
        <v>131</v>
      </c>
      <c r="E11" s="184"/>
    </row>
    <row r="12" spans="2:5" x14ac:dyDescent="0.35">
      <c r="B12" s="117" t="s">
        <v>132</v>
      </c>
      <c r="C12" s="168">
        <v>420</v>
      </c>
      <c r="D12" s="121" t="s">
        <v>133</v>
      </c>
      <c r="E12" s="241" t="s">
        <v>134</v>
      </c>
    </row>
    <row r="13" spans="2:5" x14ac:dyDescent="0.35">
      <c r="B13" s="117" t="s">
        <v>135</v>
      </c>
      <c r="C13" s="168">
        <v>90</v>
      </c>
      <c r="D13" s="121" t="s">
        <v>136</v>
      </c>
      <c r="E13" s="119" t="s">
        <v>137</v>
      </c>
    </row>
    <row r="14" spans="2:5" x14ac:dyDescent="0.35">
      <c r="B14" s="117"/>
      <c r="C14" s="252"/>
      <c r="D14" s="121"/>
      <c r="E14" s="119" t="s">
        <v>138</v>
      </c>
    </row>
    <row r="15" spans="2:5" x14ac:dyDescent="0.35">
      <c r="B15" s="117" t="s">
        <v>139</v>
      </c>
      <c r="C15" s="168">
        <v>41</v>
      </c>
      <c r="D15" s="121" t="s">
        <v>140</v>
      </c>
      <c r="E15" s="119" t="s">
        <v>141</v>
      </c>
    </row>
    <row r="16" spans="2:5" x14ac:dyDescent="0.35">
      <c r="B16" s="117" t="s">
        <v>142</v>
      </c>
      <c r="C16" s="168">
        <v>195</v>
      </c>
      <c r="D16" s="121" t="s">
        <v>133</v>
      </c>
      <c r="E16" s="119" t="s">
        <v>143</v>
      </c>
    </row>
    <row r="17" spans="2:5" x14ac:dyDescent="0.35">
      <c r="B17" s="117"/>
      <c r="C17" s="252"/>
      <c r="D17" s="121"/>
      <c r="E17" s="119"/>
    </row>
    <row r="18" spans="2:5" x14ac:dyDescent="0.35">
      <c r="B18" s="117" t="s">
        <v>144</v>
      </c>
      <c r="C18" s="168">
        <v>110</v>
      </c>
      <c r="D18" s="121" t="s">
        <v>133</v>
      </c>
      <c r="E18" s="119" t="s">
        <v>145</v>
      </c>
    </row>
    <row r="19" spans="2:5" x14ac:dyDescent="0.35">
      <c r="B19" s="117" t="s">
        <v>146</v>
      </c>
      <c r="C19" s="168">
        <v>100</v>
      </c>
      <c r="D19" s="121" t="s">
        <v>133</v>
      </c>
      <c r="E19" s="119" t="s">
        <v>147</v>
      </c>
    </row>
    <row r="20" spans="2:5" x14ac:dyDescent="0.35">
      <c r="B20" s="117"/>
      <c r="C20" s="252"/>
      <c r="D20" s="121"/>
      <c r="E20" s="119"/>
    </row>
    <row r="21" spans="2:5" x14ac:dyDescent="0.35">
      <c r="B21" s="117" t="s">
        <v>148</v>
      </c>
      <c r="C21" s="168">
        <v>1300</v>
      </c>
      <c r="D21" s="121" t="s">
        <v>133</v>
      </c>
      <c r="E21" s="119" t="s">
        <v>149</v>
      </c>
    </row>
    <row r="22" spans="2:5" x14ac:dyDescent="0.35">
      <c r="B22" s="117" t="s">
        <v>150</v>
      </c>
      <c r="C22" s="168">
        <v>350</v>
      </c>
      <c r="D22" s="121" t="s">
        <v>133</v>
      </c>
      <c r="E22" s="119" t="s">
        <v>151</v>
      </c>
    </row>
    <row r="23" spans="2:5" x14ac:dyDescent="0.35">
      <c r="B23" s="117" t="s">
        <v>152</v>
      </c>
      <c r="C23" s="168">
        <v>8</v>
      </c>
      <c r="D23" s="121" t="s">
        <v>153</v>
      </c>
      <c r="E23" s="119" t="s">
        <v>154</v>
      </c>
    </row>
    <row r="24" spans="2:5" x14ac:dyDescent="0.35">
      <c r="B24" s="117" t="s">
        <v>155</v>
      </c>
      <c r="C24" s="168">
        <v>175</v>
      </c>
      <c r="D24" s="121" t="s">
        <v>133</v>
      </c>
      <c r="E24" s="119"/>
    </row>
    <row r="25" spans="2:5" x14ac:dyDescent="0.35">
      <c r="B25" s="117"/>
      <c r="C25" s="252"/>
      <c r="D25" s="121"/>
      <c r="E25" s="119"/>
    </row>
    <row r="26" spans="2:5" x14ac:dyDescent="0.35">
      <c r="B26" s="117" t="s">
        <v>156</v>
      </c>
      <c r="C26" s="168">
        <v>6</v>
      </c>
      <c r="D26" s="121" t="s">
        <v>153</v>
      </c>
      <c r="E26" s="119" t="s">
        <v>157</v>
      </c>
    </row>
    <row r="27" spans="2:5" x14ac:dyDescent="0.35">
      <c r="B27" s="117" t="s">
        <v>158</v>
      </c>
      <c r="C27" s="168">
        <v>12</v>
      </c>
      <c r="D27" s="121" t="s">
        <v>153</v>
      </c>
      <c r="E27" s="119" t="s">
        <v>157</v>
      </c>
    </row>
    <row r="28" spans="2:5" x14ac:dyDescent="0.35">
      <c r="B28" s="117" t="s">
        <v>159</v>
      </c>
      <c r="C28" s="168">
        <v>-100</v>
      </c>
      <c r="D28" s="121" t="s">
        <v>133</v>
      </c>
      <c r="E28" s="119" t="s">
        <v>160</v>
      </c>
    </row>
    <row r="29" spans="2:5" x14ac:dyDescent="0.35">
      <c r="B29" s="117" t="s">
        <v>161</v>
      </c>
      <c r="C29" s="168">
        <v>450</v>
      </c>
      <c r="D29" s="121" t="s">
        <v>133</v>
      </c>
      <c r="E29" s="119" t="s">
        <v>162</v>
      </c>
    </row>
    <row r="30" spans="2:5" x14ac:dyDescent="0.35">
      <c r="B30" s="117" t="s">
        <v>163</v>
      </c>
      <c r="C30" s="168">
        <v>125</v>
      </c>
      <c r="D30" s="121" t="s">
        <v>133</v>
      </c>
      <c r="E30" s="119" t="s">
        <v>164</v>
      </c>
    </row>
    <row r="31" spans="2:5" x14ac:dyDescent="0.35">
      <c r="B31" s="117"/>
      <c r="C31" s="252"/>
      <c r="D31" s="121"/>
      <c r="E31" s="119"/>
    </row>
    <row r="32" spans="2:5" x14ac:dyDescent="0.35">
      <c r="B32" s="117" t="s">
        <v>165</v>
      </c>
      <c r="C32" s="168">
        <v>700</v>
      </c>
      <c r="D32" s="121" t="s">
        <v>133</v>
      </c>
      <c r="E32" s="119" t="s">
        <v>166</v>
      </c>
    </row>
    <row r="33" spans="2:5" x14ac:dyDescent="0.35">
      <c r="B33" s="117" t="s">
        <v>167</v>
      </c>
      <c r="C33" s="168">
        <v>300</v>
      </c>
      <c r="D33" s="121" t="s">
        <v>133</v>
      </c>
      <c r="E33" s="119" t="s">
        <v>168</v>
      </c>
    </row>
    <row r="34" spans="2:5" x14ac:dyDescent="0.35">
      <c r="B34" s="117" t="s">
        <v>169</v>
      </c>
      <c r="C34" s="189">
        <v>61</v>
      </c>
      <c r="D34" s="121" t="s">
        <v>170</v>
      </c>
      <c r="E34" s="119" t="s">
        <v>171</v>
      </c>
    </row>
    <row r="35" spans="2:5" x14ac:dyDescent="0.35">
      <c r="B35" s="122" t="s">
        <v>172</v>
      </c>
      <c r="C35" s="189">
        <v>46</v>
      </c>
      <c r="D35" s="121" t="s">
        <v>170</v>
      </c>
      <c r="E35" s="119" t="s">
        <v>173</v>
      </c>
    </row>
    <row r="36" spans="2:5" x14ac:dyDescent="0.35">
      <c r="B36" s="117"/>
      <c r="C36" s="253"/>
      <c r="D36" s="121"/>
      <c r="E36" s="119"/>
    </row>
    <row r="37" spans="2:5" x14ac:dyDescent="0.35">
      <c r="B37" s="117" t="s">
        <v>174</v>
      </c>
      <c r="C37" s="168">
        <v>35</v>
      </c>
      <c r="D37" s="121" t="s">
        <v>175</v>
      </c>
      <c r="E37" s="119" t="s">
        <v>176</v>
      </c>
    </row>
    <row r="38" spans="2:5" x14ac:dyDescent="0.35">
      <c r="B38" s="117" t="s">
        <v>177</v>
      </c>
      <c r="C38" s="168">
        <v>50</v>
      </c>
      <c r="D38" s="121" t="s">
        <v>133</v>
      </c>
      <c r="E38" s="119" t="s">
        <v>178</v>
      </c>
    </row>
    <row r="39" spans="2:5" x14ac:dyDescent="0.35">
      <c r="B39" s="117" t="s">
        <v>179</v>
      </c>
      <c r="C39" s="168">
        <v>100</v>
      </c>
      <c r="D39" s="121" t="s">
        <v>180</v>
      </c>
      <c r="E39" s="119" t="s">
        <v>181</v>
      </c>
    </row>
    <row r="40" spans="2:5" x14ac:dyDescent="0.35">
      <c r="B40" s="117" t="s">
        <v>182</v>
      </c>
      <c r="C40" s="168">
        <v>100</v>
      </c>
      <c r="D40" s="121" t="s">
        <v>133</v>
      </c>
      <c r="E40" s="119" t="s">
        <v>183</v>
      </c>
    </row>
    <row r="41" spans="2:5" ht="16" thickBot="1" x14ac:dyDescent="0.4">
      <c r="B41" s="117" t="s">
        <v>184</v>
      </c>
      <c r="C41" s="169">
        <v>12</v>
      </c>
      <c r="D41" s="123" t="s">
        <v>180</v>
      </c>
      <c r="E41" s="124" t="s">
        <v>185</v>
      </c>
    </row>
    <row r="42" spans="2:5" ht="23" x14ac:dyDescent="0.5">
      <c r="B42" s="179" t="s">
        <v>186</v>
      </c>
      <c r="C42" s="180"/>
      <c r="D42" s="180"/>
      <c r="E42" s="181"/>
    </row>
    <row r="43" spans="2:5" ht="18.5" thickBot="1" x14ac:dyDescent="0.45">
      <c r="B43" s="182" t="s">
        <v>129</v>
      </c>
      <c r="C43" s="183" t="s">
        <v>187</v>
      </c>
      <c r="D43" s="251" t="s">
        <v>188</v>
      </c>
      <c r="E43" s="184"/>
    </row>
    <row r="44" spans="2:5" x14ac:dyDescent="0.35">
      <c r="B44" s="117" t="s">
        <v>189</v>
      </c>
      <c r="C44" s="168">
        <v>5</v>
      </c>
      <c r="D44" s="168">
        <v>10</v>
      </c>
      <c r="E44" s="119" t="s">
        <v>190</v>
      </c>
    </row>
    <row r="45" spans="2:5" x14ac:dyDescent="0.35">
      <c r="B45" s="117" t="s">
        <v>139</v>
      </c>
      <c r="C45" s="168">
        <v>42</v>
      </c>
      <c r="D45" s="168">
        <v>43</v>
      </c>
      <c r="E45" s="119" t="s">
        <v>191</v>
      </c>
    </row>
    <row r="46" spans="2:5" x14ac:dyDescent="0.35">
      <c r="B46" s="117" t="s">
        <v>192</v>
      </c>
      <c r="C46" s="168">
        <v>4</v>
      </c>
      <c r="D46" s="168">
        <v>7</v>
      </c>
      <c r="E46" s="119" t="s">
        <v>193</v>
      </c>
    </row>
    <row r="47" spans="2:5" x14ac:dyDescent="0.35">
      <c r="B47" s="117" t="s">
        <v>194</v>
      </c>
      <c r="C47" s="168">
        <v>5</v>
      </c>
      <c r="D47" s="168">
        <v>9</v>
      </c>
      <c r="E47" s="119" t="s">
        <v>195</v>
      </c>
    </row>
    <row r="48" spans="2:5" x14ac:dyDescent="0.35">
      <c r="B48" s="117"/>
      <c r="C48" s="252"/>
      <c r="D48" s="252"/>
      <c r="E48" s="119"/>
    </row>
    <row r="49" spans="2:5" x14ac:dyDescent="0.35">
      <c r="B49" s="117" t="s">
        <v>196</v>
      </c>
      <c r="C49" s="168">
        <v>100</v>
      </c>
      <c r="D49" s="168">
        <v>190</v>
      </c>
      <c r="E49" s="119" t="s">
        <v>197</v>
      </c>
    </row>
    <row r="50" spans="2:5" x14ac:dyDescent="0.35">
      <c r="B50" s="117" t="s">
        <v>198</v>
      </c>
      <c r="C50" s="168">
        <v>70</v>
      </c>
      <c r="D50" s="168">
        <v>100</v>
      </c>
      <c r="E50" s="119" t="s">
        <v>199</v>
      </c>
    </row>
    <row r="51" spans="2:5" x14ac:dyDescent="0.35">
      <c r="B51" s="117"/>
      <c r="C51" s="252"/>
      <c r="D51" s="252"/>
      <c r="E51" s="119"/>
    </row>
    <row r="52" spans="2:5" x14ac:dyDescent="0.35">
      <c r="B52" s="117" t="s">
        <v>174</v>
      </c>
      <c r="C52" s="168">
        <v>30</v>
      </c>
      <c r="D52" s="168">
        <v>35</v>
      </c>
      <c r="E52" s="119" t="s">
        <v>200</v>
      </c>
    </row>
    <row r="53" spans="2:5" x14ac:dyDescent="0.35">
      <c r="B53" s="117" t="s">
        <v>201</v>
      </c>
      <c r="C53" s="168">
        <v>70</v>
      </c>
      <c r="D53" s="168">
        <v>90</v>
      </c>
      <c r="E53" s="119" t="s">
        <v>197</v>
      </c>
    </row>
    <row r="54" spans="2:5" x14ac:dyDescent="0.35">
      <c r="B54" s="117" t="s">
        <v>182</v>
      </c>
      <c r="C54" s="168">
        <v>150</v>
      </c>
      <c r="D54" s="125" t="s">
        <v>133</v>
      </c>
      <c r="E54" s="119" t="s">
        <v>202</v>
      </c>
    </row>
    <row r="55" spans="2:5" ht="16" thickBot="1" x14ac:dyDescent="0.4">
      <c r="B55" s="126" t="s">
        <v>184</v>
      </c>
      <c r="C55" s="190">
        <v>10</v>
      </c>
      <c r="D55" s="127" t="s">
        <v>180</v>
      </c>
      <c r="E55" s="128" t="s">
        <v>203</v>
      </c>
    </row>
    <row r="57" spans="2:5" ht="17.5" x14ac:dyDescent="0.35">
      <c r="B57" s="349" t="s">
        <v>204</v>
      </c>
    </row>
    <row r="58" spans="2:5" ht="16" thickBot="1" x14ac:dyDescent="0.4"/>
    <row r="59" spans="2:5" ht="23" x14ac:dyDescent="0.5">
      <c r="B59" s="179" t="s">
        <v>128</v>
      </c>
      <c r="C59" s="180"/>
      <c r="D59" s="180"/>
      <c r="E59" s="181"/>
    </row>
    <row r="60" spans="2:5" ht="18.5" thickBot="1" x14ac:dyDescent="0.45">
      <c r="B60" s="182" t="s">
        <v>129</v>
      </c>
      <c r="C60" s="183" t="s">
        <v>130</v>
      </c>
      <c r="D60" s="371" t="s">
        <v>205</v>
      </c>
      <c r="E60" s="184" t="s">
        <v>206</v>
      </c>
    </row>
    <row r="61" spans="2:5" x14ac:dyDescent="0.35">
      <c r="B61" s="117" t="s">
        <v>132</v>
      </c>
      <c r="C61" s="168">
        <v>420</v>
      </c>
      <c r="D61" s="121" t="s">
        <v>133</v>
      </c>
      <c r="E61" s="241" t="s">
        <v>207</v>
      </c>
    </row>
    <row r="62" spans="2:5" x14ac:dyDescent="0.35">
      <c r="B62" s="117" t="s">
        <v>135</v>
      </c>
      <c r="C62" s="168">
        <v>90</v>
      </c>
      <c r="D62" s="121" t="s">
        <v>136</v>
      </c>
      <c r="E62" s="119" t="s">
        <v>208</v>
      </c>
    </row>
    <row r="63" spans="2:5" x14ac:dyDescent="0.35">
      <c r="B63" s="117"/>
      <c r="C63" s="252"/>
      <c r="D63" s="121"/>
      <c r="E63" s="119"/>
    </row>
    <row r="64" spans="2:5" x14ac:dyDescent="0.35">
      <c r="B64" s="117" t="s">
        <v>139</v>
      </c>
      <c r="C64" s="168">
        <v>41</v>
      </c>
      <c r="D64" s="121" t="s">
        <v>140</v>
      </c>
      <c r="E64" s="119" t="s">
        <v>209</v>
      </c>
    </row>
    <row r="65" spans="2:5" x14ac:dyDescent="0.35">
      <c r="B65" s="117" t="s">
        <v>142</v>
      </c>
      <c r="C65" s="168">
        <v>195</v>
      </c>
      <c r="D65" s="121" t="s">
        <v>133</v>
      </c>
      <c r="E65" s="119" t="s">
        <v>209</v>
      </c>
    </row>
    <row r="66" spans="2:5" x14ac:dyDescent="0.35">
      <c r="B66" s="117"/>
      <c r="C66" s="252"/>
      <c r="D66" s="121"/>
      <c r="E66" s="119"/>
    </row>
    <row r="67" spans="2:5" x14ac:dyDescent="0.35">
      <c r="B67" s="117" t="s">
        <v>144</v>
      </c>
      <c r="C67" s="168">
        <v>110</v>
      </c>
      <c r="D67" s="121" t="s">
        <v>133</v>
      </c>
      <c r="E67" s="119" t="s">
        <v>209</v>
      </c>
    </row>
    <row r="68" spans="2:5" x14ac:dyDescent="0.35">
      <c r="B68" s="117" t="s">
        <v>146</v>
      </c>
      <c r="C68" s="168">
        <v>100</v>
      </c>
      <c r="D68" s="121" t="s">
        <v>133</v>
      </c>
      <c r="E68" s="119" t="s">
        <v>209</v>
      </c>
    </row>
    <row r="69" spans="2:5" x14ac:dyDescent="0.35">
      <c r="B69" s="117"/>
      <c r="C69" s="252"/>
      <c r="D69" s="121"/>
      <c r="E69" s="119"/>
    </row>
    <row r="70" spans="2:5" x14ac:dyDescent="0.35">
      <c r="B70" s="117" t="s">
        <v>148</v>
      </c>
      <c r="C70" s="168">
        <v>1300</v>
      </c>
      <c r="D70" s="121" t="s">
        <v>133</v>
      </c>
      <c r="E70" s="119" t="s">
        <v>210</v>
      </c>
    </row>
    <row r="71" spans="2:5" x14ac:dyDescent="0.35">
      <c r="B71" s="117" t="s">
        <v>150</v>
      </c>
      <c r="C71" s="168">
        <v>350</v>
      </c>
      <c r="D71" s="121" t="s">
        <v>133</v>
      </c>
      <c r="E71" s="119" t="s">
        <v>210</v>
      </c>
    </row>
    <row r="72" spans="2:5" x14ac:dyDescent="0.35">
      <c r="B72" s="117" t="s">
        <v>152</v>
      </c>
      <c r="C72" s="168">
        <v>8</v>
      </c>
      <c r="D72" s="121" t="s">
        <v>153</v>
      </c>
      <c r="E72" s="119" t="s">
        <v>211</v>
      </c>
    </row>
    <row r="73" spans="2:5" x14ac:dyDescent="0.35">
      <c r="B73" s="117" t="s">
        <v>155</v>
      </c>
      <c r="C73" s="168">
        <v>175</v>
      </c>
      <c r="D73" s="121" t="s">
        <v>133</v>
      </c>
      <c r="E73" s="119" t="s">
        <v>212</v>
      </c>
    </row>
    <row r="74" spans="2:5" x14ac:dyDescent="0.35">
      <c r="B74" s="117"/>
      <c r="C74" s="252"/>
      <c r="D74" s="121"/>
      <c r="E74" s="119"/>
    </row>
    <row r="75" spans="2:5" x14ac:dyDescent="0.35">
      <c r="B75" s="117" t="s">
        <v>156</v>
      </c>
      <c r="C75" s="168">
        <v>6</v>
      </c>
      <c r="D75" s="121" t="s">
        <v>153</v>
      </c>
      <c r="E75" s="119" t="s">
        <v>213</v>
      </c>
    </row>
    <row r="76" spans="2:5" x14ac:dyDescent="0.35">
      <c r="B76" s="117" t="s">
        <v>158</v>
      </c>
      <c r="C76" s="168">
        <v>12</v>
      </c>
      <c r="D76" s="121" t="s">
        <v>153</v>
      </c>
      <c r="E76" s="119" t="s">
        <v>214</v>
      </c>
    </row>
    <row r="77" spans="2:5" x14ac:dyDescent="0.35">
      <c r="B77" s="117" t="s">
        <v>159</v>
      </c>
      <c r="C77" s="168">
        <v>-100</v>
      </c>
      <c r="D77" s="121" t="s">
        <v>133</v>
      </c>
      <c r="E77" s="119" t="s">
        <v>210</v>
      </c>
    </row>
    <row r="78" spans="2:5" x14ac:dyDescent="0.35">
      <c r="B78" s="117" t="s">
        <v>161</v>
      </c>
      <c r="C78" s="168">
        <v>450</v>
      </c>
      <c r="D78" s="121" t="s">
        <v>133</v>
      </c>
      <c r="E78" s="119" t="s">
        <v>210</v>
      </c>
    </row>
    <row r="79" spans="2:5" x14ac:dyDescent="0.35">
      <c r="B79" s="117" t="s">
        <v>163</v>
      </c>
      <c r="C79" s="168">
        <v>125</v>
      </c>
      <c r="D79" s="121" t="s">
        <v>133</v>
      </c>
      <c r="E79" s="119" t="s">
        <v>212</v>
      </c>
    </row>
    <row r="80" spans="2:5" x14ac:dyDescent="0.35">
      <c r="B80" s="117"/>
      <c r="C80" s="252"/>
      <c r="D80" s="121"/>
      <c r="E80" s="119"/>
    </row>
    <row r="81" spans="2:5" x14ac:dyDescent="0.35">
      <c r="B81" s="117" t="s">
        <v>165</v>
      </c>
      <c r="C81" s="168">
        <v>700</v>
      </c>
      <c r="D81" s="121" t="s">
        <v>133</v>
      </c>
      <c r="E81" s="119" t="s">
        <v>215</v>
      </c>
    </row>
    <row r="82" spans="2:5" x14ac:dyDescent="0.35">
      <c r="B82" s="117" t="s">
        <v>167</v>
      </c>
      <c r="C82" s="168">
        <v>300</v>
      </c>
      <c r="D82" s="121" t="s">
        <v>133</v>
      </c>
      <c r="E82" s="119" t="s">
        <v>216</v>
      </c>
    </row>
    <row r="83" spans="2:5" x14ac:dyDescent="0.35">
      <c r="B83" s="117" t="s">
        <v>169</v>
      </c>
      <c r="C83" s="189">
        <v>61</v>
      </c>
      <c r="D83" s="121" t="s">
        <v>170</v>
      </c>
      <c r="E83" s="119"/>
    </row>
    <row r="84" spans="2:5" x14ac:dyDescent="0.35">
      <c r="B84" s="122" t="s">
        <v>172</v>
      </c>
      <c r="C84" s="189">
        <v>46</v>
      </c>
      <c r="D84" s="121" t="s">
        <v>170</v>
      </c>
      <c r="E84" s="119"/>
    </row>
    <row r="85" spans="2:5" x14ac:dyDescent="0.35">
      <c r="B85" s="117"/>
      <c r="C85" s="253"/>
      <c r="D85" s="121"/>
      <c r="E85" s="119"/>
    </row>
    <row r="86" spans="2:5" x14ac:dyDescent="0.35">
      <c r="B86" s="117" t="s">
        <v>174</v>
      </c>
      <c r="C86" s="168">
        <v>35</v>
      </c>
      <c r="D86" s="121" t="s">
        <v>175</v>
      </c>
      <c r="E86" s="119" t="s">
        <v>217</v>
      </c>
    </row>
    <row r="87" spans="2:5" x14ac:dyDescent="0.35">
      <c r="B87" s="117" t="s">
        <v>177</v>
      </c>
      <c r="C87" s="168">
        <v>50</v>
      </c>
      <c r="D87" s="121" t="s">
        <v>133</v>
      </c>
      <c r="E87" s="119" t="s">
        <v>218</v>
      </c>
    </row>
    <row r="88" spans="2:5" x14ac:dyDescent="0.35">
      <c r="B88" s="117" t="s">
        <v>179</v>
      </c>
      <c r="C88" s="168">
        <v>100</v>
      </c>
      <c r="D88" s="121" t="s">
        <v>180</v>
      </c>
      <c r="E88" s="119"/>
    </row>
    <row r="89" spans="2:5" x14ac:dyDescent="0.35">
      <c r="B89" s="117" t="s">
        <v>182</v>
      </c>
      <c r="C89" s="168">
        <v>100</v>
      </c>
      <c r="D89" s="121" t="s">
        <v>133</v>
      </c>
      <c r="E89" s="119" t="s">
        <v>219</v>
      </c>
    </row>
    <row r="90" spans="2:5" ht="16" thickBot="1" x14ac:dyDescent="0.4">
      <c r="B90" s="367" t="s">
        <v>184</v>
      </c>
      <c r="C90" s="368">
        <v>12</v>
      </c>
      <c r="D90" s="369" t="s">
        <v>180</v>
      </c>
      <c r="E90" s="370"/>
    </row>
  </sheetData>
  <printOptions gridLinesSet="0"/>
  <pageMargins left="0.75" right="0.75" top="1" bottom="1" header="0.5" footer="0.5"/>
  <pageSetup paperSize="9" scale="55" orientation="portrait" horizontalDpi="4294967292" verticalDpi="0" r:id="rId1"/>
  <headerFooter alignWithMargins="0">
    <oddHeader>&amp;L&amp;P of &amp;N&amp;C&amp;A&amp;R&amp;D</oddHeader>
    <oddFooter>&amp;LCompiled using the PlanWare Online Financial Planner at www.planware.org&amp;R© Copyright  Invest-Tech Limited  1998</oddFooter>
  </headerFooter>
  <rowBreaks count="1" manualBreakCount="1">
    <brk id="56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7"/>
  <sheetViews>
    <sheetView showGridLines="0" showRowColHeaders="0" zoomScale="75" workbookViewId="0"/>
  </sheetViews>
  <sheetFormatPr defaultRowHeight="15.5" x14ac:dyDescent="0.35"/>
  <cols>
    <col min="2" max="2" width="30.84375" customWidth="1"/>
    <col min="3" max="7" width="10.765625" customWidth="1"/>
  </cols>
  <sheetData>
    <row r="1" spans="2:7" ht="30" x14ac:dyDescent="0.6">
      <c r="B1" s="347" t="s">
        <v>220</v>
      </c>
    </row>
    <row r="2" spans="2:7" ht="16" thickBot="1" x14ac:dyDescent="0.4"/>
    <row r="3" spans="2:7" x14ac:dyDescent="0.35">
      <c r="B3" s="263" t="s">
        <v>221</v>
      </c>
      <c r="C3" s="170" t="s">
        <v>222</v>
      </c>
      <c r="D3" s="170" t="s">
        <v>223</v>
      </c>
      <c r="E3" s="170" t="s">
        <v>224</v>
      </c>
      <c r="F3" s="170" t="s">
        <v>225</v>
      </c>
      <c r="G3" s="171" t="s">
        <v>226</v>
      </c>
    </row>
    <row r="4" spans="2:7" ht="16" thickBot="1" x14ac:dyDescent="0.4">
      <c r="B4" s="172" t="s">
        <v>227</v>
      </c>
      <c r="C4" s="173" t="s">
        <v>56</v>
      </c>
      <c r="D4" s="173" t="s">
        <v>56</v>
      </c>
      <c r="E4" s="173" t="s">
        <v>56</v>
      </c>
      <c r="F4" s="173" t="s">
        <v>56</v>
      </c>
      <c r="G4" s="364" t="s">
        <v>56</v>
      </c>
    </row>
    <row r="5" spans="2:7" x14ac:dyDescent="0.35">
      <c r="B5" s="264" t="s">
        <v>228</v>
      </c>
      <c r="C5" s="20" t="s">
        <v>229</v>
      </c>
      <c r="D5" s="20" t="s">
        <v>229</v>
      </c>
      <c r="E5" s="20" t="s">
        <v>229</v>
      </c>
      <c r="F5" s="20" t="s">
        <v>229</v>
      </c>
      <c r="G5" s="21" t="s">
        <v>229</v>
      </c>
    </row>
    <row r="6" spans="2:7" x14ac:dyDescent="0.35">
      <c r="B6" s="94"/>
      <c r="C6" s="1"/>
      <c r="D6" s="1"/>
      <c r="E6" s="1"/>
      <c r="F6" s="1"/>
      <c r="G6" s="8"/>
    </row>
    <row r="7" spans="2:7" x14ac:dyDescent="0.35">
      <c r="B7" s="265" t="s">
        <v>230</v>
      </c>
      <c r="C7" s="9">
        <v>5040</v>
      </c>
      <c r="D7" s="9">
        <v>5292</v>
      </c>
      <c r="E7" s="9">
        <v>5821.2</v>
      </c>
      <c r="F7" s="9">
        <v>6403.32</v>
      </c>
      <c r="G7" s="10">
        <v>7043.6519999999973</v>
      </c>
    </row>
    <row r="8" spans="2:7" x14ac:dyDescent="0.35">
      <c r="B8" s="94" t="s">
        <v>231</v>
      </c>
      <c r="C8" s="311">
        <v>3386.4</v>
      </c>
      <c r="D8" s="311">
        <v>3595.44</v>
      </c>
      <c r="E8" s="311">
        <v>3972.0119999999997</v>
      </c>
      <c r="F8" s="311">
        <v>4369.2131999999992</v>
      </c>
      <c r="G8" s="313">
        <v>4806.1345199999987</v>
      </c>
    </row>
    <row r="9" spans="2:7" x14ac:dyDescent="0.35">
      <c r="B9" s="265" t="s">
        <v>232</v>
      </c>
      <c r="C9" s="9">
        <v>1653.6</v>
      </c>
      <c r="D9" s="9">
        <v>1696.56</v>
      </c>
      <c r="E9" s="9">
        <v>1849.1880000000001</v>
      </c>
      <c r="F9" s="9">
        <v>2034.1067999999996</v>
      </c>
      <c r="G9" s="10">
        <v>2237.5174799999986</v>
      </c>
    </row>
    <row r="10" spans="2:7" x14ac:dyDescent="0.35">
      <c r="B10" s="265"/>
      <c r="C10" s="9"/>
      <c r="D10" s="9"/>
      <c r="E10" s="9"/>
      <c r="F10" s="9"/>
      <c r="G10" s="10"/>
    </row>
    <row r="11" spans="2:7" x14ac:dyDescent="0.35">
      <c r="B11" s="94" t="s">
        <v>233</v>
      </c>
      <c r="C11" s="255">
        <v>1200</v>
      </c>
      <c r="D11" s="255">
        <v>1260</v>
      </c>
      <c r="E11" s="255">
        <v>1373.4</v>
      </c>
      <c r="F11" s="255">
        <v>1510.74</v>
      </c>
      <c r="G11" s="260">
        <v>1661.8139999999996</v>
      </c>
    </row>
    <row r="12" spans="2:7" x14ac:dyDescent="0.35">
      <c r="B12" s="94" t="s">
        <v>234</v>
      </c>
      <c r="C12" s="1">
        <v>0</v>
      </c>
      <c r="D12" s="1">
        <v>0</v>
      </c>
      <c r="E12" s="1">
        <v>0</v>
      </c>
      <c r="F12" s="1">
        <v>0</v>
      </c>
      <c r="G12" s="96">
        <v>0</v>
      </c>
    </row>
    <row r="13" spans="2:7" x14ac:dyDescent="0.35">
      <c r="B13" s="94" t="s">
        <v>235</v>
      </c>
      <c r="C13" s="1">
        <v>111.58333333333334</v>
      </c>
      <c r="D13" s="1">
        <v>123</v>
      </c>
      <c r="E13" s="1">
        <v>135.5</v>
      </c>
      <c r="F13" s="1">
        <v>149.56</v>
      </c>
      <c r="G13" s="96">
        <v>167.11599999999999</v>
      </c>
    </row>
    <row r="14" spans="2:7" x14ac:dyDescent="0.35">
      <c r="B14" s="94" t="s">
        <v>236</v>
      </c>
      <c r="C14" s="311">
        <v>0</v>
      </c>
      <c r="D14" s="311">
        <v>0</v>
      </c>
      <c r="E14" s="311">
        <v>0</v>
      </c>
      <c r="F14" s="311">
        <v>0</v>
      </c>
      <c r="G14" s="312">
        <v>0</v>
      </c>
    </row>
    <row r="15" spans="2:7" x14ac:dyDescent="0.35">
      <c r="B15" s="318" t="s">
        <v>237</v>
      </c>
      <c r="C15" s="113">
        <v>1311.5833333333333</v>
      </c>
      <c r="D15" s="113">
        <v>1383</v>
      </c>
      <c r="E15" s="113">
        <v>1508.9</v>
      </c>
      <c r="F15" s="113">
        <v>1660.3</v>
      </c>
      <c r="G15" s="256">
        <v>1828.93</v>
      </c>
    </row>
    <row r="16" spans="2:7" x14ac:dyDescent="0.35">
      <c r="B16" s="94"/>
      <c r="C16" s="238"/>
      <c r="D16" s="238"/>
      <c r="E16" s="238"/>
      <c r="F16" s="238"/>
      <c r="G16" s="86"/>
    </row>
    <row r="17" spans="2:7" x14ac:dyDescent="0.35">
      <c r="B17" s="266" t="s">
        <v>238</v>
      </c>
      <c r="C17" s="97">
        <v>342.01666666666711</v>
      </c>
      <c r="D17" s="97">
        <v>313.56</v>
      </c>
      <c r="E17" s="97">
        <v>340.28800000000001</v>
      </c>
      <c r="F17" s="97">
        <v>373.80679999999961</v>
      </c>
      <c r="G17" s="257">
        <v>408.587479999999</v>
      </c>
    </row>
    <row r="18" spans="2:7" x14ac:dyDescent="0.35">
      <c r="B18" s="94"/>
      <c r="C18" s="238"/>
      <c r="D18" s="238"/>
      <c r="E18" s="238"/>
      <c r="F18" s="238"/>
      <c r="G18" s="86"/>
    </row>
    <row r="19" spans="2:7" x14ac:dyDescent="0.35">
      <c r="B19" s="92" t="s">
        <v>239</v>
      </c>
      <c r="C19" s="83"/>
      <c r="D19" s="83"/>
      <c r="E19" s="83"/>
      <c r="F19" s="83"/>
      <c r="G19" s="93"/>
    </row>
    <row r="20" spans="2:7" x14ac:dyDescent="0.35">
      <c r="B20" s="94" t="s">
        <v>240</v>
      </c>
      <c r="C20" s="95">
        <v>0</v>
      </c>
      <c r="D20" s="95">
        <v>0</v>
      </c>
      <c r="E20" s="95">
        <v>0</v>
      </c>
      <c r="F20" s="95">
        <v>0</v>
      </c>
      <c r="G20" s="96">
        <v>0</v>
      </c>
    </row>
    <row r="21" spans="2:7" x14ac:dyDescent="0.35">
      <c r="B21" s="94" t="s">
        <v>241</v>
      </c>
      <c r="C21" s="95">
        <v>0</v>
      </c>
      <c r="D21" s="95">
        <v>0</v>
      </c>
      <c r="E21" s="95">
        <v>0</v>
      </c>
      <c r="F21" s="95">
        <v>0</v>
      </c>
      <c r="G21" s="96">
        <v>0</v>
      </c>
    </row>
    <row r="22" spans="2:7" x14ac:dyDescent="0.35">
      <c r="B22" s="94" t="s">
        <v>242</v>
      </c>
      <c r="C22" s="314">
        <v>0</v>
      </c>
      <c r="D22" s="314">
        <v>0</v>
      </c>
      <c r="E22" s="314">
        <v>0</v>
      </c>
      <c r="F22" s="314">
        <v>0</v>
      </c>
      <c r="G22" s="312">
        <v>0</v>
      </c>
    </row>
    <row r="23" spans="2:7" x14ac:dyDescent="0.35">
      <c r="B23" s="317" t="s">
        <v>243</v>
      </c>
      <c r="C23" s="319">
        <v>0</v>
      </c>
      <c r="D23" s="319">
        <v>0</v>
      </c>
      <c r="E23" s="319">
        <v>0</v>
      </c>
      <c r="F23" s="319">
        <v>0</v>
      </c>
      <c r="G23" s="256">
        <v>0</v>
      </c>
    </row>
    <row r="24" spans="2:7" x14ac:dyDescent="0.35">
      <c r="B24" s="92"/>
      <c r="C24" s="83"/>
      <c r="D24" s="83"/>
      <c r="E24" s="83"/>
      <c r="F24" s="83"/>
      <c r="G24" s="93"/>
    </row>
    <row r="25" spans="2:7" x14ac:dyDescent="0.35">
      <c r="B25" s="259" t="s">
        <v>244</v>
      </c>
      <c r="C25" s="97">
        <v>342.01666666666711</v>
      </c>
      <c r="D25" s="97">
        <v>313.56</v>
      </c>
      <c r="E25" s="97">
        <v>340.28800000000001</v>
      </c>
      <c r="F25" s="97">
        <v>373.80679999999961</v>
      </c>
      <c r="G25" s="257">
        <v>408.587479999999</v>
      </c>
    </row>
    <row r="26" spans="2:7" x14ac:dyDescent="0.35">
      <c r="B26" s="92"/>
      <c r="C26" s="83"/>
      <c r="D26" s="83"/>
      <c r="E26" s="83"/>
      <c r="F26" s="83"/>
      <c r="G26" s="93"/>
    </row>
    <row r="27" spans="2:7" x14ac:dyDescent="0.35">
      <c r="B27" s="267" t="s">
        <v>245</v>
      </c>
      <c r="C27" s="261"/>
      <c r="D27" s="261"/>
      <c r="E27" s="261"/>
      <c r="F27" s="261"/>
      <c r="G27" s="262"/>
    </row>
    <row r="28" spans="2:7" x14ac:dyDescent="0.35">
      <c r="B28" s="94" t="s">
        <v>246</v>
      </c>
      <c r="C28" s="95">
        <v>77.693466240612224</v>
      </c>
      <c r="D28" s="95">
        <v>73.2</v>
      </c>
      <c r="E28" s="95">
        <v>84.282019846153844</v>
      </c>
      <c r="F28" s="95">
        <v>95.4</v>
      </c>
      <c r="G28" s="96">
        <v>107.4</v>
      </c>
    </row>
    <row r="29" spans="2:7" x14ac:dyDescent="0.35">
      <c r="B29" s="94" t="s">
        <v>247</v>
      </c>
      <c r="C29" s="95">
        <v>0</v>
      </c>
      <c r="D29" s="95">
        <v>0</v>
      </c>
      <c r="E29" s="95">
        <v>0</v>
      </c>
      <c r="F29" s="95">
        <v>0</v>
      </c>
      <c r="G29" s="96">
        <v>0</v>
      </c>
    </row>
    <row r="30" spans="2:7" x14ac:dyDescent="0.35">
      <c r="B30" s="94" t="s">
        <v>248</v>
      </c>
      <c r="C30" s="314">
        <v>2.2056572297871577</v>
      </c>
      <c r="D30" s="314">
        <v>15.201693580545955</v>
      </c>
      <c r="E30" s="314">
        <v>28.384865071857959</v>
      </c>
      <c r="F30" s="314">
        <v>39.413670679171609</v>
      </c>
      <c r="G30" s="312">
        <v>44.407210829074543</v>
      </c>
    </row>
    <row r="31" spans="2:7" x14ac:dyDescent="0.35">
      <c r="B31" s="318" t="s">
        <v>249</v>
      </c>
      <c r="C31" s="319">
        <v>75.48780901082506</v>
      </c>
      <c r="D31" s="319">
        <v>57.998306419454032</v>
      </c>
      <c r="E31" s="319">
        <v>55.897154774295885</v>
      </c>
      <c r="F31" s="319">
        <v>55.986329320828396</v>
      </c>
      <c r="G31" s="256">
        <v>62.992789170925462</v>
      </c>
    </row>
    <row r="32" spans="2:7" x14ac:dyDescent="0.35">
      <c r="B32" s="92"/>
      <c r="C32" s="83"/>
      <c r="D32" s="83"/>
      <c r="E32" s="83"/>
      <c r="F32" s="83"/>
      <c r="G32" s="93"/>
    </row>
    <row r="33" spans="2:7" x14ac:dyDescent="0.35">
      <c r="B33" s="265" t="s">
        <v>250</v>
      </c>
      <c r="C33" s="237">
        <v>266.52885765584205</v>
      </c>
      <c r="D33" s="237">
        <v>255.56169358054638</v>
      </c>
      <c r="E33" s="237">
        <v>284.39084522570414</v>
      </c>
      <c r="F33" s="237">
        <v>317.82047067917119</v>
      </c>
      <c r="G33" s="239">
        <v>345.59469082907356</v>
      </c>
    </row>
    <row r="34" spans="2:7" x14ac:dyDescent="0.35">
      <c r="B34" s="94" t="s">
        <v>251</v>
      </c>
      <c r="C34" s="311">
        <v>93.285100179544841</v>
      </c>
      <c r="D34" s="311">
        <v>76.668508074163896</v>
      </c>
      <c r="E34" s="311">
        <v>99.536795828996461</v>
      </c>
      <c r="F34" s="311">
        <v>111.23716473770992</v>
      </c>
      <c r="G34" s="312">
        <v>120.95814179017574</v>
      </c>
    </row>
    <row r="35" spans="2:7" x14ac:dyDescent="0.35">
      <c r="B35" s="265" t="s">
        <v>252</v>
      </c>
      <c r="C35" s="9">
        <v>173.24375747629722</v>
      </c>
      <c r="D35" s="9">
        <v>178.89318550638248</v>
      </c>
      <c r="E35" s="9">
        <v>184.85404939670769</v>
      </c>
      <c r="F35" s="9">
        <v>206.58330594146128</v>
      </c>
      <c r="G35" s="239">
        <v>224.63654903889781</v>
      </c>
    </row>
    <row r="36" spans="2:7" x14ac:dyDescent="0.35">
      <c r="B36" s="94" t="s">
        <v>253</v>
      </c>
      <c r="C36" s="311">
        <v>50</v>
      </c>
      <c r="D36" s="311">
        <v>70</v>
      </c>
      <c r="E36" s="311">
        <v>90</v>
      </c>
      <c r="F36" s="311">
        <v>99</v>
      </c>
      <c r="G36" s="312">
        <v>108.9</v>
      </c>
    </row>
    <row r="37" spans="2:7" ht="16" thickBot="1" x14ac:dyDescent="0.4">
      <c r="B37" s="268" t="s">
        <v>254</v>
      </c>
      <c r="C37" s="11">
        <v>123.24375747629722</v>
      </c>
      <c r="D37" s="11">
        <v>108.89318550638248</v>
      </c>
      <c r="E37" s="11">
        <v>94.854049396707694</v>
      </c>
      <c r="F37" s="87">
        <v>107.58330594146129</v>
      </c>
      <c r="G37" s="88">
        <v>115.73654903889785</v>
      </c>
    </row>
  </sheetData>
  <printOptions gridLinesSet="0"/>
  <pageMargins left="0.75" right="0.75" top="1" bottom="1" header="0.5" footer="0.5"/>
  <pageSetup paperSize="9" scale="70" orientation="portrait" horizontalDpi="4294967292" verticalDpi="0" r:id="rId1"/>
  <headerFooter alignWithMargins="0">
    <oddHeader>&amp;C&amp;A&amp;R&amp;D</oddHeader>
    <oddFooter>&amp;LCompiled using the PlanWare Online Financial Planner at www.planware.org&amp;R© Copyright  Invest-Tech Limited  1998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39"/>
  <sheetViews>
    <sheetView showGridLines="0" showRowColHeaders="0" zoomScale="75" workbookViewId="0"/>
  </sheetViews>
  <sheetFormatPr defaultRowHeight="15.5" x14ac:dyDescent="0.35"/>
  <cols>
    <col min="2" max="2" width="34.765625" customWidth="1"/>
    <col min="3" max="7" width="10.765625" customWidth="1"/>
  </cols>
  <sheetData>
    <row r="1" spans="2:7" ht="30" x14ac:dyDescent="0.6">
      <c r="B1" s="347" t="s">
        <v>255</v>
      </c>
    </row>
    <row r="2" spans="2:7" ht="16" thickBot="1" x14ac:dyDescent="0.4"/>
    <row r="3" spans="2:7" x14ac:dyDescent="0.35">
      <c r="B3" s="174" t="s">
        <v>221</v>
      </c>
      <c r="C3" s="170" t="s">
        <v>222</v>
      </c>
      <c r="D3" s="170" t="s">
        <v>223</v>
      </c>
      <c r="E3" s="170" t="s">
        <v>224</v>
      </c>
      <c r="F3" s="170" t="s">
        <v>225</v>
      </c>
      <c r="G3" s="171" t="s">
        <v>226</v>
      </c>
    </row>
    <row r="4" spans="2:7" ht="16" thickBot="1" x14ac:dyDescent="0.4">
      <c r="B4" s="175" t="s">
        <v>227</v>
      </c>
      <c r="C4" s="173" t="s">
        <v>56</v>
      </c>
      <c r="D4" s="173" t="s">
        <v>56</v>
      </c>
      <c r="E4" s="173" t="s">
        <v>56</v>
      </c>
      <c r="F4" s="173" t="s">
        <v>56</v>
      </c>
      <c r="G4" s="364" t="s">
        <v>56</v>
      </c>
    </row>
    <row r="5" spans="2:7" ht="18" x14ac:dyDescent="0.4">
      <c r="B5" s="23" t="s">
        <v>256</v>
      </c>
      <c r="C5" s="20" t="s">
        <v>229</v>
      </c>
      <c r="D5" s="20" t="s">
        <v>229</v>
      </c>
      <c r="E5" s="20" t="s">
        <v>229</v>
      </c>
      <c r="F5" s="20" t="s">
        <v>229</v>
      </c>
      <c r="G5" s="21" t="s">
        <v>229</v>
      </c>
    </row>
    <row r="6" spans="2:7" ht="17.5" x14ac:dyDescent="0.35">
      <c r="B6" s="324"/>
      <c r="C6" s="321"/>
      <c r="D6" s="321"/>
      <c r="E6" s="321"/>
      <c r="F6" s="321"/>
      <c r="G6" s="331"/>
    </row>
    <row r="7" spans="2:7" x14ac:dyDescent="0.35">
      <c r="B7" s="337" t="s">
        <v>257</v>
      </c>
      <c r="C7" s="322"/>
      <c r="D7" s="322"/>
      <c r="E7" s="322"/>
      <c r="F7" s="322"/>
      <c r="G7" s="332"/>
    </row>
    <row r="8" spans="2:7" x14ac:dyDescent="0.35">
      <c r="B8" s="323" t="s">
        <v>250</v>
      </c>
      <c r="C8" s="255">
        <v>266.52885765584205</v>
      </c>
      <c r="D8" s="255">
        <v>255.56169358054635</v>
      </c>
      <c r="E8" s="255">
        <v>284.39084522570414</v>
      </c>
      <c r="F8" s="322">
        <v>317.82047067917119</v>
      </c>
      <c r="G8" s="333">
        <v>345.59469082907356</v>
      </c>
    </row>
    <row r="9" spans="2:7" x14ac:dyDescent="0.35">
      <c r="B9" s="323" t="s">
        <v>258</v>
      </c>
      <c r="C9" s="255">
        <v>0</v>
      </c>
      <c r="D9" s="255">
        <v>-93.285100179544841</v>
      </c>
      <c r="E9" s="255">
        <v>-76.668508074163896</v>
      </c>
      <c r="F9" s="329">
        <v>-99.536795828996461</v>
      </c>
      <c r="G9" s="334">
        <v>-111.2371647377099</v>
      </c>
    </row>
    <row r="10" spans="2:7" x14ac:dyDescent="0.35">
      <c r="B10" s="323" t="s">
        <v>259</v>
      </c>
      <c r="C10" s="255">
        <v>0</v>
      </c>
      <c r="D10" s="255">
        <v>0</v>
      </c>
      <c r="E10" s="255">
        <v>0</v>
      </c>
      <c r="F10" s="322">
        <v>0</v>
      </c>
      <c r="G10" s="333">
        <v>0</v>
      </c>
    </row>
    <row r="11" spans="2:7" x14ac:dyDescent="0.35">
      <c r="B11" s="323" t="s">
        <v>260</v>
      </c>
      <c r="C11" s="255"/>
      <c r="D11" s="255"/>
      <c r="E11" s="255"/>
      <c r="F11" s="322"/>
      <c r="G11" s="332"/>
    </row>
    <row r="12" spans="2:7" x14ac:dyDescent="0.35">
      <c r="B12" s="323" t="s">
        <v>261</v>
      </c>
      <c r="C12" s="255">
        <v>111.58333333333334</v>
      </c>
      <c r="D12" s="255">
        <v>123</v>
      </c>
      <c r="E12" s="255">
        <v>135.5</v>
      </c>
      <c r="F12" s="322">
        <v>149.56</v>
      </c>
      <c r="G12" s="333">
        <v>167.11599999999999</v>
      </c>
    </row>
    <row r="13" spans="2:7" x14ac:dyDescent="0.35">
      <c r="B13" s="323" t="s">
        <v>262</v>
      </c>
      <c r="C13" s="255">
        <v>0</v>
      </c>
      <c r="D13" s="255">
        <v>0</v>
      </c>
      <c r="E13" s="255">
        <v>0</v>
      </c>
      <c r="F13" s="322">
        <v>0</v>
      </c>
      <c r="G13" s="332">
        <v>0</v>
      </c>
    </row>
    <row r="14" spans="2:7" x14ac:dyDescent="0.35">
      <c r="B14" s="323" t="s">
        <v>263</v>
      </c>
      <c r="C14" s="255"/>
      <c r="D14" s="255"/>
      <c r="E14" s="255"/>
      <c r="F14" s="322"/>
      <c r="G14" s="332"/>
    </row>
    <row r="15" spans="2:7" x14ac:dyDescent="0.35">
      <c r="B15" s="323" t="s">
        <v>264</v>
      </c>
      <c r="C15" s="255">
        <v>0</v>
      </c>
      <c r="D15" s="255">
        <v>-22.449000000000012</v>
      </c>
      <c r="E15" s="255">
        <v>-47.142899999999884</v>
      </c>
      <c r="F15" s="255">
        <v>-51.857189999999946</v>
      </c>
      <c r="G15" s="260">
        <v>-57.042908999999895</v>
      </c>
    </row>
    <row r="16" spans="2:7" x14ac:dyDescent="0.35">
      <c r="B16" s="323" t="s">
        <v>265</v>
      </c>
      <c r="C16" s="255">
        <v>-140</v>
      </c>
      <c r="D16" s="255">
        <v>-42</v>
      </c>
      <c r="E16" s="255">
        <v>-88.199999999999818</v>
      </c>
      <c r="F16" s="255">
        <v>-97.019999999999754</v>
      </c>
      <c r="G16" s="260">
        <v>-106.72199999999975</v>
      </c>
    </row>
    <row r="17" spans="2:7" x14ac:dyDescent="0.35">
      <c r="B17" s="323" t="s">
        <v>266</v>
      </c>
      <c r="C17" s="255">
        <v>-41.699999999999932</v>
      </c>
      <c r="D17" s="255">
        <v>15.151978021977982</v>
      </c>
      <c r="E17" s="255">
        <v>27.594576923077</v>
      </c>
      <c r="F17" s="255">
        <v>30.104655494505437</v>
      </c>
      <c r="G17" s="260">
        <v>33.11512104395598</v>
      </c>
    </row>
    <row r="18" spans="2:7" x14ac:dyDescent="0.35">
      <c r="B18" s="323" t="s">
        <v>267</v>
      </c>
      <c r="C18" s="255">
        <v>0</v>
      </c>
      <c r="D18" s="255">
        <v>0</v>
      </c>
      <c r="E18" s="255">
        <v>0</v>
      </c>
      <c r="F18" s="255">
        <v>0</v>
      </c>
      <c r="G18" s="260">
        <v>0</v>
      </c>
    </row>
    <row r="19" spans="2:7" x14ac:dyDescent="0.35">
      <c r="B19" s="323" t="s">
        <v>268</v>
      </c>
      <c r="C19" s="255">
        <v>0</v>
      </c>
      <c r="D19" s="255">
        <v>0</v>
      </c>
      <c r="E19" s="255">
        <v>0</v>
      </c>
      <c r="F19" s="255">
        <v>0</v>
      </c>
      <c r="G19" s="260">
        <v>0</v>
      </c>
    </row>
    <row r="20" spans="2:7" x14ac:dyDescent="0.35">
      <c r="B20" s="323" t="s">
        <v>269</v>
      </c>
      <c r="C20" s="311">
        <v>0</v>
      </c>
      <c r="D20" s="311">
        <v>0</v>
      </c>
      <c r="E20" s="311">
        <v>0</v>
      </c>
      <c r="F20" s="311">
        <v>0</v>
      </c>
      <c r="G20" s="312">
        <v>0</v>
      </c>
    </row>
    <row r="21" spans="2:7" x14ac:dyDescent="0.35">
      <c r="B21" s="326" t="s">
        <v>270</v>
      </c>
      <c r="C21" s="328">
        <v>196.41219098917543</v>
      </c>
      <c r="D21" s="328">
        <v>235.97957142297946</v>
      </c>
      <c r="E21" s="328">
        <v>235.47401407461757</v>
      </c>
      <c r="F21" s="328">
        <v>249.07114034468049</v>
      </c>
      <c r="G21" s="335">
        <v>270.82373813531996</v>
      </c>
    </row>
    <row r="22" spans="2:7" x14ac:dyDescent="0.35">
      <c r="B22" s="325"/>
      <c r="C22" s="327"/>
      <c r="D22" s="327"/>
      <c r="E22" s="327"/>
      <c r="F22" s="327"/>
      <c r="G22" s="336"/>
    </row>
    <row r="23" spans="2:7" x14ac:dyDescent="0.35">
      <c r="B23" s="338" t="s">
        <v>271</v>
      </c>
      <c r="C23" s="1"/>
      <c r="D23" s="1"/>
      <c r="E23" s="1"/>
      <c r="F23" s="1"/>
      <c r="G23" s="96"/>
    </row>
    <row r="24" spans="2:7" x14ac:dyDescent="0.35">
      <c r="B24" s="16" t="s">
        <v>272</v>
      </c>
      <c r="C24" s="1">
        <v>-175</v>
      </c>
      <c r="D24" s="1">
        <v>-75</v>
      </c>
      <c r="E24" s="1">
        <v>-167.5</v>
      </c>
      <c r="F24" s="1">
        <v>-152</v>
      </c>
      <c r="G24" s="8">
        <v>-219.45</v>
      </c>
    </row>
    <row r="25" spans="2:7" x14ac:dyDescent="0.35">
      <c r="B25" s="16" t="s">
        <v>273</v>
      </c>
      <c r="C25" s="311">
        <v>0</v>
      </c>
      <c r="D25" s="311">
        <v>0</v>
      </c>
      <c r="E25" s="311">
        <v>0</v>
      </c>
      <c r="F25" s="311">
        <v>0</v>
      </c>
      <c r="G25" s="313">
        <v>0</v>
      </c>
    </row>
    <row r="26" spans="2:7" x14ac:dyDescent="0.35">
      <c r="B26" s="22" t="s">
        <v>274</v>
      </c>
      <c r="C26" s="9">
        <v>-175</v>
      </c>
      <c r="D26" s="9">
        <v>-75</v>
      </c>
      <c r="E26" s="9">
        <v>-167.5</v>
      </c>
      <c r="F26" s="9">
        <v>-152</v>
      </c>
      <c r="G26" s="10">
        <v>-219.45</v>
      </c>
    </row>
    <row r="27" spans="2:7" x14ac:dyDescent="0.35">
      <c r="B27" s="16"/>
      <c r="C27" s="1"/>
      <c r="D27" s="1"/>
      <c r="E27" s="1"/>
      <c r="F27" s="1"/>
      <c r="G27" s="8"/>
    </row>
    <row r="28" spans="2:7" x14ac:dyDescent="0.35">
      <c r="B28" s="338" t="s">
        <v>275</v>
      </c>
      <c r="C28" s="1"/>
      <c r="D28" s="1"/>
      <c r="E28" s="1"/>
      <c r="F28" s="1"/>
      <c r="G28" s="8"/>
    </row>
    <row r="29" spans="2:7" x14ac:dyDescent="0.35">
      <c r="B29" s="16" t="s">
        <v>276</v>
      </c>
      <c r="C29" s="1">
        <v>100</v>
      </c>
      <c r="D29" s="1">
        <v>150</v>
      </c>
      <c r="E29" s="1">
        <v>0</v>
      </c>
      <c r="F29" s="1">
        <v>0</v>
      </c>
      <c r="G29" s="8">
        <v>0</v>
      </c>
    </row>
    <row r="30" spans="2:7" x14ac:dyDescent="0.35">
      <c r="B30" s="278" t="s">
        <v>277</v>
      </c>
      <c r="C30" s="1">
        <v>-50</v>
      </c>
      <c r="D30" s="1">
        <v>0</v>
      </c>
      <c r="E30" s="1">
        <v>-70</v>
      </c>
      <c r="F30" s="1">
        <v>-90</v>
      </c>
      <c r="G30" s="8">
        <v>-99</v>
      </c>
    </row>
    <row r="31" spans="2:7" x14ac:dyDescent="0.35">
      <c r="B31" s="16" t="s">
        <v>278</v>
      </c>
      <c r="C31" s="1">
        <v>125</v>
      </c>
      <c r="D31" s="1">
        <v>70</v>
      </c>
      <c r="E31" s="1">
        <v>100</v>
      </c>
      <c r="F31" s="1">
        <v>100</v>
      </c>
      <c r="G31" s="8">
        <v>100</v>
      </c>
    </row>
    <row r="32" spans="2:7" x14ac:dyDescent="0.35">
      <c r="B32" s="16" t="s">
        <v>279</v>
      </c>
      <c r="C32" s="1">
        <v>0</v>
      </c>
      <c r="D32" s="1">
        <v>0</v>
      </c>
      <c r="E32" s="1">
        <v>0</v>
      </c>
      <c r="F32" s="1">
        <v>0</v>
      </c>
      <c r="G32" s="8">
        <v>0</v>
      </c>
    </row>
    <row r="33" spans="2:7" x14ac:dyDescent="0.35">
      <c r="B33" s="16" t="s">
        <v>280</v>
      </c>
      <c r="C33" s="311">
        <v>0</v>
      </c>
      <c r="D33" s="311">
        <v>0</v>
      </c>
      <c r="E33" s="311">
        <v>0</v>
      </c>
      <c r="F33" s="311">
        <v>0</v>
      </c>
      <c r="G33" s="313">
        <v>0</v>
      </c>
    </row>
    <row r="34" spans="2:7" x14ac:dyDescent="0.35">
      <c r="B34" s="22" t="s">
        <v>281</v>
      </c>
      <c r="C34" s="9">
        <v>175</v>
      </c>
      <c r="D34" s="9">
        <v>220</v>
      </c>
      <c r="E34" s="9">
        <v>30</v>
      </c>
      <c r="F34" s="9">
        <v>10</v>
      </c>
      <c r="G34" s="10">
        <v>1</v>
      </c>
    </row>
    <row r="35" spans="2:7" x14ac:dyDescent="0.35">
      <c r="B35" s="16"/>
      <c r="C35" s="1"/>
      <c r="D35" s="1"/>
      <c r="E35" s="1"/>
      <c r="F35" s="1"/>
      <c r="G35" s="8"/>
    </row>
    <row r="36" spans="2:7" x14ac:dyDescent="0.35">
      <c r="B36" s="22" t="s">
        <v>282</v>
      </c>
      <c r="C36" s="237">
        <v>196.41219098917543</v>
      </c>
      <c r="D36" s="237">
        <v>380.97957142297946</v>
      </c>
      <c r="E36" s="237">
        <v>97.974014074617571</v>
      </c>
      <c r="F36" s="237">
        <v>107.07114034468049</v>
      </c>
      <c r="G36" s="239">
        <v>52.373738135319996</v>
      </c>
    </row>
    <row r="37" spans="2:7" x14ac:dyDescent="0.35">
      <c r="B37" s="22"/>
      <c r="C37" s="237"/>
      <c r="D37" s="237"/>
      <c r="E37" s="237"/>
      <c r="F37" s="237"/>
      <c r="G37" s="10"/>
    </row>
    <row r="38" spans="2:7" x14ac:dyDescent="0.35">
      <c r="B38" s="22" t="s">
        <v>283</v>
      </c>
      <c r="C38" s="237">
        <v>96.412190989175429</v>
      </c>
      <c r="D38" s="237">
        <v>477.39176241215489</v>
      </c>
      <c r="E38" s="237">
        <v>575.36577648677235</v>
      </c>
      <c r="F38" s="237">
        <v>682.43691683145289</v>
      </c>
      <c r="G38" s="239">
        <v>734.81065496677286</v>
      </c>
    </row>
    <row r="39" spans="2:7" ht="16" thickBot="1" x14ac:dyDescent="0.4">
      <c r="B39" s="330"/>
      <c r="C39" s="11"/>
      <c r="D39" s="11"/>
      <c r="E39" s="11"/>
      <c r="F39" s="11"/>
      <c r="G39" s="12"/>
    </row>
  </sheetData>
  <printOptions gridLinesSet="0"/>
  <pageMargins left="0.75" right="0.75" top="1" bottom="1" header="0.5" footer="0.5"/>
  <pageSetup paperSize="9" scale="74" orientation="portrait" horizontalDpi="4294967292" verticalDpi="0" r:id="rId1"/>
  <headerFooter alignWithMargins="0">
    <oddHeader>&amp;C&amp;A&amp;R&amp;D</oddHeader>
    <oddFooter>&amp;LCompiled using the PlanWare Online Financial Planner at www.planware.org&amp;R© Copyright  Invest-Tech Limited  1998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0"/>
  <sheetViews>
    <sheetView showGridLines="0" showRowColHeaders="0" zoomScale="75" workbookViewId="0"/>
  </sheetViews>
  <sheetFormatPr defaultRowHeight="15.5" x14ac:dyDescent="0.35"/>
  <cols>
    <col min="2" max="2" width="25.765625" customWidth="1"/>
    <col min="3" max="8" width="10.765625" customWidth="1"/>
  </cols>
  <sheetData>
    <row r="1" spans="2:8" ht="30" x14ac:dyDescent="0.6">
      <c r="B1" s="347" t="s">
        <v>284</v>
      </c>
    </row>
    <row r="2" spans="2:8" ht="16" thickBot="1" x14ac:dyDescent="0.4"/>
    <row r="3" spans="2:8" x14ac:dyDescent="0.35">
      <c r="B3" s="263" t="s">
        <v>221</v>
      </c>
      <c r="C3" s="170" t="s">
        <v>285</v>
      </c>
      <c r="D3" s="170" t="s">
        <v>222</v>
      </c>
      <c r="E3" s="170" t="s">
        <v>223</v>
      </c>
      <c r="F3" s="170" t="s">
        <v>224</v>
      </c>
      <c r="G3" s="170" t="s">
        <v>225</v>
      </c>
      <c r="H3" s="171" t="s">
        <v>226</v>
      </c>
    </row>
    <row r="4" spans="2:8" ht="16" thickBot="1" x14ac:dyDescent="0.4">
      <c r="B4" s="172" t="s">
        <v>227</v>
      </c>
      <c r="C4" s="173" t="s">
        <v>56</v>
      </c>
      <c r="D4" s="173" t="s">
        <v>56</v>
      </c>
      <c r="E4" s="173" t="s">
        <v>56</v>
      </c>
      <c r="F4" s="173" t="s">
        <v>56</v>
      </c>
      <c r="G4" s="173" t="s">
        <v>56</v>
      </c>
      <c r="H4" s="364" t="s">
        <v>56</v>
      </c>
    </row>
    <row r="5" spans="2:8" ht="18" x14ac:dyDescent="0.4">
      <c r="B5" s="272" t="s">
        <v>286</v>
      </c>
      <c r="C5" s="20" t="s">
        <v>229</v>
      </c>
      <c r="D5" s="20" t="s">
        <v>229</v>
      </c>
      <c r="E5" s="20" t="s">
        <v>229</v>
      </c>
      <c r="F5" s="20" t="s">
        <v>229</v>
      </c>
      <c r="G5" s="20" t="s">
        <v>229</v>
      </c>
      <c r="H5" s="271" t="s">
        <v>229</v>
      </c>
    </row>
    <row r="6" spans="2:8" x14ac:dyDescent="0.35">
      <c r="B6" s="94"/>
      <c r="C6" s="1"/>
      <c r="D6" s="1"/>
      <c r="E6" s="1"/>
      <c r="F6" s="1"/>
      <c r="G6" s="1"/>
      <c r="H6" s="96"/>
    </row>
    <row r="7" spans="2:8" x14ac:dyDescent="0.35">
      <c r="B7" s="273" t="s">
        <v>287</v>
      </c>
      <c r="C7" s="1"/>
      <c r="D7" s="1"/>
      <c r="E7" s="1"/>
      <c r="F7" s="1"/>
      <c r="G7" s="1"/>
      <c r="H7" s="96"/>
    </row>
    <row r="8" spans="2:8" x14ac:dyDescent="0.35">
      <c r="B8" s="94" t="s">
        <v>288</v>
      </c>
      <c r="C8" s="1"/>
      <c r="D8" s="1"/>
      <c r="E8" s="1"/>
      <c r="F8" s="1"/>
      <c r="G8" s="1"/>
      <c r="H8" s="96"/>
    </row>
    <row r="9" spans="2:8" x14ac:dyDescent="0.35">
      <c r="B9" s="94" t="s">
        <v>289</v>
      </c>
      <c r="C9" s="255">
        <v>0</v>
      </c>
      <c r="D9" s="255">
        <v>96.412190989175429</v>
      </c>
      <c r="E9" s="255">
        <v>477.39176241215489</v>
      </c>
      <c r="F9" s="255">
        <v>575.36577648677235</v>
      </c>
      <c r="G9" s="255">
        <v>682.43691683145289</v>
      </c>
      <c r="H9" s="260">
        <v>734.81065496677286</v>
      </c>
    </row>
    <row r="10" spans="2:8" x14ac:dyDescent="0.35">
      <c r="B10" s="94" t="s">
        <v>290</v>
      </c>
      <c r="C10" s="1">
        <v>700</v>
      </c>
      <c r="D10" s="1">
        <v>840</v>
      </c>
      <c r="E10" s="1">
        <v>882</v>
      </c>
      <c r="F10" s="1">
        <v>970.2</v>
      </c>
      <c r="G10" s="1">
        <v>1067.22</v>
      </c>
      <c r="H10" s="96">
        <v>1173.9419999999993</v>
      </c>
    </row>
    <row r="11" spans="2:8" x14ac:dyDescent="0.35">
      <c r="B11" s="94" t="s">
        <v>291</v>
      </c>
      <c r="C11" s="1">
        <v>448.98</v>
      </c>
      <c r="D11" s="1">
        <v>448.98</v>
      </c>
      <c r="E11" s="1">
        <v>471.42900000000003</v>
      </c>
      <c r="F11" s="1">
        <v>518.57189999999991</v>
      </c>
      <c r="G11" s="1">
        <v>570.42908999999986</v>
      </c>
      <c r="H11" s="96">
        <v>627.47199899999976</v>
      </c>
    </row>
    <row r="12" spans="2:8" x14ac:dyDescent="0.35">
      <c r="B12" s="94" t="s">
        <v>292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96">
        <v>0</v>
      </c>
    </row>
    <row r="13" spans="2:8" x14ac:dyDescent="0.35">
      <c r="B13" s="94" t="s">
        <v>293</v>
      </c>
      <c r="C13" s="311">
        <v>0</v>
      </c>
      <c r="D13" s="311">
        <v>0</v>
      </c>
      <c r="E13" s="311">
        <v>0</v>
      </c>
      <c r="F13" s="311">
        <v>0</v>
      </c>
      <c r="G13" s="311">
        <v>0</v>
      </c>
      <c r="H13" s="312">
        <v>0</v>
      </c>
    </row>
    <row r="14" spans="2:8" x14ac:dyDescent="0.35">
      <c r="B14" s="265" t="s">
        <v>294</v>
      </c>
      <c r="C14" s="9">
        <v>1148.98</v>
      </c>
      <c r="D14" s="9">
        <v>1385.3921909891756</v>
      </c>
      <c r="E14" s="9">
        <v>1830.8207624121551</v>
      </c>
      <c r="F14" s="9">
        <v>2064.1376764867719</v>
      </c>
      <c r="G14" s="9">
        <v>2320.0860068314523</v>
      </c>
      <c r="H14" s="239">
        <v>2536.2246539667722</v>
      </c>
    </row>
    <row r="15" spans="2:8" x14ac:dyDescent="0.35">
      <c r="B15" s="94"/>
      <c r="C15" s="1"/>
      <c r="D15" s="1"/>
      <c r="E15" s="1"/>
      <c r="F15" s="1"/>
      <c r="G15" s="1"/>
      <c r="H15" s="96"/>
    </row>
    <row r="16" spans="2:8" x14ac:dyDescent="0.35">
      <c r="B16" s="266" t="s">
        <v>295</v>
      </c>
      <c r="C16" s="100">
        <v>950</v>
      </c>
      <c r="D16" s="100">
        <v>1013.4166666666666</v>
      </c>
      <c r="E16" s="100">
        <v>990.41666666666674</v>
      </c>
      <c r="F16" s="100">
        <v>1044.9166666666667</v>
      </c>
      <c r="G16" s="100">
        <v>1104.3566666666668</v>
      </c>
      <c r="H16" s="257">
        <v>1167.1406666666669</v>
      </c>
    </row>
    <row r="17" spans="2:8" x14ac:dyDescent="0.35">
      <c r="B17" s="267"/>
      <c r="C17" s="254"/>
      <c r="D17" s="254"/>
      <c r="E17" s="254"/>
      <c r="F17" s="254"/>
      <c r="G17" s="254"/>
      <c r="H17" s="262"/>
    </row>
    <row r="18" spans="2:8" x14ac:dyDescent="0.35">
      <c r="B18" s="265" t="s">
        <v>296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239">
        <v>0</v>
      </c>
    </row>
    <row r="19" spans="2:8" x14ac:dyDescent="0.35">
      <c r="B19" s="94"/>
      <c r="C19" s="1"/>
      <c r="D19" s="1"/>
      <c r="E19" s="1"/>
      <c r="F19" s="1"/>
      <c r="G19" s="1"/>
      <c r="H19" s="96"/>
    </row>
    <row r="20" spans="2:8" x14ac:dyDescent="0.35">
      <c r="B20" s="259" t="s">
        <v>297</v>
      </c>
      <c r="C20" s="315">
        <v>2098.98</v>
      </c>
      <c r="D20" s="315">
        <v>2398.8088576558421</v>
      </c>
      <c r="E20" s="315">
        <v>2821.2374290788221</v>
      </c>
      <c r="F20" s="315">
        <v>3109.0543431534388</v>
      </c>
      <c r="G20" s="315">
        <v>3424.4426734981189</v>
      </c>
      <c r="H20" s="316">
        <v>3703.3653206334393</v>
      </c>
    </row>
    <row r="21" spans="2:8" x14ac:dyDescent="0.35">
      <c r="B21" s="92"/>
      <c r="H21" s="93"/>
    </row>
    <row r="22" spans="2:8" x14ac:dyDescent="0.35">
      <c r="B22" s="274" t="s">
        <v>298</v>
      </c>
      <c r="H22" s="96"/>
    </row>
    <row r="23" spans="2:8" x14ac:dyDescent="0.35">
      <c r="B23" s="92" t="s">
        <v>299</v>
      </c>
      <c r="H23" s="93"/>
    </row>
    <row r="24" spans="2:8" x14ac:dyDescent="0.35">
      <c r="B24" s="94" t="s">
        <v>300</v>
      </c>
      <c r="C24" s="1">
        <v>300</v>
      </c>
      <c r="D24" s="1">
        <v>258.3</v>
      </c>
      <c r="E24" s="1">
        <v>273.45197802197805</v>
      </c>
      <c r="F24" s="1">
        <v>301.04655494505505</v>
      </c>
      <c r="G24" s="1">
        <v>331.15121043956049</v>
      </c>
      <c r="H24" s="96">
        <v>364.26633148351647</v>
      </c>
    </row>
    <row r="25" spans="2:8" x14ac:dyDescent="0.35">
      <c r="B25" s="94" t="s">
        <v>301</v>
      </c>
      <c r="C25" s="1">
        <v>0</v>
      </c>
      <c r="D25" s="1">
        <v>0</v>
      </c>
      <c r="E25" s="1">
        <v>25</v>
      </c>
      <c r="F25" s="1">
        <v>47.5</v>
      </c>
      <c r="G25" s="1">
        <v>104.5</v>
      </c>
      <c r="H25" s="96">
        <v>114.95</v>
      </c>
    </row>
    <row r="26" spans="2:8" x14ac:dyDescent="0.35">
      <c r="B26" s="94" t="s">
        <v>302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96">
        <v>0</v>
      </c>
    </row>
    <row r="27" spans="2:8" x14ac:dyDescent="0.35">
      <c r="B27" s="94" t="s">
        <v>303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96">
        <v>0</v>
      </c>
    </row>
    <row r="28" spans="2:8" x14ac:dyDescent="0.35">
      <c r="B28" s="94" t="s">
        <v>304</v>
      </c>
      <c r="C28" s="1">
        <v>0</v>
      </c>
      <c r="D28" s="1">
        <v>0</v>
      </c>
      <c r="E28" s="1">
        <v>70</v>
      </c>
      <c r="F28" s="1">
        <v>90</v>
      </c>
      <c r="G28" s="1">
        <v>99</v>
      </c>
      <c r="H28" s="96">
        <v>108.9</v>
      </c>
    </row>
    <row r="29" spans="2:8" x14ac:dyDescent="0.35">
      <c r="B29" s="94" t="s">
        <v>305</v>
      </c>
      <c r="C29" s="1">
        <v>0</v>
      </c>
      <c r="D29" s="1">
        <v>93.285100179544841</v>
      </c>
      <c r="E29" s="1">
        <v>76.668508074163896</v>
      </c>
      <c r="F29" s="1">
        <v>99.536795828996461</v>
      </c>
      <c r="G29" s="1">
        <v>111.2371647377099</v>
      </c>
      <c r="H29" s="96">
        <v>120.95814179017573</v>
      </c>
    </row>
    <row r="30" spans="2:8" x14ac:dyDescent="0.35">
      <c r="B30" s="94" t="s">
        <v>306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96">
        <v>0</v>
      </c>
    </row>
    <row r="31" spans="2:8" x14ac:dyDescent="0.35">
      <c r="B31" s="94" t="s">
        <v>307</v>
      </c>
      <c r="C31" s="1">
        <v>100</v>
      </c>
      <c r="D31" s="1">
        <v>0</v>
      </c>
      <c r="E31" s="1">
        <v>0</v>
      </c>
      <c r="F31" s="1">
        <v>0</v>
      </c>
      <c r="G31" s="1">
        <v>0</v>
      </c>
      <c r="H31" s="96">
        <v>0</v>
      </c>
    </row>
    <row r="32" spans="2:8" x14ac:dyDescent="0.35">
      <c r="B32" s="94" t="s">
        <v>308</v>
      </c>
      <c r="C32" s="1"/>
      <c r="D32" s="1"/>
      <c r="E32" s="1"/>
      <c r="F32" s="1"/>
      <c r="G32" s="1"/>
      <c r="H32" s="96"/>
    </row>
    <row r="33" spans="2:8" x14ac:dyDescent="0.35">
      <c r="B33" s="94" t="s">
        <v>309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96">
        <v>0</v>
      </c>
    </row>
    <row r="34" spans="2:8" x14ac:dyDescent="0.35">
      <c r="B34" s="94" t="s">
        <v>310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96">
        <v>0</v>
      </c>
    </row>
    <row r="35" spans="2:8" x14ac:dyDescent="0.35">
      <c r="B35" s="94" t="s">
        <v>311</v>
      </c>
      <c r="C35" s="311">
        <v>0</v>
      </c>
      <c r="D35" s="311">
        <v>0</v>
      </c>
      <c r="E35" s="311">
        <v>0</v>
      </c>
      <c r="F35" s="311">
        <v>0</v>
      </c>
      <c r="G35" s="311">
        <v>0</v>
      </c>
      <c r="H35" s="312">
        <v>0</v>
      </c>
    </row>
    <row r="36" spans="2:8" x14ac:dyDescent="0.35">
      <c r="B36" s="265" t="s">
        <v>312</v>
      </c>
      <c r="C36" s="9">
        <v>400</v>
      </c>
      <c r="D36" s="9">
        <v>351.5851001795449</v>
      </c>
      <c r="E36" s="9">
        <v>445.12048609614192</v>
      </c>
      <c r="F36" s="9">
        <v>538.0833507740515</v>
      </c>
      <c r="G36" s="9">
        <v>645.8883751772704</v>
      </c>
      <c r="H36" s="239">
        <v>709.07447327369221</v>
      </c>
    </row>
    <row r="37" spans="2:8" x14ac:dyDescent="0.35">
      <c r="B37" s="92"/>
      <c r="H37" s="93"/>
    </row>
    <row r="38" spans="2:8" x14ac:dyDescent="0.35">
      <c r="B38" s="267" t="s">
        <v>313</v>
      </c>
      <c r="C38" s="1"/>
      <c r="D38" s="1"/>
      <c r="E38" s="1"/>
      <c r="F38" s="1"/>
      <c r="G38" s="1"/>
      <c r="H38" s="96"/>
    </row>
    <row r="39" spans="2:8" x14ac:dyDescent="0.35">
      <c r="B39" s="94" t="s">
        <v>314</v>
      </c>
      <c r="C39" s="1">
        <v>450</v>
      </c>
      <c r="D39" s="1">
        <v>575</v>
      </c>
      <c r="E39" s="1">
        <v>645</v>
      </c>
      <c r="F39" s="1">
        <v>745</v>
      </c>
      <c r="G39" s="1">
        <v>845</v>
      </c>
      <c r="H39" s="96">
        <v>945</v>
      </c>
    </row>
    <row r="40" spans="2:8" x14ac:dyDescent="0.35">
      <c r="B40" s="94" t="s">
        <v>315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96">
        <v>0</v>
      </c>
    </row>
    <row r="41" spans="2:8" x14ac:dyDescent="0.35">
      <c r="B41" s="94" t="s">
        <v>316</v>
      </c>
      <c r="C41" s="311">
        <v>0</v>
      </c>
      <c r="D41" s="311">
        <v>0</v>
      </c>
      <c r="E41" s="311">
        <v>0</v>
      </c>
      <c r="F41" s="311">
        <v>0</v>
      </c>
      <c r="G41" s="311">
        <v>0</v>
      </c>
      <c r="H41" s="312">
        <v>0</v>
      </c>
    </row>
    <row r="42" spans="2:8" x14ac:dyDescent="0.35">
      <c r="B42" s="259" t="s">
        <v>317</v>
      </c>
      <c r="C42" s="100">
        <v>450</v>
      </c>
      <c r="D42" s="100">
        <v>575</v>
      </c>
      <c r="E42" s="100">
        <v>645</v>
      </c>
      <c r="F42" s="100">
        <v>745</v>
      </c>
      <c r="G42" s="100">
        <v>845</v>
      </c>
      <c r="H42" s="257">
        <v>945</v>
      </c>
    </row>
    <row r="43" spans="2:8" x14ac:dyDescent="0.35">
      <c r="B43" s="94"/>
      <c r="C43" s="1"/>
      <c r="D43" s="1"/>
      <c r="E43" s="1"/>
      <c r="F43" s="1"/>
      <c r="G43" s="1"/>
      <c r="H43" s="96"/>
    </row>
    <row r="44" spans="2:8" x14ac:dyDescent="0.35">
      <c r="B44" s="94" t="s">
        <v>318</v>
      </c>
      <c r="C44" s="1"/>
      <c r="D44" s="1"/>
      <c r="E44" s="1"/>
      <c r="F44" s="1"/>
      <c r="G44" s="1"/>
      <c r="H44" s="96"/>
    </row>
    <row r="45" spans="2:8" x14ac:dyDescent="0.35">
      <c r="B45" s="94" t="s">
        <v>319</v>
      </c>
      <c r="C45" s="1">
        <v>0</v>
      </c>
      <c r="D45" s="1">
        <v>100</v>
      </c>
      <c r="E45" s="1">
        <v>250</v>
      </c>
      <c r="F45" s="1">
        <v>250</v>
      </c>
      <c r="G45" s="1">
        <v>250</v>
      </c>
      <c r="H45" s="96">
        <v>250</v>
      </c>
    </row>
    <row r="46" spans="2:8" x14ac:dyDescent="0.35">
      <c r="B46" s="94" t="s">
        <v>320</v>
      </c>
      <c r="C46" s="311">
        <v>1248.98</v>
      </c>
      <c r="D46" s="311">
        <v>1372.2237574762971</v>
      </c>
      <c r="E46" s="311">
        <v>1481.1169429826796</v>
      </c>
      <c r="F46" s="311">
        <v>1575.9709923793873</v>
      </c>
      <c r="G46" s="311">
        <v>1683.5542983208486</v>
      </c>
      <c r="H46" s="312">
        <v>1799.2908473597465</v>
      </c>
    </row>
    <row r="47" spans="2:8" x14ac:dyDescent="0.35">
      <c r="B47" s="265" t="s">
        <v>321</v>
      </c>
      <c r="C47" s="113">
        <v>1248.98</v>
      </c>
      <c r="D47" s="113">
        <v>1472.2237574762971</v>
      </c>
      <c r="E47" s="113">
        <v>1731.1169429826796</v>
      </c>
      <c r="F47" s="113">
        <v>1825.9709923793873</v>
      </c>
      <c r="G47" s="113">
        <v>1933.5542983208486</v>
      </c>
      <c r="H47" s="256">
        <v>2049.2908473597463</v>
      </c>
    </row>
    <row r="48" spans="2:8" x14ac:dyDescent="0.35">
      <c r="B48" s="265"/>
      <c r="C48" s="24"/>
      <c r="D48" s="24"/>
      <c r="E48" s="24"/>
      <c r="F48" s="24"/>
      <c r="G48" s="24"/>
      <c r="H48" s="269"/>
    </row>
    <row r="49" spans="2:8" x14ac:dyDescent="0.35">
      <c r="B49" s="265" t="s">
        <v>322</v>
      </c>
      <c r="C49" s="315">
        <v>2098.98</v>
      </c>
      <c r="D49" s="315">
        <v>2398.8088576558421</v>
      </c>
      <c r="E49" s="315">
        <v>2821.2374290788216</v>
      </c>
      <c r="F49" s="315">
        <v>3109.0543431534388</v>
      </c>
      <c r="G49" s="315">
        <v>3424.4426734981189</v>
      </c>
      <c r="H49" s="316">
        <v>3703.3653206334384</v>
      </c>
    </row>
    <row r="50" spans="2:8" ht="16" thickBot="1" x14ac:dyDescent="0.4">
      <c r="B50" s="275"/>
      <c r="C50" s="18"/>
      <c r="D50" s="18"/>
      <c r="E50" s="18"/>
      <c r="F50" s="18"/>
      <c r="G50" s="18"/>
      <c r="H50" s="270"/>
    </row>
  </sheetData>
  <printOptions gridLinesSet="0"/>
  <pageMargins left="0.75" right="0.75" top="1" bottom="1" header="0.5" footer="0.5"/>
  <pageSetup paperSize="9" scale="72" orientation="portrait" horizontalDpi="4294967292" verticalDpi="0" r:id="rId1"/>
  <headerFooter alignWithMargins="0">
    <oddHeader>&amp;C&amp;A&amp;R&amp;D</oddHeader>
    <oddFooter>&amp;LCompiled using the PlanWare Online Financial Planner at www.planware.org&amp;R© Copyright  Invest-Tech Limited  1998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5"/>
  <sheetViews>
    <sheetView showGridLines="0" showRowColHeaders="0" zoomScale="75" workbookViewId="0"/>
  </sheetViews>
  <sheetFormatPr defaultRowHeight="15.5" x14ac:dyDescent="0.35"/>
  <cols>
    <col min="2" max="2" width="31" customWidth="1"/>
  </cols>
  <sheetData>
    <row r="1" spans="2:8" ht="30" x14ac:dyDescent="0.6">
      <c r="B1" s="347" t="s">
        <v>323</v>
      </c>
    </row>
    <row r="2" spans="2:8" ht="16" thickBot="1" x14ac:dyDescent="0.4"/>
    <row r="3" spans="2:8" x14ac:dyDescent="0.35">
      <c r="B3" s="174" t="s">
        <v>221</v>
      </c>
      <c r="C3" s="170" t="s">
        <v>285</v>
      </c>
      <c r="D3" s="170" t="s">
        <v>222</v>
      </c>
      <c r="E3" s="170" t="s">
        <v>223</v>
      </c>
      <c r="F3" s="170" t="s">
        <v>224</v>
      </c>
      <c r="G3" s="170" t="s">
        <v>225</v>
      </c>
      <c r="H3" s="171" t="s">
        <v>226</v>
      </c>
    </row>
    <row r="4" spans="2:8" ht="16" thickBot="1" x14ac:dyDescent="0.4">
      <c r="B4" s="175" t="s">
        <v>227</v>
      </c>
      <c r="C4" s="173" t="s">
        <v>56</v>
      </c>
      <c r="D4" s="173" t="s">
        <v>56</v>
      </c>
      <c r="E4" s="173" t="s">
        <v>56</v>
      </c>
      <c r="F4" s="173" t="s">
        <v>56</v>
      </c>
      <c r="G4" s="173" t="s">
        <v>56</v>
      </c>
      <c r="H4" s="364" t="s">
        <v>56</v>
      </c>
    </row>
    <row r="5" spans="2:8" ht="18" x14ac:dyDescent="0.4">
      <c r="B5" s="19" t="s">
        <v>324</v>
      </c>
      <c r="C5" s="1"/>
      <c r="D5" s="1"/>
      <c r="E5" s="1"/>
      <c r="F5" s="1"/>
      <c r="G5" s="1"/>
      <c r="H5" s="8"/>
    </row>
    <row r="6" spans="2:8" x14ac:dyDescent="0.35">
      <c r="B6" s="16"/>
      <c r="C6" s="1"/>
      <c r="D6" s="1"/>
      <c r="E6" s="1"/>
      <c r="F6" s="1"/>
      <c r="G6" s="1"/>
      <c r="H6" s="8"/>
    </row>
    <row r="7" spans="2:8" x14ac:dyDescent="0.35">
      <c r="B7" s="16" t="s">
        <v>325</v>
      </c>
      <c r="C7" s="1"/>
      <c r="D7" s="1"/>
      <c r="E7" s="1"/>
      <c r="F7" s="1"/>
      <c r="G7" s="1"/>
      <c r="H7" s="8"/>
    </row>
    <row r="8" spans="2:8" x14ac:dyDescent="0.35">
      <c r="B8" s="16" t="s">
        <v>326</v>
      </c>
      <c r="C8" s="7" t="s">
        <v>327</v>
      </c>
      <c r="D8" s="7">
        <v>32.809523809523817</v>
      </c>
      <c r="E8" s="7">
        <v>32.058956916099781</v>
      </c>
      <c r="F8" s="7">
        <v>31.766439909297056</v>
      </c>
      <c r="G8" s="7">
        <v>31.766439909297052</v>
      </c>
      <c r="H8" s="14">
        <v>31.766439909297045</v>
      </c>
    </row>
    <row r="9" spans="2:8" x14ac:dyDescent="0.35">
      <c r="B9" s="278" t="s">
        <v>328</v>
      </c>
      <c r="C9" s="7" t="s">
        <v>327</v>
      </c>
      <c r="D9" s="7">
        <v>6.7860449735449828</v>
      </c>
      <c r="E9" s="7">
        <v>5.9251700680272181</v>
      </c>
      <c r="F9" s="7">
        <v>5.8456675599532746</v>
      </c>
      <c r="G9" s="7">
        <v>5.8377029415990407</v>
      </c>
      <c r="H9" s="277">
        <v>5.8007902718646402</v>
      </c>
    </row>
    <row r="10" spans="2:8" x14ac:dyDescent="0.35">
      <c r="B10" s="278" t="s">
        <v>329</v>
      </c>
      <c r="C10" s="7" t="s">
        <v>327</v>
      </c>
      <c r="D10" s="7">
        <v>5.2882709852349619</v>
      </c>
      <c r="E10" s="7">
        <v>4.8292081175462274</v>
      </c>
      <c r="F10" s="7">
        <v>4.8854333337748947</v>
      </c>
      <c r="G10" s="7">
        <v>4.9633701061195019</v>
      </c>
      <c r="H10" s="14">
        <v>4.9064702632820829</v>
      </c>
    </row>
    <row r="11" spans="2:8" x14ac:dyDescent="0.35">
      <c r="B11" s="16" t="s">
        <v>330</v>
      </c>
      <c r="C11" s="7" t="s">
        <v>331</v>
      </c>
      <c r="D11" s="7">
        <v>0</v>
      </c>
      <c r="E11" s="7">
        <v>0</v>
      </c>
      <c r="F11" s="7">
        <v>0</v>
      </c>
      <c r="G11" s="7" t="s">
        <v>327</v>
      </c>
      <c r="H11" s="14" t="s">
        <v>327</v>
      </c>
    </row>
    <row r="12" spans="2:8" x14ac:dyDescent="0.35">
      <c r="B12" s="16" t="s">
        <v>332</v>
      </c>
      <c r="C12" s="7" t="s">
        <v>331</v>
      </c>
      <c r="D12" s="7">
        <v>0</v>
      </c>
      <c r="E12" s="7">
        <v>0</v>
      </c>
      <c r="F12" s="7">
        <v>0</v>
      </c>
      <c r="G12" s="7" t="s">
        <v>327</v>
      </c>
      <c r="H12" s="14" t="s">
        <v>327</v>
      </c>
    </row>
    <row r="13" spans="2:8" x14ac:dyDescent="0.35">
      <c r="B13" s="16"/>
      <c r="C13" s="20"/>
      <c r="D13" s="20"/>
      <c r="E13" s="20"/>
      <c r="F13" s="20"/>
      <c r="G13" s="20"/>
      <c r="H13" s="21"/>
    </row>
    <row r="14" spans="2:8" x14ac:dyDescent="0.35">
      <c r="B14" s="16" t="s">
        <v>333</v>
      </c>
      <c r="C14" s="279" t="s">
        <v>327</v>
      </c>
      <c r="D14" s="279">
        <v>126.07662494440565</v>
      </c>
      <c r="E14" s="279">
        <v>122.67245119305858</v>
      </c>
      <c r="F14" s="279">
        <v>122.55205779044336</v>
      </c>
      <c r="G14" s="279">
        <v>122.51441305788107</v>
      </c>
      <c r="H14" s="271">
        <v>122.34024702968395</v>
      </c>
    </row>
    <row r="15" spans="2:8" x14ac:dyDescent="0.35">
      <c r="B15" s="16" t="s">
        <v>334</v>
      </c>
      <c r="C15" s="281" t="s">
        <v>335</v>
      </c>
      <c r="D15" s="20">
        <v>0</v>
      </c>
      <c r="E15" s="20">
        <v>0</v>
      </c>
      <c r="F15" s="20">
        <v>0</v>
      </c>
      <c r="G15" s="20">
        <v>0</v>
      </c>
      <c r="H15" s="21">
        <v>0</v>
      </c>
    </row>
    <row r="16" spans="2:8" x14ac:dyDescent="0.35">
      <c r="B16" s="16"/>
      <c r="C16" s="279"/>
      <c r="D16" s="20"/>
      <c r="E16" s="20"/>
      <c r="F16" s="20"/>
      <c r="G16" s="20"/>
      <c r="H16" s="21"/>
    </row>
    <row r="17" spans="2:8" x14ac:dyDescent="0.35">
      <c r="B17" s="16" t="s">
        <v>336</v>
      </c>
      <c r="C17" s="279"/>
      <c r="D17" s="20"/>
      <c r="E17" s="20"/>
      <c r="F17" s="20"/>
      <c r="G17" s="20"/>
      <c r="H17" s="21"/>
    </row>
    <row r="18" spans="2:8" x14ac:dyDescent="0.35">
      <c r="B18" s="16" t="s">
        <v>337</v>
      </c>
      <c r="C18" s="281" t="s">
        <v>335</v>
      </c>
      <c r="D18" s="20" t="s">
        <v>327</v>
      </c>
      <c r="E18" s="20">
        <v>5</v>
      </c>
      <c r="F18" s="20">
        <v>9.9999999999999858</v>
      </c>
      <c r="G18" s="20">
        <v>9.9999999999999858</v>
      </c>
      <c r="H18" s="21">
        <v>9.9999999999999858</v>
      </c>
    </row>
    <row r="19" spans="2:8" x14ac:dyDescent="0.35">
      <c r="B19" s="278" t="s">
        <v>329</v>
      </c>
      <c r="C19" s="281" t="s">
        <v>335</v>
      </c>
      <c r="D19" s="20" t="s">
        <v>327</v>
      </c>
      <c r="E19" s="20">
        <v>-4.1148129968939884</v>
      </c>
      <c r="F19" s="20">
        <v>11.280701438954722</v>
      </c>
      <c r="G19" s="20">
        <v>11.754817714661641</v>
      </c>
      <c r="H19" s="21">
        <v>8.7389651429783157</v>
      </c>
    </row>
    <row r="20" spans="2:8" x14ac:dyDescent="0.35">
      <c r="B20" s="278" t="s">
        <v>338</v>
      </c>
      <c r="C20" s="281" t="s">
        <v>335</v>
      </c>
      <c r="D20" s="20" t="s">
        <v>327</v>
      </c>
      <c r="E20" s="20">
        <v>-11.644055864391106</v>
      </c>
      <c r="F20" s="20">
        <v>-12.892575457673544</v>
      </c>
      <c r="G20" s="20">
        <v>13.41983460454712</v>
      </c>
      <c r="H20" s="21">
        <v>7.5785392780855148</v>
      </c>
    </row>
    <row r="21" spans="2:8" x14ac:dyDescent="0.35">
      <c r="B21" s="278" t="s">
        <v>339</v>
      </c>
      <c r="C21" s="281" t="s">
        <v>335</v>
      </c>
      <c r="D21" s="20">
        <v>17.874085852159126</v>
      </c>
      <c r="E21" s="20">
        <v>17.585179168021313</v>
      </c>
      <c r="F21" s="20">
        <v>5.479355382732038</v>
      </c>
      <c r="G21" s="20">
        <v>5.8918409104227578</v>
      </c>
      <c r="H21" s="21">
        <v>5.9856891083641415</v>
      </c>
    </row>
    <row r="22" spans="2:8" x14ac:dyDescent="0.35">
      <c r="B22" s="16" t="s">
        <v>340</v>
      </c>
      <c r="C22" s="281" t="s">
        <v>335</v>
      </c>
      <c r="D22" s="20" t="s">
        <v>327</v>
      </c>
      <c r="E22" s="20">
        <v>28.524590163934391</v>
      </c>
      <c r="F22" s="20">
        <v>28.571428571428584</v>
      </c>
      <c r="G22" s="20">
        <v>9.9999999999999858</v>
      </c>
      <c r="H22" s="21">
        <v>9.9999999999999716</v>
      </c>
    </row>
    <row r="23" spans="2:8" x14ac:dyDescent="0.35">
      <c r="B23" s="16" t="s">
        <v>341</v>
      </c>
      <c r="C23" s="281" t="s">
        <v>335</v>
      </c>
      <c r="D23" s="20" t="s">
        <v>327</v>
      </c>
      <c r="E23" s="20">
        <v>-6.4473257642278554</v>
      </c>
      <c r="F23" s="20">
        <v>-0.90284140008775182</v>
      </c>
      <c r="G23" s="20">
        <v>11.754817714661641</v>
      </c>
      <c r="H23" s="21">
        <v>8.7389651429782873</v>
      </c>
    </row>
    <row r="24" spans="2:8" x14ac:dyDescent="0.35">
      <c r="B24" s="16"/>
      <c r="C24" s="279"/>
      <c r="D24" s="20"/>
      <c r="E24" s="20"/>
      <c r="F24" s="20"/>
      <c r="G24" s="20"/>
      <c r="H24" s="21"/>
    </row>
    <row r="25" spans="2:8" x14ac:dyDescent="0.35">
      <c r="B25" s="278" t="s">
        <v>342</v>
      </c>
      <c r="C25" s="235">
        <v>0</v>
      </c>
      <c r="D25" s="7">
        <v>11.110883503919471</v>
      </c>
      <c r="E25" s="7">
        <v>9.0584964932919974</v>
      </c>
      <c r="F25" s="7">
        <v>9.147181549012533</v>
      </c>
      <c r="G25" s="7">
        <v>9.280940023870011</v>
      </c>
      <c r="H25" s="277">
        <v>9.3319092476126979</v>
      </c>
    </row>
    <row r="26" spans="2:8" x14ac:dyDescent="0.35">
      <c r="B26" s="278" t="s">
        <v>343</v>
      </c>
      <c r="C26" s="235">
        <v>0</v>
      </c>
      <c r="D26" s="7">
        <v>11.767488236521441</v>
      </c>
      <c r="E26" s="7">
        <v>10.333974618615489</v>
      </c>
      <c r="F26" s="7">
        <v>10.123602738936613</v>
      </c>
      <c r="G26" s="7">
        <v>10.684122298549561</v>
      </c>
      <c r="H26" s="277">
        <v>10.961672391613606</v>
      </c>
    </row>
    <row r="27" spans="2:8" x14ac:dyDescent="0.35">
      <c r="B27" s="276"/>
      <c r="C27" s="279"/>
      <c r="D27" s="20"/>
      <c r="E27" s="20"/>
      <c r="F27" s="20"/>
      <c r="G27" s="20"/>
      <c r="H27" s="271"/>
    </row>
    <row r="28" spans="2:8" x14ac:dyDescent="0.35">
      <c r="B28" s="278" t="s">
        <v>344</v>
      </c>
      <c r="C28" s="235" t="s">
        <v>327</v>
      </c>
      <c r="D28" s="7">
        <v>2.1010427670861511</v>
      </c>
      <c r="E28" s="7">
        <v>1.8757726469437634</v>
      </c>
      <c r="F28" s="7">
        <v>1.8723378099900618</v>
      </c>
      <c r="G28" s="7">
        <v>1.8698867554581993</v>
      </c>
      <c r="H28" s="277">
        <v>1.9019598095699675</v>
      </c>
    </row>
    <row r="29" spans="2:8" x14ac:dyDescent="0.35">
      <c r="B29" s="278" t="s">
        <v>345</v>
      </c>
      <c r="C29" s="235" t="s">
        <v>327</v>
      </c>
      <c r="D29" s="7">
        <v>4.9732752240769678</v>
      </c>
      <c r="E29" s="7">
        <v>5.3432057214976858</v>
      </c>
      <c r="F29" s="7">
        <v>5.5709705718159341</v>
      </c>
      <c r="G29" s="7">
        <v>5.798235473443059</v>
      </c>
      <c r="H29" s="14">
        <v>6.0349640803079403</v>
      </c>
    </row>
    <row r="30" spans="2:8" x14ac:dyDescent="0.35">
      <c r="B30" s="276"/>
      <c r="C30" s="20"/>
      <c r="D30" s="20"/>
      <c r="E30" s="20"/>
      <c r="F30" s="20"/>
      <c r="G30" s="20"/>
      <c r="H30" s="21"/>
    </row>
    <row r="31" spans="2:8" x14ac:dyDescent="0.35">
      <c r="B31" s="278" t="s">
        <v>346</v>
      </c>
      <c r="C31" s="91">
        <v>0</v>
      </c>
      <c r="D31" s="89">
        <v>0</v>
      </c>
      <c r="E31" s="89">
        <v>0</v>
      </c>
      <c r="F31" s="89">
        <v>0</v>
      </c>
      <c r="G31" s="89">
        <v>0</v>
      </c>
      <c r="H31" s="90">
        <v>0</v>
      </c>
    </row>
    <row r="32" spans="2:8" x14ac:dyDescent="0.35">
      <c r="B32" s="278" t="s">
        <v>347</v>
      </c>
      <c r="C32" s="130">
        <v>44.035933321590413</v>
      </c>
      <c r="D32" s="130">
        <v>32.507817278483898</v>
      </c>
      <c r="E32" s="130">
        <v>9.6820863701477897</v>
      </c>
      <c r="F32" s="130">
        <v>9.2900831514404612</v>
      </c>
      <c r="G32" s="130">
        <v>8.4074744272618229</v>
      </c>
      <c r="H32" s="129">
        <v>10.256686858482274</v>
      </c>
    </row>
    <row r="33" spans="2:8" x14ac:dyDescent="0.35">
      <c r="B33" s="278" t="s">
        <v>348</v>
      </c>
      <c r="C33" s="7" t="s">
        <v>327</v>
      </c>
      <c r="D33" s="7">
        <v>4.5307536560985815</v>
      </c>
      <c r="E33" s="7">
        <v>5.4063647605893683</v>
      </c>
      <c r="F33" s="7">
        <v>6.0877517178473681</v>
      </c>
      <c r="G33" s="7">
        <v>6.6767513522436541</v>
      </c>
      <c r="H33" s="14">
        <v>6.4862579571025565</v>
      </c>
    </row>
    <row r="34" spans="2:8" x14ac:dyDescent="0.35">
      <c r="B34" s="16"/>
      <c r="C34" s="20"/>
      <c r="D34" s="20"/>
      <c r="E34" s="20"/>
      <c r="F34" s="20"/>
      <c r="G34" s="20"/>
      <c r="H34" s="21"/>
    </row>
    <row r="35" spans="2:8" x14ac:dyDescent="0.35">
      <c r="B35" s="16" t="s">
        <v>349</v>
      </c>
      <c r="C35" s="7">
        <v>2.8724500000000002</v>
      </c>
      <c r="D35" s="7">
        <v>3.9404178114535959</v>
      </c>
      <c r="E35" s="7">
        <v>4.1130903195875703</v>
      </c>
      <c r="F35" s="7">
        <v>3.8360928163219294</v>
      </c>
      <c r="G35" s="7">
        <v>3.5920850970489786</v>
      </c>
      <c r="H35" s="14">
        <v>3.5768099819718473</v>
      </c>
    </row>
    <row r="36" spans="2:8" x14ac:dyDescent="0.35">
      <c r="B36" s="16"/>
      <c r="C36" s="7"/>
      <c r="D36" s="7"/>
      <c r="E36" s="7"/>
      <c r="F36" s="7"/>
      <c r="G36" s="7"/>
      <c r="H36" s="14"/>
    </row>
    <row r="37" spans="2:8" x14ac:dyDescent="0.35">
      <c r="B37" s="94" t="s">
        <v>350</v>
      </c>
      <c r="C37" s="20">
        <v>0</v>
      </c>
      <c r="D37" s="20">
        <v>60.833333333333329</v>
      </c>
      <c r="E37" s="20">
        <v>60.833333333333329</v>
      </c>
      <c r="F37" s="20">
        <v>60.833333333333321</v>
      </c>
      <c r="G37" s="20">
        <v>60.833333333333321</v>
      </c>
      <c r="H37" s="21">
        <v>60.833333333333321</v>
      </c>
    </row>
    <row r="38" spans="2:8" x14ac:dyDescent="0.35">
      <c r="B38" s="94" t="s">
        <v>351</v>
      </c>
      <c r="C38" s="20">
        <v>0</v>
      </c>
      <c r="D38" s="20">
        <v>32.515416666666667</v>
      </c>
      <c r="E38" s="20">
        <v>32.515416666666667</v>
      </c>
      <c r="F38" s="20">
        <v>32.51541666666666</v>
      </c>
      <c r="G38" s="20">
        <v>32.515416666666667</v>
      </c>
      <c r="H38" s="21">
        <v>32.515416666666667</v>
      </c>
    </row>
    <row r="39" spans="2:8" x14ac:dyDescent="0.35">
      <c r="B39" s="94" t="s">
        <v>352</v>
      </c>
      <c r="C39" s="20">
        <v>0</v>
      </c>
      <c r="D39" s="20">
        <v>20.55631868131869</v>
      </c>
      <c r="E39" s="20">
        <v>20.556318681318686</v>
      </c>
      <c r="F39" s="20">
        <v>20.556318681318686</v>
      </c>
      <c r="G39" s="20">
        <v>20.556318681318686</v>
      </c>
      <c r="H39" s="21">
        <v>20.556318681318686</v>
      </c>
    </row>
    <row r="40" spans="2:8" x14ac:dyDescent="0.35">
      <c r="B40" s="16"/>
      <c r="C40" s="20"/>
      <c r="D40" s="20"/>
      <c r="E40" s="20"/>
      <c r="F40" s="20"/>
      <c r="G40" s="20"/>
      <c r="H40" s="21"/>
    </row>
    <row r="41" spans="2:8" x14ac:dyDescent="0.35">
      <c r="B41" s="16" t="s">
        <v>353</v>
      </c>
      <c r="C41" s="20">
        <v>100</v>
      </c>
      <c r="D41" s="20">
        <v>112</v>
      </c>
      <c r="E41" s="20">
        <v>122</v>
      </c>
      <c r="F41" s="20">
        <v>122</v>
      </c>
      <c r="G41" s="20">
        <v>122</v>
      </c>
      <c r="H41" s="21">
        <v>122</v>
      </c>
    </row>
    <row r="42" spans="2:8" x14ac:dyDescent="0.35">
      <c r="B42" s="278" t="s">
        <v>354</v>
      </c>
      <c r="C42" s="25">
        <v>12.489800000000001</v>
      </c>
      <c r="D42" s="25">
        <v>13.144854977466938</v>
      </c>
      <c r="E42" s="25">
        <v>14.189483139202292</v>
      </c>
      <c r="F42" s="25">
        <v>14.966975347372028</v>
      </c>
      <c r="G42" s="25">
        <v>15.848805723941382</v>
      </c>
      <c r="H42" s="280">
        <v>16.797465961965134</v>
      </c>
    </row>
    <row r="43" spans="2:8" x14ac:dyDescent="0.35">
      <c r="B43" s="16" t="s">
        <v>355</v>
      </c>
      <c r="C43" s="25">
        <v>0</v>
      </c>
      <c r="D43" s="25">
        <v>1.6343750705311058</v>
      </c>
      <c r="E43" s="25">
        <v>1.5290015855246366</v>
      </c>
      <c r="F43" s="25">
        <v>1.5151971262025221</v>
      </c>
      <c r="G43" s="25">
        <v>1.6933057864054204</v>
      </c>
      <c r="H43" s="26">
        <v>1.8412831888434247</v>
      </c>
    </row>
    <row r="44" spans="2:8" x14ac:dyDescent="0.35">
      <c r="B44" s="16" t="s">
        <v>356</v>
      </c>
      <c r="C44" s="25">
        <v>0</v>
      </c>
      <c r="D44" s="25">
        <v>0.44642857142857145</v>
      </c>
      <c r="E44" s="25">
        <v>0.57377049180327866</v>
      </c>
      <c r="F44" s="25">
        <v>0.73770491803278693</v>
      </c>
      <c r="G44" s="25">
        <v>0.81147540983606548</v>
      </c>
      <c r="H44" s="26">
        <v>0.8926229508196718</v>
      </c>
    </row>
    <row r="45" spans="2:8" ht="16" thickBot="1" x14ac:dyDescent="0.4">
      <c r="B45" s="17" t="s">
        <v>357</v>
      </c>
      <c r="C45" s="27" t="s">
        <v>327</v>
      </c>
      <c r="D45" s="27">
        <v>3.4648751495259442</v>
      </c>
      <c r="E45" s="27">
        <v>2.5556169358054639</v>
      </c>
      <c r="F45" s="27">
        <v>2.0539338821856412</v>
      </c>
      <c r="G45" s="27">
        <v>2.0867000600147607</v>
      </c>
      <c r="H45" s="28">
        <v>2.0627782280890532</v>
      </c>
    </row>
  </sheetData>
  <printOptions gridLinesSet="0"/>
  <pageMargins left="0.75" right="0.75" top="1" bottom="1" header="0.5" footer="0.5"/>
  <pageSetup paperSize="9" scale="70" orientation="portrait" horizontalDpi="4294967292" verticalDpi="0" r:id="rId1"/>
  <headerFooter alignWithMargins="0">
    <oddHeader>&amp;C&amp;A&amp;R&amp;D</oddHeader>
    <oddFooter>&amp;LCompiled using the PlanWare Online Financial Planner at www.planware.org&amp;R© Copyright  Invest-Tech Limited  1998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79"/>
  <sheetViews>
    <sheetView showGridLines="0" showRowColHeaders="0" zoomScale="75" workbookViewId="0"/>
  </sheetViews>
  <sheetFormatPr defaultRowHeight="15.5" x14ac:dyDescent="0.35"/>
  <cols>
    <col min="2" max="2" width="18.765625" customWidth="1"/>
    <col min="3" max="7" width="10.765625" customWidth="1"/>
  </cols>
  <sheetData>
    <row r="1" spans="2:7" ht="30" x14ac:dyDescent="0.6">
      <c r="B1" s="347" t="s">
        <v>358</v>
      </c>
    </row>
    <row r="3" spans="2:7" ht="30" x14ac:dyDescent="0.6">
      <c r="B3" s="320" t="s">
        <v>359</v>
      </c>
      <c r="C3" s="83"/>
      <c r="D3" s="83"/>
      <c r="E3" s="83"/>
      <c r="F3" s="83"/>
      <c r="G3" s="83"/>
    </row>
    <row r="5" spans="2:7" x14ac:dyDescent="0.35">
      <c r="B5" t="s">
        <v>360</v>
      </c>
      <c r="C5" s="81">
        <v>36131.481486689816</v>
      </c>
    </row>
    <row r="6" spans="2:7" x14ac:dyDescent="0.35">
      <c r="C6" s="81"/>
    </row>
    <row r="7" spans="2:7" x14ac:dyDescent="0.35">
      <c r="B7" s="82" t="s">
        <v>361</v>
      </c>
    </row>
    <row r="8" spans="2:7" x14ac:dyDescent="0.35">
      <c r="B8" t="s">
        <v>362</v>
      </c>
    </row>
    <row r="9" spans="2:7" x14ac:dyDescent="0.35">
      <c r="B9" t="s">
        <v>363</v>
      </c>
    </row>
    <row r="10" spans="2:7" x14ac:dyDescent="0.35">
      <c r="B10" t="s">
        <v>364</v>
      </c>
    </row>
    <row r="11" spans="2:7" ht="16" thickBot="1" x14ac:dyDescent="0.4">
      <c r="B11" s="32"/>
      <c r="C11" s="32"/>
      <c r="D11" s="32"/>
      <c r="E11" s="32"/>
      <c r="F11" s="32"/>
      <c r="G11" s="32"/>
    </row>
    <row r="12" spans="2:7" ht="16" thickTop="1" x14ac:dyDescent="0.35"/>
    <row r="13" spans="2:7" ht="18" x14ac:dyDescent="0.4">
      <c r="B13" s="33" t="s">
        <v>365</v>
      </c>
    </row>
    <row r="15" spans="2:7" x14ac:dyDescent="0.35">
      <c r="B15" t="s">
        <v>366</v>
      </c>
    </row>
    <row r="16" spans="2:7" x14ac:dyDescent="0.35">
      <c r="B16" t="s">
        <v>367</v>
      </c>
    </row>
    <row r="17" spans="2:7" x14ac:dyDescent="0.35">
      <c r="B17" t="s">
        <v>368</v>
      </c>
    </row>
    <row r="18" spans="2:7" ht="16" thickBot="1" x14ac:dyDescent="0.4"/>
    <row r="19" spans="2:7" x14ac:dyDescent="0.35">
      <c r="B19" s="191"/>
      <c r="C19" s="192" t="s">
        <v>369</v>
      </c>
      <c r="D19" s="193"/>
      <c r="E19" s="193"/>
      <c r="F19" s="194"/>
      <c r="G19" s="195" t="s">
        <v>370</v>
      </c>
    </row>
    <row r="20" spans="2:7" x14ac:dyDescent="0.35">
      <c r="B20" s="196" t="s">
        <v>230</v>
      </c>
      <c r="C20" s="197" t="s">
        <v>371</v>
      </c>
      <c r="D20" s="197" t="s">
        <v>372</v>
      </c>
      <c r="E20" s="197" t="s">
        <v>373</v>
      </c>
      <c r="F20" s="197" t="s">
        <v>374</v>
      </c>
      <c r="G20" s="198" t="s">
        <v>375</v>
      </c>
    </row>
    <row r="21" spans="2:7" x14ac:dyDescent="0.35">
      <c r="B21" s="5"/>
      <c r="C21" s="29" t="s">
        <v>229</v>
      </c>
      <c r="D21" s="29" t="s">
        <v>229</v>
      </c>
      <c r="E21" s="29" t="s">
        <v>229</v>
      </c>
      <c r="F21" s="29" t="s">
        <v>229</v>
      </c>
      <c r="G21" s="47" t="s">
        <v>229</v>
      </c>
    </row>
    <row r="22" spans="2:7" x14ac:dyDescent="0.35">
      <c r="B22" s="5" t="s">
        <v>376</v>
      </c>
      <c r="G22" s="4"/>
    </row>
    <row r="23" spans="2:7" x14ac:dyDescent="0.35">
      <c r="B23" s="5" t="s">
        <v>377</v>
      </c>
      <c r="C23" s="34">
        <v>1260</v>
      </c>
      <c r="D23" s="34">
        <v>1260</v>
      </c>
      <c r="E23" s="34">
        <v>1260</v>
      </c>
      <c r="F23" s="34">
        <v>1260</v>
      </c>
      <c r="G23" s="35">
        <v>5040</v>
      </c>
    </row>
    <row r="24" spans="2:7" x14ac:dyDescent="0.35">
      <c r="B24" s="5" t="s">
        <v>378</v>
      </c>
      <c r="C24" s="34">
        <v>0</v>
      </c>
      <c r="D24" s="34">
        <v>0</v>
      </c>
      <c r="E24" s="34">
        <v>0</v>
      </c>
      <c r="F24" s="34">
        <v>0</v>
      </c>
      <c r="G24" s="35">
        <v>0</v>
      </c>
    </row>
    <row r="25" spans="2:7" x14ac:dyDescent="0.35">
      <c r="B25" s="5" t="s">
        <v>379</v>
      </c>
      <c r="C25" s="34">
        <v>0</v>
      </c>
      <c r="D25" s="34">
        <v>0</v>
      </c>
      <c r="E25" s="34">
        <v>0</v>
      </c>
      <c r="F25" s="34">
        <v>0</v>
      </c>
      <c r="G25" s="35">
        <v>0</v>
      </c>
    </row>
    <row r="26" spans="2:7" x14ac:dyDescent="0.35">
      <c r="B26" s="5" t="s">
        <v>380</v>
      </c>
      <c r="C26" s="36">
        <v>0</v>
      </c>
      <c r="D26" s="36">
        <v>0</v>
      </c>
      <c r="E26" s="36">
        <v>0</v>
      </c>
      <c r="F26" s="36">
        <v>0</v>
      </c>
      <c r="G26" s="37">
        <v>0</v>
      </c>
    </row>
    <row r="27" spans="2:7" ht="16" thickBot="1" x14ac:dyDescent="0.4">
      <c r="B27" s="38" t="s">
        <v>381</v>
      </c>
      <c r="C27" s="39">
        <v>1260</v>
      </c>
      <c r="D27" s="39">
        <v>1260</v>
      </c>
      <c r="E27" s="39">
        <v>1260</v>
      </c>
      <c r="F27" s="39">
        <v>1260</v>
      </c>
      <c r="G27" s="40">
        <v>5040</v>
      </c>
    </row>
    <row r="28" spans="2:7" ht="16" thickBot="1" x14ac:dyDescent="0.4">
      <c r="B28" s="41" t="s">
        <v>382</v>
      </c>
      <c r="C28" s="101" t="s">
        <v>383</v>
      </c>
      <c r="D28" s="42">
        <v>0</v>
      </c>
      <c r="E28" s="42">
        <v>0</v>
      </c>
      <c r="F28" s="42">
        <v>0</v>
      </c>
      <c r="G28" s="43"/>
    </row>
    <row r="30" spans="2:7" x14ac:dyDescent="0.35">
      <c r="B30" t="s">
        <v>384</v>
      </c>
    </row>
    <row r="31" spans="2:7" x14ac:dyDescent="0.35">
      <c r="B31" s="236" t="s">
        <v>385</v>
      </c>
    </row>
    <row r="33" spans="2:7" x14ac:dyDescent="0.35">
      <c r="B33" t="s">
        <v>386</v>
      </c>
    </row>
    <row r="34" spans="2:7" ht="16" thickBot="1" x14ac:dyDescent="0.4"/>
    <row r="35" spans="2:7" x14ac:dyDescent="0.35">
      <c r="B35" s="199"/>
      <c r="C35" s="200" t="s">
        <v>387</v>
      </c>
      <c r="D35" s="192" t="s">
        <v>388</v>
      </c>
      <c r="E35" s="193"/>
      <c r="F35" s="193"/>
      <c r="G35" s="201"/>
    </row>
    <row r="36" spans="2:7" x14ac:dyDescent="0.35">
      <c r="B36" s="196" t="s">
        <v>389</v>
      </c>
      <c r="C36" s="197" t="s">
        <v>390</v>
      </c>
      <c r="D36" s="197" t="s">
        <v>391</v>
      </c>
      <c r="E36" s="197" t="s">
        <v>392</v>
      </c>
      <c r="F36" s="197" t="s">
        <v>393</v>
      </c>
      <c r="G36" s="198" t="s">
        <v>394</v>
      </c>
    </row>
    <row r="37" spans="2:7" x14ac:dyDescent="0.35">
      <c r="B37" s="5"/>
      <c r="C37" s="29" t="s">
        <v>229</v>
      </c>
      <c r="D37" s="29" t="s">
        <v>229</v>
      </c>
      <c r="E37" s="29" t="s">
        <v>229</v>
      </c>
      <c r="F37" s="29" t="s">
        <v>229</v>
      </c>
      <c r="G37" s="47" t="s">
        <v>229</v>
      </c>
    </row>
    <row r="38" spans="2:7" x14ac:dyDescent="0.35">
      <c r="B38" s="5"/>
      <c r="G38" s="4"/>
    </row>
    <row r="39" spans="2:7" x14ac:dyDescent="0.35">
      <c r="B39" s="5" t="s">
        <v>395</v>
      </c>
      <c r="C39" s="34">
        <v>253.98</v>
      </c>
      <c r="D39" s="34">
        <v>253.98</v>
      </c>
      <c r="E39" s="34">
        <v>253.98</v>
      </c>
      <c r="F39" s="34">
        <v>253.98</v>
      </c>
      <c r="G39" s="35">
        <v>253.98</v>
      </c>
    </row>
    <row r="40" spans="2:7" x14ac:dyDescent="0.35">
      <c r="B40" s="5" t="s">
        <v>396</v>
      </c>
      <c r="C40" s="36">
        <v>195</v>
      </c>
      <c r="D40" s="36">
        <v>195</v>
      </c>
      <c r="E40" s="36">
        <v>195</v>
      </c>
      <c r="F40" s="36">
        <v>195</v>
      </c>
      <c r="G40" s="37">
        <v>195</v>
      </c>
    </row>
    <row r="41" spans="2:7" ht="16" thickBot="1" x14ac:dyDescent="0.4">
      <c r="B41" s="44" t="s">
        <v>397</v>
      </c>
      <c r="C41" s="45">
        <v>448.98</v>
      </c>
      <c r="D41" s="45">
        <v>448.98</v>
      </c>
      <c r="E41" s="45">
        <v>448.98</v>
      </c>
      <c r="F41" s="45">
        <v>448.98</v>
      </c>
      <c r="G41" s="46">
        <v>448.98</v>
      </c>
    </row>
    <row r="43" spans="2:7" x14ac:dyDescent="0.35">
      <c r="B43" t="s">
        <v>398</v>
      </c>
    </row>
    <row r="44" spans="2:7" x14ac:dyDescent="0.35">
      <c r="B44" t="s">
        <v>399</v>
      </c>
    </row>
    <row r="45" spans="2:7" ht="16" thickBot="1" x14ac:dyDescent="0.4"/>
    <row r="46" spans="2:7" x14ac:dyDescent="0.35">
      <c r="B46" s="191"/>
      <c r="C46" s="202" t="s">
        <v>400</v>
      </c>
      <c r="D46" s="202"/>
      <c r="E46" s="202"/>
      <c r="F46" s="194"/>
      <c r="G46" s="195" t="s">
        <v>370</v>
      </c>
    </row>
    <row r="47" spans="2:7" x14ac:dyDescent="0.35">
      <c r="B47" s="196" t="s">
        <v>401</v>
      </c>
      <c r="C47" s="197" t="s">
        <v>391</v>
      </c>
      <c r="D47" s="197" t="s">
        <v>392</v>
      </c>
      <c r="E47" s="197" t="s">
        <v>393</v>
      </c>
      <c r="F47" s="197" t="s">
        <v>394</v>
      </c>
      <c r="G47" s="198" t="s">
        <v>402</v>
      </c>
    </row>
    <row r="48" spans="2:7" x14ac:dyDescent="0.35">
      <c r="B48" s="5"/>
      <c r="C48" s="29" t="s">
        <v>403</v>
      </c>
      <c r="D48" s="29" t="s">
        <v>403</v>
      </c>
      <c r="E48" s="29" t="s">
        <v>403</v>
      </c>
      <c r="F48" s="29" t="s">
        <v>403</v>
      </c>
      <c r="G48" s="47" t="s">
        <v>403</v>
      </c>
    </row>
    <row r="49" spans="2:7" x14ac:dyDescent="0.35">
      <c r="B49" s="5"/>
      <c r="G49" s="4"/>
    </row>
    <row r="50" spans="2:7" x14ac:dyDescent="0.35">
      <c r="B50" s="5" t="s">
        <v>404</v>
      </c>
      <c r="C50" s="34">
        <v>41</v>
      </c>
      <c r="D50" s="34">
        <v>41</v>
      </c>
      <c r="E50" s="34">
        <v>41</v>
      </c>
      <c r="F50" s="34">
        <v>41</v>
      </c>
      <c r="G50" s="35">
        <v>41</v>
      </c>
    </row>
    <row r="51" spans="2:7" x14ac:dyDescent="0.35">
      <c r="B51" s="5" t="s">
        <v>405</v>
      </c>
      <c r="C51" s="34">
        <v>0</v>
      </c>
      <c r="D51" s="34">
        <v>0</v>
      </c>
      <c r="E51" s="34">
        <v>0</v>
      </c>
      <c r="F51" s="34">
        <v>0</v>
      </c>
      <c r="G51" s="35">
        <v>0</v>
      </c>
    </row>
    <row r="52" spans="2:7" x14ac:dyDescent="0.35">
      <c r="B52" s="5" t="s">
        <v>406</v>
      </c>
      <c r="C52" s="34">
        <v>0</v>
      </c>
      <c r="D52" s="34">
        <v>0</v>
      </c>
      <c r="E52" s="34">
        <v>0</v>
      </c>
      <c r="F52" s="34">
        <v>0</v>
      </c>
      <c r="G52" s="35">
        <v>0</v>
      </c>
    </row>
    <row r="53" spans="2:7" ht="16" thickBot="1" x14ac:dyDescent="0.4">
      <c r="B53" s="41" t="s">
        <v>407</v>
      </c>
      <c r="C53" s="42">
        <v>0</v>
      </c>
      <c r="D53" s="42">
        <v>0</v>
      </c>
      <c r="E53" s="42">
        <v>0</v>
      </c>
      <c r="F53" s="42">
        <v>0</v>
      </c>
      <c r="G53" s="48">
        <v>0</v>
      </c>
    </row>
    <row r="55" spans="2:7" x14ac:dyDescent="0.35">
      <c r="B55" t="s">
        <v>408</v>
      </c>
    </row>
    <row r="56" spans="2:7" ht="16" thickBot="1" x14ac:dyDescent="0.4"/>
    <row r="57" spans="2:7" x14ac:dyDescent="0.35">
      <c r="B57" s="199"/>
      <c r="C57" s="203"/>
      <c r="D57" s="193" t="s">
        <v>388</v>
      </c>
      <c r="E57" s="193"/>
      <c r="F57" s="193"/>
      <c r="G57" s="201"/>
    </row>
    <row r="58" spans="2:7" x14ac:dyDescent="0.35">
      <c r="B58" s="205" t="s">
        <v>409</v>
      </c>
      <c r="C58" s="204"/>
      <c r="D58" s="197" t="s">
        <v>391</v>
      </c>
      <c r="E58" s="197" t="s">
        <v>392</v>
      </c>
      <c r="F58" s="197" t="s">
        <v>393</v>
      </c>
      <c r="G58" s="198" t="s">
        <v>394</v>
      </c>
    </row>
    <row r="59" spans="2:7" x14ac:dyDescent="0.35">
      <c r="B59" s="5"/>
      <c r="D59" s="29" t="s">
        <v>410</v>
      </c>
      <c r="E59" s="29" t="s">
        <v>410</v>
      </c>
      <c r="F59" s="29" t="s">
        <v>410</v>
      </c>
      <c r="G59" s="47" t="s">
        <v>410</v>
      </c>
    </row>
    <row r="60" spans="2:7" x14ac:dyDescent="0.35">
      <c r="B60" s="5" t="s">
        <v>411</v>
      </c>
      <c r="G60" s="4"/>
    </row>
    <row r="61" spans="2:7" x14ac:dyDescent="0.35">
      <c r="B61" s="5" t="s">
        <v>377</v>
      </c>
      <c r="D61" s="13">
        <v>0</v>
      </c>
      <c r="E61" s="13">
        <v>0</v>
      </c>
      <c r="F61" s="13">
        <v>0</v>
      </c>
      <c r="G61" s="49">
        <v>0</v>
      </c>
    </row>
    <row r="62" spans="2:7" x14ac:dyDescent="0.35">
      <c r="B62" s="5" t="s">
        <v>378</v>
      </c>
      <c r="D62" s="13">
        <v>0</v>
      </c>
      <c r="E62" s="13">
        <v>0</v>
      </c>
      <c r="F62" s="13">
        <v>0</v>
      </c>
      <c r="G62" s="49">
        <v>0</v>
      </c>
    </row>
    <row r="63" spans="2:7" x14ac:dyDescent="0.35">
      <c r="B63" s="5" t="s">
        <v>379</v>
      </c>
      <c r="D63" s="13">
        <v>0</v>
      </c>
      <c r="E63" s="13">
        <v>0</v>
      </c>
      <c r="F63" s="13">
        <v>0</v>
      </c>
      <c r="G63" s="49">
        <v>0</v>
      </c>
    </row>
    <row r="64" spans="2:7" x14ac:dyDescent="0.35">
      <c r="B64" s="5" t="s">
        <v>380</v>
      </c>
      <c r="D64" s="50">
        <v>0</v>
      </c>
      <c r="E64" s="50">
        <v>0</v>
      </c>
      <c r="F64" s="50">
        <v>0</v>
      </c>
      <c r="G64" s="51">
        <v>0</v>
      </c>
    </row>
    <row r="65" spans="2:8" x14ac:dyDescent="0.35">
      <c r="B65" s="52" t="s">
        <v>412</v>
      </c>
      <c r="C65" s="53"/>
      <c r="D65" s="54">
        <v>0</v>
      </c>
      <c r="E65" s="54">
        <v>0</v>
      </c>
      <c r="F65" s="54">
        <v>0</v>
      </c>
      <c r="G65" s="55">
        <v>0</v>
      </c>
    </row>
    <row r="66" spans="2:8" x14ac:dyDescent="0.35">
      <c r="B66" s="5" t="s">
        <v>413</v>
      </c>
      <c r="D66" s="13">
        <v>0</v>
      </c>
      <c r="E66" s="13">
        <v>0</v>
      </c>
      <c r="F66" s="13">
        <v>0</v>
      </c>
      <c r="G66" s="49">
        <v>0</v>
      </c>
    </row>
    <row r="67" spans="2:8" x14ac:dyDescent="0.35">
      <c r="B67" s="5" t="s">
        <v>414</v>
      </c>
      <c r="D67" s="13">
        <v>0</v>
      </c>
      <c r="E67" s="13">
        <v>0</v>
      </c>
      <c r="F67" s="13">
        <v>0</v>
      </c>
      <c r="G67" s="49">
        <v>0</v>
      </c>
    </row>
    <row r="68" spans="2:8" x14ac:dyDescent="0.35">
      <c r="B68" s="5" t="s">
        <v>230</v>
      </c>
      <c r="D68" s="13">
        <v>0</v>
      </c>
      <c r="E68" s="13">
        <v>0</v>
      </c>
      <c r="F68" s="13">
        <v>0</v>
      </c>
      <c r="G68" s="49">
        <v>0</v>
      </c>
    </row>
    <row r="69" spans="2:8" x14ac:dyDescent="0.35">
      <c r="B69" s="5" t="s">
        <v>415</v>
      </c>
      <c r="D69" s="13">
        <v>0</v>
      </c>
      <c r="E69" s="13">
        <v>0</v>
      </c>
      <c r="F69" s="13">
        <v>0</v>
      </c>
      <c r="G69" s="49">
        <v>0</v>
      </c>
    </row>
    <row r="70" spans="2:8" x14ac:dyDescent="0.35">
      <c r="B70" s="5" t="s">
        <v>416</v>
      </c>
      <c r="D70" s="13">
        <v>0</v>
      </c>
      <c r="E70" s="13">
        <v>0</v>
      </c>
      <c r="F70" s="13">
        <v>0</v>
      </c>
      <c r="G70" s="49">
        <v>0</v>
      </c>
    </row>
    <row r="71" spans="2:8" x14ac:dyDescent="0.35">
      <c r="B71" s="56" t="s">
        <v>417</v>
      </c>
      <c r="C71" s="57"/>
      <c r="D71" s="58">
        <v>0</v>
      </c>
      <c r="E71" s="58">
        <v>0</v>
      </c>
      <c r="F71" s="58">
        <v>0</v>
      </c>
      <c r="G71" s="59">
        <v>0</v>
      </c>
    </row>
    <row r="72" spans="2:8" ht="16" thickBot="1" x14ac:dyDescent="0.4">
      <c r="B72" s="44" t="s">
        <v>418</v>
      </c>
      <c r="C72" s="6"/>
      <c r="D72" s="60">
        <v>0</v>
      </c>
      <c r="E72" s="60">
        <v>0</v>
      </c>
      <c r="F72" s="60">
        <v>0</v>
      </c>
      <c r="G72" s="61">
        <v>0</v>
      </c>
    </row>
    <row r="74" spans="2:8" x14ac:dyDescent="0.35">
      <c r="B74" t="s">
        <v>419</v>
      </c>
    </row>
    <row r="75" spans="2:8" ht="16" thickBot="1" x14ac:dyDescent="0.4"/>
    <row r="76" spans="2:8" x14ac:dyDescent="0.35">
      <c r="B76" s="199"/>
      <c r="C76" s="203"/>
      <c r="D76" s="203"/>
      <c r="E76" s="206" t="s">
        <v>420</v>
      </c>
      <c r="F76" s="203"/>
      <c r="G76" s="203"/>
      <c r="H76" s="351"/>
    </row>
    <row r="77" spans="2:8" x14ac:dyDescent="0.35">
      <c r="B77" s="196" t="s">
        <v>421</v>
      </c>
      <c r="C77" s="204"/>
      <c r="D77" s="197" t="s">
        <v>391</v>
      </c>
      <c r="E77" s="197" t="s">
        <v>392</v>
      </c>
      <c r="F77" s="197" t="s">
        <v>393</v>
      </c>
      <c r="G77" s="197" t="s">
        <v>394</v>
      </c>
      <c r="H77" s="229" t="s">
        <v>375</v>
      </c>
    </row>
    <row r="78" spans="2:8" x14ac:dyDescent="0.35">
      <c r="B78" s="5"/>
      <c r="D78" s="29" t="s">
        <v>229</v>
      </c>
      <c r="E78" s="29" t="s">
        <v>229</v>
      </c>
      <c r="F78" s="29" t="s">
        <v>229</v>
      </c>
      <c r="G78" s="102" t="s">
        <v>229</v>
      </c>
      <c r="H78" s="103" t="s">
        <v>229</v>
      </c>
    </row>
    <row r="79" spans="2:8" x14ac:dyDescent="0.35">
      <c r="B79" s="5"/>
      <c r="G79" s="83"/>
      <c r="H79" s="93"/>
    </row>
    <row r="80" spans="2:8" x14ac:dyDescent="0.35">
      <c r="B80" s="2" t="s">
        <v>422</v>
      </c>
      <c r="D80" s="34">
        <v>516.6</v>
      </c>
      <c r="E80" s="34">
        <v>516.6</v>
      </c>
      <c r="F80" s="34">
        <v>516.6</v>
      </c>
      <c r="G80" s="245">
        <v>516.6</v>
      </c>
      <c r="H80" s="352">
        <v>2066.4</v>
      </c>
    </row>
    <row r="81" spans="2:8" x14ac:dyDescent="0.35">
      <c r="B81" s="2" t="s">
        <v>423</v>
      </c>
      <c r="D81" s="34">
        <v>0</v>
      </c>
      <c r="E81" s="34">
        <v>0</v>
      </c>
      <c r="F81" s="34">
        <v>0</v>
      </c>
      <c r="G81" s="245">
        <v>0</v>
      </c>
      <c r="H81" s="352">
        <v>0</v>
      </c>
    </row>
    <row r="82" spans="2:8" x14ac:dyDescent="0.35">
      <c r="B82" s="2" t="s">
        <v>424</v>
      </c>
      <c r="D82" s="36">
        <v>330</v>
      </c>
      <c r="E82" s="36">
        <v>330</v>
      </c>
      <c r="F82" s="36">
        <v>330</v>
      </c>
      <c r="G82" s="375">
        <v>330</v>
      </c>
      <c r="H82" s="353">
        <v>1320</v>
      </c>
    </row>
    <row r="83" spans="2:8" x14ac:dyDescent="0.35">
      <c r="B83" s="112" t="s">
        <v>425</v>
      </c>
      <c r="D83" s="62">
        <v>846.6</v>
      </c>
      <c r="E83" s="62">
        <v>846.6</v>
      </c>
      <c r="F83" s="62">
        <v>846.6</v>
      </c>
      <c r="G83" s="244">
        <v>846.6</v>
      </c>
      <c r="H83" s="354">
        <v>3386.4</v>
      </c>
    </row>
    <row r="84" spans="2:8" x14ac:dyDescent="0.35">
      <c r="B84" s="282" t="s">
        <v>426</v>
      </c>
      <c r="D84" s="62"/>
      <c r="E84" s="62"/>
      <c r="F84" s="62"/>
      <c r="G84" s="244"/>
      <c r="H84" s="354"/>
    </row>
    <row r="85" spans="2:8" x14ac:dyDescent="0.35">
      <c r="B85" s="2" t="s">
        <v>427</v>
      </c>
      <c r="D85" s="34">
        <v>0</v>
      </c>
      <c r="E85" s="34">
        <v>0</v>
      </c>
      <c r="F85" s="34">
        <v>0</v>
      </c>
      <c r="G85" s="245">
        <v>0</v>
      </c>
      <c r="H85" s="352">
        <v>0</v>
      </c>
    </row>
    <row r="86" spans="2:8" x14ac:dyDescent="0.35">
      <c r="B86" s="2" t="s">
        <v>428</v>
      </c>
      <c r="D86" s="34">
        <v>0</v>
      </c>
      <c r="E86" s="34">
        <v>0</v>
      </c>
      <c r="F86" s="34">
        <v>0</v>
      </c>
      <c r="G86" s="245">
        <v>0</v>
      </c>
      <c r="H86" s="352">
        <v>0</v>
      </c>
    </row>
    <row r="87" spans="2:8" x14ac:dyDescent="0.35">
      <c r="B87" s="2" t="s">
        <v>429</v>
      </c>
      <c r="D87" s="34">
        <v>0</v>
      </c>
      <c r="E87" s="34">
        <v>0</v>
      </c>
      <c r="F87" s="34">
        <v>0</v>
      </c>
      <c r="G87" s="245">
        <v>0</v>
      </c>
      <c r="H87" s="352">
        <v>0</v>
      </c>
    </row>
    <row r="88" spans="2:8" x14ac:dyDescent="0.35">
      <c r="B88" s="2" t="s">
        <v>417</v>
      </c>
      <c r="D88" s="34">
        <v>0</v>
      </c>
      <c r="E88" s="34">
        <v>0</v>
      </c>
      <c r="F88" s="34">
        <v>0</v>
      </c>
      <c r="G88" s="245">
        <v>0</v>
      </c>
      <c r="H88" s="352">
        <v>0</v>
      </c>
    </row>
    <row r="89" spans="2:8" x14ac:dyDescent="0.35">
      <c r="B89" s="2" t="s">
        <v>430</v>
      </c>
      <c r="D89" s="34">
        <v>300</v>
      </c>
      <c r="E89" s="34">
        <v>300</v>
      </c>
      <c r="F89" s="34">
        <v>300</v>
      </c>
      <c r="G89" s="245">
        <v>300</v>
      </c>
      <c r="H89" s="352">
        <v>1200</v>
      </c>
    </row>
    <row r="90" spans="2:8" x14ac:dyDescent="0.35">
      <c r="B90" s="2" t="s">
        <v>431</v>
      </c>
      <c r="D90" s="36">
        <v>0</v>
      </c>
      <c r="E90" s="36">
        <v>0</v>
      </c>
      <c r="F90" s="36">
        <v>0</v>
      </c>
      <c r="G90" s="375">
        <v>0</v>
      </c>
      <c r="H90" s="353">
        <v>0</v>
      </c>
    </row>
    <row r="91" spans="2:8" x14ac:dyDescent="0.35">
      <c r="B91" s="15" t="s">
        <v>432</v>
      </c>
      <c r="C91" s="57"/>
      <c r="D91" s="39">
        <v>300</v>
      </c>
      <c r="E91" s="39">
        <v>300</v>
      </c>
      <c r="F91" s="39">
        <v>300</v>
      </c>
      <c r="G91" s="39">
        <v>300</v>
      </c>
      <c r="H91" s="355">
        <v>1200</v>
      </c>
    </row>
    <row r="92" spans="2:8" ht="16" thickBot="1" x14ac:dyDescent="0.4">
      <c r="B92" s="44" t="s">
        <v>433</v>
      </c>
      <c r="C92" s="6"/>
      <c r="D92" s="45">
        <v>1446.6</v>
      </c>
      <c r="E92" s="45">
        <v>1446.6</v>
      </c>
      <c r="F92" s="45">
        <v>1446.6</v>
      </c>
      <c r="G92" s="45">
        <v>1446.6</v>
      </c>
      <c r="H92" s="356">
        <v>5786.4</v>
      </c>
    </row>
    <row r="94" spans="2:8" x14ac:dyDescent="0.35">
      <c r="B94" t="s">
        <v>434</v>
      </c>
    </row>
    <row r="95" spans="2:8" ht="16" thickBot="1" x14ac:dyDescent="0.4"/>
    <row r="96" spans="2:8" x14ac:dyDescent="0.35">
      <c r="B96" s="199"/>
      <c r="C96" s="203"/>
      <c r="D96" s="193"/>
      <c r="E96" s="207" t="s">
        <v>420</v>
      </c>
      <c r="F96" s="203"/>
      <c r="G96" s="203"/>
      <c r="H96" s="351"/>
    </row>
    <row r="97" spans="2:8" x14ac:dyDescent="0.35">
      <c r="B97" s="196" t="s">
        <v>435</v>
      </c>
      <c r="C97" s="204"/>
      <c r="D97" s="197" t="s">
        <v>391</v>
      </c>
      <c r="E97" s="197" t="s">
        <v>392</v>
      </c>
      <c r="F97" s="197" t="s">
        <v>393</v>
      </c>
      <c r="G97" s="197" t="s">
        <v>394</v>
      </c>
      <c r="H97" s="229" t="s">
        <v>375</v>
      </c>
    </row>
    <row r="98" spans="2:8" x14ac:dyDescent="0.35">
      <c r="B98" s="5"/>
      <c r="D98" s="29" t="s">
        <v>229</v>
      </c>
      <c r="E98" s="29" t="s">
        <v>229</v>
      </c>
      <c r="F98" s="29" t="s">
        <v>229</v>
      </c>
      <c r="G98" s="102" t="s">
        <v>229</v>
      </c>
      <c r="H98" s="103" t="s">
        <v>229</v>
      </c>
    </row>
    <row r="99" spans="2:8" x14ac:dyDescent="0.35">
      <c r="B99" s="5"/>
      <c r="G99" s="83"/>
      <c r="H99" s="93"/>
    </row>
    <row r="100" spans="2:8" x14ac:dyDescent="0.35">
      <c r="B100" s="2" t="s">
        <v>436</v>
      </c>
      <c r="D100" s="34">
        <v>43.75</v>
      </c>
      <c r="E100" s="34">
        <v>43.75</v>
      </c>
      <c r="F100" s="34">
        <v>43.75</v>
      </c>
      <c r="G100" s="245">
        <v>43.75</v>
      </c>
      <c r="H100" s="352">
        <v>175</v>
      </c>
    </row>
    <row r="101" spans="2:8" x14ac:dyDescent="0.35">
      <c r="B101" s="2" t="s">
        <v>437</v>
      </c>
      <c r="D101" s="34">
        <v>0</v>
      </c>
      <c r="E101" s="34">
        <v>0</v>
      </c>
      <c r="F101" s="34">
        <v>0</v>
      </c>
      <c r="G101" s="245">
        <v>0</v>
      </c>
      <c r="H101" s="352">
        <v>0</v>
      </c>
    </row>
    <row r="102" spans="2:8" x14ac:dyDescent="0.35">
      <c r="B102" s="2" t="s">
        <v>438</v>
      </c>
      <c r="D102" s="36">
        <v>0</v>
      </c>
      <c r="E102" s="36">
        <v>0</v>
      </c>
      <c r="F102" s="36">
        <v>0</v>
      </c>
      <c r="G102" s="375">
        <v>0</v>
      </c>
      <c r="H102" s="353">
        <v>0</v>
      </c>
    </row>
    <row r="103" spans="2:8" ht="16" thickBot="1" x14ac:dyDescent="0.4">
      <c r="B103" s="44" t="s">
        <v>439</v>
      </c>
      <c r="C103" s="6"/>
      <c r="D103" s="45">
        <v>43.75</v>
      </c>
      <c r="E103" s="45">
        <v>43.75</v>
      </c>
      <c r="F103" s="45">
        <v>43.75</v>
      </c>
      <c r="G103" s="45">
        <v>43.75</v>
      </c>
      <c r="H103" s="356">
        <v>175</v>
      </c>
    </row>
    <row r="105" spans="2:8" x14ac:dyDescent="0.35">
      <c r="B105" t="s">
        <v>440</v>
      </c>
    </row>
    <row r="106" spans="2:8" ht="16" thickBot="1" x14ac:dyDescent="0.4"/>
    <row r="107" spans="2:8" x14ac:dyDescent="0.35">
      <c r="B107" s="199"/>
      <c r="C107" s="203"/>
      <c r="D107" s="193"/>
      <c r="E107" s="207" t="s">
        <v>420</v>
      </c>
      <c r="F107" s="203"/>
      <c r="G107" s="203"/>
      <c r="H107" s="351"/>
    </row>
    <row r="108" spans="2:8" x14ac:dyDescent="0.35">
      <c r="B108" s="208" t="s">
        <v>441</v>
      </c>
      <c r="C108" s="204"/>
      <c r="D108" s="197" t="s">
        <v>391</v>
      </c>
      <c r="E108" s="197" t="s">
        <v>392</v>
      </c>
      <c r="F108" s="197" t="s">
        <v>393</v>
      </c>
      <c r="G108" s="197" t="s">
        <v>394</v>
      </c>
      <c r="H108" s="229" t="s">
        <v>375</v>
      </c>
    </row>
    <row r="109" spans="2:8" x14ac:dyDescent="0.35">
      <c r="B109" s="5"/>
      <c r="D109" s="29" t="s">
        <v>229</v>
      </c>
      <c r="E109" s="29" t="s">
        <v>229</v>
      </c>
      <c r="F109" s="29" t="s">
        <v>229</v>
      </c>
      <c r="G109" s="102" t="s">
        <v>229</v>
      </c>
      <c r="H109" s="103" t="s">
        <v>229</v>
      </c>
    </row>
    <row r="110" spans="2:8" x14ac:dyDescent="0.35">
      <c r="B110" s="5"/>
      <c r="G110" s="83"/>
      <c r="H110" s="93"/>
    </row>
    <row r="111" spans="2:8" x14ac:dyDescent="0.35">
      <c r="B111" s="2" t="s">
        <v>442</v>
      </c>
      <c r="D111" s="34">
        <v>31.25</v>
      </c>
      <c r="E111" s="34">
        <v>31.25</v>
      </c>
      <c r="F111" s="34">
        <v>31.25</v>
      </c>
      <c r="G111" s="245">
        <v>31.25</v>
      </c>
      <c r="H111" s="352">
        <v>125</v>
      </c>
    </row>
    <row r="112" spans="2:8" x14ac:dyDescent="0.35">
      <c r="B112" s="2" t="s">
        <v>443</v>
      </c>
      <c r="D112" s="36">
        <v>0</v>
      </c>
      <c r="E112" s="36">
        <v>0</v>
      </c>
      <c r="F112" s="36">
        <v>0</v>
      </c>
      <c r="G112" s="375">
        <v>0</v>
      </c>
      <c r="H112" s="353">
        <v>0</v>
      </c>
    </row>
    <row r="113" spans="2:8" x14ac:dyDescent="0.35">
      <c r="B113" s="2" t="s">
        <v>444</v>
      </c>
      <c r="D113" s="34">
        <v>31.25</v>
      </c>
      <c r="E113" s="34">
        <v>31.25</v>
      </c>
      <c r="F113" s="34">
        <v>31.25</v>
      </c>
      <c r="G113" s="245">
        <v>31.25</v>
      </c>
      <c r="H113" s="352">
        <v>125</v>
      </c>
    </row>
    <row r="114" spans="2:8" x14ac:dyDescent="0.35">
      <c r="B114" s="2"/>
      <c r="D114" s="34"/>
      <c r="E114" s="34"/>
      <c r="F114" s="34"/>
      <c r="G114" s="245"/>
      <c r="H114" s="352"/>
    </row>
    <row r="115" spans="2:8" x14ac:dyDescent="0.35">
      <c r="B115" s="2" t="s">
        <v>445</v>
      </c>
      <c r="D115" s="34">
        <v>0</v>
      </c>
      <c r="E115" s="34">
        <v>0</v>
      </c>
      <c r="F115" s="34">
        <v>0</v>
      </c>
      <c r="G115" s="245">
        <v>0</v>
      </c>
      <c r="H115" s="352">
        <v>0</v>
      </c>
    </row>
    <row r="116" spans="2:8" x14ac:dyDescent="0.35">
      <c r="B116" s="2" t="s">
        <v>446</v>
      </c>
      <c r="D116" s="36">
        <v>0</v>
      </c>
      <c r="E116" s="36">
        <v>0</v>
      </c>
      <c r="F116" s="36">
        <v>0</v>
      </c>
      <c r="G116" s="375">
        <v>0</v>
      </c>
      <c r="H116" s="353">
        <v>0</v>
      </c>
    </row>
    <row r="117" spans="2:8" x14ac:dyDescent="0.35">
      <c r="B117" s="2" t="s">
        <v>447</v>
      </c>
      <c r="D117" s="34">
        <v>0</v>
      </c>
      <c r="E117" s="34">
        <v>0</v>
      </c>
      <c r="F117" s="34">
        <v>0</v>
      </c>
      <c r="G117" s="245">
        <v>0</v>
      </c>
      <c r="H117" s="352">
        <v>0</v>
      </c>
    </row>
    <row r="118" spans="2:8" x14ac:dyDescent="0.35">
      <c r="B118" s="2"/>
      <c r="D118" s="34"/>
      <c r="E118" s="34"/>
      <c r="F118" s="34"/>
      <c r="G118" s="245"/>
      <c r="H118" s="352"/>
    </row>
    <row r="119" spans="2:8" x14ac:dyDescent="0.35">
      <c r="B119" s="2" t="s">
        <v>448</v>
      </c>
      <c r="D119" s="34">
        <v>0</v>
      </c>
      <c r="E119" s="34">
        <v>0</v>
      </c>
      <c r="F119" s="34">
        <v>0</v>
      </c>
      <c r="G119" s="245">
        <v>0</v>
      </c>
      <c r="H119" s="352">
        <v>0</v>
      </c>
    </row>
    <row r="120" spans="2:8" x14ac:dyDescent="0.35">
      <c r="B120" s="2" t="s">
        <v>280</v>
      </c>
      <c r="D120" s="36">
        <v>0</v>
      </c>
      <c r="E120" s="36">
        <v>0</v>
      </c>
      <c r="F120" s="36">
        <v>0</v>
      </c>
      <c r="G120" s="375">
        <v>0</v>
      </c>
      <c r="H120" s="353">
        <v>0</v>
      </c>
    </row>
    <row r="121" spans="2:8" x14ac:dyDescent="0.35">
      <c r="B121" s="2" t="s">
        <v>449</v>
      </c>
      <c r="D121" s="34">
        <v>0</v>
      </c>
      <c r="E121" s="34">
        <v>0</v>
      </c>
      <c r="F121" s="34">
        <v>0</v>
      </c>
      <c r="G121" s="245">
        <v>0</v>
      </c>
      <c r="H121" s="352">
        <v>0</v>
      </c>
    </row>
    <row r="122" spans="2:8" x14ac:dyDescent="0.35">
      <c r="B122" s="5"/>
      <c r="D122" s="34"/>
      <c r="E122" s="34"/>
      <c r="F122" s="34"/>
      <c r="G122" s="245"/>
      <c r="H122" s="352"/>
    </row>
    <row r="123" spans="2:8" ht="16" thickBot="1" x14ac:dyDescent="0.4">
      <c r="B123" s="44" t="s">
        <v>450</v>
      </c>
      <c r="C123" s="63"/>
      <c r="D123" s="45">
        <v>31.25</v>
      </c>
      <c r="E123" s="45">
        <v>31.25</v>
      </c>
      <c r="F123" s="45">
        <v>31.25</v>
      </c>
      <c r="G123" s="45">
        <v>31.25</v>
      </c>
      <c r="H123" s="356">
        <v>125</v>
      </c>
    </row>
    <row r="125" spans="2:8" x14ac:dyDescent="0.35">
      <c r="B125" t="s">
        <v>451</v>
      </c>
    </row>
    <row r="126" spans="2:8" ht="16" thickBot="1" x14ac:dyDescent="0.4"/>
    <row r="127" spans="2:8" x14ac:dyDescent="0.35">
      <c r="B127" s="199"/>
      <c r="C127" s="203"/>
      <c r="D127" s="193"/>
      <c r="E127" s="207" t="s">
        <v>420</v>
      </c>
      <c r="F127" s="203"/>
      <c r="G127" s="203"/>
      <c r="H127" s="351"/>
    </row>
    <row r="128" spans="2:8" x14ac:dyDescent="0.35">
      <c r="B128" s="208" t="s">
        <v>452</v>
      </c>
      <c r="C128" s="204"/>
      <c r="D128" s="197" t="s">
        <v>391</v>
      </c>
      <c r="E128" s="197" t="s">
        <v>392</v>
      </c>
      <c r="F128" s="197" t="s">
        <v>393</v>
      </c>
      <c r="G128" s="197" t="s">
        <v>394</v>
      </c>
      <c r="H128" s="229" t="s">
        <v>375</v>
      </c>
    </row>
    <row r="129" spans="2:8" x14ac:dyDescent="0.35">
      <c r="B129" s="5"/>
      <c r="D129" s="29" t="s">
        <v>229</v>
      </c>
      <c r="E129" s="29" t="s">
        <v>229</v>
      </c>
      <c r="F129" s="29" t="s">
        <v>229</v>
      </c>
      <c r="G129" s="102" t="s">
        <v>229</v>
      </c>
      <c r="H129" s="103" t="s">
        <v>229</v>
      </c>
    </row>
    <row r="130" spans="2:8" x14ac:dyDescent="0.35">
      <c r="B130" s="5"/>
      <c r="G130" s="83"/>
      <c r="H130" s="93"/>
    </row>
    <row r="131" spans="2:8" x14ac:dyDescent="0.35">
      <c r="B131" s="5" t="s">
        <v>453</v>
      </c>
      <c r="D131" s="34">
        <v>0</v>
      </c>
      <c r="E131" s="34">
        <v>0</v>
      </c>
      <c r="F131" s="34">
        <v>100</v>
      </c>
      <c r="G131" s="245">
        <v>0</v>
      </c>
      <c r="H131" s="352">
        <v>100</v>
      </c>
    </row>
    <row r="132" spans="2:8" x14ac:dyDescent="0.35">
      <c r="B132" s="5"/>
      <c r="D132" s="34"/>
      <c r="E132" s="34"/>
      <c r="F132" s="34"/>
      <c r="G132" s="245"/>
      <c r="H132" s="352"/>
    </row>
    <row r="133" spans="2:8" x14ac:dyDescent="0.35">
      <c r="B133" s="5" t="s">
        <v>454</v>
      </c>
      <c r="D133" s="34">
        <v>0</v>
      </c>
      <c r="E133" s="34">
        <v>0</v>
      </c>
      <c r="F133" s="34">
        <v>0</v>
      </c>
      <c r="G133" s="245">
        <v>0</v>
      </c>
      <c r="H133" s="352">
        <v>0</v>
      </c>
    </row>
    <row r="134" spans="2:8" x14ac:dyDescent="0.35">
      <c r="B134" s="5"/>
      <c r="D134" s="34"/>
      <c r="E134" s="34"/>
      <c r="F134" s="34"/>
      <c r="G134" s="245"/>
      <c r="H134" s="352"/>
    </row>
    <row r="135" spans="2:8" ht="16" thickBot="1" x14ac:dyDescent="0.4">
      <c r="B135" s="41" t="s">
        <v>253</v>
      </c>
      <c r="C135" s="6"/>
      <c r="D135" s="42">
        <v>0</v>
      </c>
      <c r="E135" s="42">
        <v>25</v>
      </c>
      <c r="F135" s="42">
        <v>0</v>
      </c>
      <c r="G135" s="42">
        <v>25</v>
      </c>
      <c r="H135" s="357">
        <v>50</v>
      </c>
    </row>
    <row r="136" spans="2:8" x14ac:dyDescent="0.35">
      <c r="B136" s="83"/>
      <c r="C136" s="83"/>
      <c r="D136" s="83"/>
      <c r="E136" s="83"/>
      <c r="F136" s="83"/>
      <c r="G136" s="83"/>
    </row>
    <row r="138" spans="2:8" ht="18" x14ac:dyDescent="0.4">
      <c r="B138" s="33" t="s">
        <v>455</v>
      </c>
    </row>
    <row r="140" spans="2:8" x14ac:dyDescent="0.35">
      <c r="B140" t="s">
        <v>456</v>
      </c>
    </row>
    <row r="141" spans="2:8" x14ac:dyDescent="0.35">
      <c r="B141" t="s">
        <v>457</v>
      </c>
    </row>
    <row r="142" spans="2:8" x14ac:dyDescent="0.35">
      <c r="B142" s="53"/>
      <c r="D142" s="64"/>
      <c r="E142" s="64"/>
      <c r="F142" s="64"/>
      <c r="G142" s="64"/>
    </row>
    <row r="143" spans="2:8" x14ac:dyDescent="0.35">
      <c r="B143" t="s">
        <v>458</v>
      </c>
    </row>
    <row r="144" spans="2:8" x14ac:dyDescent="0.35">
      <c r="B144" t="s">
        <v>459</v>
      </c>
    </row>
    <row r="145" spans="2:5" ht="16" thickBot="1" x14ac:dyDescent="0.4"/>
    <row r="146" spans="2:5" x14ac:dyDescent="0.35">
      <c r="B146" s="191"/>
      <c r="C146" s="200" t="s">
        <v>375</v>
      </c>
      <c r="D146" s="200" t="s">
        <v>460</v>
      </c>
      <c r="E146" s="195" t="s">
        <v>460</v>
      </c>
    </row>
    <row r="147" spans="2:5" x14ac:dyDescent="0.35">
      <c r="B147" s="196" t="s">
        <v>461</v>
      </c>
      <c r="C147" s="197" t="s">
        <v>230</v>
      </c>
      <c r="D147" s="197" t="s">
        <v>462</v>
      </c>
      <c r="E147" s="198" t="s">
        <v>462</v>
      </c>
    </row>
    <row r="148" spans="2:5" x14ac:dyDescent="0.35">
      <c r="B148" s="5"/>
      <c r="C148" s="29" t="s">
        <v>229</v>
      </c>
      <c r="D148" s="29" t="s">
        <v>229</v>
      </c>
      <c r="E148" s="47" t="s">
        <v>403</v>
      </c>
    </row>
    <row r="149" spans="2:5" x14ac:dyDescent="0.35">
      <c r="B149" s="5" t="s">
        <v>376</v>
      </c>
      <c r="E149" s="4"/>
    </row>
    <row r="150" spans="2:5" x14ac:dyDescent="0.35">
      <c r="B150" s="5" t="s">
        <v>377</v>
      </c>
      <c r="C150" s="34">
        <v>5040</v>
      </c>
      <c r="D150" s="34">
        <v>1653.6</v>
      </c>
      <c r="E150" s="35">
        <v>32.809523809523832</v>
      </c>
    </row>
    <row r="151" spans="2:5" x14ac:dyDescent="0.35">
      <c r="B151" s="5" t="s">
        <v>378</v>
      </c>
      <c r="C151" s="34">
        <v>0</v>
      </c>
      <c r="D151" s="34">
        <v>0</v>
      </c>
      <c r="E151" s="35" t="s">
        <v>331</v>
      </c>
    </row>
    <row r="152" spans="2:5" x14ac:dyDescent="0.35">
      <c r="B152" s="5" t="s">
        <v>379</v>
      </c>
      <c r="C152" s="34">
        <v>0</v>
      </c>
      <c r="D152" s="34">
        <v>0</v>
      </c>
      <c r="E152" s="35" t="s">
        <v>331</v>
      </c>
    </row>
    <row r="153" spans="2:5" x14ac:dyDescent="0.35">
      <c r="B153" s="5" t="s">
        <v>380</v>
      </c>
      <c r="C153" s="36">
        <v>0</v>
      </c>
      <c r="D153" s="36">
        <v>0</v>
      </c>
      <c r="E153" s="37" t="s">
        <v>331</v>
      </c>
    </row>
    <row r="154" spans="2:5" ht="16" thickBot="1" x14ac:dyDescent="0.4">
      <c r="B154" s="44" t="s">
        <v>375</v>
      </c>
      <c r="C154" s="45">
        <v>5040</v>
      </c>
      <c r="D154" s="45">
        <v>1653.6</v>
      </c>
      <c r="E154" s="46">
        <v>32.809523809523832</v>
      </c>
    </row>
    <row r="156" spans="2:5" x14ac:dyDescent="0.35">
      <c r="B156" t="s">
        <v>463</v>
      </c>
    </row>
    <row r="157" spans="2:5" x14ac:dyDescent="0.35">
      <c r="B157" t="s">
        <v>464</v>
      </c>
    </row>
    <row r="158" spans="2:5" x14ac:dyDescent="0.35">
      <c r="B158" s="236" t="s">
        <v>465</v>
      </c>
    </row>
    <row r="159" spans="2:5" x14ac:dyDescent="0.35">
      <c r="B159" s="236" t="s">
        <v>466</v>
      </c>
    </row>
    <row r="160" spans="2:5" x14ac:dyDescent="0.35">
      <c r="B160" t="s">
        <v>467</v>
      </c>
    </row>
    <row r="162" spans="2:7" x14ac:dyDescent="0.35">
      <c r="B162" t="s">
        <v>468</v>
      </c>
    </row>
    <row r="164" spans="2:7" x14ac:dyDescent="0.35">
      <c r="B164" t="s">
        <v>469</v>
      </c>
    </row>
    <row r="165" spans="2:7" x14ac:dyDescent="0.35">
      <c r="B165" t="s">
        <v>470</v>
      </c>
    </row>
    <row r="166" spans="2:7" x14ac:dyDescent="0.35">
      <c r="B166" t="s">
        <v>471</v>
      </c>
    </row>
    <row r="167" spans="2:7" ht="16" thickBot="1" x14ac:dyDescent="0.4"/>
    <row r="168" spans="2:7" x14ac:dyDescent="0.35">
      <c r="B168" s="209" t="s">
        <v>461</v>
      </c>
      <c r="C168" s="210"/>
      <c r="D168" s="211" t="s">
        <v>229</v>
      </c>
      <c r="E168" s="212" t="s">
        <v>403</v>
      </c>
    </row>
    <row r="169" spans="2:7" x14ac:dyDescent="0.35">
      <c r="B169" s="52" t="s">
        <v>230</v>
      </c>
      <c r="C169" s="53"/>
      <c r="D169" s="62">
        <v>5040</v>
      </c>
      <c r="E169" s="55">
        <v>100</v>
      </c>
      <c r="G169" s="31"/>
    </row>
    <row r="170" spans="2:7" x14ac:dyDescent="0.35">
      <c r="B170" s="5" t="s">
        <v>231</v>
      </c>
      <c r="D170" s="36">
        <v>3386.4</v>
      </c>
      <c r="E170" s="49">
        <v>67.190476190476161</v>
      </c>
      <c r="G170" s="31"/>
    </row>
    <row r="171" spans="2:7" x14ac:dyDescent="0.35">
      <c r="B171" s="52" t="s">
        <v>472</v>
      </c>
      <c r="C171" s="53"/>
      <c r="D171" s="62">
        <v>1653.6</v>
      </c>
      <c r="E171" s="55">
        <v>32.809523809523832</v>
      </c>
      <c r="G171" s="31"/>
    </row>
    <row r="172" spans="2:7" x14ac:dyDescent="0.35">
      <c r="B172" s="5" t="s">
        <v>426</v>
      </c>
      <c r="D172" s="34"/>
      <c r="E172" s="49"/>
      <c r="G172" s="31"/>
    </row>
    <row r="173" spans="2:7" x14ac:dyDescent="0.35">
      <c r="B173" s="65" t="s">
        <v>473</v>
      </c>
      <c r="D173" s="34">
        <v>0</v>
      </c>
      <c r="E173" s="49">
        <v>0</v>
      </c>
      <c r="G173" s="31"/>
    </row>
    <row r="174" spans="2:7" x14ac:dyDescent="0.35">
      <c r="B174" s="65" t="s">
        <v>474</v>
      </c>
      <c r="D174" s="34">
        <v>0</v>
      </c>
      <c r="E174" s="49">
        <v>0</v>
      </c>
      <c r="G174" s="31"/>
    </row>
    <row r="175" spans="2:7" x14ac:dyDescent="0.35">
      <c r="B175" s="65" t="s">
        <v>475</v>
      </c>
      <c r="D175" s="34">
        <v>0</v>
      </c>
      <c r="E175" s="49">
        <v>0</v>
      </c>
      <c r="G175" s="31"/>
    </row>
    <row r="176" spans="2:7" x14ac:dyDescent="0.35">
      <c r="B176" s="65" t="s">
        <v>330</v>
      </c>
      <c r="D176" s="34">
        <v>0</v>
      </c>
      <c r="E176" s="49">
        <v>0</v>
      </c>
      <c r="G176" s="31"/>
    </row>
    <row r="177" spans="2:7" x14ac:dyDescent="0.35">
      <c r="B177" s="84" t="s">
        <v>476</v>
      </c>
      <c r="D177" s="34">
        <v>1200</v>
      </c>
      <c r="E177" s="49">
        <v>23.809523809523807</v>
      </c>
      <c r="G177" s="31"/>
    </row>
    <row r="178" spans="2:7" x14ac:dyDescent="0.35">
      <c r="B178" s="84" t="s">
        <v>477</v>
      </c>
      <c r="D178" s="283">
        <v>0</v>
      </c>
      <c r="E178" s="286">
        <v>0</v>
      </c>
      <c r="G178" s="31"/>
    </row>
    <row r="179" spans="2:7" x14ac:dyDescent="0.35">
      <c r="B179" s="84" t="s">
        <v>234</v>
      </c>
      <c r="D179" s="34">
        <v>0</v>
      </c>
      <c r="E179" s="286">
        <v>0</v>
      </c>
      <c r="G179" s="31"/>
    </row>
    <row r="180" spans="2:7" x14ac:dyDescent="0.35">
      <c r="B180" s="84" t="s">
        <v>235</v>
      </c>
      <c r="D180" s="34">
        <v>111.58333333333334</v>
      </c>
      <c r="E180" s="286">
        <v>2.213955026455027</v>
      </c>
      <c r="G180" s="31"/>
    </row>
    <row r="181" spans="2:7" x14ac:dyDescent="0.35">
      <c r="B181" s="84" t="s">
        <v>236</v>
      </c>
      <c r="D181" s="284">
        <v>0</v>
      </c>
      <c r="E181" s="286">
        <v>0</v>
      </c>
      <c r="G181" s="31"/>
    </row>
    <row r="182" spans="2:7" x14ac:dyDescent="0.35">
      <c r="B182" s="84" t="s">
        <v>237</v>
      </c>
      <c r="D182" s="34">
        <v>1311.5833333333333</v>
      </c>
      <c r="E182" s="286">
        <v>26.023478835978835</v>
      </c>
      <c r="G182" s="31"/>
    </row>
    <row r="183" spans="2:7" x14ac:dyDescent="0.35">
      <c r="B183" s="288" t="s">
        <v>238</v>
      </c>
      <c r="C183" s="53"/>
      <c r="D183" s="62">
        <v>342.01666666666711</v>
      </c>
      <c r="E183" s="106">
        <v>6.7860449735449828</v>
      </c>
      <c r="G183" s="31"/>
    </row>
    <row r="184" spans="2:7" x14ac:dyDescent="0.35">
      <c r="B184" s="92" t="s">
        <v>239</v>
      </c>
      <c r="E184" s="93"/>
      <c r="G184" s="31"/>
    </row>
    <row r="185" spans="2:7" x14ac:dyDescent="0.35">
      <c r="B185" s="84" t="s">
        <v>478</v>
      </c>
      <c r="D185" s="283">
        <v>0</v>
      </c>
      <c r="E185" s="286">
        <v>0</v>
      </c>
      <c r="G185" s="31"/>
    </row>
    <row r="186" spans="2:7" x14ac:dyDescent="0.35">
      <c r="B186" s="84" t="s">
        <v>241</v>
      </c>
      <c r="D186" s="34">
        <v>0</v>
      </c>
      <c r="E186" s="286">
        <v>0</v>
      </c>
      <c r="G186" s="31"/>
    </row>
    <row r="187" spans="2:7" x14ac:dyDescent="0.35">
      <c r="B187" s="84" t="s">
        <v>242</v>
      </c>
      <c r="D187" s="284">
        <v>0</v>
      </c>
      <c r="E187" s="286">
        <v>0</v>
      </c>
      <c r="G187" s="31"/>
    </row>
    <row r="188" spans="2:7" x14ac:dyDescent="0.35">
      <c r="B188" s="92" t="s">
        <v>243</v>
      </c>
      <c r="D188" s="283">
        <v>0</v>
      </c>
      <c r="E188" s="286">
        <v>0</v>
      </c>
      <c r="G188" s="31"/>
    </row>
    <row r="189" spans="2:7" x14ac:dyDescent="0.35">
      <c r="B189" s="259" t="s">
        <v>479</v>
      </c>
      <c r="D189" s="285">
        <v>342.0166666666675</v>
      </c>
      <c r="E189" s="287">
        <v>6.7860449735449899</v>
      </c>
      <c r="G189" s="31"/>
    </row>
    <row r="190" spans="2:7" x14ac:dyDescent="0.35">
      <c r="B190" s="84" t="s">
        <v>245</v>
      </c>
      <c r="D190" s="34"/>
      <c r="E190" s="286"/>
      <c r="G190" s="31"/>
    </row>
    <row r="191" spans="2:7" x14ac:dyDescent="0.35">
      <c r="B191" s="84" t="s">
        <v>246</v>
      </c>
      <c r="D191" s="34">
        <v>77.693466240612224</v>
      </c>
      <c r="E191" s="286">
        <v>1.5415370285835759</v>
      </c>
      <c r="G191" s="31"/>
    </row>
    <row r="192" spans="2:7" x14ac:dyDescent="0.35">
      <c r="B192" s="84" t="s">
        <v>247</v>
      </c>
      <c r="D192" s="34">
        <v>0</v>
      </c>
      <c r="E192" s="286">
        <v>0</v>
      </c>
      <c r="G192" s="31"/>
    </row>
    <row r="193" spans="2:7" x14ac:dyDescent="0.35">
      <c r="B193" s="84" t="s">
        <v>248</v>
      </c>
      <c r="D193" s="284">
        <v>2.2056572297871577</v>
      </c>
      <c r="E193" s="49">
        <v>4.3763040273554717E-2</v>
      </c>
      <c r="G193" s="31"/>
    </row>
    <row r="194" spans="2:7" x14ac:dyDescent="0.35">
      <c r="B194" s="65" t="s">
        <v>249</v>
      </c>
      <c r="D194" s="283">
        <v>75.487809010825075</v>
      </c>
      <c r="E194" s="49">
        <v>1.4977739883100214</v>
      </c>
      <c r="G194" s="31"/>
    </row>
    <row r="195" spans="2:7" ht="16" thickBot="1" x14ac:dyDescent="0.4">
      <c r="B195" s="66" t="s">
        <v>250</v>
      </c>
      <c r="C195" s="63"/>
      <c r="D195" s="45">
        <v>266.52885765584239</v>
      </c>
      <c r="E195" s="61">
        <v>5.2882709852349681</v>
      </c>
      <c r="G195" s="31"/>
    </row>
    <row r="197" spans="2:7" x14ac:dyDescent="0.35">
      <c r="B197" t="s">
        <v>480</v>
      </c>
    </row>
    <row r="198" spans="2:7" x14ac:dyDescent="0.35">
      <c r="B198" t="s">
        <v>481</v>
      </c>
    </row>
    <row r="199" spans="2:7" x14ac:dyDescent="0.35">
      <c r="B199" t="s">
        <v>482</v>
      </c>
    </row>
    <row r="201" spans="2:7" x14ac:dyDescent="0.35">
      <c r="B201" t="s">
        <v>483</v>
      </c>
    </row>
    <row r="202" spans="2:7" ht="16" thickBot="1" x14ac:dyDescent="0.4">
      <c r="B202" t="s">
        <v>484</v>
      </c>
    </row>
    <row r="203" spans="2:7" x14ac:dyDescent="0.35">
      <c r="B203" s="213" t="s">
        <v>485</v>
      </c>
      <c r="C203" s="211"/>
      <c r="D203" s="211" t="s">
        <v>486</v>
      </c>
      <c r="E203" s="211" t="s">
        <v>487</v>
      </c>
      <c r="F203" s="212" t="s">
        <v>488</v>
      </c>
    </row>
    <row r="204" spans="2:7" x14ac:dyDescent="0.35">
      <c r="B204" s="5"/>
      <c r="D204" s="29" t="s">
        <v>229</v>
      </c>
      <c r="E204" s="29" t="s">
        <v>229</v>
      </c>
      <c r="F204" s="47" t="s">
        <v>489</v>
      </c>
    </row>
    <row r="205" spans="2:7" x14ac:dyDescent="0.35">
      <c r="B205" s="5"/>
      <c r="F205" s="4"/>
    </row>
    <row r="206" spans="2:7" x14ac:dyDescent="0.35">
      <c r="B206" s="52" t="s">
        <v>230</v>
      </c>
      <c r="D206" s="62">
        <v>0</v>
      </c>
      <c r="E206" s="62">
        <v>5040</v>
      </c>
      <c r="F206" s="55" t="s">
        <v>331</v>
      </c>
    </row>
    <row r="207" spans="2:7" x14ac:dyDescent="0.35">
      <c r="B207" s="5" t="s">
        <v>231</v>
      </c>
      <c r="D207" s="36">
        <v>0</v>
      </c>
      <c r="E207" s="36">
        <v>3386.4</v>
      </c>
      <c r="F207" s="49" t="s">
        <v>331</v>
      </c>
    </row>
    <row r="208" spans="2:7" x14ac:dyDescent="0.35">
      <c r="B208" s="52" t="s">
        <v>232</v>
      </c>
      <c r="D208" s="62">
        <v>0</v>
      </c>
      <c r="E208" s="62">
        <v>1653.6</v>
      </c>
      <c r="F208" s="55" t="s">
        <v>331</v>
      </c>
    </row>
    <row r="209" spans="2:8" x14ac:dyDescent="0.35">
      <c r="B209" s="5" t="s">
        <v>237</v>
      </c>
      <c r="D209" s="36">
        <v>0</v>
      </c>
      <c r="E209" s="36">
        <v>1311.5833333333333</v>
      </c>
      <c r="F209" s="49" t="s">
        <v>331</v>
      </c>
    </row>
    <row r="210" spans="2:8" x14ac:dyDescent="0.35">
      <c r="B210" s="52" t="s">
        <v>238</v>
      </c>
      <c r="D210" s="62">
        <v>0</v>
      </c>
      <c r="E210" s="62">
        <v>342.01666666666711</v>
      </c>
      <c r="F210" s="55" t="s">
        <v>331</v>
      </c>
    </row>
    <row r="211" spans="2:8" x14ac:dyDescent="0.35">
      <c r="B211" s="5" t="s">
        <v>490</v>
      </c>
      <c r="D211" s="36">
        <v>0</v>
      </c>
      <c r="E211" s="36">
        <v>-75.487809010824719</v>
      </c>
      <c r="F211" s="49" t="s">
        <v>331</v>
      </c>
    </row>
    <row r="212" spans="2:8" x14ac:dyDescent="0.35">
      <c r="B212" s="52" t="s">
        <v>250</v>
      </c>
      <c r="D212" s="62">
        <v>0</v>
      </c>
      <c r="E212" s="62">
        <v>266.52885765584239</v>
      </c>
      <c r="F212" s="55" t="s">
        <v>331</v>
      </c>
    </row>
    <row r="213" spans="2:8" x14ac:dyDescent="0.35">
      <c r="B213" s="5" t="s">
        <v>251</v>
      </c>
      <c r="D213" s="36">
        <v>0</v>
      </c>
      <c r="E213" s="36">
        <v>93.285100179544841</v>
      </c>
      <c r="F213" s="49" t="s">
        <v>331</v>
      </c>
    </row>
    <row r="214" spans="2:8" x14ac:dyDescent="0.35">
      <c r="B214" s="52" t="s">
        <v>252</v>
      </c>
      <c r="D214" s="62">
        <v>0</v>
      </c>
      <c r="E214" s="62">
        <v>173.24375747629756</v>
      </c>
      <c r="F214" s="55" t="s">
        <v>331</v>
      </c>
    </row>
    <row r="215" spans="2:8" x14ac:dyDescent="0.35">
      <c r="B215" s="5" t="s">
        <v>253</v>
      </c>
      <c r="D215" s="36">
        <v>0</v>
      </c>
      <c r="E215" s="36">
        <v>50</v>
      </c>
      <c r="F215" s="49" t="s">
        <v>331</v>
      </c>
    </row>
    <row r="216" spans="2:8" ht="16" thickBot="1" x14ac:dyDescent="0.4">
      <c r="B216" s="44" t="s">
        <v>254</v>
      </c>
      <c r="C216" s="99"/>
      <c r="D216" s="45">
        <v>0</v>
      </c>
      <c r="E216" s="45">
        <v>123.24375747629756</v>
      </c>
      <c r="F216" s="61" t="s">
        <v>331</v>
      </c>
    </row>
    <row r="218" spans="2:8" x14ac:dyDescent="0.35">
      <c r="B218" t="s">
        <v>491</v>
      </c>
    </row>
    <row r="219" spans="2:8" x14ac:dyDescent="0.35">
      <c r="B219" t="s">
        <v>492</v>
      </c>
    </row>
    <row r="221" spans="2:8" x14ac:dyDescent="0.35">
      <c r="B221" t="s">
        <v>493</v>
      </c>
    </row>
    <row r="222" spans="2:8" ht="16" thickBot="1" x14ac:dyDescent="0.4"/>
    <row r="223" spans="2:8" x14ac:dyDescent="0.35">
      <c r="B223" s="199"/>
      <c r="C223" s="203"/>
      <c r="D223" s="193"/>
      <c r="E223" s="207" t="s">
        <v>420</v>
      </c>
      <c r="F223" s="203"/>
      <c r="G223" s="203"/>
      <c r="H223" s="351"/>
    </row>
    <row r="224" spans="2:8" x14ac:dyDescent="0.35">
      <c r="B224" s="196" t="s">
        <v>494</v>
      </c>
      <c r="C224" s="204"/>
      <c r="D224" s="197" t="s">
        <v>391</v>
      </c>
      <c r="E224" s="197" t="s">
        <v>392</v>
      </c>
      <c r="F224" s="197" t="s">
        <v>393</v>
      </c>
      <c r="G224" s="197" t="s">
        <v>394</v>
      </c>
      <c r="H224" s="229" t="s">
        <v>375</v>
      </c>
    </row>
    <row r="225" spans="2:8" x14ac:dyDescent="0.35">
      <c r="B225" s="5"/>
      <c r="D225" s="29" t="s">
        <v>229</v>
      </c>
      <c r="E225" s="29" t="s">
        <v>229</v>
      </c>
      <c r="F225" s="29" t="s">
        <v>229</v>
      </c>
      <c r="G225" s="102" t="s">
        <v>229</v>
      </c>
      <c r="H225" s="103" t="s">
        <v>229</v>
      </c>
    </row>
    <row r="226" spans="2:8" x14ac:dyDescent="0.35">
      <c r="B226" s="5"/>
      <c r="G226" s="83"/>
      <c r="H226" s="93"/>
    </row>
    <row r="227" spans="2:8" x14ac:dyDescent="0.35">
      <c r="B227" s="2" t="s">
        <v>495</v>
      </c>
      <c r="D227" s="34">
        <v>1081.5445</v>
      </c>
      <c r="E227" s="34">
        <v>1361.5397499999999</v>
      </c>
      <c r="F227" s="34">
        <v>1391.7723989187971</v>
      </c>
      <c r="G227" s="245">
        <v>1292.34900831099</v>
      </c>
      <c r="H227" s="352">
        <v>5127.205657229787</v>
      </c>
    </row>
    <row r="228" spans="2:8" x14ac:dyDescent="0.35">
      <c r="B228" s="2" t="s">
        <v>496</v>
      </c>
      <c r="D228" s="36">
        <v>1223.7284018749999</v>
      </c>
      <c r="E228" s="36">
        <v>1266.3635299607142</v>
      </c>
      <c r="F228" s="36">
        <v>1208.2577844048978</v>
      </c>
      <c r="G228" s="375">
        <v>1232.4437499999999</v>
      </c>
      <c r="H228" s="353">
        <v>4930.7934662406115</v>
      </c>
    </row>
    <row r="229" spans="2:8" x14ac:dyDescent="0.35">
      <c r="B229" s="3" t="s">
        <v>497</v>
      </c>
      <c r="C229" s="53"/>
      <c r="D229" s="62">
        <v>-142.18390187499995</v>
      </c>
      <c r="E229" s="62">
        <v>95.176220039285681</v>
      </c>
      <c r="F229" s="62">
        <v>183.51461451389923</v>
      </c>
      <c r="G229" s="244">
        <v>59.905258310990121</v>
      </c>
      <c r="H229" s="354">
        <v>196.41219098917509</v>
      </c>
    </row>
    <row r="230" spans="2:8" x14ac:dyDescent="0.35">
      <c r="B230" s="2"/>
      <c r="D230" s="34"/>
      <c r="E230" s="34"/>
      <c r="F230" s="34"/>
      <c r="G230" s="245"/>
      <c r="H230" s="352"/>
    </row>
    <row r="231" spans="2:8" ht="16" thickBot="1" x14ac:dyDescent="0.4">
      <c r="B231" s="44" t="s">
        <v>498</v>
      </c>
      <c r="C231" s="63"/>
      <c r="D231" s="45">
        <v>-242.183901875</v>
      </c>
      <c r="E231" s="45">
        <v>-147.00768183571444</v>
      </c>
      <c r="F231" s="45">
        <v>36.506932678184683</v>
      </c>
      <c r="G231" s="45">
        <v>96.412190989174917</v>
      </c>
      <c r="H231" s="356"/>
    </row>
    <row r="232" spans="2:8" x14ac:dyDescent="0.35">
      <c r="B232" s="243"/>
      <c r="C232" s="243"/>
      <c r="D232" s="244"/>
      <c r="E232" s="244"/>
      <c r="F232" s="244"/>
      <c r="G232" s="244"/>
    </row>
    <row r="233" spans="2:8" x14ac:dyDescent="0.35">
      <c r="B233" t="s">
        <v>499</v>
      </c>
    </row>
    <row r="234" spans="2:8" x14ac:dyDescent="0.35">
      <c r="B234" t="s">
        <v>500</v>
      </c>
    </row>
    <row r="235" spans="2:8" ht="16" thickBot="1" x14ac:dyDescent="0.4"/>
    <row r="236" spans="2:8" x14ac:dyDescent="0.35">
      <c r="B236" s="214" t="s">
        <v>501</v>
      </c>
      <c r="C236" s="215"/>
      <c r="D236" s="215" t="s">
        <v>502</v>
      </c>
      <c r="E236" s="216" t="s">
        <v>503</v>
      </c>
      <c r="F236" s="217"/>
    </row>
    <row r="237" spans="2:8" x14ac:dyDescent="0.35">
      <c r="B237" s="69" t="s">
        <v>504</v>
      </c>
      <c r="F237" s="4"/>
    </row>
    <row r="238" spans="2:8" x14ac:dyDescent="0.35">
      <c r="B238" s="5" t="s">
        <v>505</v>
      </c>
      <c r="D238" s="70">
        <v>0</v>
      </c>
      <c r="E238" t="s">
        <v>506</v>
      </c>
      <c r="F238" s="4"/>
    </row>
    <row r="239" spans="2:8" x14ac:dyDescent="0.35">
      <c r="B239" s="5" t="s">
        <v>507</v>
      </c>
      <c r="D239" s="70">
        <v>0</v>
      </c>
      <c r="E239" t="s">
        <v>506</v>
      </c>
      <c r="F239" s="4"/>
    </row>
    <row r="240" spans="2:8" x14ac:dyDescent="0.35">
      <c r="B240" s="246" t="s">
        <v>234</v>
      </c>
      <c r="D240" s="68">
        <v>0</v>
      </c>
      <c r="E240" t="s">
        <v>508</v>
      </c>
      <c r="F240" s="4"/>
    </row>
    <row r="241" spans="2:6" x14ac:dyDescent="0.35">
      <c r="B241" s="69" t="s">
        <v>509</v>
      </c>
      <c r="D241" s="68"/>
      <c r="F241" s="4"/>
    </row>
    <row r="242" spans="2:6" x14ac:dyDescent="0.35">
      <c r="B242" s="5" t="s">
        <v>510</v>
      </c>
      <c r="D242" s="70">
        <v>8</v>
      </c>
      <c r="E242" t="s">
        <v>511</v>
      </c>
      <c r="F242" s="4"/>
    </row>
    <row r="243" spans="2:6" x14ac:dyDescent="0.35">
      <c r="B243" s="5" t="s">
        <v>512</v>
      </c>
      <c r="D243" s="70">
        <v>0</v>
      </c>
      <c r="E243" t="s">
        <v>511</v>
      </c>
      <c r="F243" s="4"/>
    </row>
    <row r="244" spans="2:6" x14ac:dyDescent="0.35">
      <c r="B244" s="5" t="s">
        <v>513</v>
      </c>
      <c r="D244" s="70">
        <v>0</v>
      </c>
      <c r="E244" t="s">
        <v>511</v>
      </c>
      <c r="F244" s="4"/>
    </row>
    <row r="245" spans="2:6" x14ac:dyDescent="0.35">
      <c r="B245" s="69" t="s">
        <v>514</v>
      </c>
      <c r="D245" s="68"/>
      <c r="F245" s="4"/>
    </row>
    <row r="246" spans="2:6" x14ac:dyDescent="0.35">
      <c r="B246" s="5" t="s">
        <v>289</v>
      </c>
      <c r="D246" s="70">
        <v>6</v>
      </c>
      <c r="E246" t="s">
        <v>515</v>
      </c>
      <c r="F246" s="4"/>
    </row>
    <row r="247" spans="2:6" x14ac:dyDescent="0.35">
      <c r="B247" s="94" t="s">
        <v>307</v>
      </c>
      <c r="D247" s="70">
        <v>12</v>
      </c>
      <c r="E247" t="s">
        <v>515</v>
      </c>
      <c r="F247" s="4"/>
    </row>
    <row r="248" spans="2:6" x14ac:dyDescent="0.35">
      <c r="B248" s="5" t="s">
        <v>314</v>
      </c>
      <c r="D248" s="70">
        <v>12</v>
      </c>
      <c r="E248" t="s">
        <v>515</v>
      </c>
      <c r="F248" s="4"/>
    </row>
    <row r="249" spans="2:6" x14ac:dyDescent="0.35">
      <c r="B249" s="69" t="s">
        <v>516</v>
      </c>
      <c r="D249" s="68"/>
      <c r="F249" s="4"/>
    </row>
    <row r="250" spans="2:6" x14ac:dyDescent="0.35">
      <c r="B250" s="5" t="s">
        <v>517</v>
      </c>
      <c r="D250" s="71">
        <v>60.833333333333329</v>
      </c>
      <c r="E250" t="s">
        <v>518</v>
      </c>
      <c r="F250" s="4"/>
    </row>
    <row r="251" spans="2:6" x14ac:dyDescent="0.35">
      <c r="B251" s="5" t="s">
        <v>519</v>
      </c>
      <c r="D251" s="71">
        <v>32.515416666666667</v>
      </c>
      <c r="E251" t="s">
        <v>518</v>
      </c>
      <c r="F251" s="4"/>
    </row>
    <row r="252" spans="2:6" ht="16" thickBot="1" x14ac:dyDescent="0.4">
      <c r="B252" s="289" t="s">
        <v>520</v>
      </c>
      <c r="C252" s="99"/>
      <c r="D252" s="290">
        <v>20.55631868131869</v>
      </c>
      <c r="E252" s="99" t="s">
        <v>521</v>
      </c>
      <c r="F252" s="291"/>
    </row>
    <row r="254" spans="2:6" x14ac:dyDescent="0.35">
      <c r="B254" t="s">
        <v>522</v>
      </c>
    </row>
    <row r="255" spans="2:6" x14ac:dyDescent="0.35">
      <c r="B255" t="s">
        <v>523</v>
      </c>
    </row>
    <row r="256" spans="2:6" ht="16" thickBot="1" x14ac:dyDescent="0.4"/>
    <row r="257" spans="2:6" x14ac:dyDescent="0.35">
      <c r="B257" s="218"/>
      <c r="C257" s="194"/>
      <c r="D257" s="219" t="s">
        <v>524</v>
      </c>
      <c r="E257" s="193"/>
      <c r="F257" s="220" t="s">
        <v>525</v>
      </c>
    </row>
    <row r="258" spans="2:6" x14ac:dyDescent="0.35">
      <c r="B258" s="196" t="s">
        <v>526</v>
      </c>
      <c r="C258" s="221"/>
      <c r="D258" s="222" t="s">
        <v>527</v>
      </c>
      <c r="E258" s="223"/>
      <c r="F258" s="224" t="s">
        <v>528</v>
      </c>
    </row>
    <row r="259" spans="2:6" x14ac:dyDescent="0.35">
      <c r="B259" s="67"/>
      <c r="D259" s="30"/>
      <c r="E259" s="30"/>
      <c r="F259" s="4"/>
    </row>
    <row r="260" spans="2:6" x14ac:dyDescent="0.35">
      <c r="B260" s="69" t="s">
        <v>529</v>
      </c>
      <c r="F260" s="4"/>
    </row>
    <row r="261" spans="2:6" x14ac:dyDescent="0.35">
      <c r="B261" s="5" t="s">
        <v>530</v>
      </c>
      <c r="D261" s="70">
        <v>32.809523809523824</v>
      </c>
      <c r="E261" t="s">
        <v>531</v>
      </c>
      <c r="F261" s="72">
        <v>32.809523809523817</v>
      </c>
    </row>
    <row r="262" spans="2:6" x14ac:dyDescent="0.35">
      <c r="B262" s="5" t="s">
        <v>532</v>
      </c>
      <c r="D262" s="70">
        <v>5.5153769841269993</v>
      </c>
      <c r="E262" t="s">
        <v>531</v>
      </c>
      <c r="F262" s="72">
        <v>5.2882709852349681</v>
      </c>
    </row>
    <row r="263" spans="2:6" x14ac:dyDescent="0.35">
      <c r="B263" s="5"/>
      <c r="D263" s="70"/>
      <c r="F263" s="72"/>
    </row>
    <row r="264" spans="2:6" x14ac:dyDescent="0.35">
      <c r="B264" s="5" t="s">
        <v>349</v>
      </c>
      <c r="D264" s="70">
        <v>2.0941501268789833</v>
      </c>
      <c r="E264" t="s">
        <v>533</v>
      </c>
      <c r="F264" s="72">
        <v>3.9404178114535946</v>
      </c>
    </row>
    <row r="265" spans="2:6" x14ac:dyDescent="0.35">
      <c r="B265" s="5"/>
      <c r="D265" s="70"/>
      <c r="F265" s="72"/>
    </row>
    <row r="266" spans="2:6" x14ac:dyDescent="0.35">
      <c r="B266" s="5" t="s">
        <v>534</v>
      </c>
      <c r="D266" s="71">
        <v>65.192225382023096</v>
      </c>
      <c r="E266" t="s">
        <v>531</v>
      </c>
      <c r="F266" s="73">
        <v>32.50781727848392</v>
      </c>
    </row>
    <row r="267" spans="2:6" x14ac:dyDescent="0.35">
      <c r="B267" s="5"/>
      <c r="D267" s="31"/>
      <c r="F267" s="72"/>
    </row>
    <row r="268" spans="2:6" x14ac:dyDescent="0.35">
      <c r="B268" s="5" t="s">
        <v>535</v>
      </c>
      <c r="F268" s="72">
        <v>2.1010427670861511</v>
      </c>
    </row>
    <row r="269" spans="2:6" x14ac:dyDescent="0.35">
      <c r="B269" s="5" t="s">
        <v>536</v>
      </c>
      <c r="F269" s="72">
        <v>11.110883503919471</v>
      </c>
    </row>
    <row r="270" spans="2:6" ht="16" thickBot="1" x14ac:dyDescent="0.4">
      <c r="B270" s="74" t="s">
        <v>333</v>
      </c>
      <c r="C270" s="6"/>
      <c r="D270" s="6"/>
      <c r="E270" s="6"/>
      <c r="F270" s="75">
        <v>126.07662494440565</v>
      </c>
    </row>
    <row r="272" spans="2:6" x14ac:dyDescent="0.35">
      <c r="B272" t="s">
        <v>537</v>
      </c>
    </row>
    <row r="273" spans="2:8" x14ac:dyDescent="0.35">
      <c r="B273" t="s">
        <v>538</v>
      </c>
    </row>
    <row r="274" spans="2:8" x14ac:dyDescent="0.35">
      <c r="B274" t="s">
        <v>539</v>
      </c>
    </row>
    <row r="275" spans="2:8" x14ac:dyDescent="0.35">
      <c r="B275" t="s">
        <v>331</v>
      </c>
    </row>
    <row r="276" spans="2:8" x14ac:dyDescent="0.35">
      <c r="B276" t="s">
        <v>540</v>
      </c>
    </row>
    <row r="277" spans="2:8" x14ac:dyDescent="0.35">
      <c r="B277" t="s">
        <v>331</v>
      </c>
    </row>
    <row r="278" spans="2:8" x14ac:dyDescent="0.35">
      <c r="B278" t="s">
        <v>331</v>
      </c>
    </row>
    <row r="279" spans="2:8" x14ac:dyDescent="0.35">
      <c r="B279" s="83"/>
      <c r="C279" s="83"/>
      <c r="D279" s="83"/>
      <c r="E279" s="83"/>
      <c r="F279" s="83"/>
      <c r="G279" s="83"/>
    </row>
    <row r="280" spans="2:8" ht="18" x14ac:dyDescent="0.4">
      <c r="B280" s="33" t="s">
        <v>541</v>
      </c>
    </row>
    <row r="282" spans="2:8" x14ac:dyDescent="0.35">
      <c r="B282" t="s">
        <v>542</v>
      </c>
    </row>
    <row r="283" spans="2:8" x14ac:dyDescent="0.35">
      <c r="B283" t="s">
        <v>543</v>
      </c>
    </row>
    <row r="284" spans="2:8" x14ac:dyDescent="0.35">
      <c r="B284" t="s">
        <v>544</v>
      </c>
    </row>
    <row r="286" spans="2:8" x14ac:dyDescent="0.35">
      <c r="B286" t="s">
        <v>545</v>
      </c>
    </row>
    <row r="287" spans="2:8" ht="16" thickBot="1" x14ac:dyDescent="0.4"/>
    <row r="288" spans="2:8" x14ac:dyDescent="0.35">
      <c r="B288" s="225" t="s">
        <v>546</v>
      </c>
      <c r="C288" s="226" t="s">
        <v>285</v>
      </c>
      <c r="D288" s="226" t="s">
        <v>222</v>
      </c>
      <c r="E288" s="226" t="s">
        <v>223</v>
      </c>
      <c r="F288" s="226" t="s">
        <v>224</v>
      </c>
      <c r="G288" s="226" t="s">
        <v>225</v>
      </c>
      <c r="H288" s="227" t="s">
        <v>226</v>
      </c>
    </row>
    <row r="289" spans="2:8" x14ac:dyDescent="0.35">
      <c r="B289" s="228"/>
      <c r="C289" s="197" t="s">
        <v>547</v>
      </c>
      <c r="D289" s="197" t="s">
        <v>548</v>
      </c>
      <c r="E289" s="197" t="s">
        <v>548</v>
      </c>
      <c r="F289" s="197" t="s">
        <v>548</v>
      </c>
      <c r="G289" s="197" t="s">
        <v>548</v>
      </c>
      <c r="H289" s="229" t="s">
        <v>548</v>
      </c>
    </row>
    <row r="290" spans="2:8" x14ac:dyDescent="0.35">
      <c r="B290" s="92"/>
      <c r="C290" s="102" t="s">
        <v>229</v>
      </c>
      <c r="D290" s="102" t="s">
        <v>229</v>
      </c>
      <c r="E290" s="102" t="s">
        <v>229</v>
      </c>
      <c r="F290" s="102" t="s">
        <v>229</v>
      </c>
      <c r="G290" s="102" t="s">
        <v>229</v>
      </c>
      <c r="H290" s="103" t="s">
        <v>229</v>
      </c>
    </row>
    <row r="291" spans="2:8" x14ac:dyDescent="0.35">
      <c r="B291" s="92"/>
      <c r="C291" s="83"/>
      <c r="D291" s="83"/>
      <c r="E291" s="83"/>
      <c r="F291" s="83"/>
      <c r="G291" s="83"/>
      <c r="H291" s="93"/>
    </row>
    <row r="292" spans="2:8" x14ac:dyDescent="0.35">
      <c r="B292" s="104" t="s">
        <v>230</v>
      </c>
      <c r="C292" s="105">
        <v>0</v>
      </c>
      <c r="D292" s="105">
        <v>5040</v>
      </c>
      <c r="E292" s="105">
        <v>5292</v>
      </c>
      <c r="F292" s="105">
        <v>5821.2</v>
      </c>
      <c r="G292" s="105">
        <v>6403.32</v>
      </c>
      <c r="H292" s="106">
        <v>7043.6519999999973</v>
      </c>
    </row>
    <row r="293" spans="2:8" x14ac:dyDescent="0.35">
      <c r="B293" s="92" t="s">
        <v>231</v>
      </c>
      <c r="C293" s="107">
        <v>0</v>
      </c>
      <c r="D293" s="107">
        <v>3386.4</v>
      </c>
      <c r="E293" s="107">
        <v>3595.44</v>
      </c>
      <c r="F293" s="107">
        <v>3972.0119999999997</v>
      </c>
      <c r="G293" s="107">
        <v>4369.2131999999992</v>
      </c>
      <c r="H293" s="108">
        <v>4806.1345199999987</v>
      </c>
    </row>
    <row r="294" spans="2:8" x14ac:dyDescent="0.35">
      <c r="B294" s="52" t="s">
        <v>232</v>
      </c>
      <c r="C294" s="105">
        <v>0</v>
      </c>
      <c r="D294" s="105">
        <v>1653.6</v>
      </c>
      <c r="E294" s="105">
        <v>1696.56</v>
      </c>
      <c r="F294" s="105">
        <v>1849.1880000000001</v>
      </c>
      <c r="G294" s="105">
        <v>2034.1067999999996</v>
      </c>
      <c r="H294" s="106">
        <v>2237.5174799999986</v>
      </c>
    </row>
    <row r="295" spans="2:8" x14ac:dyDescent="0.35">
      <c r="B295" s="5" t="s">
        <v>237</v>
      </c>
      <c r="C295" s="107">
        <v>0</v>
      </c>
      <c r="D295" s="107">
        <v>1311.5833333333333</v>
      </c>
      <c r="E295" s="107">
        <v>1383</v>
      </c>
      <c r="F295" s="107">
        <v>1508.9</v>
      </c>
      <c r="G295" s="107">
        <v>1660.3</v>
      </c>
      <c r="H295" s="108">
        <v>1828.93</v>
      </c>
    </row>
    <row r="296" spans="2:8" x14ac:dyDescent="0.35">
      <c r="B296" s="52" t="s">
        <v>238</v>
      </c>
      <c r="C296" s="105">
        <v>0</v>
      </c>
      <c r="D296" s="105">
        <v>342.01666666666711</v>
      </c>
      <c r="E296" s="105">
        <v>313.56</v>
      </c>
      <c r="F296" s="105">
        <v>340.28800000000001</v>
      </c>
      <c r="G296" s="105">
        <v>373.80679999999961</v>
      </c>
      <c r="H296" s="106">
        <v>408.587479999999</v>
      </c>
    </row>
    <row r="297" spans="2:8" x14ac:dyDescent="0.35">
      <c r="B297" s="5" t="s">
        <v>490</v>
      </c>
      <c r="C297" s="107">
        <v>0</v>
      </c>
      <c r="D297" s="107">
        <v>-75.48780901082506</v>
      </c>
      <c r="E297" s="107">
        <v>-57.998306419454025</v>
      </c>
      <c r="F297" s="107">
        <v>-55.897154774295871</v>
      </c>
      <c r="G297" s="107">
        <v>-55.986329320828418</v>
      </c>
      <c r="H297" s="108">
        <v>-62.992789170925448</v>
      </c>
    </row>
    <row r="298" spans="2:8" x14ac:dyDescent="0.35">
      <c r="B298" s="52" t="s">
        <v>250</v>
      </c>
      <c r="C298" s="105">
        <v>0</v>
      </c>
      <c r="D298" s="105">
        <v>266.52885765584205</v>
      </c>
      <c r="E298" s="105">
        <v>255.56169358054638</v>
      </c>
      <c r="F298" s="105">
        <v>284.39084522570414</v>
      </c>
      <c r="G298" s="105">
        <v>317.82047067917119</v>
      </c>
      <c r="H298" s="106">
        <v>345.59469082907356</v>
      </c>
    </row>
    <row r="299" spans="2:8" x14ac:dyDescent="0.35">
      <c r="B299" s="5" t="s">
        <v>251</v>
      </c>
      <c r="C299" s="107">
        <v>0</v>
      </c>
      <c r="D299" s="107">
        <v>93.285100179544841</v>
      </c>
      <c r="E299" s="107">
        <v>76.668508074163896</v>
      </c>
      <c r="F299" s="107">
        <v>99.536795828996461</v>
      </c>
      <c r="G299" s="107">
        <v>111.23716473770992</v>
      </c>
      <c r="H299" s="108">
        <v>120.95814179017574</v>
      </c>
    </row>
    <row r="300" spans="2:8" x14ac:dyDescent="0.35">
      <c r="B300" s="52" t="s">
        <v>252</v>
      </c>
      <c r="C300" s="105">
        <v>0</v>
      </c>
      <c r="D300" s="105">
        <v>173.24375747629722</v>
      </c>
      <c r="E300" s="105">
        <v>178.89318550638248</v>
      </c>
      <c r="F300" s="105">
        <v>184.85404939670769</v>
      </c>
      <c r="G300" s="105">
        <v>206.58330594146128</v>
      </c>
      <c r="H300" s="106">
        <v>224.63654903889781</v>
      </c>
    </row>
    <row r="301" spans="2:8" x14ac:dyDescent="0.35">
      <c r="B301" s="5" t="s">
        <v>253</v>
      </c>
      <c r="C301" s="107">
        <v>0</v>
      </c>
      <c r="D301" s="107">
        <v>50</v>
      </c>
      <c r="E301" s="107">
        <v>70</v>
      </c>
      <c r="F301" s="107">
        <v>90</v>
      </c>
      <c r="G301" s="107">
        <v>99</v>
      </c>
      <c r="H301" s="108">
        <v>108.9</v>
      </c>
    </row>
    <row r="302" spans="2:8" ht="16" thickBot="1" x14ac:dyDescent="0.4">
      <c r="B302" s="44" t="s">
        <v>254</v>
      </c>
      <c r="C302" s="110">
        <v>0</v>
      </c>
      <c r="D302" s="110">
        <v>123.24375747629722</v>
      </c>
      <c r="E302" s="110">
        <v>108.89318550638248</v>
      </c>
      <c r="F302" s="110">
        <v>94.854049396707694</v>
      </c>
      <c r="G302" s="110">
        <v>107.58330594146129</v>
      </c>
      <c r="H302" s="111">
        <v>115.73654903889785</v>
      </c>
    </row>
    <row r="304" spans="2:8" x14ac:dyDescent="0.35">
      <c r="B304" t="s">
        <v>549</v>
      </c>
    </row>
    <row r="305" spans="2:7" x14ac:dyDescent="0.35">
      <c r="B305" t="s">
        <v>550</v>
      </c>
    </row>
    <row r="307" spans="2:7" x14ac:dyDescent="0.35">
      <c r="B307" s="76" t="s">
        <v>551</v>
      </c>
    </row>
    <row r="308" spans="2:7" x14ac:dyDescent="0.35">
      <c r="B308" t="s">
        <v>552</v>
      </c>
    </row>
    <row r="310" spans="2:7" x14ac:dyDescent="0.35">
      <c r="B310" t="s">
        <v>553</v>
      </c>
    </row>
    <row r="311" spans="2:7" x14ac:dyDescent="0.35">
      <c r="B311" t="s">
        <v>554</v>
      </c>
    </row>
    <row r="312" spans="2:7" ht="16" thickBot="1" x14ac:dyDescent="0.4"/>
    <row r="313" spans="2:7" x14ac:dyDescent="0.35">
      <c r="B313" s="191" t="s">
        <v>546</v>
      </c>
      <c r="C313" s="200" t="s">
        <v>222</v>
      </c>
      <c r="D313" s="200" t="s">
        <v>223</v>
      </c>
      <c r="E313" s="200" t="s">
        <v>224</v>
      </c>
      <c r="F313" s="200" t="s">
        <v>225</v>
      </c>
      <c r="G313" s="195" t="s">
        <v>226</v>
      </c>
    </row>
    <row r="314" spans="2:7" x14ac:dyDescent="0.35">
      <c r="B314" s="230"/>
      <c r="C314" s="197" t="s">
        <v>548</v>
      </c>
      <c r="D314" s="197" t="s">
        <v>548</v>
      </c>
      <c r="E314" s="197" t="s">
        <v>548</v>
      </c>
      <c r="F314" s="197" t="s">
        <v>548</v>
      </c>
      <c r="G314" s="198" t="s">
        <v>548</v>
      </c>
    </row>
    <row r="315" spans="2:7" x14ac:dyDescent="0.35">
      <c r="B315" s="5"/>
      <c r="C315" s="29" t="s">
        <v>229</v>
      </c>
      <c r="D315" s="29" t="s">
        <v>229</v>
      </c>
      <c r="E315" s="29" t="s">
        <v>229</v>
      </c>
      <c r="F315" s="29" t="s">
        <v>229</v>
      </c>
      <c r="G315" s="47" t="s">
        <v>229</v>
      </c>
    </row>
    <row r="316" spans="2:7" x14ac:dyDescent="0.35">
      <c r="B316" s="69" t="s">
        <v>555</v>
      </c>
      <c r="G316" s="4"/>
    </row>
    <row r="317" spans="2:7" x14ac:dyDescent="0.35">
      <c r="B317" s="5" t="s">
        <v>556</v>
      </c>
      <c r="C317" s="13">
        <v>196.41219098917543</v>
      </c>
      <c r="D317" s="13">
        <v>235.97957142297946</v>
      </c>
      <c r="E317" s="13">
        <v>235.47401407461757</v>
      </c>
      <c r="F317" s="13">
        <v>249.07114034468049</v>
      </c>
      <c r="G317" s="286">
        <v>270.82373813531996</v>
      </c>
    </row>
    <row r="318" spans="2:7" x14ac:dyDescent="0.35">
      <c r="B318" s="5" t="s">
        <v>557</v>
      </c>
      <c r="C318" s="13">
        <v>-175</v>
      </c>
      <c r="D318" s="13">
        <v>-75</v>
      </c>
      <c r="E318" s="13">
        <v>-167.5</v>
      </c>
      <c r="F318" s="13">
        <v>-152</v>
      </c>
      <c r="G318" s="49">
        <v>-219.45</v>
      </c>
    </row>
    <row r="319" spans="2:7" x14ac:dyDescent="0.35">
      <c r="B319" s="5" t="s">
        <v>558</v>
      </c>
      <c r="C319" s="50">
        <v>175</v>
      </c>
      <c r="D319" s="50">
        <v>220</v>
      </c>
      <c r="E319" s="50">
        <v>30</v>
      </c>
      <c r="F319" s="50">
        <v>10</v>
      </c>
      <c r="G319" s="51">
        <v>1</v>
      </c>
    </row>
    <row r="320" spans="2:7" ht="16" thickBot="1" x14ac:dyDescent="0.4">
      <c r="B320" s="44" t="s">
        <v>559</v>
      </c>
      <c r="C320" s="60">
        <v>196.41219098917543</v>
      </c>
      <c r="D320" s="60">
        <v>380.97957142297946</v>
      </c>
      <c r="E320" s="60">
        <v>97.974014074617571</v>
      </c>
      <c r="F320" s="60">
        <v>107.07114034468049</v>
      </c>
      <c r="G320" s="61">
        <v>52.373738135319996</v>
      </c>
    </row>
    <row r="322" spans="2:8" x14ac:dyDescent="0.35">
      <c r="B322" t="s">
        <v>560</v>
      </c>
    </row>
    <row r="323" spans="2:8" x14ac:dyDescent="0.35">
      <c r="B323" t="s">
        <v>561</v>
      </c>
    </row>
    <row r="325" spans="2:8" x14ac:dyDescent="0.35">
      <c r="B325" t="s">
        <v>562</v>
      </c>
    </row>
    <row r="326" spans="2:8" ht="16" thickBot="1" x14ac:dyDescent="0.4"/>
    <row r="327" spans="2:8" x14ac:dyDescent="0.35">
      <c r="B327" s="191" t="s">
        <v>546</v>
      </c>
      <c r="C327" s="200" t="s">
        <v>285</v>
      </c>
      <c r="D327" s="200" t="s">
        <v>222</v>
      </c>
      <c r="E327" s="200" t="s">
        <v>223</v>
      </c>
      <c r="F327" s="200" t="s">
        <v>224</v>
      </c>
      <c r="G327" s="200" t="s">
        <v>225</v>
      </c>
      <c r="H327" s="358" t="s">
        <v>226</v>
      </c>
    </row>
    <row r="328" spans="2:8" x14ac:dyDescent="0.35">
      <c r="B328" s="230"/>
      <c r="C328" s="197" t="s">
        <v>547</v>
      </c>
      <c r="D328" s="197" t="s">
        <v>548</v>
      </c>
      <c r="E328" s="197" t="s">
        <v>548</v>
      </c>
      <c r="F328" s="197" t="s">
        <v>548</v>
      </c>
      <c r="G328" s="197" t="s">
        <v>548</v>
      </c>
      <c r="H328" s="229" t="s">
        <v>548</v>
      </c>
    </row>
    <row r="329" spans="2:8" x14ac:dyDescent="0.35">
      <c r="B329" s="5"/>
      <c r="C329" s="29" t="s">
        <v>229</v>
      </c>
      <c r="D329" s="29" t="s">
        <v>229</v>
      </c>
      <c r="E329" s="29" t="s">
        <v>229</v>
      </c>
      <c r="F329" s="29" t="s">
        <v>229</v>
      </c>
      <c r="G329" s="102" t="s">
        <v>229</v>
      </c>
      <c r="H329" s="103" t="s">
        <v>229</v>
      </c>
    </row>
    <row r="330" spans="2:8" x14ac:dyDescent="0.35">
      <c r="B330" s="293" t="s">
        <v>287</v>
      </c>
      <c r="G330" s="83"/>
      <c r="H330" s="93"/>
    </row>
    <row r="331" spans="2:8" x14ac:dyDescent="0.35">
      <c r="B331" s="5" t="s">
        <v>288</v>
      </c>
      <c r="C331" s="13"/>
      <c r="D331" s="13"/>
      <c r="E331" s="13"/>
      <c r="F331" s="13"/>
      <c r="G331" s="372"/>
      <c r="H331" s="286"/>
    </row>
    <row r="332" spans="2:8" x14ac:dyDescent="0.35">
      <c r="B332" s="5" t="s">
        <v>563</v>
      </c>
      <c r="C332" s="13">
        <v>0</v>
      </c>
      <c r="D332" s="13">
        <v>96.412190989175429</v>
      </c>
      <c r="E332" s="13">
        <v>477.39176241215489</v>
      </c>
      <c r="F332" s="13">
        <v>575.36577648677235</v>
      </c>
      <c r="G332" s="372">
        <v>682.43691683145289</v>
      </c>
      <c r="H332" s="286">
        <v>734.81065496677286</v>
      </c>
    </row>
    <row r="333" spans="2:8" x14ac:dyDescent="0.35">
      <c r="B333" s="5" t="s">
        <v>564</v>
      </c>
      <c r="C333" s="50">
        <v>1148.98</v>
      </c>
      <c r="D333" s="50">
        <v>1288.98</v>
      </c>
      <c r="E333" s="50">
        <v>1353.4290000000001</v>
      </c>
      <c r="F333" s="50">
        <v>1488.7718999999995</v>
      </c>
      <c r="G333" s="107">
        <v>1637.6490899999994</v>
      </c>
      <c r="H333" s="108">
        <v>1801.4139989999994</v>
      </c>
    </row>
    <row r="334" spans="2:8" x14ac:dyDescent="0.35">
      <c r="B334" s="52" t="s">
        <v>565</v>
      </c>
      <c r="C334" s="54">
        <v>1148.98</v>
      </c>
      <c r="D334" s="54">
        <v>1385.3921909891756</v>
      </c>
      <c r="E334" s="54">
        <v>1830.8207624121551</v>
      </c>
      <c r="F334" s="54">
        <v>2064.1376764867719</v>
      </c>
      <c r="G334" s="105">
        <v>2320.0860068314523</v>
      </c>
      <c r="H334" s="106">
        <v>2536.2246539667722</v>
      </c>
    </row>
    <row r="335" spans="2:8" x14ac:dyDescent="0.35">
      <c r="B335" s="52"/>
      <c r="C335" s="54"/>
      <c r="D335" s="54"/>
      <c r="E335" s="54"/>
      <c r="F335" s="54"/>
      <c r="G335" s="105"/>
      <c r="H335" s="106"/>
    </row>
    <row r="336" spans="2:8" x14ac:dyDescent="0.35">
      <c r="B336" s="52" t="s">
        <v>566</v>
      </c>
      <c r="C336" s="54">
        <v>950</v>
      </c>
      <c r="D336" s="54">
        <v>1013.4166666666666</v>
      </c>
      <c r="E336" s="54">
        <v>990.41666666666674</v>
      </c>
      <c r="F336" s="54">
        <v>1044.9166666666667</v>
      </c>
      <c r="G336" s="105">
        <v>1104.3566666666668</v>
      </c>
      <c r="H336" s="106">
        <v>1167.1406666666669</v>
      </c>
    </row>
    <row r="337" spans="2:8" x14ac:dyDescent="0.35">
      <c r="B337" s="52"/>
      <c r="C337" s="54"/>
      <c r="D337" s="54"/>
      <c r="E337" s="54"/>
      <c r="F337" s="54"/>
      <c r="G337" s="105"/>
      <c r="H337" s="106"/>
    </row>
    <row r="338" spans="2:8" ht="17" x14ac:dyDescent="0.5">
      <c r="B338" s="52" t="s">
        <v>297</v>
      </c>
      <c r="C338" s="295">
        <v>2098.98</v>
      </c>
      <c r="D338" s="295">
        <v>2398.8088576558421</v>
      </c>
      <c r="E338" s="295">
        <v>2821.2374290788221</v>
      </c>
      <c r="F338" s="295">
        <v>3109.0543431534388</v>
      </c>
      <c r="G338" s="373">
        <v>3424.4426734981189</v>
      </c>
      <c r="H338" s="296">
        <v>3703.3653206334393</v>
      </c>
    </row>
    <row r="339" spans="2:8" x14ac:dyDescent="0.35">
      <c r="B339" s="52"/>
      <c r="C339" s="54"/>
      <c r="D339" s="54"/>
      <c r="E339" s="54"/>
      <c r="F339" s="54"/>
      <c r="G339" s="105"/>
      <c r="H339" s="106"/>
    </row>
    <row r="340" spans="2:8" x14ac:dyDescent="0.35">
      <c r="B340" s="293" t="s">
        <v>298</v>
      </c>
      <c r="C340" s="13"/>
      <c r="D340" s="13"/>
      <c r="E340" s="13"/>
      <c r="F340" s="13"/>
      <c r="G340" s="372"/>
      <c r="H340" s="286"/>
    </row>
    <row r="341" spans="2:8" x14ac:dyDescent="0.35">
      <c r="B341" s="5" t="s">
        <v>299</v>
      </c>
      <c r="C341" s="13"/>
      <c r="D341" s="13"/>
      <c r="E341" s="13"/>
      <c r="F341" s="13"/>
      <c r="G341" s="372"/>
      <c r="H341" s="286"/>
    </row>
    <row r="342" spans="2:8" x14ac:dyDescent="0.35">
      <c r="B342" s="94" t="s">
        <v>567</v>
      </c>
      <c r="C342" s="13">
        <v>100</v>
      </c>
      <c r="D342" s="13">
        <v>0</v>
      </c>
      <c r="E342" s="13">
        <v>0</v>
      </c>
      <c r="F342" s="13">
        <v>0</v>
      </c>
      <c r="G342" s="372">
        <v>0</v>
      </c>
      <c r="H342" s="286">
        <v>0</v>
      </c>
    </row>
    <row r="343" spans="2:8" x14ac:dyDescent="0.35">
      <c r="B343" s="5" t="s">
        <v>564</v>
      </c>
      <c r="C343" s="50">
        <v>300</v>
      </c>
      <c r="D343" s="50">
        <v>351.5851001795449</v>
      </c>
      <c r="E343" s="50">
        <v>445.12048609614192</v>
      </c>
      <c r="F343" s="50">
        <v>538.0833507740515</v>
      </c>
      <c r="G343" s="107">
        <v>645.8883751772704</v>
      </c>
      <c r="H343" s="108">
        <v>709.07447327369221</v>
      </c>
    </row>
    <row r="344" spans="2:8" x14ac:dyDescent="0.35">
      <c r="B344" s="52" t="s">
        <v>568</v>
      </c>
      <c r="C344" s="54">
        <v>400</v>
      </c>
      <c r="D344" s="54">
        <v>351.5851001795449</v>
      </c>
      <c r="E344" s="54">
        <v>445.12048609614192</v>
      </c>
      <c r="F344" s="54">
        <v>538.0833507740515</v>
      </c>
      <c r="G344" s="105">
        <v>645.8883751772704</v>
      </c>
      <c r="H344" s="106">
        <v>709.07447327369221</v>
      </c>
    </row>
    <row r="345" spans="2:8" x14ac:dyDescent="0.35">
      <c r="B345" s="52"/>
      <c r="C345" s="54"/>
      <c r="D345" s="54"/>
      <c r="E345" s="54"/>
      <c r="F345" s="54"/>
      <c r="G345" s="105"/>
      <c r="H345" s="106"/>
    </row>
    <row r="346" spans="2:8" x14ac:dyDescent="0.35">
      <c r="B346" s="292" t="s">
        <v>317</v>
      </c>
      <c r="C346" s="294">
        <v>450</v>
      </c>
      <c r="D346" s="294">
        <v>575</v>
      </c>
      <c r="E346" s="294">
        <v>645</v>
      </c>
      <c r="F346" s="294">
        <v>745</v>
      </c>
      <c r="G346" s="374">
        <v>845</v>
      </c>
      <c r="H346" s="287">
        <v>945</v>
      </c>
    </row>
    <row r="347" spans="2:8" x14ac:dyDescent="0.35">
      <c r="B347" s="5"/>
      <c r="C347" s="13"/>
      <c r="D347" s="13"/>
      <c r="E347" s="13"/>
      <c r="F347" s="13"/>
      <c r="G347" s="372"/>
      <c r="H347" s="286"/>
    </row>
    <row r="348" spans="2:8" x14ac:dyDescent="0.35">
      <c r="B348" s="104" t="s">
        <v>321</v>
      </c>
      <c r="C348" s="105">
        <v>1248.98</v>
      </c>
      <c r="D348" s="105">
        <v>1472.2237574762971</v>
      </c>
      <c r="E348" s="105">
        <v>1731.1169429826796</v>
      </c>
      <c r="F348" s="105">
        <v>1825.9709923793873</v>
      </c>
      <c r="G348" s="105">
        <v>1933.5542983208486</v>
      </c>
      <c r="H348" s="106">
        <v>2049.2908473597463</v>
      </c>
    </row>
    <row r="349" spans="2:8" x14ac:dyDescent="0.35">
      <c r="B349" s="104"/>
      <c r="C349" s="105"/>
      <c r="D349" s="105"/>
      <c r="E349" s="105"/>
      <c r="F349" s="105"/>
      <c r="G349" s="105"/>
      <c r="H349" s="106"/>
    </row>
    <row r="350" spans="2:8" ht="16" thickBot="1" x14ac:dyDescent="0.4">
      <c r="B350" s="109" t="s">
        <v>569</v>
      </c>
      <c r="C350" s="110">
        <v>2098.98</v>
      </c>
      <c r="D350" s="110">
        <v>2398.8088576558421</v>
      </c>
      <c r="E350" s="110">
        <v>2821.2374290788216</v>
      </c>
      <c r="F350" s="110">
        <v>3109.0543431534388</v>
      </c>
      <c r="G350" s="110">
        <v>3424.4426734981189</v>
      </c>
      <c r="H350" s="111">
        <v>3703.3653206334384</v>
      </c>
    </row>
    <row r="352" spans="2:8" x14ac:dyDescent="0.35">
      <c r="B352" t="s">
        <v>570</v>
      </c>
    </row>
    <row r="353" spans="2:8" x14ac:dyDescent="0.35">
      <c r="B353" t="s">
        <v>571</v>
      </c>
    </row>
    <row r="355" spans="2:8" x14ac:dyDescent="0.35">
      <c r="B355" t="s">
        <v>572</v>
      </c>
    </row>
    <row r="356" spans="2:8" x14ac:dyDescent="0.35">
      <c r="B356" t="s">
        <v>573</v>
      </c>
    </row>
    <row r="357" spans="2:8" ht="16" thickBot="1" x14ac:dyDescent="0.4"/>
    <row r="358" spans="2:8" x14ac:dyDescent="0.35">
      <c r="B358" s="191" t="s">
        <v>546</v>
      </c>
      <c r="C358" s="194"/>
      <c r="D358" s="200" t="s">
        <v>222</v>
      </c>
      <c r="E358" s="200" t="s">
        <v>223</v>
      </c>
      <c r="F358" s="200" t="s">
        <v>224</v>
      </c>
      <c r="G358" s="200" t="s">
        <v>225</v>
      </c>
      <c r="H358" s="358" t="s">
        <v>226</v>
      </c>
    </row>
    <row r="359" spans="2:8" x14ac:dyDescent="0.35">
      <c r="B359" s="230"/>
      <c r="C359" s="221"/>
      <c r="D359" s="197" t="s">
        <v>548</v>
      </c>
      <c r="E359" s="197" t="s">
        <v>548</v>
      </c>
      <c r="F359" s="197" t="s">
        <v>548</v>
      </c>
      <c r="G359" s="197" t="s">
        <v>548</v>
      </c>
      <c r="H359" s="229" t="s">
        <v>548</v>
      </c>
    </row>
    <row r="360" spans="2:8" x14ac:dyDescent="0.35">
      <c r="B360" s="5"/>
      <c r="D360" s="29"/>
      <c r="E360" s="29"/>
      <c r="F360" s="29"/>
      <c r="G360" s="29"/>
      <c r="H360" s="93"/>
    </row>
    <row r="361" spans="2:8" x14ac:dyDescent="0.35">
      <c r="B361" s="5" t="s">
        <v>574</v>
      </c>
      <c r="D361" s="31">
        <v>32.809523809523817</v>
      </c>
      <c r="E361" s="31">
        <v>32.058956916099781</v>
      </c>
      <c r="F361" s="31">
        <v>31.766439909297056</v>
      </c>
      <c r="G361" s="31">
        <v>31.766439909297052</v>
      </c>
      <c r="H361" s="85">
        <v>31.766439909297045</v>
      </c>
    </row>
    <row r="362" spans="2:8" x14ac:dyDescent="0.35">
      <c r="B362" s="5" t="s">
        <v>575</v>
      </c>
      <c r="D362" s="31">
        <v>5.2882709852349619</v>
      </c>
      <c r="E362" s="31">
        <v>4.8292081175462274</v>
      </c>
      <c r="F362" s="31">
        <v>4.8854333337748947</v>
      </c>
      <c r="G362" s="31">
        <v>4.9633701061195019</v>
      </c>
      <c r="H362" s="85">
        <v>4.9064702632820829</v>
      </c>
    </row>
    <row r="363" spans="2:8" x14ac:dyDescent="0.35">
      <c r="B363" s="65" t="s">
        <v>576</v>
      </c>
      <c r="D363" s="76">
        <v>126.07662494440565</v>
      </c>
      <c r="E363" s="76">
        <v>122.67245119305858</v>
      </c>
      <c r="F363" s="76">
        <v>122.55205779044336</v>
      </c>
      <c r="G363" s="76">
        <v>122.51441305788107</v>
      </c>
      <c r="H363" s="359">
        <v>122.34024702968395</v>
      </c>
    </row>
    <row r="364" spans="2:8" x14ac:dyDescent="0.35">
      <c r="B364" s="5"/>
      <c r="H364" s="93"/>
    </row>
    <row r="365" spans="2:8" x14ac:dyDescent="0.35">
      <c r="B365" s="65" t="s">
        <v>536</v>
      </c>
      <c r="D365" s="77">
        <v>11.110883503919471</v>
      </c>
      <c r="E365" s="77">
        <v>9.0584964932919974</v>
      </c>
      <c r="F365" s="77">
        <v>9.147181549012533</v>
      </c>
      <c r="G365" s="77">
        <v>9.280940023870011</v>
      </c>
      <c r="H365" s="360">
        <v>9.3319092476126979</v>
      </c>
    </row>
    <row r="366" spans="2:8" x14ac:dyDescent="0.35">
      <c r="B366" s="65" t="s">
        <v>535</v>
      </c>
      <c r="D366" s="77">
        <v>2.1010427670861511</v>
      </c>
      <c r="E366" s="77">
        <v>1.8757726469437634</v>
      </c>
      <c r="F366" s="77">
        <v>1.8723378099900618</v>
      </c>
      <c r="G366" s="77">
        <v>1.8698867554581993</v>
      </c>
      <c r="H366" s="360">
        <v>1.9019598095699675</v>
      </c>
    </row>
    <row r="367" spans="2:8" x14ac:dyDescent="0.35">
      <c r="B367" s="65" t="s">
        <v>577</v>
      </c>
      <c r="H367" s="93"/>
    </row>
    <row r="368" spans="2:8" x14ac:dyDescent="0.35">
      <c r="B368" s="65" t="s">
        <v>578</v>
      </c>
      <c r="D368" s="78">
        <v>32.507817278483898</v>
      </c>
      <c r="E368" s="78">
        <v>9.6820863701477897</v>
      </c>
      <c r="F368" s="78">
        <v>9.2900831514404612</v>
      </c>
      <c r="G368" s="78">
        <v>8.4074744272618229</v>
      </c>
      <c r="H368" s="361">
        <v>10.256686858482274</v>
      </c>
    </row>
    <row r="369" spans="2:8" x14ac:dyDescent="0.35">
      <c r="B369" s="5"/>
      <c r="H369" s="93"/>
    </row>
    <row r="370" spans="2:8" x14ac:dyDescent="0.35">
      <c r="B370" s="65" t="s">
        <v>354</v>
      </c>
      <c r="D370" s="79">
        <v>13.144854977466938</v>
      </c>
      <c r="E370" s="79">
        <v>14.189483139202292</v>
      </c>
      <c r="F370" s="79">
        <v>14.966975347372028</v>
      </c>
      <c r="G370" s="79">
        <v>15.848805723941382</v>
      </c>
      <c r="H370" s="362">
        <v>16.797465961965134</v>
      </c>
    </row>
    <row r="371" spans="2:8" x14ac:dyDescent="0.35">
      <c r="B371" s="65" t="s">
        <v>355</v>
      </c>
      <c r="D371" s="79">
        <v>1.6343750705311058</v>
      </c>
      <c r="E371" s="79">
        <v>1.5290015855246366</v>
      </c>
      <c r="F371" s="79">
        <v>1.5151971262025221</v>
      </c>
      <c r="G371" s="79">
        <v>1.6933057864054204</v>
      </c>
      <c r="H371" s="362">
        <v>1.8412831888434247</v>
      </c>
    </row>
    <row r="372" spans="2:8" ht="16" thickBot="1" x14ac:dyDescent="0.4">
      <c r="B372" s="74" t="s">
        <v>356</v>
      </c>
      <c r="C372" s="6"/>
      <c r="D372" s="80">
        <v>0.44642857142857145</v>
      </c>
      <c r="E372" s="80">
        <v>0.57377049180327866</v>
      </c>
      <c r="F372" s="80">
        <v>0.73770491803278693</v>
      </c>
      <c r="G372" s="80">
        <v>0.81147540983606548</v>
      </c>
      <c r="H372" s="363">
        <v>0.8926229508196718</v>
      </c>
    </row>
    <row r="374" spans="2:8" x14ac:dyDescent="0.35">
      <c r="B374" t="s">
        <v>579</v>
      </c>
    </row>
    <row r="375" spans="2:8" x14ac:dyDescent="0.35">
      <c r="B375" t="s">
        <v>580</v>
      </c>
    </row>
    <row r="377" spans="2:8" x14ac:dyDescent="0.35">
      <c r="B377" t="s">
        <v>331</v>
      </c>
    </row>
    <row r="378" spans="2:8" x14ac:dyDescent="0.35">
      <c r="B378" t="s">
        <v>331</v>
      </c>
    </row>
    <row r="379" spans="2:8" x14ac:dyDescent="0.35">
      <c r="B379" t="s">
        <v>581</v>
      </c>
    </row>
  </sheetData>
  <printOptions gridLinesSet="0"/>
  <pageMargins left="0.75" right="0.75" top="1" bottom="1" header="0.5" footer="0.5"/>
  <pageSetup paperSize="9" scale="72" fitToHeight="6" orientation="portrait" horizontalDpi="4294967292" verticalDpi="0" r:id="rId1"/>
  <headerFooter alignWithMargins="0">
    <oddHeader>&amp;L&amp;P of &amp;N&amp;C&amp;A&amp;R&amp;D</oddHeader>
    <oddFooter>&amp;LCompiled using the PlanWare Online Financial Planner at www.planware.org&amp;R© Copyright  Invest-Tech Limited  1998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Introduction</vt:lpstr>
      <vt:lpstr>Assumptions</vt:lpstr>
      <vt:lpstr>Income</vt:lpstr>
      <vt:lpstr>Cashflow</vt:lpstr>
      <vt:lpstr>Balances</vt:lpstr>
      <vt:lpstr>Review</vt:lpstr>
      <vt:lpstr>Report</vt:lpstr>
      <vt:lpstr>Upgrade!Print_Titles</vt:lpstr>
      <vt:lpstr>upgradeform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Exl-Plan UK 1.0</dc:title>
  <dc:subject>© Copyright  Invest-Tech Limited  1998.   Exl-Plan is a trademark of Invest-Tech Limited </dc:subject>
  <dc:creator>Invest-Tech Limited</dc:creator>
  <cp:keywords/>
  <dc:description/>
  <cp:lastModifiedBy>Carina Negreanu</cp:lastModifiedBy>
  <dcterms:created xsi:type="dcterms:W3CDTF">2020-01-27T10:39:32Z</dcterms:created>
  <dcterms:modified xsi:type="dcterms:W3CDTF">2020-01-27T10:39:35Z</dcterms:modified>
</cp:coreProperties>
</file>