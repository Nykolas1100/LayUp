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F6E92A-73D8-451C-9CA3-A59584F3D684}" xr6:coauthVersionLast="45" xr6:coauthVersionMax="45" xr10:uidLastSave="{00000000-0000-0000-0000-000000000000}"/>
  <bookViews>
    <workbookView xWindow="3420" yWindow="3420" windowWidth="28800" windowHeight="15460" tabRatio="853" firstSheet="16" activeTab="23"/>
  </bookViews>
  <sheets>
    <sheet name="Dairy Description" sheetId="1" r:id="rId1"/>
    <sheet name="Livestock" sheetId="2" r:id="rId2"/>
    <sheet name="Feed and Supply" sheetId="3" r:id="rId3"/>
    <sheet name="Receivables" sheetId="4" r:id="rId4"/>
    <sheet name="Income" sheetId="5" r:id="rId5"/>
    <sheet name="Payables" sheetId="6" r:id="rId6"/>
    <sheet name="Prepaid Expenses" sheetId="7" r:id="rId7"/>
    <sheet name="Expenses" sheetId="8" r:id="rId8"/>
    <sheet name="Machinery and Equipment" sheetId="9" r:id="rId9"/>
    <sheet name="Buildings" sheetId="10" r:id="rId10"/>
    <sheet name="Real Estate" sheetId="25" r:id="rId11"/>
    <sheet name="Assets" sheetId="11" r:id="rId12"/>
    <sheet name="Leases" sheetId="26" r:id="rId13"/>
    <sheet name="Liabilities" sheetId="13" r:id="rId14"/>
    <sheet name="Receipt Summary" sheetId="14" r:id="rId15"/>
    <sheet name="Expense Summary" sheetId="15" r:id="rId16"/>
    <sheet name="Balance" sheetId="16" r:id="rId17"/>
    <sheet name="Income Statement" sheetId="17" r:id="rId18"/>
    <sheet name="Ratios" sheetId="18" r:id="rId19"/>
    <sheet name="Profitability" sheetId="19" r:id="rId20"/>
    <sheet name="Equity" sheetId="20" r:id="rId21"/>
    <sheet name="Cashflow" sheetId="21" r:id="rId22"/>
    <sheet name="Debt Analysis" sheetId="22" r:id="rId23"/>
    <sheet name="Notes" sheetId="23" r:id="rId24"/>
  </sheets>
  <definedNames>
    <definedName name="_xlnm.Print_Area" localSheetId="11">Assets!$A$1:$E$49</definedName>
    <definedName name="_xlnm.Print_Area" localSheetId="16">Balance!$A$1:$F$48</definedName>
    <definedName name="_xlnm.Print_Area" localSheetId="9">Buildings!$A$1:$J$43</definedName>
    <definedName name="_xlnm.Print_Area" localSheetId="21">Cashflow!$A$1:$E$58</definedName>
    <definedName name="_xlnm.Print_Area" localSheetId="0">'Dairy Description'!$A$1:$H$49</definedName>
    <definedName name="_xlnm.Print_Area" localSheetId="22">'Debt Analysis'!$A$1:$F$53</definedName>
    <definedName name="_xlnm.Print_Area" localSheetId="20">Equity!$A$1:$F$36</definedName>
    <definedName name="_xlnm.Print_Area" localSheetId="15">'Expense Summary'!$A$1:$F$60</definedName>
    <definedName name="_xlnm.Print_Area" localSheetId="7">Expenses!$A$1:$E$58</definedName>
    <definedName name="_xlnm.Print_Area" localSheetId="2">'Feed and Supply'!$A$1:$I$47</definedName>
    <definedName name="_xlnm.Print_Area" localSheetId="4">Income!$A$1:$E$48</definedName>
    <definedName name="_xlnm.Print_Area" localSheetId="17">'Income Statement'!$A$1:$F$49</definedName>
    <definedName name="_xlnm.Print_Area" localSheetId="13">Liabilities!$A$1:$I$47</definedName>
    <definedName name="_xlnm.Print_Area" localSheetId="1">Livestock!$A$1:$L$46</definedName>
    <definedName name="_xlnm.Print_Area" localSheetId="8">'Machinery and Equipment'!$A$1:$F$44</definedName>
    <definedName name="_xlnm.Print_Area" localSheetId="23">Notes!$A$1:$A$54</definedName>
    <definedName name="_xlnm.Print_Area" localSheetId="5">Payables!$A$1:$F$52</definedName>
    <definedName name="_xlnm.Print_Area" localSheetId="6">'Prepaid Expenses'!$A$1:$D$53</definedName>
    <definedName name="_xlnm.Print_Area" localSheetId="19">Profitability!$A$1:$D$36</definedName>
    <definedName name="_xlnm.Print_Area" localSheetId="18">Ratios!$A$1:$F$55</definedName>
    <definedName name="_xlnm.Print_Area" localSheetId="10">'Real Estate'!$A$1:$J$45</definedName>
    <definedName name="_xlnm.Print_Area" localSheetId="14">'Receipt Summary'!$A$1:$F$18</definedName>
    <definedName name="_xlnm.Print_Area" localSheetId="3">Receivables!$A$1:$F$26</definedName>
    <definedName name="_xlnm.Print_Area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1" l="1"/>
  <c r="D30" i="11"/>
  <c r="D31" i="11"/>
  <c r="D38" i="11"/>
  <c r="D39" i="11" s="1"/>
  <c r="E26" i="20" s="1"/>
  <c r="A1" i="16"/>
  <c r="B10" i="16"/>
  <c r="C10" i="16"/>
  <c r="C13" i="16"/>
  <c r="C22" i="16"/>
  <c r="B25" i="16"/>
  <c r="C25" i="16"/>
  <c r="B26" i="16"/>
  <c r="C26" i="16"/>
  <c r="B27" i="16"/>
  <c r="C27" i="16"/>
  <c r="B29" i="16"/>
  <c r="C29" i="16"/>
  <c r="B31" i="16"/>
  <c r="C31" i="16"/>
  <c r="B32" i="16"/>
  <c r="C32" i="16"/>
  <c r="B35" i="16"/>
  <c r="C35" i="16"/>
  <c r="B41" i="16"/>
  <c r="C41" i="16"/>
  <c r="E41" i="16"/>
  <c r="F41" i="16"/>
  <c r="E43" i="16"/>
  <c r="F43" i="16"/>
  <c r="A1" i="10"/>
  <c r="D18" i="10"/>
  <c r="F18" i="10"/>
  <c r="J18" i="10"/>
  <c r="H26" i="10"/>
  <c r="J38" i="10" s="1"/>
  <c r="J40" i="10" s="1"/>
  <c r="F29" i="10"/>
  <c r="F31" i="10"/>
  <c r="H35" i="10"/>
  <c r="F37" i="10"/>
  <c r="C22" i="21" s="1"/>
  <c r="D24" i="21" s="1"/>
  <c r="D32" i="21" s="1"/>
  <c r="A1" i="21"/>
  <c r="C10" i="21"/>
  <c r="C11" i="21"/>
  <c r="D13" i="21"/>
  <c r="D14" i="21"/>
  <c r="C20" i="21"/>
  <c r="C21" i="21"/>
  <c r="C26" i="21"/>
  <c r="D30" i="21" s="1"/>
  <c r="C27" i="21"/>
  <c r="C28" i="21"/>
  <c r="C29" i="21"/>
  <c r="C36" i="21"/>
  <c r="C39" i="21"/>
  <c r="C44" i="21"/>
  <c r="D47" i="21"/>
  <c r="D48" i="21"/>
  <c r="D49" i="21"/>
  <c r="D50" i="21"/>
  <c r="D55" i="21"/>
  <c r="D56" i="21"/>
  <c r="H22" i="1"/>
  <c r="H23" i="1"/>
  <c r="H24" i="1"/>
  <c r="H25" i="1"/>
  <c r="E26" i="1"/>
  <c r="F26" i="1"/>
  <c r="G26" i="1"/>
  <c r="H26" i="1"/>
  <c r="B28" i="1"/>
  <c r="H28" i="1"/>
  <c r="D31" i="1"/>
  <c r="D32" i="1"/>
  <c r="D33" i="1"/>
  <c r="D35" i="1" s="1"/>
  <c r="D34" i="1"/>
  <c r="B35" i="1"/>
  <c r="C35" i="1"/>
  <c r="G38" i="1"/>
  <c r="G45" i="1" s="1"/>
  <c r="G39" i="1"/>
  <c r="G40" i="1"/>
  <c r="G41" i="1"/>
  <c r="G42" i="1"/>
  <c r="G43" i="1"/>
  <c r="G44" i="1"/>
  <c r="B45" i="1"/>
  <c r="C45" i="1"/>
  <c r="A1" i="22"/>
  <c r="B15" i="22"/>
  <c r="D15" i="22" s="1"/>
  <c r="C15" i="22"/>
  <c r="B25" i="22"/>
  <c r="C25" i="22"/>
  <c r="B26" i="22"/>
  <c r="C26" i="22"/>
  <c r="B32" i="22"/>
  <c r="B33" i="22"/>
  <c r="B42" i="22"/>
  <c r="E42" i="22"/>
  <c r="B44" i="22"/>
  <c r="B45" i="22"/>
  <c r="E45" i="22"/>
  <c r="E46" i="22"/>
  <c r="A1" i="20"/>
  <c r="D11" i="20"/>
  <c r="D12" i="20"/>
  <c r="D13" i="20"/>
  <c r="D15" i="20"/>
  <c r="D16" i="20"/>
  <c r="E23" i="20"/>
  <c r="A1" i="15"/>
  <c r="D9" i="15"/>
  <c r="E9" i="15"/>
  <c r="D10" i="15"/>
  <c r="E10" i="15"/>
  <c r="D11" i="15"/>
  <c r="E11" i="15"/>
  <c r="D13" i="15"/>
  <c r="E13" i="15"/>
  <c r="E17" i="15" s="1"/>
  <c r="D14" i="15"/>
  <c r="E14" i="15"/>
  <c r="D15" i="15"/>
  <c r="E15" i="15"/>
  <c r="D16" i="15"/>
  <c r="E16" i="15"/>
  <c r="D19" i="15"/>
  <c r="E19" i="15"/>
  <c r="D20" i="15"/>
  <c r="E20" i="15"/>
  <c r="D21" i="15"/>
  <c r="E21" i="15"/>
  <c r="D23" i="15"/>
  <c r="E23" i="15"/>
  <c r="D24" i="15"/>
  <c r="E24" i="15"/>
  <c r="D25" i="15"/>
  <c r="E25" i="15"/>
  <c r="D27" i="15"/>
  <c r="E27" i="15"/>
  <c r="D28" i="15"/>
  <c r="E28" i="15"/>
  <c r="D29" i="15"/>
  <c r="E29" i="15"/>
  <c r="D30" i="15"/>
  <c r="E30" i="15"/>
  <c r="D31" i="15"/>
  <c r="E31" i="15"/>
  <c r="D32" i="15"/>
  <c r="E32" i="15"/>
  <c r="D33" i="15"/>
  <c r="E33" i="15"/>
  <c r="D35" i="15"/>
  <c r="E35" i="15"/>
  <c r="D36" i="15"/>
  <c r="E36" i="15"/>
  <c r="D37" i="15"/>
  <c r="E37" i="15"/>
  <c r="D38" i="15"/>
  <c r="E38" i="15"/>
  <c r="D40" i="15"/>
  <c r="E40" i="15"/>
  <c r="D41" i="15"/>
  <c r="E41" i="15"/>
  <c r="D42" i="15"/>
  <c r="E42" i="15"/>
  <c r="D44" i="15"/>
  <c r="E44" i="15"/>
  <c r="D45" i="15"/>
  <c r="E45" i="15"/>
  <c r="D46" i="15"/>
  <c r="E46" i="15"/>
  <c r="D47" i="15"/>
  <c r="E47" i="15"/>
  <c r="D48" i="15"/>
  <c r="E48" i="15"/>
  <c r="D50" i="15"/>
  <c r="E50" i="15"/>
  <c r="C52" i="15"/>
  <c r="C56" i="15" s="1"/>
  <c r="D52" i="15"/>
  <c r="D56" i="15" s="1"/>
  <c r="D58" i="15" s="1"/>
  <c r="E52" i="15"/>
  <c r="E56" i="15" s="1"/>
  <c r="E58" i="15" s="1"/>
  <c r="C53" i="15"/>
  <c r="D53" i="15"/>
  <c r="E53" i="15"/>
  <c r="C54" i="15"/>
  <c r="D54" i="15"/>
  <c r="E54" i="15"/>
  <c r="A1" i="8"/>
  <c r="D11" i="8"/>
  <c r="C12" i="8"/>
  <c r="D12" i="8"/>
  <c r="D50" i="8" s="1"/>
  <c r="D42" i="17" s="1"/>
  <c r="E12" i="8"/>
  <c r="C10" i="15" s="1"/>
  <c r="C13" i="8"/>
  <c r="E13" i="8" s="1"/>
  <c r="C11" i="15" s="1"/>
  <c r="D13" i="8"/>
  <c r="D15" i="8"/>
  <c r="D16" i="8"/>
  <c r="D17" i="8"/>
  <c r="D18" i="8"/>
  <c r="D20" i="8"/>
  <c r="D21" i="8"/>
  <c r="D22" i="8"/>
  <c r="D24" i="8"/>
  <c r="D25" i="8"/>
  <c r="D26" i="8"/>
  <c r="D28" i="8"/>
  <c r="D29" i="8"/>
  <c r="D30" i="8"/>
  <c r="D31" i="8"/>
  <c r="D32" i="8"/>
  <c r="D33" i="8"/>
  <c r="D34" i="8"/>
  <c r="D36" i="8"/>
  <c r="C37" i="8"/>
  <c r="D37" i="8"/>
  <c r="E37" i="8"/>
  <c r="C36" i="15" s="1"/>
  <c r="C38" i="8"/>
  <c r="E38" i="8" s="1"/>
  <c r="C37" i="15" s="1"/>
  <c r="D38" i="8"/>
  <c r="D39" i="8"/>
  <c r="D41" i="8"/>
  <c r="D42" i="8"/>
  <c r="D43" i="8"/>
  <c r="D45" i="8"/>
  <c r="D46" i="8"/>
  <c r="D47" i="8"/>
  <c r="D48" i="8"/>
  <c r="D49" i="8"/>
  <c r="B50" i="8"/>
  <c r="D52" i="8"/>
  <c r="A1" i="3"/>
  <c r="D10" i="3"/>
  <c r="D16" i="3" s="1"/>
  <c r="H10" i="3"/>
  <c r="H16" i="3" s="1"/>
  <c r="D11" i="3"/>
  <c r="H11" i="3"/>
  <c r="D12" i="3"/>
  <c r="H12" i="3"/>
  <c r="D13" i="3"/>
  <c r="H13" i="3"/>
  <c r="D14" i="3"/>
  <c r="H14" i="3"/>
  <c r="D15" i="3"/>
  <c r="H15" i="3"/>
  <c r="D20" i="3"/>
  <c r="D39" i="3" s="1"/>
  <c r="B12" i="16" s="1"/>
  <c r="H20" i="3"/>
  <c r="H39" i="3" s="1"/>
  <c r="C12" i="16" s="1"/>
  <c r="D22" i="3"/>
  <c r="H22" i="3"/>
  <c r="I22" i="3" s="1"/>
  <c r="C15" i="8" s="1"/>
  <c r="E15" i="8" s="1"/>
  <c r="C13" i="15" s="1"/>
  <c r="D23" i="3"/>
  <c r="H23" i="3"/>
  <c r="I23" i="3"/>
  <c r="C16" i="8" s="1"/>
  <c r="E16" i="8" s="1"/>
  <c r="C14" i="15" s="1"/>
  <c r="D24" i="3"/>
  <c r="H24" i="3"/>
  <c r="I24" i="3"/>
  <c r="D25" i="3"/>
  <c r="H25" i="3"/>
  <c r="I25" i="3" s="1"/>
  <c r="C18" i="8" s="1"/>
  <c r="E18" i="8" s="1"/>
  <c r="C16" i="15" s="1"/>
  <c r="D27" i="3"/>
  <c r="H27" i="3"/>
  <c r="I27" i="3"/>
  <c r="C25" i="8" s="1"/>
  <c r="E25" i="8" s="1"/>
  <c r="C24" i="15" s="1"/>
  <c r="D28" i="3"/>
  <c r="H28" i="3"/>
  <c r="I28" i="3" s="1"/>
  <c r="C26" i="8" s="1"/>
  <c r="E26" i="8" s="1"/>
  <c r="C25" i="15" s="1"/>
  <c r="D29" i="3"/>
  <c r="I29" i="3" s="1"/>
  <c r="C29" i="8" s="1"/>
  <c r="E29" i="8" s="1"/>
  <c r="C28" i="15" s="1"/>
  <c r="H29" i="3"/>
  <c r="D30" i="3"/>
  <c r="H30" i="3"/>
  <c r="I30" i="3"/>
  <c r="D31" i="3"/>
  <c r="H31" i="3"/>
  <c r="I31" i="3" s="1"/>
  <c r="C31" i="8" s="1"/>
  <c r="E31" i="8" s="1"/>
  <c r="C30" i="15" s="1"/>
  <c r="D32" i="3"/>
  <c r="H32" i="3"/>
  <c r="I32" i="3"/>
  <c r="C32" i="8" s="1"/>
  <c r="E32" i="8" s="1"/>
  <c r="C31" i="15" s="1"/>
  <c r="D33" i="3"/>
  <c r="H33" i="3"/>
  <c r="I33" i="3" s="1"/>
  <c r="C34" i="8" s="1"/>
  <c r="E34" i="8" s="1"/>
  <c r="C33" i="15" s="1"/>
  <c r="D34" i="3"/>
  <c r="H34" i="3"/>
  <c r="I34" i="3"/>
  <c r="C20" i="8" s="1"/>
  <c r="E20" i="8" s="1"/>
  <c r="C19" i="15" s="1"/>
  <c r="D35" i="3"/>
  <c r="H35" i="3"/>
  <c r="I35" i="3" s="1"/>
  <c r="C21" i="8" s="1"/>
  <c r="E21" i="8" s="1"/>
  <c r="C20" i="15" s="1"/>
  <c r="D36" i="3"/>
  <c r="H36" i="3"/>
  <c r="I36" i="3" s="1"/>
  <c r="C22" i="8" s="1"/>
  <c r="E22" i="8" s="1"/>
  <c r="C21" i="15" s="1"/>
  <c r="D37" i="3"/>
  <c r="H37" i="3"/>
  <c r="I37" i="3"/>
  <c r="C41" i="8" s="1"/>
  <c r="E41" i="8" s="1"/>
  <c r="C40" i="15" s="1"/>
  <c r="D38" i="3"/>
  <c r="I38" i="3" s="1"/>
  <c r="C42" i="8" s="1"/>
  <c r="E42" i="8" s="1"/>
  <c r="C41" i="15" s="1"/>
  <c r="H38" i="3"/>
  <c r="A1" i="5"/>
  <c r="D10" i="5"/>
  <c r="D11" i="5"/>
  <c r="D12" i="5"/>
  <c r="D13" i="5"/>
  <c r="D14" i="5"/>
  <c r="E14" i="5" s="1"/>
  <c r="C13" i="14" s="1"/>
  <c r="D15" i="5"/>
  <c r="E15" i="5"/>
  <c r="D16" i="5"/>
  <c r="E16" i="5" s="1"/>
  <c r="C15" i="14" s="1"/>
  <c r="D17" i="5"/>
  <c r="E17" i="5" s="1"/>
  <c r="C16" i="14" s="1"/>
  <c r="E18" i="5"/>
  <c r="E19" i="5"/>
  <c r="E20" i="5"/>
  <c r="E21" i="5"/>
  <c r="B22" i="5"/>
  <c r="B27" i="22" s="1"/>
  <c r="A1" i="17"/>
  <c r="E8" i="17"/>
  <c r="D9" i="17"/>
  <c r="D12" i="17"/>
  <c r="D15" i="17"/>
  <c r="D18" i="17"/>
  <c r="E21" i="17"/>
  <c r="E22" i="17"/>
  <c r="E23" i="17"/>
  <c r="E24" i="17"/>
  <c r="C32" i="17"/>
  <c r="D40" i="17" s="1"/>
  <c r="C33" i="17"/>
  <c r="C34" i="17"/>
  <c r="C35" i="17"/>
  <c r="C36" i="17"/>
  <c r="C37" i="17"/>
  <c r="C38" i="17"/>
  <c r="C39" i="17"/>
  <c r="D43" i="17"/>
  <c r="B43" i="22" s="1"/>
  <c r="E45" i="17"/>
  <c r="A1" i="26"/>
  <c r="I8" i="26"/>
  <c r="I12" i="26" s="1"/>
  <c r="I9" i="26"/>
  <c r="I10" i="26"/>
  <c r="I11" i="26"/>
  <c r="B12" i="26"/>
  <c r="B42" i="26" s="1"/>
  <c r="B46" i="26" s="1"/>
  <c r="C12" i="26"/>
  <c r="C42" i="26" s="1"/>
  <c r="C46" i="26" s="1"/>
  <c r="D12" i="26"/>
  <c r="D42" i="26" s="1"/>
  <c r="D46" i="26" s="1"/>
  <c r="E12" i="26"/>
  <c r="E42" i="26" s="1"/>
  <c r="F12" i="26"/>
  <c r="I15" i="26"/>
  <c r="I16" i="26"/>
  <c r="I17" i="26"/>
  <c r="I18" i="26"/>
  <c r="B19" i="26"/>
  <c r="E23" i="16" s="1"/>
  <c r="C19" i="26"/>
  <c r="F23" i="16" s="1"/>
  <c r="D19" i="26"/>
  <c r="E19" i="26"/>
  <c r="F19" i="26"/>
  <c r="F42" i="26" s="1"/>
  <c r="F46" i="26" s="1"/>
  <c r="I19" i="26"/>
  <c r="I22" i="26"/>
  <c r="I26" i="26" s="1"/>
  <c r="I23" i="26"/>
  <c r="I24" i="26"/>
  <c r="I25" i="26"/>
  <c r="B26" i="26"/>
  <c r="E24" i="16" s="1"/>
  <c r="C26" i="26"/>
  <c r="F24" i="16" s="1"/>
  <c r="D26" i="26"/>
  <c r="E26" i="26"/>
  <c r="F26" i="26"/>
  <c r="I29" i="26"/>
  <c r="I30" i="26"/>
  <c r="I31" i="26"/>
  <c r="I32" i="26"/>
  <c r="B33" i="26"/>
  <c r="C33" i="26"/>
  <c r="D33" i="26"/>
  <c r="E33" i="26"/>
  <c r="E25" i="16" s="1"/>
  <c r="F33" i="26"/>
  <c r="I33" i="26"/>
  <c r="F25" i="16" s="1"/>
  <c r="I36" i="26"/>
  <c r="I40" i="26" s="1"/>
  <c r="I37" i="26"/>
  <c r="I38" i="26"/>
  <c r="I39" i="26"/>
  <c r="B40" i="26"/>
  <c r="E26" i="16" s="1"/>
  <c r="C40" i="26"/>
  <c r="F26" i="16" s="1"/>
  <c r="D40" i="26"/>
  <c r="E40" i="26"/>
  <c r="F40" i="26"/>
  <c r="I44" i="26"/>
  <c r="A1" i="13"/>
  <c r="I8" i="13"/>
  <c r="I21" i="13" s="1"/>
  <c r="I9" i="13"/>
  <c r="I10" i="13"/>
  <c r="I11" i="13"/>
  <c r="I12" i="13"/>
  <c r="I13" i="13"/>
  <c r="I14" i="13"/>
  <c r="I15" i="13"/>
  <c r="I16" i="13"/>
  <c r="I17" i="13"/>
  <c r="I18" i="13"/>
  <c r="I19" i="13"/>
  <c r="I20" i="13"/>
  <c r="B21" i="13"/>
  <c r="B8" i="22" s="1"/>
  <c r="C21" i="13"/>
  <c r="C42" i="13" s="1"/>
  <c r="C46" i="13" s="1"/>
  <c r="D21" i="13"/>
  <c r="C19" i="22" s="1"/>
  <c r="C23" i="22" s="1"/>
  <c r="E21" i="13"/>
  <c r="B19" i="22" s="1"/>
  <c r="F21" i="13"/>
  <c r="F42" i="13" s="1"/>
  <c r="F46" i="13" s="1"/>
  <c r="B31" i="13"/>
  <c r="B42" i="13" s="1"/>
  <c r="B46" i="13" s="1"/>
  <c r="C31" i="13"/>
  <c r="C9" i="22" s="1"/>
  <c r="D31" i="13"/>
  <c r="C20" i="22" s="1"/>
  <c r="E31" i="13"/>
  <c r="C42" i="21" s="1"/>
  <c r="F31" i="13"/>
  <c r="C37" i="21" s="1"/>
  <c r="B40" i="13"/>
  <c r="E11" i="16" s="1"/>
  <c r="C40" i="13"/>
  <c r="F11" i="16" s="1"/>
  <c r="D40" i="13"/>
  <c r="C21" i="22" s="1"/>
  <c r="E40" i="13"/>
  <c r="C41" i="21" s="1"/>
  <c r="F40" i="13"/>
  <c r="I44" i="13"/>
  <c r="A1" i="2"/>
  <c r="F10" i="2"/>
  <c r="F13" i="2" s="1"/>
  <c r="F26" i="2" s="1"/>
  <c r="L10" i="2"/>
  <c r="L13" i="2" s="1"/>
  <c r="L26" i="2" s="1"/>
  <c r="F11" i="2"/>
  <c r="F34" i="2" s="1"/>
  <c r="H40" i="2" s="1"/>
  <c r="L11" i="2"/>
  <c r="L34" i="2" s="1"/>
  <c r="H41" i="2" s="1"/>
  <c r="F12" i="2"/>
  <c r="B22" i="16" s="1"/>
  <c r="L12" i="2"/>
  <c r="B13" i="2"/>
  <c r="H13" i="2"/>
  <c r="H26" i="2" s="1"/>
  <c r="F16" i="2"/>
  <c r="L16" i="2"/>
  <c r="F17" i="2"/>
  <c r="L17" i="2"/>
  <c r="F18" i="2"/>
  <c r="F19" i="2" s="1"/>
  <c r="B23" i="16" s="1"/>
  <c r="L18" i="2"/>
  <c r="L19" i="2" s="1"/>
  <c r="B19" i="2"/>
  <c r="B26" i="2" s="1"/>
  <c r="H19" i="2"/>
  <c r="F22" i="2"/>
  <c r="F24" i="2" s="1"/>
  <c r="B24" i="16" s="1"/>
  <c r="L22" i="2"/>
  <c r="L24" i="2" s="1"/>
  <c r="F23" i="2"/>
  <c r="L23" i="2"/>
  <c r="B24" i="2"/>
  <c r="H24" i="2"/>
  <c r="J29" i="2"/>
  <c r="A1" i="9"/>
  <c r="E14" i="9"/>
  <c r="E15" i="9"/>
  <c r="E16" i="9"/>
  <c r="E17" i="9"/>
  <c r="E19" i="9"/>
  <c r="B20" i="9"/>
  <c r="B31" i="9"/>
  <c r="E31" i="9" s="1"/>
  <c r="D31" i="9"/>
  <c r="F41" i="9"/>
  <c r="F42" i="9"/>
  <c r="A1" i="23"/>
  <c r="A1" i="6"/>
  <c r="D10" i="6"/>
  <c r="D11" i="6"/>
  <c r="D12" i="6"/>
  <c r="D13" i="6"/>
  <c r="D14" i="6"/>
  <c r="D15" i="6"/>
  <c r="D16" i="6"/>
  <c r="D17" i="6"/>
  <c r="D18" i="6"/>
  <c r="D19" i="6"/>
  <c r="D20" i="6"/>
  <c r="D21" i="6"/>
  <c r="B22" i="6"/>
  <c r="E10" i="16" s="1"/>
  <c r="C22" i="6"/>
  <c r="D22" i="6" s="1"/>
  <c r="F51" i="6"/>
  <c r="A1" i="7"/>
  <c r="D10" i="7"/>
  <c r="C11" i="8" s="1"/>
  <c r="D11" i="7"/>
  <c r="D12" i="7"/>
  <c r="D14" i="7"/>
  <c r="D15" i="7"/>
  <c r="D16" i="7"/>
  <c r="C17" i="8" s="1"/>
  <c r="E17" i="8" s="1"/>
  <c r="C15" i="15" s="1"/>
  <c r="D17" i="7"/>
  <c r="D19" i="7"/>
  <c r="D20" i="7"/>
  <c r="D21" i="7"/>
  <c r="D23" i="7"/>
  <c r="C24" i="8" s="1"/>
  <c r="E24" i="8" s="1"/>
  <c r="C23" i="15" s="1"/>
  <c r="D24" i="7"/>
  <c r="D25" i="7"/>
  <c r="D27" i="7"/>
  <c r="C28" i="8" s="1"/>
  <c r="E28" i="8" s="1"/>
  <c r="C27" i="15" s="1"/>
  <c r="D28" i="7"/>
  <c r="D29" i="7"/>
  <c r="C30" i="8" s="1"/>
  <c r="E30" i="8" s="1"/>
  <c r="C29" i="15" s="1"/>
  <c r="D30" i="7"/>
  <c r="D31" i="7"/>
  <c r="D32" i="7"/>
  <c r="C33" i="8" s="1"/>
  <c r="E33" i="8" s="1"/>
  <c r="C32" i="15" s="1"/>
  <c r="D33" i="7"/>
  <c r="D35" i="7"/>
  <c r="C36" i="8" s="1"/>
  <c r="E36" i="8" s="1"/>
  <c r="C35" i="15" s="1"/>
  <c r="D36" i="7"/>
  <c r="D37" i="7"/>
  <c r="D38" i="7"/>
  <c r="C39" i="8" s="1"/>
  <c r="E39" i="8" s="1"/>
  <c r="C38" i="15" s="1"/>
  <c r="D40" i="7"/>
  <c r="D41" i="7"/>
  <c r="D42" i="7"/>
  <c r="C43" i="8" s="1"/>
  <c r="E43" i="8" s="1"/>
  <c r="C42" i="15" s="1"/>
  <c r="D44" i="7"/>
  <c r="C45" i="8" s="1"/>
  <c r="E45" i="8" s="1"/>
  <c r="C44" i="15" s="1"/>
  <c r="D45" i="7"/>
  <c r="C46" i="8" s="1"/>
  <c r="E46" i="8" s="1"/>
  <c r="C45" i="15" s="1"/>
  <c r="D46" i="7"/>
  <c r="C47" i="8" s="1"/>
  <c r="E47" i="8" s="1"/>
  <c r="C46" i="15" s="1"/>
  <c r="D47" i="7"/>
  <c r="C48" i="8" s="1"/>
  <c r="E48" i="8" s="1"/>
  <c r="C47" i="15" s="1"/>
  <c r="D48" i="7"/>
  <c r="C49" i="8" s="1"/>
  <c r="E49" i="8" s="1"/>
  <c r="C48" i="15" s="1"/>
  <c r="D50" i="7"/>
  <c r="C52" i="8" s="1"/>
  <c r="E52" i="8" s="1"/>
  <c r="D14" i="20" s="1"/>
  <c r="B52" i="7"/>
  <c r="B14" i="16" s="1"/>
  <c r="C52" i="7"/>
  <c r="C14" i="16" s="1"/>
  <c r="D52" i="7"/>
  <c r="A1" i="19"/>
  <c r="C15" i="19"/>
  <c r="C21" i="19"/>
  <c r="C22" i="19"/>
  <c r="C29" i="19"/>
  <c r="A1" i="18"/>
  <c r="A1" i="25"/>
  <c r="F8" i="25"/>
  <c r="J8" i="25"/>
  <c r="F9" i="25"/>
  <c r="J9" i="25"/>
  <c r="F10" i="25"/>
  <c r="J10" i="25"/>
  <c r="F11" i="25"/>
  <c r="F24" i="25" s="1"/>
  <c r="H29" i="25" s="1"/>
  <c r="J11" i="25"/>
  <c r="F12" i="25"/>
  <c r="J12" i="25"/>
  <c r="F13" i="25"/>
  <c r="J13" i="25"/>
  <c r="F14" i="25"/>
  <c r="J14" i="25"/>
  <c r="F15" i="25"/>
  <c r="J15" i="25"/>
  <c r="F16" i="25"/>
  <c r="J16" i="25"/>
  <c r="F17" i="25"/>
  <c r="J17" i="25"/>
  <c r="F18" i="25"/>
  <c r="J18" i="25"/>
  <c r="F19" i="25"/>
  <c r="J19" i="25"/>
  <c r="F20" i="25"/>
  <c r="J20" i="25"/>
  <c r="F21" i="25"/>
  <c r="J21" i="25"/>
  <c r="F22" i="25"/>
  <c r="J22" i="25"/>
  <c r="C24" i="25"/>
  <c r="D24" i="25"/>
  <c r="H24" i="25"/>
  <c r="I24" i="25"/>
  <c r="J24" i="25"/>
  <c r="J29" i="25" s="1"/>
  <c r="H31" i="25"/>
  <c r="H38" i="25"/>
  <c r="F40" i="25"/>
  <c r="C23" i="21" s="1"/>
  <c r="A1" i="14"/>
  <c r="D8" i="14"/>
  <c r="D18" i="14" s="1"/>
  <c r="E8" i="14"/>
  <c r="E18" i="14" s="1"/>
  <c r="D9" i="14"/>
  <c r="E9" i="14"/>
  <c r="D10" i="14"/>
  <c r="E10" i="14"/>
  <c r="D11" i="14"/>
  <c r="E11" i="14"/>
  <c r="D12" i="14"/>
  <c r="E12" i="14"/>
  <c r="D13" i="14"/>
  <c r="E13" i="14"/>
  <c r="C14" i="14"/>
  <c r="D14" i="14"/>
  <c r="E14" i="14"/>
  <c r="D15" i="14"/>
  <c r="E15" i="14"/>
  <c r="D16" i="14"/>
  <c r="E16" i="14"/>
  <c r="D17" i="14"/>
  <c r="E17" i="14"/>
  <c r="A1" i="4"/>
  <c r="D10" i="4"/>
  <c r="F10" i="4" s="1"/>
  <c r="D11" i="4"/>
  <c r="D12" i="4"/>
  <c r="D13" i="4"/>
  <c r="D14" i="4"/>
  <c r="D15" i="4"/>
  <c r="D16" i="4"/>
  <c r="D17" i="4"/>
  <c r="D18" i="4"/>
  <c r="B19" i="4"/>
  <c r="B13" i="16" s="1"/>
  <c r="C19" i="4"/>
  <c r="D19" i="4" s="1"/>
  <c r="F14" i="16" l="1"/>
  <c r="E49" i="22"/>
  <c r="D45" i="21"/>
  <c r="C16" i="16"/>
  <c r="C17" i="14"/>
  <c r="E26" i="17"/>
  <c r="B16" i="16"/>
  <c r="B13" i="22"/>
  <c r="D9" i="5"/>
  <c r="F19" i="4"/>
  <c r="C11" i="5"/>
  <c r="C23" i="16"/>
  <c r="C50" i="8"/>
  <c r="D41" i="17" s="1"/>
  <c r="E44" i="17" s="1"/>
  <c r="E46" i="17" s="1"/>
  <c r="C10" i="19" s="1"/>
  <c r="E11" i="8"/>
  <c r="C9" i="15" s="1"/>
  <c r="B34" i="16"/>
  <c r="J41" i="25"/>
  <c r="E14" i="16"/>
  <c r="E46" i="26"/>
  <c r="C24" i="16"/>
  <c r="C12" i="5"/>
  <c r="B36" i="22"/>
  <c r="B37" i="22" s="1"/>
  <c r="E48" i="22"/>
  <c r="E50" i="22" s="1"/>
  <c r="F13" i="16"/>
  <c r="C34" i="16"/>
  <c r="J43" i="25"/>
  <c r="E20" i="20" s="1"/>
  <c r="D9" i="22"/>
  <c r="C38" i="21"/>
  <c r="D40" i="21" s="1"/>
  <c r="C9" i="21"/>
  <c r="D12" i="21" s="1"/>
  <c r="D16" i="21" s="1"/>
  <c r="E13" i="16"/>
  <c r="E16" i="16" s="1"/>
  <c r="F22" i="16"/>
  <c r="B49" i="22"/>
  <c r="B31" i="22"/>
  <c r="B35" i="22" s="1"/>
  <c r="E22" i="16"/>
  <c r="C27" i="22"/>
  <c r="F12" i="16"/>
  <c r="C11" i="22"/>
  <c r="E12" i="16"/>
  <c r="I20" i="3"/>
  <c r="C13" i="5" s="1"/>
  <c r="B11" i="22"/>
  <c r="C21" i="16"/>
  <c r="B21" i="16"/>
  <c r="C10" i="22"/>
  <c r="F20" i="16"/>
  <c r="B10" i="22"/>
  <c r="E20" i="16"/>
  <c r="E28" i="16" s="1"/>
  <c r="E44" i="22"/>
  <c r="C20" i="16"/>
  <c r="C37" i="16" s="1"/>
  <c r="F10" i="16"/>
  <c r="F16" i="16" s="1"/>
  <c r="B20" i="16"/>
  <c r="B37" i="16" s="1"/>
  <c r="C10" i="5"/>
  <c r="E43" i="22"/>
  <c r="B9" i="22"/>
  <c r="E42" i="13"/>
  <c r="E46" i="13" s="1"/>
  <c r="B21" i="22"/>
  <c r="D42" i="13"/>
  <c r="D46" i="13" s="1"/>
  <c r="C8" i="22"/>
  <c r="B20" i="22"/>
  <c r="B23" i="22" s="1"/>
  <c r="C43" i="21"/>
  <c r="D8" i="18" l="1"/>
  <c r="E39" i="16"/>
  <c r="D13" i="17"/>
  <c r="E14" i="17" s="1"/>
  <c r="E11" i="5"/>
  <c r="C10" i="14" s="1"/>
  <c r="E10" i="5"/>
  <c r="C9" i="14" s="1"/>
  <c r="D10" i="17"/>
  <c r="E11" i="17" s="1"/>
  <c r="F28" i="16"/>
  <c r="E11" i="18"/>
  <c r="F11" i="18" s="1"/>
  <c r="C47" i="16"/>
  <c r="C39" i="16"/>
  <c r="D8" i="22"/>
  <c r="C13" i="22"/>
  <c r="D13" i="22" s="1"/>
  <c r="E8" i="18"/>
  <c r="F8" i="18" s="1"/>
  <c r="F39" i="16"/>
  <c r="D19" i="17"/>
  <c r="E20" i="17" s="1"/>
  <c r="E13" i="5"/>
  <c r="C12" i="14" s="1"/>
  <c r="D46" i="21"/>
  <c r="D52" i="21" s="1"/>
  <c r="D54" i="21" s="1"/>
  <c r="D57" i="21" s="1"/>
  <c r="B50" i="22"/>
  <c r="E50" i="8"/>
  <c r="C50" i="15" s="1"/>
  <c r="C58" i="15" s="1"/>
  <c r="B47" i="16"/>
  <c r="D11" i="18"/>
  <c r="B39" i="16"/>
  <c r="D16" i="17"/>
  <c r="E17" i="17" s="1"/>
  <c r="E12" i="5"/>
  <c r="C11" i="14" s="1"/>
  <c r="D11" i="22"/>
  <c r="E9" i="5"/>
  <c r="D22" i="5"/>
  <c r="E25" i="17" s="1"/>
  <c r="D10" i="22"/>
  <c r="E35" i="18" l="1"/>
  <c r="E25" i="18"/>
  <c r="E28" i="17"/>
  <c r="C8" i="14"/>
  <c r="C18" i="14" s="1"/>
  <c r="E22" i="5"/>
  <c r="F44" i="16"/>
  <c r="E18" i="18"/>
  <c r="E15" i="18"/>
  <c r="E44" i="16"/>
  <c r="D15" i="18"/>
  <c r="D18" i="18"/>
  <c r="C31" i="19"/>
  <c r="C32" i="19" s="1"/>
  <c r="E7" i="20" l="1"/>
  <c r="C16" i="19"/>
  <c r="D21" i="18"/>
  <c r="C24" i="19"/>
  <c r="C25" i="19" s="1"/>
  <c r="E47" i="16"/>
  <c r="F15" i="18"/>
  <c r="F18" i="18"/>
  <c r="E21" i="18"/>
  <c r="E28" i="18"/>
  <c r="E33" i="20"/>
  <c r="F47" i="16"/>
  <c r="F46" i="15"/>
  <c r="F16" i="14"/>
  <c r="F15" i="14"/>
  <c r="F9" i="15"/>
  <c r="F15" i="15"/>
  <c r="F11" i="14"/>
  <c r="F23" i="15"/>
  <c r="F29" i="15"/>
  <c r="F35" i="15"/>
  <c r="F41" i="15"/>
  <c r="F47" i="15"/>
  <c r="F54" i="15"/>
  <c r="F13" i="14"/>
  <c r="F10" i="15"/>
  <c r="F16" i="15"/>
  <c r="F12" i="14"/>
  <c r="F17" i="14"/>
  <c r="F53" i="15"/>
  <c r="F24" i="15"/>
  <c r="F30" i="15"/>
  <c r="F36" i="15"/>
  <c r="F42" i="15"/>
  <c r="F48" i="15"/>
  <c r="F56" i="15"/>
  <c r="F8" i="14"/>
  <c r="F21" i="15"/>
  <c r="F11" i="15"/>
  <c r="F33" i="15"/>
  <c r="F19" i="15"/>
  <c r="F25" i="15"/>
  <c r="F31" i="15"/>
  <c r="F37" i="15"/>
  <c r="F44" i="15"/>
  <c r="F50" i="15"/>
  <c r="F58" i="15"/>
  <c r="F40" i="15"/>
  <c r="F10" i="14"/>
  <c r="F9" i="14"/>
  <c r="F13" i="15"/>
  <c r="F14" i="14"/>
  <c r="F20" i="15"/>
  <c r="F27" i="15"/>
  <c r="F32" i="15"/>
  <c r="F38" i="15"/>
  <c r="F45" i="15"/>
  <c r="F52" i="15"/>
  <c r="F14" i="15"/>
  <c r="F28" i="15"/>
  <c r="C9" i="19"/>
  <c r="C11" i="19" s="1"/>
  <c r="E44" i="18"/>
  <c r="E47" i="18"/>
  <c r="E41" i="18"/>
  <c r="E38" i="18"/>
  <c r="E48" i="17"/>
  <c r="E31" i="18"/>
  <c r="F18" i="14" l="1"/>
  <c r="C14" i="19"/>
  <c r="C17" i="19" s="1"/>
  <c r="C20" i="19"/>
  <c r="C23" i="19" s="1"/>
  <c r="C28" i="19" s="1"/>
  <c r="C30" i="19" s="1"/>
  <c r="F21" i="18"/>
  <c r="B41" i="22"/>
  <c r="B46" i="22" s="1"/>
  <c r="B51" i="22" s="1"/>
  <c r="E41" i="22"/>
  <c r="E47" i="22" s="1"/>
  <c r="D9" i="20"/>
  <c r="E18" i="20" s="1"/>
  <c r="E29" i="20" s="1"/>
  <c r="E31" i="20"/>
  <c r="E35" i="20" s="1"/>
</calcChain>
</file>

<file path=xl/sharedStrings.xml><?xml version="1.0" encoding="utf-8"?>
<sst xmlns="http://schemas.openxmlformats.org/spreadsheetml/2006/main" count="1274" uniqueCount="761">
  <si>
    <t>Dairy Business Analysis Project</t>
  </si>
  <si>
    <t xml:space="preserve">     Dairy Business Summary</t>
  </si>
  <si>
    <t>Livestock &amp; Business Description</t>
  </si>
  <si>
    <t>Milking System</t>
  </si>
  <si>
    <t>Avg. milk plant %BF</t>
  </si>
  <si>
    <t>DHI</t>
  </si>
  <si>
    <t>Parlor</t>
  </si>
  <si>
    <t>2x/day</t>
  </si>
  <si>
    <t>Other</t>
  </si>
  <si>
    <t>Size</t>
  </si>
  <si>
    <t>3x/day</t>
  </si>
  <si>
    <t xml:space="preserve">Livestock </t>
  </si>
  <si>
    <t>Avg. for Year</t>
  </si>
  <si>
    <t>None</t>
  </si>
  <si>
    <t>FI barn</t>
  </si>
  <si>
    <t>Cows owned</t>
  </si>
  <si>
    <t>Cows leased</t>
  </si>
  <si>
    <t>Housing</t>
  </si>
  <si>
    <t>Manure System</t>
  </si>
  <si>
    <t>Heifers + calves</t>
  </si>
  <si>
    <t xml:space="preserve">Freestall </t>
  </si>
  <si>
    <t>Lagoon</t>
  </si>
  <si>
    <t>Bulls</t>
  </si>
  <si>
    <t xml:space="preserve">Fdg/Shg </t>
  </si>
  <si>
    <t>Spray fields</t>
  </si>
  <si>
    <t>Compost</t>
  </si>
  <si>
    <t>Business type:</t>
  </si>
  <si>
    <t>Partnership</t>
  </si>
  <si>
    <t>Corporation</t>
  </si>
  <si>
    <t>Operator  -1</t>
  </si>
  <si>
    <t>Family (paid)</t>
  </si>
  <si>
    <t>Family (unpaid)</t>
  </si>
  <si>
    <t>Hired (reg. &amp; seas.)</t>
  </si>
  <si>
    <t>Total</t>
  </si>
  <si>
    <t>Land Inventory</t>
  </si>
  <si>
    <t>All Acres</t>
  </si>
  <si>
    <t>Woods &amp; other</t>
  </si>
  <si>
    <t>Harvested Crops</t>
  </si>
  <si>
    <t>Acres</t>
  </si>
  <si>
    <t>% Dry Matter</t>
  </si>
  <si>
    <t>(1) Full time is 230 hr/month, or 54 hr/wk, or 6 day working 9 hr/d per week.</t>
  </si>
  <si>
    <t xml:space="preserve">                                                   Dairy Business Analysis Project</t>
  </si>
  <si>
    <t>Dairy Business Summary</t>
  </si>
  <si>
    <t>|</t>
  </si>
  <si>
    <t>$ per</t>
  </si>
  <si>
    <t xml:space="preserve">No. </t>
  </si>
  <si>
    <t>x</t>
  </si>
  <si>
    <t>Head</t>
  </si>
  <si>
    <t>=</t>
  </si>
  <si>
    <t>Value</t>
  </si>
  <si>
    <t xml:space="preserve">No.   </t>
  </si>
  <si>
    <t>Total dairy cows</t>
  </si>
  <si>
    <t>Heifers:</t>
  </si>
  <si>
    <t>Bred heifers</t>
  </si>
  <si>
    <t>Open (6 mo. - bred)</t>
  </si>
  <si>
    <t>Calves (&lt; 6 mo.)</t>
  </si>
  <si>
    <t>Total heifers</t>
  </si>
  <si>
    <t>Bulls &amp; other livestock:</t>
  </si>
  <si>
    <t>________________</t>
  </si>
  <si>
    <t>_________________</t>
  </si>
  <si>
    <t>Total bulls &amp; other</t>
  </si>
  <si>
    <t>Total Livestock</t>
  </si>
  <si>
    <t>+</t>
  </si>
  <si>
    <t>-</t>
  </si>
  <si>
    <t># cows</t>
  </si>
  <si>
    <t># heifers</t>
  </si>
  <si>
    <t># sold,</t>
  </si>
  <si>
    <t xml:space="preserve">beg. yr. </t>
  </si>
  <si>
    <t xml:space="preserve">fresh  </t>
  </si>
  <si>
    <t>purch</t>
  </si>
  <si>
    <t xml:space="preserve">died, etc. </t>
  </si>
  <si>
    <t xml:space="preserve">                  Dairy Business Analysis Project</t>
  </si>
  <si>
    <t xml:space="preserve">                     Dairy Business Summary</t>
  </si>
  <si>
    <t xml:space="preserve">$ per  </t>
  </si>
  <si>
    <t>Item</t>
  </si>
  <si>
    <t>Quant.    x</t>
  </si>
  <si>
    <t xml:space="preserve">Unit       </t>
  </si>
  <si>
    <t>=      Value</t>
  </si>
  <si>
    <t>Quant.     x</t>
  </si>
  <si>
    <t>Unit</t>
  </si>
  <si>
    <t>Grown feeds:</t>
  </si>
  <si>
    <t>Inv. Chng. (1)</t>
  </si>
  <si>
    <t>Total grown feeds (2)</t>
  </si>
  <si>
    <t>Purchased feeds:(3)</t>
  </si>
  <si>
    <t>Grain &amp; concentrate</t>
  </si>
  <si>
    <t>Forage</t>
  </si>
  <si>
    <t>Complete ration</t>
  </si>
  <si>
    <t>Other feed</t>
  </si>
  <si>
    <t>Supplies</t>
  </si>
  <si>
    <t>Machine: parts</t>
  </si>
  <si>
    <t>Fuel, oil, grease</t>
  </si>
  <si>
    <t>Livestock: semen</t>
  </si>
  <si>
    <t>Vet. Supplies</t>
  </si>
  <si>
    <t>Bedding</t>
  </si>
  <si>
    <t>Other lvstk supplies</t>
  </si>
  <si>
    <t>Crops: fertilizer</t>
  </si>
  <si>
    <t>Seed</t>
  </si>
  <si>
    <t>Pesticide/other</t>
  </si>
  <si>
    <t>Land/building/fence:</t>
  </si>
  <si>
    <t>Other:</t>
  </si>
  <si>
    <t>Total feed and supplies</t>
  </si>
  <si>
    <t>(1) All inventory changes are calculated: end year minus beginning year. Grown feed carries over to Dairy</t>
  </si>
  <si>
    <t>Receipts and purchased feed and supplies carry over to Dairy Expenses.</t>
  </si>
  <si>
    <t>(2) Copy directly from Total line in section above.</t>
  </si>
  <si>
    <t xml:space="preserve">(3) Grain and concentrate purchased should include the concentrate, minerals, protein, and grain purchased </t>
  </si>
  <si>
    <t>during the year for the herd including heifers, calves and bulls. Forage includes hay and silage as well as any</t>
  </si>
  <si>
    <t xml:space="preserve">silage additives such as anhydrous ammonia. Complete ration is a "one-shot" feed. Other feed would be for </t>
  </si>
  <si>
    <t>nondairy animals, if any.</t>
  </si>
  <si>
    <t>Balance</t>
  </si>
  <si>
    <t xml:space="preserve">Change in </t>
  </si>
  <si>
    <t xml:space="preserve">                     Allocation</t>
  </si>
  <si>
    <t>Account Number</t>
  </si>
  <si>
    <t>Beginning</t>
  </si>
  <si>
    <t>Ending</t>
  </si>
  <si>
    <t>Accounts</t>
  </si>
  <si>
    <t>Change in</t>
  </si>
  <si>
    <t>Receipt Category</t>
  </si>
  <si>
    <t>Acct. Rec.</t>
  </si>
  <si>
    <t>Milk receipts</t>
  </si>
  <si>
    <t>Milk</t>
  </si>
  <si>
    <t>Cows</t>
  </si>
  <si>
    <t>Calves</t>
  </si>
  <si>
    <t>Other Livestock</t>
  </si>
  <si>
    <t>Crops</t>
  </si>
  <si>
    <t>Gov't Receipts</t>
  </si>
  <si>
    <t>Custom work</t>
  </si>
  <si>
    <t>Gas tax refund</t>
  </si>
  <si>
    <t xml:space="preserve">          Dairy Business Analysis Project</t>
  </si>
  <si>
    <t>Changes in</t>
  </si>
  <si>
    <t>Cash</t>
  </si>
  <si>
    <t>Accrual</t>
  </si>
  <si>
    <t>RECEIPTS</t>
  </si>
  <si>
    <t>Receipts</t>
  </si>
  <si>
    <t>+    Inventory (1)</t>
  </si>
  <si>
    <t>+   Receivable (2)</t>
  </si>
  <si>
    <t>=      Receipts</t>
  </si>
  <si>
    <t>Milk sales (3)</t>
  </si>
  <si>
    <t>xxxxxxxxxxxx</t>
  </si>
  <si>
    <t>Cow Sales (4)</t>
  </si>
  <si>
    <t>Heifer &amp; calf sales</t>
  </si>
  <si>
    <t>Other livestock (5)</t>
  </si>
  <si>
    <t>Crops (6)</t>
  </si>
  <si>
    <t>Gov't receipts</t>
  </si>
  <si>
    <t>xxxxxxxxxxxxx</t>
  </si>
  <si>
    <t>TOTAL</t>
  </si>
  <si>
    <t>Nondairy Receipts</t>
  </si>
  <si>
    <t>Cash income (7)</t>
  </si>
  <si>
    <t>Other cash used (8)</t>
  </si>
  <si>
    <t>Noncash capital transfers (9)</t>
  </si>
  <si>
    <t>Notes</t>
  </si>
  <si>
    <t>(2) Use worksheets for accounts receivable (Screen 4).</t>
  </si>
  <si>
    <t>(4) Gross receipts from cull cows and cows sold for dairy purposes. Cows are females that have calved.</t>
  </si>
  <si>
    <t>(6) Crop sales includes sales of standing and harvested crops and any crop insurance proceeds.</t>
  </si>
  <si>
    <t>(7) If dairy accounts are not separate from personal accounts, or doing a Level 2 analysis, fill in this value.</t>
  </si>
  <si>
    <t xml:space="preserve">from prior sale of dairy assets, other sales, income form public offices or other nondairy income that is </t>
  </si>
  <si>
    <t xml:space="preserve">Statement to balance. </t>
  </si>
  <si>
    <t>(8) Other cash used in the business from nondairy capital is all the rest of the cash flowing into the business</t>
  </si>
  <si>
    <t xml:space="preserve">from outside. Include cash from personal savings accounts, stocks or bonds converted to cash, cash gifts </t>
  </si>
  <si>
    <t>and inheritances.</t>
  </si>
  <si>
    <t xml:space="preserve">(9) Noncash capital transferred to the dairy business includes gifts and inheritances of farm assets </t>
  </si>
  <si>
    <t>dairy assets.</t>
  </si>
  <si>
    <t xml:space="preserve">       Dairy Business Analysis Project</t>
  </si>
  <si>
    <t>Expense</t>
  </si>
  <si>
    <t>Change in Pay.</t>
  </si>
  <si>
    <t>Personnel</t>
  </si>
  <si>
    <t>_______________</t>
  </si>
  <si>
    <t>Salaries/wages</t>
  </si>
  <si>
    <t>Related payroll costs</t>
  </si>
  <si>
    <t>Purchased Feed</t>
  </si>
  <si>
    <t>Grain &amp; conc.</t>
  </si>
  <si>
    <t>Fertilizer &amp; lime</t>
  </si>
  <si>
    <t>Seeds &amp; plants</t>
  </si>
  <si>
    <t>Spray &amp; other exp.</t>
  </si>
  <si>
    <t>Machinery</t>
  </si>
  <si>
    <t>Hire, rent, lease</t>
  </si>
  <si>
    <t>Repairs &amp; other exp.</t>
  </si>
  <si>
    <t xml:space="preserve">as feed, fertilizer, supplies, machinery, repairs, and veterinarian services </t>
  </si>
  <si>
    <t>Livestock</t>
  </si>
  <si>
    <t>were bought on credit.</t>
  </si>
  <si>
    <t>Replacements</t>
  </si>
  <si>
    <t>Breeding</t>
  </si>
  <si>
    <t>portion of the worksheet to facilitate easier allocation to dairy expense</t>
  </si>
  <si>
    <t>Vet &amp; medicine</t>
  </si>
  <si>
    <t>categories.</t>
  </si>
  <si>
    <t xml:space="preserve">3.  Assign and allocate changes in open operating accounts payable to </t>
  </si>
  <si>
    <t>appropriate dairy expenses.</t>
  </si>
  <si>
    <t>Cattle lease/rent</t>
  </si>
  <si>
    <t>4.  When more than one type of dairy input is included in an open account,</t>
  </si>
  <si>
    <t>Other livestock exp.</t>
  </si>
  <si>
    <t xml:space="preserve">allocate to the expense categories using estimated ratio of dairy input </t>
  </si>
  <si>
    <t>Milk Marketing</t>
  </si>
  <si>
    <t>actually purchased from the account during the year.</t>
  </si>
  <si>
    <t>Hauling</t>
  </si>
  <si>
    <t>Coop dues</t>
  </si>
  <si>
    <t>Advertising, mrkg.</t>
  </si>
  <si>
    <t>CCC/gov't asmts.</t>
  </si>
  <si>
    <t xml:space="preserve">increase in accounts payable for "interest". However, if the loan was </t>
  </si>
  <si>
    <t>Real Estate</t>
  </si>
  <si>
    <t xml:space="preserve">refinanced and the unpaid amount added to the principal, the interest is </t>
  </si>
  <si>
    <t>Land, bldg, fence repr.</t>
  </si>
  <si>
    <t>considered paid and is reported elsewhere.</t>
  </si>
  <si>
    <t>Taxes</t>
  </si>
  <si>
    <t>Rent &amp; lease</t>
  </si>
  <si>
    <t>Insurance</t>
  </si>
  <si>
    <t>Utilities (dairy share)</t>
  </si>
  <si>
    <t>Interest</t>
  </si>
  <si>
    <t>Miscellaneous</t>
  </si>
  <si>
    <t>Other overhead</t>
  </si>
  <si>
    <t xml:space="preserve">         Dairy Business Analysis Project</t>
  </si>
  <si>
    <t>Change</t>
  </si>
  <si>
    <t>Expensed Purchases</t>
  </si>
  <si>
    <t xml:space="preserve">                   Dairy Business Analysis Project</t>
  </si>
  <si>
    <t>Change in Inventory or</t>
  </si>
  <si>
    <t>Expenses</t>
  </si>
  <si>
    <t>Amount Paid</t>
  </si>
  <si>
    <t>-  Prepaid  Expenses (1)</t>
  </si>
  <si>
    <t>+  Acct. Payable (2)</t>
  </si>
  <si>
    <t xml:space="preserve"> =    Expenses</t>
  </si>
  <si>
    <t>Other livestock exp. (4)</t>
  </si>
  <si>
    <t>(4) Herd testing, DHI, bst, etc.</t>
  </si>
  <si>
    <t>Note:  If the business maintains complete and accurate records on machinery and equipment, only the</t>
  </si>
  <si>
    <t>for total machinery and equipment purchased and sold, which are used in the bottom section.</t>
  </si>
  <si>
    <t>Worksheet</t>
  </si>
  <si>
    <t>Machinery and Equipment Purchased Worksheet</t>
  </si>
  <si>
    <t>Market</t>
  </si>
  <si>
    <t xml:space="preserve"> Value of</t>
  </si>
  <si>
    <t>Value of</t>
  </si>
  <si>
    <t>Description</t>
  </si>
  <si>
    <t>Paid</t>
  </si>
  <si>
    <t xml:space="preserve">         Trade-in       </t>
  </si>
  <si>
    <t>=      New Item (1)</t>
  </si>
  <si>
    <t xml:space="preserve"> _________________________</t>
  </si>
  <si>
    <t>Total Mach. &amp; Equip. Purchased</t>
  </si>
  <si>
    <t xml:space="preserve">(1) Loss in market value may occur from date of purchase to end of year. Adjust year end value </t>
  </si>
  <si>
    <t>recorded in inventory to represent year end market values of machinery and equipment purchased.</t>
  </si>
  <si>
    <t>Machinery and Equipment Sold or Destroyed (not trade-ins) Worksheet</t>
  </si>
  <si>
    <t>Sale</t>
  </si>
  <si>
    <t>Amount</t>
  </si>
  <si>
    <t>Received</t>
  </si>
  <si>
    <t>Total Mach. &amp; Equipment Sold</t>
  </si>
  <si>
    <t>Machinery and Equipment Inventory &amp; Depreciation (do not include leased items)</t>
  </si>
  <si>
    <t>Beginning of Year Inventory</t>
  </si>
  <si>
    <t>End of Year Inventory</t>
  </si>
  <si>
    <t xml:space="preserve">Machinery and Equipment Purchased            </t>
  </si>
  <si>
    <t xml:space="preserve">Noncash Mach. Transfer to Dairy                   </t>
  </si>
  <si>
    <t>(e.g. gifts/inheritances)</t>
  </si>
  <si>
    <t xml:space="preserve">Machinery and Equipment Sold                        </t>
  </si>
  <si>
    <t>Tax Depreciation (2)</t>
  </si>
  <si>
    <t xml:space="preserve">Machinery Appreciation </t>
  </si>
  <si>
    <t>(end less beginning after changes)</t>
  </si>
  <si>
    <t>(2) Depreciation for year, exclude buildings and cattle from depreciation.</t>
  </si>
  <si>
    <t xml:space="preserve">                                Dairy Business Analysis Project</t>
  </si>
  <si>
    <t>New Purchases &amp; Capital Improvements</t>
  </si>
  <si>
    <t>Sale Price</t>
  </si>
  <si>
    <t>Lost</t>
  </si>
  <si>
    <t>or Amount</t>
  </si>
  <si>
    <t>Cost</t>
  </si>
  <si>
    <t>Capital</t>
  </si>
  <si>
    <t>_______________________________</t>
  </si>
  <si>
    <t>Capital Sales:</t>
  </si>
  <si>
    <t>___________________</t>
  </si>
  <si>
    <t>Buildings and Land Improvements (1)</t>
  </si>
  <si>
    <t>Losses:</t>
  </si>
  <si>
    <t>Total Buildings</t>
  </si>
  <si>
    <t>Total Capital Sales</t>
  </si>
  <si>
    <t xml:space="preserve"> </t>
  </si>
  <si>
    <t>&amp; Lost Capital</t>
  </si>
  <si>
    <t>&amp; Losses</t>
  </si>
  <si>
    <t>(1) e.g., new fences, drainage tile, farm ponds.</t>
  </si>
  <si>
    <t>Purchased:</t>
  </si>
  <si>
    <t>= +</t>
  </si>
  <si>
    <t>Land</t>
  </si>
  <si>
    <t>bldgs./land imp.</t>
  </si>
  <si>
    <t>lost capital</t>
  </si>
  <si>
    <t>value added</t>
  </si>
  <si>
    <t>Noncash Real Estate Transfer to Farm (e.g. gifts/inherit.)</t>
  </si>
  <si>
    <t xml:space="preserve">  +</t>
  </si>
  <si>
    <t xml:space="preserve">  -</t>
  </si>
  <si>
    <t>Real Estate Sold:</t>
  </si>
  <si>
    <t>Total sale price</t>
  </si>
  <si>
    <t>Sale expenses</t>
  </si>
  <si>
    <t>Net Sale Price</t>
  </si>
  <si>
    <t>Note/mortgage held by seller</t>
  </si>
  <si>
    <t>Net cash amount received (2)</t>
  </si>
  <si>
    <t>Total beginning value after changes</t>
  </si>
  <si>
    <t>Real Estate Appreciation</t>
  </si>
  <si>
    <t>(2) Calculated value is a cash inflow to the farm.  If part or all of this was converted to nonfarm,</t>
  </si>
  <si>
    <t>This must be noted.</t>
  </si>
  <si>
    <t>Other assets</t>
  </si>
  <si>
    <t xml:space="preserve">  Machinery Leased</t>
  </si>
  <si>
    <t xml:space="preserve">  Real Estate Leased</t>
  </si>
  <si>
    <t xml:space="preserve">  Cash, checking &amp; savings (1)</t>
  </si>
  <si>
    <t xml:space="preserve">  Farm Credit stock</t>
  </si>
  <si>
    <t xml:space="preserve">  Milk coop stock &amp; certificates</t>
  </si>
  <si>
    <t xml:space="preserve">  Other</t>
  </si>
  <si>
    <t>Miscellaneous Inputs</t>
  </si>
  <si>
    <t>Owner Withdrawals (2)</t>
  </si>
  <si>
    <t xml:space="preserve">Net Social Security and Income </t>
  </si>
  <si>
    <t xml:space="preserve">  Taxes Paid (3)</t>
  </si>
  <si>
    <t>Capital Distributions Made (4)</t>
  </si>
  <si>
    <t>Paid-in-Capital</t>
  </si>
  <si>
    <t>Beginning Value</t>
  </si>
  <si>
    <t>Ending Value</t>
  </si>
  <si>
    <t>Additional paid-in-capital</t>
  </si>
  <si>
    <t>Additions/Reductions in retained earnings (5)</t>
  </si>
  <si>
    <t>Net value of paid-in-capital</t>
  </si>
  <si>
    <t>Gain/Loss in value</t>
  </si>
  <si>
    <t>(1) Beginning and Ending cash balances are essential for statement of cashflows to balance.</t>
  </si>
  <si>
    <t>(2) Only include if records indicate a withdrawal.  If no draws taken, the value of management will be</t>
  </si>
  <si>
    <t>(3) Record any corporate or personal income taxes here.  If a refund was issued, record as</t>
  </si>
  <si>
    <t>(4) Only record a value if a gift or capital distribution was made from the business accounts.</t>
  </si>
  <si>
    <t>(5) Only record if changes in retained earnings directly affect the value of paid-in-capital.</t>
  </si>
  <si>
    <t>Current</t>
  </si>
  <si>
    <t xml:space="preserve">                    Dairy Business Analysis Project</t>
  </si>
  <si>
    <t>Debt Schedule</t>
  </si>
  <si>
    <t>Principal Balance</t>
  </si>
  <si>
    <t>Payments</t>
  </si>
  <si>
    <t>Next year's planned payments</t>
  </si>
  <si>
    <t>Loan Description</t>
  </si>
  <si>
    <t>Jan. 1</t>
  </si>
  <si>
    <t>Dec. 31</t>
  </si>
  <si>
    <t>Principal</t>
  </si>
  <si>
    <t>New Borrowings</t>
  </si>
  <si>
    <t>Number/yr.</t>
  </si>
  <si>
    <t>Term debt (&gt;1 year)</t>
  </si>
  <si>
    <t>Total term debt</t>
  </si>
  <si>
    <t>Short term debt (&lt; 1 year,</t>
  </si>
  <si>
    <t>borrowed to buy capital items.)</t>
  </si>
  <si>
    <t>Total short term debt</t>
  </si>
  <si>
    <t>Operating debt (borrowed to buy items</t>
  </si>
  <si>
    <t>entered as expenses on screen 7)</t>
  </si>
  <si>
    <t>Total operating debt</t>
  </si>
  <si>
    <t>Grand total--all debt</t>
  </si>
  <si>
    <t>Labels</t>
  </si>
  <si>
    <t>Totals</t>
  </si>
  <si>
    <t>Per Cow</t>
  </si>
  <si>
    <t>Per Cwt</t>
  </si>
  <si>
    <t>Milk sales</t>
  </si>
  <si>
    <t>Cow sales</t>
  </si>
  <si>
    <t>Calf and heifer sales</t>
  </si>
  <si>
    <t>Other livestock</t>
  </si>
  <si>
    <t xml:space="preserve">      Dairy Business Analysis Project</t>
  </si>
  <si>
    <t>Other payroll costs</t>
  </si>
  <si>
    <t>Expensed Purchased Livestock</t>
  </si>
  <si>
    <t>Total Operating Expenses</t>
  </si>
  <si>
    <t>Total Dairy Expenses</t>
  </si>
  <si>
    <t xml:space="preserve">                          Dairy Business Analysis Project</t>
  </si>
  <si>
    <t>Balance Sheet</t>
  </si>
  <si>
    <t xml:space="preserve"> Jan 1</t>
  </si>
  <si>
    <t>Dec 31</t>
  </si>
  <si>
    <t>&amp; Net Worth</t>
  </si>
  <si>
    <t>Farm cash,</t>
  </si>
  <si>
    <t>Accounts payable</t>
  </si>
  <si>
    <t xml:space="preserve">     checking &amp; savings</t>
  </si>
  <si>
    <t>Operating debt</t>
  </si>
  <si>
    <t>Feed &amp; supplies</t>
  </si>
  <si>
    <t>Short term debt</t>
  </si>
  <si>
    <t>Accounts receivable</t>
  </si>
  <si>
    <t>Current portion-Notes Payable</t>
  </si>
  <si>
    <t>Prepaid expenses</t>
  </si>
  <si>
    <t>Total Current Assets</t>
  </si>
  <si>
    <t>Total Current Liabilities</t>
  </si>
  <si>
    <t>Non Current</t>
  </si>
  <si>
    <t>Non Current Portion-</t>
  </si>
  <si>
    <t xml:space="preserve">     owned</t>
  </si>
  <si>
    <t xml:space="preserve">     leased</t>
  </si>
  <si>
    <t>Heifers</t>
  </si>
  <si>
    <t>Bull and other livestock</t>
  </si>
  <si>
    <t>Machinery owned</t>
  </si>
  <si>
    <t xml:space="preserve">                leased</t>
  </si>
  <si>
    <t>Total Non Current Liabilities</t>
  </si>
  <si>
    <t>Farm Credit stock</t>
  </si>
  <si>
    <t xml:space="preserve">Other stocks &amp; </t>
  </si>
  <si>
    <t xml:space="preserve">         certificates</t>
  </si>
  <si>
    <t>Total Non Current Assets</t>
  </si>
  <si>
    <t>Paid-in-capital</t>
  </si>
  <si>
    <t>Net Worth</t>
  </si>
  <si>
    <t>Total Liabilities &amp;</t>
  </si>
  <si>
    <t>Total Assets</t>
  </si>
  <si>
    <t xml:space="preserve">    Owners' Equity</t>
  </si>
  <si>
    <t>Income Statement</t>
  </si>
  <si>
    <t>Revenues</t>
  </si>
  <si>
    <t>Cash Milk Sales</t>
  </si>
  <si>
    <t>Cow Revenues:</t>
  </si>
  <si>
    <t>Cash Receipts</t>
  </si>
  <si>
    <t>Change in Inventory</t>
  </si>
  <si>
    <t>Gross Cow Revenues</t>
  </si>
  <si>
    <t>Heifer and Calf Revenues:</t>
  </si>
  <si>
    <t>Gross Heifer and Calf Revenues</t>
  </si>
  <si>
    <t>Other Livestock Revenues:</t>
  </si>
  <si>
    <t>Gross Livestock Revenues</t>
  </si>
  <si>
    <t>Crop Revenues:</t>
  </si>
  <si>
    <t>Gross Crop Revenues</t>
  </si>
  <si>
    <t>Government Receipts</t>
  </si>
  <si>
    <t>Custom Work</t>
  </si>
  <si>
    <t>Gas Tax Refund</t>
  </si>
  <si>
    <t>Other Farm Income</t>
  </si>
  <si>
    <t>Change in Accounts Receivable</t>
  </si>
  <si>
    <t>Total Revenues</t>
  </si>
  <si>
    <t>Cash Operating Expenses:</t>
  </si>
  <si>
    <t>Total Cash Operating Expenses</t>
  </si>
  <si>
    <t>Change in Inventory/Prepaid Expenses</t>
  </si>
  <si>
    <t>Change in Accounts Payable</t>
  </si>
  <si>
    <t>Depreciation Expense</t>
  </si>
  <si>
    <t>Cash Interest Paid</t>
  </si>
  <si>
    <t>Total Expenses</t>
  </si>
  <si>
    <t>Net Farm Income From Operations</t>
  </si>
  <si>
    <t>Standard Financial Ratio Analysis</t>
  </si>
  <si>
    <t>Measure</t>
  </si>
  <si>
    <t>Computation</t>
  </si>
  <si>
    <t>Liquidity</t>
  </si>
  <si>
    <t>Current Ratio</t>
  </si>
  <si>
    <t>Current Assets/Current Liabilities</t>
  </si>
  <si>
    <t>Working Capital</t>
  </si>
  <si>
    <t>Total Current Assets-Total Current Liabilities</t>
  </si>
  <si>
    <t>Solvency</t>
  </si>
  <si>
    <t>Debt to Asset Ratio</t>
  </si>
  <si>
    <t>Total Liabilities/Total Assets</t>
  </si>
  <si>
    <t xml:space="preserve">Equity to Asset </t>
  </si>
  <si>
    <t>Net Worth/Total Assets</t>
  </si>
  <si>
    <t>Ratio</t>
  </si>
  <si>
    <t>Debt to Equity Ratio</t>
  </si>
  <si>
    <t>Total Liabilities/Net Worth</t>
  </si>
  <si>
    <t>Profitability</t>
  </si>
  <si>
    <t>Rate of Return on</t>
  </si>
  <si>
    <t>(NFIFO*+ Interest - Unpaid Mgt.)/Average Total Assets</t>
  </si>
  <si>
    <t>N/A</t>
  </si>
  <si>
    <t>(NFIFO* - Unpaid Mgt.)/Average Equity</t>
  </si>
  <si>
    <t>Farm Equity (1)</t>
  </si>
  <si>
    <t xml:space="preserve">Operating Profit </t>
  </si>
  <si>
    <t>(NFIFO* + Interest - Unpaid Mgt.)/Gross Revenues</t>
  </si>
  <si>
    <t>Margin Ratio (1)</t>
  </si>
  <si>
    <t>Financial Efficiency</t>
  </si>
  <si>
    <t xml:space="preserve">Asset Turnover </t>
  </si>
  <si>
    <t>Gross Revenues/Average Total Assets</t>
  </si>
  <si>
    <t>Operating Expense</t>
  </si>
  <si>
    <t>(Total Operating Expenses - Depreciation Expense)/</t>
  </si>
  <si>
    <t>Gross Revenues</t>
  </si>
  <si>
    <t xml:space="preserve">Depreciation </t>
  </si>
  <si>
    <t>Depreciation Expense/Gross Revenues</t>
  </si>
  <si>
    <t>Expense Ratio</t>
  </si>
  <si>
    <t>Interest Expense</t>
  </si>
  <si>
    <t>Total Farm Interest Expense/Gross Revenues</t>
  </si>
  <si>
    <t xml:space="preserve">Net Farm Income </t>
  </si>
  <si>
    <t>NFIFO*/Gross Revenues</t>
  </si>
  <si>
    <t xml:space="preserve">From Operations </t>
  </si>
  <si>
    <r>
      <t>(1)</t>
    </r>
    <r>
      <rPr>
        <b/>
        <sz val="10"/>
        <rFont val="Arial"/>
      </rPr>
      <t xml:space="preserve"> </t>
    </r>
    <r>
      <rPr>
        <sz val="10"/>
        <rFont val="Arial"/>
      </rPr>
      <t>An estimate of $50,000 is used for the value of unpaid management.</t>
    </r>
  </si>
  <si>
    <t>*NFIFO = Net Farm Income From Operations.  This figure is shown at the bottom of the previous page.</t>
  </si>
  <si>
    <t>Profitability Analysis</t>
  </si>
  <si>
    <t>Return to Operator, Family Labor/Unpaid Management,</t>
  </si>
  <si>
    <t>and equity capital:</t>
  </si>
  <si>
    <t>Accrual Receipts</t>
  </si>
  <si>
    <t>- Accrual Expenses</t>
  </si>
  <si>
    <t>= Net Farm Income from Operations</t>
  </si>
  <si>
    <t>Return to Operator and Management:</t>
  </si>
  <si>
    <t>Net Farm Income from Operations</t>
  </si>
  <si>
    <t>- Unpaid Family Labor (1)</t>
  </si>
  <si>
    <t>- Interest on Average Equity Capital</t>
  </si>
  <si>
    <t>= Labor and Management Income</t>
  </si>
  <si>
    <t>Return to Equity Capital:</t>
  </si>
  <si>
    <t>- Value of Operator and Management (2)</t>
  </si>
  <si>
    <t>= Return to Equity Capital</t>
  </si>
  <si>
    <t>= Rate of Return on Equity Capital</t>
  </si>
  <si>
    <t>Return to All Capital:</t>
  </si>
  <si>
    <t>Return to Equity Capital</t>
  </si>
  <si>
    <t>+ Interest Paid</t>
  </si>
  <si>
    <t>= Return to All Capital</t>
  </si>
  <si>
    <t>/Average Total Assets</t>
  </si>
  <si>
    <t>= Rate of Return on all Capital</t>
  </si>
  <si>
    <t>(1) Unpaid family labor is valued at $2000 per full time month</t>
  </si>
  <si>
    <t>(2) If no owner withdrawals are taken throughout the year, $50,000 is used to</t>
  </si>
  <si>
    <t xml:space="preserve">   estimate the value of operator and management.</t>
  </si>
  <si>
    <t xml:space="preserve">Dairy Business Analysis Project     </t>
  </si>
  <si>
    <t>Statement of Owner's Equity</t>
  </si>
  <si>
    <t>Owners' Equity-Beginning of  Period</t>
  </si>
  <si>
    <t>Withdrawals for Unpaid Labor/Management</t>
  </si>
  <si>
    <t>Other Capital Contributions/ Gifts/ Inheritances</t>
  </si>
  <si>
    <t>Other Capital Distributions/ Gifts Made</t>
  </si>
  <si>
    <t>Additions and Reductions in Retained Capital</t>
  </si>
  <si>
    <t>of paid-in-capital (Valuation)</t>
  </si>
  <si>
    <t>Total Change in Valuation Equity</t>
  </si>
  <si>
    <t>Owners' Equity, End of Period-Calculated</t>
  </si>
  <si>
    <t>Ending Owners' Equity-Balance Sheet</t>
  </si>
  <si>
    <t>Imbalance</t>
  </si>
  <si>
    <t xml:space="preserve">                        Dairy Business Analysis Project</t>
  </si>
  <si>
    <t>Statement of  Cash  Flows</t>
  </si>
  <si>
    <t>Cash Flow From Operating Activities</t>
  </si>
  <si>
    <t>Cash Farm Receipts</t>
  </si>
  <si>
    <t>Cash Farm Expenses</t>
  </si>
  <si>
    <t>Cash Paid for Interest</t>
  </si>
  <si>
    <t>Net Cash Farm Income</t>
  </si>
  <si>
    <t>Net Cash-Income and Social Security Taxes</t>
  </si>
  <si>
    <t>Net Cash Provided by Operating Activities</t>
  </si>
  <si>
    <t>Cash Flow From Investing Activities</t>
  </si>
  <si>
    <t>Sale of Assets:</t>
  </si>
  <si>
    <t>Purchased Livestock</t>
  </si>
  <si>
    <t>Machinery and Equipment</t>
  </si>
  <si>
    <t>Total Asset Sales</t>
  </si>
  <si>
    <t>Capital Purchases:</t>
  </si>
  <si>
    <t>Net Cash Provided by Investment Activities</t>
  </si>
  <si>
    <t>Cash Flow From Financing Activities</t>
  </si>
  <si>
    <t>Money Borrowed-Operating Debt</t>
  </si>
  <si>
    <t>Money Borrowed-Short Term Debt</t>
  </si>
  <si>
    <t>Money Borrowed-Term Debt</t>
  </si>
  <si>
    <t>Cash Inflow From Financing</t>
  </si>
  <si>
    <t>Principal Payments-Operating Debt</t>
  </si>
  <si>
    <t>Principal Payments-Short Term Debt</t>
  </si>
  <si>
    <t>Principal Payments-Term Debt</t>
  </si>
  <si>
    <t>Cash Outflow For Financing</t>
  </si>
  <si>
    <t>Principal Paid on Capital Lease Obligations</t>
  </si>
  <si>
    <t>Owner Withdrawals</t>
  </si>
  <si>
    <t>Capital Distributions</t>
  </si>
  <si>
    <t>Additional Paid-in-Capital</t>
  </si>
  <si>
    <t>Net Cash Provided by Financing Activities</t>
  </si>
  <si>
    <t>Net Increase/Decrease in Cash/Cash Equivalents</t>
  </si>
  <si>
    <t>Cash/Equivalents at Beginning  of Year</t>
  </si>
  <si>
    <t>Cash/Equivalents at Ending of Year</t>
  </si>
  <si>
    <t>Debt Analysis</t>
  </si>
  <si>
    <t>Outstanding Debts</t>
  </si>
  <si>
    <t>Term Debt</t>
  </si>
  <si>
    <t>Short Term</t>
  </si>
  <si>
    <t>Operating</t>
  </si>
  <si>
    <t>Accounts Payable</t>
  </si>
  <si>
    <t>Debt Payments</t>
  </si>
  <si>
    <t xml:space="preserve"> Interest</t>
  </si>
  <si>
    <t>Per cwt. Milk</t>
  </si>
  <si>
    <t>Percent of Total Receipts</t>
  </si>
  <si>
    <t>Cash Flow Coverage</t>
  </si>
  <si>
    <t>Cash Farm Expenditures</t>
  </si>
  <si>
    <t>Interest Paid</t>
  </si>
  <si>
    <t>(A) Cash Available for Debt Service</t>
  </si>
  <si>
    <t>(B) Dec. 31 Current Portion of Principal</t>
  </si>
  <si>
    <t>Cash Flow Coverage Ratio (A/B)</t>
  </si>
  <si>
    <t>Capital Replacement and Term Debt Repayment Margin</t>
  </si>
  <si>
    <t>Term Debt and Capital Lease Coverage Ratio</t>
  </si>
  <si>
    <t>+ Total non-farm income</t>
  </si>
  <si>
    <t>+Total Non-farm Income</t>
  </si>
  <si>
    <t>+ Depreciation Expense</t>
  </si>
  <si>
    <t>+Depreciation Expense</t>
  </si>
  <si>
    <t>- Income Tax</t>
  </si>
  <si>
    <t>+Interest on Term Debt</t>
  </si>
  <si>
    <t>- Withdrawals for Unpaid Management</t>
  </si>
  <si>
    <t>-Income Tax</t>
  </si>
  <si>
    <t>Capital replacement and term debt</t>
  </si>
  <si>
    <t>-Withdrawals for unpaid labor/Mgt.</t>
  </si>
  <si>
    <t>repayment capacity</t>
  </si>
  <si>
    <t>/(Planned Payments on Term Debt</t>
  </si>
  <si>
    <t>- Term debt principal payments</t>
  </si>
  <si>
    <t>+Annual Payments on Capital Leases)</t>
  </si>
  <si>
    <t>- lease principal payments</t>
  </si>
  <si>
    <t>repayment margin</t>
  </si>
  <si>
    <t>Notes Page</t>
  </si>
  <si>
    <t>Net value of inventory</t>
  </si>
  <si>
    <t>DHI ID#</t>
  </si>
  <si>
    <t>Number</t>
  </si>
  <si>
    <t>-layoffs</t>
  </si>
  <si>
    <t>+new hires</t>
  </si>
  <si>
    <t>Beg. of year inventory</t>
  </si>
  <si>
    <t>=End of year inventory</t>
  </si>
  <si>
    <t>Non-improved pasture</t>
  </si>
  <si>
    <t>Cultivated land</t>
  </si>
  <si>
    <t>Tot. dry matter (tons)</t>
  </si>
  <si>
    <t>Total Prod (tons)</t>
  </si>
  <si>
    <t>Acres owned</t>
  </si>
  <si>
    <t>Acres rented</t>
  </si>
  <si>
    <t># of doses</t>
  </si>
  <si>
    <t>Seasonal</t>
  </si>
  <si>
    <t>-termination/resignation</t>
  </si>
  <si>
    <t>Feeding System</t>
  </si>
  <si>
    <t>Cooling System</t>
  </si>
  <si>
    <t>TMR</t>
  </si>
  <si>
    <t>Grazing</t>
  </si>
  <si>
    <t>Shade</t>
  </si>
  <si>
    <t>Fans</t>
  </si>
  <si>
    <t>Sprinklers</t>
  </si>
  <si>
    <t>Ponds</t>
  </si>
  <si>
    <t>Inputs - Dairy Description</t>
  </si>
  <si>
    <t xml:space="preserve">Pounds milk sold </t>
  </si>
  <si>
    <t>LLP</t>
  </si>
  <si>
    <t>Sole prop.</t>
  </si>
  <si>
    <t>BST Use:</t>
  </si>
  <si>
    <t>% of herd</t>
  </si>
  <si>
    <t>(2) Improved pasture is pasture that is improved by cultivation.</t>
  </si>
  <si>
    <t>Improved pasture (2)</t>
  </si>
  <si>
    <t>Cows:</t>
  </si>
  <si>
    <t>Raised/expensed</t>
  </si>
  <si>
    <t xml:space="preserve">         Leased</t>
  </si>
  <si>
    <t>Capital livestock inventory worksheet (do not include leased, raised, or expensed livestock)</t>
  </si>
  <si>
    <t>Beginning of year inventory</t>
  </si>
  <si>
    <t>End of year inventory</t>
  </si>
  <si>
    <t>Noncash livestock transfer from dairy</t>
  </si>
  <si>
    <t>Tax depreciation</t>
  </si>
  <si>
    <t>Gain/loss on sale of capital livestock</t>
  </si>
  <si>
    <t>Cow number check:</t>
  </si>
  <si>
    <t>on expense page under 'expensed livestock purchases'.</t>
  </si>
  <si>
    <t>(2) Only include sales of capital livestock.  Do not include sales of cattle that were expensed or raised.  Enter these sales</t>
  </si>
  <si>
    <t>on income page under 'Cow sales'.</t>
  </si>
  <si>
    <t>Do not include sales of capitalized livestock.  Enter that information on Livestock page.</t>
  </si>
  <si>
    <t>Changes in Operating Accounts Receivable</t>
  </si>
  <si>
    <t>Non-dairy expenses</t>
  </si>
  <si>
    <t>Non-dairy expenses (5)</t>
  </si>
  <si>
    <t>Expensed purchases (3)</t>
  </si>
  <si>
    <t>(3) Expensed purchases are those not capitalized as shown on livestock page.</t>
  </si>
  <si>
    <t>Changes in Accounts Payable Worksheet</t>
  </si>
  <si>
    <t>Dairy Receipts</t>
  </si>
  <si>
    <t xml:space="preserve">Prepaid Expenses     </t>
  </si>
  <si>
    <t>Machinery, Equipment Inventory &amp; Depreciation</t>
  </si>
  <si>
    <t>Dairy Expenses</t>
  </si>
  <si>
    <t>Other Assets, Paid-in-Capital</t>
  </si>
  <si>
    <t>Net cash amount received (1)</t>
  </si>
  <si>
    <t>Building Purchases &amp; Sales</t>
  </si>
  <si>
    <t>Building Market Value:</t>
  </si>
  <si>
    <t>New buildings/improvements</t>
  </si>
  <si>
    <t>Noncash Transfer to Farm (e.g. gifts/inherit.)</t>
  </si>
  <si>
    <t>Buildings Sold:</t>
  </si>
  <si>
    <t>Note/lien held by seller</t>
  </si>
  <si>
    <t>Building Appreciation</t>
  </si>
  <si>
    <t>Building/Improvement Inventory Balance</t>
  </si>
  <si>
    <t>New Real Estate</t>
  </si>
  <si>
    <t>Total Beginning Inventory After Changes</t>
  </si>
  <si>
    <t xml:space="preserve">  Buildings Leased</t>
  </si>
  <si>
    <t xml:space="preserve">  Non-dairy assets</t>
  </si>
  <si>
    <t>Total--all dairy debt</t>
  </si>
  <si>
    <t>Non-dairy Liabilities</t>
  </si>
  <si>
    <t>Lease Schedule</t>
  </si>
  <si>
    <t>Cattle</t>
  </si>
  <si>
    <t>Total cattle</t>
  </si>
  <si>
    <t>Total mach. and equip.</t>
  </si>
  <si>
    <t>Buildings</t>
  </si>
  <si>
    <t>Total buildings</t>
  </si>
  <si>
    <t>Real estate</t>
  </si>
  <si>
    <t>Total real estate</t>
  </si>
  <si>
    <t>Whole farm</t>
  </si>
  <si>
    <t>Total whole farm</t>
  </si>
  <si>
    <t>Total--all dairy leases</t>
  </si>
  <si>
    <t>Non-dairy leases</t>
  </si>
  <si>
    <t>Grand total--all leases</t>
  </si>
  <si>
    <t>Lease type</t>
  </si>
  <si>
    <t>Total Depreciation</t>
  </si>
  <si>
    <t xml:space="preserve">Dairy cows: </t>
  </si>
  <si>
    <t>Capitalized</t>
  </si>
  <si>
    <t xml:space="preserve">     Raised/expensed</t>
  </si>
  <si>
    <t xml:space="preserve">     Capitalized</t>
  </si>
  <si>
    <t xml:space="preserve">     Leased</t>
  </si>
  <si>
    <t>Total Dairy Assets</t>
  </si>
  <si>
    <t>Non-dairy assets</t>
  </si>
  <si>
    <t>Assets</t>
  </si>
  <si>
    <t xml:space="preserve"> Current portion-Leases</t>
  </si>
  <si>
    <t xml:space="preserve">   Notes Payable</t>
  </si>
  <si>
    <t>Non current portion-leases</t>
  </si>
  <si>
    <t xml:space="preserve">    Real estate</t>
  </si>
  <si>
    <t xml:space="preserve">    Whole farm</t>
  </si>
  <si>
    <t xml:space="preserve">    Buildings</t>
  </si>
  <si>
    <t xml:space="preserve">   Cattle</t>
  </si>
  <si>
    <t xml:space="preserve">   Machinery and equipment</t>
  </si>
  <si>
    <t>Total Dairy Liabilities</t>
  </si>
  <si>
    <t>Non-dairy liabilities and leases</t>
  </si>
  <si>
    <t>Liabilities</t>
  </si>
  <si>
    <t>Gain/Loss on Sale of Capital Livestock</t>
  </si>
  <si>
    <t>Dairy Revenues</t>
  </si>
  <si>
    <t xml:space="preserve">Nondairy cash income from nondairy work for self or spouse, tax refunds, principal and interest received </t>
  </si>
  <si>
    <t xml:space="preserve">available for debt payments and family living. All nondairy income must be entered for Cash Flow </t>
  </si>
  <si>
    <t>Non Dairy Income Contribution to Farm Business</t>
  </si>
  <si>
    <t>Non Dairy Expense Distribution from Farm Business</t>
  </si>
  <si>
    <t>Net Social Security and Income taxes</t>
  </si>
  <si>
    <t>Increase in excess of market value over cost/basis</t>
  </si>
  <si>
    <t>of farm capital assets (Appreciation)</t>
  </si>
  <si>
    <t>New Leases</t>
  </si>
  <si>
    <t>Money Borrowed-Non-dairy Debt</t>
  </si>
  <si>
    <t>Principal Payments-Non-dairy Debt</t>
  </si>
  <si>
    <t>Net Cash-Other Operating Activities</t>
  </si>
  <si>
    <t>Total Asset Purchases</t>
  </si>
  <si>
    <t>One-shot</t>
  </si>
  <si>
    <t xml:space="preserve">                             Dairy Business Analysis Project</t>
  </si>
  <si>
    <t>Ratio (2)</t>
  </si>
  <si>
    <t>(2) Only dairy assets used in this computation.</t>
  </si>
  <si>
    <t>Dairy Assets (1) (2)</t>
  </si>
  <si>
    <t>/Average Equity</t>
  </si>
  <si>
    <t>Beginning (Jan 1)</t>
  </si>
  <si>
    <t>Ending (Dec 31)</t>
  </si>
  <si>
    <t>Grown Feed Worksheet      Beginning (Jan 1)</t>
  </si>
  <si>
    <t>or Description (1)</t>
  </si>
  <si>
    <t>(Jan 1)</t>
  </si>
  <si>
    <t>(Dec 31)</t>
  </si>
  <si>
    <t>Receivable(2)</t>
  </si>
  <si>
    <t>Total(3)</t>
  </si>
  <si>
    <t>2.  Assign and allocate the changes in accounts receivable to appropriate dairy receipts using worksheet.</t>
  </si>
  <si>
    <t>(1) End of year minus beginning of year. Computed from data in other forms.</t>
  </si>
  <si>
    <t>(3) Enter gross milk receipts. All marketing and co-op deductions are entered separately as expenses.</t>
  </si>
  <si>
    <t>(5) Receipts from sale of heifers, bulls, or other livestock not reported above. Do not enter sales of capital livestock.</t>
  </si>
  <si>
    <t>Do not include sales of purchased feed.</t>
  </si>
  <si>
    <t xml:space="preserve">such as cattle, crops (excluding machinery and real estate), and the conversion of nondairy assets to  </t>
  </si>
  <si>
    <t>3.  The total of the "Change in Accounts Receivable" column above must equal the total allocation.</t>
  </si>
  <si>
    <t>or Description (1,2)</t>
  </si>
  <si>
    <t>Payable (3)</t>
  </si>
  <si>
    <t>Allocation (4)</t>
  </si>
  <si>
    <t>Total (6)</t>
  </si>
  <si>
    <t>1. Take inventory in open operating accounts payable at the beginning</t>
  </si>
  <si>
    <t xml:space="preserve">and end of year. These accounts established when dairy inputs, such </t>
  </si>
  <si>
    <t xml:space="preserve">2.  If there is more than one account per vendor, list separately on left-hand </t>
  </si>
  <si>
    <t xml:space="preserve">5.  If scheduled debt payments were not made, there is likely an </t>
  </si>
  <si>
    <t xml:space="preserve">6.  The Total on the worksheet above must equal the Total on the allocation </t>
  </si>
  <si>
    <t>list on the right.</t>
  </si>
  <si>
    <t>(Totals entered on Expense form)</t>
  </si>
  <si>
    <t>Interest (5)</t>
  </si>
  <si>
    <t>Prepaid Expenses for Year (1)</t>
  </si>
  <si>
    <t xml:space="preserve">Dec. 31       </t>
  </si>
  <si>
    <t>Change (2)</t>
  </si>
  <si>
    <t>(2) Changes are calculated and adjust expenses on expense page.</t>
  </si>
  <si>
    <t xml:space="preserve">(5) Enter all business expenses that were not directly related to dairy.  </t>
  </si>
  <si>
    <t>(1) Prepaid Expense worksheet computes values for this column.</t>
  </si>
  <si>
    <t>(2) Accounts Payable worksheet to computes values for this column.</t>
  </si>
  <si>
    <t>bottom section needs be filled out.  The top two sections are worksheets to compute values</t>
  </si>
  <si>
    <t>Capital livestock purchased (1)</t>
  </si>
  <si>
    <t>Capital livestock sold (2)</t>
  </si>
  <si>
    <t>Noncash livestock transfer to dairy</t>
  </si>
  <si>
    <t xml:space="preserve">(1) Only include purchases of capital livestock.  Do not include purchases that were expensed.  Enter expensed livestock </t>
  </si>
  <si>
    <t># acres</t>
  </si>
  <si>
    <t>'1 January</t>
  </si>
  <si>
    <t>Real Estate Inventory</t>
  </si>
  <si>
    <t>'31 December</t>
  </si>
  <si>
    <t>$ per acre</t>
  </si>
  <si>
    <t>value</t>
  </si>
  <si>
    <t>Real Estate Transactions</t>
  </si>
  <si>
    <t>(1) Calculated value is a cash inflow to the farm.  If part or all of this was converted to nonfarm, this must be noted.</t>
  </si>
  <si>
    <t>Gain (loss) on capital livestock sales</t>
  </si>
  <si>
    <t>Percent</t>
  </si>
  <si>
    <t>Livestock Depreciation</t>
  </si>
  <si>
    <t>Machinery Depreciation</t>
  </si>
  <si>
    <t>Real Estate Depreciation</t>
  </si>
  <si>
    <t>(1) Percent of total revenues.</t>
  </si>
  <si>
    <t>Percent (1)</t>
  </si>
  <si>
    <t>Stocks and Certificates</t>
  </si>
  <si>
    <t>Additional capital investment</t>
  </si>
  <si>
    <t>Net value of stocks/certificates</t>
  </si>
  <si>
    <t>Additions/Reductions in principal</t>
  </si>
  <si>
    <t>a negative value.</t>
  </si>
  <si>
    <t>calculated using a fixed value.</t>
  </si>
  <si>
    <t>principal value.   Appreciation of stock value will be calculated.</t>
  </si>
  <si>
    <t>Additional stock and certificate purchases</t>
  </si>
  <si>
    <t>of stocks and certificates (Valuation)</t>
  </si>
  <si>
    <t>Labor Turnover</t>
  </si>
  <si>
    <t>Managers</t>
  </si>
  <si>
    <t>Support staff</t>
  </si>
  <si>
    <t>Operators</t>
  </si>
  <si>
    <t>Full-time Equivalents (1)</t>
  </si>
  <si>
    <t>Real Estate Market Value:</t>
  </si>
  <si>
    <t>Dairy supplies</t>
  </si>
  <si>
    <t>1.  Identify changes in operating accounts receivable by taking inventory of beginning and ending account balances.</t>
  </si>
  <si>
    <t>(1) Enter inventory of beginning and ending prepaid expenses for appropriate expense category.</t>
  </si>
  <si>
    <t xml:space="preserve">Depreciation: from income tax (including buildings) </t>
  </si>
  <si>
    <t>Parcel Description</t>
  </si>
  <si>
    <t>(6) Only record if adjustments were made to principal balance indicating an addition or reduction in</t>
  </si>
  <si>
    <t>Number of positions replaced</t>
  </si>
  <si>
    <t>Milking Frequency</t>
  </si>
  <si>
    <t>Prod. Recording System</t>
  </si>
  <si>
    <t>Labor Inventory-Yearly average F/T months(1)</t>
  </si>
  <si>
    <t>Purchased Feed &amp; Supply Inventory</t>
  </si>
  <si>
    <t>Raised Feed and Supply Inventory</t>
  </si>
  <si>
    <t>Key Code: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</si>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</sst>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1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2" formatCode="_(* #,##0_);_(* \(#,##0\);_(* &quot;__________&quot;_);_(@_)"/>
    <numFmt numFmtId="173" formatCode="_(* #,##0_);_(* \(#,##0\);_(* &quot;_____&quot;_);_(@_)"/>
    <numFmt numFmtId="174" formatCode="_(* #,##0_);_(* \(#,##0\);_(* &quot; &quot;_);_(@_)"/>
    <numFmt numFmtId="175" formatCode="_(* #,##0_);_(* \(#,##0\);_(* &quot;________&quot;_);_(@_)"/>
    <numFmt numFmtId="176" formatCode="_(* #,##0_);_(* \(#,##0\);_(* &quot;______&quot;_);_(@_)"/>
    <numFmt numFmtId="177" formatCode="_(* #,##0_);_(* \(#,##0\);_(* &quot;_________&quot;_);_(@_)"/>
    <numFmt numFmtId="178" formatCode="* &quot;__________&quot;??_)"/>
    <numFmt numFmtId="179" formatCode="* &quot;______________&quot;??_)"/>
    <numFmt numFmtId="180" formatCode="_(&quot;$&quot;* #,##0.00_);_(&quot;$&quot;* \(#,##0.00\);_(&quot;$&quot;* &quot;____&quot;??_);_(@_)"/>
    <numFmt numFmtId="181" formatCode="_(&quot;$&quot;* #,##0_);_(&quot;$&quot;* \(#,##0\);_(* &quot; &quot;_);_(@_)"/>
    <numFmt numFmtId="182" formatCode="_(&quot;$&quot;* #,##0.00_);_(&quot;$&quot;* \(#,##0.00\);_(&quot;$&quot;* &quot;______&quot;_);_(@_)"/>
    <numFmt numFmtId="183" formatCode="_(&quot;$&quot;* #,##0.00_);_(&quot;$&quot;* \(#,##0.00\);_(* &quot; &quot;_);_(@_)"/>
    <numFmt numFmtId="184" formatCode="_(&quot;$&quot;* #,##0_);_(&quot;$&quot;* \(#,##0\);_(&quot;$&quot;* &quot;_______&quot;_);_(@_)"/>
    <numFmt numFmtId="185" formatCode="_(&quot;$&quot;* #,##0_);_(&quot;$&quot;* \(#,##0\);_(* &quot;_________&quot;_);_(@_)"/>
    <numFmt numFmtId="186" formatCode="_(&quot;$&quot;* #,##0_);_(&quot;$&quot;* \(#,##0\);_(* &quot;________&quot;_);_(@_)"/>
    <numFmt numFmtId="187" formatCode="_(* #,##0_);_(* \(#,##0\);_(* &quot;______&quot;_);_(@&quot;___&quot;_)"/>
    <numFmt numFmtId="188" formatCode="_(&quot;$&quot;* #,##0.00_);_(&quot;$&quot;* \(#,##0.00\);_(&quot;$&quot;* &quot;_____&quot;??_);_(@_)"/>
    <numFmt numFmtId="189" formatCode="_(&quot;$&quot;* #,##0_);_(&quot;$&quot;* \(#,##0\);_(* &quot; &quot;??_);_(@_)"/>
    <numFmt numFmtId="190" formatCode="_(* #,##0_);_(* \(#,##0\);_(* &quot;________&quot;_);_(@&quot;___&quot;_)"/>
    <numFmt numFmtId="191" formatCode="_(&quot;$&quot;* #,##0_);_(&quot;$&quot;* \(#,##0\);_(* &quot;___________&quot;_);_(@_)"/>
    <numFmt numFmtId="192" formatCode="_(* #,##0.00_);_(* \(#,##0.00\);_(* &quot;________&quot;_);_(@_)"/>
    <numFmt numFmtId="193" formatCode="_(* #,##0_);_(* \(#,##0\);_(* &quot;___________&quot;_);_(@_)"/>
    <numFmt numFmtId="194" formatCode="_(&quot;$&quot;* #,##0_);_(&quot;$&quot;* \(#,##0\);_(&quot;$&quot;* &quot;_____&quot;_);_(@_)"/>
    <numFmt numFmtId="195" formatCode="_(&quot;$&quot;* #,##0_);_(&quot;$&quot;* \(#,##0\);_(&quot;$&quot;* &quot;________&quot;_);_(@_)"/>
    <numFmt numFmtId="196" formatCode="_(&quot;$&quot;* #,##0_);_(&quot;$&quot;* \(#,##0\);_(* &quot;____________&quot;_);_(@_)"/>
    <numFmt numFmtId="197" formatCode="* &quot;____________&quot;??_)"/>
    <numFmt numFmtId="198" formatCode="_(* #,##0_);_(* \(#,##0\);_(* &quot;____________&quot;_);_(@_)"/>
    <numFmt numFmtId="199" formatCode="* &quot;__________________&quot;??_)"/>
    <numFmt numFmtId="200" formatCode="_(* #,##0.00_);_(* \(#,##0.00\);_(* &quot;_____________&quot;_);_(@_)"/>
    <numFmt numFmtId="201" formatCode="_(* #,##0_);_(* \(#,##0\);_(* &quot;_____________&quot;_);_(@_)"/>
    <numFmt numFmtId="202" formatCode="_(&quot;$&quot;* #,##0_);_(&quot;$&quot;* \(#,##0\);_(* &quot;_____________&quot;_);_(@_)"/>
    <numFmt numFmtId="203" formatCode="_(&quot;$&quot;* #,##0.00_);_(&quot;$&quot;* \(#,##0\);_(* &quot;__________&quot;_);_(@_)"/>
    <numFmt numFmtId="204" formatCode="_(&quot;$&quot;* #,##0.00_);_(&quot;$&quot;* \(#,##0\);_(* &quot;_______________&quot;_);_(@_)"/>
    <numFmt numFmtId="205" formatCode="_(&quot;$&quot;* #,##0_);_(&quot;$&quot;* \(#,##0\);_(* &quot;______________&quot;_);_(@_)"/>
    <numFmt numFmtId="206" formatCode="_(&quot;$&quot;* #,##0_);_(&quot;$&quot;* \(#,##0\);_(\ &quot; &quot;_);_(@_)"/>
    <numFmt numFmtId="207" formatCode="_(&quot;$&quot;* #,##0.00_);_(&quot;$&quot;* \(#,##0.00\);_(&quot; &quot;??_);_(@_)"/>
    <numFmt numFmtId="208" formatCode="_(&quot;$&quot;* #,##0.00_);_(&quot;$&quot;* \(#,##0.00\);_(\ &quot; &quot;_);_(@_)"/>
    <numFmt numFmtId="209" formatCode="_(* &quot;__________&quot;??_)"/>
    <numFmt numFmtId="210" formatCode="_(* #,##0.00_);_(* \(#,##0.00\);_(* &quot;_________&quot;_);_(@_)"/>
    <numFmt numFmtId="211" formatCode="_(&quot;$&quot;* #,##0.0_);_(&quot;$&quot;* \(#,##0.0\);_(&quot;$&quot;* &quot;-&quot;??_);_(@_)"/>
    <numFmt numFmtId="212" formatCode="_(&quot;$&quot;* #,##0_);_(&quot;$&quot;* \(#,##0\);_(&quot;$&quot;* &quot;-&quot;??_);_(@_)"/>
    <numFmt numFmtId="213" formatCode="_(* #,##0.00_);_(* \(#,##0.00\);_(* &quot;_____&quot;_);_(@_)"/>
    <numFmt numFmtId="214" formatCode="_(* #,##0.000_);_(* \(#,##0.000\);_(* &quot;_____&quot;_);_(@_)"/>
    <numFmt numFmtId="215" formatCode="_(* #,##0_);_(* \(#,##0\);_(* &quot;___________________&quot;_);_(@_)"/>
    <numFmt numFmtId="216" formatCode="_(* #,##0.00_);_(* \(#,##0.00\);_(* &quot; &quot;_);_(@_)"/>
    <numFmt numFmtId="217" formatCode="_(#,##0;_(&quot; &quot;\);_@_)"/>
    <numFmt numFmtId="219" formatCode="_(* #,##0_);_(* \(#,##0\);_(* &quot;_______&quot;_);_(@_)"/>
    <numFmt numFmtId="220" formatCode="_(* #,##0_);_(* \(#,##0\);_(* &quot;__________________&quot;_);_(@_)"/>
  </numFmts>
  <fonts count="10" x14ac:knownFonts="1">
    <font>
      <sz val="10"/>
      <name val="Arial"/>
    </font>
    <font>
      <b/>
      <sz val="10"/>
      <name val="Arial"/>
    </font>
    <font>
      <sz val="10"/>
      <name val="Arial"/>
    </font>
    <font>
      <u/>
      <sz val="10"/>
      <name val="Arial"/>
    </font>
    <font>
      <u/>
      <sz val="10"/>
      <name val="Times New Roman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32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3" fontId="2" fillId="0" borderId="0" xfId="0" applyNumberFormat="1" applyFont="1" applyAlignment="1">
      <alignment horizontal="centerContinuous"/>
    </xf>
    <xf numFmtId="3" fontId="2" fillId="0" borderId="6" xfId="0" applyNumberFormat="1" applyFont="1" applyBorder="1" applyAlignment="1">
      <alignment horizontal="centerContinuous"/>
    </xf>
    <xf numFmtId="3" fontId="2" fillId="0" borderId="0" xfId="0" applyNumberFormat="1" applyFont="1" applyAlignment="1">
      <alignment horizontal="center"/>
    </xf>
    <xf numFmtId="0" fontId="2" fillId="0" borderId="5" xfId="0" applyFont="1" applyBorder="1"/>
    <xf numFmtId="3" fontId="2" fillId="0" borderId="7" xfId="0" applyNumberFormat="1" applyFont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0" fontId="0" fillId="0" borderId="5" xfId="0" applyBorder="1"/>
    <xf numFmtId="3" fontId="2" fillId="0" borderId="0" xfId="0" applyNumberFormat="1" applyFont="1" applyAlignment="1">
      <alignment horizontal="left"/>
    </xf>
    <xf numFmtId="0" fontId="2" fillId="0" borderId="9" xfId="0" applyFont="1" applyBorder="1"/>
    <xf numFmtId="3" fontId="2" fillId="0" borderId="8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Continuous"/>
    </xf>
    <xf numFmtId="3" fontId="2" fillId="0" borderId="4" xfId="0" applyNumberFormat="1" applyFont="1" applyBorder="1" applyAlignment="1">
      <alignment horizontal="left"/>
    </xf>
    <xf numFmtId="173" fontId="2" fillId="0" borderId="0" xfId="0" applyNumberFormat="1" applyFont="1" applyAlignment="1">
      <alignment horizontal="centerContinuous"/>
    </xf>
    <xf numFmtId="0" fontId="0" fillId="0" borderId="8" xfId="0" applyBorder="1"/>
    <xf numFmtId="0" fontId="2" fillId="0" borderId="5" xfId="0" applyFont="1" applyBorder="1" applyAlignment="1">
      <alignment horizontal="center"/>
    </xf>
    <xf numFmtId="0" fontId="0" fillId="0" borderId="3" xfId="0" applyBorder="1"/>
    <xf numFmtId="3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0" fillId="0" borderId="0" xfId="0" applyAlignment="1">
      <alignment horizontal="left"/>
    </xf>
    <xf numFmtId="172" fontId="2" fillId="0" borderId="0" xfId="0" applyNumberFormat="1" applyFont="1" applyAlignment="1">
      <alignment horizontal="center"/>
    </xf>
    <xf numFmtId="3" fontId="2" fillId="0" borderId="0" xfId="0" applyNumberFormat="1" applyFont="1"/>
    <xf numFmtId="3" fontId="2" fillId="0" borderId="8" xfId="0" applyNumberFormat="1" applyFont="1" applyBorder="1"/>
    <xf numFmtId="0" fontId="2" fillId="0" borderId="2" xfId="0" applyFont="1" applyBorder="1" applyAlignment="1">
      <alignment horizontal="left"/>
    </xf>
    <xf numFmtId="175" fontId="2" fillId="0" borderId="0" xfId="0" applyNumberFormat="1" applyFont="1"/>
    <xf numFmtId="175" fontId="2" fillId="0" borderId="0" xfId="0" applyNumberFormat="1" applyFont="1" applyAlignment="1">
      <alignment horizontal="center"/>
    </xf>
    <xf numFmtId="175" fontId="2" fillId="0" borderId="0" xfId="0" applyNumberFormat="1" applyFont="1" applyAlignment="1">
      <alignment horizontal="centerContinuous"/>
    </xf>
    <xf numFmtId="3" fontId="2" fillId="0" borderId="10" xfId="0" applyNumberFormat="1" applyFont="1" applyBorder="1"/>
    <xf numFmtId="3" fontId="2" fillId="0" borderId="3" xfId="0" applyNumberFormat="1" applyFont="1" applyBorder="1"/>
    <xf numFmtId="173" fontId="2" fillId="0" borderId="0" xfId="0" applyNumberFormat="1" applyFont="1"/>
    <xf numFmtId="173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10" xfId="0" applyBorder="1"/>
    <xf numFmtId="0" fontId="1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0" xfId="0" applyProtection="1"/>
    <xf numFmtId="0" fontId="1" fillId="0" borderId="0" xfId="0" applyFont="1" applyAlignment="1">
      <alignment horizontal="right"/>
    </xf>
    <xf numFmtId="0" fontId="1" fillId="0" borderId="9" xfId="0" applyFont="1" applyBorder="1"/>
    <xf numFmtId="0" fontId="0" fillId="0" borderId="7" xfId="0" applyBorder="1"/>
    <xf numFmtId="0" fontId="0" fillId="0" borderId="7" xfId="0" applyBorder="1" applyProtection="1"/>
    <xf numFmtId="0" fontId="0" fillId="0" borderId="7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</xf>
    <xf numFmtId="0" fontId="0" fillId="0" borderId="10" xfId="0" applyBorder="1" applyAlignment="1">
      <alignment horizontal="center"/>
    </xf>
    <xf numFmtId="184" fontId="0" fillId="0" borderId="0" xfId="0" applyNumberFormat="1" applyProtection="1"/>
    <xf numFmtId="172" fontId="0" fillId="0" borderId="0" xfId="0" applyNumberFormat="1"/>
    <xf numFmtId="176" fontId="0" fillId="0" borderId="0" xfId="0" applyNumberFormat="1" applyProtection="1"/>
    <xf numFmtId="172" fontId="0" fillId="0" borderId="8" xfId="0" applyNumberFormat="1" applyBorder="1"/>
    <xf numFmtId="0" fontId="0" fillId="0" borderId="5" xfId="0" applyBorder="1" applyAlignment="1">
      <alignment horizontal="right"/>
    </xf>
    <xf numFmtId="175" fontId="0" fillId="0" borderId="0" xfId="0" applyNumberFormat="1"/>
    <xf numFmtId="174" fontId="0" fillId="0" borderId="0" xfId="0" applyNumberFormat="1" applyProtection="1"/>
    <xf numFmtId="174" fontId="0" fillId="0" borderId="0" xfId="0" applyNumberFormat="1"/>
    <xf numFmtId="175" fontId="0" fillId="0" borderId="0" xfId="0" applyNumberFormat="1" applyAlignment="1">
      <alignment horizontal="right"/>
    </xf>
    <xf numFmtId="174" fontId="0" fillId="0" borderId="0" xfId="0" applyNumberFormat="1" applyAlignment="1" applyProtection="1">
      <alignment horizontal="right"/>
    </xf>
    <xf numFmtId="180" fontId="0" fillId="0" borderId="0" xfId="0" applyNumberFormat="1"/>
    <xf numFmtId="180" fontId="0" fillId="0" borderId="0" xfId="0" applyNumberFormat="1" applyProtection="1"/>
    <xf numFmtId="183" fontId="0" fillId="0" borderId="8" xfId="0" applyNumberFormat="1" applyBorder="1"/>
    <xf numFmtId="181" fontId="0" fillId="0" borderId="0" xfId="0" applyNumberFormat="1" applyProtection="1"/>
    <xf numFmtId="181" fontId="0" fillId="0" borderId="0" xfId="0" applyNumberFormat="1" applyAlignment="1" applyProtection="1">
      <alignment horizontal="right"/>
    </xf>
    <xf numFmtId="168" fontId="0" fillId="0" borderId="0" xfId="0" applyNumberFormat="1"/>
    <xf numFmtId="168" fontId="0" fillId="0" borderId="0" xfId="0" applyNumberFormat="1" applyProtection="1"/>
    <xf numFmtId="181" fontId="0" fillId="0" borderId="0" xfId="0" applyNumberFormat="1"/>
    <xf numFmtId="181" fontId="0" fillId="0" borderId="8" xfId="0" applyNumberFormat="1" applyBorder="1"/>
    <xf numFmtId="0" fontId="0" fillId="0" borderId="9" xfId="0" applyBorder="1"/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</xf>
    <xf numFmtId="0" fontId="0" fillId="0" borderId="0" xfId="0" applyAlignment="1" applyProtection="1">
      <alignment horizontal="left"/>
    </xf>
    <xf numFmtId="176" fontId="0" fillId="0" borderId="7" xfId="0" applyNumberFormat="1" applyBorder="1" applyAlignment="1" applyProtection="1">
      <alignment horizontal="center"/>
    </xf>
    <xf numFmtId="169" fontId="0" fillId="0" borderId="7" xfId="0" applyNumberFormat="1" applyBorder="1" applyAlignment="1">
      <alignment horizontal="center"/>
    </xf>
    <xf numFmtId="177" fontId="0" fillId="0" borderId="7" xfId="0" applyNumberFormat="1" applyBorder="1"/>
    <xf numFmtId="174" fontId="0" fillId="0" borderId="7" xfId="0" applyNumberFormat="1" applyBorder="1" applyProtection="1"/>
    <xf numFmtId="0" fontId="0" fillId="0" borderId="1" xfId="0" applyBorder="1" applyAlignment="1" applyProtection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 applyProtection="1">
      <alignment horizontal="left"/>
    </xf>
    <xf numFmtId="0" fontId="0" fillId="0" borderId="1" xfId="0" applyBorder="1" applyProtection="1"/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Continuous"/>
    </xf>
    <xf numFmtId="0" fontId="0" fillId="0" borderId="6" xfId="0" applyBorder="1"/>
    <xf numFmtId="0" fontId="0" fillId="0" borderId="1" xfId="0" applyBorder="1" applyAlignment="1">
      <alignment horizontal="left"/>
    </xf>
    <xf numFmtId="172" fontId="0" fillId="0" borderId="0" xfId="0" applyNumberFormat="1" applyProtection="1">
      <protection locked="0"/>
    </xf>
    <xf numFmtId="192" fontId="0" fillId="0" borderId="0" xfId="0" applyNumberFormat="1" applyProtection="1">
      <protection locked="0"/>
    </xf>
    <xf numFmtId="0" fontId="0" fillId="0" borderId="11" xfId="0" applyBorder="1" applyAlignment="1">
      <alignment horizontal="right"/>
    </xf>
    <xf numFmtId="189" fontId="0" fillId="0" borderId="1" xfId="0" applyNumberFormat="1" applyBorder="1"/>
    <xf numFmtId="0" fontId="1" fillId="0" borderId="1" xfId="0" applyFont="1" applyBorder="1"/>
    <xf numFmtId="0" fontId="2" fillId="0" borderId="11" xfId="0" applyFont="1" applyBorder="1"/>
    <xf numFmtId="187" fontId="0" fillId="0" borderId="0" xfId="0" applyNumberFormat="1"/>
    <xf numFmtId="192" fontId="0" fillId="0" borderId="0" xfId="0" applyNumberFormat="1"/>
    <xf numFmtId="193" fontId="0" fillId="0" borderId="0" xfId="0" applyNumberFormat="1" applyProtection="1">
      <protection locked="0"/>
    </xf>
    <xf numFmtId="190" fontId="0" fillId="0" borderId="8" xfId="0" applyNumberFormat="1" applyBorder="1"/>
    <xf numFmtId="187" fontId="0" fillId="0" borderId="0" xfId="0" applyNumberFormat="1" applyProtection="1"/>
    <xf numFmtId="189" fontId="0" fillId="0" borderId="8" xfId="0" applyNumberFormat="1" applyBorder="1"/>
    <xf numFmtId="187" fontId="0" fillId="0" borderId="0" xfId="0" applyNumberFormat="1" applyProtection="1">
      <protection locked="0"/>
    </xf>
    <xf numFmtId="0" fontId="0" fillId="0" borderId="5" xfId="0" applyBorder="1" applyAlignment="1">
      <alignment horizontal="left"/>
    </xf>
    <xf numFmtId="193" fontId="0" fillId="0" borderId="0" xfId="0" applyNumberFormat="1"/>
    <xf numFmtId="0" fontId="0" fillId="0" borderId="4" xfId="0" applyBorder="1" applyAlignment="1">
      <alignment horizontal="center"/>
    </xf>
    <xf numFmtId="194" fontId="0" fillId="0" borderId="8" xfId="0" applyNumberFormat="1" applyBorder="1" applyAlignment="1">
      <alignment horizontal="center"/>
    </xf>
    <xf numFmtId="197" fontId="0" fillId="0" borderId="5" xfId="0" applyNumberFormat="1" applyBorder="1" applyAlignment="1">
      <alignment horizontal="left"/>
    </xf>
    <xf numFmtId="198" fontId="0" fillId="0" borderId="8" xfId="0" applyNumberFormat="1" applyBorder="1"/>
    <xf numFmtId="198" fontId="0" fillId="0" borderId="8" xfId="0" applyNumberFormat="1" applyBorder="1" applyProtection="1"/>
    <xf numFmtId="198" fontId="0" fillId="0" borderId="8" xfId="0" applyNumberFormat="1" applyBorder="1" applyProtection="1">
      <protection locked="0"/>
    </xf>
    <xf numFmtId="181" fontId="0" fillId="0" borderId="5" xfId="0" applyNumberFormat="1" applyBorder="1" applyAlignment="1">
      <alignment horizontal="right"/>
    </xf>
    <xf numFmtId="198" fontId="0" fillId="0" borderId="0" xfId="0" applyNumberFormat="1"/>
    <xf numFmtId="15" fontId="0" fillId="0" borderId="0" xfId="0" applyNumberFormat="1" applyAlignment="1">
      <alignment horizontal="center"/>
    </xf>
    <xf numFmtId="196" fontId="0" fillId="0" borderId="0" xfId="0" applyNumberFormat="1" applyProtection="1">
      <protection locked="0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1" xfId="0" applyFont="1" applyBorder="1"/>
    <xf numFmtId="0" fontId="2" fillId="0" borderId="10" xfId="0" applyFont="1" applyBorder="1" applyAlignment="1">
      <alignment horizontal="left"/>
    </xf>
    <xf numFmtId="168" fontId="2" fillId="0" borderId="0" xfId="0" applyNumberFormat="1" applyFont="1" applyAlignment="1">
      <alignment horizontal="right"/>
    </xf>
    <xf numFmtId="193" fontId="2" fillId="0" borderId="0" xfId="0" applyNumberFormat="1" applyFont="1" applyAlignment="1">
      <alignment horizontal="center"/>
    </xf>
    <xf numFmtId="193" fontId="2" fillId="0" borderId="8" xfId="0" applyNumberFormat="1" applyFont="1" applyBorder="1" applyAlignment="1">
      <alignment horizontal="center"/>
    </xf>
    <xf numFmtId="193" fontId="2" fillId="0" borderId="0" xfId="0" applyNumberFormat="1" applyFont="1" applyAlignment="1">
      <alignment horizontal="right"/>
    </xf>
    <xf numFmtId="181" fontId="2" fillId="0" borderId="0" xfId="0" applyNumberFormat="1" applyFont="1"/>
    <xf numFmtId="0" fontId="2" fillId="0" borderId="11" xfId="0" applyFont="1" applyBorder="1" applyAlignment="1">
      <alignment horizontal="right"/>
    </xf>
    <xf numFmtId="3" fontId="2" fillId="0" borderId="1" xfId="0" applyNumberFormat="1" applyFont="1" applyBorder="1"/>
    <xf numFmtId="191" fontId="2" fillId="0" borderId="10" xfId="0" applyNumberFormat="1" applyFont="1" applyBorder="1"/>
    <xf numFmtId="0" fontId="1" fillId="0" borderId="5" xfId="0" applyFont="1" applyBorder="1" applyAlignment="1">
      <alignment horizontal="left"/>
    </xf>
    <xf numFmtId="0" fontId="3" fillId="0" borderId="0" xfId="0" applyFont="1"/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centerContinuous"/>
    </xf>
    <xf numFmtId="0" fontId="0" fillId="0" borderId="2" xfId="0" applyBorder="1" applyAlignment="1">
      <alignment horizontal="center"/>
    </xf>
    <xf numFmtId="201" fontId="0" fillId="0" borderId="8" xfId="0" applyNumberFormat="1" applyBorder="1"/>
    <xf numFmtId="188" fontId="0" fillId="0" borderId="0" xfId="0" applyNumberFormat="1"/>
    <xf numFmtId="201" fontId="0" fillId="0" borderId="0" xfId="0" applyNumberFormat="1"/>
    <xf numFmtId="0" fontId="3" fillId="0" borderId="5" xfId="0" applyFont="1" applyBorder="1"/>
    <xf numFmtId="201" fontId="2" fillId="0" borderId="0" xfId="0" applyNumberFormat="1" applyFont="1" applyAlignment="1">
      <alignment horizontal="center"/>
    </xf>
    <xf numFmtId="201" fontId="2" fillId="0" borderId="0" xfId="0" applyNumberFormat="1" applyFont="1" applyAlignment="1" applyProtection="1">
      <alignment horizontal="center"/>
      <protection locked="0"/>
    </xf>
    <xf numFmtId="201" fontId="2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94" fontId="2" fillId="0" borderId="0" xfId="0" applyNumberFormat="1" applyFont="1" applyAlignment="1">
      <alignment horizontal="center"/>
    </xf>
    <xf numFmtId="194" fontId="2" fillId="0" borderId="0" xfId="0" applyNumberFormat="1" applyFont="1"/>
    <xf numFmtId="168" fontId="2" fillId="0" borderId="8" xfId="0" applyNumberFormat="1" applyFont="1" applyBorder="1" applyAlignment="1">
      <alignment horizontal="center"/>
    </xf>
    <xf numFmtId="201" fontId="2" fillId="0" borderId="0" xfId="0" applyNumberFormat="1" applyFont="1" applyAlignment="1" applyProtection="1">
      <alignment horizontal="center"/>
    </xf>
    <xf numFmtId="181" fontId="2" fillId="0" borderId="0" xfId="0" applyNumberFormat="1" applyFont="1" applyAlignment="1">
      <alignment horizontal="center"/>
    </xf>
    <xf numFmtId="181" fontId="2" fillId="0" borderId="8" xfId="0" applyNumberFormat="1" applyFont="1" applyBorder="1" applyAlignment="1">
      <alignment horizontal="center"/>
    </xf>
    <xf numFmtId="0" fontId="0" fillId="0" borderId="11" xfId="0" applyBorder="1" applyAlignment="1">
      <alignment horizontal="left"/>
    </xf>
    <xf numFmtId="3" fontId="2" fillId="0" borderId="10" xfId="0" applyNumberFormat="1" applyFont="1" applyBorder="1" applyAlignment="1">
      <alignment horizontal="center"/>
    </xf>
    <xf numFmtId="0" fontId="1" fillId="0" borderId="0" xfId="0" applyFont="1" applyProtection="1"/>
    <xf numFmtId="0" fontId="1" fillId="0" borderId="0" xfId="0" applyFont="1" applyAlignment="1" applyProtection="1">
      <alignment horizontal="right"/>
    </xf>
    <xf numFmtId="0" fontId="2" fillId="0" borderId="2" xfId="0" applyFont="1" applyBorder="1" applyAlignment="1" applyProtection="1">
      <alignment horizontal="left"/>
    </xf>
    <xf numFmtId="0" fontId="0" fillId="0" borderId="3" xfId="0" applyBorder="1" applyProtection="1"/>
    <xf numFmtId="0" fontId="0" fillId="0" borderId="3" xfId="0" applyBorder="1" applyAlignment="1" applyProtection="1">
      <alignment horizontal="right"/>
    </xf>
    <xf numFmtId="0" fontId="0" fillId="0" borderId="6" xfId="0" applyBorder="1" applyProtection="1"/>
    <xf numFmtId="0" fontId="0" fillId="0" borderId="5" xfId="0" applyBorder="1" applyProtection="1"/>
    <xf numFmtId="0" fontId="0" fillId="0" borderId="8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8" xfId="0" applyBorder="1" applyProtection="1"/>
    <xf numFmtId="0" fontId="0" fillId="0" borderId="5" xfId="0" applyBorder="1" applyAlignment="1" applyProtection="1">
      <alignment horizontal="left"/>
    </xf>
    <xf numFmtId="185" fontId="0" fillId="0" borderId="0" xfId="0" applyNumberFormat="1" applyProtection="1"/>
    <xf numFmtId="189" fontId="0" fillId="0" borderId="0" xfId="0" applyNumberFormat="1" applyProtection="1"/>
    <xf numFmtId="0" fontId="0" fillId="0" borderId="11" xfId="0" applyBorder="1" applyAlignment="1" applyProtection="1">
      <alignment horizontal="right"/>
    </xf>
    <xf numFmtId="187" fontId="0" fillId="0" borderId="1" xfId="0" applyNumberFormat="1" applyBorder="1" applyProtection="1"/>
    <xf numFmtId="189" fontId="0" fillId="0" borderId="1" xfId="0" applyNumberFormat="1" applyBorder="1" applyProtection="1"/>
    <xf numFmtId="0" fontId="0" fillId="0" borderId="10" xfId="0" applyBorder="1" applyProtection="1"/>
    <xf numFmtId="0" fontId="2" fillId="0" borderId="0" xfId="0" applyFont="1" applyProtection="1"/>
    <xf numFmtId="0" fontId="2" fillId="0" borderId="1" xfId="0" applyFont="1" applyBorder="1" applyProtection="1"/>
    <xf numFmtId="0" fontId="1" fillId="0" borderId="1" xfId="0" applyFont="1" applyBorder="1" applyAlignment="1" applyProtection="1">
      <alignment horizontal="right"/>
    </xf>
    <xf numFmtId="0" fontId="2" fillId="0" borderId="11" xfId="0" applyFont="1" applyBorder="1" applyProtection="1"/>
    <xf numFmtId="0" fontId="2" fillId="0" borderId="5" xfId="0" applyNumberFormat="1" applyFont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 applyProtection="1">
      <alignment horizontal="center"/>
      <protection locked="0"/>
    </xf>
    <xf numFmtId="0" fontId="0" fillId="0" borderId="8" xfId="0" applyNumberFormat="1" applyBorder="1"/>
    <xf numFmtId="0" fontId="0" fillId="0" borderId="11" xfId="0" applyNumberFormat="1" applyBorder="1"/>
    <xf numFmtId="0" fontId="0" fillId="0" borderId="1" xfId="0" applyNumberFormat="1" applyBorder="1" applyAlignment="1" applyProtection="1">
      <alignment horizontal="center"/>
    </xf>
    <xf numFmtId="0" fontId="0" fillId="0" borderId="10" xfId="0" applyNumberFormat="1" applyBorder="1" applyProtection="1"/>
    <xf numFmtId="186" fontId="0" fillId="0" borderId="0" xfId="0" applyNumberFormat="1"/>
    <xf numFmtId="203" fontId="0" fillId="0" borderId="0" xfId="0" applyNumberFormat="1"/>
    <xf numFmtId="204" fontId="0" fillId="0" borderId="0" xfId="0" applyNumberFormat="1"/>
    <xf numFmtId="195" fontId="0" fillId="0" borderId="1" xfId="0" applyNumberFormat="1" applyBorder="1"/>
    <xf numFmtId="189" fontId="0" fillId="0" borderId="10" xfId="0" applyNumberFormat="1" applyBorder="1"/>
    <xf numFmtId="187" fontId="0" fillId="0" borderId="1" xfId="0" applyNumberFormat="1" applyBorder="1"/>
    <xf numFmtId="184" fontId="0" fillId="0" borderId="1" xfId="0" applyNumberFormat="1" applyBorder="1"/>
    <xf numFmtId="184" fontId="0" fillId="0" borderId="1" xfId="0" applyNumberFormat="1" applyBorder="1" applyProtection="1">
      <protection locked="0"/>
    </xf>
    <xf numFmtId="189" fontId="1" fillId="0" borderId="1" xfId="0" applyNumberFormat="1" applyFont="1" applyBorder="1" applyAlignment="1">
      <alignment horizontal="right"/>
    </xf>
    <xf numFmtId="0" fontId="0" fillId="0" borderId="2" xfId="0" applyBorder="1" applyAlignment="1">
      <alignment horizontal="left"/>
    </xf>
    <xf numFmtId="195" fontId="0" fillId="0" borderId="8" xfId="0" applyNumberFormat="1" applyBorder="1"/>
    <xf numFmtId="184" fontId="0" fillId="0" borderId="0" xfId="0" applyNumberFormat="1" applyProtection="1">
      <protection locked="0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205" fontId="0" fillId="0" borderId="8" xfId="0" applyNumberFormat="1" applyBorder="1" applyProtection="1">
      <protection locked="0"/>
    </xf>
    <xf numFmtId="0" fontId="1" fillId="0" borderId="0" xfId="0" applyFont="1" applyAlignment="1" applyProtection="1">
      <alignment horizontal="center"/>
    </xf>
    <xf numFmtId="0" fontId="0" fillId="0" borderId="4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 applyProtection="1">
      <alignment horizontal="centerContinuous"/>
      <protection locked="0"/>
    </xf>
    <xf numFmtId="191" fontId="0" fillId="0" borderId="8" xfId="0" applyNumberFormat="1" applyBorder="1" applyProtection="1">
      <protection locked="0"/>
    </xf>
    <xf numFmtId="193" fontId="0" fillId="0" borderId="0" xfId="0" applyNumberFormat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</xf>
    <xf numFmtId="0" fontId="0" fillId="0" borderId="7" xfId="0" applyBorder="1" applyAlignment="1" applyProtection="1">
      <alignment horizontal="right"/>
    </xf>
    <xf numFmtId="0" fontId="0" fillId="0" borderId="4" xfId="0" applyBorder="1" applyProtection="1"/>
    <xf numFmtId="0" fontId="2" fillId="0" borderId="0" xfId="0" applyFont="1" applyAlignment="1" applyProtection="1">
      <alignment horizontal="right"/>
    </xf>
    <xf numFmtId="178" fontId="0" fillId="0" borderId="5" xfId="0" applyNumberFormat="1" applyBorder="1" applyAlignment="1" applyProtection="1">
      <alignment horizontal="right"/>
    </xf>
    <xf numFmtId="49" fontId="0" fillId="0" borderId="0" xfId="0" applyNumberFormat="1" applyAlignment="1" applyProtection="1">
      <alignment horizontal="center"/>
    </xf>
    <xf numFmtId="187" fontId="0" fillId="0" borderId="0" xfId="0" applyNumberFormat="1" applyAlignment="1" applyProtection="1">
      <alignment horizontal="center"/>
    </xf>
    <xf numFmtId="182" fontId="0" fillId="0" borderId="0" xfId="0" applyNumberFormat="1" applyAlignment="1" applyProtection="1">
      <alignment horizontal="center"/>
    </xf>
    <xf numFmtId="189" fontId="0" fillId="0" borderId="0" xfId="0" applyNumberFormat="1" applyAlignment="1" applyProtection="1">
      <alignment horizontal="center"/>
    </xf>
    <xf numFmtId="49" fontId="0" fillId="0" borderId="0" xfId="0" applyNumberFormat="1" applyProtection="1"/>
    <xf numFmtId="182" fontId="0" fillId="0" borderId="0" xfId="0" applyNumberFormat="1" applyProtection="1"/>
    <xf numFmtId="187" fontId="0" fillId="0" borderId="0" xfId="0" applyNumberFormat="1" applyAlignment="1" applyProtection="1">
      <alignment horizontal="centerContinuous"/>
    </xf>
    <xf numFmtId="182" fontId="0" fillId="0" borderId="0" xfId="0" applyNumberFormat="1" applyAlignment="1" applyProtection="1">
      <alignment horizontal="centerContinuous"/>
    </xf>
    <xf numFmtId="178" fontId="0" fillId="0" borderId="5" xfId="0" applyNumberFormat="1" applyBorder="1" applyAlignment="1" applyProtection="1">
      <alignment horizontal="left"/>
    </xf>
    <xf numFmtId="49" fontId="0" fillId="0" borderId="0" xfId="0" applyNumberFormat="1" applyAlignment="1" applyProtection="1">
      <alignment horizontal="centerContinuous"/>
    </xf>
    <xf numFmtId="193" fontId="0" fillId="0" borderId="0" xfId="0" applyNumberFormat="1" applyProtection="1"/>
    <xf numFmtId="193" fontId="0" fillId="0" borderId="8" xfId="0" applyNumberFormat="1" applyBorder="1" applyProtection="1"/>
    <xf numFmtId="0" fontId="0" fillId="0" borderId="11" xfId="0" applyBorder="1" applyAlignment="1" applyProtection="1">
      <alignment horizontal="left"/>
    </xf>
    <xf numFmtId="193" fontId="0" fillId="0" borderId="10" xfId="0" applyNumberFormat="1" applyBorder="1" applyProtection="1">
      <protection locked="0"/>
    </xf>
    <xf numFmtId="0" fontId="2" fillId="0" borderId="6" xfId="0" applyFont="1" applyBorder="1" applyAlignment="1">
      <alignment horizontal="center"/>
    </xf>
    <xf numFmtId="0" fontId="1" fillId="0" borderId="5" xfId="0" applyFont="1" applyBorder="1"/>
    <xf numFmtId="0" fontId="4" fillId="0" borderId="0" xfId="0" applyFont="1"/>
    <xf numFmtId="198" fontId="2" fillId="0" borderId="0" xfId="0" applyNumberFormat="1" applyFont="1" applyProtection="1">
      <protection locked="0"/>
    </xf>
    <xf numFmtId="0" fontId="1" fillId="0" borderId="7" xfId="0" applyFont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6" fontId="0" fillId="0" borderId="7" xfId="0" applyNumberFormat="1" applyBorder="1"/>
    <xf numFmtId="207" fontId="0" fillId="0" borderId="0" xfId="0" applyNumberFormat="1"/>
    <xf numFmtId="206" fontId="0" fillId="0" borderId="0" xfId="0" applyNumberFormat="1"/>
    <xf numFmtId="207" fontId="0" fillId="0" borderId="8" xfId="0" applyNumberFormat="1" applyBorder="1"/>
    <xf numFmtId="0" fontId="1" fillId="0" borderId="11" xfId="0" applyFont="1" applyBorder="1" applyAlignment="1">
      <alignment horizontal="right"/>
    </xf>
    <xf numFmtId="206" fontId="0" fillId="0" borderId="3" xfId="0" applyNumberFormat="1" applyBorder="1"/>
    <xf numFmtId="0" fontId="1" fillId="0" borderId="8" xfId="0" applyFont="1" applyBorder="1" applyAlignment="1">
      <alignment horizontal="center"/>
    </xf>
    <xf numFmtId="208" fontId="0" fillId="0" borderId="0" xfId="0" applyNumberFormat="1"/>
    <xf numFmtId="172" fontId="2" fillId="0" borderId="0" xfId="0" applyNumberFormat="1" applyFont="1"/>
    <xf numFmtId="16" fontId="3" fillId="0" borderId="0" xfId="0" applyNumberFormat="1" applyFont="1"/>
    <xf numFmtId="0" fontId="0" fillId="0" borderId="0" xfId="0" applyAlignment="1"/>
    <xf numFmtId="0" fontId="1" fillId="0" borderId="0" xfId="0" quotePrefix="1" applyFont="1" applyAlignment="1">
      <alignment horizontal="centerContinuous"/>
    </xf>
    <xf numFmtId="0" fontId="1" fillId="0" borderId="0" xfId="0" applyFont="1" applyAlignment="1" applyProtection="1"/>
    <xf numFmtId="0" fontId="1" fillId="0" borderId="0" xfId="0" quotePrefix="1" applyFont="1" applyAlignment="1" applyProtection="1">
      <alignment horizontal="centerContinuous"/>
    </xf>
    <xf numFmtId="0" fontId="0" fillId="0" borderId="0" xfId="0" applyAlignment="1" applyProtection="1"/>
    <xf numFmtId="177" fontId="2" fillId="2" borderId="0" xfId="0" applyNumberFormat="1" applyFont="1" applyFill="1" applyAlignment="1" applyProtection="1">
      <alignment horizontal="right"/>
      <protection locked="0"/>
    </xf>
    <xf numFmtId="177" fontId="2" fillId="2" borderId="7" xfId="0" applyNumberFormat="1" applyFont="1" applyFill="1" applyBorder="1" applyAlignment="1" applyProtection="1">
      <alignment horizontal="center"/>
      <protection locked="0"/>
    </xf>
    <xf numFmtId="177" fontId="2" fillId="2" borderId="0" xfId="0" applyNumberFormat="1" applyFont="1" applyFill="1" applyAlignment="1" applyProtection="1">
      <alignment horizontal="center"/>
      <protection locked="0"/>
    </xf>
    <xf numFmtId="175" fontId="2" fillId="2" borderId="7" xfId="0" applyNumberFormat="1" applyFont="1" applyFill="1" applyBorder="1" applyAlignment="1" applyProtection="1">
      <alignment horizontal="center"/>
      <protection locked="0"/>
    </xf>
    <xf numFmtId="175" fontId="2" fillId="2" borderId="0" xfId="0" applyNumberFormat="1" applyFont="1" applyFill="1" applyAlignment="1" applyProtection="1">
      <alignment horizontal="center"/>
      <protection locked="0"/>
    </xf>
    <xf numFmtId="175" fontId="2" fillId="2" borderId="0" xfId="0" applyNumberFormat="1" applyFont="1" applyFill="1" applyAlignment="1">
      <alignment horizontal="center"/>
    </xf>
    <xf numFmtId="175" fontId="2" fillId="2" borderId="0" xfId="0" applyNumberFormat="1" applyFont="1" applyFill="1" applyAlignment="1" applyProtection="1">
      <alignment horizontal="left"/>
      <protection locked="0"/>
    </xf>
    <xf numFmtId="179" fontId="2" fillId="2" borderId="5" xfId="0" applyNumberFormat="1" applyFont="1" applyFill="1" applyBorder="1" applyAlignment="1" applyProtection="1">
      <alignment horizontal="right"/>
      <protection locked="0"/>
    </xf>
    <xf numFmtId="175" fontId="2" fillId="2" borderId="0" xfId="0" applyNumberFormat="1" applyFont="1" applyFill="1" applyProtection="1">
      <protection locked="0"/>
    </xf>
    <xf numFmtId="175" fontId="2" fillId="2" borderId="0" xfId="0" applyNumberFormat="1" applyFont="1" applyFill="1" applyAlignment="1" applyProtection="1">
      <alignment horizontal="centerContinuous"/>
      <protection locked="0"/>
    </xf>
    <xf numFmtId="175" fontId="0" fillId="2" borderId="0" xfId="0" applyNumberFormat="1" applyFill="1" applyProtection="1">
      <protection locked="0"/>
    </xf>
    <xf numFmtId="177" fontId="0" fillId="2" borderId="0" xfId="0" applyNumberFormat="1" applyFill="1" applyProtection="1">
      <protection locked="0"/>
    </xf>
    <xf numFmtId="0" fontId="0" fillId="2" borderId="5" xfId="0" applyFill="1" applyBorder="1" applyProtection="1">
      <protection locked="0"/>
    </xf>
    <xf numFmtId="177" fontId="0" fillId="2" borderId="7" xfId="0" applyNumberFormat="1" applyFill="1" applyBorder="1" applyProtection="1">
      <protection locked="0"/>
    </xf>
    <xf numFmtId="177" fontId="0" fillId="2" borderId="7" xfId="0" applyNumberFormat="1" applyFill="1" applyBorder="1" applyAlignment="1" applyProtection="1">
      <alignment horizontal="left"/>
      <protection locked="0"/>
    </xf>
    <xf numFmtId="178" fontId="0" fillId="2" borderId="5" xfId="0" applyNumberFormat="1" applyFill="1" applyBorder="1" applyAlignment="1" applyProtection="1">
      <alignment horizontal="right"/>
      <protection locked="0"/>
    </xf>
    <xf numFmtId="187" fontId="0" fillId="2" borderId="0" xfId="0" applyNumberFormat="1" applyFill="1" applyProtection="1">
      <protection locked="0"/>
    </xf>
    <xf numFmtId="192" fontId="0" fillId="2" borderId="0" xfId="0" applyNumberFormat="1" applyFill="1" applyProtection="1">
      <protection locked="0"/>
    </xf>
    <xf numFmtId="193" fontId="0" fillId="2" borderId="0" xfId="0" applyNumberFormat="1" applyFill="1" applyProtection="1">
      <protection locked="0"/>
    </xf>
    <xf numFmtId="197" fontId="0" fillId="2" borderId="5" xfId="0" applyNumberFormat="1" applyFill="1" applyBorder="1" applyAlignment="1" applyProtection="1">
      <alignment horizontal="left"/>
      <protection locked="0"/>
    </xf>
    <xf numFmtId="198" fontId="0" fillId="2" borderId="0" xfId="0" applyNumberFormat="1" applyFill="1" applyProtection="1">
      <protection locked="0"/>
    </xf>
    <xf numFmtId="193" fontId="2" fillId="2" borderId="0" xfId="0" applyNumberFormat="1" applyFont="1" applyFill="1" applyAlignment="1" applyProtection="1">
      <alignment horizontal="center"/>
      <protection locked="0"/>
    </xf>
    <xf numFmtId="191" fontId="2" fillId="2" borderId="0" xfId="0" applyNumberFormat="1" applyFont="1" applyFill="1" applyAlignment="1" applyProtection="1">
      <alignment horizontal="center"/>
      <protection locked="0"/>
    </xf>
    <xf numFmtId="199" fontId="2" fillId="2" borderId="5" xfId="0" applyNumberFormat="1" applyFont="1" applyFill="1" applyBorder="1" applyAlignment="1" applyProtection="1">
      <alignment horizontal="left"/>
      <protection locked="0"/>
    </xf>
    <xf numFmtId="191" fontId="2" fillId="2" borderId="8" xfId="0" applyNumberFormat="1" applyFont="1" applyFill="1" applyBorder="1" applyAlignment="1" applyProtection="1">
      <alignment horizontal="center"/>
      <protection locked="0"/>
    </xf>
    <xf numFmtId="201" fontId="0" fillId="2" borderId="0" xfId="0" applyNumberFormat="1" applyFill="1" applyProtection="1">
      <protection locked="0"/>
    </xf>
    <xf numFmtId="201" fontId="2" fillId="3" borderId="0" xfId="0" applyNumberFormat="1" applyFont="1" applyFill="1" applyAlignment="1" applyProtection="1">
      <alignment horizontal="center"/>
      <protection locked="0"/>
    </xf>
    <xf numFmtId="201" fontId="2" fillId="3" borderId="0" xfId="0" applyNumberFormat="1" applyFont="1" applyFill="1" applyAlignment="1">
      <alignment horizontal="center"/>
    </xf>
    <xf numFmtId="205" fontId="0" fillId="3" borderId="0" xfId="0" applyNumberFormat="1" applyFill="1" applyAlignment="1" applyProtection="1">
      <alignment horizontal="left"/>
      <protection locked="0"/>
    </xf>
    <xf numFmtId="205" fontId="0" fillId="3" borderId="0" xfId="0" applyNumberFormat="1" applyFill="1" applyAlignment="1" applyProtection="1">
      <alignment horizontal="center"/>
      <protection locked="0"/>
    </xf>
    <xf numFmtId="205" fontId="0" fillId="3" borderId="8" xfId="0" applyNumberFormat="1" applyFill="1" applyBorder="1" applyProtection="1">
      <protection locked="0"/>
    </xf>
    <xf numFmtId="205" fontId="0" fillId="3" borderId="0" xfId="0" applyNumberFormat="1" applyFill="1" applyProtection="1">
      <protection locked="0"/>
    </xf>
    <xf numFmtId="172" fontId="0" fillId="3" borderId="0" xfId="0" applyNumberFormat="1" applyFill="1" applyProtection="1">
      <protection locked="0"/>
    </xf>
    <xf numFmtId="193" fontId="0" fillId="3" borderId="0" xfId="0" applyNumberFormat="1" applyFill="1" applyAlignment="1" applyProtection="1">
      <alignment horizontal="right"/>
      <protection locked="0"/>
    </xf>
    <xf numFmtId="193" fontId="0" fillId="3" borderId="0" xfId="0" applyNumberFormat="1" applyFill="1" applyProtection="1"/>
    <xf numFmtId="193" fontId="0" fillId="3" borderId="0" xfId="0" applyNumberFormat="1" applyFill="1" applyProtection="1">
      <protection locked="0"/>
    </xf>
    <xf numFmtId="198" fontId="2" fillId="3" borderId="0" xfId="0" applyNumberFormat="1" applyFont="1" applyFill="1" applyProtection="1">
      <protection locked="0"/>
    </xf>
    <xf numFmtId="198" fontId="0" fillId="3" borderId="8" xfId="0" applyNumberFormat="1" applyFill="1" applyBorder="1" applyProtection="1">
      <protection locked="0"/>
    </xf>
    <xf numFmtId="3" fontId="2" fillId="0" borderId="0" xfId="0" applyNumberFormat="1" applyFont="1" applyFill="1" applyAlignment="1">
      <alignment horizontal="center"/>
    </xf>
    <xf numFmtId="0" fontId="0" fillId="0" borderId="1" xfId="0" quotePrefix="1" applyBorder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209" fontId="0" fillId="2" borderId="5" xfId="0" applyNumberFormat="1" applyFill="1" applyBorder="1" applyAlignment="1" applyProtection="1">
      <alignment horizontal="right"/>
      <protection locked="0"/>
    </xf>
    <xf numFmtId="185" fontId="0" fillId="2" borderId="0" xfId="0" applyNumberFormat="1" applyFill="1" applyProtection="1">
      <protection locked="0"/>
    </xf>
    <xf numFmtId="202" fontId="0" fillId="2" borderId="0" xfId="0" applyNumberFormat="1" applyFill="1" applyProtection="1">
      <protection locked="0"/>
    </xf>
    <xf numFmtId="204" fontId="0" fillId="4" borderId="0" xfId="0" applyNumberFormat="1" applyFill="1" applyAlignment="1" applyProtection="1">
      <alignment horizontal="right"/>
    </xf>
    <xf numFmtId="186" fontId="0" fillId="2" borderId="0" xfId="0" applyNumberFormat="1" applyFill="1" applyProtection="1">
      <protection locked="0"/>
    </xf>
    <xf numFmtId="203" fontId="0" fillId="2" borderId="0" xfId="0" applyNumberFormat="1" applyFill="1" applyProtection="1">
      <protection locked="0"/>
    </xf>
    <xf numFmtId="210" fontId="2" fillId="2" borderId="0" xfId="0" applyNumberFormat="1" applyFont="1" applyFill="1" applyAlignment="1" applyProtection="1">
      <alignment horizontal="right"/>
      <protection locked="0"/>
    </xf>
    <xf numFmtId="0" fontId="1" fillId="0" borderId="1" xfId="0" applyFont="1" applyBorder="1" applyAlignment="1">
      <alignment horizontal="right"/>
    </xf>
    <xf numFmtId="193" fontId="0" fillId="3" borderId="8" xfId="0" applyNumberFormat="1" applyFill="1" applyBorder="1" applyAlignment="1" applyProtection="1">
      <alignment horizontal="center"/>
      <protection locked="0"/>
    </xf>
    <xf numFmtId="0" fontId="0" fillId="0" borderId="0" xfId="0" applyBorder="1"/>
    <xf numFmtId="0" fontId="1" fillId="0" borderId="0" xfId="0" applyFont="1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1" fillId="0" borderId="0" xfId="0" applyFont="1" applyBorder="1"/>
    <xf numFmtId="0" fontId="1" fillId="0" borderId="2" xfId="0" applyFont="1" applyBorder="1"/>
    <xf numFmtId="0" fontId="0" fillId="0" borderId="0" xfId="0" applyBorder="1" applyAlignment="1"/>
    <xf numFmtId="168" fontId="0" fillId="0" borderId="0" xfId="0" applyNumberFormat="1" applyBorder="1"/>
    <xf numFmtId="168" fontId="2" fillId="0" borderId="0" xfId="1" applyNumberFormat="1" applyBorder="1"/>
    <xf numFmtId="168" fontId="2" fillId="0" borderId="1" xfId="1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9" xfId="0" applyFont="1" applyBorder="1"/>
    <xf numFmtId="0" fontId="5" fillId="0" borderId="7" xfId="0" applyFont="1" applyBorder="1"/>
    <xf numFmtId="0" fontId="0" fillId="0" borderId="0" xfId="0" applyBorder="1" applyAlignment="1">
      <alignment horizontal="center"/>
    </xf>
    <xf numFmtId="0" fontId="5" fillId="0" borderId="5" xfId="0" applyFont="1" applyBorder="1"/>
    <xf numFmtId="0" fontId="5" fillId="0" borderId="0" xfId="0" applyFont="1" applyBorder="1"/>
    <xf numFmtId="173" fontId="0" fillId="0" borderId="0" xfId="0" applyNumberFormat="1" applyBorder="1"/>
    <xf numFmtId="173" fontId="0" fillId="0" borderId="14" xfId="0" applyNumberFormat="1" applyBorder="1"/>
    <xf numFmtId="173" fontId="0" fillId="0" borderId="7" xfId="0" applyNumberFormat="1" applyBorder="1"/>
    <xf numFmtId="173" fontId="0" fillId="0" borderId="15" xfId="0" applyNumberFormat="1" applyBorder="1"/>
    <xf numFmtId="173" fontId="0" fillId="0" borderId="16" xfId="0" applyNumberFormat="1" applyBorder="1"/>
    <xf numFmtId="173" fontId="0" fillId="0" borderId="1" xfId="0" applyNumberFormat="1" applyBorder="1"/>
    <xf numFmtId="0" fontId="6" fillId="0" borderId="5" xfId="0" applyFont="1" applyBorder="1"/>
    <xf numFmtId="212" fontId="2" fillId="0" borderId="0" xfId="1" applyNumberFormat="1" applyBorder="1"/>
    <xf numFmtId="0" fontId="0" fillId="0" borderId="0" xfId="0" quotePrefix="1" applyBorder="1" applyAlignment="1">
      <alignment horizontal="left"/>
    </xf>
    <xf numFmtId="212" fontId="0" fillId="0" borderId="0" xfId="0" applyNumberFormat="1" applyBorder="1"/>
    <xf numFmtId="0" fontId="0" fillId="0" borderId="0" xfId="0" quotePrefix="1" applyBorder="1"/>
    <xf numFmtId="212" fontId="2" fillId="0" borderId="1" xfId="1" applyNumberFormat="1" applyBorder="1"/>
    <xf numFmtId="0" fontId="0" fillId="0" borderId="6" xfId="0" applyBorder="1" applyAlignment="1">
      <alignment horizontal="centerContinuous"/>
    </xf>
    <xf numFmtId="198" fontId="0" fillId="0" borderId="0" xfId="0" applyNumberFormat="1" applyBorder="1"/>
    <xf numFmtId="0" fontId="0" fillId="0" borderId="0" xfId="0" applyNumberFormat="1" applyProtection="1"/>
    <xf numFmtId="0" fontId="0" fillId="0" borderId="0" xfId="0" applyBorder="1" applyProtection="1"/>
    <xf numFmtId="168" fontId="0" fillId="0" borderId="7" xfId="0" applyNumberFormat="1" applyBorder="1"/>
    <xf numFmtId="206" fontId="0" fillId="0" borderId="0" xfId="0" applyNumberFormat="1" applyBorder="1"/>
    <xf numFmtId="207" fontId="0" fillId="0" borderId="0" xfId="0" applyNumberFormat="1" applyBorder="1"/>
    <xf numFmtId="198" fontId="2" fillId="0" borderId="0" xfId="0" applyNumberFormat="1" applyFont="1" applyAlignment="1" applyProtection="1">
      <alignment horizontal="right"/>
      <protection locked="0"/>
    </xf>
    <xf numFmtId="172" fontId="2" fillId="0" borderId="0" xfId="0" applyNumberFormat="1" applyFont="1" applyProtection="1">
      <protection locked="0"/>
    </xf>
    <xf numFmtId="16" fontId="2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10" xfId="0" applyNumberFormat="1" applyBorder="1" applyAlignment="1">
      <alignment horizontal="center"/>
    </xf>
    <xf numFmtId="172" fontId="2" fillId="0" borderId="8" xfId="0" applyNumberFormat="1" applyFont="1" applyBorder="1"/>
    <xf numFmtId="170" fontId="2" fillId="0" borderId="0" xfId="1"/>
    <xf numFmtId="170" fontId="2" fillId="0" borderId="1" xfId="1" applyBorder="1"/>
    <xf numFmtId="170" fontId="2" fillId="0" borderId="0" xfId="1" applyAlignment="1">
      <alignment horizontal="centerContinuous"/>
    </xf>
    <xf numFmtId="170" fontId="2" fillId="0" borderId="7" xfId="1" applyBorder="1"/>
    <xf numFmtId="170" fontId="2" fillId="0" borderId="0" xfId="1" applyBorder="1"/>
    <xf numFmtId="0" fontId="5" fillId="0" borderId="0" xfId="0" applyFont="1"/>
    <xf numFmtId="168" fontId="5" fillId="0" borderId="0" xfId="1" applyNumberFormat="1" applyFont="1" applyBorder="1"/>
    <xf numFmtId="168" fontId="0" fillId="0" borderId="0" xfId="1" applyNumberFormat="1" applyFont="1" applyBorder="1"/>
    <xf numFmtId="0" fontId="5" fillId="0" borderId="8" xfId="0" applyFont="1" applyBorder="1"/>
    <xf numFmtId="16" fontId="0" fillId="0" borderId="3" xfId="0" applyNumberFormat="1" applyBorder="1" applyAlignment="1">
      <alignment horizontal="center"/>
    </xf>
    <xf numFmtId="170" fontId="2" fillId="0" borderId="3" xfId="1" applyBorder="1" applyProtection="1">
      <protection locked="0"/>
    </xf>
    <xf numFmtId="170" fontId="2" fillId="0" borderId="0" xfId="1" applyBorder="1" applyProtection="1">
      <protection locked="0"/>
    </xf>
    <xf numFmtId="198" fontId="0" fillId="0" borderId="0" xfId="0" applyNumberFormat="1" applyBorder="1" applyProtection="1">
      <protection locked="0"/>
    </xf>
    <xf numFmtId="0" fontId="0" fillId="0" borderId="5" xfId="0" quotePrefix="1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1" fillId="0" borderId="10" xfId="0" applyFont="1" applyBorder="1" applyAlignment="1">
      <alignment horizontal="right"/>
    </xf>
    <xf numFmtId="198" fontId="2" fillId="0" borderId="1" xfId="0" applyNumberFormat="1" applyFont="1" applyBorder="1" applyProtection="1">
      <protection locked="0"/>
    </xf>
    <xf numFmtId="198" fontId="0" fillId="0" borderId="10" xfId="0" applyNumberFormat="1" applyBorder="1" applyProtection="1">
      <protection locked="0"/>
    </xf>
    <xf numFmtId="198" fontId="2" fillId="0" borderId="1" xfId="0" applyNumberFormat="1" applyFont="1" applyBorder="1" applyAlignment="1" applyProtection="1">
      <alignment horizontal="center"/>
      <protection locked="0"/>
    </xf>
    <xf numFmtId="198" fontId="2" fillId="3" borderId="8" xfId="0" applyNumberFormat="1" applyFont="1" applyFill="1" applyBorder="1" applyProtection="1">
      <protection locked="0"/>
    </xf>
    <xf numFmtId="168" fontId="2" fillId="0" borderId="0" xfId="1" applyNumberFormat="1" applyFill="1" applyBorder="1"/>
    <xf numFmtId="0" fontId="2" fillId="0" borderId="0" xfId="0" applyFont="1" applyBorder="1"/>
    <xf numFmtId="168" fontId="2" fillId="4" borderId="0" xfId="1" applyNumberFormat="1" applyFill="1" applyBorder="1"/>
    <xf numFmtId="0" fontId="0" fillId="0" borderId="12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3" xfId="0" applyBorder="1" applyProtection="1">
      <protection locked="0"/>
    </xf>
    <xf numFmtId="213" fontId="0" fillId="0" borderId="15" xfId="0" applyNumberFormat="1" applyBorder="1"/>
    <xf numFmtId="213" fontId="0" fillId="0" borderId="0" xfId="0" applyNumberFormat="1" applyBorder="1"/>
    <xf numFmtId="213" fontId="0" fillId="0" borderId="15" xfId="0" applyNumberFormat="1" applyBorder="1" applyAlignment="1">
      <alignment horizontal="center"/>
    </xf>
    <xf numFmtId="216" fontId="2" fillId="0" borderId="0" xfId="1" applyNumberFormat="1" applyBorder="1"/>
    <xf numFmtId="168" fontId="2" fillId="0" borderId="0" xfId="1" applyNumberFormat="1" applyBorder="1" applyProtection="1">
      <protection locked="0"/>
    </xf>
    <xf numFmtId="168" fontId="2" fillId="0" borderId="1" xfId="1" applyNumberFormat="1" applyBorder="1" applyProtection="1">
      <protection locked="0"/>
    </xf>
    <xf numFmtId="9" fontId="2" fillId="0" borderId="0" xfId="2" applyNumberFormat="1" applyBorder="1" applyProtection="1">
      <protection locked="0"/>
    </xf>
    <xf numFmtId="211" fontId="2" fillId="0" borderId="0" xfId="1" applyNumberFormat="1" applyBorder="1"/>
    <xf numFmtId="212" fontId="2" fillId="0" borderId="0" xfId="1" applyNumberFormat="1" applyBorder="1" applyProtection="1">
      <protection locked="0"/>
    </xf>
    <xf numFmtId="212" fontId="2" fillId="0" borderId="1" xfId="1" applyNumberFormat="1" applyBorder="1" applyProtection="1">
      <protection locked="0"/>
    </xf>
    <xf numFmtId="216" fontId="0" fillId="0" borderId="0" xfId="0" applyNumberFormat="1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9" xfId="0" applyFont="1" applyBorder="1"/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1" xfId="0" applyFont="1" applyBorder="1"/>
    <xf numFmtId="0" fontId="6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78" fontId="6" fillId="2" borderId="5" xfId="0" applyNumberFormat="1" applyFont="1" applyFill="1" applyBorder="1" applyAlignment="1" applyProtection="1">
      <alignment horizontal="left"/>
      <protection locked="0"/>
    </xf>
    <xf numFmtId="198" fontId="6" fillId="2" borderId="0" xfId="0" applyNumberFormat="1" applyFont="1" applyFill="1" applyProtection="1">
      <protection locked="0"/>
    </xf>
    <xf numFmtId="198" fontId="6" fillId="0" borderId="8" xfId="0" applyNumberFormat="1" applyFont="1" applyBorder="1"/>
    <xf numFmtId="0" fontId="6" fillId="0" borderId="5" xfId="0" applyFont="1" applyBorder="1" applyAlignment="1">
      <alignment horizontal="right"/>
    </xf>
    <xf numFmtId="200" fontId="6" fillId="0" borderId="8" xfId="0" applyNumberFormat="1" applyFont="1" applyBorder="1" applyProtection="1">
      <protection locked="0"/>
    </xf>
    <xf numFmtId="0" fontId="6" fillId="0" borderId="5" xfId="0" applyFont="1" applyBorder="1" applyAlignment="1">
      <alignment horizontal="left"/>
    </xf>
    <xf numFmtId="188" fontId="6" fillId="0" borderId="8" xfId="0" applyNumberFormat="1" applyFont="1" applyBorder="1"/>
    <xf numFmtId="198" fontId="6" fillId="0" borderId="0" xfId="0" applyNumberFormat="1" applyFont="1"/>
    <xf numFmtId="0" fontId="6" fillId="0" borderId="1" xfId="0" applyFont="1" applyBorder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NumberFormat="1" applyFont="1" applyAlignment="1" applyProtection="1">
      <alignment horizontal="left"/>
      <protection locked="0"/>
    </xf>
    <xf numFmtId="200" fontId="6" fillId="0" borderId="8" xfId="0" applyNumberFormat="1" applyFont="1" applyBorder="1"/>
    <xf numFmtId="198" fontId="2" fillId="0" borderId="0" xfId="0" applyNumberFormat="1" applyFont="1" applyFill="1" applyProtection="1">
      <protection locked="0"/>
    </xf>
    <xf numFmtId="0" fontId="0" fillId="0" borderId="0" xfId="0" quotePrefix="1" applyAlignment="1">
      <alignment horizontal="right"/>
    </xf>
    <xf numFmtId="168" fontId="2" fillId="0" borderId="0" xfId="1" quotePrefix="1" applyNumberFormat="1" applyFont="1" applyBorder="1" applyAlignment="1">
      <alignment horizontal="right"/>
    </xf>
    <xf numFmtId="168" fontId="0" fillId="0" borderId="0" xfId="0" quotePrefix="1" applyNumberFormat="1" applyAlignment="1">
      <alignment horizontal="right"/>
    </xf>
    <xf numFmtId="168" fontId="0" fillId="0" borderId="1" xfId="1" applyNumberFormat="1" applyFont="1" applyBorder="1"/>
    <xf numFmtId="217" fontId="1" fillId="0" borderId="0" xfId="0" applyNumberFormat="1" applyFont="1" applyAlignment="1">
      <alignment horizontal="left"/>
    </xf>
    <xf numFmtId="0" fontId="0" fillId="0" borderId="12" xfId="0" applyBorder="1"/>
    <xf numFmtId="0" fontId="0" fillId="0" borderId="13" xfId="0" applyBorder="1"/>
    <xf numFmtId="215" fontId="0" fillId="2" borderId="5" xfId="0" applyNumberFormat="1" applyFill="1" applyBorder="1"/>
    <xf numFmtId="198" fontId="0" fillId="2" borderId="0" xfId="0" applyNumberFormat="1" applyFill="1"/>
    <xf numFmtId="198" fontId="0" fillId="2" borderId="8" xfId="0" applyNumberFormat="1" applyFill="1" applyBorder="1"/>
    <xf numFmtId="175" fontId="0" fillId="2" borderId="0" xfId="0" applyNumberFormat="1" applyFill="1"/>
    <xf numFmtId="175" fontId="0" fillId="2" borderId="0" xfId="0" applyNumberFormat="1" applyFill="1" applyBorder="1"/>
    <xf numFmtId="172" fontId="0" fillId="4" borderId="8" xfId="0" applyNumberFormat="1" applyFill="1" applyBorder="1"/>
    <xf numFmtId="175" fontId="0" fillId="4" borderId="0" xfId="0" applyNumberFormat="1" applyFill="1" applyAlignment="1">
      <alignment horizontal="center"/>
    </xf>
    <xf numFmtId="175" fontId="0" fillId="4" borderId="8" xfId="0" applyNumberFormat="1" applyFill="1" applyBorder="1" applyAlignment="1">
      <alignment horizontal="center"/>
    </xf>
    <xf numFmtId="175" fontId="0" fillId="0" borderId="0" xfId="0" applyNumberFormat="1" applyBorder="1"/>
    <xf numFmtId="170" fontId="2" fillId="0" borderId="3" xfId="1" applyFont="1" applyBorder="1" applyAlignment="1" applyProtection="1">
      <alignment horizontal="center"/>
      <protection locked="0"/>
    </xf>
    <xf numFmtId="3" fontId="2" fillId="0" borderId="0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175" fontId="2" fillId="0" borderId="0" xfId="0" applyNumberFormat="1" applyFont="1" applyFill="1" applyAlignment="1" applyProtection="1">
      <alignment horizontal="center"/>
      <protection locked="0"/>
    </xf>
    <xf numFmtId="175" fontId="2" fillId="2" borderId="0" xfId="0" applyNumberFormat="1" applyFont="1" applyFill="1" applyBorder="1" applyAlignment="1" applyProtection="1">
      <alignment horizontal="center"/>
      <protection locked="0"/>
    </xf>
    <xf numFmtId="3" fontId="2" fillId="0" borderId="3" xfId="0" applyNumberFormat="1" applyFont="1" applyBorder="1" applyAlignment="1">
      <alignment horizontal="centerContinuous"/>
    </xf>
    <xf numFmtId="173" fontId="2" fillId="0" borderId="0" xfId="0" applyNumberFormat="1" applyFont="1" applyFill="1"/>
    <xf numFmtId="3" fontId="2" fillId="0" borderId="6" xfId="0" applyNumberFormat="1" applyFont="1" applyBorder="1" applyAlignment="1">
      <alignment horizontal="center"/>
    </xf>
    <xf numFmtId="175" fontId="2" fillId="2" borderId="4" xfId="0" applyNumberFormat="1" applyFont="1" applyFill="1" applyBorder="1" applyAlignment="1" applyProtection="1">
      <alignment horizontal="center"/>
      <protection locked="0"/>
    </xf>
    <xf numFmtId="175" fontId="2" fillId="2" borderId="8" xfId="0" applyNumberFormat="1" applyFont="1" applyFill="1" applyBorder="1" applyAlignment="1" applyProtection="1">
      <alignment horizontal="center"/>
      <protection locked="0"/>
    </xf>
    <xf numFmtId="3" fontId="2" fillId="0" borderId="6" xfId="0" applyNumberFormat="1" applyFont="1" applyBorder="1"/>
    <xf numFmtId="3" fontId="2" fillId="0" borderId="6" xfId="0" applyNumberFormat="1" applyFont="1" applyBorder="1" applyAlignment="1">
      <alignment horizontal="right"/>
    </xf>
    <xf numFmtId="0" fontId="0" fillId="0" borderId="0" xfId="0" applyFill="1" applyProtection="1"/>
    <xf numFmtId="176" fontId="0" fillId="0" borderId="0" xfId="0" applyNumberFormat="1" applyFill="1" applyProtection="1"/>
    <xf numFmtId="0" fontId="0" fillId="0" borderId="3" xfId="0" applyBorder="1" applyAlignment="1" applyProtection="1">
      <alignment horizontal="centerContinuous"/>
    </xf>
    <xf numFmtId="172" fontId="0" fillId="0" borderId="7" xfId="0" applyNumberFormat="1" applyBorder="1"/>
    <xf numFmtId="172" fontId="0" fillId="0" borderId="4" xfId="0" applyNumberFormat="1" applyBorder="1"/>
    <xf numFmtId="0" fontId="0" fillId="0" borderId="0" xfId="0" quotePrefix="1" applyBorder="1" applyAlignment="1" applyProtection="1">
      <alignment horizontal="center"/>
    </xf>
    <xf numFmtId="172" fontId="0" fillId="2" borderId="0" xfId="0" applyNumberFormat="1" applyFill="1" applyBorder="1"/>
    <xf numFmtId="172" fontId="0" fillId="0" borderId="0" xfId="0" applyNumberFormat="1" applyBorder="1"/>
    <xf numFmtId="0" fontId="6" fillId="0" borderId="2" xfId="0" applyFont="1" applyBorder="1"/>
    <xf numFmtId="201" fontId="2" fillId="2" borderId="0" xfId="0" applyNumberFormat="1" applyFont="1" applyFill="1" applyAlignment="1" applyProtection="1">
      <alignment horizontal="center"/>
      <protection locked="0"/>
    </xf>
    <xf numFmtId="0" fontId="6" fillId="0" borderId="8" xfId="0" applyFont="1" applyBorder="1"/>
    <xf numFmtId="0" fontId="6" fillId="0" borderId="10" xfId="0" applyFont="1" applyBorder="1"/>
    <xf numFmtId="201" fontId="0" fillId="0" borderId="0" xfId="0" applyNumberFormat="1" applyFill="1" applyProtection="1">
      <protection locked="0"/>
    </xf>
    <xf numFmtId="172" fontId="0" fillId="0" borderId="0" xfId="0" applyNumberFormat="1" applyFill="1" applyProtection="1">
      <protection locked="0"/>
    </xf>
    <xf numFmtId="0" fontId="0" fillId="0" borderId="5" xfId="0" applyBorder="1" applyAlignment="1" applyProtection="1">
      <alignment horizontal="right"/>
    </xf>
    <xf numFmtId="172" fontId="0" fillId="2" borderId="0" xfId="0" applyNumberFormat="1" applyFill="1" applyProtection="1">
      <protection locked="0"/>
    </xf>
    <xf numFmtId="0" fontId="0" fillId="0" borderId="17" xfId="0" applyBorder="1"/>
    <xf numFmtId="198" fontId="0" fillId="0" borderId="0" xfId="0" applyNumberFormat="1" applyFill="1"/>
    <xf numFmtId="198" fontId="0" fillId="0" borderId="8" xfId="0" applyNumberFormat="1" applyFill="1" applyBorder="1"/>
    <xf numFmtId="175" fontId="0" fillId="0" borderId="0" xfId="0" applyNumberFormat="1" applyFill="1"/>
    <xf numFmtId="175" fontId="0" fillId="0" borderId="0" xfId="0" applyNumberFormat="1" applyFill="1" applyBorder="1"/>
    <xf numFmtId="172" fontId="2" fillId="0" borderId="0" xfId="0" applyNumberFormat="1" applyFont="1" applyBorder="1"/>
    <xf numFmtId="0" fontId="1" fillId="0" borderId="0" xfId="0" quotePrefix="1" applyFont="1" applyAlignment="1">
      <alignment horizontal="center"/>
    </xf>
    <xf numFmtId="0" fontId="0" fillId="0" borderId="2" xfId="0" applyBorder="1"/>
    <xf numFmtId="0" fontId="0" fillId="0" borderId="5" xfId="0" applyBorder="1" applyProtection="1">
      <protection locked="0"/>
    </xf>
    <xf numFmtId="0" fontId="2" fillId="0" borderId="9" xfId="0" applyFont="1" applyBorder="1" applyAlignment="1" applyProtection="1">
      <alignment horizontal="left"/>
    </xf>
    <xf numFmtId="0" fontId="1" fillId="0" borderId="1" xfId="0" applyFont="1" applyBorder="1" applyProtection="1"/>
    <xf numFmtId="173" fontId="0" fillId="0" borderId="4" xfId="0" applyNumberFormat="1" applyBorder="1"/>
    <xf numFmtId="213" fontId="0" fillId="0" borderId="8" xfId="0" applyNumberFormat="1" applyBorder="1"/>
    <xf numFmtId="173" fontId="0" fillId="0" borderId="8" xfId="0" applyNumberFormat="1" applyBorder="1"/>
    <xf numFmtId="214" fontId="0" fillId="0" borderId="8" xfId="0" applyNumberFormat="1" applyBorder="1"/>
    <xf numFmtId="214" fontId="0" fillId="0" borderId="8" xfId="0" applyNumberFormat="1" applyBorder="1" applyAlignment="1">
      <alignment horizontal="center"/>
    </xf>
    <xf numFmtId="173" fontId="0" fillId="0" borderId="8" xfId="0" applyNumberFormat="1" applyBorder="1" applyAlignment="1">
      <alignment horizontal="center"/>
    </xf>
    <xf numFmtId="173" fontId="0" fillId="0" borderId="10" xfId="0" applyNumberFormat="1" applyBorder="1"/>
    <xf numFmtId="219" fontId="0" fillId="0" borderId="0" xfId="0" applyNumberFormat="1" applyProtection="1">
      <protection locked="0"/>
    </xf>
    <xf numFmtId="16" fontId="0" fillId="0" borderId="9" xfId="0" quotePrefix="1" applyNumberFormat="1" applyBorder="1" applyAlignment="1">
      <alignment horizontal="left"/>
    </xf>
    <xf numFmtId="172" fontId="0" fillId="3" borderId="0" xfId="0" applyNumberFormat="1" applyFill="1" applyAlignment="1" applyProtection="1">
      <alignment horizontal="right"/>
      <protection locked="0"/>
    </xf>
    <xf numFmtId="172" fontId="0" fillId="3" borderId="0" xfId="0" applyNumberFormat="1" applyFill="1" applyProtection="1"/>
    <xf numFmtId="172" fontId="0" fillId="0" borderId="0" xfId="0" applyNumberFormat="1" applyProtection="1"/>
    <xf numFmtId="172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right"/>
    </xf>
    <xf numFmtId="175" fontId="0" fillId="3" borderId="0" xfId="0" applyNumberFormat="1" applyFill="1" applyAlignment="1" applyProtection="1">
      <alignment horizontal="right"/>
      <protection locked="0"/>
    </xf>
    <xf numFmtId="0" fontId="0" fillId="0" borderId="11" xfId="0" applyBorder="1" applyProtection="1">
      <protection locked="0"/>
    </xf>
    <xf numFmtId="193" fontId="0" fillId="0" borderId="1" xfId="0" applyNumberFormat="1" applyBorder="1" applyProtection="1">
      <protection locked="0"/>
    </xf>
    <xf numFmtId="172" fontId="0" fillId="0" borderId="1" xfId="0" applyNumberFormat="1" applyBorder="1" applyAlignment="1" applyProtection="1">
      <alignment horizontal="center"/>
      <protection locked="0"/>
    </xf>
    <xf numFmtId="193" fontId="0" fillId="0" borderId="8" xfId="0" applyNumberFormat="1" applyBorder="1" applyAlignment="1" applyProtection="1">
      <alignment horizontal="center"/>
      <protection locked="0"/>
    </xf>
    <xf numFmtId="220" fontId="0" fillId="2" borderId="5" xfId="0" applyNumberFormat="1" applyFill="1" applyBorder="1" applyAlignment="1" applyProtection="1">
      <alignment horizontal="left"/>
      <protection locked="0"/>
    </xf>
    <xf numFmtId="219" fontId="0" fillId="2" borderId="0" xfId="0" applyNumberFormat="1" applyFill="1" applyProtection="1">
      <protection locked="0"/>
    </xf>
    <xf numFmtId="172" fontId="0" fillId="0" borderId="0" xfId="0" applyNumberFormat="1" applyFill="1" applyAlignment="1" applyProtection="1">
      <alignment horizontal="right"/>
      <protection locked="0"/>
    </xf>
    <xf numFmtId="172" fontId="0" fillId="0" borderId="8" xfId="0" applyNumberForma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193" fontId="0" fillId="0" borderId="0" xfId="0" applyNumberFormat="1" applyBorder="1" applyProtection="1">
      <protection locked="0"/>
    </xf>
    <xf numFmtId="172" fontId="0" fillId="0" borderId="0" xfId="0" applyNumberFormat="1" applyBorder="1" applyAlignment="1" applyProtection="1">
      <alignment horizontal="center"/>
      <protection locked="0"/>
    </xf>
    <xf numFmtId="0" fontId="1" fillId="0" borderId="4" xfId="0" applyFont="1" applyBorder="1"/>
    <xf numFmtId="0" fontId="1" fillId="0" borderId="10" xfId="0" applyFont="1" applyBorder="1" applyAlignment="1">
      <alignment horizontal="center"/>
    </xf>
    <xf numFmtId="207" fontId="0" fillId="0" borderId="6" xfId="0" applyNumberFormat="1" applyBorder="1"/>
    <xf numFmtId="207" fontId="0" fillId="0" borderId="4" xfId="0" applyNumberFormat="1" applyBorder="1"/>
    <xf numFmtId="207" fontId="0" fillId="0" borderId="10" xfId="0" applyNumberFormat="1" applyBorder="1"/>
    <xf numFmtId="207" fontId="0" fillId="0" borderId="3" xfId="0" applyNumberFormat="1" applyBorder="1"/>
    <xf numFmtId="0" fontId="1" fillId="0" borderId="3" xfId="0" applyFont="1" applyBorder="1"/>
    <xf numFmtId="198" fontId="0" fillId="0" borderId="3" xfId="0" applyNumberFormat="1" applyBorder="1" applyProtection="1">
      <protection locked="0"/>
    </xf>
    <xf numFmtId="175" fontId="2" fillId="0" borderId="8" xfId="0" applyNumberFormat="1" applyFont="1" applyBorder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centerContinuous"/>
    </xf>
    <xf numFmtId="217" fontId="1" fillId="5" borderId="0" xfId="0" applyNumberFormat="1" applyFont="1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Continuous"/>
    </xf>
    <xf numFmtId="0" fontId="1" fillId="5" borderId="0" xfId="0" applyFont="1" applyFill="1" applyAlignment="1"/>
    <xf numFmtId="0" fontId="1" fillId="5" borderId="0" xfId="0" applyFont="1" applyFill="1" applyAlignment="1" applyProtection="1"/>
    <xf numFmtId="0" fontId="0" fillId="5" borderId="0" xfId="0" applyFill="1" applyAlignment="1"/>
    <xf numFmtId="170" fontId="2" fillId="5" borderId="0" xfId="1" applyFill="1"/>
    <xf numFmtId="170" fontId="2" fillId="5" borderId="0" xfId="1" applyFill="1" applyAlignment="1">
      <alignment horizontal="centerContinuous"/>
    </xf>
    <xf numFmtId="0" fontId="8" fillId="0" borderId="0" xfId="0" applyFont="1"/>
    <xf numFmtId="0" fontId="9" fillId="0" borderId="0" xfId="0" applyFont="1"/>
    <xf numFmtId="14" fontId="8" fillId="0" borderId="0" xfId="0" applyNumberFormat="1" applyFont="1" applyAlignment="1">
      <alignment horizontal="right"/>
    </xf>
    <xf numFmtId="0" fontId="2" fillId="0" borderId="4" xfId="0" applyFont="1" applyBorder="1"/>
    <xf numFmtId="0" fontId="2" fillId="0" borderId="8" xfId="0" applyFont="1" applyBorder="1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2" fillId="0" borderId="8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3" xfId="0" applyFont="1" applyBorder="1" applyAlignment="1">
      <alignment horizontal="centerContinuous"/>
    </xf>
    <xf numFmtId="0" fontId="2" fillId="0" borderId="1" xfId="0" applyFont="1" applyBorder="1"/>
    <xf numFmtId="0" fontId="2" fillId="0" borderId="10" xfId="0" applyFont="1" applyBorder="1"/>
    <xf numFmtId="3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4E4E4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F4F4F4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zoomScaleNormal="100" zoomScaleSheetLayoutView="65" workbookViewId="0"/>
  </sheetViews>
  <sheetFormatPr defaultColWidth="9.1796875" defaultRowHeight="12.75" customHeight="1" x14ac:dyDescent="0.25"/>
  <cols>
    <col min="1" max="1" width="18.54296875" style="4" customWidth="1"/>
    <col min="2" max="2" width="12.7265625" style="4" customWidth="1"/>
    <col min="3" max="3" width="11.7265625" style="4" customWidth="1"/>
    <col min="4" max="4" width="13.7265625" style="4" customWidth="1"/>
    <col min="5" max="5" width="10.7265625" style="3" customWidth="1"/>
    <col min="6" max="8" width="10.7265625" style="4" customWidth="1"/>
    <col min="9" max="9" width="4.453125" style="4" customWidth="1"/>
    <col min="10" max="16384" width="9.1796875" style="4"/>
  </cols>
  <sheetData>
    <row r="1" spans="1:9" s="512" customFormat="1" ht="13.5" customHeight="1" x14ac:dyDescent="0.3">
      <c r="A1" s="415" t="s">
        <v>759</v>
      </c>
      <c r="B1" s="3"/>
      <c r="C1" s="4"/>
      <c r="D1" s="3"/>
      <c r="E1" s="3"/>
      <c r="F1" s="4"/>
      <c r="G1" s="4"/>
      <c r="H1" s="4"/>
      <c r="I1" s="511"/>
    </row>
    <row r="2" spans="1:9" ht="13.5" customHeight="1" x14ac:dyDescent="0.3">
      <c r="A2" s="528" t="s">
        <v>0</v>
      </c>
      <c r="B2" s="528"/>
      <c r="C2" s="528"/>
      <c r="D2" s="528"/>
      <c r="E2" s="528"/>
      <c r="F2" s="528"/>
      <c r="G2" s="528"/>
      <c r="H2" s="528"/>
    </row>
    <row r="3" spans="1:9" s="512" customFormat="1" ht="13.5" customHeight="1" x14ac:dyDescent="0.3">
      <c r="A3" s="528" t="s">
        <v>42</v>
      </c>
      <c r="B3" s="528"/>
      <c r="C3" s="528"/>
      <c r="D3" s="528"/>
      <c r="E3" s="528"/>
      <c r="F3" s="528"/>
      <c r="G3" s="528"/>
      <c r="H3" s="528"/>
      <c r="I3" s="513"/>
    </row>
    <row r="4" spans="1:9" ht="13.5" customHeight="1" x14ac:dyDescent="0.3">
      <c r="A4" s="529" t="s">
        <v>760</v>
      </c>
      <c r="B4" s="529"/>
      <c r="C4" s="529"/>
      <c r="D4" s="529"/>
      <c r="E4" s="529"/>
      <c r="F4" s="529"/>
      <c r="G4" s="529"/>
      <c r="H4" s="529"/>
    </row>
    <row r="5" spans="1:9" ht="13.5" customHeight="1" x14ac:dyDescent="0.3">
      <c r="A5" s="6" t="s">
        <v>576</v>
      </c>
      <c r="B5" s="7"/>
      <c r="C5" s="8"/>
      <c r="D5" s="7"/>
      <c r="E5" s="7"/>
      <c r="F5" s="7"/>
      <c r="G5" s="7"/>
      <c r="H5" s="5"/>
      <c r="I5" s="7"/>
    </row>
    <row r="6" spans="1:9" ht="13.5" customHeight="1" x14ac:dyDescent="0.25">
      <c r="A6" s="9" t="s">
        <v>2</v>
      </c>
      <c r="B6" s="10"/>
      <c r="C6" s="526" t="s">
        <v>755</v>
      </c>
      <c r="D6" s="526"/>
      <c r="E6" s="526" t="s">
        <v>3</v>
      </c>
      <c r="F6" s="526"/>
      <c r="G6" s="432" t="s">
        <v>754</v>
      </c>
      <c r="H6" s="14"/>
      <c r="I6" s="7"/>
    </row>
    <row r="7" spans="1:9" ht="16" customHeight="1" x14ac:dyDescent="0.25">
      <c r="A7" s="12" t="s">
        <v>577</v>
      </c>
      <c r="B7" s="248">
        <v>0</v>
      </c>
      <c r="C7" s="431">
        <v>0</v>
      </c>
      <c r="D7" s="428" t="s">
        <v>5</v>
      </c>
      <c r="E7" s="431">
        <v>0</v>
      </c>
      <c r="F7" s="4" t="s">
        <v>554</v>
      </c>
      <c r="G7" s="251">
        <v>0</v>
      </c>
      <c r="H7" s="514" t="s">
        <v>566</v>
      </c>
      <c r="I7" s="15"/>
    </row>
    <row r="8" spans="1:9" ht="16" customHeight="1" x14ac:dyDescent="0.25">
      <c r="A8" s="16" t="s">
        <v>4</v>
      </c>
      <c r="B8" s="297">
        <v>0</v>
      </c>
      <c r="C8" s="431">
        <v>0</v>
      </c>
      <c r="D8" s="428" t="s">
        <v>553</v>
      </c>
      <c r="E8" s="431">
        <v>0</v>
      </c>
      <c r="F8" s="428" t="s">
        <v>6</v>
      </c>
      <c r="G8" s="431">
        <v>0</v>
      </c>
      <c r="H8" s="18" t="s">
        <v>7</v>
      </c>
      <c r="I8" s="15"/>
    </row>
    <row r="9" spans="1:9" ht="16" customHeight="1" x14ac:dyDescent="0.25">
      <c r="A9" s="16"/>
      <c r="C9" s="431">
        <v>0</v>
      </c>
      <c r="D9" s="20" t="s">
        <v>8</v>
      </c>
      <c r="E9" s="431">
        <v>0</v>
      </c>
      <c r="F9" s="20" t="s">
        <v>9</v>
      </c>
      <c r="G9" s="252">
        <v>0</v>
      </c>
      <c r="H9" s="18" t="s">
        <v>10</v>
      </c>
      <c r="I9" s="15"/>
    </row>
    <row r="10" spans="1:9" ht="16" customHeight="1" x14ac:dyDescent="0.25">
      <c r="A10" s="16" t="s">
        <v>11</v>
      </c>
      <c r="B10" s="15" t="s">
        <v>12</v>
      </c>
      <c r="C10" s="431">
        <v>0</v>
      </c>
      <c r="D10" s="20" t="s">
        <v>13</v>
      </c>
      <c r="E10" s="431">
        <v>0</v>
      </c>
      <c r="F10" s="20" t="s">
        <v>14</v>
      </c>
      <c r="G10" s="252">
        <v>0</v>
      </c>
      <c r="H10" s="18" t="s">
        <v>8</v>
      </c>
      <c r="I10" s="15"/>
    </row>
    <row r="11" spans="1:9" ht="16" customHeight="1" x14ac:dyDescent="0.25">
      <c r="A11" s="21" t="s">
        <v>15</v>
      </c>
      <c r="B11" s="249">
        <v>0</v>
      </c>
      <c r="C11" s="15"/>
      <c r="D11" s="15"/>
      <c r="E11" s="13"/>
      <c r="F11" s="15"/>
      <c r="G11" s="15"/>
      <c r="H11" s="22"/>
      <c r="I11" s="15"/>
    </row>
    <row r="12" spans="1:9" ht="16" customHeight="1" x14ac:dyDescent="0.25">
      <c r="A12" s="16" t="s">
        <v>16</v>
      </c>
      <c r="B12" s="250">
        <v>0</v>
      </c>
      <c r="C12" s="527" t="s">
        <v>26</v>
      </c>
      <c r="D12" s="527"/>
      <c r="E12" s="502" t="s">
        <v>17</v>
      </c>
      <c r="F12" s="13"/>
      <c r="G12" s="23" t="s">
        <v>18</v>
      </c>
      <c r="H12" s="23"/>
      <c r="I12" s="15"/>
    </row>
    <row r="13" spans="1:9" ht="16" customHeight="1" x14ac:dyDescent="0.25">
      <c r="A13" s="16" t="s">
        <v>19</v>
      </c>
      <c r="B13" s="250">
        <v>0</v>
      </c>
      <c r="C13" s="431">
        <v>0</v>
      </c>
      <c r="D13" s="20" t="s">
        <v>579</v>
      </c>
      <c r="E13" s="431">
        <v>0</v>
      </c>
      <c r="F13" s="17" t="s">
        <v>20</v>
      </c>
      <c r="G13" s="251">
        <v>0</v>
      </c>
      <c r="H13" s="24" t="s">
        <v>21</v>
      </c>
      <c r="I13" s="15"/>
    </row>
    <row r="14" spans="1:9" ht="16" customHeight="1" x14ac:dyDescent="0.25">
      <c r="A14" s="16" t="s">
        <v>22</v>
      </c>
      <c r="B14" s="250">
        <v>0</v>
      </c>
      <c r="C14" s="431">
        <v>0</v>
      </c>
      <c r="D14" s="20" t="s">
        <v>27</v>
      </c>
      <c r="E14" s="431">
        <v>0</v>
      </c>
      <c r="F14" s="20" t="s">
        <v>23</v>
      </c>
      <c r="G14" s="252">
        <v>0</v>
      </c>
      <c r="H14" s="18" t="s">
        <v>24</v>
      </c>
      <c r="I14" s="15"/>
    </row>
    <row r="15" spans="1:9" ht="16" customHeight="1" x14ac:dyDescent="0.25">
      <c r="A15" s="16" t="s">
        <v>8</v>
      </c>
      <c r="B15" s="250">
        <v>0</v>
      </c>
      <c r="C15" s="431">
        <v>0</v>
      </c>
      <c r="D15" s="20" t="s">
        <v>28</v>
      </c>
      <c r="E15" s="431">
        <v>0</v>
      </c>
      <c r="F15" s="20" t="s">
        <v>13</v>
      </c>
      <c r="G15" s="252">
        <v>0</v>
      </c>
      <c r="H15" s="18" t="s">
        <v>25</v>
      </c>
      <c r="I15" s="15"/>
    </row>
    <row r="16" spans="1:9" ht="16" customHeight="1" x14ac:dyDescent="0.25">
      <c r="A16" s="16"/>
      <c r="B16" s="286"/>
      <c r="C16" s="431">
        <v>0</v>
      </c>
      <c r="D16" s="20" t="s">
        <v>578</v>
      </c>
      <c r="E16" s="25"/>
      <c r="F16" s="15"/>
      <c r="G16" s="252">
        <v>0</v>
      </c>
      <c r="H16" s="18" t="s">
        <v>13</v>
      </c>
      <c r="I16" s="15"/>
    </row>
    <row r="17" spans="1:9" ht="16" customHeight="1" x14ac:dyDescent="0.25">
      <c r="A17" s="16"/>
      <c r="B17" s="15"/>
      <c r="D17" s="20"/>
      <c r="E17" s="25"/>
      <c r="F17" s="15"/>
      <c r="H17" s="515"/>
      <c r="I17" s="15"/>
    </row>
    <row r="18" spans="1:9" ht="16" customHeight="1" x14ac:dyDescent="0.25">
      <c r="A18" s="27" t="s">
        <v>580</v>
      </c>
      <c r="B18" s="250">
        <v>0</v>
      </c>
      <c r="C18" s="4" t="s">
        <v>581</v>
      </c>
      <c r="D18" s="250">
        <v>0</v>
      </c>
      <c r="E18" s="516" t="s">
        <v>565</v>
      </c>
      <c r="F18" s="430"/>
      <c r="H18" s="22"/>
      <c r="I18" s="15"/>
    </row>
    <row r="19" spans="1:9" ht="9" customHeight="1" x14ac:dyDescent="0.25">
      <c r="A19" s="27"/>
      <c r="B19" s="15"/>
      <c r="C19" s="15"/>
      <c r="D19" s="15"/>
      <c r="E19" s="13"/>
      <c r="F19" s="15"/>
      <c r="G19" s="15"/>
      <c r="H19" s="22"/>
      <c r="I19" s="15"/>
    </row>
    <row r="20" spans="1:9" ht="13.5" customHeight="1" x14ac:dyDescent="0.25">
      <c r="A20" s="35" t="s">
        <v>756</v>
      </c>
      <c r="B20" s="517"/>
      <c r="C20" s="517"/>
      <c r="D20" s="518" t="s">
        <v>741</v>
      </c>
      <c r="E20" s="519" t="s">
        <v>745</v>
      </c>
      <c r="F20" s="519"/>
      <c r="G20" s="29"/>
      <c r="H20" s="434"/>
      <c r="I20" s="15"/>
    </row>
    <row r="21" spans="1:9" ht="16" customHeight="1" x14ac:dyDescent="0.25">
      <c r="A21" s="30" t="s">
        <v>29</v>
      </c>
      <c r="B21" s="252">
        <v>0</v>
      </c>
      <c r="E21" s="7" t="s">
        <v>744</v>
      </c>
      <c r="F21" s="7" t="s">
        <v>742</v>
      </c>
      <c r="G21" s="7" t="s">
        <v>743</v>
      </c>
      <c r="H21" s="520" t="s">
        <v>33</v>
      </c>
      <c r="I21" s="15"/>
    </row>
    <row r="22" spans="1:9" ht="16" customHeight="1" x14ac:dyDescent="0.25">
      <c r="A22" s="30">
        <v>-2</v>
      </c>
      <c r="B22" s="252">
        <v>0</v>
      </c>
      <c r="D22" s="521" t="s">
        <v>557</v>
      </c>
      <c r="E22" s="252">
        <v>0</v>
      </c>
      <c r="F22" s="252">
        <v>0</v>
      </c>
      <c r="G22" s="252">
        <v>0</v>
      </c>
      <c r="H22" s="500">
        <f>SUM(E22:G22)</f>
        <v>0</v>
      </c>
      <c r="I22" s="33"/>
    </row>
    <row r="23" spans="1:9" ht="16" customHeight="1" x14ac:dyDescent="0.25">
      <c r="A23" s="30">
        <v>-3</v>
      </c>
      <c r="B23" s="252">
        <v>0</v>
      </c>
      <c r="D23" s="522" t="s">
        <v>555</v>
      </c>
      <c r="E23" s="252">
        <v>0</v>
      </c>
      <c r="F23" s="252">
        <v>0</v>
      </c>
      <c r="G23" s="252">
        <v>0</v>
      </c>
      <c r="H23" s="500">
        <f>SUM(E23:G23)</f>
        <v>0</v>
      </c>
      <c r="I23" s="33"/>
    </row>
    <row r="24" spans="1:9" ht="16" customHeight="1" x14ac:dyDescent="0.25">
      <c r="A24" s="30">
        <v>-4</v>
      </c>
      <c r="B24" s="252">
        <v>0</v>
      </c>
      <c r="D24" s="522" t="s">
        <v>567</v>
      </c>
      <c r="E24" s="252">
        <v>0</v>
      </c>
      <c r="F24" s="252">
        <v>0</v>
      </c>
      <c r="G24" s="252">
        <v>0</v>
      </c>
      <c r="H24" s="500">
        <f>SUM(E24:G24)</f>
        <v>0</v>
      </c>
      <c r="I24" s="15"/>
    </row>
    <row r="25" spans="1:9" ht="16" customHeight="1" x14ac:dyDescent="0.25">
      <c r="A25" s="12" t="s">
        <v>30</v>
      </c>
      <c r="B25" s="252">
        <v>0</v>
      </c>
      <c r="D25" s="522" t="s">
        <v>556</v>
      </c>
      <c r="E25" s="252">
        <v>0</v>
      </c>
      <c r="F25" s="252">
        <v>0</v>
      </c>
      <c r="G25" s="252">
        <v>0</v>
      </c>
      <c r="H25" s="500">
        <f>SUM(E25:G25)</f>
        <v>0</v>
      </c>
      <c r="I25" s="15"/>
    </row>
    <row r="26" spans="1:9" ht="16" customHeight="1" x14ac:dyDescent="0.25">
      <c r="A26" s="12" t="s">
        <v>31</v>
      </c>
      <c r="B26" s="252">
        <v>0</v>
      </c>
      <c r="C26" s="33"/>
      <c r="D26" s="522" t="s">
        <v>558</v>
      </c>
      <c r="E26" s="36">
        <f>E22-E23-E24+E25</f>
        <v>0</v>
      </c>
      <c r="F26" s="36">
        <f>F22-F23-F24+F25</f>
        <v>0</v>
      </c>
      <c r="G26" s="36">
        <f>G22-G23-G24+G25</f>
        <v>0</v>
      </c>
      <c r="H26" s="500">
        <f>SUM(E26:G26)</f>
        <v>0</v>
      </c>
      <c r="I26" s="15"/>
    </row>
    <row r="27" spans="1:9" ht="16" customHeight="1" x14ac:dyDescent="0.25">
      <c r="A27" s="12" t="s">
        <v>32</v>
      </c>
      <c r="B27" s="252">
        <v>0</v>
      </c>
      <c r="C27" s="33"/>
      <c r="E27" s="4"/>
      <c r="H27" s="515"/>
      <c r="I27" s="15"/>
    </row>
    <row r="28" spans="1:9" ht="16" customHeight="1" x14ac:dyDescent="0.25">
      <c r="A28" s="30" t="s">
        <v>33</v>
      </c>
      <c r="B28" s="253">
        <f>SUM(B21:B27)</f>
        <v>0</v>
      </c>
      <c r="C28" s="33"/>
      <c r="D28" s="501" t="s">
        <v>753</v>
      </c>
      <c r="E28" s="252">
        <v>0</v>
      </c>
      <c r="F28" s="252">
        <v>0</v>
      </c>
      <c r="G28" s="252">
        <v>0</v>
      </c>
      <c r="H28" s="500">
        <f>SUM(E28:G28)</f>
        <v>0</v>
      </c>
      <c r="I28" s="15"/>
    </row>
    <row r="29" spans="1:9" ht="7.5" customHeight="1" x14ac:dyDescent="0.25">
      <c r="A29" s="30"/>
      <c r="B29" s="32"/>
      <c r="C29" s="33"/>
      <c r="D29" s="33"/>
      <c r="E29" s="13"/>
      <c r="F29" s="33"/>
      <c r="H29" s="39"/>
      <c r="I29" s="15"/>
    </row>
    <row r="30" spans="1:9" ht="13.5" customHeight="1" x14ac:dyDescent="0.25">
      <c r="A30" s="35" t="s">
        <v>34</v>
      </c>
      <c r="B30" s="429" t="s">
        <v>563</v>
      </c>
      <c r="C30" s="518" t="s">
        <v>564</v>
      </c>
      <c r="D30" s="429" t="s">
        <v>35</v>
      </c>
      <c r="E30" s="523"/>
      <c r="F30" s="429" t="s">
        <v>568</v>
      </c>
      <c r="G30" s="519"/>
      <c r="H30" s="438" t="s">
        <v>569</v>
      </c>
      <c r="I30" s="15"/>
    </row>
    <row r="31" spans="1:9" ht="16" customHeight="1" x14ac:dyDescent="0.25">
      <c r="A31" s="30" t="s">
        <v>560</v>
      </c>
      <c r="B31" s="252">
        <v>0</v>
      </c>
      <c r="C31" s="254">
        <v>0</v>
      </c>
      <c r="D31" s="36">
        <f>B31+C31</f>
        <v>0</v>
      </c>
      <c r="E31" s="521" t="s">
        <v>672</v>
      </c>
      <c r="F31" s="252">
        <v>0</v>
      </c>
      <c r="G31" s="521" t="s">
        <v>572</v>
      </c>
      <c r="H31" s="435">
        <v>0</v>
      </c>
      <c r="I31" s="15"/>
    </row>
    <row r="32" spans="1:9" ht="16" customHeight="1" x14ac:dyDescent="0.25">
      <c r="A32" s="30" t="s">
        <v>583</v>
      </c>
      <c r="B32" s="252">
        <v>0</v>
      </c>
      <c r="C32" s="254">
        <v>0</v>
      </c>
      <c r="D32" s="36">
        <f>B32+C32</f>
        <v>0</v>
      </c>
      <c r="E32" s="521" t="s">
        <v>570</v>
      </c>
      <c r="F32" s="252">
        <v>0</v>
      </c>
      <c r="G32" s="521" t="s">
        <v>573</v>
      </c>
      <c r="H32" s="436">
        <v>0</v>
      </c>
      <c r="I32" s="15"/>
    </row>
    <row r="33" spans="1:9" ht="16" customHeight="1" x14ac:dyDescent="0.25">
      <c r="A33" s="12" t="s">
        <v>559</v>
      </c>
      <c r="B33" s="252">
        <v>0</v>
      </c>
      <c r="C33" s="254">
        <v>0</v>
      </c>
      <c r="D33" s="36">
        <f>B33+C33</f>
        <v>0</v>
      </c>
      <c r="E33" s="521" t="s">
        <v>571</v>
      </c>
      <c r="F33" s="252">
        <v>0</v>
      </c>
      <c r="G33" s="521" t="s">
        <v>574</v>
      </c>
      <c r="H33" s="436">
        <v>0</v>
      </c>
      <c r="I33" s="15"/>
    </row>
    <row r="34" spans="1:9" ht="16" customHeight="1" x14ac:dyDescent="0.25">
      <c r="A34" s="30" t="s">
        <v>36</v>
      </c>
      <c r="B34" s="252">
        <v>0</v>
      </c>
      <c r="C34" s="254">
        <v>0</v>
      </c>
      <c r="D34" s="36">
        <f>B34+C34</f>
        <v>0</v>
      </c>
      <c r="E34" s="521" t="s">
        <v>8</v>
      </c>
      <c r="F34" s="252">
        <v>0</v>
      </c>
      <c r="G34" s="521" t="s">
        <v>575</v>
      </c>
      <c r="H34" s="436">
        <v>0</v>
      </c>
      <c r="I34" s="15"/>
    </row>
    <row r="35" spans="1:9" ht="16" customHeight="1" x14ac:dyDescent="0.25">
      <c r="A35" s="30" t="s">
        <v>33</v>
      </c>
      <c r="B35" s="37">
        <f>SUM(B31:B34)</f>
        <v>0</v>
      </c>
      <c r="C35" s="38">
        <f>SUM(C31:C34)</f>
        <v>0</v>
      </c>
      <c r="D35" s="36">
        <f>SUM(D31:D34)</f>
        <v>0</v>
      </c>
      <c r="G35" s="521" t="s">
        <v>13</v>
      </c>
      <c r="H35" s="436">
        <v>0</v>
      </c>
      <c r="I35" s="15"/>
    </row>
    <row r="36" spans="1:9" ht="9" customHeight="1" x14ac:dyDescent="0.25">
      <c r="A36" s="30"/>
      <c r="B36" s="15"/>
      <c r="C36" s="33"/>
      <c r="D36" s="33"/>
      <c r="E36" s="13"/>
      <c r="F36" s="33"/>
      <c r="G36" s="33"/>
      <c r="H36" s="39"/>
      <c r="I36" s="15"/>
    </row>
    <row r="37" spans="1:9" ht="13.5" customHeight="1" x14ac:dyDescent="0.25">
      <c r="A37" s="35" t="s">
        <v>37</v>
      </c>
      <c r="B37" s="29" t="s">
        <v>38</v>
      </c>
      <c r="C37" s="40" t="s">
        <v>562</v>
      </c>
      <c r="D37" s="40"/>
      <c r="E37" s="40" t="s">
        <v>39</v>
      </c>
      <c r="F37" s="29"/>
      <c r="G37" s="40" t="s">
        <v>561</v>
      </c>
      <c r="H37" s="437"/>
      <c r="I37" s="15"/>
    </row>
    <row r="38" spans="1:9" ht="16" customHeight="1" x14ac:dyDescent="0.25">
      <c r="A38" s="255">
        <v>0</v>
      </c>
      <c r="B38" s="252">
        <v>0</v>
      </c>
      <c r="C38" s="256">
        <v>0</v>
      </c>
      <c r="D38" s="433"/>
      <c r="E38" s="257">
        <v>0</v>
      </c>
      <c r="F38" s="41"/>
      <c r="G38" s="36">
        <f t="shared" ref="G38:G44" si="0">C38*E38/100</f>
        <v>0</v>
      </c>
      <c r="H38" s="34"/>
      <c r="I38" s="15"/>
    </row>
    <row r="39" spans="1:9" ht="16" customHeight="1" x14ac:dyDescent="0.25">
      <c r="A39" s="255">
        <v>0</v>
      </c>
      <c r="B39" s="252">
        <v>0</v>
      </c>
      <c r="C39" s="256">
        <v>0</v>
      </c>
      <c r="D39" s="433"/>
      <c r="E39" s="257">
        <v>0</v>
      </c>
      <c r="F39" s="41"/>
      <c r="G39" s="36">
        <f t="shared" si="0"/>
        <v>0</v>
      </c>
      <c r="H39" s="34"/>
      <c r="I39" s="15"/>
    </row>
    <row r="40" spans="1:9" ht="16" customHeight="1" x14ac:dyDescent="0.25">
      <c r="A40" s="255">
        <v>0</v>
      </c>
      <c r="B40" s="252">
        <v>0</v>
      </c>
      <c r="C40" s="256">
        <v>0</v>
      </c>
      <c r="D40" s="433"/>
      <c r="E40" s="257">
        <v>0</v>
      </c>
      <c r="F40" s="41"/>
      <c r="G40" s="36">
        <f t="shared" si="0"/>
        <v>0</v>
      </c>
      <c r="H40" s="34"/>
      <c r="I40" s="15"/>
    </row>
    <row r="41" spans="1:9" ht="16" customHeight="1" x14ac:dyDescent="0.25">
      <c r="A41" s="255">
        <v>0</v>
      </c>
      <c r="B41" s="252">
        <v>0</v>
      </c>
      <c r="C41" s="256">
        <v>0</v>
      </c>
      <c r="D41" s="433"/>
      <c r="E41" s="257">
        <v>0</v>
      </c>
      <c r="F41" s="41"/>
      <c r="G41" s="36">
        <f t="shared" si="0"/>
        <v>0</v>
      </c>
      <c r="H41" s="34"/>
      <c r="I41" s="15"/>
    </row>
    <row r="42" spans="1:9" ht="16" customHeight="1" x14ac:dyDescent="0.25">
      <c r="A42" s="255">
        <v>0</v>
      </c>
      <c r="B42" s="252">
        <v>0</v>
      </c>
      <c r="C42" s="256">
        <v>0</v>
      </c>
      <c r="D42" s="433"/>
      <c r="E42" s="257">
        <v>0</v>
      </c>
      <c r="F42" s="41"/>
      <c r="G42" s="36">
        <f t="shared" si="0"/>
        <v>0</v>
      </c>
      <c r="H42" s="34"/>
      <c r="I42" s="15"/>
    </row>
    <row r="43" spans="1:9" ht="16" customHeight="1" x14ac:dyDescent="0.25">
      <c r="A43" s="255">
        <v>0</v>
      </c>
      <c r="B43" s="252">
        <v>0</v>
      </c>
      <c r="C43" s="256">
        <v>0</v>
      </c>
      <c r="D43" s="433"/>
      <c r="E43" s="257">
        <v>0</v>
      </c>
      <c r="F43" s="41"/>
      <c r="G43" s="36">
        <f t="shared" si="0"/>
        <v>0</v>
      </c>
      <c r="H43" s="34"/>
      <c r="I43" s="15"/>
    </row>
    <row r="44" spans="1:9" ht="16" customHeight="1" x14ac:dyDescent="0.25">
      <c r="A44" s="255">
        <v>0</v>
      </c>
      <c r="B44" s="252">
        <v>0</v>
      </c>
      <c r="C44" s="256">
        <v>0</v>
      </c>
      <c r="D44" s="433"/>
      <c r="E44" s="257">
        <v>0</v>
      </c>
      <c r="F44" s="42"/>
      <c r="G44" s="36">
        <f t="shared" si="0"/>
        <v>0</v>
      </c>
      <c r="H44" s="22"/>
      <c r="I44" s="15"/>
    </row>
    <row r="45" spans="1:9" ht="16" customHeight="1" x14ac:dyDescent="0.25">
      <c r="A45" s="30" t="s">
        <v>33</v>
      </c>
      <c r="B45" s="37">
        <f>SUM(B38:B44)</f>
        <v>0</v>
      </c>
      <c r="C45" s="37">
        <f>SUM(C38:C44)</f>
        <v>0</v>
      </c>
      <c r="D45" s="43"/>
      <c r="E45" s="43"/>
      <c r="F45" s="41"/>
      <c r="G45" s="37">
        <f>SUM(G38:G44)</f>
        <v>0</v>
      </c>
      <c r="H45" s="22"/>
      <c r="I45" s="15"/>
    </row>
    <row r="46" spans="1:9" ht="8.25" customHeight="1" x14ac:dyDescent="0.25">
      <c r="A46" s="103"/>
      <c r="B46" s="524"/>
      <c r="C46" s="524"/>
      <c r="D46" s="524"/>
      <c r="E46" s="524"/>
      <c r="F46" s="524"/>
      <c r="G46" s="524"/>
      <c r="H46" s="525"/>
    </row>
    <row r="47" spans="1:9" ht="13.5" customHeight="1" x14ac:dyDescent="0.25">
      <c r="A47" s="4" t="s">
        <v>40</v>
      </c>
    </row>
    <row r="48" spans="1:9" ht="13.5" customHeight="1" x14ac:dyDescent="0.25">
      <c r="A48" s="4" t="s">
        <v>582</v>
      </c>
    </row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8" ht="13.5" customHeight="1" x14ac:dyDescent="0.25"/>
    <row r="61" ht="13.5" customHeight="1" x14ac:dyDescent="0.25"/>
  </sheetData>
  <mergeCells count="6">
    <mergeCell ref="C6:D6"/>
    <mergeCell ref="E6:F6"/>
    <mergeCell ref="C12:D12"/>
    <mergeCell ref="A2:H2"/>
    <mergeCell ref="A3:H3"/>
    <mergeCell ref="A4:H4"/>
  </mergeCells>
  <phoneticPr fontId="0" type="noConversion"/>
  <printOptions headings="1"/>
  <pageMargins left="0.5" right="0.25" top="0.5" bottom="0.25" header="0.5" footer="0.5"/>
  <pageSetup scale="97" orientation="portrait" horizontalDpi="300" verticalDpi="300" r:id="rId1"/>
  <headerFooter alignWithMargins="0">
    <oddHeader>&amp;R&amp;8 1&amp;10
&amp;8&amp;D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zoomScaleNormal="100" workbookViewId="0">
      <selection activeCell="A4" sqref="A4"/>
    </sheetView>
  </sheetViews>
  <sheetFormatPr defaultColWidth="9.1796875" defaultRowHeight="12.75" customHeight="1" x14ac:dyDescent="0.25"/>
  <cols>
    <col min="1" max="1" width="16.81640625" customWidth="1"/>
    <col min="2" max="2" width="11" customWidth="1"/>
    <col min="3" max="3" width="2.1796875" style="49" customWidth="1"/>
    <col min="4" max="4" width="11.7265625" customWidth="1"/>
    <col min="5" max="5" width="2.1796875" style="49" customWidth="1"/>
    <col min="6" max="6" width="12.7265625" customWidth="1"/>
    <col min="7" max="7" width="1.54296875" customWidth="1"/>
    <col min="8" max="8" width="11.7265625" customWidth="1"/>
    <col min="9" max="9" width="2.1796875" style="49" customWidth="1"/>
    <col min="10" max="10" width="11.54296875" customWidth="1"/>
    <col min="11" max="11" width="3.1796875" style="49" customWidth="1"/>
    <col min="12" max="12" width="12.7265625" customWidth="1"/>
    <col min="13" max="13" width="2.1796875" customWidth="1"/>
  </cols>
  <sheetData>
    <row r="1" spans="1:12" ht="12.75" customHeight="1" x14ac:dyDescent="0.3">
      <c r="A1" s="415" t="str">
        <f>'Dairy Description'!A1</f>
        <v>Key Code:</v>
      </c>
      <c r="B1" s="2" t="s">
        <v>41</v>
      </c>
      <c r="C1" s="47"/>
      <c r="D1" s="1"/>
      <c r="E1" s="48"/>
      <c r="F1" s="1"/>
      <c r="G1" s="243"/>
      <c r="H1" s="243"/>
      <c r="I1" s="48"/>
      <c r="J1" s="1"/>
      <c r="K1" s="48"/>
      <c r="L1" s="1"/>
    </row>
    <row r="2" spans="1:12" ht="12.75" customHeight="1" x14ac:dyDescent="0.3">
      <c r="A2" s="2" t="s">
        <v>42</v>
      </c>
      <c r="B2" s="1"/>
      <c r="C2" s="47"/>
      <c r="D2" s="1"/>
      <c r="E2" s="48"/>
      <c r="F2" s="1"/>
      <c r="G2" s="1"/>
      <c r="H2" s="1"/>
      <c r="I2" s="48"/>
      <c r="J2" s="1"/>
      <c r="K2" s="48"/>
      <c r="L2" s="1"/>
    </row>
    <row r="3" spans="1:12" ht="12.75" customHeight="1" x14ac:dyDescent="0.3">
      <c r="A3" s="244" t="s">
        <v>760</v>
      </c>
      <c r="B3" s="1"/>
      <c r="C3" s="48"/>
      <c r="D3" s="1"/>
      <c r="E3" s="47"/>
      <c r="F3" s="1"/>
      <c r="G3" s="1"/>
      <c r="H3" s="1"/>
      <c r="I3" s="48"/>
      <c r="J3" s="1"/>
      <c r="K3" s="48"/>
      <c r="L3" s="1"/>
    </row>
    <row r="5" spans="1:12" ht="12.75" customHeight="1" x14ac:dyDescent="0.3">
      <c r="A5" s="6" t="s">
        <v>177</v>
      </c>
      <c r="L5" s="50"/>
    </row>
    <row r="6" spans="1:12" ht="12.75" customHeight="1" x14ac:dyDescent="0.25">
      <c r="A6" s="81"/>
      <c r="B6" s="95" t="s">
        <v>678</v>
      </c>
      <c r="C6" s="441"/>
      <c r="D6" s="95"/>
      <c r="E6" s="441"/>
      <c r="F6" s="95"/>
      <c r="G6" s="54" t="s">
        <v>43</v>
      </c>
      <c r="H6" s="95" t="s">
        <v>679</v>
      </c>
      <c r="I6" s="441"/>
      <c r="J6" s="95"/>
      <c r="K6" s="441"/>
      <c r="L6" s="329"/>
    </row>
    <row r="7" spans="1:12" ht="12.75" customHeight="1" x14ac:dyDescent="0.25">
      <c r="A7" s="19"/>
      <c r="B7" s="56"/>
      <c r="C7" s="57"/>
      <c r="D7" s="56" t="s">
        <v>44</v>
      </c>
      <c r="E7" s="57"/>
      <c r="F7" s="56" t="s">
        <v>33</v>
      </c>
      <c r="G7" s="54" t="s">
        <v>43</v>
      </c>
      <c r="H7" s="56"/>
      <c r="I7" s="57"/>
      <c r="J7" s="56" t="s">
        <v>44</v>
      </c>
      <c r="K7" s="57"/>
      <c r="L7" s="58" t="s">
        <v>33</v>
      </c>
    </row>
    <row r="8" spans="1:12" ht="12.75" customHeight="1" x14ac:dyDescent="0.25">
      <c r="A8" s="44"/>
      <c r="B8" s="59" t="s">
        <v>45</v>
      </c>
      <c r="C8" s="60" t="s">
        <v>46</v>
      </c>
      <c r="D8" s="59" t="s">
        <v>47</v>
      </c>
      <c r="E8" s="60" t="s">
        <v>48</v>
      </c>
      <c r="F8" s="59" t="s">
        <v>49</v>
      </c>
      <c r="G8" s="59" t="s">
        <v>43</v>
      </c>
      <c r="H8" s="59" t="s">
        <v>50</v>
      </c>
      <c r="I8" s="60" t="s">
        <v>46</v>
      </c>
      <c r="J8" s="59" t="s">
        <v>47</v>
      </c>
      <c r="K8" s="60" t="s">
        <v>48</v>
      </c>
      <c r="L8" s="61" t="s">
        <v>49</v>
      </c>
    </row>
    <row r="9" spans="1:12" ht="12.75" customHeight="1" x14ac:dyDescent="0.25">
      <c r="A9" s="19" t="s">
        <v>584</v>
      </c>
      <c r="B9" s="56"/>
      <c r="C9" s="57"/>
      <c r="D9" s="56"/>
      <c r="E9" s="57"/>
      <c r="F9" s="56"/>
      <c r="G9" s="56" t="s">
        <v>43</v>
      </c>
      <c r="H9" s="56"/>
      <c r="I9" s="57"/>
      <c r="J9" s="56"/>
      <c r="K9" s="57"/>
      <c r="L9" s="58"/>
    </row>
    <row r="10" spans="1:12" ht="16" customHeight="1" x14ac:dyDescent="0.25">
      <c r="A10" s="66" t="s">
        <v>585</v>
      </c>
      <c r="B10" s="258">
        <v>0</v>
      </c>
      <c r="C10" s="439"/>
      <c r="D10" s="259">
        <v>0</v>
      </c>
      <c r="E10" s="62"/>
      <c r="F10" s="63">
        <f>B10*D10</f>
        <v>0</v>
      </c>
      <c r="G10" s="56" t="s">
        <v>43</v>
      </c>
      <c r="H10" s="258">
        <v>0</v>
      </c>
      <c r="I10" s="440"/>
      <c r="J10" s="259">
        <v>0</v>
      </c>
      <c r="K10" s="62"/>
      <c r="L10" s="65">
        <f>H10*J10</f>
        <v>0</v>
      </c>
    </row>
    <row r="11" spans="1:12" ht="16" customHeight="1" x14ac:dyDescent="0.25">
      <c r="A11" s="66" t="s">
        <v>640</v>
      </c>
      <c r="B11" s="258">
        <v>0</v>
      </c>
      <c r="C11" s="439"/>
      <c r="D11" s="259">
        <v>0</v>
      </c>
      <c r="E11" s="62"/>
      <c r="F11" s="63">
        <f>B11*D11</f>
        <v>0</v>
      </c>
      <c r="G11" s="56"/>
      <c r="H11" s="258">
        <v>0</v>
      </c>
      <c r="I11" s="440"/>
      <c r="J11" s="259">
        <v>0</v>
      </c>
      <c r="K11" s="62"/>
      <c r="L11" s="65">
        <f>H11*J11</f>
        <v>0</v>
      </c>
    </row>
    <row r="12" spans="1:12" ht="16" customHeight="1" x14ac:dyDescent="0.25">
      <c r="A12" s="66" t="s">
        <v>586</v>
      </c>
      <c r="B12" s="258">
        <v>0</v>
      </c>
      <c r="C12" s="440"/>
      <c r="D12" s="259">
        <v>0</v>
      </c>
      <c r="E12" s="62"/>
      <c r="F12" s="63">
        <f>B12*D12</f>
        <v>0</v>
      </c>
      <c r="G12" s="56" t="s">
        <v>43</v>
      </c>
      <c r="H12" s="258">
        <v>0</v>
      </c>
      <c r="I12" s="440"/>
      <c r="J12" s="259">
        <v>0</v>
      </c>
      <c r="K12" s="62"/>
      <c r="L12" s="65">
        <f>H12*J12</f>
        <v>0</v>
      </c>
    </row>
    <row r="13" spans="1:12" ht="16" customHeight="1" x14ac:dyDescent="0.25">
      <c r="A13" s="66" t="s">
        <v>51</v>
      </c>
      <c r="B13" s="67">
        <f>SUM(B10:B12)</f>
        <v>0</v>
      </c>
      <c r="C13" s="68"/>
      <c r="D13" s="69"/>
      <c r="E13" s="68"/>
      <c r="F13" s="63">
        <f>SUM(F10:F12)</f>
        <v>0</v>
      </c>
      <c r="G13" s="56" t="s">
        <v>43</v>
      </c>
      <c r="H13" s="67">
        <f>SUM(H10:H12)</f>
        <v>0</v>
      </c>
      <c r="I13" s="71"/>
      <c r="J13" s="72"/>
      <c r="K13" s="73"/>
      <c r="L13" s="65">
        <f>SUM(L10:L12)</f>
        <v>0</v>
      </c>
    </row>
    <row r="14" spans="1:12" ht="9" customHeight="1" x14ac:dyDescent="0.25">
      <c r="A14" s="19"/>
      <c r="G14" s="56" t="s">
        <v>43</v>
      </c>
      <c r="J14" s="72"/>
      <c r="K14" s="73"/>
      <c r="L14" s="74"/>
    </row>
    <row r="15" spans="1:12" ht="16" customHeight="1" x14ac:dyDescent="0.25">
      <c r="A15" s="19" t="s">
        <v>52</v>
      </c>
      <c r="G15" s="56" t="s">
        <v>43</v>
      </c>
      <c r="J15" s="72"/>
      <c r="K15" s="73"/>
      <c r="L15" s="74"/>
    </row>
    <row r="16" spans="1:12" ht="16" customHeight="1" x14ac:dyDescent="0.25">
      <c r="A16" s="19" t="s">
        <v>53</v>
      </c>
      <c r="B16" s="258">
        <v>0</v>
      </c>
      <c r="C16" s="440"/>
      <c r="D16" s="259">
        <v>0</v>
      </c>
      <c r="E16" s="62"/>
      <c r="F16" s="63">
        <f>B16*D16</f>
        <v>0</v>
      </c>
      <c r="G16" s="56" t="s">
        <v>43</v>
      </c>
      <c r="H16" s="258">
        <v>0</v>
      </c>
      <c r="I16" s="64"/>
      <c r="J16" s="259">
        <v>0</v>
      </c>
      <c r="K16" s="62"/>
      <c r="L16" s="65">
        <f>H16*J16</f>
        <v>0</v>
      </c>
    </row>
    <row r="17" spans="1:13" ht="16" customHeight="1" x14ac:dyDescent="0.25">
      <c r="A17" s="19" t="s">
        <v>54</v>
      </c>
      <c r="B17" s="258">
        <v>0</v>
      </c>
      <c r="C17" s="440"/>
      <c r="D17" s="259">
        <v>0</v>
      </c>
      <c r="E17" s="62"/>
      <c r="F17" s="63">
        <f>B17*D17</f>
        <v>0</v>
      </c>
      <c r="G17" s="56" t="s">
        <v>43</v>
      </c>
      <c r="H17" s="258">
        <v>0</v>
      </c>
      <c r="I17" s="64"/>
      <c r="J17" s="259">
        <v>0</v>
      </c>
      <c r="K17" s="62"/>
      <c r="L17" s="65">
        <f>H17*J17</f>
        <v>0</v>
      </c>
      <c r="M17" s="63"/>
    </row>
    <row r="18" spans="1:13" ht="16" customHeight="1" x14ac:dyDescent="0.25">
      <c r="A18" s="19" t="s">
        <v>55</v>
      </c>
      <c r="B18" s="258">
        <v>0</v>
      </c>
      <c r="C18" s="440"/>
      <c r="D18" s="259">
        <v>0</v>
      </c>
      <c r="E18" s="62"/>
      <c r="F18" s="63">
        <f>B18*D18</f>
        <v>0</v>
      </c>
      <c r="G18" s="56" t="s">
        <v>43</v>
      </c>
      <c r="H18" s="258">
        <v>0</v>
      </c>
      <c r="I18" s="64"/>
      <c r="J18" s="259">
        <v>0</v>
      </c>
      <c r="K18" s="62"/>
      <c r="L18" s="65">
        <f>H18*J18</f>
        <v>0</v>
      </c>
    </row>
    <row r="19" spans="1:13" ht="16" customHeight="1" x14ac:dyDescent="0.25">
      <c r="A19" s="66" t="s">
        <v>56</v>
      </c>
      <c r="B19" s="67">
        <f>SUM(B16:B18)</f>
        <v>0</v>
      </c>
      <c r="C19" s="75"/>
      <c r="F19" s="63">
        <f>SUM(F16:F18)</f>
        <v>0</v>
      </c>
      <c r="G19" s="56" t="s">
        <v>43</v>
      </c>
      <c r="H19" s="70">
        <f>SUM(H16:H18)</f>
        <v>0</v>
      </c>
      <c r="I19" s="76"/>
      <c r="J19" s="72"/>
      <c r="K19" s="73"/>
      <c r="L19" s="65">
        <f>SUM(L16:L18)</f>
        <v>0</v>
      </c>
    </row>
    <row r="20" spans="1:13" ht="9" customHeight="1" x14ac:dyDescent="0.25">
      <c r="A20" s="19"/>
      <c r="G20" s="56" t="s">
        <v>43</v>
      </c>
      <c r="J20" s="72"/>
      <c r="K20" s="73"/>
      <c r="L20" s="74"/>
    </row>
    <row r="21" spans="1:13" ht="16" customHeight="1" x14ac:dyDescent="0.25">
      <c r="A21" s="16" t="s">
        <v>57</v>
      </c>
      <c r="G21" s="56" t="s">
        <v>43</v>
      </c>
      <c r="J21" s="72"/>
      <c r="K21" s="73"/>
      <c r="L21" s="74"/>
    </row>
    <row r="22" spans="1:13" ht="16" customHeight="1" x14ac:dyDescent="0.25">
      <c r="A22" s="260" t="s">
        <v>58</v>
      </c>
      <c r="B22" s="258">
        <v>0</v>
      </c>
      <c r="C22" s="440"/>
      <c r="D22" s="259">
        <v>0</v>
      </c>
      <c r="E22" s="62"/>
      <c r="F22" s="63">
        <f>B22*D22</f>
        <v>0</v>
      </c>
      <c r="G22" s="56" t="s">
        <v>43</v>
      </c>
      <c r="H22" s="258">
        <v>0</v>
      </c>
      <c r="I22" s="64"/>
      <c r="J22" s="259">
        <v>0</v>
      </c>
      <c r="K22" s="62"/>
      <c r="L22" s="65">
        <f>H22*J22</f>
        <v>0</v>
      </c>
    </row>
    <row r="23" spans="1:13" ht="16" customHeight="1" x14ac:dyDescent="0.25">
      <c r="A23" s="260" t="s">
        <v>59</v>
      </c>
      <c r="B23" s="258">
        <v>0</v>
      </c>
      <c r="C23" s="440"/>
      <c r="D23" s="259">
        <v>0</v>
      </c>
      <c r="E23" s="62"/>
      <c r="F23" s="63">
        <f>B23*D23</f>
        <v>0</v>
      </c>
      <c r="G23" s="56" t="s">
        <v>43</v>
      </c>
      <c r="H23" s="258">
        <v>0</v>
      </c>
      <c r="I23" s="64"/>
      <c r="J23" s="259">
        <v>0</v>
      </c>
      <c r="K23" s="62"/>
      <c r="L23" s="65">
        <f>H23*J23</f>
        <v>0</v>
      </c>
    </row>
    <row r="24" spans="1:13" ht="16" customHeight="1" x14ac:dyDescent="0.25">
      <c r="A24" s="66" t="s">
        <v>60</v>
      </c>
      <c r="B24" s="67">
        <f>B22+B23</f>
        <v>0</v>
      </c>
      <c r="C24" s="68"/>
      <c r="D24" s="77"/>
      <c r="E24" s="78"/>
      <c r="F24" s="63">
        <f>F22+F23</f>
        <v>0</v>
      </c>
      <c r="G24" s="56" t="s">
        <v>43</v>
      </c>
      <c r="H24" s="70">
        <f>H22+H23</f>
        <v>0</v>
      </c>
      <c r="I24" s="76"/>
      <c r="J24" s="79"/>
      <c r="K24" s="75"/>
      <c r="L24" s="65">
        <f>L22+L23</f>
        <v>0</v>
      </c>
    </row>
    <row r="25" spans="1:13" ht="16" customHeight="1" x14ac:dyDescent="0.25">
      <c r="A25" s="19"/>
      <c r="F25" s="79"/>
      <c r="G25" s="56" t="s">
        <v>43</v>
      </c>
      <c r="H25" s="79"/>
      <c r="I25" s="75"/>
      <c r="J25" s="79"/>
      <c r="K25" s="75"/>
      <c r="L25" s="80"/>
    </row>
    <row r="26" spans="1:13" ht="12.75" customHeight="1" x14ac:dyDescent="0.25">
      <c r="A26" s="19" t="s">
        <v>61</v>
      </c>
      <c r="B26" s="67">
        <f>B13+B19+B24</f>
        <v>0</v>
      </c>
      <c r="C26" s="68"/>
      <c r="F26" s="63">
        <f>F13+F19+F24</f>
        <v>0</v>
      </c>
      <c r="G26" s="56" t="s">
        <v>43</v>
      </c>
      <c r="H26" s="67">
        <f>H13+H19+H24</f>
        <v>0</v>
      </c>
      <c r="I26" s="75"/>
      <c r="J26" s="79"/>
      <c r="K26" s="75"/>
      <c r="L26" s="65">
        <f>L13+L19+L24</f>
        <v>0</v>
      </c>
    </row>
    <row r="27" spans="1:13" ht="12.75" customHeight="1" x14ac:dyDescent="0.25">
      <c r="A27" s="19"/>
      <c r="G27" s="56" t="s">
        <v>43</v>
      </c>
      <c r="L27" s="26"/>
    </row>
    <row r="28" spans="1:13" ht="7.5" customHeight="1" x14ac:dyDescent="0.25">
      <c r="A28" s="19"/>
      <c r="B28" s="82"/>
      <c r="C28" s="83"/>
      <c r="D28" s="31"/>
      <c r="E28" s="84"/>
      <c r="F28" s="31"/>
      <c r="G28" s="31"/>
      <c r="H28" s="31"/>
      <c r="I28" s="84"/>
      <c r="L28" s="26"/>
    </row>
    <row r="29" spans="1:13" ht="18" customHeight="1" x14ac:dyDescent="0.25">
      <c r="A29" s="81" t="s">
        <v>593</v>
      </c>
      <c r="B29" s="261">
        <v>0</v>
      </c>
      <c r="C29" s="85" t="s">
        <v>62</v>
      </c>
      <c r="D29" s="261">
        <v>0</v>
      </c>
      <c r="E29" s="85" t="s">
        <v>62</v>
      </c>
      <c r="F29" s="261">
        <v>0</v>
      </c>
      <c r="G29" s="86" t="s">
        <v>63</v>
      </c>
      <c r="H29" s="262">
        <v>0</v>
      </c>
      <c r="I29" s="85" t="s">
        <v>48</v>
      </c>
      <c r="J29" s="87">
        <f>B29+D29+F29-H29</f>
        <v>0</v>
      </c>
      <c r="K29" s="88"/>
      <c r="L29" s="55"/>
    </row>
    <row r="30" spans="1:13" ht="12.75" customHeight="1" x14ac:dyDescent="0.25">
      <c r="A30" s="19"/>
      <c r="B30" s="56" t="s">
        <v>64</v>
      </c>
      <c r="C30" s="84"/>
      <c r="D30" s="56" t="s">
        <v>65</v>
      </c>
      <c r="E30" s="83"/>
      <c r="F30" s="56" t="s">
        <v>64</v>
      </c>
      <c r="G30" s="56"/>
      <c r="H30" s="56" t="s">
        <v>66</v>
      </c>
      <c r="I30" s="84"/>
      <c r="L30" s="26"/>
    </row>
    <row r="31" spans="1:13" ht="12.75" customHeight="1" x14ac:dyDescent="0.25">
      <c r="A31" s="44"/>
      <c r="B31" s="59" t="s">
        <v>67</v>
      </c>
      <c r="C31" s="89"/>
      <c r="D31" s="59" t="s">
        <v>68</v>
      </c>
      <c r="E31" s="89"/>
      <c r="F31" s="59" t="s">
        <v>69</v>
      </c>
      <c r="G31" s="90"/>
      <c r="H31" s="59" t="s">
        <v>70</v>
      </c>
      <c r="I31" s="91"/>
      <c r="J31" s="45"/>
      <c r="K31" s="92"/>
      <c r="L31" s="46"/>
    </row>
    <row r="33" spans="1:12" ht="12.75" customHeight="1" x14ac:dyDescent="0.25">
      <c r="A33" s="447" t="s">
        <v>587</v>
      </c>
      <c r="B33" s="28"/>
      <c r="C33" s="159"/>
      <c r="D33" s="28"/>
      <c r="E33" s="159"/>
      <c r="F33" s="28"/>
      <c r="G33" s="28"/>
      <c r="H33" s="28"/>
      <c r="I33" s="159"/>
      <c r="J33" s="28"/>
      <c r="K33" s="159"/>
      <c r="L33" s="96"/>
    </row>
    <row r="34" spans="1:12" ht="14.15" customHeight="1" x14ac:dyDescent="0.25">
      <c r="A34" s="81" t="s">
        <v>588</v>
      </c>
      <c r="B34" s="52"/>
      <c r="C34" s="53"/>
      <c r="D34" s="52"/>
      <c r="E34" s="53"/>
      <c r="F34" s="442">
        <f>F11</f>
        <v>0</v>
      </c>
      <c r="G34" s="52"/>
      <c r="H34" s="52" t="s">
        <v>589</v>
      </c>
      <c r="I34" s="53"/>
      <c r="J34" s="52"/>
      <c r="K34" s="53"/>
      <c r="L34" s="443">
        <f>L11</f>
        <v>0</v>
      </c>
    </row>
    <row r="35" spans="1:12" ht="14.15" customHeight="1" x14ac:dyDescent="0.25">
      <c r="A35" s="19" t="s">
        <v>713</v>
      </c>
      <c r="B35" s="300"/>
      <c r="C35" s="332"/>
      <c r="D35" s="300"/>
      <c r="E35" s="444" t="s">
        <v>62</v>
      </c>
      <c r="F35" s="445">
        <v>0</v>
      </c>
      <c r="G35" s="300"/>
      <c r="H35" s="300"/>
      <c r="I35" s="332"/>
      <c r="J35" s="300"/>
      <c r="K35" s="332"/>
      <c r="L35" s="26"/>
    </row>
    <row r="36" spans="1:12" ht="14.15" customHeight="1" x14ac:dyDescent="0.25">
      <c r="A36" s="19" t="s">
        <v>714</v>
      </c>
      <c r="B36" s="300"/>
      <c r="C36" s="332"/>
      <c r="D36" s="300"/>
      <c r="E36" s="444" t="s">
        <v>63</v>
      </c>
      <c r="F36" s="445">
        <v>0</v>
      </c>
      <c r="G36" s="300"/>
      <c r="H36" s="300"/>
      <c r="I36" s="332"/>
      <c r="J36" s="300"/>
      <c r="K36" s="332"/>
      <c r="L36" s="26"/>
    </row>
    <row r="37" spans="1:12" ht="14.15" customHeight="1" x14ac:dyDescent="0.25">
      <c r="A37" s="19" t="s">
        <v>590</v>
      </c>
      <c r="B37" s="300"/>
      <c r="C37" s="332"/>
      <c r="D37" s="300"/>
      <c r="E37" s="444" t="s">
        <v>63</v>
      </c>
      <c r="F37" s="445">
        <v>0</v>
      </c>
      <c r="G37" s="300"/>
      <c r="H37" s="300"/>
      <c r="I37" s="332"/>
      <c r="J37" s="300"/>
      <c r="K37" s="332"/>
      <c r="L37" s="26"/>
    </row>
    <row r="38" spans="1:12" ht="14.15" customHeight="1" x14ac:dyDescent="0.25">
      <c r="A38" s="19" t="s">
        <v>715</v>
      </c>
      <c r="B38" s="300"/>
      <c r="C38" s="332"/>
      <c r="D38" s="300"/>
      <c r="E38" s="444" t="s">
        <v>62</v>
      </c>
      <c r="F38" s="445">
        <v>0</v>
      </c>
      <c r="G38" s="300"/>
      <c r="H38" s="300"/>
      <c r="I38" s="332"/>
      <c r="J38" s="300"/>
      <c r="K38" s="332"/>
      <c r="L38" s="26"/>
    </row>
    <row r="39" spans="1:12" ht="14.15" customHeight="1" x14ac:dyDescent="0.25">
      <c r="A39" s="19" t="s">
        <v>591</v>
      </c>
      <c r="B39" s="300"/>
      <c r="C39" s="332"/>
      <c r="D39" s="300"/>
      <c r="E39" s="444" t="s">
        <v>63</v>
      </c>
      <c r="F39" s="445">
        <v>0</v>
      </c>
      <c r="G39" s="300"/>
      <c r="H39" s="300"/>
      <c r="I39" s="332"/>
      <c r="J39" s="300"/>
      <c r="K39" s="332"/>
      <c r="L39" s="26"/>
    </row>
    <row r="40" spans="1:12" ht="14.15" customHeight="1" x14ac:dyDescent="0.25">
      <c r="A40" s="19"/>
      <c r="B40" s="300"/>
      <c r="C40" s="332"/>
      <c r="D40" s="303" t="s">
        <v>552</v>
      </c>
      <c r="E40" s="444" t="s">
        <v>48</v>
      </c>
      <c r="F40" s="300"/>
      <c r="G40" s="300"/>
      <c r="H40" s="426">
        <f>F34+F35-F36-F37+F38-F39</f>
        <v>0</v>
      </c>
      <c r="I40" s="332"/>
      <c r="J40" s="300"/>
      <c r="K40" s="332"/>
      <c r="L40" s="26"/>
    </row>
    <row r="41" spans="1:12" ht="14.15" customHeight="1" x14ac:dyDescent="0.25">
      <c r="A41" s="19"/>
      <c r="B41" s="300"/>
      <c r="C41" s="332"/>
      <c r="D41" s="303" t="s">
        <v>592</v>
      </c>
      <c r="E41" s="332"/>
      <c r="F41" s="300"/>
      <c r="G41" s="300"/>
      <c r="H41" s="426">
        <f>L34-H40</f>
        <v>0</v>
      </c>
      <c r="I41" s="332"/>
      <c r="J41" s="300"/>
      <c r="K41" s="332"/>
      <c r="L41" s="26"/>
    </row>
    <row r="42" spans="1:12" ht="14.15" customHeight="1" x14ac:dyDescent="0.25">
      <c r="A42" s="44"/>
      <c r="B42" s="45"/>
      <c r="C42" s="92"/>
      <c r="D42" s="90" t="s">
        <v>249</v>
      </c>
      <c r="E42" s="92"/>
      <c r="F42" s="45"/>
      <c r="G42" s="45"/>
      <c r="H42" s="45"/>
      <c r="I42" s="92"/>
      <c r="J42" s="45"/>
      <c r="K42" s="92"/>
      <c r="L42" s="46"/>
    </row>
    <row r="43" spans="1:12" ht="14.15" customHeight="1" x14ac:dyDescent="0.25">
      <c r="A43" t="s">
        <v>716</v>
      </c>
    </row>
    <row r="44" spans="1:12" ht="12.75" customHeight="1" x14ac:dyDescent="0.25">
      <c r="A44" t="s">
        <v>594</v>
      </c>
    </row>
    <row r="45" spans="1:12" ht="12.75" customHeight="1" x14ac:dyDescent="0.25">
      <c r="A45" t="s">
        <v>595</v>
      </c>
    </row>
    <row r="46" spans="1:12" ht="12.75" customHeight="1" x14ac:dyDescent="0.25">
      <c r="A46" t="s">
        <v>596</v>
      </c>
    </row>
  </sheetData>
  <phoneticPr fontId="0" type="noConversion"/>
  <printOptions headings="1"/>
  <pageMargins left="0.5" right="0.28000000000000003" top="0.5" bottom="1" header="0.5" footer="0.5"/>
  <pageSetup scale="97" orientation="portrait" horizontalDpi="300" verticalDpi="300" r:id="rId1"/>
  <headerFooter alignWithMargins="0">
    <oddHeader>&amp;R&amp;8 2&amp;10
&amp;8&amp;D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workbookViewId="0">
      <selection activeCell="A4" sqref="A4"/>
    </sheetView>
  </sheetViews>
  <sheetFormatPr defaultColWidth="9.1796875" defaultRowHeight="12.75" customHeight="1" x14ac:dyDescent="0.25"/>
  <cols>
    <col min="1" max="1" width="17.453125" customWidth="1"/>
    <col min="2" max="2" width="9.1796875" customWidth="1"/>
    <col min="3" max="3" width="10.81640625" customWidth="1"/>
    <col min="4" max="4" width="13.26953125" customWidth="1"/>
    <col min="5" max="5" width="1.1796875" customWidth="1"/>
    <col min="6" max="6" width="10.1796875" customWidth="1"/>
    <col min="7" max="7" width="10.7265625" customWidth="1"/>
    <col min="8" max="8" width="13.26953125" customWidth="1"/>
    <col min="9" max="9" width="11.7265625" customWidth="1"/>
    <col min="10" max="10" width="2.26953125" customWidth="1"/>
  </cols>
  <sheetData>
    <row r="1" spans="1:9" ht="12.75" customHeight="1" x14ac:dyDescent="0.3">
      <c r="A1" s="415" t="str">
        <f>'Dairy Description'!A1</f>
        <v>Key Code:</v>
      </c>
      <c r="B1" s="2" t="s">
        <v>71</v>
      </c>
      <c r="C1" s="1"/>
      <c r="D1" s="1"/>
      <c r="E1" s="1"/>
      <c r="F1" s="1"/>
      <c r="G1" s="1"/>
    </row>
    <row r="2" spans="1:9" ht="12.75" customHeight="1" x14ac:dyDescent="0.3">
      <c r="B2" s="2" t="s">
        <v>72</v>
      </c>
      <c r="C2" s="1"/>
      <c r="D2" s="1"/>
      <c r="E2" s="1"/>
      <c r="F2" s="1"/>
      <c r="G2" s="1"/>
      <c r="I2" s="1"/>
    </row>
    <row r="3" spans="1:9" ht="12.75" customHeight="1" x14ac:dyDescent="0.3">
      <c r="A3" s="244" t="s">
        <v>760</v>
      </c>
      <c r="B3" s="1"/>
      <c r="C3" s="244"/>
      <c r="D3" s="1"/>
      <c r="E3" s="1"/>
      <c r="F3" s="1"/>
      <c r="G3" s="1"/>
      <c r="H3" s="1"/>
      <c r="I3" s="1"/>
    </row>
    <row r="5" spans="1:9" ht="12.75" customHeight="1" x14ac:dyDescent="0.3">
      <c r="A5" s="6" t="s">
        <v>758</v>
      </c>
      <c r="I5" s="50"/>
    </row>
    <row r="6" spans="1:9" ht="12.75" customHeight="1" x14ac:dyDescent="0.25">
      <c r="A6" s="35" t="s">
        <v>680</v>
      </c>
      <c r="B6" s="28"/>
      <c r="C6" s="93"/>
      <c r="D6" s="28"/>
      <c r="E6" s="94" t="s">
        <v>43</v>
      </c>
      <c r="F6" s="95" t="s">
        <v>679</v>
      </c>
      <c r="G6" s="95"/>
      <c r="H6" s="95"/>
      <c r="I6" s="96"/>
    </row>
    <row r="7" spans="1:9" ht="12.75" customHeight="1" x14ac:dyDescent="0.25">
      <c r="A7" s="19"/>
      <c r="B7" s="56"/>
      <c r="C7" s="56" t="s">
        <v>73</v>
      </c>
      <c r="D7" s="56" t="s">
        <v>33</v>
      </c>
      <c r="E7" s="56" t="s">
        <v>43</v>
      </c>
      <c r="F7" s="56"/>
      <c r="G7" s="56" t="s">
        <v>44</v>
      </c>
      <c r="H7" s="56" t="s">
        <v>33</v>
      </c>
      <c r="I7" s="58"/>
    </row>
    <row r="8" spans="1:9" ht="12.75" customHeight="1" x14ac:dyDescent="0.25">
      <c r="A8" s="44" t="s">
        <v>74</v>
      </c>
      <c r="B8" s="59" t="s">
        <v>75</v>
      </c>
      <c r="C8" s="90" t="s">
        <v>76</v>
      </c>
      <c r="D8" s="97" t="s">
        <v>77</v>
      </c>
      <c r="E8" s="59" t="s">
        <v>43</v>
      </c>
      <c r="F8" s="97" t="s">
        <v>78</v>
      </c>
      <c r="G8" s="59" t="s">
        <v>79</v>
      </c>
      <c r="H8" s="97" t="s">
        <v>77</v>
      </c>
      <c r="I8" s="61"/>
    </row>
    <row r="9" spans="1:9" ht="16" customHeight="1" x14ac:dyDescent="0.25">
      <c r="A9" s="19" t="s">
        <v>80</v>
      </c>
      <c r="E9" s="56" t="s">
        <v>43</v>
      </c>
      <c r="I9" s="26"/>
    </row>
    <row r="10" spans="1:9" ht="16" customHeight="1" x14ac:dyDescent="0.25">
      <c r="A10" s="263">
        <v>0</v>
      </c>
      <c r="B10" s="264">
        <v>0</v>
      </c>
      <c r="C10" s="265">
        <v>0</v>
      </c>
      <c r="D10" s="98">
        <f t="shared" ref="D10:D15" si="0">B10*C10</f>
        <v>0</v>
      </c>
      <c r="E10" s="56" t="s">
        <v>43</v>
      </c>
      <c r="F10" s="264">
        <v>0</v>
      </c>
      <c r="G10" s="265">
        <v>0</v>
      </c>
      <c r="H10" s="98">
        <f t="shared" ref="H10:H15" si="1">F10*G10</f>
        <v>0</v>
      </c>
      <c r="I10" s="26"/>
    </row>
    <row r="11" spans="1:9" ht="16" customHeight="1" x14ac:dyDescent="0.25">
      <c r="A11" s="263">
        <v>0</v>
      </c>
      <c r="B11" s="264">
        <v>0</v>
      </c>
      <c r="C11" s="265">
        <v>0</v>
      </c>
      <c r="D11" s="98">
        <f t="shared" si="0"/>
        <v>0</v>
      </c>
      <c r="E11" s="56" t="s">
        <v>43</v>
      </c>
      <c r="F11" s="264">
        <v>0</v>
      </c>
      <c r="G11" s="265">
        <v>0</v>
      </c>
      <c r="H11" s="98">
        <f t="shared" si="1"/>
        <v>0</v>
      </c>
      <c r="I11" s="26"/>
    </row>
    <row r="12" spans="1:9" ht="16" customHeight="1" x14ac:dyDescent="0.25">
      <c r="A12" s="263">
        <v>0</v>
      </c>
      <c r="B12" s="264">
        <v>0</v>
      </c>
      <c r="C12" s="265">
        <v>0</v>
      </c>
      <c r="D12" s="98">
        <f t="shared" si="0"/>
        <v>0</v>
      </c>
      <c r="E12" s="56" t="s">
        <v>43</v>
      </c>
      <c r="F12" s="264">
        <v>0</v>
      </c>
      <c r="G12" s="265">
        <v>0</v>
      </c>
      <c r="H12" s="98">
        <f t="shared" si="1"/>
        <v>0</v>
      </c>
      <c r="I12" s="26"/>
    </row>
    <row r="13" spans="1:9" ht="16" customHeight="1" x14ac:dyDescent="0.25">
      <c r="A13" s="263">
        <v>0</v>
      </c>
      <c r="B13" s="264">
        <v>0</v>
      </c>
      <c r="C13" s="265">
        <v>0</v>
      </c>
      <c r="D13" s="98">
        <f t="shared" si="0"/>
        <v>0</v>
      </c>
      <c r="E13" s="56" t="s">
        <v>43</v>
      </c>
      <c r="F13" s="264">
        <v>0</v>
      </c>
      <c r="G13" s="265">
        <v>0</v>
      </c>
      <c r="H13" s="98">
        <f t="shared" si="1"/>
        <v>0</v>
      </c>
      <c r="I13" s="26"/>
    </row>
    <row r="14" spans="1:9" ht="16" customHeight="1" x14ac:dyDescent="0.25">
      <c r="A14" s="263">
        <v>0</v>
      </c>
      <c r="B14" s="264">
        <v>0</v>
      </c>
      <c r="C14" s="265">
        <v>0</v>
      </c>
      <c r="D14" s="98">
        <f t="shared" si="0"/>
        <v>0</v>
      </c>
      <c r="E14" s="56" t="s">
        <v>43</v>
      </c>
      <c r="F14" s="264">
        <v>0</v>
      </c>
      <c r="G14" s="265">
        <v>0</v>
      </c>
      <c r="H14" s="98">
        <f t="shared" si="1"/>
        <v>0</v>
      </c>
      <c r="I14" s="26"/>
    </row>
    <row r="15" spans="1:9" ht="16" customHeight="1" x14ac:dyDescent="0.25">
      <c r="A15" s="263">
        <v>0</v>
      </c>
      <c r="B15" s="264">
        <v>0</v>
      </c>
      <c r="C15" s="265">
        <v>0</v>
      </c>
      <c r="D15" s="98">
        <f t="shared" si="0"/>
        <v>0</v>
      </c>
      <c r="E15" s="56" t="s">
        <v>43</v>
      </c>
      <c r="F15" s="264">
        <v>0</v>
      </c>
      <c r="G15" s="265">
        <v>0</v>
      </c>
      <c r="H15" s="98">
        <f t="shared" si="1"/>
        <v>0</v>
      </c>
      <c r="I15" s="26"/>
    </row>
    <row r="16" spans="1:9" ht="16" customHeight="1" x14ac:dyDescent="0.25">
      <c r="A16" s="66" t="s">
        <v>33</v>
      </c>
      <c r="D16" s="63">
        <f>SUM(D10:D15)</f>
        <v>0</v>
      </c>
      <c r="E16" s="56" t="s">
        <v>43</v>
      </c>
      <c r="F16" s="82"/>
      <c r="H16" s="63">
        <f>SUM(H10:H15)</f>
        <v>0</v>
      </c>
      <c r="I16" s="26"/>
    </row>
    <row r="17" spans="1:9" ht="6.75" customHeight="1" x14ac:dyDescent="0.25">
      <c r="A17" s="100"/>
      <c r="B17" s="45"/>
      <c r="C17" s="45"/>
      <c r="D17" s="101"/>
      <c r="E17" s="59"/>
      <c r="F17" s="90"/>
      <c r="G17" s="45"/>
      <c r="H17" s="101"/>
      <c r="I17" s="46"/>
    </row>
    <row r="18" spans="1:9" ht="16" customHeight="1" x14ac:dyDescent="0.3">
      <c r="A18" s="102" t="s">
        <v>757</v>
      </c>
      <c r="B18" s="45"/>
      <c r="C18" s="45"/>
      <c r="D18" s="45"/>
      <c r="E18" s="45"/>
      <c r="F18" s="45"/>
      <c r="G18" s="45"/>
      <c r="H18" s="45"/>
      <c r="I18" s="46"/>
    </row>
    <row r="19" spans="1:9" ht="16" customHeight="1" x14ac:dyDescent="0.25">
      <c r="A19" s="103" t="s">
        <v>74</v>
      </c>
      <c r="B19" s="45"/>
      <c r="C19" s="45"/>
      <c r="D19" s="45"/>
      <c r="E19" s="45"/>
      <c r="F19" s="45"/>
      <c r="G19" s="45"/>
      <c r="H19" s="45"/>
      <c r="I19" s="46" t="s">
        <v>81</v>
      </c>
    </row>
    <row r="20" spans="1:9" ht="16" customHeight="1" x14ac:dyDescent="0.25">
      <c r="A20" s="19" t="s">
        <v>82</v>
      </c>
      <c r="B20" s="104">
        <v>0</v>
      </c>
      <c r="C20" s="105">
        <v>0</v>
      </c>
      <c r="D20" s="106">
        <f>B20*C20</f>
        <v>0</v>
      </c>
      <c r="E20" s="56" t="s">
        <v>43</v>
      </c>
      <c r="F20" s="104">
        <v>0</v>
      </c>
      <c r="G20" s="99">
        <v>0</v>
      </c>
      <c r="H20" s="106">
        <f>F20*G20</f>
        <v>0</v>
      </c>
      <c r="I20" s="107">
        <f>H20-D20</f>
        <v>0</v>
      </c>
    </row>
    <row r="21" spans="1:9" ht="16" customHeight="1" x14ac:dyDescent="0.25">
      <c r="A21" s="19" t="s">
        <v>83</v>
      </c>
      <c r="B21" s="108"/>
      <c r="C21" s="62"/>
      <c r="D21" s="62"/>
      <c r="E21" s="57" t="s">
        <v>43</v>
      </c>
      <c r="F21" s="108"/>
      <c r="G21" s="62"/>
      <c r="H21" s="62"/>
      <c r="I21" s="109"/>
    </row>
    <row r="22" spans="1:9" ht="16" customHeight="1" x14ac:dyDescent="0.25">
      <c r="A22" s="66" t="s">
        <v>84</v>
      </c>
      <c r="B22" s="110">
        <v>0</v>
      </c>
      <c r="C22" s="99">
        <v>0</v>
      </c>
      <c r="D22" s="266">
        <f>B22*C22</f>
        <v>0</v>
      </c>
      <c r="E22" s="56" t="s">
        <v>43</v>
      </c>
      <c r="F22" s="110">
        <v>0</v>
      </c>
      <c r="G22" s="99">
        <v>0</v>
      </c>
      <c r="H22" s="266">
        <f>F22*G22</f>
        <v>0</v>
      </c>
      <c r="I22" s="107">
        <f>H22-D22</f>
        <v>0</v>
      </c>
    </row>
    <row r="23" spans="1:9" ht="16" customHeight="1" x14ac:dyDescent="0.25">
      <c r="A23" s="66" t="s">
        <v>85</v>
      </c>
      <c r="B23" s="110">
        <v>0</v>
      </c>
      <c r="C23" s="99">
        <v>0</v>
      </c>
      <c r="D23" s="266">
        <f>B23*C23</f>
        <v>0</v>
      </c>
      <c r="E23" s="56" t="s">
        <v>43</v>
      </c>
      <c r="F23" s="110">
        <v>0</v>
      </c>
      <c r="G23" s="99">
        <v>0</v>
      </c>
      <c r="H23" s="266">
        <f>F23*G23</f>
        <v>0</v>
      </c>
      <c r="I23" s="107">
        <f>H23-D23</f>
        <v>0</v>
      </c>
    </row>
    <row r="24" spans="1:9" ht="16" customHeight="1" x14ac:dyDescent="0.25">
      <c r="A24" s="66" t="s">
        <v>86</v>
      </c>
      <c r="B24" s="110">
        <v>0</v>
      </c>
      <c r="C24" s="99">
        <v>0</v>
      </c>
      <c r="D24" s="266">
        <f>B24*C24</f>
        <v>0</v>
      </c>
      <c r="E24" s="56" t="s">
        <v>43</v>
      </c>
      <c r="F24" s="110">
        <v>0</v>
      </c>
      <c r="G24" s="99">
        <v>0</v>
      </c>
      <c r="H24" s="266">
        <f>F24*G24</f>
        <v>0</v>
      </c>
      <c r="I24" s="107">
        <f>H24-D24</f>
        <v>0</v>
      </c>
    </row>
    <row r="25" spans="1:9" ht="16" customHeight="1" x14ac:dyDescent="0.25">
      <c r="A25" s="66" t="s">
        <v>87</v>
      </c>
      <c r="B25" s="110">
        <v>0</v>
      </c>
      <c r="C25" s="99">
        <v>0</v>
      </c>
      <c r="D25" s="266">
        <f>B25*C25</f>
        <v>0</v>
      </c>
      <c r="E25" s="56" t="s">
        <v>43</v>
      </c>
      <c r="F25" s="110">
        <v>0</v>
      </c>
      <c r="G25" s="99">
        <v>0</v>
      </c>
      <c r="H25" s="266">
        <f>F25*G25</f>
        <v>0</v>
      </c>
      <c r="I25" s="107">
        <f>H25-D25</f>
        <v>0</v>
      </c>
    </row>
    <row r="26" spans="1:9" ht="16" customHeight="1" x14ac:dyDescent="0.25">
      <c r="A26" s="19" t="s">
        <v>88</v>
      </c>
      <c r="B26" s="104"/>
      <c r="C26" s="72"/>
      <c r="E26" s="56" t="s">
        <v>43</v>
      </c>
      <c r="F26" s="104"/>
      <c r="G26" s="72"/>
      <c r="I26" s="109"/>
    </row>
    <row r="27" spans="1:9" ht="16" customHeight="1" x14ac:dyDescent="0.25">
      <c r="A27" s="66" t="s">
        <v>89</v>
      </c>
      <c r="B27" s="104">
        <v>0</v>
      </c>
      <c r="C27" s="105">
        <v>0</v>
      </c>
      <c r="D27" s="266">
        <f t="shared" ref="D27:D38" si="2">B27*C27</f>
        <v>0</v>
      </c>
      <c r="E27" s="56" t="s">
        <v>43</v>
      </c>
      <c r="F27" s="110">
        <v>0</v>
      </c>
      <c r="G27" s="99">
        <v>0</v>
      </c>
      <c r="H27" s="266">
        <f t="shared" ref="H27:H38" si="3">F27*G27</f>
        <v>0</v>
      </c>
      <c r="I27" s="107">
        <f t="shared" ref="I27:I38" si="4">H27-D27</f>
        <v>0</v>
      </c>
    </row>
    <row r="28" spans="1:9" ht="16" customHeight="1" x14ac:dyDescent="0.25">
      <c r="A28" s="66" t="s">
        <v>90</v>
      </c>
      <c r="B28" s="104">
        <v>0</v>
      </c>
      <c r="C28" s="105">
        <v>0</v>
      </c>
      <c r="D28" s="266">
        <f t="shared" si="2"/>
        <v>0</v>
      </c>
      <c r="E28" s="56" t="s">
        <v>43</v>
      </c>
      <c r="F28" s="110">
        <v>0</v>
      </c>
      <c r="G28" s="99">
        <v>0</v>
      </c>
      <c r="H28" s="266">
        <f t="shared" si="3"/>
        <v>0</v>
      </c>
      <c r="I28" s="107">
        <f t="shared" si="4"/>
        <v>0</v>
      </c>
    </row>
    <row r="29" spans="1:9" ht="16" customHeight="1" x14ac:dyDescent="0.25">
      <c r="A29" s="66" t="s">
        <v>91</v>
      </c>
      <c r="B29" s="104">
        <v>0</v>
      </c>
      <c r="C29" s="105">
        <v>0</v>
      </c>
      <c r="D29" s="266">
        <f t="shared" si="2"/>
        <v>0</v>
      </c>
      <c r="E29" s="56" t="s">
        <v>43</v>
      </c>
      <c r="F29" s="110">
        <v>0</v>
      </c>
      <c r="G29" s="99">
        <v>0</v>
      </c>
      <c r="H29" s="266">
        <f t="shared" si="3"/>
        <v>0</v>
      </c>
      <c r="I29" s="107">
        <f t="shared" si="4"/>
        <v>0</v>
      </c>
    </row>
    <row r="30" spans="1:9" ht="16" customHeight="1" x14ac:dyDescent="0.25">
      <c r="A30" s="66" t="s">
        <v>92</v>
      </c>
      <c r="B30" s="104">
        <v>0</v>
      </c>
      <c r="C30" s="105">
        <v>0</v>
      </c>
      <c r="D30" s="266">
        <f t="shared" si="2"/>
        <v>0</v>
      </c>
      <c r="E30" s="56" t="s">
        <v>43</v>
      </c>
      <c r="F30" s="110">
        <v>0</v>
      </c>
      <c r="G30" s="99">
        <v>0</v>
      </c>
      <c r="H30" s="266">
        <f t="shared" si="3"/>
        <v>0</v>
      </c>
      <c r="I30" s="107">
        <f t="shared" si="4"/>
        <v>0</v>
      </c>
    </row>
    <row r="31" spans="1:9" ht="16" customHeight="1" x14ac:dyDescent="0.25">
      <c r="A31" s="66" t="s">
        <v>93</v>
      </c>
      <c r="B31" s="104">
        <v>0</v>
      </c>
      <c r="C31" s="105">
        <v>0</v>
      </c>
      <c r="D31" s="266">
        <f t="shared" si="2"/>
        <v>0</v>
      </c>
      <c r="E31" s="56" t="s">
        <v>43</v>
      </c>
      <c r="F31" s="110">
        <v>0</v>
      </c>
      <c r="G31" s="99">
        <v>0</v>
      </c>
      <c r="H31" s="266">
        <f t="shared" si="3"/>
        <v>0</v>
      </c>
      <c r="I31" s="107">
        <f t="shared" si="4"/>
        <v>0</v>
      </c>
    </row>
    <row r="32" spans="1:9" ht="16" customHeight="1" x14ac:dyDescent="0.25">
      <c r="A32" s="66" t="s">
        <v>747</v>
      </c>
      <c r="B32" s="104">
        <v>0</v>
      </c>
      <c r="C32" s="105">
        <v>0</v>
      </c>
      <c r="D32" s="266">
        <f t="shared" si="2"/>
        <v>0</v>
      </c>
      <c r="E32" s="56" t="s">
        <v>43</v>
      </c>
      <c r="F32" s="110">
        <v>0</v>
      </c>
      <c r="G32" s="99">
        <v>0</v>
      </c>
      <c r="H32" s="266">
        <f t="shared" si="3"/>
        <v>0</v>
      </c>
      <c r="I32" s="107">
        <f t="shared" si="4"/>
        <v>0</v>
      </c>
    </row>
    <row r="33" spans="1:9" ht="16" customHeight="1" x14ac:dyDescent="0.25">
      <c r="A33" s="66" t="s">
        <v>94</v>
      </c>
      <c r="B33" s="104">
        <v>0</v>
      </c>
      <c r="C33" s="105">
        <v>0</v>
      </c>
      <c r="D33" s="266">
        <f t="shared" si="2"/>
        <v>0</v>
      </c>
      <c r="E33" s="56" t="s">
        <v>43</v>
      </c>
      <c r="F33" s="110">
        <v>0</v>
      </c>
      <c r="G33" s="99">
        <v>0</v>
      </c>
      <c r="H33" s="266">
        <f t="shared" si="3"/>
        <v>0</v>
      </c>
      <c r="I33" s="107">
        <f t="shared" si="4"/>
        <v>0</v>
      </c>
    </row>
    <row r="34" spans="1:9" ht="16" customHeight="1" x14ac:dyDescent="0.25">
      <c r="A34" s="66" t="s">
        <v>95</v>
      </c>
      <c r="B34" s="104">
        <v>0</v>
      </c>
      <c r="C34" s="105">
        <v>0</v>
      </c>
      <c r="D34" s="266">
        <f t="shared" si="2"/>
        <v>0</v>
      </c>
      <c r="E34" s="56" t="s">
        <v>43</v>
      </c>
      <c r="F34" s="110">
        <v>0</v>
      </c>
      <c r="G34" s="99">
        <v>0</v>
      </c>
      <c r="H34" s="266">
        <f t="shared" si="3"/>
        <v>0</v>
      </c>
      <c r="I34" s="107">
        <f t="shared" si="4"/>
        <v>0</v>
      </c>
    </row>
    <row r="35" spans="1:9" ht="16" customHeight="1" x14ac:dyDescent="0.25">
      <c r="A35" s="66" t="s">
        <v>96</v>
      </c>
      <c r="B35" s="104">
        <v>0</v>
      </c>
      <c r="C35" s="105">
        <v>0</v>
      </c>
      <c r="D35" s="266">
        <f t="shared" si="2"/>
        <v>0</v>
      </c>
      <c r="E35" s="56" t="s">
        <v>43</v>
      </c>
      <c r="F35" s="110">
        <v>0</v>
      </c>
      <c r="G35" s="99">
        <v>0</v>
      </c>
      <c r="H35" s="266">
        <f t="shared" si="3"/>
        <v>0</v>
      </c>
      <c r="I35" s="107">
        <f t="shared" si="4"/>
        <v>0</v>
      </c>
    </row>
    <row r="36" spans="1:9" ht="16" customHeight="1" x14ac:dyDescent="0.25">
      <c r="A36" s="66" t="s">
        <v>97</v>
      </c>
      <c r="B36" s="104">
        <v>0</v>
      </c>
      <c r="C36" s="105">
        <v>0</v>
      </c>
      <c r="D36" s="266">
        <f t="shared" si="2"/>
        <v>0</v>
      </c>
      <c r="E36" s="56" t="s">
        <v>43</v>
      </c>
      <c r="F36" s="110">
        <v>0</v>
      </c>
      <c r="G36" s="99">
        <v>0</v>
      </c>
      <c r="H36" s="266">
        <f t="shared" si="3"/>
        <v>0</v>
      </c>
      <c r="I36" s="107">
        <f t="shared" si="4"/>
        <v>0</v>
      </c>
    </row>
    <row r="37" spans="1:9" ht="16" customHeight="1" x14ac:dyDescent="0.25">
      <c r="A37" s="66" t="s">
        <v>98</v>
      </c>
      <c r="B37" s="104">
        <v>0</v>
      </c>
      <c r="C37" s="105">
        <v>0</v>
      </c>
      <c r="D37" s="266">
        <f t="shared" si="2"/>
        <v>0</v>
      </c>
      <c r="E37" s="56" t="s">
        <v>43</v>
      </c>
      <c r="F37" s="110">
        <v>0</v>
      </c>
      <c r="G37" s="99">
        <v>0</v>
      </c>
      <c r="H37" s="266">
        <f t="shared" si="3"/>
        <v>0</v>
      </c>
      <c r="I37" s="107">
        <f t="shared" si="4"/>
        <v>0</v>
      </c>
    </row>
    <row r="38" spans="1:9" ht="16" customHeight="1" x14ac:dyDescent="0.25">
      <c r="A38" s="66" t="s">
        <v>99</v>
      </c>
      <c r="B38" s="104">
        <v>0</v>
      </c>
      <c r="C38" s="105">
        <v>0</v>
      </c>
      <c r="D38" s="266">
        <f t="shared" si="2"/>
        <v>0</v>
      </c>
      <c r="E38" s="56" t="s">
        <v>43</v>
      </c>
      <c r="F38" s="110">
        <v>0</v>
      </c>
      <c r="G38" s="99">
        <v>0</v>
      </c>
      <c r="H38" s="266">
        <f t="shared" si="3"/>
        <v>0</v>
      </c>
      <c r="I38" s="107">
        <f t="shared" si="4"/>
        <v>0</v>
      </c>
    </row>
    <row r="39" spans="1:9" ht="16" customHeight="1" x14ac:dyDescent="0.25">
      <c r="A39" s="111" t="s">
        <v>100</v>
      </c>
      <c r="B39" s="82"/>
      <c r="C39" s="82"/>
      <c r="D39" s="112">
        <f>SUM(D20:D38)</f>
        <v>0</v>
      </c>
      <c r="E39" s="56" t="s">
        <v>43</v>
      </c>
      <c r="F39" s="82"/>
      <c r="G39" s="82"/>
      <c r="H39" s="112">
        <f>SUM(H20:H38)</f>
        <v>0</v>
      </c>
      <c r="I39" s="26"/>
    </row>
    <row r="40" spans="1:9" ht="13.5" customHeight="1" x14ac:dyDescent="0.25">
      <c r="A40" s="103"/>
      <c r="B40" s="45"/>
      <c r="C40" s="45"/>
      <c r="D40" s="45"/>
      <c r="E40" s="45"/>
      <c r="F40" s="45"/>
      <c r="G40" s="45"/>
      <c r="H40" s="45"/>
      <c r="I40" s="46"/>
    </row>
    <row r="41" spans="1:9" ht="13.5" customHeight="1" x14ac:dyDescent="0.25">
      <c r="A41" t="s">
        <v>101</v>
      </c>
    </row>
    <row r="42" spans="1:9" ht="12.75" customHeight="1" x14ac:dyDescent="0.25">
      <c r="A42" t="s">
        <v>102</v>
      </c>
    </row>
    <row r="43" spans="1:9" ht="12.75" customHeight="1" x14ac:dyDescent="0.25">
      <c r="A43" t="s">
        <v>103</v>
      </c>
    </row>
    <row r="44" spans="1:9" ht="12.75" customHeight="1" x14ac:dyDescent="0.25">
      <c r="A44" t="s">
        <v>104</v>
      </c>
    </row>
    <row r="45" spans="1:9" ht="13.5" customHeight="1" x14ac:dyDescent="0.25">
      <c r="A45" t="s">
        <v>105</v>
      </c>
    </row>
    <row r="46" spans="1:9" ht="12.75" customHeight="1" x14ac:dyDescent="0.25">
      <c r="A46" t="s">
        <v>106</v>
      </c>
    </row>
    <row r="47" spans="1:9" ht="12.75" customHeight="1" x14ac:dyDescent="0.25">
      <c r="A47" t="s">
        <v>107</v>
      </c>
    </row>
  </sheetData>
  <phoneticPr fontId="0" type="noConversion"/>
  <printOptions headings="1"/>
  <pageMargins left="0.5" right="0.28000000000000003" top="0.5" bottom="0.47" header="0.5" footer="0.5"/>
  <pageSetup scale="97" orientation="portrait" horizontalDpi="300" verticalDpi="300" r:id="rId1"/>
  <headerFooter alignWithMargins="0">
    <oddHeader>&amp;R&amp;8 3&amp;10
&amp;8&amp;D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selection activeCell="A4" sqref="A4"/>
    </sheetView>
  </sheetViews>
  <sheetFormatPr defaultColWidth="9.1796875" defaultRowHeight="12.75" customHeight="1" x14ac:dyDescent="0.25"/>
  <cols>
    <col min="1" max="1" width="15.54296875" customWidth="1"/>
    <col min="2" max="2" width="15.1796875" customWidth="1"/>
    <col min="3" max="3" width="16.1796875" customWidth="1"/>
    <col min="4" max="4" width="14.81640625" customWidth="1"/>
    <col min="5" max="5" width="14.54296875" customWidth="1"/>
    <col min="6" max="6" width="16" customWidth="1"/>
    <col min="7" max="7" width="5.1796875" customWidth="1"/>
    <col min="8" max="8" width="1.54296875" customWidth="1"/>
    <col min="9" max="9" width="4.7265625" customWidth="1"/>
  </cols>
  <sheetData>
    <row r="1" spans="1:8" ht="12.75" customHeight="1" x14ac:dyDescent="0.3">
      <c r="A1" s="415" t="str">
        <f>'Dairy Description'!A1</f>
        <v>Key Code:</v>
      </c>
      <c r="B1" s="1"/>
      <c r="C1" s="289" t="s">
        <v>0</v>
      </c>
      <c r="D1" s="1"/>
      <c r="E1" s="1"/>
      <c r="F1" s="1"/>
    </row>
    <row r="2" spans="1:8" ht="12.75" customHeight="1" x14ac:dyDescent="0.3">
      <c r="C2" s="288" t="s">
        <v>1</v>
      </c>
      <c r="D2" s="243"/>
      <c r="E2" s="1"/>
      <c r="F2" s="1"/>
    </row>
    <row r="3" spans="1:8" ht="12.75" customHeight="1" x14ac:dyDescent="0.3">
      <c r="A3" s="244" t="s">
        <v>760</v>
      </c>
      <c r="B3" s="1"/>
      <c r="C3" s="1"/>
      <c r="D3" s="1"/>
      <c r="E3" s="1"/>
      <c r="F3" s="1"/>
    </row>
    <row r="5" spans="1:8" ht="12.75" customHeight="1" x14ac:dyDescent="0.3">
      <c r="A5" s="6" t="s">
        <v>598</v>
      </c>
      <c r="F5" s="50"/>
    </row>
    <row r="6" spans="1:8" ht="12.75" customHeight="1" x14ac:dyDescent="0.25">
      <c r="A6" s="21"/>
      <c r="B6" s="54" t="s">
        <v>108</v>
      </c>
      <c r="C6" s="54" t="s">
        <v>108</v>
      </c>
      <c r="D6" s="113" t="s">
        <v>109</v>
      </c>
      <c r="E6" s="28" t="s">
        <v>110</v>
      </c>
      <c r="F6" s="96"/>
    </row>
    <row r="7" spans="1:8" ht="12.75" customHeight="1" x14ac:dyDescent="0.25">
      <c r="A7" s="16" t="s">
        <v>111</v>
      </c>
      <c r="B7" s="56" t="s">
        <v>112</v>
      </c>
      <c r="C7" s="56" t="s">
        <v>113</v>
      </c>
      <c r="D7" s="58" t="s">
        <v>114</v>
      </c>
      <c r="F7" s="58" t="s">
        <v>115</v>
      </c>
    </row>
    <row r="8" spans="1:8" ht="12.75" customHeight="1" x14ac:dyDescent="0.25">
      <c r="A8" s="44" t="s">
        <v>681</v>
      </c>
      <c r="B8" s="59" t="s">
        <v>682</v>
      </c>
      <c r="C8" s="59" t="s">
        <v>683</v>
      </c>
      <c r="D8" s="61" t="s">
        <v>684</v>
      </c>
      <c r="E8" s="59" t="s">
        <v>116</v>
      </c>
      <c r="F8" s="61" t="s">
        <v>117</v>
      </c>
      <c r="G8" s="56"/>
      <c r="H8" s="56"/>
    </row>
    <row r="9" spans="1:8" ht="8.25" customHeight="1" x14ac:dyDescent="0.25">
      <c r="A9" s="19"/>
      <c r="B9" s="56"/>
      <c r="C9" s="56"/>
      <c r="D9" s="58"/>
      <c r="E9" s="56"/>
      <c r="F9" s="114"/>
      <c r="G9" s="56"/>
      <c r="H9" s="56"/>
    </row>
    <row r="10" spans="1:8" ht="16" customHeight="1" x14ac:dyDescent="0.25">
      <c r="A10" s="115" t="s">
        <v>118</v>
      </c>
      <c r="B10" s="268">
        <v>0</v>
      </c>
      <c r="C10" s="268">
        <v>0</v>
      </c>
      <c r="D10" s="116">
        <f t="shared" ref="D10:D18" si="0">C10-B10</f>
        <v>0</v>
      </c>
      <c r="E10" t="s">
        <v>119</v>
      </c>
      <c r="F10" s="117">
        <f>D10</f>
        <v>0</v>
      </c>
    </row>
    <row r="11" spans="1:8" ht="16" customHeight="1" x14ac:dyDescent="0.25">
      <c r="A11" s="267">
        <v>0</v>
      </c>
      <c r="B11" s="268">
        <v>0</v>
      </c>
      <c r="C11" s="268">
        <v>0</v>
      </c>
      <c r="D11" s="116">
        <f t="shared" si="0"/>
        <v>0</v>
      </c>
      <c r="E11" t="s">
        <v>120</v>
      </c>
      <c r="F11" s="118">
        <v>0</v>
      </c>
    </row>
    <row r="12" spans="1:8" ht="16" customHeight="1" x14ac:dyDescent="0.25">
      <c r="A12" s="267">
        <v>0</v>
      </c>
      <c r="B12" s="268">
        <v>0</v>
      </c>
      <c r="C12" s="268">
        <v>0</v>
      </c>
      <c r="D12" s="116">
        <f t="shared" si="0"/>
        <v>0</v>
      </c>
      <c r="E12" t="s">
        <v>121</v>
      </c>
      <c r="F12" s="118">
        <v>0</v>
      </c>
    </row>
    <row r="13" spans="1:8" ht="16" customHeight="1" x14ac:dyDescent="0.25">
      <c r="A13" s="267">
        <v>0</v>
      </c>
      <c r="B13" s="268">
        <v>0</v>
      </c>
      <c r="C13" s="268">
        <v>0</v>
      </c>
      <c r="D13" s="116">
        <f t="shared" si="0"/>
        <v>0</v>
      </c>
      <c r="E13" t="s">
        <v>122</v>
      </c>
      <c r="F13" s="118">
        <v>0</v>
      </c>
    </row>
    <row r="14" spans="1:8" ht="16" customHeight="1" x14ac:dyDescent="0.25">
      <c r="A14" s="267">
        <v>0</v>
      </c>
      <c r="B14" s="268">
        <v>0</v>
      </c>
      <c r="C14" s="268">
        <v>0</v>
      </c>
      <c r="D14" s="116">
        <f t="shared" si="0"/>
        <v>0</v>
      </c>
      <c r="E14" t="s">
        <v>123</v>
      </c>
      <c r="F14" s="118">
        <v>0</v>
      </c>
    </row>
    <row r="15" spans="1:8" ht="16" customHeight="1" x14ac:dyDescent="0.25">
      <c r="A15" s="267">
        <v>0</v>
      </c>
      <c r="B15" s="268">
        <v>0</v>
      </c>
      <c r="C15" s="268">
        <v>0</v>
      </c>
      <c r="D15" s="116">
        <f t="shared" si="0"/>
        <v>0</v>
      </c>
      <c r="E15" t="s">
        <v>124</v>
      </c>
      <c r="F15" s="118">
        <v>0</v>
      </c>
    </row>
    <row r="16" spans="1:8" ht="16" customHeight="1" x14ac:dyDescent="0.25">
      <c r="A16" s="267">
        <v>0</v>
      </c>
      <c r="B16" s="268">
        <v>0</v>
      </c>
      <c r="C16" s="268">
        <v>0</v>
      </c>
      <c r="D16" s="116">
        <f t="shared" si="0"/>
        <v>0</v>
      </c>
      <c r="E16" t="s">
        <v>125</v>
      </c>
      <c r="F16" s="118">
        <v>0</v>
      </c>
    </row>
    <row r="17" spans="1:6" ht="16" customHeight="1" x14ac:dyDescent="0.25">
      <c r="A17" s="267">
        <v>0</v>
      </c>
      <c r="B17" s="268">
        <v>0</v>
      </c>
      <c r="C17" s="268">
        <v>0</v>
      </c>
      <c r="D17" s="116">
        <f t="shared" si="0"/>
        <v>0</v>
      </c>
      <c r="E17" t="s">
        <v>126</v>
      </c>
      <c r="F17" s="118">
        <v>0</v>
      </c>
    </row>
    <row r="18" spans="1:6" ht="16" customHeight="1" x14ac:dyDescent="0.25">
      <c r="A18" s="267">
        <v>0</v>
      </c>
      <c r="B18" s="268">
        <v>0</v>
      </c>
      <c r="C18" s="268">
        <v>0</v>
      </c>
      <c r="D18" s="116">
        <f t="shared" si="0"/>
        <v>0</v>
      </c>
      <c r="E18" t="s">
        <v>8</v>
      </c>
      <c r="F18" s="118">
        <v>0</v>
      </c>
    </row>
    <row r="19" spans="1:6" ht="16" customHeight="1" x14ac:dyDescent="0.25">
      <c r="A19" s="119" t="s">
        <v>685</v>
      </c>
      <c r="B19" s="120">
        <f>SUM(B10:B18)</f>
        <v>0</v>
      </c>
      <c r="C19" s="120">
        <f>SUM(C10:C18)</f>
        <v>0</v>
      </c>
      <c r="D19" s="116">
        <f>C19-B19</f>
        <v>0</v>
      </c>
      <c r="E19" t="s">
        <v>685</v>
      </c>
      <c r="F19" s="116">
        <f>SUM(F10:F18)</f>
        <v>0</v>
      </c>
    </row>
    <row r="20" spans="1:6" ht="7.5" customHeight="1" x14ac:dyDescent="0.25">
      <c r="A20" s="44"/>
      <c r="B20" s="45"/>
      <c r="C20" s="45"/>
      <c r="D20" s="46"/>
      <c r="E20" s="45"/>
      <c r="F20" s="46"/>
    </row>
    <row r="21" spans="1:6" ht="12" customHeight="1" x14ac:dyDescent="0.25">
      <c r="A21" t="s">
        <v>748</v>
      </c>
      <c r="E21" s="82"/>
    </row>
    <row r="22" spans="1:6" ht="12" customHeight="1" x14ac:dyDescent="0.25">
      <c r="A22" s="4" t="s">
        <v>686</v>
      </c>
    </row>
    <row r="23" spans="1:6" ht="12" customHeight="1" x14ac:dyDescent="0.25">
      <c r="A23" t="s">
        <v>692</v>
      </c>
    </row>
    <row r="24" spans="1:6" ht="12" customHeight="1" x14ac:dyDescent="0.25"/>
    <row r="25" spans="1:6" ht="12" customHeight="1" x14ac:dyDescent="0.25"/>
    <row r="26" spans="1:6" ht="12" customHeight="1" x14ac:dyDescent="0.25"/>
    <row r="27" spans="1:6" ht="12" customHeight="1" x14ac:dyDescent="0.25"/>
    <row r="28" spans="1:6" ht="12" customHeight="1" x14ac:dyDescent="0.25"/>
    <row r="29" spans="1:6" ht="12" customHeight="1" x14ac:dyDescent="0.3">
      <c r="A29" s="6"/>
    </row>
    <row r="30" spans="1:6" ht="12" customHeight="1" x14ac:dyDescent="0.25"/>
    <row r="31" spans="1:6" ht="16" customHeight="1" x14ac:dyDescent="0.25">
      <c r="B31" s="121"/>
      <c r="C31" s="56"/>
      <c r="D31" s="56"/>
    </row>
    <row r="32" spans="1:6" ht="19.5" customHeight="1" x14ac:dyDescent="0.25">
      <c r="B32" s="122"/>
      <c r="C32" s="122"/>
      <c r="D32" s="122"/>
    </row>
    <row r="33" spans="1:6" ht="12" customHeight="1" x14ac:dyDescent="0.25"/>
    <row r="34" spans="1:6" ht="12" customHeight="1" x14ac:dyDescent="0.25">
      <c r="A34" s="31"/>
    </row>
    <row r="35" spans="1:6" ht="16" customHeight="1" x14ac:dyDescent="0.25">
      <c r="A35" s="31"/>
    </row>
    <row r="36" spans="1:6" ht="16" customHeight="1" x14ac:dyDescent="0.25">
      <c r="A36" s="31"/>
    </row>
    <row r="37" spans="1:6" ht="16" customHeight="1" x14ac:dyDescent="0.25">
      <c r="A37" s="82"/>
    </row>
    <row r="38" spans="1:6" ht="16" customHeight="1" x14ac:dyDescent="0.25">
      <c r="A38" s="82"/>
      <c r="B38" s="82"/>
      <c r="C38" s="82"/>
      <c r="E38" s="82"/>
      <c r="F38" s="82"/>
    </row>
    <row r="39" spans="1:6" ht="13.5" customHeight="1" x14ac:dyDescent="0.25">
      <c r="A39" s="4"/>
    </row>
    <row r="40" spans="1:6" ht="13.5" customHeight="1" x14ac:dyDescent="0.25">
      <c r="A40" s="4"/>
    </row>
    <row r="44" spans="1:6" ht="13.5" customHeight="1" x14ac:dyDescent="0.25">
      <c r="A44" s="4"/>
    </row>
  </sheetData>
  <phoneticPr fontId="0" type="noConversion"/>
  <printOptions headings="1"/>
  <pageMargins left="0.5" right="0.28000000000000003" top="0.5" bottom="1" header="0.5" footer="0.5"/>
  <pageSetup orientation="portrait" horizontalDpi="300" verticalDpi="300" r:id="rId1"/>
  <headerFooter alignWithMargins="0">
    <oddHeader>&amp;R&amp;8 4&amp;10
&amp;8&amp;D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Views>
    <sheetView zoomScaleNormal="100" workbookViewId="0">
      <selection activeCell="A4" sqref="A4"/>
    </sheetView>
  </sheetViews>
  <sheetFormatPr defaultColWidth="9.1796875" defaultRowHeight="12.75" customHeight="1" x14ac:dyDescent="0.25"/>
  <cols>
    <col min="1" max="1" width="23" customWidth="1"/>
    <col min="2" max="5" width="15.7265625" customWidth="1"/>
  </cols>
  <sheetData>
    <row r="1" spans="1:5" ht="12.75" customHeight="1" x14ac:dyDescent="0.3">
      <c r="A1" s="415" t="str">
        <f>'Dairy Description'!A1</f>
        <v>Key Code:</v>
      </c>
      <c r="B1" s="289" t="s">
        <v>127</v>
      </c>
      <c r="C1" s="3"/>
      <c r="D1" s="3"/>
      <c r="E1" s="3"/>
    </row>
    <row r="2" spans="1:5" ht="12.75" customHeight="1" x14ac:dyDescent="0.3">
      <c r="A2" s="2" t="s">
        <v>42</v>
      </c>
      <c r="B2" s="1"/>
      <c r="C2" s="3"/>
      <c r="D2" s="3"/>
      <c r="E2" s="3"/>
    </row>
    <row r="3" spans="1:5" ht="12.75" customHeight="1" x14ac:dyDescent="0.3">
      <c r="A3" s="244" t="s">
        <v>760</v>
      </c>
      <c r="B3" s="1"/>
      <c r="C3" s="1"/>
      <c r="D3" s="3"/>
      <c r="E3" s="3"/>
    </row>
    <row r="4" spans="1:5" ht="12.75" customHeight="1" x14ac:dyDescent="0.25">
      <c r="A4" s="4"/>
      <c r="B4" s="4"/>
      <c r="C4" s="4"/>
      <c r="D4" s="4"/>
      <c r="E4" s="4"/>
    </row>
    <row r="5" spans="1:5" ht="12.75" customHeight="1" x14ac:dyDescent="0.3">
      <c r="A5" s="6" t="s">
        <v>604</v>
      </c>
      <c r="B5" s="7"/>
      <c r="D5" s="8"/>
      <c r="E5" s="50"/>
    </row>
    <row r="6" spans="1:5" ht="12.75" customHeight="1" x14ac:dyDescent="0.25">
      <c r="A6" s="21"/>
      <c r="B6" s="123"/>
      <c r="C6" s="123"/>
      <c r="D6" s="123" t="s">
        <v>128</v>
      </c>
      <c r="E6" s="11"/>
    </row>
    <row r="7" spans="1:5" ht="12.75" customHeight="1" x14ac:dyDescent="0.25">
      <c r="A7" s="16"/>
      <c r="B7" s="7" t="s">
        <v>129</v>
      </c>
      <c r="C7" s="7" t="s">
        <v>109</v>
      </c>
      <c r="D7" s="7" t="s">
        <v>114</v>
      </c>
      <c r="E7" s="124" t="s">
        <v>130</v>
      </c>
    </row>
    <row r="8" spans="1:5" ht="13.5" customHeight="1" x14ac:dyDescent="0.3">
      <c r="A8" s="125" t="s">
        <v>131</v>
      </c>
      <c r="B8" s="8" t="s">
        <v>132</v>
      </c>
      <c r="C8" s="287" t="s">
        <v>133</v>
      </c>
      <c r="D8" s="287" t="s">
        <v>134</v>
      </c>
      <c r="E8" s="126" t="s">
        <v>135</v>
      </c>
    </row>
    <row r="9" spans="1:5" ht="16" customHeight="1" x14ac:dyDescent="0.25">
      <c r="A9" s="19" t="s">
        <v>136</v>
      </c>
      <c r="B9" s="269">
        <v>0</v>
      </c>
      <c r="C9" s="127" t="s">
        <v>137</v>
      </c>
      <c r="D9" s="128">
        <f>Receivables!F10</f>
        <v>0</v>
      </c>
      <c r="E9" s="129">
        <f>B9+D9</f>
        <v>0</v>
      </c>
    </row>
    <row r="10" spans="1:5" ht="16" customHeight="1" x14ac:dyDescent="0.25">
      <c r="A10" s="19" t="s">
        <v>138</v>
      </c>
      <c r="B10" s="269">
        <v>0</v>
      </c>
      <c r="C10" s="128">
        <f>(Livestock!L10-Livestock!F10)+(Livestock!L12-Livestock!F12)</f>
        <v>0</v>
      </c>
      <c r="D10" s="128">
        <f>Receivables!F11</f>
        <v>0</v>
      </c>
      <c r="E10" s="129">
        <f>SUM(B10:D10)</f>
        <v>0</v>
      </c>
    </row>
    <row r="11" spans="1:5" ht="16" customHeight="1" x14ac:dyDescent="0.25">
      <c r="A11" s="16" t="s">
        <v>139</v>
      </c>
      <c r="B11" s="269">
        <v>0</v>
      </c>
      <c r="C11" s="128">
        <f>(Livestock!L19-Livestock!F19)</f>
        <v>0</v>
      </c>
      <c r="D11" s="128">
        <f>Receivables!F12</f>
        <v>0</v>
      </c>
      <c r="E11" s="129">
        <f>B11+C11+D11</f>
        <v>0</v>
      </c>
    </row>
    <row r="12" spans="1:5" ht="16" customHeight="1" x14ac:dyDescent="0.25">
      <c r="A12" s="19" t="s">
        <v>140</v>
      </c>
      <c r="B12" s="269">
        <v>0</v>
      </c>
      <c r="C12" s="128">
        <f>Livestock!L24-Livestock!F24</f>
        <v>0</v>
      </c>
      <c r="D12" s="128">
        <f>Receivables!F13</f>
        <v>0</v>
      </c>
      <c r="E12" s="129">
        <f>B12+C12+D12</f>
        <v>0</v>
      </c>
    </row>
    <row r="13" spans="1:5" ht="16" customHeight="1" x14ac:dyDescent="0.25">
      <c r="A13" s="19" t="s">
        <v>141</v>
      </c>
      <c r="B13" s="269">
        <v>0</v>
      </c>
      <c r="C13" s="128">
        <f>'Feed and Supply'!I20</f>
        <v>0</v>
      </c>
      <c r="D13" s="128">
        <f>Receivables!F14</f>
        <v>0</v>
      </c>
      <c r="E13" s="129">
        <f>B13+C13+D13</f>
        <v>0</v>
      </c>
    </row>
    <row r="14" spans="1:5" ht="16" customHeight="1" x14ac:dyDescent="0.25">
      <c r="A14" s="16" t="s">
        <v>142</v>
      </c>
      <c r="B14" s="269">
        <v>0</v>
      </c>
      <c r="C14" s="130" t="s">
        <v>143</v>
      </c>
      <c r="D14" s="128">
        <f>Receivables!F15</f>
        <v>0</v>
      </c>
      <c r="E14" s="129">
        <f>B14+D14</f>
        <v>0</v>
      </c>
    </row>
    <row r="15" spans="1:5" ht="16" customHeight="1" x14ac:dyDescent="0.25">
      <c r="A15" s="16" t="s">
        <v>125</v>
      </c>
      <c r="B15" s="269">
        <v>0</v>
      </c>
      <c r="C15" s="127" t="s">
        <v>143</v>
      </c>
      <c r="D15" s="128">
        <f>Receivables!F16</f>
        <v>0</v>
      </c>
      <c r="E15" s="129">
        <f>B15+D15</f>
        <v>0</v>
      </c>
    </row>
    <row r="16" spans="1:5" ht="16" customHeight="1" x14ac:dyDescent="0.25">
      <c r="A16" s="16" t="s">
        <v>126</v>
      </c>
      <c r="B16" s="270">
        <v>0</v>
      </c>
      <c r="C16" s="127" t="s">
        <v>143</v>
      </c>
      <c r="D16" s="128">
        <f>Receivables!F17</f>
        <v>0</v>
      </c>
      <c r="E16" s="129">
        <f>B16+D16</f>
        <v>0</v>
      </c>
    </row>
    <row r="17" spans="1:5" ht="16" customHeight="1" x14ac:dyDescent="0.25">
      <c r="A17" s="16" t="s">
        <v>8</v>
      </c>
      <c r="B17" s="269">
        <v>0</v>
      </c>
      <c r="C17" s="128">
        <v>0</v>
      </c>
      <c r="D17" s="128">
        <f>Receivables!F18</f>
        <v>0</v>
      </c>
      <c r="E17" s="129">
        <f>B17+C17+D17</f>
        <v>0</v>
      </c>
    </row>
    <row r="18" spans="1:5" ht="16" customHeight="1" x14ac:dyDescent="0.25">
      <c r="A18" s="271">
        <v>0</v>
      </c>
      <c r="B18" s="269">
        <v>0</v>
      </c>
      <c r="C18" s="128">
        <v>0</v>
      </c>
      <c r="D18" s="128">
        <v>0</v>
      </c>
      <c r="E18" s="129">
        <f>B18+C18+D18</f>
        <v>0</v>
      </c>
    </row>
    <row r="19" spans="1:5" ht="16" customHeight="1" x14ac:dyDescent="0.25">
      <c r="A19" s="271">
        <v>0</v>
      </c>
      <c r="B19" s="269">
        <v>0</v>
      </c>
      <c r="C19" s="128">
        <v>0</v>
      </c>
      <c r="D19" s="128">
        <v>0</v>
      </c>
      <c r="E19" s="129">
        <f>B19+C19+D19</f>
        <v>0</v>
      </c>
    </row>
    <row r="20" spans="1:5" ht="16" customHeight="1" x14ac:dyDescent="0.25">
      <c r="A20" s="271">
        <v>0</v>
      </c>
      <c r="B20" s="269">
        <v>0</v>
      </c>
      <c r="C20" s="128">
        <v>0</v>
      </c>
      <c r="D20" s="128">
        <v>0</v>
      </c>
      <c r="E20" s="129">
        <f>B20+C20+D20</f>
        <v>0</v>
      </c>
    </row>
    <row r="21" spans="1:5" ht="16" customHeight="1" x14ac:dyDescent="0.25">
      <c r="A21" s="271">
        <v>0</v>
      </c>
      <c r="B21" s="269">
        <v>0</v>
      </c>
      <c r="C21" s="128">
        <v>0</v>
      </c>
      <c r="D21" s="128">
        <v>0</v>
      </c>
      <c r="E21" s="129">
        <f>B21+C21+D21</f>
        <v>0</v>
      </c>
    </row>
    <row r="22" spans="1:5" ht="16" customHeight="1" x14ac:dyDescent="0.25">
      <c r="A22" s="30" t="s">
        <v>144</v>
      </c>
      <c r="B22" s="128">
        <f>SUM(B9:B21)</f>
        <v>0</v>
      </c>
      <c r="C22" s="131"/>
      <c r="D22" s="128">
        <f>SUM(D9:D21)</f>
        <v>0</v>
      </c>
      <c r="E22" s="129">
        <f>SUM(E9:E21)</f>
        <v>0</v>
      </c>
    </row>
    <row r="23" spans="1:5" ht="16" customHeight="1" x14ac:dyDescent="0.25">
      <c r="A23" s="132"/>
      <c r="B23" s="133"/>
      <c r="C23" s="133"/>
      <c r="D23" s="133"/>
      <c r="E23" s="134"/>
    </row>
    <row r="24" spans="1:5" ht="16" customHeight="1" x14ac:dyDescent="0.3">
      <c r="A24" s="135" t="s">
        <v>145</v>
      </c>
      <c r="B24" s="15"/>
      <c r="C24" s="33"/>
      <c r="D24" s="33"/>
      <c r="E24" s="34"/>
    </row>
    <row r="25" spans="1:5" ht="16" customHeight="1" x14ac:dyDescent="0.25">
      <c r="A25" s="19" t="s">
        <v>146</v>
      </c>
      <c r="B25" s="15"/>
      <c r="C25" s="33"/>
      <c r="D25" s="33"/>
      <c r="E25" s="272">
        <v>0</v>
      </c>
    </row>
    <row r="26" spans="1:5" ht="16" customHeight="1" x14ac:dyDescent="0.25">
      <c r="A26" s="19" t="s">
        <v>147</v>
      </c>
      <c r="B26" s="15"/>
      <c r="C26" s="33"/>
      <c r="D26" s="33"/>
      <c r="E26" s="272">
        <v>0</v>
      </c>
    </row>
    <row r="27" spans="1:5" ht="16" customHeight="1" x14ac:dyDescent="0.25">
      <c r="A27" s="19" t="s">
        <v>148</v>
      </c>
      <c r="B27" s="15"/>
      <c r="C27" s="33"/>
      <c r="D27" s="33"/>
      <c r="E27" s="272">
        <v>0</v>
      </c>
    </row>
    <row r="28" spans="1:5" ht="14.15" customHeight="1" x14ac:dyDescent="0.25">
      <c r="A28" s="44"/>
      <c r="B28" s="133"/>
      <c r="C28" s="133"/>
      <c r="D28" s="133"/>
      <c r="E28" s="39"/>
    </row>
    <row r="29" spans="1:5" ht="12.75" customHeight="1" x14ac:dyDescent="0.25">
      <c r="A29" s="136" t="s">
        <v>149</v>
      </c>
    </row>
    <row r="30" spans="1:5" ht="13.5" customHeight="1" x14ac:dyDescent="0.25">
      <c r="A30" t="s">
        <v>687</v>
      </c>
    </row>
    <row r="31" spans="1:5" ht="13.5" customHeight="1" x14ac:dyDescent="0.25">
      <c r="A31" t="s">
        <v>150</v>
      </c>
    </row>
    <row r="32" spans="1:5" ht="13.5" customHeight="1" x14ac:dyDescent="0.25">
      <c r="A32" t="s">
        <v>688</v>
      </c>
    </row>
    <row r="33" spans="1:1" ht="13.5" customHeight="1" x14ac:dyDescent="0.25">
      <c r="A33" t="s">
        <v>151</v>
      </c>
    </row>
    <row r="34" spans="1:1" ht="13.5" customHeight="1" x14ac:dyDescent="0.25">
      <c r="A34" t="s">
        <v>597</v>
      </c>
    </row>
    <row r="35" spans="1:1" ht="13.5" customHeight="1" x14ac:dyDescent="0.25">
      <c r="A35" t="s">
        <v>689</v>
      </c>
    </row>
    <row r="36" spans="1:1" ht="13.5" customHeight="1" x14ac:dyDescent="0.25">
      <c r="A36" t="s">
        <v>152</v>
      </c>
    </row>
    <row r="37" spans="1:1" ht="12.75" customHeight="1" x14ac:dyDescent="0.25">
      <c r="A37" t="s">
        <v>690</v>
      </c>
    </row>
    <row r="38" spans="1:1" ht="12.75" customHeight="1" x14ac:dyDescent="0.25">
      <c r="A38" t="s">
        <v>153</v>
      </c>
    </row>
    <row r="39" spans="1:1" ht="12.75" customHeight="1" x14ac:dyDescent="0.25">
      <c r="A39" t="s">
        <v>660</v>
      </c>
    </row>
    <row r="40" spans="1:1" ht="12.75" customHeight="1" x14ac:dyDescent="0.25">
      <c r="A40" t="s">
        <v>154</v>
      </c>
    </row>
    <row r="41" spans="1:1" ht="13.5" customHeight="1" x14ac:dyDescent="0.25">
      <c r="A41" t="s">
        <v>661</v>
      </c>
    </row>
    <row r="42" spans="1:1" ht="12.75" customHeight="1" x14ac:dyDescent="0.25">
      <c r="A42" t="s">
        <v>155</v>
      </c>
    </row>
    <row r="43" spans="1:1" ht="12.75" customHeight="1" x14ac:dyDescent="0.25">
      <c r="A43" t="s">
        <v>156</v>
      </c>
    </row>
    <row r="44" spans="1:1" ht="13.5" customHeight="1" x14ac:dyDescent="0.25">
      <c r="A44" t="s">
        <v>157</v>
      </c>
    </row>
    <row r="45" spans="1:1" ht="12.75" customHeight="1" x14ac:dyDescent="0.25">
      <c r="A45" t="s">
        <v>158</v>
      </c>
    </row>
    <row r="46" spans="1:1" ht="12.75" customHeight="1" x14ac:dyDescent="0.25">
      <c r="A46" t="s">
        <v>159</v>
      </c>
    </row>
    <row r="47" spans="1:1" ht="12.75" customHeight="1" x14ac:dyDescent="0.25">
      <c r="A47" t="s">
        <v>691</v>
      </c>
    </row>
    <row r="48" spans="1:1" ht="12.75" customHeight="1" x14ac:dyDescent="0.25">
      <c r="A48" t="s">
        <v>160</v>
      </c>
    </row>
  </sheetData>
  <phoneticPr fontId="0" type="noConversion"/>
  <printOptions headings="1"/>
  <pageMargins left="0.5" right="0.28000000000000003" top="0.54" bottom="0.47" header="0.5" footer="0.5"/>
  <pageSetup orientation="portrait" horizontalDpi="300" verticalDpi="300" r:id="rId1"/>
  <headerFooter alignWithMargins="0">
    <oddHeader>&amp;R&amp;8 5&amp;10
&amp;8&amp;D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zoomScaleNormal="100" workbookViewId="0">
      <selection activeCell="A4" sqref="A4"/>
    </sheetView>
  </sheetViews>
  <sheetFormatPr defaultColWidth="9.1796875" defaultRowHeight="12.75" customHeight="1" x14ac:dyDescent="0.25"/>
  <cols>
    <col min="1" max="1" width="16" style="381" customWidth="1"/>
    <col min="2" max="2" width="14.54296875" style="381" customWidth="1"/>
    <col min="3" max="3" width="15.7265625" style="381" customWidth="1"/>
    <col min="4" max="4" width="16.26953125" style="381" customWidth="1"/>
    <col min="5" max="5" width="19" style="381" customWidth="1"/>
    <col min="6" max="6" width="17.54296875" style="381" customWidth="1"/>
    <col min="7" max="7" width="16.1796875" style="381" customWidth="1"/>
    <col min="8" max="8" width="11.26953125" style="381" customWidth="1"/>
    <col min="9" max="16384" width="9.1796875" style="381"/>
  </cols>
  <sheetData>
    <row r="1" spans="1:8" ht="12.75" customHeight="1" x14ac:dyDescent="0.3">
      <c r="A1" s="415" t="str">
        <f>'Dairy Description'!A1</f>
        <v>Key Code:</v>
      </c>
      <c r="B1" s="380"/>
      <c r="C1" s="379" t="s">
        <v>161</v>
      </c>
      <c r="D1" s="380"/>
      <c r="E1" s="380"/>
      <c r="F1" s="380"/>
    </row>
    <row r="2" spans="1:8" ht="12.75" customHeight="1" x14ac:dyDescent="0.3">
      <c r="A2" s="382" t="s">
        <v>42</v>
      </c>
      <c r="B2" s="380"/>
      <c r="C2" s="380"/>
      <c r="D2" s="380"/>
      <c r="E2" s="380"/>
      <c r="F2" s="380"/>
    </row>
    <row r="3" spans="1:8" ht="12.75" customHeight="1" x14ac:dyDescent="0.3">
      <c r="A3" s="244" t="s">
        <v>760</v>
      </c>
      <c r="B3" s="380"/>
      <c r="C3" s="380"/>
      <c r="D3" s="380"/>
      <c r="E3" s="380"/>
      <c r="F3" s="380"/>
    </row>
    <row r="4" spans="1:8" ht="6" customHeight="1" x14ac:dyDescent="0.25"/>
    <row r="5" spans="1:8" ht="12.75" customHeight="1" x14ac:dyDescent="0.3">
      <c r="A5" s="383" t="s">
        <v>603</v>
      </c>
      <c r="F5" s="384"/>
    </row>
    <row r="6" spans="1:8" ht="14.15" customHeight="1" x14ac:dyDescent="0.25">
      <c r="A6" s="385"/>
      <c r="B6" s="386" t="s">
        <v>108</v>
      </c>
      <c r="C6" s="386" t="s">
        <v>108</v>
      </c>
      <c r="D6" s="387" t="s">
        <v>109</v>
      </c>
      <c r="E6" s="530" t="s">
        <v>695</v>
      </c>
      <c r="F6" s="531"/>
    </row>
    <row r="7" spans="1:8" ht="14.15" customHeight="1" x14ac:dyDescent="0.25">
      <c r="A7" s="323" t="s">
        <v>111</v>
      </c>
      <c r="B7" s="388" t="s">
        <v>112</v>
      </c>
      <c r="C7" s="388" t="s">
        <v>113</v>
      </c>
      <c r="D7" s="389" t="s">
        <v>114</v>
      </c>
      <c r="E7" s="530" t="s">
        <v>703</v>
      </c>
      <c r="F7" s="531"/>
    </row>
    <row r="8" spans="1:8" ht="14.15" customHeight="1" x14ac:dyDescent="0.25">
      <c r="A8" s="390" t="s">
        <v>693</v>
      </c>
      <c r="B8" s="391" t="s">
        <v>682</v>
      </c>
      <c r="C8" s="392" t="s">
        <v>683</v>
      </c>
      <c r="D8" s="393" t="s">
        <v>694</v>
      </c>
      <c r="E8" s="394" t="s">
        <v>162</v>
      </c>
      <c r="F8" s="395" t="s">
        <v>163</v>
      </c>
      <c r="G8" s="388"/>
      <c r="H8" s="388"/>
    </row>
    <row r="9" spans="1:8" ht="14.15" customHeight="1" x14ac:dyDescent="0.25">
      <c r="A9" s="323"/>
      <c r="B9" s="388"/>
      <c r="C9" s="388"/>
      <c r="D9" s="389"/>
      <c r="E9" s="323" t="s">
        <v>164</v>
      </c>
      <c r="F9" s="389"/>
      <c r="G9" s="388"/>
      <c r="H9" s="388"/>
    </row>
    <row r="10" spans="1:8" ht="14.15" customHeight="1" x14ac:dyDescent="0.25">
      <c r="A10" s="396" t="s">
        <v>165</v>
      </c>
      <c r="B10" s="397">
        <v>0</v>
      </c>
      <c r="C10" s="397">
        <v>0</v>
      </c>
      <c r="D10" s="398">
        <f t="shared" ref="D10:D22" si="0">C10-B10</f>
        <v>0</v>
      </c>
      <c r="E10" s="399" t="s">
        <v>166</v>
      </c>
      <c r="F10" s="400">
        <v>0</v>
      </c>
    </row>
    <row r="11" spans="1:8" ht="14.15" customHeight="1" x14ac:dyDescent="0.25">
      <c r="A11" s="396" t="s">
        <v>165</v>
      </c>
      <c r="B11" s="397">
        <v>0</v>
      </c>
      <c r="C11" s="397">
        <v>0</v>
      </c>
      <c r="D11" s="398">
        <f t="shared" si="0"/>
        <v>0</v>
      </c>
      <c r="E11" s="399" t="s">
        <v>167</v>
      </c>
      <c r="F11" s="400">
        <v>0</v>
      </c>
    </row>
    <row r="12" spans="1:8" ht="14.15" customHeight="1" x14ac:dyDescent="0.25">
      <c r="A12" s="396" t="s">
        <v>165</v>
      </c>
      <c r="B12" s="397">
        <v>0</v>
      </c>
      <c r="C12" s="397">
        <v>0</v>
      </c>
      <c r="D12" s="398">
        <f t="shared" si="0"/>
        <v>0</v>
      </c>
      <c r="E12" s="399" t="s">
        <v>8</v>
      </c>
      <c r="F12" s="400">
        <v>0</v>
      </c>
    </row>
    <row r="13" spans="1:8" ht="14.15" customHeight="1" x14ac:dyDescent="0.25">
      <c r="A13" s="396" t="s">
        <v>165</v>
      </c>
      <c r="B13" s="397">
        <v>0</v>
      </c>
      <c r="C13" s="397">
        <v>0</v>
      </c>
      <c r="D13" s="398">
        <f t="shared" si="0"/>
        <v>0</v>
      </c>
      <c r="E13" s="401" t="s">
        <v>168</v>
      </c>
      <c r="F13" s="402"/>
    </row>
    <row r="14" spans="1:8" ht="14.15" customHeight="1" x14ac:dyDescent="0.25">
      <c r="A14" s="396" t="s">
        <v>165</v>
      </c>
      <c r="B14" s="397">
        <v>0</v>
      </c>
      <c r="C14" s="397">
        <v>0</v>
      </c>
      <c r="D14" s="398">
        <f t="shared" si="0"/>
        <v>0</v>
      </c>
      <c r="E14" s="399" t="s">
        <v>169</v>
      </c>
      <c r="F14" s="400">
        <v>0</v>
      </c>
    </row>
    <row r="15" spans="1:8" ht="14.15" customHeight="1" x14ac:dyDescent="0.25">
      <c r="A15" s="396" t="s">
        <v>165</v>
      </c>
      <c r="B15" s="397">
        <v>0</v>
      </c>
      <c r="C15" s="397">
        <v>0</v>
      </c>
      <c r="D15" s="398">
        <f t="shared" si="0"/>
        <v>0</v>
      </c>
      <c r="E15" s="399" t="s">
        <v>85</v>
      </c>
      <c r="F15" s="400">
        <v>0</v>
      </c>
    </row>
    <row r="16" spans="1:8" ht="14.15" customHeight="1" x14ac:dyDescent="0.25">
      <c r="A16" s="396" t="s">
        <v>165</v>
      </c>
      <c r="B16" s="397">
        <v>0</v>
      </c>
      <c r="C16" s="397">
        <v>0</v>
      </c>
      <c r="D16" s="398">
        <f t="shared" si="0"/>
        <v>0</v>
      </c>
      <c r="E16" s="399" t="s">
        <v>86</v>
      </c>
      <c r="F16" s="400">
        <v>0</v>
      </c>
    </row>
    <row r="17" spans="1:6" ht="14.15" customHeight="1" x14ac:dyDescent="0.25">
      <c r="A17" s="396" t="s">
        <v>165</v>
      </c>
      <c r="B17" s="397">
        <v>0</v>
      </c>
      <c r="C17" s="397">
        <v>0</v>
      </c>
      <c r="D17" s="398">
        <f t="shared" si="0"/>
        <v>0</v>
      </c>
      <c r="E17" s="399" t="s">
        <v>87</v>
      </c>
      <c r="F17" s="400">
        <v>0</v>
      </c>
    </row>
    <row r="18" spans="1:6" ht="14.15" customHeight="1" x14ac:dyDescent="0.25">
      <c r="A18" s="396" t="s">
        <v>165</v>
      </c>
      <c r="B18" s="397">
        <v>0</v>
      </c>
      <c r="C18" s="397">
        <v>0</v>
      </c>
      <c r="D18" s="398">
        <f t="shared" si="0"/>
        <v>0</v>
      </c>
      <c r="E18" s="401" t="s">
        <v>123</v>
      </c>
      <c r="F18" s="402"/>
    </row>
    <row r="19" spans="1:6" ht="14.15" customHeight="1" x14ac:dyDescent="0.25">
      <c r="A19" s="396" t="s">
        <v>165</v>
      </c>
      <c r="B19" s="397">
        <v>0</v>
      </c>
      <c r="C19" s="397">
        <v>0</v>
      </c>
      <c r="D19" s="398">
        <f t="shared" si="0"/>
        <v>0</v>
      </c>
      <c r="E19" s="399" t="s">
        <v>170</v>
      </c>
      <c r="F19" s="400">
        <v>0</v>
      </c>
    </row>
    <row r="20" spans="1:6" ht="14.15" customHeight="1" x14ac:dyDescent="0.25">
      <c r="A20" s="396" t="s">
        <v>165</v>
      </c>
      <c r="B20" s="397">
        <v>0</v>
      </c>
      <c r="C20" s="397">
        <v>0</v>
      </c>
      <c r="D20" s="398">
        <f t="shared" si="0"/>
        <v>0</v>
      </c>
      <c r="E20" s="399" t="s">
        <v>171</v>
      </c>
      <c r="F20" s="400">
        <v>0</v>
      </c>
    </row>
    <row r="21" spans="1:6" ht="14.15" customHeight="1" x14ac:dyDescent="0.25">
      <c r="A21" s="396" t="s">
        <v>165</v>
      </c>
      <c r="B21" s="397">
        <v>0</v>
      </c>
      <c r="C21" s="397">
        <v>0</v>
      </c>
      <c r="D21" s="398">
        <f t="shared" si="0"/>
        <v>0</v>
      </c>
      <c r="E21" s="399" t="s">
        <v>172</v>
      </c>
      <c r="F21" s="400">
        <v>0</v>
      </c>
    </row>
    <row r="22" spans="1:6" ht="14.15" customHeight="1" x14ac:dyDescent="0.25">
      <c r="A22" s="399" t="s">
        <v>696</v>
      </c>
      <c r="B22" s="403">
        <f>SUM(B10:B21)</f>
        <v>0</v>
      </c>
      <c r="C22" s="403">
        <f>SUM(C10:C21)</f>
        <v>0</v>
      </c>
      <c r="D22" s="398">
        <f t="shared" si="0"/>
        <v>0</v>
      </c>
      <c r="E22" s="401" t="s">
        <v>173</v>
      </c>
      <c r="F22" s="402"/>
    </row>
    <row r="23" spans="1:6" ht="14.15" customHeight="1" x14ac:dyDescent="0.25">
      <c r="A23" s="390"/>
      <c r="B23" s="404"/>
      <c r="C23" s="404"/>
      <c r="D23" s="404"/>
      <c r="E23" s="399" t="s">
        <v>174</v>
      </c>
      <c r="F23" s="400">
        <v>0</v>
      </c>
    </row>
    <row r="24" spans="1:6" ht="14.15" customHeight="1" x14ac:dyDescent="0.25">
      <c r="A24" s="381" t="s">
        <v>697</v>
      </c>
      <c r="E24" s="399" t="s">
        <v>175</v>
      </c>
      <c r="F24" s="400">
        <v>0</v>
      </c>
    </row>
    <row r="25" spans="1:6" ht="14.15" customHeight="1" x14ac:dyDescent="0.25">
      <c r="A25" s="381" t="s">
        <v>698</v>
      </c>
      <c r="E25" s="399" t="s">
        <v>90</v>
      </c>
      <c r="F25" s="400">
        <v>0</v>
      </c>
    </row>
    <row r="26" spans="1:6" ht="14.15" customHeight="1" x14ac:dyDescent="0.25">
      <c r="A26" s="381" t="s">
        <v>176</v>
      </c>
      <c r="E26" s="401" t="s">
        <v>177</v>
      </c>
      <c r="F26" s="402"/>
    </row>
    <row r="27" spans="1:6" ht="14.15" customHeight="1" x14ac:dyDescent="0.25">
      <c r="A27" s="381" t="s">
        <v>178</v>
      </c>
      <c r="E27" s="399" t="s">
        <v>179</v>
      </c>
      <c r="F27" s="400">
        <v>0</v>
      </c>
    </row>
    <row r="28" spans="1:6" ht="14.15" customHeight="1" x14ac:dyDescent="0.25">
      <c r="A28" s="381" t="s">
        <v>699</v>
      </c>
      <c r="E28" s="399" t="s">
        <v>180</v>
      </c>
      <c r="F28" s="400">
        <v>0</v>
      </c>
    </row>
    <row r="29" spans="1:6" ht="14.15" customHeight="1" x14ac:dyDescent="0.25">
      <c r="A29" s="381" t="s">
        <v>181</v>
      </c>
      <c r="E29" s="399" t="s">
        <v>182</v>
      </c>
      <c r="F29" s="400">
        <v>0</v>
      </c>
    </row>
    <row r="30" spans="1:6" ht="14.15" customHeight="1" x14ac:dyDescent="0.25">
      <c r="A30" s="381" t="s">
        <v>183</v>
      </c>
      <c r="E30" s="399" t="s">
        <v>93</v>
      </c>
      <c r="F30" s="400">
        <v>0</v>
      </c>
    </row>
    <row r="31" spans="1:6" ht="14.15" customHeight="1" x14ac:dyDescent="0.25">
      <c r="A31" s="381" t="s">
        <v>184</v>
      </c>
      <c r="E31" s="399" t="s">
        <v>747</v>
      </c>
      <c r="F31" s="400">
        <v>0</v>
      </c>
    </row>
    <row r="32" spans="1:6" ht="14.15" customHeight="1" x14ac:dyDescent="0.25">
      <c r="A32" s="381" t="s">
        <v>185</v>
      </c>
      <c r="E32" s="399" t="s">
        <v>186</v>
      </c>
      <c r="F32" s="400">
        <v>0</v>
      </c>
    </row>
    <row r="33" spans="1:6" ht="14.15" customHeight="1" x14ac:dyDescent="0.25">
      <c r="A33" s="381" t="s">
        <v>187</v>
      </c>
      <c r="E33" s="399" t="s">
        <v>188</v>
      </c>
      <c r="F33" s="400">
        <v>0</v>
      </c>
    </row>
    <row r="34" spans="1:6" ht="14.15" customHeight="1" x14ac:dyDescent="0.25">
      <c r="A34" s="381" t="s">
        <v>189</v>
      </c>
      <c r="E34" s="401" t="s">
        <v>190</v>
      </c>
      <c r="F34" s="402"/>
    </row>
    <row r="35" spans="1:6" ht="14.15" customHeight="1" x14ac:dyDescent="0.25">
      <c r="A35" s="381" t="s">
        <v>191</v>
      </c>
      <c r="B35" s="405"/>
      <c r="C35" s="388"/>
      <c r="D35" s="388"/>
      <c r="E35" s="399" t="s">
        <v>192</v>
      </c>
      <c r="F35" s="400">
        <v>0</v>
      </c>
    </row>
    <row r="36" spans="1:6" ht="14.15" customHeight="1" x14ac:dyDescent="0.25">
      <c r="A36" s="406" t="s">
        <v>700</v>
      </c>
      <c r="E36" s="399" t="s">
        <v>193</v>
      </c>
      <c r="F36" s="400">
        <v>0</v>
      </c>
    </row>
    <row r="37" spans="1:6" ht="14.15" customHeight="1" x14ac:dyDescent="0.25">
      <c r="A37" s="406" t="s">
        <v>196</v>
      </c>
      <c r="E37" s="399" t="s">
        <v>194</v>
      </c>
      <c r="F37" s="400">
        <v>0</v>
      </c>
    </row>
    <row r="38" spans="1:6" ht="14.15" customHeight="1" x14ac:dyDescent="0.25">
      <c r="A38" s="406" t="s">
        <v>198</v>
      </c>
      <c r="E38" s="399" t="s">
        <v>195</v>
      </c>
      <c r="F38" s="400">
        <v>0</v>
      </c>
    </row>
    <row r="39" spans="1:6" ht="14.15" customHeight="1" x14ac:dyDescent="0.25">
      <c r="A39" s="381" t="s">
        <v>200</v>
      </c>
      <c r="E39" s="401" t="s">
        <v>197</v>
      </c>
      <c r="F39" s="402"/>
    </row>
    <row r="40" spans="1:6" ht="14.15" customHeight="1" x14ac:dyDescent="0.25">
      <c r="A40" s="406" t="s">
        <v>701</v>
      </c>
      <c r="E40" s="399" t="s">
        <v>199</v>
      </c>
      <c r="F40" s="400">
        <v>0</v>
      </c>
    </row>
    <row r="41" spans="1:6" ht="14.15" customHeight="1" x14ac:dyDescent="0.25">
      <c r="A41" s="408" t="s">
        <v>702</v>
      </c>
      <c r="E41" s="399" t="s">
        <v>201</v>
      </c>
      <c r="F41" s="400">
        <v>0</v>
      </c>
    </row>
    <row r="42" spans="1:6" ht="14.15" customHeight="1" x14ac:dyDescent="0.25">
      <c r="A42" s="406"/>
      <c r="E42" s="399" t="s">
        <v>202</v>
      </c>
      <c r="F42" s="400">
        <v>0</v>
      </c>
    </row>
    <row r="43" spans="1:6" ht="14.15" customHeight="1" x14ac:dyDescent="0.25">
      <c r="A43" s="406"/>
      <c r="B43" s="407"/>
      <c r="C43" s="407"/>
      <c r="E43" s="401" t="s">
        <v>8</v>
      </c>
      <c r="F43" s="402"/>
    </row>
    <row r="44" spans="1:6" ht="14.15" customHeight="1" x14ac:dyDescent="0.25">
      <c r="E44" s="399" t="s">
        <v>203</v>
      </c>
      <c r="F44" s="400">
        <v>0</v>
      </c>
    </row>
    <row r="45" spans="1:6" ht="14.15" customHeight="1" x14ac:dyDescent="0.25">
      <c r="E45" s="399" t="s">
        <v>204</v>
      </c>
      <c r="F45" s="400">
        <v>0</v>
      </c>
    </row>
    <row r="46" spans="1:6" ht="14.15" customHeight="1" x14ac:dyDescent="0.25">
      <c r="E46" s="399" t="s">
        <v>704</v>
      </c>
      <c r="F46" s="400">
        <v>0</v>
      </c>
    </row>
    <row r="47" spans="1:6" ht="14.15" customHeight="1" x14ac:dyDescent="0.25">
      <c r="E47" s="399" t="s">
        <v>206</v>
      </c>
      <c r="F47" s="400">
        <v>0</v>
      </c>
    </row>
    <row r="48" spans="1:6" ht="14.15" customHeight="1" x14ac:dyDescent="0.25">
      <c r="E48" s="399" t="s">
        <v>207</v>
      </c>
      <c r="F48" s="400">
        <v>0</v>
      </c>
    </row>
    <row r="49" spans="5:6" ht="14.15" customHeight="1" x14ac:dyDescent="0.25">
      <c r="E49" s="399" t="s">
        <v>599</v>
      </c>
      <c r="F49" s="400">
        <v>0</v>
      </c>
    </row>
    <row r="50" spans="5:6" ht="6.75" customHeight="1" x14ac:dyDescent="0.25">
      <c r="E50" s="323"/>
      <c r="F50" s="449"/>
    </row>
    <row r="51" spans="5:6" ht="12.75" customHeight="1" x14ac:dyDescent="0.25">
      <c r="E51" s="323" t="s">
        <v>696</v>
      </c>
      <c r="F51" s="409">
        <f>SUM(F10:F49)</f>
        <v>0</v>
      </c>
    </row>
    <row r="52" spans="5:6" ht="6" customHeight="1" x14ac:dyDescent="0.25">
      <c r="E52" s="390"/>
      <c r="F52" s="450"/>
    </row>
  </sheetData>
  <mergeCells count="2">
    <mergeCell ref="E6:F6"/>
    <mergeCell ref="E7:F7"/>
  </mergeCells>
  <phoneticPr fontId="0" type="noConversion"/>
  <printOptions headings="1"/>
  <pageMargins left="0.5" right="0.28000000000000003" top="0.5" bottom="0" header="0.5" footer="0.5"/>
  <pageSetup scale="97" orientation="portrait" horizontalDpi="300" verticalDpi="300" r:id="rId1"/>
  <headerFooter alignWithMargins="0">
    <oddHeader>&amp;R&amp;8 6&amp;10
&amp;8&amp;D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5"/>
  <sheetViews>
    <sheetView workbookViewId="0">
      <selection activeCell="A4" sqref="A4"/>
    </sheetView>
  </sheetViews>
  <sheetFormatPr defaultColWidth="9.1796875" defaultRowHeight="12.75" customHeight="1" x14ac:dyDescent="0.25"/>
  <cols>
    <col min="1" max="1" width="22.81640625" customWidth="1"/>
    <col min="2" max="4" width="20.7265625" customWidth="1"/>
    <col min="5" max="5" width="19" customWidth="1"/>
    <col min="6" max="6" width="17.54296875" customWidth="1"/>
    <col min="7" max="7" width="16.1796875" customWidth="1"/>
    <col min="8" max="8" width="11.26953125" customWidth="1"/>
  </cols>
  <sheetData>
    <row r="1" spans="1:8" ht="12.75" customHeight="1" x14ac:dyDescent="0.3">
      <c r="A1" s="415" t="str">
        <f>'Dairy Description'!A1</f>
        <v>Key Code:</v>
      </c>
      <c r="B1" s="288" t="s">
        <v>208</v>
      </c>
      <c r="C1" s="243"/>
      <c r="D1" s="1"/>
    </row>
    <row r="2" spans="1:8" ht="12.75" customHeight="1" x14ac:dyDescent="0.3">
      <c r="A2" s="2" t="s">
        <v>42</v>
      </c>
      <c r="B2" s="1"/>
      <c r="C2" s="1"/>
      <c r="D2" s="1"/>
    </row>
    <row r="3" spans="1:8" ht="12.75" customHeight="1" x14ac:dyDescent="0.3">
      <c r="A3" s="244" t="s">
        <v>760</v>
      </c>
      <c r="B3" s="1"/>
      <c r="C3" s="2"/>
      <c r="D3" s="1"/>
    </row>
    <row r="4" spans="1:8" ht="3.75" customHeight="1" x14ac:dyDescent="0.25"/>
    <row r="5" spans="1:8" ht="14.15" customHeight="1" x14ac:dyDescent="0.3">
      <c r="A5" s="6" t="s">
        <v>605</v>
      </c>
      <c r="B5" s="50"/>
      <c r="D5" s="298"/>
    </row>
    <row r="6" spans="1:8" ht="14.15" customHeight="1" x14ac:dyDescent="0.25">
      <c r="A6" s="137"/>
      <c r="B6" s="138" t="s">
        <v>705</v>
      </c>
      <c r="C6" s="138"/>
      <c r="D6" s="26"/>
    </row>
    <row r="7" spans="1:8" ht="14.15" customHeight="1" x14ac:dyDescent="0.25">
      <c r="A7" s="19"/>
      <c r="D7" s="46"/>
    </row>
    <row r="8" spans="1:8" ht="14.15" customHeight="1" x14ac:dyDescent="0.25">
      <c r="A8" s="139"/>
      <c r="B8" s="351" t="s">
        <v>319</v>
      </c>
      <c r="C8" s="93" t="s">
        <v>706</v>
      </c>
      <c r="D8" s="61" t="s">
        <v>707</v>
      </c>
      <c r="G8" s="56"/>
      <c r="H8" s="56"/>
    </row>
    <row r="9" spans="1:8" ht="14.15" customHeight="1" x14ac:dyDescent="0.25">
      <c r="A9" s="16" t="s">
        <v>164</v>
      </c>
      <c r="B9" s="56"/>
      <c r="C9" s="56"/>
      <c r="D9" s="26"/>
      <c r="G9" s="56"/>
      <c r="H9" s="56"/>
    </row>
    <row r="10" spans="1:8" ht="14.15" customHeight="1" x14ac:dyDescent="0.25">
      <c r="A10" s="30" t="s">
        <v>166</v>
      </c>
      <c r="B10" s="273">
        <v>0</v>
      </c>
      <c r="C10" s="273">
        <v>0</v>
      </c>
      <c r="D10" s="140">
        <f>C10-B10</f>
        <v>0</v>
      </c>
    </row>
    <row r="11" spans="1:8" ht="14.15" customHeight="1" x14ac:dyDescent="0.25">
      <c r="A11" s="30" t="s">
        <v>167</v>
      </c>
      <c r="B11" s="273">
        <v>0</v>
      </c>
      <c r="C11" s="273">
        <v>0</v>
      </c>
      <c r="D11" s="140">
        <f>C11-B11</f>
        <v>0</v>
      </c>
    </row>
    <row r="12" spans="1:8" ht="14.15" customHeight="1" x14ac:dyDescent="0.25">
      <c r="A12" s="30" t="s">
        <v>8</v>
      </c>
      <c r="B12" s="273">
        <v>0</v>
      </c>
      <c r="C12" s="273">
        <v>0</v>
      </c>
      <c r="D12" s="140">
        <f>C12-B12</f>
        <v>0</v>
      </c>
    </row>
    <row r="13" spans="1:8" ht="14.15" customHeight="1" x14ac:dyDescent="0.25">
      <c r="A13" s="12" t="s">
        <v>168</v>
      </c>
      <c r="B13" s="141"/>
      <c r="C13" s="141"/>
      <c r="D13" s="140"/>
    </row>
    <row r="14" spans="1:8" ht="14.15" customHeight="1" x14ac:dyDescent="0.25">
      <c r="A14" s="30" t="s">
        <v>169</v>
      </c>
      <c r="B14" s="273">
        <v>0</v>
      </c>
      <c r="C14" s="273">
        <v>0</v>
      </c>
      <c r="D14" s="140">
        <f>C14-B14</f>
        <v>0</v>
      </c>
    </row>
    <row r="15" spans="1:8" ht="14.15" customHeight="1" x14ac:dyDescent="0.25">
      <c r="A15" s="30" t="s">
        <v>85</v>
      </c>
      <c r="B15" s="273">
        <v>0</v>
      </c>
      <c r="C15" s="273">
        <v>0</v>
      </c>
      <c r="D15" s="140">
        <f>C15-B15</f>
        <v>0</v>
      </c>
    </row>
    <row r="16" spans="1:8" ht="14.15" customHeight="1" x14ac:dyDescent="0.25">
      <c r="A16" s="30" t="s">
        <v>86</v>
      </c>
      <c r="B16" s="273">
        <v>0</v>
      </c>
      <c r="C16" s="273">
        <v>0</v>
      </c>
      <c r="D16" s="140">
        <f>C16-B16</f>
        <v>0</v>
      </c>
    </row>
    <row r="17" spans="1:4" ht="14.15" customHeight="1" x14ac:dyDescent="0.25">
      <c r="A17" s="30" t="s">
        <v>87</v>
      </c>
      <c r="B17" s="273">
        <v>0</v>
      </c>
      <c r="C17" s="273">
        <v>0</v>
      </c>
      <c r="D17" s="140">
        <f>C17-B17</f>
        <v>0</v>
      </c>
    </row>
    <row r="18" spans="1:4" ht="14.15" customHeight="1" x14ac:dyDescent="0.25">
      <c r="A18" s="12" t="s">
        <v>123</v>
      </c>
      <c r="B18" s="141"/>
      <c r="C18" s="141"/>
      <c r="D18" s="140"/>
    </row>
    <row r="19" spans="1:4" ht="14.15" customHeight="1" x14ac:dyDescent="0.25">
      <c r="A19" s="30" t="s">
        <v>170</v>
      </c>
      <c r="B19" s="273">
        <v>0</v>
      </c>
      <c r="C19" s="273">
        <v>0</v>
      </c>
      <c r="D19" s="140">
        <f>C19-B19</f>
        <v>0</v>
      </c>
    </row>
    <row r="20" spans="1:4" ht="14.15" customHeight="1" x14ac:dyDescent="0.25">
      <c r="A20" s="30" t="s">
        <v>171</v>
      </c>
      <c r="B20" s="273">
        <v>0</v>
      </c>
      <c r="C20" s="273">
        <v>0</v>
      </c>
      <c r="D20" s="140">
        <f>C20-B20</f>
        <v>0</v>
      </c>
    </row>
    <row r="21" spans="1:4" ht="14.15" customHeight="1" x14ac:dyDescent="0.25">
      <c r="A21" s="30" t="s">
        <v>172</v>
      </c>
      <c r="B21" s="273">
        <v>0</v>
      </c>
      <c r="C21" s="273">
        <v>0</v>
      </c>
      <c r="D21" s="140">
        <f>C21-B21</f>
        <v>0</v>
      </c>
    </row>
    <row r="22" spans="1:4" ht="14.15" customHeight="1" x14ac:dyDescent="0.25">
      <c r="A22" s="12" t="s">
        <v>173</v>
      </c>
      <c r="B22" s="141"/>
      <c r="C22" s="141"/>
      <c r="D22" s="140"/>
    </row>
    <row r="23" spans="1:4" ht="14.15" customHeight="1" x14ac:dyDescent="0.25">
      <c r="A23" s="30" t="s">
        <v>174</v>
      </c>
      <c r="B23" s="273">
        <v>0</v>
      </c>
      <c r="C23" s="273">
        <v>0</v>
      </c>
      <c r="D23" s="140">
        <f>C23-B23</f>
        <v>0</v>
      </c>
    </row>
    <row r="24" spans="1:4" ht="14.15" customHeight="1" x14ac:dyDescent="0.25">
      <c r="A24" s="30" t="s">
        <v>175</v>
      </c>
      <c r="B24" s="273">
        <v>0</v>
      </c>
      <c r="C24" s="273">
        <v>0</v>
      </c>
      <c r="D24" s="140">
        <f>C24-B24</f>
        <v>0</v>
      </c>
    </row>
    <row r="25" spans="1:4" ht="14.15" customHeight="1" x14ac:dyDescent="0.25">
      <c r="A25" s="30" t="s">
        <v>90</v>
      </c>
      <c r="B25" s="273">
        <v>0</v>
      </c>
      <c r="C25" s="273">
        <v>0</v>
      </c>
      <c r="D25" s="140">
        <f>C25-B25</f>
        <v>0</v>
      </c>
    </row>
    <row r="26" spans="1:4" ht="14.15" customHeight="1" x14ac:dyDescent="0.25">
      <c r="A26" s="12" t="s">
        <v>177</v>
      </c>
      <c r="B26" s="141"/>
      <c r="C26" s="141"/>
      <c r="D26" s="140"/>
    </row>
    <row r="27" spans="1:4" ht="14.15" customHeight="1" x14ac:dyDescent="0.25">
      <c r="A27" s="30" t="s">
        <v>210</v>
      </c>
      <c r="B27" s="273">
        <v>0</v>
      </c>
      <c r="C27" s="273">
        <v>0</v>
      </c>
      <c r="D27" s="140">
        <f t="shared" ref="D27:D33" si="0">C27-B27</f>
        <v>0</v>
      </c>
    </row>
    <row r="28" spans="1:4" ht="14.15" customHeight="1" x14ac:dyDescent="0.25">
      <c r="A28" s="30" t="s">
        <v>180</v>
      </c>
      <c r="B28" s="273">
        <v>0</v>
      </c>
      <c r="C28" s="273">
        <v>0</v>
      </c>
      <c r="D28" s="140">
        <f t="shared" si="0"/>
        <v>0</v>
      </c>
    </row>
    <row r="29" spans="1:4" ht="14.15" customHeight="1" x14ac:dyDescent="0.25">
      <c r="A29" s="30" t="s">
        <v>182</v>
      </c>
      <c r="B29" s="273">
        <v>0</v>
      </c>
      <c r="C29" s="273">
        <v>0</v>
      </c>
      <c r="D29" s="140">
        <f t="shared" si="0"/>
        <v>0</v>
      </c>
    </row>
    <row r="30" spans="1:4" ht="14.15" customHeight="1" x14ac:dyDescent="0.25">
      <c r="A30" s="30" t="s">
        <v>93</v>
      </c>
      <c r="B30" s="273">
        <v>0</v>
      </c>
      <c r="C30" s="273">
        <v>0</v>
      </c>
      <c r="D30" s="140">
        <f t="shared" si="0"/>
        <v>0</v>
      </c>
    </row>
    <row r="31" spans="1:4" ht="14.15" customHeight="1" x14ac:dyDescent="0.25">
      <c r="A31" s="30" t="s">
        <v>747</v>
      </c>
      <c r="B31" s="273">
        <v>0</v>
      </c>
      <c r="C31" s="273">
        <v>0</v>
      </c>
      <c r="D31" s="140">
        <f t="shared" si="0"/>
        <v>0</v>
      </c>
    </row>
    <row r="32" spans="1:4" ht="14.15" customHeight="1" x14ac:dyDescent="0.25">
      <c r="A32" s="30" t="s">
        <v>186</v>
      </c>
      <c r="B32" s="273">
        <v>0</v>
      </c>
      <c r="C32" s="273">
        <v>0</v>
      </c>
      <c r="D32" s="140">
        <f t="shared" si="0"/>
        <v>0</v>
      </c>
    </row>
    <row r="33" spans="1:4" ht="14.15" customHeight="1" x14ac:dyDescent="0.25">
      <c r="A33" s="30" t="s">
        <v>188</v>
      </c>
      <c r="B33" s="273">
        <v>0</v>
      </c>
      <c r="C33" s="273">
        <v>0</v>
      </c>
      <c r="D33" s="140">
        <f t="shared" si="0"/>
        <v>0</v>
      </c>
    </row>
    <row r="34" spans="1:4" ht="14.15" customHeight="1" x14ac:dyDescent="0.25">
      <c r="A34" s="12" t="s">
        <v>190</v>
      </c>
      <c r="B34" s="141"/>
      <c r="C34" s="141"/>
      <c r="D34" s="140"/>
    </row>
    <row r="35" spans="1:4" ht="14.15" customHeight="1" x14ac:dyDescent="0.25">
      <c r="A35" s="30" t="s">
        <v>192</v>
      </c>
      <c r="B35" s="273">
        <v>0</v>
      </c>
      <c r="C35" s="273">
        <v>0</v>
      </c>
      <c r="D35" s="140">
        <f>C35-B35</f>
        <v>0</v>
      </c>
    </row>
    <row r="36" spans="1:4" ht="14.15" customHeight="1" x14ac:dyDescent="0.25">
      <c r="A36" s="30" t="s">
        <v>193</v>
      </c>
      <c r="B36" s="273">
        <v>0</v>
      </c>
      <c r="C36" s="273">
        <v>0</v>
      </c>
      <c r="D36" s="140">
        <f>C36-B36</f>
        <v>0</v>
      </c>
    </row>
    <row r="37" spans="1:4" ht="14.15" customHeight="1" x14ac:dyDescent="0.25">
      <c r="A37" s="30" t="s">
        <v>194</v>
      </c>
      <c r="B37" s="273">
        <v>0</v>
      </c>
      <c r="C37" s="273">
        <v>0</v>
      </c>
      <c r="D37" s="140">
        <f>C37-B37</f>
        <v>0</v>
      </c>
    </row>
    <row r="38" spans="1:4" ht="14.15" customHeight="1" x14ac:dyDescent="0.25">
      <c r="A38" s="30" t="s">
        <v>195</v>
      </c>
      <c r="B38" s="273">
        <v>0</v>
      </c>
      <c r="C38" s="273">
        <v>0</v>
      </c>
      <c r="D38" s="140">
        <f>C38-B38</f>
        <v>0</v>
      </c>
    </row>
    <row r="39" spans="1:4" ht="14.15" customHeight="1" x14ac:dyDescent="0.25">
      <c r="A39" s="12" t="s">
        <v>197</v>
      </c>
      <c r="B39" s="141"/>
      <c r="C39" s="141"/>
      <c r="D39" s="140"/>
    </row>
    <row r="40" spans="1:4" ht="14.15" customHeight="1" x14ac:dyDescent="0.25">
      <c r="A40" s="30" t="s">
        <v>199</v>
      </c>
      <c r="B40" s="273">
        <v>0</v>
      </c>
      <c r="C40" s="273">
        <v>0</v>
      </c>
      <c r="D40" s="140">
        <f>C40-B40</f>
        <v>0</v>
      </c>
    </row>
    <row r="41" spans="1:4" ht="14.15" customHeight="1" x14ac:dyDescent="0.25">
      <c r="A41" s="30" t="s">
        <v>201</v>
      </c>
      <c r="B41" s="273">
        <v>0</v>
      </c>
      <c r="C41" s="273">
        <v>0</v>
      </c>
      <c r="D41" s="140">
        <f>C41-B41</f>
        <v>0</v>
      </c>
    </row>
    <row r="42" spans="1:4" ht="14.15" customHeight="1" x14ac:dyDescent="0.25">
      <c r="A42" s="30" t="s">
        <v>202</v>
      </c>
      <c r="B42" s="273">
        <v>0</v>
      </c>
      <c r="C42" s="273">
        <v>0</v>
      </c>
      <c r="D42" s="140">
        <f>C42-B42</f>
        <v>0</v>
      </c>
    </row>
    <row r="43" spans="1:4" ht="14.15" customHeight="1" x14ac:dyDescent="0.25">
      <c r="A43" s="12" t="s">
        <v>8</v>
      </c>
      <c r="B43" s="141"/>
      <c r="C43" s="141"/>
      <c r="D43" s="140"/>
    </row>
    <row r="44" spans="1:4" ht="14.15" customHeight="1" x14ac:dyDescent="0.25">
      <c r="A44" s="30" t="s">
        <v>203</v>
      </c>
      <c r="B44" s="273">
        <v>0</v>
      </c>
      <c r="C44" s="273">
        <v>0</v>
      </c>
      <c r="D44" s="140">
        <f t="shared" ref="D44:D52" si="1">C44-B44</f>
        <v>0</v>
      </c>
    </row>
    <row r="45" spans="1:4" ht="14.15" customHeight="1" x14ac:dyDescent="0.25">
      <c r="A45" s="30" t="s">
        <v>204</v>
      </c>
      <c r="B45" s="273">
        <v>0</v>
      </c>
      <c r="C45" s="273">
        <v>0</v>
      </c>
      <c r="D45" s="140">
        <f t="shared" si="1"/>
        <v>0</v>
      </c>
    </row>
    <row r="46" spans="1:4" ht="14.15" customHeight="1" x14ac:dyDescent="0.25">
      <c r="A46" s="30" t="s">
        <v>205</v>
      </c>
      <c r="B46" s="273">
        <v>0</v>
      </c>
      <c r="C46" s="273">
        <v>0</v>
      </c>
      <c r="D46" s="140">
        <f t="shared" si="1"/>
        <v>0</v>
      </c>
    </row>
    <row r="47" spans="1:4" ht="14.15" customHeight="1" x14ac:dyDescent="0.25">
      <c r="A47" s="30" t="s">
        <v>206</v>
      </c>
      <c r="B47" s="273">
        <v>0</v>
      </c>
      <c r="C47" s="273">
        <v>0</v>
      </c>
      <c r="D47" s="140">
        <f t="shared" si="1"/>
        <v>0</v>
      </c>
    </row>
    <row r="48" spans="1:4" ht="14.15" customHeight="1" x14ac:dyDescent="0.25">
      <c r="A48" s="30" t="s">
        <v>207</v>
      </c>
      <c r="B48" s="273">
        <v>0</v>
      </c>
      <c r="C48" s="273">
        <v>0</v>
      </c>
      <c r="D48" s="140">
        <f t="shared" si="1"/>
        <v>0</v>
      </c>
    </row>
    <row r="49" spans="1:4" ht="14.15" customHeight="1" x14ac:dyDescent="0.25">
      <c r="A49" s="30"/>
      <c r="B49" s="451"/>
      <c r="C49" s="451"/>
      <c r="D49" s="140"/>
    </row>
    <row r="50" spans="1:4" ht="14.15" customHeight="1" x14ac:dyDescent="0.25">
      <c r="A50" s="30" t="s">
        <v>599</v>
      </c>
      <c r="B50" s="273">
        <v>0</v>
      </c>
      <c r="C50" s="273">
        <v>0</v>
      </c>
      <c r="D50" s="140">
        <f t="shared" si="1"/>
        <v>0</v>
      </c>
    </row>
    <row r="51" spans="1:4" ht="7.5" customHeight="1" x14ac:dyDescent="0.25">
      <c r="A51" s="30"/>
      <c r="B51" s="451"/>
      <c r="C51" s="451"/>
      <c r="D51" s="140"/>
    </row>
    <row r="52" spans="1:4" ht="14.15" customHeight="1" x14ac:dyDescent="0.25">
      <c r="A52" s="19" t="s">
        <v>33</v>
      </c>
      <c r="B52" s="142">
        <f>SUM(B10:B50)</f>
        <v>0</v>
      </c>
      <c r="C52" s="142">
        <f>SUM(C10:C50)</f>
        <v>0</v>
      </c>
      <c r="D52" s="140">
        <f t="shared" si="1"/>
        <v>0</v>
      </c>
    </row>
    <row r="53" spans="1:4" ht="7.5" customHeight="1" x14ac:dyDescent="0.25">
      <c r="A53" s="44"/>
      <c r="B53" s="45"/>
      <c r="C53" s="45"/>
      <c r="D53" s="46"/>
    </row>
    <row r="54" spans="1:4" ht="12.75" customHeight="1" x14ac:dyDescent="0.25">
      <c r="A54" t="s">
        <v>749</v>
      </c>
    </row>
    <row r="55" spans="1:4" ht="12.75" customHeight="1" x14ac:dyDescent="0.25">
      <c r="A55" t="s">
        <v>708</v>
      </c>
    </row>
  </sheetData>
  <phoneticPr fontId="0" type="noConversion"/>
  <printOptions headings="1"/>
  <pageMargins left="0.5" right="0.05" top="0.5" bottom="0" header="0.5" footer="0.5"/>
  <pageSetup orientation="portrait" horizontalDpi="300" verticalDpi="300" r:id="rId1"/>
  <headerFooter alignWithMargins="0">
    <oddHeader>&amp;R&amp;8 7&amp;10
&amp;8&amp;D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zoomScaleNormal="100" workbookViewId="0">
      <selection activeCell="A4" sqref="A4"/>
    </sheetView>
  </sheetViews>
  <sheetFormatPr defaultColWidth="9.1796875" defaultRowHeight="12.75" customHeight="1" x14ac:dyDescent="0.25"/>
  <cols>
    <col min="1" max="1" width="20.81640625" customWidth="1"/>
    <col min="2" max="2" width="16.26953125" customWidth="1"/>
    <col min="3" max="3" width="20.453125" customWidth="1"/>
    <col min="4" max="4" width="18.1796875" customWidth="1"/>
    <col min="5" max="5" width="16.26953125" customWidth="1"/>
  </cols>
  <sheetData>
    <row r="1" spans="1:5" ht="13" x14ac:dyDescent="0.3">
      <c r="A1" s="415" t="str">
        <f>'Dairy Description'!A1</f>
        <v>Key Code:</v>
      </c>
      <c r="B1" s="288" t="s">
        <v>211</v>
      </c>
      <c r="C1" s="243"/>
      <c r="D1" s="290"/>
      <c r="E1" s="3"/>
    </row>
    <row r="2" spans="1:5" ht="12.75" customHeight="1" x14ac:dyDescent="0.3">
      <c r="A2" s="2" t="s">
        <v>42</v>
      </c>
      <c r="B2" s="1"/>
      <c r="C2" s="3"/>
      <c r="D2" s="3"/>
      <c r="E2" s="3"/>
    </row>
    <row r="3" spans="1:5" ht="12.75" customHeight="1" x14ac:dyDescent="0.3">
      <c r="A3" s="244" t="s">
        <v>760</v>
      </c>
      <c r="B3" s="1"/>
      <c r="C3" s="1"/>
      <c r="D3" s="3"/>
      <c r="E3" s="3"/>
    </row>
    <row r="4" spans="1:5" ht="1.5" customHeight="1" x14ac:dyDescent="0.25">
      <c r="A4" s="4"/>
      <c r="B4" s="4"/>
      <c r="C4" s="4"/>
      <c r="D4" s="4"/>
      <c r="E4" s="4"/>
    </row>
    <row r="5" spans="1:5" ht="12" customHeight="1" x14ac:dyDescent="0.3">
      <c r="A5" s="6" t="s">
        <v>607</v>
      </c>
      <c r="B5" s="7"/>
      <c r="D5" s="8"/>
      <c r="E5" s="50"/>
    </row>
    <row r="6" spans="1:5" ht="2.25" customHeight="1" x14ac:dyDescent="0.25">
      <c r="A6" s="21"/>
      <c r="B6" s="123"/>
      <c r="C6" s="123"/>
      <c r="D6" s="123"/>
      <c r="E6" s="11"/>
    </row>
    <row r="7" spans="1:5" ht="2.25" customHeight="1" x14ac:dyDescent="0.25">
      <c r="A7" s="16"/>
      <c r="B7" s="7"/>
      <c r="C7" s="7"/>
      <c r="D7" s="7"/>
      <c r="E7" s="124"/>
    </row>
    <row r="8" spans="1:5" ht="11.25" customHeight="1" x14ac:dyDescent="0.25">
      <c r="A8" s="16"/>
      <c r="B8" s="7" t="s">
        <v>129</v>
      </c>
      <c r="C8" s="7" t="s">
        <v>212</v>
      </c>
      <c r="D8" s="7" t="s">
        <v>115</v>
      </c>
      <c r="E8" s="124" t="s">
        <v>130</v>
      </c>
    </row>
    <row r="9" spans="1:5" ht="14.15" customHeight="1" x14ac:dyDescent="0.3">
      <c r="A9" s="125" t="s">
        <v>213</v>
      </c>
      <c r="B9" s="8" t="s">
        <v>214</v>
      </c>
      <c r="C9" s="287" t="s">
        <v>215</v>
      </c>
      <c r="D9" s="287" t="s">
        <v>216</v>
      </c>
      <c r="E9" s="126" t="s">
        <v>217</v>
      </c>
    </row>
    <row r="10" spans="1:5" ht="12" customHeight="1" x14ac:dyDescent="0.25">
      <c r="A10" s="143" t="s">
        <v>164</v>
      </c>
      <c r="B10" s="15"/>
      <c r="C10" s="15"/>
      <c r="D10" s="20"/>
      <c r="E10" s="22"/>
    </row>
    <row r="11" spans="1:5" ht="14.15" customHeight="1" x14ac:dyDescent="0.25">
      <c r="A11" s="30" t="s">
        <v>166</v>
      </c>
      <c r="B11" s="274">
        <v>0</v>
      </c>
      <c r="C11" s="144">
        <f>'Prepaid Expenses'!D10</f>
        <v>0</v>
      </c>
      <c r="D11" s="145">
        <f>Payables!F10</f>
        <v>0</v>
      </c>
      <c r="E11" s="146">
        <f>B11-C11+D11</f>
        <v>0</v>
      </c>
    </row>
    <row r="12" spans="1:5" ht="14.15" customHeight="1" x14ac:dyDescent="0.25">
      <c r="A12" s="30" t="s">
        <v>167</v>
      </c>
      <c r="B12" s="274">
        <v>0</v>
      </c>
      <c r="C12" s="144">
        <f>'Prepaid Expenses'!D11</f>
        <v>0</v>
      </c>
      <c r="D12" s="145">
        <f>Payables!F11</f>
        <v>0</v>
      </c>
      <c r="E12" s="146">
        <f>B12-C12+D12</f>
        <v>0</v>
      </c>
    </row>
    <row r="13" spans="1:5" ht="14.15" customHeight="1" x14ac:dyDescent="0.25">
      <c r="A13" s="30" t="s">
        <v>8</v>
      </c>
      <c r="B13" s="274">
        <v>0</v>
      </c>
      <c r="C13" s="144">
        <f>'Prepaid Expenses'!D12</f>
        <v>0</v>
      </c>
      <c r="D13" s="145">
        <f>Payables!F12</f>
        <v>0</v>
      </c>
      <c r="E13" s="146">
        <f>B13-C13+D13</f>
        <v>0</v>
      </c>
    </row>
    <row r="14" spans="1:5" ht="12" customHeight="1" x14ac:dyDescent="0.25">
      <c r="A14" s="147" t="s">
        <v>168</v>
      </c>
      <c r="B14" s="148"/>
      <c r="C14" s="15"/>
      <c r="D14" s="15"/>
      <c r="E14" s="22"/>
    </row>
    <row r="15" spans="1:5" ht="14.15" customHeight="1" x14ac:dyDescent="0.25">
      <c r="A15" s="30" t="s">
        <v>84</v>
      </c>
      <c r="B15" s="274">
        <v>0</v>
      </c>
      <c r="C15" s="144">
        <f>'Feed and Supply'!I22+'Prepaid Expenses'!D14</f>
        <v>0</v>
      </c>
      <c r="D15" s="145">
        <f>Payables!F14</f>
        <v>0</v>
      </c>
      <c r="E15" s="146">
        <f>B15-C15+D15</f>
        <v>0</v>
      </c>
    </row>
    <row r="16" spans="1:5" ht="14.15" customHeight="1" x14ac:dyDescent="0.25">
      <c r="A16" s="30" t="s">
        <v>85</v>
      </c>
      <c r="B16" s="274">
        <v>0</v>
      </c>
      <c r="C16" s="144">
        <f>'Feed and Supply'!I23+'Prepaid Expenses'!D15</f>
        <v>0</v>
      </c>
      <c r="D16" s="145">
        <f>Payables!F15</f>
        <v>0</v>
      </c>
      <c r="E16" s="146">
        <f>B16-C16+D16</f>
        <v>0</v>
      </c>
    </row>
    <row r="17" spans="1:5" ht="14.15" customHeight="1" x14ac:dyDescent="0.25">
      <c r="A17" s="30" t="s">
        <v>86</v>
      </c>
      <c r="B17" s="274">
        <v>0</v>
      </c>
      <c r="C17" s="144">
        <f>'Feed and Supply'!I24+'Prepaid Expenses'!D16</f>
        <v>0</v>
      </c>
      <c r="D17" s="145">
        <f>Payables!F16</f>
        <v>0</v>
      </c>
      <c r="E17" s="146">
        <f>B17-C17+D17</f>
        <v>0</v>
      </c>
    </row>
    <row r="18" spans="1:5" ht="14.15" customHeight="1" x14ac:dyDescent="0.25">
      <c r="A18" s="30" t="s">
        <v>87</v>
      </c>
      <c r="B18" s="274">
        <v>0</v>
      </c>
      <c r="C18" s="144">
        <f>'Feed and Supply'!I25+'Prepaid Expenses'!D17</f>
        <v>0</v>
      </c>
      <c r="D18" s="145">
        <f>Payables!F17</f>
        <v>0</v>
      </c>
      <c r="E18" s="146">
        <f>B18-C18+D18</f>
        <v>0</v>
      </c>
    </row>
    <row r="19" spans="1:5" ht="12" customHeight="1" x14ac:dyDescent="0.25">
      <c r="A19" s="147" t="s">
        <v>123</v>
      </c>
      <c r="B19" s="149"/>
      <c r="C19" s="33"/>
      <c r="D19" s="33"/>
      <c r="E19" s="34"/>
    </row>
    <row r="20" spans="1:5" ht="14.15" customHeight="1" x14ac:dyDescent="0.25">
      <c r="A20" s="30" t="s">
        <v>170</v>
      </c>
      <c r="B20" s="274">
        <v>0</v>
      </c>
      <c r="C20" s="144">
        <f>'Feed and Supply'!I34+'Prepaid Expenses'!D19</f>
        <v>0</v>
      </c>
      <c r="D20" s="145">
        <f>Payables!F19</f>
        <v>0</v>
      </c>
      <c r="E20" s="146">
        <f>B20-C20+D20</f>
        <v>0</v>
      </c>
    </row>
    <row r="21" spans="1:5" ht="14.15" customHeight="1" x14ac:dyDescent="0.25">
      <c r="A21" s="30" t="s">
        <v>171</v>
      </c>
      <c r="B21" s="274">
        <v>0</v>
      </c>
      <c r="C21" s="144">
        <f>'Feed and Supply'!I35+'Prepaid Expenses'!D20</f>
        <v>0</v>
      </c>
      <c r="D21" s="145">
        <f>Payables!F20</f>
        <v>0</v>
      </c>
      <c r="E21" s="146">
        <f>B21-C21+D21</f>
        <v>0</v>
      </c>
    </row>
    <row r="22" spans="1:5" ht="14.15" customHeight="1" x14ac:dyDescent="0.25">
      <c r="A22" s="30" t="s">
        <v>172</v>
      </c>
      <c r="B22" s="274">
        <v>0</v>
      </c>
      <c r="C22" s="144">
        <f>'Feed and Supply'!I36+'Prepaid Expenses'!D21</f>
        <v>0</v>
      </c>
      <c r="D22" s="145">
        <f>Payables!F21</f>
        <v>0</v>
      </c>
      <c r="E22" s="146">
        <f>B22-C22+D22</f>
        <v>0</v>
      </c>
    </row>
    <row r="23" spans="1:5" ht="12" customHeight="1" x14ac:dyDescent="0.25">
      <c r="A23" s="147" t="s">
        <v>173</v>
      </c>
      <c r="B23" s="148"/>
      <c r="C23" s="15"/>
      <c r="D23" s="15"/>
      <c r="E23" s="150"/>
    </row>
    <row r="24" spans="1:5" ht="14.15" customHeight="1" x14ac:dyDescent="0.25">
      <c r="A24" s="30" t="s">
        <v>174</v>
      </c>
      <c r="B24" s="274">
        <v>0</v>
      </c>
      <c r="C24" s="144">
        <f>'Prepaid Expenses'!D23</f>
        <v>0</v>
      </c>
      <c r="D24" s="145">
        <f>Payables!F23</f>
        <v>0</v>
      </c>
      <c r="E24" s="146">
        <f>B24-C24+D24</f>
        <v>0</v>
      </c>
    </row>
    <row r="25" spans="1:5" ht="14.15" customHeight="1" x14ac:dyDescent="0.25">
      <c r="A25" s="30" t="s">
        <v>175</v>
      </c>
      <c r="B25" s="274">
        <v>0</v>
      </c>
      <c r="C25" s="144">
        <f>'Feed and Supply'!I27+'Prepaid Expenses'!D24</f>
        <v>0</v>
      </c>
      <c r="D25" s="145">
        <f>Payables!F24</f>
        <v>0</v>
      </c>
      <c r="E25" s="146">
        <f>B25-C25+D25</f>
        <v>0</v>
      </c>
    </row>
    <row r="26" spans="1:5" ht="14.15" customHeight="1" x14ac:dyDescent="0.25">
      <c r="A26" s="30" t="s">
        <v>90</v>
      </c>
      <c r="B26" s="274">
        <v>0</v>
      </c>
      <c r="C26" s="144">
        <f>'Feed and Supply'!I28+'Prepaid Expenses'!D25</f>
        <v>0</v>
      </c>
      <c r="D26" s="145">
        <f>Payables!F25</f>
        <v>0</v>
      </c>
      <c r="E26" s="146">
        <f>B26-C26+D26</f>
        <v>0</v>
      </c>
    </row>
    <row r="27" spans="1:5" ht="10.5" customHeight="1" x14ac:dyDescent="0.25">
      <c r="A27" s="147" t="s">
        <v>177</v>
      </c>
      <c r="B27" s="148"/>
      <c r="C27" s="15"/>
      <c r="D27" s="15"/>
      <c r="E27" s="22"/>
    </row>
    <row r="28" spans="1:5" ht="14.15" customHeight="1" x14ac:dyDescent="0.25">
      <c r="A28" s="30" t="s">
        <v>601</v>
      </c>
      <c r="B28" s="448">
        <v>0</v>
      </c>
      <c r="C28" s="151">
        <f>'Prepaid Expenses'!D27</f>
        <v>0</v>
      </c>
      <c r="D28" s="145">
        <f>Payables!F27</f>
        <v>0</v>
      </c>
      <c r="E28" s="146">
        <f t="shared" ref="E28:E34" si="0">B28-C28+D28</f>
        <v>0</v>
      </c>
    </row>
    <row r="29" spans="1:5" ht="14.15" customHeight="1" x14ac:dyDescent="0.25">
      <c r="A29" s="30" t="s">
        <v>180</v>
      </c>
      <c r="B29" s="274">
        <v>0</v>
      </c>
      <c r="C29" s="151">
        <f>'Feed and Supply'!I29+'Prepaid Expenses'!D28</f>
        <v>0</v>
      </c>
      <c r="D29" s="145">
        <f>Payables!F28</f>
        <v>0</v>
      </c>
      <c r="E29" s="146">
        <f t="shared" si="0"/>
        <v>0</v>
      </c>
    </row>
    <row r="30" spans="1:5" ht="14.15" customHeight="1" x14ac:dyDescent="0.25">
      <c r="A30" s="30" t="s">
        <v>182</v>
      </c>
      <c r="B30" s="274">
        <v>0</v>
      </c>
      <c r="C30" s="151">
        <f>'Feed and Supply'!I30+'Prepaid Expenses'!D29</f>
        <v>0</v>
      </c>
      <c r="D30" s="145">
        <f>Payables!F29</f>
        <v>0</v>
      </c>
      <c r="E30" s="146">
        <f t="shared" si="0"/>
        <v>0</v>
      </c>
    </row>
    <row r="31" spans="1:5" ht="14.15" customHeight="1" x14ac:dyDescent="0.25">
      <c r="A31" s="30" t="s">
        <v>93</v>
      </c>
      <c r="B31" s="274">
        <v>0</v>
      </c>
      <c r="C31" s="151">
        <f>'Feed and Supply'!I31+'Prepaid Expenses'!D30</f>
        <v>0</v>
      </c>
      <c r="D31" s="145">
        <f>Payables!F30</f>
        <v>0</v>
      </c>
      <c r="E31" s="146">
        <f t="shared" si="0"/>
        <v>0</v>
      </c>
    </row>
    <row r="32" spans="1:5" ht="14.15" customHeight="1" x14ac:dyDescent="0.25">
      <c r="A32" s="30" t="s">
        <v>747</v>
      </c>
      <c r="B32" s="274">
        <v>0</v>
      </c>
      <c r="C32" s="151">
        <f>'Feed and Supply'!I32+'Prepaid Expenses'!D31</f>
        <v>0</v>
      </c>
      <c r="D32" s="145">
        <f>Payables!F31</f>
        <v>0</v>
      </c>
      <c r="E32" s="146">
        <f t="shared" si="0"/>
        <v>0</v>
      </c>
    </row>
    <row r="33" spans="1:5" ht="14.15" customHeight="1" x14ac:dyDescent="0.25">
      <c r="A33" s="30" t="s">
        <v>186</v>
      </c>
      <c r="B33" s="274">
        <v>0</v>
      </c>
      <c r="C33" s="151">
        <f>'Prepaid Expenses'!D32</f>
        <v>0</v>
      </c>
      <c r="D33" s="145">
        <f>Payables!F32</f>
        <v>0</v>
      </c>
      <c r="E33" s="146">
        <f t="shared" si="0"/>
        <v>0</v>
      </c>
    </row>
    <row r="34" spans="1:5" ht="14.15" customHeight="1" x14ac:dyDescent="0.25">
      <c r="A34" s="66" t="s">
        <v>218</v>
      </c>
      <c r="B34" s="274">
        <v>0</v>
      </c>
      <c r="C34" s="151">
        <f>'Feed and Supply'!I33+'Prepaid Expenses'!D33</f>
        <v>0</v>
      </c>
      <c r="D34" s="145">
        <f>Payables!F33</f>
        <v>0</v>
      </c>
      <c r="E34" s="146">
        <f t="shared" si="0"/>
        <v>0</v>
      </c>
    </row>
    <row r="35" spans="1:5" ht="12" customHeight="1" x14ac:dyDescent="0.25">
      <c r="A35" s="147" t="s">
        <v>190</v>
      </c>
      <c r="B35" s="148"/>
      <c r="C35" s="15"/>
      <c r="D35" s="15"/>
      <c r="E35" s="22"/>
    </row>
    <row r="36" spans="1:5" ht="14.15" customHeight="1" x14ac:dyDescent="0.25">
      <c r="A36" s="30" t="s">
        <v>192</v>
      </c>
      <c r="B36" s="274">
        <v>0</v>
      </c>
      <c r="C36" s="145">
        <f>'Prepaid Expenses'!D35</f>
        <v>0</v>
      </c>
      <c r="D36" s="145">
        <f>Payables!F35</f>
        <v>0</v>
      </c>
      <c r="E36" s="146">
        <f>B36-C36+D36</f>
        <v>0</v>
      </c>
    </row>
    <row r="37" spans="1:5" ht="14.15" customHeight="1" x14ac:dyDescent="0.25">
      <c r="A37" s="30" t="s">
        <v>193</v>
      </c>
      <c r="B37" s="274">
        <v>0</v>
      </c>
      <c r="C37" s="145">
        <f>'Prepaid Expenses'!D36</f>
        <v>0</v>
      </c>
      <c r="D37" s="145">
        <f>Payables!F36</f>
        <v>0</v>
      </c>
      <c r="E37" s="146">
        <f>B37-C37+D37</f>
        <v>0</v>
      </c>
    </row>
    <row r="38" spans="1:5" ht="14.15" customHeight="1" x14ac:dyDescent="0.25">
      <c r="A38" s="30" t="s">
        <v>194</v>
      </c>
      <c r="B38" s="274">
        <v>0</v>
      </c>
      <c r="C38" s="145">
        <f>'Prepaid Expenses'!D37</f>
        <v>0</v>
      </c>
      <c r="D38" s="145">
        <f>Payables!F37</f>
        <v>0</v>
      </c>
      <c r="E38" s="146">
        <f>B38-C38+D38</f>
        <v>0</v>
      </c>
    </row>
    <row r="39" spans="1:5" ht="14.15" customHeight="1" x14ac:dyDescent="0.25">
      <c r="A39" s="30" t="s">
        <v>195</v>
      </c>
      <c r="B39" s="274">
        <v>0</v>
      </c>
      <c r="C39" s="145">
        <f>'Prepaid Expenses'!D38</f>
        <v>0</v>
      </c>
      <c r="D39" s="145">
        <f>Payables!F38</f>
        <v>0</v>
      </c>
      <c r="E39" s="146">
        <f>B39-C39+D39</f>
        <v>0</v>
      </c>
    </row>
    <row r="40" spans="1:5" ht="12" customHeight="1" x14ac:dyDescent="0.25">
      <c r="A40" s="147" t="s">
        <v>197</v>
      </c>
      <c r="B40" s="148"/>
      <c r="C40" s="15"/>
      <c r="D40" s="15"/>
      <c r="E40" s="22"/>
    </row>
    <row r="41" spans="1:5" ht="14.15" customHeight="1" x14ac:dyDescent="0.25">
      <c r="A41" s="30" t="s">
        <v>199</v>
      </c>
      <c r="B41" s="274">
        <v>0</v>
      </c>
      <c r="C41" s="144">
        <f>'Feed and Supply'!I37+'Prepaid Expenses'!D40</f>
        <v>0</v>
      </c>
      <c r="D41" s="145">
        <f>Payables!F40</f>
        <v>0</v>
      </c>
      <c r="E41" s="146">
        <f>B41-C41+D41</f>
        <v>0</v>
      </c>
    </row>
    <row r="42" spans="1:5" ht="14.15" customHeight="1" x14ac:dyDescent="0.25">
      <c r="A42" s="30" t="s">
        <v>201</v>
      </c>
      <c r="B42" s="274">
        <v>0</v>
      </c>
      <c r="C42" s="144">
        <f>'Feed and Supply'!I38+'Prepaid Expenses'!D41</f>
        <v>0</v>
      </c>
      <c r="D42" s="145">
        <f>Payables!F41</f>
        <v>0</v>
      </c>
      <c r="E42" s="146">
        <f>B42-C42+D42</f>
        <v>0</v>
      </c>
    </row>
    <row r="43" spans="1:5" ht="14.15" customHeight="1" x14ac:dyDescent="0.25">
      <c r="A43" s="30" t="s">
        <v>202</v>
      </c>
      <c r="B43" s="274">
        <v>0</v>
      </c>
      <c r="C43" s="144">
        <f>'Feed and Supply'!I39+'Prepaid Expenses'!D42</f>
        <v>0</v>
      </c>
      <c r="D43" s="145">
        <f>Payables!F42</f>
        <v>0</v>
      </c>
      <c r="E43" s="146">
        <f>B43-C43+D43</f>
        <v>0</v>
      </c>
    </row>
    <row r="44" spans="1:5" ht="12" customHeight="1" x14ac:dyDescent="0.25">
      <c r="A44" s="147" t="s">
        <v>8</v>
      </c>
      <c r="B44" s="148"/>
      <c r="C44" s="148"/>
      <c r="D44" s="152"/>
      <c r="E44" s="153"/>
    </row>
    <row r="45" spans="1:5" ht="14.15" customHeight="1" x14ac:dyDescent="0.25">
      <c r="A45" s="30" t="s">
        <v>203</v>
      </c>
      <c r="B45" s="274">
        <v>0</v>
      </c>
      <c r="C45" s="145">
        <f>'Prepaid Expenses'!D44</f>
        <v>0</v>
      </c>
      <c r="D45" s="145">
        <f>Payables!F44</f>
        <v>0</v>
      </c>
      <c r="E45" s="146">
        <f t="shared" ref="E45:E50" si="1">B45-C45+D45</f>
        <v>0</v>
      </c>
    </row>
    <row r="46" spans="1:5" ht="14.15" customHeight="1" x14ac:dyDescent="0.25">
      <c r="A46" s="30" t="s">
        <v>204</v>
      </c>
      <c r="B46" s="274">
        <v>0</v>
      </c>
      <c r="C46" s="145">
        <f>'Prepaid Expenses'!D45</f>
        <v>0</v>
      </c>
      <c r="D46" s="145">
        <f>Payables!F45</f>
        <v>0</v>
      </c>
      <c r="E46" s="146">
        <f t="shared" si="1"/>
        <v>0</v>
      </c>
    </row>
    <row r="47" spans="1:5" ht="14.15" customHeight="1" x14ac:dyDescent="0.25">
      <c r="A47" s="30" t="s">
        <v>205</v>
      </c>
      <c r="B47" s="274">
        <v>0</v>
      </c>
      <c r="C47" s="145">
        <f>'Prepaid Expenses'!D46</f>
        <v>0</v>
      </c>
      <c r="D47" s="145">
        <f>Payables!F46</f>
        <v>0</v>
      </c>
      <c r="E47" s="146">
        <f t="shared" si="1"/>
        <v>0</v>
      </c>
    </row>
    <row r="48" spans="1:5" ht="14.15" customHeight="1" x14ac:dyDescent="0.25">
      <c r="A48" s="30" t="s">
        <v>206</v>
      </c>
      <c r="B48" s="274">
        <v>0</v>
      </c>
      <c r="C48" s="145">
        <f>'Prepaid Expenses'!D47</f>
        <v>0</v>
      </c>
      <c r="D48" s="145">
        <f>Payables!F47</f>
        <v>0</v>
      </c>
      <c r="E48" s="146">
        <f t="shared" si="1"/>
        <v>0</v>
      </c>
    </row>
    <row r="49" spans="1:5" ht="14.15" customHeight="1" x14ac:dyDescent="0.25">
      <c r="A49" s="30" t="s">
        <v>207</v>
      </c>
      <c r="B49" s="274">
        <v>0</v>
      </c>
      <c r="C49" s="145">
        <f>'Prepaid Expenses'!D48</f>
        <v>0</v>
      </c>
      <c r="D49" s="145">
        <f>Payables!F48</f>
        <v>0</v>
      </c>
      <c r="E49" s="146">
        <f t="shared" si="1"/>
        <v>0</v>
      </c>
    </row>
    <row r="50" spans="1:5" ht="12" customHeight="1" x14ac:dyDescent="0.25">
      <c r="A50" s="12" t="s">
        <v>33</v>
      </c>
      <c r="B50" s="275">
        <f>SUM(B11:B49)</f>
        <v>0</v>
      </c>
      <c r="C50" s="144">
        <f>SUM(C11:C49)</f>
        <v>0</v>
      </c>
      <c r="D50" s="145">
        <f>SUM(D11:D49)</f>
        <v>0</v>
      </c>
      <c r="E50" s="146">
        <f t="shared" si="1"/>
        <v>0</v>
      </c>
    </row>
    <row r="51" spans="1:5" ht="9.75" customHeight="1" x14ac:dyDescent="0.25">
      <c r="A51" s="12"/>
      <c r="B51" s="286"/>
      <c r="C51" s="15"/>
      <c r="D51" s="15"/>
      <c r="E51" s="22"/>
    </row>
    <row r="52" spans="1:5" ht="12" customHeight="1" x14ac:dyDescent="0.25">
      <c r="A52" s="30" t="s">
        <v>600</v>
      </c>
      <c r="B52" s="274">
        <v>0</v>
      </c>
      <c r="C52" s="145">
        <f>'Prepaid Expenses'!D50</f>
        <v>0</v>
      </c>
      <c r="D52" s="145">
        <f>Payables!F49</f>
        <v>0</v>
      </c>
      <c r="E52" s="146">
        <f>B52-C52+D52</f>
        <v>0</v>
      </c>
    </row>
    <row r="53" spans="1:5" ht="5.25" customHeight="1" x14ac:dyDescent="0.25">
      <c r="A53" s="154"/>
      <c r="B53" s="133"/>
      <c r="C53" s="133"/>
      <c r="D53" s="133"/>
      <c r="E53" s="155"/>
    </row>
    <row r="54" spans="1:5" ht="11.15" customHeight="1" x14ac:dyDescent="0.25">
      <c r="A54" t="s">
        <v>710</v>
      </c>
    </row>
    <row r="55" spans="1:5" ht="11.15" customHeight="1" x14ac:dyDescent="0.25">
      <c r="A55" t="s">
        <v>711</v>
      </c>
    </row>
    <row r="56" spans="1:5" ht="11.15" customHeight="1" x14ac:dyDescent="0.25">
      <c r="A56" t="s">
        <v>602</v>
      </c>
    </row>
    <row r="57" spans="1:5" ht="11.15" customHeight="1" x14ac:dyDescent="0.25">
      <c r="A57" t="s">
        <v>219</v>
      </c>
    </row>
    <row r="58" spans="1:5" ht="11.15" customHeight="1" x14ac:dyDescent="0.25">
      <c r="A58" t="s">
        <v>709</v>
      </c>
    </row>
    <row r="60" spans="1:5" ht="13.5" customHeight="1" x14ac:dyDescent="0.25"/>
    <row r="61" spans="1:5" ht="13.5" customHeight="1" x14ac:dyDescent="0.25"/>
    <row r="62" spans="1:5" ht="13.5" customHeight="1" x14ac:dyDescent="0.25">
      <c r="A62" s="4"/>
    </row>
    <row r="63" spans="1:5" ht="12.75" customHeight="1" x14ac:dyDescent="0.25">
      <c r="A63" s="4"/>
    </row>
    <row r="64" spans="1:5" ht="13.5" customHeight="1" x14ac:dyDescent="0.25">
      <c r="A64" s="4"/>
    </row>
    <row r="65" spans="1:1" ht="13.5" customHeight="1" x14ac:dyDescent="0.25">
      <c r="A65" s="4"/>
    </row>
    <row r="66" spans="1:1" ht="13.5" customHeight="1" x14ac:dyDescent="0.25">
      <c r="A66" s="4"/>
    </row>
    <row r="67" spans="1:1" ht="13.5" customHeight="1" x14ac:dyDescent="0.25"/>
    <row r="71" spans="1:1" ht="12.75" customHeight="1" x14ac:dyDescent="0.25">
      <c r="A71" s="4"/>
    </row>
    <row r="72" spans="1:1" ht="13.5" customHeight="1" x14ac:dyDescent="0.25"/>
    <row r="74" spans="1:1" ht="12.75" customHeight="1" x14ac:dyDescent="0.25">
      <c r="A74" s="4"/>
    </row>
    <row r="75" spans="1:1" ht="13.5" customHeight="1" x14ac:dyDescent="0.25"/>
  </sheetData>
  <phoneticPr fontId="0" type="noConversion"/>
  <printOptions headings="1"/>
  <pageMargins left="0.5" right="0.05" top="0.5" bottom="0" header="0.5" footer="0.5"/>
  <pageSetup firstPageNumber="8" orientation="portrait" useFirstPageNumber="1" horizontalDpi="300" verticalDpi="300" r:id="rId1"/>
  <headerFooter alignWithMargins="0">
    <oddHeader>&amp;R&amp;8 8&amp;10
&amp;8&amp;D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workbookViewId="0">
      <selection activeCell="A4" sqref="A4"/>
    </sheetView>
  </sheetViews>
  <sheetFormatPr defaultColWidth="9.1796875" defaultRowHeight="12.75" customHeight="1" x14ac:dyDescent="0.25"/>
  <cols>
    <col min="1" max="1" width="27.54296875" customWidth="1"/>
    <col min="2" max="2" width="13.1796875" customWidth="1"/>
    <col min="3" max="3" width="2.1796875" customWidth="1"/>
    <col min="4" max="4" width="16.453125" customWidth="1"/>
    <col min="5" max="5" width="18.453125" customWidth="1"/>
    <col min="6" max="6" width="16.81640625" customWidth="1"/>
    <col min="7" max="7" width="13.1796875" customWidth="1"/>
    <col min="8" max="8" width="13.7265625" customWidth="1"/>
    <col min="9" max="9" width="11.26953125" customWidth="1"/>
  </cols>
  <sheetData>
    <row r="1" spans="1:6" ht="12.75" customHeight="1" x14ac:dyDescent="0.3">
      <c r="A1" s="415" t="str">
        <f>'Dairy Description'!A1</f>
        <v>Key Code:</v>
      </c>
      <c r="B1" s="288" t="s">
        <v>208</v>
      </c>
      <c r="C1" s="288"/>
      <c r="D1" s="243"/>
      <c r="E1" s="243"/>
      <c r="F1" s="1"/>
    </row>
    <row r="2" spans="1:6" ht="12.75" customHeight="1" x14ac:dyDescent="0.3">
      <c r="A2" s="2" t="s">
        <v>42</v>
      </c>
      <c r="B2" s="1"/>
      <c r="C2" s="2"/>
      <c r="D2" s="1"/>
      <c r="E2" s="1"/>
      <c r="F2" s="1"/>
    </row>
    <row r="3" spans="1:6" ht="12.75" customHeight="1" x14ac:dyDescent="0.3">
      <c r="A3" s="244" t="s">
        <v>760</v>
      </c>
      <c r="B3" s="1"/>
      <c r="C3" s="2"/>
      <c r="D3" s="1"/>
      <c r="E3" s="1"/>
      <c r="F3" s="1"/>
    </row>
    <row r="4" spans="1:6" ht="12.75" customHeight="1" x14ac:dyDescent="0.3">
      <c r="D4" s="6"/>
      <c r="F4" s="1"/>
    </row>
    <row r="5" spans="1:6" ht="12" customHeight="1" x14ac:dyDescent="0.25">
      <c r="A5" t="s">
        <v>220</v>
      </c>
    </row>
    <row r="6" spans="1:6" ht="12.75" customHeight="1" x14ac:dyDescent="0.25">
      <c r="A6" s="4" t="s">
        <v>712</v>
      </c>
    </row>
    <row r="7" spans="1:6" ht="12.75" customHeight="1" x14ac:dyDescent="0.25">
      <c r="A7" t="s">
        <v>221</v>
      </c>
    </row>
    <row r="9" spans="1:6" ht="12.75" customHeight="1" x14ac:dyDescent="0.3">
      <c r="A9" s="156" t="s">
        <v>606</v>
      </c>
      <c r="B9" s="49"/>
      <c r="C9" s="49"/>
      <c r="D9" s="49"/>
      <c r="E9" s="49"/>
      <c r="F9" s="157" t="s">
        <v>222</v>
      </c>
    </row>
    <row r="10" spans="1:6" ht="12.75" customHeight="1" x14ac:dyDescent="0.25">
      <c r="A10" s="158" t="s">
        <v>223</v>
      </c>
      <c r="B10" s="159"/>
      <c r="C10" s="159"/>
      <c r="D10" s="160"/>
      <c r="E10" s="159"/>
      <c r="F10" s="161"/>
    </row>
    <row r="11" spans="1:6" ht="12.75" customHeight="1" x14ac:dyDescent="0.25">
      <c r="A11" s="162"/>
      <c r="B11" s="57"/>
      <c r="C11" s="57"/>
      <c r="D11" s="57" t="s">
        <v>224</v>
      </c>
      <c r="E11" s="57" t="s">
        <v>224</v>
      </c>
      <c r="F11" s="163"/>
    </row>
    <row r="12" spans="1:6" ht="12.75" customHeight="1" x14ac:dyDescent="0.25">
      <c r="A12" s="162"/>
      <c r="B12" s="57" t="s">
        <v>129</v>
      </c>
      <c r="C12" s="57"/>
      <c r="D12" s="57" t="s">
        <v>225</v>
      </c>
      <c r="E12" s="57" t="s">
        <v>226</v>
      </c>
      <c r="F12" s="163"/>
    </row>
    <row r="13" spans="1:6" ht="16" customHeight="1" x14ac:dyDescent="0.25">
      <c r="A13" s="164" t="s">
        <v>227</v>
      </c>
      <c r="B13" s="60" t="s">
        <v>228</v>
      </c>
      <c r="C13" s="60" t="s">
        <v>62</v>
      </c>
      <c r="D13" s="91" t="s">
        <v>229</v>
      </c>
      <c r="E13" s="287" t="s">
        <v>230</v>
      </c>
      <c r="F13" s="165"/>
    </row>
    <row r="14" spans="1:6" ht="16" customHeight="1" x14ac:dyDescent="0.25">
      <c r="A14" s="291" t="s">
        <v>231</v>
      </c>
      <c r="B14" s="292">
        <v>0</v>
      </c>
      <c r="C14" s="292"/>
      <c r="D14" s="293">
        <v>0</v>
      </c>
      <c r="E14" s="294">
        <f>B14+D14</f>
        <v>0</v>
      </c>
      <c r="F14" s="166"/>
    </row>
    <row r="15" spans="1:6" ht="16" customHeight="1" x14ac:dyDescent="0.25">
      <c r="A15" s="291" t="s">
        <v>231</v>
      </c>
      <c r="B15" s="292">
        <v>0</v>
      </c>
      <c r="C15" s="292"/>
      <c r="D15" s="293">
        <v>0</v>
      </c>
      <c r="E15" s="294">
        <f>B15+D15</f>
        <v>0</v>
      </c>
      <c r="F15" s="166"/>
    </row>
    <row r="16" spans="1:6" ht="16" customHeight="1" x14ac:dyDescent="0.25">
      <c r="A16" s="291" t="s">
        <v>231</v>
      </c>
      <c r="B16" s="292">
        <v>0</v>
      </c>
      <c r="C16" s="292"/>
      <c r="D16" s="293">
        <v>0</v>
      </c>
      <c r="E16" s="294">
        <f>B16+D16</f>
        <v>0</v>
      </c>
      <c r="F16" s="166"/>
    </row>
    <row r="17" spans="1:6" ht="16" customHeight="1" x14ac:dyDescent="0.25">
      <c r="A17" s="291" t="s">
        <v>231</v>
      </c>
      <c r="B17" s="292">
        <v>0</v>
      </c>
      <c r="C17" s="292"/>
      <c r="D17" s="293">
        <v>0</v>
      </c>
      <c r="E17" s="294">
        <f>B17+D17</f>
        <v>0</v>
      </c>
      <c r="F17" s="166"/>
    </row>
    <row r="18" spans="1:6" ht="16" customHeight="1" x14ac:dyDescent="0.25">
      <c r="A18" s="291" t="s">
        <v>231</v>
      </c>
      <c r="B18" s="292">
        <v>0</v>
      </c>
      <c r="C18" s="292"/>
      <c r="D18" s="293">
        <v>0</v>
      </c>
      <c r="E18" s="294">
        <v>0</v>
      </c>
      <c r="F18" s="166"/>
    </row>
    <row r="19" spans="1:6" ht="16" customHeight="1" x14ac:dyDescent="0.25">
      <c r="A19" s="291" t="s">
        <v>231</v>
      </c>
      <c r="B19" s="292">
        <v>0</v>
      </c>
      <c r="C19" s="292"/>
      <c r="D19" s="293">
        <v>0</v>
      </c>
      <c r="E19" s="294">
        <f>B19+D19</f>
        <v>0</v>
      </c>
      <c r="F19" s="166"/>
    </row>
    <row r="20" spans="1:6" ht="16" customHeight="1" x14ac:dyDescent="0.25">
      <c r="A20" s="167" t="s">
        <v>232</v>
      </c>
      <c r="B20" s="168">
        <f>SUM(B14:B19)</f>
        <v>0</v>
      </c>
      <c r="C20" s="168"/>
      <c r="D20" s="49"/>
      <c r="E20" s="169"/>
      <c r="F20" s="166"/>
    </row>
    <row r="21" spans="1:6" ht="16" customHeight="1" x14ac:dyDescent="0.25">
      <c r="A21" s="170"/>
      <c r="B21" s="171"/>
      <c r="C21" s="171"/>
      <c r="D21" s="92"/>
      <c r="E21" s="172"/>
      <c r="F21" s="173"/>
    </row>
    <row r="22" spans="1:6" ht="16" customHeight="1" x14ac:dyDescent="0.25">
      <c r="A22" t="s">
        <v>233</v>
      </c>
      <c r="B22" s="49"/>
      <c r="C22" s="49"/>
      <c r="D22" s="49"/>
      <c r="E22" s="49"/>
      <c r="F22" s="49"/>
    </row>
    <row r="23" spans="1:6" ht="16" customHeight="1" x14ac:dyDescent="0.25">
      <c r="A23" s="174" t="s">
        <v>234</v>
      </c>
      <c r="B23" s="49"/>
      <c r="C23" s="49"/>
      <c r="D23" s="49"/>
      <c r="E23" s="49"/>
      <c r="F23" s="49"/>
    </row>
    <row r="24" spans="1:6" ht="16" customHeight="1" x14ac:dyDescent="0.3">
      <c r="A24" s="175"/>
      <c r="B24" s="92"/>
      <c r="C24" s="92"/>
      <c r="D24" s="92"/>
      <c r="E24" s="92"/>
      <c r="F24" s="176" t="s">
        <v>222</v>
      </c>
    </row>
    <row r="25" spans="1:6" ht="16" customHeight="1" x14ac:dyDescent="0.25">
      <c r="A25" s="177" t="s">
        <v>235</v>
      </c>
      <c r="B25" s="92"/>
      <c r="C25" s="92"/>
      <c r="D25" s="92"/>
      <c r="E25" s="92"/>
      <c r="F25" s="173"/>
    </row>
    <row r="26" spans="1:6" ht="16" customHeight="1" x14ac:dyDescent="0.25">
      <c r="A26" s="178" t="s">
        <v>227</v>
      </c>
      <c r="B26" s="179" t="s">
        <v>236</v>
      </c>
      <c r="C26" s="179"/>
      <c r="D26" s="180" t="s">
        <v>203</v>
      </c>
      <c r="F26" s="181"/>
    </row>
    <row r="27" spans="1:6" ht="16" customHeight="1" x14ac:dyDescent="0.25">
      <c r="A27" s="182"/>
      <c r="B27" s="183" t="s">
        <v>237</v>
      </c>
      <c r="C27" s="183"/>
      <c r="D27" s="183" t="s">
        <v>238</v>
      </c>
      <c r="F27" s="184"/>
    </row>
    <row r="28" spans="1:6" ht="16" customHeight="1" x14ac:dyDescent="0.25">
      <c r="A28" s="263" t="s">
        <v>231</v>
      </c>
      <c r="B28" s="295">
        <v>0</v>
      </c>
      <c r="C28" s="295"/>
      <c r="D28" s="296">
        <v>0</v>
      </c>
      <c r="E28" s="52"/>
      <c r="F28" s="109"/>
    </row>
    <row r="29" spans="1:6" ht="16" customHeight="1" x14ac:dyDescent="0.25">
      <c r="A29" s="263" t="s">
        <v>231</v>
      </c>
      <c r="B29" s="295">
        <v>0</v>
      </c>
      <c r="C29" s="295"/>
      <c r="D29" s="296">
        <v>0</v>
      </c>
      <c r="F29" s="109"/>
    </row>
    <row r="30" spans="1:6" ht="16" customHeight="1" x14ac:dyDescent="0.25">
      <c r="A30" s="263" t="s">
        <v>231</v>
      </c>
      <c r="B30" s="295">
        <v>0</v>
      </c>
      <c r="C30" s="295"/>
      <c r="D30" s="296">
        <v>0</v>
      </c>
      <c r="F30" s="109"/>
    </row>
    <row r="31" spans="1:6" ht="16" customHeight="1" x14ac:dyDescent="0.25">
      <c r="A31" s="19" t="s">
        <v>239</v>
      </c>
      <c r="B31" s="185">
        <f>SUM(B28:B30)</f>
        <v>0</v>
      </c>
      <c r="C31" s="185"/>
      <c r="D31" s="186">
        <f>SUM(D28:D30)</f>
        <v>0</v>
      </c>
      <c r="E31" s="187">
        <f>SUM(B31:D31)</f>
        <v>0</v>
      </c>
      <c r="F31" s="109"/>
    </row>
    <row r="32" spans="1:6" ht="16" customHeight="1" x14ac:dyDescent="0.25">
      <c r="A32" s="44"/>
      <c r="B32" s="188"/>
      <c r="C32" s="188"/>
      <c r="D32" s="188"/>
      <c r="E32" s="188"/>
      <c r="F32" s="189"/>
    </row>
    <row r="33" spans="1:6" ht="16" customHeight="1" x14ac:dyDescent="0.3">
      <c r="B33" s="190"/>
      <c r="C33" s="190"/>
      <c r="D33" s="191"/>
      <c r="E33" s="192"/>
      <c r="F33" s="193"/>
    </row>
    <row r="34" spans="1:6" ht="16" customHeight="1" x14ac:dyDescent="0.25">
      <c r="A34" s="194" t="s">
        <v>240</v>
      </c>
      <c r="B34" s="45"/>
      <c r="C34" s="45"/>
      <c r="D34" s="45"/>
      <c r="E34" s="45"/>
      <c r="F34" s="46"/>
    </row>
    <row r="35" spans="1:6" ht="16" customHeight="1" x14ac:dyDescent="0.25">
      <c r="A35" s="111" t="s">
        <v>241</v>
      </c>
      <c r="B35" s="104"/>
      <c r="C35" s="104"/>
      <c r="D35" s="276">
        <v>0</v>
      </c>
      <c r="E35" s="331" t="s">
        <v>242</v>
      </c>
      <c r="F35" s="278">
        <v>0</v>
      </c>
    </row>
    <row r="36" spans="1:6" ht="16" customHeight="1" x14ac:dyDescent="0.25">
      <c r="A36" s="19" t="s">
        <v>243</v>
      </c>
      <c r="B36" s="104"/>
      <c r="C36" s="104" t="s">
        <v>62</v>
      </c>
      <c r="D36" s="277">
        <v>0</v>
      </c>
      <c r="E36" s="56"/>
      <c r="F36" s="195"/>
    </row>
    <row r="37" spans="1:6" ht="16" customHeight="1" x14ac:dyDescent="0.25">
      <c r="A37" s="111" t="s">
        <v>244</v>
      </c>
      <c r="B37" s="104"/>
      <c r="C37" s="104" t="s">
        <v>62</v>
      </c>
      <c r="D37" s="277">
        <v>0</v>
      </c>
      <c r="E37" s="110"/>
      <c r="F37" s="195"/>
    </row>
    <row r="38" spans="1:6" ht="16" customHeight="1" x14ac:dyDescent="0.25">
      <c r="A38" s="111" t="s">
        <v>245</v>
      </c>
      <c r="B38" s="104"/>
      <c r="C38" s="104"/>
      <c r="D38" s="196"/>
      <c r="E38" s="110"/>
      <c r="F38" s="195"/>
    </row>
    <row r="39" spans="1:6" ht="16" customHeight="1" x14ac:dyDescent="0.25">
      <c r="A39" s="19" t="s">
        <v>246</v>
      </c>
      <c r="B39" s="197"/>
      <c r="C39" s="197" t="s">
        <v>63</v>
      </c>
      <c r="D39" s="279">
        <v>0</v>
      </c>
      <c r="E39" s="110"/>
      <c r="F39" s="195"/>
    </row>
    <row r="40" spans="1:6" ht="16" customHeight="1" x14ac:dyDescent="0.25">
      <c r="A40" s="19" t="s">
        <v>247</v>
      </c>
      <c r="B40" s="197"/>
      <c r="C40" s="197" t="s">
        <v>63</v>
      </c>
      <c r="D40" s="279">
        <v>0</v>
      </c>
      <c r="E40" s="110"/>
      <c r="F40" s="195"/>
    </row>
    <row r="41" spans="1:6" ht="16" customHeight="1" x14ac:dyDescent="0.25">
      <c r="A41" s="19"/>
      <c r="B41" s="66" t="s">
        <v>619</v>
      </c>
      <c r="C41" s="198"/>
      <c r="E41" s="110"/>
      <c r="F41" s="199">
        <f>D35+D36+D37-D39-D40</f>
        <v>0</v>
      </c>
    </row>
    <row r="42" spans="1:6" ht="16" customHeight="1" x14ac:dyDescent="0.25">
      <c r="A42" s="455"/>
      <c r="B42" s="66" t="s">
        <v>248</v>
      </c>
      <c r="C42" s="104"/>
      <c r="E42" s="110"/>
      <c r="F42" s="199">
        <f>F35-F41</f>
        <v>0</v>
      </c>
    </row>
    <row r="43" spans="1:6" ht="13.5" customHeight="1" x14ac:dyDescent="0.25">
      <c r="A43" s="417"/>
      <c r="B43" s="100" t="s">
        <v>249</v>
      </c>
      <c r="C43" s="90"/>
      <c r="D43" s="90"/>
      <c r="E43" s="101"/>
      <c r="F43" s="189"/>
    </row>
    <row r="44" spans="1:6" ht="13.5" customHeight="1" x14ac:dyDescent="0.25">
      <c r="A44" t="s">
        <v>250</v>
      </c>
    </row>
    <row r="48" spans="1:6" ht="13.5" customHeight="1" x14ac:dyDescent="0.25"/>
  </sheetData>
  <phoneticPr fontId="0" type="noConversion"/>
  <printOptions headings="1"/>
  <pageMargins left="0.5" right="0.05" top="0.5" bottom="0.5" header="0.5" footer="0.5"/>
  <pageSetup orientation="portrait" horizontalDpi="300" verticalDpi="300" r:id="rId1"/>
  <headerFooter alignWithMargins="0">
    <oddHeader>&amp;R&amp;8 9&amp;10
&amp;8&amp;D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7"/>
  <sheetViews>
    <sheetView workbookViewId="0">
      <selection activeCell="A4" sqref="A4"/>
    </sheetView>
  </sheetViews>
  <sheetFormatPr defaultColWidth="9.1796875" defaultRowHeight="12.75" customHeight="1" x14ac:dyDescent="0.25"/>
  <cols>
    <col min="1" max="1" width="17.453125" customWidth="1"/>
    <col min="2" max="2" width="13.7265625" customWidth="1"/>
    <col min="3" max="3" width="2.26953125" style="56" customWidth="1"/>
    <col min="4" max="4" width="13" customWidth="1"/>
    <col min="5" max="5" width="2.81640625" style="56" customWidth="1"/>
    <col min="6" max="6" width="14.7265625" customWidth="1"/>
    <col min="7" max="7" width="3.453125" style="56" customWidth="1"/>
    <col min="8" max="8" width="13" customWidth="1"/>
    <col min="9" max="9" width="6.7265625" customWidth="1"/>
    <col min="10" max="10" width="13.7265625" customWidth="1"/>
    <col min="11" max="11" width="11.26953125" customWidth="1"/>
  </cols>
  <sheetData>
    <row r="1" spans="1:10" ht="12.75" customHeight="1" x14ac:dyDescent="0.3">
      <c r="A1" s="415" t="str">
        <f>'Dairy Description'!A1</f>
        <v>Key Code:</v>
      </c>
      <c r="B1" s="288" t="s">
        <v>251</v>
      </c>
      <c r="C1" s="243"/>
      <c r="D1" s="243"/>
      <c r="E1" s="243"/>
      <c r="F1" s="243"/>
      <c r="G1" s="1"/>
      <c r="H1" s="1"/>
      <c r="I1" s="1"/>
      <c r="J1" s="1"/>
    </row>
    <row r="2" spans="1:10" ht="12.75" customHeight="1" x14ac:dyDescent="0.3">
      <c r="A2" s="47" t="s">
        <v>42</v>
      </c>
      <c r="B2" s="1"/>
      <c r="C2" s="1"/>
      <c r="D2" s="48"/>
      <c r="E2" s="1"/>
      <c r="F2" s="48"/>
      <c r="G2" s="48"/>
      <c r="H2" s="48"/>
      <c r="I2" s="48"/>
      <c r="J2" s="48"/>
    </row>
    <row r="3" spans="1:10" ht="12.75" customHeight="1" x14ac:dyDescent="0.3">
      <c r="A3" s="244" t="s">
        <v>760</v>
      </c>
      <c r="B3" s="1"/>
      <c r="C3" s="1"/>
      <c r="D3" s="1"/>
      <c r="E3" s="1"/>
      <c r="F3" s="48"/>
      <c r="G3" s="48"/>
      <c r="H3" s="48"/>
      <c r="I3" s="48"/>
      <c r="J3" s="48"/>
    </row>
    <row r="4" spans="1:10" ht="12.75" customHeight="1" x14ac:dyDescent="0.3">
      <c r="A4" s="49"/>
      <c r="B4" s="49"/>
      <c r="C4" s="57"/>
      <c r="D4" s="47"/>
      <c r="E4" s="200"/>
      <c r="F4" s="48"/>
      <c r="G4" s="200"/>
      <c r="H4" s="48"/>
      <c r="I4" s="49"/>
      <c r="J4" s="49"/>
    </row>
    <row r="5" spans="1:10" ht="12.75" customHeight="1" x14ac:dyDescent="0.3">
      <c r="A5" s="102" t="s">
        <v>610</v>
      </c>
      <c r="C5"/>
      <c r="E5"/>
      <c r="G5"/>
      <c r="J5" s="50" t="s">
        <v>222</v>
      </c>
    </row>
    <row r="6" spans="1:10" ht="12.75" customHeight="1" x14ac:dyDescent="0.25">
      <c r="A6" s="462" t="s">
        <v>252</v>
      </c>
      <c r="B6" s="28"/>
      <c r="C6" s="28"/>
      <c r="D6" s="52"/>
      <c r="E6" s="52"/>
      <c r="F6" s="52"/>
      <c r="G6" s="52"/>
      <c r="H6" s="52"/>
      <c r="I6" s="52"/>
      <c r="J6" s="201" t="s">
        <v>253</v>
      </c>
    </row>
    <row r="7" spans="1:10" ht="12.75" customHeight="1" x14ac:dyDescent="0.25">
      <c r="A7" s="19"/>
      <c r="C7"/>
      <c r="E7"/>
      <c r="F7" t="s">
        <v>254</v>
      </c>
      <c r="G7"/>
      <c r="J7" s="202" t="s">
        <v>255</v>
      </c>
    </row>
    <row r="8" spans="1:10" ht="12.75" customHeight="1" x14ac:dyDescent="0.25">
      <c r="A8" s="44" t="s">
        <v>227</v>
      </c>
      <c r="B8" s="45"/>
      <c r="C8"/>
      <c r="D8" s="45" t="s">
        <v>256</v>
      </c>
      <c r="E8"/>
      <c r="F8" s="97" t="s">
        <v>257</v>
      </c>
      <c r="H8" s="45" t="s">
        <v>227</v>
      </c>
      <c r="I8" s="45"/>
      <c r="J8" s="203" t="s">
        <v>238</v>
      </c>
    </row>
    <row r="9" spans="1:10" ht="12.75" customHeight="1" x14ac:dyDescent="0.25">
      <c r="A9" s="19" t="s">
        <v>261</v>
      </c>
      <c r="C9"/>
      <c r="E9"/>
      <c r="G9"/>
      <c r="J9" s="26"/>
    </row>
    <row r="10" spans="1:10" ht="11.25" customHeight="1" x14ac:dyDescent="0.25">
      <c r="A10" s="463" t="s">
        <v>258</v>
      </c>
      <c r="C10"/>
      <c r="D10" s="106">
        <v>0</v>
      </c>
      <c r="E10"/>
      <c r="F10" s="206">
        <v>0</v>
      </c>
      <c r="G10"/>
      <c r="H10" t="s">
        <v>259</v>
      </c>
      <c r="J10" s="26"/>
    </row>
    <row r="11" spans="1:10" ht="12.75" customHeight="1" x14ac:dyDescent="0.25">
      <c r="A11" s="463" t="s">
        <v>258</v>
      </c>
      <c r="C11"/>
      <c r="D11" s="106">
        <v>0</v>
      </c>
      <c r="E11"/>
      <c r="F11" s="206">
        <v>0</v>
      </c>
      <c r="G11"/>
      <c r="H11" s="204" t="s">
        <v>260</v>
      </c>
      <c r="I11" s="1"/>
      <c r="J11" s="205">
        <v>0</v>
      </c>
    </row>
    <row r="12" spans="1:10" ht="12.75" customHeight="1" x14ac:dyDescent="0.25">
      <c r="A12" s="463" t="s">
        <v>258</v>
      </c>
      <c r="C12"/>
      <c r="D12" s="106">
        <v>0</v>
      </c>
      <c r="E12"/>
      <c r="F12" s="206">
        <v>0</v>
      </c>
      <c r="G12"/>
      <c r="H12" s="204" t="s">
        <v>260</v>
      </c>
      <c r="I12" s="1"/>
      <c r="J12" s="205">
        <v>0</v>
      </c>
    </row>
    <row r="13" spans="1:10" ht="14.25" customHeight="1" x14ac:dyDescent="0.25">
      <c r="A13" s="463" t="s">
        <v>258</v>
      </c>
      <c r="C13"/>
      <c r="D13" s="106">
        <v>0</v>
      </c>
      <c r="E13"/>
      <c r="F13" s="206">
        <v>0</v>
      </c>
      <c r="G13"/>
      <c r="H13" s="204" t="s">
        <v>260</v>
      </c>
      <c r="I13" s="1"/>
      <c r="J13" s="205">
        <v>0</v>
      </c>
    </row>
    <row r="14" spans="1:10" ht="12.75" customHeight="1" x14ac:dyDescent="0.25">
      <c r="A14" s="463" t="s">
        <v>258</v>
      </c>
      <c r="C14"/>
      <c r="D14" s="106">
        <v>0</v>
      </c>
      <c r="E14"/>
      <c r="F14" s="206">
        <v>0</v>
      </c>
      <c r="G14"/>
      <c r="H14" t="s">
        <v>262</v>
      </c>
      <c r="J14" s="26"/>
    </row>
    <row r="15" spans="1:10" ht="12.75" customHeight="1" x14ac:dyDescent="0.25">
      <c r="A15" s="463" t="s">
        <v>258</v>
      </c>
      <c r="C15"/>
      <c r="D15" s="106">
        <v>0</v>
      </c>
      <c r="E15"/>
      <c r="F15" s="206">
        <v>0</v>
      </c>
      <c r="G15"/>
      <c r="H15" s="204" t="s">
        <v>260</v>
      </c>
      <c r="I15" s="1"/>
      <c r="J15" s="205">
        <v>0</v>
      </c>
    </row>
    <row r="16" spans="1:10" ht="12.75" customHeight="1" x14ac:dyDescent="0.25">
      <c r="A16" s="463" t="s">
        <v>258</v>
      </c>
      <c r="C16"/>
      <c r="D16" s="106">
        <v>0</v>
      </c>
      <c r="E16"/>
      <c r="F16" s="206">
        <v>0</v>
      </c>
      <c r="G16"/>
      <c r="H16" s="204" t="s">
        <v>260</v>
      </c>
      <c r="I16" s="1"/>
      <c r="J16" s="205">
        <v>0</v>
      </c>
    </row>
    <row r="17" spans="1:10" ht="19.5" customHeight="1" x14ac:dyDescent="0.25">
      <c r="A17" s="19" t="s">
        <v>263</v>
      </c>
      <c r="C17"/>
      <c r="E17"/>
      <c r="G17" t="s">
        <v>264</v>
      </c>
      <c r="J17" s="26" t="s">
        <v>265</v>
      </c>
    </row>
    <row r="18" spans="1:10" ht="12.75" customHeight="1" x14ac:dyDescent="0.25">
      <c r="A18" s="19" t="s">
        <v>266</v>
      </c>
      <c r="C18"/>
      <c r="D18" s="106">
        <f>SUM(D10:D16)</f>
        <v>0</v>
      </c>
      <c r="E18"/>
      <c r="F18" s="206">
        <f>SUM(F10:F16)</f>
        <v>0</v>
      </c>
      <c r="G18"/>
      <c r="H18" t="s">
        <v>267</v>
      </c>
      <c r="J18" s="205">
        <f>SUM(J11:J16)</f>
        <v>0</v>
      </c>
    </row>
    <row r="19" spans="1:10" ht="8.25" customHeight="1" x14ac:dyDescent="0.25">
      <c r="A19" s="44"/>
      <c r="B19" s="45"/>
      <c r="C19" s="45"/>
      <c r="D19" s="45"/>
      <c r="E19" s="45"/>
      <c r="F19" s="45"/>
      <c r="G19" s="45"/>
      <c r="H19" s="45"/>
      <c r="I19" s="45"/>
      <c r="J19" s="46"/>
    </row>
    <row r="20" spans="1:10" ht="14.25" customHeight="1" x14ac:dyDescent="0.25">
      <c r="A20" s="52" t="s">
        <v>268</v>
      </c>
      <c r="C20"/>
      <c r="E20"/>
      <c r="G20"/>
    </row>
    <row r="21" spans="1:10" ht="12.75" customHeight="1" x14ac:dyDescent="0.25">
      <c r="A21" s="332"/>
      <c r="B21" s="49"/>
      <c r="C21" s="57"/>
      <c r="D21" s="49"/>
      <c r="E21" s="57"/>
      <c r="F21" s="49"/>
      <c r="G21" s="57"/>
      <c r="H21" s="49"/>
      <c r="I21" s="49"/>
      <c r="J21" s="49"/>
    </row>
    <row r="22" spans="1:10" ht="12.75" customHeight="1" x14ac:dyDescent="0.3">
      <c r="A22" s="465" t="s">
        <v>617</v>
      </c>
      <c r="B22" s="49"/>
      <c r="C22" s="57"/>
      <c r="D22" s="49"/>
      <c r="E22" s="57"/>
      <c r="F22" s="49"/>
      <c r="G22" s="60"/>
      <c r="H22" s="92"/>
      <c r="I22" s="92"/>
      <c r="J22" s="157"/>
    </row>
    <row r="23" spans="1:10" ht="12.75" customHeight="1" x14ac:dyDescent="0.25">
      <c r="A23" s="464"/>
      <c r="B23" s="53"/>
      <c r="C23" s="207"/>
      <c r="D23" s="208"/>
      <c r="E23" s="207"/>
      <c r="F23" s="53"/>
      <c r="G23" s="83" t="s">
        <v>682</v>
      </c>
      <c r="H23" s="332"/>
      <c r="I23" s="57" t="s">
        <v>683</v>
      </c>
      <c r="J23" s="209"/>
    </row>
    <row r="24" spans="1:10" ht="12.75" customHeight="1" x14ac:dyDescent="0.25">
      <c r="A24" s="19"/>
      <c r="B24" s="57"/>
      <c r="C24" s="57"/>
      <c r="E24" s="453" t="s">
        <v>611</v>
      </c>
      <c r="G24" s="210" t="s">
        <v>112</v>
      </c>
      <c r="H24" s="281">
        <v>0</v>
      </c>
      <c r="I24" s="57" t="s">
        <v>113</v>
      </c>
      <c r="J24" s="299">
        <v>0</v>
      </c>
    </row>
    <row r="25" spans="1:10" ht="16" customHeight="1" x14ac:dyDescent="0.25">
      <c r="A25" s="162" t="s">
        <v>612</v>
      </c>
      <c r="B25" s="57"/>
      <c r="C25" s="57"/>
      <c r="D25" s="57"/>
      <c r="E25" s="57"/>
      <c r="G25" s="57"/>
      <c r="H25" s="84"/>
      <c r="J25" s="166"/>
    </row>
    <row r="26" spans="1:10" ht="16" customHeight="1" x14ac:dyDescent="0.25">
      <c r="A26" s="162" t="s">
        <v>269</v>
      </c>
      <c r="B26" s="452"/>
      <c r="C26" s="57"/>
      <c r="D26" s="280">
        <v>0</v>
      </c>
      <c r="E26" s="57" t="s">
        <v>63</v>
      </c>
      <c r="F26" s="454">
        <v>0</v>
      </c>
      <c r="G26" s="57" t="s">
        <v>270</v>
      </c>
      <c r="H26" s="282">
        <f>D26-F26</f>
        <v>0</v>
      </c>
      <c r="I26" s="49"/>
      <c r="J26" s="166"/>
    </row>
    <row r="27" spans="1:10" ht="16" customHeight="1" x14ac:dyDescent="0.25">
      <c r="A27" s="211"/>
      <c r="B27" s="212"/>
      <c r="C27" s="213"/>
      <c r="D27" s="214" t="s">
        <v>272</v>
      </c>
      <c r="E27" s="214"/>
      <c r="F27" s="215" t="s">
        <v>273</v>
      </c>
      <c r="G27" s="57"/>
      <c r="H27" s="216" t="s">
        <v>274</v>
      </c>
      <c r="I27" s="217"/>
      <c r="J27" s="166"/>
    </row>
    <row r="28" spans="1:10" ht="16" customHeight="1" x14ac:dyDescent="0.25">
      <c r="A28" s="19"/>
      <c r="B28" s="218"/>
      <c r="C28" s="218"/>
      <c r="D28" s="219"/>
      <c r="E28" s="219"/>
      <c r="F28" s="211" t="s">
        <v>613</v>
      </c>
      <c r="G28" s="57" t="s">
        <v>276</v>
      </c>
      <c r="H28" s="283">
        <v>0</v>
      </c>
      <c r="I28" s="217"/>
      <c r="J28" s="166"/>
    </row>
    <row r="29" spans="1:10" ht="16" customHeight="1" x14ac:dyDescent="0.25">
      <c r="A29" s="211"/>
      <c r="B29" s="108"/>
      <c r="C29" s="213"/>
      <c r="D29" s="217"/>
      <c r="E29" s="214"/>
      <c r="F29" s="169">
        <f>B29*D29</f>
        <v>0</v>
      </c>
      <c r="G29" s="57"/>
      <c r="H29" s="108"/>
      <c r="I29" s="217"/>
      <c r="J29" s="166"/>
    </row>
    <row r="30" spans="1:10" ht="16" customHeight="1" x14ac:dyDescent="0.25">
      <c r="A30" s="19"/>
      <c r="B30" s="218"/>
      <c r="C30" s="218"/>
      <c r="D30" s="219"/>
      <c r="E30" s="219"/>
      <c r="F30" s="211" t="s">
        <v>750</v>
      </c>
      <c r="G30" s="57" t="s">
        <v>277</v>
      </c>
      <c r="H30" s="283">
        <v>0</v>
      </c>
      <c r="I30" s="217"/>
      <c r="J30" s="166"/>
    </row>
    <row r="31" spans="1:10" ht="16" customHeight="1" x14ac:dyDescent="0.25">
      <c r="A31" s="220"/>
      <c r="B31" s="108"/>
      <c r="C31" s="213"/>
      <c r="D31" s="217"/>
      <c r="E31" s="214"/>
      <c r="F31" s="169">
        <f>B31*D31</f>
        <v>0</v>
      </c>
      <c r="G31" s="57"/>
      <c r="H31" s="108"/>
      <c r="I31" s="217"/>
      <c r="J31" s="166"/>
    </row>
    <row r="32" spans="1:10" ht="16" customHeight="1" x14ac:dyDescent="0.25">
      <c r="A32" s="220"/>
      <c r="B32" s="108"/>
      <c r="C32" s="213"/>
      <c r="D32" s="217"/>
      <c r="E32" s="214"/>
      <c r="F32" s="169"/>
      <c r="G32" s="57"/>
      <c r="H32" s="108"/>
      <c r="I32" s="217"/>
      <c r="J32" s="166"/>
    </row>
    <row r="33" spans="1:10" ht="16" customHeight="1" x14ac:dyDescent="0.25">
      <c r="A33" s="220" t="s">
        <v>614</v>
      </c>
      <c r="B33" s="216" t="s">
        <v>279</v>
      </c>
      <c r="C33" s="213"/>
      <c r="D33" s="217"/>
      <c r="E33" s="214"/>
      <c r="F33" s="283">
        <v>0</v>
      </c>
      <c r="G33" s="57"/>
      <c r="H33" s="108"/>
      <c r="I33" s="217"/>
      <c r="J33" s="166"/>
    </row>
    <row r="34" spans="1:10" ht="16" customHeight="1" x14ac:dyDescent="0.25">
      <c r="A34" s="220"/>
      <c r="B34" s="216" t="s">
        <v>280</v>
      </c>
      <c r="C34" s="213"/>
      <c r="D34" s="217"/>
      <c r="E34" s="214" t="s">
        <v>63</v>
      </c>
      <c r="F34" s="283">
        <v>0</v>
      </c>
      <c r="G34" s="57"/>
      <c r="H34" s="108"/>
      <c r="I34" s="217"/>
      <c r="J34" s="166"/>
    </row>
    <row r="35" spans="1:10" ht="16" customHeight="1" x14ac:dyDescent="0.25">
      <c r="A35" s="211"/>
      <c r="B35" s="221" t="s">
        <v>281</v>
      </c>
      <c r="C35" s="218"/>
      <c r="D35" s="217"/>
      <c r="E35" s="214"/>
      <c r="F35" s="169"/>
      <c r="G35" s="57" t="s">
        <v>277</v>
      </c>
      <c r="H35" s="222">
        <f>F33-F34</f>
        <v>0</v>
      </c>
      <c r="I35" s="217"/>
      <c r="J35" s="166"/>
    </row>
    <row r="36" spans="1:10" ht="16" customHeight="1" x14ac:dyDescent="0.25">
      <c r="A36" s="211"/>
      <c r="B36" s="216" t="s">
        <v>615</v>
      </c>
      <c r="C36" s="213"/>
      <c r="D36" s="217"/>
      <c r="E36" s="214" t="s">
        <v>63</v>
      </c>
      <c r="F36" s="283">
        <v>0</v>
      </c>
      <c r="G36" s="57"/>
      <c r="H36" s="108"/>
      <c r="I36" s="217"/>
      <c r="J36" s="166"/>
    </row>
    <row r="37" spans="1:10" ht="16" customHeight="1" x14ac:dyDescent="0.25">
      <c r="A37" s="211"/>
      <c r="B37" t="s">
        <v>283</v>
      </c>
      <c r="C37" s="213"/>
      <c r="D37" s="217"/>
      <c r="E37" s="212" t="s">
        <v>48</v>
      </c>
      <c r="F37" s="222">
        <f>F33-F34-F36</f>
        <v>0</v>
      </c>
      <c r="G37" s="57"/>
      <c r="H37" s="108"/>
      <c r="I37" s="217"/>
      <c r="J37" s="166"/>
    </row>
    <row r="38" spans="1:10" ht="16" customHeight="1" x14ac:dyDescent="0.25">
      <c r="A38" s="220" t="s">
        <v>284</v>
      </c>
      <c r="B38" s="108"/>
      <c r="C38" s="213"/>
      <c r="D38" s="217"/>
      <c r="E38" s="214"/>
      <c r="F38" s="169">
        <v>0</v>
      </c>
      <c r="G38" s="57"/>
      <c r="H38" s="108"/>
      <c r="I38" s="217"/>
      <c r="J38" s="223">
        <f>H24+H26+H28-H30-H35</f>
        <v>0</v>
      </c>
    </row>
    <row r="39" spans="1:10" ht="16" customHeight="1" x14ac:dyDescent="0.25">
      <c r="A39" s="211"/>
      <c r="B39" s="108"/>
      <c r="C39" s="213"/>
      <c r="D39" s="217"/>
      <c r="E39" s="214"/>
      <c r="F39" s="169"/>
      <c r="G39" s="57"/>
      <c r="H39" s="108"/>
      <c r="I39" s="217"/>
      <c r="J39" s="26"/>
    </row>
    <row r="40" spans="1:10" ht="16" customHeight="1" x14ac:dyDescent="0.25">
      <c r="A40" s="167" t="s">
        <v>616</v>
      </c>
      <c r="B40" s="49"/>
      <c r="C40" s="57"/>
      <c r="D40" s="49"/>
      <c r="E40" s="57"/>
      <c r="F40" s="169"/>
      <c r="G40" s="57"/>
      <c r="H40" s="83"/>
      <c r="I40" s="49"/>
      <c r="J40" s="223">
        <f>J24-J38</f>
        <v>0</v>
      </c>
    </row>
    <row r="41" spans="1:10" ht="6.75" customHeight="1" x14ac:dyDescent="0.25">
      <c r="A41" s="224"/>
      <c r="B41" s="92"/>
      <c r="C41" s="60"/>
      <c r="D41" s="92"/>
      <c r="E41" s="60"/>
      <c r="F41" s="172"/>
      <c r="G41" s="60"/>
      <c r="H41" s="89"/>
      <c r="I41" s="92"/>
      <c r="J41" s="225"/>
    </row>
    <row r="42" spans="1:10" ht="12" customHeight="1" x14ac:dyDescent="0.25">
      <c r="A42" t="s">
        <v>286</v>
      </c>
      <c r="C42"/>
      <c r="E42"/>
      <c r="F42" s="49"/>
      <c r="G42" s="57"/>
      <c r="H42" s="49"/>
      <c r="I42" s="49"/>
      <c r="J42" s="49"/>
    </row>
    <row r="43" spans="1:10" ht="12" customHeight="1" x14ac:dyDescent="0.25">
      <c r="A43" s="49" t="s">
        <v>287</v>
      </c>
      <c r="B43" s="49"/>
      <c r="C43" s="57"/>
      <c r="D43" s="49"/>
      <c r="E43" s="57"/>
      <c r="F43" s="49"/>
      <c r="G43" s="57"/>
      <c r="H43" s="49"/>
      <c r="I43" s="49"/>
      <c r="J43" s="49"/>
    </row>
    <row r="44" spans="1:10" ht="16" customHeight="1" x14ac:dyDescent="0.25">
      <c r="C44"/>
      <c r="E44"/>
      <c r="G44"/>
    </row>
    <row r="45" spans="1:10" ht="16" customHeight="1" x14ac:dyDescent="0.25">
      <c r="C45"/>
      <c r="E45"/>
      <c r="G45"/>
    </row>
    <row r="46" spans="1:10" ht="16" customHeight="1" x14ac:dyDescent="0.25">
      <c r="C46"/>
      <c r="E46"/>
      <c r="G46"/>
    </row>
    <row r="47" spans="1:10" ht="16" customHeight="1" x14ac:dyDescent="0.25">
      <c r="C47"/>
      <c r="E47"/>
      <c r="G47"/>
    </row>
    <row r="48" spans="1:10" ht="16" customHeight="1" x14ac:dyDescent="0.25">
      <c r="C48"/>
      <c r="E48"/>
      <c r="G48"/>
    </row>
    <row r="49" spans="3:7" ht="16" customHeight="1" x14ac:dyDescent="0.25">
      <c r="C49"/>
      <c r="E49"/>
      <c r="G49"/>
    </row>
    <row r="50" spans="3:7" ht="16" customHeight="1" x14ac:dyDescent="0.25">
      <c r="C50"/>
      <c r="E50"/>
      <c r="G50"/>
    </row>
    <row r="51" spans="3:7" ht="16" customHeight="1" x14ac:dyDescent="0.25">
      <c r="C51"/>
      <c r="E51"/>
      <c r="G51"/>
    </row>
    <row r="52" spans="3:7" ht="16" customHeight="1" x14ac:dyDescent="0.25">
      <c r="C52"/>
      <c r="E52"/>
      <c r="G52"/>
    </row>
    <row r="53" spans="3:7" ht="16" customHeight="1" x14ac:dyDescent="0.25">
      <c r="C53"/>
      <c r="E53"/>
      <c r="G53"/>
    </row>
    <row r="54" spans="3:7" ht="16" customHeight="1" x14ac:dyDescent="0.25">
      <c r="C54"/>
      <c r="E54"/>
      <c r="G54"/>
    </row>
    <row r="55" spans="3:7" ht="16" customHeight="1" x14ac:dyDescent="0.25">
      <c r="C55"/>
      <c r="E55"/>
      <c r="G55"/>
    </row>
    <row r="56" spans="3:7" ht="16" customHeight="1" x14ac:dyDescent="0.25">
      <c r="C56"/>
      <c r="E56"/>
      <c r="G56"/>
    </row>
    <row r="57" spans="3:7" ht="16" customHeight="1" x14ac:dyDescent="0.25">
      <c r="C57"/>
      <c r="E57"/>
      <c r="G57"/>
    </row>
    <row r="58" spans="3:7" ht="16" customHeight="1" x14ac:dyDescent="0.25">
      <c r="C58"/>
      <c r="E58"/>
      <c r="G58"/>
    </row>
    <row r="59" spans="3:7" ht="16" customHeight="1" x14ac:dyDescent="0.25">
      <c r="C59"/>
      <c r="E59"/>
      <c r="G59"/>
    </row>
    <row r="60" spans="3:7" ht="16" customHeight="1" x14ac:dyDescent="0.25">
      <c r="C60"/>
      <c r="E60"/>
      <c r="G60"/>
    </row>
    <row r="61" spans="3:7" ht="16" customHeight="1" x14ac:dyDescent="0.25">
      <c r="C61"/>
      <c r="E61"/>
      <c r="G61"/>
    </row>
    <row r="62" spans="3:7" ht="16" customHeight="1" x14ac:dyDescent="0.25">
      <c r="C62"/>
      <c r="E62"/>
      <c r="G62"/>
    </row>
    <row r="63" spans="3:7" ht="13.5" customHeight="1" x14ac:dyDescent="0.25">
      <c r="C63"/>
      <c r="E63"/>
      <c r="G63"/>
    </row>
    <row r="64" spans="3:7" ht="13.5" customHeight="1" x14ac:dyDescent="0.25">
      <c r="C64"/>
      <c r="E64"/>
      <c r="G64"/>
    </row>
    <row r="65" spans="3:7" ht="12.75" customHeight="1" x14ac:dyDescent="0.25">
      <c r="C65"/>
      <c r="E65"/>
      <c r="G65"/>
    </row>
    <row r="66" spans="3:7" ht="12.75" customHeight="1" x14ac:dyDescent="0.25">
      <c r="C66"/>
      <c r="E66"/>
      <c r="G66"/>
    </row>
    <row r="67" spans="3:7" ht="12.75" customHeight="1" x14ac:dyDescent="0.25">
      <c r="C67"/>
      <c r="E67"/>
      <c r="G67"/>
    </row>
    <row r="68" spans="3:7" ht="13.5" customHeight="1" x14ac:dyDescent="0.25">
      <c r="C68"/>
      <c r="E68"/>
      <c r="G68"/>
    </row>
    <row r="69" spans="3:7" ht="12.75" customHeight="1" x14ac:dyDescent="0.25">
      <c r="C69"/>
      <c r="E69"/>
      <c r="G69"/>
    </row>
    <row r="70" spans="3:7" ht="12.75" customHeight="1" x14ac:dyDescent="0.25">
      <c r="C70"/>
      <c r="E70"/>
      <c r="G70"/>
    </row>
    <row r="71" spans="3:7" ht="12.75" customHeight="1" x14ac:dyDescent="0.25">
      <c r="C71"/>
      <c r="E71"/>
      <c r="G71"/>
    </row>
    <row r="72" spans="3:7" ht="12.75" customHeight="1" x14ac:dyDescent="0.25">
      <c r="C72"/>
      <c r="E72"/>
      <c r="G72"/>
    </row>
    <row r="73" spans="3:7" ht="12.75" customHeight="1" x14ac:dyDescent="0.25">
      <c r="C73"/>
      <c r="E73"/>
      <c r="G73"/>
    </row>
    <row r="74" spans="3:7" ht="12.75" customHeight="1" x14ac:dyDescent="0.25">
      <c r="C74"/>
      <c r="E74"/>
      <c r="G74"/>
    </row>
    <row r="75" spans="3:7" ht="12.75" customHeight="1" x14ac:dyDescent="0.25">
      <c r="C75"/>
      <c r="E75"/>
      <c r="G75"/>
    </row>
    <row r="76" spans="3:7" ht="12.75" customHeight="1" x14ac:dyDescent="0.25">
      <c r="C76"/>
      <c r="E76"/>
      <c r="G76"/>
    </row>
    <row r="77" spans="3:7" ht="12.75" customHeight="1" x14ac:dyDescent="0.25">
      <c r="C77"/>
      <c r="E77"/>
      <c r="G77"/>
    </row>
    <row r="78" spans="3:7" ht="12.75" customHeight="1" x14ac:dyDescent="0.25">
      <c r="C78"/>
      <c r="E78"/>
      <c r="G78"/>
    </row>
    <row r="79" spans="3:7" ht="12.75" customHeight="1" x14ac:dyDescent="0.25">
      <c r="C79"/>
      <c r="E79"/>
      <c r="G79"/>
    </row>
    <row r="80" spans="3:7" ht="12.75" customHeight="1" x14ac:dyDescent="0.25">
      <c r="C80"/>
      <c r="E80"/>
      <c r="G80"/>
    </row>
    <row r="81" spans="3:7" ht="12.75" customHeight="1" x14ac:dyDescent="0.25">
      <c r="C81"/>
      <c r="E81"/>
      <c r="G81"/>
    </row>
    <row r="82" spans="3:7" ht="12.75" customHeight="1" x14ac:dyDescent="0.25">
      <c r="C82"/>
      <c r="E82"/>
      <c r="G82"/>
    </row>
    <row r="83" spans="3:7" ht="12.75" customHeight="1" x14ac:dyDescent="0.25">
      <c r="C83"/>
      <c r="E83"/>
      <c r="G83"/>
    </row>
    <row r="84" spans="3:7" ht="12.75" customHeight="1" x14ac:dyDescent="0.25">
      <c r="C84"/>
      <c r="E84"/>
      <c r="G84"/>
    </row>
    <row r="85" spans="3:7" ht="12.75" customHeight="1" x14ac:dyDescent="0.25">
      <c r="C85"/>
      <c r="E85"/>
      <c r="G85"/>
    </row>
    <row r="86" spans="3:7" ht="12.75" customHeight="1" x14ac:dyDescent="0.25">
      <c r="C86"/>
      <c r="E86"/>
      <c r="G86"/>
    </row>
    <row r="87" spans="3:7" ht="12.75" customHeight="1" x14ac:dyDescent="0.25">
      <c r="C87"/>
      <c r="E87"/>
      <c r="G87"/>
    </row>
    <row r="88" spans="3:7" ht="12.75" customHeight="1" x14ac:dyDescent="0.25">
      <c r="C88"/>
      <c r="E88"/>
      <c r="G88"/>
    </row>
    <row r="89" spans="3:7" ht="12.75" customHeight="1" x14ac:dyDescent="0.25">
      <c r="C89"/>
      <c r="E89"/>
      <c r="G89"/>
    </row>
    <row r="90" spans="3:7" ht="12.75" customHeight="1" x14ac:dyDescent="0.25">
      <c r="C90"/>
      <c r="E90"/>
      <c r="G90"/>
    </row>
    <row r="91" spans="3:7" ht="12.75" customHeight="1" x14ac:dyDescent="0.25">
      <c r="C91"/>
      <c r="E91"/>
      <c r="G91"/>
    </row>
    <row r="92" spans="3:7" ht="12.75" customHeight="1" x14ac:dyDescent="0.25">
      <c r="C92"/>
      <c r="E92"/>
      <c r="G92"/>
    </row>
    <row r="93" spans="3:7" ht="12.75" customHeight="1" x14ac:dyDescent="0.25">
      <c r="C93"/>
      <c r="E93"/>
      <c r="G93"/>
    </row>
    <row r="94" spans="3:7" ht="12.75" customHeight="1" x14ac:dyDescent="0.25">
      <c r="C94"/>
      <c r="E94"/>
      <c r="G94"/>
    </row>
    <row r="95" spans="3:7" ht="12.75" customHeight="1" x14ac:dyDescent="0.25">
      <c r="C95"/>
      <c r="E95"/>
      <c r="G95"/>
    </row>
    <row r="96" spans="3:7" ht="12.75" customHeight="1" x14ac:dyDescent="0.25">
      <c r="C96"/>
      <c r="E96"/>
      <c r="G96"/>
    </row>
    <row r="97" spans="3:7" ht="12.75" customHeight="1" x14ac:dyDescent="0.25">
      <c r="C97"/>
      <c r="E97"/>
      <c r="G97"/>
    </row>
    <row r="98" spans="3:7" ht="12.75" customHeight="1" x14ac:dyDescent="0.25">
      <c r="C98"/>
      <c r="E98"/>
      <c r="G98"/>
    </row>
    <row r="99" spans="3:7" ht="12.75" customHeight="1" x14ac:dyDescent="0.25">
      <c r="C99"/>
      <c r="E99"/>
      <c r="G99"/>
    </row>
    <row r="100" spans="3:7" ht="12.75" customHeight="1" x14ac:dyDescent="0.25">
      <c r="C100"/>
      <c r="E100"/>
      <c r="G100"/>
    </row>
    <row r="101" spans="3:7" ht="12.75" customHeight="1" x14ac:dyDescent="0.25">
      <c r="C101"/>
      <c r="E101"/>
      <c r="G101"/>
    </row>
    <row r="102" spans="3:7" ht="12.75" customHeight="1" x14ac:dyDescent="0.25">
      <c r="C102"/>
      <c r="E102"/>
      <c r="G102"/>
    </row>
    <row r="103" spans="3:7" ht="12.75" customHeight="1" x14ac:dyDescent="0.25">
      <c r="C103"/>
      <c r="E103"/>
      <c r="G103"/>
    </row>
    <row r="104" spans="3:7" ht="12.75" customHeight="1" x14ac:dyDescent="0.25">
      <c r="C104"/>
      <c r="E104"/>
      <c r="G104"/>
    </row>
    <row r="105" spans="3:7" ht="12.75" customHeight="1" x14ac:dyDescent="0.25">
      <c r="C105"/>
      <c r="E105"/>
      <c r="G105"/>
    </row>
    <row r="106" spans="3:7" ht="12.75" customHeight="1" x14ac:dyDescent="0.25">
      <c r="C106"/>
      <c r="E106"/>
      <c r="G106"/>
    </row>
    <row r="107" spans="3:7" ht="12.75" customHeight="1" x14ac:dyDescent="0.25">
      <c r="C107"/>
      <c r="E107"/>
      <c r="G107"/>
    </row>
    <row r="108" spans="3:7" ht="12.75" customHeight="1" x14ac:dyDescent="0.25">
      <c r="C108"/>
      <c r="E108"/>
      <c r="G108"/>
    </row>
    <row r="109" spans="3:7" ht="12.75" customHeight="1" x14ac:dyDescent="0.25">
      <c r="C109"/>
      <c r="E109"/>
      <c r="G109"/>
    </row>
    <row r="110" spans="3:7" ht="12.75" customHeight="1" x14ac:dyDescent="0.25">
      <c r="C110"/>
      <c r="E110"/>
      <c r="G110"/>
    </row>
    <row r="111" spans="3:7" ht="12.75" customHeight="1" x14ac:dyDescent="0.25">
      <c r="C111"/>
      <c r="E111"/>
      <c r="G111"/>
    </row>
    <row r="112" spans="3:7" ht="12.75" customHeight="1" x14ac:dyDescent="0.25">
      <c r="C112"/>
      <c r="E112"/>
      <c r="G112"/>
    </row>
    <row r="113" spans="3:7" ht="12.75" customHeight="1" x14ac:dyDescent="0.25">
      <c r="C113"/>
      <c r="E113"/>
      <c r="G113"/>
    </row>
    <row r="114" spans="3:7" ht="12.75" customHeight="1" x14ac:dyDescent="0.25">
      <c r="C114"/>
      <c r="E114"/>
      <c r="G114"/>
    </row>
    <row r="115" spans="3:7" ht="12.75" customHeight="1" x14ac:dyDescent="0.25">
      <c r="C115"/>
      <c r="E115"/>
      <c r="G115"/>
    </row>
    <row r="116" spans="3:7" ht="12.75" customHeight="1" x14ac:dyDescent="0.25">
      <c r="C116"/>
      <c r="E116"/>
      <c r="G116"/>
    </row>
    <row r="117" spans="3:7" ht="12.75" customHeight="1" x14ac:dyDescent="0.25">
      <c r="C117"/>
      <c r="E117"/>
      <c r="G117"/>
    </row>
    <row r="118" spans="3:7" ht="12.75" customHeight="1" x14ac:dyDescent="0.25">
      <c r="C118"/>
      <c r="E118"/>
      <c r="G118"/>
    </row>
    <row r="119" spans="3:7" ht="12.75" customHeight="1" x14ac:dyDescent="0.25">
      <c r="C119"/>
      <c r="E119"/>
      <c r="G119"/>
    </row>
    <row r="120" spans="3:7" ht="12.75" customHeight="1" x14ac:dyDescent="0.25">
      <c r="C120"/>
      <c r="E120"/>
      <c r="G120"/>
    </row>
    <row r="121" spans="3:7" ht="12.75" customHeight="1" x14ac:dyDescent="0.25">
      <c r="C121"/>
      <c r="E121"/>
      <c r="G121"/>
    </row>
    <row r="122" spans="3:7" ht="12.75" customHeight="1" x14ac:dyDescent="0.25">
      <c r="C122"/>
      <c r="E122"/>
      <c r="G122"/>
    </row>
    <row r="123" spans="3:7" ht="12.75" customHeight="1" x14ac:dyDescent="0.25">
      <c r="C123"/>
      <c r="E123"/>
      <c r="G123"/>
    </row>
    <row r="124" spans="3:7" ht="12.75" customHeight="1" x14ac:dyDescent="0.25">
      <c r="C124"/>
      <c r="E124"/>
      <c r="G124"/>
    </row>
    <row r="125" spans="3:7" ht="12.75" customHeight="1" x14ac:dyDescent="0.25">
      <c r="C125"/>
      <c r="E125"/>
      <c r="G125"/>
    </row>
    <row r="126" spans="3:7" ht="12.75" customHeight="1" x14ac:dyDescent="0.25">
      <c r="C126"/>
      <c r="E126"/>
      <c r="G126"/>
    </row>
    <row r="127" spans="3:7" ht="12.75" customHeight="1" x14ac:dyDescent="0.25">
      <c r="C127"/>
      <c r="E127"/>
      <c r="G127"/>
    </row>
    <row r="128" spans="3:7" ht="12.75" customHeight="1" x14ac:dyDescent="0.25">
      <c r="C128"/>
      <c r="E128"/>
      <c r="G128"/>
    </row>
    <row r="129" spans="3:7" ht="12.75" customHeight="1" x14ac:dyDescent="0.25">
      <c r="C129"/>
      <c r="E129"/>
      <c r="G129"/>
    </row>
    <row r="130" spans="3:7" ht="12.75" customHeight="1" x14ac:dyDescent="0.25">
      <c r="C130"/>
      <c r="E130"/>
      <c r="G130"/>
    </row>
    <row r="131" spans="3:7" ht="12.75" customHeight="1" x14ac:dyDescent="0.25">
      <c r="C131"/>
      <c r="E131"/>
      <c r="G131"/>
    </row>
    <row r="132" spans="3:7" ht="12.75" customHeight="1" x14ac:dyDescent="0.25">
      <c r="C132"/>
      <c r="E132"/>
      <c r="G132"/>
    </row>
    <row r="133" spans="3:7" ht="12.75" customHeight="1" x14ac:dyDescent="0.25">
      <c r="C133"/>
      <c r="E133"/>
      <c r="G133"/>
    </row>
    <row r="134" spans="3:7" ht="12.75" customHeight="1" x14ac:dyDescent="0.25">
      <c r="C134"/>
      <c r="E134"/>
      <c r="G134"/>
    </row>
    <row r="135" spans="3:7" ht="12.75" customHeight="1" x14ac:dyDescent="0.25">
      <c r="C135"/>
      <c r="E135"/>
      <c r="G135"/>
    </row>
    <row r="136" spans="3:7" ht="12.75" customHeight="1" x14ac:dyDescent="0.25">
      <c r="C136"/>
      <c r="E136"/>
      <c r="G136"/>
    </row>
    <row r="137" spans="3:7" ht="12.75" customHeight="1" x14ac:dyDescent="0.25">
      <c r="C137"/>
      <c r="E137"/>
      <c r="G137"/>
    </row>
    <row r="138" spans="3:7" ht="12.75" customHeight="1" x14ac:dyDescent="0.25">
      <c r="C138"/>
      <c r="E138"/>
      <c r="G138"/>
    </row>
    <row r="139" spans="3:7" ht="12.75" customHeight="1" x14ac:dyDescent="0.25">
      <c r="C139"/>
      <c r="E139"/>
      <c r="G139"/>
    </row>
    <row r="140" spans="3:7" ht="12.75" customHeight="1" x14ac:dyDescent="0.25">
      <c r="C140"/>
      <c r="E140"/>
      <c r="G140"/>
    </row>
    <row r="141" spans="3:7" ht="12.75" customHeight="1" x14ac:dyDescent="0.25">
      <c r="C141"/>
      <c r="E141"/>
      <c r="G141"/>
    </row>
    <row r="142" spans="3:7" ht="12.75" customHeight="1" x14ac:dyDescent="0.25">
      <c r="C142"/>
      <c r="E142"/>
      <c r="G142"/>
    </row>
    <row r="143" spans="3:7" ht="12.75" customHeight="1" x14ac:dyDescent="0.25">
      <c r="C143"/>
      <c r="E143"/>
      <c r="G143"/>
    </row>
    <row r="144" spans="3:7" ht="12.75" customHeight="1" x14ac:dyDescent="0.25">
      <c r="C144"/>
      <c r="E144"/>
      <c r="G144"/>
    </row>
    <row r="145" spans="3:7" ht="12.75" customHeight="1" x14ac:dyDescent="0.25">
      <c r="C145"/>
      <c r="E145"/>
      <c r="G145"/>
    </row>
    <row r="146" spans="3:7" ht="12.75" customHeight="1" x14ac:dyDescent="0.25">
      <c r="C146"/>
      <c r="E146"/>
      <c r="G146"/>
    </row>
    <row r="147" spans="3:7" ht="12.75" customHeight="1" x14ac:dyDescent="0.25">
      <c r="C147"/>
      <c r="E147"/>
      <c r="G147"/>
    </row>
    <row r="148" spans="3:7" ht="12.75" customHeight="1" x14ac:dyDescent="0.25">
      <c r="C148"/>
      <c r="E148"/>
      <c r="G148"/>
    </row>
    <row r="149" spans="3:7" ht="12.75" customHeight="1" x14ac:dyDescent="0.25">
      <c r="C149"/>
      <c r="E149"/>
      <c r="G149"/>
    </row>
    <row r="150" spans="3:7" ht="12.75" customHeight="1" x14ac:dyDescent="0.25">
      <c r="C150"/>
      <c r="E150"/>
      <c r="G150"/>
    </row>
    <row r="151" spans="3:7" ht="12.75" customHeight="1" x14ac:dyDescent="0.25">
      <c r="C151"/>
      <c r="E151"/>
      <c r="G151"/>
    </row>
    <row r="152" spans="3:7" ht="12.75" customHeight="1" x14ac:dyDescent="0.25">
      <c r="C152"/>
      <c r="E152"/>
      <c r="G152"/>
    </row>
    <row r="153" spans="3:7" ht="12.75" customHeight="1" x14ac:dyDescent="0.25">
      <c r="C153"/>
      <c r="E153"/>
      <c r="G153"/>
    </row>
    <row r="154" spans="3:7" ht="12.75" customHeight="1" x14ac:dyDescent="0.25">
      <c r="C154"/>
      <c r="E154"/>
      <c r="G154"/>
    </row>
    <row r="155" spans="3:7" ht="12.75" customHeight="1" x14ac:dyDescent="0.25">
      <c r="C155"/>
      <c r="E155"/>
      <c r="G155"/>
    </row>
    <row r="156" spans="3:7" ht="12.75" customHeight="1" x14ac:dyDescent="0.25">
      <c r="C156"/>
      <c r="E156"/>
      <c r="G156"/>
    </row>
    <row r="157" spans="3:7" ht="12.75" customHeight="1" x14ac:dyDescent="0.25">
      <c r="C157"/>
      <c r="E157"/>
      <c r="G157"/>
    </row>
    <row r="158" spans="3:7" ht="12.75" customHeight="1" x14ac:dyDescent="0.25">
      <c r="C158"/>
      <c r="E158"/>
      <c r="G158"/>
    </row>
    <row r="159" spans="3:7" ht="12.75" customHeight="1" x14ac:dyDescent="0.25">
      <c r="C159"/>
      <c r="E159"/>
      <c r="G159"/>
    </row>
    <row r="160" spans="3:7" ht="12.75" customHeight="1" x14ac:dyDescent="0.25">
      <c r="C160"/>
      <c r="E160"/>
      <c r="G160"/>
    </row>
    <row r="161" spans="3:7" ht="12.75" customHeight="1" x14ac:dyDescent="0.25">
      <c r="C161"/>
      <c r="E161"/>
      <c r="G161"/>
    </row>
    <row r="162" spans="3:7" ht="12.75" customHeight="1" x14ac:dyDescent="0.25">
      <c r="C162"/>
      <c r="E162"/>
      <c r="G162"/>
    </row>
    <row r="163" spans="3:7" ht="12.75" customHeight="1" x14ac:dyDescent="0.25">
      <c r="C163"/>
      <c r="E163"/>
      <c r="G163"/>
    </row>
    <row r="164" spans="3:7" ht="12.75" customHeight="1" x14ac:dyDescent="0.25">
      <c r="C164"/>
      <c r="E164"/>
      <c r="G164"/>
    </row>
    <row r="165" spans="3:7" ht="12.75" customHeight="1" x14ac:dyDescent="0.25">
      <c r="C165"/>
      <c r="E165"/>
      <c r="G165"/>
    </row>
    <row r="166" spans="3:7" ht="12.75" customHeight="1" x14ac:dyDescent="0.25">
      <c r="C166"/>
      <c r="E166"/>
      <c r="G166"/>
    </row>
    <row r="167" spans="3:7" ht="12.75" customHeight="1" x14ac:dyDescent="0.25">
      <c r="C167"/>
      <c r="E167"/>
      <c r="G167"/>
    </row>
    <row r="168" spans="3:7" ht="12.75" customHeight="1" x14ac:dyDescent="0.25">
      <c r="C168"/>
      <c r="E168"/>
      <c r="G168"/>
    </row>
    <row r="169" spans="3:7" ht="12.75" customHeight="1" x14ac:dyDescent="0.25">
      <c r="C169"/>
      <c r="E169"/>
      <c r="G169"/>
    </row>
    <row r="170" spans="3:7" ht="12.75" customHeight="1" x14ac:dyDescent="0.25">
      <c r="C170"/>
      <c r="E170"/>
      <c r="G170"/>
    </row>
    <row r="171" spans="3:7" ht="12.75" customHeight="1" x14ac:dyDescent="0.25">
      <c r="C171"/>
      <c r="E171"/>
      <c r="G171"/>
    </row>
    <row r="172" spans="3:7" ht="12.75" customHeight="1" x14ac:dyDescent="0.25">
      <c r="C172"/>
      <c r="E172"/>
      <c r="G172"/>
    </row>
    <row r="173" spans="3:7" ht="12.75" customHeight="1" x14ac:dyDescent="0.25">
      <c r="C173"/>
      <c r="E173"/>
      <c r="G173"/>
    </row>
    <row r="174" spans="3:7" ht="12.75" customHeight="1" x14ac:dyDescent="0.25">
      <c r="C174"/>
      <c r="E174"/>
      <c r="G174"/>
    </row>
    <row r="175" spans="3:7" ht="12.75" customHeight="1" x14ac:dyDescent="0.25">
      <c r="C175"/>
      <c r="E175"/>
      <c r="G175"/>
    </row>
    <row r="176" spans="3:7" ht="12.75" customHeight="1" x14ac:dyDescent="0.25">
      <c r="C176"/>
      <c r="E176"/>
      <c r="G176"/>
    </row>
    <row r="177" spans="3:7" ht="12.75" customHeight="1" x14ac:dyDescent="0.25">
      <c r="C177"/>
      <c r="E177"/>
      <c r="G177"/>
    </row>
    <row r="178" spans="3:7" ht="12.75" customHeight="1" x14ac:dyDescent="0.25">
      <c r="C178"/>
      <c r="E178"/>
      <c r="G178"/>
    </row>
    <row r="179" spans="3:7" ht="12.75" customHeight="1" x14ac:dyDescent="0.25">
      <c r="C179"/>
      <c r="E179"/>
      <c r="G179"/>
    </row>
    <row r="180" spans="3:7" ht="12.75" customHeight="1" x14ac:dyDescent="0.25">
      <c r="C180"/>
      <c r="E180"/>
      <c r="G180"/>
    </row>
    <row r="181" spans="3:7" ht="12.75" customHeight="1" x14ac:dyDescent="0.25">
      <c r="C181"/>
      <c r="E181"/>
      <c r="G181"/>
    </row>
    <row r="182" spans="3:7" ht="12.75" customHeight="1" x14ac:dyDescent="0.25">
      <c r="C182"/>
      <c r="E182"/>
      <c r="G182"/>
    </row>
    <row r="183" spans="3:7" ht="12.75" customHeight="1" x14ac:dyDescent="0.25">
      <c r="C183"/>
      <c r="E183"/>
      <c r="G183"/>
    </row>
    <row r="184" spans="3:7" ht="12.75" customHeight="1" x14ac:dyDescent="0.25">
      <c r="C184"/>
      <c r="E184"/>
      <c r="G184"/>
    </row>
    <row r="185" spans="3:7" ht="12.75" customHeight="1" x14ac:dyDescent="0.25">
      <c r="C185"/>
      <c r="E185"/>
      <c r="G185"/>
    </row>
    <row r="186" spans="3:7" ht="12.75" customHeight="1" x14ac:dyDescent="0.25">
      <c r="C186"/>
      <c r="E186"/>
      <c r="G186"/>
    </row>
    <row r="187" spans="3:7" ht="12.75" customHeight="1" x14ac:dyDescent="0.25">
      <c r="C187"/>
      <c r="E187"/>
      <c r="G187"/>
    </row>
    <row r="188" spans="3:7" ht="12.75" customHeight="1" x14ac:dyDescent="0.25">
      <c r="C188"/>
      <c r="E188"/>
      <c r="G188"/>
    </row>
    <row r="189" spans="3:7" ht="12.75" customHeight="1" x14ac:dyDescent="0.25">
      <c r="C189"/>
      <c r="E189"/>
      <c r="G189"/>
    </row>
    <row r="190" spans="3:7" ht="12.75" customHeight="1" x14ac:dyDescent="0.25">
      <c r="C190"/>
      <c r="E190"/>
      <c r="G190"/>
    </row>
    <row r="191" spans="3:7" ht="12.75" customHeight="1" x14ac:dyDescent="0.25">
      <c r="C191"/>
      <c r="E191"/>
      <c r="G191"/>
    </row>
    <row r="192" spans="3:7" ht="12.75" customHeight="1" x14ac:dyDescent="0.25">
      <c r="C192"/>
      <c r="E192"/>
      <c r="G192"/>
    </row>
    <row r="193" spans="3:7" ht="12.75" customHeight="1" x14ac:dyDescent="0.25">
      <c r="C193"/>
      <c r="E193"/>
      <c r="G193"/>
    </row>
    <row r="194" spans="3:7" ht="12.75" customHeight="1" x14ac:dyDescent="0.25">
      <c r="C194"/>
      <c r="E194"/>
      <c r="G194"/>
    </row>
    <row r="195" spans="3:7" ht="12.75" customHeight="1" x14ac:dyDescent="0.25">
      <c r="C195"/>
      <c r="E195"/>
      <c r="G195"/>
    </row>
    <row r="196" spans="3:7" ht="12.75" customHeight="1" x14ac:dyDescent="0.25">
      <c r="C196"/>
      <c r="E196"/>
      <c r="G196"/>
    </row>
    <row r="197" spans="3:7" ht="12.75" customHeight="1" x14ac:dyDescent="0.25">
      <c r="C197"/>
      <c r="E197"/>
      <c r="G197"/>
    </row>
    <row r="198" spans="3:7" ht="12.75" customHeight="1" x14ac:dyDescent="0.25">
      <c r="C198"/>
      <c r="E198"/>
      <c r="G198"/>
    </row>
    <row r="199" spans="3:7" ht="12.75" customHeight="1" x14ac:dyDescent="0.25">
      <c r="C199"/>
      <c r="E199"/>
      <c r="G199"/>
    </row>
    <row r="200" spans="3:7" ht="12.75" customHeight="1" x14ac:dyDescent="0.25">
      <c r="C200"/>
      <c r="E200"/>
      <c r="G200"/>
    </row>
    <row r="201" spans="3:7" ht="12.75" customHeight="1" x14ac:dyDescent="0.25">
      <c r="C201"/>
      <c r="E201"/>
      <c r="G201"/>
    </row>
    <row r="202" spans="3:7" ht="12.75" customHeight="1" x14ac:dyDescent="0.25">
      <c r="C202"/>
      <c r="E202"/>
      <c r="G202"/>
    </row>
    <row r="203" spans="3:7" ht="12.75" customHeight="1" x14ac:dyDescent="0.25">
      <c r="C203"/>
      <c r="E203"/>
      <c r="G203"/>
    </row>
    <row r="204" spans="3:7" ht="12.75" customHeight="1" x14ac:dyDescent="0.25">
      <c r="C204"/>
      <c r="E204"/>
      <c r="G204"/>
    </row>
    <row r="205" spans="3:7" ht="12.75" customHeight="1" x14ac:dyDescent="0.25">
      <c r="C205"/>
      <c r="E205"/>
      <c r="G205"/>
    </row>
    <row r="206" spans="3:7" ht="12.75" customHeight="1" x14ac:dyDescent="0.25">
      <c r="C206"/>
      <c r="E206"/>
      <c r="G206"/>
    </row>
    <row r="207" spans="3:7" ht="12.75" customHeight="1" x14ac:dyDescent="0.25">
      <c r="C207"/>
      <c r="E207"/>
      <c r="G207"/>
    </row>
    <row r="208" spans="3:7" ht="12.75" customHeight="1" x14ac:dyDescent="0.25">
      <c r="C208"/>
      <c r="E208"/>
      <c r="G208"/>
    </row>
    <row r="209" spans="3:7" ht="12.75" customHeight="1" x14ac:dyDescent="0.25">
      <c r="C209"/>
      <c r="E209"/>
      <c r="G209"/>
    </row>
    <row r="210" spans="3:7" ht="12.75" customHeight="1" x14ac:dyDescent="0.25">
      <c r="C210"/>
      <c r="E210"/>
      <c r="G210"/>
    </row>
    <row r="211" spans="3:7" ht="12.75" customHeight="1" x14ac:dyDescent="0.25">
      <c r="C211"/>
      <c r="E211"/>
      <c r="G211"/>
    </row>
    <row r="212" spans="3:7" ht="12.75" customHeight="1" x14ac:dyDescent="0.25">
      <c r="C212"/>
      <c r="E212"/>
      <c r="G212"/>
    </row>
    <row r="213" spans="3:7" ht="12.75" customHeight="1" x14ac:dyDescent="0.25">
      <c r="C213"/>
      <c r="E213"/>
      <c r="G213"/>
    </row>
    <row r="214" spans="3:7" ht="12.75" customHeight="1" x14ac:dyDescent="0.25">
      <c r="C214"/>
      <c r="E214"/>
      <c r="G214"/>
    </row>
    <row r="215" spans="3:7" ht="12.75" customHeight="1" x14ac:dyDescent="0.25">
      <c r="C215"/>
      <c r="E215"/>
      <c r="G215"/>
    </row>
    <row r="216" spans="3:7" ht="12.75" customHeight="1" x14ac:dyDescent="0.25">
      <c r="C216"/>
      <c r="E216"/>
      <c r="G216"/>
    </row>
    <row r="217" spans="3:7" ht="12.75" customHeight="1" x14ac:dyDescent="0.25">
      <c r="C217"/>
      <c r="E217"/>
      <c r="G217"/>
    </row>
    <row r="218" spans="3:7" ht="12.75" customHeight="1" x14ac:dyDescent="0.25">
      <c r="C218"/>
      <c r="E218"/>
      <c r="G218"/>
    </row>
    <row r="219" spans="3:7" ht="12.75" customHeight="1" x14ac:dyDescent="0.25">
      <c r="C219"/>
      <c r="E219"/>
      <c r="G219"/>
    </row>
    <row r="220" spans="3:7" ht="12.75" customHeight="1" x14ac:dyDescent="0.25">
      <c r="C220"/>
      <c r="E220"/>
      <c r="G220"/>
    </row>
    <row r="221" spans="3:7" ht="12.75" customHeight="1" x14ac:dyDescent="0.25">
      <c r="C221"/>
      <c r="E221"/>
      <c r="G221"/>
    </row>
    <row r="222" spans="3:7" ht="12.75" customHeight="1" x14ac:dyDescent="0.25">
      <c r="C222"/>
      <c r="E222"/>
      <c r="G222"/>
    </row>
    <row r="223" spans="3:7" ht="12.75" customHeight="1" x14ac:dyDescent="0.25">
      <c r="C223"/>
      <c r="E223"/>
      <c r="G223"/>
    </row>
    <row r="224" spans="3:7" ht="12.75" customHeight="1" x14ac:dyDescent="0.25">
      <c r="C224"/>
      <c r="E224"/>
      <c r="G224"/>
    </row>
    <row r="225" spans="3:7" ht="12.75" customHeight="1" x14ac:dyDescent="0.25">
      <c r="C225"/>
      <c r="E225"/>
      <c r="G225"/>
    </row>
    <row r="226" spans="3:7" ht="12.75" customHeight="1" x14ac:dyDescent="0.25">
      <c r="C226"/>
      <c r="E226"/>
      <c r="G226"/>
    </row>
    <row r="227" spans="3:7" ht="12.75" customHeight="1" x14ac:dyDescent="0.25">
      <c r="C227"/>
      <c r="E227"/>
      <c r="G227"/>
    </row>
    <row r="228" spans="3:7" ht="12.75" customHeight="1" x14ac:dyDescent="0.25">
      <c r="C228"/>
      <c r="E228"/>
      <c r="G228"/>
    </row>
    <row r="229" spans="3:7" ht="12.75" customHeight="1" x14ac:dyDescent="0.25">
      <c r="C229"/>
      <c r="E229"/>
      <c r="G229"/>
    </row>
    <row r="230" spans="3:7" ht="12.75" customHeight="1" x14ac:dyDescent="0.25">
      <c r="C230"/>
      <c r="E230"/>
      <c r="G230"/>
    </row>
    <row r="231" spans="3:7" ht="12.75" customHeight="1" x14ac:dyDescent="0.25">
      <c r="C231"/>
      <c r="E231"/>
      <c r="G231"/>
    </row>
    <row r="232" spans="3:7" ht="12.75" customHeight="1" x14ac:dyDescent="0.25">
      <c r="C232"/>
      <c r="E232"/>
      <c r="G232"/>
    </row>
    <row r="233" spans="3:7" ht="12.75" customHeight="1" x14ac:dyDescent="0.25">
      <c r="C233"/>
      <c r="E233"/>
      <c r="G233"/>
    </row>
    <row r="234" spans="3:7" ht="12.75" customHeight="1" x14ac:dyDescent="0.25">
      <c r="C234"/>
      <c r="E234"/>
      <c r="G234"/>
    </row>
    <row r="235" spans="3:7" ht="12.75" customHeight="1" x14ac:dyDescent="0.25">
      <c r="C235"/>
      <c r="E235"/>
      <c r="G235"/>
    </row>
    <row r="236" spans="3:7" ht="12.75" customHeight="1" x14ac:dyDescent="0.25">
      <c r="C236"/>
      <c r="E236"/>
      <c r="G236"/>
    </row>
    <row r="237" spans="3:7" ht="12.75" customHeight="1" x14ac:dyDescent="0.25">
      <c r="C237"/>
      <c r="E237"/>
      <c r="G237"/>
    </row>
    <row r="238" spans="3:7" ht="12.75" customHeight="1" x14ac:dyDescent="0.25">
      <c r="C238"/>
      <c r="E238"/>
      <c r="G238"/>
    </row>
    <row r="239" spans="3:7" ht="12.75" customHeight="1" x14ac:dyDescent="0.25">
      <c r="C239"/>
      <c r="E239"/>
      <c r="G239"/>
    </row>
    <row r="240" spans="3:7" ht="12.75" customHeight="1" x14ac:dyDescent="0.25">
      <c r="C240"/>
      <c r="E240"/>
      <c r="G240"/>
    </row>
    <row r="241" spans="3:7" ht="12.75" customHeight="1" x14ac:dyDescent="0.25">
      <c r="C241"/>
      <c r="E241"/>
      <c r="G241"/>
    </row>
    <row r="242" spans="3:7" ht="12.75" customHeight="1" x14ac:dyDescent="0.25">
      <c r="C242"/>
      <c r="E242"/>
      <c r="G242"/>
    </row>
    <row r="243" spans="3:7" ht="12.75" customHeight="1" x14ac:dyDescent="0.25">
      <c r="C243"/>
      <c r="E243"/>
      <c r="G243"/>
    </row>
    <row r="244" spans="3:7" ht="12.75" customHeight="1" x14ac:dyDescent="0.25">
      <c r="C244"/>
      <c r="E244"/>
      <c r="G244"/>
    </row>
    <row r="245" spans="3:7" ht="12.75" customHeight="1" x14ac:dyDescent="0.25">
      <c r="C245"/>
      <c r="E245"/>
      <c r="G245"/>
    </row>
    <row r="246" spans="3:7" ht="12.75" customHeight="1" x14ac:dyDescent="0.25">
      <c r="C246"/>
      <c r="E246"/>
      <c r="G246"/>
    </row>
    <row r="247" spans="3:7" ht="12.75" customHeight="1" x14ac:dyDescent="0.25">
      <c r="C247"/>
      <c r="E247"/>
      <c r="G247"/>
    </row>
    <row r="248" spans="3:7" ht="12.75" customHeight="1" x14ac:dyDescent="0.25">
      <c r="C248"/>
      <c r="E248"/>
      <c r="G248"/>
    </row>
    <row r="249" spans="3:7" ht="12.75" customHeight="1" x14ac:dyDescent="0.25">
      <c r="C249"/>
      <c r="E249"/>
      <c r="G249"/>
    </row>
    <row r="250" spans="3:7" ht="12.75" customHeight="1" x14ac:dyDescent="0.25">
      <c r="C250"/>
      <c r="E250"/>
      <c r="G250"/>
    </row>
    <row r="251" spans="3:7" ht="12.75" customHeight="1" x14ac:dyDescent="0.25">
      <c r="C251"/>
      <c r="E251"/>
      <c r="G251"/>
    </row>
    <row r="252" spans="3:7" ht="12.75" customHeight="1" x14ac:dyDescent="0.25">
      <c r="C252"/>
      <c r="E252"/>
      <c r="G252"/>
    </row>
    <row r="253" spans="3:7" ht="12.75" customHeight="1" x14ac:dyDescent="0.25">
      <c r="C253"/>
      <c r="E253"/>
      <c r="G253"/>
    </row>
    <row r="254" spans="3:7" ht="12.75" customHeight="1" x14ac:dyDescent="0.25">
      <c r="C254"/>
      <c r="E254"/>
      <c r="G254"/>
    </row>
    <row r="255" spans="3:7" ht="12.75" customHeight="1" x14ac:dyDescent="0.25">
      <c r="C255"/>
      <c r="E255"/>
      <c r="G255"/>
    </row>
    <row r="256" spans="3:7" ht="12.75" customHeight="1" x14ac:dyDescent="0.25">
      <c r="C256"/>
      <c r="E256"/>
      <c r="G256"/>
    </row>
    <row r="257" spans="3:7" ht="12.75" customHeight="1" x14ac:dyDescent="0.25">
      <c r="C257"/>
      <c r="E257"/>
      <c r="G257"/>
    </row>
    <row r="258" spans="3:7" ht="12.75" customHeight="1" x14ac:dyDescent="0.25">
      <c r="C258"/>
      <c r="E258"/>
      <c r="G258"/>
    </row>
    <row r="259" spans="3:7" ht="12.75" customHeight="1" x14ac:dyDescent="0.25">
      <c r="C259"/>
      <c r="E259"/>
      <c r="G259"/>
    </row>
    <row r="260" spans="3:7" ht="12.75" customHeight="1" x14ac:dyDescent="0.25">
      <c r="C260"/>
      <c r="E260"/>
      <c r="G260"/>
    </row>
    <row r="261" spans="3:7" ht="12.75" customHeight="1" x14ac:dyDescent="0.25">
      <c r="C261"/>
      <c r="E261"/>
      <c r="G261"/>
    </row>
    <row r="262" spans="3:7" ht="12.75" customHeight="1" x14ac:dyDescent="0.25">
      <c r="C262"/>
      <c r="E262"/>
      <c r="G262"/>
    </row>
    <row r="263" spans="3:7" ht="12.75" customHeight="1" x14ac:dyDescent="0.25">
      <c r="C263"/>
      <c r="E263"/>
      <c r="G263"/>
    </row>
    <row r="264" spans="3:7" ht="12.75" customHeight="1" x14ac:dyDescent="0.25">
      <c r="C264"/>
      <c r="E264"/>
      <c r="G264"/>
    </row>
    <row r="265" spans="3:7" ht="12.75" customHeight="1" x14ac:dyDescent="0.25">
      <c r="C265"/>
      <c r="E265"/>
      <c r="G265"/>
    </row>
    <row r="266" spans="3:7" ht="12.75" customHeight="1" x14ac:dyDescent="0.25">
      <c r="C266"/>
      <c r="E266"/>
      <c r="G266"/>
    </row>
    <row r="267" spans="3:7" ht="12.75" customHeight="1" x14ac:dyDescent="0.25">
      <c r="C267"/>
      <c r="E267"/>
      <c r="G267"/>
    </row>
    <row r="268" spans="3:7" ht="12.75" customHeight="1" x14ac:dyDescent="0.25">
      <c r="C268"/>
      <c r="E268"/>
      <c r="G268"/>
    </row>
    <row r="269" spans="3:7" ht="12.75" customHeight="1" x14ac:dyDescent="0.25">
      <c r="C269"/>
      <c r="E269"/>
      <c r="G269"/>
    </row>
    <row r="270" spans="3:7" ht="12.75" customHeight="1" x14ac:dyDescent="0.25">
      <c r="C270"/>
      <c r="E270"/>
      <c r="G270"/>
    </row>
    <row r="271" spans="3:7" ht="12.75" customHeight="1" x14ac:dyDescent="0.25">
      <c r="C271"/>
      <c r="E271"/>
      <c r="G271"/>
    </row>
    <row r="272" spans="3:7" ht="12.75" customHeight="1" x14ac:dyDescent="0.25">
      <c r="C272"/>
      <c r="E272"/>
      <c r="G272"/>
    </row>
    <row r="273" spans="3:7" ht="12.75" customHeight="1" x14ac:dyDescent="0.25">
      <c r="C273"/>
      <c r="E273"/>
      <c r="G273"/>
    </row>
    <row r="274" spans="3:7" ht="12.75" customHeight="1" x14ac:dyDescent="0.25">
      <c r="C274"/>
      <c r="E274"/>
      <c r="G274"/>
    </row>
    <row r="275" spans="3:7" ht="12.75" customHeight="1" x14ac:dyDescent="0.25">
      <c r="C275"/>
      <c r="E275"/>
      <c r="G275"/>
    </row>
    <row r="276" spans="3:7" ht="12.75" customHeight="1" x14ac:dyDescent="0.25">
      <c r="C276"/>
      <c r="E276"/>
      <c r="G276"/>
    </row>
    <row r="277" spans="3:7" ht="12.75" customHeight="1" x14ac:dyDescent="0.25">
      <c r="C277"/>
      <c r="E277"/>
      <c r="G277"/>
    </row>
  </sheetData>
  <phoneticPr fontId="0" type="noConversion"/>
  <printOptions headings="1"/>
  <pageMargins left="0.5" right="0.05" top="0.5" bottom="0.25" header="0.5" footer="0.5"/>
  <pageSetup scale="96" orientation="portrait" horizontalDpi="300" verticalDpi="300" r:id="rId1"/>
  <headerFooter alignWithMargins="0">
    <oddHeader>&amp;R&amp;8 10&amp;10
&amp;8&amp;D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9"/>
  <sheetViews>
    <sheetView zoomScaleNormal="100" workbookViewId="0">
      <selection activeCell="A5" sqref="A5"/>
    </sheetView>
  </sheetViews>
  <sheetFormatPr defaultColWidth="9.1796875" defaultRowHeight="12.75" customHeight="1" x14ac:dyDescent="0.25"/>
  <cols>
    <col min="1" max="1" width="20.7265625" customWidth="1"/>
    <col min="2" max="2" width="1.7265625" customWidth="1"/>
    <col min="3" max="3" width="12.26953125" style="56" customWidth="1"/>
    <col min="4" max="4" width="10.7265625" customWidth="1"/>
    <col min="5" max="5" width="1.7265625" style="56" customWidth="1"/>
    <col min="6" max="6" width="12.7265625" customWidth="1"/>
    <col min="7" max="7" width="2.1796875" style="56" customWidth="1"/>
    <col min="8" max="8" width="12.26953125" customWidth="1"/>
    <col min="9" max="9" width="10.7265625" customWidth="1"/>
    <col min="10" max="10" width="14.7265625" customWidth="1"/>
    <col min="11" max="11" width="11.26953125" customWidth="1"/>
  </cols>
  <sheetData>
    <row r="1" spans="1:10" ht="12.75" customHeight="1" x14ac:dyDescent="0.3">
      <c r="A1" s="415" t="str">
        <f>'Dairy Description'!A1</f>
        <v>Key Code:</v>
      </c>
      <c r="C1" s="243"/>
      <c r="D1" s="243"/>
      <c r="E1" s="243"/>
      <c r="F1" s="243"/>
      <c r="G1" s="1"/>
      <c r="H1" s="1"/>
      <c r="I1" s="1"/>
      <c r="J1" s="1"/>
    </row>
    <row r="2" spans="1:10" ht="12.75" customHeight="1" x14ac:dyDescent="0.3">
      <c r="A2" s="528" t="s">
        <v>0</v>
      </c>
      <c r="B2" s="528"/>
      <c r="C2" s="528"/>
      <c r="D2" s="528"/>
      <c r="E2" s="528"/>
      <c r="F2" s="528"/>
      <c r="G2" s="528"/>
      <c r="H2" s="528"/>
      <c r="I2" s="528"/>
      <c r="J2" s="528"/>
    </row>
    <row r="3" spans="1:10" ht="12.75" customHeight="1" x14ac:dyDescent="0.3">
      <c r="A3" s="47" t="s">
        <v>42</v>
      </c>
      <c r="B3" s="1"/>
      <c r="C3" s="1"/>
      <c r="D3" s="1"/>
      <c r="E3" s="1"/>
      <c r="F3" s="48"/>
      <c r="G3" s="48"/>
      <c r="H3" s="48"/>
      <c r="I3" s="48"/>
      <c r="J3" s="48"/>
    </row>
    <row r="4" spans="1:10" ht="12.75" customHeight="1" x14ac:dyDescent="0.3">
      <c r="A4" s="529" t="s">
        <v>760</v>
      </c>
      <c r="B4" s="529"/>
      <c r="C4" s="529"/>
      <c r="D4" s="529"/>
      <c r="E4" s="529"/>
      <c r="F4" s="529"/>
      <c r="G4" s="529"/>
      <c r="H4" s="529"/>
      <c r="I4" s="529"/>
      <c r="J4" s="529"/>
    </row>
    <row r="5" spans="1:10" ht="12.75" customHeight="1" x14ac:dyDescent="0.3">
      <c r="A5" s="6" t="s">
        <v>719</v>
      </c>
      <c r="B5" s="45"/>
      <c r="C5" s="45"/>
      <c r="D5" s="45"/>
      <c r="E5" s="45"/>
      <c r="F5" s="45"/>
      <c r="G5" s="45"/>
      <c r="H5" s="45"/>
      <c r="J5" s="50"/>
    </row>
    <row r="6" spans="1:10" ht="12.75" customHeight="1" x14ac:dyDescent="0.25">
      <c r="A6" s="474"/>
      <c r="C6" s="94"/>
      <c r="D6" s="93" t="s">
        <v>718</v>
      </c>
      <c r="E6" s="28"/>
      <c r="F6" s="28"/>
      <c r="G6" s="56" t="s">
        <v>43</v>
      </c>
      <c r="H6" s="28"/>
      <c r="I6" s="28" t="s">
        <v>720</v>
      </c>
      <c r="J6" s="96"/>
    </row>
    <row r="7" spans="1:10" ht="12.75" customHeight="1" x14ac:dyDescent="0.25">
      <c r="A7" s="44" t="s">
        <v>751</v>
      </c>
      <c r="B7" s="45"/>
      <c r="C7" s="59" t="s">
        <v>717</v>
      </c>
      <c r="D7" s="59" t="s">
        <v>721</v>
      </c>
      <c r="E7" s="59"/>
      <c r="F7" s="59" t="s">
        <v>722</v>
      </c>
      <c r="G7" s="59" t="s">
        <v>43</v>
      </c>
      <c r="H7" s="59" t="s">
        <v>717</v>
      </c>
      <c r="I7" s="59" t="s">
        <v>721</v>
      </c>
      <c r="J7" s="61" t="s">
        <v>722</v>
      </c>
    </row>
    <row r="8" spans="1:10" ht="14.15" customHeight="1" x14ac:dyDescent="0.25">
      <c r="A8" s="485">
        <v>0</v>
      </c>
      <c r="C8" s="486">
        <v>0</v>
      </c>
      <c r="D8" s="486">
        <v>0</v>
      </c>
      <c r="F8" s="478">
        <f>C8*D8</f>
        <v>0</v>
      </c>
      <c r="G8" s="56" t="s">
        <v>43</v>
      </c>
      <c r="H8" s="486">
        <v>0</v>
      </c>
      <c r="I8" s="486">
        <v>0</v>
      </c>
      <c r="J8" s="484">
        <f>H8*I8</f>
        <v>0</v>
      </c>
    </row>
    <row r="9" spans="1:10" ht="14.15" customHeight="1" x14ac:dyDescent="0.25">
      <c r="A9" s="485">
        <v>0</v>
      </c>
      <c r="C9" s="486">
        <v>0</v>
      </c>
      <c r="D9" s="486">
        <v>0</v>
      </c>
      <c r="F9" s="478">
        <f t="shared" ref="F9:F22" si="0">C9*D9</f>
        <v>0</v>
      </c>
      <c r="G9" s="56" t="s">
        <v>43</v>
      </c>
      <c r="H9" s="486">
        <v>0</v>
      </c>
      <c r="I9" s="486">
        <v>0</v>
      </c>
      <c r="J9" s="484">
        <f t="shared" ref="J9:J22" si="1">H9*I9</f>
        <v>0</v>
      </c>
    </row>
    <row r="10" spans="1:10" ht="14.15" customHeight="1" x14ac:dyDescent="0.25">
      <c r="A10" s="485">
        <v>0</v>
      </c>
      <c r="C10" s="486">
        <v>0</v>
      </c>
      <c r="D10" s="486">
        <v>0</v>
      </c>
      <c r="F10" s="478">
        <f t="shared" si="0"/>
        <v>0</v>
      </c>
      <c r="G10" s="56" t="s">
        <v>43</v>
      </c>
      <c r="H10" s="486">
        <v>0</v>
      </c>
      <c r="I10" s="486">
        <v>0</v>
      </c>
      <c r="J10" s="484">
        <f t="shared" si="1"/>
        <v>0</v>
      </c>
    </row>
    <row r="11" spans="1:10" ht="14.15" customHeight="1" x14ac:dyDescent="0.25">
      <c r="A11" s="485">
        <v>0</v>
      </c>
      <c r="C11" s="486">
        <v>0</v>
      </c>
      <c r="D11" s="486">
        <v>0</v>
      </c>
      <c r="F11" s="478">
        <f t="shared" si="0"/>
        <v>0</v>
      </c>
      <c r="G11" s="56" t="s">
        <v>43</v>
      </c>
      <c r="H11" s="486">
        <v>0</v>
      </c>
      <c r="I11" s="486">
        <v>0</v>
      </c>
      <c r="J11" s="484">
        <f t="shared" si="1"/>
        <v>0</v>
      </c>
    </row>
    <row r="12" spans="1:10" ht="14.15" customHeight="1" x14ac:dyDescent="0.25">
      <c r="A12" s="485">
        <v>0</v>
      </c>
      <c r="C12" s="486">
        <v>0</v>
      </c>
      <c r="D12" s="486">
        <v>0</v>
      </c>
      <c r="F12" s="478">
        <f t="shared" si="0"/>
        <v>0</v>
      </c>
      <c r="G12" s="56" t="s">
        <v>43</v>
      </c>
      <c r="H12" s="486">
        <v>0</v>
      </c>
      <c r="I12" s="486">
        <v>0</v>
      </c>
      <c r="J12" s="484">
        <f t="shared" si="1"/>
        <v>0</v>
      </c>
    </row>
    <row r="13" spans="1:10" ht="14.15" customHeight="1" x14ac:dyDescent="0.25">
      <c r="A13" s="485">
        <v>0</v>
      </c>
      <c r="C13" s="486">
        <v>0</v>
      </c>
      <c r="D13" s="486">
        <v>0</v>
      </c>
      <c r="F13" s="478">
        <f t="shared" si="0"/>
        <v>0</v>
      </c>
      <c r="G13" s="56" t="s">
        <v>43</v>
      </c>
      <c r="H13" s="486">
        <v>0</v>
      </c>
      <c r="I13" s="486">
        <v>0</v>
      </c>
      <c r="J13" s="484">
        <f t="shared" si="1"/>
        <v>0</v>
      </c>
    </row>
    <row r="14" spans="1:10" ht="14.15" customHeight="1" x14ac:dyDescent="0.25">
      <c r="A14" s="485">
        <v>0</v>
      </c>
      <c r="C14" s="486">
        <v>0</v>
      </c>
      <c r="D14" s="486">
        <v>0</v>
      </c>
      <c r="F14" s="478">
        <f t="shared" si="0"/>
        <v>0</v>
      </c>
      <c r="G14" s="56" t="s">
        <v>43</v>
      </c>
      <c r="H14" s="486">
        <v>0</v>
      </c>
      <c r="I14" s="486">
        <v>0</v>
      </c>
      <c r="J14" s="484">
        <f t="shared" si="1"/>
        <v>0</v>
      </c>
    </row>
    <row r="15" spans="1:10" ht="14.15" customHeight="1" x14ac:dyDescent="0.25">
      <c r="A15" s="485">
        <v>0</v>
      </c>
      <c r="C15" s="486">
        <v>0</v>
      </c>
      <c r="D15" s="486">
        <v>0</v>
      </c>
      <c r="F15" s="478">
        <f t="shared" si="0"/>
        <v>0</v>
      </c>
      <c r="G15" s="56" t="s">
        <v>43</v>
      </c>
      <c r="H15" s="486">
        <v>0</v>
      </c>
      <c r="I15" s="486">
        <v>0</v>
      </c>
      <c r="J15" s="484">
        <f t="shared" si="1"/>
        <v>0</v>
      </c>
    </row>
    <row r="16" spans="1:10" ht="14.15" customHeight="1" x14ac:dyDescent="0.25">
      <c r="A16" s="485">
        <v>0</v>
      </c>
      <c r="C16" s="486">
        <v>0</v>
      </c>
      <c r="D16" s="486">
        <v>0</v>
      </c>
      <c r="F16" s="478">
        <f t="shared" si="0"/>
        <v>0</v>
      </c>
      <c r="G16" s="56" t="s">
        <v>43</v>
      </c>
      <c r="H16" s="486">
        <v>0</v>
      </c>
      <c r="I16" s="486">
        <v>0</v>
      </c>
      <c r="J16" s="484">
        <f t="shared" si="1"/>
        <v>0</v>
      </c>
    </row>
    <row r="17" spans="1:10" ht="14.15" customHeight="1" x14ac:dyDescent="0.25">
      <c r="A17" s="485">
        <v>0</v>
      </c>
      <c r="C17" s="486">
        <v>0</v>
      </c>
      <c r="D17" s="486">
        <v>0</v>
      </c>
      <c r="F17" s="478">
        <f t="shared" si="0"/>
        <v>0</v>
      </c>
      <c r="G17" s="56" t="s">
        <v>43</v>
      </c>
      <c r="H17" s="486">
        <v>0</v>
      </c>
      <c r="I17" s="486">
        <v>0</v>
      </c>
      <c r="J17" s="484">
        <f t="shared" si="1"/>
        <v>0</v>
      </c>
    </row>
    <row r="18" spans="1:10" ht="14.15" customHeight="1" x14ac:dyDescent="0.25">
      <c r="A18" s="485">
        <v>0</v>
      </c>
      <c r="C18" s="486">
        <v>0</v>
      </c>
      <c r="D18" s="486">
        <v>0</v>
      </c>
      <c r="F18" s="478">
        <f t="shared" si="0"/>
        <v>0</v>
      </c>
      <c r="G18" s="56" t="s">
        <v>43</v>
      </c>
      <c r="H18" s="486">
        <v>0</v>
      </c>
      <c r="I18" s="486">
        <v>0</v>
      </c>
      <c r="J18" s="484">
        <f t="shared" si="1"/>
        <v>0</v>
      </c>
    </row>
    <row r="19" spans="1:10" ht="14.15" customHeight="1" x14ac:dyDescent="0.25">
      <c r="A19" s="485">
        <v>0</v>
      </c>
      <c r="C19" s="486">
        <v>0</v>
      </c>
      <c r="D19" s="486">
        <v>0</v>
      </c>
      <c r="F19" s="478">
        <f t="shared" si="0"/>
        <v>0</v>
      </c>
      <c r="G19" s="56" t="s">
        <v>43</v>
      </c>
      <c r="H19" s="486">
        <v>0</v>
      </c>
      <c r="I19" s="486">
        <v>0</v>
      </c>
      <c r="J19" s="484">
        <f t="shared" si="1"/>
        <v>0</v>
      </c>
    </row>
    <row r="20" spans="1:10" ht="14.15" customHeight="1" x14ac:dyDescent="0.25">
      <c r="A20" s="485">
        <v>0</v>
      </c>
      <c r="C20" s="486">
        <v>0</v>
      </c>
      <c r="D20" s="486">
        <v>0</v>
      </c>
      <c r="F20" s="478">
        <f t="shared" si="0"/>
        <v>0</v>
      </c>
      <c r="G20" s="56" t="s">
        <v>43</v>
      </c>
      <c r="H20" s="486">
        <v>0</v>
      </c>
      <c r="I20" s="486">
        <v>0</v>
      </c>
      <c r="J20" s="484">
        <f t="shared" si="1"/>
        <v>0</v>
      </c>
    </row>
    <row r="21" spans="1:10" ht="14.15" customHeight="1" x14ac:dyDescent="0.25">
      <c r="A21" s="485">
        <v>0</v>
      </c>
      <c r="C21" s="486">
        <v>0</v>
      </c>
      <c r="D21" s="486">
        <v>0</v>
      </c>
      <c r="F21" s="478">
        <f t="shared" si="0"/>
        <v>0</v>
      </c>
      <c r="G21" s="56" t="s">
        <v>43</v>
      </c>
      <c r="H21" s="486">
        <v>0</v>
      </c>
      <c r="I21" s="486">
        <v>0</v>
      </c>
      <c r="J21" s="484">
        <f t="shared" si="1"/>
        <v>0</v>
      </c>
    </row>
    <row r="22" spans="1:10" ht="14.15" customHeight="1" x14ac:dyDescent="0.25">
      <c r="A22" s="485">
        <v>0</v>
      </c>
      <c r="C22" s="486">
        <v>0</v>
      </c>
      <c r="D22" s="486">
        <v>0</v>
      </c>
      <c r="F22" s="478">
        <f t="shared" si="0"/>
        <v>0</v>
      </c>
      <c r="G22" s="56" t="s">
        <v>43</v>
      </c>
      <c r="H22" s="486">
        <v>0</v>
      </c>
      <c r="I22" s="486">
        <v>0</v>
      </c>
      <c r="J22" s="484">
        <f t="shared" si="1"/>
        <v>0</v>
      </c>
    </row>
    <row r="23" spans="1:10" ht="14.15" customHeight="1" x14ac:dyDescent="0.25">
      <c r="A23" s="463"/>
      <c r="C23"/>
      <c r="D23" s="106"/>
      <c r="E23"/>
      <c r="F23" s="478"/>
      <c r="G23" s="56" t="s">
        <v>43</v>
      </c>
      <c r="H23" s="204"/>
      <c r="I23" s="1"/>
      <c r="J23" s="26"/>
    </row>
    <row r="24" spans="1:10" ht="12.75" customHeight="1" x14ac:dyDescent="0.25">
      <c r="A24" s="463" t="s">
        <v>33</v>
      </c>
      <c r="C24" s="473">
        <f>SUM(C8:C22)</f>
        <v>0</v>
      </c>
      <c r="D24" s="473">
        <f>SUM(D8:D22)</f>
        <v>0</v>
      </c>
      <c r="F24" s="478">
        <f>SUM(F8:F22)</f>
        <v>0</v>
      </c>
      <c r="G24" s="56" t="s">
        <v>43</v>
      </c>
      <c r="H24" s="473">
        <f>SUM(H8:H22)</f>
        <v>0</v>
      </c>
      <c r="I24" s="473">
        <f>SUM(I8:I22)</f>
        <v>0</v>
      </c>
      <c r="J24" s="484">
        <f>SUM(J8:J22)</f>
        <v>0</v>
      </c>
    </row>
    <row r="25" spans="1:10" ht="12.75" customHeight="1" x14ac:dyDescent="0.25">
      <c r="A25" s="481"/>
      <c r="B25" s="45"/>
      <c r="C25" s="45"/>
      <c r="D25" s="482"/>
      <c r="E25" s="45"/>
      <c r="F25" s="483"/>
      <c r="G25" s="59"/>
      <c r="H25" s="45"/>
      <c r="I25" s="45"/>
      <c r="J25" s="46"/>
    </row>
    <row r="26" spans="1:10" ht="12.75" customHeight="1" x14ac:dyDescent="0.25">
      <c r="A26" s="489"/>
      <c r="B26" s="300"/>
      <c r="C26" s="300"/>
      <c r="D26" s="490"/>
      <c r="E26" s="300"/>
      <c r="F26" s="491"/>
      <c r="G26" s="314"/>
      <c r="H26" s="300"/>
      <c r="I26" s="300"/>
      <c r="J26" s="300"/>
    </row>
    <row r="27" spans="1:10" ht="12.75" customHeight="1" x14ac:dyDescent="0.3">
      <c r="A27" s="156" t="s">
        <v>723</v>
      </c>
      <c r="B27" s="49"/>
      <c r="C27" s="57"/>
      <c r="D27" s="49"/>
      <c r="E27" s="57"/>
      <c r="F27" s="92"/>
      <c r="G27" s="60"/>
      <c r="H27" s="92"/>
      <c r="I27" s="92"/>
      <c r="J27" s="176"/>
    </row>
    <row r="28" spans="1:10" ht="12.75" customHeight="1" x14ac:dyDescent="0.25">
      <c r="A28" s="464"/>
      <c r="B28" s="53"/>
      <c r="C28" s="207"/>
      <c r="D28" s="208"/>
      <c r="E28" s="207"/>
      <c r="F28" s="332"/>
      <c r="G28" s="83" t="s">
        <v>682</v>
      </c>
      <c r="H28" s="332"/>
      <c r="I28" s="57" t="s">
        <v>683</v>
      </c>
      <c r="J28" s="166"/>
    </row>
    <row r="29" spans="1:10" ht="12.75" customHeight="1" x14ac:dyDescent="0.25">
      <c r="A29" s="19"/>
      <c r="B29" s="57"/>
      <c r="C29" s="57"/>
      <c r="E29" s="453" t="s">
        <v>746</v>
      </c>
      <c r="F29" s="49"/>
      <c r="G29" s="210" t="s">
        <v>112</v>
      </c>
      <c r="H29" s="487">
        <f>F24</f>
        <v>0</v>
      </c>
      <c r="I29" s="57" t="s">
        <v>113</v>
      </c>
      <c r="J29" s="488">
        <f>J24</f>
        <v>0</v>
      </c>
    </row>
    <row r="30" spans="1:10" ht="16" customHeight="1" x14ac:dyDescent="0.25">
      <c r="A30" s="162" t="s">
        <v>618</v>
      </c>
      <c r="B30" s="57"/>
      <c r="C30" s="57"/>
      <c r="D30" s="57"/>
      <c r="E30" s="57"/>
      <c r="G30" s="57"/>
      <c r="H30" s="84"/>
      <c r="J30" s="166"/>
    </row>
    <row r="31" spans="1:10" ht="16" customHeight="1" x14ac:dyDescent="0.25">
      <c r="A31" s="162" t="s">
        <v>269</v>
      </c>
      <c r="C31" s="57"/>
      <c r="D31" s="480">
        <v>0</v>
      </c>
      <c r="E31" s="57" t="s">
        <v>63</v>
      </c>
      <c r="F31" s="98">
        <v>0</v>
      </c>
      <c r="G31" s="57" t="s">
        <v>48</v>
      </c>
      <c r="H31" s="476">
        <f>D31-F31</f>
        <v>0</v>
      </c>
      <c r="I31" s="49"/>
      <c r="J31" s="166"/>
    </row>
    <row r="32" spans="1:10" ht="16" customHeight="1" x14ac:dyDescent="0.25">
      <c r="A32" s="211"/>
      <c r="C32" s="213"/>
      <c r="D32" s="212" t="s">
        <v>271</v>
      </c>
      <c r="E32" s="214"/>
      <c r="F32" s="215" t="s">
        <v>273</v>
      </c>
      <c r="G32" s="57"/>
      <c r="H32" s="216" t="s">
        <v>274</v>
      </c>
      <c r="I32" s="217"/>
      <c r="J32" s="166"/>
    </row>
    <row r="33" spans="1:10" ht="16" customHeight="1" x14ac:dyDescent="0.25">
      <c r="A33" s="19"/>
      <c r="B33" s="218"/>
      <c r="C33" s="218"/>
      <c r="D33" s="219"/>
      <c r="E33" s="219"/>
      <c r="F33" s="211" t="s">
        <v>275</v>
      </c>
      <c r="G33" s="57" t="s">
        <v>62</v>
      </c>
      <c r="H33" s="280">
        <v>0</v>
      </c>
      <c r="I33" s="217"/>
      <c r="J33" s="166"/>
    </row>
    <row r="34" spans="1:10" ht="16" customHeight="1" x14ac:dyDescent="0.25">
      <c r="A34" s="211"/>
      <c r="B34" s="108"/>
      <c r="C34" s="213"/>
      <c r="D34" s="217"/>
      <c r="E34" s="214"/>
      <c r="F34" s="169"/>
      <c r="G34" s="57"/>
      <c r="H34" s="108"/>
      <c r="I34" s="217"/>
      <c r="J34" s="166"/>
    </row>
    <row r="35" spans="1:10" ht="16" customHeight="1" x14ac:dyDescent="0.25">
      <c r="A35" s="220"/>
      <c r="B35" s="108"/>
      <c r="C35" s="213"/>
      <c r="D35" s="217"/>
      <c r="E35" s="214"/>
      <c r="F35" s="169"/>
      <c r="G35" s="57"/>
      <c r="H35" s="108"/>
      <c r="I35" s="217"/>
      <c r="J35" s="166"/>
    </row>
    <row r="36" spans="1:10" ht="16" customHeight="1" x14ac:dyDescent="0.25">
      <c r="A36" s="220" t="s">
        <v>278</v>
      </c>
      <c r="C36" s="213"/>
      <c r="D36" s="479" t="s">
        <v>279</v>
      </c>
      <c r="E36" s="214"/>
      <c r="F36" s="475">
        <v>0</v>
      </c>
      <c r="G36" s="57"/>
      <c r="H36" s="108"/>
      <c r="I36" s="217"/>
      <c r="J36" s="166"/>
    </row>
    <row r="37" spans="1:10" ht="16" customHeight="1" x14ac:dyDescent="0.25">
      <c r="A37" s="220"/>
      <c r="C37" s="213"/>
      <c r="D37" s="479" t="s">
        <v>280</v>
      </c>
      <c r="E37" s="214" t="s">
        <v>63</v>
      </c>
      <c r="F37" s="475">
        <v>0</v>
      </c>
      <c r="G37" s="57"/>
      <c r="H37" s="108"/>
      <c r="I37" s="217"/>
      <c r="J37" s="166"/>
    </row>
    <row r="38" spans="1:10" ht="16" customHeight="1" x14ac:dyDescent="0.25">
      <c r="A38" s="211"/>
      <c r="C38" s="218"/>
      <c r="D38" s="479" t="s">
        <v>281</v>
      </c>
      <c r="E38" s="214"/>
      <c r="F38" s="169"/>
      <c r="G38" s="57" t="s">
        <v>63</v>
      </c>
      <c r="H38" s="477">
        <f>F36-F37</f>
        <v>0</v>
      </c>
      <c r="I38" s="217"/>
      <c r="J38" s="166"/>
    </row>
    <row r="39" spans="1:10" ht="16" customHeight="1" x14ac:dyDescent="0.25">
      <c r="A39" s="211"/>
      <c r="C39" s="213"/>
      <c r="D39" s="479" t="s">
        <v>282</v>
      </c>
      <c r="E39" s="214" t="s">
        <v>63</v>
      </c>
      <c r="F39" s="475">
        <v>0</v>
      </c>
      <c r="G39" s="57"/>
      <c r="H39" s="108"/>
      <c r="I39" s="217"/>
      <c r="J39" s="166"/>
    </row>
    <row r="40" spans="1:10" ht="16" customHeight="1" x14ac:dyDescent="0.25">
      <c r="A40" s="211"/>
      <c r="C40" s="213"/>
      <c r="D40" s="82" t="s">
        <v>609</v>
      </c>
      <c r="E40" s="212" t="s">
        <v>48</v>
      </c>
      <c r="F40" s="477">
        <f>F36-F37-F39</f>
        <v>0</v>
      </c>
      <c r="G40" s="57"/>
      <c r="H40" s="108"/>
      <c r="I40" s="217"/>
      <c r="J40" s="166"/>
    </row>
    <row r="41" spans="1:10" ht="16" customHeight="1" x14ac:dyDescent="0.25">
      <c r="A41" s="220" t="s">
        <v>284</v>
      </c>
      <c r="B41" s="108"/>
      <c r="C41" s="213"/>
      <c r="D41" s="217"/>
      <c r="E41" s="214"/>
      <c r="F41" s="169">
        <v>0</v>
      </c>
      <c r="G41" s="57"/>
      <c r="H41" s="108"/>
      <c r="I41" s="217"/>
      <c r="J41" s="223">
        <f>H29+H31+H33-H38</f>
        <v>0</v>
      </c>
    </row>
    <row r="42" spans="1:10" ht="16" customHeight="1" x14ac:dyDescent="0.25">
      <c r="A42" s="211"/>
      <c r="B42" s="108"/>
      <c r="C42" s="213"/>
      <c r="D42" s="217"/>
      <c r="E42" s="214"/>
      <c r="F42" s="169"/>
      <c r="G42" s="57"/>
      <c r="H42" s="108"/>
      <c r="I42" s="217"/>
      <c r="J42" s="26"/>
    </row>
    <row r="43" spans="1:10" ht="16" customHeight="1" x14ac:dyDescent="0.25">
      <c r="A43" s="167" t="s">
        <v>285</v>
      </c>
      <c r="B43" s="49"/>
      <c r="C43" s="57"/>
      <c r="D43" s="49"/>
      <c r="E43" s="57"/>
      <c r="F43" s="169"/>
      <c r="G43" s="57"/>
      <c r="H43" s="83"/>
      <c r="I43" s="49"/>
      <c r="J43" s="223">
        <f>J29-J41</f>
        <v>0</v>
      </c>
    </row>
    <row r="44" spans="1:10" ht="16" customHeight="1" x14ac:dyDescent="0.25">
      <c r="A44" s="224"/>
      <c r="B44" s="92"/>
      <c r="C44" s="60"/>
      <c r="D44" s="92"/>
      <c r="E44" s="60"/>
      <c r="F44" s="172"/>
      <c r="G44" s="60"/>
      <c r="H44" s="89"/>
      <c r="I44" s="92"/>
      <c r="J44" s="225"/>
    </row>
    <row r="45" spans="1:10" ht="16" customHeight="1" x14ac:dyDescent="0.25">
      <c r="A45" t="s">
        <v>724</v>
      </c>
      <c r="C45"/>
      <c r="E45"/>
      <c r="F45" s="49"/>
      <c r="G45" s="57"/>
      <c r="H45" s="49"/>
      <c r="I45" s="49"/>
      <c r="J45" s="49"/>
    </row>
    <row r="46" spans="1:10" ht="15" customHeight="1" x14ac:dyDescent="0.25">
      <c r="A46" s="49"/>
      <c r="C46"/>
      <c r="E46"/>
      <c r="G46"/>
    </row>
    <row r="47" spans="1:10" ht="16" customHeight="1" x14ac:dyDescent="0.25">
      <c r="C47"/>
      <c r="E47"/>
      <c r="G47"/>
    </row>
    <row r="48" spans="1:10" ht="16" customHeight="1" x14ac:dyDescent="0.25">
      <c r="C48"/>
      <c r="E48"/>
      <c r="G48"/>
    </row>
    <row r="49" spans="3:7" ht="16" customHeight="1" x14ac:dyDescent="0.25">
      <c r="C49"/>
      <c r="E49"/>
      <c r="G49"/>
    </row>
    <row r="50" spans="3:7" ht="16" customHeight="1" x14ac:dyDescent="0.25">
      <c r="C50"/>
      <c r="E50"/>
      <c r="G50"/>
    </row>
    <row r="51" spans="3:7" ht="16" customHeight="1" x14ac:dyDescent="0.25">
      <c r="C51"/>
      <c r="E51"/>
      <c r="G51"/>
    </row>
    <row r="52" spans="3:7" ht="16" customHeight="1" x14ac:dyDescent="0.25">
      <c r="C52"/>
      <c r="E52"/>
      <c r="G52"/>
    </row>
    <row r="53" spans="3:7" ht="16" customHeight="1" x14ac:dyDescent="0.25">
      <c r="C53"/>
      <c r="E53"/>
      <c r="G53"/>
    </row>
    <row r="54" spans="3:7" ht="16" customHeight="1" x14ac:dyDescent="0.25">
      <c r="C54"/>
      <c r="E54"/>
      <c r="G54"/>
    </row>
    <row r="55" spans="3:7" ht="16" customHeight="1" x14ac:dyDescent="0.25">
      <c r="C55"/>
      <c r="E55"/>
      <c r="G55"/>
    </row>
    <row r="56" spans="3:7" ht="16" customHeight="1" x14ac:dyDescent="0.25">
      <c r="C56"/>
      <c r="E56"/>
      <c r="G56"/>
    </row>
    <row r="57" spans="3:7" ht="16" customHeight="1" x14ac:dyDescent="0.25">
      <c r="C57"/>
      <c r="E57"/>
      <c r="G57"/>
    </row>
    <row r="58" spans="3:7" ht="16" customHeight="1" x14ac:dyDescent="0.25">
      <c r="C58"/>
      <c r="E58"/>
      <c r="G58"/>
    </row>
    <row r="59" spans="3:7" ht="16" customHeight="1" x14ac:dyDescent="0.25">
      <c r="C59"/>
      <c r="E59"/>
      <c r="G59"/>
    </row>
    <row r="60" spans="3:7" ht="16" customHeight="1" x14ac:dyDescent="0.25">
      <c r="C60"/>
      <c r="E60"/>
      <c r="G60"/>
    </row>
    <row r="61" spans="3:7" ht="16" customHeight="1" x14ac:dyDescent="0.25">
      <c r="C61"/>
      <c r="E61"/>
      <c r="G61"/>
    </row>
    <row r="62" spans="3:7" ht="16" customHeight="1" x14ac:dyDescent="0.25">
      <c r="C62"/>
      <c r="E62"/>
      <c r="G62"/>
    </row>
    <row r="63" spans="3:7" ht="16" customHeight="1" x14ac:dyDescent="0.25">
      <c r="C63"/>
      <c r="E63"/>
      <c r="G63"/>
    </row>
    <row r="64" spans="3:7" ht="16" customHeight="1" x14ac:dyDescent="0.25">
      <c r="C64"/>
      <c r="E64"/>
      <c r="G64"/>
    </row>
    <row r="65" spans="3:7" ht="16" customHeight="1" x14ac:dyDescent="0.25">
      <c r="C65"/>
      <c r="E65"/>
      <c r="G65"/>
    </row>
    <row r="66" spans="3:7" ht="16" customHeight="1" x14ac:dyDescent="0.25">
      <c r="C66"/>
      <c r="E66"/>
      <c r="G66"/>
    </row>
    <row r="67" spans="3:7" ht="13.5" customHeight="1" x14ac:dyDescent="0.25">
      <c r="C67"/>
      <c r="E67"/>
      <c r="G67"/>
    </row>
    <row r="68" spans="3:7" ht="13.5" customHeight="1" x14ac:dyDescent="0.25">
      <c r="C68"/>
      <c r="E68"/>
      <c r="G68"/>
    </row>
    <row r="69" spans="3:7" ht="12.75" customHeight="1" x14ac:dyDescent="0.25">
      <c r="C69"/>
      <c r="E69"/>
      <c r="G69"/>
    </row>
    <row r="70" spans="3:7" ht="12.75" customHeight="1" x14ac:dyDescent="0.25">
      <c r="C70"/>
      <c r="E70"/>
      <c r="G70"/>
    </row>
    <row r="71" spans="3:7" ht="12.75" customHeight="1" x14ac:dyDescent="0.25">
      <c r="C71"/>
      <c r="E71"/>
      <c r="G71"/>
    </row>
    <row r="72" spans="3:7" ht="13.5" customHeight="1" x14ac:dyDescent="0.25">
      <c r="C72"/>
      <c r="E72"/>
      <c r="G72"/>
    </row>
    <row r="73" spans="3:7" ht="12.75" customHeight="1" x14ac:dyDescent="0.25">
      <c r="C73"/>
      <c r="E73"/>
      <c r="G73"/>
    </row>
    <row r="74" spans="3:7" ht="12.75" customHeight="1" x14ac:dyDescent="0.25">
      <c r="C74"/>
      <c r="E74"/>
      <c r="G74"/>
    </row>
    <row r="75" spans="3:7" ht="12.75" customHeight="1" x14ac:dyDescent="0.25">
      <c r="C75"/>
      <c r="E75"/>
      <c r="G75"/>
    </row>
    <row r="76" spans="3:7" ht="12.75" customHeight="1" x14ac:dyDescent="0.25">
      <c r="C76"/>
      <c r="E76"/>
      <c r="G76"/>
    </row>
    <row r="77" spans="3:7" ht="12.75" customHeight="1" x14ac:dyDescent="0.25">
      <c r="C77"/>
      <c r="E77"/>
      <c r="G77"/>
    </row>
    <row r="78" spans="3:7" ht="12.75" customHeight="1" x14ac:dyDescent="0.25">
      <c r="C78"/>
      <c r="E78"/>
      <c r="G78"/>
    </row>
    <row r="79" spans="3:7" ht="12.75" customHeight="1" x14ac:dyDescent="0.25">
      <c r="C79"/>
      <c r="E79"/>
      <c r="G79"/>
    </row>
    <row r="80" spans="3:7" ht="12.75" customHeight="1" x14ac:dyDescent="0.25">
      <c r="C80"/>
      <c r="E80"/>
      <c r="G80"/>
    </row>
    <row r="81" spans="3:7" ht="12.75" customHeight="1" x14ac:dyDescent="0.25">
      <c r="C81"/>
      <c r="E81"/>
      <c r="G81"/>
    </row>
    <row r="82" spans="3:7" ht="12.75" customHeight="1" x14ac:dyDescent="0.25">
      <c r="C82"/>
      <c r="E82"/>
      <c r="G82"/>
    </row>
    <row r="83" spans="3:7" ht="12.75" customHeight="1" x14ac:dyDescent="0.25">
      <c r="C83"/>
      <c r="E83"/>
      <c r="G83"/>
    </row>
    <row r="84" spans="3:7" ht="12.75" customHeight="1" x14ac:dyDescent="0.25">
      <c r="C84"/>
      <c r="E84"/>
      <c r="G84"/>
    </row>
    <row r="85" spans="3:7" ht="12.75" customHeight="1" x14ac:dyDescent="0.25">
      <c r="C85"/>
      <c r="E85"/>
      <c r="G85"/>
    </row>
    <row r="86" spans="3:7" ht="12.75" customHeight="1" x14ac:dyDescent="0.25">
      <c r="C86"/>
      <c r="E86"/>
      <c r="G86"/>
    </row>
    <row r="87" spans="3:7" ht="12.75" customHeight="1" x14ac:dyDescent="0.25">
      <c r="C87"/>
      <c r="E87"/>
      <c r="G87"/>
    </row>
    <row r="88" spans="3:7" ht="12.75" customHeight="1" x14ac:dyDescent="0.25">
      <c r="C88"/>
      <c r="E88"/>
      <c r="G88"/>
    </row>
    <row r="89" spans="3:7" ht="12.75" customHeight="1" x14ac:dyDescent="0.25">
      <c r="C89"/>
      <c r="E89"/>
      <c r="G89"/>
    </row>
    <row r="90" spans="3:7" ht="12.75" customHeight="1" x14ac:dyDescent="0.25">
      <c r="C90"/>
      <c r="E90"/>
      <c r="G90"/>
    </row>
    <row r="91" spans="3:7" ht="12.75" customHeight="1" x14ac:dyDescent="0.25">
      <c r="C91"/>
      <c r="E91"/>
      <c r="G91"/>
    </row>
    <row r="92" spans="3:7" ht="12.75" customHeight="1" x14ac:dyDescent="0.25">
      <c r="C92"/>
      <c r="E92"/>
      <c r="G92"/>
    </row>
    <row r="93" spans="3:7" ht="12.75" customHeight="1" x14ac:dyDescent="0.25">
      <c r="C93"/>
      <c r="E93"/>
      <c r="G93"/>
    </row>
    <row r="94" spans="3:7" ht="12.75" customHeight="1" x14ac:dyDescent="0.25">
      <c r="C94"/>
      <c r="E94"/>
      <c r="G94"/>
    </row>
    <row r="95" spans="3:7" ht="12.75" customHeight="1" x14ac:dyDescent="0.25">
      <c r="C95"/>
      <c r="E95"/>
      <c r="G95"/>
    </row>
    <row r="96" spans="3:7" ht="12.75" customHeight="1" x14ac:dyDescent="0.25">
      <c r="C96"/>
      <c r="E96"/>
      <c r="G96"/>
    </row>
    <row r="97" spans="3:7" ht="12.75" customHeight="1" x14ac:dyDescent="0.25">
      <c r="C97"/>
      <c r="E97"/>
      <c r="G97"/>
    </row>
    <row r="98" spans="3:7" ht="12.75" customHeight="1" x14ac:dyDescent="0.25">
      <c r="C98"/>
      <c r="E98"/>
      <c r="G98"/>
    </row>
    <row r="99" spans="3:7" ht="12.75" customHeight="1" x14ac:dyDescent="0.25">
      <c r="C99"/>
      <c r="E99"/>
      <c r="G99"/>
    </row>
    <row r="100" spans="3:7" ht="12.75" customHeight="1" x14ac:dyDescent="0.25">
      <c r="C100"/>
      <c r="E100"/>
      <c r="G100"/>
    </row>
    <row r="101" spans="3:7" ht="12.75" customHeight="1" x14ac:dyDescent="0.25">
      <c r="C101"/>
      <c r="E101"/>
      <c r="G101"/>
    </row>
    <row r="102" spans="3:7" ht="12.75" customHeight="1" x14ac:dyDescent="0.25">
      <c r="C102"/>
      <c r="E102"/>
      <c r="G102"/>
    </row>
    <row r="103" spans="3:7" ht="12.75" customHeight="1" x14ac:dyDescent="0.25">
      <c r="C103"/>
      <c r="E103"/>
      <c r="G103"/>
    </row>
    <row r="104" spans="3:7" ht="12.75" customHeight="1" x14ac:dyDescent="0.25">
      <c r="C104"/>
      <c r="E104"/>
      <c r="G104"/>
    </row>
    <row r="105" spans="3:7" ht="12.75" customHeight="1" x14ac:dyDescent="0.25">
      <c r="C105"/>
      <c r="E105"/>
      <c r="G105"/>
    </row>
    <row r="106" spans="3:7" ht="12.75" customHeight="1" x14ac:dyDescent="0.25">
      <c r="C106"/>
      <c r="E106"/>
      <c r="G106"/>
    </row>
    <row r="107" spans="3:7" ht="12.75" customHeight="1" x14ac:dyDescent="0.25">
      <c r="C107"/>
      <c r="E107"/>
      <c r="G107"/>
    </row>
    <row r="108" spans="3:7" ht="12.75" customHeight="1" x14ac:dyDescent="0.25">
      <c r="C108"/>
      <c r="E108"/>
      <c r="G108"/>
    </row>
    <row r="109" spans="3:7" ht="12.75" customHeight="1" x14ac:dyDescent="0.25">
      <c r="C109"/>
      <c r="E109"/>
      <c r="G109"/>
    </row>
    <row r="110" spans="3:7" ht="12.75" customHeight="1" x14ac:dyDescent="0.25">
      <c r="C110"/>
      <c r="E110"/>
      <c r="G110"/>
    </row>
    <row r="111" spans="3:7" ht="12.75" customHeight="1" x14ac:dyDescent="0.25">
      <c r="C111"/>
      <c r="E111"/>
      <c r="G111"/>
    </row>
    <row r="112" spans="3:7" ht="12.75" customHeight="1" x14ac:dyDescent="0.25">
      <c r="C112"/>
      <c r="E112"/>
      <c r="G112"/>
    </row>
    <row r="113" spans="3:7" ht="12.75" customHeight="1" x14ac:dyDescent="0.25">
      <c r="C113"/>
      <c r="E113"/>
      <c r="G113"/>
    </row>
    <row r="114" spans="3:7" ht="12.75" customHeight="1" x14ac:dyDescent="0.25">
      <c r="C114"/>
      <c r="E114"/>
      <c r="G114"/>
    </row>
    <row r="115" spans="3:7" ht="12.75" customHeight="1" x14ac:dyDescent="0.25">
      <c r="C115"/>
      <c r="E115"/>
      <c r="G115"/>
    </row>
    <row r="116" spans="3:7" ht="12.75" customHeight="1" x14ac:dyDescent="0.25">
      <c r="C116"/>
      <c r="E116"/>
      <c r="G116"/>
    </row>
    <row r="117" spans="3:7" ht="12.75" customHeight="1" x14ac:dyDescent="0.25">
      <c r="C117"/>
      <c r="E117"/>
      <c r="G117"/>
    </row>
    <row r="118" spans="3:7" ht="12.75" customHeight="1" x14ac:dyDescent="0.25">
      <c r="C118"/>
      <c r="E118"/>
      <c r="G118"/>
    </row>
    <row r="119" spans="3:7" ht="12.75" customHeight="1" x14ac:dyDescent="0.25">
      <c r="C119"/>
      <c r="E119"/>
      <c r="G119"/>
    </row>
    <row r="120" spans="3:7" ht="12.75" customHeight="1" x14ac:dyDescent="0.25">
      <c r="C120"/>
      <c r="E120"/>
      <c r="G120"/>
    </row>
    <row r="121" spans="3:7" ht="12.75" customHeight="1" x14ac:dyDescent="0.25">
      <c r="C121"/>
      <c r="E121"/>
      <c r="G121"/>
    </row>
    <row r="122" spans="3:7" ht="12.75" customHeight="1" x14ac:dyDescent="0.25">
      <c r="C122"/>
      <c r="E122"/>
      <c r="G122"/>
    </row>
    <row r="123" spans="3:7" ht="12.75" customHeight="1" x14ac:dyDescent="0.25">
      <c r="C123"/>
      <c r="E123"/>
      <c r="G123"/>
    </row>
    <row r="124" spans="3:7" ht="12.75" customHeight="1" x14ac:dyDescent="0.25">
      <c r="C124"/>
      <c r="E124"/>
      <c r="G124"/>
    </row>
    <row r="125" spans="3:7" ht="12.75" customHeight="1" x14ac:dyDescent="0.25">
      <c r="C125"/>
      <c r="E125"/>
      <c r="G125"/>
    </row>
    <row r="126" spans="3:7" ht="12.75" customHeight="1" x14ac:dyDescent="0.25">
      <c r="C126"/>
      <c r="E126"/>
      <c r="G126"/>
    </row>
    <row r="127" spans="3:7" ht="12.75" customHeight="1" x14ac:dyDescent="0.25">
      <c r="C127"/>
      <c r="E127"/>
      <c r="G127"/>
    </row>
    <row r="128" spans="3:7" ht="12.75" customHeight="1" x14ac:dyDescent="0.25">
      <c r="C128"/>
      <c r="E128"/>
      <c r="G128"/>
    </row>
    <row r="129" spans="3:7" ht="12.75" customHeight="1" x14ac:dyDescent="0.25">
      <c r="C129"/>
      <c r="E129"/>
      <c r="G129"/>
    </row>
    <row r="130" spans="3:7" ht="12.75" customHeight="1" x14ac:dyDescent="0.25">
      <c r="C130"/>
      <c r="E130"/>
      <c r="G130"/>
    </row>
    <row r="131" spans="3:7" ht="12.75" customHeight="1" x14ac:dyDescent="0.25">
      <c r="C131"/>
      <c r="E131"/>
      <c r="G131"/>
    </row>
    <row r="132" spans="3:7" ht="12.75" customHeight="1" x14ac:dyDescent="0.25">
      <c r="C132"/>
      <c r="E132"/>
      <c r="G132"/>
    </row>
    <row r="133" spans="3:7" ht="12.75" customHeight="1" x14ac:dyDescent="0.25">
      <c r="C133"/>
      <c r="E133"/>
      <c r="G133"/>
    </row>
    <row r="134" spans="3:7" ht="12.75" customHeight="1" x14ac:dyDescent="0.25">
      <c r="C134"/>
      <c r="E134"/>
      <c r="G134"/>
    </row>
    <row r="135" spans="3:7" ht="12.75" customHeight="1" x14ac:dyDescent="0.25">
      <c r="C135"/>
      <c r="E135"/>
      <c r="G135"/>
    </row>
    <row r="136" spans="3:7" ht="12.75" customHeight="1" x14ac:dyDescent="0.25">
      <c r="C136"/>
      <c r="E136"/>
      <c r="G136"/>
    </row>
    <row r="137" spans="3:7" ht="12.75" customHeight="1" x14ac:dyDescent="0.25">
      <c r="C137"/>
      <c r="E137"/>
      <c r="G137"/>
    </row>
    <row r="138" spans="3:7" ht="12.75" customHeight="1" x14ac:dyDescent="0.25">
      <c r="C138"/>
      <c r="E138"/>
      <c r="G138"/>
    </row>
    <row r="139" spans="3:7" ht="12.75" customHeight="1" x14ac:dyDescent="0.25">
      <c r="C139"/>
      <c r="E139"/>
      <c r="G139"/>
    </row>
    <row r="140" spans="3:7" ht="12.75" customHeight="1" x14ac:dyDescent="0.25">
      <c r="C140"/>
      <c r="E140"/>
      <c r="G140"/>
    </row>
    <row r="141" spans="3:7" ht="12.75" customHeight="1" x14ac:dyDescent="0.25">
      <c r="C141"/>
      <c r="E141"/>
      <c r="G141"/>
    </row>
    <row r="142" spans="3:7" ht="12.75" customHeight="1" x14ac:dyDescent="0.25">
      <c r="C142"/>
      <c r="E142"/>
      <c r="G142"/>
    </row>
    <row r="143" spans="3:7" ht="12.75" customHeight="1" x14ac:dyDescent="0.25">
      <c r="C143"/>
      <c r="E143"/>
      <c r="G143"/>
    </row>
    <row r="144" spans="3:7" ht="12.75" customHeight="1" x14ac:dyDescent="0.25">
      <c r="C144"/>
      <c r="E144"/>
      <c r="G144"/>
    </row>
    <row r="145" spans="3:7" ht="12.75" customHeight="1" x14ac:dyDescent="0.25">
      <c r="C145"/>
      <c r="E145"/>
      <c r="G145"/>
    </row>
    <row r="146" spans="3:7" ht="12.75" customHeight="1" x14ac:dyDescent="0.25">
      <c r="C146"/>
      <c r="E146"/>
      <c r="G146"/>
    </row>
    <row r="147" spans="3:7" ht="12.75" customHeight="1" x14ac:dyDescent="0.25">
      <c r="C147"/>
      <c r="E147"/>
      <c r="G147"/>
    </row>
    <row r="148" spans="3:7" ht="12.75" customHeight="1" x14ac:dyDescent="0.25">
      <c r="C148"/>
      <c r="E148"/>
      <c r="G148"/>
    </row>
    <row r="149" spans="3:7" ht="12.75" customHeight="1" x14ac:dyDescent="0.25">
      <c r="C149"/>
      <c r="E149"/>
      <c r="G149"/>
    </row>
    <row r="150" spans="3:7" ht="12.75" customHeight="1" x14ac:dyDescent="0.25">
      <c r="C150"/>
      <c r="E150"/>
      <c r="G150"/>
    </row>
    <row r="151" spans="3:7" ht="12.75" customHeight="1" x14ac:dyDescent="0.25">
      <c r="C151"/>
      <c r="E151"/>
      <c r="G151"/>
    </row>
    <row r="152" spans="3:7" ht="12.75" customHeight="1" x14ac:dyDescent="0.25">
      <c r="C152"/>
      <c r="E152"/>
      <c r="G152"/>
    </row>
    <row r="153" spans="3:7" ht="12.75" customHeight="1" x14ac:dyDescent="0.25">
      <c r="C153"/>
      <c r="E153"/>
      <c r="G153"/>
    </row>
    <row r="154" spans="3:7" ht="12.75" customHeight="1" x14ac:dyDescent="0.25">
      <c r="C154"/>
      <c r="E154"/>
      <c r="G154"/>
    </row>
    <row r="155" spans="3:7" ht="12.75" customHeight="1" x14ac:dyDescent="0.25">
      <c r="C155"/>
      <c r="E155"/>
      <c r="G155"/>
    </row>
    <row r="156" spans="3:7" ht="12.75" customHeight="1" x14ac:dyDescent="0.25">
      <c r="C156"/>
      <c r="E156"/>
      <c r="G156"/>
    </row>
    <row r="157" spans="3:7" ht="12.75" customHeight="1" x14ac:dyDescent="0.25">
      <c r="C157"/>
      <c r="E157"/>
      <c r="G157"/>
    </row>
    <row r="158" spans="3:7" ht="12.75" customHeight="1" x14ac:dyDescent="0.25">
      <c r="C158"/>
      <c r="E158"/>
      <c r="G158"/>
    </row>
    <row r="159" spans="3:7" ht="12.75" customHeight="1" x14ac:dyDescent="0.25">
      <c r="C159"/>
      <c r="E159"/>
      <c r="G159"/>
    </row>
    <row r="160" spans="3:7" ht="12.75" customHeight="1" x14ac:dyDescent="0.25">
      <c r="C160"/>
      <c r="E160"/>
      <c r="G160"/>
    </row>
    <row r="161" spans="3:7" ht="12.75" customHeight="1" x14ac:dyDescent="0.25">
      <c r="C161"/>
      <c r="E161"/>
      <c r="G161"/>
    </row>
    <row r="162" spans="3:7" ht="12.75" customHeight="1" x14ac:dyDescent="0.25">
      <c r="C162"/>
      <c r="E162"/>
      <c r="G162"/>
    </row>
    <row r="163" spans="3:7" ht="12.75" customHeight="1" x14ac:dyDescent="0.25">
      <c r="C163"/>
      <c r="E163"/>
      <c r="G163"/>
    </row>
    <row r="164" spans="3:7" ht="12.75" customHeight="1" x14ac:dyDescent="0.25">
      <c r="C164"/>
      <c r="E164"/>
      <c r="G164"/>
    </row>
    <row r="165" spans="3:7" ht="12.75" customHeight="1" x14ac:dyDescent="0.25">
      <c r="C165"/>
      <c r="E165"/>
      <c r="G165"/>
    </row>
    <row r="166" spans="3:7" ht="12.75" customHeight="1" x14ac:dyDescent="0.25">
      <c r="C166"/>
      <c r="E166"/>
      <c r="G166"/>
    </row>
    <row r="167" spans="3:7" ht="12.75" customHeight="1" x14ac:dyDescent="0.25">
      <c r="C167"/>
      <c r="E167"/>
      <c r="G167"/>
    </row>
    <row r="168" spans="3:7" ht="12.75" customHeight="1" x14ac:dyDescent="0.25">
      <c r="C168"/>
      <c r="E168"/>
      <c r="G168"/>
    </row>
    <row r="169" spans="3:7" ht="12.75" customHeight="1" x14ac:dyDescent="0.25">
      <c r="C169"/>
      <c r="E169"/>
      <c r="G169"/>
    </row>
    <row r="170" spans="3:7" ht="12.75" customHeight="1" x14ac:dyDescent="0.25">
      <c r="C170"/>
      <c r="E170"/>
      <c r="G170"/>
    </row>
    <row r="171" spans="3:7" ht="12.75" customHeight="1" x14ac:dyDescent="0.25">
      <c r="C171"/>
      <c r="E171"/>
      <c r="G171"/>
    </row>
    <row r="172" spans="3:7" ht="12.75" customHeight="1" x14ac:dyDescent="0.25">
      <c r="C172"/>
      <c r="E172"/>
      <c r="G172"/>
    </row>
    <row r="173" spans="3:7" ht="12.75" customHeight="1" x14ac:dyDescent="0.25">
      <c r="C173"/>
      <c r="E173"/>
      <c r="G173"/>
    </row>
    <row r="174" spans="3:7" ht="12.75" customHeight="1" x14ac:dyDescent="0.25">
      <c r="C174"/>
      <c r="E174"/>
      <c r="G174"/>
    </row>
    <row r="175" spans="3:7" ht="12.75" customHeight="1" x14ac:dyDescent="0.25">
      <c r="C175"/>
      <c r="E175"/>
      <c r="G175"/>
    </row>
    <row r="176" spans="3:7" ht="12.75" customHeight="1" x14ac:dyDescent="0.25">
      <c r="C176"/>
      <c r="E176"/>
      <c r="G176"/>
    </row>
    <row r="177" spans="3:7" ht="12.75" customHeight="1" x14ac:dyDescent="0.25">
      <c r="C177"/>
      <c r="E177"/>
      <c r="G177"/>
    </row>
    <row r="178" spans="3:7" ht="12.75" customHeight="1" x14ac:dyDescent="0.25">
      <c r="C178"/>
      <c r="E178"/>
      <c r="G178"/>
    </row>
    <row r="179" spans="3:7" ht="12.75" customHeight="1" x14ac:dyDescent="0.25">
      <c r="C179"/>
      <c r="E179"/>
      <c r="G179"/>
    </row>
    <row r="180" spans="3:7" ht="12.75" customHeight="1" x14ac:dyDescent="0.25">
      <c r="C180"/>
      <c r="E180"/>
      <c r="G180"/>
    </row>
    <row r="181" spans="3:7" ht="12.75" customHeight="1" x14ac:dyDescent="0.25">
      <c r="C181"/>
      <c r="E181"/>
      <c r="G181"/>
    </row>
    <row r="182" spans="3:7" ht="12.75" customHeight="1" x14ac:dyDescent="0.25">
      <c r="C182"/>
      <c r="E182"/>
      <c r="G182"/>
    </row>
    <row r="183" spans="3:7" ht="12.75" customHeight="1" x14ac:dyDescent="0.25">
      <c r="C183"/>
      <c r="E183"/>
      <c r="G183"/>
    </row>
    <row r="184" spans="3:7" ht="12.75" customHeight="1" x14ac:dyDescent="0.25">
      <c r="C184"/>
      <c r="E184"/>
      <c r="G184"/>
    </row>
    <row r="185" spans="3:7" ht="12.75" customHeight="1" x14ac:dyDescent="0.25">
      <c r="C185"/>
      <c r="E185"/>
      <c r="G185"/>
    </row>
    <row r="186" spans="3:7" ht="12.75" customHeight="1" x14ac:dyDescent="0.25">
      <c r="C186"/>
      <c r="E186"/>
      <c r="G186"/>
    </row>
    <row r="187" spans="3:7" ht="12.75" customHeight="1" x14ac:dyDescent="0.25">
      <c r="C187"/>
      <c r="E187"/>
      <c r="G187"/>
    </row>
    <row r="188" spans="3:7" ht="12.75" customHeight="1" x14ac:dyDescent="0.25">
      <c r="C188"/>
      <c r="E188"/>
      <c r="G188"/>
    </row>
    <row r="189" spans="3:7" ht="12.75" customHeight="1" x14ac:dyDescent="0.25">
      <c r="C189"/>
      <c r="E189"/>
      <c r="G189"/>
    </row>
    <row r="190" spans="3:7" ht="12.75" customHeight="1" x14ac:dyDescent="0.25">
      <c r="C190"/>
      <c r="E190"/>
      <c r="G190"/>
    </row>
    <row r="191" spans="3:7" ht="12.75" customHeight="1" x14ac:dyDescent="0.25">
      <c r="C191"/>
      <c r="E191"/>
      <c r="G191"/>
    </row>
    <row r="192" spans="3:7" ht="12.75" customHeight="1" x14ac:dyDescent="0.25">
      <c r="C192"/>
      <c r="E192"/>
      <c r="G192"/>
    </row>
    <row r="193" spans="3:7" ht="12.75" customHeight="1" x14ac:dyDescent="0.25">
      <c r="C193"/>
      <c r="E193"/>
      <c r="G193"/>
    </row>
    <row r="194" spans="3:7" ht="12.75" customHeight="1" x14ac:dyDescent="0.25">
      <c r="C194"/>
      <c r="E194"/>
      <c r="G194"/>
    </row>
    <row r="195" spans="3:7" ht="12.75" customHeight="1" x14ac:dyDescent="0.25">
      <c r="C195"/>
      <c r="E195"/>
      <c r="G195"/>
    </row>
    <row r="196" spans="3:7" ht="12.75" customHeight="1" x14ac:dyDescent="0.25">
      <c r="C196"/>
      <c r="E196"/>
      <c r="G196"/>
    </row>
    <row r="197" spans="3:7" ht="12.75" customHeight="1" x14ac:dyDescent="0.25">
      <c r="C197"/>
      <c r="E197"/>
      <c r="G197"/>
    </row>
    <row r="198" spans="3:7" ht="12.75" customHeight="1" x14ac:dyDescent="0.25">
      <c r="C198"/>
      <c r="E198"/>
      <c r="G198"/>
    </row>
    <row r="199" spans="3:7" ht="12.75" customHeight="1" x14ac:dyDescent="0.25">
      <c r="C199"/>
      <c r="E199"/>
      <c r="G199"/>
    </row>
    <row r="200" spans="3:7" ht="12.75" customHeight="1" x14ac:dyDescent="0.25">
      <c r="C200"/>
      <c r="E200"/>
      <c r="G200"/>
    </row>
    <row r="201" spans="3:7" ht="12.75" customHeight="1" x14ac:dyDescent="0.25">
      <c r="C201"/>
      <c r="E201"/>
      <c r="G201"/>
    </row>
    <row r="202" spans="3:7" ht="12.75" customHeight="1" x14ac:dyDescent="0.25">
      <c r="C202"/>
      <c r="E202"/>
      <c r="G202"/>
    </row>
    <row r="203" spans="3:7" ht="12.75" customHeight="1" x14ac:dyDescent="0.25">
      <c r="C203"/>
      <c r="E203"/>
      <c r="G203"/>
    </row>
    <row r="204" spans="3:7" ht="12.75" customHeight="1" x14ac:dyDescent="0.25">
      <c r="C204"/>
      <c r="E204"/>
      <c r="G204"/>
    </row>
    <row r="205" spans="3:7" ht="12.75" customHeight="1" x14ac:dyDescent="0.25">
      <c r="C205"/>
      <c r="E205"/>
      <c r="G205"/>
    </row>
    <row r="206" spans="3:7" ht="12.75" customHeight="1" x14ac:dyDescent="0.25">
      <c r="C206"/>
      <c r="E206"/>
      <c r="G206"/>
    </row>
    <row r="207" spans="3:7" ht="12.75" customHeight="1" x14ac:dyDescent="0.25">
      <c r="C207"/>
      <c r="E207"/>
      <c r="G207"/>
    </row>
    <row r="208" spans="3:7" ht="12.75" customHeight="1" x14ac:dyDescent="0.25">
      <c r="C208"/>
      <c r="E208"/>
      <c r="G208"/>
    </row>
    <row r="209" spans="3:7" ht="12.75" customHeight="1" x14ac:dyDescent="0.25">
      <c r="C209"/>
      <c r="E209"/>
      <c r="G209"/>
    </row>
    <row r="210" spans="3:7" ht="12.75" customHeight="1" x14ac:dyDescent="0.25">
      <c r="C210"/>
      <c r="E210"/>
      <c r="G210"/>
    </row>
    <row r="211" spans="3:7" ht="12.75" customHeight="1" x14ac:dyDescent="0.25">
      <c r="C211"/>
      <c r="E211"/>
      <c r="G211"/>
    </row>
    <row r="212" spans="3:7" ht="12.75" customHeight="1" x14ac:dyDescent="0.25">
      <c r="C212"/>
      <c r="E212"/>
      <c r="G212"/>
    </row>
    <row r="213" spans="3:7" ht="12.75" customHeight="1" x14ac:dyDescent="0.25">
      <c r="C213"/>
      <c r="E213"/>
      <c r="G213"/>
    </row>
    <row r="214" spans="3:7" ht="12.75" customHeight="1" x14ac:dyDescent="0.25">
      <c r="C214"/>
      <c r="E214"/>
      <c r="G214"/>
    </row>
    <row r="215" spans="3:7" ht="12.75" customHeight="1" x14ac:dyDescent="0.25">
      <c r="C215"/>
      <c r="E215"/>
      <c r="G215"/>
    </row>
    <row r="216" spans="3:7" ht="12.75" customHeight="1" x14ac:dyDescent="0.25">
      <c r="C216"/>
      <c r="E216"/>
      <c r="G216"/>
    </row>
    <row r="217" spans="3:7" ht="12.75" customHeight="1" x14ac:dyDescent="0.25">
      <c r="C217"/>
      <c r="E217"/>
      <c r="G217"/>
    </row>
    <row r="218" spans="3:7" ht="12.75" customHeight="1" x14ac:dyDescent="0.25">
      <c r="C218"/>
      <c r="E218"/>
      <c r="G218"/>
    </row>
    <row r="219" spans="3:7" ht="12.75" customHeight="1" x14ac:dyDescent="0.25">
      <c r="C219"/>
      <c r="E219"/>
      <c r="G219"/>
    </row>
    <row r="220" spans="3:7" ht="12.75" customHeight="1" x14ac:dyDescent="0.25">
      <c r="C220"/>
      <c r="E220"/>
      <c r="G220"/>
    </row>
    <row r="221" spans="3:7" ht="12.75" customHeight="1" x14ac:dyDescent="0.25">
      <c r="C221"/>
      <c r="E221"/>
      <c r="G221"/>
    </row>
    <row r="222" spans="3:7" ht="12.75" customHeight="1" x14ac:dyDescent="0.25">
      <c r="C222"/>
      <c r="E222"/>
      <c r="G222"/>
    </row>
    <row r="223" spans="3:7" ht="12.75" customHeight="1" x14ac:dyDescent="0.25">
      <c r="C223"/>
      <c r="E223"/>
      <c r="G223"/>
    </row>
    <row r="224" spans="3:7" ht="12.75" customHeight="1" x14ac:dyDescent="0.25">
      <c r="C224"/>
      <c r="E224"/>
      <c r="G224"/>
    </row>
    <row r="225" spans="3:7" ht="12.75" customHeight="1" x14ac:dyDescent="0.25">
      <c r="C225"/>
      <c r="E225"/>
      <c r="G225"/>
    </row>
    <row r="226" spans="3:7" ht="12.75" customHeight="1" x14ac:dyDescent="0.25">
      <c r="C226"/>
      <c r="E226"/>
      <c r="G226"/>
    </row>
    <row r="227" spans="3:7" ht="12.75" customHeight="1" x14ac:dyDescent="0.25">
      <c r="C227"/>
      <c r="E227"/>
      <c r="G227"/>
    </row>
    <row r="228" spans="3:7" ht="12.75" customHeight="1" x14ac:dyDescent="0.25">
      <c r="C228"/>
      <c r="E228"/>
      <c r="G228"/>
    </row>
    <row r="229" spans="3:7" ht="12.75" customHeight="1" x14ac:dyDescent="0.25">
      <c r="C229"/>
      <c r="E229"/>
      <c r="G229"/>
    </row>
    <row r="230" spans="3:7" ht="12.75" customHeight="1" x14ac:dyDescent="0.25">
      <c r="C230"/>
      <c r="E230"/>
      <c r="G230"/>
    </row>
    <row r="231" spans="3:7" ht="12.75" customHeight="1" x14ac:dyDescent="0.25">
      <c r="C231"/>
      <c r="E231"/>
      <c r="G231"/>
    </row>
    <row r="232" spans="3:7" ht="12.75" customHeight="1" x14ac:dyDescent="0.25">
      <c r="C232"/>
      <c r="E232"/>
      <c r="G232"/>
    </row>
    <row r="233" spans="3:7" ht="12.75" customHeight="1" x14ac:dyDescent="0.25">
      <c r="C233"/>
      <c r="E233"/>
      <c r="G233"/>
    </row>
    <row r="234" spans="3:7" ht="12.75" customHeight="1" x14ac:dyDescent="0.25">
      <c r="C234"/>
      <c r="E234"/>
      <c r="G234"/>
    </row>
    <row r="235" spans="3:7" ht="12.75" customHeight="1" x14ac:dyDescent="0.25">
      <c r="C235"/>
      <c r="E235"/>
      <c r="G235"/>
    </row>
    <row r="236" spans="3:7" ht="12.75" customHeight="1" x14ac:dyDescent="0.25">
      <c r="C236"/>
      <c r="E236"/>
      <c r="G236"/>
    </row>
    <row r="237" spans="3:7" ht="12.75" customHeight="1" x14ac:dyDescent="0.25">
      <c r="C237"/>
      <c r="E237"/>
      <c r="G237"/>
    </row>
    <row r="238" spans="3:7" ht="12.75" customHeight="1" x14ac:dyDescent="0.25">
      <c r="C238"/>
      <c r="E238"/>
      <c r="G238"/>
    </row>
    <row r="239" spans="3:7" ht="12.75" customHeight="1" x14ac:dyDescent="0.25">
      <c r="C239"/>
      <c r="E239"/>
      <c r="G239"/>
    </row>
    <row r="240" spans="3:7" ht="12.75" customHeight="1" x14ac:dyDescent="0.25">
      <c r="C240"/>
      <c r="E240"/>
      <c r="G240"/>
    </row>
    <row r="241" spans="3:7" ht="12.75" customHeight="1" x14ac:dyDescent="0.25">
      <c r="C241"/>
      <c r="E241"/>
      <c r="G241"/>
    </row>
    <row r="242" spans="3:7" ht="12.75" customHeight="1" x14ac:dyDescent="0.25">
      <c r="C242"/>
      <c r="E242"/>
      <c r="G242"/>
    </row>
    <row r="243" spans="3:7" ht="12.75" customHeight="1" x14ac:dyDescent="0.25">
      <c r="C243"/>
      <c r="E243"/>
      <c r="G243"/>
    </row>
    <row r="244" spans="3:7" ht="12.75" customHeight="1" x14ac:dyDescent="0.25">
      <c r="C244"/>
      <c r="E244"/>
      <c r="G244"/>
    </row>
    <row r="245" spans="3:7" ht="12.75" customHeight="1" x14ac:dyDescent="0.25">
      <c r="C245"/>
      <c r="E245"/>
      <c r="G245"/>
    </row>
    <row r="246" spans="3:7" ht="12.75" customHeight="1" x14ac:dyDescent="0.25">
      <c r="C246"/>
      <c r="E246"/>
      <c r="G246"/>
    </row>
    <row r="247" spans="3:7" ht="12.75" customHeight="1" x14ac:dyDescent="0.25">
      <c r="C247"/>
      <c r="E247"/>
      <c r="G247"/>
    </row>
    <row r="248" spans="3:7" ht="12.75" customHeight="1" x14ac:dyDescent="0.25">
      <c r="C248"/>
      <c r="E248"/>
      <c r="G248"/>
    </row>
    <row r="249" spans="3:7" ht="12.75" customHeight="1" x14ac:dyDescent="0.25">
      <c r="C249"/>
      <c r="E249"/>
      <c r="G249"/>
    </row>
    <row r="250" spans="3:7" ht="12.75" customHeight="1" x14ac:dyDescent="0.25">
      <c r="C250"/>
      <c r="E250"/>
      <c r="G250"/>
    </row>
    <row r="251" spans="3:7" ht="12.75" customHeight="1" x14ac:dyDescent="0.25">
      <c r="C251"/>
      <c r="E251"/>
      <c r="G251"/>
    </row>
    <row r="252" spans="3:7" ht="12.75" customHeight="1" x14ac:dyDescent="0.25">
      <c r="C252"/>
      <c r="E252"/>
      <c r="G252"/>
    </row>
    <row r="253" spans="3:7" ht="12.75" customHeight="1" x14ac:dyDescent="0.25">
      <c r="C253"/>
      <c r="E253"/>
      <c r="G253"/>
    </row>
    <row r="254" spans="3:7" ht="12.75" customHeight="1" x14ac:dyDescent="0.25">
      <c r="C254"/>
      <c r="E254"/>
      <c r="G254"/>
    </row>
    <row r="255" spans="3:7" ht="12.75" customHeight="1" x14ac:dyDescent="0.25">
      <c r="C255"/>
      <c r="E255"/>
      <c r="G255"/>
    </row>
    <row r="256" spans="3:7" ht="12.75" customHeight="1" x14ac:dyDescent="0.25">
      <c r="C256"/>
      <c r="E256"/>
      <c r="G256"/>
    </row>
    <row r="257" spans="3:7" ht="12.75" customHeight="1" x14ac:dyDescent="0.25">
      <c r="C257"/>
      <c r="E257"/>
      <c r="G257"/>
    </row>
    <row r="258" spans="3:7" ht="12.75" customHeight="1" x14ac:dyDescent="0.25">
      <c r="C258"/>
      <c r="E258"/>
      <c r="G258"/>
    </row>
    <row r="259" spans="3:7" ht="12.75" customHeight="1" x14ac:dyDescent="0.25">
      <c r="C259"/>
      <c r="E259"/>
      <c r="G259"/>
    </row>
    <row r="260" spans="3:7" ht="12.75" customHeight="1" x14ac:dyDescent="0.25">
      <c r="C260"/>
      <c r="E260"/>
      <c r="G260"/>
    </row>
    <row r="261" spans="3:7" ht="12.75" customHeight="1" x14ac:dyDescent="0.25">
      <c r="C261"/>
      <c r="E261"/>
      <c r="G261"/>
    </row>
    <row r="262" spans="3:7" ht="12.75" customHeight="1" x14ac:dyDescent="0.25">
      <c r="C262"/>
      <c r="E262"/>
      <c r="G262"/>
    </row>
    <row r="263" spans="3:7" ht="12.75" customHeight="1" x14ac:dyDescent="0.25">
      <c r="C263"/>
      <c r="E263"/>
      <c r="G263"/>
    </row>
    <row r="264" spans="3:7" ht="12.75" customHeight="1" x14ac:dyDescent="0.25">
      <c r="C264"/>
      <c r="E264"/>
      <c r="G264"/>
    </row>
    <row r="265" spans="3:7" ht="12.75" customHeight="1" x14ac:dyDescent="0.25">
      <c r="C265"/>
      <c r="E265"/>
      <c r="G265"/>
    </row>
    <row r="266" spans="3:7" ht="12.75" customHeight="1" x14ac:dyDescent="0.25">
      <c r="C266"/>
      <c r="E266"/>
      <c r="G266"/>
    </row>
    <row r="267" spans="3:7" ht="12.75" customHeight="1" x14ac:dyDescent="0.25">
      <c r="C267"/>
      <c r="E267"/>
      <c r="G267"/>
    </row>
    <row r="268" spans="3:7" ht="12.75" customHeight="1" x14ac:dyDescent="0.25">
      <c r="C268"/>
      <c r="E268"/>
      <c r="G268"/>
    </row>
    <row r="269" spans="3:7" ht="12.75" customHeight="1" x14ac:dyDescent="0.25">
      <c r="C269"/>
      <c r="E269"/>
      <c r="G269"/>
    </row>
    <row r="270" spans="3:7" ht="12.75" customHeight="1" x14ac:dyDescent="0.25">
      <c r="C270"/>
      <c r="E270"/>
      <c r="G270"/>
    </row>
    <row r="271" spans="3:7" ht="12.75" customHeight="1" x14ac:dyDescent="0.25">
      <c r="C271"/>
      <c r="E271"/>
      <c r="G271"/>
    </row>
    <row r="272" spans="3:7" ht="12.75" customHeight="1" x14ac:dyDescent="0.25">
      <c r="C272"/>
      <c r="E272"/>
      <c r="G272"/>
    </row>
    <row r="273" spans="3:7" ht="12.75" customHeight="1" x14ac:dyDescent="0.25">
      <c r="C273"/>
      <c r="E273"/>
      <c r="G273"/>
    </row>
    <row r="274" spans="3:7" ht="12.75" customHeight="1" x14ac:dyDescent="0.25">
      <c r="C274"/>
      <c r="E274"/>
      <c r="G274"/>
    </row>
    <row r="275" spans="3:7" ht="12.75" customHeight="1" x14ac:dyDescent="0.25">
      <c r="C275"/>
      <c r="E275"/>
      <c r="G275"/>
    </row>
    <row r="276" spans="3:7" ht="12.75" customHeight="1" x14ac:dyDescent="0.25">
      <c r="C276"/>
      <c r="E276"/>
      <c r="G276"/>
    </row>
    <row r="277" spans="3:7" ht="12.75" customHeight="1" x14ac:dyDescent="0.25">
      <c r="C277"/>
      <c r="E277"/>
      <c r="G277"/>
    </row>
    <row r="278" spans="3:7" ht="12.75" customHeight="1" x14ac:dyDescent="0.25">
      <c r="C278"/>
      <c r="E278"/>
      <c r="G278"/>
    </row>
    <row r="279" spans="3:7" ht="12.75" customHeight="1" x14ac:dyDescent="0.25">
      <c r="C279"/>
      <c r="E279"/>
      <c r="G279"/>
    </row>
  </sheetData>
  <mergeCells count="2">
    <mergeCell ref="A2:J2"/>
    <mergeCell ref="A4:J4"/>
  </mergeCells>
  <phoneticPr fontId="0" type="noConversion"/>
  <printOptions headings="1"/>
  <pageMargins left="0.5" right="0.05" top="0.5" bottom="0.25" header="0.5" footer="0.5"/>
  <pageSetup scale="97" orientation="portrait" horizontalDpi="300" verticalDpi="300" r:id="rId1"/>
  <headerFooter alignWithMargins="0">
    <oddHeader>&amp;R&amp;8 11&amp;10
&amp;8&amp;D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77"/>
  <sheetViews>
    <sheetView showRowColHeaders="0" zoomScaleNormal="100" workbookViewId="0">
      <selection activeCell="A2" sqref="A2"/>
    </sheetView>
  </sheetViews>
  <sheetFormatPr defaultColWidth="9.1796875" defaultRowHeight="12.75" customHeight="1" x14ac:dyDescent="0.25"/>
  <cols>
    <col min="1" max="1" width="37.453125" customWidth="1"/>
    <col min="2" max="2" width="2.7265625" customWidth="1"/>
    <col min="3" max="3" width="15.7265625" style="56" customWidth="1"/>
    <col min="4" max="4" width="14.26953125" customWidth="1"/>
    <col min="5" max="5" width="15.7265625" style="56" customWidth="1"/>
    <col min="6" max="6" width="12.81640625" customWidth="1"/>
    <col min="7" max="7" width="1.7265625" style="56" customWidth="1"/>
    <col min="8" max="8" width="11.81640625" customWidth="1"/>
    <col min="9" max="9" width="5.81640625" customWidth="1"/>
    <col min="10" max="10" width="13.7265625" customWidth="1"/>
    <col min="11" max="11" width="11.26953125" customWidth="1"/>
  </cols>
  <sheetData>
    <row r="1" spans="1:7" ht="12.75" customHeight="1" x14ac:dyDescent="0.3">
      <c r="A1" s="415" t="str">
        <f>'Dairy Description'!A1</f>
        <v>Key Code:</v>
      </c>
    </row>
    <row r="2" spans="1:7" ht="12.75" customHeight="1" x14ac:dyDescent="0.3">
      <c r="C2" s="157" t="s">
        <v>0</v>
      </c>
      <c r="D2" s="1"/>
      <c r="E2" s="1"/>
      <c r="F2" s="243"/>
      <c r="G2"/>
    </row>
    <row r="3" spans="1:7" ht="12.75" customHeight="1" x14ac:dyDescent="0.3">
      <c r="A3" s="47" t="s">
        <v>42</v>
      </c>
      <c r="B3" s="1"/>
      <c r="C3" s="47"/>
      <c r="D3" s="48"/>
      <c r="E3" s="48"/>
      <c r="F3" s="247"/>
      <c r="G3"/>
    </row>
    <row r="4" spans="1:7" ht="12.75" customHeight="1" x14ac:dyDescent="0.3">
      <c r="A4" s="246" t="s">
        <v>760</v>
      </c>
      <c r="B4" s="1"/>
      <c r="C4" s="1"/>
      <c r="D4" s="48"/>
      <c r="E4" s="48"/>
      <c r="F4" s="247"/>
      <c r="G4"/>
    </row>
    <row r="5" spans="1:7" ht="4.5" customHeight="1" x14ac:dyDescent="0.3">
      <c r="A5" s="247"/>
      <c r="B5" s="247"/>
      <c r="C5" s="245"/>
      <c r="D5" s="245"/>
      <c r="E5" s="245"/>
      <c r="F5" s="247"/>
      <c r="G5"/>
    </row>
    <row r="6" spans="1:7" ht="3" customHeight="1" x14ac:dyDescent="0.3">
      <c r="A6" s="49"/>
      <c r="B6" s="49"/>
      <c r="C6" s="47"/>
      <c r="D6" s="47"/>
      <c r="E6" s="157"/>
      <c r="F6" s="48"/>
      <c r="G6"/>
    </row>
    <row r="7" spans="1:7" ht="12.75" customHeight="1" x14ac:dyDescent="0.3">
      <c r="A7" s="6" t="s">
        <v>608</v>
      </c>
      <c r="C7"/>
      <c r="E7" s="50"/>
      <c r="F7" s="49"/>
      <c r="G7"/>
    </row>
    <row r="8" spans="1:7" ht="12.75" customHeight="1" x14ac:dyDescent="0.3">
      <c r="A8" s="305" t="s">
        <v>288</v>
      </c>
      <c r="B8" s="28"/>
      <c r="C8" s="10" t="s">
        <v>678</v>
      </c>
      <c r="D8" s="28"/>
      <c r="E8" s="226" t="s">
        <v>679</v>
      </c>
      <c r="G8"/>
    </row>
    <row r="9" spans="1:7" ht="14.15" customHeight="1" x14ac:dyDescent="0.25">
      <c r="A9" s="19"/>
      <c r="C9" s="4"/>
      <c r="E9" s="26"/>
      <c r="G9"/>
    </row>
    <row r="10" spans="1:7" ht="14.15" customHeight="1" x14ac:dyDescent="0.25">
      <c r="A10" s="16" t="s">
        <v>289</v>
      </c>
      <c r="C10" s="284">
        <v>0</v>
      </c>
      <c r="E10" s="361">
        <v>0</v>
      </c>
      <c r="G10"/>
    </row>
    <row r="11" spans="1:7" ht="14.15" customHeight="1" x14ac:dyDescent="0.25">
      <c r="A11" s="16" t="s">
        <v>620</v>
      </c>
      <c r="C11" s="284">
        <v>0</v>
      </c>
      <c r="E11" s="361">
        <v>0</v>
      </c>
      <c r="G11"/>
    </row>
    <row r="12" spans="1:7" ht="14.15" customHeight="1" x14ac:dyDescent="0.25">
      <c r="A12" s="16" t="s">
        <v>290</v>
      </c>
      <c r="C12" s="284">
        <v>0</v>
      </c>
      <c r="E12" s="361">
        <v>0</v>
      </c>
      <c r="G12"/>
    </row>
    <row r="13" spans="1:7" ht="14.15" customHeight="1" x14ac:dyDescent="0.25">
      <c r="A13" s="16" t="s">
        <v>291</v>
      </c>
      <c r="C13" s="284">
        <v>0</v>
      </c>
      <c r="E13" s="285">
        <v>0</v>
      </c>
      <c r="G13"/>
    </row>
    <row r="14" spans="1:7" ht="14.15" customHeight="1" x14ac:dyDescent="0.25">
      <c r="A14" s="16" t="s">
        <v>292</v>
      </c>
      <c r="C14" s="284">
        <v>0</v>
      </c>
      <c r="E14" s="285">
        <v>0</v>
      </c>
      <c r="G14"/>
    </row>
    <row r="15" spans="1:7" ht="14.15" customHeight="1" x14ac:dyDescent="0.25">
      <c r="A15" s="16" t="s">
        <v>293</v>
      </c>
      <c r="C15" s="284">
        <v>0</v>
      </c>
      <c r="E15" s="285">
        <v>0</v>
      </c>
      <c r="G15"/>
    </row>
    <row r="16" spans="1:7" ht="14.15" customHeight="1" x14ac:dyDescent="0.25">
      <c r="A16" s="16" t="s">
        <v>294</v>
      </c>
      <c r="C16" s="284">
        <v>0</v>
      </c>
      <c r="E16" s="285">
        <v>0</v>
      </c>
      <c r="G16"/>
    </row>
    <row r="17" spans="1:7" ht="14.15" customHeight="1" x14ac:dyDescent="0.25">
      <c r="A17" s="16" t="s">
        <v>621</v>
      </c>
      <c r="C17" s="284">
        <v>0</v>
      </c>
      <c r="E17" s="285">
        <v>0</v>
      </c>
      <c r="G17"/>
    </row>
    <row r="18" spans="1:7" ht="14.15" customHeight="1" x14ac:dyDescent="0.25">
      <c r="A18" s="103"/>
      <c r="B18" s="45"/>
      <c r="C18" s="358"/>
      <c r="D18" s="45"/>
      <c r="E18" s="359"/>
      <c r="G18"/>
    </row>
    <row r="19" spans="1:7" ht="14.15" customHeight="1" x14ac:dyDescent="0.3">
      <c r="A19" s="498" t="s">
        <v>295</v>
      </c>
      <c r="B19" s="45"/>
      <c r="C19" s="360" t="s">
        <v>237</v>
      </c>
      <c r="D19" s="45"/>
      <c r="E19" s="499"/>
      <c r="G19"/>
    </row>
    <row r="20" spans="1:7" ht="14.15" customHeight="1" x14ac:dyDescent="0.25">
      <c r="A20" s="16" t="s">
        <v>296</v>
      </c>
      <c r="C20" s="284">
        <v>0</v>
      </c>
      <c r="E20" s="118"/>
      <c r="G20"/>
    </row>
    <row r="21" spans="1:7" ht="14.15" customHeight="1" x14ac:dyDescent="0.25">
      <c r="A21" s="16" t="s">
        <v>297</v>
      </c>
      <c r="C21" s="4"/>
      <c r="E21" s="26"/>
      <c r="G21"/>
    </row>
    <row r="22" spans="1:7" ht="14.15" customHeight="1" x14ac:dyDescent="0.25">
      <c r="A22" s="16" t="s">
        <v>298</v>
      </c>
      <c r="C22" s="284">
        <v>0</v>
      </c>
      <c r="E22" s="26"/>
      <c r="G22"/>
    </row>
    <row r="23" spans="1:7" ht="14.15" customHeight="1" x14ac:dyDescent="0.25">
      <c r="A23" s="19" t="s">
        <v>299</v>
      </c>
      <c r="C23" s="284">
        <v>0</v>
      </c>
      <c r="E23" s="26"/>
      <c r="G23"/>
    </row>
    <row r="24" spans="1:7" ht="14.15" customHeight="1" x14ac:dyDescent="0.25">
      <c r="A24" s="44"/>
      <c r="B24" s="45"/>
      <c r="C24" s="45"/>
      <c r="D24" s="45"/>
      <c r="E24" s="46"/>
      <c r="G24"/>
    </row>
    <row r="25" spans="1:7" ht="14.15" customHeight="1" x14ac:dyDescent="0.25">
      <c r="C25"/>
      <c r="E25" s="300"/>
      <c r="G25"/>
    </row>
    <row r="26" spans="1:7" ht="14.15" customHeight="1" x14ac:dyDescent="0.3">
      <c r="A26" s="305" t="s">
        <v>300</v>
      </c>
      <c r="B26" s="28"/>
      <c r="C26" s="28"/>
      <c r="D26" s="28"/>
      <c r="E26" s="96"/>
      <c r="G26"/>
    </row>
    <row r="27" spans="1:7" ht="14.15" customHeight="1" x14ac:dyDescent="0.25">
      <c r="A27" s="16" t="s">
        <v>301</v>
      </c>
      <c r="C27" s="284">
        <v>0</v>
      </c>
      <c r="D27" s="82" t="s">
        <v>302</v>
      </c>
      <c r="E27" s="361">
        <v>0</v>
      </c>
      <c r="G27"/>
    </row>
    <row r="28" spans="1:7" ht="14.15" customHeight="1" x14ac:dyDescent="0.25">
      <c r="A28" s="16" t="s">
        <v>303</v>
      </c>
      <c r="B28" s="56" t="s">
        <v>62</v>
      </c>
      <c r="C28" s="284">
        <v>0</v>
      </c>
      <c r="E28" s="26"/>
      <c r="G28"/>
    </row>
    <row r="29" spans="1:7" ht="14.15" customHeight="1" x14ac:dyDescent="0.25">
      <c r="A29" s="16" t="s">
        <v>304</v>
      </c>
      <c r="B29" s="56" t="s">
        <v>62</v>
      </c>
      <c r="C29" s="284">
        <v>0</v>
      </c>
      <c r="E29" s="26"/>
      <c r="G29"/>
    </row>
    <row r="30" spans="1:7" ht="14.15" customHeight="1" x14ac:dyDescent="0.25">
      <c r="A30" s="30" t="s">
        <v>305</v>
      </c>
      <c r="C30"/>
      <c r="D30" s="410">
        <f>C27+C28+C29</f>
        <v>0</v>
      </c>
      <c r="E30" s="26"/>
      <c r="G30"/>
    </row>
    <row r="31" spans="1:7" ht="14.15" customHeight="1" x14ac:dyDescent="0.25">
      <c r="A31" s="30" t="s">
        <v>306</v>
      </c>
      <c r="C31"/>
      <c r="D31" s="410">
        <f>E27-D30</f>
        <v>0</v>
      </c>
      <c r="E31" s="26"/>
      <c r="G31"/>
    </row>
    <row r="32" spans="1:7" ht="14.15" customHeight="1" x14ac:dyDescent="0.25">
      <c r="A32" s="103"/>
      <c r="B32" s="45"/>
      <c r="C32" s="45"/>
      <c r="D32" s="45"/>
      <c r="E32" s="46"/>
      <c r="G32"/>
    </row>
    <row r="33" spans="1:7" ht="14.15" customHeight="1" x14ac:dyDescent="0.25">
      <c r="A33" s="363"/>
      <c r="B33" s="300"/>
      <c r="C33" s="300"/>
      <c r="D33" s="300"/>
      <c r="E33" s="300"/>
      <c r="G33"/>
    </row>
    <row r="34" spans="1:7" ht="14.15" customHeight="1" x14ac:dyDescent="0.3">
      <c r="A34" s="305" t="s">
        <v>732</v>
      </c>
      <c r="B34" s="28"/>
      <c r="C34" s="28"/>
      <c r="D34" s="28"/>
      <c r="E34" s="96"/>
      <c r="G34"/>
    </row>
    <row r="35" spans="1:7" ht="14.15" customHeight="1" x14ac:dyDescent="0.25">
      <c r="A35" s="16" t="s">
        <v>301</v>
      </c>
      <c r="C35" s="284">
        <v>0</v>
      </c>
      <c r="D35" s="82" t="s">
        <v>302</v>
      </c>
      <c r="E35" s="361">
        <v>0</v>
      </c>
      <c r="G35"/>
    </row>
    <row r="36" spans="1:7" ht="14.15" customHeight="1" x14ac:dyDescent="0.25">
      <c r="A36" s="16" t="s">
        <v>733</v>
      </c>
      <c r="B36" s="56" t="s">
        <v>62</v>
      </c>
      <c r="C36" s="284">
        <v>0</v>
      </c>
      <c r="E36" s="26"/>
      <c r="G36"/>
    </row>
    <row r="37" spans="1:7" ht="14.15" customHeight="1" x14ac:dyDescent="0.25">
      <c r="A37" s="16" t="s">
        <v>735</v>
      </c>
      <c r="B37" s="56" t="s">
        <v>62</v>
      </c>
      <c r="C37" s="284">
        <v>0</v>
      </c>
      <c r="E37" s="26"/>
      <c r="G37"/>
    </row>
    <row r="38" spans="1:7" ht="14.15" customHeight="1" x14ac:dyDescent="0.25">
      <c r="A38" s="30" t="s">
        <v>734</v>
      </c>
      <c r="C38"/>
      <c r="D38" s="410">
        <f>C35+C36+C37</f>
        <v>0</v>
      </c>
      <c r="E38" s="26"/>
      <c r="G38"/>
    </row>
    <row r="39" spans="1:7" ht="14.15" customHeight="1" x14ac:dyDescent="0.25">
      <c r="A39" s="30" t="s">
        <v>306</v>
      </c>
      <c r="C39"/>
      <c r="D39" s="410">
        <f>E35-D38</f>
        <v>0</v>
      </c>
      <c r="E39" s="26"/>
      <c r="G39"/>
    </row>
    <row r="40" spans="1:7" ht="14.15" customHeight="1" x14ac:dyDescent="0.25">
      <c r="A40" s="103"/>
      <c r="B40" s="45"/>
      <c r="C40" s="45"/>
      <c r="D40" s="45"/>
      <c r="E40" s="46"/>
      <c r="G40"/>
    </row>
    <row r="41" spans="1:7" ht="12" customHeight="1" x14ac:dyDescent="0.25">
      <c r="A41" s="4" t="s">
        <v>307</v>
      </c>
      <c r="C41"/>
      <c r="E41"/>
      <c r="G41"/>
    </row>
    <row r="42" spans="1:7" ht="12" customHeight="1" x14ac:dyDescent="0.25">
      <c r="A42" s="4" t="s">
        <v>308</v>
      </c>
      <c r="C42"/>
      <c r="E42"/>
      <c r="G42"/>
    </row>
    <row r="43" spans="1:7" ht="12" customHeight="1" x14ac:dyDescent="0.25">
      <c r="A43" t="s">
        <v>737</v>
      </c>
      <c r="C43"/>
      <c r="E43"/>
      <c r="G43"/>
    </row>
    <row r="44" spans="1:7" ht="12" customHeight="1" x14ac:dyDescent="0.25">
      <c r="A44" s="4" t="s">
        <v>309</v>
      </c>
      <c r="C44"/>
      <c r="E44"/>
      <c r="G44"/>
    </row>
    <row r="45" spans="1:7" ht="12" customHeight="1" x14ac:dyDescent="0.25">
      <c r="A45" t="s">
        <v>736</v>
      </c>
      <c r="C45"/>
      <c r="E45"/>
      <c r="G45"/>
    </row>
    <row r="46" spans="1:7" ht="12" customHeight="1" x14ac:dyDescent="0.25">
      <c r="A46" s="4" t="s">
        <v>310</v>
      </c>
      <c r="C46"/>
      <c r="E46"/>
      <c r="G46"/>
    </row>
    <row r="47" spans="1:7" ht="12" customHeight="1" x14ac:dyDescent="0.25">
      <c r="A47" t="s">
        <v>311</v>
      </c>
      <c r="C47"/>
      <c r="E47"/>
      <c r="G47"/>
    </row>
    <row r="48" spans="1:7" ht="12" customHeight="1" x14ac:dyDescent="0.25">
      <c r="A48" t="s">
        <v>752</v>
      </c>
      <c r="C48"/>
      <c r="E48"/>
      <c r="G48"/>
    </row>
    <row r="49" spans="1:7" ht="12" customHeight="1" x14ac:dyDescent="0.25">
      <c r="A49" t="s">
        <v>738</v>
      </c>
      <c r="C49"/>
      <c r="E49"/>
      <c r="G49"/>
    </row>
    <row r="50" spans="1:7" ht="14.15" customHeight="1" x14ac:dyDescent="0.25">
      <c r="C50"/>
      <c r="E50"/>
      <c r="G50"/>
    </row>
    <row r="51" spans="1:7" ht="14.15" customHeight="1" x14ac:dyDescent="0.25">
      <c r="C51"/>
      <c r="E51"/>
      <c r="G51"/>
    </row>
    <row r="52" spans="1:7" ht="14.15" customHeight="1" x14ac:dyDescent="0.25">
      <c r="C52"/>
      <c r="E52"/>
      <c r="G52"/>
    </row>
    <row r="53" spans="1:7" ht="14.15" customHeight="1" x14ac:dyDescent="0.25">
      <c r="C53"/>
      <c r="E53"/>
      <c r="G53"/>
    </row>
    <row r="54" spans="1:7" ht="14.15" customHeight="1" x14ac:dyDescent="0.25">
      <c r="C54"/>
      <c r="E54"/>
      <c r="G54"/>
    </row>
    <row r="55" spans="1:7" ht="16" customHeight="1" x14ac:dyDescent="0.25">
      <c r="C55"/>
      <c r="E55"/>
      <c r="G55"/>
    </row>
    <row r="56" spans="1:7" ht="16" customHeight="1" x14ac:dyDescent="0.25">
      <c r="C56"/>
      <c r="E56"/>
      <c r="G56"/>
    </row>
    <row r="57" spans="1:7" ht="16" customHeight="1" x14ac:dyDescent="0.25">
      <c r="C57"/>
      <c r="E57"/>
    </row>
    <row r="58" spans="1:7" ht="16" customHeight="1" x14ac:dyDescent="0.25">
      <c r="C58"/>
      <c r="E58"/>
    </row>
    <row r="59" spans="1:7" ht="16" customHeight="1" x14ac:dyDescent="0.25">
      <c r="C59"/>
      <c r="E59"/>
    </row>
    <row r="60" spans="1:7" ht="16" customHeight="1" x14ac:dyDescent="0.25">
      <c r="C60"/>
      <c r="E60"/>
    </row>
    <row r="61" spans="1:7" ht="16" customHeight="1" x14ac:dyDescent="0.25">
      <c r="C61"/>
      <c r="E61"/>
    </row>
    <row r="62" spans="1:7" ht="16" customHeight="1" x14ac:dyDescent="0.25">
      <c r="C62"/>
      <c r="E62"/>
    </row>
    <row r="63" spans="1:7" ht="16" customHeight="1" x14ac:dyDescent="0.25">
      <c r="C63"/>
      <c r="E63"/>
    </row>
    <row r="64" spans="1:7" ht="16" customHeight="1" x14ac:dyDescent="0.25">
      <c r="C64"/>
      <c r="E64"/>
    </row>
    <row r="65" spans="3:5" ht="16" customHeight="1" x14ac:dyDescent="0.25">
      <c r="C65"/>
      <c r="E65"/>
    </row>
    <row r="66" spans="3:5" ht="16" customHeight="1" x14ac:dyDescent="0.25">
      <c r="C66"/>
      <c r="E66"/>
    </row>
    <row r="67" spans="3:5" ht="16" customHeight="1" x14ac:dyDescent="0.25">
      <c r="C67"/>
      <c r="E67"/>
    </row>
    <row r="68" spans="3:5" ht="16" customHeight="1" x14ac:dyDescent="0.25">
      <c r="C68"/>
      <c r="E68"/>
    </row>
    <row r="69" spans="3:5" ht="16" customHeight="1" x14ac:dyDescent="0.25">
      <c r="C69"/>
      <c r="E69"/>
    </row>
    <row r="70" spans="3:5" ht="16" customHeight="1" x14ac:dyDescent="0.25">
      <c r="C70"/>
      <c r="E70"/>
    </row>
    <row r="71" spans="3:5" ht="16" customHeight="1" x14ac:dyDescent="0.25">
      <c r="C71"/>
      <c r="E71"/>
    </row>
    <row r="72" spans="3:5" ht="16" customHeight="1" x14ac:dyDescent="0.25">
      <c r="C72"/>
      <c r="E72"/>
    </row>
    <row r="73" spans="3:5" ht="16" customHeight="1" x14ac:dyDescent="0.25">
      <c r="C73"/>
      <c r="E73"/>
    </row>
    <row r="74" spans="3:5" ht="16" customHeight="1" x14ac:dyDescent="0.25">
      <c r="C74"/>
      <c r="E74"/>
    </row>
    <row r="75" spans="3:5" ht="13.5" customHeight="1" x14ac:dyDescent="0.25">
      <c r="C75"/>
      <c r="E75"/>
    </row>
    <row r="76" spans="3:5" ht="13.5" customHeight="1" x14ac:dyDescent="0.25">
      <c r="C76"/>
      <c r="E76"/>
    </row>
    <row r="77" spans="3:5" ht="12.75" customHeight="1" x14ac:dyDescent="0.25">
      <c r="C77"/>
      <c r="E77"/>
    </row>
    <row r="78" spans="3:5" ht="12.75" customHeight="1" x14ac:dyDescent="0.25">
      <c r="C78"/>
      <c r="E78"/>
    </row>
    <row r="79" spans="3:5" ht="12.75" customHeight="1" x14ac:dyDescent="0.25">
      <c r="C79"/>
      <c r="E79"/>
    </row>
    <row r="80" spans="3:5" ht="13.5" customHeight="1" x14ac:dyDescent="0.25">
      <c r="C80"/>
      <c r="E80"/>
    </row>
    <row r="81" spans="3:7" ht="12.75" customHeight="1" x14ac:dyDescent="0.25">
      <c r="C81"/>
      <c r="E81"/>
    </row>
    <row r="82" spans="3:7" ht="12.75" customHeight="1" x14ac:dyDescent="0.25">
      <c r="C82"/>
      <c r="E82"/>
    </row>
    <row r="83" spans="3:7" ht="12.75" customHeight="1" x14ac:dyDescent="0.25">
      <c r="C83"/>
      <c r="E83"/>
    </row>
    <row r="84" spans="3:7" ht="12.75" customHeight="1" x14ac:dyDescent="0.25">
      <c r="C84"/>
      <c r="E84"/>
    </row>
    <row r="85" spans="3:7" ht="12.75" customHeight="1" x14ac:dyDescent="0.25">
      <c r="C85"/>
      <c r="E85"/>
    </row>
    <row r="86" spans="3:7" ht="12.75" customHeight="1" x14ac:dyDescent="0.25">
      <c r="C86"/>
      <c r="E86"/>
    </row>
    <row r="87" spans="3:7" ht="12.75" customHeight="1" x14ac:dyDescent="0.25">
      <c r="C87"/>
      <c r="E87"/>
    </row>
    <row r="88" spans="3:7" ht="12.75" customHeight="1" x14ac:dyDescent="0.25">
      <c r="C88"/>
      <c r="E88"/>
    </row>
    <row r="89" spans="3:7" ht="12.75" customHeight="1" x14ac:dyDescent="0.25">
      <c r="C89"/>
      <c r="E89"/>
      <c r="G89"/>
    </row>
    <row r="90" spans="3:7" ht="12.75" customHeight="1" x14ac:dyDescent="0.25">
      <c r="C90"/>
      <c r="E90"/>
      <c r="G90"/>
    </row>
    <row r="91" spans="3:7" ht="12.75" customHeight="1" x14ac:dyDescent="0.25">
      <c r="C91"/>
      <c r="E91"/>
      <c r="G91"/>
    </row>
    <row r="92" spans="3:7" ht="12.75" customHeight="1" x14ac:dyDescent="0.25">
      <c r="C92"/>
      <c r="E92"/>
      <c r="G92"/>
    </row>
    <row r="93" spans="3:7" ht="12.75" customHeight="1" x14ac:dyDescent="0.25">
      <c r="C93"/>
      <c r="E93"/>
      <c r="G93"/>
    </row>
    <row r="94" spans="3:7" ht="12.75" customHeight="1" x14ac:dyDescent="0.25">
      <c r="C94"/>
      <c r="E94"/>
      <c r="G94"/>
    </row>
    <row r="95" spans="3:7" ht="12.75" customHeight="1" x14ac:dyDescent="0.25">
      <c r="C95"/>
      <c r="E95"/>
      <c r="G95"/>
    </row>
    <row r="96" spans="3:7" ht="12.75" customHeight="1" x14ac:dyDescent="0.25">
      <c r="C96"/>
      <c r="E96"/>
      <c r="G96"/>
    </row>
    <row r="97" spans="3:7" ht="12.75" customHeight="1" x14ac:dyDescent="0.25">
      <c r="C97"/>
      <c r="E97"/>
      <c r="G97"/>
    </row>
    <row r="98" spans="3:7" ht="12.75" customHeight="1" x14ac:dyDescent="0.25">
      <c r="C98"/>
      <c r="E98"/>
      <c r="G98"/>
    </row>
    <row r="99" spans="3:7" ht="12.75" customHeight="1" x14ac:dyDescent="0.25">
      <c r="C99"/>
      <c r="E99"/>
      <c r="G99"/>
    </row>
    <row r="100" spans="3:7" ht="12.75" customHeight="1" x14ac:dyDescent="0.25">
      <c r="C100"/>
      <c r="E100"/>
      <c r="G100"/>
    </row>
    <row r="101" spans="3:7" ht="12.75" customHeight="1" x14ac:dyDescent="0.25">
      <c r="C101"/>
      <c r="E101"/>
      <c r="G101"/>
    </row>
    <row r="102" spans="3:7" ht="12.75" customHeight="1" x14ac:dyDescent="0.25">
      <c r="C102"/>
      <c r="E102"/>
      <c r="G102"/>
    </row>
    <row r="103" spans="3:7" ht="12.75" customHeight="1" x14ac:dyDescent="0.25">
      <c r="C103"/>
      <c r="E103"/>
      <c r="G103"/>
    </row>
    <row r="104" spans="3:7" ht="12.75" customHeight="1" x14ac:dyDescent="0.25">
      <c r="C104"/>
      <c r="E104"/>
      <c r="G104"/>
    </row>
    <row r="105" spans="3:7" ht="12.75" customHeight="1" x14ac:dyDescent="0.25">
      <c r="C105"/>
      <c r="E105"/>
      <c r="G105"/>
    </row>
    <row r="106" spans="3:7" ht="12.75" customHeight="1" x14ac:dyDescent="0.25">
      <c r="C106"/>
      <c r="E106"/>
      <c r="G106"/>
    </row>
    <row r="107" spans="3:7" ht="12.75" customHeight="1" x14ac:dyDescent="0.25">
      <c r="C107"/>
      <c r="E107"/>
      <c r="G107"/>
    </row>
    <row r="108" spans="3:7" ht="12.75" customHeight="1" x14ac:dyDescent="0.25">
      <c r="C108"/>
      <c r="E108"/>
      <c r="G108"/>
    </row>
    <row r="109" spans="3:7" ht="12.75" customHeight="1" x14ac:dyDescent="0.25">
      <c r="C109"/>
      <c r="E109"/>
      <c r="G109"/>
    </row>
    <row r="110" spans="3:7" ht="12.75" customHeight="1" x14ac:dyDescent="0.25">
      <c r="C110"/>
      <c r="E110"/>
      <c r="G110"/>
    </row>
    <row r="111" spans="3:7" ht="12.75" customHeight="1" x14ac:dyDescent="0.25">
      <c r="C111"/>
      <c r="E111"/>
      <c r="G111"/>
    </row>
    <row r="112" spans="3:7" ht="12.75" customHeight="1" x14ac:dyDescent="0.25">
      <c r="C112"/>
      <c r="E112"/>
      <c r="G112"/>
    </row>
    <row r="113" spans="3:7" ht="12.75" customHeight="1" x14ac:dyDescent="0.25">
      <c r="C113"/>
      <c r="E113"/>
      <c r="G113"/>
    </row>
    <row r="114" spans="3:7" ht="12.75" customHeight="1" x14ac:dyDescent="0.25">
      <c r="C114"/>
      <c r="E114"/>
      <c r="G114"/>
    </row>
    <row r="115" spans="3:7" ht="12.75" customHeight="1" x14ac:dyDescent="0.25">
      <c r="C115"/>
      <c r="E115"/>
      <c r="G115"/>
    </row>
    <row r="116" spans="3:7" ht="12.75" customHeight="1" x14ac:dyDescent="0.25">
      <c r="C116"/>
      <c r="E116"/>
      <c r="G116"/>
    </row>
    <row r="117" spans="3:7" ht="12.75" customHeight="1" x14ac:dyDescent="0.25">
      <c r="C117"/>
      <c r="E117"/>
      <c r="G117"/>
    </row>
    <row r="118" spans="3:7" ht="12.75" customHeight="1" x14ac:dyDescent="0.25">
      <c r="C118"/>
      <c r="E118"/>
      <c r="G118"/>
    </row>
    <row r="119" spans="3:7" ht="12.75" customHeight="1" x14ac:dyDescent="0.25">
      <c r="C119"/>
      <c r="E119"/>
      <c r="G119"/>
    </row>
    <row r="120" spans="3:7" ht="12.75" customHeight="1" x14ac:dyDescent="0.25">
      <c r="C120"/>
      <c r="E120"/>
      <c r="G120"/>
    </row>
    <row r="121" spans="3:7" ht="12.75" customHeight="1" x14ac:dyDescent="0.25">
      <c r="C121"/>
      <c r="E121"/>
      <c r="G121"/>
    </row>
    <row r="122" spans="3:7" ht="12.75" customHeight="1" x14ac:dyDescent="0.25">
      <c r="C122"/>
      <c r="E122"/>
      <c r="G122"/>
    </row>
    <row r="123" spans="3:7" ht="12.75" customHeight="1" x14ac:dyDescent="0.25">
      <c r="C123"/>
      <c r="E123"/>
      <c r="G123"/>
    </row>
    <row r="124" spans="3:7" ht="12.75" customHeight="1" x14ac:dyDescent="0.25">
      <c r="C124"/>
      <c r="E124"/>
      <c r="G124"/>
    </row>
    <row r="125" spans="3:7" ht="12.75" customHeight="1" x14ac:dyDescent="0.25">
      <c r="C125"/>
      <c r="E125"/>
      <c r="G125"/>
    </row>
    <row r="126" spans="3:7" ht="12.75" customHeight="1" x14ac:dyDescent="0.25">
      <c r="C126"/>
      <c r="E126"/>
      <c r="G126"/>
    </row>
    <row r="127" spans="3:7" ht="12.75" customHeight="1" x14ac:dyDescent="0.25">
      <c r="C127"/>
      <c r="E127"/>
      <c r="G127"/>
    </row>
    <row r="128" spans="3:7" ht="12.75" customHeight="1" x14ac:dyDescent="0.25">
      <c r="C128"/>
      <c r="E128"/>
      <c r="G128"/>
    </row>
    <row r="129" spans="3:7" ht="12.75" customHeight="1" x14ac:dyDescent="0.25">
      <c r="C129"/>
      <c r="E129"/>
      <c r="G129"/>
    </row>
    <row r="130" spans="3:7" ht="12.75" customHeight="1" x14ac:dyDescent="0.25">
      <c r="C130"/>
      <c r="E130"/>
      <c r="G130"/>
    </row>
    <row r="131" spans="3:7" ht="12.75" customHeight="1" x14ac:dyDescent="0.25">
      <c r="C131"/>
      <c r="E131"/>
      <c r="G131"/>
    </row>
    <row r="132" spans="3:7" ht="12.75" customHeight="1" x14ac:dyDescent="0.25">
      <c r="C132"/>
      <c r="E132"/>
      <c r="G132"/>
    </row>
    <row r="133" spans="3:7" ht="12.75" customHeight="1" x14ac:dyDescent="0.25">
      <c r="C133"/>
      <c r="E133"/>
      <c r="G133"/>
    </row>
    <row r="134" spans="3:7" ht="12.75" customHeight="1" x14ac:dyDescent="0.25">
      <c r="C134"/>
      <c r="E134"/>
      <c r="G134"/>
    </row>
    <row r="135" spans="3:7" ht="12.75" customHeight="1" x14ac:dyDescent="0.25">
      <c r="C135"/>
      <c r="E135"/>
      <c r="G135"/>
    </row>
    <row r="136" spans="3:7" ht="12.75" customHeight="1" x14ac:dyDescent="0.25">
      <c r="C136"/>
      <c r="E136"/>
      <c r="G136"/>
    </row>
    <row r="137" spans="3:7" ht="12.75" customHeight="1" x14ac:dyDescent="0.25">
      <c r="C137"/>
      <c r="E137"/>
      <c r="G137"/>
    </row>
    <row r="138" spans="3:7" ht="12.75" customHeight="1" x14ac:dyDescent="0.25">
      <c r="C138"/>
      <c r="E138"/>
      <c r="G138"/>
    </row>
    <row r="139" spans="3:7" ht="12.75" customHeight="1" x14ac:dyDescent="0.25">
      <c r="C139"/>
      <c r="E139"/>
      <c r="G139"/>
    </row>
    <row r="140" spans="3:7" ht="12.75" customHeight="1" x14ac:dyDescent="0.25">
      <c r="C140"/>
      <c r="E140"/>
      <c r="G140"/>
    </row>
    <row r="141" spans="3:7" ht="12.75" customHeight="1" x14ac:dyDescent="0.25">
      <c r="C141"/>
      <c r="E141"/>
      <c r="G141"/>
    </row>
    <row r="142" spans="3:7" ht="12.75" customHeight="1" x14ac:dyDescent="0.25">
      <c r="C142"/>
      <c r="E142"/>
      <c r="G142"/>
    </row>
    <row r="143" spans="3:7" ht="12.75" customHeight="1" x14ac:dyDescent="0.25">
      <c r="C143"/>
      <c r="E143"/>
      <c r="G143"/>
    </row>
    <row r="144" spans="3:7" ht="12.75" customHeight="1" x14ac:dyDescent="0.25">
      <c r="C144"/>
      <c r="E144"/>
      <c r="G144"/>
    </row>
    <row r="145" spans="3:7" ht="12.75" customHeight="1" x14ac:dyDescent="0.25">
      <c r="C145"/>
      <c r="E145"/>
      <c r="G145"/>
    </row>
    <row r="146" spans="3:7" ht="12.75" customHeight="1" x14ac:dyDescent="0.25">
      <c r="C146"/>
      <c r="E146"/>
      <c r="G146"/>
    </row>
    <row r="147" spans="3:7" ht="12.75" customHeight="1" x14ac:dyDescent="0.25">
      <c r="C147"/>
      <c r="E147"/>
      <c r="G147"/>
    </row>
    <row r="148" spans="3:7" ht="12.75" customHeight="1" x14ac:dyDescent="0.25">
      <c r="C148"/>
      <c r="E148"/>
      <c r="G148"/>
    </row>
    <row r="149" spans="3:7" ht="12.75" customHeight="1" x14ac:dyDescent="0.25">
      <c r="C149"/>
      <c r="E149"/>
      <c r="G149"/>
    </row>
    <row r="150" spans="3:7" ht="12.75" customHeight="1" x14ac:dyDescent="0.25">
      <c r="C150"/>
      <c r="E150"/>
      <c r="G150"/>
    </row>
    <row r="151" spans="3:7" ht="12.75" customHeight="1" x14ac:dyDescent="0.25">
      <c r="C151"/>
      <c r="E151"/>
      <c r="G151"/>
    </row>
    <row r="152" spans="3:7" ht="12.75" customHeight="1" x14ac:dyDescent="0.25">
      <c r="C152"/>
      <c r="E152"/>
      <c r="G152"/>
    </row>
    <row r="153" spans="3:7" ht="12.75" customHeight="1" x14ac:dyDescent="0.25">
      <c r="C153"/>
      <c r="E153"/>
      <c r="G153"/>
    </row>
    <row r="154" spans="3:7" ht="12.75" customHeight="1" x14ac:dyDescent="0.25">
      <c r="C154"/>
      <c r="E154"/>
      <c r="G154"/>
    </row>
    <row r="155" spans="3:7" ht="12.75" customHeight="1" x14ac:dyDescent="0.25">
      <c r="C155"/>
      <c r="E155"/>
      <c r="G155"/>
    </row>
    <row r="156" spans="3:7" ht="12.75" customHeight="1" x14ac:dyDescent="0.25">
      <c r="C156"/>
      <c r="E156"/>
      <c r="G156"/>
    </row>
    <row r="157" spans="3:7" ht="12.75" customHeight="1" x14ac:dyDescent="0.25">
      <c r="C157"/>
      <c r="E157"/>
      <c r="G157"/>
    </row>
    <row r="158" spans="3:7" ht="12.75" customHeight="1" x14ac:dyDescent="0.25">
      <c r="C158"/>
      <c r="E158"/>
      <c r="G158"/>
    </row>
    <row r="159" spans="3:7" ht="12.75" customHeight="1" x14ac:dyDescent="0.25">
      <c r="C159"/>
      <c r="E159"/>
      <c r="G159"/>
    </row>
    <row r="160" spans="3:7" ht="12.75" customHeight="1" x14ac:dyDescent="0.25">
      <c r="C160"/>
      <c r="E160"/>
      <c r="G160"/>
    </row>
    <row r="161" spans="3:7" ht="12.75" customHeight="1" x14ac:dyDescent="0.25">
      <c r="C161"/>
      <c r="E161"/>
      <c r="G161"/>
    </row>
    <row r="162" spans="3:7" ht="12.75" customHeight="1" x14ac:dyDescent="0.25">
      <c r="C162"/>
      <c r="E162"/>
      <c r="G162"/>
    </row>
    <row r="163" spans="3:7" ht="12.75" customHeight="1" x14ac:dyDescent="0.25">
      <c r="C163"/>
      <c r="E163"/>
      <c r="G163"/>
    </row>
    <row r="164" spans="3:7" ht="12.75" customHeight="1" x14ac:dyDescent="0.25">
      <c r="C164"/>
      <c r="E164"/>
      <c r="G164"/>
    </row>
    <row r="165" spans="3:7" ht="12.75" customHeight="1" x14ac:dyDescent="0.25">
      <c r="C165"/>
      <c r="E165"/>
      <c r="G165"/>
    </row>
    <row r="166" spans="3:7" ht="12.75" customHeight="1" x14ac:dyDescent="0.25">
      <c r="C166"/>
      <c r="E166"/>
      <c r="G166"/>
    </row>
    <row r="167" spans="3:7" ht="12.75" customHeight="1" x14ac:dyDescent="0.25">
      <c r="C167"/>
      <c r="E167"/>
      <c r="G167"/>
    </row>
    <row r="168" spans="3:7" ht="12.75" customHeight="1" x14ac:dyDescent="0.25">
      <c r="C168"/>
      <c r="E168"/>
      <c r="G168"/>
    </row>
    <row r="169" spans="3:7" ht="12.75" customHeight="1" x14ac:dyDescent="0.25">
      <c r="C169"/>
      <c r="E169"/>
      <c r="G169"/>
    </row>
    <row r="170" spans="3:7" ht="12.75" customHeight="1" x14ac:dyDescent="0.25">
      <c r="C170"/>
      <c r="E170"/>
      <c r="G170"/>
    </row>
    <row r="171" spans="3:7" ht="12.75" customHeight="1" x14ac:dyDescent="0.25">
      <c r="C171"/>
      <c r="E171"/>
      <c r="G171"/>
    </row>
    <row r="172" spans="3:7" ht="12.75" customHeight="1" x14ac:dyDescent="0.25">
      <c r="C172"/>
      <c r="E172"/>
      <c r="G172"/>
    </row>
    <row r="173" spans="3:7" ht="12.75" customHeight="1" x14ac:dyDescent="0.25">
      <c r="C173"/>
      <c r="E173"/>
      <c r="G173"/>
    </row>
    <row r="174" spans="3:7" ht="12.75" customHeight="1" x14ac:dyDescent="0.25">
      <c r="C174"/>
      <c r="E174"/>
      <c r="G174"/>
    </row>
    <row r="175" spans="3:7" ht="12.75" customHeight="1" x14ac:dyDescent="0.25">
      <c r="C175"/>
      <c r="E175"/>
      <c r="G175"/>
    </row>
    <row r="176" spans="3:7" ht="12.75" customHeight="1" x14ac:dyDescent="0.25">
      <c r="C176"/>
      <c r="E176"/>
      <c r="G176"/>
    </row>
    <row r="177" spans="3:7" ht="12.75" customHeight="1" x14ac:dyDescent="0.25">
      <c r="C177"/>
      <c r="E177"/>
      <c r="G177"/>
    </row>
    <row r="178" spans="3:7" ht="12.75" customHeight="1" x14ac:dyDescent="0.25">
      <c r="C178"/>
      <c r="E178"/>
      <c r="G178"/>
    </row>
    <row r="179" spans="3:7" ht="12.75" customHeight="1" x14ac:dyDescent="0.25">
      <c r="C179"/>
      <c r="E179"/>
      <c r="G179"/>
    </row>
    <row r="180" spans="3:7" ht="12.75" customHeight="1" x14ac:dyDescent="0.25">
      <c r="C180"/>
      <c r="E180"/>
      <c r="G180"/>
    </row>
    <row r="181" spans="3:7" ht="12.75" customHeight="1" x14ac:dyDescent="0.25">
      <c r="C181"/>
      <c r="E181"/>
      <c r="G181"/>
    </row>
    <row r="182" spans="3:7" ht="12.75" customHeight="1" x14ac:dyDescent="0.25">
      <c r="C182"/>
      <c r="E182"/>
      <c r="G182"/>
    </row>
    <row r="183" spans="3:7" ht="12.75" customHeight="1" x14ac:dyDescent="0.25">
      <c r="C183"/>
      <c r="E183"/>
      <c r="G183"/>
    </row>
    <row r="184" spans="3:7" ht="12.75" customHeight="1" x14ac:dyDescent="0.25">
      <c r="C184"/>
      <c r="E184"/>
      <c r="G184"/>
    </row>
    <row r="185" spans="3:7" ht="12.75" customHeight="1" x14ac:dyDescent="0.25">
      <c r="C185"/>
      <c r="E185"/>
      <c r="G185"/>
    </row>
    <row r="186" spans="3:7" ht="12.75" customHeight="1" x14ac:dyDescent="0.25">
      <c r="C186"/>
      <c r="E186"/>
      <c r="G186"/>
    </row>
    <row r="187" spans="3:7" ht="12.75" customHeight="1" x14ac:dyDescent="0.25">
      <c r="C187"/>
      <c r="E187"/>
      <c r="G187"/>
    </row>
    <row r="188" spans="3:7" ht="12.75" customHeight="1" x14ac:dyDescent="0.25">
      <c r="C188"/>
      <c r="E188"/>
      <c r="G188"/>
    </row>
    <row r="189" spans="3:7" ht="12.75" customHeight="1" x14ac:dyDescent="0.25">
      <c r="C189"/>
      <c r="E189"/>
      <c r="G189"/>
    </row>
    <row r="190" spans="3:7" ht="12.75" customHeight="1" x14ac:dyDescent="0.25">
      <c r="C190"/>
      <c r="E190"/>
      <c r="G190"/>
    </row>
    <row r="191" spans="3:7" ht="12.75" customHeight="1" x14ac:dyDescent="0.25">
      <c r="C191"/>
      <c r="E191"/>
      <c r="G191"/>
    </row>
    <row r="192" spans="3:7" ht="12.75" customHeight="1" x14ac:dyDescent="0.25">
      <c r="C192"/>
      <c r="E192"/>
      <c r="G192"/>
    </row>
    <row r="193" spans="3:7" ht="12.75" customHeight="1" x14ac:dyDescent="0.25">
      <c r="C193"/>
      <c r="E193"/>
      <c r="G193"/>
    </row>
    <row r="194" spans="3:7" ht="12.75" customHeight="1" x14ac:dyDescent="0.25">
      <c r="C194"/>
      <c r="E194"/>
      <c r="G194"/>
    </row>
    <row r="195" spans="3:7" ht="12.75" customHeight="1" x14ac:dyDescent="0.25">
      <c r="C195"/>
      <c r="E195"/>
      <c r="G195"/>
    </row>
    <row r="196" spans="3:7" ht="12.75" customHeight="1" x14ac:dyDescent="0.25">
      <c r="C196"/>
      <c r="E196"/>
      <c r="G196"/>
    </row>
    <row r="197" spans="3:7" ht="12.75" customHeight="1" x14ac:dyDescent="0.25">
      <c r="C197"/>
      <c r="E197"/>
      <c r="G197"/>
    </row>
    <row r="198" spans="3:7" ht="12.75" customHeight="1" x14ac:dyDescent="0.25">
      <c r="C198"/>
      <c r="E198"/>
      <c r="G198"/>
    </row>
    <row r="199" spans="3:7" ht="12.75" customHeight="1" x14ac:dyDescent="0.25">
      <c r="C199"/>
      <c r="E199"/>
      <c r="G199"/>
    </row>
    <row r="200" spans="3:7" ht="12.75" customHeight="1" x14ac:dyDescent="0.25">
      <c r="C200"/>
      <c r="E200"/>
      <c r="G200"/>
    </row>
    <row r="201" spans="3:7" ht="12.75" customHeight="1" x14ac:dyDescent="0.25">
      <c r="C201"/>
      <c r="E201"/>
      <c r="G201"/>
    </row>
    <row r="202" spans="3:7" ht="12.75" customHeight="1" x14ac:dyDescent="0.25">
      <c r="C202"/>
      <c r="E202"/>
      <c r="G202"/>
    </row>
    <row r="203" spans="3:7" ht="12.75" customHeight="1" x14ac:dyDescent="0.25">
      <c r="C203"/>
      <c r="E203"/>
      <c r="G203"/>
    </row>
    <row r="204" spans="3:7" ht="12.75" customHeight="1" x14ac:dyDescent="0.25">
      <c r="C204"/>
      <c r="E204"/>
      <c r="G204"/>
    </row>
    <row r="205" spans="3:7" ht="12.75" customHeight="1" x14ac:dyDescent="0.25">
      <c r="C205"/>
      <c r="E205"/>
      <c r="G205"/>
    </row>
    <row r="206" spans="3:7" ht="12.75" customHeight="1" x14ac:dyDescent="0.25">
      <c r="C206"/>
      <c r="E206"/>
      <c r="G206"/>
    </row>
    <row r="207" spans="3:7" ht="12.75" customHeight="1" x14ac:dyDescent="0.25">
      <c r="C207"/>
      <c r="E207"/>
      <c r="G207"/>
    </row>
    <row r="208" spans="3:7" ht="12.75" customHeight="1" x14ac:dyDescent="0.25">
      <c r="C208"/>
      <c r="E208"/>
      <c r="G208"/>
    </row>
    <row r="209" spans="3:7" ht="12.75" customHeight="1" x14ac:dyDescent="0.25">
      <c r="C209"/>
      <c r="E209"/>
      <c r="G209"/>
    </row>
    <row r="210" spans="3:7" ht="12.75" customHeight="1" x14ac:dyDescent="0.25">
      <c r="C210"/>
      <c r="E210"/>
      <c r="G210"/>
    </row>
    <row r="211" spans="3:7" ht="12.75" customHeight="1" x14ac:dyDescent="0.25">
      <c r="C211"/>
      <c r="E211"/>
      <c r="G211"/>
    </row>
    <row r="212" spans="3:7" ht="12.75" customHeight="1" x14ac:dyDescent="0.25">
      <c r="C212"/>
      <c r="E212"/>
      <c r="G212"/>
    </row>
    <row r="213" spans="3:7" ht="12.75" customHeight="1" x14ac:dyDescent="0.25">
      <c r="C213"/>
      <c r="E213"/>
      <c r="G213"/>
    </row>
    <row r="214" spans="3:7" ht="12.75" customHeight="1" x14ac:dyDescent="0.25">
      <c r="C214"/>
      <c r="E214"/>
      <c r="G214"/>
    </row>
    <row r="215" spans="3:7" ht="12.75" customHeight="1" x14ac:dyDescent="0.25">
      <c r="C215"/>
      <c r="E215"/>
      <c r="G215"/>
    </row>
    <row r="216" spans="3:7" ht="12.75" customHeight="1" x14ac:dyDescent="0.25">
      <c r="C216"/>
      <c r="E216"/>
      <c r="G216"/>
    </row>
    <row r="217" spans="3:7" ht="12.75" customHeight="1" x14ac:dyDescent="0.25">
      <c r="C217"/>
      <c r="E217"/>
      <c r="G217"/>
    </row>
    <row r="218" spans="3:7" ht="12.75" customHeight="1" x14ac:dyDescent="0.25">
      <c r="C218"/>
      <c r="E218"/>
      <c r="G218"/>
    </row>
    <row r="219" spans="3:7" ht="12.75" customHeight="1" x14ac:dyDescent="0.25">
      <c r="C219"/>
      <c r="E219"/>
      <c r="G219"/>
    </row>
    <row r="220" spans="3:7" ht="12.75" customHeight="1" x14ac:dyDescent="0.25">
      <c r="C220"/>
      <c r="E220"/>
      <c r="G220"/>
    </row>
    <row r="221" spans="3:7" ht="12.75" customHeight="1" x14ac:dyDescent="0.25">
      <c r="C221"/>
      <c r="E221"/>
      <c r="G221"/>
    </row>
    <row r="222" spans="3:7" ht="12.75" customHeight="1" x14ac:dyDescent="0.25">
      <c r="C222"/>
      <c r="E222"/>
      <c r="G222"/>
    </row>
    <row r="223" spans="3:7" ht="12.75" customHeight="1" x14ac:dyDescent="0.25">
      <c r="C223"/>
      <c r="E223"/>
      <c r="G223"/>
    </row>
    <row r="224" spans="3:7" ht="12.75" customHeight="1" x14ac:dyDescent="0.25">
      <c r="C224"/>
      <c r="E224"/>
      <c r="G224"/>
    </row>
    <row r="225" spans="3:7" ht="12.75" customHeight="1" x14ac:dyDescent="0.25">
      <c r="C225"/>
      <c r="E225"/>
      <c r="G225"/>
    </row>
    <row r="226" spans="3:7" ht="12.75" customHeight="1" x14ac:dyDescent="0.25">
      <c r="C226"/>
      <c r="E226"/>
      <c r="G226"/>
    </row>
    <row r="227" spans="3:7" ht="12.75" customHeight="1" x14ac:dyDescent="0.25">
      <c r="C227"/>
      <c r="E227"/>
      <c r="G227"/>
    </row>
    <row r="228" spans="3:7" ht="12.75" customHeight="1" x14ac:dyDescent="0.25">
      <c r="C228"/>
      <c r="E228"/>
      <c r="G228"/>
    </row>
    <row r="229" spans="3:7" ht="12.75" customHeight="1" x14ac:dyDescent="0.25">
      <c r="C229"/>
      <c r="E229"/>
      <c r="G229"/>
    </row>
    <row r="230" spans="3:7" ht="12.75" customHeight="1" x14ac:dyDescent="0.25">
      <c r="C230"/>
      <c r="E230"/>
      <c r="G230"/>
    </row>
    <row r="231" spans="3:7" ht="12.75" customHeight="1" x14ac:dyDescent="0.25">
      <c r="C231"/>
      <c r="E231"/>
      <c r="G231"/>
    </row>
    <row r="232" spans="3:7" ht="12.75" customHeight="1" x14ac:dyDescent="0.25">
      <c r="C232"/>
      <c r="E232"/>
      <c r="G232"/>
    </row>
    <row r="233" spans="3:7" ht="12.75" customHeight="1" x14ac:dyDescent="0.25">
      <c r="C233"/>
      <c r="E233"/>
      <c r="G233"/>
    </row>
    <row r="234" spans="3:7" ht="12.75" customHeight="1" x14ac:dyDescent="0.25">
      <c r="C234"/>
      <c r="E234"/>
      <c r="G234"/>
    </row>
    <row r="235" spans="3:7" ht="12.75" customHeight="1" x14ac:dyDescent="0.25">
      <c r="C235"/>
      <c r="E235"/>
      <c r="G235"/>
    </row>
    <row r="236" spans="3:7" ht="12.75" customHeight="1" x14ac:dyDescent="0.25">
      <c r="C236"/>
      <c r="E236"/>
      <c r="G236"/>
    </row>
    <row r="237" spans="3:7" ht="12.75" customHeight="1" x14ac:dyDescent="0.25">
      <c r="C237"/>
      <c r="E237"/>
      <c r="G237"/>
    </row>
    <row r="238" spans="3:7" ht="12.75" customHeight="1" x14ac:dyDescent="0.25">
      <c r="C238"/>
      <c r="E238"/>
      <c r="G238"/>
    </row>
    <row r="239" spans="3:7" ht="12.75" customHeight="1" x14ac:dyDescent="0.25">
      <c r="C239"/>
      <c r="E239"/>
      <c r="G239"/>
    </row>
    <row r="240" spans="3:7" ht="12.75" customHeight="1" x14ac:dyDescent="0.25">
      <c r="C240"/>
      <c r="E240"/>
      <c r="G240"/>
    </row>
    <row r="241" spans="3:7" ht="12.75" customHeight="1" x14ac:dyDescent="0.25">
      <c r="C241"/>
      <c r="E241"/>
      <c r="G241"/>
    </row>
    <row r="242" spans="3:7" ht="12.75" customHeight="1" x14ac:dyDescent="0.25">
      <c r="C242"/>
      <c r="E242"/>
      <c r="G242"/>
    </row>
    <row r="243" spans="3:7" ht="12.75" customHeight="1" x14ac:dyDescent="0.25">
      <c r="C243"/>
      <c r="E243"/>
      <c r="G243"/>
    </row>
    <row r="244" spans="3:7" ht="12.75" customHeight="1" x14ac:dyDescent="0.25">
      <c r="C244"/>
      <c r="E244"/>
      <c r="G244"/>
    </row>
    <row r="245" spans="3:7" ht="12.75" customHeight="1" x14ac:dyDescent="0.25">
      <c r="C245"/>
      <c r="E245"/>
      <c r="G245"/>
    </row>
    <row r="246" spans="3:7" ht="12.75" customHeight="1" x14ac:dyDescent="0.25">
      <c r="C246"/>
      <c r="E246"/>
      <c r="G246"/>
    </row>
    <row r="247" spans="3:7" ht="12.75" customHeight="1" x14ac:dyDescent="0.25">
      <c r="C247"/>
      <c r="E247"/>
      <c r="G247"/>
    </row>
    <row r="248" spans="3:7" ht="12.75" customHeight="1" x14ac:dyDescent="0.25">
      <c r="C248"/>
      <c r="E248"/>
      <c r="G248"/>
    </row>
    <row r="249" spans="3:7" ht="12.75" customHeight="1" x14ac:dyDescent="0.25">
      <c r="C249"/>
      <c r="E249"/>
      <c r="G249"/>
    </row>
    <row r="250" spans="3:7" ht="12.75" customHeight="1" x14ac:dyDescent="0.25">
      <c r="C250"/>
      <c r="E250"/>
      <c r="G250"/>
    </row>
    <row r="251" spans="3:7" ht="12.75" customHeight="1" x14ac:dyDescent="0.25">
      <c r="C251"/>
      <c r="E251"/>
      <c r="G251"/>
    </row>
    <row r="252" spans="3:7" ht="12.75" customHeight="1" x14ac:dyDescent="0.25">
      <c r="C252"/>
      <c r="E252"/>
      <c r="G252"/>
    </row>
    <row r="253" spans="3:7" ht="12.75" customHeight="1" x14ac:dyDescent="0.25">
      <c r="C253"/>
      <c r="E253"/>
      <c r="G253"/>
    </row>
    <row r="254" spans="3:7" ht="12.75" customHeight="1" x14ac:dyDescent="0.25">
      <c r="C254"/>
      <c r="E254"/>
      <c r="G254"/>
    </row>
    <row r="255" spans="3:7" ht="12.75" customHeight="1" x14ac:dyDescent="0.25">
      <c r="C255"/>
      <c r="E255"/>
      <c r="G255"/>
    </row>
    <row r="256" spans="3:7" ht="12.75" customHeight="1" x14ac:dyDescent="0.25">
      <c r="C256"/>
      <c r="E256"/>
      <c r="G256"/>
    </row>
    <row r="257" spans="3:7" ht="12.75" customHeight="1" x14ac:dyDescent="0.25">
      <c r="C257"/>
      <c r="E257"/>
      <c r="G257"/>
    </row>
    <row r="258" spans="3:7" ht="12.75" customHeight="1" x14ac:dyDescent="0.25">
      <c r="C258"/>
      <c r="E258"/>
      <c r="G258"/>
    </row>
    <row r="259" spans="3:7" ht="12.75" customHeight="1" x14ac:dyDescent="0.25">
      <c r="C259"/>
      <c r="E259"/>
      <c r="G259"/>
    </row>
    <row r="260" spans="3:7" ht="12.75" customHeight="1" x14ac:dyDescent="0.25">
      <c r="C260"/>
      <c r="E260"/>
      <c r="G260"/>
    </row>
    <row r="261" spans="3:7" ht="12.75" customHeight="1" x14ac:dyDescent="0.25">
      <c r="C261"/>
      <c r="E261"/>
      <c r="G261"/>
    </row>
    <row r="262" spans="3:7" ht="12.75" customHeight="1" x14ac:dyDescent="0.25">
      <c r="C262"/>
      <c r="E262"/>
      <c r="G262"/>
    </row>
    <row r="263" spans="3:7" ht="12.75" customHeight="1" x14ac:dyDescent="0.25">
      <c r="C263"/>
      <c r="E263"/>
      <c r="G263"/>
    </row>
    <row r="264" spans="3:7" ht="12.75" customHeight="1" x14ac:dyDescent="0.25">
      <c r="C264"/>
      <c r="E264"/>
      <c r="G264"/>
    </row>
    <row r="265" spans="3:7" ht="12.75" customHeight="1" x14ac:dyDescent="0.25">
      <c r="C265"/>
      <c r="E265"/>
      <c r="G265"/>
    </row>
    <row r="266" spans="3:7" ht="12.75" customHeight="1" x14ac:dyDescent="0.25">
      <c r="C266"/>
      <c r="E266"/>
      <c r="G266"/>
    </row>
    <row r="267" spans="3:7" ht="12.75" customHeight="1" x14ac:dyDescent="0.25">
      <c r="C267"/>
      <c r="E267"/>
      <c r="G267"/>
    </row>
    <row r="268" spans="3:7" ht="12.75" customHeight="1" x14ac:dyDescent="0.25">
      <c r="C268"/>
      <c r="E268"/>
      <c r="G268"/>
    </row>
    <row r="269" spans="3:7" ht="12.75" customHeight="1" x14ac:dyDescent="0.25">
      <c r="C269"/>
      <c r="E269"/>
      <c r="G269"/>
    </row>
    <row r="270" spans="3:7" ht="12.75" customHeight="1" x14ac:dyDescent="0.25">
      <c r="C270"/>
      <c r="E270"/>
      <c r="G270"/>
    </row>
    <row r="271" spans="3:7" ht="12.75" customHeight="1" x14ac:dyDescent="0.25">
      <c r="C271"/>
      <c r="E271"/>
      <c r="G271"/>
    </row>
    <row r="272" spans="3:7" ht="12.75" customHeight="1" x14ac:dyDescent="0.25">
      <c r="C272"/>
      <c r="E272"/>
      <c r="G272"/>
    </row>
    <row r="273" spans="3:7" ht="12.75" customHeight="1" x14ac:dyDescent="0.25">
      <c r="C273"/>
      <c r="E273"/>
      <c r="G273"/>
    </row>
    <row r="274" spans="3:7" ht="12.75" customHeight="1" x14ac:dyDescent="0.25">
      <c r="C274"/>
      <c r="E274"/>
      <c r="G274"/>
    </row>
    <row r="275" spans="3:7" ht="12.75" customHeight="1" x14ac:dyDescent="0.25">
      <c r="C275"/>
      <c r="E275"/>
      <c r="G275"/>
    </row>
    <row r="276" spans="3:7" ht="12.75" customHeight="1" x14ac:dyDescent="0.25">
      <c r="C276"/>
      <c r="E276"/>
      <c r="G276"/>
    </row>
    <row r="277" spans="3:7" ht="12.75" customHeight="1" x14ac:dyDescent="0.25">
      <c r="C277"/>
      <c r="E277"/>
      <c r="G277"/>
    </row>
    <row r="278" spans="3:7" ht="12.75" customHeight="1" x14ac:dyDescent="0.25">
      <c r="C278"/>
      <c r="E278"/>
      <c r="G278"/>
    </row>
    <row r="279" spans="3:7" ht="12.75" customHeight="1" x14ac:dyDescent="0.25">
      <c r="C279"/>
      <c r="E279"/>
      <c r="G279"/>
    </row>
    <row r="280" spans="3:7" ht="12.75" customHeight="1" x14ac:dyDescent="0.25">
      <c r="C280"/>
      <c r="E280"/>
      <c r="G280"/>
    </row>
    <row r="281" spans="3:7" ht="12.75" customHeight="1" x14ac:dyDescent="0.25">
      <c r="C281"/>
      <c r="E281"/>
      <c r="G281"/>
    </row>
    <row r="282" spans="3:7" ht="12.75" customHeight="1" x14ac:dyDescent="0.25">
      <c r="C282"/>
      <c r="E282"/>
      <c r="G282"/>
    </row>
    <row r="283" spans="3:7" ht="12.75" customHeight="1" x14ac:dyDescent="0.25">
      <c r="C283"/>
      <c r="E283"/>
      <c r="G283"/>
    </row>
    <row r="284" spans="3:7" ht="12.75" customHeight="1" x14ac:dyDescent="0.25">
      <c r="C284"/>
      <c r="E284"/>
      <c r="G284"/>
    </row>
    <row r="285" spans="3:7" ht="12.75" customHeight="1" x14ac:dyDescent="0.25">
      <c r="C285"/>
      <c r="E285"/>
      <c r="G285"/>
    </row>
    <row r="286" spans="3:7" ht="12.75" customHeight="1" x14ac:dyDescent="0.25">
      <c r="C286"/>
      <c r="E286"/>
      <c r="G286"/>
    </row>
    <row r="287" spans="3:7" ht="12.75" customHeight="1" x14ac:dyDescent="0.25">
      <c r="C287"/>
      <c r="E287"/>
      <c r="G287"/>
    </row>
    <row r="288" spans="3:7" ht="12.75" customHeight="1" x14ac:dyDescent="0.25">
      <c r="C288"/>
      <c r="E288"/>
      <c r="G288"/>
    </row>
    <row r="289" spans="3:7" ht="12.75" customHeight="1" x14ac:dyDescent="0.25">
      <c r="C289"/>
      <c r="E289"/>
      <c r="G289"/>
    </row>
    <row r="290" spans="3:7" ht="12.75" customHeight="1" x14ac:dyDescent="0.25">
      <c r="C290"/>
      <c r="E290"/>
      <c r="G290"/>
    </row>
    <row r="291" spans="3:7" ht="12.75" customHeight="1" x14ac:dyDescent="0.25">
      <c r="C291"/>
      <c r="E291"/>
      <c r="G291"/>
    </row>
    <row r="292" spans="3:7" ht="12.75" customHeight="1" x14ac:dyDescent="0.25">
      <c r="C292"/>
      <c r="E292"/>
      <c r="G292"/>
    </row>
    <row r="293" spans="3:7" ht="12.75" customHeight="1" x14ac:dyDescent="0.25">
      <c r="C293"/>
      <c r="E293"/>
      <c r="G293"/>
    </row>
    <row r="294" spans="3:7" ht="12.75" customHeight="1" x14ac:dyDescent="0.25">
      <c r="C294"/>
      <c r="E294"/>
      <c r="G294"/>
    </row>
    <row r="295" spans="3:7" ht="12.75" customHeight="1" x14ac:dyDescent="0.25">
      <c r="C295"/>
      <c r="E295"/>
      <c r="G295"/>
    </row>
    <row r="296" spans="3:7" ht="12.75" customHeight="1" x14ac:dyDescent="0.25">
      <c r="C296"/>
      <c r="E296"/>
      <c r="G296"/>
    </row>
    <row r="297" spans="3:7" ht="12.75" customHeight="1" x14ac:dyDescent="0.25">
      <c r="C297"/>
      <c r="E297"/>
      <c r="G297"/>
    </row>
    <row r="298" spans="3:7" ht="12.75" customHeight="1" x14ac:dyDescent="0.25">
      <c r="C298"/>
      <c r="E298"/>
      <c r="G298"/>
    </row>
    <row r="299" spans="3:7" ht="12.75" customHeight="1" x14ac:dyDescent="0.25">
      <c r="C299"/>
      <c r="E299"/>
      <c r="G299"/>
    </row>
    <row r="300" spans="3:7" ht="12.75" customHeight="1" x14ac:dyDescent="0.25">
      <c r="C300"/>
      <c r="E300"/>
      <c r="G300"/>
    </row>
    <row r="301" spans="3:7" ht="12.75" customHeight="1" x14ac:dyDescent="0.25">
      <c r="C301"/>
      <c r="E301"/>
      <c r="G301"/>
    </row>
    <row r="302" spans="3:7" ht="12.75" customHeight="1" x14ac:dyDescent="0.25">
      <c r="C302"/>
      <c r="E302"/>
      <c r="G302"/>
    </row>
    <row r="303" spans="3:7" ht="12.75" customHeight="1" x14ac:dyDescent="0.25">
      <c r="C303"/>
      <c r="E303"/>
      <c r="G303"/>
    </row>
    <row r="304" spans="3:7" ht="12.75" customHeight="1" x14ac:dyDescent="0.25">
      <c r="C304"/>
      <c r="E304"/>
      <c r="G304"/>
    </row>
    <row r="305" spans="3:7" ht="12.75" customHeight="1" x14ac:dyDescent="0.25">
      <c r="C305"/>
      <c r="E305"/>
      <c r="G305"/>
    </row>
    <row r="306" spans="3:7" ht="12.75" customHeight="1" x14ac:dyDescent="0.25">
      <c r="C306"/>
      <c r="E306"/>
      <c r="G306"/>
    </row>
    <row r="307" spans="3:7" ht="12.75" customHeight="1" x14ac:dyDescent="0.25">
      <c r="C307"/>
      <c r="E307"/>
      <c r="G307"/>
    </row>
    <row r="308" spans="3:7" ht="12.75" customHeight="1" x14ac:dyDescent="0.25">
      <c r="C308"/>
      <c r="E308"/>
      <c r="G308"/>
    </row>
    <row r="309" spans="3:7" ht="12.75" customHeight="1" x14ac:dyDescent="0.25">
      <c r="C309"/>
      <c r="E309"/>
      <c r="G309"/>
    </row>
    <row r="310" spans="3:7" ht="12.75" customHeight="1" x14ac:dyDescent="0.25">
      <c r="C310"/>
      <c r="E310"/>
      <c r="G310"/>
    </row>
    <row r="311" spans="3:7" ht="12.75" customHeight="1" x14ac:dyDescent="0.25">
      <c r="C311"/>
      <c r="E311"/>
      <c r="G311"/>
    </row>
    <row r="312" spans="3:7" ht="12.75" customHeight="1" x14ac:dyDescent="0.25">
      <c r="C312"/>
      <c r="E312"/>
      <c r="G312"/>
    </row>
    <row r="313" spans="3:7" ht="12.75" customHeight="1" x14ac:dyDescent="0.25">
      <c r="C313"/>
      <c r="E313"/>
      <c r="G313"/>
    </row>
    <row r="314" spans="3:7" ht="12.75" customHeight="1" x14ac:dyDescent="0.25">
      <c r="C314"/>
      <c r="E314"/>
      <c r="G314"/>
    </row>
    <row r="315" spans="3:7" ht="12.75" customHeight="1" x14ac:dyDescent="0.25">
      <c r="C315"/>
      <c r="E315"/>
      <c r="G315"/>
    </row>
    <row r="316" spans="3:7" ht="12.75" customHeight="1" x14ac:dyDescent="0.25">
      <c r="C316"/>
      <c r="E316"/>
      <c r="G316"/>
    </row>
    <row r="317" spans="3:7" ht="12.75" customHeight="1" x14ac:dyDescent="0.25">
      <c r="C317"/>
      <c r="E317"/>
      <c r="G317"/>
    </row>
    <row r="318" spans="3:7" ht="12.75" customHeight="1" x14ac:dyDescent="0.25">
      <c r="C318"/>
      <c r="E318"/>
      <c r="G318"/>
    </row>
    <row r="319" spans="3:7" ht="12.75" customHeight="1" x14ac:dyDescent="0.25">
      <c r="C319"/>
      <c r="E319"/>
      <c r="G319"/>
    </row>
    <row r="320" spans="3:7" ht="12.75" customHeight="1" x14ac:dyDescent="0.25">
      <c r="C320"/>
      <c r="E320"/>
      <c r="G320"/>
    </row>
    <row r="321" spans="3:7" ht="12.75" customHeight="1" x14ac:dyDescent="0.25">
      <c r="C321"/>
      <c r="E321"/>
      <c r="G321"/>
    </row>
    <row r="322" spans="3:7" ht="12.75" customHeight="1" x14ac:dyDescent="0.25">
      <c r="C322"/>
      <c r="E322"/>
      <c r="G322"/>
    </row>
    <row r="323" spans="3:7" ht="12.75" customHeight="1" x14ac:dyDescent="0.25">
      <c r="C323"/>
      <c r="E323"/>
      <c r="G323"/>
    </row>
    <row r="324" spans="3:7" ht="12.75" customHeight="1" x14ac:dyDescent="0.25">
      <c r="C324"/>
      <c r="E324"/>
      <c r="G324"/>
    </row>
    <row r="325" spans="3:7" ht="12.75" customHeight="1" x14ac:dyDescent="0.25">
      <c r="C325"/>
      <c r="E325"/>
      <c r="G325"/>
    </row>
    <row r="326" spans="3:7" ht="12.75" customHeight="1" x14ac:dyDescent="0.25">
      <c r="C326"/>
      <c r="E326"/>
      <c r="G326"/>
    </row>
    <row r="327" spans="3:7" ht="12.75" customHeight="1" x14ac:dyDescent="0.25">
      <c r="C327"/>
      <c r="E327"/>
      <c r="G327"/>
    </row>
    <row r="328" spans="3:7" ht="12.75" customHeight="1" x14ac:dyDescent="0.25">
      <c r="C328"/>
      <c r="E328"/>
      <c r="G328"/>
    </row>
    <row r="329" spans="3:7" ht="12.75" customHeight="1" x14ac:dyDescent="0.25">
      <c r="C329"/>
      <c r="E329"/>
      <c r="G329"/>
    </row>
    <row r="330" spans="3:7" ht="12.75" customHeight="1" x14ac:dyDescent="0.25">
      <c r="C330"/>
      <c r="E330"/>
      <c r="G330"/>
    </row>
    <row r="331" spans="3:7" ht="12.75" customHeight="1" x14ac:dyDescent="0.25">
      <c r="C331"/>
      <c r="E331"/>
      <c r="G331"/>
    </row>
    <row r="332" spans="3:7" ht="12.75" customHeight="1" x14ac:dyDescent="0.25">
      <c r="C332"/>
      <c r="E332"/>
      <c r="G332"/>
    </row>
    <row r="333" spans="3:7" ht="12.75" customHeight="1" x14ac:dyDescent="0.25">
      <c r="C333"/>
      <c r="E333"/>
      <c r="G333"/>
    </row>
    <row r="334" spans="3:7" ht="12.75" customHeight="1" x14ac:dyDescent="0.25">
      <c r="C334"/>
      <c r="E334"/>
      <c r="G334"/>
    </row>
    <row r="335" spans="3:7" ht="12.75" customHeight="1" x14ac:dyDescent="0.25">
      <c r="C335"/>
      <c r="E335"/>
      <c r="G335"/>
    </row>
    <row r="336" spans="3:7" ht="12.75" customHeight="1" x14ac:dyDescent="0.25">
      <c r="C336"/>
      <c r="E336"/>
      <c r="G336"/>
    </row>
    <row r="337" spans="3:7" ht="12.75" customHeight="1" x14ac:dyDescent="0.25">
      <c r="C337"/>
      <c r="E337"/>
      <c r="G337"/>
    </row>
    <row r="338" spans="3:7" ht="12.75" customHeight="1" x14ac:dyDescent="0.25">
      <c r="C338"/>
      <c r="E338"/>
      <c r="G338"/>
    </row>
    <row r="339" spans="3:7" ht="12.75" customHeight="1" x14ac:dyDescent="0.25">
      <c r="C339"/>
      <c r="E339"/>
      <c r="G339"/>
    </row>
    <row r="340" spans="3:7" ht="12.75" customHeight="1" x14ac:dyDescent="0.25">
      <c r="C340"/>
      <c r="E340"/>
      <c r="G340"/>
    </row>
    <row r="341" spans="3:7" ht="12.75" customHeight="1" x14ac:dyDescent="0.25">
      <c r="C341"/>
      <c r="E341"/>
      <c r="G341"/>
    </row>
    <row r="342" spans="3:7" ht="12.75" customHeight="1" x14ac:dyDescent="0.25">
      <c r="C342"/>
      <c r="E342"/>
      <c r="G342"/>
    </row>
    <row r="343" spans="3:7" ht="12.75" customHeight="1" x14ac:dyDescent="0.25">
      <c r="C343"/>
      <c r="E343"/>
      <c r="G343"/>
    </row>
    <row r="344" spans="3:7" ht="12.75" customHeight="1" x14ac:dyDescent="0.25">
      <c r="C344"/>
      <c r="E344"/>
      <c r="G344"/>
    </row>
    <row r="345" spans="3:7" ht="12.75" customHeight="1" x14ac:dyDescent="0.25">
      <c r="C345"/>
      <c r="E345"/>
      <c r="G345"/>
    </row>
    <row r="346" spans="3:7" ht="12.75" customHeight="1" x14ac:dyDescent="0.25">
      <c r="C346"/>
      <c r="E346"/>
      <c r="G346"/>
    </row>
    <row r="347" spans="3:7" ht="12.75" customHeight="1" x14ac:dyDescent="0.25">
      <c r="C347"/>
      <c r="E347"/>
      <c r="G347"/>
    </row>
    <row r="348" spans="3:7" ht="12.75" customHeight="1" x14ac:dyDescent="0.25">
      <c r="C348"/>
      <c r="E348"/>
      <c r="G348"/>
    </row>
    <row r="349" spans="3:7" ht="12.75" customHeight="1" x14ac:dyDescent="0.25">
      <c r="C349"/>
      <c r="E349"/>
      <c r="G349"/>
    </row>
    <row r="350" spans="3:7" ht="12.75" customHeight="1" x14ac:dyDescent="0.25">
      <c r="C350"/>
      <c r="E350"/>
      <c r="G350"/>
    </row>
    <row r="351" spans="3:7" ht="12.75" customHeight="1" x14ac:dyDescent="0.25">
      <c r="C351"/>
      <c r="E351"/>
      <c r="G351"/>
    </row>
    <row r="352" spans="3:7" ht="12.75" customHeight="1" x14ac:dyDescent="0.25">
      <c r="C352"/>
      <c r="E352"/>
      <c r="G352"/>
    </row>
    <row r="353" spans="3:7" ht="12.75" customHeight="1" x14ac:dyDescent="0.25">
      <c r="C353"/>
      <c r="E353"/>
      <c r="G353"/>
    </row>
    <row r="354" spans="3:7" ht="12.75" customHeight="1" x14ac:dyDescent="0.25">
      <c r="C354"/>
      <c r="E354"/>
      <c r="G354"/>
    </row>
    <row r="355" spans="3:7" ht="12.75" customHeight="1" x14ac:dyDescent="0.25">
      <c r="C355"/>
      <c r="E355"/>
      <c r="G355"/>
    </row>
    <row r="356" spans="3:7" ht="12.75" customHeight="1" x14ac:dyDescent="0.25">
      <c r="C356"/>
      <c r="E356"/>
      <c r="G356"/>
    </row>
    <row r="357" spans="3:7" ht="12.75" customHeight="1" x14ac:dyDescent="0.25">
      <c r="C357"/>
      <c r="E357"/>
      <c r="G357"/>
    </row>
    <row r="358" spans="3:7" ht="12.75" customHeight="1" x14ac:dyDescent="0.25">
      <c r="C358"/>
      <c r="E358"/>
      <c r="G358"/>
    </row>
    <row r="359" spans="3:7" ht="12.75" customHeight="1" x14ac:dyDescent="0.25">
      <c r="C359"/>
      <c r="E359"/>
      <c r="G359"/>
    </row>
    <row r="360" spans="3:7" ht="12.75" customHeight="1" x14ac:dyDescent="0.25">
      <c r="C360"/>
      <c r="E360"/>
      <c r="G360"/>
    </row>
    <row r="361" spans="3:7" ht="12.75" customHeight="1" x14ac:dyDescent="0.25">
      <c r="C361"/>
      <c r="E361"/>
      <c r="G361"/>
    </row>
    <row r="362" spans="3:7" ht="12.75" customHeight="1" x14ac:dyDescent="0.25">
      <c r="C362"/>
      <c r="E362"/>
      <c r="G362"/>
    </row>
    <row r="363" spans="3:7" ht="12.75" customHeight="1" x14ac:dyDescent="0.25">
      <c r="C363"/>
      <c r="E363"/>
      <c r="G363"/>
    </row>
    <row r="364" spans="3:7" ht="12.75" customHeight="1" x14ac:dyDescent="0.25">
      <c r="C364"/>
      <c r="E364"/>
      <c r="G364"/>
    </row>
    <row r="365" spans="3:7" ht="12.75" customHeight="1" x14ac:dyDescent="0.25">
      <c r="C365"/>
      <c r="E365"/>
      <c r="G365"/>
    </row>
    <row r="366" spans="3:7" ht="12.75" customHeight="1" x14ac:dyDescent="0.25">
      <c r="C366"/>
      <c r="E366"/>
      <c r="G366"/>
    </row>
    <row r="367" spans="3:7" ht="12.75" customHeight="1" x14ac:dyDescent="0.25">
      <c r="C367"/>
      <c r="E367"/>
      <c r="G367"/>
    </row>
    <row r="368" spans="3:7" ht="12.75" customHeight="1" x14ac:dyDescent="0.25">
      <c r="C368"/>
      <c r="E368"/>
      <c r="G368"/>
    </row>
    <row r="369" spans="3:7" ht="12.75" customHeight="1" x14ac:dyDescent="0.25">
      <c r="C369"/>
      <c r="E369"/>
      <c r="G369"/>
    </row>
    <row r="370" spans="3:7" ht="12.75" customHeight="1" x14ac:dyDescent="0.25">
      <c r="C370"/>
      <c r="E370"/>
      <c r="G370"/>
    </row>
    <row r="371" spans="3:7" ht="12.75" customHeight="1" x14ac:dyDescent="0.25">
      <c r="C371"/>
      <c r="E371"/>
      <c r="G371"/>
    </row>
    <row r="372" spans="3:7" ht="12.75" customHeight="1" x14ac:dyDescent="0.25">
      <c r="C372"/>
      <c r="E372"/>
      <c r="G372"/>
    </row>
    <row r="373" spans="3:7" ht="12.75" customHeight="1" x14ac:dyDescent="0.25">
      <c r="C373"/>
      <c r="E373"/>
      <c r="G373"/>
    </row>
    <row r="374" spans="3:7" ht="12.75" customHeight="1" x14ac:dyDescent="0.25">
      <c r="C374"/>
      <c r="E374"/>
      <c r="G374"/>
    </row>
    <row r="375" spans="3:7" ht="12.75" customHeight="1" x14ac:dyDescent="0.25">
      <c r="C375"/>
      <c r="E375"/>
      <c r="G375"/>
    </row>
    <row r="376" spans="3:7" ht="12.75" customHeight="1" x14ac:dyDescent="0.25">
      <c r="C376"/>
      <c r="E376"/>
      <c r="G376"/>
    </row>
    <row r="377" spans="3:7" ht="12.75" customHeight="1" x14ac:dyDescent="0.25">
      <c r="C377"/>
      <c r="E377"/>
      <c r="G377"/>
    </row>
    <row r="378" spans="3:7" ht="12.75" customHeight="1" x14ac:dyDescent="0.25">
      <c r="C378"/>
      <c r="E378"/>
      <c r="G378"/>
    </row>
    <row r="379" spans="3:7" ht="12.75" customHeight="1" x14ac:dyDescent="0.25">
      <c r="C379"/>
      <c r="E379"/>
      <c r="G379"/>
    </row>
    <row r="380" spans="3:7" ht="12.75" customHeight="1" x14ac:dyDescent="0.25">
      <c r="C380"/>
      <c r="E380"/>
      <c r="G380"/>
    </row>
    <row r="381" spans="3:7" ht="12.75" customHeight="1" x14ac:dyDescent="0.25">
      <c r="C381"/>
      <c r="E381"/>
      <c r="G381"/>
    </row>
    <row r="382" spans="3:7" ht="12.75" customHeight="1" x14ac:dyDescent="0.25">
      <c r="C382"/>
      <c r="E382"/>
      <c r="G382"/>
    </row>
    <row r="383" spans="3:7" ht="12.75" customHeight="1" x14ac:dyDescent="0.25">
      <c r="C383"/>
      <c r="E383"/>
      <c r="G383"/>
    </row>
    <row r="384" spans="3:7" ht="12.75" customHeight="1" x14ac:dyDescent="0.25">
      <c r="C384"/>
      <c r="E384"/>
      <c r="G384"/>
    </row>
    <row r="385" spans="3:7" ht="12.75" customHeight="1" x14ac:dyDescent="0.25">
      <c r="C385"/>
      <c r="E385"/>
      <c r="G385"/>
    </row>
    <row r="386" spans="3:7" ht="12.75" customHeight="1" x14ac:dyDescent="0.25">
      <c r="C386"/>
      <c r="E386"/>
      <c r="G386"/>
    </row>
    <row r="387" spans="3:7" ht="12.75" customHeight="1" x14ac:dyDescent="0.25">
      <c r="C387"/>
      <c r="E387"/>
      <c r="G387"/>
    </row>
    <row r="388" spans="3:7" ht="12.75" customHeight="1" x14ac:dyDescent="0.25">
      <c r="C388"/>
      <c r="E388"/>
      <c r="G388"/>
    </row>
    <row r="389" spans="3:7" ht="12.75" customHeight="1" x14ac:dyDescent="0.25">
      <c r="C389"/>
      <c r="E389"/>
      <c r="G389"/>
    </row>
    <row r="390" spans="3:7" ht="12.75" customHeight="1" x14ac:dyDescent="0.25">
      <c r="C390"/>
      <c r="E390"/>
      <c r="G390"/>
    </row>
    <row r="391" spans="3:7" ht="12.75" customHeight="1" x14ac:dyDescent="0.25">
      <c r="C391"/>
      <c r="E391"/>
      <c r="G391"/>
    </row>
    <row r="392" spans="3:7" ht="12.75" customHeight="1" x14ac:dyDescent="0.25">
      <c r="C392"/>
      <c r="E392"/>
      <c r="G392"/>
    </row>
    <row r="393" spans="3:7" ht="12.75" customHeight="1" x14ac:dyDescent="0.25">
      <c r="C393"/>
      <c r="E393"/>
      <c r="G393"/>
    </row>
    <row r="394" spans="3:7" ht="12.75" customHeight="1" x14ac:dyDescent="0.25">
      <c r="C394"/>
      <c r="E394"/>
      <c r="G394"/>
    </row>
    <row r="395" spans="3:7" ht="12.75" customHeight="1" x14ac:dyDescent="0.25">
      <c r="C395"/>
      <c r="E395"/>
      <c r="G395"/>
    </row>
    <row r="396" spans="3:7" ht="12.75" customHeight="1" x14ac:dyDescent="0.25">
      <c r="C396"/>
      <c r="E396"/>
      <c r="G396"/>
    </row>
    <row r="397" spans="3:7" ht="12.75" customHeight="1" x14ac:dyDescent="0.25">
      <c r="C397"/>
      <c r="E397"/>
      <c r="G397"/>
    </row>
    <row r="398" spans="3:7" ht="12.75" customHeight="1" x14ac:dyDescent="0.25">
      <c r="C398"/>
      <c r="E398"/>
      <c r="G398"/>
    </row>
    <row r="399" spans="3:7" ht="12.75" customHeight="1" x14ac:dyDescent="0.25">
      <c r="C399"/>
      <c r="E399"/>
      <c r="G399"/>
    </row>
    <row r="400" spans="3:7" ht="12.75" customHeight="1" x14ac:dyDescent="0.25">
      <c r="C400"/>
      <c r="E400"/>
      <c r="G400"/>
    </row>
    <row r="401" spans="3:7" ht="12.75" customHeight="1" x14ac:dyDescent="0.25">
      <c r="C401"/>
      <c r="E401"/>
      <c r="G401"/>
    </row>
    <row r="402" spans="3:7" ht="12.75" customHeight="1" x14ac:dyDescent="0.25">
      <c r="C402"/>
      <c r="E402"/>
      <c r="G402"/>
    </row>
    <row r="403" spans="3:7" ht="12.75" customHeight="1" x14ac:dyDescent="0.25">
      <c r="C403"/>
      <c r="E403"/>
      <c r="G403"/>
    </row>
    <row r="404" spans="3:7" ht="12.75" customHeight="1" x14ac:dyDescent="0.25">
      <c r="C404"/>
      <c r="E404"/>
      <c r="G404"/>
    </row>
    <row r="405" spans="3:7" ht="12.75" customHeight="1" x14ac:dyDescent="0.25">
      <c r="C405"/>
      <c r="E405"/>
      <c r="G405"/>
    </row>
    <row r="406" spans="3:7" ht="12.75" customHeight="1" x14ac:dyDescent="0.25">
      <c r="C406"/>
      <c r="E406"/>
      <c r="G406"/>
    </row>
    <row r="407" spans="3:7" ht="12.75" customHeight="1" x14ac:dyDescent="0.25">
      <c r="C407"/>
      <c r="E407"/>
      <c r="G407"/>
    </row>
    <row r="408" spans="3:7" ht="12.75" customHeight="1" x14ac:dyDescent="0.25">
      <c r="C408"/>
      <c r="E408"/>
      <c r="G408"/>
    </row>
    <row r="409" spans="3:7" ht="12.75" customHeight="1" x14ac:dyDescent="0.25">
      <c r="C409"/>
      <c r="E409"/>
      <c r="G409"/>
    </row>
    <row r="410" spans="3:7" ht="12.75" customHeight="1" x14ac:dyDescent="0.25">
      <c r="C410"/>
      <c r="E410"/>
      <c r="G410"/>
    </row>
    <row r="411" spans="3:7" ht="12.75" customHeight="1" x14ac:dyDescent="0.25">
      <c r="C411"/>
      <c r="E411"/>
      <c r="G411"/>
    </row>
    <row r="412" spans="3:7" ht="12.75" customHeight="1" x14ac:dyDescent="0.25">
      <c r="C412"/>
      <c r="E412"/>
      <c r="G412"/>
    </row>
    <row r="413" spans="3:7" ht="12.75" customHeight="1" x14ac:dyDescent="0.25">
      <c r="C413"/>
      <c r="E413"/>
      <c r="G413"/>
    </row>
    <row r="414" spans="3:7" ht="12.75" customHeight="1" x14ac:dyDescent="0.25">
      <c r="C414"/>
      <c r="E414"/>
      <c r="G414"/>
    </row>
    <row r="415" spans="3:7" ht="12.75" customHeight="1" x14ac:dyDescent="0.25">
      <c r="C415"/>
      <c r="E415"/>
      <c r="G415"/>
    </row>
    <row r="416" spans="3:7" ht="12.75" customHeight="1" x14ac:dyDescent="0.25">
      <c r="C416"/>
      <c r="E416"/>
      <c r="G416"/>
    </row>
    <row r="417" spans="3:7" ht="12.75" customHeight="1" x14ac:dyDescent="0.25">
      <c r="C417"/>
      <c r="E417"/>
      <c r="G417"/>
    </row>
    <row r="418" spans="3:7" ht="12.75" customHeight="1" x14ac:dyDescent="0.25">
      <c r="C418"/>
      <c r="E418"/>
      <c r="G418"/>
    </row>
    <row r="419" spans="3:7" ht="12.75" customHeight="1" x14ac:dyDescent="0.25">
      <c r="C419"/>
      <c r="E419"/>
      <c r="G419"/>
    </row>
    <row r="420" spans="3:7" ht="12.75" customHeight="1" x14ac:dyDescent="0.25">
      <c r="C420"/>
      <c r="E420"/>
      <c r="G420"/>
    </row>
    <row r="421" spans="3:7" ht="12.75" customHeight="1" x14ac:dyDescent="0.25">
      <c r="C421"/>
      <c r="E421"/>
      <c r="G421"/>
    </row>
    <row r="422" spans="3:7" ht="12.75" customHeight="1" x14ac:dyDescent="0.25">
      <c r="C422"/>
      <c r="E422"/>
      <c r="G422"/>
    </row>
    <row r="423" spans="3:7" ht="12.75" customHeight="1" x14ac:dyDescent="0.25">
      <c r="C423"/>
      <c r="E423"/>
      <c r="G423"/>
    </row>
    <row r="424" spans="3:7" ht="12.75" customHeight="1" x14ac:dyDescent="0.25">
      <c r="C424"/>
      <c r="E424"/>
      <c r="G424"/>
    </row>
    <row r="425" spans="3:7" ht="12.75" customHeight="1" x14ac:dyDescent="0.25">
      <c r="C425"/>
      <c r="E425"/>
      <c r="G425"/>
    </row>
    <row r="426" spans="3:7" ht="12.75" customHeight="1" x14ac:dyDescent="0.25">
      <c r="C426"/>
      <c r="E426"/>
      <c r="G426"/>
    </row>
    <row r="427" spans="3:7" ht="12.75" customHeight="1" x14ac:dyDescent="0.25">
      <c r="C427"/>
      <c r="E427"/>
      <c r="G427"/>
    </row>
    <row r="428" spans="3:7" ht="12.75" customHeight="1" x14ac:dyDescent="0.25">
      <c r="C428"/>
      <c r="E428"/>
      <c r="G428"/>
    </row>
    <row r="429" spans="3:7" ht="12.75" customHeight="1" x14ac:dyDescent="0.25">
      <c r="C429"/>
      <c r="E429"/>
      <c r="G429"/>
    </row>
    <row r="430" spans="3:7" ht="12.75" customHeight="1" x14ac:dyDescent="0.25">
      <c r="C430"/>
      <c r="E430"/>
      <c r="G430"/>
    </row>
    <row r="431" spans="3:7" ht="12.75" customHeight="1" x14ac:dyDescent="0.25">
      <c r="C431"/>
      <c r="E431"/>
      <c r="G431"/>
    </row>
    <row r="432" spans="3:7" ht="12.75" customHeight="1" x14ac:dyDescent="0.25">
      <c r="C432"/>
      <c r="E432"/>
      <c r="G432"/>
    </row>
    <row r="433" spans="3:7" ht="12.75" customHeight="1" x14ac:dyDescent="0.25">
      <c r="C433"/>
      <c r="E433"/>
      <c r="G433"/>
    </row>
    <row r="434" spans="3:7" ht="12.75" customHeight="1" x14ac:dyDescent="0.25">
      <c r="C434"/>
      <c r="E434"/>
      <c r="G434"/>
    </row>
    <row r="435" spans="3:7" ht="12.75" customHeight="1" x14ac:dyDescent="0.25">
      <c r="C435"/>
      <c r="E435"/>
      <c r="G435"/>
    </row>
    <row r="436" spans="3:7" ht="12.75" customHeight="1" x14ac:dyDescent="0.25">
      <c r="C436"/>
      <c r="E436"/>
      <c r="G436"/>
    </row>
    <row r="437" spans="3:7" ht="12.75" customHeight="1" x14ac:dyDescent="0.25">
      <c r="C437"/>
      <c r="E437"/>
      <c r="G437"/>
    </row>
    <row r="438" spans="3:7" ht="12.75" customHeight="1" x14ac:dyDescent="0.25">
      <c r="C438"/>
      <c r="E438"/>
      <c r="G438"/>
    </row>
    <row r="439" spans="3:7" ht="12.75" customHeight="1" x14ac:dyDescent="0.25">
      <c r="C439"/>
      <c r="E439"/>
      <c r="G439"/>
    </row>
    <row r="440" spans="3:7" ht="12.75" customHeight="1" x14ac:dyDescent="0.25">
      <c r="C440"/>
      <c r="E440"/>
      <c r="G440"/>
    </row>
    <row r="441" spans="3:7" ht="12.75" customHeight="1" x14ac:dyDescent="0.25">
      <c r="C441"/>
      <c r="E441"/>
      <c r="G441"/>
    </row>
    <row r="442" spans="3:7" ht="12.75" customHeight="1" x14ac:dyDescent="0.25">
      <c r="C442"/>
      <c r="E442"/>
      <c r="G442"/>
    </row>
    <row r="443" spans="3:7" ht="12.75" customHeight="1" x14ac:dyDescent="0.25">
      <c r="C443"/>
      <c r="E443"/>
      <c r="G443"/>
    </row>
    <row r="444" spans="3:7" ht="12.75" customHeight="1" x14ac:dyDescent="0.25">
      <c r="C444"/>
      <c r="E444"/>
      <c r="G444"/>
    </row>
    <row r="445" spans="3:7" ht="12.75" customHeight="1" x14ac:dyDescent="0.25">
      <c r="C445"/>
      <c r="E445"/>
      <c r="G445"/>
    </row>
    <row r="446" spans="3:7" ht="12.75" customHeight="1" x14ac:dyDescent="0.25">
      <c r="C446"/>
      <c r="E446"/>
      <c r="G446"/>
    </row>
    <row r="447" spans="3:7" ht="12.75" customHeight="1" x14ac:dyDescent="0.25">
      <c r="C447"/>
      <c r="E447"/>
      <c r="G447"/>
    </row>
    <row r="448" spans="3:7" ht="12.75" customHeight="1" x14ac:dyDescent="0.25">
      <c r="C448"/>
      <c r="E448"/>
      <c r="G448"/>
    </row>
    <row r="449" spans="3:7" ht="12.75" customHeight="1" x14ac:dyDescent="0.25">
      <c r="C449"/>
      <c r="E449"/>
      <c r="G449"/>
    </row>
    <row r="450" spans="3:7" ht="12.75" customHeight="1" x14ac:dyDescent="0.25">
      <c r="C450"/>
      <c r="E450"/>
      <c r="G450"/>
    </row>
    <row r="451" spans="3:7" ht="12.75" customHeight="1" x14ac:dyDescent="0.25">
      <c r="C451"/>
      <c r="E451"/>
      <c r="G451"/>
    </row>
    <row r="452" spans="3:7" ht="12.75" customHeight="1" x14ac:dyDescent="0.25">
      <c r="C452"/>
      <c r="E452"/>
      <c r="G452"/>
    </row>
    <row r="453" spans="3:7" ht="12.75" customHeight="1" x14ac:dyDescent="0.25">
      <c r="C453"/>
      <c r="E453"/>
      <c r="G453"/>
    </row>
    <row r="454" spans="3:7" ht="12.75" customHeight="1" x14ac:dyDescent="0.25">
      <c r="C454"/>
      <c r="E454"/>
      <c r="G454"/>
    </row>
    <row r="455" spans="3:7" ht="12.75" customHeight="1" x14ac:dyDescent="0.25">
      <c r="C455"/>
      <c r="E455"/>
      <c r="G455"/>
    </row>
    <row r="456" spans="3:7" ht="12.75" customHeight="1" x14ac:dyDescent="0.25">
      <c r="C456"/>
      <c r="E456"/>
      <c r="G456"/>
    </row>
    <row r="457" spans="3:7" ht="12.75" customHeight="1" x14ac:dyDescent="0.25">
      <c r="C457"/>
      <c r="E457"/>
      <c r="G457"/>
    </row>
    <row r="458" spans="3:7" ht="12.75" customHeight="1" x14ac:dyDescent="0.25">
      <c r="C458"/>
      <c r="E458"/>
      <c r="G458"/>
    </row>
    <row r="459" spans="3:7" ht="12.75" customHeight="1" x14ac:dyDescent="0.25">
      <c r="C459"/>
      <c r="E459"/>
      <c r="G459"/>
    </row>
    <row r="460" spans="3:7" ht="12.75" customHeight="1" x14ac:dyDescent="0.25">
      <c r="C460"/>
      <c r="E460"/>
      <c r="G460"/>
    </row>
    <row r="461" spans="3:7" ht="12.75" customHeight="1" x14ac:dyDescent="0.25">
      <c r="C461"/>
      <c r="E461"/>
      <c r="G461"/>
    </row>
    <row r="462" spans="3:7" ht="12.75" customHeight="1" x14ac:dyDescent="0.25">
      <c r="C462"/>
      <c r="E462"/>
      <c r="G462"/>
    </row>
    <row r="463" spans="3:7" ht="12.75" customHeight="1" x14ac:dyDescent="0.25">
      <c r="C463"/>
      <c r="E463"/>
      <c r="G463"/>
    </row>
    <row r="464" spans="3:7" ht="12.75" customHeight="1" x14ac:dyDescent="0.25">
      <c r="C464"/>
      <c r="E464"/>
      <c r="G464"/>
    </row>
    <row r="465" spans="3:7" ht="12.75" customHeight="1" x14ac:dyDescent="0.25">
      <c r="C465"/>
      <c r="E465"/>
      <c r="G465"/>
    </row>
    <row r="466" spans="3:7" ht="12.75" customHeight="1" x14ac:dyDescent="0.25">
      <c r="C466"/>
      <c r="E466"/>
      <c r="G466"/>
    </row>
    <row r="467" spans="3:7" ht="12.75" customHeight="1" x14ac:dyDescent="0.25">
      <c r="C467"/>
      <c r="E467"/>
      <c r="G467"/>
    </row>
    <row r="468" spans="3:7" ht="12.75" customHeight="1" x14ac:dyDescent="0.25">
      <c r="C468"/>
      <c r="E468"/>
      <c r="G468"/>
    </row>
    <row r="469" spans="3:7" ht="12.75" customHeight="1" x14ac:dyDescent="0.25">
      <c r="C469"/>
      <c r="E469"/>
      <c r="G469"/>
    </row>
    <row r="470" spans="3:7" ht="12.75" customHeight="1" x14ac:dyDescent="0.25">
      <c r="C470"/>
      <c r="E470"/>
      <c r="G470"/>
    </row>
    <row r="471" spans="3:7" ht="12.75" customHeight="1" x14ac:dyDescent="0.25">
      <c r="C471"/>
      <c r="E471"/>
      <c r="G471"/>
    </row>
    <row r="472" spans="3:7" ht="12.75" customHeight="1" x14ac:dyDescent="0.25">
      <c r="C472"/>
      <c r="E472"/>
      <c r="G472"/>
    </row>
    <row r="473" spans="3:7" ht="12.75" customHeight="1" x14ac:dyDescent="0.25">
      <c r="C473"/>
      <c r="E473"/>
      <c r="G473"/>
    </row>
    <row r="474" spans="3:7" ht="12.75" customHeight="1" x14ac:dyDescent="0.25">
      <c r="C474"/>
      <c r="E474"/>
      <c r="G474"/>
    </row>
    <row r="475" spans="3:7" ht="12.75" customHeight="1" x14ac:dyDescent="0.25">
      <c r="C475"/>
      <c r="E475"/>
      <c r="G475"/>
    </row>
    <row r="476" spans="3:7" ht="12.75" customHeight="1" x14ac:dyDescent="0.25">
      <c r="C476"/>
      <c r="E476"/>
      <c r="G476"/>
    </row>
    <row r="477" spans="3:7" ht="12.75" customHeight="1" x14ac:dyDescent="0.25">
      <c r="C477"/>
      <c r="E477"/>
      <c r="G477"/>
    </row>
    <row r="478" spans="3:7" ht="12.75" customHeight="1" x14ac:dyDescent="0.25">
      <c r="C478"/>
      <c r="E478"/>
      <c r="G478"/>
    </row>
    <row r="479" spans="3:7" ht="12.75" customHeight="1" x14ac:dyDescent="0.25">
      <c r="C479"/>
      <c r="E479"/>
      <c r="G479"/>
    </row>
    <row r="480" spans="3:7" ht="12.75" customHeight="1" x14ac:dyDescent="0.25">
      <c r="C480"/>
      <c r="E480"/>
      <c r="G480"/>
    </row>
    <row r="481" spans="3:7" ht="12.75" customHeight="1" x14ac:dyDescent="0.25">
      <c r="C481"/>
      <c r="E481"/>
      <c r="G481"/>
    </row>
    <row r="482" spans="3:7" ht="12.75" customHeight="1" x14ac:dyDescent="0.25">
      <c r="C482"/>
      <c r="E482"/>
      <c r="G482"/>
    </row>
    <row r="483" spans="3:7" ht="12.75" customHeight="1" x14ac:dyDescent="0.25">
      <c r="C483"/>
      <c r="E483"/>
      <c r="G483"/>
    </row>
    <row r="484" spans="3:7" ht="12.75" customHeight="1" x14ac:dyDescent="0.25">
      <c r="C484"/>
      <c r="E484"/>
      <c r="G484"/>
    </row>
    <row r="485" spans="3:7" ht="12.75" customHeight="1" x14ac:dyDescent="0.25">
      <c r="C485"/>
      <c r="E485"/>
      <c r="G485"/>
    </row>
    <row r="486" spans="3:7" ht="12.75" customHeight="1" x14ac:dyDescent="0.25">
      <c r="C486"/>
      <c r="E486"/>
      <c r="G486"/>
    </row>
    <row r="487" spans="3:7" ht="12.75" customHeight="1" x14ac:dyDescent="0.25">
      <c r="C487"/>
      <c r="E487"/>
      <c r="G487"/>
    </row>
    <row r="488" spans="3:7" ht="12.75" customHeight="1" x14ac:dyDescent="0.25">
      <c r="C488"/>
      <c r="E488"/>
      <c r="G488"/>
    </row>
    <row r="489" spans="3:7" ht="12.75" customHeight="1" x14ac:dyDescent="0.25">
      <c r="C489"/>
      <c r="E489"/>
      <c r="G489"/>
    </row>
    <row r="490" spans="3:7" ht="12.75" customHeight="1" x14ac:dyDescent="0.25">
      <c r="C490"/>
      <c r="E490"/>
      <c r="G490"/>
    </row>
    <row r="491" spans="3:7" ht="12.75" customHeight="1" x14ac:dyDescent="0.25">
      <c r="C491"/>
      <c r="E491"/>
      <c r="G491"/>
    </row>
    <row r="492" spans="3:7" ht="12.75" customHeight="1" x14ac:dyDescent="0.25">
      <c r="C492"/>
      <c r="E492"/>
      <c r="G492"/>
    </row>
    <row r="493" spans="3:7" ht="12.75" customHeight="1" x14ac:dyDescent="0.25">
      <c r="C493"/>
      <c r="E493"/>
      <c r="G493"/>
    </row>
    <row r="494" spans="3:7" ht="12.75" customHeight="1" x14ac:dyDescent="0.25">
      <c r="C494"/>
      <c r="E494"/>
      <c r="G494"/>
    </row>
    <row r="495" spans="3:7" ht="12.75" customHeight="1" x14ac:dyDescent="0.25">
      <c r="C495"/>
      <c r="E495"/>
      <c r="G495"/>
    </row>
    <row r="496" spans="3:7" ht="12.75" customHeight="1" x14ac:dyDescent="0.25">
      <c r="C496"/>
      <c r="E496"/>
      <c r="G496"/>
    </row>
    <row r="497" spans="3:7" ht="12.75" customHeight="1" x14ac:dyDescent="0.25">
      <c r="C497"/>
      <c r="E497"/>
      <c r="G497"/>
    </row>
    <row r="498" spans="3:7" ht="12.75" customHeight="1" x14ac:dyDescent="0.25">
      <c r="C498"/>
      <c r="E498"/>
      <c r="G498"/>
    </row>
    <row r="499" spans="3:7" ht="12.75" customHeight="1" x14ac:dyDescent="0.25">
      <c r="C499"/>
      <c r="E499"/>
      <c r="G499"/>
    </row>
    <row r="500" spans="3:7" ht="12.75" customHeight="1" x14ac:dyDescent="0.25">
      <c r="C500"/>
      <c r="E500"/>
      <c r="G500"/>
    </row>
    <row r="501" spans="3:7" ht="12.75" customHeight="1" x14ac:dyDescent="0.25">
      <c r="C501"/>
      <c r="E501"/>
      <c r="G501"/>
    </row>
    <row r="502" spans="3:7" ht="12.75" customHeight="1" x14ac:dyDescent="0.25">
      <c r="C502"/>
      <c r="E502"/>
      <c r="G502"/>
    </row>
    <row r="503" spans="3:7" ht="12.75" customHeight="1" x14ac:dyDescent="0.25">
      <c r="C503"/>
      <c r="E503"/>
      <c r="G503"/>
    </row>
    <row r="504" spans="3:7" ht="12.75" customHeight="1" x14ac:dyDescent="0.25">
      <c r="C504"/>
      <c r="E504"/>
      <c r="G504"/>
    </row>
    <row r="505" spans="3:7" ht="12.75" customHeight="1" x14ac:dyDescent="0.25">
      <c r="C505"/>
      <c r="E505"/>
      <c r="G505"/>
    </row>
    <row r="506" spans="3:7" ht="12.75" customHeight="1" x14ac:dyDescent="0.25">
      <c r="C506"/>
      <c r="E506"/>
      <c r="G506"/>
    </row>
    <row r="507" spans="3:7" ht="12.75" customHeight="1" x14ac:dyDescent="0.25">
      <c r="C507"/>
      <c r="E507"/>
      <c r="G507"/>
    </row>
    <row r="508" spans="3:7" ht="12.75" customHeight="1" x14ac:dyDescent="0.25">
      <c r="C508"/>
      <c r="E508"/>
      <c r="G508"/>
    </row>
    <row r="509" spans="3:7" ht="12.75" customHeight="1" x14ac:dyDescent="0.25">
      <c r="C509"/>
      <c r="E509"/>
      <c r="G509"/>
    </row>
    <row r="510" spans="3:7" ht="12.75" customHeight="1" x14ac:dyDescent="0.25">
      <c r="C510"/>
      <c r="E510"/>
      <c r="G510"/>
    </row>
    <row r="511" spans="3:7" ht="12.75" customHeight="1" x14ac:dyDescent="0.25">
      <c r="C511"/>
      <c r="E511"/>
      <c r="G511"/>
    </row>
    <row r="512" spans="3:7" ht="12.75" customHeight="1" x14ac:dyDescent="0.25">
      <c r="C512"/>
      <c r="E512"/>
      <c r="G512"/>
    </row>
    <row r="513" spans="3:7" ht="12.75" customHeight="1" x14ac:dyDescent="0.25">
      <c r="C513"/>
      <c r="E513"/>
      <c r="G513"/>
    </row>
    <row r="514" spans="3:7" ht="12.75" customHeight="1" x14ac:dyDescent="0.25">
      <c r="C514"/>
      <c r="E514"/>
      <c r="G514"/>
    </row>
    <row r="515" spans="3:7" ht="12.75" customHeight="1" x14ac:dyDescent="0.25">
      <c r="C515"/>
      <c r="E515"/>
      <c r="G515"/>
    </row>
    <row r="516" spans="3:7" ht="12.75" customHeight="1" x14ac:dyDescent="0.25">
      <c r="C516"/>
      <c r="E516"/>
      <c r="G516"/>
    </row>
    <row r="517" spans="3:7" ht="12.75" customHeight="1" x14ac:dyDescent="0.25">
      <c r="C517"/>
      <c r="E517"/>
      <c r="G517"/>
    </row>
    <row r="518" spans="3:7" ht="12.75" customHeight="1" x14ac:dyDescent="0.25">
      <c r="C518"/>
      <c r="E518"/>
      <c r="G518"/>
    </row>
    <row r="519" spans="3:7" ht="12.75" customHeight="1" x14ac:dyDescent="0.25">
      <c r="C519"/>
      <c r="E519"/>
      <c r="G519"/>
    </row>
    <row r="520" spans="3:7" ht="12.75" customHeight="1" x14ac:dyDescent="0.25">
      <c r="C520"/>
      <c r="E520"/>
      <c r="G520"/>
    </row>
    <row r="521" spans="3:7" ht="12.75" customHeight="1" x14ac:dyDescent="0.25">
      <c r="C521"/>
      <c r="E521"/>
      <c r="G521"/>
    </row>
    <row r="522" spans="3:7" ht="12.75" customHeight="1" x14ac:dyDescent="0.25">
      <c r="C522"/>
      <c r="E522"/>
      <c r="G522"/>
    </row>
    <row r="523" spans="3:7" ht="12.75" customHeight="1" x14ac:dyDescent="0.25">
      <c r="C523"/>
      <c r="E523"/>
      <c r="G523"/>
    </row>
    <row r="524" spans="3:7" ht="12.75" customHeight="1" x14ac:dyDescent="0.25">
      <c r="C524"/>
      <c r="E524"/>
      <c r="G524"/>
    </row>
    <row r="525" spans="3:7" ht="12.75" customHeight="1" x14ac:dyDescent="0.25">
      <c r="C525"/>
      <c r="E525"/>
      <c r="G525"/>
    </row>
    <row r="526" spans="3:7" ht="12.75" customHeight="1" x14ac:dyDescent="0.25">
      <c r="C526"/>
      <c r="E526"/>
      <c r="G526"/>
    </row>
    <row r="527" spans="3:7" ht="12.75" customHeight="1" x14ac:dyDescent="0.25">
      <c r="C527"/>
      <c r="E527"/>
      <c r="G527"/>
    </row>
    <row r="528" spans="3:7" ht="12.75" customHeight="1" x14ac:dyDescent="0.25">
      <c r="C528"/>
      <c r="E528"/>
      <c r="G528"/>
    </row>
    <row r="529" spans="3:7" ht="12.75" customHeight="1" x14ac:dyDescent="0.25">
      <c r="C529"/>
      <c r="E529"/>
      <c r="G529"/>
    </row>
    <row r="530" spans="3:7" ht="12.75" customHeight="1" x14ac:dyDescent="0.25">
      <c r="C530"/>
      <c r="E530"/>
      <c r="G530"/>
    </row>
    <row r="531" spans="3:7" ht="12.75" customHeight="1" x14ac:dyDescent="0.25">
      <c r="C531"/>
      <c r="E531"/>
      <c r="G531"/>
    </row>
    <row r="532" spans="3:7" ht="12.75" customHeight="1" x14ac:dyDescent="0.25">
      <c r="C532"/>
      <c r="E532"/>
      <c r="G532"/>
    </row>
    <row r="533" spans="3:7" ht="12.75" customHeight="1" x14ac:dyDescent="0.25">
      <c r="C533"/>
      <c r="E533"/>
      <c r="G533"/>
    </row>
    <row r="534" spans="3:7" ht="12.75" customHeight="1" x14ac:dyDescent="0.25">
      <c r="C534"/>
      <c r="E534"/>
      <c r="G534"/>
    </row>
    <row r="535" spans="3:7" ht="12.75" customHeight="1" x14ac:dyDescent="0.25">
      <c r="C535"/>
      <c r="E535"/>
      <c r="G535"/>
    </row>
    <row r="536" spans="3:7" ht="12.75" customHeight="1" x14ac:dyDescent="0.25">
      <c r="C536"/>
      <c r="E536"/>
      <c r="G536"/>
    </row>
    <row r="537" spans="3:7" ht="12.75" customHeight="1" x14ac:dyDescent="0.25">
      <c r="C537"/>
      <c r="E537"/>
      <c r="G537"/>
    </row>
    <row r="538" spans="3:7" ht="12.75" customHeight="1" x14ac:dyDescent="0.25">
      <c r="C538"/>
      <c r="E538"/>
      <c r="G538"/>
    </row>
    <row r="539" spans="3:7" ht="12.75" customHeight="1" x14ac:dyDescent="0.25">
      <c r="C539"/>
      <c r="E539"/>
      <c r="G539"/>
    </row>
    <row r="540" spans="3:7" ht="12.75" customHeight="1" x14ac:dyDescent="0.25">
      <c r="C540"/>
      <c r="E540"/>
      <c r="G540"/>
    </row>
    <row r="541" spans="3:7" ht="12.75" customHeight="1" x14ac:dyDescent="0.25">
      <c r="C541"/>
      <c r="E541"/>
      <c r="G541"/>
    </row>
    <row r="542" spans="3:7" ht="12.75" customHeight="1" x14ac:dyDescent="0.25">
      <c r="C542"/>
      <c r="E542"/>
      <c r="G542"/>
    </row>
    <row r="543" spans="3:7" ht="12.75" customHeight="1" x14ac:dyDescent="0.25">
      <c r="C543"/>
      <c r="E543"/>
      <c r="G543"/>
    </row>
    <row r="544" spans="3:7" ht="12.75" customHeight="1" x14ac:dyDescent="0.25">
      <c r="C544"/>
      <c r="E544"/>
      <c r="G544"/>
    </row>
    <row r="545" spans="3:7" ht="12.75" customHeight="1" x14ac:dyDescent="0.25">
      <c r="C545"/>
      <c r="E545"/>
      <c r="G545"/>
    </row>
    <row r="546" spans="3:7" ht="12.75" customHeight="1" x14ac:dyDescent="0.25">
      <c r="C546"/>
      <c r="E546"/>
      <c r="G546"/>
    </row>
    <row r="547" spans="3:7" ht="12.75" customHeight="1" x14ac:dyDescent="0.25">
      <c r="C547"/>
      <c r="E547"/>
      <c r="G547"/>
    </row>
    <row r="548" spans="3:7" ht="12.75" customHeight="1" x14ac:dyDescent="0.25">
      <c r="C548"/>
      <c r="E548"/>
      <c r="G548"/>
    </row>
    <row r="549" spans="3:7" ht="12.75" customHeight="1" x14ac:dyDescent="0.25">
      <c r="C549"/>
      <c r="E549"/>
      <c r="G549"/>
    </row>
    <row r="550" spans="3:7" ht="12.75" customHeight="1" x14ac:dyDescent="0.25">
      <c r="C550"/>
      <c r="E550"/>
      <c r="G550"/>
    </row>
    <row r="551" spans="3:7" ht="12.75" customHeight="1" x14ac:dyDescent="0.25">
      <c r="C551"/>
      <c r="E551"/>
      <c r="G551"/>
    </row>
    <row r="552" spans="3:7" ht="12.75" customHeight="1" x14ac:dyDescent="0.25">
      <c r="C552"/>
      <c r="E552"/>
      <c r="G552"/>
    </row>
    <row r="553" spans="3:7" ht="12.75" customHeight="1" x14ac:dyDescent="0.25">
      <c r="C553"/>
      <c r="E553"/>
      <c r="G553"/>
    </row>
    <row r="554" spans="3:7" ht="12.75" customHeight="1" x14ac:dyDescent="0.25">
      <c r="C554"/>
      <c r="E554"/>
      <c r="G554"/>
    </row>
    <row r="555" spans="3:7" ht="12.75" customHeight="1" x14ac:dyDescent="0.25">
      <c r="C555"/>
      <c r="E555"/>
      <c r="G555"/>
    </row>
    <row r="556" spans="3:7" ht="12.75" customHeight="1" x14ac:dyDescent="0.25">
      <c r="C556"/>
      <c r="E556"/>
      <c r="G556"/>
    </row>
    <row r="557" spans="3:7" ht="12.75" customHeight="1" x14ac:dyDescent="0.25">
      <c r="C557"/>
      <c r="E557"/>
      <c r="G557"/>
    </row>
    <row r="558" spans="3:7" ht="12.75" customHeight="1" x14ac:dyDescent="0.25">
      <c r="C558"/>
      <c r="E558"/>
      <c r="G558"/>
    </row>
    <row r="559" spans="3:7" ht="12.75" customHeight="1" x14ac:dyDescent="0.25">
      <c r="C559"/>
      <c r="E559"/>
      <c r="G559"/>
    </row>
    <row r="560" spans="3:7" ht="12.75" customHeight="1" x14ac:dyDescent="0.25">
      <c r="C560"/>
      <c r="E560"/>
      <c r="G560"/>
    </row>
    <row r="561" spans="3:7" ht="12.75" customHeight="1" x14ac:dyDescent="0.25">
      <c r="C561"/>
      <c r="E561"/>
      <c r="G561"/>
    </row>
    <row r="562" spans="3:7" ht="12.75" customHeight="1" x14ac:dyDescent="0.25">
      <c r="C562"/>
      <c r="E562"/>
      <c r="G562"/>
    </row>
    <row r="563" spans="3:7" ht="12.75" customHeight="1" x14ac:dyDescent="0.25">
      <c r="C563"/>
      <c r="E563"/>
      <c r="G563"/>
    </row>
    <row r="564" spans="3:7" ht="12.75" customHeight="1" x14ac:dyDescent="0.25">
      <c r="C564"/>
      <c r="E564"/>
      <c r="G564"/>
    </row>
    <row r="565" spans="3:7" ht="12.75" customHeight="1" x14ac:dyDescent="0.25">
      <c r="C565"/>
      <c r="E565"/>
      <c r="G565"/>
    </row>
    <row r="566" spans="3:7" ht="12.75" customHeight="1" x14ac:dyDescent="0.25">
      <c r="C566"/>
      <c r="E566"/>
      <c r="G566"/>
    </row>
    <row r="567" spans="3:7" ht="12.75" customHeight="1" x14ac:dyDescent="0.25">
      <c r="C567"/>
      <c r="E567"/>
      <c r="G567"/>
    </row>
    <row r="568" spans="3:7" ht="12.75" customHeight="1" x14ac:dyDescent="0.25">
      <c r="C568"/>
      <c r="E568"/>
      <c r="G568"/>
    </row>
    <row r="569" spans="3:7" ht="12.75" customHeight="1" x14ac:dyDescent="0.25">
      <c r="C569"/>
      <c r="E569"/>
      <c r="G569"/>
    </row>
    <row r="570" spans="3:7" ht="12.75" customHeight="1" x14ac:dyDescent="0.25">
      <c r="C570"/>
      <c r="E570"/>
      <c r="G570"/>
    </row>
    <row r="571" spans="3:7" ht="12.75" customHeight="1" x14ac:dyDescent="0.25">
      <c r="C571"/>
      <c r="E571"/>
      <c r="G571"/>
    </row>
    <row r="572" spans="3:7" ht="12.75" customHeight="1" x14ac:dyDescent="0.25">
      <c r="C572"/>
      <c r="E572"/>
      <c r="G572"/>
    </row>
    <row r="573" spans="3:7" ht="12.75" customHeight="1" x14ac:dyDescent="0.25">
      <c r="C573"/>
      <c r="E573"/>
      <c r="G573"/>
    </row>
    <row r="574" spans="3:7" ht="12.75" customHeight="1" x14ac:dyDescent="0.25">
      <c r="C574"/>
      <c r="E574"/>
      <c r="G574"/>
    </row>
    <row r="575" spans="3:7" ht="12.75" customHeight="1" x14ac:dyDescent="0.25">
      <c r="C575"/>
      <c r="E575"/>
      <c r="G575"/>
    </row>
    <row r="576" spans="3:7" ht="12.75" customHeight="1" x14ac:dyDescent="0.25">
      <c r="C576"/>
      <c r="E576"/>
      <c r="G576"/>
    </row>
    <row r="577" spans="3:7" ht="12.75" customHeight="1" x14ac:dyDescent="0.25">
      <c r="C577"/>
      <c r="E577"/>
      <c r="G577"/>
    </row>
    <row r="578" spans="3:7" ht="12.75" customHeight="1" x14ac:dyDescent="0.25">
      <c r="C578"/>
      <c r="E578"/>
      <c r="G578"/>
    </row>
    <row r="579" spans="3:7" ht="12.75" customHeight="1" x14ac:dyDescent="0.25">
      <c r="C579"/>
      <c r="E579"/>
      <c r="G579"/>
    </row>
    <row r="580" spans="3:7" ht="12.75" customHeight="1" x14ac:dyDescent="0.25">
      <c r="C580"/>
      <c r="E580"/>
      <c r="G580"/>
    </row>
    <row r="581" spans="3:7" ht="12.75" customHeight="1" x14ac:dyDescent="0.25">
      <c r="C581"/>
      <c r="E581"/>
      <c r="G581"/>
    </row>
    <row r="582" spans="3:7" ht="12.75" customHeight="1" x14ac:dyDescent="0.25">
      <c r="C582"/>
      <c r="E582"/>
      <c r="G582"/>
    </row>
    <row r="583" spans="3:7" ht="12.75" customHeight="1" x14ac:dyDescent="0.25">
      <c r="C583"/>
      <c r="E583"/>
      <c r="G583"/>
    </row>
    <row r="584" spans="3:7" ht="12.75" customHeight="1" x14ac:dyDescent="0.25">
      <c r="C584"/>
      <c r="E584"/>
      <c r="G584"/>
    </row>
    <row r="585" spans="3:7" ht="12.75" customHeight="1" x14ac:dyDescent="0.25">
      <c r="C585"/>
      <c r="E585"/>
      <c r="G585"/>
    </row>
    <row r="586" spans="3:7" ht="12.75" customHeight="1" x14ac:dyDescent="0.25">
      <c r="C586"/>
      <c r="E586"/>
      <c r="G586"/>
    </row>
    <row r="587" spans="3:7" ht="12.75" customHeight="1" x14ac:dyDescent="0.25">
      <c r="C587"/>
      <c r="E587"/>
      <c r="G587"/>
    </row>
    <row r="588" spans="3:7" ht="12.75" customHeight="1" x14ac:dyDescent="0.25">
      <c r="C588"/>
      <c r="E588"/>
      <c r="G588"/>
    </row>
    <row r="589" spans="3:7" ht="12.75" customHeight="1" x14ac:dyDescent="0.25">
      <c r="C589"/>
      <c r="E589"/>
      <c r="G589"/>
    </row>
    <row r="590" spans="3:7" ht="12.75" customHeight="1" x14ac:dyDescent="0.25">
      <c r="C590"/>
      <c r="E590"/>
      <c r="G590"/>
    </row>
    <row r="591" spans="3:7" ht="12.75" customHeight="1" x14ac:dyDescent="0.25">
      <c r="C591"/>
      <c r="E591"/>
      <c r="G591"/>
    </row>
    <row r="592" spans="3:7" ht="12.75" customHeight="1" x14ac:dyDescent="0.25">
      <c r="C592"/>
      <c r="E592"/>
      <c r="G592"/>
    </row>
    <row r="593" spans="3:7" ht="12.75" customHeight="1" x14ac:dyDescent="0.25">
      <c r="C593"/>
      <c r="E593"/>
      <c r="G593"/>
    </row>
    <row r="594" spans="3:7" ht="12.75" customHeight="1" x14ac:dyDescent="0.25">
      <c r="C594"/>
      <c r="E594"/>
      <c r="G594"/>
    </row>
    <row r="595" spans="3:7" ht="12.75" customHeight="1" x14ac:dyDescent="0.25">
      <c r="C595"/>
      <c r="E595"/>
      <c r="G595"/>
    </row>
    <row r="596" spans="3:7" ht="12.75" customHeight="1" x14ac:dyDescent="0.25">
      <c r="C596"/>
      <c r="E596"/>
      <c r="G596"/>
    </row>
    <row r="597" spans="3:7" ht="12.75" customHeight="1" x14ac:dyDescent="0.25">
      <c r="C597"/>
      <c r="E597"/>
      <c r="G597"/>
    </row>
    <row r="598" spans="3:7" ht="12.75" customHeight="1" x14ac:dyDescent="0.25">
      <c r="C598"/>
      <c r="E598"/>
      <c r="G598"/>
    </row>
    <row r="599" spans="3:7" ht="12.75" customHeight="1" x14ac:dyDescent="0.25">
      <c r="C599"/>
      <c r="E599"/>
      <c r="G599"/>
    </row>
    <row r="600" spans="3:7" ht="12.75" customHeight="1" x14ac:dyDescent="0.25">
      <c r="C600"/>
      <c r="E600"/>
      <c r="G600"/>
    </row>
    <row r="601" spans="3:7" ht="12.75" customHeight="1" x14ac:dyDescent="0.25">
      <c r="C601"/>
      <c r="E601"/>
      <c r="G601"/>
    </row>
    <row r="602" spans="3:7" ht="12.75" customHeight="1" x14ac:dyDescent="0.25">
      <c r="C602"/>
      <c r="E602"/>
      <c r="G602"/>
    </row>
    <row r="603" spans="3:7" ht="12.75" customHeight="1" x14ac:dyDescent="0.25">
      <c r="C603"/>
      <c r="E603"/>
      <c r="G603"/>
    </row>
    <row r="604" spans="3:7" ht="12.75" customHeight="1" x14ac:dyDescent="0.25">
      <c r="C604"/>
      <c r="E604"/>
      <c r="G604"/>
    </row>
    <row r="605" spans="3:7" ht="12.75" customHeight="1" x14ac:dyDescent="0.25">
      <c r="C605"/>
      <c r="E605"/>
      <c r="G605"/>
    </row>
    <row r="606" spans="3:7" ht="12.75" customHeight="1" x14ac:dyDescent="0.25">
      <c r="C606"/>
      <c r="E606"/>
      <c r="G606"/>
    </row>
    <row r="607" spans="3:7" ht="12.75" customHeight="1" x14ac:dyDescent="0.25">
      <c r="C607"/>
      <c r="E607"/>
      <c r="G607"/>
    </row>
    <row r="608" spans="3:7" ht="12.75" customHeight="1" x14ac:dyDescent="0.25">
      <c r="C608"/>
      <c r="E608"/>
      <c r="G608"/>
    </row>
    <row r="609" spans="3:7" ht="12.75" customHeight="1" x14ac:dyDescent="0.25">
      <c r="C609"/>
      <c r="E609"/>
      <c r="G609"/>
    </row>
    <row r="610" spans="3:7" ht="12.75" customHeight="1" x14ac:dyDescent="0.25">
      <c r="C610"/>
      <c r="E610"/>
      <c r="G610"/>
    </row>
    <row r="611" spans="3:7" ht="12.75" customHeight="1" x14ac:dyDescent="0.25">
      <c r="C611"/>
      <c r="E611"/>
      <c r="G611"/>
    </row>
    <row r="612" spans="3:7" ht="12.75" customHeight="1" x14ac:dyDescent="0.25">
      <c r="C612"/>
      <c r="E612"/>
      <c r="G612"/>
    </row>
    <row r="613" spans="3:7" ht="12.75" customHeight="1" x14ac:dyDescent="0.25">
      <c r="C613"/>
      <c r="E613"/>
      <c r="G613"/>
    </row>
    <row r="614" spans="3:7" ht="12.75" customHeight="1" x14ac:dyDescent="0.25">
      <c r="C614"/>
      <c r="E614"/>
      <c r="G614"/>
    </row>
    <row r="615" spans="3:7" ht="12.75" customHeight="1" x14ac:dyDescent="0.25">
      <c r="C615"/>
      <c r="E615"/>
      <c r="G615"/>
    </row>
    <row r="616" spans="3:7" ht="12.75" customHeight="1" x14ac:dyDescent="0.25">
      <c r="C616"/>
      <c r="E616"/>
      <c r="G616"/>
    </row>
    <row r="617" spans="3:7" ht="12.75" customHeight="1" x14ac:dyDescent="0.25">
      <c r="C617"/>
      <c r="E617"/>
      <c r="G617"/>
    </row>
    <row r="618" spans="3:7" ht="12.75" customHeight="1" x14ac:dyDescent="0.25">
      <c r="C618"/>
      <c r="E618"/>
      <c r="G618"/>
    </row>
    <row r="619" spans="3:7" ht="12.75" customHeight="1" x14ac:dyDescent="0.25">
      <c r="C619"/>
      <c r="E619"/>
      <c r="G619"/>
    </row>
    <row r="620" spans="3:7" ht="12.75" customHeight="1" x14ac:dyDescent="0.25">
      <c r="C620"/>
      <c r="E620"/>
      <c r="G620"/>
    </row>
    <row r="621" spans="3:7" ht="12.75" customHeight="1" x14ac:dyDescent="0.25">
      <c r="C621"/>
      <c r="E621"/>
      <c r="G621"/>
    </row>
    <row r="622" spans="3:7" ht="12.75" customHeight="1" x14ac:dyDescent="0.25">
      <c r="C622"/>
      <c r="E622"/>
      <c r="G622"/>
    </row>
    <row r="623" spans="3:7" ht="12.75" customHeight="1" x14ac:dyDescent="0.25">
      <c r="C623"/>
      <c r="E623"/>
      <c r="G623"/>
    </row>
    <row r="624" spans="3:7" ht="12.75" customHeight="1" x14ac:dyDescent="0.25">
      <c r="C624"/>
      <c r="E624"/>
      <c r="G624"/>
    </row>
    <row r="625" spans="3:7" ht="12.75" customHeight="1" x14ac:dyDescent="0.25">
      <c r="C625"/>
      <c r="E625"/>
      <c r="G625"/>
    </row>
    <row r="626" spans="3:7" ht="12.75" customHeight="1" x14ac:dyDescent="0.25">
      <c r="C626"/>
      <c r="E626"/>
      <c r="G626"/>
    </row>
    <row r="627" spans="3:7" ht="12.75" customHeight="1" x14ac:dyDescent="0.25">
      <c r="C627"/>
      <c r="E627"/>
      <c r="G627"/>
    </row>
    <row r="628" spans="3:7" ht="12.75" customHeight="1" x14ac:dyDescent="0.25">
      <c r="C628"/>
      <c r="E628"/>
      <c r="G628"/>
    </row>
    <row r="629" spans="3:7" ht="12.75" customHeight="1" x14ac:dyDescent="0.25">
      <c r="C629"/>
      <c r="E629"/>
      <c r="G629"/>
    </row>
    <row r="630" spans="3:7" ht="12.75" customHeight="1" x14ac:dyDescent="0.25">
      <c r="C630"/>
      <c r="E630"/>
      <c r="G630"/>
    </row>
    <row r="631" spans="3:7" ht="12.75" customHeight="1" x14ac:dyDescent="0.25">
      <c r="C631"/>
      <c r="E631"/>
      <c r="G631"/>
    </row>
    <row r="632" spans="3:7" ht="12.75" customHeight="1" x14ac:dyDescent="0.25">
      <c r="C632"/>
      <c r="E632"/>
      <c r="G632"/>
    </row>
    <row r="633" spans="3:7" ht="12.75" customHeight="1" x14ac:dyDescent="0.25">
      <c r="C633"/>
      <c r="E633"/>
      <c r="G633"/>
    </row>
    <row r="634" spans="3:7" ht="12.75" customHeight="1" x14ac:dyDescent="0.25">
      <c r="C634"/>
      <c r="E634"/>
      <c r="G634"/>
    </row>
    <row r="635" spans="3:7" ht="12.75" customHeight="1" x14ac:dyDescent="0.25">
      <c r="C635"/>
      <c r="E635"/>
      <c r="G635"/>
    </row>
    <row r="636" spans="3:7" ht="12.75" customHeight="1" x14ac:dyDescent="0.25">
      <c r="C636"/>
      <c r="E636"/>
      <c r="G636"/>
    </row>
    <row r="637" spans="3:7" ht="12.75" customHeight="1" x14ac:dyDescent="0.25">
      <c r="C637"/>
      <c r="E637"/>
      <c r="G637"/>
    </row>
    <row r="638" spans="3:7" ht="12.75" customHeight="1" x14ac:dyDescent="0.25">
      <c r="C638"/>
      <c r="E638"/>
      <c r="G638"/>
    </row>
    <row r="639" spans="3:7" ht="12.75" customHeight="1" x14ac:dyDescent="0.25">
      <c r="C639"/>
      <c r="E639"/>
      <c r="G639"/>
    </row>
    <row r="640" spans="3:7" ht="12.75" customHeight="1" x14ac:dyDescent="0.25">
      <c r="C640"/>
      <c r="E640"/>
      <c r="G640"/>
    </row>
    <row r="641" spans="3:7" ht="12.75" customHeight="1" x14ac:dyDescent="0.25">
      <c r="C641"/>
      <c r="E641"/>
      <c r="G641"/>
    </row>
    <row r="642" spans="3:7" ht="12.75" customHeight="1" x14ac:dyDescent="0.25">
      <c r="C642"/>
      <c r="E642"/>
      <c r="G642"/>
    </row>
    <row r="643" spans="3:7" ht="12.75" customHeight="1" x14ac:dyDescent="0.25">
      <c r="C643"/>
      <c r="E643"/>
      <c r="G643"/>
    </row>
    <row r="644" spans="3:7" ht="12.75" customHeight="1" x14ac:dyDescent="0.25">
      <c r="C644"/>
      <c r="E644"/>
      <c r="G644"/>
    </row>
    <row r="645" spans="3:7" ht="12.75" customHeight="1" x14ac:dyDescent="0.25">
      <c r="C645"/>
      <c r="E645"/>
      <c r="G645"/>
    </row>
    <row r="646" spans="3:7" ht="12.75" customHeight="1" x14ac:dyDescent="0.25">
      <c r="C646"/>
      <c r="E646"/>
      <c r="G646"/>
    </row>
    <row r="647" spans="3:7" ht="12.75" customHeight="1" x14ac:dyDescent="0.25">
      <c r="C647"/>
      <c r="E647"/>
      <c r="G647"/>
    </row>
    <row r="648" spans="3:7" ht="12.75" customHeight="1" x14ac:dyDescent="0.25">
      <c r="C648"/>
      <c r="E648"/>
      <c r="G648"/>
    </row>
    <row r="649" spans="3:7" ht="12.75" customHeight="1" x14ac:dyDescent="0.25">
      <c r="C649"/>
      <c r="E649"/>
      <c r="G649"/>
    </row>
    <row r="650" spans="3:7" ht="12.75" customHeight="1" x14ac:dyDescent="0.25">
      <c r="C650"/>
      <c r="E650"/>
      <c r="G650"/>
    </row>
    <row r="651" spans="3:7" ht="12.75" customHeight="1" x14ac:dyDescent="0.25">
      <c r="C651"/>
      <c r="E651"/>
      <c r="G651"/>
    </row>
    <row r="652" spans="3:7" ht="12.75" customHeight="1" x14ac:dyDescent="0.25">
      <c r="C652"/>
      <c r="E652"/>
      <c r="G652"/>
    </row>
    <row r="653" spans="3:7" ht="12.75" customHeight="1" x14ac:dyDescent="0.25">
      <c r="C653"/>
      <c r="E653"/>
      <c r="G653"/>
    </row>
    <row r="654" spans="3:7" ht="12.75" customHeight="1" x14ac:dyDescent="0.25">
      <c r="C654"/>
      <c r="E654"/>
      <c r="G654"/>
    </row>
    <row r="655" spans="3:7" ht="12.75" customHeight="1" x14ac:dyDescent="0.25">
      <c r="C655"/>
      <c r="E655"/>
      <c r="G655"/>
    </row>
    <row r="656" spans="3:7" ht="12.75" customHeight="1" x14ac:dyDescent="0.25">
      <c r="C656"/>
      <c r="E656"/>
      <c r="G656"/>
    </row>
    <row r="657" spans="3:7" ht="12.75" customHeight="1" x14ac:dyDescent="0.25">
      <c r="C657"/>
      <c r="E657"/>
      <c r="G657"/>
    </row>
    <row r="658" spans="3:7" ht="12.75" customHeight="1" x14ac:dyDescent="0.25">
      <c r="C658"/>
      <c r="E658"/>
      <c r="G658"/>
    </row>
    <row r="659" spans="3:7" ht="12.75" customHeight="1" x14ac:dyDescent="0.25">
      <c r="C659"/>
      <c r="E659"/>
      <c r="G659"/>
    </row>
    <row r="660" spans="3:7" ht="12.75" customHeight="1" x14ac:dyDescent="0.25">
      <c r="C660"/>
      <c r="E660"/>
      <c r="G660"/>
    </row>
    <row r="661" spans="3:7" ht="12.75" customHeight="1" x14ac:dyDescent="0.25">
      <c r="C661"/>
      <c r="E661"/>
      <c r="G661"/>
    </row>
    <row r="662" spans="3:7" ht="12.75" customHeight="1" x14ac:dyDescent="0.25">
      <c r="C662"/>
      <c r="E662"/>
      <c r="G662"/>
    </row>
    <row r="663" spans="3:7" ht="12.75" customHeight="1" x14ac:dyDescent="0.25">
      <c r="C663"/>
      <c r="E663"/>
      <c r="G663"/>
    </row>
    <row r="664" spans="3:7" ht="12.75" customHeight="1" x14ac:dyDescent="0.25">
      <c r="C664"/>
      <c r="E664"/>
      <c r="G664"/>
    </row>
    <row r="665" spans="3:7" ht="12.75" customHeight="1" x14ac:dyDescent="0.25">
      <c r="C665"/>
      <c r="E665"/>
      <c r="G665"/>
    </row>
    <row r="666" spans="3:7" ht="12.75" customHeight="1" x14ac:dyDescent="0.25">
      <c r="C666"/>
      <c r="E666"/>
      <c r="G666"/>
    </row>
    <row r="667" spans="3:7" ht="12.75" customHeight="1" x14ac:dyDescent="0.25">
      <c r="C667"/>
      <c r="E667"/>
      <c r="G667"/>
    </row>
    <row r="668" spans="3:7" ht="12.75" customHeight="1" x14ac:dyDescent="0.25">
      <c r="C668"/>
      <c r="E668"/>
      <c r="G668"/>
    </row>
    <row r="669" spans="3:7" ht="12.75" customHeight="1" x14ac:dyDescent="0.25">
      <c r="C669"/>
      <c r="E669"/>
      <c r="G669"/>
    </row>
    <row r="670" spans="3:7" ht="12.75" customHeight="1" x14ac:dyDescent="0.25">
      <c r="C670"/>
      <c r="E670"/>
      <c r="G670"/>
    </row>
    <row r="671" spans="3:7" ht="12.75" customHeight="1" x14ac:dyDescent="0.25">
      <c r="C671"/>
      <c r="E671"/>
      <c r="G671"/>
    </row>
    <row r="672" spans="3:7" ht="12.75" customHeight="1" x14ac:dyDescent="0.25">
      <c r="C672"/>
      <c r="E672"/>
      <c r="G672"/>
    </row>
    <row r="673" spans="3:7" ht="12.75" customHeight="1" x14ac:dyDescent="0.25">
      <c r="C673"/>
      <c r="E673"/>
      <c r="G673"/>
    </row>
    <row r="674" spans="3:7" ht="12.75" customHeight="1" x14ac:dyDescent="0.25">
      <c r="C674"/>
      <c r="E674"/>
      <c r="G674"/>
    </row>
    <row r="675" spans="3:7" ht="12.75" customHeight="1" x14ac:dyDescent="0.25">
      <c r="C675"/>
      <c r="E675"/>
      <c r="G675"/>
    </row>
    <row r="676" spans="3:7" ht="12.75" customHeight="1" x14ac:dyDescent="0.25">
      <c r="C676"/>
      <c r="E676"/>
      <c r="G676"/>
    </row>
    <row r="677" spans="3:7" ht="12.75" customHeight="1" x14ac:dyDescent="0.25">
      <c r="C677"/>
      <c r="E677"/>
      <c r="G677"/>
    </row>
    <row r="678" spans="3:7" ht="12.75" customHeight="1" x14ac:dyDescent="0.25">
      <c r="C678"/>
      <c r="E678"/>
      <c r="G678"/>
    </row>
    <row r="679" spans="3:7" ht="12.75" customHeight="1" x14ac:dyDescent="0.25">
      <c r="C679"/>
      <c r="E679"/>
      <c r="G679"/>
    </row>
    <row r="680" spans="3:7" ht="12.75" customHeight="1" x14ac:dyDescent="0.25">
      <c r="C680"/>
      <c r="E680"/>
      <c r="G680"/>
    </row>
    <row r="681" spans="3:7" ht="12.75" customHeight="1" x14ac:dyDescent="0.25">
      <c r="C681"/>
      <c r="E681"/>
      <c r="G681"/>
    </row>
    <row r="682" spans="3:7" ht="12.75" customHeight="1" x14ac:dyDescent="0.25">
      <c r="C682"/>
      <c r="E682"/>
      <c r="G682"/>
    </row>
    <row r="683" spans="3:7" ht="12.75" customHeight="1" x14ac:dyDescent="0.25">
      <c r="C683"/>
      <c r="E683"/>
      <c r="G683"/>
    </row>
    <row r="684" spans="3:7" ht="12.75" customHeight="1" x14ac:dyDescent="0.25">
      <c r="C684"/>
      <c r="E684"/>
      <c r="G684"/>
    </row>
    <row r="685" spans="3:7" ht="12.75" customHeight="1" x14ac:dyDescent="0.25">
      <c r="C685"/>
      <c r="E685"/>
      <c r="G685"/>
    </row>
    <row r="686" spans="3:7" ht="12.75" customHeight="1" x14ac:dyDescent="0.25">
      <c r="C686"/>
      <c r="E686"/>
      <c r="G686"/>
    </row>
    <row r="687" spans="3:7" ht="12.75" customHeight="1" x14ac:dyDescent="0.25">
      <c r="C687"/>
      <c r="E687"/>
      <c r="G687"/>
    </row>
    <row r="688" spans="3:7" ht="12.75" customHeight="1" x14ac:dyDescent="0.25">
      <c r="C688"/>
      <c r="E688"/>
      <c r="G688"/>
    </row>
    <row r="689" spans="3:7" ht="12.75" customHeight="1" x14ac:dyDescent="0.25">
      <c r="C689"/>
      <c r="E689"/>
      <c r="G689"/>
    </row>
    <row r="690" spans="3:7" ht="12.75" customHeight="1" x14ac:dyDescent="0.25">
      <c r="C690"/>
      <c r="E690"/>
      <c r="G690"/>
    </row>
    <row r="691" spans="3:7" ht="12.75" customHeight="1" x14ac:dyDescent="0.25">
      <c r="C691"/>
      <c r="E691"/>
      <c r="G691"/>
    </row>
    <row r="692" spans="3:7" ht="12.75" customHeight="1" x14ac:dyDescent="0.25">
      <c r="C692"/>
      <c r="E692"/>
      <c r="G692"/>
    </row>
    <row r="693" spans="3:7" ht="12.75" customHeight="1" x14ac:dyDescent="0.25">
      <c r="C693"/>
      <c r="E693"/>
      <c r="G693"/>
    </row>
    <row r="694" spans="3:7" ht="12.75" customHeight="1" x14ac:dyDescent="0.25">
      <c r="C694"/>
      <c r="E694"/>
      <c r="G694"/>
    </row>
    <row r="695" spans="3:7" ht="12.75" customHeight="1" x14ac:dyDescent="0.25">
      <c r="C695"/>
      <c r="E695"/>
      <c r="G695"/>
    </row>
    <row r="696" spans="3:7" ht="12.75" customHeight="1" x14ac:dyDescent="0.25">
      <c r="C696"/>
      <c r="E696"/>
      <c r="G696"/>
    </row>
    <row r="697" spans="3:7" ht="12.75" customHeight="1" x14ac:dyDescent="0.25">
      <c r="C697"/>
      <c r="E697"/>
      <c r="G697"/>
    </row>
    <row r="698" spans="3:7" ht="12.75" customHeight="1" x14ac:dyDescent="0.25">
      <c r="C698"/>
      <c r="E698"/>
      <c r="G698"/>
    </row>
    <row r="699" spans="3:7" ht="12.75" customHeight="1" x14ac:dyDescent="0.25">
      <c r="C699"/>
      <c r="E699"/>
      <c r="G699"/>
    </row>
    <row r="700" spans="3:7" ht="12.75" customHeight="1" x14ac:dyDescent="0.25">
      <c r="C700"/>
      <c r="E700"/>
      <c r="G700"/>
    </row>
    <row r="701" spans="3:7" ht="12.75" customHeight="1" x14ac:dyDescent="0.25">
      <c r="C701"/>
      <c r="E701"/>
      <c r="G701"/>
    </row>
    <row r="702" spans="3:7" ht="12.75" customHeight="1" x14ac:dyDescent="0.25">
      <c r="C702"/>
      <c r="E702"/>
      <c r="G702"/>
    </row>
    <row r="703" spans="3:7" ht="12.75" customHeight="1" x14ac:dyDescent="0.25">
      <c r="C703"/>
      <c r="E703"/>
      <c r="G703"/>
    </row>
    <row r="704" spans="3:7" ht="12.75" customHeight="1" x14ac:dyDescent="0.25">
      <c r="C704"/>
      <c r="E704"/>
      <c r="G704"/>
    </row>
    <row r="705" spans="3:7" ht="12.75" customHeight="1" x14ac:dyDescent="0.25">
      <c r="C705"/>
      <c r="E705"/>
      <c r="G705"/>
    </row>
    <row r="706" spans="3:7" ht="12.75" customHeight="1" x14ac:dyDescent="0.25">
      <c r="C706"/>
      <c r="E706"/>
      <c r="G706"/>
    </row>
    <row r="707" spans="3:7" ht="12.75" customHeight="1" x14ac:dyDescent="0.25">
      <c r="C707"/>
      <c r="E707"/>
      <c r="G707"/>
    </row>
    <row r="708" spans="3:7" ht="12.75" customHeight="1" x14ac:dyDescent="0.25">
      <c r="C708"/>
      <c r="E708"/>
      <c r="G708"/>
    </row>
    <row r="709" spans="3:7" ht="12.75" customHeight="1" x14ac:dyDescent="0.25">
      <c r="C709"/>
      <c r="E709"/>
      <c r="G709"/>
    </row>
    <row r="710" spans="3:7" ht="12.75" customHeight="1" x14ac:dyDescent="0.25">
      <c r="C710"/>
      <c r="E710"/>
      <c r="G710"/>
    </row>
    <row r="711" spans="3:7" ht="12.75" customHeight="1" x14ac:dyDescent="0.25">
      <c r="C711"/>
      <c r="E711"/>
      <c r="G711"/>
    </row>
    <row r="712" spans="3:7" ht="12.75" customHeight="1" x14ac:dyDescent="0.25">
      <c r="C712"/>
      <c r="E712"/>
      <c r="G712"/>
    </row>
    <row r="713" spans="3:7" ht="12.75" customHeight="1" x14ac:dyDescent="0.25">
      <c r="C713"/>
      <c r="E713"/>
      <c r="G713"/>
    </row>
    <row r="714" spans="3:7" ht="12.75" customHeight="1" x14ac:dyDescent="0.25">
      <c r="C714"/>
      <c r="E714"/>
      <c r="G714"/>
    </row>
    <row r="715" spans="3:7" ht="12.75" customHeight="1" x14ac:dyDescent="0.25">
      <c r="C715"/>
      <c r="E715"/>
      <c r="G715"/>
    </row>
    <row r="716" spans="3:7" ht="12.75" customHeight="1" x14ac:dyDescent="0.25">
      <c r="C716"/>
      <c r="E716"/>
      <c r="G716"/>
    </row>
    <row r="717" spans="3:7" ht="12.75" customHeight="1" x14ac:dyDescent="0.25">
      <c r="C717"/>
      <c r="E717"/>
      <c r="G717"/>
    </row>
    <row r="718" spans="3:7" ht="12.75" customHeight="1" x14ac:dyDescent="0.25">
      <c r="C718"/>
      <c r="E718"/>
      <c r="G718"/>
    </row>
    <row r="719" spans="3:7" ht="12.75" customHeight="1" x14ac:dyDescent="0.25">
      <c r="C719"/>
      <c r="E719"/>
      <c r="G719"/>
    </row>
    <row r="720" spans="3:7" ht="12.75" customHeight="1" x14ac:dyDescent="0.25">
      <c r="C720"/>
      <c r="E720"/>
      <c r="G720"/>
    </row>
    <row r="721" spans="3:7" ht="12.75" customHeight="1" x14ac:dyDescent="0.25">
      <c r="C721"/>
      <c r="E721"/>
      <c r="G721"/>
    </row>
    <row r="722" spans="3:7" ht="12.75" customHeight="1" x14ac:dyDescent="0.25">
      <c r="C722"/>
      <c r="E722"/>
      <c r="G722"/>
    </row>
    <row r="723" spans="3:7" ht="12.75" customHeight="1" x14ac:dyDescent="0.25">
      <c r="C723"/>
      <c r="E723"/>
      <c r="G723"/>
    </row>
    <row r="724" spans="3:7" ht="12.75" customHeight="1" x14ac:dyDescent="0.25">
      <c r="C724"/>
      <c r="E724"/>
      <c r="G724"/>
    </row>
    <row r="725" spans="3:7" ht="12.75" customHeight="1" x14ac:dyDescent="0.25">
      <c r="C725"/>
      <c r="E725"/>
      <c r="G725"/>
    </row>
    <row r="726" spans="3:7" ht="12.75" customHeight="1" x14ac:dyDescent="0.25">
      <c r="C726"/>
      <c r="E726"/>
      <c r="G726"/>
    </row>
    <row r="727" spans="3:7" ht="12.75" customHeight="1" x14ac:dyDescent="0.25">
      <c r="C727"/>
      <c r="E727"/>
      <c r="G727"/>
    </row>
    <row r="728" spans="3:7" ht="12.75" customHeight="1" x14ac:dyDescent="0.25">
      <c r="C728"/>
      <c r="E728"/>
      <c r="G728"/>
    </row>
    <row r="729" spans="3:7" ht="12.75" customHeight="1" x14ac:dyDescent="0.25">
      <c r="C729"/>
      <c r="E729"/>
      <c r="G729"/>
    </row>
    <row r="730" spans="3:7" ht="12.75" customHeight="1" x14ac:dyDescent="0.25">
      <c r="C730"/>
      <c r="E730"/>
      <c r="G730"/>
    </row>
    <row r="731" spans="3:7" ht="12.75" customHeight="1" x14ac:dyDescent="0.25">
      <c r="C731"/>
      <c r="E731"/>
      <c r="G731"/>
    </row>
    <row r="732" spans="3:7" ht="12.75" customHeight="1" x14ac:dyDescent="0.25">
      <c r="C732"/>
      <c r="E732"/>
      <c r="G732"/>
    </row>
    <row r="733" spans="3:7" ht="12.75" customHeight="1" x14ac:dyDescent="0.25">
      <c r="C733"/>
      <c r="E733"/>
      <c r="G733"/>
    </row>
    <row r="734" spans="3:7" ht="12.75" customHeight="1" x14ac:dyDescent="0.25">
      <c r="C734"/>
      <c r="E734"/>
      <c r="G734"/>
    </row>
    <row r="735" spans="3:7" ht="12.75" customHeight="1" x14ac:dyDescent="0.25">
      <c r="C735"/>
      <c r="E735"/>
      <c r="G735"/>
    </row>
    <row r="736" spans="3:7" ht="12.75" customHeight="1" x14ac:dyDescent="0.25">
      <c r="C736"/>
      <c r="E736"/>
      <c r="G736"/>
    </row>
    <row r="737" spans="3:7" ht="12.75" customHeight="1" x14ac:dyDescent="0.25">
      <c r="C737"/>
      <c r="E737"/>
      <c r="G737"/>
    </row>
    <row r="738" spans="3:7" ht="12.75" customHeight="1" x14ac:dyDescent="0.25">
      <c r="C738"/>
      <c r="E738"/>
      <c r="G738"/>
    </row>
    <row r="739" spans="3:7" ht="12.75" customHeight="1" x14ac:dyDescent="0.25">
      <c r="C739"/>
      <c r="E739"/>
      <c r="G739"/>
    </row>
    <row r="740" spans="3:7" ht="12.75" customHeight="1" x14ac:dyDescent="0.25">
      <c r="C740"/>
      <c r="E740"/>
      <c r="G740"/>
    </row>
    <row r="741" spans="3:7" ht="12.75" customHeight="1" x14ac:dyDescent="0.25">
      <c r="C741"/>
      <c r="E741"/>
      <c r="G741"/>
    </row>
    <row r="742" spans="3:7" ht="12.75" customHeight="1" x14ac:dyDescent="0.25">
      <c r="C742"/>
      <c r="E742"/>
      <c r="G742"/>
    </row>
    <row r="743" spans="3:7" ht="12.75" customHeight="1" x14ac:dyDescent="0.25">
      <c r="C743"/>
      <c r="E743"/>
      <c r="G743"/>
    </row>
    <row r="744" spans="3:7" ht="12.75" customHeight="1" x14ac:dyDescent="0.25">
      <c r="C744"/>
      <c r="E744"/>
      <c r="G744"/>
    </row>
    <row r="745" spans="3:7" ht="12.75" customHeight="1" x14ac:dyDescent="0.25">
      <c r="C745"/>
      <c r="E745"/>
      <c r="G745"/>
    </row>
    <row r="746" spans="3:7" ht="12.75" customHeight="1" x14ac:dyDescent="0.25">
      <c r="C746"/>
      <c r="E746"/>
      <c r="G746"/>
    </row>
    <row r="747" spans="3:7" ht="12.75" customHeight="1" x14ac:dyDescent="0.25">
      <c r="C747"/>
      <c r="E747"/>
      <c r="G747"/>
    </row>
    <row r="748" spans="3:7" ht="12.75" customHeight="1" x14ac:dyDescent="0.25">
      <c r="C748"/>
      <c r="E748"/>
      <c r="G748"/>
    </row>
    <row r="749" spans="3:7" ht="12.75" customHeight="1" x14ac:dyDescent="0.25">
      <c r="C749"/>
      <c r="E749"/>
      <c r="G749"/>
    </row>
    <row r="750" spans="3:7" ht="12.75" customHeight="1" x14ac:dyDescent="0.25">
      <c r="C750"/>
      <c r="E750"/>
      <c r="G750"/>
    </row>
    <row r="751" spans="3:7" ht="12.75" customHeight="1" x14ac:dyDescent="0.25">
      <c r="C751"/>
      <c r="E751"/>
      <c r="G751"/>
    </row>
    <row r="752" spans="3:7" ht="12.75" customHeight="1" x14ac:dyDescent="0.25">
      <c r="C752"/>
      <c r="E752"/>
      <c r="G752"/>
    </row>
    <row r="753" spans="3:7" ht="12.75" customHeight="1" x14ac:dyDescent="0.25">
      <c r="C753"/>
      <c r="E753"/>
      <c r="G753"/>
    </row>
    <row r="754" spans="3:7" ht="12.75" customHeight="1" x14ac:dyDescent="0.25">
      <c r="C754"/>
      <c r="E754"/>
      <c r="G754"/>
    </row>
    <row r="755" spans="3:7" ht="12.75" customHeight="1" x14ac:dyDescent="0.25">
      <c r="C755"/>
      <c r="E755"/>
      <c r="G755"/>
    </row>
    <row r="756" spans="3:7" ht="12.75" customHeight="1" x14ac:dyDescent="0.25">
      <c r="C756"/>
      <c r="E756"/>
      <c r="G756"/>
    </row>
    <row r="757" spans="3:7" ht="12.75" customHeight="1" x14ac:dyDescent="0.25">
      <c r="C757"/>
      <c r="E757"/>
      <c r="G757"/>
    </row>
    <row r="758" spans="3:7" ht="12.75" customHeight="1" x14ac:dyDescent="0.25">
      <c r="C758"/>
      <c r="E758"/>
      <c r="G758"/>
    </row>
    <row r="759" spans="3:7" ht="12.75" customHeight="1" x14ac:dyDescent="0.25">
      <c r="C759"/>
      <c r="E759"/>
      <c r="G759"/>
    </row>
    <row r="760" spans="3:7" ht="12.75" customHeight="1" x14ac:dyDescent="0.25">
      <c r="C760"/>
      <c r="E760"/>
      <c r="G760"/>
    </row>
    <row r="761" spans="3:7" ht="12.75" customHeight="1" x14ac:dyDescent="0.25">
      <c r="C761"/>
      <c r="E761"/>
      <c r="G761"/>
    </row>
    <row r="762" spans="3:7" ht="12.75" customHeight="1" x14ac:dyDescent="0.25">
      <c r="C762"/>
      <c r="E762"/>
      <c r="G762"/>
    </row>
    <row r="763" spans="3:7" ht="12.75" customHeight="1" x14ac:dyDescent="0.25">
      <c r="C763"/>
      <c r="E763"/>
      <c r="G763"/>
    </row>
    <row r="764" spans="3:7" ht="12.75" customHeight="1" x14ac:dyDescent="0.25">
      <c r="C764"/>
      <c r="E764"/>
      <c r="G764"/>
    </row>
    <row r="765" spans="3:7" ht="12.75" customHeight="1" x14ac:dyDescent="0.25">
      <c r="C765"/>
      <c r="E765"/>
      <c r="G765"/>
    </row>
    <row r="766" spans="3:7" ht="12.75" customHeight="1" x14ac:dyDescent="0.25">
      <c r="G766"/>
    </row>
    <row r="767" spans="3:7" ht="12.75" customHeight="1" x14ac:dyDescent="0.25">
      <c r="G767"/>
    </row>
    <row r="768" spans="3:7" ht="12.75" customHeight="1" x14ac:dyDescent="0.25">
      <c r="G768"/>
    </row>
    <row r="769" spans="7:7" ht="12.75" customHeight="1" x14ac:dyDescent="0.25">
      <c r="G769"/>
    </row>
    <row r="770" spans="7:7" ht="12.75" customHeight="1" x14ac:dyDescent="0.25">
      <c r="G770"/>
    </row>
    <row r="771" spans="7:7" ht="12.75" customHeight="1" x14ac:dyDescent="0.25">
      <c r="G771"/>
    </row>
    <row r="772" spans="7:7" ht="12.75" customHeight="1" x14ac:dyDescent="0.25">
      <c r="G772"/>
    </row>
    <row r="773" spans="7:7" ht="12.75" customHeight="1" x14ac:dyDescent="0.25">
      <c r="G773"/>
    </row>
    <row r="774" spans="7:7" ht="12.75" customHeight="1" x14ac:dyDescent="0.25">
      <c r="G774"/>
    </row>
    <row r="775" spans="7:7" ht="12.75" customHeight="1" x14ac:dyDescent="0.25">
      <c r="G775"/>
    </row>
    <row r="776" spans="7:7" ht="12.75" customHeight="1" x14ac:dyDescent="0.25">
      <c r="G776"/>
    </row>
    <row r="777" spans="7:7" ht="12.75" customHeight="1" x14ac:dyDescent="0.25">
      <c r="G777"/>
    </row>
  </sheetData>
  <phoneticPr fontId="0" type="noConversion"/>
  <printOptions headings="1"/>
  <pageMargins left="0.5" right="0.05" top="0.5" bottom="0.5" header="0.5" footer="0.5"/>
  <pageSetup firstPageNumber="12" orientation="portrait" useFirstPageNumber="1" horizontalDpi="300" verticalDpi="300" r:id="rId1"/>
  <headerFooter alignWithMargins="0">
    <oddHeader>&amp;R&amp;8 12&amp;10
&amp;8&amp;D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zoomScaleNormal="100" workbookViewId="0">
      <selection activeCell="A4" sqref="A4"/>
    </sheetView>
  </sheetViews>
  <sheetFormatPr defaultRowHeight="12.5" x14ac:dyDescent="0.25"/>
  <cols>
    <col min="1" max="1" width="22.453125" customWidth="1"/>
    <col min="2" max="6" width="14.7265625" customWidth="1"/>
    <col min="7" max="8" width="10.7265625" customWidth="1"/>
    <col min="9" max="9" width="12.7265625" customWidth="1"/>
  </cols>
  <sheetData>
    <row r="1" spans="1:9" ht="12" customHeight="1" x14ac:dyDescent="0.3">
      <c r="A1" s="415" t="str">
        <f>'Dairy Description'!A1</f>
        <v>Key Code:</v>
      </c>
      <c r="C1" s="1"/>
      <c r="D1" s="5" t="s">
        <v>313</v>
      </c>
    </row>
    <row r="2" spans="1:9" ht="12" customHeight="1" x14ac:dyDescent="0.3">
      <c r="A2" s="2" t="s">
        <v>42</v>
      </c>
      <c r="B2" s="1"/>
      <c r="C2" s="1"/>
      <c r="D2" s="1"/>
      <c r="E2" s="1"/>
      <c r="F2" s="1"/>
      <c r="G2" s="1"/>
      <c r="H2" s="1"/>
      <c r="I2" s="1"/>
    </row>
    <row r="3" spans="1:9" ht="12" customHeight="1" x14ac:dyDescent="0.3">
      <c r="A3" s="244" t="s">
        <v>760</v>
      </c>
      <c r="B3" s="1"/>
      <c r="C3" s="1"/>
      <c r="D3" s="1"/>
      <c r="E3" s="1"/>
      <c r="F3" s="1"/>
      <c r="G3" s="1"/>
      <c r="H3" s="1"/>
      <c r="I3" s="1"/>
    </row>
    <row r="4" spans="1:9" ht="12" customHeight="1" x14ac:dyDescent="0.3">
      <c r="A4" s="6" t="s">
        <v>624</v>
      </c>
    </row>
    <row r="5" spans="1:9" ht="12" customHeight="1" x14ac:dyDescent="0.25">
      <c r="A5" s="416"/>
      <c r="B5" s="95" t="s">
        <v>315</v>
      </c>
      <c r="C5" s="329"/>
      <c r="D5" s="95" t="s">
        <v>316</v>
      </c>
      <c r="E5" s="329"/>
      <c r="F5" s="55"/>
      <c r="G5" s="95" t="s">
        <v>317</v>
      </c>
      <c r="H5" s="95"/>
      <c r="I5" s="329"/>
    </row>
    <row r="6" spans="1:9" ht="12" customHeight="1" x14ac:dyDescent="0.25">
      <c r="A6" s="417" t="s">
        <v>637</v>
      </c>
      <c r="B6" s="59" t="s">
        <v>319</v>
      </c>
      <c r="C6" s="61" t="s">
        <v>320</v>
      </c>
      <c r="D6" s="59" t="s">
        <v>205</v>
      </c>
      <c r="E6" s="61" t="s">
        <v>321</v>
      </c>
      <c r="F6" s="61" t="s">
        <v>667</v>
      </c>
      <c r="G6" s="59" t="s">
        <v>237</v>
      </c>
      <c r="H6" s="59" t="s">
        <v>323</v>
      </c>
      <c r="I6" s="61" t="s">
        <v>33</v>
      </c>
    </row>
    <row r="7" spans="1:9" x14ac:dyDescent="0.25">
      <c r="A7" s="19" t="s">
        <v>625</v>
      </c>
      <c r="C7" s="26"/>
      <c r="E7" s="26"/>
      <c r="F7" s="26"/>
      <c r="H7" s="300"/>
      <c r="I7" s="26"/>
    </row>
    <row r="8" spans="1:9" x14ac:dyDescent="0.25">
      <c r="A8" s="418">
        <v>0</v>
      </c>
      <c r="B8" s="419">
        <v>0</v>
      </c>
      <c r="C8" s="420">
        <v>0</v>
      </c>
      <c r="D8" s="419">
        <v>0</v>
      </c>
      <c r="E8" s="420">
        <v>0</v>
      </c>
      <c r="F8" s="420">
        <v>0</v>
      </c>
      <c r="G8" s="421">
        <v>0</v>
      </c>
      <c r="H8" s="422">
        <v>0</v>
      </c>
      <c r="I8" s="423">
        <f>G8*H8</f>
        <v>0</v>
      </c>
    </row>
    <row r="9" spans="1:9" x14ac:dyDescent="0.25">
      <c r="A9" s="418">
        <v>0</v>
      </c>
      <c r="B9" s="419">
        <v>0</v>
      </c>
      <c r="C9" s="420">
        <v>0</v>
      </c>
      <c r="D9" s="419">
        <v>0</v>
      </c>
      <c r="E9" s="420">
        <v>0</v>
      </c>
      <c r="F9" s="420">
        <v>0</v>
      </c>
      <c r="G9" s="421">
        <v>0</v>
      </c>
      <c r="H9" s="422">
        <v>0</v>
      </c>
      <c r="I9" s="423">
        <f>G9*H9</f>
        <v>0</v>
      </c>
    </row>
    <row r="10" spans="1:9" x14ac:dyDescent="0.25">
      <c r="A10" s="418">
        <v>0</v>
      </c>
      <c r="B10" s="419">
        <v>0</v>
      </c>
      <c r="C10" s="420">
        <v>0</v>
      </c>
      <c r="D10" s="419">
        <v>0</v>
      </c>
      <c r="E10" s="420">
        <v>0</v>
      </c>
      <c r="F10" s="420">
        <v>0</v>
      </c>
      <c r="G10" s="421">
        <v>0</v>
      </c>
      <c r="H10" s="422">
        <v>0</v>
      </c>
      <c r="I10" s="423">
        <f>G10*H10</f>
        <v>0</v>
      </c>
    </row>
    <row r="11" spans="1:9" x14ac:dyDescent="0.25">
      <c r="A11" s="418">
        <v>0</v>
      </c>
      <c r="B11" s="419">
        <v>0</v>
      </c>
      <c r="C11" s="420">
        <v>0</v>
      </c>
      <c r="D11" s="419">
        <v>0</v>
      </c>
      <c r="E11" s="420">
        <v>0</v>
      </c>
      <c r="F11" s="420">
        <v>0</v>
      </c>
      <c r="G11" s="421">
        <v>0</v>
      </c>
      <c r="H11" s="422">
        <v>0</v>
      </c>
      <c r="I11" s="423">
        <f>G11*H11</f>
        <v>0</v>
      </c>
    </row>
    <row r="12" spans="1:9" x14ac:dyDescent="0.25">
      <c r="A12" s="66" t="s">
        <v>626</v>
      </c>
      <c r="B12" s="120">
        <f>SUM(B8:B11)</f>
        <v>0</v>
      </c>
      <c r="C12" s="116">
        <f>SUM(C8:C11)</f>
        <v>0</v>
      </c>
      <c r="D12" s="120">
        <f>SUM(D8:D11)</f>
        <v>0</v>
      </c>
      <c r="E12" s="116">
        <f>SUM(E8:E11)</f>
        <v>0</v>
      </c>
      <c r="F12" s="116">
        <f>SUM(F8:F11)</f>
        <v>0</v>
      </c>
      <c r="G12" s="120"/>
      <c r="H12" s="330"/>
      <c r="I12" s="65">
        <f>SUM(I8:I11)</f>
        <v>0</v>
      </c>
    </row>
    <row r="13" spans="1:9" ht="8.15" customHeight="1" x14ac:dyDescent="0.25">
      <c r="A13" s="19"/>
      <c r="C13" s="26"/>
      <c r="E13" s="26"/>
      <c r="F13" s="26"/>
      <c r="H13" s="300"/>
      <c r="I13" s="26"/>
    </row>
    <row r="14" spans="1:9" ht="12" customHeight="1" x14ac:dyDescent="0.25">
      <c r="A14" s="162" t="s">
        <v>496</v>
      </c>
      <c r="C14" s="26"/>
      <c r="E14" s="26"/>
      <c r="F14" s="26"/>
      <c r="H14" s="300"/>
      <c r="I14" s="26"/>
    </row>
    <row r="15" spans="1:9" x14ac:dyDescent="0.25">
      <c r="A15" s="418">
        <v>0</v>
      </c>
      <c r="B15" s="419">
        <v>0</v>
      </c>
      <c r="C15" s="420">
        <v>0</v>
      </c>
      <c r="D15" s="419">
        <v>0</v>
      </c>
      <c r="E15" s="420">
        <v>0</v>
      </c>
      <c r="F15" s="420">
        <v>0</v>
      </c>
      <c r="G15" s="421">
        <v>0</v>
      </c>
      <c r="H15" s="422">
        <v>0</v>
      </c>
      <c r="I15" s="423">
        <f>G15*H15</f>
        <v>0</v>
      </c>
    </row>
    <row r="16" spans="1:9" x14ac:dyDescent="0.25">
      <c r="A16" s="418">
        <v>0</v>
      </c>
      <c r="B16" s="419">
        <v>0</v>
      </c>
      <c r="C16" s="420">
        <v>0</v>
      </c>
      <c r="D16" s="419">
        <v>0</v>
      </c>
      <c r="E16" s="420">
        <v>0</v>
      </c>
      <c r="F16" s="420">
        <v>0</v>
      </c>
      <c r="G16" s="421">
        <v>0</v>
      </c>
      <c r="H16" s="422">
        <v>0</v>
      </c>
      <c r="I16" s="423">
        <f>G16*H16</f>
        <v>0</v>
      </c>
    </row>
    <row r="17" spans="1:9" x14ac:dyDescent="0.25">
      <c r="A17" s="418">
        <v>0</v>
      </c>
      <c r="B17" s="419">
        <v>0</v>
      </c>
      <c r="C17" s="420">
        <v>0</v>
      </c>
      <c r="D17" s="419">
        <v>0</v>
      </c>
      <c r="E17" s="420">
        <v>0</v>
      </c>
      <c r="F17" s="420">
        <v>0</v>
      </c>
      <c r="G17" s="421">
        <v>0</v>
      </c>
      <c r="H17" s="422">
        <v>0</v>
      </c>
      <c r="I17" s="423">
        <f>G17*H17</f>
        <v>0</v>
      </c>
    </row>
    <row r="18" spans="1:9" x14ac:dyDescent="0.25">
      <c r="A18" s="418">
        <v>0</v>
      </c>
      <c r="B18" s="419">
        <v>0</v>
      </c>
      <c r="C18" s="420">
        <v>0</v>
      </c>
      <c r="D18" s="419">
        <v>0</v>
      </c>
      <c r="E18" s="420">
        <v>0</v>
      </c>
      <c r="F18" s="420">
        <v>0</v>
      </c>
      <c r="G18" s="421">
        <v>0</v>
      </c>
      <c r="H18" s="422">
        <v>0</v>
      </c>
      <c r="I18" s="423">
        <f>G18*H18</f>
        <v>0</v>
      </c>
    </row>
    <row r="19" spans="1:9" x14ac:dyDescent="0.25">
      <c r="A19" s="66" t="s">
        <v>627</v>
      </c>
      <c r="B19" s="120">
        <f>SUM(B15:B18)</f>
        <v>0</v>
      </c>
      <c r="C19" s="116">
        <f>SUM(C15:C18)</f>
        <v>0</v>
      </c>
      <c r="D19" s="120">
        <f>SUM(D15:D18)</f>
        <v>0</v>
      </c>
      <c r="E19" s="116">
        <f>SUM(E15:E18)</f>
        <v>0</v>
      </c>
      <c r="F19" s="116">
        <f>SUM(F15:F18)</f>
        <v>0</v>
      </c>
      <c r="G19" s="120"/>
      <c r="H19" s="330"/>
      <c r="I19" s="65">
        <f>SUM(I15:I18)</f>
        <v>0</v>
      </c>
    </row>
    <row r="20" spans="1:9" ht="8.15" customHeight="1" x14ac:dyDescent="0.25">
      <c r="A20" s="19"/>
      <c r="C20" s="26"/>
      <c r="E20" s="26"/>
      <c r="F20" s="26"/>
      <c r="H20" s="300"/>
      <c r="I20" s="26"/>
    </row>
    <row r="21" spans="1:9" ht="12" customHeight="1" x14ac:dyDescent="0.25">
      <c r="A21" s="19" t="s">
        <v>628</v>
      </c>
      <c r="C21" s="26"/>
      <c r="E21" s="26"/>
      <c r="F21" s="26"/>
      <c r="H21" s="300"/>
      <c r="I21" s="26"/>
    </row>
    <row r="22" spans="1:9" x14ac:dyDescent="0.25">
      <c r="A22" s="418">
        <v>0</v>
      </c>
      <c r="B22" s="419">
        <v>0</v>
      </c>
      <c r="C22" s="420">
        <v>0</v>
      </c>
      <c r="D22" s="419">
        <v>0</v>
      </c>
      <c r="E22" s="420">
        <v>0</v>
      </c>
      <c r="F22" s="420">
        <v>0</v>
      </c>
      <c r="G22" s="421">
        <v>0</v>
      </c>
      <c r="H22" s="422">
        <v>0</v>
      </c>
      <c r="I22" s="423">
        <f>G22*H22</f>
        <v>0</v>
      </c>
    </row>
    <row r="23" spans="1:9" x14ac:dyDescent="0.25">
      <c r="A23" s="418">
        <v>0</v>
      </c>
      <c r="B23" s="419">
        <v>0</v>
      </c>
      <c r="C23" s="420">
        <v>0</v>
      </c>
      <c r="D23" s="419">
        <v>0</v>
      </c>
      <c r="E23" s="420">
        <v>0</v>
      </c>
      <c r="F23" s="420">
        <v>0</v>
      </c>
      <c r="G23" s="421">
        <v>0</v>
      </c>
      <c r="H23" s="422">
        <v>0</v>
      </c>
      <c r="I23" s="423">
        <f>G23*H23</f>
        <v>0</v>
      </c>
    </row>
    <row r="24" spans="1:9" x14ac:dyDescent="0.25">
      <c r="A24" s="418">
        <v>0</v>
      </c>
      <c r="B24" s="419">
        <v>0</v>
      </c>
      <c r="C24" s="420">
        <v>0</v>
      </c>
      <c r="D24" s="419">
        <v>0</v>
      </c>
      <c r="E24" s="420">
        <v>0</v>
      </c>
      <c r="F24" s="420">
        <v>0</v>
      </c>
      <c r="G24" s="421">
        <v>0</v>
      </c>
      <c r="H24" s="422">
        <v>0</v>
      </c>
      <c r="I24" s="423">
        <f>G24*H24</f>
        <v>0</v>
      </c>
    </row>
    <row r="25" spans="1:9" x14ac:dyDescent="0.25">
      <c r="A25" s="418">
        <v>0</v>
      </c>
      <c r="B25" s="419">
        <v>0</v>
      </c>
      <c r="C25" s="420">
        <v>0</v>
      </c>
      <c r="D25" s="419">
        <v>0</v>
      </c>
      <c r="E25" s="420">
        <v>0</v>
      </c>
      <c r="F25" s="420">
        <v>0</v>
      </c>
      <c r="G25" s="421">
        <v>0</v>
      </c>
      <c r="H25" s="422">
        <v>0</v>
      </c>
      <c r="I25" s="423">
        <f>G25*H25</f>
        <v>0</v>
      </c>
    </row>
    <row r="26" spans="1:9" x14ac:dyDescent="0.25">
      <c r="A26" s="66" t="s">
        <v>629</v>
      </c>
      <c r="B26" s="120">
        <f>SUM(B22:B25)</f>
        <v>0</v>
      </c>
      <c r="C26" s="116">
        <f>SUM(C22:C25)</f>
        <v>0</v>
      </c>
      <c r="D26" s="120">
        <f>SUM(D22:D25)</f>
        <v>0</v>
      </c>
      <c r="E26" s="116">
        <f>SUM(E22:E25)</f>
        <v>0</v>
      </c>
      <c r="F26" s="116">
        <f>SUM(F22:F25)</f>
        <v>0</v>
      </c>
      <c r="G26" s="120"/>
      <c r="H26" s="330"/>
      <c r="I26" s="65">
        <f>SUM(I22:I25)</f>
        <v>0</v>
      </c>
    </row>
    <row r="27" spans="1:9" ht="8.15" customHeight="1" x14ac:dyDescent="0.25">
      <c r="A27" s="19"/>
      <c r="C27" s="26"/>
      <c r="E27" s="26"/>
      <c r="F27" s="26"/>
      <c r="H27" s="300"/>
      <c r="I27" s="26"/>
    </row>
    <row r="28" spans="1:9" ht="12" customHeight="1" x14ac:dyDescent="0.25">
      <c r="A28" s="19" t="s">
        <v>630</v>
      </c>
      <c r="C28" s="26"/>
      <c r="E28" s="26"/>
      <c r="F28" s="26"/>
      <c r="H28" s="300"/>
      <c r="I28" s="26"/>
    </row>
    <row r="29" spans="1:9" x14ac:dyDescent="0.25">
      <c r="A29" s="418">
        <v>0</v>
      </c>
      <c r="B29" s="419">
        <v>0</v>
      </c>
      <c r="C29" s="420">
        <v>0</v>
      </c>
      <c r="D29" s="419">
        <v>0</v>
      </c>
      <c r="E29" s="420">
        <v>0</v>
      </c>
      <c r="F29" s="420">
        <v>0</v>
      </c>
      <c r="G29" s="421">
        <v>0</v>
      </c>
      <c r="H29" s="422">
        <v>0</v>
      </c>
      <c r="I29" s="423">
        <f>G29*H29</f>
        <v>0</v>
      </c>
    </row>
    <row r="30" spans="1:9" x14ac:dyDescent="0.25">
      <c r="A30" s="418">
        <v>0</v>
      </c>
      <c r="B30" s="419">
        <v>0</v>
      </c>
      <c r="C30" s="420">
        <v>0</v>
      </c>
      <c r="D30" s="419">
        <v>0</v>
      </c>
      <c r="E30" s="420">
        <v>0</v>
      </c>
      <c r="F30" s="420">
        <v>0</v>
      </c>
      <c r="G30" s="421">
        <v>0</v>
      </c>
      <c r="H30" s="422">
        <v>0</v>
      </c>
      <c r="I30" s="423">
        <f>G30*H30</f>
        <v>0</v>
      </c>
    </row>
    <row r="31" spans="1:9" x14ac:dyDescent="0.25">
      <c r="A31" s="418">
        <v>0</v>
      </c>
      <c r="B31" s="419">
        <v>0</v>
      </c>
      <c r="C31" s="420">
        <v>0</v>
      </c>
      <c r="D31" s="419">
        <v>0</v>
      </c>
      <c r="E31" s="420">
        <v>0</v>
      </c>
      <c r="F31" s="420">
        <v>0</v>
      </c>
      <c r="G31" s="421">
        <v>0</v>
      </c>
      <c r="H31" s="422">
        <v>0</v>
      </c>
      <c r="I31" s="423">
        <f>G31*H31</f>
        <v>0</v>
      </c>
    </row>
    <row r="32" spans="1:9" x14ac:dyDescent="0.25">
      <c r="A32" s="418">
        <v>0</v>
      </c>
      <c r="B32" s="419">
        <v>0</v>
      </c>
      <c r="C32" s="420">
        <v>0</v>
      </c>
      <c r="D32" s="419">
        <v>0</v>
      </c>
      <c r="E32" s="420">
        <v>0</v>
      </c>
      <c r="F32" s="420">
        <v>0</v>
      </c>
      <c r="G32" s="421">
        <v>0</v>
      </c>
      <c r="H32" s="422">
        <v>0</v>
      </c>
      <c r="I32" s="423">
        <f>G32*H32</f>
        <v>0</v>
      </c>
    </row>
    <row r="33" spans="1:9" x14ac:dyDescent="0.25">
      <c r="A33" s="66" t="s">
        <v>631</v>
      </c>
      <c r="B33" s="120">
        <f>SUM(B29:B32)</f>
        <v>0</v>
      </c>
      <c r="C33" s="116">
        <f>SUM(C29:C32)</f>
        <v>0</v>
      </c>
      <c r="D33" s="120">
        <f>SUM(D29:D32)</f>
        <v>0</v>
      </c>
      <c r="E33" s="116">
        <f>SUM(E29:E32)</f>
        <v>0</v>
      </c>
      <c r="F33" s="116">
        <f>SUM(F29:F32)</f>
        <v>0</v>
      </c>
      <c r="G33" s="120"/>
      <c r="H33" s="330"/>
      <c r="I33" s="65">
        <f>SUM(I29:I32)</f>
        <v>0</v>
      </c>
    </row>
    <row r="34" spans="1:9" ht="8.15" customHeight="1" x14ac:dyDescent="0.25">
      <c r="A34" s="66"/>
      <c r="B34" s="120"/>
      <c r="C34" s="116"/>
      <c r="D34" s="120"/>
      <c r="E34" s="116"/>
      <c r="F34" s="116"/>
      <c r="G34" s="67"/>
      <c r="H34" s="426"/>
      <c r="I34" s="26"/>
    </row>
    <row r="35" spans="1:9" ht="12" customHeight="1" x14ac:dyDescent="0.25">
      <c r="A35" s="19" t="s">
        <v>632</v>
      </c>
      <c r="C35" s="26"/>
      <c r="E35" s="26"/>
      <c r="F35" s="26"/>
      <c r="H35" s="300"/>
      <c r="I35" s="26"/>
    </row>
    <row r="36" spans="1:9" x14ac:dyDescent="0.25">
      <c r="A36" s="418">
        <v>0</v>
      </c>
      <c r="B36" s="419">
        <v>0</v>
      </c>
      <c r="C36" s="420">
        <v>0</v>
      </c>
      <c r="D36" s="419">
        <v>0</v>
      </c>
      <c r="E36" s="420">
        <v>0</v>
      </c>
      <c r="F36" s="420">
        <v>0</v>
      </c>
      <c r="G36" s="421">
        <v>0</v>
      </c>
      <c r="H36" s="422">
        <v>0</v>
      </c>
      <c r="I36" s="423">
        <f>G36*H36</f>
        <v>0</v>
      </c>
    </row>
    <row r="37" spans="1:9" x14ac:dyDescent="0.25">
      <c r="A37" s="418">
        <v>0</v>
      </c>
      <c r="B37" s="419">
        <v>0</v>
      </c>
      <c r="C37" s="420">
        <v>0</v>
      </c>
      <c r="D37" s="419">
        <v>0</v>
      </c>
      <c r="E37" s="420">
        <v>0</v>
      </c>
      <c r="F37" s="420">
        <v>0</v>
      </c>
      <c r="G37" s="421">
        <v>0</v>
      </c>
      <c r="H37" s="422">
        <v>0</v>
      </c>
      <c r="I37" s="423">
        <f>G37*H37</f>
        <v>0</v>
      </c>
    </row>
    <row r="38" spans="1:9" x14ac:dyDescent="0.25">
      <c r="A38" s="418">
        <v>0</v>
      </c>
      <c r="B38" s="419">
        <v>0</v>
      </c>
      <c r="C38" s="420">
        <v>0</v>
      </c>
      <c r="D38" s="419">
        <v>0</v>
      </c>
      <c r="E38" s="420">
        <v>0</v>
      </c>
      <c r="F38" s="420">
        <v>0</v>
      </c>
      <c r="G38" s="421">
        <v>0</v>
      </c>
      <c r="H38" s="422">
        <v>0</v>
      </c>
      <c r="I38" s="423">
        <f>G38*H38</f>
        <v>0</v>
      </c>
    </row>
    <row r="39" spans="1:9" x14ac:dyDescent="0.25">
      <c r="A39" s="418">
        <v>0</v>
      </c>
      <c r="B39" s="419">
        <v>0</v>
      </c>
      <c r="C39" s="420">
        <v>0</v>
      </c>
      <c r="D39" s="419">
        <v>0</v>
      </c>
      <c r="E39" s="420">
        <v>0</v>
      </c>
      <c r="F39" s="420">
        <v>0</v>
      </c>
      <c r="G39" s="421">
        <v>0</v>
      </c>
      <c r="H39" s="422">
        <v>0</v>
      </c>
      <c r="I39" s="423">
        <f>G39*H39</f>
        <v>0</v>
      </c>
    </row>
    <row r="40" spans="1:9" x14ac:dyDescent="0.25">
      <c r="A40" s="66" t="s">
        <v>633</v>
      </c>
      <c r="B40" s="120">
        <f>SUM(B36:B39)</f>
        <v>0</v>
      </c>
      <c r="C40" s="116">
        <f>SUM(C36:C39)</f>
        <v>0</v>
      </c>
      <c r="D40" s="120">
        <f>SUM(D36:D39)</f>
        <v>0</v>
      </c>
      <c r="E40" s="116">
        <f>SUM(E36:E39)</f>
        <v>0</v>
      </c>
      <c r="F40" s="116">
        <f>SUM(F36:F39)</f>
        <v>0</v>
      </c>
      <c r="G40" s="120"/>
      <c r="H40" s="330"/>
      <c r="I40" s="65">
        <f>SUM(I36:I39)</f>
        <v>0</v>
      </c>
    </row>
    <row r="41" spans="1:9" ht="8.15" customHeight="1" x14ac:dyDescent="0.25">
      <c r="A41" s="66"/>
      <c r="B41" s="120"/>
      <c r="C41" s="116"/>
      <c r="D41" s="120"/>
      <c r="E41" s="116"/>
      <c r="F41" s="116"/>
      <c r="G41" s="67"/>
      <c r="H41" s="426"/>
      <c r="I41" s="26"/>
    </row>
    <row r="42" spans="1:9" ht="12" customHeight="1" x14ac:dyDescent="0.25">
      <c r="A42" s="66" t="s">
        <v>634</v>
      </c>
      <c r="B42" s="120">
        <f>B12+B19+B26+B33+B40</f>
        <v>0</v>
      </c>
      <c r="C42" s="116">
        <f>C12+C19+C26+C33+C40</f>
        <v>0</v>
      </c>
      <c r="D42" s="120">
        <f>D12+D19+D26+D33+D40</f>
        <v>0</v>
      </c>
      <c r="E42" s="116">
        <f>E12+E19+E26+E33+E40</f>
        <v>0</v>
      </c>
      <c r="F42" s="116">
        <f>F12+F19+F26+F33+F40</f>
        <v>0</v>
      </c>
      <c r="G42" s="67"/>
      <c r="H42" s="426"/>
      <c r="I42" s="26"/>
    </row>
    <row r="43" spans="1:9" ht="12" customHeight="1" x14ac:dyDescent="0.25">
      <c r="A43" s="66"/>
      <c r="B43" s="120"/>
      <c r="C43" s="116"/>
      <c r="D43" s="120"/>
      <c r="E43" s="116"/>
      <c r="F43" s="116"/>
      <c r="G43" s="67"/>
      <c r="H43" s="426"/>
      <c r="I43" s="26"/>
    </row>
    <row r="44" spans="1:9" ht="12" customHeight="1" x14ac:dyDescent="0.25">
      <c r="A44" s="111" t="s">
        <v>635</v>
      </c>
      <c r="B44" s="419">
        <v>0</v>
      </c>
      <c r="C44" s="420">
        <v>0</v>
      </c>
      <c r="D44" s="419">
        <v>0</v>
      </c>
      <c r="E44" s="420">
        <v>0</v>
      </c>
      <c r="F44" s="420">
        <v>0</v>
      </c>
      <c r="G44" s="421">
        <v>0</v>
      </c>
      <c r="H44" s="422">
        <v>0</v>
      </c>
      <c r="I44" s="423">
        <f>G44*H44</f>
        <v>0</v>
      </c>
    </row>
    <row r="45" spans="1:9" ht="8.15" customHeight="1" x14ac:dyDescent="0.25">
      <c r="A45" s="111"/>
      <c r="B45" s="456"/>
      <c r="C45" s="457"/>
      <c r="D45" s="456"/>
      <c r="E45" s="457"/>
      <c r="F45" s="457"/>
      <c r="G45" s="458"/>
      <c r="H45" s="459"/>
      <c r="I45" s="423"/>
    </row>
    <row r="46" spans="1:9" ht="12" customHeight="1" x14ac:dyDescent="0.25">
      <c r="A46" s="66" t="s">
        <v>636</v>
      </c>
      <c r="B46" s="456">
        <f>B42+B44</f>
        <v>0</v>
      </c>
      <c r="C46" s="457">
        <f>C42+C44</f>
        <v>0</v>
      </c>
      <c r="D46" s="456">
        <f>D42+D44</f>
        <v>0</v>
      </c>
      <c r="E46" s="457">
        <f>E42+E44</f>
        <v>0</v>
      </c>
      <c r="F46" s="457">
        <f>F42+F44</f>
        <v>0</v>
      </c>
      <c r="G46" s="458"/>
      <c r="H46" s="459"/>
      <c r="I46" s="423"/>
    </row>
    <row r="47" spans="1:9" ht="8.15" customHeight="1" x14ac:dyDescent="0.25">
      <c r="A47" s="44"/>
      <c r="B47" s="45"/>
      <c r="C47" s="46"/>
      <c r="D47" s="45"/>
      <c r="E47" s="46"/>
      <c r="F47" s="46"/>
      <c r="G47" s="45"/>
      <c r="H47" s="45"/>
      <c r="I47" s="46"/>
    </row>
  </sheetData>
  <phoneticPr fontId="0" type="noConversion"/>
  <printOptions headings="1"/>
  <pageMargins left="0.5" right="0.5" top="0.25" bottom="0.25" header="0.25" footer="0.5"/>
  <pageSetup scale="96" orientation="landscape" r:id="rId1"/>
  <headerFooter alignWithMargins="0">
    <oddHeader>&amp;R&amp;8 13
&amp;D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zoomScaleNormal="100" workbookViewId="0">
      <selection activeCell="A4" sqref="A4"/>
    </sheetView>
  </sheetViews>
  <sheetFormatPr defaultRowHeight="12.5" x14ac:dyDescent="0.25"/>
  <cols>
    <col min="1" max="1" width="22.453125" customWidth="1"/>
    <col min="2" max="6" width="14.7265625" customWidth="1"/>
    <col min="7" max="8" width="10.7265625" customWidth="1"/>
    <col min="9" max="9" width="12.7265625" customWidth="1"/>
  </cols>
  <sheetData>
    <row r="1" spans="1:9" ht="12" customHeight="1" x14ac:dyDescent="0.3">
      <c r="A1" s="415" t="str">
        <f>'Dairy Description'!A1</f>
        <v>Key Code:</v>
      </c>
      <c r="C1" s="1"/>
      <c r="D1" s="5" t="s">
        <v>313</v>
      </c>
    </row>
    <row r="2" spans="1:9" ht="12" customHeight="1" x14ac:dyDescent="0.3">
      <c r="A2" s="2" t="s">
        <v>42</v>
      </c>
      <c r="B2" s="1"/>
      <c r="C2" s="1"/>
      <c r="D2" s="1"/>
      <c r="E2" s="1"/>
      <c r="F2" s="1"/>
      <c r="G2" s="1"/>
      <c r="H2" s="1"/>
      <c r="I2" s="1"/>
    </row>
    <row r="3" spans="1:9" ht="12" customHeight="1" x14ac:dyDescent="0.3">
      <c r="A3" s="244" t="s">
        <v>760</v>
      </c>
      <c r="B3" s="1"/>
      <c r="C3" s="1"/>
      <c r="D3" s="1"/>
      <c r="E3" s="1"/>
      <c r="F3" s="1"/>
      <c r="G3" s="1"/>
      <c r="H3" s="1"/>
      <c r="I3" s="1"/>
    </row>
    <row r="4" spans="1:9" ht="12" customHeight="1" x14ac:dyDescent="0.3">
      <c r="A4" s="6" t="s">
        <v>314</v>
      </c>
    </row>
    <row r="5" spans="1:9" ht="12" customHeight="1" x14ac:dyDescent="0.25">
      <c r="A5" s="416"/>
      <c r="B5" s="95" t="s">
        <v>315</v>
      </c>
      <c r="C5" s="329"/>
      <c r="D5" s="95" t="s">
        <v>316</v>
      </c>
      <c r="E5" s="329"/>
      <c r="F5" s="55"/>
      <c r="G5" s="95" t="s">
        <v>317</v>
      </c>
      <c r="H5" s="95"/>
      <c r="I5" s="329"/>
    </row>
    <row r="6" spans="1:9" ht="12" customHeight="1" x14ac:dyDescent="0.25">
      <c r="A6" s="417" t="s">
        <v>318</v>
      </c>
      <c r="B6" s="59" t="s">
        <v>319</v>
      </c>
      <c r="C6" s="61" t="s">
        <v>320</v>
      </c>
      <c r="D6" s="59" t="s">
        <v>205</v>
      </c>
      <c r="E6" s="61" t="s">
        <v>321</v>
      </c>
      <c r="F6" s="61" t="s">
        <v>322</v>
      </c>
      <c r="G6" s="59" t="s">
        <v>237</v>
      </c>
      <c r="H6" s="59" t="s">
        <v>323</v>
      </c>
      <c r="I6" s="61" t="s">
        <v>33</v>
      </c>
    </row>
    <row r="7" spans="1:9" ht="12" customHeight="1" x14ac:dyDescent="0.25">
      <c r="A7" s="19" t="s">
        <v>324</v>
      </c>
      <c r="C7" s="26"/>
      <c r="E7" s="26"/>
      <c r="F7" s="26"/>
      <c r="H7" s="300"/>
      <c r="I7" s="26"/>
    </row>
    <row r="8" spans="1:9" x14ac:dyDescent="0.25">
      <c r="A8" s="418">
        <v>0</v>
      </c>
      <c r="B8" s="419">
        <v>0</v>
      </c>
      <c r="C8" s="420">
        <v>0</v>
      </c>
      <c r="D8" s="419">
        <v>0</v>
      </c>
      <c r="E8" s="420">
        <v>0</v>
      </c>
      <c r="F8" s="420">
        <v>0</v>
      </c>
      <c r="G8" s="421">
        <v>0</v>
      </c>
      <c r="H8" s="422">
        <v>0</v>
      </c>
      <c r="I8" s="423">
        <f>G8*H8</f>
        <v>0</v>
      </c>
    </row>
    <row r="9" spans="1:9" x14ac:dyDescent="0.25">
      <c r="A9" s="418">
        <v>0</v>
      </c>
      <c r="B9" s="419">
        <v>0</v>
      </c>
      <c r="C9" s="420">
        <v>0</v>
      </c>
      <c r="D9" s="419">
        <v>0</v>
      </c>
      <c r="E9" s="420">
        <v>0</v>
      </c>
      <c r="F9" s="420">
        <v>0</v>
      </c>
      <c r="G9" s="421">
        <v>0</v>
      </c>
      <c r="H9" s="422">
        <v>0</v>
      </c>
      <c r="I9" s="423">
        <f t="shared" ref="I9:I20" si="0">G9*H9</f>
        <v>0</v>
      </c>
    </row>
    <row r="10" spans="1:9" x14ac:dyDescent="0.25">
      <c r="A10" s="418">
        <v>0</v>
      </c>
      <c r="B10" s="419">
        <v>0</v>
      </c>
      <c r="C10" s="420">
        <v>0</v>
      </c>
      <c r="D10" s="419">
        <v>0</v>
      </c>
      <c r="E10" s="420">
        <v>0</v>
      </c>
      <c r="F10" s="420">
        <v>0</v>
      </c>
      <c r="G10" s="421">
        <v>0</v>
      </c>
      <c r="H10" s="422">
        <v>0</v>
      </c>
      <c r="I10" s="423">
        <f t="shared" si="0"/>
        <v>0</v>
      </c>
    </row>
    <row r="11" spans="1:9" x14ac:dyDescent="0.25">
      <c r="A11" s="418">
        <v>0</v>
      </c>
      <c r="B11" s="419">
        <v>0</v>
      </c>
      <c r="C11" s="420">
        <v>0</v>
      </c>
      <c r="D11" s="419">
        <v>0</v>
      </c>
      <c r="E11" s="420">
        <v>0</v>
      </c>
      <c r="F11" s="420">
        <v>0</v>
      </c>
      <c r="G11" s="421">
        <v>0</v>
      </c>
      <c r="H11" s="422">
        <v>0</v>
      </c>
      <c r="I11" s="423">
        <f t="shared" si="0"/>
        <v>0</v>
      </c>
    </row>
    <row r="12" spans="1:9" x14ac:dyDescent="0.25">
      <c r="A12" s="418">
        <v>0</v>
      </c>
      <c r="B12" s="419">
        <v>0</v>
      </c>
      <c r="C12" s="420">
        <v>0</v>
      </c>
      <c r="D12" s="419">
        <v>0</v>
      </c>
      <c r="E12" s="420">
        <v>0</v>
      </c>
      <c r="F12" s="420">
        <v>0</v>
      </c>
      <c r="G12" s="421">
        <v>0</v>
      </c>
      <c r="H12" s="422">
        <v>0</v>
      </c>
      <c r="I12" s="423">
        <f>G12*H12</f>
        <v>0</v>
      </c>
    </row>
    <row r="13" spans="1:9" x14ac:dyDescent="0.25">
      <c r="A13" s="418">
        <v>0</v>
      </c>
      <c r="B13" s="419">
        <v>0</v>
      </c>
      <c r="C13" s="420">
        <v>0</v>
      </c>
      <c r="D13" s="419">
        <v>0</v>
      </c>
      <c r="E13" s="420">
        <v>0</v>
      </c>
      <c r="F13" s="420">
        <v>0</v>
      </c>
      <c r="G13" s="421">
        <v>0</v>
      </c>
      <c r="H13" s="422">
        <v>0</v>
      </c>
      <c r="I13" s="423">
        <f>G13*H13</f>
        <v>0</v>
      </c>
    </row>
    <row r="14" spans="1:9" x14ac:dyDescent="0.25">
      <c r="A14" s="418">
        <v>0</v>
      </c>
      <c r="B14" s="419">
        <v>0</v>
      </c>
      <c r="C14" s="420">
        <v>0</v>
      </c>
      <c r="D14" s="419">
        <v>0</v>
      </c>
      <c r="E14" s="420">
        <v>0</v>
      </c>
      <c r="F14" s="420">
        <v>0</v>
      </c>
      <c r="G14" s="421">
        <v>0</v>
      </c>
      <c r="H14" s="422">
        <v>0</v>
      </c>
      <c r="I14" s="423">
        <f>G14*H14</f>
        <v>0</v>
      </c>
    </row>
    <row r="15" spans="1:9" x14ac:dyDescent="0.25">
      <c r="A15" s="418">
        <v>0</v>
      </c>
      <c r="B15" s="419">
        <v>0</v>
      </c>
      <c r="C15" s="420">
        <v>0</v>
      </c>
      <c r="D15" s="419">
        <v>0</v>
      </c>
      <c r="E15" s="420">
        <v>0</v>
      </c>
      <c r="F15" s="420">
        <v>0</v>
      </c>
      <c r="G15" s="421">
        <v>0</v>
      </c>
      <c r="H15" s="422">
        <v>0</v>
      </c>
      <c r="I15" s="423">
        <f t="shared" si="0"/>
        <v>0</v>
      </c>
    </row>
    <row r="16" spans="1:9" x14ac:dyDescent="0.25">
      <c r="A16" s="418">
        <v>0</v>
      </c>
      <c r="B16" s="419">
        <v>0</v>
      </c>
      <c r="C16" s="420">
        <v>0</v>
      </c>
      <c r="D16" s="419">
        <v>0</v>
      </c>
      <c r="E16" s="420">
        <v>0</v>
      </c>
      <c r="F16" s="420">
        <v>0</v>
      </c>
      <c r="G16" s="421">
        <v>0</v>
      </c>
      <c r="H16" s="422">
        <v>0</v>
      </c>
      <c r="I16" s="423">
        <f t="shared" si="0"/>
        <v>0</v>
      </c>
    </row>
    <row r="17" spans="1:9" x14ac:dyDescent="0.25">
      <c r="A17" s="418">
        <v>0</v>
      </c>
      <c r="B17" s="419">
        <v>0</v>
      </c>
      <c r="C17" s="420">
        <v>0</v>
      </c>
      <c r="D17" s="419">
        <v>0</v>
      </c>
      <c r="E17" s="420">
        <v>0</v>
      </c>
      <c r="F17" s="420">
        <v>0</v>
      </c>
      <c r="G17" s="421">
        <v>0</v>
      </c>
      <c r="H17" s="422">
        <v>0</v>
      </c>
      <c r="I17" s="423">
        <f t="shared" si="0"/>
        <v>0</v>
      </c>
    </row>
    <row r="18" spans="1:9" x14ac:dyDescent="0.25">
      <c r="A18" s="418">
        <v>0</v>
      </c>
      <c r="B18" s="419">
        <v>0</v>
      </c>
      <c r="C18" s="420">
        <v>0</v>
      </c>
      <c r="D18" s="419">
        <v>0</v>
      </c>
      <c r="E18" s="420">
        <v>0</v>
      </c>
      <c r="F18" s="420">
        <v>0</v>
      </c>
      <c r="G18" s="421">
        <v>0</v>
      </c>
      <c r="H18" s="422">
        <v>0</v>
      </c>
      <c r="I18" s="423">
        <f t="shared" si="0"/>
        <v>0</v>
      </c>
    </row>
    <row r="19" spans="1:9" x14ac:dyDescent="0.25">
      <c r="A19" s="418">
        <v>0</v>
      </c>
      <c r="B19" s="419">
        <v>0</v>
      </c>
      <c r="C19" s="420">
        <v>0</v>
      </c>
      <c r="D19" s="419">
        <v>0</v>
      </c>
      <c r="E19" s="420">
        <v>0</v>
      </c>
      <c r="F19" s="420">
        <v>0</v>
      </c>
      <c r="G19" s="421">
        <v>0</v>
      </c>
      <c r="H19" s="422">
        <v>0</v>
      </c>
      <c r="I19" s="423">
        <f t="shared" si="0"/>
        <v>0</v>
      </c>
    </row>
    <row r="20" spans="1:9" x14ac:dyDescent="0.25">
      <c r="A20" s="418">
        <v>0</v>
      </c>
      <c r="B20" s="419">
        <v>0</v>
      </c>
      <c r="C20" s="420">
        <v>0</v>
      </c>
      <c r="D20" s="419">
        <v>0</v>
      </c>
      <c r="E20" s="420">
        <v>0</v>
      </c>
      <c r="F20" s="420">
        <v>0</v>
      </c>
      <c r="G20" s="421">
        <v>0</v>
      </c>
      <c r="H20" s="422">
        <v>0</v>
      </c>
      <c r="I20" s="423">
        <f t="shared" si="0"/>
        <v>0</v>
      </c>
    </row>
    <row r="21" spans="1:9" ht="12" customHeight="1" x14ac:dyDescent="0.25">
      <c r="A21" s="66" t="s">
        <v>325</v>
      </c>
      <c r="B21" s="120">
        <f>SUM(B8:B20)</f>
        <v>0</v>
      </c>
      <c r="C21" s="116">
        <f>SUM(C8:C20)</f>
        <v>0</v>
      </c>
      <c r="D21" s="120">
        <f>SUM(D8:D20)</f>
        <v>0</v>
      </c>
      <c r="E21" s="116">
        <f>SUM(E8:E20)</f>
        <v>0</v>
      </c>
      <c r="F21" s="116">
        <f>SUM(F8:F20)</f>
        <v>0</v>
      </c>
      <c r="G21" s="120"/>
      <c r="H21" s="330"/>
      <c r="I21" s="65">
        <f>SUM(I8:I20)</f>
        <v>0</v>
      </c>
    </row>
    <row r="22" spans="1:9" ht="12" customHeight="1" x14ac:dyDescent="0.25">
      <c r="A22" s="19"/>
      <c r="C22" s="26"/>
      <c r="E22" s="26"/>
      <c r="F22" s="26"/>
      <c r="H22" s="300"/>
      <c r="I22" s="26"/>
    </row>
    <row r="23" spans="1:9" ht="12" customHeight="1" x14ac:dyDescent="0.25">
      <c r="A23" s="162" t="s">
        <v>326</v>
      </c>
      <c r="C23" s="26"/>
      <c r="E23" s="26"/>
      <c r="F23" s="26"/>
      <c r="H23" s="300"/>
      <c r="I23" s="26"/>
    </row>
    <row r="24" spans="1:9" ht="12" customHeight="1" x14ac:dyDescent="0.25">
      <c r="A24" s="162" t="s">
        <v>327</v>
      </c>
      <c r="C24" s="26"/>
      <c r="E24" s="26"/>
      <c r="F24" s="26"/>
      <c r="H24" s="300"/>
      <c r="I24" s="26"/>
    </row>
    <row r="25" spans="1:9" x14ac:dyDescent="0.25">
      <c r="A25" s="418">
        <v>0</v>
      </c>
      <c r="B25" s="419">
        <v>0</v>
      </c>
      <c r="C25" s="420">
        <v>0</v>
      </c>
      <c r="D25" s="419">
        <v>0</v>
      </c>
      <c r="E25" s="420">
        <v>0</v>
      </c>
      <c r="F25" s="420">
        <v>0</v>
      </c>
      <c r="G25" s="424"/>
      <c r="H25" s="424"/>
      <c r="I25" s="425"/>
    </row>
    <row r="26" spans="1:9" x14ac:dyDescent="0.25">
      <c r="A26" s="418">
        <v>0</v>
      </c>
      <c r="B26" s="419">
        <v>0</v>
      </c>
      <c r="C26" s="420">
        <v>0</v>
      </c>
      <c r="D26" s="419">
        <v>0</v>
      </c>
      <c r="E26" s="420">
        <v>0</v>
      </c>
      <c r="F26" s="420">
        <v>0</v>
      </c>
      <c r="G26" s="424"/>
      <c r="H26" s="424"/>
      <c r="I26" s="425"/>
    </row>
    <row r="27" spans="1:9" x14ac:dyDescent="0.25">
      <c r="A27" s="418">
        <v>0</v>
      </c>
      <c r="B27" s="419">
        <v>0</v>
      </c>
      <c r="C27" s="420">
        <v>0</v>
      </c>
      <c r="D27" s="419">
        <v>0</v>
      </c>
      <c r="E27" s="420">
        <v>0</v>
      </c>
      <c r="F27" s="420">
        <v>0</v>
      </c>
      <c r="G27" s="424"/>
      <c r="H27" s="424"/>
      <c r="I27" s="425"/>
    </row>
    <row r="28" spans="1:9" x14ac:dyDescent="0.25">
      <c r="A28" s="418">
        <v>0</v>
      </c>
      <c r="B28" s="419">
        <v>0</v>
      </c>
      <c r="C28" s="420">
        <v>0</v>
      </c>
      <c r="D28" s="419">
        <v>0</v>
      </c>
      <c r="E28" s="420">
        <v>0</v>
      </c>
      <c r="F28" s="420">
        <v>0</v>
      </c>
      <c r="G28" s="424"/>
      <c r="H28" s="424"/>
      <c r="I28" s="425"/>
    </row>
    <row r="29" spans="1:9" x14ac:dyDescent="0.25">
      <c r="A29" s="418">
        <v>0</v>
      </c>
      <c r="B29" s="419">
        <v>0</v>
      </c>
      <c r="C29" s="420">
        <v>0</v>
      </c>
      <c r="D29" s="419">
        <v>0</v>
      </c>
      <c r="E29" s="420">
        <v>0</v>
      </c>
      <c r="F29" s="420">
        <v>0</v>
      </c>
      <c r="G29" s="424"/>
      <c r="H29" s="424"/>
      <c r="I29" s="425"/>
    </row>
    <row r="30" spans="1:9" x14ac:dyDescent="0.25">
      <c r="A30" s="418">
        <v>0</v>
      </c>
      <c r="B30" s="419">
        <v>0</v>
      </c>
      <c r="C30" s="420">
        <v>0</v>
      </c>
      <c r="D30" s="419">
        <v>0</v>
      </c>
      <c r="E30" s="420">
        <v>0</v>
      </c>
      <c r="F30" s="420">
        <v>0</v>
      </c>
      <c r="G30" s="424"/>
      <c r="H30" s="424"/>
      <c r="I30" s="425"/>
    </row>
    <row r="31" spans="1:9" ht="12" customHeight="1" x14ac:dyDescent="0.25">
      <c r="A31" s="66" t="s">
        <v>328</v>
      </c>
      <c r="B31" s="120">
        <f>SUM(B25:B30)</f>
        <v>0</v>
      </c>
      <c r="C31" s="116">
        <f>SUM(C25:C30)</f>
        <v>0</v>
      </c>
      <c r="D31" s="120">
        <f>SUM(D25:D30)</f>
        <v>0</v>
      </c>
      <c r="E31" s="116">
        <f>SUM(E25:E30)</f>
        <v>0</v>
      </c>
      <c r="F31" s="116">
        <f>SUM(F25:F30)</f>
        <v>0</v>
      </c>
      <c r="G31" s="67"/>
      <c r="H31" s="426"/>
      <c r="I31" s="26"/>
    </row>
    <row r="32" spans="1:9" ht="12" customHeight="1" x14ac:dyDescent="0.25">
      <c r="A32" s="19"/>
      <c r="C32" s="26"/>
      <c r="E32" s="26"/>
      <c r="F32" s="26"/>
      <c r="H32" s="300"/>
      <c r="I32" s="26"/>
    </row>
    <row r="33" spans="1:9" ht="12" customHeight="1" x14ac:dyDescent="0.25">
      <c r="A33" s="19" t="s">
        <v>329</v>
      </c>
      <c r="C33" s="26"/>
      <c r="E33" s="26"/>
      <c r="F33" s="26"/>
      <c r="H33" s="300"/>
      <c r="I33" s="26"/>
    </row>
    <row r="34" spans="1:9" ht="12" customHeight="1" x14ac:dyDescent="0.25">
      <c r="A34" s="19" t="s">
        <v>330</v>
      </c>
      <c r="C34" s="26"/>
      <c r="E34" s="26"/>
      <c r="F34" s="26"/>
      <c r="H34" s="300"/>
      <c r="I34" s="26"/>
    </row>
    <row r="35" spans="1:9" x14ac:dyDescent="0.25">
      <c r="A35" s="418">
        <v>0</v>
      </c>
      <c r="B35" s="419">
        <v>0</v>
      </c>
      <c r="C35" s="420">
        <v>0</v>
      </c>
      <c r="D35" s="419">
        <v>0</v>
      </c>
      <c r="E35" s="420">
        <v>0</v>
      </c>
      <c r="F35" s="420">
        <v>0</v>
      </c>
      <c r="G35" s="424"/>
      <c r="H35" s="424"/>
      <c r="I35" s="425"/>
    </row>
    <row r="36" spans="1:9" x14ac:dyDescent="0.25">
      <c r="A36" s="418">
        <v>0</v>
      </c>
      <c r="B36" s="419">
        <v>0</v>
      </c>
      <c r="C36" s="420">
        <v>0</v>
      </c>
      <c r="D36" s="419">
        <v>0</v>
      </c>
      <c r="E36" s="420">
        <v>0</v>
      </c>
      <c r="F36" s="420">
        <v>0</v>
      </c>
      <c r="G36" s="424"/>
      <c r="H36" s="424"/>
      <c r="I36" s="425"/>
    </row>
    <row r="37" spans="1:9" x14ac:dyDescent="0.25">
      <c r="A37" s="418">
        <v>0</v>
      </c>
      <c r="B37" s="419">
        <v>0</v>
      </c>
      <c r="C37" s="420">
        <v>0</v>
      </c>
      <c r="D37" s="419">
        <v>0</v>
      </c>
      <c r="E37" s="420">
        <v>0</v>
      </c>
      <c r="F37" s="420">
        <v>0</v>
      </c>
      <c r="G37" s="424"/>
      <c r="H37" s="424"/>
      <c r="I37" s="425"/>
    </row>
    <row r="38" spans="1:9" x14ac:dyDescent="0.25">
      <c r="A38" s="418">
        <v>0</v>
      </c>
      <c r="B38" s="419">
        <v>0</v>
      </c>
      <c r="C38" s="420">
        <v>0</v>
      </c>
      <c r="D38" s="419">
        <v>0</v>
      </c>
      <c r="E38" s="420">
        <v>0</v>
      </c>
      <c r="F38" s="420">
        <v>0</v>
      </c>
      <c r="G38" s="424"/>
      <c r="H38" s="424"/>
      <c r="I38" s="425"/>
    </row>
    <row r="39" spans="1:9" x14ac:dyDescent="0.25">
      <c r="A39" s="418">
        <v>0</v>
      </c>
      <c r="B39" s="419">
        <v>0</v>
      </c>
      <c r="C39" s="420">
        <v>0</v>
      </c>
      <c r="D39" s="419">
        <v>0</v>
      </c>
      <c r="E39" s="420">
        <v>0</v>
      </c>
      <c r="F39" s="420">
        <v>0</v>
      </c>
      <c r="G39" s="424"/>
      <c r="H39" s="424"/>
      <c r="I39" s="425"/>
    </row>
    <row r="40" spans="1:9" ht="12" customHeight="1" x14ac:dyDescent="0.25">
      <c r="A40" s="66" t="s">
        <v>331</v>
      </c>
      <c r="B40" s="120">
        <f>SUM(B35:B39)</f>
        <v>0</v>
      </c>
      <c r="C40" s="116">
        <f>SUM(C35:C39)</f>
        <v>0</v>
      </c>
      <c r="D40" s="120">
        <f>SUM(D35:D39)</f>
        <v>0</v>
      </c>
      <c r="E40" s="116">
        <f>SUM(E35:E39)</f>
        <v>0</v>
      </c>
      <c r="F40" s="116">
        <f>SUM(F35:F39)</f>
        <v>0</v>
      </c>
      <c r="G40" s="67"/>
      <c r="H40" s="426"/>
      <c r="I40" s="26"/>
    </row>
    <row r="41" spans="1:9" ht="7.5" customHeight="1" x14ac:dyDescent="0.25">
      <c r="A41" s="19"/>
      <c r="C41" s="26"/>
      <c r="E41" s="26"/>
      <c r="F41" s="26"/>
      <c r="H41" s="300"/>
      <c r="I41" s="26"/>
    </row>
    <row r="42" spans="1:9" ht="12" customHeight="1" x14ac:dyDescent="0.25">
      <c r="A42" s="66" t="s">
        <v>622</v>
      </c>
      <c r="B42" s="120">
        <f>B21+B31+B40</f>
        <v>0</v>
      </c>
      <c r="C42" s="116">
        <f>C21+C31+C40</f>
        <v>0</v>
      </c>
      <c r="D42" s="120">
        <f>D21+D31+D40</f>
        <v>0</v>
      </c>
      <c r="E42" s="116">
        <f>E21+E31+E40</f>
        <v>0</v>
      </c>
      <c r="F42" s="116">
        <f>F21+F31+F40</f>
        <v>0</v>
      </c>
      <c r="G42" s="67"/>
      <c r="H42" s="426"/>
      <c r="I42" s="26"/>
    </row>
    <row r="43" spans="1:9" ht="8.25" customHeight="1" x14ac:dyDescent="0.25">
      <c r="A43" s="66"/>
      <c r="B43" s="120"/>
      <c r="C43" s="116"/>
      <c r="D43" s="120"/>
      <c r="E43" s="116"/>
      <c r="F43" s="116"/>
      <c r="G43" s="67"/>
      <c r="H43" s="426"/>
      <c r="I43" s="26"/>
    </row>
    <row r="44" spans="1:9" ht="12" customHeight="1" x14ac:dyDescent="0.25">
      <c r="A44" s="111" t="s">
        <v>623</v>
      </c>
      <c r="B44" s="419">
        <v>0</v>
      </c>
      <c r="C44" s="420">
        <v>0</v>
      </c>
      <c r="D44" s="419">
        <v>0</v>
      </c>
      <c r="E44" s="420">
        <v>0</v>
      </c>
      <c r="F44" s="420">
        <v>0</v>
      </c>
      <c r="G44" s="421">
        <v>0</v>
      </c>
      <c r="H44" s="422">
        <v>0</v>
      </c>
      <c r="I44" s="423">
        <f>G44*H44</f>
        <v>0</v>
      </c>
    </row>
    <row r="45" spans="1:9" ht="6.75" customHeight="1" x14ac:dyDescent="0.25">
      <c r="A45" s="111"/>
      <c r="B45" s="456"/>
      <c r="C45" s="457"/>
      <c r="D45" s="456"/>
      <c r="E45" s="457"/>
      <c r="F45" s="457"/>
      <c r="G45" s="458"/>
      <c r="H45" s="459"/>
      <c r="I45" s="423"/>
    </row>
    <row r="46" spans="1:9" ht="12" customHeight="1" x14ac:dyDescent="0.25">
      <c r="A46" s="66" t="s">
        <v>332</v>
      </c>
      <c r="B46" s="456">
        <f>B42+B44</f>
        <v>0</v>
      </c>
      <c r="C46" s="457">
        <f>C42+C44</f>
        <v>0</v>
      </c>
      <c r="D46" s="456">
        <f>D42+D44</f>
        <v>0</v>
      </c>
      <c r="E46" s="457">
        <f>E42+E44</f>
        <v>0</v>
      </c>
      <c r="F46" s="457">
        <f>F42+F44</f>
        <v>0</v>
      </c>
      <c r="G46" s="458"/>
      <c r="H46" s="459"/>
      <c r="I46" s="423"/>
    </row>
    <row r="47" spans="1:9" ht="5.25" customHeight="1" x14ac:dyDescent="0.25">
      <c r="A47" s="44"/>
      <c r="B47" s="45"/>
      <c r="C47" s="46"/>
      <c r="D47" s="45"/>
      <c r="E47" s="46"/>
      <c r="F47" s="46"/>
      <c r="G47" s="45"/>
      <c r="H47" s="45"/>
      <c r="I47" s="46"/>
    </row>
  </sheetData>
  <phoneticPr fontId="0" type="noConversion"/>
  <printOptions headings="1"/>
  <pageMargins left="0.5" right="0.5" top="0.25" bottom="0.25" header="0.25" footer="0.25"/>
  <pageSetup scale="96" orientation="landscape" r:id="rId1"/>
  <headerFooter alignWithMargins="0">
    <oddHeader>&amp;R&amp;8 14
&amp;D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9"/>
  <sheetViews>
    <sheetView zoomScaleNormal="100" workbookViewId="0">
      <selection activeCell="F8" sqref="F8"/>
    </sheetView>
  </sheetViews>
  <sheetFormatPr defaultColWidth="9.1796875" defaultRowHeight="12.75" customHeight="1" x14ac:dyDescent="0.25"/>
  <cols>
    <col min="1" max="1" width="36.1796875" customWidth="1"/>
    <col min="2" max="2" width="2.7265625" customWidth="1"/>
    <col min="3" max="3" width="14.453125" customWidth="1"/>
    <col min="4" max="4" width="14" customWidth="1"/>
    <col min="5" max="5" width="12.54296875" customWidth="1"/>
  </cols>
  <sheetData>
    <row r="1" spans="1:6" s="504" customFormat="1" ht="12.75" customHeight="1" x14ac:dyDescent="0.3">
      <c r="A1" s="503" t="str">
        <f>'Dairy Description'!A1</f>
        <v>Key Code:</v>
      </c>
      <c r="D1" s="505"/>
      <c r="E1" s="505"/>
    </row>
    <row r="2" spans="1:6" ht="12.75" customHeight="1" x14ac:dyDescent="0.3">
      <c r="A2" s="528" t="s">
        <v>0</v>
      </c>
      <c r="B2" s="528"/>
      <c r="C2" s="528"/>
      <c r="D2" s="528"/>
      <c r="E2" s="528"/>
      <c r="F2" s="528"/>
    </row>
    <row r="3" spans="1:6" ht="12.75" customHeight="1" x14ac:dyDescent="0.3">
      <c r="A3" s="528" t="s">
        <v>42</v>
      </c>
      <c r="B3" s="528"/>
      <c r="C3" s="528"/>
      <c r="D3" s="528"/>
      <c r="E3" s="528"/>
      <c r="F3" s="528"/>
    </row>
    <row r="4" spans="1:6" ht="12.75" customHeight="1" x14ac:dyDescent="0.3">
      <c r="A4" s="529" t="s">
        <v>760</v>
      </c>
      <c r="B4" s="529"/>
      <c r="C4" s="529"/>
      <c r="D4" s="529"/>
      <c r="E4" s="529"/>
      <c r="F4" s="529"/>
    </row>
    <row r="5" spans="1:6" ht="12.75" customHeight="1" x14ac:dyDescent="0.3">
      <c r="A5" s="6" t="s">
        <v>659</v>
      </c>
      <c r="E5" s="50"/>
    </row>
    <row r="6" spans="1:6" ht="12.75" customHeight="1" x14ac:dyDescent="0.3">
      <c r="A6" s="51"/>
      <c r="B6" s="230"/>
      <c r="C6" s="230"/>
      <c r="D6" s="230"/>
      <c r="E6" s="230"/>
      <c r="F6" s="492"/>
    </row>
    <row r="7" spans="1:6" ht="12.75" customHeight="1" x14ac:dyDescent="0.3">
      <c r="A7" s="125" t="s">
        <v>333</v>
      </c>
      <c r="B7" s="102"/>
      <c r="C7" s="232" t="s">
        <v>334</v>
      </c>
      <c r="D7" s="232" t="s">
        <v>335</v>
      </c>
      <c r="E7" s="232" t="s">
        <v>336</v>
      </c>
      <c r="F7" s="493" t="s">
        <v>726</v>
      </c>
    </row>
    <row r="8" spans="1:6" ht="12.75" customHeight="1" x14ac:dyDescent="0.25">
      <c r="A8" s="81" t="s">
        <v>337</v>
      </c>
      <c r="B8" s="52"/>
      <c r="C8" s="233">
        <f>Income!E9</f>
        <v>0</v>
      </c>
      <c r="D8" s="233">
        <f>IF(AND('Dairy Description'!B$11&gt;0),C8/'Dairy Description'!B$11,0)</f>
        <v>0</v>
      </c>
      <c r="E8" s="335">
        <f>IF(AND('Dairy Description'!B$7&gt;0),C8/('Dairy Description'!B$7/100),0)</f>
        <v>0</v>
      </c>
      <c r="F8" s="495">
        <f>IF(AND($C$18&gt;0),C8/($C$18),0)</f>
        <v>0</v>
      </c>
    </row>
    <row r="9" spans="1:6" ht="12.75" customHeight="1" x14ac:dyDescent="0.25">
      <c r="A9" s="19" t="s">
        <v>338</v>
      </c>
      <c r="C9" s="235">
        <f>Income!E10</f>
        <v>0</v>
      </c>
      <c r="D9" s="235">
        <f>IF(AND('Dairy Description'!B$11&gt;0),C9/'Dairy Description'!B$11,0)</f>
        <v>0</v>
      </c>
      <c r="E9" s="335">
        <f>IF(AND('Dairy Description'!B$7&gt;0),C9/('Dairy Description'!B$7/100),0)</f>
        <v>0</v>
      </c>
      <c r="F9" s="236">
        <f t="shared" ref="F9:F17" si="0">IF(AND($C$18&gt;0),C9/($C$18),0)</f>
        <v>0</v>
      </c>
    </row>
    <row r="10" spans="1:6" ht="12.75" customHeight="1" x14ac:dyDescent="0.25">
      <c r="A10" s="19" t="s">
        <v>339</v>
      </c>
      <c r="C10" s="235">
        <f>Income!E11</f>
        <v>0</v>
      </c>
      <c r="D10" s="235">
        <f>IF(AND('Dairy Description'!B$11&gt;0),C10/'Dairy Description'!B$11,0)</f>
        <v>0</v>
      </c>
      <c r="E10" s="335">
        <f>IF(AND('Dairy Description'!B$7&gt;0),C10/('Dairy Description'!B$7/100),0)</f>
        <v>0</v>
      </c>
      <c r="F10" s="236">
        <f t="shared" si="0"/>
        <v>0</v>
      </c>
    </row>
    <row r="11" spans="1:6" ht="12.75" customHeight="1" x14ac:dyDescent="0.25">
      <c r="A11" s="19" t="s">
        <v>340</v>
      </c>
      <c r="C11" s="235">
        <f>Income!E12</f>
        <v>0</v>
      </c>
      <c r="D11" s="235">
        <f>IF(AND('Dairy Description'!B$11&gt;0),C11/'Dairy Description'!B$11,0)</f>
        <v>0</v>
      </c>
      <c r="E11" s="335">
        <f>IF(AND('Dairy Description'!B$7&gt;0),C11/('Dairy Description'!B$7/100),0)</f>
        <v>0</v>
      </c>
      <c r="F11" s="236">
        <f t="shared" si="0"/>
        <v>0</v>
      </c>
    </row>
    <row r="12" spans="1:6" ht="12.75" customHeight="1" x14ac:dyDescent="0.25">
      <c r="A12" s="19" t="s">
        <v>123</v>
      </c>
      <c r="C12" s="235">
        <f>Income!E13</f>
        <v>0</v>
      </c>
      <c r="D12" s="235">
        <f>IF(AND('Dairy Description'!B$11&gt;0),C12/'Dairy Description'!B$11,0)</f>
        <v>0</v>
      </c>
      <c r="E12" s="335">
        <f>IF(AND('Dairy Description'!B$7&gt;0),C12/('Dairy Description'!B$7/100),0)</f>
        <v>0</v>
      </c>
      <c r="F12" s="236">
        <f t="shared" si="0"/>
        <v>0</v>
      </c>
    </row>
    <row r="13" spans="1:6" ht="12.75" customHeight="1" x14ac:dyDescent="0.25">
      <c r="A13" s="19" t="s">
        <v>142</v>
      </c>
      <c r="C13" s="235">
        <f>Income!E14</f>
        <v>0</v>
      </c>
      <c r="D13" s="235">
        <f>IF(AND('Dairy Description'!B$11&gt;0),C13/'Dairy Description'!B$11,0)</f>
        <v>0</v>
      </c>
      <c r="E13" s="335">
        <f>IF(AND('Dairy Description'!B$7&gt;0),C13/('Dairy Description'!B$7/100),0)</f>
        <v>0</v>
      </c>
      <c r="F13" s="236">
        <f t="shared" si="0"/>
        <v>0</v>
      </c>
    </row>
    <row r="14" spans="1:6" ht="12.75" customHeight="1" x14ac:dyDescent="0.25">
      <c r="A14" s="19" t="s">
        <v>125</v>
      </c>
      <c r="C14" s="235">
        <f>Income!E15</f>
        <v>0</v>
      </c>
      <c r="D14" s="235">
        <f>IF(AND('Dairy Description'!B$11&gt;0),C14/'Dairy Description'!B$11,0)</f>
        <v>0</v>
      </c>
      <c r="E14" s="335">
        <f>IF(AND('Dairy Description'!B$7&gt;0),C14/('Dairy Description'!B$7/100),0)</f>
        <v>0</v>
      </c>
      <c r="F14" s="236">
        <f t="shared" si="0"/>
        <v>0</v>
      </c>
    </row>
    <row r="15" spans="1:6" ht="12.75" customHeight="1" x14ac:dyDescent="0.25">
      <c r="A15" s="19" t="s">
        <v>126</v>
      </c>
      <c r="C15" s="235">
        <f>Income!E16</f>
        <v>0</v>
      </c>
      <c r="D15" s="235">
        <f>IF(AND('Dairy Description'!B$11&gt;0),C15/'Dairy Description'!B$11,0)</f>
        <v>0</v>
      </c>
      <c r="E15" s="335">
        <f>IF(AND('Dairy Description'!B$7&gt;0),C15/('Dairy Description'!B$7/100),0)</f>
        <v>0</v>
      </c>
      <c r="F15" s="236">
        <f t="shared" si="0"/>
        <v>0</v>
      </c>
    </row>
    <row r="16" spans="1:6" ht="12.75" customHeight="1" x14ac:dyDescent="0.25">
      <c r="A16" s="19" t="s">
        <v>8</v>
      </c>
      <c r="C16" s="235">
        <f>Income!E17+Income!E18+Income!E19+Income!E20+Income!E21</f>
        <v>0</v>
      </c>
      <c r="D16" s="235">
        <f>IF(AND('Dairy Description'!B$11&gt;0),C16/'Dairy Description'!B$11,0)</f>
        <v>0</v>
      </c>
      <c r="E16" s="335">
        <f>IF(AND('Dairy Description'!B$7&gt;0),C16/('Dairy Description'!B$7/100),0)</f>
        <v>0</v>
      </c>
      <c r="F16" s="236">
        <f t="shared" si="0"/>
        <v>0</v>
      </c>
    </row>
    <row r="17" spans="1:6" ht="12.75" customHeight="1" x14ac:dyDescent="0.25">
      <c r="A17" s="19" t="s">
        <v>725</v>
      </c>
      <c r="C17" s="235">
        <f>Livestock!H41</f>
        <v>0</v>
      </c>
      <c r="D17" s="235">
        <f>IF(AND('Dairy Description'!B$11&gt;0),C17/'Dairy Description'!B$11,0)</f>
        <v>0</v>
      </c>
      <c r="E17" s="335">
        <f>IF(AND('Dairy Description'!B$7&gt;0),C17/('Dairy Description'!B$7/100),0)</f>
        <v>0</v>
      </c>
      <c r="F17" s="496">
        <f t="shared" si="0"/>
        <v>0</v>
      </c>
    </row>
    <row r="18" spans="1:6" ht="12.75" customHeight="1" x14ac:dyDescent="0.3">
      <c r="A18" s="237" t="s">
        <v>144</v>
      </c>
      <c r="B18" s="45"/>
      <c r="C18" s="238">
        <f>SUM(C8:C17)</f>
        <v>0</v>
      </c>
      <c r="D18" s="238">
        <f>SUM(D8:D17)</f>
        <v>0</v>
      </c>
      <c r="E18" s="497">
        <f>SUM(E8:E17)</f>
        <v>0</v>
      </c>
      <c r="F18" s="494">
        <f>SUM(F8:F17)</f>
        <v>0</v>
      </c>
    </row>
    <row r="24" spans="1:6" ht="3" customHeight="1" x14ac:dyDescent="0.25"/>
    <row r="52" ht="13.5" customHeight="1" x14ac:dyDescent="0.25"/>
    <row r="69" ht="7.5" customHeight="1" x14ac:dyDescent="0.25"/>
    <row r="71" ht="4.5" customHeight="1" x14ac:dyDescent="0.25"/>
    <row r="75" ht="5.25" customHeight="1" x14ac:dyDescent="0.25"/>
    <row r="77" ht="6" customHeight="1" x14ac:dyDescent="0.25"/>
    <row r="79" ht="6" customHeight="1" x14ac:dyDescent="0.25"/>
  </sheetData>
  <mergeCells count="3">
    <mergeCell ref="A2:F2"/>
    <mergeCell ref="A3:F3"/>
    <mergeCell ref="A4:F4"/>
  </mergeCells>
  <phoneticPr fontId="0" type="noConversion"/>
  <printOptions headings="1"/>
  <pageMargins left="0.5" right="0.05" top="0.5" bottom="0.36" header="0.5" footer="0.5"/>
  <pageSetup firstPageNumber="15" orientation="portrait" useFirstPageNumber="1" horizontalDpi="300" verticalDpi="300" r:id="rId1"/>
  <headerFooter alignWithMargins="0">
    <oddHeader>&amp;R&amp;8 15&amp;10
&amp;8&amp;D</oddHeader>
  </headerFooter>
  <rowBreaks count="2" manualBreakCount="2">
    <brk id="19" max="65535" man="1"/>
    <brk id="78" max="655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topLeftCell="A6" zoomScaleNormal="100" workbookViewId="0">
      <selection activeCell="F9" sqref="F9"/>
    </sheetView>
  </sheetViews>
  <sheetFormatPr defaultRowHeight="12.5" x14ac:dyDescent="0.25"/>
  <cols>
    <col min="1" max="1" width="28" customWidth="1"/>
    <col min="2" max="2" width="2.1796875" customWidth="1"/>
    <col min="3" max="3" width="15" customWidth="1"/>
    <col min="4" max="4" width="14.81640625" customWidth="1"/>
    <col min="5" max="5" width="14.453125" customWidth="1"/>
    <col min="6" max="6" width="14" customWidth="1"/>
  </cols>
  <sheetData>
    <row r="1" spans="1:6" s="504" customFormat="1" ht="13" x14ac:dyDescent="0.3">
      <c r="A1" s="503" t="str">
        <f>'Dairy Description'!A1</f>
        <v>Key Code:</v>
      </c>
      <c r="B1" s="506" t="s">
        <v>341</v>
      </c>
      <c r="C1" s="505"/>
      <c r="D1" s="505"/>
      <c r="E1" s="505"/>
      <c r="F1" s="505"/>
    </row>
    <row r="2" spans="1:6" ht="13" x14ac:dyDescent="0.3">
      <c r="A2" s="2" t="s">
        <v>42</v>
      </c>
      <c r="B2" s="1"/>
      <c r="C2" s="1"/>
      <c r="D2" s="1"/>
      <c r="E2" s="1"/>
      <c r="F2" s="1"/>
    </row>
    <row r="3" spans="1:6" ht="13" x14ac:dyDescent="0.3">
      <c r="A3" s="244" t="s">
        <v>760</v>
      </c>
      <c r="B3" s="1"/>
      <c r="C3" s="1"/>
      <c r="D3" s="1"/>
      <c r="E3" s="1"/>
      <c r="F3" s="1"/>
    </row>
    <row r="4" spans="1:6" ht="3.75" customHeight="1" x14ac:dyDescent="0.3">
      <c r="A4" s="244"/>
      <c r="B4" s="1"/>
      <c r="C4" s="1"/>
      <c r="D4" s="1"/>
      <c r="E4" s="1"/>
      <c r="F4" s="1"/>
    </row>
    <row r="5" spans="1:6" ht="13" x14ac:dyDescent="0.3">
      <c r="A5" s="6" t="s">
        <v>607</v>
      </c>
      <c r="F5" s="50"/>
    </row>
    <row r="6" spans="1:6" ht="13" x14ac:dyDescent="0.3">
      <c r="A6" s="51"/>
      <c r="B6" s="230"/>
      <c r="C6" s="230"/>
      <c r="D6" s="230"/>
      <c r="E6" s="230"/>
      <c r="F6" s="231"/>
    </row>
    <row r="7" spans="1:6" ht="13" x14ac:dyDescent="0.3">
      <c r="A7" s="125" t="s">
        <v>333</v>
      </c>
      <c r="B7" s="102"/>
      <c r="C7" s="232" t="s">
        <v>334</v>
      </c>
      <c r="D7" s="232" t="s">
        <v>335</v>
      </c>
      <c r="E7" s="232" t="s">
        <v>336</v>
      </c>
      <c r="F7" s="239" t="s">
        <v>731</v>
      </c>
    </row>
    <row r="8" spans="1:6" ht="12" customHeight="1" x14ac:dyDescent="0.25">
      <c r="A8" s="16" t="s">
        <v>164</v>
      </c>
      <c r="B8" s="52"/>
      <c r="C8" s="333"/>
      <c r="D8" s="333"/>
      <c r="E8" s="300"/>
      <c r="F8" s="55"/>
    </row>
    <row r="9" spans="1:6" x14ac:dyDescent="0.25">
      <c r="A9" s="30" t="s">
        <v>166</v>
      </c>
      <c r="B9" s="300"/>
      <c r="C9" s="334">
        <f>Expenses!E11</f>
        <v>0</v>
      </c>
      <c r="D9" s="334">
        <f>IF(AND('Dairy Description'!B$11&gt;0),C9/'Dairy Description'!B$11,0)</f>
        <v>0</v>
      </c>
      <c r="E9" s="335">
        <f>IF(AND('Dairy Description'!B$7&gt;0),C9/('Dairy Description'!B$7/100),0)</f>
        <v>0</v>
      </c>
      <c r="F9" s="236">
        <f>IF(AND('Receipt Summary'!$C$18&gt;0),C9/('Receipt Summary'!$C$18),0)</f>
        <v>0</v>
      </c>
    </row>
    <row r="10" spans="1:6" x14ac:dyDescent="0.25">
      <c r="A10" s="30" t="s">
        <v>342</v>
      </c>
      <c r="C10" s="235">
        <f>Expenses!E12</f>
        <v>0</v>
      </c>
      <c r="D10" s="235">
        <f>IF(AND('Dairy Description'!B$11&gt;0),C10/'Dairy Description'!B$11,0)</f>
        <v>0</v>
      </c>
      <c r="E10" s="234">
        <f>IF(AND('Dairy Description'!B$7&gt;0),C10/('Dairy Description'!B$7/100),0)</f>
        <v>0</v>
      </c>
      <c r="F10" s="236">
        <f>IF(AND('Receipt Summary'!$C$18&gt;0),C10/('Receipt Summary'!$C$18),0)</f>
        <v>0</v>
      </c>
    </row>
    <row r="11" spans="1:6" x14ac:dyDescent="0.25">
      <c r="A11" s="30" t="s">
        <v>8</v>
      </c>
      <c r="C11" s="235">
        <f>Expenses!E13</f>
        <v>0</v>
      </c>
      <c r="D11" s="235">
        <f>IF(AND('Dairy Description'!B$11&gt;0),C11/'Dairy Description'!B$11,0)</f>
        <v>0</v>
      </c>
      <c r="E11" s="234">
        <f>IF(AND('Dairy Description'!B$7&gt;0),C11/('Dairy Description'!B$7/100),0)</f>
        <v>0</v>
      </c>
      <c r="F11" s="236">
        <f>IF(AND('Receipt Summary'!$C$18&gt;0),C11/('Receipt Summary'!$C$18),0)</f>
        <v>0</v>
      </c>
    </row>
    <row r="12" spans="1:6" ht="12" customHeight="1" x14ac:dyDescent="0.25">
      <c r="A12" s="12" t="s">
        <v>168</v>
      </c>
      <c r="C12" s="235"/>
      <c r="D12" s="235"/>
      <c r="E12" s="234"/>
      <c r="F12" s="26"/>
    </row>
    <row r="13" spans="1:6" x14ac:dyDescent="0.25">
      <c r="A13" s="30" t="s">
        <v>84</v>
      </c>
      <c r="C13" s="235">
        <f>Expenses!E15</f>
        <v>0</v>
      </c>
      <c r="D13" s="235">
        <f>IF(AND('Dairy Description'!B$11&gt;0),C13/'Dairy Description'!B$11,0)</f>
        <v>0</v>
      </c>
      <c r="E13" s="234">
        <f>IF(AND('Dairy Description'!B$7&gt;0),C13/('Dairy Description'!B$7/100),0)</f>
        <v>0</v>
      </c>
      <c r="F13" s="236">
        <f>IF(AND('Receipt Summary'!$C$18&gt;0),C13/('Receipt Summary'!$C$18),0)</f>
        <v>0</v>
      </c>
    </row>
    <row r="14" spans="1:6" x14ac:dyDescent="0.25">
      <c r="A14" s="30" t="s">
        <v>85</v>
      </c>
      <c r="C14" s="235">
        <f>Expenses!E16</f>
        <v>0</v>
      </c>
      <c r="D14" s="235">
        <f>IF(AND('Dairy Description'!B$11&gt;0),C14/'Dairy Description'!B$11,0)</f>
        <v>0</v>
      </c>
      <c r="E14" s="234">
        <f>IF(AND('Dairy Description'!B$7&gt;0),C14/('Dairy Description'!B$7/100),0)</f>
        <v>0</v>
      </c>
      <c r="F14" s="236">
        <f>IF(AND('Receipt Summary'!$C$18&gt;0),C14/('Receipt Summary'!$C$18),0)</f>
        <v>0</v>
      </c>
    </row>
    <row r="15" spans="1:6" x14ac:dyDescent="0.25">
      <c r="A15" s="30" t="s">
        <v>86</v>
      </c>
      <c r="C15" s="235">
        <f>Expenses!E17</f>
        <v>0</v>
      </c>
      <c r="D15" s="235">
        <f>IF(AND('Dairy Description'!B$11&gt;0),C15/'Dairy Description'!B$11,0)</f>
        <v>0</v>
      </c>
      <c r="E15" s="234">
        <f>IF(AND('Dairy Description'!B$7&gt;0),C15/('Dairy Description'!B$7/100),0)</f>
        <v>0</v>
      </c>
      <c r="F15" s="236">
        <f>IF(AND('Receipt Summary'!$C$18&gt;0),C15/('Receipt Summary'!$C$18),0)</f>
        <v>0</v>
      </c>
    </row>
    <row r="16" spans="1:6" x14ac:dyDescent="0.25">
      <c r="A16" s="30" t="s">
        <v>87</v>
      </c>
      <c r="C16" s="235">
        <f>Expenses!E18</f>
        <v>0</v>
      </c>
      <c r="D16" s="235">
        <f>IF(AND('Dairy Description'!B$11&gt;0),C16/'Dairy Description'!B$11,0)</f>
        <v>0</v>
      </c>
      <c r="E16" s="234">
        <f>IF(AND('Dairy Description'!B$7&gt;0),C16/('Dairy Description'!B$7/100),0)</f>
        <v>0</v>
      </c>
      <c r="F16" s="236">
        <f>IF(AND('Receipt Summary'!$C$18&gt;0),C16/('Receipt Summary'!$C$18),0)</f>
        <v>0</v>
      </c>
    </row>
    <row r="17" spans="1:6" x14ac:dyDescent="0.25">
      <c r="A17" s="19"/>
      <c r="E17" s="234">
        <f>SUM(E13:E16)</f>
        <v>0</v>
      </c>
      <c r="F17" s="236"/>
    </row>
    <row r="18" spans="1:6" ht="12" customHeight="1" x14ac:dyDescent="0.25">
      <c r="A18" s="12" t="s">
        <v>123</v>
      </c>
      <c r="C18" s="235"/>
      <c r="D18" s="235"/>
      <c r="E18" s="234"/>
      <c r="F18" s="26"/>
    </row>
    <row r="19" spans="1:6" x14ac:dyDescent="0.25">
      <c r="A19" s="30" t="s">
        <v>170</v>
      </c>
      <c r="C19" s="235">
        <f>Expenses!E20</f>
        <v>0</v>
      </c>
      <c r="D19" s="235">
        <f>IF(AND('Dairy Description'!B$11&gt;0),C19/'Dairy Description'!B$11,0)</f>
        <v>0</v>
      </c>
      <c r="E19" s="234">
        <f>IF(AND('Dairy Description'!B$7&gt;0),C19/('Dairy Description'!B$7/100),0)</f>
        <v>0</v>
      </c>
      <c r="F19" s="236">
        <f>IF(AND('Receipt Summary'!$C$18&gt;0),C19/('Receipt Summary'!$C$18),0)</f>
        <v>0</v>
      </c>
    </row>
    <row r="20" spans="1:6" x14ac:dyDescent="0.25">
      <c r="A20" s="30" t="s">
        <v>171</v>
      </c>
      <c r="C20" s="235">
        <f>Expenses!E21</f>
        <v>0</v>
      </c>
      <c r="D20" s="235">
        <f>IF(AND('Dairy Description'!B$11&gt;0),C20/'Dairy Description'!B$11,0)</f>
        <v>0</v>
      </c>
      <c r="E20" s="234">
        <f>IF(AND('Dairy Description'!B$7&gt;0),C20/('Dairy Description'!B$7/100),0)</f>
        <v>0</v>
      </c>
      <c r="F20" s="236">
        <f>IF(AND('Receipt Summary'!$C$18&gt;0),C20/('Receipt Summary'!$C$18),0)</f>
        <v>0</v>
      </c>
    </row>
    <row r="21" spans="1:6" x14ac:dyDescent="0.25">
      <c r="A21" s="30" t="s">
        <v>172</v>
      </c>
      <c r="C21" s="235">
        <f>Expenses!E22</f>
        <v>0</v>
      </c>
      <c r="D21" s="235">
        <f>IF(AND('Dairy Description'!B$11&gt;0),C21/'Dairy Description'!B$11,0)</f>
        <v>0</v>
      </c>
      <c r="E21" s="234">
        <f>IF(AND('Dairy Description'!B$7&gt;0),C21/('Dairy Description'!B$7/100),0)</f>
        <v>0</v>
      </c>
      <c r="F21" s="236">
        <f>IF(AND('Receipt Summary'!$C$18&gt;0),C21/('Receipt Summary'!$C$18),0)</f>
        <v>0</v>
      </c>
    </row>
    <row r="22" spans="1:6" ht="12" customHeight="1" x14ac:dyDescent="0.25">
      <c r="A22" s="12" t="s">
        <v>173</v>
      </c>
      <c r="C22" s="235"/>
      <c r="D22" s="235"/>
      <c r="E22" s="234"/>
      <c r="F22" s="26"/>
    </row>
    <row r="23" spans="1:6" x14ac:dyDescent="0.25">
      <c r="A23" s="30" t="s">
        <v>174</v>
      </c>
      <c r="C23" s="235">
        <f>Expenses!E24</f>
        <v>0</v>
      </c>
      <c r="D23" s="235">
        <f>IF(AND('Dairy Description'!B$11&gt;0),C23/'Dairy Description'!B$11,0)</f>
        <v>0</v>
      </c>
      <c r="E23" s="234">
        <f>IF(AND('Dairy Description'!B$7&gt;0),C23/('Dairy Description'!B$7/100),0)</f>
        <v>0</v>
      </c>
      <c r="F23" s="236">
        <f>IF(AND('Receipt Summary'!$C$18&gt;0),C23/('Receipt Summary'!$C$18),0)</f>
        <v>0</v>
      </c>
    </row>
    <row r="24" spans="1:6" x14ac:dyDescent="0.25">
      <c r="A24" s="30" t="s">
        <v>175</v>
      </c>
      <c r="C24" s="235">
        <f>Expenses!E25</f>
        <v>0</v>
      </c>
      <c r="D24" s="235">
        <f>IF(AND('Dairy Description'!B$11&gt;0),C24/'Dairy Description'!B$11,0)</f>
        <v>0</v>
      </c>
      <c r="E24" s="234">
        <f>IF(AND('Dairy Description'!B$7&gt;0),C24/('Dairy Description'!B$7/100),0)</f>
        <v>0</v>
      </c>
      <c r="F24" s="236">
        <f>IF(AND('Receipt Summary'!$C$18&gt;0),C24/('Receipt Summary'!$C$18),0)</f>
        <v>0</v>
      </c>
    </row>
    <row r="25" spans="1:6" x14ac:dyDescent="0.25">
      <c r="A25" s="30" t="s">
        <v>90</v>
      </c>
      <c r="C25" s="235">
        <f>Expenses!E26</f>
        <v>0</v>
      </c>
      <c r="D25" s="235">
        <f>IF(AND('Dairy Description'!B$11&gt;0),C25/'Dairy Description'!B$11,0)</f>
        <v>0</v>
      </c>
      <c r="E25" s="234">
        <f>IF(AND('Dairy Description'!B$7&gt;0),C25/('Dairy Description'!B$7/100),0)</f>
        <v>0</v>
      </c>
      <c r="F25" s="236">
        <f>IF(AND('Receipt Summary'!$C$18&gt;0),C25/('Receipt Summary'!$C$18),0)</f>
        <v>0</v>
      </c>
    </row>
    <row r="26" spans="1:6" ht="12" customHeight="1" x14ac:dyDescent="0.25">
      <c r="A26" s="12" t="s">
        <v>177</v>
      </c>
      <c r="C26" s="235"/>
      <c r="D26" s="235"/>
      <c r="E26" s="234"/>
      <c r="F26" s="26"/>
    </row>
    <row r="27" spans="1:6" x14ac:dyDescent="0.25">
      <c r="A27" s="30" t="s">
        <v>343</v>
      </c>
      <c r="C27" s="235">
        <f>Expenses!E28</f>
        <v>0</v>
      </c>
      <c r="D27" s="235">
        <f>IF(AND('Dairy Description'!B$11&gt;0),C27/'Dairy Description'!B$11,0)</f>
        <v>0</v>
      </c>
      <c r="E27" s="234">
        <f>IF(AND('Dairy Description'!B$7&gt;0),C27/('Dairy Description'!B$7/100),0)</f>
        <v>0</v>
      </c>
      <c r="F27" s="236">
        <f>IF(AND('Receipt Summary'!$C$18&gt;0),C27/('Receipt Summary'!$C$18),0)</f>
        <v>0</v>
      </c>
    </row>
    <row r="28" spans="1:6" x14ac:dyDescent="0.25">
      <c r="A28" s="30" t="s">
        <v>180</v>
      </c>
      <c r="C28" s="235">
        <f>Expenses!E29</f>
        <v>0</v>
      </c>
      <c r="D28" s="235">
        <f>IF(AND('Dairy Description'!B$11&gt;0),C28/'Dairy Description'!B$11,0)</f>
        <v>0</v>
      </c>
      <c r="E28" s="234">
        <f>IF(AND('Dairy Description'!B$7&gt;0),C28/('Dairy Description'!B$7/100),0)</f>
        <v>0</v>
      </c>
      <c r="F28" s="236">
        <f>IF(AND('Receipt Summary'!$C$18&gt;0),C28/('Receipt Summary'!$C$18),0)</f>
        <v>0</v>
      </c>
    </row>
    <row r="29" spans="1:6" x14ac:dyDescent="0.25">
      <c r="A29" s="30" t="s">
        <v>182</v>
      </c>
      <c r="C29" s="235">
        <f>Expenses!E30</f>
        <v>0</v>
      </c>
      <c r="D29" s="235">
        <f>IF(AND('Dairy Description'!B$11&gt;0),C29/'Dairy Description'!B$11,0)</f>
        <v>0</v>
      </c>
      <c r="E29" s="234">
        <f>IF(AND('Dairy Description'!B$7&gt;0),C29/('Dairy Description'!B$7/100),0)</f>
        <v>0</v>
      </c>
      <c r="F29" s="236">
        <f>IF(AND('Receipt Summary'!$C$18&gt;0),C29/('Receipt Summary'!$C$18),0)</f>
        <v>0</v>
      </c>
    </row>
    <row r="30" spans="1:6" x14ac:dyDescent="0.25">
      <c r="A30" s="30" t="s">
        <v>93</v>
      </c>
      <c r="C30" s="235">
        <f>Expenses!E31</f>
        <v>0</v>
      </c>
      <c r="D30" s="235">
        <f>IF(AND('Dairy Description'!B$11&gt;0),C30/'Dairy Description'!B$11,0)</f>
        <v>0</v>
      </c>
      <c r="E30" s="234">
        <f>IF(AND('Dairy Description'!B$7&gt;0),C30/('Dairy Description'!B$7/100),0)</f>
        <v>0</v>
      </c>
      <c r="F30" s="236">
        <f>IF(AND('Receipt Summary'!$C$18&gt;0),C30/('Receipt Summary'!$C$18),0)</f>
        <v>0</v>
      </c>
    </row>
    <row r="31" spans="1:6" x14ac:dyDescent="0.25">
      <c r="A31" s="30" t="s">
        <v>747</v>
      </c>
      <c r="C31" s="235">
        <f>Expenses!E32</f>
        <v>0</v>
      </c>
      <c r="D31" s="235">
        <f>IF(AND('Dairy Description'!B$11&gt;0),C31/'Dairy Description'!B$11,0)</f>
        <v>0</v>
      </c>
      <c r="E31" s="234">
        <f>IF(AND('Dairy Description'!B$7&gt;0),C31/('Dairy Description'!B$7/100),0)</f>
        <v>0</v>
      </c>
      <c r="F31" s="236">
        <f>IF(AND('Receipt Summary'!$C$18&gt;0),C31/('Receipt Summary'!$C$18),0)</f>
        <v>0</v>
      </c>
    </row>
    <row r="32" spans="1:6" x14ac:dyDescent="0.25">
      <c r="A32" s="30" t="s">
        <v>186</v>
      </c>
      <c r="C32" s="235">
        <f>Expenses!E33</f>
        <v>0</v>
      </c>
      <c r="D32" s="235">
        <f>IF(AND('Dairy Description'!B$11&gt;0),C32/'Dairy Description'!B$11,0)</f>
        <v>0</v>
      </c>
      <c r="E32" s="234">
        <f>IF(AND('Dairy Description'!B$7&gt;0),C32/('Dairy Description'!B$7/100),0)</f>
        <v>0</v>
      </c>
      <c r="F32" s="236">
        <f>IF(AND('Receipt Summary'!$C$18&gt;0),C32/('Receipt Summary'!$C$18),0)</f>
        <v>0</v>
      </c>
    </row>
    <row r="33" spans="1:6" x14ac:dyDescent="0.25">
      <c r="A33" s="30" t="s">
        <v>188</v>
      </c>
      <c r="C33" s="235">
        <f>Expenses!E34</f>
        <v>0</v>
      </c>
      <c r="D33" s="235">
        <f>IF(AND('Dairy Description'!B$11&gt;0),C33/'Dairy Description'!B$11,0)</f>
        <v>0</v>
      </c>
      <c r="E33" s="234">
        <f>IF(AND('Dairy Description'!B$7&gt;0),C33/('Dairy Description'!B$7/100),0)</f>
        <v>0</v>
      </c>
      <c r="F33" s="236">
        <f>IF(AND('Receipt Summary'!$C$18&gt;0),C33/('Receipt Summary'!$C$18),0)</f>
        <v>0</v>
      </c>
    </row>
    <row r="34" spans="1:6" ht="12" customHeight="1" x14ac:dyDescent="0.25">
      <c r="A34" s="12" t="s">
        <v>190</v>
      </c>
      <c r="C34" s="235"/>
      <c r="D34" s="235"/>
      <c r="E34" s="234"/>
      <c r="F34" s="26"/>
    </row>
    <row r="35" spans="1:6" x14ac:dyDescent="0.25">
      <c r="A35" s="30" t="s">
        <v>192</v>
      </c>
      <c r="C35" s="235">
        <f>Expenses!E36</f>
        <v>0</v>
      </c>
      <c r="D35" s="235">
        <f>IF(AND('Dairy Description'!B$11&gt;0),C35/'Dairy Description'!B$11,0)</f>
        <v>0</v>
      </c>
      <c r="E35" s="234">
        <f>IF(AND('Dairy Description'!B$7&gt;0),C35/('Dairy Description'!B$7/100),0)</f>
        <v>0</v>
      </c>
      <c r="F35" s="236">
        <f>IF(AND('Receipt Summary'!$C$18&gt;0),C35/('Receipt Summary'!$C$18),0)</f>
        <v>0</v>
      </c>
    </row>
    <row r="36" spans="1:6" x14ac:dyDescent="0.25">
      <c r="A36" s="30" t="s">
        <v>193</v>
      </c>
      <c r="C36" s="235">
        <f>Expenses!E37</f>
        <v>0</v>
      </c>
      <c r="D36" s="235">
        <f>IF(AND('Dairy Description'!B$11&gt;0),C36/'Dairy Description'!B$11,0)</f>
        <v>0</v>
      </c>
      <c r="E36" s="234">
        <f>IF(AND('Dairy Description'!B$7&gt;0),C36/('Dairy Description'!B$7/100),0)</f>
        <v>0</v>
      </c>
      <c r="F36" s="236">
        <f>IF(AND('Receipt Summary'!$C$18&gt;0),C36/('Receipt Summary'!$C$18),0)</f>
        <v>0</v>
      </c>
    </row>
    <row r="37" spans="1:6" x14ac:dyDescent="0.25">
      <c r="A37" s="30" t="s">
        <v>194</v>
      </c>
      <c r="C37" s="235">
        <f>Expenses!E38</f>
        <v>0</v>
      </c>
      <c r="D37" s="235">
        <f>IF(AND('Dairy Description'!B$11&gt;0),C37/'Dairy Description'!B$11,0)</f>
        <v>0</v>
      </c>
      <c r="E37" s="234">
        <f>IF(AND('Dairy Description'!B$7&gt;0),C37/('Dairy Description'!B$7/100),0)</f>
        <v>0</v>
      </c>
      <c r="F37" s="236">
        <f>IF(AND('Receipt Summary'!$C$18&gt;0),C37/('Receipt Summary'!$C$18),0)</f>
        <v>0</v>
      </c>
    </row>
    <row r="38" spans="1:6" x14ac:dyDescent="0.25">
      <c r="A38" s="30" t="s">
        <v>195</v>
      </c>
      <c r="C38" s="235">
        <f>Expenses!E39</f>
        <v>0</v>
      </c>
      <c r="D38" s="235">
        <f>IF(AND('Dairy Description'!B$11&gt;0),C38/'Dairy Description'!B$11,0)</f>
        <v>0</v>
      </c>
      <c r="E38" s="234">
        <f>IF(AND('Dairy Description'!B$7&gt;0),C38/('Dairy Description'!B$7/100),0)</f>
        <v>0</v>
      </c>
      <c r="F38" s="236">
        <f>IF(AND('Receipt Summary'!$C$18&gt;0),C38/('Receipt Summary'!$C$18),0)</f>
        <v>0</v>
      </c>
    </row>
    <row r="39" spans="1:6" ht="12" customHeight="1" x14ac:dyDescent="0.25">
      <c r="A39" s="12" t="s">
        <v>197</v>
      </c>
      <c r="C39" s="235"/>
      <c r="E39" s="234"/>
      <c r="F39" s="26"/>
    </row>
    <row r="40" spans="1:6" x14ac:dyDescent="0.25">
      <c r="A40" s="30" t="s">
        <v>199</v>
      </c>
      <c r="C40" s="235">
        <f>Expenses!E41</f>
        <v>0</v>
      </c>
      <c r="D40" s="235">
        <f>IF(AND('Dairy Description'!B$11&gt;0),C40/'Dairy Description'!B$11,0)</f>
        <v>0</v>
      </c>
      <c r="E40" s="234">
        <f>IF(AND('Dairy Description'!B$7&gt;0),C40/('Dairy Description'!B$7/100),0)</f>
        <v>0</v>
      </c>
      <c r="F40" s="236">
        <f>IF(AND('Receipt Summary'!$C$18&gt;0),C40/('Receipt Summary'!$C$18),0)</f>
        <v>0</v>
      </c>
    </row>
    <row r="41" spans="1:6" x14ac:dyDescent="0.25">
      <c r="A41" s="30" t="s">
        <v>201</v>
      </c>
      <c r="C41" s="235">
        <f>Expenses!E42</f>
        <v>0</v>
      </c>
      <c r="D41" s="235">
        <f>IF(AND('Dairy Description'!B$11&gt;0),C41/'Dairy Description'!B$11,0)</f>
        <v>0</v>
      </c>
      <c r="E41" s="234">
        <f>IF(AND('Dairy Description'!B$7&gt;0),C41/('Dairy Description'!B$7/100),0)</f>
        <v>0</v>
      </c>
      <c r="F41" s="236">
        <f>IF(AND('Receipt Summary'!$C$18&gt;0),C41/('Receipt Summary'!$C$18),0)</f>
        <v>0</v>
      </c>
    </row>
    <row r="42" spans="1:6" x14ac:dyDescent="0.25">
      <c r="A42" s="30" t="s">
        <v>202</v>
      </c>
      <c r="C42" s="235">
        <f>Expenses!E43</f>
        <v>0</v>
      </c>
      <c r="D42" s="235">
        <f>IF(AND('Dairy Description'!B$11&gt;0),C42/'Dairy Description'!B$11,0)</f>
        <v>0</v>
      </c>
      <c r="E42" s="234">
        <f>IF(AND('Dairy Description'!B$7&gt;0),C42/('Dairy Description'!B$7/100),0)</f>
        <v>0</v>
      </c>
      <c r="F42" s="236">
        <f>IF(AND('Receipt Summary'!$C$18&gt;0),C42/('Receipt Summary'!$C$18),0)</f>
        <v>0</v>
      </c>
    </row>
    <row r="43" spans="1:6" ht="12" customHeight="1" x14ac:dyDescent="0.25">
      <c r="A43" s="12" t="s">
        <v>8</v>
      </c>
      <c r="C43" s="235"/>
      <c r="D43" s="235"/>
      <c r="E43" s="234"/>
      <c r="F43" s="26"/>
    </row>
    <row r="44" spans="1:6" x14ac:dyDescent="0.25">
      <c r="A44" s="30" t="s">
        <v>203</v>
      </c>
      <c r="C44" s="235">
        <f>Expenses!E45</f>
        <v>0</v>
      </c>
      <c r="D44" s="235">
        <f>IF(AND('Dairy Description'!B$11&gt;0),C44/'Dairy Description'!B$11,0)</f>
        <v>0</v>
      </c>
      <c r="E44" s="234">
        <f>IF(AND('Dairy Description'!B$7&gt;0),C44/('Dairy Description'!B$7/100),0)</f>
        <v>0</v>
      </c>
      <c r="F44" s="236">
        <f>IF(AND('Receipt Summary'!$C$18&gt;0),C44/('Receipt Summary'!$C$18),0)</f>
        <v>0</v>
      </c>
    </row>
    <row r="45" spans="1:6" x14ac:dyDescent="0.25">
      <c r="A45" s="30" t="s">
        <v>204</v>
      </c>
      <c r="C45" s="235">
        <f>Expenses!E46</f>
        <v>0</v>
      </c>
      <c r="D45" s="235">
        <f>IF(AND('Dairy Description'!B$11&gt;0),C45/'Dairy Description'!B$11,0)</f>
        <v>0</v>
      </c>
      <c r="E45" s="234">
        <f>IF(AND('Dairy Description'!B$7&gt;0),C45/('Dairy Description'!B$7/100),0)</f>
        <v>0</v>
      </c>
      <c r="F45" s="236">
        <f>IF(AND('Receipt Summary'!$C$18&gt;0),C45/('Receipt Summary'!$C$18),0)</f>
        <v>0</v>
      </c>
    </row>
    <row r="46" spans="1:6" x14ac:dyDescent="0.25">
      <c r="A46" s="30" t="s">
        <v>205</v>
      </c>
      <c r="C46" s="235">
        <f>Expenses!E47</f>
        <v>0</v>
      </c>
      <c r="D46" s="235">
        <f>IF(AND('Dairy Description'!B$11&gt;0),C46/'Dairy Description'!B$11,0)</f>
        <v>0</v>
      </c>
      <c r="E46" s="234">
        <f>IF(AND('Dairy Description'!B$7&gt;0),C46/('Dairy Description'!B$7/100),0)</f>
        <v>0</v>
      </c>
      <c r="F46" s="236">
        <f>IF(AND('Receipt Summary'!$C$18&gt;0),C46/('Receipt Summary'!$C$18),0)</f>
        <v>0</v>
      </c>
    </row>
    <row r="47" spans="1:6" x14ac:dyDescent="0.25">
      <c r="A47" s="30" t="s">
        <v>206</v>
      </c>
      <c r="C47" s="235">
        <f>Expenses!E48</f>
        <v>0</v>
      </c>
      <c r="D47" s="235">
        <f>IF(AND('Dairy Description'!B$11&gt;0),C47/'Dairy Description'!B$11,0)</f>
        <v>0</v>
      </c>
      <c r="E47" s="234">
        <f>IF(AND('Dairy Description'!B$7&gt;0),C47/('Dairy Description'!B$7/100),0)</f>
        <v>0</v>
      </c>
      <c r="F47" s="236">
        <f>IF(AND('Receipt Summary'!$C$18&gt;0),C47/('Receipt Summary'!$C$18),0)</f>
        <v>0</v>
      </c>
    </row>
    <row r="48" spans="1:6" x14ac:dyDescent="0.25">
      <c r="A48" s="30" t="s">
        <v>207</v>
      </c>
      <c r="C48" s="235">
        <f>Expenses!E49</f>
        <v>0</v>
      </c>
      <c r="D48" s="235">
        <f>IF(AND('Dairy Description'!B$11&gt;0),C48/'Dairy Description'!B$11,0)</f>
        <v>0</v>
      </c>
      <c r="E48" s="234">
        <f>IF(AND('Dairy Description'!B$7&gt;0),C48/('Dairy Description'!B$7/100),0)</f>
        <v>0</v>
      </c>
      <c r="F48" s="236">
        <f>IF(AND('Receipt Summary'!$C$18&gt;0),C48/('Receipt Summary'!$C$18),0)</f>
        <v>0</v>
      </c>
    </row>
    <row r="49" spans="1:6" ht="12" customHeight="1" x14ac:dyDescent="0.25">
      <c r="A49" s="19"/>
      <c r="C49" s="235"/>
      <c r="D49" s="235"/>
      <c r="E49" s="234"/>
      <c r="F49" s="26"/>
    </row>
    <row r="50" spans="1:6" ht="12" customHeight="1" x14ac:dyDescent="0.3">
      <c r="A50" s="135" t="s">
        <v>344</v>
      </c>
      <c r="C50" s="235">
        <f>Expenses!E50</f>
        <v>0</v>
      </c>
      <c r="D50" s="235">
        <f>IF(AND('Dairy Description'!B$11&gt;0),C50/'Dairy Description'!B$11,0)</f>
        <v>0</v>
      </c>
      <c r="E50" s="234">
        <f>IF(AND('Dairy Description'!B$7&gt;0),C50/('Dairy Description'!B$7/100),0)</f>
        <v>0</v>
      </c>
      <c r="F50" s="236">
        <f>IF(AND('Receipt Summary'!$C$18&gt;0),C50/('Receipt Summary'!$C$18),0)</f>
        <v>0</v>
      </c>
    </row>
    <row r="51" spans="1:6" ht="12" customHeight="1" x14ac:dyDescent="0.25">
      <c r="A51" s="19"/>
      <c r="F51" s="26"/>
    </row>
    <row r="52" spans="1:6" x14ac:dyDescent="0.25">
      <c r="A52" s="19" t="s">
        <v>727</v>
      </c>
      <c r="C52" s="235">
        <f>Livestock!F39</f>
        <v>0</v>
      </c>
      <c r="D52" s="235">
        <f>IF(AND('Dairy Description'!B$11&gt;0),C52/'Dairy Description'!B$11,0)</f>
        <v>0</v>
      </c>
      <c r="E52" s="234">
        <f>IF(AND('Dairy Description'!B$7&gt;0),C52/('Dairy Description'!B$7/100),0)</f>
        <v>0</v>
      </c>
      <c r="F52" s="236">
        <f>IF(AND('Receipt Summary'!$C$18&gt;0),C52/('Receipt Summary'!$C$18),0)</f>
        <v>0</v>
      </c>
    </row>
    <row r="53" spans="1:6" x14ac:dyDescent="0.25">
      <c r="A53" s="19" t="s">
        <v>728</v>
      </c>
      <c r="C53" s="235">
        <f>'Machinery and Equipment'!D40</f>
        <v>0</v>
      </c>
      <c r="D53" s="235">
        <f>IF(AND('Dairy Description'!B$11&gt;0),C53/'Dairy Description'!B$11,0)</f>
        <v>0</v>
      </c>
      <c r="E53" s="234">
        <f>IF(AND('Dairy Description'!B$7&gt;0),C53/('Dairy Description'!B$7/100),0)</f>
        <v>0</v>
      </c>
      <c r="F53" s="236">
        <f>IF(AND('Receipt Summary'!$C$18&gt;0),C53/('Receipt Summary'!$C$18),0)</f>
        <v>0</v>
      </c>
    </row>
    <row r="54" spans="1:6" x14ac:dyDescent="0.25">
      <c r="A54" s="19" t="s">
        <v>729</v>
      </c>
      <c r="C54" s="235">
        <f>Buildings!H30</f>
        <v>0</v>
      </c>
      <c r="D54" s="235">
        <f>IF(AND('Dairy Description'!B$11&gt;0),C54/'Dairy Description'!B$11,0)</f>
        <v>0</v>
      </c>
      <c r="E54" s="234">
        <f>IF(AND('Dairy Description'!B$7&gt;0),C54/('Dairy Description'!B$7/100),0)</f>
        <v>0</v>
      </c>
      <c r="F54" s="236">
        <f>IF(AND('Receipt Summary'!$C$18&gt;0),C54/('Receipt Summary'!$C$18),0)</f>
        <v>0</v>
      </c>
    </row>
    <row r="55" spans="1:6" ht="6.75" customHeight="1" x14ac:dyDescent="0.25">
      <c r="A55" s="19"/>
      <c r="F55" s="26"/>
    </row>
    <row r="56" spans="1:6" ht="12" customHeight="1" x14ac:dyDescent="0.3">
      <c r="A56" s="227" t="s">
        <v>638</v>
      </c>
      <c r="C56" s="235">
        <f>C52+C53+C54</f>
        <v>0</v>
      </c>
      <c r="D56" s="235">
        <f>D52+D53+D54</f>
        <v>0</v>
      </c>
      <c r="E56" s="240">
        <f>E52+E53+E54</f>
        <v>0</v>
      </c>
      <c r="F56" s="236">
        <f>IF(AND('Receipt Summary'!$C$18&gt;0),C56/('Receipt Summary'!$C$18),0)</f>
        <v>0</v>
      </c>
    </row>
    <row r="57" spans="1:6" ht="4.5" customHeight="1" x14ac:dyDescent="0.25">
      <c r="A57" s="19"/>
      <c r="F57" s="26"/>
    </row>
    <row r="58" spans="1:6" ht="12" customHeight="1" x14ac:dyDescent="0.3">
      <c r="A58" s="227" t="s">
        <v>345</v>
      </c>
      <c r="C58" s="235">
        <f>C56+C50</f>
        <v>0</v>
      </c>
      <c r="D58" s="235">
        <f>D56+D50</f>
        <v>0</v>
      </c>
      <c r="E58" s="240">
        <f>E56+E50</f>
        <v>0</v>
      </c>
      <c r="F58" s="236">
        <f>IF(AND('Receipt Summary'!$C$18&gt;0),C58/('Receipt Summary'!$C$18),0)</f>
        <v>0</v>
      </c>
    </row>
    <row r="59" spans="1:6" ht="4.5" customHeight="1" x14ac:dyDescent="0.25">
      <c r="A59" s="44"/>
      <c r="B59" s="45"/>
      <c r="C59" s="45"/>
      <c r="D59" s="45"/>
      <c r="E59" s="45"/>
      <c r="F59" s="46"/>
    </row>
    <row r="60" spans="1:6" x14ac:dyDescent="0.25">
      <c r="A60" t="s">
        <v>730</v>
      </c>
    </row>
  </sheetData>
  <phoneticPr fontId="0" type="noConversion"/>
  <printOptions headings="1"/>
  <pageMargins left="0.5" right="0.75" top="0.5" bottom="0" header="0.5" footer="0.5"/>
  <pageSetup orientation="portrait" horizontalDpi="300" verticalDpi="300" r:id="rId1"/>
  <headerFooter alignWithMargins="0">
    <oddHeader>&amp;R&amp;8 16&amp;10
&amp;8&amp;D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topLeftCell="A22" workbookViewId="0">
      <selection activeCell="E44" sqref="E44"/>
    </sheetView>
  </sheetViews>
  <sheetFormatPr defaultColWidth="9.1796875" defaultRowHeight="12.75" customHeight="1" x14ac:dyDescent="0.25"/>
  <cols>
    <col min="1" max="1" width="21.26953125" customWidth="1"/>
    <col min="2" max="3" width="13.26953125" customWidth="1"/>
    <col min="4" max="4" width="25.81640625" customWidth="1"/>
    <col min="5" max="6" width="13.26953125" customWidth="1"/>
    <col min="7" max="7" width="2.81640625" customWidth="1"/>
    <col min="8" max="8" width="12.81640625" customWidth="1"/>
    <col min="9" max="9" width="1.7265625" customWidth="1"/>
    <col min="10" max="10" width="11.81640625" customWidth="1"/>
    <col min="11" max="11" width="5.81640625" customWidth="1"/>
    <col min="12" max="12" width="13.7265625" customWidth="1"/>
    <col min="13" max="13" width="11.26953125" customWidth="1"/>
  </cols>
  <sheetData>
    <row r="1" spans="1:12" s="504" customFormat="1" ht="12.75" customHeight="1" x14ac:dyDescent="0.3">
      <c r="A1" s="503" t="str">
        <f>'Dairy Description'!A1</f>
        <v>Key Code:</v>
      </c>
      <c r="B1" s="507" t="s">
        <v>346</v>
      </c>
      <c r="C1" s="505"/>
      <c r="D1" s="505"/>
      <c r="E1" s="505"/>
      <c r="F1" s="505"/>
    </row>
    <row r="2" spans="1:12" ht="12.75" customHeight="1" x14ac:dyDescent="0.3">
      <c r="A2" s="47" t="s">
        <v>42</v>
      </c>
      <c r="B2" s="48"/>
      <c r="C2" s="1"/>
      <c r="D2" s="47"/>
      <c r="E2" s="47"/>
      <c r="F2" s="48"/>
      <c r="H2" s="49"/>
      <c r="I2" s="49"/>
      <c r="J2" s="49"/>
      <c r="K2" s="49"/>
      <c r="L2" s="49"/>
    </row>
    <row r="3" spans="1:12" ht="12.75" customHeight="1" x14ac:dyDescent="0.3">
      <c r="A3" s="244" t="s">
        <v>760</v>
      </c>
      <c r="B3" s="48"/>
      <c r="C3" s="1"/>
      <c r="D3" s="47"/>
      <c r="E3" s="47"/>
      <c r="F3" s="48"/>
      <c r="H3" s="49"/>
      <c r="I3" s="49"/>
      <c r="J3" s="49"/>
      <c r="K3" s="49"/>
      <c r="L3" s="49"/>
    </row>
    <row r="4" spans="1:12" ht="12.75" customHeight="1" x14ac:dyDescent="0.3">
      <c r="A4" s="49"/>
      <c r="B4" s="49"/>
      <c r="C4" s="49"/>
      <c r="D4" s="156"/>
      <c r="E4" s="156"/>
      <c r="F4" s="156"/>
      <c r="H4" s="49"/>
      <c r="I4" s="156"/>
      <c r="J4" s="49"/>
      <c r="K4" s="49"/>
      <c r="L4" s="49"/>
    </row>
    <row r="5" spans="1:12" ht="12.75" customHeight="1" x14ac:dyDescent="0.3">
      <c r="A5" s="6" t="s">
        <v>347</v>
      </c>
      <c r="B5" s="6"/>
      <c r="F5" s="6"/>
      <c r="H5" s="49"/>
      <c r="I5" s="49"/>
      <c r="J5" s="49"/>
      <c r="K5" s="49"/>
      <c r="L5" s="49"/>
    </row>
    <row r="6" spans="1:12" ht="12.75" customHeight="1" x14ac:dyDescent="0.3">
      <c r="A6" s="51"/>
      <c r="B6" s="230"/>
      <c r="C6" s="52"/>
      <c r="D6" s="52" t="s">
        <v>657</v>
      </c>
      <c r="E6" s="52"/>
      <c r="F6" s="55"/>
      <c r="H6" s="49"/>
      <c r="I6" s="49"/>
      <c r="J6" s="49"/>
      <c r="K6" s="49"/>
      <c r="L6" s="49"/>
    </row>
    <row r="7" spans="1:12" ht="12.75" customHeight="1" x14ac:dyDescent="0.25">
      <c r="A7" s="103" t="s">
        <v>646</v>
      </c>
      <c r="B7" s="338" t="s">
        <v>348</v>
      </c>
      <c r="C7" s="339" t="s">
        <v>349</v>
      </c>
      <c r="D7" s="45" t="s">
        <v>350</v>
      </c>
      <c r="E7" s="338" t="s">
        <v>348</v>
      </c>
      <c r="F7" s="340" t="s">
        <v>349</v>
      </c>
      <c r="H7" s="49"/>
      <c r="I7" s="49"/>
      <c r="J7" s="49"/>
      <c r="K7" s="49"/>
      <c r="L7" s="49"/>
    </row>
    <row r="8" spans="1:12" ht="12.75" customHeight="1" x14ac:dyDescent="0.3">
      <c r="A8" s="227"/>
      <c r="B8" s="6"/>
      <c r="F8" s="26"/>
    </row>
    <row r="9" spans="1:12" ht="12.75" customHeight="1" x14ac:dyDescent="0.3">
      <c r="A9" s="143" t="s">
        <v>312</v>
      </c>
      <c r="B9" s="136"/>
      <c r="C9" s="228"/>
      <c r="D9" s="136" t="s">
        <v>312</v>
      </c>
      <c r="E9" s="241"/>
      <c r="F9" s="341"/>
    </row>
    <row r="10" spans="1:12" ht="12.75" customHeight="1" x14ac:dyDescent="0.25">
      <c r="A10" s="16" t="s">
        <v>351</v>
      </c>
      <c r="B10" s="241">
        <f>Assets!C13</f>
        <v>0</v>
      </c>
      <c r="C10" s="241">
        <f>Assets!E13</f>
        <v>0</v>
      </c>
      <c r="D10" s="229" t="s">
        <v>352</v>
      </c>
      <c r="E10" s="241">
        <f>Payables!B22</f>
        <v>0</v>
      </c>
      <c r="F10" s="341">
        <f>Payables!C22</f>
        <v>0</v>
      </c>
    </row>
    <row r="11" spans="1:12" ht="12.5" x14ac:dyDescent="0.25">
      <c r="A11" s="19" t="s">
        <v>353</v>
      </c>
      <c r="D11" s="229" t="s">
        <v>354</v>
      </c>
      <c r="E11" s="241">
        <f>Liabilities!B40</f>
        <v>0</v>
      </c>
      <c r="F11" s="341">
        <f>Liabilities!C40</f>
        <v>0</v>
      </c>
    </row>
    <row r="12" spans="1:12" ht="12.5" x14ac:dyDescent="0.25">
      <c r="A12" s="16" t="s">
        <v>355</v>
      </c>
      <c r="B12" s="241">
        <f>'Feed and Supply'!D39</f>
        <v>0</v>
      </c>
      <c r="C12" s="241">
        <f>'Feed and Supply'!H39</f>
        <v>0</v>
      </c>
      <c r="D12" s="229" t="s">
        <v>356</v>
      </c>
      <c r="E12" s="241">
        <f>Liabilities!B31</f>
        <v>0</v>
      </c>
      <c r="F12" s="341">
        <f>Liabilities!C31</f>
        <v>0</v>
      </c>
    </row>
    <row r="13" spans="1:12" ht="12.5" x14ac:dyDescent="0.25">
      <c r="A13" s="16" t="s">
        <v>357</v>
      </c>
      <c r="B13" s="241">
        <f>Receivables!B19</f>
        <v>0</v>
      </c>
      <c r="C13" s="241">
        <f>Receivables!C19</f>
        <v>0</v>
      </c>
      <c r="D13" s="229" t="s">
        <v>358</v>
      </c>
      <c r="E13" s="337">
        <f>Liabilities!E21</f>
        <v>0</v>
      </c>
      <c r="F13" s="65">
        <f>Liabilities!I21</f>
        <v>0</v>
      </c>
    </row>
    <row r="14" spans="1:12" ht="12.5" x14ac:dyDescent="0.25">
      <c r="A14" s="16" t="s">
        <v>359</v>
      </c>
      <c r="B14" s="241">
        <f>'Prepaid Expenses'!B52</f>
        <v>0</v>
      </c>
      <c r="C14" s="241">
        <f>'Prepaid Expenses'!C52</f>
        <v>0</v>
      </c>
      <c r="D14" t="s">
        <v>647</v>
      </c>
      <c r="E14" s="63">
        <f>Leases!E42</f>
        <v>0</v>
      </c>
      <c r="F14" s="65">
        <f>Leases!I12+Leases!I19+Leases!I26+Leases!I33+Leases!I40</f>
        <v>0</v>
      </c>
    </row>
    <row r="15" spans="1:12" ht="12.75" customHeight="1" x14ac:dyDescent="0.25">
      <c r="A15" s="19"/>
      <c r="F15" s="26"/>
    </row>
    <row r="16" spans="1:12" ht="12.5" x14ac:dyDescent="0.25">
      <c r="A16" s="30" t="s">
        <v>360</v>
      </c>
      <c r="B16" s="241">
        <f>B10+B12+B13+B14</f>
        <v>0</v>
      </c>
      <c r="C16" s="241">
        <f>C10+C12+C13+C14</f>
        <v>0</v>
      </c>
      <c r="D16" s="336" t="s">
        <v>361</v>
      </c>
      <c r="E16" s="241">
        <f>SUM(E10:E14)</f>
        <v>0</v>
      </c>
      <c r="F16" s="341">
        <f>SUM(F10:F14)</f>
        <v>0</v>
      </c>
    </row>
    <row r="17" spans="1:6" ht="12.75" customHeight="1" x14ac:dyDescent="0.25">
      <c r="A17" s="19"/>
      <c r="F17" s="26"/>
    </row>
    <row r="18" spans="1:6" ht="12.5" x14ac:dyDescent="0.25">
      <c r="A18" s="143" t="s">
        <v>362</v>
      </c>
      <c r="B18" s="242"/>
      <c r="D18" s="136" t="s">
        <v>362</v>
      </c>
      <c r="E18" s="229"/>
      <c r="F18" s="26"/>
    </row>
    <row r="19" spans="1:6" ht="12.5" x14ac:dyDescent="0.25">
      <c r="A19" s="16" t="s">
        <v>639</v>
      </c>
      <c r="B19" s="4"/>
      <c r="D19" s="229" t="s">
        <v>363</v>
      </c>
      <c r="F19" s="26"/>
    </row>
    <row r="20" spans="1:6" ht="12.5" x14ac:dyDescent="0.25">
      <c r="A20" s="16" t="s">
        <v>641</v>
      </c>
      <c r="B20" s="241">
        <f>Livestock!F10</f>
        <v>0</v>
      </c>
      <c r="C20" s="241">
        <f>Livestock!L10</f>
        <v>0</v>
      </c>
      <c r="D20" s="229" t="s">
        <v>648</v>
      </c>
      <c r="E20" s="241">
        <f>Liabilities!B21-Liabilities!E21</f>
        <v>0</v>
      </c>
      <c r="F20" s="341">
        <f>Liabilities!C21-Liabilities!I21</f>
        <v>0</v>
      </c>
    </row>
    <row r="21" spans="1:6" ht="12.5" x14ac:dyDescent="0.25">
      <c r="A21" s="16" t="s">
        <v>642</v>
      </c>
      <c r="B21" s="241">
        <f>Livestock!F11</f>
        <v>0</v>
      </c>
      <c r="C21" s="241">
        <f>Livestock!L11</f>
        <v>0</v>
      </c>
      <c r="D21" s="229" t="s">
        <v>649</v>
      </c>
      <c r="E21" s="241"/>
      <c r="F21" s="341"/>
    </row>
    <row r="22" spans="1:6" ht="12.5" x14ac:dyDescent="0.25">
      <c r="A22" s="16" t="s">
        <v>643</v>
      </c>
      <c r="B22" s="241">
        <f>Livestock!F12</f>
        <v>0</v>
      </c>
      <c r="C22" s="241">
        <f>Livestock!L12</f>
        <v>0</v>
      </c>
      <c r="D22" s="229" t="s">
        <v>653</v>
      </c>
      <c r="E22" s="63">
        <f>Leases!B12-Leases!E12</f>
        <v>0</v>
      </c>
      <c r="F22" s="65">
        <f>Leases!C12-Leases!I12</f>
        <v>0</v>
      </c>
    </row>
    <row r="23" spans="1:6" ht="12.5" x14ac:dyDescent="0.25">
      <c r="A23" s="16" t="s">
        <v>366</v>
      </c>
      <c r="B23" s="241">
        <f>Livestock!F19</f>
        <v>0</v>
      </c>
      <c r="C23" s="241">
        <f>Livestock!L19</f>
        <v>0</v>
      </c>
      <c r="D23" s="229" t="s">
        <v>654</v>
      </c>
      <c r="E23" s="63">
        <f>Leases!B19-Leases!E19</f>
        <v>0</v>
      </c>
      <c r="F23" s="341">
        <f>Leases!C19-Leases!I19</f>
        <v>0</v>
      </c>
    </row>
    <row r="24" spans="1:6" ht="12.5" x14ac:dyDescent="0.25">
      <c r="A24" s="16" t="s">
        <v>367</v>
      </c>
      <c r="B24" s="241">
        <f>Livestock!F24</f>
        <v>0</v>
      </c>
      <c r="C24" s="241">
        <f>Livestock!L24</f>
        <v>0</v>
      </c>
      <c r="D24" t="s">
        <v>652</v>
      </c>
      <c r="E24" s="63">
        <f>Leases!B26-Leases!E26</f>
        <v>0</v>
      </c>
      <c r="F24" s="65">
        <f>Leases!C26-Leases!I26</f>
        <v>0</v>
      </c>
    </row>
    <row r="25" spans="1:6" ht="12.5" x14ac:dyDescent="0.25">
      <c r="A25" s="16" t="s">
        <v>368</v>
      </c>
      <c r="B25" s="241">
        <f>'Machinery and Equipment'!D35</f>
        <v>0</v>
      </c>
      <c r="C25" s="241">
        <f>'Machinery and Equipment'!F35</f>
        <v>0</v>
      </c>
      <c r="D25" t="s">
        <v>650</v>
      </c>
      <c r="E25" s="241">
        <f>Leases!B33-Leases!E33</f>
        <v>0</v>
      </c>
      <c r="F25" s="341">
        <f>Leases!C33-Leases!I33</f>
        <v>0</v>
      </c>
    </row>
    <row r="26" spans="1:6" ht="12.5" x14ac:dyDescent="0.25">
      <c r="A26" s="16" t="s">
        <v>369</v>
      </c>
      <c r="B26" s="241">
        <f>Assets!C10</f>
        <v>0</v>
      </c>
      <c r="C26" s="241">
        <f>Assets!E10</f>
        <v>0</v>
      </c>
      <c r="D26" t="s">
        <v>651</v>
      </c>
      <c r="E26" s="63">
        <f>Leases!B40-Leases!E40</f>
        <v>0</v>
      </c>
      <c r="F26" s="65">
        <f>Leases!C40-Leases!I40</f>
        <v>0</v>
      </c>
    </row>
    <row r="27" spans="1:6" ht="12.5" x14ac:dyDescent="0.25">
      <c r="A27" s="16" t="s">
        <v>371</v>
      </c>
      <c r="B27" s="241">
        <f>Assets!C14</f>
        <v>0</v>
      </c>
      <c r="C27" s="241">
        <f>Assets!E14</f>
        <v>0</v>
      </c>
      <c r="F27" s="65"/>
    </row>
    <row r="28" spans="1:6" ht="12.5" x14ac:dyDescent="0.25">
      <c r="A28" s="16" t="s">
        <v>372</v>
      </c>
      <c r="D28" s="82" t="s">
        <v>370</v>
      </c>
      <c r="E28" s="63">
        <f>SUM(E20:E26)</f>
        <v>0</v>
      </c>
      <c r="F28" s="65">
        <f>SUM(F20:F26)</f>
        <v>0</v>
      </c>
    </row>
    <row r="29" spans="1:6" ht="12.5" x14ac:dyDescent="0.25">
      <c r="A29" s="16" t="s">
        <v>373</v>
      </c>
      <c r="B29" s="241">
        <f>Assets!C15+Assets!C16+Assets!C35</f>
        <v>0</v>
      </c>
      <c r="C29" s="241">
        <f>Assets!E15+Assets!E16+Assets!E35</f>
        <v>0</v>
      </c>
      <c r="F29" s="26"/>
    </row>
    <row r="30" spans="1:6" ht="12.5" x14ac:dyDescent="0.25">
      <c r="A30" s="19" t="s">
        <v>628</v>
      </c>
      <c r="B30" s="241"/>
      <c r="F30" s="26"/>
    </row>
    <row r="31" spans="1:6" ht="12.5" x14ac:dyDescent="0.25">
      <c r="A31" s="19" t="s">
        <v>364</v>
      </c>
      <c r="B31" s="241">
        <f>Buildings!H24</f>
        <v>0</v>
      </c>
      <c r="C31" s="241">
        <f>Buildings!J24</f>
        <v>0</v>
      </c>
      <c r="F31" s="26"/>
    </row>
    <row r="32" spans="1:6" ht="12.5" x14ac:dyDescent="0.25">
      <c r="A32" s="19" t="s">
        <v>365</v>
      </c>
      <c r="B32" s="241">
        <f>Assets!C11</f>
        <v>0</v>
      </c>
      <c r="C32" s="241">
        <f>Assets!E11</f>
        <v>0</v>
      </c>
      <c r="F32" s="26"/>
    </row>
    <row r="33" spans="1:6" ht="12.5" x14ac:dyDescent="0.25">
      <c r="A33" s="19" t="s">
        <v>630</v>
      </c>
      <c r="B33" s="241"/>
      <c r="C33" s="241"/>
      <c r="F33" s="26"/>
    </row>
    <row r="34" spans="1:6" ht="12.5" x14ac:dyDescent="0.25">
      <c r="A34" s="19" t="s">
        <v>364</v>
      </c>
      <c r="B34" s="241">
        <f>'Real Estate'!H29</f>
        <v>0</v>
      </c>
      <c r="C34" s="241">
        <f>'Real Estate'!J29</f>
        <v>0</v>
      </c>
      <c r="F34" s="26"/>
    </row>
    <row r="35" spans="1:6" ht="12.5" x14ac:dyDescent="0.25">
      <c r="A35" s="19" t="s">
        <v>365</v>
      </c>
      <c r="B35" s="241">
        <f>Assets!C12</f>
        <v>0</v>
      </c>
      <c r="C35" s="241">
        <f>Assets!E12</f>
        <v>0</v>
      </c>
      <c r="F35" s="26"/>
    </row>
    <row r="36" spans="1:6" ht="12.5" x14ac:dyDescent="0.25">
      <c r="A36" s="19"/>
      <c r="B36" s="460"/>
      <c r="C36" s="460"/>
      <c r="D36" s="300"/>
      <c r="E36" s="300"/>
      <c r="F36" s="26"/>
    </row>
    <row r="37" spans="1:6" ht="12.5" x14ac:dyDescent="0.25">
      <c r="A37" s="19" t="s">
        <v>374</v>
      </c>
      <c r="B37" s="446">
        <f>SUM(B20:B35)</f>
        <v>0</v>
      </c>
      <c r="C37" s="446">
        <f>SUM(C20:C35)</f>
        <v>0</v>
      </c>
      <c r="D37" s="300"/>
      <c r="E37" s="300"/>
      <c r="F37" s="26"/>
    </row>
    <row r="38" spans="1:6" ht="12.75" customHeight="1" x14ac:dyDescent="0.25">
      <c r="A38" s="19"/>
      <c r="B38" s="300"/>
      <c r="C38" s="300"/>
      <c r="D38" s="300"/>
      <c r="E38" s="300"/>
      <c r="F38" s="26"/>
    </row>
    <row r="39" spans="1:6" ht="12.5" x14ac:dyDescent="0.25">
      <c r="A39" s="111" t="s">
        <v>644</v>
      </c>
      <c r="B39" s="446">
        <f>B16+B37</f>
        <v>0</v>
      </c>
      <c r="C39" s="446">
        <f>C16+C37</f>
        <v>0</v>
      </c>
      <c r="D39" s="300" t="s">
        <v>655</v>
      </c>
      <c r="E39" s="446">
        <f>E16+E28</f>
        <v>0</v>
      </c>
      <c r="F39" s="65">
        <f>F16+F28</f>
        <v>0</v>
      </c>
    </row>
    <row r="40" spans="1:6" ht="12.5" x14ac:dyDescent="0.25">
      <c r="A40" s="66"/>
      <c r="B40" s="446"/>
      <c r="C40" s="446"/>
      <c r="D40" s="300"/>
      <c r="E40" s="446"/>
      <c r="F40" s="65"/>
    </row>
    <row r="41" spans="1:6" ht="12.5" x14ac:dyDescent="0.25">
      <c r="A41" s="315" t="s">
        <v>645</v>
      </c>
      <c r="B41" s="460">
        <f>Assets!C17</f>
        <v>0</v>
      </c>
      <c r="C41" s="460">
        <f>Assets!E17</f>
        <v>0</v>
      </c>
      <c r="D41" s="316" t="s">
        <v>656</v>
      </c>
      <c r="E41" s="446">
        <f>Leases!B44+Liabilities!B44</f>
        <v>0</v>
      </c>
      <c r="F41" s="65">
        <f>Leases!C44+Liabilities!C44</f>
        <v>0</v>
      </c>
    </row>
    <row r="42" spans="1:6" ht="12.5" x14ac:dyDescent="0.25">
      <c r="A42" s="66"/>
      <c r="B42" s="446"/>
      <c r="C42" s="446"/>
      <c r="D42" s="300"/>
      <c r="E42" s="446"/>
      <c r="F42" s="65"/>
    </row>
    <row r="43" spans="1:6" ht="12.5" x14ac:dyDescent="0.25">
      <c r="A43" s="66"/>
      <c r="B43" s="446"/>
      <c r="C43" s="446"/>
      <c r="D43" s="300" t="s">
        <v>375</v>
      </c>
      <c r="E43" s="446">
        <f>Assets!C27</f>
        <v>0</v>
      </c>
      <c r="F43" s="65">
        <f>Assets!E27</f>
        <v>0</v>
      </c>
    </row>
    <row r="44" spans="1:6" ht="12.75" customHeight="1" x14ac:dyDescent="0.25">
      <c r="A44" s="19"/>
      <c r="B44" s="300"/>
      <c r="C44" s="300"/>
      <c r="D44" s="300" t="s">
        <v>376</v>
      </c>
      <c r="E44" s="446">
        <f>B47-E39-E41-E43</f>
        <v>0</v>
      </c>
      <c r="F44" s="65">
        <f>C47-F39-F41-F43</f>
        <v>0</v>
      </c>
    </row>
    <row r="45" spans="1:6" ht="12.75" customHeight="1" x14ac:dyDescent="0.25">
      <c r="A45" s="19"/>
      <c r="B45" s="300"/>
      <c r="C45" s="300"/>
      <c r="D45" s="300"/>
      <c r="E45" s="300"/>
      <c r="F45" s="26"/>
    </row>
    <row r="46" spans="1:6" ht="12.75" customHeight="1" x14ac:dyDescent="0.25">
      <c r="A46" s="19"/>
      <c r="B46" s="300"/>
      <c r="C46" s="300"/>
      <c r="D46" s="300" t="s">
        <v>377</v>
      </c>
      <c r="E46" s="300"/>
      <c r="F46" s="26"/>
    </row>
    <row r="47" spans="1:6" ht="12.75" customHeight="1" x14ac:dyDescent="0.25">
      <c r="A47" s="19" t="s">
        <v>378</v>
      </c>
      <c r="B47" s="446">
        <f>B16+B37+B41</f>
        <v>0</v>
      </c>
      <c r="C47" s="446">
        <f>C16+C37+C41</f>
        <v>0</v>
      </c>
      <c r="D47" s="300" t="s">
        <v>379</v>
      </c>
      <c r="E47" s="446">
        <f>SUM(E39:E44)</f>
        <v>0</v>
      </c>
      <c r="F47" s="65">
        <f>SUM(F39:F44)</f>
        <v>0</v>
      </c>
    </row>
    <row r="48" spans="1:6" ht="12.75" customHeight="1" x14ac:dyDescent="0.25">
      <c r="A48" s="44"/>
      <c r="B48" s="45"/>
      <c r="C48" s="45"/>
      <c r="D48" s="45"/>
      <c r="E48" s="45"/>
      <c r="F48" s="46"/>
    </row>
    <row r="49" ht="16" customHeight="1" x14ac:dyDescent="0.25"/>
    <row r="50" ht="16" customHeight="1" x14ac:dyDescent="0.25"/>
    <row r="51" ht="16" customHeight="1" x14ac:dyDescent="0.25"/>
    <row r="52" ht="16" customHeight="1" x14ac:dyDescent="0.25"/>
    <row r="53" ht="16" customHeight="1" x14ac:dyDescent="0.25"/>
    <row r="54" ht="16" customHeight="1" x14ac:dyDescent="0.25"/>
    <row r="55" ht="16" customHeight="1" x14ac:dyDescent="0.25"/>
    <row r="56" ht="16" customHeight="1" x14ac:dyDescent="0.25"/>
    <row r="57" ht="16" customHeight="1" x14ac:dyDescent="0.25"/>
    <row r="58" ht="16" customHeight="1" x14ac:dyDescent="0.25"/>
    <row r="59" ht="13.5" customHeight="1" x14ac:dyDescent="0.25"/>
    <row r="60" ht="13.5" customHeight="1" x14ac:dyDescent="0.25"/>
    <row r="64" ht="13.5" customHeight="1" x14ac:dyDescent="0.25"/>
  </sheetData>
  <phoneticPr fontId="0" type="noConversion"/>
  <printOptions headings="1"/>
  <pageMargins left="0.5" right="0" top="0.5" bottom="0.5" header="0.5" footer="0.5"/>
  <pageSetup scale="96" orientation="portrait" horizontalDpi="300" verticalDpi="300" r:id="rId1"/>
  <headerFooter alignWithMargins="0">
    <oddHeader>&amp;R&amp;8 17
&amp;D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opLeftCell="A25" workbookViewId="0">
      <selection activeCell="E48" sqref="E48"/>
    </sheetView>
  </sheetViews>
  <sheetFormatPr defaultRowHeight="12.5" x14ac:dyDescent="0.25"/>
  <cols>
    <col min="1" max="1" width="23.26953125" customWidth="1"/>
    <col min="2" max="2" width="34.453125" customWidth="1"/>
    <col min="3" max="5" width="12.7265625" customWidth="1"/>
    <col min="6" max="6" width="3.1796875" customWidth="1"/>
  </cols>
  <sheetData>
    <row r="1" spans="1:6" s="504" customFormat="1" ht="13" x14ac:dyDescent="0.3">
      <c r="A1" s="503" t="str">
        <f>'Dairy Description'!A1</f>
        <v>Key Code:</v>
      </c>
      <c r="B1" s="506" t="s">
        <v>211</v>
      </c>
      <c r="C1" s="508"/>
      <c r="D1" s="508"/>
      <c r="E1" s="505"/>
    </row>
    <row r="2" spans="1:6" ht="13" x14ac:dyDescent="0.3">
      <c r="A2" s="2" t="s">
        <v>42</v>
      </c>
      <c r="B2" s="1"/>
      <c r="C2" s="1"/>
      <c r="D2" s="1"/>
      <c r="E2" s="1"/>
    </row>
    <row r="3" spans="1:6" ht="13" x14ac:dyDescent="0.3">
      <c r="A3" s="244" t="s">
        <v>760</v>
      </c>
      <c r="B3" s="1"/>
      <c r="C3" s="1"/>
      <c r="D3" s="1"/>
      <c r="E3" s="1"/>
    </row>
    <row r="5" spans="1:6" ht="13" x14ac:dyDescent="0.3">
      <c r="A5" s="305" t="s">
        <v>380</v>
      </c>
      <c r="B5" s="28"/>
      <c r="C5" s="28"/>
      <c r="D5" s="28"/>
      <c r="E5" s="28"/>
      <c r="F5" s="96"/>
    </row>
    <row r="6" spans="1:6" x14ac:dyDescent="0.25">
      <c r="A6" s="81"/>
      <c r="B6" s="52"/>
      <c r="C6" s="52"/>
      <c r="D6" s="52"/>
      <c r="E6" s="52"/>
      <c r="F6" s="26"/>
    </row>
    <row r="7" spans="1:6" ht="13" x14ac:dyDescent="0.3">
      <c r="A7" s="227" t="s">
        <v>381</v>
      </c>
      <c r="B7" s="300"/>
      <c r="C7" s="300"/>
      <c r="D7" s="300"/>
      <c r="E7" s="300"/>
      <c r="F7" s="26"/>
    </row>
    <row r="8" spans="1:6" x14ac:dyDescent="0.25">
      <c r="A8" s="19" t="s">
        <v>382</v>
      </c>
      <c r="B8" s="300"/>
      <c r="C8" s="307"/>
      <c r="D8" s="307"/>
      <c r="E8" s="308">
        <f>Income!B9</f>
        <v>0</v>
      </c>
      <c r="F8" s="26"/>
    </row>
    <row r="9" spans="1:6" x14ac:dyDescent="0.25">
      <c r="A9" s="19" t="s">
        <v>383</v>
      </c>
      <c r="B9" s="300" t="s">
        <v>384</v>
      </c>
      <c r="C9" s="307"/>
      <c r="D9" s="308">
        <f>Income!B10</f>
        <v>0</v>
      </c>
      <c r="E9" s="307"/>
      <c r="F9" s="26"/>
    </row>
    <row r="10" spans="1:6" x14ac:dyDescent="0.25">
      <c r="A10" s="19"/>
      <c r="B10" s="300" t="s">
        <v>385</v>
      </c>
      <c r="C10" s="307"/>
      <c r="D10" s="309">
        <f>Income!C10</f>
        <v>0</v>
      </c>
      <c r="E10" s="307"/>
      <c r="F10" s="26"/>
    </row>
    <row r="11" spans="1:6" x14ac:dyDescent="0.25">
      <c r="A11" s="19"/>
      <c r="B11" s="300" t="s">
        <v>386</v>
      </c>
      <c r="C11" s="307"/>
      <c r="D11" s="307"/>
      <c r="E11" s="308">
        <f>D9+D10</f>
        <v>0</v>
      </c>
      <c r="F11" s="26"/>
    </row>
    <row r="12" spans="1:6" x14ac:dyDescent="0.25">
      <c r="A12" s="19" t="s">
        <v>387</v>
      </c>
      <c r="B12" s="300" t="s">
        <v>384</v>
      </c>
      <c r="C12" s="307"/>
      <c r="D12" s="308">
        <f>Income!B11</f>
        <v>0</v>
      </c>
      <c r="E12" s="307"/>
      <c r="F12" s="26"/>
    </row>
    <row r="13" spans="1:6" x14ac:dyDescent="0.25">
      <c r="A13" s="19"/>
      <c r="B13" s="300" t="s">
        <v>385</v>
      </c>
      <c r="C13" s="307"/>
      <c r="D13" s="309">
        <f>Income!C11</f>
        <v>0</v>
      </c>
      <c r="E13" s="307"/>
      <c r="F13" s="26"/>
    </row>
    <row r="14" spans="1:6" x14ac:dyDescent="0.25">
      <c r="A14" s="19"/>
      <c r="B14" s="306" t="s">
        <v>388</v>
      </c>
      <c r="C14" s="307"/>
      <c r="D14" s="307"/>
      <c r="E14" s="308">
        <f>D12+D13</f>
        <v>0</v>
      </c>
      <c r="F14" s="26"/>
    </row>
    <row r="15" spans="1:6" x14ac:dyDescent="0.25">
      <c r="A15" s="19" t="s">
        <v>389</v>
      </c>
      <c r="B15" s="300" t="s">
        <v>384</v>
      </c>
      <c r="C15" s="307"/>
      <c r="D15" s="308">
        <f>Income!B12</f>
        <v>0</v>
      </c>
      <c r="E15" s="307"/>
      <c r="F15" s="26"/>
    </row>
    <row r="16" spans="1:6" x14ac:dyDescent="0.25">
      <c r="A16" s="19"/>
      <c r="B16" s="300" t="s">
        <v>385</v>
      </c>
      <c r="C16" s="307"/>
      <c r="D16" s="309">
        <f>Income!C12</f>
        <v>0</v>
      </c>
      <c r="E16" s="307"/>
      <c r="F16" s="26"/>
    </row>
    <row r="17" spans="1:6" x14ac:dyDescent="0.25">
      <c r="A17" s="19"/>
      <c r="B17" s="300" t="s">
        <v>390</v>
      </c>
      <c r="C17" s="307"/>
      <c r="D17" s="307"/>
      <c r="E17" s="308">
        <f>D15+D16</f>
        <v>0</v>
      </c>
      <c r="F17" s="26"/>
    </row>
    <row r="18" spans="1:6" x14ac:dyDescent="0.25">
      <c r="A18" s="19" t="s">
        <v>391</v>
      </c>
      <c r="B18" s="300" t="s">
        <v>384</v>
      </c>
      <c r="C18" s="307"/>
      <c r="D18" s="308">
        <f>Income!B13</f>
        <v>0</v>
      </c>
      <c r="E18" s="307"/>
      <c r="F18" s="26"/>
    </row>
    <row r="19" spans="1:6" x14ac:dyDescent="0.25">
      <c r="A19" s="19"/>
      <c r="B19" s="300" t="s">
        <v>385</v>
      </c>
      <c r="C19" s="307"/>
      <c r="D19" s="309">
        <f>Income!C13</f>
        <v>0</v>
      </c>
      <c r="E19" s="307"/>
      <c r="F19" s="26"/>
    </row>
    <row r="20" spans="1:6" x14ac:dyDescent="0.25">
      <c r="A20" s="19"/>
      <c r="B20" s="300" t="s">
        <v>392</v>
      </c>
      <c r="C20" s="307"/>
      <c r="D20" s="307"/>
      <c r="E20" s="308">
        <f>D18+D19</f>
        <v>0</v>
      </c>
      <c r="F20" s="26"/>
    </row>
    <row r="21" spans="1:6" x14ac:dyDescent="0.25">
      <c r="A21" s="19" t="s">
        <v>393</v>
      </c>
      <c r="B21" s="300"/>
      <c r="C21" s="307"/>
      <c r="D21" s="307"/>
      <c r="E21" s="308">
        <f>Income!B14</f>
        <v>0</v>
      </c>
      <c r="F21" s="26"/>
    </row>
    <row r="22" spans="1:6" x14ac:dyDescent="0.25">
      <c r="A22" s="19" t="s">
        <v>394</v>
      </c>
      <c r="B22" s="300"/>
      <c r="C22" s="307"/>
      <c r="D22" s="307"/>
      <c r="E22" s="308">
        <f>Income!B15</f>
        <v>0</v>
      </c>
      <c r="F22" s="26"/>
    </row>
    <row r="23" spans="1:6" x14ac:dyDescent="0.25">
      <c r="A23" s="19" t="s">
        <v>395</v>
      </c>
      <c r="B23" s="300"/>
      <c r="C23" s="307"/>
      <c r="D23" s="307"/>
      <c r="E23" s="308">
        <f>Income!B16</f>
        <v>0</v>
      </c>
      <c r="F23" s="26"/>
    </row>
    <row r="24" spans="1:6" x14ac:dyDescent="0.25">
      <c r="A24" s="19" t="s">
        <v>396</v>
      </c>
      <c r="B24" s="300"/>
      <c r="C24" s="307"/>
      <c r="D24" s="307"/>
      <c r="E24" s="308">
        <f>(Income!B17+Income!B18+Income!B19+Income!B20+Income!B21)+Income!C17+Income!C18+Income!C19+Income!C20+Income!C21</f>
        <v>0</v>
      </c>
      <c r="F24" s="26"/>
    </row>
    <row r="25" spans="1:6" x14ac:dyDescent="0.25">
      <c r="A25" s="19" t="s">
        <v>397</v>
      </c>
      <c r="B25" s="300"/>
      <c r="C25" s="307"/>
      <c r="D25" s="307"/>
      <c r="E25" s="308">
        <f>Income!D22</f>
        <v>0</v>
      </c>
      <c r="F25" s="26"/>
    </row>
    <row r="26" spans="1:6" x14ac:dyDescent="0.25">
      <c r="A26" s="19" t="s">
        <v>658</v>
      </c>
      <c r="B26" s="300"/>
      <c r="C26" s="307"/>
      <c r="D26" s="307"/>
      <c r="E26" s="309">
        <f>Livestock!H41</f>
        <v>0</v>
      </c>
      <c r="F26" s="26"/>
    </row>
    <row r="27" spans="1:6" ht="6.75" customHeight="1" x14ac:dyDescent="0.25">
      <c r="A27" s="19"/>
      <c r="B27" s="300"/>
      <c r="C27" s="307"/>
      <c r="D27" s="307"/>
      <c r="E27" s="308"/>
      <c r="F27" s="26"/>
    </row>
    <row r="28" spans="1:6" ht="13" x14ac:dyDescent="0.3">
      <c r="A28" s="19"/>
      <c r="B28" s="301" t="s">
        <v>398</v>
      </c>
      <c r="C28" s="307"/>
      <c r="D28" s="307"/>
      <c r="E28" s="308">
        <f>E8+E11+E14+E17+E20+E21+E22+E23+E24+E25+E26</f>
        <v>0</v>
      </c>
      <c r="F28" s="26"/>
    </row>
    <row r="29" spans="1:6" ht="13" x14ac:dyDescent="0.3">
      <c r="A29" s="19"/>
      <c r="B29" s="301"/>
      <c r="C29" s="307"/>
      <c r="D29" s="307"/>
      <c r="E29" s="308"/>
      <c r="F29" s="26"/>
    </row>
    <row r="30" spans="1:6" ht="13" x14ac:dyDescent="0.3">
      <c r="A30" s="227" t="s">
        <v>213</v>
      </c>
      <c r="B30" s="301"/>
      <c r="C30" s="307"/>
      <c r="D30" s="307"/>
      <c r="E30" s="308"/>
      <c r="F30" s="26"/>
    </row>
    <row r="31" spans="1:6" x14ac:dyDescent="0.25">
      <c r="A31" s="19" t="s">
        <v>399</v>
      </c>
      <c r="B31" s="300"/>
      <c r="C31" s="307"/>
      <c r="D31" s="307"/>
      <c r="E31" s="307"/>
      <c r="F31" s="26"/>
    </row>
    <row r="32" spans="1:6" x14ac:dyDescent="0.25">
      <c r="A32" s="19"/>
      <c r="B32" s="300" t="s">
        <v>164</v>
      </c>
      <c r="C32" s="308">
        <f>Expenses!B11+Expenses!B12+Expenses!B13</f>
        <v>0</v>
      </c>
      <c r="D32" s="307"/>
      <c r="E32" s="308"/>
      <c r="F32" s="26"/>
    </row>
    <row r="33" spans="1:6" x14ac:dyDescent="0.25">
      <c r="A33" s="19"/>
      <c r="B33" s="300" t="s">
        <v>168</v>
      </c>
      <c r="C33" s="308">
        <f>Expenses!B15+Expenses!B16+Expenses!B17+Expenses!B18</f>
        <v>0</v>
      </c>
      <c r="D33" s="307"/>
      <c r="E33" s="308"/>
      <c r="F33" s="26"/>
    </row>
    <row r="34" spans="1:6" x14ac:dyDescent="0.25">
      <c r="A34" s="19"/>
      <c r="B34" s="302" t="s">
        <v>123</v>
      </c>
      <c r="C34" s="308">
        <f>Expenses!B20+Expenses!B21+Expenses!B22</f>
        <v>0</v>
      </c>
      <c r="D34" s="307"/>
      <c r="E34" s="308"/>
      <c r="F34" s="26"/>
    </row>
    <row r="35" spans="1:6" x14ac:dyDescent="0.25">
      <c r="A35" s="19"/>
      <c r="B35" s="300" t="s">
        <v>173</v>
      </c>
      <c r="C35" s="308">
        <f>Expenses!B24+Expenses!B25+Expenses!B26</f>
        <v>0</v>
      </c>
      <c r="D35" s="307"/>
      <c r="E35" s="307"/>
      <c r="F35" s="26"/>
    </row>
    <row r="36" spans="1:6" x14ac:dyDescent="0.25">
      <c r="A36" s="19"/>
      <c r="B36" s="300" t="s">
        <v>177</v>
      </c>
      <c r="C36" s="308">
        <f>Expenses!B28+Expenses!B29+Expenses!B30+Expenses!B31+Expenses!B32+Expenses!B33+Expenses!B34</f>
        <v>0</v>
      </c>
      <c r="D36" s="307"/>
      <c r="E36" s="307"/>
      <c r="F36" s="26"/>
    </row>
    <row r="37" spans="1:6" x14ac:dyDescent="0.25">
      <c r="A37" s="19"/>
      <c r="B37" s="300" t="s">
        <v>190</v>
      </c>
      <c r="C37" s="308">
        <f>Expenses!B36+Expenses!B37+Expenses!B38+Expenses!B39</f>
        <v>0</v>
      </c>
      <c r="D37" s="307"/>
      <c r="E37" s="307"/>
      <c r="F37" s="26"/>
    </row>
    <row r="38" spans="1:6" x14ac:dyDescent="0.25">
      <c r="A38" s="19"/>
      <c r="B38" s="300" t="s">
        <v>197</v>
      </c>
      <c r="C38" s="308">
        <f>Expenses!B41+Expenses!B42+Expenses!B43</f>
        <v>0</v>
      </c>
      <c r="D38" s="307"/>
      <c r="E38" s="307"/>
      <c r="F38" s="26"/>
    </row>
    <row r="39" spans="1:6" x14ac:dyDescent="0.25">
      <c r="A39" s="19"/>
      <c r="B39" s="300" t="s">
        <v>8</v>
      </c>
      <c r="C39" s="309">
        <f>Expenses!B45+Expenses!B46+Expenses!B48+Expenses!B49</f>
        <v>0</v>
      </c>
      <c r="D39" s="307"/>
      <c r="E39" s="307"/>
      <c r="F39" s="26"/>
    </row>
    <row r="40" spans="1:6" x14ac:dyDescent="0.25">
      <c r="A40" s="19"/>
      <c r="B40" s="302" t="s">
        <v>400</v>
      </c>
      <c r="C40" s="307"/>
      <c r="D40" s="308">
        <f>SUM(C32:C39)</f>
        <v>0</v>
      </c>
      <c r="E40" s="307"/>
      <c r="F40" s="26"/>
    </row>
    <row r="41" spans="1:6" x14ac:dyDescent="0.25">
      <c r="A41" s="19" t="s">
        <v>401</v>
      </c>
      <c r="B41" s="303"/>
      <c r="C41" s="308"/>
      <c r="D41" s="308">
        <f>Expenses!C50</f>
        <v>0</v>
      </c>
      <c r="E41" s="307"/>
      <c r="F41" s="26"/>
    </row>
    <row r="42" spans="1:6" x14ac:dyDescent="0.25">
      <c r="A42" s="19" t="s">
        <v>402</v>
      </c>
      <c r="B42" s="303"/>
      <c r="C42" s="308"/>
      <c r="D42" s="308">
        <f>Expenses!D50</f>
        <v>0</v>
      </c>
      <c r="E42" s="307"/>
      <c r="F42" s="26"/>
    </row>
    <row r="43" spans="1:6" x14ac:dyDescent="0.25">
      <c r="A43" s="19" t="s">
        <v>403</v>
      </c>
      <c r="B43" s="300"/>
      <c r="C43" s="307"/>
      <c r="D43" s="309">
        <f>'Machinery and Equipment'!D40+Buildings!H30+Livestock!F39</f>
        <v>0</v>
      </c>
      <c r="E43" s="307"/>
      <c r="F43" s="26"/>
    </row>
    <row r="44" spans="1:6" x14ac:dyDescent="0.25">
      <c r="A44" s="19"/>
      <c r="B44" s="300" t="s">
        <v>344</v>
      </c>
      <c r="C44" s="307"/>
      <c r="D44" s="307"/>
      <c r="E44" s="308">
        <f>D40-D41+D42+D43</f>
        <v>0</v>
      </c>
      <c r="F44" s="26"/>
    </row>
    <row r="45" spans="1:6" x14ac:dyDescent="0.25">
      <c r="A45" s="19" t="s">
        <v>404</v>
      </c>
      <c r="B45" s="300"/>
      <c r="C45" s="307"/>
      <c r="D45" s="77"/>
      <c r="E45" s="309">
        <f>Expenses!B47</f>
        <v>0</v>
      </c>
      <c r="F45" s="26"/>
    </row>
    <row r="46" spans="1:6" ht="13" x14ac:dyDescent="0.3">
      <c r="A46" s="19"/>
      <c r="B46" s="301" t="s">
        <v>405</v>
      </c>
      <c r="C46" s="307"/>
      <c r="D46" s="307"/>
      <c r="E46" s="308">
        <f>E44+E45</f>
        <v>0</v>
      </c>
      <c r="F46" s="26"/>
    </row>
    <row r="47" spans="1:6" ht="8.25" customHeight="1" x14ac:dyDescent="0.3">
      <c r="A47" s="19"/>
      <c r="B47" s="304"/>
      <c r="C47" s="307"/>
      <c r="D47" s="307"/>
      <c r="E47" s="307"/>
      <c r="F47" s="26"/>
    </row>
    <row r="48" spans="1:6" ht="13" x14ac:dyDescent="0.3">
      <c r="A48" s="19"/>
      <c r="B48" s="301" t="s">
        <v>406</v>
      </c>
      <c r="C48" s="307"/>
      <c r="D48" s="307"/>
      <c r="E48" s="308">
        <f>E28-E46</f>
        <v>0</v>
      </c>
      <c r="F48" s="26"/>
    </row>
    <row r="49" spans="1:6" ht="7.5" customHeight="1" x14ac:dyDescent="0.25">
      <c r="A49" s="44"/>
      <c r="B49" s="97"/>
      <c r="C49" s="45"/>
      <c r="D49" s="45"/>
      <c r="E49" s="45"/>
      <c r="F49" s="46"/>
    </row>
  </sheetData>
  <phoneticPr fontId="0" type="noConversion"/>
  <printOptions headings="1"/>
  <pageMargins left="0.5" right="0.25" top="0.5" bottom="0.25" header="0.5" footer="0.5"/>
  <pageSetup scale="96" orientation="portrait" horizontalDpi="300" verticalDpi="300" r:id="rId1"/>
  <headerFooter alignWithMargins="0">
    <oddHeader>&amp;R&amp;8 18&amp;10
&amp;8&amp;D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zoomScaleNormal="100" workbookViewId="0">
      <selection activeCell="E51" sqref="E51"/>
    </sheetView>
  </sheetViews>
  <sheetFormatPr defaultRowHeight="12.5" x14ac:dyDescent="0.25"/>
  <cols>
    <col min="1" max="1" width="17.1796875" customWidth="1"/>
    <col min="2" max="2" width="1.81640625" customWidth="1"/>
    <col min="3" max="3" width="46" bestFit="1" customWidth="1"/>
    <col min="4" max="5" width="9.7265625" customWidth="1"/>
    <col min="6" max="6" width="10.26953125" customWidth="1"/>
  </cols>
  <sheetData>
    <row r="1" spans="1:6" s="504" customFormat="1" ht="13" x14ac:dyDescent="0.3">
      <c r="A1" s="503" t="str">
        <f>'Dairy Description'!A1</f>
        <v>Key Code:</v>
      </c>
      <c r="B1" s="506" t="s">
        <v>673</v>
      </c>
    </row>
    <row r="2" spans="1:6" ht="13" x14ac:dyDescent="0.3">
      <c r="A2" s="2" t="s">
        <v>42</v>
      </c>
      <c r="B2" s="1"/>
      <c r="C2" s="1"/>
      <c r="D2" s="1"/>
      <c r="E2" s="1"/>
      <c r="F2" s="1"/>
    </row>
    <row r="3" spans="1:6" ht="13" x14ac:dyDescent="0.3">
      <c r="A3" s="244" t="s">
        <v>760</v>
      </c>
      <c r="B3" s="1"/>
      <c r="C3" s="1"/>
      <c r="D3" s="1"/>
      <c r="E3" s="1"/>
      <c r="F3" s="1"/>
    </row>
    <row r="4" spans="1:6" ht="13" x14ac:dyDescent="0.3">
      <c r="A4" s="6" t="s">
        <v>407</v>
      </c>
      <c r="B4" s="6"/>
    </row>
    <row r="5" spans="1:6" x14ac:dyDescent="0.25">
      <c r="A5" s="81"/>
      <c r="B5" s="52"/>
      <c r="C5" s="52"/>
      <c r="D5" s="310"/>
      <c r="E5" s="113"/>
      <c r="F5" s="113"/>
    </row>
    <row r="6" spans="1:6" x14ac:dyDescent="0.25">
      <c r="A6" s="44" t="s">
        <v>408</v>
      </c>
      <c r="B6" s="45"/>
      <c r="C6" s="59" t="s">
        <v>409</v>
      </c>
      <c r="D6" s="311" t="s">
        <v>319</v>
      </c>
      <c r="E6" s="61" t="s">
        <v>320</v>
      </c>
      <c r="F6" s="61" t="s">
        <v>209</v>
      </c>
    </row>
    <row r="7" spans="1:6" x14ac:dyDescent="0.25">
      <c r="A7" s="312" t="s">
        <v>410</v>
      </c>
      <c r="B7" s="313"/>
      <c r="C7" s="52"/>
      <c r="D7" s="318"/>
      <c r="E7" s="319"/>
      <c r="F7" s="466"/>
    </row>
    <row r="8" spans="1:6" x14ac:dyDescent="0.25">
      <c r="A8" s="19" t="s">
        <v>411</v>
      </c>
      <c r="B8" s="300" t="s">
        <v>48</v>
      </c>
      <c r="C8" s="314" t="s">
        <v>412</v>
      </c>
      <c r="D8" s="368">
        <f>IF(AND(SUM(Balance!E16)),(Balance!B16/Balance!E16),0)</f>
        <v>0</v>
      </c>
      <c r="E8" s="369">
        <f>IF(AND(SUM(Balance!F16)),(Balance!C16/Balance!F16),0)</f>
        <v>0</v>
      </c>
      <c r="F8" s="467">
        <f>E8-D8</f>
        <v>0</v>
      </c>
    </row>
    <row r="9" spans="1:6" x14ac:dyDescent="0.25">
      <c r="A9" s="19"/>
      <c r="B9" s="300"/>
      <c r="C9" s="314"/>
      <c r="D9" s="320"/>
      <c r="E9" s="317"/>
      <c r="F9" s="468"/>
    </row>
    <row r="10" spans="1:6" ht="9" customHeight="1" x14ac:dyDescent="0.25">
      <c r="A10" s="19"/>
      <c r="B10" s="300"/>
      <c r="C10" s="300"/>
      <c r="D10" s="320"/>
      <c r="E10" s="317"/>
      <c r="F10" s="468"/>
    </row>
    <row r="11" spans="1:6" x14ac:dyDescent="0.25">
      <c r="A11" s="19" t="s">
        <v>413</v>
      </c>
      <c r="B11" s="300" t="s">
        <v>48</v>
      </c>
      <c r="C11" s="314" t="s">
        <v>414</v>
      </c>
      <c r="D11" s="320">
        <f>Balance!B16-Balance!E16</f>
        <v>0</v>
      </c>
      <c r="E11" s="317">
        <f>Balance!C16-Balance!F16</f>
        <v>0</v>
      </c>
      <c r="F11" s="468">
        <f>E11-D11</f>
        <v>0</v>
      </c>
    </row>
    <row r="12" spans="1:6" x14ac:dyDescent="0.25">
      <c r="A12" s="19"/>
      <c r="B12" s="300"/>
      <c r="C12" s="314"/>
      <c r="D12" s="320"/>
      <c r="E12" s="317"/>
      <c r="F12" s="468"/>
    </row>
    <row r="13" spans="1:6" ht="7.5" customHeight="1" x14ac:dyDescent="0.25">
      <c r="A13" s="19"/>
      <c r="B13" s="300"/>
      <c r="C13" s="300"/>
      <c r="D13" s="320"/>
      <c r="E13" s="317"/>
      <c r="F13" s="468"/>
    </row>
    <row r="14" spans="1:6" x14ac:dyDescent="0.25">
      <c r="A14" s="315" t="s">
        <v>415</v>
      </c>
      <c r="B14" s="316"/>
      <c r="C14" s="300"/>
      <c r="D14" s="320"/>
      <c r="E14" s="317"/>
      <c r="F14" s="468"/>
    </row>
    <row r="15" spans="1:6" x14ac:dyDescent="0.25">
      <c r="A15" s="19" t="s">
        <v>416</v>
      </c>
      <c r="B15" s="300" t="s">
        <v>48</v>
      </c>
      <c r="C15" s="314" t="s">
        <v>417</v>
      </c>
      <c r="D15" s="368">
        <f>IF(AND(SUM(Balance!B47)),((Balance!E39+Balance!E41)/Balance!B47),0)</f>
        <v>0</v>
      </c>
      <c r="E15" s="369">
        <f>IF(AND(SUM(Balance!C47)),((Balance!F39+Balance!F41)/Balance!C47),0)</f>
        <v>0</v>
      </c>
      <c r="F15" s="467">
        <f>E15-D15</f>
        <v>0</v>
      </c>
    </row>
    <row r="16" spans="1:6" x14ac:dyDescent="0.25">
      <c r="A16" s="19"/>
      <c r="B16" s="300"/>
      <c r="C16" s="314"/>
      <c r="D16" s="368"/>
      <c r="E16" s="369"/>
      <c r="F16" s="469"/>
    </row>
    <row r="17" spans="1:6" ht="7.5" customHeight="1" x14ac:dyDescent="0.25">
      <c r="A17" s="19"/>
      <c r="B17" s="300"/>
      <c r="C17" s="300"/>
      <c r="D17" s="368"/>
      <c r="E17" s="369"/>
      <c r="F17" s="469"/>
    </row>
    <row r="18" spans="1:6" x14ac:dyDescent="0.25">
      <c r="A18" s="19" t="s">
        <v>418</v>
      </c>
      <c r="B18" s="300" t="s">
        <v>48</v>
      </c>
      <c r="C18" s="314" t="s">
        <v>419</v>
      </c>
      <c r="D18" s="368">
        <f>IF(AND(SUM(Balance!B47)),((Balance!E44+Balance!E43)/Balance!B47),0)</f>
        <v>0</v>
      </c>
      <c r="E18" s="369">
        <f>IF(AND(SUM(Balance!C47)),((Balance!F44+Balance!F43)/Balance!C47),0)</f>
        <v>0</v>
      </c>
      <c r="F18" s="467">
        <f>E18-D18</f>
        <v>0</v>
      </c>
    </row>
    <row r="19" spans="1:6" x14ac:dyDescent="0.25">
      <c r="A19" s="19" t="s">
        <v>420</v>
      </c>
      <c r="B19" s="300"/>
      <c r="C19" s="314"/>
      <c r="D19" s="368"/>
      <c r="E19" s="369"/>
      <c r="F19" s="469"/>
    </row>
    <row r="20" spans="1:6" ht="6.75" customHeight="1" x14ac:dyDescent="0.25">
      <c r="A20" s="19"/>
      <c r="B20" s="300"/>
      <c r="C20" s="300"/>
      <c r="D20" s="368"/>
      <c r="E20" s="369"/>
      <c r="F20" s="469"/>
    </row>
    <row r="21" spans="1:6" x14ac:dyDescent="0.25">
      <c r="A21" s="19" t="s">
        <v>421</v>
      </c>
      <c r="B21" s="300" t="s">
        <v>48</v>
      </c>
      <c r="C21" s="314" t="s">
        <v>422</v>
      </c>
      <c r="D21" s="368">
        <f>IF(AND(SUM(Balance!E44)),((Balance!E39+Balance!E41)/(Balance!E44+Balance!E43)),0)</f>
        <v>0</v>
      </c>
      <c r="E21" s="369">
        <f>IF(AND(SUM(Balance!F44)),((Balance!F39+Balance!F41)/(Balance!F44+Balance!F43)),0)</f>
        <v>0</v>
      </c>
      <c r="F21" s="467">
        <f>E21-D21</f>
        <v>0</v>
      </c>
    </row>
    <row r="22" spans="1:6" x14ac:dyDescent="0.25">
      <c r="A22" s="19"/>
      <c r="B22" s="300"/>
      <c r="C22" s="314"/>
      <c r="D22" s="368"/>
      <c r="E22" s="369"/>
      <c r="F22" s="469"/>
    </row>
    <row r="23" spans="1:6" ht="6.75" customHeight="1" x14ac:dyDescent="0.25">
      <c r="A23" s="19"/>
      <c r="B23" s="300"/>
      <c r="C23" s="300"/>
      <c r="D23" s="368"/>
      <c r="E23" s="369"/>
      <c r="F23" s="469"/>
    </row>
    <row r="24" spans="1:6" x14ac:dyDescent="0.25">
      <c r="A24" s="315" t="s">
        <v>423</v>
      </c>
      <c r="B24" s="300"/>
      <c r="C24" s="300"/>
      <c r="D24" s="368"/>
      <c r="E24" s="369"/>
      <c r="F24" s="469"/>
    </row>
    <row r="25" spans="1:6" x14ac:dyDescent="0.25">
      <c r="A25" s="19" t="s">
        <v>424</v>
      </c>
      <c r="B25" s="300" t="s">
        <v>48</v>
      </c>
      <c r="C25" s="314" t="s">
        <v>425</v>
      </c>
      <c r="D25" s="370" t="s">
        <v>426</v>
      </c>
      <c r="E25" s="369">
        <f>IF(AND(SUM(Balance!C39)),(('Income Statement'!E48+Expenses!B47-50000)/((Balance!B39+Balance!C39)/2)),0)</f>
        <v>0</v>
      </c>
      <c r="F25" s="470" t="s">
        <v>426</v>
      </c>
    </row>
    <row r="26" spans="1:6" x14ac:dyDescent="0.25">
      <c r="A26" s="19" t="s">
        <v>676</v>
      </c>
      <c r="B26" s="300"/>
      <c r="C26" s="314"/>
      <c r="D26" s="368"/>
      <c r="E26" s="369"/>
      <c r="F26" s="469"/>
    </row>
    <row r="27" spans="1:6" ht="8.25" customHeight="1" x14ac:dyDescent="0.25">
      <c r="A27" s="19"/>
      <c r="B27" s="300"/>
      <c r="C27" s="300"/>
      <c r="D27" s="368"/>
      <c r="E27" s="369"/>
      <c r="F27" s="469"/>
    </row>
    <row r="28" spans="1:6" x14ac:dyDescent="0.25">
      <c r="A28" s="19" t="s">
        <v>424</v>
      </c>
      <c r="B28" s="300" t="s">
        <v>48</v>
      </c>
      <c r="C28" s="314" t="s">
        <v>427</v>
      </c>
      <c r="D28" s="370" t="s">
        <v>426</v>
      </c>
      <c r="E28" s="369">
        <f>IF(AND(SUM(Balance!F44)),(('Income Statement'!E48-50000)/(((Balance!E44+Balance!E43)+(Balance!F44+Balance!F43))/2)),0)</f>
        <v>0</v>
      </c>
      <c r="F28" s="470" t="s">
        <v>426</v>
      </c>
    </row>
    <row r="29" spans="1:6" x14ac:dyDescent="0.25">
      <c r="A29" s="19" t="s">
        <v>428</v>
      </c>
      <c r="B29" s="300"/>
      <c r="C29" s="314"/>
      <c r="D29" s="368"/>
      <c r="E29" s="369"/>
      <c r="F29" s="469"/>
    </row>
    <row r="30" spans="1:6" ht="7.5" customHeight="1" x14ac:dyDescent="0.25">
      <c r="A30" s="19"/>
      <c r="B30" s="300"/>
      <c r="C30" s="300"/>
      <c r="D30" s="368"/>
      <c r="E30" s="369"/>
      <c r="F30" s="469"/>
    </row>
    <row r="31" spans="1:6" x14ac:dyDescent="0.25">
      <c r="A31" s="19" t="s">
        <v>429</v>
      </c>
      <c r="B31" s="300" t="s">
        <v>48</v>
      </c>
      <c r="C31" s="314" t="s">
        <v>430</v>
      </c>
      <c r="D31" s="370" t="s">
        <v>426</v>
      </c>
      <c r="E31" s="369">
        <f>IF(AND(SUM('Income Statement'!E28)),(('Income Statement'!E48+Expenses!E47-50000)/'Income Statement'!E28),0)</f>
        <v>0</v>
      </c>
      <c r="F31" s="470" t="s">
        <v>426</v>
      </c>
    </row>
    <row r="32" spans="1:6" x14ac:dyDescent="0.25">
      <c r="A32" s="19" t="s">
        <v>431</v>
      </c>
      <c r="B32" s="300"/>
      <c r="C32" s="314"/>
      <c r="D32" s="368"/>
      <c r="E32" s="369"/>
      <c r="F32" s="469"/>
    </row>
    <row r="33" spans="1:6" ht="9" customHeight="1" x14ac:dyDescent="0.25">
      <c r="A33" s="19"/>
      <c r="B33" s="300"/>
      <c r="C33" s="300"/>
      <c r="D33" s="368"/>
      <c r="E33" s="369"/>
      <c r="F33" s="469"/>
    </row>
    <row r="34" spans="1:6" x14ac:dyDescent="0.25">
      <c r="A34" s="315" t="s">
        <v>432</v>
      </c>
      <c r="B34" s="300"/>
      <c r="C34" s="300"/>
      <c r="D34" s="368"/>
      <c r="E34" s="369"/>
      <c r="F34" s="469"/>
    </row>
    <row r="35" spans="1:6" x14ac:dyDescent="0.25">
      <c r="A35" s="19" t="s">
        <v>433</v>
      </c>
      <c r="B35" s="300" t="s">
        <v>48</v>
      </c>
      <c r="C35" s="314" t="s">
        <v>434</v>
      </c>
      <c r="D35" s="370" t="s">
        <v>426</v>
      </c>
      <c r="E35" s="369">
        <f>IF(AND(SUM(Balance!C39)),('Income Statement'!E28/((Balance!B39+Balance!C39)/2)),0)</f>
        <v>0</v>
      </c>
      <c r="F35" s="470" t="s">
        <v>426</v>
      </c>
    </row>
    <row r="36" spans="1:6" x14ac:dyDescent="0.25">
      <c r="A36" s="19" t="s">
        <v>674</v>
      </c>
      <c r="B36" s="300"/>
      <c r="C36" s="314"/>
      <c r="D36" s="368"/>
      <c r="E36" s="369"/>
      <c r="F36" s="468"/>
    </row>
    <row r="37" spans="1:6" ht="9" customHeight="1" x14ac:dyDescent="0.25">
      <c r="A37" s="19"/>
      <c r="B37" s="300"/>
      <c r="C37" s="300"/>
      <c r="D37" s="368"/>
      <c r="E37" s="369"/>
      <c r="F37" s="468"/>
    </row>
    <row r="38" spans="1:6" x14ac:dyDescent="0.25">
      <c r="A38" s="19" t="s">
        <v>435</v>
      </c>
      <c r="B38" s="300" t="s">
        <v>48</v>
      </c>
      <c r="C38" s="314" t="s">
        <v>436</v>
      </c>
      <c r="D38" s="370" t="s">
        <v>426</v>
      </c>
      <c r="E38" s="369">
        <f>IF(AND(SUM('Income Statement'!E28)),(('Income Statement'!E44-'Income Statement'!D43)/'Income Statement'!E28),0)</f>
        <v>0</v>
      </c>
      <c r="F38" s="471" t="s">
        <v>426</v>
      </c>
    </row>
    <row r="39" spans="1:6" x14ac:dyDescent="0.25">
      <c r="A39" s="19" t="s">
        <v>420</v>
      </c>
      <c r="B39" s="300"/>
      <c r="C39" s="314" t="s">
        <v>437</v>
      </c>
      <c r="D39" s="368"/>
      <c r="E39" s="369"/>
      <c r="F39" s="468"/>
    </row>
    <row r="40" spans="1:6" ht="7.5" customHeight="1" x14ac:dyDescent="0.25">
      <c r="A40" s="19"/>
      <c r="B40" s="300"/>
      <c r="C40" s="300"/>
      <c r="D40" s="368"/>
      <c r="E40" s="369"/>
      <c r="F40" s="468"/>
    </row>
    <row r="41" spans="1:6" x14ac:dyDescent="0.25">
      <c r="A41" s="19" t="s">
        <v>438</v>
      </c>
      <c r="B41" s="300" t="s">
        <v>48</v>
      </c>
      <c r="C41" s="314" t="s">
        <v>439</v>
      </c>
      <c r="D41" s="370" t="s">
        <v>426</v>
      </c>
      <c r="E41" s="369">
        <f>IF(AND(SUM('Income Statement'!E28)),('Income Statement'!D43/'Income Statement'!E28),0)</f>
        <v>0</v>
      </c>
      <c r="F41" s="471" t="s">
        <v>426</v>
      </c>
    </row>
    <row r="42" spans="1:6" x14ac:dyDescent="0.25">
      <c r="A42" s="19" t="s">
        <v>440</v>
      </c>
      <c r="B42" s="300"/>
      <c r="C42" s="314"/>
      <c r="D42" s="368"/>
      <c r="E42" s="369"/>
      <c r="F42" s="468"/>
    </row>
    <row r="43" spans="1:6" ht="9" customHeight="1" x14ac:dyDescent="0.25">
      <c r="A43" s="19"/>
      <c r="B43" s="300"/>
      <c r="C43" s="300"/>
      <c r="D43" s="368"/>
      <c r="E43" s="369"/>
      <c r="F43" s="468"/>
    </row>
    <row r="44" spans="1:6" x14ac:dyDescent="0.25">
      <c r="A44" s="19" t="s">
        <v>441</v>
      </c>
      <c r="B44" s="300" t="s">
        <v>48</v>
      </c>
      <c r="C44" s="314" t="s">
        <v>442</v>
      </c>
      <c r="D44" s="370" t="s">
        <v>426</v>
      </c>
      <c r="E44" s="369">
        <f>IF(AND(SUM('Income Statement'!E28)),('Income Statement'!E45/'Income Statement'!E28),0)</f>
        <v>0</v>
      </c>
      <c r="F44" s="471" t="s">
        <v>426</v>
      </c>
    </row>
    <row r="45" spans="1:6" x14ac:dyDescent="0.25">
      <c r="A45" s="19" t="s">
        <v>420</v>
      </c>
      <c r="B45" s="300"/>
      <c r="C45" s="314"/>
      <c r="D45" s="368"/>
      <c r="E45" s="369"/>
      <c r="F45" s="468"/>
    </row>
    <row r="46" spans="1:6" ht="9" customHeight="1" x14ac:dyDescent="0.25">
      <c r="A46" s="19"/>
      <c r="B46" s="300"/>
      <c r="C46" s="300"/>
      <c r="D46" s="368"/>
      <c r="E46" s="369"/>
      <c r="F46" s="468"/>
    </row>
    <row r="47" spans="1:6" x14ac:dyDescent="0.25">
      <c r="A47" s="19" t="s">
        <v>443</v>
      </c>
      <c r="B47" s="300" t="s">
        <v>48</v>
      </c>
      <c r="C47" s="314" t="s">
        <v>444</v>
      </c>
      <c r="D47" s="370" t="s">
        <v>426</v>
      </c>
      <c r="E47" s="369">
        <f>IF(AND(SUM('Income Statement'!E28)),('Income Statement'!E48/'Income Statement'!E28),0)</f>
        <v>0</v>
      </c>
      <c r="F47" s="471" t="s">
        <v>426</v>
      </c>
    </row>
    <row r="48" spans="1:6" x14ac:dyDescent="0.25">
      <c r="A48" s="19" t="s">
        <v>445</v>
      </c>
      <c r="B48" s="300"/>
      <c r="C48" s="314"/>
      <c r="D48" s="320"/>
      <c r="E48" s="317"/>
      <c r="F48" s="468"/>
    </row>
    <row r="49" spans="1:6" x14ac:dyDescent="0.25">
      <c r="A49" s="19" t="s">
        <v>420</v>
      </c>
      <c r="B49" s="300"/>
      <c r="C49" s="300"/>
      <c r="D49" s="320"/>
      <c r="E49" s="317"/>
      <c r="F49" s="468"/>
    </row>
    <row r="50" spans="1:6" s="300" customFormat="1" ht="9" customHeight="1" x14ac:dyDescent="0.25">
      <c r="A50" s="19"/>
      <c r="D50" s="320"/>
      <c r="E50" s="317"/>
      <c r="F50" s="468"/>
    </row>
    <row r="51" spans="1:6" x14ac:dyDescent="0.25">
      <c r="A51" s="315"/>
      <c r="B51" s="300"/>
      <c r="C51" s="300"/>
      <c r="D51" s="320"/>
      <c r="E51" s="317"/>
      <c r="F51" s="468"/>
    </row>
    <row r="52" spans="1:6" x14ac:dyDescent="0.25">
      <c r="A52" s="44"/>
      <c r="B52" s="45"/>
      <c r="C52" s="45"/>
      <c r="D52" s="321"/>
      <c r="E52" s="322"/>
      <c r="F52" s="472"/>
    </row>
    <row r="53" spans="1:6" ht="13" x14ac:dyDescent="0.3">
      <c r="A53" s="4" t="s">
        <v>446</v>
      </c>
    </row>
    <row r="54" spans="1:6" x14ac:dyDescent="0.25">
      <c r="A54" t="s">
        <v>447</v>
      </c>
    </row>
    <row r="55" spans="1:6" x14ac:dyDescent="0.25">
      <c r="A55" t="s">
        <v>675</v>
      </c>
    </row>
  </sheetData>
  <phoneticPr fontId="0" type="noConversion"/>
  <printOptions headings="1"/>
  <pageMargins left="0.5" right="0" top="0.5" bottom="0.5" header="0.5" footer="0.5"/>
  <pageSetup orientation="portrait" horizontalDpi="300" verticalDpi="300" r:id="rId1"/>
  <headerFooter alignWithMargins="0">
    <oddHeader>&amp;R&amp;8 19
&amp;D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workbookViewId="0">
      <selection activeCell="E14" sqref="E14"/>
    </sheetView>
  </sheetViews>
  <sheetFormatPr defaultRowHeight="12.5" x14ac:dyDescent="0.25"/>
  <cols>
    <col min="1" max="1" width="21.26953125" customWidth="1"/>
    <col min="2" max="2" width="34.81640625" customWidth="1"/>
    <col min="3" max="3" width="14.7265625" customWidth="1"/>
    <col min="4" max="4" width="3.453125" customWidth="1"/>
  </cols>
  <sheetData>
    <row r="1" spans="1:4" s="504" customFormat="1" ht="13" x14ac:dyDescent="0.3">
      <c r="A1" s="503" t="str">
        <f>'Dairy Description'!A1</f>
        <v>Key Code:</v>
      </c>
      <c r="B1" s="506" t="s">
        <v>0</v>
      </c>
    </row>
    <row r="2" spans="1:4" ht="13" x14ac:dyDescent="0.3">
      <c r="A2" s="2" t="s">
        <v>42</v>
      </c>
      <c r="B2" s="1"/>
      <c r="C2" s="1"/>
      <c r="D2" s="1"/>
    </row>
    <row r="3" spans="1:4" ht="13" x14ac:dyDescent="0.3">
      <c r="A3" s="244" t="s">
        <v>760</v>
      </c>
      <c r="B3" s="1"/>
      <c r="C3" s="1"/>
      <c r="D3" s="1"/>
    </row>
    <row r="5" spans="1:4" ht="13" x14ac:dyDescent="0.3">
      <c r="A5" s="6" t="s">
        <v>448</v>
      </c>
    </row>
    <row r="6" spans="1:4" x14ac:dyDescent="0.25">
      <c r="A6" s="81"/>
      <c r="B6" s="52"/>
      <c r="C6" s="52"/>
      <c r="D6" s="55"/>
    </row>
    <row r="7" spans="1:4" x14ac:dyDescent="0.25">
      <c r="A7" s="323" t="s">
        <v>449</v>
      </c>
      <c r="B7" s="300"/>
      <c r="C7" s="300"/>
      <c r="D7" s="26"/>
    </row>
    <row r="8" spans="1:4" x14ac:dyDescent="0.25">
      <c r="A8" s="19" t="s">
        <v>450</v>
      </c>
      <c r="B8" s="300"/>
      <c r="C8" s="300"/>
      <c r="D8" s="26"/>
    </row>
    <row r="9" spans="1:4" x14ac:dyDescent="0.25">
      <c r="A9" s="19"/>
      <c r="B9" s="302" t="s">
        <v>451</v>
      </c>
      <c r="C9" s="324">
        <f>'Income Statement'!E28</f>
        <v>0</v>
      </c>
      <c r="D9" s="26"/>
    </row>
    <row r="10" spans="1:4" x14ac:dyDescent="0.25">
      <c r="A10" s="19"/>
      <c r="B10" s="325" t="s">
        <v>452</v>
      </c>
      <c r="C10" s="328">
        <f>'Income Statement'!E46</f>
        <v>0</v>
      </c>
      <c r="D10" s="26"/>
    </row>
    <row r="11" spans="1:4" x14ac:dyDescent="0.25">
      <c r="A11" s="19"/>
      <c r="B11" s="325" t="s">
        <v>453</v>
      </c>
      <c r="C11" s="324">
        <f>C9-C10</f>
        <v>0</v>
      </c>
      <c r="D11" s="26"/>
    </row>
    <row r="12" spans="1:4" x14ac:dyDescent="0.25">
      <c r="A12" s="19"/>
      <c r="B12" s="300"/>
      <c r="C12" s="326"/>
      <c r="D12" s="26"/>
    </row>
    <row r="13" spans="1:4" x14ac:dyDescent="0.25">
      <c r="A13" s="19" t="s">
        <v>454</v>
      </c>
      <c r="B13" s="300"/>
      <c r="C13" s="326"/>
      <c r="D13" s="26"/>
    </row>
    <row r="14" spans="1:4" x14ac:dyDescent="0.25">
      <c r="A14" s="19"/>
      <c r="B14" s="302" t="s">
        <v>455</v>
      </c>
      <c r="C14" s="324">
        <f>C11</f>
        <v>0</v>
      </c>
      <c r="D14" s="26"/>
    </row>
    <row r="15" spans="1:4" x14ac:dyDescent="0.25">
      <c r="A15" s="19"/>
      <c r="B15" s="325" t="s">
        <v>456</v>
      </c>
      <c r="C15" s="324">
        <f>-('Dairy Description'!B26*2000)</f>
        <v>0</v>
      </c>
      <c r="D15" s="26"/>
    </row>
    <row r="16" spans="1:4" x14ac:dyDescent="0.25">
      <c r="A16" s="19"/>
      <c r="B16" s="325" t="s">
        <v>457</v>
      </c>
      <c r="C16" s="328">
        <f>((Balance!E44+Balance!F44)/2)*0.07</f>
        <v>0</v>
      </c>
      <c r="D16" s="26"/>
    </row>
    <row r="17" spans="1:4" x14ac:dyDescent="0.25">
      <c r="A17" s="19"/>
      <c r="B17" s="325" t="s">
        <v>458</v>
      </c>
      <c r="C17" s="324">
        <f>C14+C15-C16</f>
        <v>0</v>
      </c>
      <c r="D17" s="26"/>
    </row>
    <row r="18" spans="1:4" x14ac:dyDescent="0.25">
      <c r="A18" s="19"/>
      <c r="B18" s="300"/>
      <c r="C18" s="326"/>
      <c r="D18" s="26"/>
    </row>
    <row r="19" spans="1:4" x14ac:dyDescent="0.25">
      <c r="A19" s="19" t="s">
        <v>459</v>
      </c>
      <c r="B19" s="300"/>
      <c r="C19" s="326"/>
      <c r="D19" s="26"/>
    </row>
    <row r="20" spans="1:4" x14ac:dyDescent="0.25">
      <c r="A20" s="19"/>
      <c r="B20" s="302" t="s">
        <v>455</v>
      </c>
      <c r="C20" s="324">
        <f>C11</f>
        <v>0</v>
      </c>
      <c r="D20" s="26"/>
    </row>
    <row r="21" spans="1:4" x14ac:dyDescent="0.25">
      <c r="A21" s="19"/>
      <c r="B21" s="325" t="s">
        <v>456</v>
      </c>
      <c r="C21" s="324">
        <f>('Dairy Description'!B26*2000)</f>
        <v>0</v>
      </c>
      <c r="D21" s="26"/>
    </row>
    <row r="22" spans="1:4" x14ac:dyDescent="0.25">
      <c r="A22" s="19"/>
      <c r="B22" s="325" t="s">
        <v>460</v>
      </c>
      <c r="C22" s="328">
        <f>IF(AND(SUM(Assets!C20)),(Assets!C20),50000)</f>
        <v>50000</v>
      </c>
      <c r="D22" s="26"/>
    </row>
    <row r="23" spans="1:4" x14ac:dyDescent="0.25">
      <c r="A23" s="19"/>
      <c r="B23" s="325" t="s">
        <v>461</v>
      </c>
      <c r="C23" s="324">
        <f>IF(AND(SUM(C20)),(C20-C21-C22),0)</f>
        <v>0</v>
      </c>
      <c r="D23" s="26"/>
    </row>
    <row r="24" spans="1:4" x14ac:dyDescent="0.25">
      <c r="A24" s="19"/>
      <c r="B24" s="327" t="s">
        <v>677</v>
      </c>
      <c r="C24" s="324">
        <f>((Balance!E44+Balance!F44+Balance!E43+Balance!F43)/2)</f>
        <v>0</v>
      </c>
      <c r="D24" s="26"/>
    </row>
    <row r="25" spans="1:4" x14ac:dyDescent="0.25">
      <c r="A25" s="19"/>
      <c r="B25" s="325" t="s">
        <v>462</v>
      </c>
      <c r="C25" s="371">
        <f>IF(AND(SUM(C24)),(C23/C24),0)</f>
        <v>0</v>
      </c>
      <c r="D25" s="26"/>
    </row>
    <row r="26" spans="1:4" x14ac:dyDescent="0.25">
      <c r="A26" s="19"/>
      <c r="B26" s="303"/>
      <c r="C26" s="326"/>
      <c r="D26" s="26"/>
    </row>
    <row r="27" spans="1:4" x14ac:dyDescent="0.25">
      <c r="A27" s="19" t="s">
        <v>463</v>
      </c>
      <c r="B27" s="303"/>
      <c r="C27" s="326"/>
      <c r="D27" s="26"/>
    </row>
    <row r="28" spans="1:4" x14ac:dyDescent="0.25">
      <c r="A28" s="19"/>
      <c r="B28" s="302" t="s">
        <v>464</v>
      </c>
      <c r="C28" s="324">
        <f>C23</f>
        <v>0</v>
      </c>
      <c r="D28" s="26"/>
    </row>
    <row r="29" spans="1:4" x14ac:dyDescent="0.25">
      <c r="A29" s="19"/>
      <c r="B29" s="325" t="s">
        <v>465</v>
      </c>
      <c r="C29" s="328">
        <f>'Income Statement'!E45</f>
        <v>0</v>
      </c>
      <c r="D29" s="26"/>
    </row>
    <row r="30" spans="1:4" x14ac:dyDescent="0.25">
      <c r="A30" s="19"/>
      <c r="B30" s="325" t="s">
        <v>466</v>
      </c>
      <c r="C30" s="324">
        <f>C28+C29</f>
        <v>0</v>
      </c>
      <c r="D30" s="26"/>
    </row>
    <row r="31" spans="1:4" x14ac:dyDescent="0.25">
      <c r="A31" s="19"/>
      <c r="B31" s="327" t="s">
        <v>467</v>
      </c>
      <c r="C31" s="324">
        <f>((Balance!B47+Balance!C47)/2)</f>
        <v>0</v>
      </c>
      <c r="D31" s="26"/>
    </row>
    <row r="32" spans="1:4" x14ac:dyDescent="0.25">
      <c r="A32" s="19"/>
      <c r="B32" s="325" t="s">
        <v>468</v>
      </c>
      <c r="C32" s="371">
        <f>IF(AND(SUM(C31)),(C30/C31),0)</f>
        <v>0</v>
      </c>
      <c r="D32" s="26"/>
    </row>
    <row r="33" spans="1:4" x14ac:dyDescent="0.25">
      <c r="A33" s="44"/>
      <c r="B33" s="45"/>
      <c r="C33" s="45"/>
      <c r="D33" s="46"/>
    </row>
    <row r="34" spans="1:4" x14ac:dyDescent="0.25">
      <c r="A34" s="363" t="s">
        <v>469</v>
      </c>
    </row>
    <row r="35" spans="1:4" x14ac:dyDescent="0.25">
      <c r="A35" s="4" t="s">
        <v>470</v>
      </c>
    </row>
    <row r="36" spans="1:4" x14ac:dyDescent="0.25">
      <c r="A36" t="s">
        <v>471</v>
      </c>
    </row>
  </sheetData>
  <phoneticPr fontId="0" type="noConversion"/>
  <printOptions headings="1"/>
  <pageMargins left="0.5" right="0.25" top="0.5" bottom="0.5" header="0.5" footer="0.5"/>
  <pageSetup orientation="portrait" horizontalDpi="300" verticalDpi="300" r:id="rId1"/>
  <headerFooter alignWithMargins="0">
    <oddHeader>&amp;R&amp;8 20
&amp;D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opLeftCell="A15" workbookViewId="0">
      <selection activeCell="E34" sqref="E34"/>
    </sheetView>
  </sheetViews>
  <sheetFormatPr defaultRowHeight="12.5" x14ac:dyDescent="0.25"/>
  <cols>
    <col min="1" max="1" width="1.7265625" customWidth="1"/>
    <col min="2" max="2" width="44" customWidth="1"/>
    <col min="3" max="5" width="13.7265625" style="342" customWidth="1"/>
    <col min="6" max="6" width="2.1796875" customWidth="1"/>
  </cols>
  <sheetData>
    <row r="1" spans="1:6" s="504" customFormat="1" ht="13" x14ac:dyDescent="0.3">
      <c r="A1" s="503" t="str">
        <f>'Dairy Description'!A1</f>
        <v>Key Code:</v>
      </c>
      <c r="C1" s="509"/>
      <c r="D1" s="510"/>
      <c r="E1" s="510"/>
      <c r="F1" s="505"/>
    </row>
    <row r="2" spans="1:6" ht="13" x14ac:dyDescent="0.3">
      <c r="A2" s="528" t="s">
        <v>472</v>
      </c>
      <c r="B2" s="528"/>
      <c r="C2" s="528"/>
      <c r="D2" s="528"/>
      <c r="E2" s="528"/>
      <c r="F2" s="528"/>
    </row>
    <row r="3" spans="1:6" ht="13" x14ac:dyDescent="0.3">
      <c r="A3" s="2" t="s">
        <v>42</v>
      </c>
      <c r="B3" s="1"/>
      <c r="C3" s="1"/>
      <c r="D3" s="344"/>
      <c r="E3" s="344"/>
      <c r="F3" s="1"/>
    </row>
    <row r="4" spans="1:6" ht="13" x14ac:dyDescent="0.3">
      <c r="A4" s="529" t="s">
        <v>760</v>
      </c>
      <c r="B4" s="529"/>
      <c r="C4" s="529"/>
      <c r="D4" s="529"/>
      <c r="E4" s="529"/>
      <c r="F4" s="529"/>
    </row>
    <row r="5" spans="1:6" ht="13" x14ac:dyDescent="0.3">
      <c r="A5" s="102" t="s">
        <v>473</v>
      </c>
    </row>
    <row r="6" spans="1:6" x14ac:dyDescent="0.25">
      <c r="A6" s="19"/>
      <c r="B6" s="52"/>
      <c r="C6" s="345"/>
      <c r="D6" s="345"/>
      <c r="E6" s="345"/>
      <c r="F6" s="55"/>
    </row>
    <row r="7" spans="1:6" x14ac:dyDescent="0.25">
      <c r="A7" s="19"/>
      <c r="B7" s="300" t="s">
        <v>474</v>
      </c>
      <c r="C7" s="308"/>
      <c r="D7" s="308"/>
      <c r="E7" s="308">
        <f>Balance!E44+Balance!E43</f>
        <v>0</v>
      </c>
      <c r="F7" s="26"/>
    </row>
    <row r="8" spans="1:6" x14ac:dyDescent="0.25">
      <c r="A8" s="19"/>
      <c r="B8" s="300"/>
      <c r="C8" s="308"/>
      <c r="D8" s="308"/>
      <c r="E8" s="308"/>
      <c r="F8" s="26"/>
    </row>
    <row r="9" spans="1:6" x14ac:dyDescent="0.25">
      <c r="A9" s="19"/>
      <c r="B9" s="300" t="s">
        <v>455</v>
      </c>
      <c r="C9" s="308"/>
      <c r="D9" s="308">
        <f>'Income Statement'!E48</f>
        <v>0</v>
      </c>
      <c r="E9" s="308"/>
      <c r="F9" s="26"/>
    </row>
    <row r="10" spans="1:6" x14ac:dyDescent="0.25">
      <c r="A10" s="19"/>
      <c r="B10" s="300"/>
      <c r="C10" s="308"/>
      <c r="D10" s="308"/>
      <c r="E10" s="308"/>
      <c r="F10" s="26"/>
    </row>
    <row r="11" spans="1:6" x14ac:dyDescent="0.25">
      <c r="A11" s="19"/>
      <c r="B11" s="300" t="s">
        <v>664</v>
      </c>
      <c r="C11" s="82" t="s">
        <v>63</v>
      </c>
      <c r="D11" s="362">
        <f>Assets!C22</f>
        <v>0</v>
      </c>
      <c r="E11" s="308"/>
      <c r="F11" s="26"/>
    </row>
    <row r="12" spans="1:6" x14ac:dyDescent="0.25">
      <c r="A12" s="19"/>
      <c r="B12" s="300" t="s">
        <v>475</v>
      </c>
      <c r="C12" s="82" t="s">
        <v>63</v>
      </c>
      <c r="D12" s="362">
        <f>Assets!C20</f>
        <v>0</v>
      </c>
      <c r="E12" s="308"/>
      <c r="F12" s="26"/>
    </row>
    <row r="13" spans="1:6" x14ac:dyDescent="0.25">
      <c r="A13" s="19"/>
      <c r="B13" s="300" t="s">
        <v>662</v>
      </c>
      <c r="C13" s="411" t="s">
        <v>62</v>
      </c>
      <c r="D13" s="308">
        <f>Income!E25+Income!E26</f>
        <v>0</v>
      </c>
      <c r="E13" s="308"/>
      <c r="F13" s="26"/>
    </row>
    <row r="14" spans="1:6" x14ac:dyDescent="0.25">
      <c r="A14" s="19"/>
      <c r="B14" s="300" t="s">
        <v>663</v>
      </c>
      <c r="C14" s="82" t="s">
        <v>63</v>
      </c>
      <c r="D14" s="308">
        <f>Expenses!E52</f>
        <v>0</v>
      </c>
      <c r="E14" s="308"/>
      <c r="F14" s="26"/>
    </row>
    <row r="15" spans="1:6" x14ac:dyDescent="0.25">
      <c r="A15" s="19"/>
      <c r="B15" s="300" t="s">
        <v>476</v>
      </c>
      <c r="C15" s="411" t="s">
        <v>62</v>
      </c>
      <c r="D15" s="364">
        <f>Income!E27+Assets!C37</f>
        <v>0</v>
      </c>
      <c r="E15" s="308"/>
      <c r="F15" s="26"/>
    </row>
    <row r="16" spans="1:6" x14ac:dyDescent="0.25">
      <c r="A16" s="19"/>
      <c r="B16" s="300" t="s">
        <v>477</v>
      </c>
      <c r="C16" s="82" t="s">
        <v>63</v>
      </c>
      <c r="D16" s="362">
        <f>Assets!C23</f>
        <v>0</v>
      </c>
      <c r="E16" s="308"/>
      <c r="F16" s="26"/>
    </row>
    <row r="17" spans="1:6" x14ac:dyDescent="0.25">
      <c r="A17" s="19"/>
      <c r="B17" s="300"/>
      <c r="C17" s="308"/>
      <c r="D17" s="309"/>
      <c r="E17" s="308"/>
      <c r="F17" s="26"/>
    </row>
    <row r="18" spans="1:6" x14ac:dyDescent="0.25">
      <c r="A18" s="19"/>
      <c r="B18" s="300" t="s">
        <v>478</v>
      </c>
      <c r="C18" s="308"/>
      <c r="D18" s="308"/>
      <c r="E18" s="308">
        <f>D9-D11-D12+D13-D14+D15-D16</f>
        <v>0</v>
      </c>
      <c r="F18" s="26"/>
    </row>
    <row r="19" spans="1:6" x14ac:dyDescent="0.25">
      <c r="A19" s="19"/>
      <c r="B19" s="300"/>
      <c r="C19" s="308"/>
      <c r="D19" s="308"/>
      <c r="E19" s="308"/>
      <c r="F19" s="26"/>
    </row>
    <row r="20" spans="1:6" x14ac:dyDescent="0.25">
      <c r="A20" s="19"/>
      <c r="B20" s="300" t="s">
        <v>665</v>
      </c>
      <c r="C20" s="308"/>
      <c r="D20" s="412" t="s">
        <v>62</v>
      </c>
      <c r="E20" s="308">
        <f>'Machinery and Equipment'!F42+Buildings!J40+'Real Estate'!J43</f>
        <v>0</v>
      </c>
      <c r="F20" s="26"/>
    </row>
    <row r="21" spans="1:6" x14ac:dyDescent="0.25">
      <c r="A21" s="19"/>
      <c r="B21" s="300" t="s">
        <v>666</v>
      </c>
      <c r="C21" s="308"/>
      <c r="D21" s="77"/>
      <c r="E21" s="308"/>
      <c r="F21" s="26"/>
    </row>
    <row r="22" spans="1:6" x14ac:dyDescent="0.25">
      <c r="A22" s="19"/>
      <c r="B22" s="300"/>
      <c r="C22" s="308"/>
      <c r="D22" s="77"/>
      <c r="E22" s="308"/>
      <c r="F22" s="26"/>
    </row>
    <row r="23" spans="1:6" x14ac:dyDescent="0.25">
      <c r="A23" s="19"/>
      <c r="B23" s="300" t="s">
        <v>665</v>
      </c>
      <c r="C23" s="308"/>
      <c r="D23" s="413" t="s">
        <v>62</v>
      </c>
      <c r="E23" s="308">
        <f>Assets!D31</f>
        <v>0</v>
      </c>
      <c r="F23" s="26"/>
    </row>
    <row r="24" spans="1:6" x14ac:dyDescent="0.25">
      <c r="A24" s="19"/>
      <c r="B24" s="300" t="s">
        <v>479</v>
      </c>
      <c r="C24" s="308"/>
      <c r="D24" s="77"/>
      <c r="E24" s="308"/>
      <c r="F24" s="26"/>
    </row>
    <row r="25" spans="1:6" x14ac:dyDescent="0.25">
      <c r="A25" s="19"/>
      <c r="B25" s="300"/>
      <c r="C25" s="308"/>
      <c r="D25" s="77"/>
      <c r="E25" s="308"/>
      <c r="F25" s="26"/>
    </row>
    <row r="26" spans="1:6" x14ac:dyDescent="0.25">
      <c r="A26" s="19"/>
      <c r="B26" s="300" t="s">
        <v>665</v>
      </c>
      <c r="C26" s="308"/>
      <c r="D26" s="413" t="s">
        <v>62</v>
      </c>
      <c r="E26" s="308">
        <f>Assets!D39</f>
        <v>0</v>
      </c>
      <c r="F26" s="26"/>
    </row>
    <row r="27" spans="1:6" x14ac:dyDescent="0.25">
      <c r="A27" s="19"/>
      <c r="B27" s="300" t="s">
        <v>740</v>
      </c>
      <c r="C27" s="308"/>
      <c r="D27" s="77"/>
      <c r="E27" s="309"/>
      <c r="F27" s="26"/>
    </row>
    <row r="28" spans="1:6" x14ac:dyDescent="0.25">
      <c r="A28" s="19"/>
      <c r="B28" s="300"/>
      <c r="C28" s="308"/>
      <c r="D28" s="77"/>
      <c r="E28" s="308"/>
      <c r="F28" s="26"/>
    </row>
    <row r="29" spans="1:6" x14ac:dyDescent="0.25">
      <c r="A29" s="19"/>
      <c r="B29" s="300" t="s">
        <v>480</v>
      </c>
      <c r="C29" s="308"/>
      <c r="D29" s="308"/>
      <c r="E29" s="309">
        <f>E20+E18+E23+E26</f>
        <v>0</v>
      </c>
      <c r="F29" s="26"/>
    </row>
    <row r="30" spans="1:6" x14ac:dyDescent="0.25">
      <c r="A30" s="19"/>
      <c r="B30" s="300"/>
      <c r="C30" s="308"/>
      <c r="D30" s="308"/>
      <c r="E30" s="308"/>
      <c r="F30" s="26"/>
    </row>
    <row r="31" spans="1:6" x14ac:dyDescent="0.25">
      <c r="A31" s="19"/>
      <c r="B31" s="300" t="s">
        <v>481</v>
      </c>
      <c r="C31" s="308"/>
      <c r="D31" s="308"/>
      <c r="E31" s="308">
        <f>E7+E29</f>
        <v>0</v>
      </c>
      <c r="F31" s="26"/>
    </row>
    <row r="32" spans="1:6" x14ac:dyDescent="0.25">
      <c r="A32" s="19"/>
      <c r="B32" s="300"/>
      <c r="C32" s="308"/>
      <c r="D32" s="308"/>
      <c r="E32" s="308"/>
      <c r="F32" s="26"/>
    </row>
    <row r="33" spans="1:6" x14ac:dyDescent="0.25">
      <c r="A33" s="19"/>
      <c r="B33" s="300" t="s">
        <v>482</v>
      </c>
      <c r="C33" s="308"/>
      <c r="D33" s="412" t="s">
        <v>63</v>
      </c>
      <c r="E33" s="309">
        <f>Balance!F44+Balance!F43</f>
        <v>0</v>
      </c>
      <c r="F33" s="26"/>
    </row>
    <row r="34" spans="1:6" x14ac:dyDescent="0.25">
      <c r="A34" s="19"/>
      <c r="B34" s="300"/>
      <c r="C34" s="308"/>
      <c r="D34" s="308"/>
      <c r="E34"/>
      <c r="F34" s="26"/>
    </row>
    <row r="35" spans="1:6" x14ac:dyDescent="0.25">
      <c r="A35" s="19"/>
      <c r="B35" s="300" t="s">
        <v>483</v>
      </c>
      <c r="C35" s="308"/>
      <c r="D35" s="308"/>
      <c r="E35" s="308">
        <f>E31-E33</f>
        <v>0</v>
      </c>
      <c r="F35" s="26"/>
    </row>
    <row r="36" spans="1:6" x14ac:dyDescent="0.25">
      <c r="A36" s="44"/>
      <c r="B36" s="45"/>
      <c r="C36" s="343"/>
      <c r="D36" s="343"/>
      <c r="E36" s="343"/>
      <c r="F36" s="46"/>
    </row>
  </sheetData>
  <mergeCells count="2">
    <mergeCell ref="A4:F4"/>
    <mergeCell ref="A2:F2"/>
  </mergeCells>
  <phoneticPr fontId="0" type="noConversion"/>
  <printOptions headings="1"/>
  <pageMargins left="0.5" right="0.5" top="0.5" bottom="0.5" header="0.5" footer="0.5"/>
  <pageSetup orientation="portrait" horizontalDpi="300" verticalDpi="300" r:id="rId1"/>
  <headerFooter alignWithMargins="0">
    <oddHeader>&amp;R&amp;8 21
&amp;D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topLeftCell="A36" workbookViewId="0">
      <selection activeCell="D53" sqref="D53"/>
    </sheetView>
  </sheetViews>
  <sheetFormatPr defaultRowHeight="12.5" x14ac:dyDescent="0.25"/>
  <cols>
    <col min="1" max="1" width="16.81640625" customWidth="1"/>
    <col min="2" max="2" width="44.453125" customWidth="1"/>
    <col min="3" max="3" width="12.54296875" style="342" customWidth="1"/>
    <col min="4" max="4" width="11.7265625" style="342" customWidth="1"/>
    <col min="5" max="5" width="3.1796875" customWidth="1"/>
  </cols>
  <sheetData>
    <row r="1" spans="1:5" s="504" customFormat="1" ht="13" x14ac:dyDescent="0.3">
      <c r="A1" s="503" t="str">
        <f>'Dairy Description'!A1</f>
        <v>Key Code:</v>
      </c>
      <c r="B1" s="506" t="s">
        <v>484</v>
      </c>
      <c r="C1" s="509"/>
      <c r="D1" s="509"/>
    </row>
    <row r="2" spans="1:5" ht="13" x14ac:dyDescent="0.3">
      <c r="A2" s="2" t="s">
        <v>42</v>
      </c>
      <c r="B2" s="1"/>
      <c r="C2" s="344"/>
      <c r="D2" s="344"/>
      <c r="E2" s="1"/>
    </row>
    <row r="3" spans="1:5" ht="13" x14ac:dyDescent="0.3">
      <c r="A3" s="244" t="s">
        <v>760</v>
      </c>
      <c r="B3" s="1"/>
      <c r="C3" s="344"/>
      <c r="D3" s="344"/>
      <c r="E3" s="1"/>
    </row>
    <row r="5" spans="1:5" ht="13" x14ac:dyDescent="0.3">
      <c r="A5" s="6" t="s">
        <v>485</v>
      </c>
    </row>
    <row r="6" spans="1:5" ht="8.15" customHeight="1" x14ac:dyDescent="0.25">
      <c r="A6" s="81"/>
      <c r="B6" s="52"/>
      <c r="C6" s="345"/>
      <c r="D6" s="345"/>
      <c r="E6" s="55"/>
    </row>
    <row r="7" spans="1:5" ht="12.65" customHeight="1" x14ac:dyDescent="0.25">
      <c r="A7" s="315" t="s">
        <v>486</v>
      </c>
      <c r="B7" s="300"/>
      <c r="C7" s="346"/>
      <c r="D7" s="346"/>
      <c r="E7" s="26"/>
    </row>
    <row r="8" spans="1:5" ht="8.15" customHeight="1" x14ac:dyDescent="0.25">
      <c r="A8" s="19"/>
      <c r="B8" s="300"/>
      <c r="C8" s="346"/>
      <c r="D8" s="346"/>
      <c r="E8" s="26"/>
    </row>
    <row r="9" spans="1:5" ht="12.65" customHeight="1" x14ac:dyDescent="0.25">
      <c r="A9" s="19" t="s">
        <v>487</v>
      </c>
      <c r="B9" s="300"/>
      <c r="C9" s="308">
        <f>Income!B22</f>
        <v>0</v>
      </c>
      <c r="D9" s="307"/>
      <c r="E9" s="26"/>
    </row>
    <row r="10" spans="1:5" ht="12.65" customHeight="1" x14ac:dyDescent="0.25">
      <c r="A10" s="19" t="s">
        <v>488</v>
      </c>
      <c r="B10" s="300"/>
      <c r="C10" s="308">
        <f>Expenses!B50-Expenses!B47</f>
        <v>0</v>
      </c>
      <c r="D10" s="307"/>
      <c r="E10" s="26"/>
    </row>
    <row r="11" spans="1:5" ht="12.65" customHeight="1" x14ac:dyDescent="0.25">
      <c r="A11" s="19" t="s">
        <v>489</v>
      </c>
      <c r="B11" s="300"/>
      <c r="C11" s="309">
        <f>Expenses!B47</f>
        <v>0</v>
      </c>
      <c r="D11" s="307"/>
      <c r="E11" s="26"/>
    </row>
    <row r="12" spans="1:5" ht="12.65" customHeight="1" x14ac:dyDescent="0.25">
      <c r="A12" s="19"/>
      <c r="B12" s="300" t="s">
        <v>490</v>
      </c>
      <c r="C12" s="308"/>
      <c r="D12" s="308">
        <f>C9-C10-C11</f>
        <v>0</v>
      </c>
      <c r="E12" s="26"/>
    </row>
    <row r="13" spans="1:5" ht="12.65" customHeight="1" x14ac:dyDescent="0.25">
      <c r="A13" s="19" t="s">
        <v>491</v>
      </c>
      <c r="B13" s="300"/>
      <c r="C13" s="308"/>
      <c r="D13" s="362">
        <f>Assets!C22</f>
        <v>0</v>
      </c>
      <c r="E13" s="26"/>
    </row>
    <row r="14" spans="1:5" ht="12.65" customHeight="1" x14ac:dyDescent="0.25">
      <c r="A14" s="19" t="s">
        <v>670</v>
      </c>
      <c r="B14" s="300"/>
      <c r="C14" s="308"/>
      <c r="D14" s="309">
        <f>Income!E25+Income!E26-Expenses!B52</f>
        <v>0</v>
      </c>
      <c r="E14" s="26"/>
    </row>
    <row r="15" spans="1:5" ht="8.15" customHeight="1" x14ac:dyDescent="0.25">
      <c r="A15" s="19"/>
      <c r="B15" s="300"/>
      <c r="C15" s="308"/>
      <c r="D15" s="308"/>
      <c r="E15" s="26"/>
    </row>
    <row r="16" spans="1:5" ht="12.65" customHeight="1" x14ac:dyDescent="0.25">
      <c r="A16" s="19"/>
      <c r="B16" s="302" t="s">
        <v>492</v>
      </c>
      <c r="C16" s="308"/>
      <c r="D16" s="308">
        <f>D12+D13+D14</f>
        <v>0</v>
      </c>
      <c r="E16" s="26"/>
    </row>
    <row r="17" spans="1:5" ht="8.15" customHeight="1" x14ac:dyDescent="0.25">
      <c r="A17" s="19"/>
      <c r="B17" s="300"/>
      <c r="C17" s="308"/>
      <c r="D17" s="308"/>
      <c r="E17" s="26"/>
    </row>
    <row r="18" spans="1:5" s="347" customFormat="1" ht="12.65" customHeight="1" x14ac:dyDescent="0.25">
      <c r="A18" s="315" t="s">
        <v>493</v>
      </c>
      <c r="B18" s="316"/>
      <c r="C18" s="308"/>
      <c r="D18" s="348"/>
      <c r="E18" s="350"/>
    </row>
    <row r="19" spans="1:5" ht="8.15" customHeight="1" x14ac:dyDescent="0.25">
      <c r="A19" s="19"/>
      <c r="B19" s="300"/>
      <c r="C19" s="308"/>
      <c r="D19" s="308"/>
      <c r="E19" s="26"/>
    </row>
    <row r="20" spans="1:5" ht="12.65" customHeight="1" x14ac:dyDescent="0.25">
      <c r="A20" s="19" t="s">
        <v>494</v>
      </c>
      <c r="B20" s="300" t="s">
        <v>495</v>
      </c>
      <c r="C20" s="308">
        <f>Livestock!F36</f>
        <v>0</v>
      </c>
      <c r="D20" s="307"/>
      <c r="E20" s="26"/>
    </row>
    <row r="21" spans="1:5" ht="12.65" customHeight="1" x14ac:dyDescent="0.25">
      <c r="A21" s="19"/>
      <c r="B21" s="300" t="s">
        <v>496</v>
      </c>
      <c r="C21" s="308">
        <f>'Machinery and Equipment'!D39</f>
        <v>0</v>
      </c>
      <c r="D21" s="307"/>
      <c r="E21" s="26"/>
    </row>
    <row r="22" spans="1:5" ht="12.65" customHeight="1" x14ac:dyDescent="0.25">
      <c r="A22" s="19"/>
      <c r="B22" s="300" t="s">
        <v>628</v>
      </c>
      <c r="C22" s="308">
        <f>Buildings!F37</f>
        <v>0</v>
      </c>
      <c r="D22" s="307"/>
      <c r="E22" s="26"/>
    </row>
    <row r="23" spans="1:5" ht="12.65" customHeight="1" x14ac:dyDescent="0.25">
      <c r="A23" s="19"/>
      <c r="B23" s="300" t="s">
        <v>197</v>
      </c>
      <c r="C23" s="309">
        <f>'Real Estate'!F40</f>
        <v>0</v>
      </c>
      <c r="D23" s="307"/>
      <c r="E23" s="26"/>
    </row>
    <row r="24" spans="1:5" ht="12.65" customHeight="1" x14ac:dyDescent="0.25">
      <c r="A24" s="19"/>
      <c r="B24" s="300" t="s">
        <v>497</v>
      </c>
      <c r="C24" s="308"/>
      <c r="D24" s="308">
        <f>SUM(C20:C23)</f>
        <v>0</v>
      </c>
      <c r="E24" s="26"/>
    </row>
    <row r="25" spans="1:5" ht="8.15" customHeight="1" x14ac:dyDescent="0.25">
      <c r="A25" s="19"/>
      <c r="B25" s="300"/>
      <c r="C25" s="308"/>
      <c r="D25" s="307"/>
      <c r="E25" s="26"/>
    </row>
    <row r="26" spans="1:5" ht="12.65" customHeight="1" x14ac:dyDescent="0.25">
      <c r="A26" s="19" t="s">
        <v>498</v>
      </c>
      <c r="B26" s="300" t="s">
        <v>495</v>
      </c>
      <c r="C26" s="308">
        <f>Livestock!F35</f>
        <v>0</v>
      </c>
      <c r="D26" s="308"/>
      <c r="E26" s="26"/>
    </row>
    <row r="27" spans="1:5" ht="12.65" customHeight="1" x14ac:dyDescent="0.25">
      <c r="A27" s="19"/>
      <c r="B27" s="300" t="s">
        <v>496</v>
      </c>
      <c r="C27" s="308">
        <f>'Machinery and Equipment'!D36</f>
        <v>0</v>
      </c>
      <c r="D27" s="307"/>
      <c r="E27" s="26"/>
    </row>
    <row r="28" spans="1:5" ht="12.65" customHeight="1" x14ac:dyDescent="0.25">
      <c r="A28" s="19"/>
      <c r="B28" s="300" t="s">
        <v>628</v>
      </c>
      <c r="C28" s="308">
        <f>Buildings!D26</f>
        <v>0</v>
      </c>
      <c r="D28" s="307"/>
      <c r="E28" s="26"/>
    </row>
    <row r="29" spans="1:5" ht="12.65" customHeight="1" x14ac:dyDescent="0.25">
      <c r="A29" s="19"/>
      <c r="B29" s="300" t="s">
        <v>197</v>
      </c>
      <c r="C29" s="309">
        <f>'Real Estate'!D31</f>
        <v>0</v>
      </c>
      <c r="D29" s="307"/>
      <c r="E29" s="26"/>
    </row>
    <row r="30" spans="1:5" ht="12.65" customHeight="1" x14ac:dyDescent="0.25">
      <c r="A30" s="19"/>
      <c r="B30" s="302" t="s">
        <v>671</v>
      </c>
      <c r="C30" s="308"/>
      <c r="D30" s="414">
        <f>SUM(C26:C29)</f>
        <v>0</v>
      </c>
      <c r="E30" s="26"/>
    </row>
    <row r="31" spans="1:5" ht="8.15" customHeight="1" x14ac:dyDescent="0.25">
      <c r="A31" s="19"/>
      <c r="B31" s="302"/>
      <c r="C31" s="308"/>
      <c r="D31" s="307"/>
      <c r="E31" s="26"/>
    </row>
    <row r="32" spans="1:5" ht="12.65" customHeight="1" x14ac:dyDescent="0.25">
      <c r="A32" s="19"/>
      <c r="B32" s="300" t="s">
        <v>499</v>
      </c>
      <c r="C32" s="308"/>
      <c r="D32" s="308">
        <f>D24-D30</f>
        <v>0</v>
      </c>
      <c r="E32" s="26"/>
    </row>
    <row r="33" spans="1:5" ht="8.15" customHeight="1" x14ac:dyDescent="0.25">
      <c r="A33" s="19"/>
      <c r="B33" s="300"/>
      <c r="C33" s="308"/>
      <c r="D33" s="308"/>
      <c r="E33" s="26"/>
    </row>
    <row r="34" spans="1:5" ht="12.65" customHeight="1" x14ac:dyDescent="0.25">
      <c r="A34" s="315" t="s">
        <v>500</v>
      </c>
      <c r="B34" s="300"/>
      <c r="C34" s="308"/>
      <c r="D34" s="308"/>
      <c r="E34" s="26"/>
    </row>
    <row r="35" spans="1:5" ht="8.15" customHeight="1" x14ac:dyDescent="0.25">
      <c r="A35" s="19"/>
      <c r="B35" s="300"/>
      <c r="C35" s="308"/>
      <c r="D35" s="308"/>
      <c r="E35" s="26"/>
    </row>
    <row r="36" spans="1:5" ht="12.65" customHeight="1" x14ac:dyDescent="0.25">
      <c r="A36" s="19" t="s">
        <v>501</v>
      </c>
      <c r="B36" s="300"/>
      <c r="C36" s="308">
        <f>Liabilities!F40</f>
        <v>0</v>
      </c>
      <c r="D36" s="308"/>
      <c r="E36" s="26"/>
    </row>
    <row r="37" spans="1:5" ht="12.65" customHeight="1" x14ac:dyDescent="0.25">
      <c r="A37" s="19" t="s">
        <v>502</v>
      </c>
      <c r="B37" s="300"/>
      <c r="C37" s="308">
        <f>Liabilities!F31</f>
        <v>0</v>
      </c>
      <c r="D37" s="308"/>
      <c r="E37" s="26"/>
    </row>
    <row r="38" spans="1:5" ht="12.65" customHeight="1" x14ac:dyDescent="0.25">
      <c r="A38" s="19" t="s">
        <v>503</v>
      </c>
      <c r="B38" s="300"/>
      <c r="C38" s="308">
        <f>Liabilities!F21</f>
        <v>0</v>
      </c>
      <c r="D38" s="308"/>
      <c r="E38" s="26"/>
    </row>
    <row r="39" spans="1:5" ht="12.65" customHeight="1" x14ac:dyDescent="0.25">
      <c r="A39" s="19" t="s">
        <v>668</v>
      </c>
      <c r="B39" s="300"/>
      <c r="C39" s="309">
        <f>Liabilities!F44</f>
        <v>0</v>
      </c>
      <c r="D39" s="308"/>
      <c r="E39" s="26"/>
    </row>
    <row r="40" spans="1:5" ht="12.65" customHeight="1" x14ac:dyDescent="0.25">
      <c r="A40" s="19"/>
      <c r="B40" s="300" t="s">
        <v>504</v>
      </c>
      <c r="C40" s="308"/>
      <c r="D40" s="308">
        <f>SUM(C36:C39)</f>
        <v>0</v>
      </c>
      <c r="E40" s="26"/>
    </row>
    <row r="41" spans="1:5" ht="12.65" customHeight="1" x14ac:dyDescent="0.25">
      <c r="A41" s="19" t="s">
        <v>505</v>
      </c>
      <c r="B41" s="300"/>
      <c r="C41" s="308">
        <f>Liabilities!E40</f>
        <v>0</v>
      </c>
      <c r="D41" s="308"/>
      <c r="E41" s="26"/>
    </row>
    <row r="42" spans="1:5" ht="12.65" customHeight="1" x14ac:dyDescent="0.25">
      <c r="A42" s="19" t="s">
        <v>506</v>
      </c>
      <c r="B42" s="300"/>
      <c r="C42" s="308">
        <f>Liabilities!E31</f>
        <v>0</v>
      </c>
      <c r="D42" s="308"/>
      <c r="E42" s="26"/>
    </row>
    <row r="43" spans="1:5" ht="12.65" customHeight="1" x14ac:dyDescent="0.25">
      <c r="A43" s="19" t="s">
        <v>507</v>
      </c>
      <c r="B43" s="300"/>
      <c r="C43" s="308">
        <f>Liabilities!E21</f>
        <v>0</v>
      </c>
      <c r="D43" s="308"/>
      <c r="E43" s="26"/>
    </row>
    <row r="44" spans="1:5" ht="12.65" customHeight="1" x14ac:dyDescent="0.25">
      <c r="A44" s="19" t="s">
        <v>669</v>
      </c>
      <c r="B44" s="300"/>
      <c r="C44" s="309">
        <f>Liabilities!E44</f>
        <v>0</v>
      </c>
      <c r="D44" s="308"/>
      <c r="E44" s="26"/>
    </row>
    <row r="45" spans="1:5" ht="12.65" customHeight="1" x14ac:dyDescent="0.25">
      <c r="A45" s="19"/>
      <c r="B45" s="300" t="s">
        <v>508</v>
      </c>
      <c r="C45" s="308"/>
      <c r="D45" s="308">
        <f>SUM(C41:C44)</f>
        <v>0</v>
      </c>
      <c r="E45" s="26"/>
    </row>
    <row r="46" spans="1:5" ht="12.65" customHeight="1" x14ac:dyDescent="0.25">
      <c r="A46" s="19" t="s">
        <v>509</v>
      </c>
      <c r="B46" s="300"/>
      <c r="C46" s="308"/>
      <c r="D46" s="349">
        <f>Leases!E46</f>
        <v>0</v>
      </c>
      <c r="E46" s="26"/>
    </row>
    <row r="47" spans="1:5" ht="12.65" customHeight="1" x14ac:dyDescent="0.25">
      <c r="A47" s="19" t="s">
        <v>510</v>
      </c>
      <c r="B47" s="300"/>
      <c r="C47" s="308"/>
      <c r="D47" s="308">
        <f>Assets!C20</f>
        <v>0</v>
      </c>
      <c r="E47" s="26"/>
    </row>
    <row r="48" spans="1:5" ht="12.65" customHeight="1" x14ac:dyDescent="0.25">
      <c r="A48" s="19" t="s">
        <v>511</v>
      </c>
      <c r="B48" s="300"/>
      <c r="C48" s="308"/>
      <c r="D48" s="308">
        <f>Assets!C23</f>
        <v>0</v>
      </c>
      <c r="E48" s="26"/>
    </row>
    <row r="49" spans="1:5" ht="12.65" customHeight="1" x14ac:dyDescent="0.25">
      <c r="A49" s="19" t="s">
        <v>739</v>
      </c>
      <c r="B49" s="300"/>
      <c r="C49" s="308"/>
      <c r="D49" s="308">
        <f>Assets!C28</f>
        <v>0</v>
      </c>
      <c r="E49" s="26"/>
    </row>
    <row r="50" spans="1:5" ht="12.65" customHeight="1" x14ac:dyDescent="0.25">
      <c r="A50" s="19" t="s">
        <v>512</v>
      </c>
      <c r="B50" s="300"/>
      <c r="C50" s="308"/>
      <c r="D50" s="309">
        <f>Assets!C27</f>
        <v>0</v>
      </c>
      <c r="E50" s="26"/>
    </row>
    <row r="51" spans="1:5" ht="8.15" customHeight="1" x14ac:dyDescent="0.25">
      <c r="A51" s="19"/>
      <c r="B51" s="300"/>
      <c r="C51" s="308"/>
      <c r="D51" s="308"/>
      <c r="E51" s="26"/>
    </row>
    <row r="52" spans="1:5" ht="12.65" customHeight="1" x14ac:dyDescent="0.25">
      <c r="A52" s="19"/>
      <c r="B52" s="302" t="s">
        <v>513</v>
      </c>
      <c r="C52" s="308"/>
      <c r="D52" s="307">
        <f>D40-D45-D46-D47-D48-D49+D50</f>
        <v>0</v>
      </c>
      <c r="E52" s="26"/>
    </row>
    <row r="53" spans="1:5" ht="8.15" customHeight="1" x14ac:dyDescent="0.25">
      <c r="A53" s="19"/>
      <c r="B53" s="300"/>
      <c r="C53" s="308"/>
      <c r="D53" s="307"/>
      <c r="E53" s="26"/>
    </row>
    <row r="54" spans="1:5" ht="12.65" customHeight="1" x14ac:dyDescent="0.25">
      <c r="A54" s="19"/>
      <c r="B54" s="302" t="s">
        <v>514</v>
      </c>
      <c r="C54" s="308"/>
      <c r="D54" s="308">
        <f>D16+D32+D52</f>
        <v>0</v>
      </c>
      <c r="E54" s="26"/>
    </row>
    <row r="55" spans="1:5" ht="12.65" customHeight="1" x14ac:dyDescent="0.25">
      <c r="A55" s="66"/>
      <c r="B55" s="300" t="s">
        <v>515</v>
      </c>
      <c r="C55" s="308"/>
      <c r="D55" s="349">
        <f>Assets!C13</f>
        <v>0</v>
      </c>
      <c r="E55" s="26"/>
    </row>
    <row r="56" spans="1:5" ht="12.65" customHeight="1" x14ac:dyDescent="0.25">
      <c r="A56" s="19"/>
      <c r="B56" s="300" t="s">
        <v>516</v>
      </c>
      <c r="C56" s="308"/>
      <c r="D56" s="309">
        <f>Assets!E13</f>
        <v>0</v>
      </c>
      <c r="E56" s="26"/>
    </row>
    <row r="57" spans="1:5" ht="12.65" customHeight="1" x14ac:dyDescent="0.25">
      <c r="A57" s="19"/>
      <c r="B57" s="300" t="s">
        <v>483</v>
      </c>
      <c r="C57" s="308"/>
      <c r="D57" s="308">
        <f>D56-D55-D54</f>
        <v>0</v>
      </c>
      <c r="E57" s="26"/>
    </row>
    <row r="58" spans="1:5" ht="8.15" customHeight="1" x14ac:dyDescent="0.25">
      <c r="A58" s="44"/>
      <c r="B58" s="45"/>
      <c r="C58" s="343"/>
      <c r="D58" s="343"/>
      <c r="E58" s="46"/>
    </row>
  </sheetData>
  <phoneticPr fontId="0" type="noConversion"/>
  <printOptions headings="1"/>
  <pageMargins left="0.5" right="0.75" top="0.5" bottom="0.5" header="0.5" footer="0.5"/>
  <pageSetup orientation="portrait" horizontalDpi="300" verticalDpi="300" r:id="rId1"/>
  <headerFooter alignWithMargins="0">
    <oddHeader>&amp;R&amp;8 22
&amp;D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>
      <selection sqref="A1:IV1"/>
    </sheetView>
  </sheetViews>
  <sheetFormatPr defaultRowHeight="12.5" x14ac:dyDescent="0.25"/>
  <cols>
    <col min="1" max="1" width="33" customWidth="1"/>
    <col min="2" max="4" width="16.7265625" customWidth="1"/>
    <col min="5" max="5" width="15.7265625" customWidth="1"/>
    <col min="6" max="6" width="1.453125" customWidth="1"/>
  </cols>
  <sheetData>
    <row r="1" spans="1:6" s="504" customFormat="1" ht="13" x14ac:dyDescent="0.3">
      <c r="A1" s="503" t="str">
        <f>'Dairy Description'!A1</f>
        <v>Key Code:</v>
      </c>
      <c r="B1" s="506" t="s">
        <v>341</v>
      </c>
    </row>
    <row r="2" spans="1:6" ht="13" x14ac:dyDescent="0.3">
      <c r="A2" s="2" t="s">
        <v>42</v>
      </c>
      <c r="B2" s="1"/>
      <c r="C2" s="1"/>
      <c r="D2" s="1"/>
      <c r="E2" s="1"/>
      <c r="F2" s="1"/>
    </row>
    <row r="3" spans="1:6" ht="13" x14ac:dyDescent="0.3">
      <c r="A3" s="244" t="s">
        <v>760</v>
      </c>
      <c r="B3" s="1"/>
      <c r="C3" s="1"/>
      <c r="D3" s="1"/>
      <c r="E3" s="1"/>
      <c r="F3" s="1"/>
    </row>
    <row r="5" spans="1:6" ht="13" x14ac:dyDescent="0.3">
      <c r="A5" s="6" t="s">
        <v>517</v>
      </c>
    </row>
    <row r="6" spans="1:6" ht="13" x14ac:dyDescent="0.3">
      <c r="A6" s="305" t="s">
        <v>518</v>
      </c>
      <c r="B6" s="351" t="s">
        <v>319</v>
      </c>
      <c r="C6" s="94" t="s">
        <v>320</v>
      </c>
      <c r="D6" s="94" t="s">
        <v>209</v>
      </c>
      <c r="E6" s="352"/>
      <c r="F6" s="96"/>
    </row>
    <row r="7" spans="1:6" ht="8.25" customHeight="1" x14ac:dyDescent="0.25">
      <c r="A7" s="19"/>
      <c r="B7" s="300"/>
      <c r="C7" s="300"/>
      <c r="D7" s="300"/>
      <c r="E7" s="353"/>
      <c r="F7" s="26"/>
    </row>
    <row r="8" spans="1:6" x14ac:dyDescent="0.25">
      <c r="A8" s="19" t="s">
        <v>519</v>
      </c>
      <c r="B8" s="354">
        <f>Liabilities!B21</f>
        <v>0</v>
      </c>
      <c r="C8" s="354">
        <f>Liabilities!C21</f>
        <v>0</v>
      </c>
      <c r="D8" s="354">
        <f>C8-B8</f>
        <v>0</v>
      </c>
      <c r="E8" s="353"/>
      <c r="F8" s="26"/>
    </row>
    <row r="9" spans="1:6" x14ac:dyDescent="0.25">
      <c r="A9" s="19" t="s">
        <v>520</v>
      </c>
      <c r="B9" s="354">
        <f>Liabilities!B31</f>
        <v>0</v>
      </c>
      <c r="C9" s="354">
        <f>Liabilities!C31</f>
        <v>0</v>
      </c>
      <c r="D9" s="354">
        <f>C9-B9</f>
        <v>0</v>
      </c>
      <c r="E9" s="353"/>
      <c r="F9" s="26"/>
    </row>
    <row r="10" spans="1:6" x14ac:dyDescent="0.25">
      <c r="A10" s="19" t="s">
        <v>521</v>
      </c>
      <c r="B10" s="354">
        <f>Liabilities!B40</f>
        <v>0</v>
      </c>
      <c r="C10" s="354">
        <f>Liabilities!C40</f>
        <v>0</v>
      </c>
      <c r="D10" s="354">
        <f>C10-B10</f>
        <v>0</v>
      </c>
      <c r="E10" s="353"/>
      <c r="F10" s="26"/>
    </row>
    <row r="11" spans="1:6" x14ac:dyDescent="0.25">
      <c r="A11" s="19" t="s">
        <v>522</v>
      </c>
      <c r="B11" s="354">
        <f>Payables!B22</f>
        <v>0</v>
      </c>
      <c r="C11" s="354">
        <f>Payables!C22</f>
        <v>0</v>
      </c>
      <c r="D11" s="354">
        <f>C11-B11</f>
        <v>0</v>
      </c>
      <c r="E11" s="353"/>
      <c r="F11" s="26"/>
    </row>
    <row r="12" spans="1:6" ht="8.25" customHeight="1" x14ac:dyDescent="0.25">
      <c r="A12" s="19"/>
      <c r="B12" s="300"/>
      <c r="C12" s="300"/>
      <c r="D12" s="300"/>
      <c r="E12" s="353"/>
      <c r="F12" s="26"/>
    </row>
    <row r="13" spans="1:6" x14ac:dyDescent="0.25">
      <c r="A13" s="66" t="s">
        <v>33</v>
      </c>
      <c r="B13" s="354">
        <f>B8+B9+B10+B11</f>
        <v>0</v>
      </c>
      <c r="C13" s="354">
        <f>C8+C9+C10+C11</f>
        <v>0</v>
      </c>
      <c r="D13" s="354">
        <f>C13-B13</f>
        <v>0</v>
      </c>
      <c r="E13" s="353"/>
      <c r="F13" s="26"/>
    </row>
    <row r="14" spans="1:6" x14ac:dyDescent="0.25">
      <c r="A14" s="19"/>
      <c r="B14" s="300"/>
      <c r="C14" s="300"/>
      <c r="D14" s="300"/>
      <c r="E14" s="353"/>
      <c r="F14" s="26"/>
    </row>
    <row r="15" spans="1:6" x14ac:dyDescent="0.25">
      <c r="A15" s="19" t="s">
        <v>335</v>
      </c>
      <c r="B15" s="372">
        <f>IF(('Dairy Description'!B11+'Dairy Description'!B12)&gt;0,('Debt Analysis'!B13/('Dairy Description'!B11+'Dairy Description'!B12)),0)</f>
        <v>0</v>
      </c>
      <c r="C15" s="372">
        <f>IF(('Dairy Description'!B11+'Dairy Description'!B12)&gt;0,('Debt Analysis'!C13/('Dairy Description'!B11+'Dairy Description'!B12)),0)</f>
        <v>0</v>
      </c>
      <c r="D15" s="372">
        <f>B15-C15</f>
        <v>0</v>
      </c>
      <c r="E15" s="300"/>
      <c r="F15" s="26"/>
    </row>
    <row r="16" spans="1:6" ht="12.75" customHeight="1" x14ac:dyDescent="0.25">
      <c r="A16" s="19"/>
      <c r="B16" s="353"/>
      <c r="C16" s="353"/>
      <c r="D16" s="353"/>
      <c r="E16" s="300"/>
      <c r="F16" s="26"/>
    </row>
    <row r="17" spans="1:6" ht="12.75" customHeight="1" x14ac:dyDescent="0.3">
      <c r="A17" s="305" t="s">
        <v>523</v>
      </c>
      <c r="B17" s="427" t="s">
        <v>321</v>
      </c>
      <c r="C17" s="427" t="s">
        <v>524</v>
      </c>
      <c r="D17" s="352"/>
      <c r="E17" s="28"/>
      <c r="F17" s="96"/>
    </row>
    <row r="18" spans="1:6" ht="12.75" customHeight="1" x14ac:dyDescent="0.25">
      <c r="A18" s="19"/>
      <c r="B18" s="353"/>
      <c r="C18" s="353"/>
      <c r="D18" s="353"/>
      <c r="E18" s="300"/>
      <c r="F18" s="26"/>
    </row>
    <row r="19" spans="1:6" ht="12.75" customHeight="1" x14ac:dyDescent="0.25">
      <c r="A19" s="19" t="s">
        <v>519</v>
      </c>
      <c r="B19" s="372">
        <f>Liabilities!E21</f>
        <v>0</v>
      </c>
      <c r="C19" s="372">
        <f>Liabilities!D21</f>
        <v>0</v>
      </c>
      <c r="D19" s="353"/>
      <c r="E19" s="300"/>
      <c r="F19" s="26"/>
    </row>
    <row r="20" spans="1:6" ht="12.75" customHeight="1" x14ac:dyDescent="0.25">
      <c r="A20" s="19" t="s">
        <v>520</v>
      </c>
      <c r="B20" s="372">
        <f>Liabilities!E31</f>
        <v>0</v>
      </c>
      <c r="C20" s="372">
        <f>Liabilities!D31</f>
        <v>0</v>
      </c>
      <c r="D20" s="353"/>
      <c r="E20" s="300"/>
      <c r="F20" s="26"/>
    </row>
    <row r="21" spans="1:6" ht="12.75" customHeight="1" x14ac:dyDescent="0.25">
      <c r="A21" s="19" t="s">
        <v>521</v>
      </c>
      <c r="B21" s="373">
        <f>Liabilities!E40</f>
        <v>0</v>
      </c>
      <c r="C21" s="373">
        <f>Liabilities!D40</f>
        <v>0</v>
      </c>
      <c r="D21" s="353"/>
      <c r="E21" s="300"/>
      <c r="F21" s="26"/>
    </row>
    <row r="22" spans="1:6" ht="12.75" customHeight="1" x14ac:dyDescent="0.25">
      <c r="A22" s="19"/>
      <c r="B22" s="372"/>
      <c r="C22" s="372"/>
      <c r="D22" s="353"/>
      <c r="E22" s="300"/>
      <c r="F22" s="26"/>
    </row>
    <row r="23" spans="1:6" ht="12.75" customHeight="1" x14ac:dyDescent="0.25">
      <c r="A23" s="66" t="s">
        <v>33</v>
      </c>
      <c r="B23" s="372">
        <f>B19+B20+B21</f>
        <v>0</v>
      </c>
      <c r="C23" s="372">
        <f>C19+C20+C21</f>
        <v>0</v>
      </c>
      <c r="D23" s="353"/>
      <c r="E23" s="300"/>
      <c r="F23" s="26"/>
    </row>
    <row r="24" spans="1:6" ht="12.75" customHeight="1" x14ac:dyDescent="0.25">
      <c r="A24" s="19"/>
      <c r="B24" s="372"/>
      <c r="C24" s="372"/>
      <c r="D24" s="353"/>
      <c r="E24" s="300"/>
      <c r="F24" s="26"/>
    </row>
    <row r="25" spans="1:6" ht="12.75" customHeight="1" x14ac:dyDescent="0.25">
      <c r="A25" s="19" t="s">
        <v>335</v>
      </c>
      <c r="B25" s="372">
        <f>IF(('Dairy Description'!B11+'Dairy Description'!B12)&gt;0,(B23/('Dairy Description'!B11+'Dairy Description'!B12)),0)</f>
        <v>0</v>
      </c>
      <c r="C25" s="372">
        <f>IF(('Dairy Description'!B11+'Dairy Description'!B12)&gt;0,(C23/('Dairy Description'!B11+'Dairy Description'!B12)),0)</f>
        <v>0</v>
      </c>
      <c r="D25" s="353"/>
      <c r="E25" s="300"/>
      <c r="F25" s="26"/>
    </row>
    <row r="26" spans="1:6" s="300" customFormat="1" ht="12.75" customHeight="1" x14ac:dyDescent="0.25">
      <c r="A26" s="19" t="s">
        <v>525</v>
      </c>
      <c r="B26" s="353">
        <f>IF(('Dairy Description'!B7&gt;0),(100*('Debt Analysis'!B23/'Dairy Description'!B7)),0)</f>
        <v>0</v>
      </c>
      <c r="C26" s="353">
        <f>IF(('Dairy Description'!B7&gt;0),(100*('Debt Analysis'!C23/'Dairy Description'!B7)),0)</f>
        <v>0</v>
      </c>
      <c r="F26" s="26"/>
    </row>
    <row r="27" spans="1:6" s="300" customFormat="1" ht="12.75" customHeight="1" x14ac:dyDescent="0.25">
      <c r="A27" s="19" t="s">
        <v>526</v>
      </c>
      <c r="B27" s="374">
        <f>IF((Income!B22&gt;0),('Debt Analysis'!B23/Income!B22),0)</f>
        <v>0</v>
      </c>
      <c r="C27" s="374">
        <f>IF((Income!B22&gt;0),('Debt Analysis'!C23/Income!B22),0)</f>
        <v>0</v>
      </c>
      <c r="F27" s="26"/>
    </row>
    <row r="28" spans="1:6" ht="12.75" customHeight="1" x14ac:dyDescent="0.25">
      <c r="A28" s="19"/>
      <c r="B28" s="300"/>
      <c r="C28" s="300"/>
      <c r="D28" s="300"/>
      <c r="E28" s="300"/>
      <c r="F28" s="26"/>
    </row>
    <row r="29" spans="1:6" ht="13" x14ac:dyDescent="0.3">
      <c r="A29" s="305" t="s">
        <v>527</v>
      </c>
      <c r="B29" s="28"/>
      <c r="C29" s="28"/>
      <c r="D29" s="28"/>
      <c r="E29" s="28"/>
      <c r="F29" s="96"/>
    </row>
    <row r="30" spans="1:6" ht="12.75" customHeight="1" x14ac:dyDescent="0.25">
      <c r="A30" s="19"/>
      <c r="B30" s="300"/>
      <c r="C30" s="300"/>
      <c r="D30" s="300"/>
      <c r="E30" s="300"/>
      <c r="F30" s="26"/>
    </row>
    <row r="31" spans="1:6" x14ac:dyDescent="0.25">
      <c r="A31" s="66" t="s">
        <v>487</v>
      </c>
      <c r="B31" s="376">
        <f>Income!B22</f>
        <v>0</v>
      </c>
      <c r="C31" s="300"/>
      <c r="D31" s="300"/>
      <c r="E31" s="300"/>
      <c r="F31" s="26"/>
    </row>
    <row r="32" spans="1:6" x14ac:dyDescent="0.25">
      <c r="A32" s="66" t="s">
        <v>528</v>
      </c>
      <c r="B32" s="376">
        <f>Expenses!B50-Expenses!B47</f>
        <v>0</v>
      </c>
      <c r="C32" s="300"/>
      <c r="D32" s="300"/>
      <c r="E32" s="300"/>
      <c r="F32" s="26"/>
    </row>
    <row r="33" spans="1:6" x14ac:dyDescent="0.25">
      <c r="A33" s="66" t="s">
        <v>529</v>
      </c>
      <c r="B33" s="377">
        <f>Expenses!B47</f>
        <v>0</v>
      </c>
      <c r="C33" s="300"/>
      <c r="D33" s="300"/>
      <c r="E33" s="300"/>
      <c r="F33" s="26"/>
    </row>
    <row r="34" spans="1:6" ht="9" customHeight="1" x14ac:dyDescent="0.25">
      <c r="A34" s="19"/>
      <c r="B34" s="326"/>
      <c r="C34" s="300"/>
      <c r="D34" s="300"/>
      <c r="E34" s="300"/>
      <c r="F34" s="26"/>
    </row>
    <row r="35" spans="1:6" x14ac:dyDescent="0.25">
      <c r="A35" s="19" t="s">
        <v>530</v>
      </c>
      <c r="B35" s="324">
        <f>B31-B32-B33</f>
        <v>0</v>
      </c>
      <c r="C35" s="300"/>
      <c r="D35" s="300"/>
      <c r="E35" s="300"/>
      <c r="F35" s="26"/>
    </row>
    <row r="36" spans="1:6" x14ac:dyDescent="0.25">
      <c r="A36" s="19" t="s">
        <v>531</v>
      </c>
      <c r="B36" s="324">
        <f>Liabilities!I21+Liabilities!C31+Liabilities!C40</f>
        <v>0</v>
      </c>
      <c r="C36" s="300"/>
      <c r="D36" s="300"/>
      <c r="E36" s="300"/>
      <c r="F36" s="26"/>
    </row>
    <row r="37" spans="1:6" x14ac:dyDescent="0.25">
      <c r="A37" s="19" t="s">
        <v>532</v>
      </c>
      <c r="B37" s="375">
        <f>IF((B36&gt;0),(B35/B36),0)</f>
        <v>0</v>
      </c>
      <c r="C37" s="300"/>
      <c r="D37" s="300"/>
      <c r="E37" s="300"/>
      <c r="F37" s="26"/>
    </row>
    <row r="38" spans="1:6" x14ac:dyDescent="0.25">
      <c r="A38" s="44"/>
      <c r="B38" s="45"/>
      <c r="C38" s="45"/>
      <c r="D38" s="45"/>
      <c r="E38" s="45"/>
      <c r="F38" s="46"/>
    </row>
    <row r="39" spans="1:6" ht="13" x14ac:dyDescent="0.3">
      <c r="A39" s="125" t="s">
        <v>533</v>
      </c>
      <c r="B39" s="45"/>
      <c r="C39" s="44"/>
      <c r="D39" s="45"/>
      <c r="E39" s="45"/>
      <c r="F39" s="357" t="s">
        <v>534</v>
      </c>
    </row>
    <row r="40" spans="1:6" x14ac:dyDescent="0.25">
      <c r="A40" s="19"/>
      <c r="B40" s="300"/>
      <c r="C40" s="19"/>
      <c r="D40" s="300"/>
      <c r="E40" s="300"/>
      <c r="F40" s="26"/>
    </row>
    <row r="41" spans="1:6" x14ac:dyDescent="0.25">
      <c r="A41" s="66" t="s">
        <v>455</v>
      </c>
      <c r="B41" s="324">
        <f>'Income Statement'!E48</f>
        <v>0</v>
      </c>
      <c r="C41" s="19"/>
      <c r="D41" s="303" t="s">
        <v>455</v>
      </c>
      <c r="E41" s="324">
        <f>'Income Statement'!E48</f>
        <v>0</v>
      </c>
      <c r="F41" s="26"/>
    </row>
    <row r="42" spans="1:6" x14ac:dyDescent="0.25">
      <c r="A42" s="355" t="s">
        <v>535</v>
      </c>
      <c r="B42" s="324">
        <f>Income!E25+Income!E26</f>
        <v>0</v>
      </c>
      <c r="C42" s="19"/>
      <c r="D42" s="356" t="s">
        <v>536</v>
      </c>
      <c r="E42" s="324">
        <f>Income!E25+Income!E26</f>
        <v>0</v>
      </c>
      <c r="F42" s="26"/>
    </row>
    <row r="43" spans="1:6" x14ac:dyDescent="0.25">
      <c r="A43" s="355" t="s">
        <v>537</v>
      </c>
      <c r="B43" s="324">
        <f>'Income Statement'!D43</f>
        <v>0</v>
      </c>
      <c r="C43" s="19"/>
      <c r="D43" s="356" t="s">
        <v>538</v>
      </c>
      <c r="E43" s="324">
        <f>'Income Statement'!D43</f>
        <v>0</v>
      </c>
      <c r="F43" s="26"/>
    </row>
    <row r="44" spans="1:6" x14ac:dyDescent="0.25">
      <c r="A44" s="355" t="s">
        <v>539</v>
      </c>
      <c r="B44" s="324">
        <f>Cashflow!D13</f>
        <v>0</v>
      </c>
      <c r="C44" s="19"/>
      <c r="D44" s="356" t="s">
        <v>540</v>
      </c>
      <c r="E44" s="324">
        <f>Liabilities!D21</f>
        <v>0</v>
      </c>
      <c r="F44" s="26"/>
    </row>
    <row r="45" spans="1:6" x14ac:dyDescent="0.25">
      <c r="A45" s="66" t="s">
        <v>541</v>
      </c>
      <c r="B45" s="328">
        <f>Cashflow!D47</f>
        <v>0</v>
      </c>
      <c r="C45" s="19"/>
      <c r="D45" s="356" t="s">
        <v>542</v>
      </c>
      <c r="E45" s="324">
        <f>Cashflow!D13</f>
        <v>0</v>
      </c>
      <c r="F45" s="26"/>
    </row>
    <row r="46" spans="1:6" x14ac:dyDescent="0.25">
      <c r="A46" s="66" t="s">
        <v>543</v>
      </c>
      <c r="B46" s="324">
        <f>B41+B42+B43-B44-B45</f>
        <v>0</v>
      </c>
      <c r="C46" s="19"/>
      <c r="D46" s="303" t="s">
        <v>544</v>
      </c>
      <c r="E46" s="328">
        <f>Cashflow!D47</f>
        <v>0</v>
      </c>
      <c r="F46" s="26"/>
    </row>
    <row r="47" spans="1:6" x14ac:dyDescent="0.25">
      <c r="A47" s="66" t="s">
        <v>545</v>
      </c>
      <c r="B47" s="326"/>
      <c r="C47" s="19"/>
      <c r="D47" s="300"/>
      <c r="E47" s="324">
        <f>E41+E42+E43+E44-E45-E46</f>
        <v>0</v>
      </c>
      <c r="F47" s="26"/>
    </row>
    <row r="48" spans="1:6" x14ac:dyDescent="0.25">
      <c r="A48" s="19"/>
      <c r="B48" s="326"/>
      <c r="C48" s="19"/>
      <c r="D48" s="356" t="s">
        <v>546</v>
      </c>
      <c r="E48" s="324">
        <f>Liabilities!I21</f>
        <v>0</v>
      </c>
      <c r="F48" s="26"/>
    </row>
    <row r="49" spans="1:6" x14ac:dyDescent="0.25">
      <c r="A49" s="355" t="s">
        <v>547</v>
      </c>
      <c r="B49" s="324">
        <f>Liabilities!E21</f>
        <v>0</v>
      </c>
      <c r="C49" s="19"/>
      <c r="D49" s="356" t="s">
        <v>548</v>
      </c>
      <c r="E49" s="328">
        <f>Leases!I12+Leases!I19+Leases!I33+Leases!I40+Leases!I44</f>
        <v>0</v>
      </c>
      <c r="F49" s="26"/>
    </row>
    <row r="50" spans="1:6" x14ac:dyDescent="0.25">
      <c r="A50" s="355" t="s">
        <v>549</v>
      </c>
      <c r="B50" s="328">
        <f>Leases!E46</f>
        <v>0</v>
      </c>
      <c r="C50" s="19"/>
      <c r="D50" s="303" t="s">
        <v>420</v>
      </c>
      <c r="E50" s="378">
        <f>IF((E48+E49)&gt;0,(E47/(E48+E49)),0)</f>
        <v>0</v>
      </c>
      <c r="F50" s="26"/>
    </row>
    <row r="51" spans="1:6" x14ac:dyDescent="0.25">
      <c r="A51" s="66" t="s">
        <v>543</v>
      </c>
      <c r="B51" s="324">
        <f>B46-B49-B50</f>
        <v>0</v>
      </c>
      <c r="C51" s="19"/>
      <c r="F51" s="26"/>
    </row>
    <row r="52" spans="1:6" x14ac:dyDescent="0.25">
      <c r="A52" s="66" t="s">
        <v>550</v>
      </c>
      <c r="B52" s="300"/>
      <c r="C52" s="19"/>
      <c r="D52" s="300"/>
      <c r="E52" s="300"/>
      <c r="F52" s="26"/>
    </row>
    <row r="53" spans="1:6" x14ac:dyDescent="0.25">
      <c r="A53" s="44"/>
      <c r="B53" s="45"/>
      <c r="C53" s="44"/>
      <c r="D53" s="45"/>
      <c r="E53" s="45"/>
      <c r="F53" s="46"/>
    </row>
  </sheetData>
  <phoneticPr fontId="0" type="noConversion"/>
  <printOptions headings="1"/>
  <pageMargins left="0.5" right="0" top="0.5" bottom="0.5" header="0.5" footer="0.5"/>
  <pageSetup scale="97" orientation="portrait" horizontalDpi="300" verticalDpi="300" r:id="rId1"/>
  <headerFooter alignWithMargins="0">
    <oddHeader>&amp;R&amp;8 23
&amp;D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4"/>
  <sheetViews>
    <sheetView tabSelected="1" workbookViewId="0">
      <selection activeCell="A12" sqref="A12"/>
    </sheetView>
  </sheetViews>
  <sheetFormatPr defaultRowHeight="12.5" x14ac:dyDescent="0.25"/>
  <cols>
    <col min="1" max="1" width="95.7265625" customWidth="1"/>
    <col min="2" max="2" width="10.81640625" customWidth="1"/>
  </cols>
  <sheetData>
    <row r="1" spans="1:3" s="504" customFormat="1" ht="13" x14ac:dyDescent="0.3">
      <c r="A1" s="503" t="str">
        <f>'Dairy Description'!A1</f>
        <v>Key Code:</v>
      </c>
    </row>
    <row r="2" spans="1:3" ht="13" x14ac:dyDescent="0.3">
      <c r="A2" s="5" t="s">
        <v>0</v>
      </c>
      <c r="B2" s="1"/>
      <c r="C2" s="1"/>
    </row>
    <row r="3" spans="1:3" ht="13" x14ac:dyDescent="0.3">
      <c r="A3" s="5" t="s">
        <v>42</v>
      </c>
      <c r="B3" s="1"/>
    </row>
    <row r="4" spans="1:3" ht="13" x14ac:dyDescent="0.3">
      <c r="A4" s="461" t="s">
        <v>760</v>
      </c>
      <c r="B4" s="1"/>
    </row>
    <row r="5" spans="1:3" ht="13" x14ac:dyDescent="0.3">
      <c r="A5" s="6" t="s">
        <v>551</v>
      </c>
    </row>
    <row r="6" spans="1:3" x14ac:dyDescent="0.25">
      <c r="A6" s="365"/>
    </row>
    <row r="7" spans="1:3" x14ac:dyDescent="0.25">
      <c r="A7" s="366"/>
    </row>
    <row r="8" spans="1:3" x14ac:dyDescent="0.25">
      <c r="A8" s="366"/>
    </row>
    <row r="9" spans="1:3" x14ac:dyDescent="0.25">
      <c r="A9" s="366"/>
    </row>
    <row r="10" spans="1:3" x14ac:dyDescent="0.25">
      <c r="A10" s="366"/>
    </row>
    <row r="11" spans="1:3" x14ac:dyDescent="0.25">
      <c r="A11" s="366"/>
    </row>
    <row r="12" spans="1:3" x14ac:dyDescent="0.25">
      <c r="A12" s="366"/>
    </row>
    <row r="13" spans="1:3" x14ac:dyDescent="0.25">
      <c r="A13" s="366"/>
    </row>
    <row r="14" spans="1:3" x14ac:dyDescent="0.25">
      <c r="A14" s="366"/>
    </row>
    <row r="15" spans="1:3" x14ac:dyDescent="0.25">
      <c r="A15" s="366"/>
    </row>
    <row r="16" spans="1:3" x14ac:dyDescent="0.25">
      <c r="A16" s="366"/>
    </row>
    <row r="17" spans="1:1" x14ac:dyDescent="0.25">
      <c r="A17" s="366"/>
    </row>
    <row r="18" spans="1:1" x14ac:dyDescent="0.25">
      <c r="A18" s="366"/>
    </row>
    <row r="19" spans="1:1" x14ac:dyDescent="0.25">
      <c r="A19" s="366"/>
    </row>
    <row r="20" spans="1:1" x14ac:dyDescent="0.25">
      <c r="A20" s="366"/>
    </row>
    <row r="21" spans="1:1" x14ac:dyDescent="0.25">
      <c r="A21" s="366"/>
    </row>
    <row r="22" spans="1:1" x14ac:dyDescent="0.25">
      <c r="A22" s="366"/>
    </row>
    <row r="23" spans="1:1" x14ac:dyDescent="0.25">
      <c r="A23" s="366"/>
    </row>
    <row r="24" spans="1:1" x14ac:dyDescent="0.25">
      <c r="A24" s="366"/>
    </row>
    <row r="25" spans="1:1" x14ac:dyDescent="0.25">
      <c r="A25" s="366"/>
    </row>
    <row r="26" spans="1:1" x14ac:dyDescent="0.25">
      <c r="A26" s="366"/>
    </row>
    <row r="27" spans="1:1" x14ac:dyDescent="0.25">
      <c r="A27" s="366"/>
    </row>
    <row r="28" spans="1:1" x14ac:dyDescent="0.25">
      <c r="A28" s="366"/>
    </row>
    <row r="29" spans="1:1" x14ac:dyDescent="0.25">
      <c r="A29" s="366"/>
    </row>
    <row r="30" spans="1:1" x14ac:dyDescent="0.25">
      <c r="A30" s="366"/>
    </row>
    <row r="31" spans="1:1" x14ac:dyDescent="0.25">
      <c r="A31" s="366"/>
    </row>
    <row r="32" spans="1:1" x14ac:dyDescent="0.25">
      <c r="A32" s="366"/>
    </row>
    <row r="33" spans="1:1" x14ac:dyDescent="0.25">
      <c r="A33" s="366"/>
    </row>
    <row r="34" spans="1:1" x14ac:dyDescent="0.25">
      <c r="A34" s="366"/>
    </row>
    <row r="35" spans="1:1" x14ac:dyDescent="0.25">
      <c r="A35" s="366"/>
    </row>
    <row r="36" spans="1:1" x14ac:dyDescent="0.25">
      <c r="A36" s="366"/>
    </row>
    <row r="37" spans="1:1" x14ac:dyDescent="0.25">
      <c r="A37" s="366"/>
    </row>
    <row r="38" spans="1:1" x14ac:dyDescent="0.25">
      <c r="A38" s="366"/>
    </row>
    <row r="39" spans="1:1" x14ac:dyDescent="0.25">
      <c r="A39" s="366"/>
    </row>
    <row r="40" spans="1:1" x14ac:dyDescent="0.25">
      <c r="A40" s="366"/>
    </row>
    <row r="41" spans="1:1" x14ac:dyDescent="0.25">
      <c r="A41" s="366"/>
    </row>
    <row r="42" spans="1:1" x14ac:dyDescent="0.25">
      <c r="A42" s="366"/>
    </row>
    <row r="43" spans="1:1" x14ac:dyDescent="0.25">
      <c r="A43" s="366"/>
    </row>
    <row r="44" spans="1:1" x14ac:dyDescent="0.25">
      <c r="A44" s="366"/>
    </row>
    <row r="45" spans="1:1" x14ac:dyDescent="0.25">
      <c r="A45" s="366"/>
    </row>
    <row r="46" spans="1:1" x14ac:dyDescent="0.25">
      <c r="A46" s="366"/>
    </row>
    <row r="47" spans="1:1" x14ac:dyDescent="0.25">
      <c r="A47" s="366"/>
    </row>
    <row r="48" spans="1:1" x14ac:dyDescent="0.25">
      <c r="A48" s="366"/>
    </row>
    <row r="49" spans="1:1" x14ac:dyDescent="0.25">
      <c r="A49" s="366"/>
    </row>
    <row r="50" spans="1:1" x14ac:dyDescent="0.25">
      <c r="A50" s="366"/>
    </row>
    <row r="51" spans="1:1" x14ac:dyDescent="0.25">
      <c r="A51" s="366"/>
    </row>
    <row r="52" spans="1:1" x14ac:dyDescent="0.25">
      <c r="A52" s="366"/>
    </row>
    <row r="53" spans="1:1" x14ac:dyDescent="0.25">
      <c r="A53" s="366"/>
    </row>
    <row r="54" spans="1:1" x14ac:dyDescent="0.25">
      <c r="A54" s="367"/>
    </row>
  </sheetData>
  <phoneticPr fontId="0" type="noConversion"/>
  <printOptions headings="1"/>
  <pageMargins left="0.5" right="0.5" top="0.5" bottom="0.5" header="0.5" footer="0.5"/>
  <pageSetup scale="97" orientation="portrait" r:id="rId1"/>
  <headerFooter alignWithMargins="0">
    <oddHeader>&amp;R&amp;8 24
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23</vt:i4>
      </vt:variant>
    </vt:vector>
  </HeadingPairs>
  <TitlesOfParts>
    <vt:vector size="47" baseType="lpstr">
      <vt:lpstr>Dairy Description</vt:lpstr>
      <vt:lpstr>Livestock</vt:lpstr>
      <vt:lpstr>Feed and Supply</vt:lpstr>
      <vt:lpstr>Receivables</vt:lpstr>
      <vt:lpstr>Income</vt:lpstr>
      <vt:lpstr>Payables</vt:lpstr>
      <vt:lpstr>Prepaid Expenses</vt:lpstr>
      <vt:lpstr>Expenses</vt:lpstr>
      <vt:lpstr>Machinery and Equipment</vt:lpstr>
      <vt:lpstr>Buildings</vt:lpstr>
      <vt:lpstr>Real Estate</vt:lpstr>
      <vt:lpstr>Assets</vt:lpstr>
      <vt:lpstr>Leases</vt:lpstr>
      <vt:lpstr>Liabilities</vt:lpstr>
      <vt:lpstr>Receipt Summary</vt:lpstr>
      <vt:lpstr>Expense Summary</vt:lpstr>
      <vt:lpstr>Balance</vt:lpstr>
      <vt:lpstr>Income Statement</vt:lpstr>
      <vt:lpstr>Ratios</vt:lpstr>
      <vt:lpstr>Profitability</vt:lpstr>
      <vt:lpstr>Equity</vt:lpstr>
      <vt:lpstr>Cashflow</vt:lpstr>
      <vt:lpstr>Debt Analysis</vt:lpstr>
      <vt:lpstr>Notes</vt:lpstr>
      <vt:lpstr>Assets!Print_Area</vt:lpstr>
      <vt:lpstr>Balance!Print_Area</vt:lpstr>
      <vt:lpstr>Buildings!Print_Area</vt:lpstr>
      <vt:lpstr>Cashflow!Print_Area</vt:lpstr>
      <vt:lpstr>'Dairy Description'!Print_Area</vt:lpstr>
      <vt:lpstr>'Debt Analysis'!Print_Area</vt:lpstr>
      <vt:lpstr>Equity!Print_Area</vt:lpstr>
      <vt:lpstr>'Expense Summary'!Print_Area</vt:lpstr>
      <vt:lpstr>Expenses!Print_Area</vt:lpstr>
      <vt:lpstr>'Feed and Supply'!Print_Area</vt:lpstr>
      <vt:lpstr>Income!Print_Area</vt:lpstr>
      <vt:lpstr>'Income Statement'!Print_Area</vt:lpstr>
      <vt:lpstr>Liabilities!Print_Area</vt:lpstr>
      <vt:lpstr>Livestock!Print_Area</vt:lpstr>
      <vt:lpstr>'Machinery and Equipment'!Print_Area</vt:lpstr>
      <vt:lpstr>Notes!Print_Area</vt:lpstr>
      <vt:lpstr>Payables!Print_Area</vt:lpstr>
      <vt:lpstr>'Prepaid Expenses'!Print_Area</vt:lpstr>
      <vt:lpstr>Profitability!Print_Area</vt:lpstr>
      <vt:lpstr>Ratios!Print_Area</vt:lpstr>
      <vt:lpstr>'Real Estate'!Print_Area</vt:lpstr>
      <vt:lpstr>'Receipt Summary'!Print_Area</vt:lpstr>
      <vt:lpstr>Receivables!Print_Area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DBAP Forms</dc:title>
  <dc:creator>Marvin J. Hoekema</dc:creator>
  <cp:lastModifiedBy>Carina Negreanu</cp:lastModifiedBy>
  <cp:lastPrinted>2002-11-16T18:55:27Z</cp:lastPrinted>
  <dcterms:created xsi:type="dcterms:W3CDTF">1998-03-13T16:33:38Z</dcterms:created>
  <dcterms:modified xsi:type="dcterms:W3CDTF">2020-01-27T10:28:47Z</dcterms:modified>
</cp:coreProperties>
</file>