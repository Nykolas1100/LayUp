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8EDE89-F19D-4254-9836-B6F3951F6510}" xr6:coauthVersionLast="45" xr6:coauthVersionMax="45" xr10:uidLastSave="{00000000-0000-0000-0000-000000000000}"/>
  <bookViews>
    <workbookView xWindow="1900" yWindow="1900" windowWidth="28800" windowHeight="15460"/>
  </bookViews>
  <sheets>
    <sheet name="Pre-Assess" sheetId="1" r:id="rId1"/>
    <sheet name="Post-Assess" sheetId="4" r:id="rId2"/>
  </sheets>
  <definedNames>
    <definedName name="_xlnm.Print_Titles" localSheetId="1">'Post-Assess'!$A:$B,'Post-Assess'!$1:$2</definedName>
    <definedName name="_xlnm.Print_Titles" localSheetId="0">'Pre-Assess'!$A:$B,'Pre-Assess'!$1:$2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4" l="1"/>
  <c r="D6" i="4"/>
  <c r="C7" i="4"/>
  <c r="D7" i="4" s="1"/>
  <c r="C8" i="4"/>
  <c r="D8" i="4" s="1"/>
  <c r="C9" i="4"/>
  <c r="D9" i="4" s="1"/>
  <c r="C10" i="4"/>
  <c r="D10" i="4" s="1"/>
  <c r="C14" i="4"/>
  <c r="D14" i="4" s="1"/>
  <c r="C15" i="4"/>
  <c r="D15" i="4" s="1"/>
  <c r="C16" i="4"/>
  <c r="D16" i="4" s="1"/>
  <c r="C17" i="4"/>
  <c r="D17" i="4"/>
  <c r="C18" i="4"/>
  <c r="D18" i="4"/>
  <c r="C22" i="4"/>
  <c r="D22" i="4"/>
  <c r="C23" i="4"/>
  <c r="D23" i="4" s="1"/>
  <c r="C24" i="4"/>
  <c r="D24" i="4" s="1"/>
  <c r="C25" i="4"/>
  <c r="D25" i="4" s="1"/>
  <c r="C26" i="4"/>
  <c r="D26" i="4" s="1"/>
  <c r="C30" i="4"/>
  <c r="D30" i="4" s="1"/>
  <c r="C31" i="4"/>
  <c r="D31" i="4" s="1"/>
  <c r="C32" i="4"/>
  <c r="D32" i="4" s="1"/>
  <c r="C33" i="4"/>
  <c r="D33" i="4"/>
  <c r="C34" i="4"/>
  <c r="D34" i="4"/>
  <c r="C40" i="4"/>
  <c r="D40" i="4"/>
  <c r="C41" i="4"/>
  <c r="D41" i="4" s="1"/>
  <c r="C42" i="4"/>
  <c r="D42" i="4" s="1"/>
  <c r="C43" i="4"/>
  <c r="D43" i="4" s="1"/>
  <c r="C44" i="4"/>
  <c r="D44" i="4" s="1"/>
  <c r="C48" i="4"/>
  <c r="D48" i="4" s="1"/>
  <c r="C49" i="4"/>
  <c r="D49" i="4" s="1"/>
  <c r="C50" i="4"/>
  <c r="D50" i="4" s="1"/>
  <c r="C51" i="4"/>
  <c r="D51" i="4" s="1"/>
  <c r="C52" i="4"/>
  <c r="D52" i="4"/>
  <c r="C56" i="4"/>
  <c r="D56" i="4"/>
  <c r="C57" i="4"/>
  <c r="D57" i="4" s="1"/>
  <c r="C58" i="4"/>
  <c r="D58" i="4" s="1"/>
  <c r="C59" i="4"/>
  <c r="D59" i="4" s="1"/>
  <c r="C60" i="4"/>
  <c r="D60" i="4" s="1"/>
  <c r="C64" i="4"/>
  <c r="D64" i="4" s="1"/>
  <c r="C65" i="4"/>
  <c r="D65" i="4" s="1"/>
  <c r="C66" i="4"/>
  <c r="D66" i="4" s="1"/>
  <c r="C67" i="4"/>
  <c r="D67" i="4"/>
  <c r="C68" i="4"/>
  <c r="D68" i="4" s="1"/>
  <c r="C73" i="4"/>
  <c r="D73" i="4" s="1"/>
  <c r="C74" i="4"/>
  <c r="D74" i="4" s="1"/>
  <c r="C78" i="4"/>
  <c r="D78" i="4" s="1"/>
  <c r="C79" i="4"/>
  <c r="D79" i="4" s="1"/>
  <c r="C83" i="4"/>
  <c r="D83" i="4" s="1"/>
  <c r="C84" i="4"/>
  <c r="D84" i="4" s="1"/>
  <c r="C88" i="4"/>
  <c r="D88" i="4" s="1"/>
  <c r="C89" i="4"/>
  <c r="D89" i="4" s="1"/>
  <c r="C93" i="4"/>
  <c r="D93" i="4"/>
  <c r="C94" i="4"/>
  <c r="D94" i="4"/>
  <c r="C100" i="4"/>
  <c r="D100" i="4" s="1"/>
  <c r="C101" i="4"/>
  <c r="D101" i="4" s="1"/>
  <c r="C105" i="4"/>
  <c r="C106" i="4"/>
  <c r="C107" i="4"/>
  <c r="C108" i="4"/>
  <c r="C109" i="4"/>
  <c r="C110" i="4"/>
  <c r="C111" i="4"/>
  <c r="C112" i="4"/>
  <c r="C113" i="4"/>
  <c r="C114" i="4"/>
  <c r="C6" i="1"/>
  <c r="D6" i="1" s="1"/>
  <c r="C7" i="1"/>
  <c r="D7" i="1" s="1"/>
  <c r="C8" i="1"/>
  <c r="D8" i="1"/>
  <c r="C9" i="1"/>
  <c r="D9" i="1" s="1"/>
  <c r="C10" i="1"/>
  <c r="D10" i="1" s="1"/>
  <c r="C14" i="1"/>
  <c r="D14" i="1" s="1"/>
  <c r="C15" i="1"/>
  <c r="D15" i="1"/>
  <c r="C16" i="1"/>
  <c r="D16" i="1" s="1"/>
  <c r="C17" i="1"/>
  <c r="D17" i="1" s="1"/>
  <c r="C18" i="1"/>
  <c r="D18" i="1" s="1"/>
  <c r="C22" i="1"/>
  <c r="D22" i="1" s="1"/>
  <c r="C23" i="1"/>
  <c r="D23" i="1" s="1"/>
  <c r="C24" i="1"/>
  <c r="D24" i="1"/>
  <c r="C25" i="1"/>
  <c r="D25" i="1" s="1"/>
  <c r="C26" i="1"/>
  <c r="D26" i="1" s="1"/>
  <c r="C30" i="1"/>
  <c r="D30" i="1" s="1"/>
  <c r="C31" i="1"/>
  <c r="D31" i="1"/>
  <c r="C32" i="1"/>
  <c r="D32" i="1" s="1"/>
  <c r="C33" i="1"/>
  <c r="D33" i="1" s="1"/>
  <c r="C34" i="1"/>
  <c r="D34" i="1" s="1"/>
  <c r="C40" i="1"/>
  <c r="D40" i="1" s="1"/>
  <c r="C41" i="1"/>
  <c r="D41" i="1" s="1"/>
  <c r="C42" i="1"/>
  <c r="D42" i="1"/>
  <c r="C43" i="1"/>
  <c r="D43" i="1" s="1"/>
  <c r="C44" i="1"/>
  <c r="D44" i="1" s="1"/>
  <c r="C48" i="1"/>
  <c r="D48" i="1" s="1"/>
  <c r="C49" i="1"/>
  <c r="D49" i="1"/>
  <c r="C50" i="1"/>
  <c r="D50" i="1" s="1"/>
  <c r="C51" i="1"/>
  <c r="D51" i="1" s="1"/>
  <c r="C52" i="1"/>
  <c r="D52" i="1" s="1"/>
  <c r="C56" i="1"/>
  <c r="D56" i="1" s="1"/>
  <c r="C57" i="1"/>
  <c r="D57" i="1" s="1"/>
  <c r="C58" i="1"/>
  <c r="D58" i="1"/>
  <c r="C59" i="1"/>
  <c r="D59" i="1" s="1"/>
  <c r="C60" i="1"/>
  <c r="D60" i="1" s="1"/>
  <c r="C64" i="1"/>
  <c r="D64" i="1" s="1"/>
  <c r="C65" i="1"/>
  <c r="D65" i="1"/>
  <c r="C66" i="1"/>
  <c r="D66" i="1" s="1"/>
  <c r="C67" i="1"/>
  <c r="D67" i="1" s="1"/>
  <c r="C68" i="1"/>
  <c r="D68" i="1" s="1"/>
  <c r="C73" i="1"/>
  <c r="D73" i="1" s="1"/>
  <c r="C74" i="1"/>
  <c r="D74" i="1" s="1"/>
  <c r="C78" i="1"/>
  <c r="D78" i="1"/>
  <c r="C79" i="1"/>
  <c r="D79" i="1" s="1"/>
  <c r="C83" i="1"/>
  <c r="D83" i="1" s="1"/>
  <c r="C84" i="1"/>
  <c r="D84" i="1" s="1"/>
  <c r="C88" i="1"/>
  <c r="D88" i="1"/>
  <c r="C89" i="1"/>
  <c r="D89" i="1" s="1"/>
  <c r="C93" i="1"/>
  <c r="D93" i="1" s="1"/>
  <c r="C94" i="1"/>
  <c r="D94" i="1" s="1"/>
  <c r="C100" i="1"/>
  <c r="D100" i="1" s="1"/>
  <c r="C101" i="1"/>
  <c r="D101" i="1"/>
  <c r="C105" i="1"/>
  <c r="C106" i="1"/>
  <c r="C107" i="1"/>
  <c r="C108" i="1"/>
  <c r="C109" i="1"/>
  <c r="C110" i="1"/>
  <c r="C111" i="1"/>
  <c r="C112" i="1"/>
  <c r="C113" i="1"/>
  <c r="C114" i="1"/>
</calcChain>
</file>

<file path=xl/sharedStrings.xml><?xml version="1.0" encoding="utf-8"?>
<sst xmlns="http://schemas.openxmlformats.org/spreadsheetml/2006/main" count="1248" uniqueCount="72">
  <si>
    <t>I am proficent with word processing software</t>
  </si>
  <si>
    <t>Neither Agree or Disagree</t>
  </si>
  <si>
    <t>Disagree With Statement</t>
  </si>
  <si>
    <t>Agree with Statement</t>
  </si>
  <si>
    <t>Strongly Agree with Statement</t>
  </si>
  <si>
    <t>Strongly Disagree w/ Statement</t>
  </si>
  <si>
    <t>Question</t>
  </si>
  <si>
    <t>Totals</t>
  </si>
  <si>
    <t>I am comfortable using spreadsheet software</t>
  </si>
  <si>
    <t>Percent</t>
  </si>
  <si>
    <t>I am comfortable using data analysis tools like regression analyisis or ANOVA</t>
  </si>
  <si>
    <t>I have used the library's online databases for my research purposes.</t>
  </si>
  <si>
    <t>I am proficient at tapping the world wide web for information</t>
  </si>
  <si>
    <t>I am comfortable at using the Compustat PC database</t>
  </si>
  <si>
    <t>I am comfortable using the JSTOR database from library's database</t>
  </si>
  <si>
    <t>yes</t>
  </si>
  <si>
    <t>no</t>
  </si>
  <si>
    <t>Have you conducted and written a literature review for a research project?</t>
  </si>
  <si>
    <t>Have you completed a research project that includes a literature review, data collection, analysis and write-up of methodology?</t>
  </si>
  <si>
    <t>Have you formulated a written hypothesis?</t>
  </si>
  <si>
    <t>Have you tested hypotheses using actual data?</t>
  </si>
  <si>
    <t>As an undergraduate student, did you ever take a statistics course?</t>
  </si>
  <si>
    <t>If you've ever used the www for research, what search enginge or engines do you like using [can select more than one]?</t>
  </si>
  <si>
    <t>MBA Student #1</t>
  </si>
  <si>
    <t>MBA Student #2</t>
  </si>
  <si>
    <t>MBA Student #3</t>
  </si>
  <si>
    <t>MBA Student #4</t>
  </si>
  <si>
    <t>MBA Student #5</t>
  </si>
  <si>
    <t>MBA Student #6</t>
  </si>
  <si>
    <t>MBA Student #7</t>
  </si>
  <si>
    <t>MBA Student #8</t>
  </si>
  <si>
    <t>MBA Student #9</t>
  </si>
  <si>
    <t>MBA Student #10</t>
  </si>
  <si>
    <t>MBA Student #11</t>
  </si>
  <si>
    <t>MBA Student #12</t>
  </si>
  <si>
    <t>MBA Student #13</t>
  </si>
  <si>
    <t>MBA Student #14</t>
  </si>
  <si>
    <t>MBA Student #15</t>
  </si>
  <si>
    <t>MBA Student #16</t>
  </si>
  <si>
    <t>MBA Student #17</t>
  </si>
  <si>
    <t>MBA Student #18</t>
  </si>
  <si>
    <t>MBA Student #19</t>
  </si>
  <si>
    <r>
      <t xml:space="preserve">I have </t>
    </r>
    <r>
      <rPr>
        <b/>
        <u/>
        <sz val="10"/>
        <rFont val="Arial"/>
        <family val="2"/>
      </rPr>
      <t>never</t>
    </r>
    <r>
      <rPr>
        <b/>
        <sz val="10"/>
        <rFont val="Arial"/>
        <family val="2"/>
      </rPr>
      <t xml:space="preserve"> used e-mail programs</t>
    </r>
  </si>
  <si>
    <t>x</t>
  </si>
  <si>
    <t>MBA Student #20</t>
  </si>
  <si>
    <t>MBA Student #21</t>
  </si>
  <si>
    <t>MBA Student #22</t>
  </si>
  <si>
    <t>MBA Student #23</t>
  </si>
  <si>
    <t>MBA Student #24</t>
  </si>
  <si>
    <t>MBA Student #25</t>
  </si>
  <si>
    <t>MBA Student #26</t>
  </si>
  <si>
    <t>MBA Student #27</t>
  </si>
  <si>
    <t>MBA Student #28</t>
  </si>
  <si>
    <t>MBA Student #29</t>
  </si>
  <si>
    <t>MBA Student #30</t>
  </si>
  <si>
    <t>MBA Student #31</t>
  </si>
  <si>
    <t>MBA Student #32</t>
  </si>
  <si>
    <t>MBA Student #33</t>
  </si>
  <si>
    <t>Yahoo</t>
  </si>
  <si>
    <t>Alta Vista</t>
  </si>
  <si>
    <t>Google</t>
  </si>
  <si>
    <t>Ask Jeeves</t>
  </si>
  <si>
    <t>Change for Add'l Students --- &gt;</t>
  </si>
  <si>
    <t>Excite</t>
  </si>
  <si>
    <t>Lycos</t>
  </si>
  <si>
    <t>Dogpile</t>
  </si>
  <si>
    <t>Northern Light</t>
  </si>
  <si>
    <t>MSN</t>
  </si>
  <si>
    <t>Hot Bot</t>
  </si>
  <si>
    <t>Have you ever read scholarly or academic journal articles before?</t>
  </si>
  <si>
    <t>MBA Student #34</t>
  </si>
  <si>
    <t>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</si>
</sst>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10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6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right" vertical="justify" textRotation="180" wrapText="1"/>
    </xf>
    <xf numFmtId="9" fontId="1" fillId="0" borderId="0" xfId="0" applyNumberFormat="1" applyFont="1" applyAlignment="1">
      <alignment horizontal="right" vertical="top" wrapText="1"/>
    </xf>
    <xf numFmtId="9" fontId="1" fillId="0" borderId="0" xfId="0" applyNumberFormat="1" applyFont="1" applyAlignment="1">
      <alignment vertical="top" wrapText="1"/>
    </xf>
    <xf numFmtId="9" fontId="5" fillId="0" borderId="0" xfId="0" applyNumberFormat="1" applyFont="1" applyAlignment="1">
      <alignment vertical="top" wrapText="1"/>
    </xf>
    <xf numFmtId="172" fontId="1" fillId="0" borderId="0" xfId="0" applyNumberFormat="1" applyFont="1" applyAlignment="1">
      <alignment vertical="top" wrapText="1"/>
    </xf>
    <xf numFmtId="172" fontId="5" fillId="0" borderId="0" xfId="0" applyNumberFormat="1" applyFont="1" applyAlignment="1">
      <alignment vertical="top" wrapText="1"/>
    </xf>
    <xf numFmtId="0" fontId="9" fillId="0" borderId="0" xfId="0" applyFont="1" applyAlignment="1">
      <alignment horizontal="center" vertical="top" textRotation="90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textRotation="90" wrapText="1"/>
    </xf>
    <xf numFmtId="0" fontId="1" fillId="0" borderId="0" xfId="0" applyFont="1" applyAlignment="1">
      <alignment vertical="top" textRotation="90" wrapText="1"/>
    </xf>
    <xf numFmtId="172" fontId="3" fillId="0" borderId="0" xfId="0" applyNumberFormat="1" applyFont="1" applyAlignment="1">
      <alignment vertical="top" wrapText="1"/>
    </xf>
    <xf numFmtId="9" fontId="3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3"/>
  <sheetViews>
    <sheetView tabSelected="1" workbookViewId="0">
      <pane xSplit="4" ySplit="1" topLeftCell="AC33" activePane="bottomRight" state="frozen"/>
      <selection pane="topRight" activeCell="E1" sqref="E1"/>
      <selection pane="bottomLeft" activeCell="A2" sqref="A2"/>
      <selection pane="bottomRight" activeCell="D6" sqref="D6"/>
    </sheetView>
  </sheetViews>
  <sheetFormatPr defaultColWidth="9.1796875" defaultRowHeight="10" x14ac:dyDescent="0.25"/>
  <cols>
    <col min="1" max="1" width="3.7265625" style="1" customWidth="1"/>
    <col min="2" max="2" width="23.453125" style="1" customWidth="1"/>
    <col min="3" max="3" width="6" style="1" customWidth="1"/>
    <col min="4" max="4" width="7" style="1" customWidth="1"/>
    <col min="5" max="39" width="3.1796875" style="1" customWidth="1"/>
    <col min="40" max="16384" width="9.1796875" style="1"/>
  </cols>
  <sheetData>
    <row r="1" spans="1:40" s="2" customFormat="1" ht="77.25" customHeight="1" x14ac:dyDescent="0.25">
      <c r="A1" s="12" t="s">
        <v>62</v>
      </c>
      <c r="B1" s="6" t="s">
        <v>6</v>
      </c>
      <c r="C1" s="6" t="s">
        <v>7</v>
      </c>
      <c r="D1" s="6" t="s">
        <v>9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  <c r="AE1" s="5" t="s">
        <v>51</v>
      </c>
      <c r="AF1" s="5" t="s">
        <v>52</v>
      </c>
      <c r="AG1" s="5" t="s">
        <v>53</v>
      </c>
      <c r="AH1" s="5" t="s">
        <v>54</v>
      </c>
      <c r="AI1" s="5" t="s">
        <v>55</v>
      </c>
      <c r="AJ1" s="5" t="s">
        <v>56</v>
      </c>
      <c r="AK1" s="5" t="s">
        <v>57</v>
      </c>
      <c r="AL1" s="5" t="s">
        <v>70</v>
      </c>
    </row>
    <row r="2" spans="1:40" x14ac:dyDescent="0.25">
      <c r="A2" s="11">
        <v>34</v>
      </c>
    </row>
    <row r="4" spans="1:40" ht="23" x14ac:dyDescent="0.25">
      <c r="A4" s="2">
        <v>1</v>
      </c>
      <c r="B4" s="9" t="s">
        <v>0</v>
      </c>
      <c r="C4" s="4"/>
      <c r="D4" s="4"/>
    </row>
    <row r="6" spans="1:40" x14ac:dyDescent="0.25">
      <c r="B6" s="3" t="s">
        <v>4</v>
      </c>
      <c r="C6" s="2">
        <f>COUNTIF(E6:AL6,"x")</f>
        <v>25</v>
      </c>
      <c r="D6" s="13">
        <f>SUM(C6/$A$2)</f>
        <v>0.73529411764705888</v>
      </c>
      <c r="E6" s="2" t="s">
        <v>43</v>
      </c>
      <c r="F6" s="2"/>
      <c r="G6" s="2"/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/>
      <c r="R6" s="2" t="s">
        <v>43</v>
      </c>
      <c r="S6" s="2" t="s">
        <v>43</v>
      </c>
      <c r="T6" s="2" t="s">
        <v>43</v>
      </c>
      <c r="U6" s="2"/>
      <c r="V6" s="2" t="s">
        <v>43</v>
      </c>
      <c r="W6" s="2" t="s">
        <v>43</v>
      </c>
      <c r="X6" s="2" t="s">
        <v>43</v>
      </c>
      <c r="Y6" s="2"/>
      <c r="Z6" s="2" t="s">
        <v>43</v>
      </c>
      <c r="AA6" s="2" t="s">
        <v>43</v>
      </c>
      <c r="AB6" s="2" t="s">
        <v>43</v>
      </c>
      <c r="AC6" s="2"/>
      <c r="AD6" s="2"/>
      <c r="AE6" s="2"/>
      <c r="AF6" s="2" t="s">
        <v>43</v>
      </c>
      <c r="AG6" s="2" t="s">
        <v>43</v>
      </c>
      <c r="AH6" s="2" t="s">
        <v>43</v>
      </c>
      <c r="AI6" s="2" t="s">
        <v>43</v>
      </c>
      <c r="AJ6" s="2"/>
      <c r="AK6" s="2" t="s">
        <v>43</v>
      </c>
      <c r="AL6" s="2" t="s">
        <v>43</v>
      </c>
      <c r="AM6" s="2"/>
      <c r="AN6" s="2"/>
    </row>
    <row r="7" spans="1:40" x14ac:dyDescent="0.25">
      <c r="B7" s="3" t="s">
        <v>3</v>
      </c>
      <c r="C7" s="2">
        <f>COUNTIF(E7:AL7,"x")</f>
        <v>8</v>
      </c>
      <c r="D7" s="13">
        <f>SUM(C7/$A$2)</f>
        <v>0.23529411764705882</v>
      </c>
      <c r="E7" s="2"/>
      <c r="F7" s="2" t="s">
        <v>43</v>
      </c>
      <c r="G7" s="2" t="s">
        <v>43</v>
      </c>
      <c r="H7" s="2"/>
      <c r="I7" s="2"/>
      <c r="J7" s="2"/>
      <c r="K7" s="2"/>
      <c r="L7" s="2"/>
      <c r="M7" s="2"/>
      <c r="N7" s="2"/>
      <c r="O7" s="2"/>
      <c r="P7" s="2"/>
      <c r="Q7" s="2" t="s">
        <v>43</v>
      </c>
      <c r="R7" s="2"/>
      <c r="S7" s="2"/>
      <c r="T7" s="2"/>
      <c r="U7" s="2"/>
      <c r="V7" s="2"/>
      <c r="W7" s="2"/>
      <c r="X7" s="2"/>
      <c r="Y7" s="2" t="s">
        <v>43</v>
      </c>
      <c r="Z7" s="2"/>
      <c r="AA7" s="2"/>
      <c r="AB7" s="2"/>
      <c r="AC7" s="2" t="s">
        <v>43</v>
      </c>
      <c r="AD7" s="2" t="s">
        <v>43</v>
      </c>
      <c r="AE7" s="2" t="s">
        <v>43</v>
      </c>
      <c r="AF7" s="2"/>
      <c r="AG7" s="2"/>
      <c r="AH7" s="2"/>
      <c r="AI7" s="2"/>
      <c r="AJ7" s="2" t="s">
        <v>43</v>
      </c>
      <c r="AK7" s="2"/>
      <c r="AL7" s="2"/>
      <c r="AM7" s="2"/>
      <c r="AN7" s="2"/>
    </row>
    <row r="8" spans="1:40" x14ac:dyDescent="0.25">
      <c r="B8" s="3" t="s">
        <v>1</v>
      </c>
      <c r="C8" s="2">
        <f>COUNTIF(E8:AL8,"x")</f>
        <v>1</v>
      </c>
      <c r="D8" s="13">
        <f>SUM(C8/$A$2)</f>
        <v>2.9411764705882353E-2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43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B9" s="3" t="s">
        <v>2</v>
      </c>
      <c r="C9" s="2">
        <f>COUNTIF(E9:AL9,"x")</f>
        <v>0</v>
      </c>
      <c r="D9" s="13">
        <f>SUM(C9/$A$2)</f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1.25" customHeight="1" x14ac:dyDescent="0.25">
      <c r="B10" s="3" t="s">
        <v>5</v>
      </c>
      <c r="C10" s="2">
        <f>COUNTIF(E10:AL10,"x")</f>
        <v>0</v>
      </c>
      <c r="D10" s="13">
        <f>SUM(C10/$A$2)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26" x14ac:dyDescent="0.25">
      <c r="A12" s="2">
        <v>2</v>
      </c>
      <c r="B12" s="8" t="s">
        <v>8</v>
      </c>
      <c r="D12" s="1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2"/>
      <c r="D13" s="1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2"/>
      <c r="B14" s="3" t="s">
        <v>4</v>
      </c>
      <c r="C14" s="2">
        <f>COUNTIF(E14:AL14,"x")</f>
        <v>17</v>
      </c>
      <c r="D14" s="13">
        <f>SUM(C14/$A$2)</f>
        <v>0.5</v>
      </c>
      <c r="E14" s="2"/>
      <c r="F14" s="2"/>
      <c r="G14" s="2" t="s">
        <v>43</v>
      </c>
      <c r="H14" s="2" t="s">
        <v>43</v>
      </c>
      <c r="I14" s="2" t="s">
        <v>43</v>
      </c>
      <c r="J14" s="2" t="s">
        <v>43</v>
      </c>
      <c r="K14" s="2"/>
      <c r="L14" s="2" t="s">
        <v>43</v>
      </c>
      <c r="M14" s="2" t="s">
        <v>43</v>
      </c>
      <c r="N14" s="2" t="s">
        <v>43</v>
      </c>
      <c r="O14" s="2"/>
      <c r="P14" s="2" t="s">
        <v>43</v>
      </c>
      <c r="Q14" s="2"/>
      <c r="R14" s="2" t="s">
        <v>43</v>
      </c>
      <c r="S14" s="2" t="s">
        <v>43</v>
      </c>
      <c r="T14" s="2"/>
      <c r="U14" s="2"/>
      <c r="V14" s="2" t="s">
        <v>43</v>
      </c>
      <c r="W14" s="2" t="s">
        <v>43</v>
      </c>
      <c r="X14" s="2" t="s">
        <v>43</v>
      </c>
      <c r="Y14" s="2"/>
      <c r="Z14" s="2"/>
      <c r="AA14" s="2"/>
      <c r="AB14" s="2" t="s">
        <v>43</v>
      </c>
      <c r="AC14" s="2"/>
      <c r="AD14" s="2"/>
      <c r="AE14" s="2"/>
      <c r="AF14" s="2" t="s">
        <v>43</v>
      </c>
      <c r="AG14" s="2" t="s">
        <v>43</v>
      </c>
      <c r="AH14" s="2" t="s">
        <v>43</v>
      </c>
      <c r="AI14" s="2"/>
      <c r="AJ14" s="2"/>
      <c r="AK14" s="2"/>
      <c r="AL14" s="2"/>
      <c r="AM14" s="2"/>
      <c r="AN14" s="2"/>
    </row>
    <row r="15" spans="1:40" x14ac:dyDescent="0.25">
      <c r="A15" s="2"/>
      <c r="B15" s="3" t="s">
        <v>3</v>
      </c>
      <c r="C15" s="2">
        <f>COUNTIF(E15:AL15,"x")</f>
        <v>13</v>
      </c>
      <c r="D15" s="13">
        <f>SUM(C15/$A$2)</f>
        <v>0.38235294117647056</v>
      </c>
      <c r="E15" s="2" t="s">
        <v>43</v>
      </c>
      <c r="F15" s="2" t="s">
        <v>43</v>
      </c>
      <c r="G15" s="2"/>
      <c r="H15" s="2"/>
      <c r="I15" s="2"/>
      <c r="J15" s="2"/>
      <c r="K15" s="2" t="s">
        <v>43</v>
      </c>
      <c r="L15" s="2"/>
      <c r="M15" s="2"/>
      <c r="N15" s="2"/>
      <c r="O15" s="2" t="s">
        <v>43</v>
      </c>
      <c r="P15" s="2"/>
      <c r="Q15" s="2" t="s">
        <v>43</v>
      </c>
      <c r="R15" s="2"/>
      <c r="S15" s="2"/>
      <c r="T15" s="2" t="s">
        <v>43</v>
      </c>
      <c r="U15" s="2"/>
      <c r="V15" s="2"/>
      <c r="W15" s="2"/>
      <c r="X15" s="2"/>
      <c r="Y15" s="2" t="s">
        <v>43</v>
      </c>
      <c r="Z15" s="2"/>
      <c r="AA15" s="2" t="s">
        <v>43</v>
      </c>
      <c r="AB15" s="2"/>
      <c r="AC15" s="2" t="s">
        <v>43</v>
      </c>
      <c r="AD15" s="2"/>
      <c r="AE15" s="2" t="s">
        <v>43</v>
      </c>
      <c r="AF15" s="2"/>
      <c r="AG15" s="2"/>
      <c r="AH15" s="2"/>
      <c r="AI15" s="2" t="s">
        <v>43</v>
      </c>
      <c r="AJ15" s="2"/>
      <c r="AK15" s="2" t="s">
        <v>43</v>
      </c>
      <c r="AL15" s="2" t="s">
        <v>43</v>
      </c>
      <c r="AM15" s="2"/>
      <c r="AN15" s="2"/>
    </row>
    <row r="16" spans="1:40" x14ac:dyDescent="0.25">
      <c r="A16" s="2"/>
      <c r="B16" s="3" t="s">
        <v>1</v>
      </c>
      <c r="C16" s="2">
        <f>COUNTIF(E16:AL16,"x")</f>
        <v>2</v>
      </c>
      <c r="D16" s="13">
        <f>SUM(C16/$A$2)</f>
        <v>5.8823529411764705E-2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43</v>
      </c>
      <c r="V16" s="2"/>
      <c r="W16" s="2"/>
      <c r="X16" s="2"/>
      <c r="Y16" s="2"/>
      <c r="Z16" s="2" t="s">
        <v>43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25">
      <c r="A17" s="2"/>
      <c r="B17" s="3" t="s">
        <v>2</v>
      </c>
      <c r="C17" s="2">
        <f>COUNTIF(E17:AL17,"x")</f>
        <v>1</v>
      </c>
      <c r="D17" s="13">
        <f>SUM(C17/$A$2)</f>
        <v>2.9411764705882353E-2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43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1.25" customHeight="1" x14ac:dyDescent="0.25">
      <c r="A18" s="2"/>
      <c r="B18" s="3" t="s">
        <v>5</v>
      </c>
      <c r="C18" s="2">
        <f>COUNTIF(E18:AL18,"x")</f>
        <v>1</v>
      </c>
      <c r="D18" s="13">
        <f>SUM(C18/$A$2)</f>
        <v>2.9411764705882353E-2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 t="s">
        <v>43</v>
      </c>
      <c r="AK18" s="2"/>
      <c r="AL18" s="2"/>
      <c r="AM18" s="2"/>
      <c r="AN18" s="2"/>
    </row>
    <row r="19" spans="1:40" ht="12" customHeight="1" x14ac:dyDescent="0.25">
      <c r="A19" s="2"/>
      <c r="B19" s="3"/>
      <c r="D19" s="1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52" x14ac:dyDescent="0.25">
      <c r="A20" s="2">
        <v>3</v>
      </c>
      <c r="B20" s="8" t="s">
        <v>10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25">
      <c r="A21" s="2"/>
      <c r="D21" s="1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25">
      <c r="A22" s="2"/>
      <c r="B22" s="3" t="s">
        <v>4</v>
      </c>
      <c r="C22" s="2">
        <f>COUNTIF(E22:AL22,"x")</f>
        <v>1</v>
      </c>
      <c r="D22" s="13">
        <f>SUM(C22/$A$2)</f>
        <v>2.9411764705882353E-2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43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25">
      <c r="A23" s="2"/>
      <c r="B23" s="3" t="s">
        <v>3</v>
      </c>
      <c r="C23" s="2">
        <f>COUNTIF(E23:AL23,"x")</f>
        <v>5</v>
      </c>
      <c r="D23" s="13">
        <f>SUM(C23/$A$2)</f>
        <v>0.14705882352941177</v>
      </c>
      <c r="E23" s="2"/>
      <c r="F23" s="2"/>
      <c r="G23" s="2"/>
      <c r="H23" s="2" t="s">
        <v>43</v>
      </c>
      <c r="I23" s="2"/>
      <c r="J23" s="2"/>
      <c r="K23" s="2"/>
      <c r="L23" s="2"/>
      <c r="M23" s="2" t="s">
        <v>43</v>
      </c>
      <c r="N23" s="2"/>
      <c r="O23" s="2" t="s">
        <v>43</v>
      </c>
      <c r="P23" s="2"/>
      <c r="Q23" s="2"/>
      <c r="R23" s="2"/>
      <c r="S23" s="2" t="s">
        <v>43</v>
      </c>
      <c r="T23" s="2"/>
      <c r="U23" s="2"/>
      <c r="V23" s="2" t="s">
        <v>43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25">
      <c r="A24" s="2"/>
      <c r="B24" s="3" t="s">
        <v>1</v>
      </c>
      <c r="C24" s="2">
        <f>COUNTIF(E24:AL24,"x")</f>
        <v>7</v>
      </c>
      <c r="D24" s="13">
        <f>SUM(C24/$A$2)</f>
        <v>0.20588235294117646</v>
      </c>
      <c r="E24" s="2"/>
      <c r="F24" s="2" t="s">
        <v>43</v>
      </c>
      <c r="G24" s="2" t="s">
        <v>43</v>
      </c>
      <c r="H24" s="2"/>
      <c r="I24" s="2" t="s">
        <v>43</v>
      </c>
      <c r="J24" s="2"/>
      <c r="K24" s="2"/>
      <c r="L24" s="2"/>
      <c r="M24" s="2"/>
      <c r="N24" s="2"/>
      <c r="O24" s="2"/>
      <c r="P24" s="2"/>
      <c r="Q24" s="2" t="s">
        <v>43</v>
      </c>
      <c r="R24" s="2"/>
      <c r="S24" s="2"/>
      <c r="T24" s="2" t="s">
        <v>43</v>
      </c>
      <c r="U24" s="2"/>
      <c r="V24" s="2"/>
      <c r="W24" s="2"/>
      <c r="X24" s="2"/>
      <c r="Y24" s="2"/>
      <c r="Z24" s="2"/>
      <c r="AA24" s="2"/>
      <c r="AB24" s="2"/>
      <c r="AC24" s="2" t="s">
        <v>43</v>
      </c>
      <c r="AD24" s="2"/>
      <c r="AE24" s="2"/>
      <c r="AF24" s="2"/>
      <c r="AG24" s="2"/>
      <c r="AH24" s="2"/>
      <c r="AI24" s="2"/>
      <c r="AJ24" s="2"/>
      <c r="AK24" s="2" t="s">
        <v>43</v>
      </c>
      <c r="AL24" s="2"/>
      <c r="AM24" s="2"/>
      <c r="AN24" s="2"/>
    </row>
    <row r="25" spans="1:40" x14ac:dyDescent="0.25">
      <c r="A25" s="2"/>
      <c r="B25" s="3" t="s">
        <v>2</v>
      </c>
      <c r="C25" s="2">
        <f>COUNTIF(E25:AL25,"x")</f>
        <v>15</v>
      </c>
      <c r="D25" s="13">
        <f>SUM(C25/$A$2)</f>
        <v>0.44117647058823528</v>
      </c>
      <c r="E25" s="2"/>
      <c r="F25" s="2"/>
      <c r="G25" s="2"/>
      <c r="H25" s="2"/>
      <c r="I25" s="2"/>
      <c r="J25" s="2" t="s">
        <v>43</v>
      </c>
      <c r="K25" s="2" t="s">
        <v>43</v>
      </c>
      <c r="L25" s="2" t="s">
        <v>43</v>
      </c>
      <c r="M25" s="2"/>
      <c r="N25" s="2" t="s">
        <v>43</v>
      </c>
      <c r="O25" s="2"/>
      <c r="P25" s="2" t="s">
        <v>43</v>
      </c>
      <c r="Q25" s="2"/>
      <c r="R25" s="2"/>
      <c r="S25" s="2"/>
      <c r="T25" s="2"/>
      <c r="U25" s="2"/>
      <c r="V25" s="2"/>
      <c r="W25" s="2"/>
      <c r="X25" s="2" t="s">
        <v>43</v>
      </c>
      <c r="Y25" s="2"/>
      <c r="Z25" s="2"/>
      <c r="AA25" s="2" t="s">
        <v>43</v>
      </c>
      <c r="AB25" s="2" t="s">
        <v>43</v>
      </c>
      <c r="AC25" s="2"/>
      <c r="AD25" s="2" t="s">
        <v>43</v>
      </c>
      <c r="AE25" s="2" t="s">
        <v>43</v>
      </c>
      <c r="AF25" s="2" t="s">
        <v>43</v>
      </c>
      <c r="AG25" s="2" t="s">
        <v>43</v>
      </c>
      <c r="AH25" s="2" t="s">
        <v>43</v>
      </c>
      <c r="AI25" s="2" t="s">
        <v>43</v>
      </c>
      <c r="AJ25" s="2"/>
      <c r="AK25" s="2"/>
      <c r="AL25" s="2" t="s">
        <v>43</v>
      </c>
      <c r="AM25" s="2"/>
      <c r="AN25" s="2"/>
    </row>
    <row r="26" spans="1:40" x14ac:dyDescent="0.25">
      <c r="A26" s="2"/>
      <c r="B26" s="3" t="s">
        <v>5</v>
      </c>
      <c r="C26" s="2">
        <f>COUNTIF(E26:AL26,"x")</f>
        <v>6</v>
      </c>
      <c r="D26" s="13">
        <f>SUM(C26/$A$2)</f>
        <v>0.17647058823529413</v>
      </c>
      <c r="E26" s="2" t="s">
        <v>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43</v>
      </c>
      <c r="S26" s="2"/>
      <c r="T26" s="2"/>
      <c r="U26" s="2" t="s">
        <v>43</v>
      </c>
      <c r="V26" s="2"/>
      <c r="W26" s="2"/>
      <c r="X26" s="2"/>
      <c r="Y26" s="2" t="s">
        <v>43</v>
      </c>
      <c r="Z26" s="2" t="s">
        <v>43</v>
      </c>
      <c r="AA26" s="2"/>
      <c r="AB26" s="2"/>
      <c r="AC26" s="2"/>
      <c r="AD26" s="2"/>
      <c r="AE26" s="2"/>
      <c r="AF26" s="2"/>
      <c r="AG26" s="2"/>
      <c r="AH26" s="2"/>
      <c r="AI26" s="2"/>
      <c r="AJ26" s="2" t="s">
        <v>43</v>
      </c>
      <c r="AK26" s="2"/>
      <c r="AL26" s="2"/>
      <c r="AM26" s="2"/>
      <c r="AN26" s="2"/>
    </row>
    <row r="27" spans="1:40" x14ac:dyDescent="0.25">
      <c r="A27" s="2"/>
      <c r="D27" s="1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26" x14ac:dyDescent="0.25">
      <c r="A28" s="2">
        <v>4</v>
      </c>
      <c r="B28" s="8" t="s">
        <v>42</v>
      </c>
      <c r="D28" s="1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x14ac:dyDescent="0.25">
      <c r="A29" s="2"/>
      <c r="D29" s="1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x14ac:dyDescent="0.25">
      <c r="A30" s="2"/>
      <c r="B30" s="3" t="s">
        <v>4</v>
      </c>
      <c r="C30" s="2">
        <f>COUNTIF(E30:AL30,"x")</f>
        <v>0</v>
      </c>
      <c r="D30" s="13">
        <f>SUM(C30/$A$2)</f>
        <v>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x14ac:dyDescent="0.25">
      <c r="A31" s="2"/>
      <c r="B31" s="3" t="s">
        <v>3</v>
      </c>
      <c r="C31" s="2">
        <f>COUNTIF(E31:AL31,"x")</f>
        <v>0</v>
      </c>
      <c r="D31" s="13">
        <f>SUM(C31/$A$2)</f>
        <v>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x14ac:dyDescent="0.25">
      <c r="A32" s="2"/>
      <c r="B32" s="3" t="s">
        <v>1</v>
      </c>
      <c r="C32" s="2">
        <f>COUNTIF(E32:AL32,"x")</f>
        <v>0</v>
      </c>
      <c r="D32" s="13">
        <f>SUM(C32/$A$2)</f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x14ac:dyDescent="0.25">
      <c r="A33" s="2"/>
      <c r="B33" s="3" t="s">
        <v>2</v>
      </c>
      <c r="C33" s="2">
        <f>COUNTIF(E33:AL33,"x")</f>
        <v>4</v>
      </c>
      <c r="D33" s="13">
        <f>SUM(C33/$A$2)</f>
        <v>0.11764705882352941</v>
      </c>
      <c r="E33" s="2"/>
      <c r="F33" s="2"/>
      <c r="G33" s="2"/>
      <c r="H33" s="2"/>
      <c r="I33" s="2"/>
      <c r="J33" s="2"/>
      <c r="K33" s="2" t="s">
        <v>43</v>
      </c>
      <c r="L33" s="2"/>
      <c r="M33" s="2"/>
      <c r="N33" s="2"/>
      <c r="O33" s="2"/>
      <c r="P33" s="2"/>
      <c r="Q33" s="2"/>
      <c r="R33" s="2"/>
      <c r="S33" s="2"/>
      <c r="T33" s="2"/>
      <c r="U33" s="2" t="s">
        <v>43</v>
      </c>
      <c r="V33" s="2"/>
      <c r="W33" s="2"/>
      <c r="X33" s="2"/>
      <c r="Y33" s="2"/>
      <c r="Z33" s="2"/>
      <c r="AA33" s="2"/>
      <c r="AB33" s="2"/>
      <c r="AC33" s="2"/>
      <c r="AD33" s="2"/>
      <c r="AE33" s="2" t="s">
        <v>43</v>
      </c>
      <c r="AF33" s="2"/>
      <c r="AG33" s="2"/>
      <c r="AH33" s="2"/>
      <c r="AI33" s="2"/>
      <c r="AJ33" s="2" t="s">
        <v>43</v>
      </c>
      <c r="AK33" s="2"/>
      <c r="AL33" s="2"/>
      <c r="AM33" s="2"/>
      <c r="AN33" s="2"/>
    </row>
    <row r="34" spans="1:40" x14ac:dyDescent="0.25">
      <c r="A34" s="2"/>
      <c r="B34" s="3" t="s">
        <v>5</v>
      </c>
      <c r="C34" s="2">
        <f>COUNTIF(E34:AL34,"x")</f>
        <v>30</v>
      </c>
      <c r="D34" s="13">
        <f>SUM(C34/$A$2)</f>
        <v>0.88235294117647056</v>
      </c>
      <c r="E34" s="2" t="s">
        <v>43</v>
      </c>
      <c r="F34" s="2" t="s">
        <v>43</v>
      </c>
      <c r="G34" s="2" t="s">
        <v>43</v>
      </c>
      <c r="H34" s="2" t="s">
        <v>43</v>
      </c>
      <c r="I34" s="2" t="s">
        <v>43</v>
      </c>
      <c r="J34" s="2" t="s">
        <v>43</v>
      </c>
      <c r="K34" s="2"/>
      <c r="L34" s="2" t="s">
        <v>43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43</v>
      </c>
      <c r="S34" s="2" t="s">
        <v>43</v>
      </c>
      <c r="T34" s="2" t="s">
        <v>43</v>
      </c>
      <c r="U34" s="2"/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43</v>
      </c>
      <c r="AB34" s="2" t="s">
        <v>43</v>
      </c>
      <c r="AC34" s="2" t="s">
        <v>43</v>
      </c>
      <c r="AD34" s="2" t="s">
        <v>43</v>
      </c>
      <c r="AE34" s="2"/>
      <c r="AF34" s="2" t="s">
        <v>43</v>
      </c>
      <c r="AG34" s="2" t="s">
        <v>43</v>
      </c>
      <c r="AH34" s="2" t="s">
        <v>43</v>
      </c>
      <c r="AI34" s="2" t="s">
        <v>43</v>
      </c>
      <c r="AJ34" s="2"/>
      <c r="AK34" s="2" t="s">
        <v>43</v>
      </c>
      <c r="AL34" s="2" t="s">
        <v>43</v>
      </c>
      <c r="AM34" s="2"/>
      <c r="AN34" s="2"/>
    </row>
    <row r="35" spans="1:40" x14ac:dyDescent="0.25">
      <c r="A35" s="2"/>
      <c r="D35" s="1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x14ac:dyDescent="0.25">
      <c r="A36" s="2"/>
      <c r="D36" s="1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x14ac:dyDescent="0.25">
      <c r="A37" s="2"/>
      <c r="D37" s="1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s="7" customFormat="1" ht="39" x14ac:dyDescent="0.25">
      <c r="A38" s="10">
        <v>5</v>
      </c>
      <c r="B38" s="8" t="s">
        <v>11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 x14ac:dyDescent="0.25">
      <c r="A39" s="2"/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x14ac:dyDescent="0.25">
      <c r="A40" s="2"/>
      <c r="B40" s="3" t="s">
        <v>4</v>
      </c>
      <c r="C40" s="2">
        <f>COUNTIF(E40:AL40,"x")</f>
        <v>7</v>
      </c>
      <c r="D40" s="13">
        <f>SUM(C40/$A$2)</f>
        <v>0.20588235294117646</v>
      </c>
      <c r="E40" s="2"/>
      <c r="F40" s="2"/>
      <c r="G40" s="2"/>
      <c r="H40" s="2"/>
      <c r="I40" s="2" t="s">
        <v>43</v>
      </c>
      <c r="J40" s="2"/>
      <c r="K40" s="2"/>
      <c r="L40" s="2"/>
      <c r="M40" s="2"/>
      <c r="N40" s="2" t="s">
        <v>43</v>
      </c>
      <c r="O40" s="2"/>
      <c r="P40" s="2"/>
      <c r="Q40" s="2" t="s">
        <v>43</v>
      </c>
      <c r="R40" s="2"/>
      <c r="S40" s="2"/>
      <c r="T40" s="2"/>
      <c r="U40" s="2"/>
      <c r="V40" s="2"/>
      <c r="W40" s="2" t="s">
        <v>43</v>
      </c>
      <c r="X40" s="2"/>
      <c r="Y40" s="2"/>
      <c r="Z40" s="2"/>
      <c r="AA40" s="2" t="s">
        <v>43</v>
      </c>
      <c r="AB40" s="2" t="s">
        <v>43</v>
      </c>
      <c r="AC40" s="2"/>
      <c r="AD40" s="2"/>
      <c r="AE40" s="2"/>
      <c r="AF40" s="2"/>
      <c r="AG40" s="2"/>
      <c r="AH40" s="2" t="s">
        <v>43</v>
      </c>
      <c r="AI40" s="2"/>
      <c r="AJ40" s="2"/>
      <c r="AK40" s="2"/>
      <c r="AL40" s="2"/>
      <c r="AM40" s="2"/>
      <c r="AN40" s="2"/>
    </row>
    <row r="41" spans="1:40" x14ac:dyDescent="0.25">
      <c r="A41" s="2"/>
      <c r="B41" s="3" t="s">
        <v>3</v>
      </c>
      <c r="C41" s="2">
        <f>COUNTIF(E41:AL41,"x")</f>
        <v>11</v>
      </c>
      <c r="D41" s="13">
        <f>SUM(C41/$A$2)</f>
        <v>0.3235294117647059</v>
      </c>
      <c r="E41" s="2"/>
      <c r="F41" s="2"/>
      <c r="G41" s="2" t="s">
        <v>43</v>
      </c>
      <c r="H41" s="2" t="s">
        <v>43</v>
      </c>
      <c r="I41" s="2"/>
      <c r="J41" s="2" t="s">
        <v>43</v>
      </c>
      <c r="K41" s="2"/>
      <c r="L41" s="2" t="s">
        <v>43</v>
      </c>
      <c r="M41" s="2" t="s">
        <v>43</v>
      </c>
      <c r="N41" s="2"/>
      <c r="O41" s="2"/>
      <c r="P41" s="2"/>
      <c r="Q41" s="2"/>
      <c r="R41" s="2" t="s">
        <v>43</v>
      </c>
      <c r="S41" s="2" t="s">
        <v>43</v>
      </c>
      <c r="T41" s="2"/>
      <c r="U41" s="2"/>
      <c r="V41" s="2" t="s">
        <v>43</v>
      </c>
      <c r="W41" s="2"/>
      <c r="X41" s="2" t="s">
        <v>43</v>
      </c>
      <c r="Y41" s="2"/>
      <c r="Z41" s="2"/>
      <c r="AA41" s="2"/>
      <c r="AB41" s="2"/>
      <c r="AC41" s="2"/>
      <c r="AD41" s="2" t="s">
        <v>43</v>
      </c>
      <c r="AE41" s="2"/>
      <c r="AF41" s="2"/>
      <c r="AG41" s="2"/>
      <c r="AH41" s="2"/>
      <c r="AI41" s="2" t="s">
        <v>43</v>
      </c>
      <c r="AJ41" s="2"/>
      <c r="AK41" s="2"/>
      <c r="AL41" s="2"/>
      <c r="AM41" s="2"/>
      <c r="AN41" s="2"/>
    </row>
    <row r="42" spans="1:40" x14ac:dyDescent="0.25">
      <c r="A42" s="2"/>
      <c r="B42" s="3" t="s">
        <v>1</v>
      </c>
      <c r="C42" s="2">
        <f>COUNTIF(E42:AL42,"x")</f>
        <v>1</v>
      </c>
      <c r="D42" s="13">
        <f>SUM(C42/$A$2)</f>
        <v>2.9411764705882353E-2</v>
      </c>
      <c r="E42" s="2"/>
      <c r="F42" s="2" t="s">
        <v>43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x14ac:dyDescent="0.25">
      <c r="A43" s="2"/>
      <c r="B43" s="3" t="s">
        <v>2</v>
      </c>
      <c r="C43" s="2">
        <f>COUNTIF(E43:AL43,"x")</f>
        <v>5</v>
      </c>
      <c r="D43" s="13">
        <f>SUM(C43/$A$2)</f>
        <v>0.14705882352941177</v>
      </c>
      <c r="E43" s="2"/>
      <c r="F43" s="2"/>
      <c r="G43" s="2"/>
      <c r="H43" s="2"/>
      <c r="I43" s="2"/>
      <c r="J43" s="2"/>
      <c r="K43" s="2" t="s">
        <v>43</v>
      </c>
      <c r="L43" s="2"/>
      <c r="M43" s="2"/>
      <c r="N43" s="2"/>
      <c r="O43" s="2" t="s">
        <v>43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 t="s">
        <v>43</v>
      </c>
      <c r="AD43" s="2"/>
      <c r="AE43" s="2"/>
      <c r="AF43" s="2" t="s">
        <v>43</v>
      </c>
      <c r="AG43" s="2"/>
      <c r="AH43" s="2"/>
      <c r="AI43" s="2"/>
      <c r="AJ43" s="2"/>
      <c r="AK43" s="2"/>
      <c r="AL43" s="2" t="s">
        <v>43</v>
      </c>
      <c r="AM43" s="2"/>
      <c r="AN43" s="2"/>
    </row>
    <row r="44" spans="1:40" x14ac:dyDescent="0.25">
      <c r="A44" s="2"/>
      <c r="B44" s="3" t="s">
        <v>5</v>
      </c>
      <c r="C44" s="2">
        <f>COUNTIF(E44:AL44,"x")</f>
        <v>10</v>
      </c>
      <c r="D44" s="13">
        <f>SUM(C44/$A$2)</f>
        <v>0.29411764705882354</v>
      </c>
      <c r="E44" s="2" t="s">
        <v>43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43</v>
      </c>
      <c r="Q44" s="2"/>
      <c r="R44" s="2"/>
      <c r="S44" s="2"/>
      <c r="T44" s="2" t="s">
        <v>43</v>
      </c>
      <c r="U44" s="2" t="s">
        <v>43</v>
      </c>
      <c r="V44" s="2"/>
      <c r="W44" s="2"/>
      <c r="X44" s="2"/>
      <c r="Y44" s="2" t="s">
        <v>43</v>
      </c>
      <c r="Z44" s="2" t="s">
        <v>43</v>
      </c>
      <c r="AA44" s="2"/>
      <c r="AB44" s="2"/>
      <c r="AC44" s="2"/>
      <c r="AD44" s="2"/>
      <c r="AE44" s="2" t="s">
        <v>43</v>
      </c>
      <c r="AF44" s="2"/>
      <c r="AG44" s="2" t="s">
        <v>43</v>
      </c>
      <c r="AH44" s="2"/>
      <c r="AI44" s="2"/>
      <c r="AJ44" s="2" t="s">
        <v>43</v>
      </c>
      <c r="AK44" s="2" t="s">
        <v>43</v>
      </c>
      <c r="AL44" s="2"/>
      <c r="AM44" s="2"/>
      <c r="AN44" s="2"/>
    </row>
    <row r="45" spans="1:40" x14ac:dyDescent="0.25">
      <c r="A45" s="2"/>
      <c r="D45" s="1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39" x14ac:dyDescent="0.25">
      <c r="A46" s="2">
        <v>6</v>
      </c>
      <c r="B46" s="8" t="s">
        <v>12</v>
      </c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x14ac:dyDescent="0.25">
      <c r="A47" s="2"/>
      <c r="D47" s="1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x14ac:dyDescent="0.25">
      <c r="A48" s="2"/>
      <c r="B48" s="3" t="s">
        <v>4</v>
      </c>
      <c r="C48" s="2">
        <f>COUNTIF(E48:AL48,"x")</f>
        <v>11</v>
      </c>
      <c r="D48" s="13">
        <f>SUM(C48/$A$2)</f>
        <v>0.3235294117647059</v>
      </c>
      <c r="E48" s="2" t="s">
        <v>43</v>
      </c>
      <c r="F48" s="2"/>
      <c r="G48" s="2"/>
      <c r="H48" s="2"/>
      <c r="I48" s="2" t="s">
        <v>43</v>
      </c>
      <c r="J48" s="2"/>
      <c r="K48" s="2"/>
      <c r="L48" s="2"/>
      <c r="M48" s="2"/>
      <c r="N48" s="2"/>
      <c r="O48" s="2" t="s">
        <v>43</v>
      </c>
      <c r="P48" s="2"/>
      <c r="Q48" s="2"/>
      <c r="R48" s="2" t="s">
        <v>43</v>
      </c>
      <c r="S48" s="2" t="s">
        <v>43</v>
      </c>
      <c r="T48" s="2"/>
      <c r="U48" s="2"/>
      <c r="V48" s="2" t="s">
        <v>43</v>
      </c>
      <c r="W48" s="2" t="s">
        <v>43</v>
      </c>
      <c r="X48" s="2"/>
      <c r="Y48" s="2"/>
      <c r="Z48" s="2"/>
      <c r="AA48" s="2" t="s">
        <v>43</v>
      </c>
      <c r="AB48" s="2" t="s">
        <v>43</v>
      </c>
      <c r="AC48" s="2"/>
      <c r="AD48" s="2"/>
      <c r="AE48" s="2"/>
      <c r="AF48" s="2"/>
      <c r="AG48" s="2"/>
      <c r="AH48" s="2"/>
      <c r="AI48" s="2" t="s">
        <v>43</v>
      </c>
      <c r="AJ48" s="2" t="s">
        <v>43</v>
      </c>
      <c r="AK48" s="2"/>
      <c r="AL48" s="2"/>
      <c r="AM48" s="2"/>
      <c r="AN48" s="2"/>
    </row>
    <row r="49" spans="1:40" x14ac:dyDescent="0.25">
      <c r="A49" s="2"/>
      <c r="B49" s="3" t="s">
        <v>3</v>
      </c>
      <c r="C49" s="2">
        <f>COUNTIF(E49:AL49,"x")</f>
        <v>17</v>
      </c>
      <c r="D49" s="13">
        <f>SUM(C49/$A$2)</f>
        <v>0.5</v>
      </c>
      <c r="E49" s="2"/>
      <c r="F49" s="2"/>
      <c r="G49" s="2" t="s">
        <v>43</v>
      </c>
      <c r="H49" s="2" t="s">
        <v>43</v>
      </c>
      <c r="I49" s="2"/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43</v>
      </c>
      <c r="O49" s="2"/>
      <c r="P49" s="2" t="s">
        <v>43</v>
      </c>
      <c r="Q49" s="2" t="s">
        <v>43</v>
      </c>
      <c r="R49" s="2"/>
      <c r="S49" s="2"/>
      <c r="T49" s="2" t="s">
        <v>43</v>
      </c>
      <c r="U49" s="2"/>
      <c r="V49" s="2"/>
      <c r="W49" s="2"/>
      <c r="X49" s="2"/>
      <c r="Y49" s="2" t="s">
        <v>43</v>
      </c>
      <c r="Z49" s="2"/>
      <c r="AA49" s="2"/>
      <c r="AB49" s="2"/>
      <c r="AC49" s="2"/>
      <c r="AD49" s="2"/>
      <c r="AE49" s="2" t="s">
        <v>43</v>
      </c>
      <c r="AF49" s="2" t="s">
        <v>43</v>
      </c>
      <c r="AG49" s="2" t="s">
        <v>43</v>
      </c>
      <c r="AH49" s="2" t="s">
        <v>43</v>
      </c>
      <c r="AI49" s="2"/>
      <c r="AJ49" s="2"/>
      <c r="AK49" s="2" t="s">
        <v>43</v>
      </c>
      <c r="AL49" s="2" t="s">
        <v>43</v>
      </c>
      <c r="AM49" s="2"/>
      <c r="AN49" s="2"/>
    </row>
    <row r="50" spans="1:40" x14ac:dyDescent="0.25">
      <c r="A50" s="2"/>
      <c r="B50" s="3" t="s">
        <v>1</v>
      </c>
      <c r="C50" s="2">
        <f>COUNTIF(E50:AL50,"x")</f>
        <v>4</v>
      </c>
      <c r="D50" s="13">
        <f>SUM(C50/$A$2)</f>
        <v>0.11764705882352941</v>
      </c>
      <c r="E50" s="2"/>
      <c r="F50" s="2" t="s">
        <v>43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43</v>
      </c>
      <c r="V50" s="2"/>
      <c r="W50" s="2"/>
      <c r="X50" s="2" t="s">
        <v>43</v>
      </c>
      <c r="Y50" s="2"/>
      <c r="Z50" s="2"/>
      <c r="AA50" s="2"/>
      <c r="AB50" s="2"/>
      <c r="AC50" s="2" t="s">
        <v>43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x14ac:dyDescent="0.25">
      <c r="A51" s="2"/>
      <c r="B51" s="3" t="s">
        <v>2</v>
      </c>
      <c r="C51" s="2">
        <f>COUNTIF(E51:AL51,"x")</f>
        <v>2</v>
      </c>
      <c r="D51" s="13">
        <f>SUM(C51/$A$2)</f>
        <v>5.8823529411764705E-2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 t="s">
        <v>43</v>
      </c>
      <c r="AA51" s="2"/>
      <c r="AB51" s="2"/>
      <c r="AC51" s="2"/>
      <c r="AD51" s="2" t="s">
        <v>43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x14ac:dyDescent="0.25">
      <c r="A52" s="2"/>
      <c r="B52" s="3" t="s">
        <v>5</v>
      </c>
      <c r="C52" s="2">
        <f>COUNTIF(E52:AL52,"x")</f>
        <v>0</v>
      </c>
      <c r="D52" s="13">
        <f>SUM(C52/$A$2)</f>
        <v>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x14ac:dyDescent="0.25">
      <c r="A53" s="2"/>
      <c r="D53" s="1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39" x14ac:dyDescent="0.25">
      <c r="A54" s="2">
        <v>7</v>
      </c>
      <c r="B54" s="8" t="s">
        <v>13</v>
      </c>
      <c r="D54" s="1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x14ac:dyDescent="0.25">
      <c r="A55" s="2"/>
      <c r="D55" s="1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x14ac:dyDescent="0.25">
      <c r="A56" s="2"/>
      <c r="B56" s="3" t="s">
        <v>4</v>
      </c>
      <c r="C56" s="2">
        <f>COUNTIF(E56:AL56,"x")</f>
        <v>1</v>
      </c>
      <c r="D56" s="13">
        <f>SUM(C56/$A$2)</f>
        <v>2.9411764705882353E-2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43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x14ac:dyDescent="0.25">
      <c r="A57" s="2"/>
      <c r="B57" s="3" t="s">
        <v>3</v>
      </c>
      <c r="C57" s="2">
        <f>COUNTIF(E57:AL57,"x")</f>
        <v>2</v>
      </c>
      <c r="D57" s="13">
        <f>SUM(C57/$A$2)</f>
        <v>5.8823529411764705E-2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">
        <v>43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 t="s">
        <v>43</v>
      </c>
      <c r="AJ57" s="2"/>
      <c r="AK57" s="2"/>
      <c r="AL57" s="2"/>
      <c r="AM57" s="2"/>
      <c r="AN57" s="2"/>
    </row>
    <row r="58" spans="1:40" x14ac:dyDescent="0.25">
      <c r="A58" s="2"/>
      <c r="B58" s="3" t="s">
        <v>1</v>
      </c>
      <c r="C58" s="2">
        <f>COUNTIF(E58:AL58,"x")</f>
        <v>10</v>
      </c>
      <c r="D58" s="13">
        <f>SUM(C58/$A$2)</f>
        <v>0.29411764705882354</v>
      </c>
      <c r="E58" s="2"/>
      <c r="F58" s="2"/>
      <c r="G58" s="2" t="s">
        <v>43</v>
      </c>
      <c r="H58" s="2" t="s">
        <v>43</v>
      </c>
      <c r="I58" s="2"/>
      <c r="J58" s="2"/>
      <c r="K58" s="2" t="s">
        <v>43</v>
      </c>
      <c r="L58" s="2"/>
      <c r="M58" s="2"/>
      <c r="N58" s="2" t="s">
        <v>43</v>
      </c>
      <c r="O58" s="2" t="s">
        <v>43</v>
      </c>
      <c r="P58" s="2"/>
      <c r="Q58" s="2" t="s">
        <v>43</v>
      </c>
      <c r="R58" s="2"/>
      <c r="S58" s="2" t="s">
        <v>43</v>
      </c>
      <c r="T58" s="2"/>
      <c r="U58" s="2"/>
      <c r="V58" s="2" t="s">
        <v>43</v>
      </c>
      <c r="W58" s="2"/>
      <c r="X58" s="2"/>
      <c r="Y58" s="2"/>
      <c r="Z58" s="2"/>
      <c r="AA58" s="2" t="s">
        <v>43</v>
      </c>
      <c r="AB58" s="2"/>
      <c r="AC58" s="2"/>
      <c r="AD58" s="2"/>
      <c r="AE58" s="2"/>
      <c r="AF58" s="2" t="s">
        <v>43</v>
      </c>
      <c r="AG58" s="2"/>
      <c r="AH58" s="2"/>
      <c r="AI58" s="2"/>
      <c r="AJ58" s="2"/>
      <c r="AK58" s="2"/>
      <c r="AL58" s="2"/>
      <c r="AM58" s="2"/>
      <c r="AN58" s="2"/>
    </row>
    <row r="59" spans="1:40" x14ac:dyDescent="0.25">
      <c r="A59" s="2"/>
      <c r="B59" s="3" t="s">
        <v>2</v>
      </c>
      <c r="C59" s="2">
        <f>COUNTIF(E59:AL59,"x")</f>
        <v>8</v>
      </c>
      <c r="D59" s="13">
        <f>SUM(C59/$A$2)</f>
        <v>0.23529411764705882</v>
      </c>
      <c r="E59" s="2"/>
      <c r="F59" s="2" t="s">
        <v>43</v>
      </c>
      <c r="G59" s="2"/>
      <c r="H59" s="2"/>
      <c r="I59" s="2" t="s">
        <v>43</v>
      </c>
      <c r="J59" s="2"/>
      <c r="K59" s="2"/>
      <c r="L59" s="2" t="s">
        <v>43</v>
      </c>
      <c r="M59" s="2" t="s">
        <v>43</v>
      </c>
      <c r="N59" s="2"/>
      <c r="O59" s="2"/>
      <c r="P59" s="2" t="s">
        <v>43</v>
      </c>
      <c r="Q59" s="2"/>
      <c r="R59" s="2"/>
      <c r="S59" s="2"/>
      <c r="T59" s="2"/>
      <c r="U59" s="2"/>
      <c r="V59" s="2"/>
      <c r="W59" s="2"/>
      <c r="X59" s="2" t="s">
        <v>43</v>
      </c>
      <c r="Y59" s="2"/>
      <c r="Z59" s="2"/>
      <c r="AA59" s="2"/>
      <c r="AB59" s="2" t="s">
        <v>43</v>
      </c>
      <c r="AC59" s="2" t="s">
        <v>43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x14ac:dyDescent="0.25">
      <c r="A60" s="2"/>
      <c r="B60" s="3" t="s">
        <v>5</v>
      </c>
      <c r="C60" s="2">
        <f>COUNTIF(E60:AL60,"x")</f>
        <v>13</v>
      </c>
      <c r="D60" s="13">
        <f>SUM(C60/$A$2)</f>
        <v>0.38235294117647056</v>
      </c>
      <c r="E60" s="2" t="s">
        <v>43</v>
      </c>
      <c r="F60" s="2"/>
      <c r="G60" s="2"/>
      <c r="H60" s="2"/>
      <c r="I60" s="2"/>
      <c r="J60" s="2" t="s">
        <v>43</v>
      </c>
      <c r="K60" s="2"/>
      <c r="L60" s="2"/>
      <c r="M60" s="2"/>
      <c r="N60" s="2"/>
      <c r="O60" s="2"/>
      <c r="P60" s="2"/>
      <c r="Q60" s="2"/>
      <c r="R60" s="2" t="s">
        <v>43</v>
      </c>
      <c r="S60" s="2"/>
      <c r="T60" s="2"/>
      <c r="U60" s="2" t="s">
        <v>43</v>
      </c>
      <c r="V60" s="2"/>
      <c r="W60" s="2"/>
      <c r="X60" s="2"/>
      <c r="Y60" s="2" t="s">
        <v>43</v>
      </c>
      <c r="Z60" s="2" t="s">
        <v>43</v>
      </c>
      <c r="AA60" s="2"/>
      <c r="AB60" s="2"/>
      <c r="AC60" s="2"/>
      <c r="AD60" s="2" t="s">
        <v>43</v>
      </c>
      <c r="AE60" s="2" t="s">
        <v>43</v>
      </c>
      <c r="AF60" s="2"/>
      <c r="AG60" s="2" t="s">
        <v>43</v>
      </c>
      <c r="AH60" s="2" t="s">
        <v>43</v>
      </c>
      <c r="AI60" s="2"/>
      <c r="AJ60" s="2" t="s">
        <v>43</v>
      </c>
      <c r="AK60" s="2" t="s">
        <v>43</v>
      </c>
      <c r="AL60" s="2" t="s">
        <v>43</v>
      </c>
      <c r="AM60" s="2"/>
      <c r="AN60" s="2"/>
    </row>
    <row r="61" spans="1:40" x14ac:dyDescent="0.25">
      <c r="A61" s="2"/>
      <c r="D61" s="1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39" x14ac:dyDescent="0.25">
      <c r="A62" s="2">
        <v>8</v>
      </c>
      <c r="B62" s="8" t="s">
        <v>14</v>
      </c>
      <c r="D62" s="1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x14ac:dyDescent="0.25">
      <c r="A63" s="2"/>
      <c r="D63" s="1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x14ac:dyDescent="0.25">
      <c r="A64" s="2"/>
      <c r="B64" s="3" t="s">
        <v>4</v>
      </c>
      <c r="C64" s="2">
        <f>COUNTIF(E64:AL64,"x")</f>
        <v>1</v>
      </c>
      <c r="D64" s="13">
        <f>SUM(C64/$A$2)</f>
        <v>2.9411764705882353E-2</v>
      </c>
      <c r="E64" s="2"/>
      <c r="F64" s="2"/>
      <c r="G64" s="2"/>
      <c r="H64" s="2" t="s">
        <v>43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x14ac:dyDescent="0.25">
      <c r="A65" s="2"/>
      <c r="B65" s="3" t="s">
        <v>3</v>
      </c>
      <c r="C65" s="2">
        <f>COUNTIF(E65:AL65,"x")</f>
        <v>1</v>
      </c>
      <c r="D65" s="13">
        <f>SUM(C65/$A$2)</f>
        <v>2.9411764705882353E-2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">
        <v>43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x14ac:dyDescent="0.25">
      <c r="A66" s="2"/>
      <c r="B66" s="3" t="s">
        <v>1</v>
      </c>
      <c r="C66" s="2">
        <f>COUNTIF(E66:AL66,"x")</f>
        <v>8</v>
      </c>
      <c r="D66" s="13">
        <f>SUM(C66/$A$2)</f>
        <v>0.23529411764705882</v>
      </c>
      <c r="E66" s="2"/>
      <c r="F66" s="2"/>
      <c r="G66" s="2" t="s">
        <v>43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43</v>
      </c>
      <c r="T66" s="2" t="s">
        <v>43</v>
      </c>
      <c r="U66" s="2"/>
      <c r="V66" s="2" t="s">
        <v>43</v>
      </c>
      <c r="W66" s="2" t="s">
        <v>43</v>
      </c>
      <c r="X66" s="2" t="s">
        <v>43</v>
      </c>
      <c r="Y66" s="2"/>
      <c r="Z66" s="2"/>
      <c r="AA66" s="2" t="s">
        <v>43</v>
      </c>
      <c r="AB66" s="2"/>
      <c r="AC66" s="2"/>
      <c r="AD66" s="2"/>
      <c r="AE66" s="2"/>
      <c r="AF66" s="2" t="s">
        <v>43</v>
      </c>
      <c r="AG66" s="2"/>
      <c r="AH66" s="2"/>
      <c r="AI66" s="2"/>
      <c r="AJ66" s="2"/>
      <c r="AK66" s="2"/>
      <c r="AL66" s="2"/>
      <c r="AM66" s="2"/>
      <c r="AN66" s="2"/>
    </row>
    <row r="67" spans="1:40" x14ac:dyDescent="0.25">
      <c r="A67" s="2"/>
      <c r="B67" s="3" t="s">
        <v>2</v>
      </c>
      <c r="C67" s="2">
        <f>COUNTIF(E67:AL67,"x")</f>
        <v>8</v>
      </c>
      <c r="D67" s="13">
        <f>SUM(C67/$A$2)</f>
        <v>0.23529411764705882</v>
      </c>
      <c r="E67" s="2"/>
      <c r="F67" s="2" t="s">
        <v>43</v>
      </c>
      <c r="G67" s="2"/>
      <c r="H67" s="2"/>
      <c r="I67" s="2"/>
      <c r="J67" s="2"/>
      <c r="K67" s="2"/>
      <c r="L67" s="2" t="s">
        <v>43</v>
      </c>
      <c r="M67" s="2"/>
      <c r="N67" s="2" t="s">
        <v>43</v>
      </c>
      <c r="O67" s="2" t="s">
        <v>43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 t="s">
        <v>43</v>
      </c>
      <c r="AD67" s="2"/>
      <c r="AE67" s="2"/>
      <c r="AF67" s="2"/>
      <c r="AG67" s="2"/>
      <c r="AH67" s="2"/>
      <c r="AI67" s="2" t="s">
        <v>43</v>
      </c>
      <c r="AJ67" s="2" t="s">
        <v>43</v>
      </c>
      <c r="AK67" s="2" t="s">
        <v>43</v>
      </c>
      <c r="AL67" s="2"/>
      <c r="AM67" s="2"/>
      <c r="AN67" s="2"/>
    </row>
    <row r="68" spans="1:40" x14ac:dyDescent="0.25">
      <c r="A68" s="2"/>
      <c r="B68" s="3" t="s">
        <v>5</v>
      </c>
      <c r="C68" s="2">
        <f>COUNTIF(E68:AL68,"x")</f>
        <v>16</v>
      </c>
      <c r="D68" s="13">
        <f>SUM(C68/$A$2)</f>
        <v>0.47058823529411764</v>
      </c>
      <c r="E68" s="2" t="s">
        <v>43</v>
      </c>
      <c r="F68" s="2"/>
      <c r="G68" s="2"/>
      <c r="H68" s="2"/>
      <c r="I68" s="2" t="s">
        <v>43</v>
      </c>
      <c r="J68" s="2" t="s">
        <v>43</v>
      </c>
      <c r="K68" s="2" t="s">
        <v>43</v>
      </c>
      <c r="L68" s="2"/>
      <c r="M68" s="2" t="s">
        <v>43</v>
      </c>
      <c r="N68" s="2"/>
      <c r="O68" s="2"/>
      <c r="P68" s="2" t="s">
        <v>43</v>
      </c>
      <c r="Q68" s="2"/>
      <c r="R68" s="2" t="s">
        <v>43</v>
      </c>
      <c r="S68" s="2"/>
      <c r="T68" s="2"/>
      <c r="U68" s="2" t="s">
        <v>43</v>
      </c>
      <c r="V68" s="2"/>
      <c r="W68" s="2"/>
      <c r="X68" s="2"/>
      <c r="Y68" s="2" t="s">
        <v>43</v>
      </c>
      <c r="Z68" s="2" t="s">
        <v>43</v>
      </c>
      <c r="AA68" s="2"/>
      <c r="AB68" s="2" t="s">
        <v>43</v>
      </c>
      <c r="AC68" s="2"/>
      <c r="AD68" s="2" t="s">
        <v>43</v>
      </c>
      <c r="AE68" s="2" t="s">
        <v>43</v>
      </c>
      <c r="AF68" s="2"/>
      <c r="AG68" s="2" t="s">
        <v>43</v>
      </c>
      <c r="AH68" s="2" t="s">
        <v>43</v>
      </c>
      <c r="AI68" s="2"/>
      <c r="AJ68" s="2"/>
      <c r="AK68" s="2"/>
      <c r="AL68" s="2" t="s">
        <v>43</v>
      </c>
      <c r="AM68" s="2"/>
      <c r="AN68" s="2"/>
    </row>
    <row r="69" spans="1:40" x14ac:dyDescent="0.25">
      <c r="A69" s="2"/>
      <c r="D69" s="1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x14ac:dyDescent="0.25">
      <c r="A70" s="2"/>
      <c r="D70" s="1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39" x14ac:dyDescent="0.25">
      <c r="A71" s="2">
        <v>9</v>
      </c>
      <c r="B71" s="8" t="s">
        <v>69</v>
      </c>
      <c r="D71" s="1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x14ac:dyDescent="0.25">
      <c r="A72" s="2"/>
      <c r="D72" s="1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x14ac:dyDescent="0.25">
      <c r="A73" s="2"/>
      <c r="B73" s="3" t="s">
        <v>15</v>
      </c>
      <c r="C73" s="2">
        <f>COUNTIF(E73:AL73,"x")</f>
        <v>8</v>
      </c>
      <c r="D73" s="13">
        <f>SUM(C73/$A$2)</f>
        <v>0.23529411764705882</v>
      </c>
      <c r="E73" s="2"/>
      <c r="F73" s="2" t="s">
        <v>43</v>
      </c>
      <c r="G73" s="2" t="s">
        <v>43</v>
      </c>
      <c r="H73" s="2" t="s">
        <v>43</v>
      </c>
      <c r="I73" s="2"/>
      <c r="J73" s="2"/>
      <c r="K73" s="2"/>
      <c r="L73" s="2"/>
      <c r="M73" s="2"/>
      <c r="N73" s="2"/>
      <c r="O73" s="2"/>
      <c r="P73" s="2"/>
      <c r="Q73" s="2"/>
      <c r="R73" s="2" t="s">
        <v>43</v>
      </c>
      <c r="S73" s="2" t="s">
        <v>43</v>
      </c>
      <c r="T73" s="2"/>
      <c r="U73" s="2"/>
      <c r="V73" s="2"/>
      <c r="W73" s="2" t="s">
        <v>43</v>
      </c>
      <c r="X73" s="2"/>
      <c r="Y73" s="2"/>
      <c r="Z73" s="2"/>
      <c r="AA73" s="2"/>
      <c r="AB73" s="2"/>
      <c r="AC73" s="2"/>
      <c r="AD73" s="2" t="s">
        <v>43</v>
      </c>
      <c r="AE73" s="2"/>
      <c r="AF73" s="2"/>
      <c r="AG73" s="2"/>
      <c r="AH73" s="2"/>
      <c r="AI73" s="2"/>
      <c r="AJ73" s="2"/>
      <c r="AK73" s="2"/>
      <c r="AL73" s="2" t="s">
        <v>43</v>
      </c>
      <c r="AM73" s="2"/>
      <c r="AN73" s="2"/>
    </row>
    <row r="74" spans="1:40" x14ac:dyDescent="0.25">
      <c r="A74" s="2"/>
      <c r="B74" s="3" t="s">
        <v>16</v>
      </c>
      <c r="C74" s="2">
        <f>COUNTIF(E74:AL74,"x")</f>
        <v>26</v>
      </c>
      <c r="D74" s="13">
        <f>SUM(C74/$A$2)</f>
        <v>0.76470588235294112</v>
      </c>
      <c r="E74" s="2" t="s">
        <v>43</v>
      </c>
      <c r="F74" s="2"/>
      <c r="G74" s="2"/>
      <c r="H74" s="2"/>
      <c r="I74" s="2" t="s">
        <v>43</v>
      </c>
      <c r="J74" s="2" t="s">
        <v>43</v>
      </c>
      <c r="K74" s="2" t="s">
        <v>43</v>
      </c>
      <c r="L74" s="2" t="s">
        <v>43</v>
      </c>
      <c r="M74" s="2" t="s">
        <v>43</v>
      </c>
      <c r="N74" s="2" t="s">
        <v>43</v>
      </c>
      <c r="O74" s="2" t="s">
        <v>43</v>
      </c>
      <c r="P74" s="2" t="s">
        <v>43</v>
      </c>
      <c r="Q74" s="2" t="s">
        <v>43</v>
      </c>
      <c r="R74" s="2"/>
      <c r="S74" s="2"/>
      <c r="T74" s="2" t="s">
        <v>43</v>
      </c>
      <c r="U74" s="2" t="s">
        <v>43</v>
      </c>
      <c r="V74" s="2" t="s">
        <v>43</v>
      </c>
      <c r="W74" s="2"/>
      <c r="X74" s="2" t="s">
        <v>43</v>
      </c>
      <c r="Y74" s="2" t="s">
        <v>43</v>
      </c>
      <c r="Z74" s="2" t="s">
        <v>43</v>
      </c>
      <c r="AA74" s="2" t="s">
        <v>43</v>
      </c>
      <c r="AB74" s="2" t="s">
        <v>43</v>
      </c>
      <c r="AC74" s="2" t="s">
        <v>43</v>
      </c>
      <c r="AD74" s="2"/>
      <c r="AE74" s="2" t="s">
        <v>43</v>
      </c>
      <c r="AF74" s="2" t="s">
        <v>43</v>
      </c>
      <c r="AG74" s="2" t="s">
        <v>43</v>
      </c>
      <c r="AH74" s="2" t="s">
        <v>43</v>
      </c>
      <c r="AI74" s="2" t="s">
        <v>43</v>
      </c>
      <c r="AJ74" s="2" t="s">
        <v>43</v>
      </c>
      <c r="AK74" s="2" t="s">
        <v>43</v>
      </c>
      <c r="AL74" s="2"/>
      <c r="AM74" s="2"/>
      <c r="AN74" s="2"/>
    </row>
    <row r="75" spans="1:40" x14ac:dyDescent="0.25">
      <c r="A75" s="2"/>
      <c r="D75" s="1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39" x14ac:dyDescent="0.25">
      <c r="A76" s="2">
        <v>10</v>
      </c>
      <c r="B76" s="8" t="s">
        <v>17</v>
      </c>
      <c r="D76" s="1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x14ac:dyDescent="0.25">
      <c r="A77" s="2"/>
      <c r="D77" s="1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x14ac:dyDescent="0.25">
      <c r="A78" s="2"/>
      <c r="B78" s="3" t="s">
        <v>15</v>
      </c>
      <c r="C78" s="2">
        <f>COUNTIF(E78:AL78,"x")</f>
        <v>4</v>
      </c>
      <c r="D78" s="13">
        <f>SUM(C78/$A$2)</f>
        <v>0.11764705882352941</v>
      </c>
      <c r="E78" s="2"/>
      <c r="F78" s="2" t="s">
        <v>43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 t="s">
        <v>43</v>
      </c>
      <c r="R78" s="2"/>
      <c r="S78" s="2"/>
      <c r="T78" s="2"/>
      <c r="U78" s="2"/>
      <c r="V78" s="2"/>
      <c r="W78" s="2" t="s">
        <v>43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 t="s">
        <v>43</v>
      </c>
      <c r="AK78" s="2"/>
      <c r="AL78" s="2"/>
      <c r="AM78" s="2"/>
      <c r="AN78" s="2"/>
    </row>
    <row r="79" spans="1:40" x14ac:dyDescent="0.25">
      <c r="A79" s="2"/>
      <c r="B79" s="3" t="s">
        <v>16</v>
      </c>
      <c r="C79" s="2">
        <f>COUNTIF(E79:AL79,"x")</f>
        <v>30</v>
      </c>
      <c r="D79" s="13">
        <f>SUM(C79/$A$2)</f>
        <v>0.88235294117647056</v>
      </c>
      <c r="E79" s="2" t="s">
        <v>43</v>
      </c>
      <c r="F79" s="2"/>
      <c r="G79" s="2" t="s">
        <v>43</v>
      </c>
      <c r="H79" s="2" t="s">
        <v>43</v>
      </c>
      <c r="I79" s="2" t="s">
        <v>43</v>
      </c>
      <c r="J79" s="2" t="s">
        <v>43</v>
      </c>
      <c r="K79" s="2" t="s">
        <v>43</v>
      </c>
      <c r="L79" s="2" t="s">
        <v>43</v>
      </c>
      <c r="M79" s="2" t="s">
        <v>43</v>
      </c>
      <c r="N79" s="2" t="s">
        <v>43</v>
      </c>
      <c r="O79" s="2" t="s">
        <v>43</v>
      </c>
      <c r="P79" s="2" t="s">
        <v>43</v>
      </c>
      <c r="Q79" s="2"/>
      <c r="R79" s="2" t="s">
        <v>43</v>
      </c>
      <c r="S79" s="2" t="s">
        <v>43</v>
      </c>
      <c r="T79" s="2" t="s">
        <v>43</v>
      </c>
      <c r="U79" s="2" t="s">
        <v>43</v>
      </c>
      <c r="V79" s="2" t="s">
        <v>43</v>
      </c>
      <c r="W79" s="2"/>
      <c r="X79" s="2" t="s">
        <v>43</v>
      </c>
      <c r="Y79" s="2" t="s">
        <v>43</v>
      </c>
      <c r="Z79" s="2" t="s">
        <v>43</v>
      </c>
      <c r="AA79" s="2" t="s">
        <v>43</v>
      </c>
      <c r="AB79" s="2" t="s">
        <v>43</v>
      </c>
      <c r="AC79" s="2" t="s">
        <v>43</v>
      </c>
      <c r="AD79" s="2" t="s">
        <v>43</v>
      </c>
      <c r="AE79" s="2" t="s">
        <v>43</v>
      </c>
      <c r="AF79" s="2" t="s">
        <v>43</v>
      </c>
      <c r="AG79" s="2" t="s">
        <v>43</v>
      </c>
      <c r="AH79" s="2" t="s">
        <v>43</v>
      </c>
      <c r="AI79" s="2" t="s">
        <v>43</v>
      </c>
      <c r="AJ79" s="2"/>
      <c r="AK79" s="2" t="s">
        <v>43</v>
      </c>
      <c r="AL79" s="2" t="s">
        <v>43</v>
      </c>
      <c r="AM79" s="2"/>
      <c r="AN79" s="2"/>
    </row>
    <row r="80" spans="1:40" x14ac:dyDescent="0.25">
      <c r="A80" s="2"/>
      <c r="D80" s="1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78" x14ac:dyDescent="0.25">
      <c r="A81" s="2">
        <v>11</v>
      </c>
      <c r="B81" s="8" t="s">
        <v>18</v>
      </c>
      <c r="D81" s="1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x14ac:dyDescent="0.25">
      <c r="A82" s="2"/>
      <c r="D82" s="1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x14ac:dyDescent="0.25">
      <c r="A83" s="2"/>
      <c r="B83" s="3" t="s">
        <v>15</v>
      </c>
      <c r="C83" s="2">
        <f>COUNTIF(E83:AL83,"x")</f>
        <v>5</v>
      </c>
      <c r="D83" s="13">
        <f>SUM(C83/$A$2)</f>
        <v>0.14705882352941177</v>
      </c>
      <c r="E83" s="2"/>
      <c r="F83" s="2"/>
      <c r="G83" s="2" t="s">
        <v>43</v>
      </c>
      <c r="H83" s="2"/>
      <c r="I83" s="2"/>
      <c r="J83" s="2"/>
      <c r="K83" s="2"/>
      <c r="L83" s="2"/>
      <c r="M83" s="2"/>
      <c r="N83" s="2" t="s">
        <v>43</v>
      </c>
      <c r="O83" s="2"/>
      <c r="P83" s="2"/>
      <c r="Q83" s="2"/>
      <c r="R83" s="2"/>
      <c r="S83" s="2"/>
      <c r="T83" s="2"/>
      <c r="U83" s="2"/>
      <c r="V83" s="2"/>
      <c r="W83" s="2" t="s">
        <v>43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s">
        <v>43</v>
      </c>
      <c r="AJ83" s="2" t="s">
        <v>43</v>
      </c>
      <c r="AK83" s="2"/>
      <c r="AL83" s="2"/>
      <c r="AM83" s="2"/>
      <c r="AN83" s="2"/>
    </row>
    <row r="84" spans="1:40" x14ac:dyDescent="0.25">
      <c r="A84" s="2"/>
      <c r="B84" s="3" t="s">
        <v>16</v>
      </c>
      <c r="C84" s="2">
        <f>COUNTIF(E84:AL84,"x")</f>
        <v>29</v>
      </c>
      <c r="D84" s="13">
        <f>SUM(C84/$A$2)</f>
        <v>0.8529411764705882</v>
      </c>
      <c r="E84" s="2" t="s">
        <v>43</v>
      </c>
      <c r="F84" s="2" t="s">
        <v>43</v>
      </c>
      <c r="G84" s="2"/>
      <c r="H84" s="2" t="s">
        <v>43</v>
      </c>
      <c r="I84" s="2" t="s">
        <v>43</v>
      </c>
      <c r="J84" s="2" t="s">
        <v>43</v>
      </c>
      <c r="K84" s="2" t="s">
        <v>43</v>
      </c>
      <c r="L84" s="2" t="s">
        <v>43</v>
      </c>
      <c r="M84" s="2" t="s">
        <v>43</v>
      </c>
      <c r="N84" s="2"/>
      <c r="O84" s="2" t="s">
        <v>43</v>
      </c>
      <c r="P84" s="2" t="s">
        <v>43</v>
      </c>
      <c r="Q84" s="2" t="s">
        <v>43</v>
      </c>
      <c r="R84" s="2" t="s">
        <v>43</v>
      </c>
      <c r="S84" s="2" t="s">
        <v>43</v>
      </c>
      <c r="T84" s="2" t="s">
        <v>43</v>
      </c>
      <c r="U84" s="2" t="s">
        <v>43</v>
      </c>
      <c r="V84" s="2" t="s">
        <v>43</v>
      </c>
      <c r="W84" s="2"/>
      <c r="X84" s="2" t="s">
        <v>43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43</v>
      </c>
      <c r="AF84" s="2" t="s">
        <v>43</v>
      </c>
      <c r="AG84" s="2" t="s">
        <v>43</v>
      </c>
      <c r="AH84" s="2" t="s">
        <v>43</v>
      </c>
      <c r="AI84" s="2"/>
      <c r="AJ84" s="2"/>
      <c r="AK84" s="2" t="s">
        <v>43</v>
      </c>
      <c r="AL84" s="2" t="s">
        <v>43</v>
      </c>
      <c r="AM84" s="2"/>
      <c r="AN84" s="2"/>
    </row>
    <row r="85" spans="1:40" x14ac:dyDescent="0.25">
      <c r="A85" s="2"/>
      <c r="B85" s="3"/>
      <c r="D85" s="1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26" x14ac:dyDescent="0.25">
      <c r="A86" s="2">
        <v>12</v>
      </c>
      <c r="B86" s="8" t="s">
        <v>19</v>
      </c>
      <c r="D86" s="1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x14ac:dyDescent="0.25">
      <c r="A87" s="2"/>
      <c r="D87" s="1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x14ac:dyDescent="0.25">
      <c r="A88" s="2"/>
      <c r="B88" s="3" t="s">
        <v>15</v>
      </c>
      <c r="C88" s="2">
        <f>COUNTIF(E88:AL88,"x")</f>
        <v>15</v>
      </c>
      <c r="D88" s="13">
        <f>SUM(C88/$A$2)</f>
        <v>0.44117647058823528</v>
      </c>
      <c r="E88" s="2" t="s">
        <v>43</v>
      </c>
      <c r="F88" s="2"/>
      <c r="G88" s="2"/>
      <c r="H88" s="2" t="s">
        <v>43</v>
      </c>
      <c r="I88" s="2"/>
      <c r="J88" s="2"/>
      <c r="K88" s="2"/>
      <c r="L88" s="2"/>
      <c r="M88" s="2"/>
      <c r="N88" s="2" t="s">
        <v>43</v>
      </c>
      <c r="O88" s="2"/>
      <c r="P88" s="2"/>
      <c r="Q88" s="2"/>
      <c r="R88" s="2" t="s">
        <v>43</v>
      </c>
      <c r="S88" s="2" t="s">
        <v>43</v>
      </c>
      <c r="T88" s="2" t="s">
        <v>43</v>
      </c>
      <c r="U88" s="2"/>
      <c r="V88" s="2"/>
      <c r="W88" s="2" t="s">
        <v>43</v>
      </c>
      <c r="X88" s="2"/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/>
      <c r="AE88" s="2"/>
      <c r="AF88" s="2"/>
      <c r="AG88" s="2"/>
      <c r="AH88" s="2"/>
      <c r="AI88" s="2" t="s">
        <v>43</v>
      </c>
      <c r="AJ88" s="2" t="s">
        <v>43</v>
      </c>
      <c r="AK88" s="2" t="s">
        <v>43</v>
      </c>
      <c r="AL88" s="2"/>
      <c r="AM88" s="2"/>
      <c r="AN88" s="2"/>
    </row>
    <row r="89" spans="1:40" x14ac:dyDescent="0.25">
      <c r="A89" s="2"/>
      <c r="B89" s="3" t="s">
        <v>16</v>
      </c>
      <c r="C89" s="2">
        <f>COUNTIF(E89:AL89,"x")</f>
        <v>19</v>
      </c>
      <c r="D89" s="13">
        <f>SUM(C89/$A$2)</f>
        <v>0.55882352941176472</v>
      </c>
      <c r="E89" s="2"/>
      <c r="F89" s="2" t="s">
        <v>43</v>
      </c>
      <c r="G89" s="2" t="s">
        <v>43</v>
      </c>
      <c r="H89" s="2"/>
      <c r="I89" s="2" t="s">
        <v>43</v>
      </c>
      <c r="J89" s="2" t="s">
        <v>43</v>
      </c>
      <c r="K89" s="2" t="s">
        <v>43</v>
      </c>
      <c r="L89" s="2" t="s">
        <v>43</v>
      </c>
      <c r="M89" s="2" t="s">
        <v>43</v>
      </c>
      <c r="N89" s="2"/>
      <c r="O89" s="2" t="s">
        <v>43</v>
      </c>
      <c r="P89" s="2" t="s">
        <v>43</v>
      </c>
      <c r="Q89" s="2" t="s">
        <v>43</v>
      </c>
      <c r="R89" s="2"/>
      <c r="S89" s="2"/>
      <c r="T89" s="2"/>
      <c r="U89" s="2" t="s">
        <v>43</v>
      </c>
      <c r="V89" s="2" t="s">
        <v>43</v>
      </c>
      <c r="W89" s="2"/>
      <c r="X89" s="2" t="s">
        <v>43</v>
      </c>
      <c r="Y89" s="2"/>
      <c r="Z89" s="2"/>
      <c r="AA89" s="2"/>
      <c r="AB89" s="2"/>
      <c r="AC89" s="2"/>
      <c r="AD89" s="2" t="s">
        <v>43</v>
      </c>
      <c r="AE89" s="2" t="s">
        <v>43</v>
      </c>
      <c r="AF89" s="2" t="s">
        <v>43</v>
      </c>
      <c r="AG89" s="2" t="s">
        <v>43</v>
      </c>
      <c r="AH89" s="2" t="s">
        <v>43</v>
      </c>
      <c r="AI89" s="2"/>
      <c r="AJ89" s="2"/>
      <c r="AK89" s="2"/>
      <c r="AL89" s="2" t="s">
        <v>43</v>
      </c>
      <c r="AM89" s="2"/>
      <c r="AN89" s="2"/>
    </row>
    <row r="90" spans="1:40" x14ac:dyDescent="0.25">
      <c r="A90" s="2"/>
      <c r="D90" s="1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39" x14ac:dyDescent="0.25">
      <c r="A91" s="2">
        <v>13</v>
      </c>
      <c r="B91" s="8" t="s">
        <v>20</v>
      </c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x14ac:dyDescent="0.25">
      <c r="A92" s="2"/>
      <c r="D92" s="1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x14ac:dyDescent="0.25">
      <c r="A93" s="2"/>
      <c r="B93" s="3" t="s">
        <v>15</v>
      </c>
      <c r="C93" s="2">
        <f>COUNTIF(E93:AL93,"x")</f>
        <v>10</v>
      </c>
      <c r="D93" s="13">
        <f>SUM(C93/$A$2)</f>
        <v>0.29411764705882354</v>
      </c>
      <c r="E93" s="2"/>
      <c r="F93" s="2"/>
      <c r="G93" s="2"/>
      <c r="H93" s="2" t="s">
        <v>43</v>
      </c>
      <c r="I93" s="2"/>
      <c r="J93" s="2"/>
      <c r="K93" s="2"/>
      <c r="L93" s="2"/>
      <c r="M93" s="2"/>
      <c r="N93" s="2"/>
      <c r="O93" s="2"/>
      <c r="P93" s="2"/>
      <c r="Q93" s="2"/>
      <c r="R93" s="2" t="s">
        <v>43</v>
      </c>
      <c r="S93" s="2" t="s">
        <v>43</v>
      </c>
      <c r="T93" s="2"/>
      <c r="U93" s="2"/>
      <c r="V93" s="2"/>
      <c r="W93" s="2" t="s">
        <v>43</v>
      </c>
      <c r="X93" s="2"/>
      <c r="Y93" s="2" t="s">
        <v>43</v>
      </c>
      <c r="Z93" s="2" t="s">
        <v>43</v>
      </c>
      <c r="AA93" s="2"/>
      <c r="AB93" s="2"/>
      <c r="AC93" s="2" t="s">
        <v>43</v>
      </c>
      <c r="AD93" s="2"/>
      <c r="AE93" s="2"/>
      <c r="AF93" s="2"/>
      <c r="AG93" s="2"/>
      <c r="AH93" s="2"/>
      <c r="AI93" s="2" t="s">
        <v>43</v>
      </c>
      <c r="AJ93" s="2" t="s">
        <v>43</v>
      </c>
      <c r="AK93" s="2" t="s">
        <v>43</v>
      </c>
      <c r="AL93" s="2"/>
      <c r="AM93" s="2"/>
      <c r="AN93" s="2"/>
    </row>
    <row r="94" spans="1:40" x14ac:dyDescent="0.25">
      <c r="A94" s="2"/>
      <c r="B94" s="3" t="s">
        <v>16</v>
      </c>
      <c r="C94" s="2">
        <f>COUNTIF(E94:AL94,"x")</f>
        <v>24</v>
      </c>
      <c r="D94" s="13">
        <f>SUM(C94/$A$2)</f>
        <v>0.70588235294117652</v>
      </c>
      <c r="E94" s="2" t="s">
        <v>43</v>
      </c>
      <c r="F94" s="2" t="s">
        <v>43</v>
      </c>
      <c r="G94" s="2" t="s">
        <v>43</v>
      </c>
      <c r="H94" s="2"/>
      <c r="I94" s="2" t="s">
        <v>43</v>
      </c>
      <c r="J94" s="2" t="s">
        <v>43</v>
      </c>
      <c r="K94" s="2" t="s">
        <v>43</v>
      </c>
      <c r="L94" s="2" t="s">
        <v>43</v>
      </c>
      <c r="M94" s="2" t="s">
        <v>43</v>
      </c>
      <c r="N94" s="2" t="s">
        <v>43</v>
      </c>
      <c r="O94" s="2" t="s">
        <v>43</v>
      </c>
      <c r="P94" s="2" t="s">
        <v>43</v>
      </c>
      <c r="Q94" s="2" t="s">
        <v>43</v>
      </c>
      <c r="R94" s="2"/>
      <c r="S94" s="2"/>
      <c r="T94" s="2" t="s">
        <v>43</v>
      </c>
      <c r="U94" s="2" t="s">
        <v>43</v>
      </c>
      <c r="V94" s="2" t="s">
        <v>43</v>
      </c>
      <c r="W94" s="2"/>
      <c r="X94" s="2" t="s">
        <v>43</v>
      </c>
      <c r="Y94" s="2"/>
      <c r="Z94" s="2"/>
      <c r="AA94" s="2" t="s">
        <v>43</v>
      </c>
      <c r="AB94" s="2" t="s">
        <v>43</v>
      </c>
      <c r="AC94" s="2"/>
      <c r="AD94" s="2" t="s">
        <v>43</v>
      </c>
      <c r="AE94" s="2" t="s">
        <v>43</v>
      </c>
      <c r="AF94" s="2" t="s">
        <v>43</v>
      </c>
      <c r="AG94" s="2" t="s">
        <v>43</v>
      </c>
      <c r="AH94" s="2" t="s">
        <v>43</v>
      </c>
      <c r="AI94" s="2"/>
      <c r="AJ94" s="2"/>
      <c r="AK94" s="2"/>
      <c r="AL94" s="2" t="s">
        <v>43</v>
      </c>
      <c r="AM94" s="2"/>
      <c r="AN94" s="2"/>
    </row>
    <row r="95" spans="1:40" x14ac:dyDescent="0.25">
      <c r="A95" s="2"/>
      <c r="D95" s="1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x14ac:dyDescent="0.25">
      <c r="A96" s="2"/>
      <c r="D96" s="1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x14ac:dyDescent="0.25">
      <c r="A97" s="2"/>
      <c r="D97" s="1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39" x14ac:dyDescent="0.25">
      <c r="A98" s="2">
        <v>14</v>
      </c>
      <c r="B98" s="8" t="s">
        <v>21</v>
      </c>
      <c r="D98" s="1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x14ac:dyDescent="0.25">
      <c r="A99" s="2"/>
      <c r="D99" s="1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x14ac:dyDescent="0.25">
      <c r="A100" s="2"/>
      <c r="B100" s="3" t="s">
        <v>15</v>
      </c>
      <c r="C100" s="2">
        <f>COUNTIF(E100:AL100,"x")</f>
        <v>34</v>
      </c>
      <c r="D100" s="13">
        <f>SUM(C100/$A$2)</f>
        <v>1</v>
      </c>
      <c r="E100" s="2" t="s">
        <v>43</v>
      </c>
      <c r="F100" s="2" t="s">
        <v>43</v>
      </c>
      <c r="G100" s="2" t="s">
        <v>43</v>
      </c>
      <c r="H100" s="2" t="s">
        <v>43</v>
      </c>
      <c r="I100" s="2" t="s">
        <v>43</v>
      </c>
      <c r="J100" s="2" t="s">
        <v>43</v>
      </c>
      <c r="K100" s="2" t="s">
        <v>43</v>
      </c>
      <c r="L100" s="2" t="s">
        <v>43</v>
      </c>
      <c r="M100" s="2" t="s">
        <v>43</v>
      </c>
      <c r="N100" s="2" t="s">
        <v>43</v>
      </c>
      <c r="O100" s="2" t="s">
        <v>43</v>
      </c>
      <c r="P100" s="2" t="s">
        <v>43</v>
      </c>
      <c r="Q100" s="2" t="s">
        <v>43</v>
      </c>
      <c r="R100" s="2" t="s">
        <v>43</v>
      </c>
      <c r="S100" s="2" t="s">
        <v>43</v>
      </c>
      <c r="T100" s="2" t="s">
        <v>43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" t="s">
        <v>43</v>
      </c>
      <c r="AA100" s="2" t="s">
        <v>43</v>
      </c>
      <c r="AB100" s="2" t="s">
        <v>43</v>
      </c>
      <c r="AC100" s="2" t="s">
        <v>43</v>
      </c>
      <c r="AD100" s="2" t="s">
        <v>43</v>
      </c>
      <c r="AE100" s="2" t="s">
        <v>43</v>
      </c>
      <c r="AF100" s="2" t="s">
        <v>43</v>
      </c>
      <c r="AG100" s="2" t="s">
        <v>43</v>
      </c>
      <c r="AH100" s="2" t="s">
        <v>43</v>
      </c>
      <c r="AI100" s="2" t="s">
        <v>43</v>
      </c>
      <c r="AJ100" s="2" t="s">
        <v>43</v>
      </c>
      <c r="AK100" s="2" t="s">
        <v>43</v>
      </c>
      <c r="AL100" s="2" t="s">
        <v>43</v>
      </c>
      <c r="AM100" s="2"/>
      <c r="AN100" s="2"/>
    </row>
    <row r="101" spans="1:40" x14ac:dyDescent="0.25">
      <c r="A101" s="2"/>
      <c r="B101" s="3" t="s">
        <v>16</v>
      </c>
      <c r="C101" s="2">
        <f>COUNTIF(E101:AL101,"x")</f>
        <v>0</v>
      </c>
      <c r="D101" s="13">
        <f>SUM(C101/$A$2)</f>
        <v>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x14ac:dyDescent="0.25">
      <c r="A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78" x14ac:dyDescent="0.25">
      <c r="A103" s="2">
        <v>15</v>
      </c>
      <c r="B103" s="8" t="s">
        <v>22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x14ac:dyDescent="0.25">
      <c r="A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x14ac:dyDescent="0.25">
      <c r="A105" s="2"/>
      <c r="B105" s="3" t="s">
        <v>58</v>
      </c>
      <c r="C105" s="2">
        <f>COUNTIF(E105:AL105,"x")</f>
        <v>22</v>
      </c>
      <c r="E105" s="2" t="s">
        <v>43</v>
      </c>
      <c r="F105" s="2" t="s">
        <v>43</v>
      </c>
      <c r="G105" s="2" t="s">
        <v>43</v>
      </c>
      <c r="H105" s="2" t="s">
        <v>43</v>
      </c>
      <c r="I105" s="2"/>
      <c r="J105" s="2" t="s">
        <v>43</v>
      </c>
      <c r="K105" s="2" t="s">
        <v>43</v>
      </c>
      <c r="L105" s="2" t="s">
        <v>43</v>
      </c>
      <c r="M105" s="2" t="s">
        <v>43</v>
      </c>
      <c r="N105" s="2" t="s">
        <v>43</v>
      </c>
      <c r="O105" s="2" t="s">
        <v>43</v>
      </c>
      <c r="P105" s="2" t="s">
        <v>43</v>
      </c>
      <c r="Q105" s="2"/>
      <c r="R105" s="2" t="s">
        <v>43</v>
      </c>
      <c r="S105" s="2"/>
      <c r="T105" s="2"/>
      <c r="U105" s="2"/>
      <c r="V105" s="2"/>
      <c r="W105" s="2" t="s">
        <v>43</v>
      </c>
      <c r="X105" s="2"/>
      <c r="Y105" s="2" t="s">
        <v>43</v>
      </c>
      <c r="Z105" s="2"/>
      <c r="AA105" s="2" t="s">
        <v>43</v>
      </c>
      <c r="AB105" s="2"/>
      <c r="AC105" s="2"/>
      <c r="AD105" s="2" t="s">
        <v>43</v>
      </c>
      <c r="AE105" s="2" t="s">
        <v>43</v>
      </c>
      <c r="AF105" s="2" t="s">
        <v>43</v>
      </c>
      <c r="AG105" s="2" t="s">
        <v>43</v>
      </c>
      <c r="AH105" s="2" t="s">
        <v>43</v>
      </c>
      <c r="AI105" s="2"/>
      <c r="AJ105" s="2"/>
      <c r="AK105" s="2" t="s">
        <v>43</v>
      </c>
      <c r="AL105" s="2" t="s">
        <v>43</v>
      </c>
      <c r="AM105" s="2"/>
      <c r="AN105" s="2"/>
    </row>
    <row r="106" spans="1:40" x14ac:dyDescent="0.25">
      <c r="A106" s="2"/>
      <c r="B106" s="3" t="s">
        <v>59</v>
      </c>
      <c r="C106" s="2">
        <f t="shared" ref="C106:C114" si="0">COUNTIF(E106:AL106,"x")</f>
        <v>4</v>
      </c>
      <c r="E106" s="2" t="s">
        <v>43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">
        <v>43</v>
      </c>
      <c r="R106" s="2"/>
      <c r="S106" s="2"/>
      <c r="T106" s="2"/>
      <c r="U106" s="2"/>
      <c r="V106" s="2"/>
      <c r="W106" s="2"/>
      <c r="X106" s="2"/>
      <c r="Y106" s="2" t="s">
        <v>43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 t="s">
        <v>43</v>
      </c>
      <c r="AK106" s="2"/>
      <c r="AL106" s="2"/>
      <c r="AM106" s="2"/>
      <c r="AN106" s="2"/>
    </row>
    <row r="107" spans="1:40" x14ac:dyDescent="0.25">
      <c r="A107" s="2"/>
      <c r="B107" s="3" t="s">
        <v>60</v>
      </c>
      <c r="C107" s="2">
        <f t="shared" si="0"/>
        <v>10</v>
      </c>
      <c r="E107" s="2" t="s">
        <v>43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 t="s">
        <v>43</v>
      </c>
      <c r="Q107" s="2"/>
      <c r="R107" s="2"/>
      <c r="S107" s="2" t="s">
        <v>43</v>
      </c>
      <c r="T107" s="2" t="s">
        <v>43</v>
      </c>
      <c r="U107" s="2"/>
      <c r="V107" s="2" t="s">
        <v>43</v>
      </c>
      <c r="W107" s="2"/>
      <c r="X107" s="2" t="s">
        <v>43</v>
      </c>
      <c r="Y107" s="2"/>
      <c r="Z107" s="2"/>
      <c r="AA107" s="2" t="s">
        <v>43</v>
      </c>
      <c r="AB107" s="2" t="s">
        <v>43</v>
      </c>
      <c r="AC107" s="2" t="s">
        <v>43</v>
      </c>
      <c r="AD107" s="2"/>
      <c r="AE107" s="2"/>
      <c r="AF107" s="2"/>
      <c r="AG107" s="2"/>
      <c r="AH107" s="2"/>
      <c r="AI107" s="2"/>
      <c r="AJ107" s="2" t="s">
        <v>43</v>
      </c>
      <c r="AK107" s="2"/>
      <c r="AL107" s="2"/>
      <c r="AM107" s="2"/>
      <c r="AN107" s="2"/>
    </row>
    <row r="108" spans="1:40" x14ac:dyDescent="0.25">
      <c r="A108" s="2"/>
      <c r="B108" s="3" t="s">
        <v>61</v>
      </c>
      <c r="C108" s="2">
        <f t="shared" si="0"/>
        <v>3</v>
      </c>
      <c r="E108" s="2" t="s">
        <v>43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43</v>
      </c>
      <c r="X108" s="2" t="s">
        <v>43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x14ac:dyDescent="0.25">
      <c r="A109" s="2"/>
      <c r="B109" s="3" t="s">
        <v>63</v>
      </c>
      <c r="C109" s="2">
        <f t="shared" si="0"/>
        <v>4</v>
      </c>
      <c r="E109" s="2"/>
      <c r="F109" s="2"/>
      <c r="G109" s="2"/>
      <c r="H109" s="2" t="s">
        <v>43</v>
      </c>
      <c r="I109" s="2"/>
      <c r="J109" s="2"/>
      <c r="K109" s="2"/>
      <c r="L109" s="2"/>
      <c r="M109" s="2"/>
      <c r="N109" s="2" t="s">
        <v>43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 t="s">
        <v>43</v>
      </c>
      <c r="AC109" s="2"/>
      <c r="AD109" s="2"/>
      <c r="AE109" s="2"/>
      <c r="AF109" s="2"/>
      <c r="AG109" s="2"/>
      <c r="AH109" s="2" t="s">
        <v>43</v>
      </c>
      <c r="AI109" s="2"/>
      <c r="AJ109" s="2"/>
      <c r="AK109" s="2"/>
      <c r="AL109" s="2"/>
      <c r="AM109" s="2"/>
      <c r="AN109" s="2"/>
    </row>
    <row r="110" spans="1:40" x14ac:dyDescent="0.25">
      <c r="A110" s="2"/>
      <c r="B110" s="3" t="s">
        <v>64</v>
      </c>
      <c r="C110" s="2">
        <f t="shared" si="0"/>
        <v>2</v>
      </c>
      <c r="E110" s="2"/>
      <c r="F110" s="2"/>
      <c r="G110" s="2"/>
      <c r="H110" s="2" t="s">
        <v>43</v>
      </c>
      <c r="I110" s="2"/>
      <c r="J110" s="2"/>
      <c r="K110" s="2"/>
      <c r="L110" s="2"/>
      <c r="M110" s="2"/>
      <c r="N110" s="2"/>
      <c r="O110" s="2"/>
      <c r="P110" s="2"/>
      <c r="Q110" s="2"/>
      <c r="R110" s="2" t="s">
        <v>43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x14ac:dyDescent="0.25">
      <c r="A111" s="2"/>
      <c r="B111" s="3" t="s">
        <v>65</v>
      </c>
      <c r="C111" s="2">
        <f t="shared" si="0"/>
        <v>3</v>
      </c>
      <c r="E111" s="2"/>
      <c r="F111" s="2"/>
      <c r="G111" s="2"/>
      <c r="H111" s="2"/>
      <c r="I111" s="2" t="s">
        <v>43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 t="s">
        <v>43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43</v>
      </c>
      <c r="AH111" s="2"/>
      <c r="AI111" s="2"/>
      <c r="AJ111" s="2"/>
      <c r="AK111" s="2"/>
      <c r="AL111" s="2"/>
      <c r="AM111" s="2"/>
      <c r="AN111" s="2"/>
    </row>
    <row r="112" spans="1:40" x14ac:dyDescent="0.25">
      <c r="A112" s="2"/>
      <c r="B112" s="3" t="s">
        <v>66</v>
      </c>
      <c r="C112" s="2">
        <f t="shared" si="0"/>
        <v>1</v>
      </c>
      <c r="E112" s="2"/>
      <c r="F112" s="2"/>
      <c r="G112" s="2"/>
      <c r="H112" s="2"/>
      <c r="I112" s="2"/>
      <c r="J112" s="2"/>
      <c r="K112" s="2"/>
      <c r="L112" s="2"/>
      <c r="M112" s="2" t="s">
        <v>43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x14ac:dyDescent="0.25">
      <c r="A113" s="2"/>
      <c r="B113" s="3" t="s">
        <v>67</v>
      </c>
      <c r="C113" s="2">
        <f t="shared" si="0"/>
        <v>5</v>
      </c>
      <c r="E113" s="2"/>
      <c r="F113" s="2"/>
      <c r="G113" s="2"/>
      <c r="H113" s="2"/>
      <c r="I113" s="2"/>
      <c r="J113" s="2"/>
      <c r="K113" s="2"/>
      <c r="L113" s="2"/>
      <c r="M113" s="2" t="s">
        <v>43</v>
      </c>
      <c r="N113" s="2"/>
      <c r="O113" s="2"/>
      <c r="P113" s="2" t="s">
        <v>43</v>
      </c>
      <c r="Q113" s="2"/>
      <c r="R113" s="2"/>
      <c r="S113" s="2"/>
      <c r="T113" s="2"/>
      <c r="U113" s="2"/>
      <c r="V113" s="2"/>
      <c r="W113" s="2"/>
      <c r="X113" s="2" t="s">
        <v>43</v>
      </c>
      <c r="Y113" s="2"/>
      <c r="Z113" s="2"/>
      <c r="AA113" s="2"/>
      <c r="AB113" s="2"/>
      <c r="AC113" s="2"/>
      <c r="AD113" s="2"/>
      <c r="AE113" s="2" t="s">
        <v>43</v>
      </c>
      <c r="AF113" s="2"/>
      <c r="AG113" s="2"/>
      <c r="AH113" s="2"/>
      <c r="AI113" s="2"/>
      <c r="AJ113" s="2"/>
      <c r="AK113" s="2" t="s">
        <v>43</v>
      </c>
      <c r="AL113" s="2"/>
      <c r="AM113" s="2"/>
      <c r="AN113" s="2"/>
    </row>
    <row r="114" spans="1:40" x14ac:dyDescent="0.25">
      <c r="A114" s="2"/>
      <c r="B114" s="3" t="s">
        <v>68</v>
      </c>
      <c r="C114" s="2">
        <f t="shared" si="0"/>
        <v>2</v>
      </c>
      <c r="E114" s="2"/>
      <c r="F114" s="2"/>
      <c r="G114" s="2"/>
      <c r="H114" s="2"/>
      <c r="I114" s="2"/>
      <c r="J114" s="2"/>
      <c r="K114" s="2"/>
      <c r="L114" s="2"/>
      <c r="M114" s="2"/>
      <c r="N114" s="2" t="s">
        <v>43</v>
      </c>
      <c r="O114" s="2"/>
      <c r="P114" s="2"/>
      <c r="Q114" s="2"/>
      <c r="R114" s="2" t="s">
        <v>43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x14ac:dyDescent="0.25">
      <c r="A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x14ac:dyDescent="0.25">
      <c r="A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x14ac:dyDescent="0.25">
      <c r="A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x14ac:dyDescent="0.25">
      <c r="A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x14ac:dyDescent="0.25">
      <c r="A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x14ac:dyDescent="0.25">
      <c r="A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x14ac:dyDescent="0.25">
      <c r="A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x14ac:dyDescent="0.25">
      <c r="A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x14ac:dyDescent="0.25">
      <c r="A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x14ac:dyDescent="0.25">
      <c r="A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x14ac:dyDescent="0.25">
      <c r="A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x14ac:dyDescent="0.25">
      <c r="A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x14ac:dyDescent="0.25">
      <c r="A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x14ac:dyDescent="0.25">
      <c r="A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x14ac:dyDescent="0.25">
      <c r="A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x14ac:dyDescent="0.25">
      <c r="A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x14ac:dyDescent="0.25">
      <c r="A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x14ac:dyDescent="0.25">
      <c r="A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x14ac:dyDescent="0.25">
      <c r="A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x14ac:dyDescent="0.25">
      <c r="A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x14ac:dyDescent="0.25">
      <c r="A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x14ac:dyDescent="0.25">
      <c r="A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x14ac:dyDescent="0.25">
      <c r="A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x14ac:dyDescent="0.25">
      <c r="A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x14ac:dyDescent="0.25">
      <c r="A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x14ac:dyDescent="0.25">
      <c r="A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x14ac:dyDescent="0.25">
      <c r="A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x14ac:dyDescent="0.25">
      <c r="A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x14ac:dyDescent="0.25">
      <c r="A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x14ac:dyDescent="0.25">
      <c r="A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x14ac:dyDescent="0.25">
      <c r="A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x14ac:dyDescent="0.25">
      <c r="A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x14ac:dyDescent="0.25">
      <c r="A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x14ac:dyDescent="0.25">
      <c r="A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x14ac:dyDescent="0.25">
      <c r="A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x14ac:dyDescent="0.25">
      <c r="A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x14ac:dyDescent="0.25">
      <c r="A151" s="2"/>
    </row>
    <row r="152" spans="1:40" x14ac:dyDescent="0.25">
      <c r="A152" s="2"/>
    </row>
    <row r="153" spans="1:40" x14ac:dyDescent="0.25">
      <c r="A153" s="2"/>
    </row>
    <row r="154" spans="1:40" x14ac:dyDescent="0.25">
      <c r="A154" s="2"/>
    </row>
    <row r="155" spans="1:40" x14ac:dyDescent="0.25">
      <c r="A155" s="2"/>
    </row>
    <row r="156" spans="1:40" x14ac:dyDescent="0.25">
      <c r="A156" s="2"/>
    </row>
    <row r="157" spans="1:40" x14ac:dyDescent="0.25">
      <c r="A157" s="2"/>
    </row>
    <row r="158" spans="1:40" x14ac:dyDescent="0.25">
      <c r="A158" s="2"/>
    </row>
    <row r="159" spans="1:40" x14ac:dyDescent="0.25">
      <c r="A159" s="2"/>
    </row>
    <row r="160" spans="1:40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</sheetData>
  <phoneticPr fontId="0" type="noConversion"/>
  <printOptions gridLines="1"/>
  <pageMargins left="0.75" right="0.7" top="1" bottom="0.5" header="0.5" footer="0.25"/>
  <pageSetup scale="84" fitToHeight="4" orientation="landscape" horizontalDpi="360" verticalDpi="360" r:id="rId1"/>
  <headerFooter alignWithMargins="0">
    <oddHeader>&amp;C&amp;"Arial,Bold"&amp;12Technology, Quantitative and Research Skills Pre-Assessment Survey
&amp;10Financial Administration [BADM 710] -- Fall Semester 2001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16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4" sqref="J4"/>
    </sheetView>
  </sheetViews>
  <sheetFormatPr defaultColWidth="9.1796875" defaultRowHeight="10" x14ac:dyDescent="0.25"/>
  <cols>
    <col min="1" max="1" width="3.7265625" style="1" customWidth="1"/>
    <col min="2" max="2" width="23.453125" style="1" customWidth="1"/>
    <col min="3" max="3" width="6" style="1" customWidth="1"/>
    <col min="4" max="4" width="7" style="1" customWidth="1"/>
    <col min="5" max="39" width="3.1796875" style="1" customWidth="1"/>
    <col min="40" max="16384" width="9.1796875" style="1"/>
  </cols>
  <sheetData>
    <row r="1" spans="1:40" s="2" customFormat="1" ht="77.25" customHeight="1" x14ac:dyDescent="0.25">
      <c r="A1" s="12" t="s">
        <v>62</v>
      </c>
      <c r="B1" s="6" t="s">
        <v>6</v>
      </c>
      <c r="C1" s="6" t="s">
        <v>7</v>
      </c>
      <c r="D1" s="6" t="s">
        <v>9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  <c r="AE1" s="5" t="s">
        <v>51</v>
      </c>
      <c r="AF1" s="5" t="s">
        <v>52</v>
      </c>
      <c r="AG1" s="5" t="s">
        <v>53</v>
      </c>
      <c r="AH1" s="5" t="s">
        <v>54</v>
      </c>
      <c r="AI1" s="5" t="s">
        <v>55</v>
      </c>
      <c r="AJ1" s="5" t="s">
        <v>56</v>
      </c>
      <c r="AK1" s="5" t="s">
        <v>57</v>
      </c>
      <c r="AL1" s="5" t="s">
        <v>70</v>
      </c>
    </row>
    <row r="2" spans="1:40" x14ac:dyDescent="0.25">
      <c r="A2" s="11">
        <v>31</v>
      </c>
    </row>
    <row r="3" spans="1:40" x14ac:dyDescent="0.25">
      <c r="A3" s="1">
        <v>30</v>
      </c>
    </row>
    <row r="4" spans="1:40" ht="23" x14ac:dyDescent="0.25">
      <c r="A4" s="2">
        <v>1</v>
      </c>
      <c r="B4" s="9" t="s">
        <v>0</v>
      </c>
      <c r="C4" s="4"/>
      <c r="D4" s="4"/>
    </row>
    <row r="6" spans="1:40" x14ac:dyDescent="0.25">
      <c r="B6" s="3" t="s">
        <v>4</v>
      </c>
      <c r="C6" s="2">
        <f>COUNTIF(E6:AL6,"x")</f>
        <v>24</v>
      </c>
      <c r="D6" s="13">
        <f>SUM(C6/$A$2)</f>
        <v>0.77419354838709675</v>
      </c>
      <c r="E6" s="2" t="s">
        <v>43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/>
      <c r="N6" s="2" t="s">
        <v>43</v>
      </c>
      <c r="O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V6" s="2"/>
      <c r="W6" s="2" t="s">
        <v>43</v>
      </c>
      <c r="X6" s="2" t="s">
        <v>43</v>
      </c>
      <c r="Y6" s="2" t="s">
        <v>43</v>
      </c>
      <c r="Z6" s="2"/>
      <c r="AA6" s="2" t="s">
        <v>43</v>
      </c>
      <c r="AB6" s="2" t="s">
        <v>43</v>
      </c>
      <c r="AC6" s="2"/>
      <c r="AD6" s="2"/>
      <c r="AE6" s="2"/>
      <c r="AF6" s="2" t="s">
        <v>43</v>
      </c>
      <c r="AG6" s="2" t="s">
        <v>43</v>
      </c>
      <c r="AH6" s="2" t="s">
        <v>43</v>
      </c>
      <c r="AI6" s="2"/>
      <c r="AJ6" s="2"/>
      <c r="AK6" s="2"/>
      <c r="AL6" s="2"/>
      <c r="AM6" s="2"/>
      <c r="AN6" s="2"/>
    </row>
    <row r="7" spans="1:40" x14ac:dyDescent="0.25">
      <c r="B7" s="3" t="s">
        <v>3</v>
      </c>
      <c r="C7" s="2">
        <f>COUNTIF(E7:AL7,"x")</f>
        <v>7</v>
      </c>
      <c r="D7" s="13">
        <f>SUM(C7/$A$2)</f>
        <v>0.22580645161290322</v>
      </c>
      <c r="E7" s="2"/>
      <c r="F7" s="2"/>
      <c r="G7" s="2"/>
      <c r="H7" s="2"/>
      <c r="I7" s="2"/>
      <c r="J7" s="2"/>
      <c r="K7" s="2"/>
      <c r="L7" s="2"/>
      <c r="M7" s="2" t="s">
        <v>43</v>
      </c>
      <c r="N7" s="2"/>
      <c r="O7" s="2"/>
      <c r="P7" s="2"/>
      <c r="Q7" s="2"/>
      <c r="R7" s="2"/>
      <c r="S7" s="2"/>
      <c r="T7" s="2"/>
      <c r="U7" s="2"/>
      <c r="V7" s="2" t="s">
        <v>43</v>
      </c>
      <c r="W7" s="2"/>
      <c r="X7" s="2"/>
      <c r="Y7" s="2"/>
      <c r="Z7" s="2" t="s">
        <v>43</v>
      </c>
      <c r="AA7" s="2"/>
      <c r="AB7" s="2"/>
      <c r="AC7" s="2" t="s">
        <v>43</v>
      </c>
      <c r="AD7" s="2" t="s">
        <v>43</v>
      </c>
      <c r="AE7" s="2" t="s">
        <v>43</v>
      </c>
      <c r="AF7" s="2"/>
      <c r="AG7" s="2"/>
      <c r="AH7" s="2"/>
      <c r="AI7" s="2" t="s">
        <v>43</v>
      </c>
      <c r="AJ7" s="2"/>
      <c r="AK7" s="2"/>
      <c r="AL7" s="2"/>
      <c r="AM7" s="2"/>
      <c r="AN7" s="2"/>
    </row>
    <row r="8" spans="1:40" x14ac:dyDescent="0.25">
      <c r="B8" s="3" t="s">
        <v>1</v>
      </c>
      <c r="C8" s="2">
        <f>COUNTIF(E8:AL8,"x")</f>
        <v>0</v>
      </c>
      <c r="D8" s="13">
        <f>SUM(C8/$A$2)</f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B9" s="3" t="s">
        <v>2</v>
      </c>
      <c r="C9" s="2">
        <f>COUNTIF(E9:AL9,"x")</f>
        <v>0</v>
      </c>
      <c r="D9" s="13">
        <f>SUM(C9/$A$2)</f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1.25" customHeight="1" x14ac:dyDescent="0.25">
      <c r="B10" s="3" t="s">
        <v>5</v>
      </c>
      <c r="C10" s="2">
        <f>COUNTIF(E10:AL10,"x")</f>
        <v>0</v>
      </c>
      <c r="D10" s="13">
        <f>SUM(C10/$A$2)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26" x14ac:dyDescent="0.25">
      <c r="A12" s="2">
        <v>2</v>
      </c>
      <c r="B12" s="8" t="s">
        <v>8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2"/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s">
        <v>43</v>
      </c>
      <c r="AM13" s="2"/>
      <c r="AN13" s="2"/>
    </row>
    <row r="14" spans="1:40" x14ac:dyDescent="0.25">
      <c r="A14" s="2"/>
      <c r="B14" s="3" t="s">
        <v>4</v>
      </c>
      <c r="C14" s="2">
        <f>COUNTIF(E14:AL14,"x")</f>
        <v>19</v>
      </c>
      <c r="D14" s="13">
        <f>SUM(C14/$A$2)</f>
        <v>0.61290322580645162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/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/>
      <c r="T14" s="2" t="s">
        <v>43</v>
      </c>
      <c r="U14" s="2" t="s">
        <v>43</v>
      </c>
      <c r="V14" s="2"/>
      <c r="W14" s="2" t="s">
        <v>43</v>
      </c>
      <c r="X14" s="2"/>
      <c r="Y14" s="2"/>
      <c r="Z14" s="2"/>
      <c r="AA14" s="2" t="s">
        <v>43</v>
      </c>
      <c r="AB14" s="2"/>
      <c r="AC14" s="2"/>
      <c r="AD14" s="2"/>
      <c r="AE14" s="2"/>
      <c r="AF14" s="2" t="s">
        <v>43</v>
      </c>
      <c r="AG14" s="2" t="s">
        <v>43</v>
      </c>
      <c r="AH14" s="2"/>
      <c r="AI14" s="2"/>
      <c r="AJ14" s="2"/>
      <c r="AK14" s="2"/>
      <c r="AL14" s="2"/>
      <c r="AM14" s="2"/>
      <c r="AN14" s="2"/>
    </row>
    <row r="15" spans="1:40" x14ac:dyDescent="0.25">
      <c r="A15" s="2"/>
      <c r="B15" s="3" t="s">
        <v>3</v>
      </c>
      <c r="C15" s="2">
        <f>COUNTIF(E15:AL15,"x")</f>
        <v>10</v>
      </c>
      <c r="D15" s="13">
        <f>SUM(C15/$A$2)</f>
        <v>0.32258064516129031</v>
      </c>
      <c r="E15" s="2"/>
      <c r="F15" s="2"/>
      <c r="G15" s="2"/>
      <c r="H15" s="2"/>
      <c r="I15" s="2"/>
      <c r="J15" s="2"/>
      <c r="K15" s="2"/>
      <c r="L15" s="2"/>
      <c r="M15" s="2" t="s">
        <v>43</v>
      </c>
      <c r="N15" s="2"/>
      <c r="O15" s="2"/>
      <c r="P15" s="2"/>
      <c r="Q15" s="2"/>
      <c r="R15" s="2"/>
      <c r="S15" s="2" t="s">
        <v>43</v>
      </c>
      <c r="T15" s="2"/>
      <c r="U15" s="2"/>
      <c r="V15" s="2" t="s">
        <v>43</v>
      </c>
      <c r="W15" s="2"/>
      <c r="X15" s="2" t="s">
        <v>43</v>
      </c>
      <c r="Y15" s="2" t="s">
        <v>43</v>
      </c>
      <c r="Z15" s="2" t="s">
        <v>43</v>
      </c>
      <c r="AA15" s="2"/>
      <c r="AB15" s="2" t="s">
        <v>43</v>
      </c>
      <c r="AC15" s="2" t="s">
        <v>43</v>
      </c>
      <c r="AD15" s="2"/>
      <c r="AE15" s="2" t="s">
        <v>43</v>
      </c>
      <c r="AF15" s="2"/>
      <c r="AG15" s="2"/>
      <c r="AH15" s="2"/>
      <c r="AI15" s="2" t="s">
        <v>43</v>
      </c>
      <c r="AJ15" s="2"/>
      <c r="AK15" s="2"/>
      <c r="AL15" s="2"/>
      <c r="AM15" s="2"/>
      <c r="AN15" s="2"/>
    </row>
    <row r="16" spans="1:40" x14ac:dyDescent="0.25">
      <c r="A16" s="2"/>
      <c r="B16" s="3" t="s">
        <v>1</v>
      </c>
      <c r="C16" s="2">
        <f>COUNTIF(E16:AL16,"x")</f>
        <v>1</v>
      </c>
      <c r="D16" s="13">
        <f>SUM(C16/$A$2)</f>
        <v>3.2258064516129031E-2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43</v>
      </c>
      <c r="AI16" s="2"/>
      <c r="AJ16" s="2"/>
      <c r="AK16" s="2"/>
      <c r="AL16" s="2"/>
      <c r="AM16" s="2"/>
      <c r="AN16" s="2"/>
    </row>
    <row r="17" spans="1:40" x14ac:dyDescent="0.25">
      <c r="A17" s="2"/>
      <c r="B17" s="3" t="s">
        <v>2</v>
      </c>
      <c r="C17" s="2">
        <f>COUNTIF(E17:AL17,"x")</f>
        <v>1</v>
      </c>
      <c r="D17" s="13">
        <f>SUM(C17/$A$2)</f>
        <v>3.2258064516129031E-2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43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1.25" customHeight="1" x14ac:dyDescent="0.25">
      <c r="A18" s="2"/>
      <c r="B18" s="3" t="s">
        <v>5</v>
      </c>
      <c r="C18" s="2">
        <f>COUNTIF(E18:AL18,"x")</f>
        <v>0</v>
      </c>
      <c r="D18" s="13">
        <f>SUM(C18/$A$2)</f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2" customHeight="1" x14ac:dyDescent="0.25">
      <c r="A19" s="2"/>
      <c r="B19" s="3"/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52" x14ac:dyDescent="0.25">
      <c r="A20" s="2">
        <v>3</v>
      </c>
      <c r="B20" s="8" t="s">
        <v>10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25">
      <c r="A21" s="2"/>
      <c r="D21" s="1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25">
      <c r="A22" s="2"/>
      <c r="B22" s="3" t="s">
        <v>4</v>
      </c>
      <c r="C22" s="2">
        <f>COUNTIF(E22:AL22,"x")</f>
        <v>4</v>
      </c>
      <c r="D22" s="13">
        <f>SUM(C22/$A$2)</f>
        <v>0.12903225806451613</v>
      </c>
      <c r="E22" s="2"/>
      <c r="F22" s="2" t="s">
        <v>43</v>
      </c>
      <c r="G22" s="2"/>
      <c r="H22" s="2"/>
      <c r="I22" s="2"/>
      <c r="J22" s="2"/>
      <c r="K22" s="2" t="s">
        <v>43</v>
      </c>
      <c r="L22" s="2"/>
      <c r="M22" s="2"/>
      <c r="N22" s="2" t="s">
        <v>43</v>
      </c>
      <c r="O22" s="2"/>
      <c r="P22" s="2" t="s">
        <v>43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25">
      <c r="A23" s="2"/>
      <c r="B23" s="3" t="s">
        <v>3</v>
      </c>
      <c r="C23" s="2">
        <f>COUNTIF(E23:AL23,"x")</f>
        <v>19</v>
      </c>
      <c r="D23" s="13">
        <f>SUM(C23/$A$2)</f>
        <v>0.61290322580645162</v>
      </c>
      <c r="E23" s="2" t="s">
        <v>43</v>
      </c>
      <c r="F23" s="2"/>
      <c r="G23" s="2" t="s">
        <v>43</v>
      </c>
      <c r="H23" s="2"/>
      <c r="I23" s="2" t="s">
        <v>43</v>
      </c>
      <c r="J23" s="2" t="s">
        <v>43</v>
      </c>
      <c r="K23" s="2"/>
      <c r="L23" s="2" t="s">
        <v>43</v>
      </c>
      <c r="M23" s="2"/>
      <c r="N23" s="2"/>
      <c r="O23" s="2" t="s">
        <v>43</v>
      </c>
      <c r="P23" s="2"/>
      <c r="Q23" s="2"/>
      <c r="R23" s="2" t="s">
        <v>43</v>
      </c>
      <c r="S23" s="2"/>
      <c r="T23" s="2" t="s">
        <v>43</v>
      </c>
      <c r="U23" s="2" t="s">
        <v>43</v>
      </c>
      <c r="V23" s="2" t="s">
        <v>43</v>
      </c>
      <c r="W23" s="2"/>
      <c r="X23" s="2"/>
      <c r="Y23" s="2"/>
      <c r="Z23" s="2" t="s">
        <v>43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">
        <v>43</v>
      </c>
      <c r="AF23" s="2" t="s">
        <v>43</v>
      </c>
      <c r="AG23" s="2"/>
      <c r="AH23" s="2" t="s">
        <v>43</v>
      </c>
      <c r="AI23" s="2"/>
      <c r="AJ23" s="2"/>
      <c r="AK23" s="2"/>
      <c r="AL23" s="2" t="s">
        <v>43</v>
      </c>
      <c r="AM23" s="2"/>
      <c r="AN23" s="2"/>
    </row>
    <row r="24" spans="1:40" x14ac:dyDescent="0.25">
      <c r="A24" s="2"/>
      <c r="B24" s="3" t="s">
        <v>1</v>
      </c>
      <c r="C24" s="2">
        <f>COUNTIF(E24:AL24,"x")</f>
        <v>6</v>
      </c>
      <c r="D24" s="13">
        <f>SUM(C24/$A$2)</f>
        <v>0.19354838709677419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43</v>
      </c>
      <c r="R24" s="2"/>
      <c r="S24" s="2" t="s">
        <v>43</v>
      </c>
      <c r="T24" s="2"/>
      <c r="U24" s="2"/>
      <c r="V24" s="2"/>
      <c r="W24" s="2" t="s">
        <v>43</v>
      </c>
      <c r="X24" s="2" t="s">
        <v>43</v>
      </c>
      <c r="Y24" s="2" t="s">
        <v>43</v>
      </c>
      <c r="Z24" s="2"/>
      <c r="AA24" s="2"/>
      <c r="AB24" s="2"/>
      <c r="AC24" s="2"/>
      <c r="AD24" s="2"/>
      <c r="AE24" s="2"/>
      <c r="AF24" s="2"/>
      <c r="AG24" s="2"/>
      <c r="AH24" s="2"/>
      <c r="AI24" s="2" t="s">
        <v>43</v>
      </c>
      <c r="AJ24" s="2"/>
      <c r="AK24" s="2"/>
      <c r="AL24" s="2"/>
      <c r="AM24" s="2"/>
      <c r="AN24" s="2"/>
    </row>
    <row r="25" spans="1:40" x14ac:dyDescent="0.25">
      <c r="A25" s="2"/>
      <c r="B25" s="3" t="s">
        <v>2</v>
      </c>
      <c r="C25" s="2">
        <f>COUNTIF(E25:AL25,"x")</f>
        <v>3</v>
      </c>
      <c r="D25" s="13">
        <f>SUM(C25/$A$2)</f>
        <v>9.6774193548387094E-2</v>
      </c>
      <c r="E25" s="2"/>
      <c r="F25" s="2"/>
      <c r="G25" s="2"/>
      <c r="H25" s="2" t="s">
        <v>43</v>
      </c>
      <c r="I25" s="2"/>
      <c r="J25" s="2"/>
      <c r="K25" s="2"/>
      <c r="L25" s="2"/>
      <c r="M25" s="2" t="s">
        <v>43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 t="s">
        <v>43</v>
      </c>
      <c r="AH25" s="2"/>
      <c r="AI25" s="2"/>
      <c r="AJ25" s="2"/>
      <c r="AK25" s="2"/>
      <c r="AL25" s="2"/>
      <c r="AM25" s="2"/>
      <c r="AN25" s="2"/>
    </row>
    <row r="26" spans="1:40" x14ac:dyDescent="0.25">
      <c r="A26" s="2"/>
      <c r="B26" s="3" t="s">
        <v>5</v>
      </c>
      <c r="C26" s="2">
        <f>COUNTIF(E26:AL26,"x")</f>
        <v>0</v>
      </c>
      <c r="D26" s="13">
        <f>SUM(C26/$A$2)</f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x14ac:dyDescent="0.25">
      <c r="A27" s="2"/>
      <c r="D27" s="1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26" x14ac:dyDescent="0.25">
      <c r="A28" s="2">
        <v>4</v>
      </c>
      <c r="B28" s="8" t="s">
        <v>42</v>
      </c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x14ac:dyDescent="0.25">
      <c r="A29" s="2"/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x14ac:dyDescent="0.25">
      <c r="A30" s="2"/>
      <c r="B30" s="3" t="s">
        <v>4</v>
      </c>
      <c r="C30" s="2">
        <f>COUNTIF(E30:AL30,"x")</f>
        <v>0</v>
      </c>
      <c r="D30" s="13">
        <f>SUM(C30/$A$2)</f>
        <v>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x14ac:dyDescent="0.25">
      <c r="A31" s="2"/>
      <c r="B31" s="3" t="s">
        <v>3</v>
      </c>
      <c r="C31" s="2">
        <f>COUNTIF(E31:AL31,"x")</f>
        <v>0</v>
      </c>
      <c r="D31" s="13">
        <f>SUM(C31/$A$2)</f>
        <v>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x14ac:dyDescent="0.25">
      <c r="A32" s="2"/>
      <c r="B32" s="3" t="s">
        <v>1</v>
      </c>
      <c r="C32" s="2">
        <f>COUNTIF(E32:AL32,"x")</f>
        <v>1</v>
      </c>
      <c r="D32" s="13">
        <f>SUM(C32/$A$2)</f>
        <v>3.2258064516129031E-2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 t="s">
        <v>43</v>
      </c>
      <c r="AM32" s="2"/>
      <c r="AN32" s="2"/>
    </row>
    <row r="33" spans="1:74" x14ac:dyDescent="0.25">
      <c r="A33" s="2"/>
      <c r="B33" s="3" t="s">
        <v>2</v>
      </c>
      <c r="C33" s="2">
        <f>COUNTIF(E33:AL33,"x")</f>
        <v>6</v>
      </c>
      <c r="D33" s="13">
        <f>SUM(C33/$A$2)</f>
        <v>0.19354838709677419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43</v>
      </c>
      <c r="W33" s="2" t="s">
        <v>43</v>
      </c>
      <c r="X33" s="2"/>
      <c r="Y33" s="2"/>
      <c r="Z33" s="2"/>
      <c r="AA33" s="2"/>
      <c r="AB33" s="2"/>
      <c r="AC33" s="2"/>
      <c r="AD33" s="2" t="s">
        <v>43</v>
      </c>
      <c r="AE33" s="2" t="s">
        <v>43</v>
      </c>
      <c r="AF33" s="2" t="s">
        <v>43</v>
      </c>
      <c r="AG33" s="2" t="s">
        <v>43</v>
      </c>
      <c r="AH33" s="2"/>
      <c r="AI33" s="2"/>
      <c r="AJ33" s="2"/>
      <c r="AK33" s="2"/>
      <c r="AL33" s="2"/>
      <c r="AM33" s="2"/>
      <c r="AN33" s="2"/>
    </row>
    <row r="34" spans="1:74" x14ac:dyDescent="0.25">
      <c r="A34" s="2"/>
      <c r="B34" s="3" t="s">
        <v>5</v>
      </c>
      <c r="C34" s="2">
        <f>COUNTIF(E34:AL34,"x")</f>
        <v>25</v>
      </c>
      <c r="D34" s="13">
        <f>SUM(C34/$A$2)</f>
        <v>0.80645161290322576</v>
      </c>
      <c r="E34" s="2" t="s">
        <v>43</v>
      </c>
      <c r="F34" s="2" t="s">
        <v>43</v>
      </c>
      <c r="G34" s="2" t="s">
        <v>43</v>
      </c>
      <c r="H34" s="2" t="s">
        <v>43</v>
      </c>
      <c r="I34" s="2" t="s">
        <v>43</v>
      </c>
      <c r="J34" s="2" t="s">
        <v>43</v>
      </c>
      <c r="K34" s="2" t="s">
        <v>43</v>
      </c>
      <c r="L34" s="2" t="s">
        <v>43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43</v>
      </c>
      <c r="S34" s="2" t="s">
        <v>43</v>
      </c>
      <c r="T34" s="2" t="s">
        <v>43</v>
      </c>
      <c r="U34" s="2" t="s">
        <v>43</v>
      </c>
      <c r="V34" s="2"/>
      <c r="W34" s="2"/>
      <c r="X34" s="2" t="s">
        <v>43</v>
      </c>
      <c r="Y34" s="2" t="s">
        <v>43</v>
      </c>
      <c r="Z34" s="2" t="s">
        <v>43</v>
      </c>
      <c r="AA34" s="2" t="s">
        <v>43</v>
      </c>
      <c r="AB34" s="2" t="s">
        <v>43</v>
      </c>
      <c r="AC34" s="2" t="s">
        <v>43</v>
      </c>
      <c r="AD34" s="2"/>
      <c r="AE34" s="2"/>
      <c r="AF34" s="2"/>
      <c r="AG34" s="2"/>
      <c r="AH34" s="2" t="s">
        <v>43</v>
      </c>
      <c r="AI34" s="2" t="s">
        <v>43</v>
      </c>
      <c r="AJ34" s="2"/>
      <c r="AK34" s="2"/>
      <c r="AL34" s="2"/>
      <c r="AM34" s="2"/>
      <c r="AN34" s="2"/>
    </row>
    <row r="35" spans="1:74" x14ac:dyDescent="0.25">
      <c r="A35" s="2"/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74" ht="12.5" x14ac:dyDescent="0.25">
      <c r="A36" s="2"/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10"/>
      <c r="AM36" s="10"/>
      <c r="AN36" s="10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</row>
    <row r="37" spans="1:74" x14ac:dyDescent="0.25">
      <c r="A37" s="2"/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74" s="7" customFormat="1" ht="39" x14ac:dyDescent="0.25">
      <c r="A38" s="10">
        <v>5</v>
      </c>
      <c r="B38" s="8" t="s">
        <v>11</v>
      </c>
      <c r="D38" s="1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25">
      <c r="A39" s="2"/>
      <c r="D39" s="1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74" x14ac:dyDescent="0.25">
      <c r="A40" s="2"/>
      <c r="B40" s="3" t="s">
        <v>4</v>
      </c>
      <c r="C40" s="2">
        <f>COUNTIF(E40:AL40,"x")</f>
        <v>11</v>
      </c>
      <c r="D40" s="13">
        <f>SUM(C40/$A$2)</f>
        <v>0.35483870967741937</v>
      </c>
      <c r="E40" s="2"/>
      <c r="F40" s="2" t="s">
        <v>43</v>
      </c>
      <c r="G40" s="2" t="s">
        <v>43</v>
      </c>
      <c r="H40" s="2"/>
      <c r="I40" s="2"/>
      <c r="J40" s="2"/>
      <c r="K40" s="2" t="s">
        <v>43</v>
      </c>
      <c r="L40" s="2" t="s">
        <v>43</v>
      </c>
      <c r="M40" s="2"/>
      <c r="N40" s="2" t="s">
        <v>43</v>
      </c>
      <c r="O40" s="2"/>
      <c r="P40" s="2" t="s">
        <v>43</v>
      </c>
      <c r="Q40" s="2" t="s">
        <v>43</v>
      </c>
      <c r="R40" s="2" t="s">
        <v>43</v>
      </c>
      <c r="S40" s="2"/>
      <c r="T40" s="2"/>
      <c r="U40" s="2"/>
      <c r="V40" s="2"/>
      <c r="W40" s="2"/>
      <c r="X40" s="2" t="s">
        <v>43</v>
      </c>
      <c r="Y40" s="2"/>
      <c r="Z40" s="2"/>
      <c r="AA40" s="2" t="s">
        <v>43</v>
      </c>
      <c r="AB40" s="2"/>
      <c r="AC40" s="2"/>
      <c r="AD40" s="2" t="s">
        <v>43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74" x14ac:dyDescent="0.25">
      <c r="A41" s="2"/>
      <c r="B41" s="3" t="s">
        <v>3</v>
      </c>
      <c r="C41" s="2">
        <f>COUNTIF(E41:AL41,"x")</f>
        <v>14</v>
      </c>
      <c r="D41" s="13">
        <f>SUM(C41/$A$2)</f>
        <v>0.45161290322580644</v>
      </c>
      <c r="E41" s="2"/>
      <c r="F41" s="2"/>
      <c r="G41" s="2"/>
      <c r="H41" s="2" t="s">
        <v>43</v>
      </c>
      <c r="I41" s="2" t="s">
        <v>43</v>
      </c>
      <c r="J41" s="2" t="s">
        <v>43</v>
      </c>
      <c r="K41" s="2"/>
      <c r="L41" s="2"/>
      <c r="M41" s="2" t="s">
        <v>43</v>
      </c>
      <c r="N41" s="2"/>
      <c r="O41" s="2" t="s">
        <v>43</v>
      </c>
      <c r="P41" s="2"/>
      <c r="Q41" s="2"/>
      <c r="R41" s="2"/>
      <c r="S41" s="2" t="s">
        <v>43</v>
      </c>
      <c r="T41" s="2" t="s">
        <v>43</v>
      </c>
      <c r="U41" s="2" t="s">
        <v>43</v>
      </c>
      <c r="V41" s="2"/>
      <c r="W41" s="2" t="s">
        <v>43</v>
      </c>
      <c r="X41" s="2"/>
      <c r="Y41" s="2" t="s">
        <v>43</v>
      </c>
      <c r="Z41" s="2"/>
      <c r="AA41" s="2"/>
      <c r="AB41" s="2"/>
      <c r="AC41" s="2" t="s">
        <v>43</v>
      </c>
      <c r="AD41" s="2"/>
      <c r="AE41" s="2" t="s">
        <v>43</v>
      </c>
      <c r="AF41" s="2" t="s">
        <v>43</v>
      </c>
      <c r="AG41" s="2"/>
      <c r="AH41" s="2"/>
      <c r="AI41" s="2"/>
      <c r="AJ41" s="2"/>
      <c r="AK41" s="2"/>
      <c r="AL41" s="2" t="s">
        <v>43</v>
      </c>
      <c r="AM41" s="2"/>
      <c r="AN41" s="2"/>
    </row>
    <row r="42" spans="1:74" x14ac:dyDescent="0.25">
      <c r="A42" s="2"/>
      <c r="B42" s="3" t="s">
        <v>1</v>
      </c>
      <c r="C42" s="2">
        <f>COUNTIF(E42:AL42,"x")</f>
        <v>1</v>
      </c>
      <c r="D42" s="13">
        <f>SUM(C42/$A$2)</f>
        <v>3.2258064516129031E-2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 t="s">
        <v>43</v>
      </c>
      <c r="AJ42" s="2"/>
      <c r="AK42" s="2"/>
      <c r="AL42" s="2"/>
      <c r="AM42" s="2"/>
      <c r="AN42" s="2"/>
    </row>
    <row r="43" spans="1:74" x14ac:dyDescent="0.25">
      <c r="A43" s="2"/>
      <c r="B43" s="3" t="s">
        <v>2</v>
      </c>
      <c r="C43" s="2">
        <f>COUNTIF(E43:AL43,"x")</f>
        <v>3</v>
      </c>
      <c r="D43" s="13">
        <f>SUM(C43/$A$2)</f>
        <v>9.6774193548387094E-2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">
        <v>43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 t="s">
        <v>43</v>
      </c>
      <c r="AH43" s="2" t="s">
        <v>43</v>
      </c>
      <c r="AI43" s="2"/>
      <c r="AJ43" s="2"/>
      <c r="AK43" s="2"/>
      <c r="AL43" s="2"/>
      <c r="AM43" s="2"/>
      <c r="AN43" s="2"/>
    </row>
    <row r="44" spans="1:74" x14ac:dyDescent="0.25">
      <c r="A44" s="2"/>
      <c r="B44" s="3" t="s">
        <v>5</v>
      </c>
      <c r="C44" s="2">
        <f>COUNTIF(E44:AL44,"x")</f>
        <v>3</v>
      </c>
      <c r="D44" s="13">
        <f>SUM(C44/$A$2)</f>
        <v>9.6774193548387094E-2</v>
      </c>
      <c r="E44" s="2" t="s">
        <v>43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 t="s">
        <v>43</v>
      </c>
      <c r="AA44" s="2"/>
      <c r="AB44" s="2" t="s">
        <v>43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74" x14ac:dyDescent="0.25">
      <c r="A45" s="2"/>
      <c r="D45" s="1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74" ht="39" x14ac:dyDescent="0.25">
      <c r="A46" s="2">
        <v>6</v>
      </c>
      <c r="B46" s="8" t="s">
        <v>12</v>
      </c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74" x14ac:dyDescent="0.25">
      <c r="A47" s="2"/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 t="s">
        <v>43</v>
      </c>
      <c r="AM47" s="2"/>
      <c r="AN47" s="2"/>
    </row>
    <row r="48" spans="1:74" x14ac:dyDescent="0.25">
      <c r="A48" s="2"/>
      <c r="B48" s="3" t="s">
        <v>4</v>
      </c>
      <c r="C48" s="2">
        <f>COUNTIF(E48:AL48,"x")</f>
        <v>12</v>
      </c>
      <c r="D48" s="13">
        <f>SUM(C48/$A$2)</f>
        <v>0.38709677419354838</v>
      </c>
      <c r="E48" s="2" t="s">
        <v>43</v>
      </c>
      <c r="F48" s="2" t="s">
        <v>43</v>
      </c>
      <c r="G48" s="2" t="s">
        <v>43</v>
      </c>
      <c r="H48" s="2" t="s">
        <v>43</v>
      </c>
      <c r="I48" s="2"/>
      <c r="J48" s="2"/>
      <c r="K48" s="2" t="s">
        <v>43</v>
      </c>
      <c r="L48" s="2"/>
      <c r="M48" s="2"/>
      <c r="N48" s="2" t="s">
        <v>43</v>
      </c>
      <c r="O48" s="2"/>
      <c r="P48" s="2" t="s">
        <v>43</v>
      </c>
      <c r="Q48" s="2" t="s">
        <v>43</v>
      </c>
      <c r="R48" s="2" t="s">
        <v>43</v>
      </c>
      <c r="S48" s="2"/>
      <c r="T48" s="2" t="s">
        <v>43</v>
      </c>
      <c r="U48" s="2"/>
      <c r="V48" s="2"/>
      <c r="W48" s="2"/>
      <c r="X48" s="2"/>
      <c r="Y48" s="2"/>
      <c r="Z48" s="2"/>
      <c r="AA48" s="2" t="s">
        <v>43</v>
      </c>
      <c r="AB48" s="2" t="s">
        <v>43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x14ac:dyDescent="0.25">
      <c r="A49" s="2"/>
      <c r="B49" s="3" t="s">
        <v>3</v>
      </c>
      <c r="C49" s="2">
        <f>COUNTIF(E49:AL49,"x")</f>
        <v>18</v>
      </c>
      <c r="D49" s="13">
        <f>SUM(C49/$A$2)</f>
        <v>0.58064516129032262</v>
      </c>
      <c r="E49" s="2"/>
      <c r="F49" s="2"/>
      <c r="G49" s="2"/>
      <c r="H49" s="2"/>
      <c r="I49" s="2" t="s">
        <v>43</v>
      </c>
      <c r="J49" s="2" t="s">
        <v>43</v>
      </c>
      <c r="K49" s="2"/>
      <c r="L49" s="2" t="s">
        <v>43</v>
      </c>
      <c r="M49" s="2" t="s">
        <v>43</v>
      </c>
      <c r="N49" s="2"/>
      <c r="O49" s="2" t="s">
        <v>43</v>
      </c>
      <c r="P49" s="2"/>
      <c r="Q49" s="2"/>
      <c r="R49" s="2"/>
      <c r="S49" s="2" t="s">
        <v>43</v>
      </c>
      <c r="T49" s="2"/>
      <c r="U49" s="2" t="s">
        <v>43</v>
      </c>
      <c r="V49" s="2"/>
      <c r="W49" s="2" t="s">
        <v>43</v>
      </c>
      <c r="X49" s="2" t="s">
        <v>43</v>
      </c>
      <c r="Y49" s="2" t="s">
        <v>43</v>
      </c>
      <c r="Z49" s="2" t="s">
        <v>43</v>
      </c>
      <c r="AA49" s="2"/>
      <c r="AB49" s="2"/>
      <c r="AC49" s="2" t="s">
        <v>43</v>
      </c>
      <c r="AD49" s="2" t="s">
        <v>43</v>
      </c>
      <c r="AE49" s="2" t="s">
        <v>43</v>
      </c>
      <c r="AF49" s="2" t="s">
        <v>43</v>
      </c>
      <c r="AG49" s="2" t="s">
        <v>43</v>
      </c>
      <c r="AH49" s="2" t="s">
        <v>43</v>
      </c>
      <c r="AI49" s="2" t="s">
        <v>43</v>
      </c>
      <c r="AJ49" s="2"/>
      <c r="AK49" s="2"/>
      <c r="AL49" s="2"/>
      <c r="AM49" s="2"/>
      <c r="AN49" s="2"/>
    </row>
    <row r="50" spans="1:40" x14ac:dyDescent="0.25">
      <c r="A50" s="2"/>
      <c r="B50" s="3" t="s">
        <v>1</v>
      </c>
      <c r="C50" s="2">
        <f>COUNTIF(E50:AL50,"x")</f>
        <v>1</v>
      </c>
      <c r="D50" s="13">
        <f>SUM(C50/$A$2)</f>
        <v>3.2258064516129031E-2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">
        <v>43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x14ac:dyDescent="0.25">
      <c r="A51" s="2"/>
      <c r="B51" s="3" t="s">
        <v>2</v>
      </c>
      <c r="C51" s="2">
        <f>COUNTIF(E51:AL51,"x")</f>
        <v>0</v>
      </c>
      <c r="D51" s="13">
        <f>SUM(C51/$A$2)</f>
        <v>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x14ac:dyDescent="0.25">
      <c r="A52" s="2"/>
      <c r="B52" s="3" t="s">
        <v>5</v>
      </c>
      <c r="C52" s="2">
        <f>COUNTIF(E52:AL52,"x")</f>
        <v>0</v>
      </c>
      <c r="D52" s="13">
        <f>SUM(C52/$A$2)</f>
        <v>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x14ac:dyDescent="0.25">
      <c r="A53" s="2"/>
      <c r="D53" s="1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39" x14ac:dyDescent="0.25">
      <c r="A54" s="2">
        <v>7</v>
      </c>
      <c r="B54" s="8" t="s">
        <v>13</v>
      </c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x14ac:dyDescent="0.25">
      <c r="A55" s="2"/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x14ac:dyDescent="0.25">
      <c r="A56" s="2"/>
      <c r="B56" s="3" t="s">
        <v>4</v>
      </c>
      <c r="C56" s="2">
        <f>COUNTIF(E56:AL56,"x")</f>
        <v>1</v>
      </c>
      <c r="D56" s="13">
        <f>SUM(C56/$A$2)</f>
        <v>3.2258064516129031E-2</v>
      </c>
      <c r="E56" s="2"/>
      <c r="F56" s="2"/>
      <c r="G56" s="2" t="s">
        <v>43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x14ac:dyDescent="0.25">
      <c r="A57" s="2"/>
      <c r="B57" s="3" t="s">
        <v>3</v>
      </c>
      <c r="C57" s="2">
        <f>COUNTIF(E57:AL57,"x")</f>
        <v>17</v>
      </c>
      <c r="D57" s="13">
        <f>SUM(C57/$A$2)</f>
        <v>0.54838709677419351</v>
      </c>
      <c r="E57" s="2" t="s">
        <v>43</v>
      </c>
      <c r="F57" s="2" t="s">
        <v>43</v>
      </c>
      <c r="G57" s="2"/>
      <c r="H57" s="2"/>
      <c r="I57" s="2" t="s">
        <v>43</v>
      </c>
      <c r="J57" s="2"/>
      <c r="K57" s="2" t="s">
        <v>43</v>
      </c>
      <c r="L57" s="2" t="s">
        <v>43</v>
      </c>
      <c r="M57" s="2"/>
      <c r="N57" s="2" t="s">
        <v>43</v>
      </c>
      <c r="O57" s="2" t="s">
        <v>43</v>
      </c>
      <c r="P57" s="2"/>
      <c r="Q57" s="2"/>
      <c r="R57" s="2" t="s">
        <v>43</v>
      </c>
      <c r="S57" s="2" t="s">
        <v>43</v>
      </c>
      <c r="T57" s="2"/>
      <c r="U57" s="2" t="s">
        <v>43</v>
      </c>
      <c r="V57" s="2"/>
      <c r="W57" s="2"/>
      <c r="X57" s="2"/>
      <c r="Y57" s="2"/>
      <c r="Z57" s="2"/>
      <c r="AA57" s="2" t="s">
        <v>43</v>
      </c>
      <c r="AB57" s="2" t="s">
        <v>43</v>
      </c>
      <c r="AC57" s="2" t="s">
        <v>43</v>
      </c>
      <c r="AD57" s="2"/>
      <c r="AE57" s="2" t="s">
        <v>43</v>
      </c>
      <c r="AF57" s="2" t="s">
        <v>43</v>
      </c>
      <c r="AG57" s="2"/>
      <c r="AH57" s="2" t="s">
        <v>43</v>
      </c>
      <c r="AI57" s="2" t="s">
        <v>43</v>
      </c>
      <c r="AJ57" s="2"/>
      <c r="AK57" s="2"/>
      <c r="AL57" s="2"/>
      <c r="AM57" s="2"/>
      <c r="AN57" s="2"/>
    </row>
    <row r="58" spans="1:40" x14ac:dyDescent="0.25">
      <c r="A58" s="2"/>
      <c r="B58" s="3" t="s">
        <v>1</v>
      </c>
      <c r="C58" s="2">
        <f>COUNTIF(E58:AL58,"x")</f>
        <v>6</v>
      </c>
      <c r="D58" s="13">
        <f>SUM(C58/$A$2)</f>
        <v>0.19354838709677419</v>
      </c>
      <c r="E58" s="2"/>
      <c r="F58" s="2"/>
      <c r="G58" s="2"/>
      <c r="H58" s="2"/>
      <c r="I58" s="2"/>
      <c r="J58" s="2" t="s">
        <v>43</v>
      </c>
      <c r="K58" s="2"/>
      <c r="L58" s="2"/>
      <c r="M58" s="2"/>
      <c r="N58" s="2"/>
      <c r="O58" s="2"/>
      <c r="P58" s="2"/>
      <c r="Q58" s="2"/>
      <c r="R58" s="2"/>
      <c r="S58" s="2"/>
      <c r="T58" s="2" t="s">
        <v>43</v>
      </c>
      <c r="U58" s="2"/>
      <c r="V58" s="2" t="s">
        <v>43</v>
      </c>
      <c r="W58" s="2" t="s">
        <v>43</v>
      </c>
      <c r="X58" s="2" t="s">
        <v>43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s">
        <v>43</v>
      </c>
      <c r="AM58" s="2"/>
      <c r="AN58" s="2"/>
    </row>
    <row r="59" spans="1:40" x14ac:dyDescent="0.25">
      <c r="A59" s="2"/>
      <c r="B59" s="3" t="s">
        <v>2</v>
      </c>
      <c r="C59" s="2">
        <f>COUNTIF(E59:AL59,"x")</f>
        <v>7</v>
      </c>
      <c r="D59" s="13">
        <f>SUM(C59/$A$2)</f>
        <v>0.22580645161290322</v>
      </c>
      <c r="E59" s="2"/>
      <c r="F59" s="2"/>
      <c r="G59" s="2"/>
      <c r="H59" s="2" t="s">
        <v>43</v>
      </c>
      <c r="I59" s="2"/>
      <c r="J59" s="2"/>
      <c r="K59" s="2"/>
      <c r="L59" s="2"/>
      <c r="M59" s="2" t="s">
        <v>43</v>
      </c>
      <c r="N59" s="2"/>
      <c r="O59" s="2"/>
      <c r="P59" s="2"/>
      <c r="Q59" s="2" t="s">
        <v>43</v>
      </c>
      <c r="R59" s="2"/>
      <c r="S59" s="2"/>
      <c r="T59" s="2"/>
      <c r="U59" s="2"/>
      <c r="V59" s="2"/>
      <c r="W59" s="2"/>
      <c r="X59" s="2"/>
      <c r="Y59" s="2" t="s">
        <v>43</v>
      </c>
      <c r="Z59" s="2" t="s">
        <v>43</v>
      </c>
      <c r="AA59" s="2"/>
      <c r="AB59" s="2"/>
      <c r="AC59" s="2"/>
      <c r="AD59" s="2" t="s">
        <v>43</v>
      </c>
      <c r="AE59" s="2"/>
      <c r="AF59" s="2"/>
      <c r="AG59" s="2" t="s">
        <v>43</v>
      </c>
      <c r="AH59" s="2"/>
      <c r="AI59" s="2"/>
      <c r="AJ59" s="2"/>
      <c r="AK59" s="2"/>
      <c r="AL59" s="2"/>
      <c r="AM59" s="2"/>
      <c r="AN59" s="2"/>
    </row>
    <row r="60" spans="1:40" x14ac:dyDescent="0.25">
      <c r="A60" s="2"/>
      <c r="B60" s="3" t="s">
        <v>5</v>
      </c>
      <c r="C60" s="2">
        <f>COUNTIF(E60:AL60,"x")</f>
        <v>1</v>
      </c>
      <c r="D60" s="13">
        <f>SUM(C60/$A$2)</f>
        <v>3.2258064516129031E-2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 t="s">
        <v>43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x14ac:dyDescent="0.25">
      <c r="A61" s="2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39" x14ac:dyDescent="0.25">
      <c r="A62" s="2">
        <v>8</v>
      </c>
      <c r="B62" s="8" t="s">
        <v>14</v>
      </c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x14ac:dyDescent="0.25">
      <c r="A63" s="2"/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x14ac:dyDescent="0.25">
      <c r="A64" s="2"/>
      <c r="B64" s="3" t="s">
        <v>4</v>
      </c>
      <c r="C64" s="2">
        <f>COUNTIF(E64:AL64,"x")</f>
        <v>8</v>
      </c>
      <c r="D64" s="13">
        <f>SUM(C64/32)</f>
        <v>0.25</v>
      </c>
      <c r="E64" s="2"/>
      <c r="F64" s="2" t="s">
        <v>43</v>
      </c>
      <c r="G64" s="2" t="s">
        <v>43</v>
      </c>
      <c r="H64" s="2"/>
      <c r="I64" s="2"/>
      <c r="J64" s="2"/>
      <c r="K64" s="2" t="s">
        <v>43</v>
      </c>
      <c r="L64" s="2"/>
      <c r="M64" s="2"/>
      <c r="N64" s="2" t="s">
        <v>43</v>
      </c>
      <c r="O64" s="2"/>
      <c r="P64" s="2"/>
      <c r="Q64" s="2" t="s">
        <v>43</v>
      </c>
      <c r="R64" s="2"/>
      <c r="S64" s="2"/>
      <c r="T64" s="2"/>
      <c r="U64" s="2"/>
      <c r="V64" s="2"/>
      <c r="W64" s="2"/>
      <c r="X64" s="2" t="s">
        <v>43</v>
      </c>
      <c r="Y64" s="2"/>
      <c r="Z64" s="2"/>
      <c r="AA64" s="2" t="s">
        <v>43</v>
      </c>
      <c r="AB64" s="2"/>
      <c r="AC64" s="2"/>
      <c r="AD64" s="2"/>
      <c r="AE64" s="2"/>
      <c r="AF64" s="2"/>
      <c r="AG64" s="2"/>
      <c r="AH64" s="2" t="s">
        <v>43</v>
      </c>
      <c r="AI64" s="2"/>
      <c r="AJ64" s="2"/>
      <c r="AK64" s="2"/>
      <c r="AL64" s="2"/>
      <c r="AM64" s="2"/>
      <c r="AN64" s="2"/>
    </row>
    <row r="65" spans="1:40" x14ac:dyDescent="0.25">
      <c r="A65" s="2"/>
      <c r="B65" s="3" t="s">
        <v>3</v>
      </c>
      <c r="C65" s="2">
        <f>COUNTIF(E65:AL65,"x")</f>
        <v>21</v>
      </c>
      <c r="D65" s="13">
        <f>SUM(C65/32)</f>
        <v>0.65625</v>
      </c>
      <c r="E65" s="2" t="s">
        <v>43</v>
      </c>
      <c r="F65" s="2"/>
      <c r="G65" s="2"/>
      <c r="H65" s="2" t="s">
        <v>43</v>
      </c>
      <c r="I65" s="2" t="s">
        <v>43</v>
      </c>
      <c r="J65" s="2" t="s">
        <v>43</v>
      </c>
      <c r="K65" s="2"/>
      <c r="L65" s="2" t="s">
        <v>43</v>
      </c>
      <c r="M65" s="2" t="s">
        <v>43</v>
      </c>
      <c r="N65" s="2"/>
      <c r="O65" s="2" t="s">
        <v>43</v>
      </c>
      <c r="P65" s="2" t="s">
        <v>43</v>
      </c>
      <c r="Q65" s="2"/>
      <c r="R65" s="2" t="s">
        <v>43</v>
      </c>
      <c r="S65" s="2" t="s">
        <v>43</v>
      </c>
      <c r="T65" s="2" t="s">
        <v>43</v>
      </c>
      <c r="U65" s="2" t="s">
        <v>43</v>
      </c>
      <c r="V65" s="2"/>
      <c r="W65" s="2" t="s">
        <v>43</v>
      </c>
      <c r="X65" s="2"/>
      <c r="Y65" s="2" t="s">
        <v>43</v>
      </c>
      <c r="Z65" s="2"/>
      <c r="AA65" s="2"/>
      <c r="AB65" s="2" t="s">
        <v>43</v>
      </c>
      <c r="AC65" s="2" t="s">
        <v>43</v>
      </c>
      <c r="AD65" s="2" t="s">
        <v>43</v>
      </c>
      <c r="AE65" s="2" t="s">
        <v>43</v>
      </c>
      <c r="AF65" s="2" t="s">
        <v>43</v>
      </c>
      <c r="AG65" s="2" t="s">
        <v>43</v>
      </c>
      <c r="AH65" s="2"/>
      <c r="AI65" s="2" t="s">
        <v>43</v>
      </c>
      <c r="AJ65" s="2"/>
      <c r="AK65" s="2"/>
      <c r="AL65" s="2"/>
      <c r="AM65" s="2"/>
      <c r="AN65" s="2"/>
    </row>
    <row r="66" spans="1:40" x14ac:dyDescent="0.25">
      <c r="A66" s="2"/>
      <c r="B66" s="3" t="s">
        <v>1</v>
      </c>
      <c r="C66" s="2">
        <f>COUNTIF(E66:AL66,"x")</f>
        <v>2</v>
      </c>
      <c r="D66" s="13">
        <f>SUM(C66/32)</f>
        <v>6.25E-2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">
        <v>43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 t="s">
        <v>43</v>
      </c>
      <c r="AM66" s="2"/>
      <c r="AN66" s="2"/>
    </row>
    <row r="67" spans="1:40" x14ac:dyDescent="0.25">
      <c r="A67" s="2"/>
      <c r="B67" s="3" t="s">
        <v>2</v>
      </c>
      <c r="C67" s="2">
        <f>COUNTIF(E67:AL67,"x")</f>
        <v>1</v>
      </c>
      <c r="D67" s="13">
        <f>SUM(C67/32)</f>
        <v>3.125E-2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 t="s">
        <v>43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x14ac:dyDescent="0.25">
      <c r="A68" s="2"/>
      <c r="B68" s="3" t="s">
        <v>5</v>
      </c>
      <c r="C68" s="2">
        <f>COUNTIF(E68:AL68,"x")</f>
        <v>0</v>
      </c>
      <c r="D68" s="13">
        <f>SUM(C68/$A$2)</f>
        <v>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x14ac:dyDescent="0.25">
      <c r="A69" s="2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x14ac:dyDescent="0.25">
      <c r="A70" s="2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39" x14ac:dyDescent="0.25">
      <c r="A71" s="2">
        <v>9</v>
      </c>
      <c r="B71" s="8" t="s">
        <v>69</v>
      </c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 t="s">
        <v>43</v>
      </c>
      <c r="AM71" s="2"/>
      <c r="AN71" s="2"/>
    </row>
    <row r="72" spans="1:40" x14ac:dyDescent="0.25">
      <c r="A72" s="2"/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18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x14ac:dyDescent="0.25">
      <c r="A73" s="2"/>
      <c r="B73" s="3" t="s">
        <v>15</v>
      </c>
      <c r="C73" s="2">
        <f>COUNTIF(E73:AL73,"x")</f>
        <v>28</v>
      </c>
      <c r="D73" s="13">
        <f>SUM(C73/$A$3)</f>
        <v>0.93333333333333335</v>
      </c>
      <c r="E73" s="2" t="s">
        <v>43</v>
      </c>
      <c r="F73" s="2" t="s">
        <v>43</v>
      </c>
      <c r="G73" s="2" t="s">
        <v>43</v>
      </c>
      <c r="H73" s="2" t="s">
        <v>43</v>
      </c>
      <c r="I73" s="2" t="s">
        <v>43</v>
      </c>
      <c r="J73" s="2" t="s">
        <v>43</v>
      </c>
      <c r="K73" s="2" t="s">
        <v>43</v>
      </c>
      <c r="L73" s="2" t="s">
        <v>43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43</v>
      </c>
      <c r="S73" s="2" t="s">
        <v>43</v>
      </c>
      <c r="T73" s="2" t="s">
        <v>43</v>
      </c>
      <c r="U73" s="2" t="s">
        <v>43</v>
      </c>
      <c r="V73" s="2"/>
      <c r="W73" s="2" t="s">
        <v>43</v>
      </c>
      <c r="X73" s="2"/>
      <c r="Y73" s="2" t="s">
        <v>43</v>
      </c>
      <c r="Z73" s="18"/>
      <c r="AA73" s="2" t="s">
        <v>43</v>
      </c>
      <c r="AB73" s="2" t="s">
        <v>43</v>
      </c>
      <c r="AC73" s="2" t="s">
        <v>43</v>
      </c>
      <c r="AD73" s="2" t="s">
        <v>43</v>
      </c>
      <c r="AE73" s="2" t="s">
        <v>43</v>
      </c>
      <c r="AF73" s="2" t="s">
        <v>43</v>
      </c>
      <c r="AG73" s="2" t="s">
        <v>43</v>
      </c>
      <c r="AH73" s="2" t="s">
        <v>43</v>
      </c>
      <c r="AI73" s="2" t="s">
        <v>43</v>
      </c>
      <c r="AJ73" s="2"/>
      <c r="AK73" s="2"/>
      <c r="AL73" s="2"/>
      <c r="AM73" s="2"/>
      <c r="AN73" s="2"/>
    </row>
    <row r="74" spans="1:40" x14ac:dyDescent="0.25">
      <c r="A74" s="2"/>
      <c r="B74" s="3" t="s">
        <v>16</v>
      </c>
      <c r="C74" s="2">
        <f>COUNTIF(E74:AL74,"x")</f>
        <v>2</v>
      </c>
      <c r="D74" s="13">
        <f>SUM(C74/$A$3)</f>
        <v>6.6666666666666666E-2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">
        <v>43</v>
      </c>
      <c r="W74" s="2"/>
      <c r="X74" s="2" t="s">
        <v>43</v>
      </c>
      <c r="Y74" s="2"/>
      <c r="Z74" s="18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x14ac:dyDescent="0.25">
      <c r="A75" s="2"/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39" x14ac:dyDescent="0.25">
      <c r="A76" s="2">
        <v>10</v>
      </c>
      <c r="B76" s="8" t="s">
        <v>17</v>
      </c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30.5" x14ac:dyDescent="0.25">
      <c r="A77" s="2"/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18" t="s">
        <v>71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s">
        <v>43</v>
      </c>
      <c r="AM77" s="2"/>
      <c r="AN77" s="2"/>
    </row>
    <row r="78" spans="1:40" ht="12.5" x14ac:dyDescent="0.25">
      <c r="A78" s="2"/>
      <c r="B78" s="3" t="s">
        <v>15</v>
      </c>
      <c r="C78" s="2">
        <f>COUNTIF(E78:AL78,"x")</f>
        <v>23</v>
      </c>
      <c r="D78" s="13">
        <f>SUM(C78/$A$3)</f>
        <v>0.76666666666666672</v>
      </c>
      <c r="E78" s="2" t="s">
        <v>43</v>
      </c>
      <c r="F78" s="2" t="s">
        <v>43</v>
      </c>
      <c r="G78" s="2" t="s">
        <v>43</v>
      </c>
      <c r="H78" s="2" t="s">
        <v>43</v>
      </c>
      <c r="I78" s="2" t="s">
        <v>43</v>
      </c>
      <c r="J78" s="2" t="s">
        <v>43</v>
      </c>
      <c r="K78" s="2" t="s">
        <v>43</v>
      </c>
      <c r="L78" s="2" t="s">
        <v>43</v>
      </c>
      <c r="M78" s="2" t="s">
        <v>43</v>
      </c>
      <c r="N78" s="2"/>
      <c r="O78" s="2" t="s">
        <v>43</v>
      </c>
      <c r="P78" s="2" t="s">
        <v>43</v>
      </c>
      <c r="Q78" s="2" t="s">
        <v>43</v>
      </c>
      <c r="R78" s="2" t="s">
        <v>43</v>
      </c>
      <c r="S78" s="2" t="s">
        <v>43</v>
      </c>
      <c r="T78" s="2" t="s">
        <v>43</v>
      </c>
      <c r="U78" s="2"/>
      <c r="V78" s="2"/>
      <c r="W78" s="2"/>
      <c r="X78" s="2"/>
      <c r="Y78" s="2" t="s">
        <v>43</v>
      </c>
      <c r="Z78" s="19"/>
      <c r="AA78" s="2" t="s">
        <v>43</v>
      </c>
      <c r="AB78" s="2" t="s">
        <v>43</v>
      </c>
      <c r="AC78" s="2"/>
      <c r="AD78" s="2" t="s">
        <v>43</v>
      </c>
      <c r="AE78" s="2" t="s">
        <v>43</v>
      </c>
      <c r="AF78" s="2" t="s">
        <v>43</v>
      </c>
      <c r="AG78" s="2"/>
      <c r="AH78" s="2" t="s">
        <v>43</v>
      </c>
      <c r="AI78" s="2" t="s">
        <v>43</v>
      </c>
      <c r="AJ78" s="2"/>
      <c r="AK78" s="2"/>
      <c r="AL78" s="2"/>
      <c r="AM78" s="2"/>
      <c r="AN78" s="2"/>
    </row>
    <row r="79" spans="1:40" ht="11.25" customHeight="1" x14ac:dyDescent="0.25">
      <c r="A79" s="2"/>
      <c r="B79" s="3" t="s">
        <v>16</v>
      </c>
      <c r="C79" s="2">
        <f>COUNTIF(E79:AL79,"x")</f>
        <v>7</v>
      </c>
      <c r="D79" s="13">
        <f>SUM(C79/$A$3)</f>
        <v>0.23333333333333334</v>
      </c>
      <c r="E79" s="2"/>
      <c r="F79" s="2"/>
      <c r="G79" s="2"/>
      <c r="H79" s="2"/>
      <c r="I79" s="2"/>
      <c r="J79" s="2"/>
      <c r="K79" s="2"/>
      <c r="L79" s="2"/>
      <c r="M79" s="2"/>
      <c r="N79" s="2" t="s">
        <v>43</v>
      </c>
      <c r="O79" s="2"/>
      <c r="P79" s="2"/>
      <c r="Q79" s="2"/>
      <c r="R79" s="2"/>
      <c r="S79" s="2"/>
      <c r="T79" s="2"/>
      <c r="U79" s="2" t="s">
        <v>43</v>
      </c>
      <c r="V79" s="2" t="s">
        <v>43</v>
      </c>
      <c r="W79" s="2" t="s">
        <v>43</v>
      </c>
      <c r="X79" s="2" t="s">
        <v>43</v>
      </c>
      <c r="Y79" s="2"/>
      <c r="Z79" s="19"/>
      <c r="AA79" s="2"/>
      <c r="AB79" s="2"/>
      <c r="AC79" s="2" t="s">
        <v>43</v>
      </c>
      <c r="AD79" s="2"/>
      <c r="AE79" s="2"/>
      <c r="AF79" s="2"/>
      <c r="AG79" s="2" t="s">
        <v>43</v>
      </c>
      <c r="AH79" s="2"/>
      <c r="AI79" s="2"/>
      <c r="AJ79" s="2"/>
      <c r="AK79" s="2"/>
      <c r="AL79" s="2"/>
      <c r="AM79" s="2"/>
      <c r="AN79" s="2"/>
    </row>
    <row r="80" spans="1:40" ht="11.25" customHeight="1" x14ac:dyDescent="0.25">
      <c r="A80" s="2"/>
      <c r="D80" s="1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78" x14ac:dyDescent="0.25">
      <c r="A81" s="2">
        <v>11</v>
      </c>
      <c r="B81" s="8" t="s">
        <v>18</v>
      </c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39" x14ac:dyDescent="0.25">
      <c r="A82" s="2"/>
      <c r="D82" s="1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0" t="s">
        <v>71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 t="s">
        <v>43</v>
      </c>
      <c r="AM82" s="2"/>
      <c r="AN82" s="2"/>
    </row>
    <row r="83" spans="1:40" x14ac:dyDescent="0.25">
      <c r="A83" s="2"/>
      <c r="B83" s="3" t="s">
        <v>15</v>
      </c>
      <c r="C83" s="2">
        <f>COUNTIF(E83:AL83,"x")</f>
        <v>23</v>
      </c>
      <c r="D83" s="13">
        <f>SUM(C83/$A$3)</f>
        <v>0.76666666666666672</v>
      </c>
      <c r="E83" s="2" t="s">
        <v>43</v>
      </c>
      <c r="F83" s="2" t="s">
        <v>43</v>
      </c>
      <c r="G83" s="2" t="s">
        <v>43</v>
      </c>
      <c r="H83" s="2" t="s">
        <v>43</v>
      </c>
      <c r="I83" s="2" t="s">
        <v>43</v>
      </c>
      <c r="J83" s="2" t="s">
        <v>43</v>
      </c>
      <c r="K83" s="2" t="s">
        <v>43</v>
      </c>
      <c r="L83" s="2" t="s">
        <v>43</v>
      </c>
      <c r="M83" s="2" t="s">
        <v>43</v>
      </c>
      <c r="N83" s="2"/>
      <c r="O83" s="2" t="s">
        <v>43</v>
      </c>
      <c r="P83" s="2" t="s">
        <v>43</v>
      </c>
      <c r="Q83" s="2" t="s">
        <v>43</v>
      </c>
      <c r="R83" s="2" t="s">
        <v>43</v>
      </c>
      <c r="S83" s="2" t="s">
        <v>43</v>
      </c>
      <c r="T83" s="2" t="s">
        <v>43</v>
      </c>
      <c r="U83" s="2"/>
      <c r="V83" s="2"/>
      <c r="W83" s="2"/>
      <c r="X83" s="2"/>
      <c r="Y83" s="2" t="s">
        <v>43</v>
      </c>
      <c r="Z83" s="20"/>
      <c r="AA83" s="2" t="s">
        <v>43</v>
      </c>
      <c r="AB83" s="2" t="s">
        <v>43</v>
      </c>
      <c r="AC83" s="2"/>
      <c r="AD83" s="2" t="s">
        <v>43</v>
      </c>
      <c r="AE83" s="2" t="s">
        <v>43</v>
      </c>
      <c r="AF83" s="2" t="s">
        <v>43</v>
      </c>
      <c r="AG83" s="2"/>
      <c r="AH83" s="2" t="s">
        <v>43</v>
      </c>
      <c r="AI83" s="2" t="s">
        <v>43</v>
      </c>
      <c r="AJ83" s="2"/>
      <c r="AK83" s="2"/>
      <c r="AL83" s="2"/>
      <c r="AM83" s="2"/>
      <c r="AN83" s="2"/>
    </row>
    <row r="84" spans="1:40" ht="11.25" customHeight="1" x14ac:dyDescent="0.25">
      <c r="A84" s="2"/>
      <c r="B84" s="3" t="s">
        <v>16</v>
      </c>
      <c r="C84" s="2">
        <f>COUNTIF(E84:AL84,"x")</f>
        <v>7</v>
      </c>
      <c r="D84" s="13">
        <f>SUM(C84/$A$3)</f>
        <v>0.23333333333333334</v>
      </c>
      <c r="E84" s="2"/>
      <c r="F84" s="2"/>
      <c r="G84" s="2"/>
      <c r="H84" s="2"/>
      <c r="I84" s="2"/>
      <c r="J84" s="2"/>
      <c r="K84" s="2"/>
      <c r="L84" s="2"/>
      <c r="M84" s="2"/>
      <c r="N84" s="2" t="s">
        <v>43</v>
      </c>
      <c r="O84" s="2"/>
      <c r="P84" s="2"/>
      <c r="Q84" s="2"/>
      <c r="R84" s="2"/>
      <c r="S84" s="2"/>
      <c r="T84" s="2"/>
      <c r="U84" s="2" t="s">
        <v>43</v>
      </c>
      <c r="V84" s="2" t="s">
        <v>43</v>
      </c>
      <c r="W84" s="2" t="s">
        <v>43</v>
      </c>
      <c r="X84" s="2" t="s">
        <v>43</v>
      </c>
      <c r="Y84" s="2"/>
      <c r="Z84" s="20"/>
      <c r="AA84" s="2"/>
      <c r="AB84" s="2"/>
      <c r="AC84" s="2" t="s">
        <v>43</v>
      </c>
      <c r="AD84" s="2"/>
      <c r="AE84" s="2"/>
      <c r="AF84" s="2"/>
      <c r="AG84" s="2" t="s">
        <v>43</v>
      </c>
      <c r="AH84" s="2"/>
      <c r="AI84" s="2"/>
      <c r="AJ84" s="2"/>
      <c r="AK84" s="2"/>
      <c r="AL84" s="2"/>
      <c r="AM84" s="2"/>
      <c r="AN84" s="2"/>
    </row>
    <row r="85" spans="1:40" x14ac:dyDescent="0.25">
      <c r="A85" s="2"/>
      <c r="B85" s="3"/>
      <c r="D85" s="1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0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26" x14ac:dyDescent="0.25">
      <c r="A86" s="2">
        <v>12</v>
      </c>
      <c r="B86" s="8" t="s">
        <v>19</v>
      </c>
      <c r="D86" s="1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39" x14ac:dyDescent="0.25">
      <c r="A87" s="2"/>
      <c r="D87" s="1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0" t="s">
        <v>71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 t="s">
        <v>43</v>
      </c>
      <c r="AM87" s="2"/>
      <c r="AN87" s="2"/>
    </row>
    <row r="88" spans="1:40" x14ac:dyDescent="0.25">
      <c r="A88" s="2"/>
      <c r="B88" s="3" t="s">
        <v>15</v>
      </c>
      <c r="C88" s="2">
        <f>COUNTIF(E88:AL88,"x")</f>
        <v>29</v>
      </c>
      <c r="D88" s="13">
        <f>SUM(C88/$A$3)</f>
        <v>0.96666666666666667</v>
      </c>
      <c r="E88" s="2" t="s">
        <v>43</v>
      </c>
      <c r="F88" s="2" t="s">
        <v>43</v>
      </c>
      <c r="G88" s="2" t="s">
        <v>43</v>
      </c>
      <c r="H88" s="2" t="s">
        <v>43</v>
      </c>
      <c r="I88" s="2" t="s">
        <v>43</v>
      </c>
      <c r="J88" s="2" t="s">
        <v>43</v>
      </c>
      <c r="K88" s="2" t="s">
        <v>43</v>
      </c>
      <c r="L88" s="2" t="s">
        <v>43</v>
      </c>
      <c r="M88" s="2" t="s">
        <v>43</v>
      </c>
      <c r="N88" s="2" t="s">
        <v>43</v>
      </c>
      <c r="O88" s="2" t="s">
        <v>43</v>
      </c>
      <c r="P88" s="2" t="s">
        <v>43</v>
      </c>
      <c r="Q88" s="2" t="s">
        <v>43</v>
      </c>
      <c r="R88" s="2" t="s">
        <v>43</v>
      </c>
      <c r="S88" s="2" t="s">
        <v>43</v>
      </c>
      <c r="T88" s="2" t="s">
        <v>43</v>
      </c>
      <c r="U88" s="2" t="s">
        <v>43</v>
      </c>
      <c r="V88" s="2" t="s">
        <v>43</v>
      </c>
      <c r="W88" s="2"/>
      <c r="X88" s="2" t="s">
        <v>43</v>
      </c>
      <c r="Y88" s="2" t="s">
        <v>43</v>
      </c>
      <c r="Z88" s="20"/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43</v>
      </c>
      <c r="AF88" s="2" t="s">
        <v>43</v>
      </c>
      <c r="AG88" s="2" t="s">
        <v>43</v>
      </c>
      <c r="AH88" s="2" t="s">
        <v>43</v>
      </c>
      <c r="AI88" s="2" t="s">
        <v>43</v>
      </c>
      <c r="AJ88" s="2"/>
      <c r="AK88" s="2"/>
      <c r="AL88" s="2"/>
      <c r="AM88" s="2"/>
      <c r="AN88" s="2"/>
    </row>
    <row r="89" spans="1:40" ht="11.25" customHeight="1" x14ac:dyDescent="0.25">
      <c r="A89" s="2"/>
      <c r="B89" s="3" t="s">
        <v>16</v>
      </c>
      <c r="C89" s="2">
        <f>COUNTIF(E89:AL89,"x")</f>
        <v>1</v>
      </c>
      <c r="D89" s="13">
        <f>SUM(C89/$A$3)</f>
        <v>3.3333333333333333E-2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43</v>
      </c>
      <c r="X89" s="2"/>
      <c r="Y89" s="2"/>
      <c r="Z89" s="20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x14ac:dyDescent="0.25">
      <c r="A90" s="2"/>
      <c r="D90" s="1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0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39" x14ac:dyDescent="0.25">
      <c r="A91" s="2">
        <v>13</v>
      </c>
      <c r="B91" s="8" t="s">
        <v>20</v>
      </c>
      <c r="D91" s="1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39" x14ac:dyDescent="0.25">
      <c r="A92" s="2"/>
      <c r="D92" s="1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0" t="s">
        <v>71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s">
        <v>43</v>
      </c>
      <c r="AM92" s="2"/>
      <c r="AN92" s="2"/>
    </row>
    <row r="93" spans="1:40" ht="10.5" x14ac:dyDescent="0.25">
      <c r="A93" s="2"/>
      <c r="B93" s="3" t="s">
        <v>15</v>
      </c>
      <c r="C93" s="2">
        <f>COUNTIF(E93:AL93,"x")</f>
        <v>27</v>
      </c>
      <c r="D93" s="23">
        <f>SUM(C93/29)</f>
        <v>0.93103448275862066</v>
      </c>
      <c r="E93" s="2" t="s">
        <v>43</v>
      </c>
      <c r="F93" s="2" t="s">
        <v>43</v>
      </c>
      <c r="G93" s="2" t="s">
        <v>43</v>
      </c>
      <c r="H93" s="2" t="s">
        <v>43</v>
      </c>
      <c r="I93" s="2"/>
      <c r="J93" s="2" t="s">
        <v>43</v>
      </c>
      <c r="K93" s="2" t="s">
        <v>43</v>
      </c>
      <c r="L93" s="2" t="s">
        <v>43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43</v>
      </c>
      <c r="S93" s="2" t="s">
        <v>43</v>
      </c>
      <c r="T93" s="2" t="s">
        <v>43</v>
      </c>
      <c r="U93" s="2" t="s">
        <v>43</v>
      </c>
      <c r="V93" s="2" t="s">
        <v>43</v>
      </c>
      <c r="W93" s="2"/>
      <c r="X93" s="2" t="s">
        <v>43</v>
      </c>
      <c r="Y93" s="2" t="s">
        <v>43</v>
      </c>
      <c r="Z93" s="20"/>
      <c r="AA93" s="2" t="s">
        <v>43</v>
      </c>
      <c r="AB93" s="2" t="s">
        <v>43</v>
      </c>
      <c r="AC93" s="2" t="s">
        <v>43</v>
      </c>
      <c r="AD93" s="2" t="s">
        <v>43</v>
      </c>
      <c r="AE93" s="2" t="s">
        <v>43</v>
      </c>
      <c r="AF93" s="2"/>
      <c r="AG93" s="2" t="s">
        <v>43</v>
      </c>
      <c r="AH93" s="2" t="s">
        <v>43</v>
      </c>
      <c r="AI93" s="2" t="s">
        <v>43</v>
      </c>
      <c r="AJ93" s="2"/>
      <c r="AK93" s="2"/>
      <c r="AL93" s="2"/>
      <c r="AM93" s="2"/>
      <c r="AN93" s="2"/>
    </row>
    <row r="94" spans="1:40" ht="11.25" customHeight="1" x14ac:dyDescent="0.25">
      <c r="A94" s="2"/>
      <c r="B94" s="3" t="s">
        <v>16</v>
      </c>
      <c r="C94" s="2">
        <f>COUNTIF(E94:AL94,"x")</f>
        <v>2</v>
      </c>
      <c r="D94" s="23">
        <f>SUM(C94/29)</f>
        <v>6.8965517241379309E-2</v>
      </c>
      <c r="E94" s="2"/>
      <c r="F94" s="2"/>
      <c r="G94" s="2"/>
      <c r="H94" s="2"/>
      <c r="I94" s="2" t="s">
        <v>43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43</v>
      </c>
      <c r="X94" s="2"/>
      <c r="Y94" s="2"/>
      <c r="Z94" s="20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0.5" x14ac:dyDescent="0.25">
      <c r="A95" s="2"/>
      <c r="D95" s="2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0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x14ac:dyDescent="0.25">
      <c r="A96" s="2"/>
      <c r="D96" s="1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x14ac:dyDescent="0.25">
      <c r="A97" s="2"/>
      <c r="D97" s="1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39" x14ac:dyDescent="0.25">
      <c r="A98" s="2">
        <v>14</v>
      </c>
      <c r="B98" s="8" t="s">
        <v>21</v>
      </c>
      <c r="D98" s="1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s">
        <v>43</v>
      </c>
      <c r="AM98" s="2"/>
      <c r="AN98" s="2"/>
    </row>
    <row r="99" spans="1:40" ht="39" x14ac:dyDescent="0.25">
      <c r="A99" s="2"/>
      <c r="D99" s="1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0" t="s">
        <v>71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x14ac:dyDescent="0.25">
      <c r="A100" s="2"/>
      <c r="B100" s="3" t="s">
        <v>15</v>
      </c>
      <c r="C100" s="2">
        <f>COUNTIF(E100:AL100,"x")</f>
        <v>29</v>
      </c>
      <c r="D100" s="13">
        <f>SUM(C100/$A$3)</f>
        <v>0.96666666666666667</v>
      </c>
      <c r="E100" s="2" t="s">
        <v>43</v>
      </c>
      <c r="F100" s="2" t="s">
        <v>43</v>
      </c>
      <c r="G100" s="2" t="s">
        <v>43</v>
      </c>
      <c r="H100" s="2" t="s">
        <v>43</v>
      </c>
      <c r="I100" s="2" t="s">
        <v>43</v>
      </c>
      <c r="J100" s="2" t="s">
        <v>43</v>
      </c>
      <c r="K100" s="2" t="s">
        <v>43</v>
      </c>
      <c r="L100" s="2" t="s">
        <v>43</v>
      </c>
      <c r="M100" s="2" t="s">
        <v>43</v>
      </c>
      <c r="N100" s="2" t="s">
        <v>43</v>
      </c>
      <c r="O100" s="2" t="s">
        <v>43</v>
      </c>
      <c r="P100" s="2" t="s">
        <v>43</v>
      </c>
      <c r="Q100" s="2"/>
      <c r="R100" s="2" t="s">
        <v>43</v>
      </c>
      <c r="S100" s="2" t="s">
        <v>43</v>
      </c>
      <c r="T100" s="2" t="s">
        <v>43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0"/>
      <c r="AA100" s="2" t="s">
        <v>43</v>
      </c>
      <c r="AB100" s="2" t="s">
        <v>43</v>
      </c>
      <c r="AC100" s="2" t="s">
        <v>43</v>
      </c>
      <c r="AD100" s="2" t="s">
        <v>43</v>
      </c>
      <c r="AE100" s="2" t="s">
        <v>43</v>
      </c>
      <c r="AF100" s="2" t="s">
        <v>43</v>
      </c>
      <c r="AG100" s="2" t="s">
        <v>43</v>
      </c>
      <c r="AH100" s="2" t="s">
        <v>43</v>
      </c>
      <c r="AI100" s="2" t="s">
        <v>43</v>
      </c>
      <c r="AJ100" s="2"/>
      <c r="AK100" s="2"/>
      <c r="AL100" s="2"/>
      <c r="AM100" s="2"/>
      <c r="AN100" s="2"/>
    </row>
    <row r="101" spans="1:40" ht="11.25" customHeight="1" x14ac:dyDescent="0.25">
      <c r="A101" s="2"/>
      <c r="B101" s="3" t="s">
        <v>16</v>
      </c>
      <c r="C101" s="2">
        <f>COUNTIF(E101:AL101,"x")</f>
        <v>1</v>
      </c>
      <c r="D101" s="13">
        <f>SUM(C101/$A$3)</f>
        <v>3.3333333333333333E-2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">
        <v>43</v>
      </c>
      <c r="R101" s="2"/>
      <c r="S101" s="2"/>
      <c r="T101" s="2"/>
      <c r="U101" s="2"/>
      <c r="V101" s="2"/>
      <c r="W101" s="2"/>
      <c r="X101" s="2"/>
      <c r="Y101" s="2"/>
      <c r="Z101" s="20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x14ac:dyDescent="0.25">
      <c r="A102" s="2"/>
      <c r="D102" s="1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0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78" x14ac:dyDescent="0.25">
      <c r="A103" s="2">
        <v>15</v>
      </c>
      <c r="B103" s="8" t="s">
        <v>22</v>
      </c>
      <c r="D103" s="1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 t="s">
        <v>43</v>
      </c>
      <c r="AM103" s="2"/>
      <c r="AN103" s="2"/>
    </row>
    <row r="104" spans="1:40" x14ac:dyDescent="0.25">
      <c r="A104" s="2"/>
      <c r="D104" s="1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39" x14ac:dyDescent="0.25">
      <c r="A105" s="2"/>
      <c r="B105" s="3" t="s">
        <v>58</v>
      </c>
      <c r="C105" s="2">
        <f>COUNTIF(E105:AL105,"x")</f>
        <v>17</v>
      </c>
      <c r="D105" s="16"/>
      <c r="E105" s="2" t="s">
        <v>43</v>
      </c>
      <c r="F105" s="2"/>
      <c r="G105" s="2" t="s">
        <v>43</v>
      </c>
      <c r="H105" s="2"/>
      <c r="I105" s="2" t="s">
        <v>43</v>
      </c>
      <c r="J105" s="2"/>
      <c r="K105" s="2" t="s">
        <v>43</v>
      </c>
      <c r="L105" s="2" t="s">
        <v>43</v>
      </c>
      <c r="M105" s="2"/>
      <c r="N105" s="2" t="s">
        <v>43</v>
      </c>
      <c r="O105" s="2" t="s">
        <v>43</v>
      </c>
      <c r="P105" s="2"/>
      <c r="Q105" s="2" t="s">
        <v>43</v>
      </c>
      <c r="R105" s="2" t="s">
        <v>43</v>
      </c>
      <c r="S105" s="2" t="s">
        <v>43</v>
      </c>
      <c r="T105" s="2"/>
      <c r="U105" s="2" t="s">
        <v>43</v>
      </c>
      <c r="V105" s="2"/>
      <c r="W105" s="2" t="s">
        <v>43</v>
      </c>
      <c r="X105" s="2" t="s">
        <v>43</v>
      </c>
      <c r="Y105" s="2"/>
      <c r="Z105" s="21" t="s">
        <v>71</v>
      </c>
      <c r="AA105" s="2"/>
      <c r="AB105" s="2"/>
      <c r="AC105" s="2" t="s">
        <v>43</v>
      </c>
      <c r="AD105" s="2" t="s">
        <v>43</v>
      </c>
      <c r="AE105" s="2" t="s">
        <v>43</v>
      </c>
      <c r="AF105" s="2" t="s">
        <v>43</v>
      </c>
      <c r="AG105" s="2"/>
      <c r="AH105" s="2"/>
      <c r="AI105" s="2"/>
      <c r="AJ105" s="2"/>
      <c r="AK105" s="2"/>
      <c r="AL105" s="2"/>
      <c r="AM105" s="2"/>
      <c r="AN105" s="2"/>
    </row>
    <row r="106" spans="1:40" x14ac:dyDescent="0.25">
      <c r="A106" s="2"/>
      <c r="B106" s="3" t="s">
        <v>59</v>
      </c>
      <c r="C106" s="2">
        <f t="shared" ref="C106:C114" si="0">COUNTIF(E106:AL106,"x")</f>
        <v>0</v>
      </c>
      <c r="D106" s="1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1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1.25" customHeight="1" x14ac:dyDescent="0.25">
      <c r="A107" s="2"/>
      <c r="B107" s="3" t="s">
        <v>60</v>
      </c>
      <c r="C107" s="2">
        <f t="shared" si="0"/>
        <v>12</v>
      </c>
      <c r="D107" s="16"/>
      <c r="E107" s="2"/>
      <c r="F107" s="2" t="s">
        <v>43</v>
      </c>
      <c r="G107" s="2"/>
      <c r="H107" s="2"/>
      <c r="I107" s="2"/>
      <c r="J107" s="2"/>
      <c r="K107" s="2" t="s">
        <v>43</v>
      </c>
      <c r="L107" s="2"/>
      <c r="M107" s="2" t="s">
        <v>43</v>
      </c>
      <c r="N107" s="2" t="s">
        <v>43</v>
      </c>
      <c r="O107" s="2"/>
      <c r="P107" s="2" t="s">
        <v>43</v>
      </c>
      <c r="Q107" s="2"/>
      <c r="R107" s="2"/>
      <c r="S107" s="2"/>
      <c r="T107" s="2"/>
      <c r="U107" s="2" t="s">
        <v>43</v>
      </c>
      <c r="V107" s="2"/>
      <c r="W107" s="2"/>
      <c r="X107" s="2" t="s">
        <v>43</v>
      </c>
      <c r="Y107" s="2" t="s">
        <v>43</v>
      </c>
      <c r="Z107" s="21"/>
      <c r="AA107" s="2"/>
      <c r="AB107" s="2" t="s">
        <v>43</v>
      </c>
      <c r="AC107" s="2"/>
      <c r="AD107" s="2"/>
      <c r="AE107" s="2"/>
      <c r="AF107" s="2" t="s">
        <v>43</v>
      </c>
      <c r="AG107" s="2" t="s">
        <v>43</v>
      </c>
      <c r="AH107" s="2"/>
      <c r="AI107" s="2" t="s">
        <v>43</v>
      </c>
      <c r="AJ107" s="2"/>
      <c r="AK107" s="2"/>
      <c r="AL107" s="2"/>
      <c r="AM107" s="2"/>
      <c r="AN107" s="2"/>
    </row>
    <row r="108" spans="1:40" x14ac:dyDescent="0.25">
      <c r="A108" s="2"/>
      <c r="B108" s="3" t="s">
        <v>61</v>
      </c>
      <c r="C108" s="2">
        <f t="shared" si="0"/>
        <v>1</v>
      </c>
      <c r="D108" s="16"/>
      <c r="E108" s="2"/>
      <c r="F108" s="2"/>
      <c r="G108" s="2" t="s">
        <v>43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1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x14ac:dyDescent="0.25">
      <c r="A109" s="2"/>
      <c r="B109" s="3" t="s">
        <v>63</v>
      </c>
      <c r="C109" s="2">
        <f t="shared" si="0"/>
        <v>2</v>
      </c>
      <c r="D109" s="1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 t="s">
        <v>43</v>
      </c>
      <c r="Q109" s="2"/>
      <c r="R109" s="2"/>
      <c r="S109" s="2"/>
      <c r="T109" s="2"/>
      <c r="U109" s="2"/>
      <c r="V109" s="2"/>
      <c r="W109" s="2"/>
      <c r="X109" s="2"/>
      <c r="Y109" s="2"/>
      <c r="Z109" s="21"/>
      <c r="AA109" s="2"/>
      <c r="AB109" s="2"/>
      <c r="AC109" s="2"/>
      <c r="AD109" s="2"/>
      <c r="AE109" s="2"/>
      <c r="AF109" s="2" t="s">
        <v>43</v>
      </c>
      <c r="AG109" s="2"/>
      <c r="AH109" s="2"/>
      <c r="AI109" s="2"/>
      <c r="AJ109" s="2"/>
      <c r="AK109" s="2"/>
      <c r="AL109" s="2"/>
      <c r="AM109" s="2"/>
      <c r="AN109" s="2"/>
    </row>
    <row r="110" spans="1:40" x14ac:dyDescent="0.25">
      <c r="A110" s="2"/>
      <c r="B110" s="3" t="s">
        <v>64</v>
      </c>
      <c r="C110" s="2">
        <f t="shared" si="0"/>
        <v>2</v>
      </c>
      <c r="D110" s="16"/>
      <c r="E110" s="2"/>
      <c r="F110" s="2"/>
      <c r="G110" s="2" t="s">
        <v>43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 t="s">
        <v>43</v>
      </c>
      <c r="S110" s="2"/>
      <c r="T110" s="2"/>
      <c r="U110" s="2"/>
      <c r="V110" s="2"/>
      <c r="W110" s="2"/>
      <c r="X110" s="2"/>
      <c r="Y110" s="2"/>
      <c r="Z110" s="21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x14ac:dyDescent="0.25">
      <c r="A111" s="2"/>
      <c r="B111" s="3" t="s">
        <v>65</v>
      </c>
      <c r="C111" s="2">
        <f t="shared" si="0"/>
        <v>2</v>
      </c>
      <c r="D111" s="1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1"/>
      <c r="AA111" s="2"/>
      <c r="AB111" s="2"/>
      <c r="AC111" s="2" t="s">
        <v>43</v>
      </c>
      <c r="AD111" s="2"/>
      <c r="AE111" s="2" t="s">
        <v>43</v>
      </c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x14ac:dyDescent="0.25">
      <c r="A112" s="2"/>
      <c r="B112" s="3" t="s">
        <v>66</v>
      </c>
      <c r="C112" s="2">
        <f t="shared" si="0"/>
        <v>0</v>
      </c>
      <c r="D112" s="1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1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x14ac:dyDescent="0.25">
      <c r="A113" s="2"/>
      <c r="B113" s="3" t="s">
        <v>67</v>
      </c>
      <c r="C113" s="2">
        <f t="shared" si="0"/>
        <v>2</v>
      </c>
      <c r="D113" s="1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43</v>
      </c>
      <c r="S113" s="2"/>
      <c r="T113" s="2"/>
      <c r="U113" s="2"/>
      <c r="V113" s="2"/>
      <c r="W113" s="2"/>
      <c r="X113" s="2"/>
      <c r="Y113" s="2"/>
      <c r="Z113" s="21"/>
      <c r="AA113" s="2"/>
      <c r="AB113" s="2"/>
      <c r="AC113" s="2"/>
      <c r="AD113" s="2"/>
      <c r="AE113" s="2"/>
      <c r="AF113" s="2"/>
      <c r="AG113" s="2" t="s">
        <v>43</v>
      </c>
      <c r="AH113" s="2"/>
      <c r="AI113" s="2"/>
      <c r="AJ113" s="2"/>
      <c r="AK113" s="2"/>
      <c r="AL113" s="2"/>
      <c r="AM113" s="2"/>
      <c r="AN113" s="2"/>
    </row>
    <row r="114" spans="1:40" x14ac:dyDescent="0.25">
      <c r="A114" s="2"/>
      <c r="B114" s="3" t="s">
        <v>68</v>
      </c>
      <c r="C114" s="2">
        <f t="shared" si="0"/>
        <v>1</v>
      </c>
      <c r="D114" s="1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1"/>
      <c r="AA114" s="2"/>
      <c r="AB114" s="2"/>
      <c r="AC114" s="2" t="s">
        <v>43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x14ac:dyDescent="0.25">
      <c r="A115" s="2"/>
      <c r="D115" s="1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x14ac:dyDescent="0.25">
      <c r="A116" s="2"/>
      <c r="D116" s="1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x14ac:dyDescent="0.25">
      <c r="A117" s="2"/>
      <c r="D117" s="1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x14ac:dyDescent="0.25">
      <c r="A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x14ac:dyDescent="0.25">
      <c r="A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x14ac:dyDescent="0.25">
      <c r="A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x14ac:dyDescent="0.25">
      <c r="A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x14ac:dyDescent="0.25">
      <c r="A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x14ac:dyDescent="0.25">
      <c r="A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x14ac:dyDescent="0.25">
      <c r="A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x14ac:dyDescent="0.25">
      <c r="A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x14ac:dyDescent="0.25">
      <c r="A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x14ac:dyDescent="0.25">
      <c r="A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x14ac:dyDescent="0.25">
      <c r="A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x14ac:dyDescent="0.25">
      <c r="A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x14ac:dyDescent="0.25">
      <c r="A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x14ac:dyDescent="0.25">
      <c r="A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x14ac:dyDescent="0.25">
      <c r="A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x14ac:dyDescent="0.25">
      <c r="A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x14ac:dyDescent="0.25">
      <c r="A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x14ac:dyDescent="0.25">
      <c r="A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x14ac:dyDescent="0.25">
      <c r="A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x14ac:dyDescent="0.25">
      <c r="A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x14ac:dyDescent="0.25">
      <c r="A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x14ac:dyDescent="0.25">
      <c r="A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x14ac:dyDescent="0.25">
      <c r="A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x14ac:dyDescent="0.25">
      <c r="A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x14ac:dyDescent="0.25">
      <c r="A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x14ac:dyDescent="0.25">
      <c r="A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x14ac:dyDescent="0.25">
      <c r="A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x14ac:dyDescent="0.25">
      <c r="A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x14ac:dyDescent="0.25">
      <c r="A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x14ac:dyDescent="0.25">
      <c r="A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x14ac:dyDescent="0.25">
      <c r="A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x14ac:dyDescent="0.25">
      <c r="A149" s="2"/>
    </row>
    <row r="150" spans="1:40" x14ac:dyDescent="0.25">
      <c r="A150" s="2"/>
    </row>
    <row r="151" spans="1:40" x14ac:dyDescent="0.25">
      <c r="A151" s="2"/>
    </row>
    <row r="152" spans="1:40" x14ac:dyDescent="0.25">
      <c r="A152" s="2"/>
    </row>
    <row r="153" spans="1:40" x14ac:dyDescent="0.25">
      <c r="A153" s="2"/>
    </row>
    <row r="154" spans="1:40" x14ac:dyDescent="0.25">
      <c r="A154" s="2"/>
    </row>
    <row r="155" spans="1:40" x14ac:dyDescent="0.25">
      <c r="A155" s="2"/>
    </row>
    <row r="156" spans="1:40" x14ac:dyDescent="0.25">
      <c r="A156" s="2"/>
    </row>
    <row r="157" spans="1:40" x14ac:dyDescent="0.25">
      <c r="A157" s="2"/>
    </row>
    <row r="158" spans="1:40" x14ac:dyDescent="0.25">
      <c r="A158" s="2"/>
    </row>
    <row r="159" spans="1:40" x14ac:dyDescent="0.25">
      <c r="A159" s="2"/>
    </row>
    <row r="160" spans="1:40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</sheetData>
  <phoneticPr fontId="0" type="noConversion"/>
  <printOptions gridLines="1"/>
  <pageMargins left="0.75" right="0.7" top="1" bottom="0.5" header="0.5" footer="0.25"/>
  <pageSetup scale="70" fitToHeight="4" orientation="landscape" r:id="rId1"/>
  <headerFooter alignWithMargins="0">
    <oddHeader>&amp;C&amp;"Arial,Bold"&amp;12Technology, Quantitative and Research Skills Pre-Assessment Survey
&amp;10Financial Administration [BADM 710] -- Fall Semester 2001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Pre-Assess</vt:lpstr>
      <vt:lpstr>Post-Assess</vt:lpstr>
      <vt:lpstr>'Post-Assess'!Print_Titles</vt:lpstr>
      <vt:lpstr>'Pre-Assess'!Print_Titles</vt:lpstr>
    </vt:vector>
  </TitlesOfParts>
  <Company>University of South Dakota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k. johnson</dc:creator>
  <cp:lastModifiedBy>Carina Negreanu</cp:lastModifiedBy>
  <cp:lastPrinted>2002-01-04T23:04:12Z</cp:lastPrinted>
  <dcterms:created xsi:type="dcterms:W3CDTF">2001-09-08T12:00:06Z</dcterms:created>
  <dcterms:modified xsi:type="dcterms:W3CDTF">2020-01-27T11:36:36Z</dcterms:modified>
</cp:coreProperties>
</file>