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99E3EA-F9ED-41BF-9951-35BEB3F5598D}" xr6:coauthVersionLast="45" xr6:coauthVersionMax="45" xr10:uidLastSave="{00000000-0000-0000-0000-000000000000}"/>
  <bookViews>
    <workbookView xWindow="3420" yWindow="3420" windowWidth="28800" windowHeight="15460"/>
  </bookViews>
  <sheets>
    <sheet name="CDS-H" sheetId="1" r:id="rId1"/>
  </sheets>
  <definedNames>
    <definedName name="_xlnm.Print_Titles" localSheetId="0">'CDS-H'!$1:$3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2" i="1" l="1"/>
  <c r="F22" i="1"/>
  <c r="F17" i="1"/>
  <c r="E17" i="1"/>
</calcChain>
</file>

<file path=xl/sharedStrings.xml><?xml version="1.0" encoding="utf-8"?>
<sst xmlns="http://schemas.openxmlformats.org/spreadsheetml/2006/main" count="295" uniqueCount="160">
  <si>
    <t>H. FINANCIAL AID</t>
  </si>
  <si>
    <t>Aid Awarded to Enrolled Undergraduates</t>
  </si>
  <si>
    <t>2002-2003 estimated</t>
  </si>
  <si>
    <t>2001-2002 final</t>
  </si>
  <si>
    <t>Indicate the academic year for which data are reported for items H1, H2, H2A, and H6 below:</t>
  </si>
  <si>
    <t>X</t>
  </si>
  <si>
    <t>H1</t>
  </si>
  <si>
    <t>Scholarships/Grants</t>
  </si>
  <si>
    <t>Federal</t>
  </si>
  <si>
    <t>State</t>
  </si>
  <si>
    <t>Institutional (endowment, alumni,  or other institutional awards) and external funds awarded by the college excluding athletic aid and tuition waivers (which are reported below)</t>
  </si>
  <si>
    <t>Scholarships/grants from external sources (e.g., Kiwanis, National Merit) not awarded by the college</t>
  </si>
  <si>
    <t>Total Scholarships/Grants</t>
  </si>
  <si>
    <t>Self-Help</t>
  </si>
  <si>
    <t>Student loans from all sources (excluding parent loans)</t>
  </si>
  <si>
    <t>Federal work-study</t>
  </si>
  <si>
    <t>State and other work-study/employment</t>
  </si>
  <si>
    <t>Total Self-Help</t>
  </si>
  <si>
    <t>Other</t>
  </si>
  <si>
    <t>Parent Loans</t>
  </si>
  <si>
    <t>Tuition Waivers</t>
  </si>
  <si>
    <t>Athletic Awards</t>
  </si>
  <si>
    <t>H2</t>
  </si>
  <si>
    <t>First-time
Full-time
Freshmen</t>
  </si>
  <si>
    <t>Full-time
Undergraduate
(Incl. Fresh.)</t>
  </si>
  <si>
    <t>Less Than
Full-time
Undergraduate</t>
  </si>
  <si>
    <t>a)</t>
  </si>
  <si>
    <t>Number of degree-seeking undergraduate students (CDS Item B1 if reporting on Fall 2002 cohort)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</si>
  <si>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</si>
  <si>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</si>
  <si>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</si>
  <si>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</si>
  <si>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</si>
  <si>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</si>
  <si>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</si>
  <si>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</si>
  <si>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</si>
  <si>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</si>
  <si>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</si>
  <si>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</si>
  <si>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H2A</t>
  </si>
  <si>
    <t>Full-time
Undergrad
(Incl. Fresh.)</t>
  </si>
  <si>
    <t>Less Than
Full-time
Undergrad</t>
  </si>
  <si>
    <t>n)</t>
  </si>
  <si>
    <t>o)</t>
  </si>
  <si>
    <t>p)</t>
  </si>
  <si>
    <t>q)</t>
  </si>
  <si>
    <t>H3</t>
  </si>
  <si>
    <t>Which needs-analysis methodology does your institution use in awarding institutional aid?</t>
  </si>
  <si>
    <t>Federal methodology (FM)</t>
  </si>
  <si>
    <t>Institutional methodology (IM)</t>
  </si>
  <si>
    <t>Both FM and IM</t>
  </si>
  <si>
    <t>H4</t>
  </si>
  <si>
    <t>H5</t>
  </si>
  <si>
    <t xml:space="preserve">Average per-borrower cumulative undergraduate indebtedness of those in line H4.  Do not include money borrowed at other institutions:  </t>
  </si>
  <si>
    <t>H6</t>
  </si>
  <si>
    <t>Indicate your institution’s policy regarding financial aid for undergraduate degree-seeking nonresident aliens:</t>
  </si>
  <si>
    <t>College-administered need-based financial aid is available</t>
  </si>
  <si>
    <t>College-administered non-need-based financial aid is available</t>
  </si>
  <si>
    <t>College-administered financial aid is not available</t>
  </si>
  <si>
    <t xml:space="preserve">If college-administered financial aid is available for undergraduate degree-seeking nonresident aliens, provide the number of undergraduate degree-seeking nonresident aliens who received need-based or non-need-based aid: </t>
  </si>
  <si>
    <t xml:space="preserve">Average dollar amount awarded to undergraduate degree-seeking nonresident aliens: </t>
  </si>
  <si>
    <t xml:space="preserve">Total dollar amount of financial aid from all sources awarded to all undergraduate degree-seeking nonresident aliens:  </t>
  </si>
  <si>
    <t>Process for First-Year/Freshman Students</t>
  </si>
  <si>
    <t>H7</t>
  </si>
  <si>
    <t>Financial aid forms domestic first-year (freshman) financial aid applicants must submit:</t>
  </si>
  <si>
    <t>FAFSA</t>
  </si>
  <si>
    <t>Institution's own financial aid form</t>
  </si>
  <si>
    <t>CSS/Financial Aid PROFILE</t>
  </si>
  <si>
    <t>State aid form</t>
  </si>
  <si>
    <t>Noncustodial (Divorced/Separated) Parent's Statement</t>
  </si>
  <si>
    <t>Business/Farm Supplement</t>
  </si>
  <si>
    <t>Other (specify):</t>
  </si>
  <si>
    <t>H8</t>
  </si>
  <si>
    <t>Check off all financial aid forms nonresident alien first-year financial aid applicants must submit:</t>
  </si>
  <si>
    <t>Institution’s own financial aid form</t>
  </si>
  <si>
    <t>Foreign Student’s Financial Aid Application</t>
  </si>
  <si>
    <t>Foreign Student’s Certification of Finances</t>
  </si>
  <si>
    <t>Must be resident alien without F1, F2, J1 or J2 Visa to be eligible.</t>
  </si>
  <si>
    <t>H9</t>
  </si>
  <si>
    <t>Indicate filing dates for first-year (freshman) students:</t>
  </si>
  <si>
    <t>Priority date for filing required financial aid forms:</t>
  </si>
  <si>
    <t>Deadline for filing required financial aid forms:</t>
  </si>
  <si>
    <t>No deadline for filing required forms (applications processed on a rolling basis):</t>
  </si>
  <si>
    <t>H10</t>
  </si>
  <si>
    <t>Indicate notification dates for first-year (freshman) students (answer a or b):</t>
  </si>
  <si>
    <t xml:space="preserve">Students notified on or about (date): </t>
  </si>
  <si>
    <t>Yes</t>
  </si>
  <si>
    <t>No</t>
  </si>
  <si>
    <t>Students notified on a rolling basis:</t>
  </si>
  <si>
    <t>If yes, starting date:</t>
  </si>
  <si>
    <t>H11</t>
  </si>
  <si>
    <t>Indicate reply dates:</t>
  </si>
  <si>
    <t xml:space="preserve">Students must reply by (date): </t>
  </si>
  <si>
    <t>or within _______ weeks of notification.</t>
  </si>
  <si>
    <t>Types of Aid Available</t>
  </si>
  <si>
    <t>H12</t>
  </si>
  <si>
    <t>Loans</t>
  </si>
  <si>
    <t>FEDERAL DIRECT STUDENT LOAN PROGRAM (DIRECT LOAN)</t>
  </si>
  <si>
    <t>Direct Subsidized Stafford Loans</t>
  </si>
  <si>
    <t>Direct Unsubsidized Stafford Loans</t>
  </si>
  <si>
    <t>Direct PLUS Loans</t>
  </si>
  <si>
    <t>FEDERAL FAMILY EDUCATION LOAN PROGRAM (FFEL)</t>
  </si>
  <si>
    <t>FFEL Subsidized Stafford Loans</t>
  </si>
  <si>
    <t>FFEL Unsubsidized Stafford Loans</t>
  </si>
  <si>
    <t>FFEL PLUS Loans</t>
  </si>
  <si>
    <t>Federal Perkins Loans</t>
  </si>
  <si>
    <t>Federal Nursing Loans</t>
  </si>
  <si>
    <t>State Loans</t>
  </si>
  <si>
    <t>College/university loans from institutional funds</t>
  </si>
  <si>
    <t>H13</t>
  </si>
  <si>
    <t>Scholarships and Grants</t>
  </si>
  <si>
    <t>NEED-BASED:</t>
  </si>
  <si>
    <t>Federal Pell</t>
  </si>
  <si>
    <t>SEOG</t>
  </si>
  <si>
    <t>State scholarships/grants</t>
  </si>
  <si>
    <t>Private scholarships</t>
  </si>
  <si>
    <t>College/university gift aid from institutional funds</t>
  </si>
  <si>
    <t>United Negro College Fund</t>
  </si>
  <si>
    <t>Federal Nursing Scholarship</t>
  </si>
  <si>
    <t>H14</t>
  </si>
  <si>
    <t xml:space="preserve">Check off criteria used in awarding institutional aid. Check all that apply. </t>
  </si>
  <si>
    <t>Non-Need Based</t>
  </si>
  <si>
    <t>Need-Based</t>
  </si>
  <si>
    <t>Academics</t>
  </si>
  <si>
    <t>Alumni affiliation</t>
  </si>
  <si>
    <t>Art</t>
  </si>
  <si>
    <t>Athletics</t>
  </si>
  <si>
    <t>Job skills</t>
  </si>
  <si>
    <t>ROTC</t>
  </si>
  <si>
    <t>Leadership</t>
  </si>
  <si>
    <t>Minority status</t>
  </si>
  <si>
    <t>Music/drama</t>
  </si>
  <si>
    <t>Religious affiliation</t>
  </si>
  <si>
    <t>State/district residency</t>
  </si>
  <si>
    <r>
      <t>Need-based $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(Include non-need-based aid used to meet need.)</t>
    </r>
  </si>
  <si>
    <r>
      <t xml:space="preserve">Non-need-based $     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(Exclude non-need-based aid used to meet need.)</t>
    </r>
  </si>
  <si>
    <r>
      <t xml:space="preserve">Number of students in line </t>
    </r>
    <r>
      <rPr>
        <b/>
        <sz val="9"/>
        <rFont val="Arial"/>
        <family val="2"/>
      </rPr>
      <t>a</t>
    </r>
    <r>
      <rPr>
        <sz val="9"/>
        <rFont val="Arial"/>
        <family val="2"/>
      </rPr>
      <t xml:space="preserve"> who were financial aid applicants (include applicants for all types of aid)</t>
    </r>
  </si>
  <si>
    <r>
      <t xml:space="preserve">Number of students in line </t>
    </r>
    <r>
      <rPr>
        <b/>
        <sz val="9"/>
        <rFont val="Arial"/>
        <family val="2"/>
      </rPr>
      <t>b</t>
    </r>
    <r>
      <rPr>
        <sz val="9"/>
        <rFont val="Arial"/>
        <family val="2"/>
      </rPr>
      <t xml:space="preserve"> who were determined to have financial need</t>
    </r>
  </si>
  <si>
    <r>
      <t xml:space="preserve">Number of students in line </t>
    </r>
    <r>
      <rPr>
        <b/>
        <sz val="9"/>
        <rFont val="Arial"/>
        <family val="2"/>
      </rPr>
      <t>c</t>
    </r>
    <r>
      <rPr>
        <sz val="9"/>
        <rFont val="Arial"/>
        <family val="2"/>
      </rPr>
      <t xml:space="preserve"> who received any financial aid</t>
    </r>
  </si>
  <si>
    <r>
      <t xml:space="preserve">Number of students in line </t>
    </r>
    <r>
      <rPr>
        <b/>
        <sz val="9"/>
        <rFont val="Arial"/>
        <family val="2"/>
      </rPr>
      <t>d</t>
    </r>
    <r>
      <rPr>
        <sz val="9"/>
        <rFont val="Arial"/>
        <family val="2"/>
      </rPr>
      <t xml:space="preserve"> who received any need-based gift aid</t>
    </r>
  </si>
  <si>
    <r>
      <t xml:space="preserve">Number of students in line </t>
    </r>
    <r>
      <rPr>
        <b/>
        <sz val="9"/>
        <rFont val="Arial"/>
        <family val="2"/>
      </rPr>
      <t>d</t>
    </r>
    <r>
      <rPr>
        <sz val="9"/>
        <rFont val="Arial"/>
        <family val="2"/>
      </rPr>
      <t xml:space="preserve"> who received any need-based self-help aid</t>
    </r>
  </si>
  <si>
    <r>
      <t xml:space="preserve">Number of students in line </t>
    </r>
    <r>
      <rPr>
        <b/>
        <sz val="9"/>
        <rFont val="Arial"/>
        <family val="2"/>
      </rPr>
      <t>d</t>
    </r>
    <r>
      <rPr>
        <sz val="9"/>
        <rFont val="Arial"/>
        <family val="2"/>
      </rPr>
      <t xml:space="preserve"> who received any non-need-based gift aid</t>
    </r>
  </si>
  <si>
    <r>
      <t xml:space="preserve">Number of students in line </t>
    </r>
    <r>
      <rPr>
        <b/>
        <sz val="9"/>
        <rFont val="Arial"/>
        <family val="2"/>
      </rPr>
      <t>d</t>
    </r>
    <r>
      <rPr>
        <sz val="9"/>
        <rFont val="Arial"/>
        <family val="2"/>
      </rPr>
      <t xml:space="preserve"> whose need was fully met (</t>
    </r>
    <r>
      <rPr>
        <u/>
        <sz val="9"/>
        <rFont val="Arial"/>
        <family val="2"/>
      </rPr>
      <t>exclude PLUS loans, unsubsidized loans, and private alternative loans</t>
    </r>
    <r>
      <rPr>
        <sz val="9"/>
        <rFont val="Arial"/>
        <family val="2"/>
      </rPr>
      <t>)</t>
    </r>
  </si>
  <si>
    <r>
      <t>On average, the percentage of need that was met of students who received any need-based aid. Exclude any resources that were awarded to replace EFC (</t>
    </r>
    <r>
      <rPr>
        <u/>
        <sz val="9"/>
        <rFont val="Arial"/>
        <family val="2"/>
      </rPr>
      <t>PLUS loans, unsubsidized loans, and private alternative loans</t>
    </r>
    <r>
      <rPr>
        <sz val="9"/>
        <rFont val="Arial"/>
        <family val="2"/>
      </rPr>
      <t>)</t>
    </r>
  </si>
  <si>
    <r>
      <t xml:space="preserve">The average financial aid package of those in line </t>
    </r>
    <r>
      <rPr>
        <b/>
        <sz val="9"/>
        <rFont val="Arial"/>
        <family val="2"/>
      </rPr>
      <t>d</t>
    </r>
    <r>
      <rPr>
        <sz val="9"/>
        <rFont val="Arial"/>
        <family val="2"/>
      </rPr>
      <t>. Exclude any resources that were awarded to replace EFC (</t>
    </r>
    <r>
      <rPr>
        <u/>
        <sz val="9"/>
        <rFont val="Arial"/>
        <family val="2"/>
      </rPr>
      <t>PLUS loans, unsubsidized loans, and private alternative loans</t>
    </r>
    <r>
      <rPr>
        <sz val="9"/>
        <rFont val="Arial"/>
        <family val="2"/>
      </rPr>
      <t>)</t>
    </r>
  </si>
  <si>
    <r>
      <t>Average need-based gift award of those in line</t>
    </r>
    <r>
      <rPr>
        <b/>
        <sz val="9"/>
        <rFont val="Arial"/>
        <family val="2"/>
      </rPr>
      <t xml:space="preserve"> e</t>
    </r>
  </si>
  <si>
    <r>
      <t>Average need-based self-help award (</t>
    </r>
    <r>
      <rPr>
        <u/>
        <sz val="9"/>
        <rFont val="Arial"/>
        <family val="2"/>
      </rPr>
      <t>excluding PLUS loans, unsubsidized loans, and private alternative loans</t>
    </r>
    <r>
      <rPr>
        <sz val="9"/>
        <rFont val="Arial"/>
        <family val="2"/>
      </rPr>
      <t xml:space="preserve">) of those in line </t>
    </r>
    <r>
      <rPr>
        <b/>
        <sz val="9"/>
        <rFont val="Arial"/>
        <family val="2"/>
      </rPr>
      <t>f</t>
    </r>
  </si>
  <si>
    <r>
      <t>Average need-based loan (</t>
    </r>
    <r>
      <rPr>
        <u/>
        <sz val="9"/>
        <rFont val="Arial"/>
        <family val="2"/>
      </rPr>
      <t>excluding PLUS loans, unsubsidized loans, and private alternative loans</t>
    </r>
    <r>
      <rPr>
        <sz val="9"/>
        <rFont val="Arial"/>
        <family val="2"/>
      </rPr>
      <t>) of those in line</t>
    </r>
    <r>
      <rPr>
        <b/>
        <sz val="9"/>
        <rFont val="Arial"/>
        <family val="2"/>
      </rPr>
      <t xml:space="preserve"> f </t>
    </r>
    <r>
      <rPr>
        <sz val="9"/>
        <rFont val="Arial"/>
        <family val="2"/>
      </rPr>
      <t>who received a need-based loan</t>
    </r>
  </si>
  <si>
    <r>
      <t xml:space="preserve">Number of students in line </t>
    </r>
    <r>
      <rPr>
        <b/>
        <sz val="9"/>
        <rFont val="Arial"/>
        <family val="2"/>
      </rPr>
      <t>a</t>
    </r>
    <r>
      <rPr>
        <sz val="9"/>
        <rFont val="Arial"/>
        <family val="2"/>
      </rPr>
      <t xml:space="preserve"> who had no financial need and who received non-need-based </t>
    </r>
    <r>
      <rPr>
        <u/>
        <sz val="9"/>
        <rFont val="Arial"/>
        <family val="2"/>
      </rPr>
      <t>gift</t>
    </r>
    <r>
      <rPr>
        <sz val="9"/>
        <rFont val="Arial"/>
        <family val="2"/>
      </rPr>
      <t xml:space="preserve"> aid (exclude those receiving athletic awards and tuition benefits)</t>
    </r>
  </si>
  <si>
    <r>
      <t xml:space="preserve">Average </t>
    </r>
    <r>
      <rPr>
        <u/>
        <sz val="9"/>
        <rFont val="Arial"/>
        <family val="2"/>
      </rPr>
      <t>dollar amount of non-need-based gift aid awarded</t>
    </r>
    <r>
      <rPr>
        <sz val="9"/>
        <rFont val="Arial"/>
        <family val="2"/>
      </rPr>
      <t xml:space="preserve"> to students in line </t>
    </r>
    <r>
      <rPr>
        <b/>
        <sz val="9"/>
        <rFont val="Arial"/>
        <family val="2"/>
      </rPr>
      <t>n</t>
    </r>
  </si>
  <si>
    <r>
      <t xml:space="preserve">Number of students in line </t>
    </r>
    <r>
      <rPr>
        <b/>
        <sz val="9"/>
        <rFont val="Arial"/>
        <family val="2"/>
      </rPr>
      <t>a</t>
    </r>
    <r>
      <rPr>
        <sz val="9"/>
        <rFont val="Arial"/>
        <family val="2"/>
      </rPr>
      <t xml:space="preserve"> who received a non-need-based athletic </t>
    </r>
    <r>
      <rPr>
        <u/>
        <sz val="9"/>
        <rFont val="Arial"/>
        <family val="2"/>
      </rPr>
      <t>grant or scholarship</t>
    </r>
  </si>
  <si>
    <r>
      <t xml:space="preserve">Average </t>
    </r>
    <r>
      <rPr>
        <u/>
        <sz val="9"/>
        <rFont val="Arial"/>
        <family val="2"/>
      </rPr>
      <t>dollar amount</t>
    </r>
    <r>
      <rPr>
        <sz val="9"/>
        <rFont val="Arial"/>
        <family val="2"/>
      </rPr>
      <t xml:space="preserve"> of non-need-based </t>
    </r>
    <r>
      <rPr>
        <u/>
        <sz val="9"/>
        <rFont val="Arial"/>
        <family val="2"/>
      </rPr>
      <t>athletic grants and scholarships awarded</t>
    </r>
    <r>
      <rPr>
        <sz val="9"/>
        <rFont val="Arial"/>
        <family val="2"/>
      </rPr>
      <t xml:space="preserve"> to students in line </t>
    </r>
    <r>
      <rPr>
        <b/>
        <sz val="9"/>
        <rFont val="Arial"/>
        <family val="2"/>
      </rPr>
      <t>p</t>
    </r>
  </si>
  <si>
    <r>
      <t>Aid to Undergraduate Degree-seeking Nonresident Aliens</t>
    </r>
    <r>
      <rPr>
        <sz val="10"/>
        <rFont val="Arial"/>
        <family val="2"/>
      </rPr>
      <t xml:space="preserve">  (Note: Report numbers and dollar amounts for the same academic year checked in item H1.)</t>
    </r>
  </si>
  <si>
    <t>Virginia Tech - Blacksburg, VA 24061</t>
  </si>
  <si>
    <t>2002 Common Data Set</t>
  </si>
  <si>
    <r>
      <t>Enter total dollar amounts</t>
    </r>
    <r>
      <rPr>
        <b/>
        <sz val="10"/>
        <color indexed="8"/>
        <rFont val="Arial"/>
        <family val="2"/>
      </rPr>
      <t xml:space="preserve"> awarded</t>
    </r>
    <r>
      <rPr>
        <sz val="10"/>
        <color indexed="8"/>
        <rFont val="Arial"/>
        <family val="2"/>
      </rPr>
      <t xml:space="preserve"> to full-time and less than full-time degree-seeking undergraduates </t>
    </r>
    <r>
      <rPr>
        <b/>
        <sz val="10"/>
        <color indexed="8"/>
        <rFont val="Arial"/>
        <family val="2"/>
      </rPr>
      <t>(using the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same cohort reported in CDS Question B1, “total degree-seeking” undergraduates)</t>
    </r>
    <r>
      <rPr>
        <sz val="10"/>
        <color indexed="8"/>
        <rFont val="Arial"/>
        <family val="2"/>
      </rPr>
      <t xml:space="preserve"> in the following categories. (Note: If the data being reported are final figures for the 2001-2002 academic year (see the next item below), use the 2001-2002 academic year's CDS Question B1 cohort.) Include aid awarded to international students (i.e., those not qualifying for federal aid). </t>
    </r>
    <r>
      <rPr>
        <b/>
        <sz val="10"/>
        <color indexed="8"/>
        <rFont val="Arial"/>
        <family val="2"/>
      </rPr>
      <t>Aid that is</t>
    </r>
    <r>
      <rPr>
        <b/>
        <i/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 xml:space="preserve">non-need-based but that was used to meet need should </t>
    </r>
    <r>
      <rPr>
        <b/>
        <u/>
        <sz val="10"/>
        <color indexed="8"/>
        <rFont val="Arial"/>
        <family val="2"/>
      </rPr>
      <t>be reported in the need-based aid columns</t>
    </r>
    <r>
      <rPr>
        <b/>
        <sz val="10"/>
        <color indexed="8"/>
        <rFont val="Arial"/>
        <family val="2"/>
      </rPr>
      <t>. (For a suggested order of precedence in assigning categories of aid to cover need, see the entry for “non-need-based gift aid” on the last page of the definitions section.)</t>
    </r>
  </si>
  <si>
    <t>Number of Enrolled Students Receiving Aid:  List the number of degree-seeking full-time and less-than-full-time undergraduates who applied for and received financial aid. Aid that is non-need-based but that was used to meet need should be counted as need-based aid. Numbers should reflect the cohort receiving the dollars reported in H1.  Note:  In the chart below, students may be counted in more than one row, and full-time freshmen should also be counted as full-time undergraduates.</t>
  </si>
  <si>
    <t>Number of Enrolled Students Receiving Non-need-based Grants and Scholarships:  List the number of degree-seeking full-time and less-than-full-time undergraduates who had no financial need and who received non-need-based gift aid. Numbers should reflect the cohort receiving the dollars reported in H1.  Note:  In the chart below, students may be counted in more than one row, and full-time freshmen should also be counted as full-time undergraduates.</t>
  </si>
  <si>
    <t>Percent of the 2002 undergraduate class who graduated between July 1, 2001 and June 30, 2002 and borrowed through any loan programs (federal, state, subsidized, unsubsidized, private, etc.; exclude parent loans). Include only students who borrowed while enrolled at your institution.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</si>
</sst>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$&quot;#,##0_);\(&quot;$&quot;#,##0\)"/>
    <numFmt numFmtId="170" formatCode="_(&quot;$&quot;* #,##0.00_);_(&quot;$&quot;* \(#,##0.00\);_(&quot;$&quot;* &quot;-&quot;??_);_(@_)"/>
    <numFmt numFmtId="179" formatCode="m/d"/>
    <numFmt numFmtId="182" formatCode="&quot;$&quot;#,##0"/>
    <numFmt numFmtId="183" formatCode="&quot;$&quot;#,##0;[Red]&quot;$&quot;#,##0"/>
    <numFmt numFmtId="184" formatCode="0.0%"/>
    <numFmt numFmtId="185" formatCode="_(&quot;$&quot;\ \ \ #,##0_);_(&quot;$&quot;* \(#,##0\);_(&quot;$&quot;* &quot;-&quot;??_);_(@_)"/>
    <numFmt numFmtId="186" formatCode="_(&quot;$&quot;\ \ \ #,##0_);_(&quot;$&quot;* \(#,##0\);_(&quot;$&quot;\ \ &quot;0&quot;??_);_(@_)"/>
  </numFmts>
  <fonts count="1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9"/>
      <name val="Arial"/>
      <family val="2"/>
    </font>
    <font>
      <sz val="10"/>
      <color indexed="8"/>
      <name val="Times New Roman"/>
      <family val="1"/>
    </font>
    <font>
      <sz val="14"/>
      <color indexed="16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0" fillId="2" borderId="1" xfId="0" applyFill="1" applyBorder="1" applyAlignment="1"/>
    <xf numFmtId="0" fontId="0" fillId="2" borderId="0" xfId="0" applyFill="1"/>
    <xf numFmtId="0" fontId="0" fillId="2" borderId="0" xfId="0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11" xfId="0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49" fontId="0" fillId="2" borderId="11" xfId="0" applyNumberForma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164" fontId="0" fillId="2" borderId="11" xfId="0" applyNumberFormat="1" applyFill="1" applyBorder="1"/>
    <xf numFmtId="183" fontId="3" fillId="2" borderId="11" xfId="0" applyNumberFormat="1" applyFont="1" applyFill="1" applyBorder="1"/>
    <xf numFmtId="183" fontId="0" fillId="2" borderId="11" xfId="0" applyNumberFormat="1" applyFill="1" applyBorder="1"/>
    <xf numFmtId="0" fontId="0" fillId="2" borderId="11" xfId="0" applyFill="1" applyBorder="1"/>
    <xf numFmtId="183" fontId="0" fillId="2" borderId="14" xfId="0" applyNumberFormat="1" applyFill="1" applyBorder="1"/>
    <xf numFmtId="0" fontId="12" fillId="2" borderId="12" xfId="0" applyFont="1" applyFill="1" applyBorder="1"/>
    <xf numFmtId="0" fontId="12" fillId="2" borderId="14" xfId="0" applyFont="1" applyFill="1" applyBorder="1"/>
    <xf numFmtId="0" fontId="12" fillId="2" borderId="11" xfId="0" applyFont="1" applyFill="1" applyBorder="1" applyAlignment="1">
      <alignment horizontal="center" wrapText="1"/>
    </xf>
    <xf numFmtId="0" fontId="12" fillId="2" borderId="12" xfId="0" applyFont="1" applyFill="1" applyBorder="1" applyAlignment="1">
      <alignment vertical="top"/>
    </xf>
    <xf numFmtId="0" fontId="12" fillId="2" borderId="14" xfId="0" applyFont="1" applyFill="1" applyBorder="1" applyAlignment="1">
      <alignment vertical="top" wrapText="1"/>
    </xf>
    <xf numFmtId="0" fontId="12" fillId="2" borderId="11" xfId="0" applyFont="1" applyFill="1" applyBorder="1" applyAlignment="1">
      <alignment horizontal="center" vertical="center"/>
    </xf>
    <xf numFmtId="184" fontId="12" fillId="2" borderId="11" xfId="2" applyNumberFormat="1" applyFont="1" applyFill="1" applyBorder="1" applyAlignment="1">
      <alignment horizontal="center" vertical="center"/>
    </xf>
    <xf numFmtId="185" fontId="12" fillId="2" borderId="11" xfId="1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 wrapText="1"/>
    </xf>
    <xf numFmtId="186" fontId="12" fillId="2" borderId="11" xfId="1" applyNumberFormat="1" applyFon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9" fontId="3" fillId="2" borderId="11" xfId="0" applyNumberFormat="1" applyFont="1" applyFill="1" applyBorder="1" applyAlignment="1">
      <alignment horizontal="right" wrapText="1"/>
    </xf>
    <xf numFmtId="9" fontId="1" fillId="2" borderId="0" xfId="2" applyFill="1" applyBorder="1" applyAlignment="1">
      <alignment horizontal="center"/>
    </xf>
    <xf numFmtId="182" fontId="3" fillId="2" borderId="11" xfId="0" applyNumberFormat="1" applyFont="1" applyFill="1" applyBorder="1" applyAlignment="1">
      <alignment horizontal="right" wrapText="1"/>
    </xf>
    <xf numFmtId="0" fontId="2" fillId="2" borderId="0" xfId="0" applyFont="1" applyFill="1" applyAlignment="1">
      <alignment horizontal="left" vertical="top" wrapText="1"/>
    </xf>
    <xf numFmtId="1" fontId="0" fillId="2" borderId="11" xfId="0" applyNumberFormat="1" applyFill="1" applyBorder="1" applyAlignment="1">
      <alignment horizontal="right"/>
    </xf>
    <xf numFmtId="0" fontId="15" fillId="2" borderId="0" xfId="0" applyFont="1" applyFill="1"/>
    <xf numFmtId="0" fontId="0" fillId="2" borderId="0" xfId="0" applyFill="1" applyBorder="1" applyAlignment="1">
      <alignment horizontal="center"/>
    </xf>
    <xf numFmtId="182" fontId="0" fillId="2" borderId="11" xfId="0" applyNumberFormat="1" applyFill="1" applyBorder="1" applyAlignment="1">
      <alignment horizontal="right"/>
    </xf>
    <xf numFmtId="186" fontId="1" fillId="2" borderId="0" xfId="1" applyNumberFormat="1" applyFill="1" applyBorder="1" applyAlignment="1">
      <alignment horizontal="center"/>
    </xf>
    <xf numFmtId="0" fontId="2" fillId="2" borderId="0" xfId="0" applyFont="1" applyFill="1" applyAlignment="1">
      <alignment vertical="top"/>
    </xf>
    <xf numFmtId="0" fontId="0" fillId="2" borderId="11" xfId="0" applyFill="1" applyBorder="1" applyAlignment="1">
      <alignment horizontal="center"/>
    </xf>
    <xf numFmtId="0" fontId="0" fillId="2" borderId="20" xfId="0" applyFill="1" applyBorder="1"/>
    <xf numFmtId="16" fontId="0" fillId="2" borderId="11" xfId="0" applyNumberFormat="1" applyFill="1" applyBorder="1" applyAlignment="1">
      <alignment horizontal="right"/>
    </xf>
    <xf numFmtId="0" fontId="0" fillId="2" borderId="21" xfId="0" quotePrefix="1" applyFill="1" applyBorder="1" applyAlignment="1">
      <alignment horizontal="center"/>
    </xf>
    <xf numFmtId="179" fontId="0" fillId="2" borderId="11" xfId="0" applyNumberFormat="1" applyFill="1" applyBorder="1" applyAlignment="1">
      <alignment horizontal="right"/>
    </xf>
    <xf numFmtId="0" fontId="0" fillId="2" borderId="21" xfId="0" applyFill="1" applyBorder="1"/>
    <xf numFmtId="0" fontId="0" fillId="2" borderId="11" xfId="0" applyFill="1" applyBorder="1" applyAlignment="1"/>
    <xf numFmtId="179" fontId="0" fillId="2" borderId="11" xfId="0" applyNumberFormat="1" applyFill="1" applyBorder="1"/>
    <xf numFmtId="0" fontId="0" fillId="2" borderId="0" xfId="0" quotePrefix="1" applyFill="1" applyBorder="1" applyAlignment="1">
      <alignment horizontal="center"/>
    </xf>
    <xf numFmtId="179" fontId="0" fillId="2" borderId="11" xfId="0" applyNumberForma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5" fillId="2" borderId="1" xfId="0" applyFont="1" applyFill="1" applyBorder="1"/>
    <xf numFmtId="0" fontId="0" fillId="2" borderId="22" xfId="0" applyFill="1" applyBorder="1"/>
    <xf numFmtId="0" fontId="5" fillId="2" borderId="20" xfId="0" applyFont="1" applyFill="1" applyBorder="1"/>
    <xf numFmtId="16" fontId="0" fillId="2" borderId="22" xfId="0" applyNumberFormat="1" applyFill="1" applyBorder="1"/>
    <xf numFmtId="0" fontId="0" fillId="2" borderId="0" xfId="0" applyFill="1" applyBorder="1" applyAlignment="1">
      <alignment horizontal="left" vertical="top"/>
    </xf>
    <xf numFmtId="0" fontId="0" fillId="2" borderId="13" xfId="0" applyFill="1" applyBorder="1" applyAlignment="1">
      <alignment horizontal="left" vertical="top"/>
    </xf>
    <xf numFmtId="49" fontId="0" fillId="2" borderId="13" xfId="0" applyNumberFormat="1" applyFill="1" applyBorder="1" applyAlignment="1">
      <alignment horizontal="center" vertical="center"/>
    </xf>
    <xf numFmtId="0" fontId="0" fillId="2" borderId="0" xfId="0" applyFill="1" applyBorder="1"/>
    <xf numFmtId="0" fontId="12" fillId="2" borderId="11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 vertical="top"/>
    </xf>
    <xf numFmtId="0" fontId="16" fillId="3" borderId="3" xfId="0" applyFont="1" applyFill="1" applyBorder="1" applyAlignment="1">
      <alignment horizontal="center" vertical="top"/>
    </xf>
    <xf numFmtId="0" fontId="16" fillId="3" borderId="4" xfId="0" applyFont="1" applyFill="1" applyBorder="1" applyAlignment="1">
      <alignment horizontal="center" vertical="top"/>
    </xf>
    <xf numFmtId="0" fontId="16" fillId="3" borderId="5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7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0" fillId="2" borderId="15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16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 wrapText="1"/>
    </xf>
    <xf numFmtId="0" fontId="0" fillId="2" borderId="18" xfId="0" applyFill="1" applyBorder="1" applyAlignment="1">
      <alignment horizontal="left" vertical="top" wrapText="1"/>
    </xf>
    <xf numFmtId="0" fontId="0" fillId="2" borderId="19" xfId="0" applyFill="1" applyBorder="1" applyAlignment="1">
      <alignment horizontal="left" vertical="top" wrapText="1"/>
    </xf>
    <xf numFmtId="0" fontId="0" fillId="2" borderId="15" xfId="0" applyFill="1" applyBorder="1" applyAlignment="1">
      <alignment horizontal="left" vertical="top" wrapText="1"/>
    </xf>
    <xf numFmtId="0" fontId="0" fillId="2" borderId="11" xfId="0" applyFill="1" applyBorder="1" applyAlignment="1"/>
    <xf numFmtId="0" fontId="8" fillId="2" borderId="0" xfId="0" applyFont="1" applyFill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/>
    </xf>
    <xf numFmtId="0" fontId="0" fillId="2" borderId="13" xfId="0" applyFill="1" applyBorder="1" applyAlignment="1"/>
    <xf numFmtId="0" fontId="0" fillId="2" borderId="14" xfId="0" applyFill="1" applyBorder="1" applyAlignment="1"/>
    <xf numFmtId="0" fontId="8" fillId="2" borderId="1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11" xfId="0" applyFill="1" applyBorder="1"/>
    <xf numFmtId="0" fontId="2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 wrapText="1"/>
    </xf>
    <xf numFmtId="0" fontId="5" fillId="2" borderId="11" xfId="0" applyFont="1" applyFill="1" applyBorder="1" applyAlignment="1">
      <alignment horizontal="left" vertical="top" wrapText="1"/>
    </xf>
    <xf numFmtId="0" fontId="8" fillId="2" borderId="12" xfId="0" applyFont="1" applyFill="1" applyBorder="1" applyAlignment="1">
      <alignment horizontal="left" vertical="top" wrapText="1"/>
    </xf>
    <xf numFmtId="0" fontId="8" fillId="2" borderId="13" xfId="0" applyFont="1" applyFill="1" applyBorder="1" applyAlignment="1">
      <alignment horizontal="left" vertical="top" wrapText="1"/>
    </xf>
    <xf numFmtId="0" fontId="8" fillId="2" borderId="14" xfId="0" applyFont="1" applyFill="1" applyBorder="1" applyAlignment="1">
      <alignment horizontal="left" vertical="top" wrapText="1"/>
    </xf>
    <xf numFmtId="0" fontId="8" fillId="2" borderId="15" xfId="0" applyFont="1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 wrapText="1"/>
    </xf>
    <xf numFmtId="0" fontId="0" fillId="2" borderId="14" xfId="0" applyFill="1" applyBorder="1" applyAlignment="1">
      <alignment horizontal="left" vertical="top" wrapText="1"/>
    </xf>
    <xf numFmtId="0" fontId="11" fillId="2" borderId="12" xfId="0" applyFont="1" applyFill="1" applyBorder="1" applyAlignment="1">
      <alignment horizontal="left" vertical="top" wrapText="1"/>
    </xf>
    <xf numFmtId="0" fontId="11" fillId="2" borderId="13" xfId="0" applyFont="1" applyFill="1" applyBorder="1" applyAlignment="1">
      <alignment horizontal="left" vertical="top" wrapText="1"/>
    </xf>
    <xf numFmtId="0" fontId="11" fillId="2" borderId="14" xfId="0" applyFont="1" applyFill="1" applyBorder="1" applyAlignment="1">
      <alignment horizontal="left" vertical="top" wrapText="1"/>
    </xf>
    <xf numFmtId="0" fontId="10" fillId="2" borderId="12" xfId="0" applyFont="1" applyFill="1" applyBorder="1"/>
    <xf numFmtId="0" fontId="10" fillId="2" borderId="13" xfId="0" applyFont="1" applyFill="1" applyBorder="1"/>
    <xf numFmtId="0" fontId="10" fillId="2" borderId="14" xfId="0" applyFont="1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tabSelected="1" zoomScaleNormal="100" workbookViewId="0">
      <selection activeCell="A3" sqref="A3:F3"/>
    </sheetView>
  </sheetViews>
  <sheetFormatPr defaultColWidth="9.1796875" defaultRowHeight="12.5" x14ac:dyDescent="0.25"/>
  <cols>
    <col min="1" max="1" width="4.7265625" style="3" customWidth="1"/>
    <col min="2" max="2" width="2.54296875" style="2" customWidth="1"/>
    <col min="3" max="3" width="41" style="2" customWidth="1"/>
    <col min="4" max="6" width="14.26953125" style="2" customWidth="1"/>
    <col min="7" max="16384" width="9.1796875" style="2"/>
  </cols>
  <sheetData>
    <row r="1" spans="1:6" ht="18.75" customHeight="1" x14ac:dyDescent="0.25">
      <c r="A1" s="58" t="s">
        <v>155</v>
      </c>
      <c r="B1" s="59"/>
      <c r="C1" s="59"/>
      <c r="D1" s="59"/>
      <c r="E1" s="59"/>
      <c r="F1" s="60"/>
    </row>
    <row r="2" spans="1:6" ht="18.75" customHeight="1" thickBot="1" x14ac:dyDescent="0.4">
      <c r="A2" s="61" t="s">
        <v>154</v>
      </c>
      <c r="B2" s="62"/>
      <c r="C2" s="62"/>
      <c r="D2" s="62"/>
      <c r="E2" s="62"/>
      <c r="F2" s="63"/>
    </row>
    <row r="3" spans="1:6" ht="18.75" customHeight="1" thickBot="1" x14ac:dyDescent="0.3">
      <c r="A3" s="64" t="s">
        <v>0</v>
      </c>
      <c r="B3" s="65"/>
      <c r="C3" s="65"/>
      <c r="D3" s="65"/>
      <c r="E3" s="65"/>
      <c r="F3" s="66"/>
    </row>
    <row r="5" spans="1:6" ht="15.5" x14ac:dyDescent="0.25">
      <c r="B5" s="86" t="s">
        <v>1</v>
      </c>
      <c r="C5" s="70"/>
      <c r="D5" s="70"/>
    </row>
    <row r="6" spans="1:6" ht="103.5" customHeight="1" x14ac:dyDescent="0.25">
      <c r="A6" s="4"/>
      <c r="B6" s="87" t="s">
        <v>156</v>
      </c>
      <c r="C6" s="84"/>
      <c r="D6" s="84"/>
      <c r="E6" s="84"/>
      <c r="F6" s="84"/>
    </row>
    <row r="7" spans="1:6" ht="13" x14ac:dyDescent="0.25">
      <c r="A7" s="4"/>
      <c r="B7" s="5"/>
      <c r="C7" s="6"/>
      <c r="D7" s="6"/>
      <c r="E7" s="6"/>
      <c r="F7" s="6"/>
    </row>
    <row r="8" spans="1:6" ht="25" x14ac:dyDescent="0.25">
      <c r="A8" s="4"/>
      <c r="B8" s="88"/>
      <c r="C8" s="78"/>
      <c r="D8" s="78"/>
      <c r="E8" s="7" t="s">
        <v>2</v>
      </c>
      <c r="F8" s="8" t="s">
        <v>3</v>
      </c>
    </row>
    <row r="9" spans="1:6" ht="27" customHeight="1" x14ac:dyDescent="0.25">
      <c r="A9" s="4"/>
      <c r="B9" s="88" t="s">
        <v>4</v>
      </c>
      <c r="C9" s="78"/>
      <c r="D9" s="78"/>
      <c r="E9" s="9" t="s">
        <v>5</v>
      </c>
      <c r="F9" s="9"/>
    </row>
    <row r="10" spans="1:6" ht="13" x14ac:dyDescent="0.25">
      <c r="A10" s="4"/>
      <c r="B10" s="5"/>
      <c r="C10" s="6"/>
      <c r="D10" s="6"/>
      <c r="E10" s="6"/>
      <c r="F10" s="6"/>
    </row>
    <row r="11" spans="1:6" ht="56" x14ac:dyDescent="0.25">
      <c r="A11" s="4" t="s">
        <v>6</v>
      </c>
      <c r="B11" s="103"/>
      <c r="C11" s="104"/>
      <c r="D11" s="105"/>
      <c r="E11" s="10" t="s">
        <v>135</v>
      </c>
      <c r="F11" s="10" t="s">
        <v>136</v>
      </c>
    </row>
    <row r="12" spans="1:6" ht="14" x14ac:dyDescent="0.3">
      <c r="A12" s="4" t="s">
        <v>6</v>
      </c>
      <c r="B12" s="100" t="s">
        <v>7</v>
      </c>
      <c r="C12" s="101"/>
      <c r="D12" s="101"/>
      <c r="E12" s="101"/>
      <c r="F12" s="102"/>
    </row>
    <row r="13" spans="1:6" ht="13" x14ac:dyDescent="0.25">
      <c r="A13" s="4" t="s">
        <v>6</v>
      </c>
      <c r="B13" s="94" t="s">
        <v>8</v>
      </c>
      <c r="C13" s="95"/>
      <c r="D13" s="96"/>
      <c r="E13" s="11">
        <v>8308369</v>
      </c>
      <c r="F13" s="11"/>
    </row>
    <row r="14" spans="1:6" ht="13" x14ac:dyDescent="0.25">
      <c r="A14" s="4" t="s">
        <v>6</v>
      </c>
      <c r="B14" s="94" t="s">
        <v>9</v>
      </c>
      <c r="C14" s="95"/>
      <c r="D14" s="96"/>
      <c r="E14" s="11">
        <v>8386867</v>
      </c>
      <c r="F14" s="11"/>
    </row>
    <row r="15" spans="1:6" ht="40.5" customHeight="1" x14ac:dyDescent="0.25">
      <c r="A15" s="4" t="s">
        <v>6</v>
      </c>
      <c r="B15" s="94" t="s">
        <v>10</v>
      </c>
      <c r="C15" s="95"/>
      <c r="D15" s="96"/>
      <c r="E15" s="11">
        <v>8574930</v>
      </c>
      <c r="F15" s="11"/>
    </row>
    <row r="16" spans="1:6" ht="27.75" customHeight="1" x14ac:dyDescent="0.25">
      <c r="A16" s="4" t="s">
        <v>6</v>
      </c>
      <c r="B16" s="94" t="s">
        <v>11</v>
      </c>
      <c r="C16" s="95"/>
      <c r="D16" s="96"/>
      <c r="E16" s="11">
        <v>5602400</v>
      </c>
      <c r="F16" s="11"/>
    </row>
    <row r="17" spans="1:6" ht="13" x14ac:dyDescent="0.3">
      <c r="A17" s="4" t="s">
        <v>6</v>
      </c>
      <c r="B17" s="97" t="s">
        <v>12</v>
      </c>
      <c r="C17" s="98"/>
      <c r="D17" s="99"/>
      <c r="E17" s="12">
        <f>SUM(E13:E16)</f>
        <v>30872566</v>
      </c>
      <c r="F17" s="12">
        <f>SUM(F13:F16)</f>
        <v>0</v>
      </c>
    </row>
    <row r="18" spans="1:6" ht="14" x14ac:dyDescent="0.3">
      <c r="A18" s="4" t="s">
        <v>6</v>
      </c>
      <c r="B18" s="100" t="s">
        <v>13</v>
      </c>
      <c r="C18" s="101"/>
      <c r="D18" s="101"/>
      <c r="E18" s="101"/>
      <c r="F18" s="102"/>
    </row>
    <row r="19" spans="1:6" ht="13" x14ac:dyDescent="0.25">
      <c r="A19" s="4" t="s">
        <v>6</v>
      </c>
      <c r="B19" s="94" t="s">
        <v>14</v>
      </c>
      <c r="C19" s="95"/>
      <c r="D19" s="96"/>
      <c r="E19" s="13">
        <v>45994133</v>
      </c>
      <c r="F19" s="13"/>
    </row>
    <row r="20" spans="1:6" ht="13" x14ac:dyDescent="0.25">
      <c r="A20" s="4" t="s">
        <v>6</v>
      </c>
      <c r="B20" s="94" t="s">
        <v>15</v>
      </c>
      <c r="C20" s="95"/>
      <c r="D20" s="96"/>
      <c r="E20" s="13">
        <v>2407950</v>
      </c>
      <c r="F20" s="14"/>
    </row>
    <row r="21" spans="1:6" ht="13" x14ac:dyDescent="0.25">
      <c r="A21" s="4" t="s">
        <v>6</v>
      </c>
      <c r="B21" s="94" t="s">
        <v>16</v>
      </c>
      <c r="C21" s="95"/>
      <c r="D21" s="96"/>
      <c r="E21" s="13">
        <v>0</v>
      </c>
      <c r="F21" s="15"/>
    </row>
    <row r="22" spans="1:6" ht="13" x14ac:dyDescent="0.3">
      <c r="A22" s="4" t="s">
        <v>6</v>
      </c>
      <c r="B22" s="97" t="s">
        <v>17</v>
      </c>
      <c r="C22" s="98"/>
      <c r="D22" s="99"/>
      <c r="E22" s="12">
        <f>SUM(E19:E21)</f>
        <v>48402083</v>
      </c>
      <c r="F22" s="12">
        <f>SUM(F19,F21)</f>
        <v>0</v>
      </c>
    </row>
    <row r="23" spans="1:6" ht="14" x14ac:dyDescent="0.3">
      <c r="A23" s="4" t="s">
        <v>6</v>
      </c>
      <c r="B23" s="100" t="s">
        <v>18</v>
      </c>
      <c r="C23" s="101"/>
      <c r="D23" s="101"/>
      <c r="E23" s="101"/>
      <c r="F23" s="102"/>
    </row>
    <row r="24" spans="1:6" ht="13" x14ac:dyDescent="0.25">
      <c r="A24" s="4" t="s">
        <v>6</v>
      </c>
      <c r="B24" s="89" t="s">
        <v>19</v>
      </c>
      <c r="C24" s="90"/>
      <c r="D24" s="91"/>
      <c r="E24" s="13">
        <v>14815407</v>
      </c>
      <c r="F24" s="13"/>
    </row>
    <row r="25" spans="1:6" ht="13" x14ac:dyDescent="0.25">
      <c r="A25" s="4" t="s">
        <v>6</v>
      </c>
      <c r="B25" s="89" t="s">
        <v>20</v>
      </c>
      <c r="C25" s="90"/>
      <c r="D25" s="91"/>
      <c r="E25" s="13">
        <v>1645853</v>
      </c>
      <c r="F25" s="13"/>
    </row>
    <row r="26" spans="1:6" ht="13" x14ac:dyDescent="0.25">
      <c r="A26" s="4" t="s">
        <v>6</v>
      </c>
      <c r="B26" s="89" t="s">
        <v>21</v>
      </c>
      <c r="C26" s="90"/>
      <c r="D26" s="91"/>
      <c r="E26" s="13">
        <v>3488209</v>
      </c>
      <c r="F26" s="13"/>
    </row>
    <row r="28" spans="1:6" ht="63.75" customHeight="1" x14ac:dyDescent="0.25">
      <c r="A28" s="4" t="s">
        <v>22</v>
      </c>
      <c r="B28" s="77" t="s">
        <v>157</v>
      </c>
      <c r="C28" s="77"/>
      <c r="D28" s="77"/>
      <c r="E28" s="77"/>
      <c r="F28" s="77"/>
    </row>
    <row r="29" spans="1:6" ht="34.5" x14ac:dyDescent="0.25">
      <c r="A29" s="4" t="s">
        <v>22</v>
      </c>
      <c r="B29" s="16"/>
      <c r="C29" s="17"/>
      <c r="D29" s="18" t="s">
        <v>23</v>
      </c>
      <c r="E29" s="18" t="s">
        <v>24</v>
      </c>
      <c r="F29" s="18" t="s">
        <v>25</v>
      </c>
    </row>
    <row r="30" spans="1:6" ht="23" x14ac:dyDescent="0.25">
      <c r="A30" s="4" t="s">
        <v>22</v>
      </c>
      <c r="B30" s="19" t="s">
        <v>26</v>
      </c>
      <c r="C30" s="20" t="s">
        <v>27</v>
      </c>
      <c r="D30" s="21">
        <v>4714</v>
      </c>
      <c r="E30" s="21">
        <v>20821</v>
      </c>
      <c r="F30" s="21">
        <v>652</v>
      </c>
    </row>
    <row r="31" spans="1:6" ht="24.75" customHeight="1" x14ac:dyDescent="0.25">
      <c r="A31" s="4" t="s">
        <v>22</v>
      </c>
      <c r="B31" s="19" t="s">
        <v>28</v>
      </c>
      <c r="C31" s="20" t="s">
        <v>137</v>
      </c>
      <c r="D31" s="21">
        <v>3155</v>
      </c>
      <c r="E31" s="21">
        <v>11136</v>
      </c>
      <c r="F31" s="21"/>
    </row>
    <row r="32" spans="1:6" ht="23" x14ac:dyDescent="0.25">
      <c r="A32" s="4" t="s">
        <v>22</v>
      </c>
      <c r="B32" s="19" t="s">
        <v>29</v>
      </c>
      <c r="C32" s="20" t="s">
        <v>138</v>
      </c>
      <c r="D32" s="21">
        <v>2081</v>
      </c>
      <c r="E32" s="21">
        <v>7650</v>
      </c>
      <c r="F32" s="21"/>
    </row>
    <row r="33" spans="1:6" ht="23" x14ac:dyDescent="0.25">
      <c r="A33" s="4" t="s">
        <v>22</v>
      </c>
      <c r="B33" s="19" t="s">
        <v>30</v>
      </c>
      <c r="C33" s="20" t="s">
        <v>139</v>
      </c>
      <c r="D33" s="21">
        <v>2007</v>
      </c>
      <c r="E33" s="21">
        <v>7462</v>
      </c>
      <c r="F33" s="21"/>
    </row>
    <row r="34" spans="1:6" ht="23" x14ac:dyDescent="0.25">
      <c r="A34" s="4" t="s">
        <v>22</v>
      </c>
      <c r="B34" s="19" t="s">
        <v>31</v>
      </c>
      <c r="C34" s="20" t="s">
        <v>140</v>
      </c>
      <c r="D34" s="21">
        <v>1344</v>
      </c>
      <c r="E34" s="21">
        <v>4360</v>
      </c>
      <c r="F34" s="21"/>
    </row>
    <row r="35" spans="1:6" ht="23" x14ac:dyDescent="0.25">
      <c r="A35" s="4" t="s">
        <v>22</v>
      </c>
      <c r="B35" s="19" t="s">
        <v>32</v>
      </c>
      <c r="C35" s="20" t="s">
        <v>141</v>
      </c>
      <c r="D35" s="21">
        <v>1763</v>
      </c>
      <c r="E35" s="21">
        <v>6440</v>
      </c>
      <c r="F35" s="21"/>
    </row>
    <row r="36" spans="1:6" ht="23" x14ac:dyDescent="0.25">
      <c r="A36" s="4" t="s">
        <v>22</v>
      </c>
      <c r="B36" s="19" t="s">
        <v>33</v>
      </c>
      <c r="C36" s="20" t="s">
        <v>142</v>
      </c>
      <c r="D36" s="21">
        <v>501</v>
      </c>
      <c r="E36" s="21">
        <v>1025</v>
      </c>
      <c r="F36" s="21"/>
    </row>
    <row r="37" spans="1:6" ht="34.5" x14ac:dyDescent="0.25">
      <c r="A37" s="4" t="s">
        <v>22</v>
      </c>
      <c r="B37" s="19" t="s">
        <v>34</v>
      </c>
      <c r="C37" s="20" t="s">
        <v>143</v>
      </c>
      <c r="D37" s="21">
        <v>173</v>
      </c>
      <c r="E37" s="21">
        <v>1740</v>
      </c>
      <c r="F37" s="21"/>
    </row>
    <row r="38" spans="1:6" ht="57.5" x14ac:dyDescent="0.25">
      <c r="A38" s="4" t="s">
        <v>22</v>
      </c>
      <c r="B38" s="19" t="s">
        <v>35</v>
      </c>
      <c r="C38" s="20" t="s">
        <v>144</v>
      </c>
      <c r="D38" s="22">
        <v>0.61</v>
      </c>
      <c r="E38" s="22">
        <v>0.62</v>
      </c>
      <c r="F38" s="22"/>
    </row>
    <row r="39" spans="1:6" ht="46" x14ac:dyDescent="0.25">
      <c r="A39" s="4" t="s">
        <v>22</v>
      </c>
      <c r="B39" s="19" t="s">
        <v>36</v>
      </c>
      <c r="C39" s="20" t="s">
        <v>145</v>
      </c>
      <c r="D39" s="23">
        <v>6571</v>
      </c>
      <c r="E39" s="23">
        <v>6983</v>
      </c>
      <c r="F39" s="23"/>
    </row>
    <row r="40" spans="1:6" ht="13" x14ac:dyDescent="0.25">
      <c r="A40" s="4" t="s">
        <v>22</v>
      </c>
      <c r="B40" s="24" t="s">
        <v>37</v>
      </c>
      <c r="C40" s="25" t="s">
        <v>146</v>
      </c>
      <c r="D40" s="23">
        <v>3322</v>
      </c>
      <c r="E40" s="23">
        <v>3497</v>
      </c>
      <c r="F40" s="23"/>
    </row>
    <row r="41" spans="1:6" ht="36.75" customHeight="1" x14ac:dyDescent="0.25">
      <c r="A41" s="4" t="s">
        <v>22</v>
      </c>
      <c r="B41" s="19" t="s">
        <v>38</v>
      </c>
      <c r="C41" s="20" t="s">
        <v>147</v>
      </c>
      <c r="D41" s="23">
        <v>3287</v>
      </c>
      <c r="E41" s="23">
        <v>3940</v>
      </c>
      <c r="F41" s="23"/>
    </row>
    <row r="42" spans="1:6" ht="34.5" x14ac:dyDescent="0.25">
      <c r="A42" s="4" t="s">
        <v>22</v>
      </c>
      <c r="B42" s="19" t="s">
        <v>39</v>
      </c>
      <c r="C42" s="20" t="s">
        <v>148</v>
      </c>
      <c r="D42" s="23">
        <v>2930</v>
      </c>
      <c r="E42" s="23">
        <v>4450</v>
      </c>
      <c r="F42" s="23"/>
    </row>
    <row r="44" spans="1:6" ht="64.5" customHeight="1" x14ac:dyDescent="0.25">
      <c r="A44" s="4" t="s">
        <v>40</v>
      </c>
      <c r="B44" s="92" t="s">
        <v>158</v>
      </c>
      <c r="C44" s="92"/>
      <c r="D44" s="92"/>
      <c r="E44" s="92"/>
      <c r="F44" s="92"/>
    </row>
    <row r="45" spans="1:6" ht="34.5" x14ac:dyDescent="0.25">
      <c r="A45" s="4" t="s">
        <v>40</v>
      </c>
      <c r="B45" s="16"/>
      <c r="C45" s="17"/>
      <c r="D45" s="18" t="s">
        <v>23</v>
      </c>
      <c r="E45" s="18" t="s">
        <v>41</v>
      </c>
      <c r="F45" s="18" t="s">
        <v>42</v>
      </c>
    </row>
    <row r="46" spans="1:6" ht="46" x14ac:dyDescent="0.25">
      <c r="A46" s="4" t="s">
        <v>40</v>
      </c>
      <c r="B46" s="19" t="s">
        <v>43</v>
      </c>
      <c r="C46" s="20" t="s">
        <v>149</v>
      </c>
      <c r="D46" s="21">
        <v>1345</v>
      </c>
      <c r="E46" s="21">
        <v>6550</v>
      </c>
      <c r="F46" s="21"/>
    </row>
    <row r="47" spans="1:6" ht="23" x14ac:dyDescent="0.25">
      <c r="A47" s="4" t="s">
        <v>40</v>
      </c>
      <c r="B47" s="19" t="s">
        <v>44</v>
      </c>
      <c r="C47" s="20" t="s">
        <v>150</v>
      </c>
      <c r="D47" s="26">
        <v>3888</v>
      </c>
      <c r="E47" s="26">
        <v>4244</v>
      </c>
      <c r="F47" s="26"/>
    </row>
    <row r="48" spans="1:6" ht="23" x14ac:dyDescent="0.25">
      <c r="A48" s="4" t="s">
        <v>40</v>
      </c>
      <c r="B48" s="19" t="s">
        <v>45</v>
      </c>
      <c r="C48" s="20" t="s">
        <v>151</v>
      </c>
      <c r="D48" s="21">
        <v>64</v>
      </c>
      <c r="E48" s="21">
        <v>449</v>
      </c>
      <c r="F48" s="21"/>
    </row>
    <row r="49" spans="1:6" ht="23" x14ac:dyDescent="0.25">
      <c r="A49" s="4" t="s">
        <v>40</v>
      </c>
      <c r="B49" s="19" t="s">
        <v>46</v>
      </c>
      <c r="C49" s="20" t="s">
        <v>152</v>
      </c>
      <c r="D49" s="26">
        <v>8472</v>
      </c>
      <c r="E49" s="26">
        <v>5367</v>
      </c>
      <c r="F49" s="26"/>
    </row>
    <row r="51" spans="1:6" ht="13" x14ac:dyDescent="0.25">
      <c r="A51" s="4" t="s">
        <v>47</v>
      </c>
      <c r="B51" s="77" t="s">
        <v>48</v>
      </c>
      <c r="C51" s="77"/>
      <c r="D51" s="77"/>
      <c r="E51" s="77"/>
      <c r="F51" s="77"/>
    </row>
    <row r="52" spans="1:6" ht="13" x14ac:dyDescent="0.25">
      <c r="A52" s="4" t="s">
        <v>47</v>
      </c>
      <c r="B52" s="93" t="s">
        <v>49</v>
      </c>
      <c r="C52" s="93"/>
      <c r="D52" s="27" t="s">
        <v>5</v>
      </c>
    </row>
    <row r="53" spans="1:6" ht="13" x14ac:dyDescent="0.25">
      <c r="A53" s="4" t="s">
        <v>47</v>
      </c>
      <c r="B53" s="67" t="s">
        <v>50</v>
      </c>
      <c r="C53" s="67"/>
      <c r="D53" s="27"/>
    </row>
    <row r="54" spans="1:6" ht="13" x14ac:dyDescent="0.25">
      <c r="A54" s="4" t="s">
        <v>47</v>
      </c>
      <c r="B54" s="67" t="s">
        <v>51</v>
      </c>
      <c r="C54" s="67"/>
      <c r="D54" s="27"/>
    </row>
    <row r="56" spans="1:6" ht="51.75" customHeight="1" x14ac:dyDescent="0.3">
      <c r="A56" s="4" t="s">
        <v>52</v>
      </c>
      <c r="B56" s="82" t="s">
        <v>159</v>
      </c>
      <c r="C56" s="82"/>
      <c r="D56" s="82"/>
      <c r="E56" s="82"/>
      <c r="F56" s="28"/>
    </row>
    <row r="57" spans="1:6" x14ac:dyDescent="0.25">
      <c r="F57" s="29"/>
    </row>
    <row r="58" spans="1:6" ht="30" customHeight="1" x14ac:dyDescent="0.3">
      <c r="A58" s="4" t="s">
        <v>53</v>
      </c>
      <c r="B58" s="82" t="s">
        <v>54</v>
      </c>
      <c r="C58" s="82"/>
      <c r="D58" s="82"/>
      <c r="E58" s="82"/>
      <c r="F58" s="30"/>
    </row>
    <row r="60" spans="1:6" ht="27.75" customHeight="1" x14ac:dyDescent="0.25">
      <c r="B60" s="83" t="s">
        <v>153</v>
      </c>
      <c r="C60" s="84"/>
      <c r="D60" s="84"/>
      <c r="E60" s="84"/>
      <c r="F60" s="84"/>
    </row>
    <row r="61" spans="1:6" ht="15.5" x14ac:dyDescent="0.25">
      <c r="B61" s="31"/>
      <c r="C61" s="6"/>
      <c r="D61" s="6"/>
      <c r="E61" s="6"/>
      <c r="F61" s="6"/>
    </row>
    <row r="62" spans="1:6" ht="26.25" customHeight="1" x14ac:dyDescent="0.25">
      <c r="A62" s="4" t="s">
        <v>55</v>
      </c>
      <c r="B62" s="77" t="s">
        <v>56</v>
      </c>
      <c r="C62" s="77"/>
      <c r="D62" s="77"/>
      <c r="E62" s="77"/>
      <c r="F62" s="77"/>
    </row>
    <row r="63" spans="1:6" ht="13" x14ac:dyDescent="0.25">
      <c r="A63" s="4" t="s">
        <v>55</v>
      </c>
      <c r="B63" s="67" t="s">
        <v>57</v>
      </c>
      <c r="C63" s="67"/>
      <c r="D63" s="67"/>
      <c r="E63" s="27"/>
    </row>
    <row r="64" spans="1:6" ht="13" x14ac:dyDescent="0.25">
      <c r="A64" s="4" t="s">
        <v>55</v>
      </c>
      <c r="B64" s="67" t="s">
        <v>58</v>
      </c>
      <c r="C64" s="67"/>
      <c r="D64" s="67"/>
      <c r="E64" s="27"/>
    </row>
    <row r="65" spans="1:6" ht="13" x14ac:dyDescent="0.25">
      <c r="A65" s="4" t="s">
        <v>55</v>
      </c>
      <c r="B65" s="67" t="s">
        <v>59</v>
      </c>
      <c r="C65" s="67"/>
      <c r="D65" s="67"/>
      <c r="E65" s="27" t="s">
        <v>5</v>
      </c>
    </row>
    <row r="67" spans="1:6" ht="40.5" customHeight="1" x14ac:dyDescent="0.25">
      <c r="A67" s="4" t="s">
        <v>55</v>
      </c>
      <c r="B67" s="78" t="s">
        <v>60</v>
      </c>
      <c r="C67" s="78"/>
      <c r="D67" s="78"/>
      <c r="E67" s="78"/>
      <c r="F67" s="32">
        <v>0</v>
      </c>
    </row>
    <row r="68" spans="1:6" ht="13" x14ac:dyDescent="0.3">
      <c r="B68" s="6"/>
      <c r="C68" s="33"/>
      <c r="D68" s="6"/>
      <c r="E68" s="6"/>
      <c r="F68" s="34"/>
    </row>
    <row r="69" spans="1:6" ht="13" x14ac:dyDescent="0.25">
      <c r="A69" s="4" t="s">
        <v>55</v>
      </c>
      <c r="B69" s="78" t="s">
        <v>61</v>
      </c>
      <c r="C69" s="78"/>
      <c r="D69" s="78"/>
      <c r="E69" s="78"/>
      <c r="F69" s="35">
        <v>0</v>
      </c>
    </row>
    <row r="70" spans="1:6" x14ac:dyDescent="0.25">
      <c r="F70" s="36"/>
    </row>
    <row r="71" spans="1:6" ht="26.25" customHeight="1" x14ac:dyDescent="0.25">
      <c r="A71" s="4" t="s">
        <v>55</v>
      </c>
      <c r="B71" s="78" t="s">
        <v>62</v>
      </c>
      <c r="C71" s="78"/>
      <c r="D71" s="78"/>
      <c r="E71" s="78"/>
      <c r="F71" s="35">
        <v>0</v>
      </c>
    </row>
    <row r="73" spans="1:6" ht="15.5" x14ac:dyDescent="0.25">
      <c r="B73" s="37" t="s">
        <v>63</v>
      </c>
    </row>
    <row r="74" spans="1:6" ht="12.75" customHeight="1" x14ac:dyDescent="0.25">
      <c r="B74" s="37"/>
    </row>
    <row r="75" spans="1:6" ht="13" x14ac:dyDescent="0.25">
      <c r="A75" s="4" t="s">
        <v>64</v>
      </c>
      <c r="B75" s="77" t="s">
        <v>65</v>
      </c>
      <c r="C75" s="77"/>
      <c r="D75" s="77"/>
      <c r="E75" s="77"/>
      <c r="F75" s="77"/>
    </row>
    <row r="76" spans="1:6" ht="13" x14ac:dyDescent="0.25">
      <c r="A76" s="4" t="s">
        <v>64</v>
      </c>
      <c r="B76" s="79" t="s">
        <v>66</v>
      </c>
      <c r="C76" s="80"/>
      <c r="D76" s="81"/>
      <c r="E76" s="38" t="s">
        <v>5</v>
      </c>
    </row>
    <row r="77" spans="1:6" ht="13" x14ac:dyDescent="0.25">
      <c r="A77" s="4" t="s">
        <v>64</v>
      </c>
      <c r="B77" s="79" t="s">
        <v>67</v>
      </c>
      <c r="C77" s="80"/>
      <c r="D77" s="81"/>
      <c r="E77" s="14"/>
    </row>
    <row r="78" spans="1:6" ht="13" x14ac:dyDescent="0.25">
      <c r="A78" s="4" t="s">
        <v>64</v>
      </c>
      <c r="B78" s="79" t="s">
        <v>68</v>
      </c>
      <c r="C78" s="80"/>
      <c r="D78" s="81"/>
      <c r="E78" s="14"/>
    </row>
    <row r="79" spans="1:6" ht="13" x14ac:dyDescent="0.25">
      <c r="A79" s="4" t="s">
        <v>64</v>
      </c>
      <c r="B79" s="79" t="s">
        <v>69</v>
      </c>
      <c r="C79" s="80"/>
      <c r="D79" s="81"/>
      <c r="E79" s="14"/>
    </row>
    <row r="80" spans="1:6" ht="13" x14ac:dyDescent="0.25">
      <c r="A80" s="4" t="s">
        <v>64</v>
      </c>
      <c r="B80" s="79" t="s">
        <v>70</v>
      </c>
      <c r="C80" s="80"/>
      <c r="D80" s="81"/>
      <c r="E80" s="14"/>
    </row>
    <row r="81" spans="1:6" ht="13" x14ac:dyDescent="0.25">
      <c r="A81" s="4" t="s">
        <v>64</v>
      </c>
      <c r="B81" s="79" t="s">
        <v>71</v>
      </c>
      <c r="C81" s="80"/>
      <c r="D81" s="81"/>
      <c r="E81" s="14"/>
    </row>
    <row r="82" spans="1:6" ht="13" x14ac:dyDescent="0.25">
      <c r="A82" s="4" t="s">
        <v>64</v>
      </c>
      <c r="B82" s="71" t="s">
        <v>72</v>
      </c>
      <c r="C82" s="72"/>
      <c r="D82" s="73"/>
      <c r="E82" s="14"/>
    </row>
    <row r="83" spans="1:6" ht="13" x14ac:dyDescent="0.25">
      <c r="A83" s="4" t="s">
        <v>64</v>
      </c>
      <c r="B83" s="74"/>
      <c r="C83" s="75"/>
      <c r="D83" s="75"/>
      <c r="E83" s="39"/>
    </row>
    <row r="85" spans="1:6" ht="12.75" customHeight="1" x14ac:dyDescent="0.25">
      <c r="A85" s="4" t="s">
        <v>73</v>
      </c>
      <c r="B85" s="77" t="s">
        <v>74</v>
      </c>
      <c r="C85" s="77"/>
      <c r="D85" s="77"/>
      <c r="E85" s="77"/>
      <c r="F85" s="77"/>
    </row>
    <row r="86" spans="1:6" ht="13" x14ac:dyDescent="0.25">
      <c r="A86" s="4" t="s">
        <v>73</v>
      </c>
      <c r="B86" s="79" t="s">
        <v>75</v>
      </c>
      <c r="C86" s="80"/>
      <c r="D86" s="81"/>
      <c r="E86" s="14"/>
    </row>
    <row r="87" spans="1:6" ht="13" x14ac:dyDescent="0.25">
      <c r="A87" s="4" t="s">
        <v>73</v>
      </c>
      <c r="B87" s="79" t="s">
        <v>68</v>
      </c>
      <c r="C87" s="80"/>
      <c r="D87" s="81"/>
      <c r="E87" s="14"/>
    </row>
    <row r="88" spans="1:6" ht="13" x14ac:dyDescent="0.25">
      <c r="A88" s="4" t="s">
        <v>73</v>
      </c>
      <c r="B88" s="79" t="s">
        <v>76</v>
      </c>
      <c r="C88" s="80"/>
      <c r="D88" s="81"/>
      <c r="E88" s="14"/>
    </row>
    <row r="89" spans="1:6" ht="13" x14ac:dyDescent="0.25">
      <c r="A89" s="4" t="s">
        <v>73</v>
      </c>
      <c r="B89" s="79" t="s">
        <v>77</v>
      </c>
      <c r="C89" s="80"/>
      <c r="D89" s="81"/>
      <c r="E89" s="14"/>
    </row>
    <row r="90" spans="1:6" ht="13" x14ac:dyDescent="0.25">
      <c r="A90" s="4" t="s">
        <v>73</v>
      </c>
      <c r="B90" s="71" t="s">
        <v>72</v>
      </c>
      <c r="C90" s="72"/>
      <c r="D90" s="73"/>
      <c r="E90" s="38" t="s">
        <v>5</v>
      </c>
    </row>
    <row r="91" spans="1:6" ht="13" x14ac:dyDescent="0.25">
      <c r="A91" s="4" t="s">
        <v>73</v>
      </c>
      <c r="B91" s="74" t="s">
        <v>78</v>
      </c>
      <c r="C91" s="75"/>
      <c r="D91" s="75"/>
      <c r="E91" s="39"/>
    </row>
    <row r="93" spans="1:6" ht="13" x14ac:dyDescent="0.25">
      <c r="A93" s="4" t="s">
        <v>79</v>
      </c>
      <c r="B93" s="68" t="s">
        <v>80</v>
      </c>
      <c r="C93" s="68"/>
      <c r="D93" s="68"/>
      <c r="E93" s="68"/>
      <c r="F93" s="68"/>
    </row>
    <row r="94" spans="1:6" ht="13" x14ac:dyDescent="0.25">
      <c r="A94" s="4" t="s">
        <v>79</v>
      </c>
      <c r="B94" s="67" t="s">
        <v>81</v>
      </c>
      <c r="C94" s="67"/>
      <c r="D94" s="67"/>
      <c r="E94" s="40">
        <v>37691</v>
      </c>
      <c r="F94" s="41"/>
    </row>
    <row r="95" spans="1:6" ht="13" x14ac:dyDescent="0.25">
      <c r="A95" s="4" t="s">
        <v>79</v>
      </c>
      <c r="B95" s="67" t="s">
        <v>82</v>
      </c>
      <c r="C95" s="67"/>
      <c r="D95" s="67"/>
      <c r="E95" s="42"/>
      <c r="F95" s="43"/>
    </row>
    <row r="96" spans="1:6" ht="27" customHeight="1" x14ac:dyDescent="0.25">
      <c r="A96" s="4" t="s">
        <v>79</v>
      </c>
      <c r="B96" s="78" t="s">
        <v>83</v>
      </c>
      <c r="C96" s="78"/>
      <c r="D96" s="78"/>
      <c r="E96" s="27"/>
      <c r="F96" s="43"/>
    </row>
    <row r="98" spans="1:6" ht="13" x14ac:dyDescent="0.25">
      <c r="A98" s="4" t="s">
        <v>84</v>
      </c>
      <c r="B98" s="77" t="s">
        <v>85</v>
      </c>
      <c r="C98" s="77"/>
      <c r="D98" s="77"/>
      <c r="E98" s="77"/>
      <c r="F98" s="77"/>
    </row>
    <row r="99" spans="1:6" ht="13" x14ac:dyDescent="0.25">
      <c r="A99" s="4" t="s">
        <v>84</v>
      </c>
      <c r="B99" s="44" t="s">
        <v>26</v>
      </c>
      <c r="C99" s="67" t="s">
        <v>86</v>
      </c>
      <c r="D99" s="67"/>
      <c r="E99" s="45"/>
      <c r="F99" s="46"/>
    </row>
    <row r="100" spans="1:6" ht="13" x14ac:dyDescent="0.25">
      <c r="A100" s="4" t="s">
        <v>84</v>
      </c>
      <c r="B100" s="76"/>
      <c r="C100" s="76"/>
      <c r="D100" s="47" t="s">
        <v>87</v>
      </c>
      <c r="E100" s="48" t="s">
        <v>88</v>
      </c>
      <c r="F100" s="46"/>
    </row>
    <row r="101" spans="1:6" ht="13" x14ac:dyDescent="0.25">
      <c r="A101" s="4" t="s">
        <v>84</v>
      </c>
      <c r="B101" s="1" t="s">
        <v>28</v>
      </c>
      <c r="C101" s="49" t="s">
        <v>89</v>
      </c>
      <c r="D101" s="27" t="s">
        <v>5</v>
      </c>
      <c r="E101" s="27"/>
      <c r="F101" s="46"/>
    </row>
    <row r="102" spans="1:6" ht="13" x14ac:dyDescent="0.25">
      <c r="A102" s="4" t="s">
        <v>84</v>
      </c>
      <c r="B102" s="50"/>
      <c r="C102" s="51" t="s">
        <v>90</v>
      </c>
      <c r="D102" s="52">
        <v>37710</v>
      </c>
    </row>
    <row r="104" spans="1:6" ht="13" x14ac:dyDescent="0.25">
      <c r="A104" s="4" t="s">
        <v>91</v>
      </c>
      <c r="B104" s="68" t="s">
        <v>92</v>
      </c>
      <c r="C104" s="68"/>
    </row>
    <row r="105" spans="1:6" ht="13" x14ac:dyDescent="0.25">
      <c r="A105" s="4" t="s">
        <v>91</v>
      </c>
      <c r="B105" s="67" t="s">
        <v>93</v>
      </c>
      <c r="C105" s="67"/>
      <c r="D105" s="40">
        <v>37742</v>
      </c>
    </row>
    <row r="106" spans="1:6" ht="13" x14ac:dyDescent="0.25">
      <c r="A106" s="4" t="s">
        <v>91</v>
      </c>
      <c r="B106" s="67" t="s">
        <v>94</v>
      </c>
      <c r="C106" s="67"/>
      <c r="D106" s="32">
        <v>4</v>
      </c>
    </row>
    <row r="108" spans="1:6" ht="15.5" x14ac:dyDescent="0.25">
      <c r="B108" s="37" t="s">
        <v>95</v>
      </c>
    </row>
    <row r="109" spans="1:6" ht="12.75" customHeight="1" x14ac:dyDescent="0.25">
      <c r="B109" s="37"/>
    </row>
    <row r="110" spans="1:6" ht="13" x14ac:dyDescent="0.25">
      <c r="A110" s="4" t="s">
        <v>96</v>
      </c>
      <c r="B110" s="68" t="s">
        <v>97</v>
      </c>
      <c r="C110" s="68"/>
    </row>
    <row r="111" spans="1:6" ht="13" x14ac:dyDescent="0.25">
      <c r="A111" s="4" t="s">
        <v>96</v>
      </c>
      <c r="B111" s="69" t="s">
        <v>98</v>
      </c>
      <c r="C111" s="69"/>
      <c r="D111" s="69"/>
    </row>
    <row r="112" spans="1:6" ht="13" x14ac:dyDescent="0.25">
      <c r="A112" s="4" t="s">
        <v>96</v>
      </c>
      <c r="B112" s="67" t="s">
        <v>99</v>
      </c>
      <c r="C112" s="67"/>
      <c r="D112" s="76"/>
      <c r="E112" s="27" t="s">
        <v>5</v>
      </c>
    </row>
    <row r="113" spans="1:5" ht="13" x14ac:dyDescent="0.25">
      <c r="A113" s="4" t="s">
        <v>96</v>
      </c>
      <c r="B113" s="67" t="s">
        <v>100</v>
      </c>
      <c r="C113" s="67"/>
      <c r="D113" s="67"/>
      <c r="E113" s="27" t="s">
        <v>5</v>
      </c>
    </row>
    <row r="114" spans="1:5" ht="13" x14ac:dyDescent="0.25">
      <c r="A114" s="4" t="s">
        <v>96</v>
      </c>
      <c r="B114" s="67" t="s">
        <v>101</v>
      </c>
      <c r="C114" s="67"/>
      <c r="D114" s="67"/>
      <c r="E114" s="27" t="s">
        <v>5</v>
      </c>
    </row>
    <row r="116" spans="1:5" ht="13" x14ac:dyDescent="0.25">
      <c r="A116" s="4" t="s">
        <v>96</v>
      </c>
      <c r="B116" s="69" t="s">
        <v>102</v>
      </c>
      <c r="C116" s="69"/>
      <c r="D116" s="69"/>
    </row>
    <row r="117" spans="1:5" ht="13" x14ac:dyDescent="0.25">
      <c r="A117" s="4" t="s">
        <v>96</v>
      </c>
      <c r="B117" s="67" t="s">
        <v>103</v>
      </c>
      <c r="C117" s="67"/>
      <c r="D117" s="67"/>
      <c r="E117" s="27"/>
    </row>
    <row r="118" spans="1:5" ht="13" x14ac:dyDescent="0.25">
      <c r="A118" s="4" t="s">
        <v>96</v>
      </c>
      <c r="B118" s="67" t="s">
        <v>104</v>
      </c>
      <c r="C118" s="67"/>
      <c r="D118" s="67"/>
      <c r="E118" s="27"/>
    </row>
    <row r="119" spans="1:5" ht="13" x14ac:dyDescent="0.25">
      <c r="A119" s="4" t="s">
        <v>96</v>
      </c>
      <c r="B119" s="67" t="s">
        <v>105</v>
      </c>
      <c r="C119" s="67"/>
      <c r="D119" s="67"/>
      <c r="E119" s="27"/>
    </row>
    <row r="120" spans="1:5" s="56" customFormat="1" x14ac:dyDescent="0.25">
      <c r="A120" s="53"/>
      <c r="B120" s="54"/>
      <c r="C120" s="54"/>
      <c r="D120" s="54"/>
      <c r="E120" s="55"/>
    </row>
    <row r="121" spans="1:5" ht="13" x14ac:dyDescent="0.25">
      <c r="A121" s="4" t="s">
        <v>96</v>
      </c>
      <c r="B121" s="67" t="s">
        <v>106</v>
      </c>
      <c r="C121" s="67"/>
      <c r="D121" s="67"/>
      <c r="E121" s="27" t="s">
        <v>5</v>
      </c>
    </row>
    <row r="122" spans="1:5" ht="13" x14ac:dyDescent="0.25">
      <c r="A122" s="4" t="s">
        <v>96</v>
      </c>
      <c r="B122" s="67" t="s">
        <v>107</v>
      </c>
      <c r="C122" s="67"/>
      <c r="D122" s="67"/>
      <c r="E122" s="27"/>
    </row>
    <row r="123" spans="1:5" ht="13" x14ac:dyDescent="0.25">
      <c r="A123" s="4" t="s">
        <v>96</v>
      </c>
      <c r="B123" s="67" t="s">
        <v>108</v>
      </c>
      <c r="C123" s="67"/>
      <c r="D123" s="67"/>
      <c r="E123" s="27" t="s">
        <v>5</v>
      </c>
    </row>
    <row r="124" spans="1:5" ht="13" x14ac:dyDescent="0.25">
      <c r="A124" s="4" t="s">
        <v>96</v>
      </c>
      <c r="B124" s="67" t="s">
        <v>109</v>
      </c>
      <c r="C124" s="67"/>
      <c r="D124" s="67"/>
      <c r="E124" s="27" t="s">
        <v>5</v>
      </c>
    </row>
    <row r="125" spans="1:5" ht="13" x14ac:dyDescent="0.25">
      <c r="A125" s="4" t="s">
        <v>96</v>
      </c>
      <c r="B125" s="71" t="s">
        <v>72</v>
      </c>
      <c r="C125" s="72"/>
      <c r="D125" s="73"/>
      <c r="E125" s="14"/>
    </row>
    <row r="126" spans="1:5" ht="13" x14ac:dyDescent="0.25">
      <c r="A126" s="4" t="s">
        <v>96</v>
      </c>
      <c r="B126" s="74"/>
      <c r="C126" s="75"/>
      <c r="D126" s="75"/>
      <c r="E126" s="39"/>
    </row>
    <row r="128" spans="1:5" ht="13" x14ac:dyDescent="0.25">
      <c r="A128" s="4" t="s">
        <v>110</v>
      </c>
      <c r="B128" s="68" t="s">
        <v>111</v>
      </c>
      <c r="C128" s="68"/>
    </row>
    <row r="129" spans="1:6" ht="13" x14ac:dyDescent="0.25">
      <c r="A129" s="4" t="s">
        <v>110</v>
      </c>
      <c r="B129" s="68" t="s">
        <v>112</v>
      </c>
      <c r="C129" s="70"/>
    </row>
    <row r="130" spans="1:6" ht="13" x14ac:dyDescent="0.25">
      <c r="A130" s="4" t="s">
        <v>110</v>
      </c>
      <c r="B130" s="67" t="s">
        <v>113</v>
      </c>
      <c r="C130" s="67"/>
      <c r="D130" s="67"/>
      <c r="E130" s="27" t="s">
        <v>5</v>
      </c>
    </row>
    <row r="131" spans="1:6" ht="13" x14ac:dyDescent="0.25">
      <c r="A131" s="4" t="s">
        <v>110</v>
      </c>
      <c r="B131" s="67" t="s">
        <v>114</v>
      </c>
      <c r="C131" s="67"/>
      <c r="D131" s="67"/>
      <c r="E131" s="27" t="s">
        <v>5</v>
      </c>
    </row>
    <row r="132" spans="1:6" ht="13" x14ac:dyDescent="0.25">
      <c r="A132" s="4" t="s">
        <v>110</v>
      </c>
      <c r="B132" s="67" t="s">
        <v>115</v>
      </c>
      <c r="C132" s="67"/>
      <c r="D132" s="67"/>
      <c r="E132" s="27" t="s">
        <v>5</v>
      </c>
    </row>
    <row r="133" spans="1:6" ht="13" x14ac:dyDescent="0.25">
      <c r="A133" s="4" t="s">
        <v>110</v>
      </c>
      <c r="B133" s="67" t="s">
        <v>116</v>
      </c>
      <c r="C133" s="67"/>
      <c r="D133" s="67"/>
      <c r="E133" s="27" t="s">
        <v>5</v>
      </c>
    </row>
    <row r="134" spans="1:6" ht="13" x14ac:dyDescent="0.25">
      <c r="A134" s="4" t="s">
        <v>110</v>
      </c>
      <c r="B134" s="67" t="s">
        <v>117</v>
      </c>
      <c r="C134" s="67"/>
      <c r="D134" s="67"/>
      <c r="E134" s="27" t="s">
        <v>5</v>
      </c>
    </row>
    <row r="135" spans="1:6" ht="13" x14ac:dyDescent="0.25">
      <c r="A135" s="4" t="s">
        <v>110</v>
      </c>
      <c r="B135" s="67" t="s">
        <v>118</v>
      </c>
      <c r="C135" s="67"/>
      <c r="D135" s="67"/>
      <c r="E135" s="27" t="s">
        <v>5</v>
      </c>
    </row>
    <row r="136" spans="1:6" ht="13" x14ac:dyDescent="0.25">
      <c r="A136" s="4" t="s">
        <v>110</v>
      </c>
      <c r="B136" s="67" t="s">
        <v>119</v>
      </c>
      <c r="C136" s="67"/>
      <c r="D136" s="67"/>
      <c r="E136" s="27"/>
    </row>
    <row r="137" spans="1:6" ht="13" x14ac:dyDescent="0.25">
      <c r="A137" s="4" t="s">
        <v>110</v>
      </c>
      <c r="B137" s="71" t="s">
        <v>72</v>
      </c>
      <c r="C137" s="72"/>
      <c r="D137" s="73"/>
      <c r="E137" s="14"/>
    </row>
    <row r="138" spans="1:6" ht="13" x14ac:dyDescent="0.25">
      <c r="A138" s="4" t="s">
        <v>110</v>
      </c>
      <c r="B138" s="74"/>
      <c r="C138" s="75"/>
      <c r="D138" s="75"/>
      <c r="E138" s="39"/>
    </row>
    <row r="140" spans="1:6" ht="13" x14ac:dyDescent="0.25">
      <c r="A140" s="4" t="s">
        <v>120</v>
      </c>
      <c r="B140" s="68" t="s">
        <v>121</v>
      </c>
      <c r="C140" s="70"/>
      <c r="D140" s="70"/>
      <c r="E140" s="70"/>
      <c r="F140" s="70"/>
    </row>
    <row r="141" spans="1:6" ht="13" x14ac:dyDescent="0.25">
      <c r="A141" s="4" t="s">
        <v>120</v>
      </c>
      <c r="B141" s="85"/>
      <c r="C141" s="85"/>
      <c r="D141" s="57" t="s">
        <v>122</v>
      </c>
      <c r="E141" s="57" t="s">
        <v>123</v>
      </c>
    </row>
    <row r="142" spans="1:6" ht="13" x14ac:dyDescent="0.25">
      <c r="A142" s="4" t="s">
        <v>120</v>
      </c>
      <c r="B142" s="85" t="s">
        <v>124</v>
      </c>
      <c r="C142" s="85"/>
      <c r="D142" s="38"/>
      <c r="E142" s="38" t="s">
        <v>5</v>
      </c>
    </row>
    <row r="143" spans="1:6" ht="13" x14ac:dyDescent="0.25">
      <c r="A143" s="4" t="s">
        <v>120</v>
      </c>
      <c r="B143" s="85" t="s">
        <v>125</v>
      </c>
      <c r="C143" s="85"/>
      <c r="D143" s="38"/>
      <c r="E143" s="38"/>
    </row>
    <row r="144" spans="1:6" ht="13" x14ac:dyDescent="0.25">
      <c r="A144" s="4" t="s">
        <v>120</v>
      </c>
      <c r="B144" s="85" t="s">
        <v>126</v>
      </c>
      <c r="C144" s="85"/>
      <c r="D144" s="38" t="s">
        <v>5</v>
      </c>
      <c r="E144" s="38" t="s">
        <v>5</v>
      </c>
    </row>
    <row r="145" spans="1:5" ht="13" x14ac:dyDescent="0.25">
      <c r="A145" s="4" t="s">
        <v>120</v>
      </c>
      <c r="B145" s="85" t="s">
        <v>127</v>
      </c>
      <c r="C145" s="85"/>
      <c r="D145" s="38" t="s">
        <v>5</v>
      </c>
      <c r="E145" s="38"/>
    </row>
    <row r="146" spans="1:5" ht="13" x14ac:dyDescent="0.25">
      <c r="A146" s="4" t="s">
        <v>120</v>
      </c>
      <c r="B146" s="85" t="s">
        <v>128</v>
      </c>
      <c r="C146" s="85"/>
      <c r="D146" s="38"/>
      <c r="E146" s="38"/>
    </row>
    <row r="147" spans="1:5" ht="13" x14ac:dyDescent="0.25">
      <c r="A147" s="4" t="s">
        <v>120</v>
      </c>
      <c r="B147" s="85" t="s">
        <v>129</v>
      </c>
      <c r="C147" s="85"/>
      <c r="D147" s="38" t="s">
        <v>5</v>
      </c>
      <c r="E147" s="38"/>
    </row>
    <row r="148" spans="1:5" ht="13" x14ac:dyDescent="0.25">
      <c r="A148" s="4" t="s">
        <v>120</v>
      </c>
      <c r="B148" s="85" t="s">
        <v>130</v>
      </c>
      <c r="C148" s="85"/>
      <c r="D148" s="38"/>
      <c r="E148" s="38" t="s">
        <v>5</v>
      </c>
    </row>
    <row r="149" spans="1:5" ht="13" x14ac:dyDescent="0.25">
      <c r="A149" s="4" t="s">
        <v>120</v>
      </c>
      <c r="B149" s="85" t="s">
        <v>131</v>
      </c>
      <c r="C149" s="85"/>
      <c r="D149" s="38"/>
      <c r="E149" s="38" t="s">
        <v>5</v>
      </c>
    </row>
    <row r="150" spans="1:5" ht="13" x14ac:dyDescent="0.25">
      <c r="A150" s="4" t="s">
        <v>120</v>
      </c>
      <c r="B150" s="85" t="s">
        <v>132</v>
      </c>
      <c r="C150" s="85"/>
      <c r="D150" s="38"/>
      <c r="E150" s="38" t="s">
        <v>5</v>
      </c>
    </row>
    <row r="151" spans="1:5" ht="13" x14ac:dyDescent="0.25">
      <c r="A151" s="4" t="s">
        <v>120</v>
      </c>
      <c r="B151" s="85" t="s">
        <v>133</v>
      </c>
      <c r="C151" s="85"/>
      <c r="D151" s="38"/>
      <c r="E151" s="38"/>
    </row>
    <row r="152" spans="1:5" ht="13" x14ac:dyDescent="0.25">
      <c r="A152" s="4" t="s">
        <v>120</v>
      </c>
      <c r="B152" s="85" t="s">
        <v>134</v>
      </c>
      <c r="C152" s="85"/>
      <c r="D152" s="38"/>
      <c r="E152" s="38" t="s">
        <v>5</v>
      </c>
    </row>
  </sheetData>
  <mergeCells count="104">
    <mergeCell ref="B15:D15"/>
    <mergeCell ref="B16:D16"/>
    <mergeCell ref="B17:D17"/>
    <mergeCell ref="B18:F18"/>
    <mergeCell ref="B11:D11"/>
    <mergeCell ref="B12:F12"/>
    <mergeCell ref="B13:D13"/>
    <mergeCell ref="B14:D14"/>
    <mergeCell ref="B19:D19"/>
    <mergeCell ref="B20:D20"/>
    <mergeCell ref="B21:D21"/>
    <mergeCell ref="B54:C54"/>
    <mergeCell ref="B51:F51"/>
    <mergeCell ref="B22:D22"/>
    <mergeCell ref="B23:F23"/>
    <mergeCell ref="B24:D24"/>
    <mergeCell ref="B25:D25"/>
    <mergeCell ref="B81:D81"/>
    <mergeCell ref="B82:D82"/>
    <mergeCell ref="B26:D26"/>
    <mergeCell ref="B58:E58"/>
    <mergeCell ref="B62:F62"/>
    <mergeCell ref="B28:F28"/>
    <mergeCell ref="B44:F44"/>
    <mergeCell ref="B52:C52"/>
    <mergeCell ref="B53:C53"/>
    <mergeCell ref="B149:C149"/>
    <mergeCell ref="B142:C142"/>
    <mergeCell ref="B143:C143"/>
    <mergeCell ref="B144:C144"/>
    <mergeCell ref="B145:C145"/>
    <mergeCell ref="B141:C141"/>
    <mergeCell ref="B150:C150"/>
    <mergeCell ref="B151:C151"/>
    <mergeCell ref="B152:C152"/>
    <mergeCell ref="B5:D5"/>
    <mergeCell ref="B6:F6"/>
    <mergeCell ref="B8:D8"/>
    <mergeCell ref="B9:D9"/>
    <mergeCell ref="B146:C146"/>
    <mergeCell ref="B147:C147"/>
    <mergeCell ref="B148:C148"/>
    <mergeCell ref="B56:E56"/>
    <mergeCell ref="B60:F60"/>
    <mergeCell ref="B63:D63"/>
    <mergeCell ref="B64:D64"/>
    <mergeCell ref="B67:E67"/>
    <mergeCell ref="B71:E71"/>
    <mergeCell ref="B91:D91"/>
    <mergeCell ref="B65:D65"/>
    <mergeCell ref="B69:E69"/>
    <mergeCell ref="B75:F75"/>
    <mergeCell ref="B83:D83"/>
    <mergeCell ref="B76:D76"/>
    <mergeCell ref="B77:D77"/>
    <mergeCell ref="B78:D78"/>
    <mergeCell ref="B79:D79"/>
    <mergeCell ref="B80:D80"/>
    <mergeCell ref="B85:F85"/>
    <mergeCell ref="B86:D86"/>
    <mergeCell ref="B87:D87"/>
    <mergeCell ref="B88:D88"/>
    <mergeCell ref="B89:D89"/>
    <mergeCell ref="B90:D90"/>
    <mergeCell ref="B98:F98"/>
    <mergeCell ref="B100:C100"/>
    <mergeCell ref="C99:D99"/>
    <mergeCell ref="B104:C104"/>
    <mergeCell ref="B93:F93"/>
    <mergeCell ref="B94:D94"/>
    <mergeCell ref="B95:D95"/>
    <mergeCell ref="B96:D96"/>
    <mergeCell ref="B121:D121"/>
    <mergeCell ref="B126:D126"/>
    <mergeCell ref="B105:C105"/>
    <mergeCell ref="B106:C106"/>
    <mergeCell ref="B125:D125"/>
    <mergeCell ref="B110:C110"/>
    <mergeCell ref="B122:D122"/>
    <mergeCell ref="B123:D123"/>
    <mergeCell ref="B124:D124"/>
    <mergeCell ref="B111:D111"/>
    <mergeCell ref="B112:D112"/>
    <mergeCell ref="B113:D113"/>
    <mergeCell ref="B114:D114"/>
    <mergeCell ref="B117:D117"/>
    <mergeCell ref="B118:D118"/>
    <mergeCell ref="B119:D119"/>
    <mergeCell ref="B135:D135"/>
    <mergeCell ref="B136:D136"/>
    <mergeCell ref="B140:F140"/>
    <mergeCell ref="B137:D137"/>
    <mergeCell ref="B138:D138"/>
    <mergeCell ref="B129:C129"/>
    <mergeCell ref="A1:F1"/>
    <mergeCell ref="A2:F2"/>
    <mergeCell ref="A3:F3"/>
    <mergeCell ref="B134:D134"/>
    <mergeCell ref="B130:D130"/>
    <mergeCell ref="B131:D131"/>
    <mergeCell ref="B132:D132"/>
    <mergeCell ref="B133:D133"/>
    <mergeCell ref="B128:C128"/>
    <mergeCell ref="B116:D116"/>
  </mergeCells>
  <phoneticPr fontId="0" type="noConversion"/>
  <printOptions horizontalCentered="1"/>
  <pageMargins left="0.25" right="0.25" top="0.5" bottom="0.5" header="0.5" footer="0.25"/>
  <pageSetup orientation="portrait" r:id="rId1"/>
  <headerFooter alignWithMargins="0">
    <oddFooter>&amp;A&amp;RPage &amp;P</oddFooter>
  </headerFooter>
  <rowBreaks count="4" manualBreakCount="4">
    <brk id="26" max="16383" man="1"/>
    <brk id="42" max="16383" man="1"/>
    <brk id="71" max="16383" man="1"/>
    <brk id="10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CDS-H</vt:lpstr>
      <vt:lpstr>'CDS-H'!Print_Titles</vt:lpstr>
    </vt:vector>
  </TitlesOfParts>
  <Company>Virginia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Shrader</dc:creator>
  <cp:lastModifiedBy>Carina Negreanu</cp:lastModifiedBy>
  <cp:lastPrinted>2003-07-16T14:52:22Z</cp:lastPrinted>
  <dcterms:created xsi:type="dcterms:W3CDTF">2003-07-15T17:46:42Z</dcterms:created>
  <dcterms:modified xsi:type="dcterms:W3CDTF">2020-01-27T11:18:33Z</dcterms:modified>
</cp:coreProperties>
</file>