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34EE8C-C8A3-4C5D-A60A-FC2FD146850C}" xr6:coauthVersionLast="45" xr6:coauthVersionMax="45" xr10:uidLastSave="{00000000-0000-0000-0000-000000000000}"/>
  <bookViews>
    <workbookView xWindow="2660" yWindow="2660" windowWidth="28800" windowHeight="15460" activeTab="5"/>
  </bookViews>
  <sheets>
    <sheet name="Marking" sheetId="2" r:id="rId1"/>
    <sheet name="Bar Graphs" sheetId="1" r:id="rId2"/>
    <sheet name="Circle Graphs" sheetId="4" r:id="rId3"/>
    <sheet name="Data " sheetId="6" r:id="rId4"/>
    <sheet name="Plotted points" sheetId="3" r:id="rId5"/>
    <sheet name="Shapemaker" sheetId="7" r:id="rId6"/>
    <sheet name="Story Problems" sheetId="8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4" l="1"/>
  <c r="F2" i="2"/>
  <c r="G2" i="2"/>
  <c r="F30" i="2"/>
  <c r="H30" i="2"/>
  <c r="B34" i="3"/>
  <c r="B35" i="3"/>
  <c r="B36" i="3"/>
  <c r="B37" i="3"/>
  <c r="B38" i="3"/>
  <c r="B39" i="3"/>
  <c r="B27" i="8"/>
  <c r="C27" i="8"/>
  <c r="B28" i="8"/>
  <c r="C28" i="8"/>
  <c r="B29" i="8"/>
  <c r="C29" i="8"/>
  <c r="B30" i="8"/>
  <c r="C30" i="8"/>
  <c r="B31" i="8"/>
  <c r="C31" i="8" s="1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 s="1"/>
  <c r="B42" i="8"/>
  <c r="C42" i="8"/>
  <c r="B43" i="8"/>
  <c r="C43" i="8"/>
  <c r="B44" i="8"/>
  <c r="C44" i="8"/>
</calcChain>
</file>

<file path=xl/sharedStrings.xml><?xml version="1.0" encoding="utf-8"?>
<sst xmlns="http://schemas.openxmlformats.org/spreadsheetml/2006/main" count="269" uniqueCount="234">
  <si>
    <t>Fred</t>
  </si>
  <si>
    <t>Jane</t>
  </si>
  <si>
    <t>George</t>
  </si>
  <si>
    <t>Paul</t>
  </si>
  <si>
    <t>Wendy</t>
  </si>
  <si>
    <t>Maureen</t>
  </si>
  <si>
    <t>Student Name</t>
  </si>
  <si>
    <t>Quiz 3</t>
  </si>
  <si>
    <t>Quiz 4</t>
  </si>
  <si>
    <t>Quiz 1</t>
  </si>
  <si>
    <t>Quiz 2</t>
  </si>
  <si>
    <t>Albert, Mike</t>
  </si>
  <si>
    <t>Bolger, Cathy</t>
  </si>
  <si>
    <t>Frawley, Pat</t>
  </si>
  <si>
    <t>Zebecki, Shirley</t>
  </si>
  <si>
    <t>Rose, Ted</t>
  </si>
  <si>
    <t>Talbot, Simon</t>
  </si>
  <si>
    <t>Young, Teodor</t>
  </si>
  <si>
    <t>Test</t>
  </si>
  <si>
    <t>Total</t>
  </si>
  <si>
    <t>Sum</t>
  </si>
  <si>
    <t>Percent</t>
  </si>
  <si>
    <t>x</t>
  </si>
  <si>
    <t>y</t>
  </si>
  <si>
    <t>Activity</t>
  </si>
  <si>
    <t>Hours</t>
  </si>
  <si>
    <t>Sleep</t>
  </si>
  <si>
    <t>School</t>
  </si>
  <si>
    <t>TV</t>
  </si>
  <si>
    <t>Sports</t>
  </si>
  <si>
    <t>Eat</t>
  </si>
  <si>
    <t>Read</t>
  </si>
  <si>
    <t>Homework</t>
  </si>
  <si>
    <t>Average</t>
  </si>
  <si>
    <t>Name</t>
  </si>
  <si>
    <t>Number of Bars</t>
  </si>
  <si>
    <t>Mary</t>
  </si>
  <si>
    <t>Frank</t>
  </si>
  <si>
    <t>Peter</t>
  </si>
  <si>
    <t>Sam</t>
  </si>
  <si>
    <t>Judy</t>
  </si>
  <si>
    <t>Pierra</t>
  </si>
  <si>
    <t>Moira</t>
  </si>
  <si>
    <t>Height</t>
  </si>
  <si>
    <t>Armspan</t>
  </si>
  <si>
    <t>Wrist</t>
  </si>
  <si>
    <t xml:space="preserve"> </t>
  </si>
  <si>
    <t xml:space="preserve">Click on cell D2 </t>
  </si>
  <si>
    <t>Notice that the average changes</t>
  </si>
  <si>
    <t>The average in column F is connected to the marks by a formula.</t>
  </si>
  <si>
    <t>Click on cell F3</t>
  </si>
  <si>
    <t>Notice that when you typed the 9, the number was up at the top.</t>
  </si>
  <si>
    <t>When you hit enter the number appeared in the selected cell.</t>
  </si>
  <si>
    <t>Notice that this time, the typing did not appear in cell F3.</t>
  </si>
  <si>
    <t>When you type a formula, the RESULT appears in the cell.</t>
  </si>
  <si>
    <t>typing bar.</t>
  </si>
  <si>
    <t xml:space="preserve">Look at the formula in G2 by clicking on it and looking at the </t>
  </si>
  <si>
    <t>Type formulas to find all the other students' averages and percents.</t>
  </si>
  <si>
    <t>From the DATA menu choose Sort by Student Name.</t>
  </si>
  <si>
    <t>Make sure HEADER ROW is selected, otherwise the words</t>
  </si>
  <si>
    <t>in the header will get alphabetized!</t>
  </si>
  <si>
    <t>Type a formula in G3 that will find Pat's percent.</t>
  </si>
  <si>
    <t>You can copy the formula and make it do the same for the other</t>
  </si>
  <si>
    <t>Look at the formulas in this  table.</t>
  </si>
  <si>
    <t>Type 9 and ENTER.</t>
  </si>
  <si>
    <t>That's because you typed a formula. A formula in EXCEL begins with =</t>
  </si>
  <si>
    <t xml:space="preserve">=Average(B2,E2) tells EXCEL to take the average of the values </t>
  </si>
  <si>
    <t>in cells B2, C2, D2 and E2.</t>
  </si>
  <si>
    <t>Some of the students are out of order. Highlight the block of cells</t>
  </si>
  <si>
    <t>In F31, the formula adds all the quiz and test marks for Mike.</t>
  </si>
  <si>
    <t>selected. Click Next</t>
  </si>
  <si>
    <t>Check that the Series in Columns button is</t>
  </si>
  <si>
    <t>From the Chart type, select Column. Click Next.</t>
  </si>
  <si>
    <t>Notice that you can add a title and change the axes</t>
  </si>
  <si>
    <t xml:space="preserve">attributes and the gridlines, but for now just </t>
  </si>
  <si>
    <t>Duplicate the graph shown as follows:</t>
  </si>
  <si>
    <t xml:space="preserve">The Wizard will ask if you want the chart (graph) in a </t>
  </si>
  <si>
    <t>click Next.</t>
  </si>
  <si>
    <t>new sheet or as an object in this spreadsheet.</t>
  </si>
  <si>
    <t xml:space="preserve">Once the graph appears you can move and size </t>
  </si>
  <si>
    <t>it by dragging.</t>
  </si>
  <si>
    <t>Choose object in this spreadsheet (which is called .</t>
  </si>
  <si>
    <t>Bar Graphs). Click Finish.</t>
  </si>
  <si>
    <t>Scroll down to the next task</t>
  </si>
  <si>
    <t>Duplicate the chocolate bar graph as follows:</t>
  </si>
  <si>
    <t>Select all cells in the table, including the students'</t>
  </si>
  <si>
    <t>Use the Chart Wizard</t>
  </si>
  <si>
    <t>Select the Column type and click Next.</t>
  </si>
  <si>
    <t>labels.</t>
  </si>
  <si>
    <t>Choose the Titles tab and type in a chart title and axes</t>
  </si>
  <si>
    <t>category.</t>
  </si>
  <si>
    <t>Choose the Gridline tab and select major gridlines for each</t>
  </si>
  <si>
    <t>Choose the Legend tab and DESELECT the Show Legend</t>
  </si>
  <si>
    <t>button.</t>
  </si>
  <si>
    <t>Click Next.</t>
  </si>
  <si>
    <t>Click Finish</t>
  </si>
  <si>
    <t>To change things like gridlines and titles you can choose</t>
  </si>
  <si>
    <t xml:space="preserve">Chart Options from the Chart Menu. </t>
  </si>
  <si>
    <t>Make sure Series in Columns is selected. Click Next.</t>
  </si>
  <si>
    <t>Select Object in Bar Graphs</t>
  </si>
  <si>
    <t>click somewhere on the chart itself.</t>
  </si>
  <si>
    <t xml:space="preserve">Warning: The Chart Menu only shows up when you </t>
  </si>
  <si>
    <t>To change any colour, click on the coloured area</t>
  </si>
  <si>
    <t>and from the Format menu, choose Selected chart area,</t>
  </si>
  <si>
    <t>Selected plot area, or Selected Data Series as applicable</t>
  </si>
  <si>
    <t>To Modify the Chart</t>
  </si>
  <si>
    <t xml:space="preserve">To change the size of the chart or the plot, click the area </t>
  </si>
  <si>
    <t>and drag the little black squares on the edge.</t>
  </si>
  <si>
    <t xml:space="preserve">To change the scale, double-click on an axis and use the </t>
  </si>
  <si>
    <t>menu that appears.</t>
  </si>
  <si>
    <t>Task 1</t>
  </si>
  <si>
    <t>Task 2</t>
  </si>
  <si>
    <t>Task 3</t>
  </si>
  <si>
    <t>Make a bar graph to show the amount of time you spend</t>
  </si>
  <si>
    <t>Click on one of the x or y values and change it by typing</t>
  </si>
  <si>
    <t>Notice what happens to the graph.</t>
  </si>
  <si>
    <t>Make the plot show the following points:</t>
  </si>
  <si>
    <t>another number between 0 and 6.</t>
  </si>
  <si>
    <t>(1,0)     (2,5),     (3,2)     (0,3)      (4,1)     (6,3)</t>
  </si>
  <si>
    <t>Click on each cell in the y column and look at the formula.</t>
  </si>
  <si>
    <t>Examine the graph.</t>
  </si>
  <si>
    <t>What is the equation of the line in the graph?</t>
  </si>
  <si>
    <t>one of the following methods:</t>
  </si>
  <si>
    <t>1. Change each y value by typing over it.</t>
  </si>
  <si>
    <t>Make a table of values and a graph of y=x+2</t>
  </si>
  <si>
    <t xml:space="preserve">Change some of the times in the Hours </t>
  </si>
  <si>
    <t xml:space="preserve">column. </t>
  </si>
  <si>
    <t>Note that if the graph is to represent a day</t>
  </si>
  <si>
    <t>the total must be 24.</t>
  </si>
  <si>
    <t>Make your own circle graph.</t>
  </si>
  <si>
    <t>Some ideas:</t>
  </si>
  <si>
    <t>You have 40 leisure hours per week - graph how</t>
  </si>
  <si>
    <t>you spend those hours.</t>
  </si>
  <si>
    <t>You have $200 to spend on groceries - graph the</t>
  </si>
  <si>
    <t>amount spent on each type (e.g., vegetables).</t>
  </si>
  <si>
    <t xml:space="preserve">You have 100 CD's - graph the number in each </t>
  </si>
  <si>
    <t>category (e.g., classical).</t>
  </si>
  <si>
    <t xml:space="preserve">The chart shows the data in the table. </t>
  </si>
  <si>
    <t>Notice that the height, armspan and wrist measurements</t>
  </si>
  <si>
    <t>are represented by different bars.</t>
  </si>
  <si>
    <t>Type in measurements for the other children and observe</t>
  </si>
  <si>
    <t>the graph.</t>
  </si>
  <si>
    <t>The table shows some measurements for a group of students.</t>
  </si>
  <si>
    <t>Make your own data recorder as follows:</t>
  </si>
  <si>
    <t xml:space="preserve">In the first row, type the items you are tracking - </t>
  </si>
  <si>
    <t xml:space="preserve">for example, you could type items students are </t>
  </si>
  <si>
    <t>Drag and select the whole table area.</t>
  </si>
  <si>
    <t>From the chart wizard select Column type and follow</t>
  </si>
  <si>
    <t>the prompts.</t>
  </si>
  <si>
    <t>Type in the numbers (e.g., Greg sold 4 rolls of plastic</t>
  </si>
  <si>
    <t>selling for a fundraiser - plastic wrap, garbage bags etc.</t>
  </si>
  <si>
    <t>wrap and 10 packages of garbage bags.</t>
  </si>
  <si>
    <t>In the first column, type your list of names.</t>
  </si>
  <si>
    <t>Watch the effect on the shape.</t>
  </si>
  <si>
    <t>Make a trapezoid with a base of 4 units.</t>
  </si>
  <si>
    <t>Make a triangle with a base of 3 units and a height of 2.</t>
  </si>
  <si>
    <t>NOTE: the last point is repeated so the shape closes.</t>
  </si>
  <si>
    <t>Make a right triangle with a base of 4 and a height of 3.</t>
  </si>
  <si>
    <t>Extend the Shapemaker so that you can make pentagons</t>
  </si>
  <si>
    <t>In the last row, type (0, 0.5) instead of (0,0)</t>
  </si>
  <si>
    <t>In cell A7 type 0 and in cell B7 type 0.</t>
  </si>
  <si>
    <t>selected when the graph was created.</t>
  </si>
  <si>
    <t xml:space="preserve">Notice that this point won't plot because it wasn't </t>
  </si>
  <si>
    <t>To include the last point:</t>
  </si>
  <si>
    <t>Click on the plot. Notice that a blue outline appears around</t>
  </si>
  <si>
    <t>the table of values.</t>
  </si>
  <si>
    <t xml:space="preserve">Drag the blue outline by the little blue square down to </t>
  </si>
  <si>
    <t xml:space="preserve">include the last point. </t>
  </si>
  <si>
    <t>select the chart and pull the little blue square back up.</t>
  </si>
  <si>
    <t>you need to delete the values in the last row, then</t>
  </si>
  <si>
    <t xml:space="preserve">NOTE: If you want to go back to quadrilaterals </t>
  </si>
  <si>
    <t xml:space="preserve">Click on a cell in the table of values and type a new </t>
  </si>
  <si>
    <t>number between 0 and 4.</t>
  </si>
  <si>
    <t>By changing values:</t>
  </si>
  <si>
    <t>and select the version that has a line joining the points.</t>
  </si>
  <si>
    <t>Note: Choose XY scatter plot as the type in the Chart Wizard</t>
  </si>
  <si>
    <t>Change the table of values to show the relation y = x+1 by</t>
  </si>
  <si>
    <t>From the menu bar at the top select the Chart Wizard</t>
  </si>
  <si>
    <t>(It looks like a graph with a bunch of bars.)</t>
  </si>
  <si>
    <r>
      <t xml:space="preserve">Type   </t>
    </r>
    <r>
      <rPr>
        <b/>
        <sz val="10"/>
        <rFont val="Arial"/>
        <family val="2"/>
      </rPr>
      <t>=Average(B2,E2)</t>
    </r>
    <r>
      <rPr>
        <sz val="10"/>
        <rFont val="Arial"/>
      </rPr>
      <t xml:space="preserve">   Don't forget the = sign. Hit ENTER.</t>
    </r>
  </si>
  <si>
    <t>cells to F37. Release to see the values.This is called FILLING DOWN.</t>
  </si>
  <si>
    <t>Use this procedure to find the total and percent for the other students.</t>
  </si>
  <si>
    <t>When the mouse passes over the square you will see a black cross.</t>
  </si>
  <si>
    <t xml:space="preserve">Grab the black cross and drag down until you have highlighted the </t>
  </si>
  <si>
    <t>hold the left mouse button down and drag to G8.</t>
  </si>
  <si>
    <t>from A1 to G8 as follows: Click on cell A1. With the white cross visible,</t>
  </si>
  <si>
    <t>Highlight all cells from A1 to A18 by clicking on A1. With</t>
  </si>
  <si>
    <t xml:space="preserve">the white cross visible, hold the mouse button down and drag. </t>
  </si>
  <si>
    <t>names and the headings.</t>
  </si>
  <si>
    <t>You can also access many items using a right mouse click.</t>
  </si>
  <si>
    <t>at school each day of the week.</t>
  </si>
  <si>
    <t>Animals in the Farmyard</t>
  </si>
  <si>
    <t>Try this yourself before looking at the solution below.</t>
  </si>
  <si>
    <t>Horses</t>
  </si>
  <si>
    <t>Cows</t>
  </si>
  <si>
    <t>We don't know how many horses there might be, so enter the</t>
  </si>
  <si>
    <t>numbers 1,2,3,4,5,... and so on in column A under the heading "Horses."</t>
  </si>
  <si>
    <t>Since there are 21 more cows than horses, we need to add 21</t>
  </si>
  <si>
    <t xml:space="preserve">to each of the numbers in column A. </t>
  </si>
  <si>
    <t>A formula to accomplish this is: =A3+21</t>
  </si>
  <si>
    <t>Now the formula can be "filled down" to count the cows.</t>
  </si>
  <si>
    <t>One formula to do this is =A3+B3.</t>
  </si>
  <si>
    <t>Another possibility is =A3+(A3+21).</t>
  </si>
  <si>
    <t>is 16 and the number in the cows column is 37. This is the solution.</t>
  </si>
  <si>
    <t>There are 53 horses and cows in Farmer Wren's farmyard. There are 21</t>
  </si>
  <si>
    <t xml:space="preserve"> more cows than horses. How many of each type of animal are there?</t>
  </si>
  <si>
    <t>The problem talks about horses, cows and total animals.</t>
  </si>
  <si>
    <t>Task 1: Problem</t>
  </si>
  <si>
    <t>Task 2: Make up your own problem and model it using the spreadsheet</t>
  </si>
  <si>
    <t>Notice that when the total is 53, the number in the horses column</t>
  </si>
  <si>
    <t>Solution</t>
  </si>
  <si>
    <t>Type these headings into cells A2, B2 and C2.</t>
  </si>
  <si>
    <t>Enter a formula to find the total animals.</t>
  </si>
  <si>
    <t>Enter a formula to count the cows.</t>
  </si>
  <si>
    <t xml:space="preserve"> "Fill down" to complete the table.</t>
  </si>
  <si>
    <t>Examine the table to calculate the number of horses and cows in the farmyard.</t>
  </si>
  <si>
    <t>Now try some tasks of your own.</t>
  </si>
  <si>
    <t xml:space="preserve">Make up a question that would lead to data suitable for </t>
  </si>
  <si>
    <t>representation with a bar graph.</t>
  </si>
  <si>
    <t xml:space="preserve">Assume the children sell cookies as well. Make a new </t>
  </si>
  <si>
    <t>table and construct a double bar graph.</t>
  </si>
  <si>
    <t>2. Change the formula and FILL DOWN to complete.</t>
  </si>
  <si>
    <t>Make a rectangle with an area of 6 square units.</t>
  </si>
  <si>
    <t>Make a square that has a perimeter of 8 units.</t>
  </si>
  <si>
    <t>Make a rectangle with a perimeter of 10 units.</t>
  </si>
  <si>
    <t>Make a parallelogram that is not a rectangle with an area</t>
  </si>
  <si>
    <t>of 6 square units.</t>
  </si>
  <si>
    <t>Use the ideas from tasks 1 and 2 to design a</t>
  </si>
  <si>
    <t xml:space="preserve">shapemaker that will make triangles. </t>
  </si>
  <si>
    <t>Make a triangle with an area of 6 square units.</t>
  </si>
  <si>
    <t>Using your shapemaker to:</t>
  </si>
  <si>
    <t>Notice the small square at the bottom right corner of the cell.</t>
  </si>
  <si>
    <t>Click on cell F31</t>
  </si>
  <si>
    <t xml:space="preserve">students using the following procedure: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</si>
</sst>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2" fillId="7" borderId="1" xfId="0" applyFont="1" applyFill="1" applyBorder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8" borderId="0" xfId="0" applyFill="1"/>
    <xf numFmtId="0" fontId="0" fillId="2" borderId="0" xfId="0" quotePrefix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2" fillId="3" borderId="0" xfId="0" applyFont="1" applyFill="1"/>
    <xf numFmtId="0" fontId="0" fillId="3" borderId="0" xfId="0" applyFill="1"/>
    <xf numFmtId="0" fontId="2" fillId="7" borderId="2" xfId="0" applyFont="1" applyFill="1" applyBorder="1"/>
    <xf numFmtId="0" fontId="0" fillId="7" borderId="2" xfId="0" applyFill="1" applyBorder="1"/>
    <xf numFmtId="0" fontId="2" fillId="0" borderId="0" xfId="0" applyFont="1" applyFill="1" applyBorder="1"/>
    <xf numFmtId="0" fontId="0" fillId="0" borderId="0" xfId="0" applyFill="1" applyBorder="1"/>
    <xf numFmtId="0" fontId="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Alignment="1">
      <alignment horizontal="center"/>
    </xf>
    <xf numFmtId="0" fontId="0" fillId="10" borderId="0" xfId="0" applyFill="1"/>
    <xf numFmtId="0" fontId="1" fillId="0" borderId="0" xfId="0" applyFont="1" applyFill="1"/>
    <xf numFmtId="0" fontId="0" fillId="0" borderId="0" xfId="0" applyAlignment="1">
      <alignment horizontal="left"/>
    </xf>
    <xf numFmtId="0" fontId="2" fillId="11" borderId="0" xfId="0" applyFont="1" applyFill="1"/>
    <xf numFmtId="0" fontId="4" fillId="0" borderId="0" xfId="0" applyFont="1"/>
    <xf numFmtId="0" fontId="2" fillId="9" borderId="0" xfId="0" applyFont="1" applyFill="1"/>
    <xf numFmtId="0" fontId="0" fillId="12" borderId="0" xfId="0" applyFill="1"/>
    <xf numFmtId="0" fontId="3" fillId="12" borderId="0" xfId="0" applyFont="1" applyFill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41047391838239E-2"/>
          <c:y val="7.2267972591225041E-2"/>
          <c:w val="0.76906714208673332"/>
          <c:h val="0.800807263848709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'Bar Graphs'!$A$1:$A$18</c:f>
              <c:numCache>
                <c:formatCode>General</c:formatCode>
                <c:ptCount val="18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17</c:v>
                </c:pt>
                <c:pt idx="9">
                  <c:v>22</c:v>
                </c:pt>
                <c:pt idx="10">
                  <c:v>14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C-4148-B898-01E4E1779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785215"/>
        <c:axId val="1"/>
      </c:barChart>
      <c:catAx>
        <c:axId val="699785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52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66485764692258"/>
          <c:y val="0.44337377778940767"/>
          <c:w val="0.12285417605219383"/>
          <c:h val="5.859565345234462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Chocolate Bar Sales</a:t>
            </a:r>
          </a:p>
        </c:rich>
      </c:tx>
      <c:layout>
        <c:manualLayout>
          <c:xMode val="edge"/>
          <c:yMode val="edge"/>
          <c:x val="0.35792064857146433"/>
          <c:y val="3.4091967229346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98793640450657"/>
          <c:y val="0.17992982704377161"/>
          <c:w val="0.8512345012841942"/>
          <c:h val="0.640171384639945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'Bar Graphs'!$A$41:$A$46</c:f>
              <c:strCache>
                <c:ptCount val="6"/>
                <c:pt idx="0">
                  <c:v>Fred</c:v>
                </c:pt>
                <c:pt idx="1">
                  <c:v>Jane</c:v>
                </c:pt>
                <c:pt idx="2">
                  <c:v>Maureen</c:v>
                </c:pt>
                <c:pt idx="3">
                  <c:v>George</c:v>
                </c:pt>
                <c:pt idx="4">
                  <c:v>Wendy</c:v>
                </c:pt>
                <c:pt idx="5">
                  <c:v>Paul</c:v>
                </c:pt>
              </c:strCache>
            </c:strRef>
          </c:cat>
          <c:val>
            <c:numRef>
              <c:f>'Bar Graphs'!$B$41:$B$46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33</c:v>
                </c:pt>
                <c:pt idx="3">
                  <c:v>12</c:v>
                </c:pt>
                <c:pt idx="4">
                  <c:v>18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0-4134-AAAC-B9232A47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786015"/>
        <c:axId val="1"/>
      </c:barChart>
      <c:catAx>
        <c:axId val="69978601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 Name</a:t>
                </a:r>
              </a:p>
            </c:rich>
          </c:tx>
          <c:layout>
            <c:manualLayout>
              <c:xMode val="edge"/>
              <c:yMode val="edge"/>
              <c:x val="0.45980068337083246"/>
              <c:y val="0.90154313339826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Bars</a:t>
                </a:r>
              </a:p>
            </c:rich>
          </c:tx>
          <c:layout>
            <c:manualLayout>
              <c:xMode val="edge"/>
              <c:yMode val="edge"/>
              <c:x val="2.9491589020869721E-2"/>
              <c:y val="0.365541648625767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6015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How My Day is Spent</a:t>
            </a:r>
          </a:p>
        </c:rich>
      </c:tx>
      <c:layout>
        <c:manualLayout>
          <c:xMode val="edge"/>
          <c:yMode val="edge"/>
          <c:x val="0.33108289441292399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350016139240968"/>
          <c:y val="0.38589490538776283"/>
          <c:w val="0.21303284599520109"/>
          <c:h val="0.36942378137730958"/>
        </c:manualLayout>
      </c:layout>
      <c:pieChart>
        <c:varyColors val="1"/>
        <c:ser>
          <c:idx val="0"/>
          <c:order val="0"/>
          <c:tx>
            <c:strRef>
              <c:f>'Circle Graphs'!$B$2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90-4C6F-89B2-0DDFCD0583F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90-4C6F-89B2-0DDFCD0583F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990-4C6F-89B2-0DDFCD0583F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90-4C6F-89B2-0DDFCD0583F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990-4C6F-89B2-0DDFCD0583F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90-4C6F-89B2-0DDFCD0583F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990-4C6F-89B2-0DDFCD0583F8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0246231606286171"/>
                  <c:y val="0.4635444900084712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90-4C6F-89B2-0DDFCD0583F8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6677260523789282"/>
                  <c:y val="0.7600247221966305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90-4C6F-89B2-0DDFCD0583F8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0665874646442959"/>
                  <c:y val="0.637667800976120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90-4C6F-89B2-0DDFCD0583F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6595183321693894"/>
                  <c:y val="0.2988332499039383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90-4C6F-89B2-0DDFCD0583F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36093463079441712"/>
                  <c:y val="0.1929474526938814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90-4C6F-89B2-0DDFCD0583F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5727432548014502"/>
                  <c:y val="0.1835353818307652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90-4C6F-89B2-0DDFCD0583F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'Circle Graphs'!$A$3:$A$9</c:f>
              <c:strCache>
                <c:ptCount val="7"/>
                <c:pt idx="0">
                  <c:v>Sleep</c:v>
                </c:pt>
                <c:pt idx="1">
                  <c:v>School</c:v>
                </c:pt>
                <c:pt idx="2">
                  <c:v>TV</c:v>
                </c:pt>
                <c:pt idx="3">
                  <c:v>Sports</c:v>
                </c:pt>
                <c:pt idx="4">
                  <c:v>Eat</c:v>
                </c:pt>
                <c:pt idx="5">
                  <c:v>Read</c:v>
                </c:pt>
                <c:pt idx="6">
                  <c:v>Homework</c:v>
                </c:pt>
              </c:strCache>
            </c:strRef>
          </c:cat>
          <c:val>
            <c:numRef>
              <c:f>'Circle Graphs'!$B$3:$B$9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1</c:v>
                </c:pt>
                <c:pt idx="3">
                  <c:v>1.5</c:v>
                </c:pt>
                <c:pt idx="4">
                  <c:v>2.5</c:v>
                </c:pt>
                <c:pt idx="5">
                  <c:v>0.5</c:v>
                </c:pt>
                <c:pt idx="6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90-4C6F-89B2-0DDFCD0583F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Measurements</a:t>
            </a:r>
          </a:p>
        </c:rich>
      </c:tx>
      <c:layout>
        <c:manualLayout>
          <c:xMode val="edge"/>
          <c:yMode val="edge"/>
          <c:x val="0.31522775631824829"/>
          <c:y val="3.7210612201328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883160066435965E-2"/>
          <c:y val="0.22558933647055618"/>
          <c:w val="0.72964355665042813"/>
          <c:h val="0.6232777543722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'!$B$1</c:f>
              <c:strCache>
                <c:ptCount val="1"/>
                <c:pt idx="0">
                  <c:v>Height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'!$A$2:$A$8</c:f>
              <c:strCache>
                <c:ptCount val="7"/>
                <c:pt idx="0">
                  <c:v>Mary</c:v>
                </c:pt>
                <c:pt idx="1">
                  <c:v>Frank</c:v>
                </c:pt>
                <c:pt idx="2">
                  <c:v>Peter</c:v>
                </c:pt>
                <c:pt idx="3">
                  <c:v>Sam</c:v>
                </c:pt>
                <c:pt idx="4">
                  <c:v>Judy</c:v>
                </c:pt>
                <c:pt idx="5">
                  <c:v>Pierra</c:v>
                </c:pt>
                <c:pt idx="6">
                  <c:v>Moira</c:v>
                </c:pt>
              </c:strCache>
            </c:strRef>
          </c:cat>
          <c:val>
            <c:numRef>
              <c:f>'Data '!$B$2:$B$8</c:f>
              <c:numCache>
                <c:formatCode>General</c:formatCode>
                <c:ptCount val="7"/>
                <c:pt idx="0">
                  <c:v>55</c:v>
                </c:pt>
                <c:pt idx="1">
                  <c:v>62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D-44AE-BCB6-A3BA80C2CE41}"/>
            </c:ext>
          </c:extLst>
        </c:ser>
        <c:ser>
          <c:idx val="1"/>
          <c:order val="1"/>
          <c:tx>
            <c:strRef>
              <c:f>'Data '!$C$1</c:f>
              <c:strCache>
                <c:ptCount val="1"/>
                <c:pt idx="0">
                  <c:v>Armspan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'!$A$2:$A$8</c:f>
              <c:strCache>
                <c:ptCount val="7"/>
                <c:pt idx="0">
                  <c:v>Mary</c:v>
                </c:pt>
                <c:pt idx="1">
                  <c:v>Frank</c:v>
                </c:pt>
                <c:pt idx="2">
                  <c:v>Peter</c:v>
                </c:pt>
                <c:pt idx="3">
                  <c:v>Sam</c:v>
                </c:pt>
                <c:pt idx="4">
                  <c:v>Judy</c:v>
                </c:pt>
                <c:pt idx="5">
                  <c:v>Pierra</c:v>
                </c:pt>
                <c:pt idx="6">
                  <c:v>Moira</c:v>
                </c:pt>
              </c:strCache>
            </c:strRef>
          </c:cat>
          <c:val>
            <c:numRef>
              <c:f>'Data '!$C$2:$C$8</c:f>
              <c:numCache>
                <c:formatCode>General</c:formatCode>
                <c:ptCount val="7"/>
                <c:pt idx="0">
                  <c:v>45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D-44AE-BCB6-A3BA80C2CE41}"/>
            </c:ext>
          </c:extLst>
        </c:ser>
        <c:ser>
          <c:idx val="2"/>
          <c:order val="2"/>
          <c:tx>
            <c:strRef>
              <c:f>'Data '!$D$1</c:f>
              <c:strCache>
                <c:ptCount val="1"/>
                <c:pt idx="0">
                  <c:v>Wrist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'!$A$2:$A$8</c:f>
              <c:strCache>
                <c:ptCount val="7"/>
                <c:pt idx="0">
                  <c:v>Mary</c:v>
                </c:pt>
                <c:pt idx="1">
                  <c:v>Frank</c:v>
                </c:pt>
                <c:pt idx="2">
                  <c:v>Peter</c:v>
                </c:pt>
                <c:pt idx="3">
                  <c:v>Sam</c:v>
                </c:pt>
                <c:pt idx="4">
                  <c:v>Judy</c:v>
                </c:pt>
                <c:pt idx="5">
                  <c:v>Pierra</c:v>
                </c:pt>
                <c:pt idx="6">
                  <c:v>Moira</c:v>
                </c:pt>
              </c:strCache>
            </c:strRef>
          </c:cat>
          <c:val>
            <c:numRef>
              <c:f>'Data '!$D$2:$D$8</c:f>
              <c:numCache>
                <c:formatCode>General</c:formatCode>
                <c:ptCount val="7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D-44AE-BCB6-A3BA80C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784015"/>
        <c:axId val="1"/>
      </c:barChart>
      <c:catAx>
        <c:axId val="699784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40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26656198019156"/>
          <c:y val="0.43489903010303099"/>
          <c:w val="0.1508201765143343"/>
          <c:h val="0.20465836710730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 Points</a:t>
            </a:r>
          </a:p>
        </c:rich>
      </c:tx>
      <c:layout>
        <c:manualLayout>
          <c:xMode val="edge"/>
          <c:yMode val="edge"/>
          <c:x val="0.44001464378504579"/>
          <c:y val="3.42868762351681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00532501274392"/>
          <c:y val="0.15810059597327547"/>
          <c:w val="0.78318395927290441"/>
          <c:h val="0.678118218873326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'Plotted points'!$B$1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'Plotted points'!$A$2:$A$7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'Plotted points'!$B$2:$B$7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7-429F-9A10-4FEF15866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65311"/>
        <c:axId val="1"/>
      </c:scatterChart>
      <c:valAx>
        <c:axId val="58266531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</a:t>
                </a:r>
              </a:p>
            </c:rich>
          </c:tx>
          <c:layout>
            <c:manualLayout>
              <c:xMode val="edge"/>
              <c:yMode val="edge"/>
              <c:x val="0.53685997208223291"/>
              <c:y val="0.904792567316937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</a:t>
                </a:r>
              </a:p>
            </c:rich>
          </c:tx>
          <c:layout>
            <c:manualLayout>
              <c:xMode val="edge"/>
              <c:yMode val="edge"/>
              <c:x val="4.6317330924741662E-2"/>
              <c:y val="0.483825920207373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665311"/>
        <c:crosses val="autoZero"/>
        <c:crossBetween val="midCat"/>
        <c:majorUnit val="1"/>
        <c:minorUnit val="1"/>
      </c:valAx>
      <c:spPr>
        <a:solidFill>
          <a:srgbClr val="CC99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Plotted points</a:t>
            </a:r>
          </a:p>
        </c:rich>
      </c:tx>
      <c:layout>
        <c:manualLayout>
          <c:xMode val="edge"/>
          <c:yMode val="edge"/>
          <c:x val="0.34575582180114545"/>
          <c:y val="3.03423093632155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27728134160895"/>
          <c:y val="0.10240529410085243"/>
          <c:w val="0.71012926477619875"/>
          <c:h val="0.820506615696953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'Plotted points'!$B$33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'Plotted points'!$A$34:$A$39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'Plotted points'!$B$34:$B$39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E-4E30-8598-3D482747B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63647"/>
        <c:axId val="1"/>
      </c:scatterChart>
      <c:valAx>
        <c:axId val="58266364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</a:t>
                </a:r>
              </a:p>
            </c:rich>
          </c:tx>
          <c:layout>
            <c:manualLayout>
              <c:xMode val="edge"/>
              <c:yMode val="edge"/>
              <c:x val="0.55320931488183267"/>
              <c:y val="0.968425373842629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</a:t>
                </a:r>
              </a:p>
            </c:rich>
          </c:tx>
          <c:layout>
            <c:manualLayout>
              <c:xMode val="edge"/>
              <c:yMode val="edge"/>
              <c:x val="7.7130144863332445E-2"/>
              <c:y val="0.505705156053592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663647"/>
        <c:crosses val="autoZero"/>
        <c:crossBetween val="midCat"/>
        <c:majorUnit val="1"/>
        <c:minorUnit val="1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Shapes</a:t>
            </a:r>
          </a:p>
        </c:rich>
      </c:tx>
      <c:layout>
        <c:manualLayout>
          <c:xMode val="edge"/>
          <c:yMode val="edge"/>
          <c:x val="0.43863979578615647"/>
          <c:y val="3.24242179627059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288920172250737E-2"/>
          <c:y val="0.16212108981352971"/>
          <c:w val="0.88055302288414994"/>
          <c:h val="0.735517786417171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Shapemaker!$B$1</c:f>
              <c:strCache>
                <c:ptCount val="1"/>
                <c:pt idx="0">
                  <c:v>y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Shapemaker!$A$2:$A$6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Shapemaker!$B$2:$B$6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D-4036-BC67-500D2B38F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63231"/>
        <c:axId val="1"/>
      </c:scatterChart>
      <c:valAx>
        <c:axId val="582663231"/>
        <c:scaling>
          <c:orientation val="minMax"/>
          <c:max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0.04"/>
      </c:valAx>
      <c:valAx>
        <c:axId val="1"/>
        <c:scaling>
          <c:orientation val="minMax"/>
          <c:max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663231"/>
        <c:crosses val="autoZero"/>
        <c:crossBetween val="midCat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0</xdr:row>
      <xdr:rowOff>19050</xdr:rowOff>
    </xdr:from>
    <xdr:to>
      <xdr:col>9</xdr:col>
      <xdr:colOff>596900</xdr:colOff>
      <xdr:row>19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10ED950-21F5-4299-B649-DFD015B37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39</xdr:row>
      <xdr:rowOff>12700</xdr:rowOff>
    </xdr:from>
    <xdr:to>
      <xdr:col>9</xdr:col>
      <xdr:colOff>508000</xdr:colOff>
      <xdr:row>58</xdr:row>
      <xdr:rowOff>133350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D195D485-0331-4FA7-875E-41B1986F5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0</xdr:rowOff>
    </xdr:from>
    <xdr:to>
      <xdr:col>9</xdr:col>
      <xdr:colOff>527050</xdr:colOff>
      <xdr:row>17</xdr:row>
      <xdr:rowOff>152400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3C0E9D9-A75D-41E1-BDFD-108CF5230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9</xdr:row>
      <xdr:rowOff>38100</xdr:rowOff>
    </xdr:from>
    <xdr:to>
      <xdr:col>7</xdr:col>
      <xdr:colOff>457200</xdr:colOff>
      <xdr:row>26</xdr:row>
      <xdr:rowOff>25400</xdr:rowOff>
    </xdr:to>
    <xdr:graphicFrame macro="">
      <xdr:nvGraphicFramePr>
        <xdr:cNvPr id="4099" name="Chart 3">
          <a:extLst>
            <a:ext uri="{FF2B5EF4-FFF2-40B4-BE49-F238E27FC236}">
              <a16:creationId xmlns:a16="http://schemas.microsoft.com/office/drawing/2014/main" id="{5538BFB5-33E8-4F39-B9E7-AD1DE7E8D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152400</xdr:rowOff>
    </xdr:from>
    <xdr:to>
      <xdr:col>5</xdr:col>
      <xdr:colOff>546100</xdr:colOff>
      <xdr:row>28</xdr:row>
      <xdr:rowOff>152400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5C88413B-9CB9-47A2-8D3B-BB1F9BCF0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431800</xdr:colOff>
      <xdr:row>31</xdr:row>
      <xdr:rowOff>0</xdr:rowOff>
    </xdr:from>
    <xdr:to>
      <xdr:col>6</xdr:col>
      <xdr:colOff>381000</xdr:colOff>
      <xdr:row>62</xdr:row>
      <xdr:rowOff>95250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14701705-63B1-4921-83ED-8A936A424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12700</xdr:rowOff>
    </xdr:from>
    <xdr:to>
      <xdr:col>8</xdr:col>
      <xdr:colOff>279400</xdr:colOff>
      <xdr:row>23</xdr:row>
      <xdr:rowOff>63500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19D81D25-1D60-4816-83B3-64D318A05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Normal="100" workbookViewId="0">
      <selection activeCell="I43" sqref="I43"/>
    </sheetView>
  </sheetViews>
  <sheetFormatPr defaultRowHeight="12.5" x14ac:dyDescent="0.25"/>
  <cols>
    <col min="1" max="1" width="13.81640625" bestFit="1" customWidth="1"/>
    <col min="2" max="2" width="8.453125" bestFit="1" customWidth="1"/>
    <col min="7" max="7" width="8.453125" bestFit="1" customWidth="1"/>
    <col min="8" max="8" width="8" bestFit="1" customWidth="1"/>
    <col min="9" max="9" width="59.54296875" style="18" customWidth="1"/>
    <col min="10" max="10" width="54.54296875" bestFit="1" customWidth="1"/>
  </cols>
  <sheetData>
    <row r="1" spans="1:9" s="1" customFormat="1" ht="13" x14ac:dyDescent="0.3">
      <c r="A1" s="1" t="s">
        <v>6</v>
      </c>
      <c r="B1" s="1" t="s">
        <v>9</v>
      </c>
      <c r="C1" s="1" t="s">
        <v>10</v>
      </c>
      <c r="D1" s="1" t="s">
        <v>7</v>
      </c>
      <c r="E1" s="1" t="s">
        <v>8</v>
      </c>
      <c r="F1" s="1" t="s">
        <v>33</v>
      </c>
      <c r="G1" s="1" t="s">
        <v>21</v>
      </c>
      <c r="H1" s="5"/>
      <c r="I1" s="46" t="s">
        <v>110</v>
      </c>
    </row>
    <row r="2" spans="1:9" ht="13" x14ac:dyDescent="0.3">
      <c r="A2" t="s">
        <v>11</v>
      </c>
      <c r="B2">
        <v>6</v>
      </c>
      <c r="C2">
        <v>7</v>
      </c>
      <c r="D2">
        <v>7.5</v>
      </c>
      <c r="E2">
        <v>6.5</v>
      </c>
      <c r="F2">
        <f>AVERAGE(B2:E2)</f>
        <v>6.75</v>
      </c>
      <c r="G2">
        <f>F2*10</f>
        <v>67.5</v>
      </c>
      <c r="H2" s="19"/>
      <c r="I2" s="6" t="s">
        <v>47</v>
      </c>
    </row>
    <row r="3" spans="1:9" ht="13" x14ac:dyDescent="0.3">
      <c r="A3" t="s">
        <v>13</v>
      </c>
      <c r="B3">
        <v>9</v>
      </c>
      <c r="C3">
        <v>9</v>
      </c>
      <c r="D3">
        <v>9</v>
      </c>
      <c r="E3">
        <v>8.5</v>
      </c>
      <c r="H3" s="19"/>
      <c r="I3" s="6" t="s">
        <v>64</v>
      </c>
    </row>
    <row r="4" spans="1:9" ht="13" x14ac:dyDescent="0.3">
      <c r="A4" t="s">
        <v>15</v>
      </c>
      <c r="B4">
        <v>7</v>
      </c>
      <c r="C4">
        <v>6</v>
      </c>
      <c r="D4">
        <v>5.5</v>
      </c>
      <c r="E4">
        <v>7</v>
      </c>
      <c r="H4" s="19"/>
      <c r="I4" s="6" t="s">
        <v>48</v>
      </c>
    </row>
    <row r="5" spans="1:9" ht="13" x14ac:dyDescent="0.3">
      <c r="A5" t="s">
        <v>17</v>
      </c>
      <c r="B5">
        <v>6</v>
      </c>
      <c r="C5">
        <v>6.5</v>
      </c>
      <c r="D5">
        <v>7.5</v>
      </c>
      <c r="E5">
        <v>6.5</v>
      </c>
      <c r="H5" s="19"/>
      <c r="I5" s="6" t="s">
        <v>49</v>
      </c>
    </row>
    <row r="6" spans="1:9" ht="13" x14ac:dyDescent="0.3">
      <c r="A6" t="s">
        <v>14</v>
      </c>
      <c r="B6">
        <v>10</v>
      </c>
      <c r="C6">
        <v>9</v>
      </c>
      <c r="D6">
        <v>10</v>
      </c>
      <c r="E6">
        <v>10</v>
      </c>
      <c r="H6" s="19"/>
      <c r="I6" s="6" t="s">
        <v>51</v>
      </c>
    </row>
    <row r="7" spans="1:9" ht="13" x14ac:dyDescent="0.3">
      <c r="A7" t="s">
        <v>12</v>
      </c>
      <c r="B7">
        <v>8.5</v>
      </c>
      <c r="C7">
        <v>9</v>
      </c>
      <c r="D7">
        <v>7.5</v>
      </c>
      <c r="E7">
        <v>10</v>
      </c>
      <c r="H7" s="19"/>
      <c r="I7" s="6" t="s">
        <v>52</v>
      </c>
    </row>
    <row r="8" spans="1:9" ht="13" x14ac:dyDescent="0.3">
      <c r="A8" t="s">
        <v>16</v>
      </c>
      <c r="B8">
        <v>8</v>
      </c>
      <c r="C8">
        <v>9</v>
      </c>
      <c r="D8">
        <v>7</v>
      </c>
      <c r="E8">
        <v>8</v>
      </c>
      <c r="H8" s="19"/>
    </row>
    <row r="9" spans="1:9" ht="13" x14ac:dyDescent="0.3">
      <c r="H9" s="19"/>
      <c r="I9" s="6" t="s">
        <v>50</v>
      </c>
    </row>
    <row r="10" spans="1:9" ht="13" x14ac:dyDescent="0.3">
      <c r="H10" s="19"/>
      <c r="I10" s="6" t="s">
        <v>179</v>
      </c>
    </row>
    <row r="11" spans="1:9" ht="13" x14ac:dyDescent="0.3">
      <c r="H11" s="19"/>
      <c r="I11" s="6" t="s">
        <v>53</v>
      </c>
    </row>
    <row r="12" spans="1:9" ht="13" x14ac:dyDescent="0.3">
      <c r="H12" s="19"/>
      <c r="I12" s="6" t="s">
        <v>65</v>
      </c>
    </row>
    <row r="13" spans="1:9" ht="13" x14ac:dyDescent="0.3">
      <c r="H13" s="19"/>
      <c r="I13" s="6" t="s">
        <v>54</v>
      </c>
    </row>
    <row r="14" spans="1:9" ht="13" x14ac:dyDescent="0.3">
      <c r="H14" s="19"/>
      <c r="I14" s="21" t="s">
        <v>66</v>
      </c>
    </row>
    <row r="15" spans="1:9" ht="13" x14ac:dyDescent="0.3">
      <c r="H15" s="19"/>
      <c r="I15" s="6" t="s">
        <v>67</v>
      </c>
    </row>
    <row r="16" spans="1:9" x14ac:dyDescent="0.25">
      <c r="H16" s="18"/>
    </row>
    <row r="17" spans="1:9" ht="13" x14ac:dyDescent="0.3">
      <c r="H17" s="19"/>
      <c r="I17" s="6" t="s">
        <v>56</v>
      </c>
    </row>
    <row r="18" spans="1:9" ht="13" x14ac:dyDescent="0.3">
      <c r="H18" s="19"/>
      <c r="I18" s="6" t="s">
        <v>55</v>
      </c>
    </row>
    <row r="19" spans="1:9" ht="13" x14ac:dyDescent="0.3">
      <c r="H19" s="19"/>
      <c r="I19" s="6" t="s">
        <v>61</v>
      </c>
    </row>
    <row r="20" spans="1:9" ht="13" x14ac:dyDescent="0.3">
      <c r="H20" s="19"/>
      <c r="I20" s="6" t="s">
        <v>57</v>
      </c>
    </row>
    <row r="21" spans="1:9" x14ac:dyDescent="0.25">
      <c r="H21" s="18"/>
    </row>
    <row r="22" spans="1:9" ht="13" x14ac:dyDescent="0.3">
      <c r="H22" s="19"/>
      <c r="I22" s="6" t="s">
        <v>68</v>
      </c>
    </row>
    <row r="23" spans="1:9" ht="13" x14ac:dyDescent="0.3">
      <c r="H23" s="19"/>
      <c r="I23" s="6" t="s">
        <v>185</v>
      </c>
    </row>
    <row r="24" spans="1:9" ht="13" x14ac:dyDescent="0.3">
      <c r="H24" s="19"/>
      <c r="I24" s="6" t="s">
        <v>184</v>
      </c>
    </row>
    <row r="25" spans="1:9" ht="13" x14ac:dyDescent="0.3">
      <c r="H25" s="19"/>
      <c r="I25" s="6" t="s">
        <v>58</v>
      </c>
    </row>
    <row r="26" spans="1:9" ht="13" x14ac:dyDescent="0.3">
      <c r="H26" s="19"/>
      <c r="I26" s="6" t="s">
        <v>59</v>
      </c>
    </row>
    <row r="27" spans="1:9" x14ac:dyDescent="0.25">
      <c r="H27" s="18"/>
      <c r="I27" s="6" t="s">
        <v>60</v>
      </c>
    </row>
    <row r="28" spans="1:9" s="20" customFormat="1" x14ac:dyDescent="0.25"/>
    <row r="29" spans="1:9" ht="13" x14ac:dyDescent="0.3">
      <c r="A29" s="1" t="s">
        <v>6</v>
      </c>
      <c r="B29" s="1" t="s">
        <v>9</v>
      </c>
      <c r="C29" s="1" t="s">
        <v>10</v>
      </c>
      <c r="D29" s="1" t="s">
        <v>7</v>
      </c>
      <c r="E29" s="1" t="s">
        <v>18</v>
      </c>
      <c r="F29" s="1" t="s">
        <v>20</v>
      </c>
      <c r="G29" s="2" t="s">
        <v>19</v>
      </c>
      <c r="H29" s="1" t="s">
        <v>21</v>
      </c>
      <c r="I29" s="46" t="s">
        <v>111</v>
      </c>
    </row>
    <row r="30" spans="1:9" x14ac:dyDescent="0.25">
      <c r="A30" t="s">
        <v>11</v>
      </c>
      <c r="B30">
        <v>6</v>
      </c>
      <c r="C30">
        <v>7</v>
      </c>
      <c r="D30">
        <v>7.5</v>
      </c>
      <c r="E30">
        <v>72</v>
      </c>
      <c r="F30">
        <f>SUM(B30:E30)</f>
        <v>92.5</v>
      </c>
      <c r="G30">
        <v>130</v>
      </c>
      <c r="H30" s="3">
        <f>F30/G30*100</f>
        <v>71.15384615384616</v>
      </c>
      <c r="I30" s="11" t="s">
        <v>63</v>
      </c>
    </row>
    <row r="31" spans="1:9" x14ac:dyDescent="0.25">
      <c r="A31" t="s">
        <v>12</v>
      </c>
      <c r="B31">
        <v>9</v>
      </c>
      <c r="C31">
        <v>9</v>
      </c>
      <c r="D31">
        <v>9</v>
      </c>
      <c r="E31">
        <v>83</v>
      </c>
      <c r="H31" s="3"/>
      <c r="I31" s="18" t="s">
        <v>232</v>
      </c>
    </row>
    <row r="32" spans="1:9" x14ac:dyDescent="0.25">
      <c r="A32" t="s">
        <v>13</v>
      </c>
      <c r="B32">
        <v>7</v>
      </c>
      <c r="C32">
        <v>6</v>
      </c>
      <c r="D32">
        <v>5.5</v>
      </c>
      <c r="E32">
        <v>68</v>
      </c>
      <c r="I32" s="11" t="s">
        <v>69</v>
      </c>
    </row>
    <row r="33" spans="1:9" x14ac:dyDescent="0.25">
      <c r="A33" t="s">
        <v>15</v>
      </c>
      <c r="B33">
        <v>6</v>
      </c>
      <c r="C33">
        <v>6.5</v>
      </c>
      <c r="D33">
        <v>7.5</v>
      </c>
      <c r="E33">
        <v>67</v>
      </c>
      <c r="I33" s="11" t="s">
        <v>62</v>
      </c>
    </row>
    <row r="34" spans="1:9" x14ac:dyDescent="0.25">
      <c r="A34" t="s">
        <v>16</v>
      </c>
      <c r="B34">
        <v>10</v>
      </c>
      <c r="C34">
        <v>9</v>
      </c>
      <c r="D34">
        <v>10</v>
      </c>
      <c r="E34">
        <v>100</v>
      </c>
      <c r="I34" s="11" t="s">
        <v>233</v>
      </c>
    </row>
    <row r="35" spans="1:9" x14ac:dyDescent="0.25">
      <c r="A35" t="s">
        <v>17</v>
      </c>
      <c r="B35">
        <v>8.5</v>
      </c>
      <c r="C35">
        <v>9</v>
      </c>
      <c r="D35">
        <v>7.5</v>
      </c>
      <c r="E35">
        <v>96</v>
      </c>
      <c r="I35" s="18" t="s">
        <v>231</v>
      </c>
    </row>
    <row r="36" spans="1:9" x14ac:dyDescent="0.25">
      <c r="A36" t="s">
        <v>14</v>
      </c>
      <c r="B36">
        <v>8</v>
      </c>
      <c r="C36">
        <v>9</v>
      </c>
      <c r="D36">
        <v>7</v>
      </c>
      <c r="E36">
        <v>88</v>
      </c>
      <c r="I36" s="18" t="s">
        <v>182</v>
      </c>
    </row>
    <row r="37" spans="1:9" x14ac:dyDescent="0.25">
      <c r="I37" s="18" t="s">
        <v>183</v>
      </c>
    </row>
    <row r="38" spans="1:9" ht="13" x14ac:dyDescent="0.3">
      <c r="B38" s="5"/>
      <c r="I38" s="18" t="s">
        <v>180</v>
      </c>
    </row>
    <row r="39" spans="1:9" ht="13" x14ac:dyDescent="0.3">
      <c r="B39" s="5"/>
      <c r="I39" s="11" t="s">
        <v>181</v>
      </c>
    </row>
    <row r="40" spans="1:9" ht="13" x14ac:dyDescent="0.3">
      <c r="B40" s="5"/>
    </row>
    <row r="41" spans="1:9" ht="13" x14ac:dyDescent="0.3">
      <c r="B41" s="5"/>
    </row>
    <row r="42" spans="1:9" ht="13" x14ac:dyDescent="0.3">
      <c r="B42" s="5"/>
    </row>
    <row r="43" spans="1:9" ht="13" x14ac:dyDescent="0.3">
      <c r="B43" s="5"/>
    </row>
    <row r="44" spans="1:9" ht="13" x14ac:dyDescent="0.3">
      <c r="B44" s="5"/>
    </row>
    <row r="45" spans="1:9" ht="13" x14ac:dyDescent="0.3">
      <c r="B45" s="5"/>
    </row>
    <row r="46" spans="1:9" ht="13" x14ac:dyDescent="0.3">
      <c r="B46" s="5"/>
    </row>
  </sheetData>
  <phoneticPr fontId="0" type="noConversion"/>
  <pageMargins left="0.75" right="0.75" top="1" bottom="1" header="0.5" footer="0.5"/>
  <pageSetup paperSize="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opLeftCell="A37" workbookViewId="0">
      <selection activeCell="L55" sqref="L55"/>
    </sheetView>
  </sheetViews>
  <sheetFormatPr defaultRowHeight="12.5" x14ac:dyDescent="0.25"/>
  <cols>
    <col min="10" max="10" width="7.7265625" customWidth="1"/>
    <col min="11" max="11" width="51.26953125" customWidth="1"/>
  </cols>
  <sheetData>
    <row r="1" spans="1:11" ht="13" x14ac:dyDescent="0.3">
      <c r="A1" s="5">
        <v>1</v>
      </c>
      <c r="K1" s="24" t="s">
        <v>110</v>
      </c>
    </row>
    <row r="2" spans="1:11" ht="13" x14ac:dyDescent="0.3">
      <c r="A2" s="5">
        <v>4</v>
      </c>
      <c r="K2" s="11" t="s">
        <v>75</v>
      </c>
    </row>
    <row r="3" spans="1:11" ht="13" x14ac:dyDescent="0.3">
      <c r="A3" s="5">
        <v>4</v>
      </c>
      <c r="K3" s="11"/>
    </row>
    <row r="4" spans="1:11" ht="13" x14ac:dyDescent="0.3">
      <c r="A4" s="5">
        <v>7</v>
      </c>
      <c r="K4" s="11" t="s">
        <v>186</v>
      </c>
    </row>
    <row r="5" spans="1:11" ht="13" x14ac:dyDescent="0.3">
      <c r="A5" s="5">
        <v>8</v>
      </c>
      <c r="K5" s="11" t="s">
        <v>187</v>
      </c>
    </row>
    <row r="6" spans="1:11" ht="13" x14ac:dyDescent="0.3">
      <c r="A6" s="5">
        <v>9</v>
      </c>
      <c r="K6" s="11"/>
    </row>
    <row r="7" spans="1:11" ht="13" x14ac:dyDescent="0.3">
      <c r="A7" s="5">
        <v>10</v>
      </c>
      <c r="K7" s="11" t="s">
        <v>177</v>
      </c>
    </row>
    <row r="8" spans="1:11" ht="13" x14ac:dyDescent="0.3">
      <c r="A8" s="5">
        <v>12</v>
      </c>
      <c r="K8" s="11" t="s">
        <v>178</v>
      </c>
    </row>
    <row r="9" spans="1:11" ht="13" x14ac:dyDescent="0.3">
      <c r="A9" s="5">
        <v>17</v>
      </c>
      <c r="K9" s="11" t="s">
        <v>72</v>
      </c>
    </row>
    <row r="10" spans="1:11" ht="13" x14ac:dyDescent="0.3">
      <c r="A10" s="5">
        <v>22</v>
      </c>
      <c r="K10" s="11" t="s">
        <v>71</v>
      </c>
    </row>
    <row r="11" spans="1:11" ht="13" x14ac:dyDescent="0.3">
      <c r="A11" s="5">
        <v>14</v>
      </c>
      <c r="K11" s="11" t="s">
        <v>70</v>
      </c>
    </row>
    <row r="12" spans="1:11" ht="13" x14ac:dyDescent="0.3">
      <c r="A12" s="5">
        <v>9</v>
      </c>
      <c r="K12" s="11"/>
    </row>
    <row r="13" spans="1:11" ht="13" x14ac:dyDescent="0.3">
      <c r="A13" s="5">
        <v>6</v>
      </c>
      <c r="K13" s="11" t="s">
        <v>73</v>
      </c>
    </row>
    <row r="14" spans="1:11" ht="13" x14ac:dyDescent="0.3">
      <c r="A14" s="5">
        <v>6</v>
      </c>
      <c r="K14" s="11" t="s">
        <v>74</v>
      </c>
    </row>
    <row r="15" spans="1:11" ht="13" x14ac:dyDescent="0.3">
      <c r="A15" s="5">
        <v>4</v>
      </c>
      <c r="K15" s="11" t="s">
        <v>77</v>
      </c>
    </row>
    <row r="16" spans="1:11" ht="13" x14ac:dyDescent="0.3">
      <c r="A16" s="5">
        <v>3</v>
      </c>
      <c r="K16" s="11"/>
    </row>
    <row r="17" spans="1:11" ht="13" x14ac:dyDescent="0.3">
      <c r="A17" s="5">
        <v>2</v>
      </c>
      <c r="K17" s="11" t="s">
        <v>76</v>
      </c>
    </row>
    <row r="18" spans="1:11" ht="13" x14ac:dyDescent="0.3">
      <c r="A18" s="5">
        <v>1</v>
      </c>
      <c r="K18" s="11" t="s">
        <v>78</v>
      </c>
    </row>
    <row r="19" spans="1:11" x14ac:dyDescent="0.25">
      <c r="K19" s="11" t="s">
        <v>81</v>
      </c>
    </row>
    <row r="20" spans="1:11" x14ac:dyDescent="0.25">
      <c r="K20" s="11" t="s">
        <v>82</v>
      </c>
    </row>
    <row r="21" spans="1:11" x14ac:dyDescent="0.25">
      <c r="K21" s="11" t="s">
        <v>79</v>
      </c>
    </row>
    <row r="22" spans="1:11" x14ac:dyDescent="0.25">
      <c r="K22" s="11" t="s">
        <v>80</v>
      </c>
    </row>
    <row r="24" spans="1:11" ht="13" x14ac:dyDescent="0.3">
      <c r="K24" s="1" t="s">
        <v>83</v>
      </c>
    </row>
    <row r="40" spans="1:11" ht="26" x14ac:dyDescent="0.3">
      <c r="A40" s="13" t="s">
        <v>6</v>
      </c>
      <c r="B40" s="13" t="s">
        <v>35</v>
      </c>
      <c r="K40" s="24" t="s">
        <v>111</v>
      </c>
    </row>
    <row r="41" spans="1:11" ht="13" x14ac:dyDescent="0.3">
      <c r="A41" s="12" t="s">
        <v>0</v>
      </c>
      <c r="B41" s="12">
        <v>10</v>
      </c>
      <c r="K41" s="11" t="s">
        <v>84</v>
      </c>
    </row>
    <row r="42" spans="1:11" ht="13" x14ac:dyDescent="0.3">
      <c r="A42" s="12" t="s">
        <v>1</v>
      </c>
      <c r="B42" s="12">
        <v>20</v>
      </c>
      <c r="K42" s="11" t="s">
        <v>85</v>
      </c>
    </row>
    <row r="43" spans="1:11" ht="13" x14ac:dyDescent="0.3">
      <c r="A43" s="12" t="s">
        <v>5</v>
      </c>
      <c r="B43" s="12">
        <v>33</v>
      </c>
      <c r="K43" s="11" t="s">
        <v>188</v>
      </c>
    </row>
    <row r="44" spans="1:11" ht="13" x14ac:dyDescent="0.3">
      <c r="A44" s="12" t="s">
        <v>2</v>
      </c>
      <c r="B44" s="12">
        <v>12</v>
      </c>
      <c r="K44" s="11" t="s">
        <v>86</v>
      </c>
    </row>
    <row r="45" spans="1:11" ht="13" x14ac:dyDescent="0.3">
      <c r="A45" s="12" t="s">
        <v>4</v>
      </c>
      <c r="B45" s="12">
        <v>18</v>
      </c>
      <c r="K45" s="11" t="s">
        <v>87</v>
      </c>
    </row>
    <row r="46" spans="1:11" ht="13" x14ac:dyDescent="0.3">
      <c r="A46" s="12" t="s">
        <v>3</v>
      </c>
      <c r="B46" s="12">
        <v>20</v>
      </c>
      <c r="K46" s="11" t="s">
        <v>98</v>
      </c>
    </row>
    <row r="47" spans="1:11" x14ac:dyDescent="0.25">
      <c r="K47" s="11"/>
    </row>
    <row r="48" spans="1:11" x14ac:dyDescent="0.25">
      <c r="K48" s="11" t="s">
        <v>89</v>
      </c>
    </row>
    <row r="49" spans="11:11" x14ac:dyDescent="0.25">
      <c r="K49" s="11" t="s">
        <v>88</v>
      </c>
    </row>
    <row r="50" spans="11:11" x14ac:dyDescent="0.25">
      <c r="K50" s="11" t="s">
        <v>91</v>
      </c>
    </row>
    <row r="51" spans="11:11" x14ac:dyDescent="0.25">
      <c r="K51" s="11" t="s">
        <v>90</v>
      </c>
    </row>
    <row r="52" spans="11:11" x14ac:dyDescent="0.25">
      <c r="K52" s="11" t="s">
        <v>92</v>
      </c>
    </row>
    <row r="53" spans="11:11" x14ac:dyDescent="0.25">
      <c r="K53" s="11" t="s">
        <v>93</v>
      </c>
    </row>
    <row r="54" spans="11:11" x14ac:dyDescent="0.25">
      <c r="K54" s="11" t="s">
        <v>94</v>
      </c>
    </row>
    <row r="55" spans="11:11" x14ac:dyDescent="0.25">
      <c r="K55" s="11" t="s">
        <v>99</v>
      </c>
    </row>
    <row r="56" spans="11:11" x14ac:dyDescent="0.25">
      <c r="K56" s="11" t="s">
        <v>95</v>
      </c>
    </row>
    <row r="57" spans="11:11" ht="13" x14ac:dyDescent="0.3">
      <c r="K57" s="25" t="s">
        <v>105</v>
      </c>
    </row>
    <row r="58" spans="11:11" x14ac:dyDescent="0.25">
      <c r="K58" s="11" t="s">
        <v>96</v>
      </c>
    </row>
    <row r="59" spans="11:11" x14ac:dyDescent="0.25">
      <c r="K59" s="11" t="s">
        <v>97</v>
      </c>
    </row>
    <row r="60" spans="11:11" ht="13" x14ac:dyDescent="0.3">
      <c r="K60" s="24" t="s">
        <v>101</v>
      </c>
    </row>
    <row r="61" spans="11:11" ht="13" x14ac:dyDescent="0.3">
      <c r="K61" s="24" t="s">
        <v>100</v>
      </c>
    </row>
    <row r="62" spans="11:11" x14ac:dyDescent="0.25">
      <c r="K62" s="11" t="s">
        <v>102</v>
      </c>
    </row>
    <row r="63" spans="11:11" x14ac:dyDescent="0.25">
      <c r="K63" s="11" t="s">
        <v>103</v>
      </c>
    </row>
    <row r="64" spans="11:11" x14ac:dyDescent="0.25">
      <c r="K64" s="11" t="s">
        <v>104</v>
      </c>
    </row>
    <row r="65" spans="11:11" x14ac:dyDescent="0.25">
      <c r="K65" s="11" t="s">
        <v>106</v>
      </c>
    </row>
    <row r="66" spans="11:11" x14ac:dyDescent="0.25">
      <c r="K66" s="11" t="s">
        <v>107</v>
      </c>
    </row>
    <row r="67" spans="11:11" x14ac:dyDescent="0.25">
      <c r="K67" s="11" t="s">
        <v>108</v>
      </c>
    </row>
    <row r="68" spans="11:11" x14ac:dyDescent="0.25">
      <c r="K68" s="11" t="s">
        <v>109</v>
      </c>
    </row>
    <row r="69" spans="11:11" x14ac:dyDescent="0.25">
      <c r="K69" s="11" t="s">
        <v>189</v>
      </c>
    </row>
    <row r="71" spans="11:11" ht="13" x14ac:dyDescent="0.3">
      <c r="K71" s="24" t="s">
        <v>112</v>
      </c>
    </row>
    <row r="72" spans="11:11" x14ac:dyDescent="0.25">
      <c r="K72" s="11" t="s">
        <v>219</v>
      </c>
    </row>
    <row r="73" spans="11:11" x14ac:dyDescent="0.25">
      <c r="K73" s="11" t="s">
        <v>220</v>
      </c>
    </row>
    <row r="75" spans="11:11" ht="13" x14ac:dyDescent="0.3">
      <c r="K75" s="36" t="s">
        <v>216</v>
      </c>
    </row>
    <row r="76" spans="11:11" x14ac:dyDescent="0.25">
      <c r="K76" t="s">
        <v>113</v>
      </c>
    </row>
    <row r="77" spans="11:11" x14ac:dyDescent="0.25">
      <c r="K77" t="s">
        <v>190</v>
      </c>
    </row>
    <row r="79" spans="11:11" x14ac:dyDescent="0.25">
      <c r="K79" t="s">
        <v>217</v>
      </c>
    </row>
    <row r="80" spans="11:11" x14ac:dyDescent="0.25">
      <c r="K80" t="s">
        <v>218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I25" sqref="I25"/>
    </sheetView>
  </sheetViews>
  <sheetFormatPr defaultRowHeight="12.5" x14ac:dyDescent="0.25"/>
  <cols>
    <col min="11" max="11" width="41" bestFit="1" customWidth="1"/>
  </cols>
  <sheetData>
    <row r="1" spans="1:11" ht="13" x14ac:dyDescent="0.3">
      <c r="A1" s="4"/>
      <c r="B1" s="4"/>
      <c r="K1" s="26" t="s">
        <v>110</v>
      </c>
    </row>
    <row r="2" spans="1:11" ht="13" x14ac:dyDescent="0.3">
      <c r="A2" s="9" t="s">
        <v>24</v>
      </c>
      <c r="B2" s="9" t="s">
        <v>25</v>
      </c>
      <c r="K2" s="27" t="s">
        <v>125</v>
      </c>
    </row>
    <row r="3" spans="1:11" x14ac:dyDescent="0.25">
      <c r="A3" s="10" t="s">
        <v>26</v>
      </c>
      <c r="B3" s="10">
        <v>9</v>
      </c>
      <c r="K3" s="27" t="s">
        <v>126</v>
      </c>
    </row>
    <row r="4" spans="1:11" x14ac:dyDescent="0.25">
      <c r="A4" s="10" t="s">
        <v>27</v>
      </c>
      <c r="B4" s="10">
        <v>8</v>
      </c>
      <c r="K4" s="27" t="s">
        <v>127</v>
      </c>
    </row>
    <row r="5" spans="1:11" x14ac:dyDescent="0.25">
      <c r="A5" s="10" t="s">
        <v>28</v>
      </c>
      <c r="B5" s="10">
        <v>1</v>
      </c>
      <c r="K5" s="27" t="s">
        <v>128</v>
      </c>
    </row>
    <row r="6" spans="1:11" x14ac:dyDescent="0.25">
      <c r="A6" s="10" t="s">
        <v>29</v>
      </c>
      <c r="B6" s="10">
        <v>1.5</v>
      </c>
    </row>
    <row r="7" spans="1:11" x14ac:dyDescent="0.25">
      <c r="A7" s="10" t="s">
        <v>30</v>
      </c>
      <c r="B7" s="10">
        <v>2.5</v>
      </c>
    </row>
    <row r="8" spans="1:11" x14ac:dyDescent="0.25">
      <c r="A8" s="10" t="s">
        <v>31</v>
      </c>
      <c r="B8" s="10">
        <v>0.5</v>
      </c>
    </row>
    <row r="9" spans="1:11" x14ac:dyDescent="0.25">
      <c r="A9" s="10" t="s">
        <v>32</v>
      </c>
      <c r="B9" s="10">
        <v>1.5</v>
      </c>
    </row>
    <row r="10" spans="1:11" x14ac:dyDescent="0.25">
      <c r="A10" s="10" t="s">
        <v>19</v>
      </c>
      <c r="B10" s="10">
        <f>SUM(B3:B9)</f>
        <v>24</v>
      </c>
    </row>
    <row r="11" spans="1:11" x14ac:dyDescent="0.25">
      <c r="A11" s="4"/>
      <c r="B11" s="4"/>
    </row>
    <row r="12" spans="1:11" x14ac:dyDescent="0.25">
      <c r="A12" s="4"/>
      <c r="B12" s="4"/>
    </row>
    <row r="13" spans="1:11" x14ac:dyDescent="0.25">
      <c r="A13" s="4"/>
      <c r="B13" s="4"/>
    </row>
    <row r="14" spans="1:11" x14ac:dyDescent="0.25">
      <c r="A14" s="4"/>
      <c r="B14" s="4"/>
    </row>
    <row r="15" spans="1:11" x14ac:dyDescent="0.25">
      <c r="A15" s="4"/>
      <c r="B15" s="4"/>
    </row>
    <row r="16" spans="1:11" x14ac:dyDescent="0.25">
      <c r="A16" s="4"/>
      <c r="B16" s="4"/>
    </row>
    <row r="17" spans="1:11" x14ac:dyDescent="0.25">
      <c r="A17" s="4"/>
      <c r="B17" s="4"/>
    </row>
    <row r="18" spans="1:11" x14ac:dyDescent="0.25">
      <c r="A18" s="4"/>
      <c r="B18" s="4"/>
    </row>
    <row r="20" spans="1:11" ht="13" x14ac:dyDescent="0.3">
      <c r="K20" s="22" t="s">
        <v>111</v>
      </c>
    </row>
    <row r="21" spans="1:11" x14ac:dyDescent="0.25">
      <c r="K21" s="23" t="s">
        <v>129</v>
      </c>
    </row>
    <row r="22" spans="1:11" x14ac:dyDescent="0.25">
      <c r="K22" s="23" t="s">
        <v>130</v>
      </c>
    </row>
    <row r="23" spans="1:11" x14ac:dyDescent="0.25">
      <c r="K23" s="23" t="s">
        <v>135</v>
      </c>
    </row>
    <row r="24" spans="1:11" x14ac:dyDescent="0.25">
      <c r="K24" s="23" t="s">
        <v>136</v>
      </c>
    </row>
    <row r="25" spans="1:11" x14ac:dyDescent="0.25">
      <c r="K25" s="23" t="s">
        <v>131</v>
      </c>
    </row>
    <row r="26" spans="1:11" x14ac:dyDescent="0.25">
      <c r="K26" s="23" t="s">
        <v>132</v>
      </c>
    </row>
    <row r="27" spans="1:11" x14ac:dyDescent="0.25">
      <c r="K27" s="23" t="s">
        <v>133</v>
      </c>
    </row>
    <row r="28" spans="1:11" x14ac:dyDescent="0.25">
      <c r="K28" s="23" t="s">
        <v>134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H45" sqref="H45"/>
    </sheetView>
  </sheetViews>
  <sheetFormatPr defaultRowHeight="12.5" x14ac:dyDescent="0.25"/>
  <cols>
    <col min="9" max="9" width="52" bestFit="1" customWidth="1"/>
  </cols>
  <sheetData>
    <row r="1" spans="1:9" ht="13" x14ac:dyDescent="0.3">
      <c r="A1" s="17" t="s">
        <v>34</v>
      </c>
      <c r="B1" s="17" t="s">
        <v>43</v>
      </c>
      <c r="C1" s="17" t="s">
        <v>44</v>
      </c>
      <c r="D1" s="17" t="s">
        <v>45</v>
      </c>
      <c r="I1" s="26" t="s">
        <v>110</v>
      </c>
    </row>
    <row r="2" spans="1:9" ht="13" x14ac:dyDescent="0.3">
      <c r="A2" s="17" t="s">
        <v>36</v>
      </c>
      <c r="B2" s="16">
        <v>55</v>
      </c>
      <c r="C2" s="16">
        <v>45</v>
      </c>
      <c r="D2" s="16">
        <v>18</v>
      </c>
      <c r="I2" s="27" t="s">
        <v>142</v>
      </c>
    </row>
    <row r="3" spans="1:9" ht="13" x14ac:dyDescent="0.3">
      <c r="A3" s="17" t="s">
        <v>37</v>
      </c>
      <c r="B3" s="16">
        <v>62</v>
      </c>
      <c r="C3" s="16">
        <v>48</v>
      </c>
      <c r="D3" s="16"/>
      <c r="I3" s="27" t="s">
        <v>137</v>
      </c>
    </row>
    <row r="4" spans="1:9" ht="13" x14ac:dyDescent="0.3">
      <c r="A4" s="17" t="s">
        <v>38</v>
      </c>
      <c r="B4" s="16">
        <v>75</v>
      </c>
      <c r="C4" s="16"/>
      <c r="D4" s="16"/>
      <c r="I4" s="27" t="s">
        <v>138</v>
      </c>
    </row>
    <row r="5" spans="1:9" ht="13" x14ac:dyDescent="0.3">
      <c r="A5" s="17" t="s">
        <v>39</v>
      </c>
      <c r="B5" s="16"/>
      <c r="C5" s="16"/>
      <c r="D5" s="16"/>
      <c r="I5" s="27" t="s">
        <v>139</v>
      </c>
    </row>
    <row r="6" spans="1:9" ht="13" x14ac:dyDescent="0.3">
      <c r="A6" s="17" t="s">
        <v>40</v>
      </c>
      <c r="B6" s="16"/>
      <c r="C6" s="16"/>
      <c r="D6" s="16"/>
      <c r="I6" s="27"/>
    </row>
    <row r="7" spans="1:9" ht="13" x14ac:dyDescent="0.3">
      <c r="A7" s="17" t="s">
        <v>41</v>
      </c>
      <c r="B7" s="16"/>
      <c r="C7" s="16"/>
      <c r="D7" s="16"/>
      <c r="I7" s="27" t="s">
        <v>140</v>
      </c>
    </row>
    <row r="8" spans="1:9" ht="13" x14ac:dyDescent="0.3">
      <c r="A8" s="30" t="s">
        <v>42</v>
      </c>
      <c r="B8" s="31"/>
      <c r="C8" s="31"/>
      <c r="D8" s="31"/>
      <c r="I8" s="27" t="s">
        <v>141</v>
      </c>
    </row>
    <row r="9" spans="1:9" ht="13" x14ac:dyDescent="0.3">
      <c r="A9" s="32"/>
      <c r="B9" s="33"/>
      <c r="C9" s="33"/>
      <c r="D9" s="33"/>
      <c r="E9" s="33"/>
    </row>
    <row r="10" spans="1:9" ht="13" x14ac:dyDescent="0.3">
      <c r="A10" s="32"/>
      <c r="B10" s="33"/>
      <c r="C10" s="33"/>
      <c r="D10" s="33"/>
      <c r="E10" s="33"/>
    </row>
    <row r="11" spans="1:9" ht="13" x14ac:dyDescent="0.3">
      <c r="A11" s="32"/>
      <c r="B11" s="33"/>
      <c r="C11" s="33"/>
      <c r="D11" s="33"/>
      <c r="E11" s="33"/>
    </row>
    <row r="12" spans="1:9" ht="13" x14ac:dyDescent="0.3">
      <c r="A12" s="32"/>
      <c r="B12" s="33"/>
      <c r="C12" s="33"/>
      <c r="D12" s="33"/>
      <c r="E12" s="33"/>
    </row>
    <row r="13" spans="1:9" ht="13" x14ac:dyDescent="0.3">
      <c r="A13" s="32"/>
      <c r="B13" s="33"/>
      <c r="C13" s="33"/>
      <c r="D13" s="33"/>
      <c r="E13" s="33"/>
    </row>
    <row r="14" spans="1:9" ht="13" x14ac:dyDescent="0.3">
      <c r="A14" s="32"/>
      <c r="B14" s="33"/>
      <c r="C14" s="33"/>
      <c r="D14" s="33"/>
      <c r="E14" s="33"/>
    </row>
    <row r="15" spans="1:9" ht="13" x14ac:dyDescent="0.3">
      <c r="A15" s="32"/>
      <c r="B15" s="33"/>
      <c r="C15" s="33"/>
      <c r="D15" s="33"/>
      <c r="E15" s="33"/>
    </row>
    <row r="16" spans="1:9" ht="13" x14ac:dyDescent="0.3">
      <c r="A16" s="32"/>
      <c r="B16" s="33"/>
      <c r="C16" s="33"/>
      <c r="D16" s="33"/>
      <c r="E16" s="33"/>
    </row>
    <row r="29" spans="9:9" ht="13" x14ac:dyDescent="0.3">
      <c r="I29" s="26" t="s">
        <v>111</v>
      </c>
    </row>
    <row r="30" spans="9:9" x14ac:dyDescent="0.25">
      <c r="I30" s="27" t="s">
        <v>143</v>
      </c>
    </row>
    <row r="31" spans="9:9" x14ac:dyDescent="0.25">
      <c r="I31" s="27" t="s">
        <v>152</v>
      </c>
    </row>
    <row r="32" spans="9:9" x14ac:dyDescent="0.25">
      <c r="I32" s="27" t="s">
        <v>144</v>
      </c>
    </row>
    <row r="33" spans="9:9" x14ac:dyDescent="0.25">
      <c r="I33" s="27" t="s">
        <v>145</v>
      </c>
    </row>
    <row r="34" spans="9:9" x14ac:dyDescent="0.25">
      <c r="I34" s="27" t="s">
        <v>150</v>
      </c>
    </row>
    <row r="35" spans="9:9" x14ac:dyDescent="0.25">
      <c r="I35" s="27" t="s">
        <v>146</v>
      </c>
    </row>
    <row r="36" spans="9:9" x14ac:dyDescent="0.25">
      <c r="I36" s="27" t="s">
        <v>147</v>
      </c>
    </row>
    <row r="37" spans="9:9" x14ac:dyDescent="0.25">
      <c r="I37" s="27" t="s">
        <v>148</v>
      </c>
    </row>
    <row r="38" spans="9:9" x14ac:dyDescent="0.25">
      <c r="I38" s="27" t="s">
        <v>149</v>
      </c>
    </row>
    <row r="39" spans="9:9" x14ac:dyDescent="0.25">
      <c r="I39" s="27" t="s">
        <v>151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11" workbookViewId="0">
      <selection activeCell="B36" sqref="B36"/>
    </sheetView>
  </sheetViews>
  <sheetFormatPr defaultRowHeight="12.5" x14ac:dyDescent="0.25"/>
  <cols>
    <col min="1" max="2" width="9.1796875" style="4" customWidth="1"/>
    <col min="7" max="7" width="11.1796875" customWidth="1"/>
    <col min="8" max="8" width="55.7265625" bestFit="1" customWidth="1"/>
  </cols>
  <sheetData>
    <row r="1" spans="1:8" ht="13" x14ac:dyDescent="0.3">
      <c r="A1" s="7" t="s">
        <v>22</v>
      </c>
      <c r="B1" s="7" t="s">
        <v>23</v>
      </c>
      <c r="H1" s="26" t="s">
        <v>110</v>
      </c>
    </row>
    <row r="2" spans="1:8" x14ac:dyDescent="0.25">
      <c r="A2" s="8">
        <v>1</v>
      </c>
      <c r="B2" s="8">
        <v>2</v>
      </c>
      <c r="H2" s="27" t="s">
        <v>114</v>
      </c>
    </row>
    <row r="3" spans="1:8" x14ac:dyDescent="0.25">
      <c r="A3" s="8">
        <v>2</v>
      </c>
      <c r="B3" s="8">
        <v>6</v>
      </c>
      <c r="H3" s="27" t="s">
        <v>117</v>
      </c>
    </row>
    <row r="4" spans="1:8" ht="13" x14ac:dyDescent="0.3">
      <c r="A4" s="8">
        <v>3</v>
      </c>
      <c r="B4" s="8">
        <v>5</v>
      </c>
      <c r="H4" s="26" t="s">
        <v>115</v>
      </c>
    </row>
    <row r="5" spans="1:8" x14ac:dyDescent="0.25">
      <c r="A5" s="8">
        <v>4</v>
      </c>
      <c r="B5" s="8">
        <v>6</v>
      </c>
      <c r="H5" s="27"/>
    </row>
    <row r="6" spans="1:8" x14ac:dyDescent="0.25">
      <c r="A6" s="8">
        <v>5</v>
      </c>
      <c r="B6" s="8">
        <v>1</v>
      </c>
      <c r="H6" s="27" t="s">
        <v>116</v>
      </c>
    </row>
    <row r="7" spans="1:8" x14ac:dyDescent="0.25">
      <c r="A7" s="8">
        <v>6</v>
      </c>
      <c r="B7" s="8">
        <v>0</v>
      </c>
      <c r="H7" s="27" t="s">
        <v>118</v>
      </c>
    </row>
    <row r="33" spans="1:8" ht="13" x14ac:dyDescent="0.3">
      <c r="A33" s="14" t="s">
        <v>22</v>
      </c>
      <c r="B33" s="14" t="s">
        <v>23</v>
      </c>
      <c r="H33" s="28" t="s">
        <v>111</v>
      </c>
    </row>
    <row r="34" spans="1:8" x14ac:dyDescent="0.25">
      <c r="A34" s="15">
        <v>1</v>
      </c>
      <c r="B34" s="15">
        <f t="shared" ref="B34:B39" si="0">2*A34</f>
        <v>2</v>
      </c>
      <c r="H34" s="29" t="s">
        <v>119</v>
      </c>
    </row>
    <row r="35" spans="1:8" x14ac:dyDescent="0.25">
      <c r="A35" s="15">
        <v>2</v>
      </c>
      <c r="B35" s="15">
        <f t="shared" si="0"/>
        <v>4</v>
      </c>
      <c r="H35" s="29" t="s">
        <v>120</v>
      </c>
    </row>
    <row r="36" spans="1:8" x14ac:dyDescent="0.25">
      <c r="A36" s="15">
        <v>3</v>
      </c>
      <c r="B36" s="15">
        <f t="shared" si="0"/>
        <v>6</v>
      </c>
      <c r="H36" s="29" t="s">
        <v>121</v>
      </c>
    </row>
    <row r="37" spans="1:8" x14ac:dyDescent="0.25">
      <c r="A37" s="15">
        <v>4</v>
      </c>
      <c r="B37" s="15">
        <f t="shared" si="0"/>
        <v>8</v>
      </c>
      <c r="H37" s="29"/>
    </row>
    <row r="38" spans="1:8" x14ac:dyDescent="0.25">
      <c r="A38" s="15">
        <v>5</v>
      </c>
      <c r="B38" s="15">
        <f t="shared" si="0"/>
        <v>10</v>
      </c>
      <c r="H38" s="29" t="s">
        <v>176</v>
      </c>
    </row>
    <row r="39" spans="1:8" x14ac:dyDescent="0.25">
      <c r="A39" s="15">
        <v>6</v>
      </c>
      <c r="B39" s="15">
        <f t="shared" si="0"/>
        <v>12</v>
      </c>
      <c r="H39" s="29" t="s">
        <v>122</v>
      </c>
    </row>
    <row r="40" spans="1:8" x14ac:dyDescent="0.25">
      <c r="A40"/>
      <c r="B40"/>
      <c r="H40" s="29" t="s">
        <v>123</v>
      </c>
    </row>
    <row r="41" spans="1:8" x14ac:dyDescent="0.25">
      <c r="A41"/>
      <c r="B41"/>
      <c r="H41" s="29" t="s">
        <v>221</v>
      </c>
    </row>
    <row r="42" spans="1:8" x14ac:dyDescent="0.25">
      <c r="A42"/>
      <c r="B42"/>
    </row>
    <row r="43" spans="1:8" x14ac:dyDescent="0.25">
      <c r="A43"/>
      <c r="B43"/>
    </row>
    <row r="44" spans="1:8" x14ac:dyDescent="0.25">
      <c r="A44"/>
      <c r="B44"/>
    </row>
    <row r="45" spans="1:8" x14ac:dyDescent="0.25">
      <c r="A45"/>
      <c r="B45"/>
    </row>
    <row r="46" spans="1:8" x14ac:dyDescent="0.25">
      <c r="A46"/>
      <c r="B46"/>
    </row>
    <row r="47" spans="1:8" x14ac:dyDescent="0.25">
      <c r="A47"/>
      <c r="B47"/>
    </row>
    <row r="48" spans="1:8" x14ac:dyDescent="0.25">
      <c r="A48"/>
      <c r="B48"/>
    </row>
    <row r="49" spans="1:8" x14ac:dyDescent="0.25">
      <c r="A49"/>
      <c r="B49"/>
    </row>
    <row r="50" spans="1:8" x14ac:dyDescent="0.25">
      <c r="A50"/>
      <c r="B50"/>
    </row>
    <row r="51" spans="1:8" x14ac:dyDescent="0.25">
      <c r="A51"/>
      <c r="B51"/>
    </row>
    <row r="52" spans="1:8" x14ac:dyDescent="0.25">
      <c r="A52"/>
      <c r="B52"/>
    </row>
    <row r="53" spans="1:8" x14ac:dyDescent="0.25">
      <c r="A53"/>
      <c r="B53"/>
    </row>
    <row r="54" spans="1:8" x14ac:dyDescent="0.25">
      <c r="A54"/>
      <c r="B54"/>
    </row>
    <row r="55" spans="1:8" x14ac:dyDescent="0.25">
      <c r="A55"/>
      <c r="B55"/>
    </row>
    <row r="56" spans="1:8" x14ac:dyDescent="0.25">
      <c r="A56"/>
      <c r="B56"/>
    </row>
    <row r="57" spans="1:8" x14ac:dyDescent="0.25">
      <c r="A57"/>
      <c r="B57"/>
    </row>
    <row r="58" spans="1:8" x14ac:dyDescent="0.25">
      <c r="A58"/>
      <c r="B58"/>
    </row>
    <row r="59" spans="1:8" x14ac:dyDescent="0.25">
      <c r="A59"/>
      <c r="B59"/>
    </row>
    <row r="60" spans="1:8" x14ac:dyDescent="0.25">
      <c r="A60"/>
      <c r="B60"/>
    </row>
    <row r="61" spans="1:8" x14ac:dyDescent="0.25">
      <c r="A61"/>
      <c r="B61"/>
    </row>
    <row r="62" spans="1:8" x14ac:dyDescent="0.25">
      <c r="A62"/>
      <c r="B62"/>
    </row>
    <row r="63" spans="1:8" x14ac:dyDescent="0.25">
      <c r="A63"/>
      <c r="B63"/>
    </row>
    <row r="64" spans="1:8" ht="13" x14ac:dyDescent="0.3">
      <c r="H64" s="26" t="s">
        <v>112</v>
      </c>
    </row>
    <row r="65" spans="8:8" x14ac:dyDescent="0.25">
      <c r="H65" s="27" t="s">
        <v>124</v>
      </c>
    </row>
    <row r="66" spans="8:8" ht="13" x14ac:dyDescent="0.3">
      <c r="H66" s="26" t="s">
        <v>175</v>
      </c>
    </row>
    <row r="67" spans="8:8" x14ac:dyDescent="0.25">
      <c r="H67" s="27" t="s">
        <v>174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G37" sqref="G37"/>
    </sheetView>
  </sheetViews>
  <sheetFormatPr defaultRowHeight="12.5" x14ac:dyDescent="0.25"/>
  <cols>
    <col min="1" max="2" width="9.1796875" style="4" customWidth="1"/>
    <col min="10" max="10" width="48.1796875" customWidth="1"/>
  </cols>
  <sheetData>
    <row r="1" spans="1:10" ht="13" x14ac:dyDescent="0.3">
      <c r="A1" s="34" t="s">
        <v>22</v>
      </c>
      <c r="B1" s="34" t="s">
        <v>23</v>
      </c>
      <c r="J1" s="26" t="s">
        <v>110</v>
      </c>
    </row>
    <row r="2" spans="1:10" x14ac:dyDescent="0.25">
      <c r="A2" s="35">
        <v>0</v>
      </c>
      <c r="B2" s="35">
        <v>0</v>
      </c>
      <c r="J2" s="27" t="s">
        <v>171</v>
      </c>
    </row>
    <row r="3" spans="1:10" x14ac:dyDescent="0.25">
      <c r="A3" s="35">
        <v>1</v>
      </c>
      <c r="B3" s="35">
        <v>0</v>
      </c>
      <c r="J3" s="27" t="s">
        <v>172</v>
      </c>
    </row>
    <row r="4" spans="1:10" x14ac:dyDescent="0.25">
      <c r="A4" s="35">
        <v>1</v>
      </c>
      <c r="B4" s="35">
        <v>1</v>
      </c>
      <c r="J4" s="27" t="s">
        <v>153</v>
      </c>
    </row>
    <row r="5" spans="1:10" ht="13" x14ac:dyDescent="0.3">
      <c r="A5" s="35">
        <v>0</v>
      </c>
      <c r="B5" s="35">
        <v>1</v>
      </c>
      <c r="J5" s="26" t="s">
        <v>156</v>
      </c>
    </row>
    <row r="6" spans="1:10" x14ac:dyDescent="0.25">
      <c r="A6" s="35">
        <v>0</v>
      </c>
      <c r="B6" s="35">
        <v>0</v>
      </c>
      <c r="J6" s="27"/>
    </row>
    <row r="7" spans="1:10" x14ac:dyDescent="0.25">
      <c r="A7" s="4" t="s">
        <v>46</v>
      </c>
      <c r="B7" s="4" t="s">
        <v>46</v>
      </c>
      <c r="J7" s="27" t="s">
        <v>173</v>
      </c>
    </row>
    <row r="8" spans="1:10" x14ac:dyDescent="0.25">
      <c r="J8" s="27" t="s">
        <v>223</v>
      </c>
    </row>
    <row r="9" spans="1:10" x14ac:dyDescent="0.25">
      <c r="J9" s="27" t="s">
        <v>224</v>
      </c>
    </row>
    <row r="10" spans="1:10" x14ac:dyDescent="0.25">
      <c r="J10" s="27" t="s">
        <v>154</v>
      </c>
    </row>
    <row r="11" spans="1:10" x14ac:dyDescent="0.25">
      <c r="J11" s="27" t="s">
        <v>222</v>
      </c>
    </row>
    <row r="12" spans="1:10" x14ac:dyDescent="0.25">
      <c r="J12" s="27" t="s">
        <v>225</v>
      </c>
    </row>
    <row r="13" spans="1:10" x14ac:dyDescent="0.25">
      <c r="J13" s="27" t="s">
        <v>226</v>
      </c>
    </row>
    <row r="15" spans="1:10" ht="13" x14ac:dyDescent="0.3">
      <c r="J15" s="26" t="s">
        <v>111</v>
      </c>
    </row>
    <row r="16" spans="1:10" x14ac:dyDescent="0.25">
      <c r="J16" s="27" t="s">
        <v>158</v>
      </c>
    </row>
    <row r="17" spans="10:10" x14ac:dyDescent="0.25">
      <c r="J17" s="27"/>
    </row>
    <row r="18" spans="10:10" x14ac:dyDescent="0.25">
      <c r="J18" s="27" t="s">
        <v>159</v>
      </c>
    </row>
    <row r="19" spans="10:10" x14ac:dyDescent="0.25">
      <c r="J19" s="27" t="s">
        <v>160</v>
      </c>
    </row>
    <row r="20" spans="10:10" x14ac:dyDescent="0.25">
      <c r="J20" s="27" t="s">
        <v>162</v>
      </c>
    </row>
    <row r="21" spans="10:10" x14ac:dyDescent="0.25">
      <c r="J21" s="27" t="s">
        <v>161</v>
      </c>
    </row>
    <row r="22" spans="10:10" x14ac:dyDescent="0.25">
      <c r="J22" s="27" t="s">
        <v>163</v>
      </c>
    </row>
    <row r="23" spans="10:10" x14ac:dyDescent="0.25">
      <c r="J23" s="27" t="s">
        <v>164</v>
      </c>
    </row>
    <row r="24" spans="10:10" x14ac:dyDescent="0.25">
      <c r="J24" s="27" t="s">
        <v>165</v>
      </c>
    </row>
    <row r="25" spans="10:10" x14ac:dyDescent="0.25">
      <c r="J25" s="27" t="s">
        <v>166</v>
      </c>
    </row>
    <row r="26" spans="10:10" x14ac:dyDescent="0.25">
      <c r="J26" s="27" t="s">
        <v>167</v>
      </c>
    </row>
    <row r="27" spans="10:10" x14ac:dyDescent="0.25">
      <c r="J27" t="s">
        <v>170</v>
      </c>
    </row>
    <row r="28" spans="10:10" x14ac:dyDescent="0.25">
      <c r="J28" t="s">
        <v>169</v>
      </c>
    </row>
    <row r="29" spans="10:10" x14ac:dyDescent="0.25">
      <c r="J29" t="s">
        <v>168</v>
      </c>
    </row>
    <row r="32" spans="10:10" ht="13" x14ac:dyDescent="0.3">
      <c r="J32" s="26" t="s">
        <v>112</v>
      </c>
    </row>
    <row r="33" spans="10:10" x14ac:dyDescent="0.25">
      <c r="J33" s="27" t="s">
        <v>227</v>
      </c>
    </row>
    <row r="34" spans="10:10" x14ac:dyDescent="0.25">
      <c r="J34" s="27" t="s">
        <v>228</v>
      </c>
    </row>
    <row r="35" spans="10:10" x14ac:dyDescent="0.25">
      <c r="J35" s="27" t="s">
        <v>230</v>
      </c>
    </row>
    <row r="36" spans="10:10" x14ac:dyDescent="0.25">
      <c r="J36" s="27" t="s">
        <v>155</v>
      </c>
    </row>
    <row r="37" spans="10:10" x14ac:dyDescent="0.25">
      <c r="J37" s="27" t="s">
        <v>157</v>
      </c>
    </row>
    <row r="38" spans="10:10" x14ac:dyDescent="0.25">
      <c r="J38" s="27" t="s">
        <v>229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J10" sqref="J10"/>
    </sheetView>
  </sheetViews>
  <sheetFormatPr defaultRowHeight="12.5" x14ac:dyDescent="0.25"/>
  <cols>
    <col min="5" max="5" width="67.1796875" bestFit="1" customWidth="1"/>
    <col min="7" max="10" width="9.1796875" style="18" customWidth="1"/>
  </cols>
  <sheetData>
    <row r="1" spans="1:10" ht="13" x14ac:dyDescent="0.3">
      <c r="A1" s="44"/>
      <c r="B1" s="45" t="s">
        <v>191</v>
      </c>
      <c r="C1" s="44"/>
      <c r="D1" s="44"/>
      <c r="E1" s="5" t="s">
        <v>207</v>
      </c>
    </row>
    <row r="2" spans="1:10" x14ac:dyDescent="0.25">
      <c r="A2" t="s">
        <v>193</v>
      </c>
      <c r="B2" t="s">
        <v>194</v>
      </c>
      <c r="C2" t="s">
        <v>19</v>
      </c>
      <c r="E2" s="40" t="s">
        <v>204</v>
      </c>
    </row>
    <row r="3" spans="1:10" x14ac:dyDescent="0.25">
      <c r="E3" t="s">
        <v>205</v>
      </c>
    </row>
    <row r="5" spans="1:10" ht="13" x14ac:dyDescent="0.3">
      <c r="E5" s="43" t="s">
        <v>192</v>
      </c>
    </row>
    <row r="7" spans="1:10" x14ac:dyDescent="0.25">
      <c r="E7" t="s">
        <v>206</v>
      </c>
    </row>
    <row r="8" spans="1:10" x14ac:dyDescent="0.25">
      <c r="E8" t="s">
        <v>211</v>
      </c>
      <c r="G8" s="39"/>
      <c r="H8" s="39"/>
      <c r="I8" s="39"/>
      <c r="J8" s="39"/>
    </row>
    <row r="10" spans="1:10" x14ac:dyDescent="0.25">
      <c r="E10" t="s">
        <v>195</v>
      </c>
    </row>
    <row r="11" spans="1:10" x14ac:dyDescent="0.25">
      <c r="E11" t="s">
        <v>196</v>
      </c>
    </row>
    <row r="13" spans="1:10" ht="13" x14ac:dyDescent="0.3">
      <c r="E13" s="1" t="s">
        <v>213</v>
      </c>
    </row>
    <row r="14" spans="1:10" x14ac:dyDescent="0.25">
      <c r="E14" t="s">
        <v>197</v>
      </c>
    </row>
    <row r="15" spans="1:10" x14ac:dyDescent="0.25">
      <c r="E15" t="s">
        <v>198</v>
      </c>
    </row>
    <row r="16" spans="1:10" x14ac:dyDescent="0.25">
      <c r="E16" t="s">
        <v>199</v>
      </c>
    </row>
    <row r="18" spans="1:5" ht="13" x14ac:dyDescent="0.3">
      <c r="E18" s="42" t="s">
        <v>200</v>
      </c>
    </row>
    <row r="20" spans="1:5" ht="13" x14ac:dyDescent="0.3">
      <c r="E20" s="1" t="s">
        <v>212</v>
      </c>
    </row>
    <row r="21" spans="1:5" x14ac:dyDescent="0.25">
      <c r="E21" t="s">
        <v>201</v>
      </c>
    </row>
    <row r="22" spans="1:5" x14ac:dyDescent="0.25">
      <c r="E22" t="s">
        <v>202</v>
      </c>
    </row>
    <row r="24" spans="1:5" ht="13" x14ac:dyDescent="0.3">
      <c r="E24" s="42" t="s">
        <v>214</v>
      </c>
    </row>
    <row r="25" spans="1:5" x14ac:dyDescent="0.25">
      <c r="E25" t="s">
        <v>215</v>
      </c>
    </row>
    <row r="26" spans="1:5" ht="13" x14ac:dyDescent="0.3">
      <c r="A26" s="37" t="s">
        <v>193</v>
      </c>
      <c r="B26" s="37" t="s">
        <v>194</v>
      </c>
      <c r="C26" s="37" t="s">
        <v>19</v>
      </c>
    </row>
    <row r="27" spans="1:5" x14ac:dyDescent="0.25">
      <c r="A27">
        <v>1</v>
      </c>
      <c r="B27">
        <f>A27+21</f>
        <v>22</v>
      </c>
      <c r="C27">
        <f>A27+B27</f>
        <v>23</v>
      </c>
    </row>
    <row r="28" spans="1:5" x14ac:dyDescent="0.25">
      <c r="A28">
        <v>2</v>
      </c>
      <c r="B28">
        <f t="shared" ref="B28:B43" si="0">A28+21</f>
        <v>23</v>
      </c>
      <c r="C28">
        <f t="shared" ref="C28:C43" si="1">A28+B28</f>
        <v>25</v>
      </c>
    </row>
    <row r="29" spans="1:5" ht="13" x14ac:dyDescent="0.3">
      <c r="A29">
        <v>3</v>
      </c>
      <c r="B29">
        <f t="shared" si="0"/>
        <v>24</v>
      </c>
      <c r="C29">
        <f t="shared" si="1"/>
        <v>27</v>
      </c>
      <c r="E29" s="41" t="s">
        <v>210</v>
      </c>
    </row>
    <row r="30" spans="1:5" x14ac:dyDescent="0.25">
      <c r="A30">
        <v>4</v>
      </c>
      <c r="B30">
        <f t="shared" si="0"/>
        <v>25</v>
      </c>
      <c r="C30">
        <f t="shared" si="1"/>
        <v>29</v>
      </c>
      <c r="E30" t="s">
        <v>209</v>
      </c>
    </row>
    <row r="31" spans="1:5" x14ac:dyDescent="0.25">
      <c r="A31">
        <v>5</v>
      </c>
      <c r="B31">
        <f t="shared" si="0"/>
        <v>26</v>
      </c>
      <c r="C31">
        <f t="shared" si="1"/>
        <v>31</v>
      </c>
      <c r="E31" t="s">
        <v>203</v>
      </c>
    </row>
    <row r="32" spans="1:5" x14ac:dyDescent="0.25">
      <c r="A32">
        <v>6</v>
      </c>
      <c r="B32">
        <f t="shared" si="0"/>
        <v>27</v>
      </c>
      <c r="C32">
        <f t="shared" si="1"/>
        <v>33</v>
      </c>
    </row>
    <row r="33" spans="1:5" x14ac:dyDescent="0.25">
      <c r="A33">
        <v>7</v>
      </c>
      <c r="B33">
        <f t="shared" si="0"/>
        <v>28</v>
      </c>
      <c r="C33">
        <f t="shared" si="1"/>
        <v>35</v>
      </c>
    </row>
    <row r="34" spans="1:5" x14ac:dyDescent="0.25">
      <c r="A34">
        <v>8</v>
      </c>
      <c r="B34">
        <f t="shared" si="0"/>
        <v>29</v>
      </c>
      <c r="C34">
        <f t="shared" si="1"/>
        <v>37</v>
      </c>
    </row>
    <row r="35" spans="1:5" x14ac:dyDescent="0.25">
      <c r="A35">
        <v>9</v>
      </c>
      <c r="B35">
        <f t="shared" si="0"/>
        <v>30</v>
      </c>
      <c r="C35">
        <f t="shared" si="1"/>
        <v>39</v>
      </c>
    </row>
    <row r="36" spans="1:5" x14ac:dyDescent="0.25">
      <c r="A36">
        <v>10</v>
      </c>
      <c r="B36">
        <f t="shared" si="0"/>
        <v>31</v>
      </c>
      <c r="C36">
        <f t="shared" si="1"/>
        <v>41</v>
      </c>
    </row>
    <row r="37" spans="1:5" x14ac:dyDescent="0.25">
      <c r="A37">
        <v>11</v>
      </c>
      <c r="B37">
        <f t="shared" si="0"/>
        <v>32</v>
      </c>
      <c r="C37">
        <f t="shared" si="1"/>
        <v>43</v>
      </c>
    </row>
    <row r="38" spans="1:5" x14ac:dyDescent="0.25">
      <c r="A38">
        <v>12</v>
      </c>
      <c r="B38">
        <f t="shared" si="0"/>
        <v>33</v>
      </c>
      <c r="C38">
        <f t="shared" si="1"/>
        <v>45</v>
      </c>
    </row>
    <row r="39" spans="1:5" x14ac:dyDescent="0.25">
      <c r="A39">
        <v>13</v>
      </c>
      <c r="B39">
        <f t="shared" si="0"/>
        <v>34</v>
      </c>
      <c r="C39">
        <f t="shared" si="1"/>
        <v>47</v>
      </c>
    </row>
    <row r="40" spans="1:5" ht="13" x14ac:dyDescent="0.3">
      <c r="A40">
        <v>14</v>
      </c>
      <c r="B40">
        <f t="shared" si="0"/>
        <v>35</v>
      </c>
      <c r="C40">
        <f t="shared" si="1"/>
        <v>49</v>
      </c>
      <c r="E40" s="1" t="s">
        <v>208</v>
      </c>
    </row>
    <row r="41" spans="1:5" x14ac:dyDescent="0.25">
      <c r="A41">
        <v>15</v>
      </c>
      <c r="B41">
        <f t="shared" si="0"/>
        <v>36</v>
      </c>
      <c r="C41">
        <f t="shared" si="1"/>
        <v>51</v>
      </c>
    </row>
    <row r="42" spans="1:5" x14ac:dyDescent="0.25">
      <c r="A42" s="38">
        <v>16</v>
      </c>
      <c r="B42" s="38">
        <f t="shared" si="0"/>
        <v>37</v>
      </c>
      <c r="C42" s="38">
        <f t="shared" si="1"/>
        <v>53</v>
      </c>
    </row>
    <row r="43" spans="1:5" x14ac:dyDescent="0.25">
      <c r="A43">
        <v>17</v>
      </c>
      <c r="B43">
        <f t="shared" si="0"/>
        <v>38</v>
      </c>
      <c r="C43">
        <f t="shared" si="1"/>
        <v>55</v>
      </c>
    </row>
    <row r="44" spans="1:5" x14ac:dyDescent="0.25">
      <c r="A44">
        <v>18</v>
      </c>
      <c r="B44">
        <f>A44+21</f>
        <v>39</v>
      </c>
      <c r="C44">
        <f>A44+B44</f>
        <v>57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Marking</vt:lpstr>
      <vt:lpstr>Bar Graphs</vt:lpstr>
      <vt:lpstr>Circle Graphs</vt:lpstr>
      <vt:lpstr>Data </vt:lpstr>
      <vt:lpstr>Plotted points</vt:lpstr>
      <vt:lpstr>Shapemaker</vt:lpstr>
      <vt:lpstr>Story Problems</vt:lpstr>
    </vt:vector>
  </TitlesOfParts>
  <Company>Faculty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 of Education</dc:creator>
  <cp:lastModifiedBy>Carina Negreanu</cp:lastModifiedBy>
  <cp:lastPrinted>2003-02-07T17:37:54Z</cp:lastPrinted>
  <dcterms:created xsi:type="dcterms:W3CDTF">2001-11-20T13:06:33Z</dcterms:created>
  <dcterms:modified xsi:type="dcterms:W3CDTF">2020-01-27T12:41:15Z</dcterms:modified>
</cp:coreProperties>
</file>