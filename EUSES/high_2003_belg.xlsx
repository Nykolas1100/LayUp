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6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8EE549-7838-40A5-8FD3-E17AB33F3CE7}" xr6:coauthVersionLast="45" xr6:coauthVersionMax="45" xr10:uidLastSave="{00000000-0000-0000-0000-000000000000}"/>
  <bookViews>
    <workbookView xWindow="380" yWindow="380" windowWidth="28800" windowHeight="15460" tabRatio="759" firstSheet="3" activeTab="11"/>
  </bookViews>
  <sheets>
    <sheet name="2001" sheetId="15" r:id="rId1"/>
    <sheet name="2000" sheetId="14" r:id="rId2"/>
    <sheet name="1999" sheetId="13" r:id="rId3"/>
    <sheet name="1998" sheetId="12" r:id="rId4"/>
    <sheet name="1997" sheetId="11" r:id="rId5"/>
    <sheet name="2001 Grossed" sheetId="16" r:id="rId6"/>
    <sheet name="Gross" sheetId="18" r:id="rId7"/>
    <sheet name="Scatter" sheetId="5" r:id="rId8"/>
    <sheet name="Histogram" sheetId="8" r:id="rId9"/>
    <sheet name="Ranking" sheetId="17" r:id="rId10"/>
    <sheet name="Selection" sheetId="2" r:id="rId11"/>
    <sheet name="Welcome" sheetId="7" r:id="rId12"/>
    <sheet name="Dialogbox" sheetId="10" r:id="rId13"/>
    <sheet name="Help" sheetId="9" r:id="rId14"/>
    <sheet name="Menus" sheetId="3" r:id="rId15"/>
  </sheets>
  <definedNames>
    <definedName name="Belg">Dialogbox!$B$30</definedName>
    <definedName name="Change_names">'2001 Grossed'!$B$2</definedName>
    <definedName name="Country_Name">Help!$B$113</definedName>
    <definedName name="DATA_TYPES">Help!$B$56</definedName>
    <definedName name="Example">Help!$D$95:$D$131</definedName>
    <definedName name="Help">Help!$A$1</definedName>
    <definedName name="_xlnm.Print_Area" localSheetId="12">Dialogbox!$A$1:$R$35</definedName>
    <definedName name="_xlnm.Print_Area" localSheetId="13">Help!$B$3:$B$92</definedName>
    <definedName name="Structure">Help!$J$1</definedName>
    <definedName name="This_introductory_section_gives_a_short_overview_of_the_Belgian_institutional">"Belg"</definedName>
  </definedNames>
  <calcPr calcId="191029"/>
  <pivotCaches>
    <pivotCache cacheId="7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1" l="1"/>
  <c r="AR2" i="11"/>
  <c r="AS2" i="11"/>
  <c r="AT2" i="11"/>
  <c r="AU2" i="11"/>
  <c r="AV2" i="11"/>
  <c r="AW2" i="11"/>
  <c r="AX2" i="11"/>
  <c r="AY2" i="11"/>
  <c r="D3" i="11"/>
  <c r="AR3" i="11"/>
  <c r="AS3" i="11"/>
  <c r="AT3" i="11"/>
  <c r="AU3" i="11"/>
  <c r="AV3" i="11"/>
  <c r="AW3" i="11"/>
  <c r="AX3" i="11"/>
  <c r="AY3" i="11"/>
  <c r="D4" i="11"/>
  <c r="AU4" i="11" s="1"/>
  <c r="AR4" i="11"/>
  <c r="AS4" i="11"/>
  <c r="AT4" i="11"/>
  <c r="D5" i="11"/>
  <c r="AU5" i="11" s="1"/>
  <c r="AR5" i="11"/>
  <c r="AS5" i="11"/>
  <c r="AT5" i="11"/>
  <c r="AW5" i="11"/>
  <c r="AX5" i="11"/>
  <c r="AY5" i="11"/>
  <c r="D6" i="11"/>
  <c r="AR6" i="11"/>
  <c r="AS6" i="11"/>
  <c r="AT6" i="11"/>
  <c r="D7" i="11"/>
  <c r="AR7" i="11"/>
  <c r="AS7" i="11"/>
  <c r="AT7" i="11"/>
  <c r="AU7" i="11"/>
  <c r="AV7" i="11"/>
  <c r="AW7" i="11"/>
  <c r="AX7" i="11"/>
  <c r="AY7" i="11"/>
  <c r="D8" i="11"/>
  <c r="AW8" i="11" s="1"/>
  <c r="AR8" i="11"/>
  <c r="AS8" i="11"/>
  <c r="AT8" i="11"/>
  <c r="AU8" i="11"/>
  <c r="AV8" i="11"/>
  <c r="D9" i="11"/>
  <c r="AR9" i="11"/>
  <c r="AS9" i="11"/>
  <c r="AT9" i="11"/>
  <c r="AU9" i="11"/>
  <c r="AV9" i="11"/>
  <c r="AW9" i="11"/>
  <c r="AX9" i="11"/>
  <c r="AY9" i="11"/>
  <c r="D10" i="11"/>
  <c r="AY10" i="11" s="1"/>
  <c r="AR10" i="11"/>
  <c r="AS10" i="11"/>
  <c r="AT10" i="11"/>
  <c r="AU10" i="11"/>
  <c r="AV10" i="11"/>
  <c r="AW10" i="11"/>
  <c r="AX10" i="11"/>
  <c r="D11" i="11"/>
  <c r="AR11" i="11"/>
  <c r="AS11" i="11"/>
  <c r="AT11" i="11"/>
  <c r="AU11" i="11"/>
  <c r="AV11" i="11"/>
  <c r="AW11" i="11"/>
  <c r="AX11" i="11"/>
  <c r="AY11" i="11"/>
  <c r="D12" i="11"/>
  <c r="AU12" i="11" s="1"/>
  <c r="AR12" i="11"/>
  <c r="AS12" i="11"/>
  <c r="AT12" i="11"/>
  <c r="AV12" i="11"/>
  <c r="AW12" i="11"/>
  <c r="AX12" i="11"/>
  <c r="AY12" i="11"/>
  <c r="AS13" i="11"/>
  <c r="AT13" i="11"/>
  <c r="AU13" i="11"/>
  <c r="AV13" i="11"/>
  <c r="AW13" i="11"/>
  <c r="AX13" i="11"/>
  <c r="AY13" i="11"/>
  <c r="AS14" i="11"/>
  <c r="AT14" i="11"/>
  <c r="AU14" i="11"/>
  <c r="AV14" i="11"/>
  <c r="AW14" i="11"/>
  <c r="AX14" i="11"/>
  <c r="AY14" i="11"/>
  <c r="D15" i="11"/>
  <c r="AX15" i="11" s="1"/>
  <c r="AR15" i="11"/>
  <c r="AS15" i="11"/>
  <c r="AT15" i="11"/>
  <c r="AU15" i="11"/>
  <c r="AV15" i="11"/>
  <c r="AW15" i="11"/>
  <c r="D16" i="11"/>
  <c r="AU16" i="11" s="1"/>
  <c r="AR16" i="11"/>
  <c r="AS16" i="11"/>
  <c r="AT16" i="11"/>
  <c r="AV16" i="11"/>
  <c r="AW16" i="11"/>
  <c r="AX16" i="11"/>
  <c r="AY16" i="11"/>
  <c r="D17" i="11"/>
  <c r="AR17" i="11"/>
  <c r="AS17" i="11"/>
  <c r="AT17" i="11"/>
  <c r="AU17" i="11"/>
  <c r="AV17" i="11"/>
  <c r="AW17" i="11"/>
  <c r="AX17" i="11"/>
  <c r="AY17" i="11"/>
  <c r="D18" i="11"/>
  <c r="AR18" i="11"/>
  <c r="AS18" i="11"/>
  <c r="AT18" i="11"/>
  <c r="AU18" i="11"/>
  <c r="AV18" i="11"/>
  <c r="AW18" i="11"/>
  <c r="AX18" i="11"/>
  <c r="AY18" i="11"/>
  <c r="D19" i="11"/>
  <c r="AR19" i="11"/>
  <c r="AS19" i="11"/>
  <c r="AT19" i="11"/>
  <c r="AU19" i="11"/>
  <c r="AV19" i="11"/>
  <c r="AW19" i="11"/>
  <c r="AX19" i="11"/>
  <c r="AY19" i="11"/>
  <c r="D20" i="11"/>
  <c r="AU20" i="11" s="1"/>
  <c r="AR20" i="11"/>
  <c r="AS20" i="11"/>
  <c r="AT20" i="11"/>
  <c r="D21" i="11"/>
  <c r="AU21" i="11" s="1"/>
  <c r="AR21" i="11"/>
  <c r="AS21" i="11"/>
  <c r="AT21" i="11"/>
  <c r="D22" i="11"/>
  <c r="AR22" i="11"/>
  <c r="AS22" i="11"/>
  <c r="AT22" i="11"/>
  <c r="D23" i="11"/>
  <c r="AR23" i="11"/>
  <c r="AS23" i="11"/>
  <c r="AT23" i="11"/>
  <c r="AU23" i="11"/>
  <c r="AV23" i="11"/>
  <c r="AW23" i="11"/>
  <c r="AX23" i="11"/>
  <c r="AY23" i="11"/>
  <c r="D24" i="11"/>
  <c r="AW24" i="11" s="1"/>
  <c r="AR24" i="11"/>
  <c r="AS24" i="11"/>
  <c r="AT24" i="11"/>
  <c r="AU24" i="11"/>
  <c r="AV24" i="11"/>
  <c r="D25" i="11"/>
  <c r="AR25" i="11"/>
  <c r="AS25" i="11"/>
  <c r="AT25" i="11"/>
  <c r="AU25" i="11"/>
  <c r="AV25" i="11"/>
  <c r="AW25" i="11"/>
  <c r="AX25" i="11"/>
  <c r="AY25" i="11"/>
  <c r="D26" i="11"/>
  <c r="AY26" i="11" s="1"/>
  <c r="AR26" i="11"/>
  <c r="AS26" i="11"/>
  <c r="AT26" i="11"/>
  <c r="AU26" i="11"/>
  <c r="AV26" i="11"/>
  <c r="AW26" i="11"/>
  <c r="AX26" i="11"/>
  <c r="D27" i="11"/>
  <c r="AR27" i="11"/>
  <c r="AS27" i="11"/>
  <c r="AT27" i="11"/>
  <c r="AU27" i="11"/>
  <c r="AV27" i="11"/>
  <c r="AW27" i="11"/>
  <c r="AX27" i="11"/>
  <c r="AY27" i="11"/>
  <c r="D28" i="11"/>
  <c r="AU28" i="11" s="1"/>
  <c r="AR28" i="11"/>
  <c r="AS28" i="11"/>
  <c r="AT28" i="11"/>
  <c r="AV28" i="11"/>
  <c r="AW28" i="11"/>
  <c r="AX28" i="11"/>
  <c r="AY28" i="11"/>
  <c r="D29" i="11"/>
  <c r="AU29" i="11" s="1"/>
  <c r="AR29" i="11"/>
  <c r="AS29" i="11"/>
  <c r="AT29" i="11"/>
  <c r="D30" i="11"/>
  <c r="AR30" i="11"/>
  <c r="AS30" i="11"/>
  <c r="AT30" i="11"/>
  <c r="AU30" i="11"/>
  <c r="AV30" i="11"/>
  <c r="AW30" i="11"/>
  <c r="AX30" i="11"/>
  <c r="AY30" i="11"/>
  <c r="D31" i="11"/>
  <c r="AR31" i="11"/>
  <c r="AS31" i="11"/>
  <c r="AT31" i="11"/>
  <c r="D32" i="11"/>
  <c r="AR32" i="11"/>
  <c r="AS32" i="11"/>
  <c r="AT32" i="11"/>
  <c r="AU32" i="11"/>
  <c r="AV32" i="11"/>
  <c r="AW32" i="11"/>
  <c r="AX32" i="11"/>
  <c r="AY32" i="11"/>
  <c r="D33" i="11"/>
  <c r="AV33" i="11" s="1"/>
  <c r="AR33" i="11"/>
  <c r="AS33" i="11"/>
  <c r="AT33" i="11"/>
  <c r="AU33" i="11"/>
  <c r="D34" i="11"/>
  <c r="AR34" i="11"/>
  <c r="AS34" i="11"/>
  <c r="AT34" i="11"/>
  <c r="AU34" i="11"/>
  <c r="AV34" i="11"/>
  <c r="AW34" i="11"/>
  <c r="AX34" i="11"/>
  <c r="AY34" i="11"/>
  <c r="D35" i="11"/>
  <c r="AX35" i="11" s="1"/>
  <c r="AR35" i="11"/>
  <c r="AS35" i="11"/>
  <c r="AT35" i="11"/>
  <c r="AU35" i="11"/>
  <c r="AV35" i="11"/>
  <c r="AW35" i="11"/>
  <c r="D36" i="11"/>
  <c r="AU36" i="11" s="1"/>
  <c r="AR36" i="11"/>
  <c r="AS36" i="11"/>
  <c r="AT36" i="11"/>
  <c r="AV36" i="11"/>
  <c r="AW36" i="11"/>
  <c r="AX36" i="11"/>
  <c r="AY36" i="11"/>
  <c r="D37" i="11"/>
  <c r="AR37" i="11"/>
  <c r="AS37" i="11"/>
  <c r="AT37" i="11"/>
  <c r="AU37" i="11"/>
  <c r="AV37" i="11"/>
  <c r="AW37" i="11"/>
  <c r="AX37" i="11"/>
  <c r="AY37" i="11"/>
  <c r="D38" i="11"/>
  <c r="AU38" i="11" s="1"/>
  <c r="AR38" i="11"/>
  <c r="AS38" i="11"/>
  <c r="AT38" i="11"/>
  <c r="AV38" i="11"/>
  <c r="AX38" i="11"/>
  <c r="AY38" i="11"/>
  <c r="D39" i="11"/>
  <c r="AR39" i="11"/>
  <c r="AS39" i="11"/>
  <c r="AT39" i="11"/>
  <c r="AU39" i="11"/>
  <c r="AV39" i="11"/>
  <c r="AW39" i="11"/>
  <c r="AX39" i="11"/>
  <c r="AY39" i="11"/>
  <c r="D40" i="11"/>
  <c r="AU40" i="11" s="1"/>
  <c r="AR40" i="11"/>
  <c r="AS40" i="11"/>
  <c r="AT40" i="11"/>
  <c r="D41" i="11"/>
  <c r="AU41" i="11" s="1"/>
  <c r="AR41" i="11"/>
  <c r="AS41" i="11"/>
  <c r="AT41" i="11"/>
  <c r="D42" i="11"/>
  <c r="AR42" i="11"/>
  <c r="AS42" i="11"/>
  <c r="AT42" i="11"/>
  <c r="D43" i="11"/>
  <c r="AR43" i="11"/>
  <c r="AS43" i="11"/>
  <c r="AT43" i="11"/>
  <c r="AU43" i="11"/>
  <c r="AV43" i="11"/>
  <c r="AW43" i="11"/>
  <c r="AX43" i="11"/>
  <c r="AY43" i="11"/>
  <c r="D44" i="11"/>
  <c r="AW44" i="11" s="1"/>
  <c r="AR44" i="11"/>
  <c r="AS44" i="11"/>
  <c r="AT44" i="11"/>
  <c r="AU44" i="11"/>
  <c r="AV44" i="11"/>
  <c r="D45" i="11"/>
  <c r="AR45" i="11"/>
  <c r="AS45" i="11"/>
  <c r="AT45" i="11"/>
  <c r="AU45" i="11"/>
  <c r="AV45" i="11"/>
  <c r="AW45" i="11"/>
  <c r="AX45" i="11"/>
  <c r="AY45" i="11"/>
  <c r="D46" i="11"/>
  <c r="AY46" i="11" s="1"/>
  <c r="AR46" i="11"/>
  <c r="AS46" i="11"/>
  <c r="AT46" i="11"/>
  <c r="AU46" i="11"/>
  <c r="AV46" i="11"/>
  <c r="AW46" i="11"/>
  <c r="AX46" i="11"/>
  <c r="D2" i="12"/>
  <c r="AV2" i="12" s="1"/>
  <c r="AR2" i="12"/>
  <c r="AS2" i="12"/>
  <c r="AT2" i="12"/>
  <c r="AU2" i="12"/>
  <c r="AW2" i="12"/>
  <c r="AX2" i="12"/>
  <c r="AY2" i="12"/>
  <c r="D3" i="12"/>
  <c r="AU3" i="12" s="1"/>
  <c r="AR3" i="12"/>
  <c r="AS3" i="12"/>
  <c r="AT3" i="12"/>
  <c r="AW3" i="12"/>
  <c r="AX3" i="12"/>
  <c r="D4" i="12"/>
  <c r="AU4" i="12" s="1"/>
  <c r="AR4" i="12"/>
  <c r="AS4" i="12"/>
  <c r="AT4" i="12"/>
  <c r="AY4" i="12"/>
  <c r="D5" i="12"/>
  <c r="AR5" i="12"/>
  <c r="AS5" i="12"/>
  <c r="AT5" i="12"/>
  <c r="AU5" i="12"/>
  <c r="AV5" i="12"/>
  <c r="AW5" i="12"/>
  <c r="AX5" i="12"/>
  <c r="AY5" i="12"/>
  <c r="D6" i="12"/>
  <c r="AR6" i="12"/>
  <c r="AS6" i="12"/>
  <c r="AT6" i="12"/>
  <c r="D7" i="12"/>
  <c r="AR7" i="12"/>
  <c r="AS7" i="12"/>
  <c r="AT7" i="12"/>
  <c r="AU7" i="12"/>
  <c r="AV7" i="12"/>
  <c r="AW7" i="12"/>
  <c r="AX7" i="12"/>
  <c r="AY7" i="12"/>
  <c r="D8" i="12"/>
  <c r="AV8" i="12" s="1"/>
  <c r="AR8" i="12"/>
  <c r="AS8" i="12"/>
  <c r="AT8" i="12"/>
  <c r="AU8" i="12"/>
  <c r="D9" i="12"/>
  <c r="AR9" i="12"/>
  <c r="AS9" i="12"/>
  <c r="AT9" i="12"/>
  <c r="AU9" i="12"/>
  <c r="AV9" i="12"/>
  <c r="AW9" i="12"/>
  <c r="AX9" i="12"/>
  <c r="AY9" i="12"/>
  <c r="D10" i="12"/>
  <c r="AX10" i="12" s="1"/>
  <c r="AR10" i="12"/>
  <c r="AS10" i="12"/>
  <c r="AT10" i="12"/>
  <c r="AU10" i="12"/>
  <c r="AV10" i="12"/>
  <c r="AW10" i="12"/>
  <c r="D11" i="12"/>
  <c r="AU11" i="12" s="1"/>
  <c r="AR11" i="12"/>
  <c r="AS11" i="12"/>
  <c r="AT11" i="12"/>
  <c r="AV11" i="12"/>
  <c r="AW11" i="12"/>
  <c r="AX11" i="12"/>
  <c r="AY11" i="12"/>
  <c r="D12" i="12"/>
  <c r="AR12" i="12"/>
  <c r="AS12" i="12"/>
  <c r="AT12" i="12"/>
  <c r="AU12" i="12"/>
  <c r="AV12" i="12"/>
  <c r="AW12" i="12"/>
  <c r="AX12" i="12"/>
  <c r="AY12" i="12"/>
  <c r="AS13" i="12"/>
  <c r="AT13" i="12"/>
  <c r="AU13" i="12"/>
  <c r="AV13" i="12"/>
  <c r="AW13" i="12"/>
  <c r="AX13" i="12"/>
  <c r="AY13" i="12"/>
  <c r="AS14" i="12"/>
  <c r="AT14" i="12"/>
  <c r="AU14" i="12"/>
  <c r="AV14" i="12"/>
  <c r="AW14" i="12"/>
  <c r="AX14" i="12"/>
  <c r="AY14" i="12"/>
  <c r="D15" i="12"/>
  <c r="AW15" i="12" s="1"/>
  <c r="AR15" i="12"/>
  <c r="AS15" i="12"/>
  <c r="AT15" i="12"/>
  <c r="AU15" i="12"/>
  <c r="AV15" i="12"/>
  <c r="D16" i="12"/>
  <c r="AR16" i="12"/>
  <c r="AS16" i="12"/>
  <c r="AT16" i="12"/>
  <c r="AU16" i="12"/>
  <c r="AV16" i="12"/>
  <c r="AW16" i="12"/>
  <c r="AX16" i="12"/>
  <c r="AY16" i="12"/>
  <c r="D17" i="12"/>
  <c r="AY17" i="12" s="1"/>
  <c r="AR17" i="12"/>
  <c r="AS17" i="12"/>
  <c r="AT17" i="12"/>
  <c r="AU17" i="12"/>
  <c r="AV17" i="12"/>
  <c r="AW17" i="12"/>
  <c r="AX17" i="12"/>
  <c r="D18" i="12"/>
  <c r="AV18" i="12" s="1"/>
  <c r="AR18" i="12"/>
  <c r="AS18" i="12"/>
  <c r="AT18" i="12"/>
  <c r="AU18" i="12"/>
  <c r="AW18" i="12"/>
  <c r="AX18" i="12"/>
  <c r="AY18" i="12"/>
  <c r="D19" i="12"/>
  <c r="AU19" i="12" s="1"/>
  <c r="AR19" i="12"/>
  <c r="AS19" i="12"/>
  <c r="AT19" i="12"/>
  <c r="AW19" i="12"/>
  <c r="AX19" i="12"/>
  <c r="D20" i="12"/>
  <c r="AU20" i="12" s="1"/>
  <c r="AR20" i="12"/>
  <c r="AS20" i="12"/>
  <c r="AT20" i="12"/>
  <c r="AY20" i="12"/>
  <c r="D21" i="12"/>
  <c r="AR21" i="12"/>
  <c r="AS21" i="12"/>
  <c r="AT21" i="12"/>
  <c r="AU21" i="12"/>
  <c r="AV21" i="12"/>
  <c r="AW21" i="12"/>
  <c r="AX21" i="12"/>
  <c r="AY21" i="12"/>
  <c r="D22" i="12"/>
  <c r="AR22" i="12"/>
  <c r="AS22" i="12"/>
  <c r="AT22" i="12"/>
  <c r="D23" i="12"/>
  <c r="AR23" i="12"/>
  <c r="AS23" i="12"/>
  <c r="AT23" i="12"/>
  <c r="AU23" i="12"/>
  <c r="AV23" i="12"/>
  <c r="AW23" i="12"/>
  <c r="AX23" i="12"/>
  <c r="AY23" i="12"/>
  <c r="D24" i="12"/>
  <c r="AV24" i="12" s="1"/>
  <c r="AR24" i="12"/>
  <c r="AS24" i="12"/>
  <c r="AT24" i="12"/>
  <c r="AU24" i="12"/>
  <c r="D25" i="12"/>
  <c r="AR25" i="12"/>
  <c r="AS25" i="12"/>
  <c r="AT25" i="12"/>
  <c r="AU25" i="12"/>
  <c r="AV25" i="12"/>
  <c r="AW25" i="12"/>
  <c r="AX25" i="12"/>
  <c r="AY25" i="12"/>
  <c r="D26" i="12"/>
  <c r="AX26" i="12" s="1"/>
  <c r="AR26" i="12"/>
  <c r="AS26" i="12"/>
  <c r="AT26" i="12"/>
  <c r="AU26" i="12"/>
  <c r="AV26" i="12"/>
  <c r="AW26" i="12"/>
  <c r="D27" i="12"/>
  <c r="AU27" i="12" s="1"/>
  <c r="AR27" i="12"/>
  <c r="AS27" i="12"/>
  <c r="AT27" i="12"/>
  <c r="AV27" i="12"/>
  <c r="AW27" i="12"/>
  <c r="AX27" i="12"/>
  <c r="AY27" i="12"/>
  <c r="D28" i="12"/>
  <c r="AR28" i="12"/>
  <c r="AS28" i="12"/>
  <c r="AT28" i="12"/>
  <c r="AU28" i="12"/>
  <c r="AV28" i="12"/>
  <c r="AW28" i="12"/>
  <c r="AX28" i="12"/>
  <c r="AY28" i="12"/>
  <c r="D29" i="12"/>
  <c r="AU29" i="12" s="1"/>
  <c r="AR29" i="12"/>
  <c r="AS29" i="12"/>
  <c r="AT29" i="12"/>
  <c r="AV29" i="12"/>
  <c r="AX29" i="12"/>
  <c r="AY29" i="12"/>
  <c r="D30" i="12"/>
  <c r="AR30" i="12"/>
  <c r="AS30" i="12"/>
  <c r="AT30" i="12"/>
  <c r="AU30" i="12"/>
  <c r="AV30" i="12"/>
  <c r="AW30" i="12"/>
  <c r="AX30" i="12"/>
  <c r="AY30" i="12"/>
  <c r="D31" i="12"/>
  <c r="AU31" i="12" s="1"/>
  <c r="AR31" i="12"/>
  <c r="AS31" i="12"/>
  <c r="AT31" i="12"/>
  <c r="D32" i="12"/>
  <c r="AU32" i="12" s="1"/>
  <c r="AR32" i="12"/>
  <c r="AS32" i="12"/>
  <c r="AT32" i="12"/>
  <c r="D33" i="12"/>
  <c r="AR33" i="12"/>
  <c r="AS33" i="12"/>
  <c r="AT33" i="12"/>
  <c r="D34" i="12"/>
  <c r="AR34" i="12"/>
  <c r="AS34" i="12"/>
  <c r="AT34" i="12"/>
  <c r="AU34" i="12"/>
  <c r="AV34" i="12"/>
  <c r="AW34" i="12"/>
  <c r="AX34" i="12"/>
  <c r="AY34" i="12"/>
  <c r="D35" i="12"/>
  <c r="AW35" i="12" s="1"/>
  <c r="AR35" i="12"/>
  <c r="AS35" i="12"/>
  <c r="AT35" i="12"/>
  <c r="AU35" i="12"/>
  <c r="AV35" i="12"/>
  <c r="D36" i="12"/>
  <c r="AR36" i="12"/>
  <c r="AS36" i="12"/>
  <c r="AT36" i="12"/>
  <c r="AU36" i="12"/>
  <c r="AV36" i="12"/>
  <c r="AW36" i="12"/>
  <c r="AX36" i="12"/>
  <c r="AY36" i="12"/>
  <c r="D37" i="12"/>
  <c r="AY37" i="12" s="1"/>
  <c r="AR37" i="12"/>
  <c r="AS37" i="12"/>
  <c r="AT37" i="12"/>
  <c r="AU37" i="12"/>
  <c r="AV37" i="12"/>
  <c r="AW37" i="12"/>
  <c r="AX37" i="12"/>
  <c r="D38" i="12"/>
  <c r="AV38" i="12" s="1"/>
  <c r="AR38" i="12"/>
  <c r="AS38" i="12"/>
  <c r="AT38" i="12"/>
  <c r="AU38" i="12"/>
  <c r="AW38" i="12"/>
  <c r="AX38" i="12"/>
  <c r="AY38" i="12"/>
  <c r="D39" i="12"/>
  <c r="AU39" i="12" s="1"/>
  <c r="AR39" i="12"/>
  <c r="AS39" i="12"/>
  <c r="AT39" i="12"/>
  <c r="AW39" i="12"/>
  <c r="AX39" i="12"/>
  <c r="D40" i="12"/>
  <c r="AU40" i="12" s="1"/>
  <c r="AR40" i="12"/>
  <c r="AS40" i="12"/>
  <c r="AT40" i="12"/>
  <c r="AY40" i="12"/>
  <c r="D41" i="12"/>
  <c r="AV41" i="12" s="1"/>
  <c r="AR41" i="12"/>
  <c r="AS41" i="12"/>
  <c r="AT41" i="12"/>
  <c r="AU41" i="12"/>
  <c r="AX41" i="12"/>
  <c r="AY41" i="12"/>
  <c r="D42" i="12"/>
  <c r="AR42" i="12"/>
  <c r="AS42" i="12"/>
  <c r="AT42" i="12"/>
  <c r="D43" i="12"/>
  <c r="AR43" i="12"/>
  <c r="AS43" i="12"/>
  <c r="AT43" i="12"/>
  <c r="AU43" i="12"/>
  <c r="AV43" i="12"/>
  <c r="AW43" i="12"/>
  <c r="AX43" i="12"/>
  <c r="AY43" i="12"/>
  <c r="D44" i="12"/>
  <c r="AV44" i="12" s="1"/>
  <c r="AR44" i="12"/>
  <c r="AS44" i="12"/>
  <c r="AT44" i="12"/>
  <c r="AU44" i="12"/>
  <c r="D45" i="12"/>
  <c r="AR45" i="12"/>
  <c r="AS45" i="12"/>
  <c r="AT45" i="12"/>
  <c r="AU45" i="12"/>
  <c r="AV45" i="12"/>
  <c r="AW45" i="12"/>
  <c r="AX45" i="12"/>
  <c r="AY45" i="12"/>
  <c r="D46" i="12"/>
  <c r="AX46" i="12" s="1"/>
  <c r="AR46" i="12"/>
  <c r="AS46" i="12"/>
  <c r="AT46" i="12"/>
  <c r="AU46" i="12"/>
  <c r="AV46" i="12"/>
  <c r="AW46" i="12"/>
  <c r="D2" i="13"/>
  <c r="AU2" i="13" s="1"/>
  <c r="AR2" i="13"/>
  <c r="AS2" i="13"/>
  <c r="AT2" i="13"/>
  <c r="AV2" i="13"/>
  <c r="AW2" i="13"/>
  <c r="AX2" i="13"/>
  <c r="AY2" i="13"/>
  <c r="D3" i="13"/>
  <c r="AR3" i="13"/>
  <c r="AS3" i="13"/>
  <c r="AT3" i="13"/>
  <c r="AU3" i="13"/>
  <c r="AV3" i="13"/>
  <c r="AW3" i="13"/>
  <c r="AX3" i="13"/>
  <c r="AY3" i="13"/>
  <c r="D4" i="13"/>
  <c r="AU4" i="13" s="1"/>
  <c r="AR4" i="13"/>
  <c r="AS4" i="13"/>
  <c r="AT4" i="13"/>
  <c r="AV4" i="13"/>
  <c r="AX4" i="13"/>
  <c r="AY4" i="13"/>
  <c r="D5" i="13"/>
  <c r="AR5" i="13"/>
  <c r="AS5" i="13"/>
  <c r="AT5" i="13"/>
  <c r="AU5" i="13"/>
  <c r="AV5" i="13"/>
  <c r="AW5" i="13"/>
  <c r="AX5" i="13"/>
  <c r="AY5" i="13"/>
  <c r="D6" i="13"/>
  <c r="AU6" i="13" s="1"/>
  <c r="AR6" i="13"/>
  <c r="AS6" i="13"/>
  <c r="AT6" i="13"/>
  <c r="D7" i="13"/>
  <c r="AU7" i="13" s="1"/>
  <c r="AR7" i="13"/>
  <c r="AS7" i="13"/>
  <c r="AT7" i="13"/>
  <c r="D8" i="13"/>
  <c r="AR8" i="13"/>
  <c r="AS8" i="13"/>
  <c r="AT8" i="13"/>
  <c r="D9" i="13"/>
  <c r="AU9" i="13" s="1"/>
  <c r="AR9" i="13"/>
  <c r="AS9" i="13"/>
  <c r="AT9" i="13"/>
  <c r="AV9" i="13"/>
  <c r="AW9" i="13"/>
  <c r="AX9" i="13"/>
  <c r="AY9" i="13"/>
  <c r="D10" i="13"/>
  <c r="AW10" i="13" s="1"/>
  <c r="AR10" i="13"/>
  <c r="AS10" i="13"/>
  <c r="AT10" i="13"/>
  <c r="AU10" i="13"/>
  <c r="AV10" i="13"/>
  <c r="AY10" i="13"/>
  <c r="D11" i="13"/>
  <c r="AR11" i="13"/>
  <c r="AS11" i="13"/>
  <c r="AT11" i="13"/>
  <c r="AU11" i="13"/>
  <c r="AV11" i="13"/>
  <c r="AW11" i="13"/>
  <c r="AX11" i="13"/>
  <c r="AY11" i="13"/>
  <c r="D12" i="13"/>
  <c r="AY12" i="13" s="1"/>
  <c r="AR12" i="13"/>
  <c r="AS12" i="13"/>
  <c r="AT12" i="13"/>
  <c r="AU12" i="13"/>
  <c r="AV12" i="13"/>
  <c r="AW12" i="13"/>
  <c r="AX12" i="13"/>
  <c r="AS13" i="13"/>
  <c r="AT13" i="13"/>
  <c r="AU13" i="13"/>
  <c r="AV13" i="13"/>
  <c r="AW13" i="13"/>
  <c r="AX13" i="13"/>
  <c r="AY13" i="13"/>
  <c r="AS14" i="13"/>
  <c r="AT14" i="13"/>
  <c r="AU14" i="13"/>
  <c r="AV14" i="13"/>
  <c r="AW14" i="13"/>
  <c r="AX14" i="13"/>
  <c r="AY14" i="13"/>
  <c r="D15" i="13"/>
  <c r="AV15" i="13" s="1"/>
  <c r="AR15" i="13"/>
  <c r="AS15" i="13"/>
  <c r="AT15" i="13"/>
  <c r="AU15" i="13"/>
  <c r="D16" i="13"/>
  <c r="AR16" i="13"/>
  <c r="AS16" i="13"/>
  <c r="AT16" i="13"/>
  <c r="AU16" i="13"/>
  <c r="AV16" i="13"/>
  <c r="AW16" i="13"/>
  <c r="AX16" i="13"/>
  <c r="AY16" i="13"/>
  <c r="D17" i="13"/>
  <c r="AX17" i="13" s="1"/>
  <c r="AR17" i="13"/>
  <c r="AS17" i="13"/>
  <c r="AT17" i="13"/>
  <c r="AU17" i="13"/>
  <c r="AV17" i="13"/>
  <c r="AW17" i="13"/>
  <c r="D18" i="13"/>
  <c r="AU18" i="13" s="1"/>
  <c r="AR18" i="13"/>
  <c r="AS18" i="13"/>
  <c r="AT18" i="13"/>
  <c r="AV18" i="13"/>
  <c r="AY18" i="13"/>
  <c r="D19" i="13"/>
  <c r="AR19" i="13"/>
  <c r="AS19" i="13"/>
  <c r="AT19" i="13"/>
  <c r="AU19" i="13"/>
  <c r="AV19" i="13"/>
  <c r="AW19" i="13"/>
  <c r="AX19" i="13"/>
  <c r="AY19" i="13"/>
  <c r="D20" i="13"/>
  <c r="AU20" i="13" s="1"/>
  <c r="AR20" i="13"/>
  <c r="AS20" i="13"/>
  <c r="AT20" i="13"/>
  <c r="AV20" i="13"/>
  <c r="AX20" i="13"/>
  <c r="AY20" i="13"/>
  <c r="D21" i="13"/>
  <c r="AU21" i="13" s="1"/>
  <c r="AR21" i="13"/>
  <c r="AS21" i="13"/>
  <c r="AT21" i="13"/>
  <c r="AW21" i="13"/>
  <c r="AX21" i="13"/>
  <c r="AY21" i="13"/>
  <c r="D22" i="13"/>
  <c r="AU22" i="13" s="1"/>
  <c r="AR22" i="13"/>
  <c r="AS22" i="13"/>
  <c r="AT22" i="13"/>
  <c r="D23" i="13"/>
  <c r="AU23" i="13" s="1"/>
  <c r="AR23" i="13"/>
  <c r="AS23" i="13"/>
  <c r="AT23" i="13"/>
  <c r="D24" i="13"/>
  <c r="AR24" i="13"/>
  <c r="AS24" i="13"/>
  <c r="AT24" i="13"/>
  <c r="D25" i="13"/>
  <c r="AU25" i="13" s="1"/>
  <c r="AR25" i="13"/>
  <c r="AS25" i="13"/>
  <c r="AT25" i="13"/>
  <c r="AV25" i="13"/>
  <c r="AX25" i="13"/>
  <c r="D26" i="13"/>
  <c r="AW26" i="13" s="1"/>
  <c r="AR26" i="13"/>
  <c r="AS26" i="13"/>
  <c r="AT26" i="13"/>
  <c r="AU26" i="13"/>
  <c r="AV26" i="13"/>
  <c r="AY26" i="13"/>
  <c r="D27" i="13"/>
  <c r="AR27" i="13"/>
  <c r="AS27" i="13"/>
  <c r="AT27" i="13"/>
  <c r="AU27" i="13"/>
  <c r="AV27" i="13"/>
  <c r="AW27" i="13"/>
  <c r="AX27" i="13"/>
  <c r="AY27" i="13"/>
  <c r="D28" i="13"/>
  <c r="AY28" i="13" s="1"/>
  <c r="AR28" i="13"/>
  <c r="AS28" i="13"/>
  <c r="AT28" i="13"/>
  <c r="AU28" i="13"/>
  <c r="AV28" i="13"/>
  <c r="AW28" i="13"/>
  <c r="AX28" i="13"/>
  <c r="D29" i="13"/>
  <c r="AV29" i="13" s="1"/>
  <c r="AR29" i="13"/>
  <c r="AS29" i="13"/>
  <c r="AT29" i="13"/>
  <c r="AU29" i="13"/>
  <c r="AW29" i="13"/>
  <c r="AX29" i="13"/>
  <c r="AY29" i="13"/>
  <c r="D30" i="13"/>
  <c r="AU30" i="13" s="1"/>
  <c r="AR30" i="13"/>
  <c r="AS30" i="13"/>
  <c r="AT30" i="13"/>
  <c r="AW30" i="13"/>
  <c r="AX30" i="13"/>
  <c r="D31" i="13"/>
  <c r="AU31" i="13" s="1"/>
  <c r="AR31" i="13"/>
  <c r="AS31" i="13"/>
  <c r="AT31" i="13"/>
  <c r="AY31" i="13"/>
  <c r="D32" i="13"/>
  <c r="AV32" i="13" s="1"/>
  <c r="AR32" i="13"/>
  <c r="AS32" i="13"/>
  <c r="AT32" i="13"/>
  <c r="AU32" i="13"/>
  <c r="AX32" i="13"/>
  <c r="AY32" i="13"/>
  <c r="D33" i="13"/>
  <c r="AR33" i="13"/>
  <c r="AS33" i="13"/>
  <c r="AT33" i="13"/>
  <c r="D34" i="13"/>
  <c r="AR34" i="13"/>
  <c r="AS34" i="13"/>
  <c r="AT34" i="13"/>
  <c r="AU34" i="13"/>
  <c r="AV34" i="13"/>
  <c r="AW34" i="13"/>
  <c r="AX34" i="13"/>
  <c r="AY34" i="13"/>
  <c r="D35" i="13"/>
  <c r="AV35" i="13" s="1"/>
  <c r="AR35" i="13"/>
  <c r="AS35" i="13"/>
  <c r="AT35" i="13"/>
  <c r="AU35" i="13"/>
  <c r="D36" i="13"/>
  <c r="AR36" i="13"/>
  <c r="AS36" i="13"/>
  <c r="AT36" i="13"/>
  <c r="AU36" i="13"/>
  <c r="AV36" i="13"/>
  <c r="AW36" i="13"/>
  <c r="AX36" i="13"/>
  <c r="AY36" i="13"/>
  <c r="D37" i="13"/>
  <c r="AY37" i="13" s="1"/>
  <c r="AR37" i="13"/>
  <c r="AS37" i="13"/>
  <c r="AT37" i="13"/>
  <c r="AU37" i="13"/>
  <c r="AV37" i="13"/>
  <c r="AW37" i="13"/>
  <c r="AX37" i="13"/>
  <c r="D38" i="13"/>
  <c r="AU38" i="13" s="1"/>
  <c r="AR38" i="13"/>
  <c r="AS38" i="13"/>
  <c r="AT38" i="13"/>
  <c r="AV38" i="13"/>
  <c r="AY38" i="13"/>
  <c r="D39" i="13"/>
  <c r="AR39" i="13"/>
  <c r="AS39" i="13"/>
  <c r="AT39" i="13"/>
  <c r="AU39" i="13"/>
  <c r="AV39" i="13"/>
  <c r="AW39" i="13"/>
  <c r="AX39" i="13"/>
  <c r="AY39" i="13"/>
  <c r="D40" i="13"/>
  <c r="AU40" i="13" s="1"/>
  <c r="AR40" i="13"/>
  <c r="AS40" i="13"/>
  <c r="AT40" i="13"/>
  <c r="AV40" i="13"/>
  <c r="AX40" i="13"/>
  <c r="AY40" i="13"/>
  <c r="D41" i="13"/>
  <c r="AU41" i="13" s="1"/>
  <c r="AR41" i="13"/>
  <c r="AS41" i="13"/>
  <c r="AT41" i="13"/>
  <c r="AW41" i="13"/>
  <c r="AX41" i="13"/>
  <c r="AY41" i="13"/>
  <c r="D42" i="13"/>
  <c r="AU42" i="13" s="1"/>
  <c r="AR42" i="13"/>
  <c r="AS42" i="13"/>
  <c r="AT42" i="13"/>
  <c r="D43" i="13"/>
  <c r="AU43" i="13" s="1"/>
  <c r="AR43" i="13"/>
  <c r="AS43" i="13"/>
  <c r="AT43" i="13"/>
  <c r="D44" i="13"/>
  <c r="AR44" i="13"/>
  <c r="AS44" i="13"/>
  <c r="AT44" i="13"/>
  <c r="D45" i="13"/>
  <c r="AU45" i="13" s="1"/>
  <c r="AR45" i="13"/>
  <c r="AS45" i="13"/>
  <c r="AT45" i="13"/>
  <c r="AV45" i="13"/>
  <c r="D46" i="13"/>
  <c r="AX46" i="13" s="1"/>
  <c r="AR46" i="13"/>
  <c r="AS46" i="13"/>
  <c r="AT46" i="13"/>
  <c r="AU46" i="13"/>
  <c r="AV46" i="13"/>
  <c r="AW46" i="13"/>
  <c r="AY46" i="13"/>
  <c r="D2" i="14"/>
  <c r="AR2" i="14"/>
  <c r="AS2" i="14"/>
  <c r="AT2" i="14"/>
  <c r="AU2" i="14"/>
  <c r="AV2" i="14"/>
  <c r="AW2" i="14"/>
  <c r="AX2" i="14"/>
  <c r="AY2" i="14"/>
  <c r="D3" i="14"/>
  <c r="AR3" i="14"/>
  <c r="AS3" i="14"/>
  <c r="AT3" i="14"/>
  <c r="AU3" i="14"/>
  <c r="AV3" i="14"/>
  <c r="AW3" i="14"/>
  <c r="AX3" i="14"/>
  <c r="AY3" i="14"/>
  <c r="D4" i="14"/>
  <c r="AV4" i="14" s="1"/>
  <c r="AR4" i="14"/>
  <c r="AS4" i="14"/>
  <c r="AT4" i="14"/>
  <c r="AU4" i="14"/>
  <c r="AW4" i="14"/>
  <c r="AX4" i="14"/>
  <c r="AY4" i="14"/>
  <c r="D5" i="14"/>
  <c r="AU5" i="14" s="1"/>
  <c r="AR5" i="14"/>
  <c r="AS5" i="14"/>
  <c r="AT5" i="14"/>
  <c r="AW5" i="14"/>
  <c r="AX5" i="14"/>
  <c r="D6" i="14"/>
  <c r="AU6" i="14" s="1"/>
  <c r="AR6" i="14"/>
  <c r="AS6" i="14"/>
  <c r="AT6" i="14"/>
  <c r="AY6" i="14"/>
  <c r="D7" i="14"/>
  <c r="AU7" i="14" s="1"/>
  <c r="AR7" i="14"/>
  <c r="AS7" i="14"/>
  <c r="AT7" i="14"/>
  <c r="AX7" i="14"/>
  <c r="AY7" i="14"/>
  <c r="D8" i="14"/>
  <c r="AR8" i="14"/>
  <c r="AS8" i="14"/>
  <c r="AT8" i="14"/>
  <c r="D9" i="14"/>
  <c r="AR9" i="14"/>
  <c r="AS9" i="14"/>
  <c r="AT9" i="14"/>
  <c r="AU9" i="14"/>
  <c r="AV9" i="14"/>
  <c r="AW9" i="14"/>
  <c r="AX9" i="14"/>
  <c r="AY9" i="14"/>
  <c r="D10" i="14"/>
  <c r="AW10" i="14" s="1"/>
  <c r="AR10" i="14"/>
  <c r="AS10" i="14"/>
  <c r="AT10" i="14"/>
  <c r="AU10" i="14"/>
  <c r="AV10" i="14"/>
  <c r="AX10" i="14"/>
  <c r="D11" i="14"/>
  <c r="AR11" i="14"/>
  <c r="AS11" i="14"/>
  <c r="AT11" i="14"/>
  <c r="AU11" i="14"/>
  <c r="AV11" i="14"/>
  <c r="AW11" i="14"/>
  <c r="AX11" i="14"/>
  <c r="AY11" i="14"/>
  <c r="D12" i="14"/>
  <c r="AY12" i="14" s="1"/>
  <c r="AR12" i="14"/>
  <c r="AS12" i="14"/>
  <c r="AT12" i="14"/>
  <c r="AU12" i="14"/>
  <c r="AV12" i="14"/>
  <c r="AW12" i="14"/>
  <c r="AX12" i="14"/>
  <c r="AS13" i="14"/>
  <c r="AT13" i="14"/>
  <c r="AU13" i="14"/>
  <c r="AV13" i="14"/>
  <c r="AW13" i="14"/>
  <c r="AX13" i="14"/>
  <c r="AY13" i="14"/>
  <c r="AS14" i="14"/>
  <c r="AT14" i="14"/>
  <c r="AU14" i="14"/>
  <c r="AV14" i="14"/>
  <c r="AW14" i="14"/>
  <c r="AX14" i="14"/>
  <c r="AY14" i="14"/>
  <c r="D15" i="14"/>
  <c r="AR15" i="14"/>
  <c r="AS15" i="14"/>
  <c r="AT15" i="14"/>
  <c r="D16" i="14"/>
  <c r="AU16" i="14" s="1"/>
  <c r="AR16" i="14"/>
  <c r="AS16" i="14"/>
  <c r="AT16" i="14"/>
  <c r="AV16" i="14"/>
  <c r="D17" i="14"/>
  <c r="AX17" i="14" s="1"/>
  <c r="AR17" i="14"/>
  <c r="AS17" i="14"/>
  <c r="AT17" i="14"/>
  <c r="AU17" i="14"/>
  <c r="AV17" i="14"/>
  <c r="AW17" i="14"/>
  <c r="AY17" i="14"/>
  <c r="D18" i="14"/>
  <c r="AR18" i="14"/>
  <c r="AS18" i="14"/>
  <c r="AT18" i="14"/>
  <c r="AU18" i="14"/>
  <c r="AV18" i="14"/>
  <c r="AW18" i="14"/>
  <c r="AX18" i="14"/>
  <c r="AY18" i="14"/>
  <c r="D19" i="14"/>
  <c r="AR19" i="14"/>
  <c r="AS19" i="14"/>
  <c r="AT19" i="14"/>
  <c r="AU19" i="14"/>
  <c r="AV19" i="14"/>
  <c r="AW19" i="14"/>
  <c r="AX19" i="14"/>
  <c r="AY19" i="14"/>
  <c r="D20" i="14"/>
  <c r="AV20" i="14" s="1"/>
  <c r="AR20" i="14"/>
  <c r="AS20" i="14"/>
  <c r="AT20" i="14"/>
  <c r="AU20" i="14"/>
  <c r="AW20" i="14"/>
  <c r="AX20" i="14"/>
  <c r="AY20" i="14"/>
  <c r="D21" i="14"/>
  <c r="AU21" i="14" s="1"/>
  <c r="AR21" i="14"/>
  <c r="AS21" i="14"/>
  <c r="AT21" i="14"/>
  <c r="AW21" i="14"/>
  <c r="AX21" i="14"/>
  <c r="D22" i="14"/>
  <c r="AU22" i="14" s="1"/>
  <c r="AR22" i="14"/>
  <c r="AS22" i="14"/>
  <c r="AT22" i="14"/>
  <c r="AY22" i="14"/>
  <c r="D23" i="14"/>
  <c r="AU23" i="14" s="1"/>
  <c r="AR23" i="14"/>
  <c r="AS23" i="14"/>
  <c r="AT23" i="14"/>
  <c r="AX23" i="14"/>
  <c r="AY23" i="14"/>
  <c r="D24" i="14"/>
  <c r="AR24" i="14"/>
  <c r="AS24" i="14"/>
  <c r="AT24" i="14"/>
  <c r="D25" i="14"/>
  <c r="AR25" i="14"/>
  <c r="AS25" i="14"/>
  <c r="AT25" i="14"/>
  <c r="AU25" i="14"/>
  <c r="AV25" i="14"/>
  <c r="AW25" i="14"/>
  <c r="AX25" i="14"/>
  <c r="AY25" i="14"/>
  <c r="D26" i="14"/>
  <c r="AW26" i="14" s="1"/>
  <c r="AR26" i="14"/>
  <c r="AS26" i="14"/>
  <c r="AT26" i="14"/>
  <c r="AU26" i="14"/>
  <c r="AV26" i="14"/>
  <c r="AX26" i="14"/>
  <c r="D27" i="14"/>
  <c r="AR27" i="14"/>
  <c r="AS27" i="14"/>
  <c r="AT27" i="14"/>
  <c r="AU27" i="14"/>
  <c r="AV27" i="14"/>
  <c r="AW27" i="14"/>
  <c r="AX27" i="14"/>
  <c r="AY27" i="14"/>
  <c r="D28" i="14"/>
  <c r="AY28" i="14" s="1"/>
  <c r="AR28" i="14"/>
  <c r="AS28" i="14"/>
  <c r="AT28" i="14"/>
  <c r="AU28" i="14"/>
  <c r="AV28" i="14"/>
  <c r="AW28" i="14"/>
  <c r="AX28" i="14"/>
  <c r="D29" i="14"/>
  <c r="AU29" i="14" s="1"/>
  <c r="AR29" i="14"/>
  <c r="AS29" i="14"/>
  <c r="AT29" i="14"/>
  <c r="AV29" i="14"/>
  <c r="AY29" i="14"/>
  <c r="D30" i="14"/>
  <c r="AR30" i="14"/>
  <c r="AS30" i="14"/>
  <c r="AT30" i="14"/>
  <c r="AU30" i="14"/>
  <c r="AV30" i="14"/>
  <c r="AW30" i="14"/>
  <c r="AX30" i="14"/>
  <c r="AY30" i="14"/>
  <c r="D31" i="14"/>
  <c r="AU31" i="14" s="1"/>
  <c r="AR31" i="14"/>
  <c r="AS31" i="14"/>
  <c r="AT31" i="14"/>
  <c r="AX31" i="14"/>
  <c r="D32" i="14"/>
  <c r="AU32" i="14" s="1"/>
  <c r="AR32" i="14"/>
  <c r="AS32" i="14"/>
  <c r="AT32" i="14"/>
  <c r="AW32" i="14"/>
  <c r="AX32" i="14"/>
  <c r="AY32" i="14"/>
  <c r="D33" i="14"/>
  <c r="AV33" i="14" s="1"/>
  <c r="AR33" i="14"/>
  <c r="AS33" i="14"/>
  <c r="AT33" i="14"/>
  <c r="AU33" i="14"/>
  <c r="AX33" i="14"/>
  <c r="D34" i="14"/>
  <c r="AU34" i="14" s="1"/>
  <c r="AR34" i="14"/>
  <c r="AS34" i="14"/>
  <c r="AT34" i="14"/>
  <c r="D35" i="14"/>
  <c r="AR35" i="14"/>
  <c r="AS35" i="14"/>
  <c r="AT35" i="14"/>
  <c r="D36" i="14"/>
  <c r="AU36" i="14" s="1"/>
  <c r="AR36" i="14"/>
  <c r="AS36" i="14"/>
  <c r="AT36" i="14"/>
  <c r="AV36" i="14"/>
  <c r="D37" i="14"/>
  <c r="AX37" i="14" s="1"/>
  <c r="AR37" i="14"/>
  <c r="AS37" i="14"/>
  <c r="AT37" i="14"/>
  <c r="AU37" i="14"/>
  <c r="AV37" i="14"/>
  <c r="AW37" i="14"/>
  <c r="AY37" i="14"/>
  <c r="D38" i="14"/>
  <c r="AR38" i="14"/>
  <c r="AS38" i="14"/>
  <c r="AT38" i="14"/>
  <c r="AU38" i="14"/>
  <c r="AV38" i="14"/>
  <c r="AW38" i="14"/>
  <c r="AX38" i="14"/>
  <c r="AY38" i="14"/>
  <c r="D39" i="14"/>
  <c r="AR39" i="14"/>
  <c r="AS39" i="14"/>
  <c r="AT39" i="14"/>
  <c r="AU39" i="14"/>
  <c r="AV39" i="14"/>
  <c r="AW39" i="14"/>
  <c r="AX39" i="14"/>
  <c r="AY39" i="14"/>
  <c r="D40" i="14"/>
  <c r="AV40" i="14" s="1"/>
  <c r="AR40" i="14"/>
  <c r="AS40" i="14"/>
  <c r="AT40" i="14"/>
  <c r="AU40" i="14"/>
  <c r="AW40" i="14"/>
  <c r="AX40" i="14"/>
  <c r="AY40" i="14"/>
  <c r="D41" i="14"/>
  <c r="AU41" i="14" s="1"/>
  <c r="AR41" i="14"/>
  <c r="AS41" i="14"/>
  <c r="AT41" i="14"/>
  <c r="AW41" i="14"/>
  <c r="AX41" i="14"/>
  <c r="D42" i="14"/>
  <c r="AU42" i="14" s="1"/>
  <c r="AR42" i="14"/>
  <c r="AS42" i="14"/>
  <c r="AT42" i="14"/>
  <c r="AW42" i="14"/>
  <c r="AY42" i="14"/>
  <c r="D43" i="14"/>
  <c r="AU43" i="14" s="1"/>
  <c r="AR43" i="14"/>
  <c r="AS43" i="14"/>
  <c r="AT43" i="14"/>
  <c r="AX43" i="14"/>
  <c r="AY43" i="14"/>
  <c r="D44" i="14"/>
  <c r="AR44" i="14"/>
  <c r="AS44" i="14"/>
  <c r="AT44" i="14"/>
  <c r="D45" i="14"/>
  <c r="AR45" i="14"/>
  <c r="AS45" i="14"/>
  <c r="AT45" i="14"/>
  <c r="AU45" i="14"/>
  <c r="AV45" i="14"/>
  <c r="AW45" i="14"/>
  <c r="AX45" i="14"/>
  <c r="AY45" i="14"/>
  <c r="D46" i="14"/>
  <c r="AW46" i="14" s="1"/>
  <c r="AR46" i="14"/>
  <c r="AS46" i="14"/>
  <c r="AT46" i="14"/>
  <c r="AU46" i="14"/>
  <c r="AV46" i="14"/>
  <c r="AX46" i="14"/>
  <c r="D2" i="15"/>
  <c r="AR2" i="15"/>
  <c r="AS2" i="15"/>
  <c r="AT2" i="15"/>
  <c r="AU2" i="15"/>
  <c r="AV2" i="15"/>
  <c r="AW2" i="15"/>
  <c r="AX2" i="15"/>
  <c r="AY2" i="15"/>
  <c r="D3" i="15"/>
  <c r="AY3" i="15" s="1"/>
  <c r="AR3" i="15"/>
  <c r="AS3" i="15"/>
  <c r="AT3" i="15"/>
  <c r="AU3" i="15"/>
  <c r="AV3" i="15"/>
  <c r="AW3" i="15"/>
  <c r="AX3" i="15"/>
  <c r="D4" i="15"/>
  <c r="AU4" i="15" s="1"/>
  <c r="AR4" i="15"/>
  <c r="AS4" i="15"/>
  <c r="AT4" i="15"/>
  <c r="AV4" i="15"/>
  <c r="AY4" i="15"/>
  <c r="D5" i="15"/>
  <c r="AR5" i="15"/>
  <c r="AS5" i="15"/>
  <c r="AT5" i="15"/>
  <c r="AU5" i="15"/>
  <c r="AV5" i="15"/>
  <c r="AW5" i="15"/>
  <c r="AX5" i="15"/>
  <c r="AY5" i="15"/>
  <c r="D6" i="15"/>
  <c r="AU6" i="15" s="1"/>
  <c r="AR6" i="15"/>
  <c r="AS6" i="15"/>
  <c r="AT6" i="15"/>
  <c r="AX6" i="15"/>
  <c r="D7" i="15"/>
  <c r="AU7" i="15" s="1"/>
  <c r="AR7" i="15"/>
  <c r="AS7" i="15"/>
  <c r="AT7" i="15"/>
  <c r="AW7" i="15"/>
  <c r="AX7" i="15"/>
  <c r="AY7" i="15"/>
  <c r="D8" i="15"/>
  <c r="AV8" i="15" s="1"/>
  <c r="AR8" i="15"/>
  <c r="AS8" i="15"/>
  <c r="AT8" i="15"/>
  <c r="AU8" i="15"/>
  <c r="AX8" i="15"/>
  <c r="D9" i="15"/>
  <c r="AU9" i="15" s="1"/>
  <c r="AR9" i="15"/>
  <c r="AS9" i="15"/>
  <c r="AT9" i="15"/>
  <c r="D10" i="15"/>
  <c r="AR10" i="15"/>
  <c r="AS10" i="15"/>
  <c r="AT10" i="15"/>
  <c r="D11" i="15"/>
  <c r="AU11" i="15" s="1"/>
  <c r="AR11" i="15"/>
  <c r="AS11" i="15"/>
  <c r="AT11" i="15"/>
  <c r="AV11" i="15"/>
  <c r="D12" i="15"/>
  <c r="AX12" i="15" s="1"/>
  <c r="AR12" i="15"/>
  <c r="AS12" i="15"/>
  <c r="AT12" i="15"/>
  <c r="AU12" i="15"/>
  <c r="AV12" i="15"/>
  <c r="AW12" i="15"/>
  <c r="AY12" i="15"/>
  <c r="AS13" i="15"/>
  <c r="AT13" i="15"/>
  <c r="AU13" i="15"/>
  <c r="AV13" i="15"/>
  <c r="AW13" i="15"/>
  <c r="AX13" i="15"/>
  <c r="AY13" i="15"/>
  <c r="AS14" i="15"/>
  <c r="AT14" i="15"/>
  <c r="AU14" i="15"/>
  <c r="AV14" i="15"/>
  <c r="AW14" i="15"/>
  <c r="AX14" i="15"/>
  <c r="AY14" i="15"/>
  <c r="D15" i="15"/>
  <c r="AR15" i="15"/>
  <c r="AS15" i="15"/>
  <c r="AT15" i="15"/>
  <c r="D16" i="15"/>
  <c r="AR16" i="15"/>
  <c r="AS16" i="15"/>
  <c r="AT16" i="15"/>
  <c r="AU16" i="15"/>
  <c r="AV16" i="15"/>
  <c r="AW16" i="15"/>
  <c r="AX16" i="15"/>
  <c r="AY16" i="15"/>
  <c r="D17" i="15"/>
  <c r="AW17" i="15" s="1"/>
  <c r="AR17" i="15"/>
  <c r="AS17" i="15"/>
  <c r="AT17" i="15"/>
  <c r="AU17" i="15"/>
  <c r="AV17" i="15"/>
  <c r="AX17" i="15"/>
  <c r="D18" i="15"/>
  <c r="AR18" i="15"/>
  <c r="AS18" i="15"/>
  <c r="AT18" i="15"/>
  <c r="AU18" i="15"/>
  <c r="AV18" i="15"/>
  <c r="AW18" i="15"/>
  <c r="AX18" i="15"/>
  <c r="AY18" i="15"/>
  <c r="D19" i="15"/>
  <c r="AY19" i="15" s="1"/>
  <c r="AR19" i="15"/>
  <c r="AS19" i="15"/>
  <c r="AT19" i="15"/>
  <c r="AU19" i="15"/>
  <c r="AV19" i="15"/>
  <c r="AW19" i="15"/>
  <c r="AX19" i="15"/>
  <c r="D20" i="15"/>
  <c r="AU20" i="15" s="1"/>
  <c r="AR20" i="15"/>
  <c r="AS20" i="15"/>
  <c r="AT20" i="15"/>
  <c r="AV20" i="15"/>
  <c r="AY20" i="15"/>
  <c r="D21" i="15"/>
  <c r="AR21" i="15"/>
  <c r="AS21" i="15"/>
  <c r="AT21" i="15"/>
  <c r="AU21" i="15"/>
  <c r="AV21" i="15"/>
  <c r="AW21" i="15"/>
  <c r="AX21" i="15"/>
  <c r="AY21" i="15"/>
  <c r="D22" i="15"/>
  <c r="AU22" i="15" s="1"/>
  <c r="AR22" i="15"/>
  <c r="AS22" i="15"/>
  <c r="AT22" i="15"/>
  <c r="AX22" i="15"/>
  <c r="D23" i="15"/>
  <c r="AU23" i="15" s="1"/>
  <c r="AR23" i="15"/>
  <c r="AS23" i="15"/>
  <c r="AT23" i="15"/>
  <c r="AW23" i="15"/>
  <c r="AX23" i="15"/>
  <c r="AY23" i="15"/>
  <c r="D24" i="15"/>
  <c r="AV24" i="15" s="1"/>
  <c r="AR24" i="15"/>
  <c r="AS24" i="15"/>
  <c r="AT24" i="15"/>
  <c r="AU24" i="15"/>
  <c r="AX24" i="15"/>
  <c r="D25" i="15"/>
  <c r="AU25" i="15" s="1"/>
  <c r="AR25" i="15"/>
  <c r="AS25" i="15"/>
  <c r="AT25" i="15"/>
  <c r="D26" i="15"/>
  <c r="AR26" i="15"/>
  <c r="AS26" i="15"/>
  <c r="AT26" i="15"/>
  <c r="D27" i="15"/>
  <c r="AU27" i="15" s="1"/>
  <c r="AR27" i="15"/>
  <c r="AS27" i="15"/>
  <c r="AT27" i="15"/>
  <c r="AV27" i="15"/>
  <c r="D28" i="15"/>
  <c r="AX28" i="15" s="1"/>
  <c r="AR28" i="15"/>
  <c r="AS28" i="15"/>
  <c r="AT28" i="15"/>
  <c r="AU28" i="15"/>
  <c r="AV28" i="15"/>
  <c r="AW28" i="15"/>
  <c r="AY28" i="15"/>
  <c r="D29" i="15"/>
  <c r="AR29" i="15"/>
  <c r="AS29" i="15"/>
  <c r="AT29" i="15"/>
  <c r="AU29" i="15"/>
  <c r="AV29" i="15"/>
  <c r="AW29" i="15"/>
  <c r="AX29" i="15"/>
  <c r="AY29" i="15"/>
  <c r="D30" i="15"/>
  <c r="AW30" i="15" s="1"/>
  <c r="AR30" i="15"/>
  <c r="AS30" i="15"/>
  <c r="AT30" i="15"/>
  <c r="AU30" i="15"/>
  <c r="AV30" i="15"/>
  <c r="AX30" i="15"/>
  <c r="AY30" i="15"/>
  <c r="D31" i="15"/>
  <c r="AV31" i="15" s="1"/>
  <c r="AR31" i="15"/>
  <c r="AS31" i="15"/>
  <c r="AT31" i="15"/>
  <c r="AU31" i="15"/>
  <c r="AW31" i="15"/>
  <c r="AX31" i="15"/>
  <c r="AY31" i="15"/>
  <c r="D32" i="15"/>
  <c r="AU32" i="15" s="1"/>
  <c r="AR32" i="15"/>
  <c r="AS32" i="15"/>
  <c r="AT32" i="15"/>
  <c r="AW32" i="15"/>
  <c r="AX32" i="15"/>
  <c r="D33" i="15"/>
  <c r="AU33" i="15" s="1"/>
  <c r="AR33" i="15"/>
  <c r="AS33" i="15"/>
  <c r="AT33" i="15"/>
  <c r="AW33" i="15"/>
  <c r="AY33" i="15"/>
  <c r="D34" i="15"/>
  <c r="AV34" i="15" s="1"/>
  <c r="AR34" i="15"/>
  <c r="AS34" i="15"/>
  <c r="AT34" i="15"/>
  <c r="AU34" i="15"/>
  <c r="AY34" i="15"/>
  <c r="D35" i="15"/>
  <c r="AR35" i="15"/>
  <c r="AS35" i="15"/>
  <c r="AT35" i="15"/>
  <c r="D36" i="15"/>
  <c r="AR36" i="15"/>
  <c r="AS36" i="15"/>
  <c r="AT36" i="15"/>
  <c r="AU36" i="15"/>
  <c r="AV36" i="15"/>
  <c r="AW36" i="15"/>
  <c r="AX36" i="15"/>
  <c r="AY36" i="15"/>
  <c r="D37" i="15"/>
  <c r="AW37" i="15" s="1"/>
  <c r="AR37" i="15"/>
  <c r="AS37" i="15"/>
  <c r="AT37" i="15"/>
  <c r="AU37" i="15"/>
  <c r="AV37" i="15"/>
  <c r="AX37" i="15"/>
  <c r="D38" i="15"/>
  <c r="AR38" i="15"/>
  <c r="AS38" i="15"/>
  <c r="AT38" i="15"/>
  <c r="AU38" i="15"/>
  <c r="AV38" i="15"/>
  <c r="AW38" i="15"/>
  <c r="AX38" i="15"/>
  <c r="AY38" i="15"/>
  <c r="D39" i="15"/>
  <c r="AY39" i="15" s="1"/>
  <c r="AR39" i="15"/>
  <c r="AS39" i="15"/>
  <c r="AT39" i="15"/>
  <c r="AU39" i="15"/>
  <c r="AV39" i="15"/>
  <c r="AW39" i="15"/>
  <c r="AX39" i="15"/>
  <c r="D40" i="15"/>
  <c r="AU40" i="15" s="1"/>
  <c r="AR40" i="15"/>
  <c r="AS40" i="15"/>
  <c r="AT40" i="15"/>
  <c r="AV40" i="15"/>
  <c r="AY40" i="15"/>
  <c r="D41" i="15"/>
  <c r="AR41" i="15"/>
  <c r="AS41" i="15"/>
  <c r="AT41" i="15"/>
  <c r="AU41" i="15"/>
  <c r="AV41" i="15"/>
  <c r="AW41" i="15"/>
  <c r="AX41" i="15"/>
  <c r="AY41" i="15"/>
  <c r="D42" i="15"/>
  <c r="AU42" i="15" s="1"/>
  <c r="AR42" i="15"/>
  <c r="AS42" i="15"/>
  <c r="AT42" i="15"/>
  <c r="AX42" i="15"/>
  <c r="D43" i="15"/>
  <c r="AU43" i="15" s="1"/>
  <c r="AR43" i="15"/>
  <c r="AS43" i="15"/>
  <c r="AT43" i="15"/>
  <c r="AW43" i="15"/>
  <c r="AX43" i="15"/>
  <c r="AY43" i="15"/>
  <c r="D44" i="15"/>
  <c r="AV44" i="15" s="1"/>
  <c r="AR44" i="15"/>
  <c r="AS44" i="15"/>
  <c r="AT44" i="15"/>
  <c r="AU44" i="15"/>
  <c r="AX44" i="15"/>
  <c r="D45" i="15"/>
  <c r="AR45" i="15"/>
  <c r="AS45" i="15"/>
  <c r="AT45" i="15"/>
  <c r="D46" i="15"/>
  <c r="AR46" i="15"/>
  <c r="AS46" i="15"/>
  <c r="AT46" i="15"/>
  <c r="D2" i="16"/>
  <c r="AU2" i="16" s="1"/>
  <c r="AR2" i="16"/>
  <c r="AS2" i="16"/>
  <c r="AT2" i="16"/>
  <c r="AV2" i="16"/>
  <c r="D3" i="16"/>
  <c r="AX3" i="16" s="1"/>
  <c r="AR3" i="16"/>
  <c r="AS3" i="16"/>
  <c r="AT3" i="16"/>
  <c r="AU3" i="16"/>
  <c r="AV3" i="16"/>
  <c r="AW3" i="16"/>
  <c r="AY3" i="16"/>
  <c r="D4" i="16"/>
  <c r="AR4" i="16"/>
  <c r="AS4" i="16"/>
  <c r="AT4" i="16"/>
  <c r="AU4" i="16"/>
  <c r="AV4" i="16"/>
  <c r="AW4" i="16"/>
  <c r="AX4" i="16"/>
  <c r="AY4" i="16"/>
  <c r="D5" i="16"/>
  <c r="AW5" i="16" s="1"/>
  <c r="AR5" i="16"/>
  <c r="AS5" i="16"/>
  <c r="AT5" i="16"/>
  <c r="AU5" i="16"/>
  <c r="AV5" i="16"/>
  <c r="AX5" i="16"/>
  <c r="AY5" i="16"/>
  <c r="D6" i="16"/>
  <c r="AV6" i="16" s="1"/>
  <c r="AR6" i="16"/>
  <c r="AS6" i="16"/>
  <c r="AT6" i="16"/>
  <c r="AU6" i="16"/>
  <c r="AW6" i="16"/>
  <c r="AX6" i="16"/>
  <c r="AY6" i="16"/>
  <c r="D7" i="16"/>
  <c r="AU7" i="16" s="1"/>
  <c r="AR7" i="16"/>
  <c r="AS7" i="16"/>
  <c r="AT7" i="16"/>
  <c r="AW7" i="16"/>
  <c r="AX7" i="16"/>
  <c r="D8" i="16"/>
  <c r="AU8" i="16" s="1"/>
  <c r="AR8" i="16"/>
  <c r="AS8" i="16"/>
  <c r="AT8" i="16"/>
  <c r="AW8" i="16"/>
  <c r="AY8" i="16"/>
  <c r="D9" i="16"/>
  <c r="AU9" i="16" s="1"/>
  <c r="AR9" i="16"/>
  <c r="AS9" i="16"/>
  <c r="AT9" i="16"/>
  <c r="AY9" i="16"/>
  <c r="D10" i="16"/>
  <c r="AR10" i="16"/>
  <c r="AS10" i="16"/>
  <c r="AT10" i="16"/>
  <c r="D11" i="16"/>
  <c r="AR11" i="16"/>
  <c r="AS11" i="16"/>
  <c r="AT11" i="16"/>
  <c r="AU11" i="16"/>
  <c r="AV11" i="16"/>
  <c r="AW11" i="16"/>
  <c r="AX11" i="16"/>
  <c r="AY11" i="16"/>
  <c r="D12" i="16"/>
  <c r="AW12" i="16" s="1"/>
  <c r="AR12" i="16"/>
  <c r="AS12" i="16"/>
  <c r="AT12" i="16"/>
  <c r="AU12" i="16"/>
  <c r="AV12" i="16"/>
  <c r="AX12" i="16"/>
  <c r="AS13" i="16"/>
  <c r="AT13" i="16"/>
  <c r="AU13" i="16"/>
  <c r="AV13" i="16"/>
  <c r="AW13" i="16"/>
  <c r="AX13" i="16"/>
  <c r="AY13" i="16"/>
  <c r="AS14" i="16"/>
  <c r="AT14" i="16"/>
  <c r="AU14" i="16"/>
  <c r="AV14" i="16"/>
  <c r="AW14" i="16"/>
  <c r="AX14" i="16"/>
  <c r="AY14" i="16"/>
  <c r="D15" i="16"/>
  <c r="AV15" i="16" s="1"/>
  <c r="AR15" i="16"/>
  <c r="AS15" i="16"/>
  <c r="AT15" i="16"/>
  <c r="AU15" i="16"/>
  <c r="AX15" i="16"/>
  <c r="D16" i="16"/>
  <c r="AR16" i="16"/>
  <c r="AS16" i="16"/>
  <c r="AT16" i="16"/>
  <c r="D17" i="16"/>
  <c r="AR17" i="16"/>
  <c r="AS17" i="16"/>
  <c r="AT17" i="16"/>
  <c r="D18" i="16"/>
  <c r="AU18" i="16" s="1"/>
  <c r="AR18" i="16"/>
  <c r="AS18" i="16"/>
  <c r="AT18" i="16"/>
  <c r="AV18" i="16"/>
  <c r="D19" i="16"/>
  <c r="AX19" i="16" s="1"/>
  <c r="AR19" i="16"/>
  <c r="AS19" i="16"/>
  <c r="AT19" i="16"/>
  <c r="AU19" i="16"/>
  <c r="AV19" i="16"/>
  <c r="AW19" i="16"/>
  <c r="AY19" i="16"/>
  <c r="D20" i="16"/>
  <c r="AR20" i="16"/>
  <c r="AS20" i="16"/>
  <c r="AT20" i="16"/>
  <c r="AU20" i="16"/>
  <c r="AV20" i="16"/>
  <c r="AW20" i="16"/>
  <c r="AX20" i="16"/>
  <c r="AY20" i="16"/>
  <c r="D21" i="16"/>
  <c r="AW21" i="16" s="1"/>
  <c r="AR21" i="16"/>
  <c r="AS21" i="16"/>
  <c r="AT21" i="16"/>
  <c r="AU21" i="16"/>
  <c r="AV21" i="16"/>
  <c r="AX21" i="16"/>
  <c r="AY21" i="16"/>
  <c r="D22" i="16"/>
  <c r="AV22" i="16" s="1"/>
  <c r="AR22" i="16"/>
  <c r="AS22" i="16"/>
  <c r="AT22" i="16"/>
  <c r="AU22" i="16"/>
  <c r="AW22" i="16"/>
  <c r="AX22" i="16"/>
  <c r="AY22" i="16"/>
  <c r="D23" i="16"/>
  <c r="AU23" i="16" s="1"/>
  <c r="AR23" i="16"/>
  <c r="AS23" i="16"/>
  <c r="AT23" i="16"/>
  <c r="AW23" i="16"/>
  <c r="AX23" i="16"/>
  <c r="D24" i="16"/>
  <c r="AU24" i="16" s="1"/>
  <c r="AR24" i="16"/>
  <c r="AS24" i="16"/>
  <c r="AT24" i="16"/>
  <c r="AW24" i="16"/>
  <c r="AY24" i="16"/>
  <c r="D25" i="16"/>
  <c r="AU25" i="16" s="1"/>
  <c r="AR25" i="16"/>
  <c r="AS25" i="16"/>
  <c r="AT25" i="16"/>
  <c r="AY25" i="16"/>
  <c r="D26" i="16"/>
  <c r="AR26" i="16"/>
  <c r="AS26" i="16"/>
  <c r="AT26" i="16"/>
  <c r="D27" i="16"/>
  <c r="AR27" i="16"/>
  <c r="AS27" i="16"/>
  <c r="AT27" i="16"/>
  <c r="AU27" i="16"/>
  <c r="AV27" i="16"/>
  <c r="AW27" i="16"/>
  <c r="AX27" i="16"/>
  <c r="AY27" i="16"/>
  <c r="D28" i="16"/>
  <c r="AW28" i="16" s="1"/>
  <c r="AR28" i="16"/>
  <c r="AS28" i="16"/>
  <c r="AT28" i="16"/>
  <c r="AU28" i="16"/>
  <c r="AV28" i="16"/>
  <c r="AX28" i="16"/>
  <c r="D29" i="16"/>
  <c r="AR29" i="16"/>
  <c r="AS29" i="16"/>
  <c r="AT29" i="16"/>
  <c r="AU29" i="16"/>
  <c r="AV29" i="16"/>
  <c r="AW29" i="16"/>
  <c r="AX29" i="16"/>
  <c r="AY29" i="16"/>
  <c r="D30" i="16"/>
  <c r="AY30" i="16" s="1"/>
  <c r="AR30" i="16"/>
  <c r="AS30" i="16"/>
  <c r="AT30" i="16"/>
  <c r="AU30" i="16"/>
  <c r="AV30" i="16"/>
  <c r="AW30" i="16"/>
  <c r="AX30" i="16"/>
  <c r="D31" i="16"/>
  <c r="AU31" i="16" s="1"/>
  <c r="AR31" i="16"/>
  <c r="AS31" i="16"/>
  <c r="AT31" i="16"/>
  <c r="AV31" i="16"/>
  <c r="AY31" i="16"/>
  <c r="D32" i="16"/>
  <c r="AR32" i="16"/>
  <c r="AS32" i="16"/>
  <c r="AT32" i="16"/>
  <c r="AU32" i="16"/>
  <c r="AV32" i="16"/>
  <c r="AW32" i="16"/>
  <c r="AX32" i="16"/>
  <c r="AY32" i="16"/>
  <c r="D33" i="16"/>
  <c r="AU33" i="16" s="1"/>
  <c r="AR33" i="16"/>
  <c r="AS33" i="16"/>
  <c r="AT33" i="16"/>
  <c r="AX33" i="16"/>
  <c r="D34" i="16"/>
  <c r="AU34" i="16" s="1"/>
  <c r="AR34" i="16"/>
  <c r="AS34" i="16"/>
  <c r="AT34" i="16"/>
  <c r="AW34" i="16"/>
  <c r="AX34" i="16"/>
  <c r="AY34" i="16"/>
  <c r="D35" i="16"/>
  <c r="AV35" i="16" s="1"/>
  <c r="AR35" i="16"/>
  <c r="AS35" i="16"/>
  <c r="AT35" i="16"/>
  <c r="AU35" i="16"/>
  <c r="AX35" i="16"/>
  <c r="D36" i="16"/>
  <c r="AR36" i="16"/>
  <c r="AS36" i="16"/>
  <c r="AT36" i="16"/>
  <c r="D37" i="16"/>
  <c r="AR37" i="16"/>
  <c r="AS37" i="16"/>
  <c r="AT37" i="16"/>
  <c r="D38" i="16"/>
  <c r="AU38" i="16" s="1"/>
  <c r="AR38" i="16"/>
  <c r="AS38" i="16"/>
  <c r="AT38" i="16"/>
  <c r="AV38" i="16"/>
  <c r="D39" i="16"/>
  <c r="AX39" i="16" s="1"/>
  <c r="AR39" i="16"/>
  <c r="AS39" i="16"/>
  <c r="AT39" i="16"/>
  <c r="AU39" i="16"/>
  <c r="AV39" i="16"/>
  <c r="AW39" i="16"/>
  <c r="AY39" i="16"/>
  <c r="D40" i="16"/>
  <c r="AR40" i="16"/>
  <c r="AS40" i="16"/>
  <c r="AT40" i="16"/>
  <c r="AU40" i="16"/>
  <c r="AV40" i="16"/>
  <c r="AW40" i="16"/>
  <c r="AX40" i="16"/>
  <c r="AY40" i="16"/>
  <c r="D41" i="16"/>
  <c r="AW41" i="16" s="1"/>
  <c r="AR41" i="16"/>
  <c r="AS41" i="16"/>
  <c r="AT41" i="16"/>
  <c r="AU41" i="16"/>
  <c r="AV41" i="16"/>
  <c r="AX41" i="16"/>
  <c r="AY41" i="16"/>
  <c r="D42" i="16"/>
  <c r="AV42" i="16" s="1"/>
  <c r="AR42" i="16"/>
  <c r="AS42" i="16"/>
  <c r="AT42" i="16"/>
  <c r="AU42" i="16"/>
  <c r="AW42" i="16"/>
  <c r="AX42" i="16"/>
  <c r="AY42" i="16"/>
  <c r="D43" i="16"/>
  <c r="AU43" i="16" s="1"/>
  <c r="AR43" i="16"/>
  <c r="AS43" i="16"/>
  <c r="AT43" i="16"/>
  <c r="AW43" i="16"/>
  <c r="AX43" i="16"/>
  <c r="D44" i="16"/>
  <c r="AU44" i="16" s="1"/>
  <c r="AR44" i="16"/>
  <c r="AS44" i="16"/>
  <c r="AT44" i="16"/>
  <c r="AW44" i="16"/>
  <c r="AY44" i="16"/>
  <c r="D45" i="16"/>
  <c r="AU45" i="16" s="1"/>
  <c r="AR45" i="16"/>
  <c r="AS45" i="16"/>
  <c r="AT45" i="16"/>
  <c r="AY45" i="16"/>
  <c r="D46" i="16"/>
  <c r="AR46" i="16"/>
  <c r="AS46" i="16"/>
  <c r="AT46" i="16"/>
  <c r="AR2" i="18"/>
  <c r="AS2" i="18"/>
  <c r="AT2" i="18"/>
  <c r="AU2" i="18"/>
  <c r="AV2" i="18"/>
  <c r="AW2" i="18"/>
  <c r="AX2" i="18"/>
  <c r="AY2" i="18"/>
  <c r="AR3" i="18"/>
  <c r="AS3" i="18"/>
  <c r="AT3" i="18"/>
  <c r="AU3" i="18"/>
  <c r="AV3" i="18"/>
  <c r="AW3" i="18"/>
  <c r="AX3" i="18"/>
  <c r="AY3" i="18"/>
  <c r="AR4" i="18"/>
  <c r="AS4" i="18"/>
  <c r="AT4" i="18"/>
  <c r="AU4" i="18"/>
  <c r="AV4" i="18"/>
  <c r="AW4" i="18"/>
  <c r="AX4" i="18"/>
  <c r="AY4" i="18"/>
  <c r="AR5" i="18"/>
  <c r="AS5" i="18"/>
  <c r="AT5" i="18"/>
  <c r="AU5" i="18"/>
  <c r="AV5" i="18"/>
  <c r="AW5" i="18"/>
  <c r="AX5" i="18"/>
  <c r="AY5" i="18"/>
  <c r="AR6" i="18"/>
  <c r="AS6" i="18"/>
  <c r="AT6" i="18"/>
  <c r="AU6" i="18"/>
  <c r="AV6" i="18"/>
  <c r="AW6" i="18"/>
  <c r="AX6" i="18"/>
  <c r="AY6" i="18"/>
  <c r="AR7" i="18"/>
  <c r="AS7" i="18"/>
  <c r="AT7" i="18"/>
  <c r="AU7" i="18"/>
  <c r="AV7" i="18"/>
  <c r="AW7" i="18"/>
  <c r="AX7" i="18"/>
  <c r="AY7" i="18"/>
  <c r="AR8" i="18"/>
  <c r="AS8" i="18"/>
  <c r="AT8" i="18"/>
  <c r="AU8" i="18"/>
  <c r="AV8" i="18"/>
  <c r="AW8" i="18"/>
  <c r="AX8" i="18"/>
  <c r="AY8" i="18"/>
  <c r="AR9" i="18"/>
  <c r="AS9" i="18"/>
  <c r="AT9" i="18"/>
  <c r="AU9" i="18"/>
  <c r="AV9" i="18"/>
  <c r="AW9" i="18"/>
  <c r="AX9" i="18"/>
  <c r="AY9" i="18"/>
  <c r="AR10" i="18"/>
  <c r="AS10" i="18"/>
  <c r="AT10" i="18"/>
  <c r="AU10" i="18"/>
  <c r="AV10" i="18"/>
  <c r="AW10" i="18"/>
  <c r="AX10" i="18"/>
  <c r="AY10" i="18"/>
  <c r="AR11" i="18"/>
  <c r="AS11" i="18"/>
  <c r="AT11" i="18"/>
  <c r="AU11" i="18"/>
  <c r="AV11" i="18"/>
  <c r="AW11" i="18"/>
  <c r="AX11" i="18"/>
  <c r="AY11" i="18"/>
  <c r="AR12" i="18"/>
  <c r="AS12" i="18"/>
  <c r="AT12" i="18"/>
  <c r="AU12" i="18"/>
  <c r="AV12" i="18"/>
  <c r="AW12" i="18"/>
  <c r="AX12" i="18"/>
  <c r="AY12" i="18"/>
  <c r="AS13" i="18"/>
  <c r="AT13" i="18"/>
  <c r="AU13" i="18"/>
  <c r="AV13" i="18"/>
  <c r="AW13" i="18"/>
  <c r="AX13" i="18"/>
  <c r="AY13" i="18"/>
  <c r="AS14" i="18"/>
  <c r="AT14" i="18"/>
  <c r="AU14" i="18"/>
  <c r="AV14" i="18"/>
  <c r="AW14" i="18"/>
  <c r="AX14" i="18"/>
  <c r="AY14" i="18"/>
  <c r="AR15" i="18"/>
  <c r="AS15" i="18"/>
  <c r="AT15" i="18"/>
  <c r="AU15" i="18"/>
  <c r="AV15" i="18"/>
  <c r="AW15" i="18"/>
  <c r="AX15" i="18"/>
  <c r="AY15" i="18"/>
  <c r="AR16" i="18"/>
  <c r="AS16" i="18"/>
  <c r="AT16" i="18"/>
  <c r="AU16" i="18"/>
  <c r="AV16" i="18"/>
  <c r="AW16" i="18"/>
  <c r="AX16" i="18"/>
  <c r="AY16" i="18"/>
  <c r="AR17" i="18"/>
  <c r="AS17" i="18"/>
  <c r="AT17" i="18"/>
  <c r="AU17" i="18"/>
  <c r="AV17" i="18"/>
  <c r="AW17" i="18"/>
  <c r="AX17" i="18"/>
  <c r="AY17" i="18"/>
  <c r="AR18" i="18"/>
  <c r="AS18" i="18"/>
  <c r="AT18" i="18"/>
  <c r="AU18" i="18"/>
  <c r="AV18" i="18"/>
  <c r="AW18" i="18"/>
  <c r="AX18" i="18"/>
  <c r="AY18" i="18"/>
  <c r="AR19" i="18"/>
  <c r="AS19" i="18"/>
  <c r="AT19" i="18"/>
  <c r="AU19" i="18"/>
  <c r="AV19" i="18"/>
  <c r="AW19" i="18"/>
  <c r="AX19" i="18"/>
  <c r="AY19" i="18"/>
  <c r="AR20" i="18"/>
  <c r="AS20" i="18"/>
  <c r="AT20" i="18"/>
  <c r="AU20" i="18"/>
  <c r="AV20" i="18"/>
  <c r="AW20" i="18"/>
  <c r="AX20" i="18"/>
  <c r="AY20" i="18"/>
  <c r="AR21" i="18"/>
  <c r="AS21" i="18"/>
  <c r="AT21" i="18"/>
  <c r="AU21" i="18"/>
  <c r="AV21" i="18"/>
  <c r="AW21" i="18"/>
  <c r="AX21" i="18"/>
  <c r="AY21" i="18"/>
  <c r="AR22" i="18"/>
  <c r="AS22" i="18"/>
  <c r="AT22" i="18"/>
  <c r="AU22" i="18"/>
  <c r="AV22" i="18"/>
  <c r="AW22" i="18"/>
  <c r="AX22" i="18"/>
  <c r="AY22" i="18"/>
  <c r="AR23" i="18"/>
  <c r="AS23" i="18"/>
  <c r="AT23" i="18"/>
  <c r="AU23" i="18"/>
  <c r="AV23" i="18"/>
  <c r="AW23" i="18"/>
  <c r="AX23" i="18"/>
  <c r="AY23" i="18"/>
  <c r="AR24" i="18"/>
  <c r="AS24" i="18"/>
  <c r="AT24" i="18"/>
  <c r="AU24" i="18"/>
  <c r="AV24" i="18"/>
  <c r="AW24" i="18"/>
  <c r="AX24" i="18"/>
  <c r="AY24" i="18"/>
  <c r="AR25" i="18"/>
  <c r="AS25" i="18"/>
  <c r="AT25" i="18"/>
  <c r="AU25" i="18"/>
  <c r="AV25" i="18"/>
  <c r="AW25" i="18"/>
  <c r="AX25" i="18"/>
  <c r="AY25" i="18"/>
  <c r="AR26" i="18"/>
  <c r="AS26" i="18"/>
  <c r="AT26" i="18"/>
  <c r="AU26" i="18"/>
  <c r="AV26" i="18"/>
  <c r="AW26" i="18"/>
  <c r="AX26" i="18"/>
  <c r="AY26" i="18"/>
  <c r="AR27" i="18"/>
  <c r="AS27" i="18"/>
  <c r="AT27" i="18"/>
  <c r="AU27" i="18"/>
  <c r="AV27" i="18"/>
  <c r="AW27" i="18"/>
  <c r="AX27" i="18"/>
  <c r="AY27" i="18"/>
  <c r="AR28" i="18"/>
  <c r="AS28" i="18"/>
  <c r="AT28" i="18"/>
  <c r="AU28" i="18"/>
  <c r="AV28" i="18"/>
  <c r="AW28" i="18"/>
  <c r="AX28" i="18"/>
  <c r="AY28" i="18"/>
  <c r="AR29" i="18"/>
  <c r="AS29" i="18"/>
  <c r="AT29" i="18"/>
  <c r="AU29" i="18"/>
  <c r="AV29" i="18"/>
  <c r="AW29" i="18"/>
  <c r="AX29" i="18"/>
  <c r="AY29" i="18"/>
  <c r="AR30" i="18"/>
  <c r="AS30" i="18"/>
  <c r="AT30" i="18"/>
  <c r="AU30" i="18"/>
  <c r="AV30" i="18"/>
  <c r="AW30" i="18"/>
  <c r="AX30" i="18"/>
  <c r="AY30" i="18"/>
  <c r="AR31" i="18"/>
  <c r="AS31" i="18"/>
  <c r="AT31" i="18"/>
  <c r="AU31" i="18"/>
  <c r="AV31" i="18"/>
  <c r="AW31" i="18"/>
  <c r="AX31" i="18"/>
  <c r="AY31" i="18"/>
  <c r="AR32" i="18"/>
  <c r="AS32" i="18"/>
  <c r="AT32" i="18"/>
  <c r="AU32" i="18"/>
  <c r="AV32" i="18"/>
  <c r="AW32" i="18"/>
  <c r="AX32" i="18"/>
  <c r="AY32" i="18"/>
  <c r="AR33" i="18"/>
  <c r="AS33" i="18"/>
  <c r="AT33" i="18"/>
  <c r="AU33" i="18"/>
  <c r="AV33" i="18"/>
  <c r="AW33" i="18"/>
  <c r="AX33" i="18"/>
  <c r="AY33" i="18"/>
  <c r="AR34" i="18"/>
  <c r="AS34" i="18"/>
  <c r="AT34" i="18"/>
  <c r="AU34" i="18"/>
  <c r="AV34" i="18"/>
  <c r="AW34" i="18"/>
  <c r="AX34" i="18"/>
  <c r="AY34" i="18"/>
  <c r="AR35" i="18"/>
  <c r="AS35" i="18"/>
  <c r="AT35" i="18"/>
  <c r="AU35" i="18"/>
  <c r="AV35" i="18"/>
  <c r="AW35" i="18"/>
  <c r="AX35" i="18"/>
  <c r="AY35" i="18"/>
  <c r="AR36" i="18"/>
  <c r="AS36" i="18"/>
  <c r="AT36" i="18"/>
  <c r="AU36" i="18"/>
  <c r="AV36" i="18"/>
  <c r="AW36" i="18"/>
  <c r="AX36" i="18"/>
  <c r="AY36" i="18"/>
  <c r="AR37" i="18"/>
  <c r="AS37" i="18"/>
  <c r="AT37" i="18"/>
  <c r="AU37" i="18"/>
  <c r="AV37" i="18"/>
  <c r="AW37" i="18"/>
  <c r="AX37" i="18"/>
  <c r="AY37" i="18"/>
  <c r="AR38" i="18"/>
  <c r="AS38" i="18"/>
  <c r="AT38" i="18"/>
  <c r="AU38" i="18"/>
  <c r="AV38" i="18"/>
  <c r="AW38" i="18"/>
  <c r="AX38" i="18"/>
  <c r="AY38" i="18"/>
  <c r="AR39" i="18"/>
  <c r="AS39" i="18"/>
  <c r="AT39" i="18"/>
  <c r="AU39" i="18"/>
  <c r="AV39" i="18"/>
  <c r="AW39" i="18"/>
  <c r="AX39" i="18"/>
  <c r="AY39" i="18"/>
  <c r="AR40" i="18"/>
  <c r="AS40" i="18"/>
  <c r="AT40" i="18"/>
  <c r="AU40" i="18"/>
  <c r="AV40" i="18"/>
  <c r="AW40" i="18"/>
  <c r="AX40" i="18"/>
  <c r="AY40" i="18"/>
  <c r="AS41" i="18"/>
  <c r="AT41" i="18"/>
  <c r="AU41" i="18"/>
  <c r="AV41" i="18"/>
  <c r="AW41" i="18"/>
  <c r="AX41" i="18"/>
  <c r="AY41" i="18"/>
  <c r="AS42" i="18"/>
  <c r="AT42" i="18"/>
  <c r="AU42" i="18"/>
  <c r="AV42" i="18"/>
  <c r="AW42" i="18"/>
  <c r="AX42" i="18"/>
  <c r="AY42" i="18"/>
  <c r="AS43" i="18"/>
  <c r="AT43" i="18"/>
  <c r="AU43" i="18"/>
  <c r="AV43" i="18"/>
  <c r="AW43" i="18"/>
  <c r="AX43" i="18"/>
  <c r="AY43" i="18"/>
  <c r="AS44" i="18"/>
  <c r="AT44" i="18"/>
  <c r="AU44" i="18"/>
  <c r="AV44" i="18"/>
  <c r="AW44" i="18"/>
  <c r="AX44" i="18"/>
  <c r="AY44" i="18"/>
  <c r="AS45" i="18"/>
  <c r="AT45" i="18"/>
  <c r="AU45" i="18"/>
  <c r="AV45" i="18"/>
  <c r="AW45" i="18"/>
  <c r="AX45" i="18"/>
  <c r="AY45" i="18"/>
  <c r="E90" i="18"/>
  <c r="F90" i="18"/>
  <c r="G90" i="18"/>
  <c r="H90" i="18"/>
  <c r="I90" i="18"/>
  <c r="J90" i="18"/>
  <c r="J133" i="18" s="1"/>
  <c r="K90" i="18"/>
  <c r="K133" i="18" s="1"/>
  <c r="L90" i="18"/>
  <c r="M90" i="18"/>
  <c r="N90" i="18"/>
  <c r="N133" i="18" s="1"/>
  <c r="O90" i="18"/>
  <c r="P90" i="18"/>
  <c r="Q90" i="18"/>
  <c r="R90" i="18"/>
  <c r="S90" i="18"/>
  <c r="T90" i="18"/>
  <c r="U90" i="18"/>
  <c r="U133" i="18" s="1"/>
  <c r="V90" i="18"/>
  <c r="W90" i="18"/>
  <c r="X90" i="18"/>
  <c r="Y90" i="18"/>
  <c r="Z90" i="18"/>
  <c r="AA90" i="18"/>
  <c r="AB90" i="18"/>
  <c r="AC90" i="18"/>
  <c r="AD90" i="18"/>
  <c r="AD133" i="18" s="1"/>
  <c r="AE90" i="18"/>
  <c r="AE133" i="18" s="1"/>
  <c r="AF90" i="18"/>
  <c r="AG90" i="18"/>
  <c r="AH90" i="18"/>
  <c r="AH133" i="18" s="1"/>
  <c r="AI90" i="18"/>
  <c r="AJ90" i="18"/>
  <c r="AK90" i="18"/>
  <c r="AL90" i="18"/>
  <c r="AM90" i="18"/>
  <c r="AN90" i="18"/>
  <c r="AO90" i="18"/>
  <c r="AO133" i="18" s="1"/>
  <c r="AP90" i="18"/>
  <c r="AQ90" i="18"/>
  <c r="E91" i="18"/>
  <c r="F91" i="18"/>
  <c r="G91" i="18"/>
  <c r="H91" i="18"/>
  <c r="I91" i="18"/>
  <c r="J91" i="18"/>
  <c r="K91" i="18"/>
  <c r="K134" i="18" s="1"/>
  <c r="L91" i="18"/>
  <c r="L134" i="18" s="1"/>
  <c r="M91" i="18"/>
  <c r="N91" i="18"/>
  <c r="O91" i="18"/>
  <c r="O134" i="18" s="1"/>
  <c r="P91" i="18"/>
  <c r="Q91" i="18"/>
  <c r="R91" i="18"/>
  <c r="S91" i="18"/>
  <c r="T91" i="18"/>
  <c r="U91" i="18"/>
  <c r="V91" i="18"/>
  <c r="V134" i="18" s="1"/>
  <c r="W91" i="18"/>
  <c r="X91" i="18"/>
  <c r="Y91" i="18"/>
  <c r="Z91" i="18"/>
  <c r="AA91" i="18"/>
  <c r="AB91" i="18"/>
  <c r="AC91" i="18"/>
  <c r="AD91" i="18"/>
  <c r="AE91" i="18"/>
  <c r="AE134" i="18" s="1"/>
  <c r="AF91" i="18"/>
  <c r="AF134" i="18" s="1"/>
  <c r="AG91" i="18"/>
  <c r="AH91" i="18"/>
  <c r="AI91" i="18"/>
  <c r="AJ91" i="18"/>
  <c r="AK91" i="18"/>
  <c r="AL91" i="18"/>
  <c r="AM91" i="18"/>
  <c r="AN91" i="18"/>
  <c r="AO91" i="18"/>
  <c r="AP91" i="18"/>
  <c r="AP134" i="18" s="1"/>
  <c r="AQ91" i="18"/>
  <c r="E92" i="18"/>
  <c r="F92" i="18"/>
  <c r="G92" i="18"/>
  <c r="H92" i="18"/>
  <c r="I92" i="18"/>
  <c r="J92" i="18"/>
  <c r="K92" i="18"/>
  <c r="L92" i="18"/>
  <c r="L135" i="18" s="1"/>
  <c r="M92" i="18"/>
  <c r="M135" i="18" s="1"/>
  <c r="N92" i="18"/>
  <c r="O92" i="18"/>
  <c r="P92" i="18"/>
  <c r="Q92" i="18"/>
  <c r="R92" i="18"/>
  <c r="S92" i="18"/>
  <c r="T92" i="18"/>
  <c r="U92" i="18"/>
  <c r="V92" i="18"/>
  <c r="W92" i="18"/>
  <c r="W135" i="18" s="1"/>
  <c r="X92" i="18"/>
  <c r="Y92" i="18"/>
  <c r="Z92" i="18"/>
  <c r="AA92" i="18"/>
  <c r="AB92" i="18"/>
  <c r="AC92" i="18"/>
  <c r="AD92" i="18"/>
  <c r="AE92" i="18"/>
  <c r="AF92" i="18"/>
  <c r="AF135" i="18" s="1"/>
  <c r="AG92" i="18"/>
  <c r="AG135" i="18" s="1"/>
  <c r="AH92" i="18"/>
  <c r="AI92" i="18"/>
  <c r="AJ92" i="18"/>
  <c r="AJ135" i="18" s="1"/>
  <c r="AK92" i="18"/>
  <c r="AL92" i="18"/>
  <c r="AM92" i="18"/>
  <c r="AN92" i="18"/>
  <c r="AO92" i="18"/>
  <c r="AP92" i="18"/>
  <c r="AQ92" i="18"/>
  <c r="AQ135" i="18" s="1"/>
  <c r="E93" i="18"/>
  <c r="F93" i="18"/>
  <c r="G93" i="18"/>
  <c r="H93" i="18"/>
  <c r="I93" i="18"/>
  <c r="J93" i="18"/>
  <c r="K93" i="18"/>
  <c r="L93" i="18"/>
  <c r="M93" i="18"/>
  <c r="M136" i="18" s="1"/>
  <c r="N93" i="18"/>
  <c r="N136" i="18" s="1"/>
  <c r="O93" i="18"/>
  <c r="P93" i="18"/>
  <c r="Q93" i="18"/>
  <c r="Q136" i="18" s="1"/>
  <c r="R93" i="18"/>
  <c r="S93" i="18"/>
  <c r="T93" i="18"/>
  <c r="U93" i="18"/>
  <c r="V93" i="18"/>
  <c r="W93" i="18"/>
  <c r="X93" i="18"/>
  <c r="X136" i="18" s="1"/>
  <c r="Y93" i="18"/>
  <c r="Z93" i="18"/>
  <c r="AA93" i="18"/>
  <c r="AB93" i="18"/>
  <c r="AC93" i="18"/>
  <c r="AD93" i="18"/>
  <c r="AE93" i="18"/>
  <c r="AF93" i="18"/>
  <c r="AG93" i="18"/>
  <c r="AG136" i="18" s="1"/>
  <c r="AH93" i="18"/>
  <c r="AH136" i="18" s="1"/>
  <c r="AI93" i="18"/>
  <c r="AJ93" i="18"/>
  <c r="AK93" i="18"/>
  <c r="AK136" i="18" s="1"/>
  <c r="AL93" i="18"/>
  <c r="AM93" i="18"/>
  <c r="AN93" i="18"/>
  <c r="AO93" i="18"/>
  <c r="AP93" i="18"/>
  <c r="AQ93" i="18"/>
  <c r="E94" i="18"/>
  <c r="E137" i="18" s="1"/>
  <c r="F94" i="18"/>
  <c r="G94" i="18"/>
  <c r="H94" i="18"/>
  <c r="I94" i="18"/>
  <c r="J94" i="18"/>
  <c r="K94" i="18"/>
  <c r="L94" i="18"/>
  <c r="M94" i="18"/>
  <c r="N94" i="18"/>
  <c r="N137" i="18" s="1"/>
  <c r="O94" i="18"/>
  <c r="O137" i="18" s="1"/>
  <c r="P94" i="18"/>
  <c r="Q94" i="18"/>
  <c r="R94" i="18"/>
  <c r="R137" i="18" s="1"/>
  <c r="S94" i="18"/>
  <c r="T94" i="18"/>
  <c r="T137" i="18" s="1"/>
  <c r="U94" i="18"/>
  <c r="V94" i="18"/>
  <c r="W94" i="18"/>
  <c r="W137" i="18" s="1"/>
  <c r="X94" i="18"/>
  <c r="Y94" i="18"/>
  <c r="Y137" i="18" s="1"/>
  <c r="Z94" i="18"/>
  <c r="AA94" i="18"/>
  <c r="AB94" i="18"/>
  <c r="AC94" i="18"/>
  <c r="AD94" i="18"/>
  <c r="AE94" i="18"/>
  <c r="AF94" i="18"/>
  <c r="AG94" i="18"/>
  <c r="AH94" i="18"/>
  <c r="AH137" i="18" s="1"/>
  <c r="AI94" i="18"/>
  <c r="AI137" i="18" s="1"/>
  <c r="AJ94" i="18"/>
  <c r="AK94" i="18"/>
  <c r="AL94" i="18"/>
  <c r="AL137" i="18" s="1"/>
  <c r="AM94" i="18"/>
  <c r="AN94" i="18"/>
  <c r="AN137" i="18" s="1"/>
  <c r="AO94" i="18"/>
  <c r="AP94" i="18"/>
  <c r="AQ94" i="18"/>
  <c r="AQ137" i="18" s="1"/>
  <c r="E95" i="18"/>
  <c r="F95" i="18"/>
  <c r="F138" i="18" s="1"/>
  <c r="G95" i="18"/>
  <c r="H95" i="18"/>
  <c r="I95" i="18"/>
  <c r="J95" i="18"/>
  <c r="K95" i="18"/>
  <c r="L95" i="18"/>
  <c r="M95" i="18"/>
  <c r="N95" i="18"/>
  <c r="O95" i="18"/>
  <c r="O138" i="18" s="1"/>
  <c r="P95" i="18"/>
  <c r="P138" i="18" s="1"/>
  <c r="Q95" i="18"/>
  <c r="R95" i="18"/>
  <c r="S95" i="18"/>
  <c r="S138" i="18" s="1"/>
  <c r="T95" i="18"/>
  <c r="U95" i="18"/>
  <c r="U138" i="18" s="1"/>
  <c r="V95" i="18"/>
  <c r="W95" i="18"/>
  <c r="X95" i="18"/>
  <c r="X138" i="18" s="1"/>
  <c r="Y95" i="18"/>
  <c r="Z95" i="18"/>
  <c r="Z138" i="18" s="1"/>
  <c r="AA95" i="18"/>
  <c r="AB95" i="18"/>
  <c r="AC95" i="18"/>
  <c r="AD95" i="18"/>
  <c r="AE95" i="18"/>
  <c r="AF95" i="18"/>
  <c r="AG95" i="18"/>
  <c r="AH95" i="18"/>
  <c r="AI95" i="18"/>
  <c r="AI138" i="18" s="1"/>
  <c r="AJ95" i="18"/>
  <c r="AJ138" i="18" s="1"/>
  <c r="AK95" i="18"/>
  <c r="AL95" i="18"/>
  <c r="AM95" i="18"/>
  <c r="AM138" i="18" s="1"/>
  <c r="AN95" i="18"/>
  <c r="AO95" i="18"/>
  <c r="AO138" i="18" s="1"/>
  <c r="AP95" i="18"/>
  <c r="AQ95" i="18"/>
  <c r="E96" i="18"/>
  <c r="E139" i="18" s="1"/>
  <c r="F96" i="18"/>
  <c r="G96" i="18"/>
  <c r="G139" i="18" s="1"/>
  <c r="H96" i="18"/>
  <c r="I96" i="18"/>
  <c r="J96" i="18"/>
  <c r="K96" i="18"/>
  <c r="L96" i="18"/>
  <c r="M96" i="18"/>
  <c r="N96" i="18"/>
  <c r="O96" i="18"/>
  <c r="P96" i="18"/>
  <c r="P139" i="18" s="1"/>
  <c r="Q96" i="18"/>
  <c r="Q139" i="18" s="1"/>
  <c r="R96" i="18"/>
  <c r="S96" i="18"/>
  <c r="T96" i="18"/>
  <c r="T139" i="18" s="1"/>
  <c r="U96" i="18"/>
  <c r="V96" i="18"/>
  <c r="V139" i="18" s="1"/>
  <c r="W96" i="18"/>
  <c r="X96" i="18"/>
  <c r="Y96" i="18"/>
  <c r="Y139" i="18" s="1"/>
  <c r="Z96" i="18"/>
  <c r="AA96" i="18"/>
  <c r="AA139" i="18" s="1"/>
  <c r="AB96" i="18"/>
  <c r="AC96" i="18"/>
  <c r="AD96" i="18"/>
  <c r="AE96" i="18"/>
  <c r="AF96" i="18"/>
  <c r="AG96" i="18"/>
  <c r="AH96" i="18"/>
  <c r="AI96" i="18"/>
  <c r="AJ96" i="18"/>
  <c r="AJ139" i="18" s="1"/>
  <c r="AK96" i="18"/>
  <c r="AK139" i="18" s="1"/>
  <c r="AL96" i="18"/>
  <c r="AM96" i="18"/>
  <c r="AN96" i="18"/>
  <c r="AN139" i="18" s="1"/>
  <c r="AO96" i="18"/>
  <c r="AP96" i="18"/>
  <c r="AP139" i="18" s="1"/>
  <c r="AQ96" i="18"/>
  <c r="E97" i="18"/>
  <c r="F97" i="18"/>
  <c r="F140" i="18" s="1"/>
  <c r="G97" i="18"/>
  <c r="H97" i="18"/>
  <c r="H140" i="18" s="1"/>
  <c r="I97" i="18"/>
  <c r="J97" i="18"/>
  <c r="K97" i="18"/>
  <c r="L97" i="18"/>
  <c r="M97" i="18"/>
  <c r="N97" i="18"/>
  <c r="O97" i="18"/>
  <c r="P97" i="18"/>
  <c r="Q97" i="18"/>
  <c r="Q140" i="18" s="1"/>
  <c r="R97" i="18"/>
  <c r="R140" i="18" s="1"/>
  <c r="S97" i="18"/>
  <c r="T97" i="18"/>
  <c r="U97" i="18"/>
  <c r="U140" i="18" s="1"/>
  <c r="V97" i="18"/>
  <c r="W97" i="18"/>
  <c r="W140" i="18" s="1"/>
  <c r="X97" i="18"/>
  <c r="Y97" i="18"/>
  <c r="Z97" i="18"/>
  <c r="Z140" i="18" s="1"/>
  <c r="AA97" i="18"/>
  <c r="AB97" i="18"/>
  <c r="AB140" i="18" s="1"/>
  <c r="AC97" i="18"/>
  <c r="AD97" i="18"/>
  <c r="AE97" i="18"/>
  <c r="AF97" i="18"/>
  <c r="AG97" i="18"/>
  <c r="AH97" i="18"/>
  <c r="AI97" i="18"/>
  <c r="AJ97" i="18"/>
  <c r="AK97" i="18"/>
  <c r="AK140" i="18" s="1"/>
  <c r="AL97" i="18"/>
  <c r="AL140" i="18" s="1"/>
  <c r="AM97" i="18"/>
  <c r="AN97" i="18"/>
  <c r="AO97" i="18"/>
  <c r="AO140" i="18" s="1"/>
  <c r="AP97" i="18"/>
  <c r="AQ97" i="18"/>
  <c r="AQ140" i="18" s="1"/>
  <c r="E98" i="18"/>
  <c r="F98" i="18"/>
  <c r="G98" i="18"/>
  <c r="G141" i="18" s="1"/>
  <c r="H98" i="18"/>
  <c r="I98" i="18"/>
  <c r="I141" i="18" s="1"/>
  <c r="J98" i="18"/>
  <c r="K98" i="18"/>
  <c r="L98" i="18"/>
  <c r="M98" i="18"/>
  <c r="N98" i="18"/>
  <c r="O98" i="18"/>
  <c r="P98" i="18"/>
  <c r="Q98" i="18"/>
  <c r="R98" i="18"/>
  <c r="R141" i="18" s="1"/>
  <c r="S98" i="18"/>
  <c r="S141" i="18" s="1"/>
  <c r="T98" i="18"/>
  <c r="U98" i="18"/>
  <c r="V98" i="18"/>
  <c r="V141" i="18" s="1"/>
  <c r="W98" i="18"/>
  <c r="X98" i="18"/>
  <c r="X141" i="18" s="1"/>
  <c r="Y98" i="18"/>
  <c r="Z98" i="18"/>
  <c r="AA98" i="18"/>
  <c r="AA141" i="18" s="1"/>
  <c r="AB98" i="18"/>
  <c r="AC98" i="18"/>
  <c r="AC141" i="18" s="1"/>
  <c r="AD98" i="18"/>
  <c r="AE98" i="18"/>
  <c r="AF98" i="18"/>
  <c r="AG98" i="18"/>
  <c r="AH98" i="18"/>
  <c r="AI98" i="18"/>
  <c r="AJ98" i="18"/>
  <c r="AK98" i="18"/>
  <c r="AL98" i="18"/>
  <c r="AM98" i="18"/>
  <c r="AN98" i="18"/>
  <c r="AO98" i="18"/>
  <c r="AP98" i="18"/>
  <c r="AP141" i="18" s="1"/>
  <c r="AQ98" i="18"/>
  <c r="E99" i="18"/>
  <c r="E142" i="18" s="1"/>
  <c r="F99" i="18"/>
  <c r="G99" i="18"/>
  <c r="H99" i="18"/>
  <c r="H142" i="18" s="1"/>
  <c r="I99" i="18"/>
  <c r="J99" i="18"/>
  <c r="J142" i="18" s="1"/>
  <c r="K99" i="18"/>
  <c r="L99" i="18"/>
  <c r="M99" i="18"/>
  <c r="N99" i="18"/>
  <c r="O99" i="18"/>
  <c r="P99" i="18"/>
  <c r="Q99" i="18"/>
  <c r="R99" i="18"/>
  <c r="S99" i="18"/>
  <c r="T99" i="18"/>
  <c r="U99" i="18"/>
  <c r="V99" i="18"/>
  <c r="W99" i="18"/>
  <c r="W142" i="18" s="1"/>
  <c r="X99" i="18"/>
  <c r="Y99" i="18"/>
  <c r="Y142" i="18" s="1"/>
  <c r="Z99" i="18"/>
  <c r="AA99" i="18"/>
  <c r="AB99" i="18"/>
  <c r="AB142" i="18" s="1"/>
  <c r="AC99" i="18"/>
  <c r="AD99" i="18"/>
  <c r="AD142" i="18" s="1"/>
  <c r="AE99" i="18"/>
  <c r="AF99" i="18"/>
  <c r="AG99" i="18"/>
  <c r="AH99" i="18"/>
  <c r="AI99" i="18"/>
  <c r="AJ99" i="18"/>
  <c r="AK99" i="18"/>
  <c r="AL99" i="18"/>
  <c r="AM99" i="18"/>
  <c r="AN99" i="18"/>
  <c r="AO99" i="18"/>
  <c r="AP99" i="18"/>
  <c r="AQ99" i="18"/>
  <c r="AQ142" i="18" s="1"/>
  <c r="E100" i="18"/>
  <c r="F100" i="18"/>
  <c r="F143" i="18" s="1"/>
  <c r="G100" i="18"/>
  <c r="H100" i="18"/>
  <c r="I100" i="18"/>
  <c r="I143" i="18" s="1"/>
  <c r="J100" i="18"/>
  <c r="K100" i="18"/>
  <c r="K143" i="18" s="1"/>
  <c r="L100" i="18"/>
  <c r="M100" i="18"/>
  <c r="N100" i="18"/>
  <c r="O100" i="18"/>
  <c r="P100" i="18"/>
  <c r="Q100" i="18"/>
  <c r="R100" i="18"/>
  <c r="S100" i="18"/>
  <c r="T100" i="18"/>
  <c r="U100" i="18"/>
  <c r="V100" i="18"/>
  <c r="W100" i="18"/>
  <c r="X100" i="18"/>
  <c r="Y100" i="18"/>
  <c r="Z100" i="18"/>
  <c r="Z143" i="18" s="1"/>
  <c r="AA100" i="18"/>
  <c r="AB100" i="18"/>
  <c r="AC100" i="18"/>
  <c r="AC143" i="18" s="1"/>
  <c r="AD100" i="18"/>
  <c r="AE100" i="18"/>
  <c r="AE143" i="18" s="1"/>
  <c r="AF100" i="18"/>
  <c r="AG100" i="18"/>
  <c r="AH100" i="18"/>
  <c r="AI100" i="18"/>
  <c r="AJ100" i="18"/>
  <c r="AK100" i="18"/>
  <c r="AL100" i="18"/>
  <c r="AM100" i="18"/>
  <c r="AN100" i="18"/>
  <c r="AO100" i="18"/>
  <c r="AP100" i="18"/>
  <c r="AQ100" i="18"/>
  <c r="E101" i="18"/>
  <c r="F101" i="18"/>
  <c r="G101" i="18"/>
  <c r="H101" i="18"/>
  <c r="I101" i="18"/>
  <c r="J101" i="18"/>
  <c r="J144" i="18" s="1"/>
  <c r="K101" i="18"/>
  <c r="L101" i="18"/>
  <c r="L144" i="18" s="1"/>
  <c r="M101" i="18"/>
  <c r="N101" i="18"/>
  <c r="O101" i="18"/>
  <c r="P101" i="18"/>
  <c r="Q101" i="18"/>
  <c r="R101" i="18"/>
  <c r="S101" i="18"/>
  <c r="T101" i="18"/>
  <c r="U101" i="18"/>
  <c r="U144" i="18" s="1"/>
  <c r="V101" i="18"/>
  <c r="W101" i="18"/>
  <c r="X101" i="18"/>
  <c r="Y101" i="18"/>
  <c r="Y144" i="18" s="1"/>
  <c r="Z101" i="18"/>
  <c r="AA101" i="18"/>
  <c r="AB101" i="18"/>
  <c r="AC101" i="18"/>
  <c r="AD101" i="18"/>
  <c r="AD144" i="18" s="1"/>
  <c r="AE101" i="18"/>
  <c r="AF101" i="18"/>
  <c r="AF144" i="18" s="1"/>
  <c r="AG101" i="18"/>
  <c r="AH101" i="18"/>
  <c r="AI101" i="18"/>
  <c r="AJ101" i="18"/>
  <c r="AK101" i="18"/>
  <c r="AL101" i="18"/>
  <c r="AM101" i="18"/>
  <c r="AN101" i="18"/>
  <c r="AO101" i="18"/>
  <c r="AP101" i="18"/>
  <c r="AQ101" i="18"/>
  <c r="E102" i="18"/>
  <c r="F102" i="18"/>
  <c r="F145" i="18" s="1"/>
  <c r="G102" i="18"/>
  <c r="H102" i="18"/>
  <c r="I102" i="18"/>
  <c r="J102" i="18"/>
  <c r="K102" i="18"/>
  <c r="K145" i="18" s="1"/>
  <c r="L102" i="18"/>
  <c r="M102" i="18"/>
  <c r="M145" i="18" s="1"/>
  <c r="N102" i="18"/>
  <c r="O102" i="18"/>
  <c r="P102" i="18"/>
  <c r="Q102" i="18"/>
  <c r="R102" i="18"/>
  <c r="S102" i="18"/>
  <c r="T102" i="18"/>
  <c r="U102" i="18"/>
  <c r="V102" i="18"/>
  <c r="W102" i="18"/>
  <c r="X102" i="18"/>
  <c r="Y102" i="18"/>
  <c r="Z102" i="18"/>
  <c r="Z145" i="18" s="1"/>
  <c r="AA102" i="18"/>
  <c r="AB102" i="18"/>
  <c r="AC102" i="18"/>
  <c r="AD102" i="18"/>
  <c r="AE102" i="18"/>
  <c r="AE145" i="18" s="1"/>
  <c r="AF102" i="18"/>
  <c r="AG102" i="18"/>
  <c r="AG145" i="18" s="1"/>
  <c r="AH102" i="18"/>
  <c r="AI102" i="18"/>
  <c r="AJ102" i="18"/>
  <c r="AK102" i="18"/>
  <c r="AL102" i="18"/>
  <c r="AM102" i="18"/>
  <c r="AN102" i="18"/>
  <c r="AO102" i="18"/>
  <c r="AP102" i="18"/>
  <c r="AQ102" i="18"/>
  <c r="E103" i="18"/>
  <c r="F103" i="18"/>
  <c r="G103" i="18"/>
  <c r="G146" i="18" s="1"/>
  <c r="H103" i="18"/>
  <c r="I103" i="18"/>
  <c r="J103" i="18"/>
  <c r="K103" i="18"/>
  <c r="L103" i="18"/>
  <c r="L146" i="18" s="1"/>
  <c r="M103" i="18"/>
  <c r="N103" i="18"/>
  <c r="N146" i="18" s="1"/>
  <c r="O103" i="18"/>
  <c r="P103" i="18"/>
  <c r="Q103" i="18"/>
  <c r="R103" i="18"/>
  <c r="S103" i="18"/>
  <c r="T103" i="18"/>
  <c r="U103" i="18"/>
  <c r="V103" i="18"/>
  <c r="W103" i="18"/>
  <c r="X103" i="18"/>
  <c r="Y103" i="18"/>
  <c r="Z103" i="18"/>
  <c r="AA103" i="18"/>
  <c r="AA146" i="18" s="1"/>
  <c r="AB103" i="18"/>
  <c r="AC103" i="18"/>
  <c r="AD103" i="18"/>
  <c r="AE103" i="18"/>
  <c r="AF103" i="18"/>
  <c r="AF146" i="18" s="1"/>
  <c r="AG103" i="18"/>
  <c r="AH103" i="18"/>
  <c r="AH146" i="18" s="1"/>
  <c r="AI103" i="18"/>
  <c r="AJ103" i="18"/>
  <c r="AK103" i="18"/>
  <c r="AL103" i="18"/>
  <c r="AM103" i="18"/>
  <c r="AN103" i="18"/>
  <c r="AO103" i="18"/>
  <c r="AP103" i="18"/>
  <c r="AQ103" i="18"/>
  <c r="E104" i="18"/>
  <c r="F104" i="18"/>
  <c r="G104" i="18"/>
  <c r="H104" i="18"/>
  <c r="H147" i="18" s="1"/>
  <c r="I104" i="18"/>
  <c r="J104" i="18"/>
  <c r="K104" i="18"/>
  <c r="L104" i="18"/>
  <c r="M104" i="18"/>
  <c r="M147" i="18" s="1"/>
  <c r="N104" i="18"/>
  <c r="O104" i="18"/>
  <c r="O147" i="18" s="1"/>
  <c r="P104" i="18"/>
  <c r="Q104" i="18"/>
  <c r="R104" i="18"/>
  <c r="S104" i="18"/>
  <c r="T104" i="18"/>
  <c r="U104" i="18"/>
  <c r="V104" i="18"/>
  <c r="W104" i="18"/>
  <c r="X104" i="18"/>
  <c r="Y104" i="18"/>
  <c r="Z104" i="18"/>
  <c r="AA104" i="18"/>
  <c r="AB104" i="18"/>
  <c r="AB147" i="18" s="1"/>
  <c r="AC104" i="18"/>
  <c r="AD104" i="18"/>
  <c r="AE104" i="18"/>
  <c r="AF104" i="18"/>
  <c r="AG104" i="18"/>
  <c r="AG147" i="18" s="1"/>
  <c r="AH104" i="18"/>
  <c r="AI104" i="18"/>
  <c r="AI147" i="18" s="1"/>
  <c r="AJ104" i="18"/>
  <c r="AK104" i="18"/>
  <c r="AL104" i="18"/>
  <c r="AM104" i="18"/>
  <c r="AN104" i="18"/>
  <c r="AO104" i="18"/>
  <c r="AP104" i="18"/>
  <c r="AQ104" i="18"/>
  <c r="E105" i="18"/>
  <c r="F105" i="18"/>
  <c r="G105" i="18"/>
  <c r="H105" i="18"/>
  <c r="I105" i="18"/>
  <c r="I148" i="18" s="1"/>
  <c r="J105" i="18"/>
  <c r="K105" i="18"/>
  <c r="L105" i="18"/>
  <c r="M105" i="18"/>
  <c r="N105" i="18"/>
  <c r="N148" i="18" s="1"/>
  <c r="O105" i="18"/>
  <c r="P105" i="18"/>
  <c r="P148" i="18" s="1"/>
  <c r="Q105" i="18"/>
  <c r="R105" i="18"/>
  <c r="S105" i="18"/>
  <c r="T105" i="18"/>
  <c r="U105" i="18"/>
  <c r="V105" i="18"/>
  <c r="W105" i="18"/>
  <c r="X105" i="18"/>
  <c r="Y105" i="18"/>
  <c r="Z105" i="18"/>
  <c r="AA105" i="18"/>
  <c r="AB105" i="18"/>
  <c r="AC105" i="18"/>
  <c r="AC148" i="18" s="1"/>
  <c r="AD105" i="18"/>
  <c r="AE105" i="18"/>
  <c r="AF105" i="18"/>
  <c r="AG105" i="18"/>
  <c r="AH105" i="18"/>
  <c r="AH148" i="18" s="1"/>
  <c r="AI105" i="18"/>
  <c r="AJ105" i="18"/>
  <c r="AJ148" i="18" s="1"/>
  <c r="AK105" i="18"/>
  <c r="AL105" i="18"/>
  <c r="AM105" i="18"/>
  <c r="AN105" i="18"/>
  <c r="AO105" i="18"/>
  <c r="AP105" i="18"/>
  <c r="AQ105" i="18"/>
  <c r="E106" i="18"/>
  <c r="F106" i="18"/>
  <c r="G106" i="18"/>
  <c r="H106" i="18"/>
  <c r="I106" i="18"/>
  <c r="J106" i="18"/>
  <c r="J149" i="18" s="1"/>
  <c r="K106" i="18"/>
  <c r="L106" i="18"/>
  <c r="M106" i="18"/>
  <c r="N106" i="18"/>
  <c r="O106" i="18"/>
  <c r="O149" i="18" s="1"/>
  <c r="P106" i="18"/>
  <c r="Q106" i="18"/>
  <c r="Q149" i="18" s="1"/>
  <c r="R106" i="18"/>
  <c r="S106" i="18"/>
  <c r="T106" i="18"/>
  <c r="U106" i="18"/>
  <c r="V106" i="18"/>
  <c r="W106" i="18"/>
  <c r="X106" i="18"/>
  <c r="Y106" i="18"/>
  <c r="Z106" i="18"/>
  <c r="AA106" i="18"/>
  <c r="AB106" i="18"/>
  <c r="AC106" i="18"/>
  <c r="AD106" i="18"/>
  <c r="AD149" i="18" s="1"/>
  <c r="AE106" i="18"/>
  <c r="AF106" i="18"/>
  <c r="AG106" i="18"/>
  <c r="AH106" i="18"/>
  <c r="AI106" i="18"/>
  <c r="AI149" i="18" s="1"/>
  <c r="AJ106" i="18"/>
  <c r="AK106" i="18"/>
  <c r="AK149" i="18" s="1"/>
  <c r="AL106" i="18"/>
  <c r="AM106" i="18"/>
  <c r="AN106" i="18"/>
  <c r="AO106" i="18"/>
  <c r="AP106" i="18"/>
  <c r="AQ106" i="18"/>
  <c r="E107" i="18"/>
  <c r="F107" i="18"/>
  <c r="G107" i="18"/>
  <c r="H107" i="18"/>
  <c r="I107" i="18"/>
  <c r="J107" i="18"/>
  <c r="K107" i="18"/>
  <c r="K150" i="18" s="1"/>
  <c r="L107" i="18"/>
  <c r="M107" i="18"/>
  <c r="N107" i="18"/>
  <c r="O107" i="18"/>
  <c r="P107" i="18"/>
  <c r="P150" i="18" s="1"/>
  <c r="Q107" i="18"/>
  <c r="R107" i="18"/>
  <c r="R150" i="18" s="1"/>
  <c r="S107" i="18"/>
  <c r="T107" i="18"/>
  <c r="U107" i="18"/>
  <c r="V107" i="18"/>
  <c r="W107" i="18"/>
  <c r="X107" i="18"/>
  <c r="Y107" i="18"/>
  <c r="Z107" i="18"/>
  <c r="AA107" i="18"/>
  <c r="AB107" i="18"/>
  <c r="AC107" i="18"/>
  <c r="AD107" i="18"/>
  <c r="AE107" i="18"/>
  <c r="AE150" i="18" s="1"/>
  <c r="AF107" i="18"/>
  <c r="AG107" i="18"/>
  <c r="AH107" i="18"/>
  <c r="AI107" i="18"/>
  <c r="AJ107" i="18"/>
  <c r="AJ150" i="18" s="1"/>
  <c r="AK107" i="18"/>
  <c r="AL107" i="18"/>
  <c r="AL150" i="18" s="1"/>
  <c r="AM107" i="18"/>
  <c r="AN107" i="18"/>
  <c r="AO107" i="18"/>
  <c r="AP107" i="18"/>
  <c r="AQ107" i="18"/>
  <c r="E108" i="18"/>
  <c r="F108" i="18"/>
  <c r="G108" i="18"/>
  <c r="H108" i="18"/>
  <c r="I108" i="18"/>
  <c r="J108" i="18"/>
  <c r="K108" i="18"/>
  <c r="L108" i="18"/>
  <c r="L151" i="18" s="1"/>
  <c r="M108" i="18"/>
  <c r="N108" i="18"/>
  <c r="O108" i="18"/>
  <c r="P108" i="18"/>
  <c r="Q108" i="18"/>
  <c r="Q151" i="18" s="1"/>
  <c r="R108" i="18"/>
  <c r="S108" i="18"/>
  <c r="T108" i="18"/>
  <c r="U108" i="18"/>
  <c r="V108" i="18"/>
  <c r="W108" i="18"/>
  <c r="X108" i="18"/>
  <c r="Y108" i="18"/>
  <c r="Z108" i="18"/>
  <c r="AA108" i="18"/>
  <c r="AB108" i="18"/>
  <c r="AC108" i="18"/>
  <c r="AD108" i="18"/>
  <c r="AE108" i="18"/>
  <c r="AF108" i="18"/>
  <c r="AF151" i="18" s="1"/>
  <c r="AG108" i="18"/>
  <c r="AH108" i="18"/>
  <c r="AI108" i="18"/>
  <c r="AJ108" i="18"/>
  <c r="AK108" i="18"/>
  <c r="AK151" i="18" s="1"/>
  <c r="AL108" i="18"/>
  <c r="AM108" i="18"/>
  <c r="AN108" i="18"/>
  <c r="AO108" i="18"/>
  <c r="AP108" i="18"/>
  <c r="AQ108" i="18"/>
  <c r="E109" i="18"/>
  <c r="F109" i="18"/>
  <c r="G109" i="18"/>
  <c r="H109" i="18"/>
  <c r="I109" i="18"/>
  <c r="J109" i="18"/>
  <c r="K109" i="18"/>
  <c r="L109" i="18"/>
  <c r="M109" i="18"/>
  <c r="M152" i="18" s="1"/>
  <c r="N109" i="18"/>
  <c r="O109" i="18"/>
  <c r="P109" i="18"/>
  <c r="Q109" i="18"/>
  <c r="R109" i="18"/>
  <c r="R152" i="18" s="1"/>
  <c r="S109" i="18"/>
  <c r="T109" i="18"/>
  <c r="U109" i="18"/>
  <c r="V109" i="18"/>
  <c r="W109" i="18"/>
  <c r="X109" i="18"/>
  <c r="Y109" i="18"/>
  <c r="Z109" i="18"/>
  <c r="AA109" i="18"/>
  <c r="AB109" i="18"/>
  <c r="AC109" i="18"/>
  <c r="AD109" i="18"/>
  <c r="AE109" i="18"/>
  <c r="AF109" i="18"/>
  <c r="AG109" i="18"/>
  <c r="AG152" i="18" s="1"/>
  <c r="AH109" i="18"/>
  <c r="AI109" i="18"/>
  <c r="AJ109" i="18"/>
  <c r="AK109" i="18"/>
  <c r="AL109" i="18"/>
  <c r="AL152" i="18" s="1"/>
  <c r="AM109" i="18"/>
  <c r="AN109" i="18"/>
  <c r="AO109" i="18"/>
  <c r="AP109" i="18"/>
  <c r="AQ109" i="18"/>
  <c r="E110" i="18"/>
  <c r="F110" i="18"/>
  <c r="G110" i="18"/>
  <c r="H110" i="18"/>
  <c r="I110" i="18"/>
  <c r="J110" i="18"/>
  <c r="K110" i="18"/>
  <c r="L110" i="18"/>
  <c r="M110" i="18"/>
  <c r="N110" i="18"/>
  <c r="N153" i="18" s="1"/>
  <c r="O110" i="18"/>
  <c r="P110" i="18"/>
  <c r="Q110" i="18"/>
  <c r="R110" i="18"/>
  <c r="S110" i="18"/>
  <c r="S153" i="18" s="1"/>
  <c r="T110" i="18"/>
  <c r="U110" i="18"/>
  <c r="V110" i="18"/>
  <c r="W110" i="18"/>
  <c r="X110" i="18"/>
  <c r="Y110" i="18"/>
  <c r="Z110" i="18"/>
  <c r="AA110" i="18"/>
  <c r="AB110" i="18"/>
  <c r="AC110" i="18"/>
  <c r="AD110" i="18"/>
  <c r="AE110" i="18"/>
  <c r="AF110" i="18"/>
  <c r="AG110" i="18"/>
  <c r="AH110" i="18"/>
  <c r="AH153" i="18" s="1"/>
  <c r="AI110" i="18"/>
  <c r="AJ110" i="18"/>
  <c r="AJ153" i="18" s="1"/>
  <c r="AK110" i="18"/>
  <c r="AL110" i="18"/>
  <c r="AM110" i="18"/>
  <c r="AM153" i="18" s="1"/>
  <c r="AN110" i="18"/>
  <c r="AO110" i="18"/>
  <c r="AO153" i="18" s="1"/>
  <c r="AP110" i="18"/>
  <c r="AQ110" i="18"/>
  <c r="E111" i="18"/>
  <c r="F111" i="18"/>
  <c r="G111" i="18"/>
  <c r="H111" i="18"/>
  <c r="I111" i="18"/>
  <c r="J111" i="18"/>
  <c r="K111" i="18"/>
  <c r="L111" i="18"/>
  <c r="M111" i="18"/>
  <c r="N111" i="18"/>
  <c r="O111" i="18"/>
  <c r="O154" i="18" s="1"/>
  <c r="P111" i="18"/>
  <c r="Q111" i="18"/>
  <c r="R111" i="18"/>
  <c r="S111" i="18"/>
  <c r="T111" i="18"/>
  <c r="T154" i="18" s="1"/>
  <c r="U111" i="18"/>
  <c r="V111" i="18"/>
  <c r="V154" i="18" s="1"/>
  <c r="W111" i="18"/>
  <c r="X111" i="18"/>
  <c r="Y111" i="18"/>
  <c r="Z111" i="18"/>
  <c r="AA111" i="18"/>
  <c r="AB111" i="18"/>
  <c r="AC111" i="18"/>
  <c r="AD111" i="18"/>
  <c r="AE111" i="18"/>
  <c r="AF111" i="18"/>
  <c r="AG111" i="18"/>
  <c r="AH111" i="18"/>
  <c r="AI111" i="18"/>
  <c r="AI154" i="18" s="1"/>
  <c r="AJ111" i="18"/>
  <c r="AK111" i="18"/>
  <c r="AK154" i="18" s="1"/>
  <c r="AL111" i="18"/>
  <c r="AM111" i="18"/>
  <c r="AN111" i="18"/>
  <c r="AN154" i="18" s="1"/>
  <c r="AO111" i="18"/>
  <c r="AP111" i="18"/>
  <c r="AP154" i="18" s="1"/>
  <c r="AQ111" i="18"/>
  <c r="E112" i="18"/>
  <c r="F112" i="18"/>
  <c r="G112" i="18"/>
  <c r="H112" i="18"/>
  <c r="I112" i="18"/>
  <c r="J112" i="18"/>
  <c r="K112" i="18"/>
  <c r="L112" i="18"/>
  <c r="M112" i="18"/>
  <c r="N112" i="18"/>
  <c r="O112" i="18"/>
  <c r="P112" i="18"/>
  <c r="P155" i="18" s="1"/>
  <c r="Q112" i="18"/>
  <c r="R112" i="18"/>
  <c r="R155" i="18" s="1"/>
  <c r="S112" i="18"/>
  <c r="T112" i="18"/>
  <c r="U112" i="18"/>
  <c r="U155" i="18" s="1"/>
  <c r="V112" i="18"/>
  <c r="W112" i="18"/>
  <c r="W155" i="18" s="1"/>
  <c r="X112" i="18"/>
  <c r="Y112" i="18"/>
  <c r="Z112" i="18"/>
  <c r="AA112" i="18"/>
  <c r="AB112" i="18"/>
  <c r="AC112" i="18"/>
  <c r="AD112" i="18"/>
  <c r="AE112" i="18"/>
  <c r="AF112" i="18"/>
  <c r="AG112" i="18"/>
  <c r="AH112" i="18"/>
  <c r="AI112" i="18"/>
  <c r="AJ112" i="18"/>
  <c r="AJ155" i="18" s="1"/>
  <c r="AK112" i="18"/>
  <c r="AL112" i="18"/>
  <c r="AL155" i="18" s="1"/>
  <c r="AM112" i="18"/>
  <c r="AN112" i="18"/>
  <c r="AO112" i="18"/>
  <c r="AO155" i="18" s="1"/>
  <c r="AP112" i="18"/>
  <c r="AQ112" i="18"/>
  <c r="AQ155" i="18" s="1"/>
  <c r="E113" i="18"/>
  <c r="F113" i="18"/>
  <c r="G113" i="18"/>
  <c r="H113" i="18"/>
  <c r="I113" i="18"/>
  <c r="J113" i="18"/>
  <c r="K113" i="18"/>
  <c r="L113" i="18"/>
  <c r="M113" i="18"/>
  <c r="N113" i="18"/>
  <c r="O113" i="18"/>
  <c r="P113" i="18"/>
  <c r="Q113" i="18"/>
  <c r="Q156" i="18" s="1"/>
  <c r="R113" i="18"/>
  <c r="S113" i="18"/>
  <c r="S156" i="18" s="1"/>
  <c r="T113" i="18"/>
  <c r="U113" i="18"/>
  <c r="V113" i="18"/>
  <c r="V156" i="18" s="1"/>
  <c r="W113" i="18"/>
  <c r="X113" i="18"/>
  <c r="X156" i="18" s="1"/>
  <c r="Y113" i="18"/>
  <c r="Z113" i="18"/>
  <c r="AA113" i="18"/>
  <c r="AB113" i="18"/>
  <c r="AC113" i="18"/>
  <c r="AD113" i="18"/>
  <c r="AE113" i="18"/>
  <c r="AF113" i="18"/>
  <c r="AG113" i="18"/>
  <c r="AH113" i="18"/>
  <c r="AI113" i="18"/>
  <c r="AJ113" i="18"/>
  <c r="AK113" i="18"/>
  <c r="AK156" i="18" s="1"/>
  <c r="AL113" i="18"/>
  <c r="AM113" i="18"/>
  <c r="AM156" i="18" s="1"/>
  <c r="AN113" i="18"/>
  <c r="AO113" i="18"/>
  <c r="AP113" i="18"/>
  <c r="AP156" i="18" s="1"/>
  <c r="AQ113" i="18"/>
  <c r="E114" i="18"/>
  <c r="E157" i="18" s="1"/>
  <c r="F114" i="18"/>
  <c r="G114" i="18"/>
  <c r="H114" i="18"/>
  <c r="I114" i="18"/>
  <c r="J114" i="18"/>
  <c r="K114" i="18"/>
  <c r="L114" i="18"/>
  <c r="M114" i="18"/>
  <c r="N114" i="18"/>
  <c r="O114" i="18"/>
  <c r="P114" i="18"/>
  <c r="Q114" i="18"/>
  <c r="R114" i="18"/>
  <c r="R157" i="18" s="1"/>
  <c r="S114" i="18"/>
  <c r="T114" i="18"/>
  <c r="T157" i="18" s="1"/>
  <c r="U114" i="18"/>
  <c r="V114" i="18"/>
  <c r="W114" i="18"/>
  <c r="W157" i="18" s="1"/>
  <c r="X114" i="18"/>
  <c r="Y114" i="18"/>
  <c r="Y157" i="18" s="1"/>
  <c r="Z114" i="18"/>
  <c r="AA114" i="18"/>
  <c r="AB114" i="18"/>
  <c r="AC114" i="18"/>
  <c r="AD114" i="18"/>
  <c r="AE114" i="18"/>
  <c r="AF114" i="18"/>
  <c r="AG114" i="18"/>
  <c r="AH114" i="18"/>
  <c r="AI114" i="18"/>
  <c r="AJ114" i="18"/>
  <c r="AK114" i="18"/>
  <c r="AL114" i="18"/>
  <c r="AL157" i="18" s="1"/>
  <c r="AM114" i="18"/>
  <c r="AN114" i="18"/>
  <c r="AN157" i="18" s="1"/>
  <c r="AO114" i="18"/>
  <c r="AP114" i="18"/>
  <c r="AQ114" i="18"/>
  <c r="AQ157" i="18" s="1"/>
  <c r="E115" i="18"/>
  <c r="F115" i="18"/>
  <c r="F158" i="18" s="1"/>
  <c r="G115" i="18"/>
  <c r="H115" i="18"/>
  <c r="I115" i="18"/>
  <c r="J115" i="18"/>
  <c r="K115" i="18"/>
  <c r="L115" i="18"/>
  <c r="M115" i="18"/>
  <c r="N115" i="18"/>
  <c r="O115" i="18"/>
  <c r="P115" i="18"/>
  <c r="Q115" i="18"/>
  <c r="R115" i="18"/>
  <c r="S115" i="18"/>
  <c r="S158" i="18" s="1"/>
  <c r="T115" i="18"/>
  <c r="U115" i="18"/>
  <c r="V115" i="18"/>
  <c r="W115" i="18"/>
  <c r="X115" i="18"/>
  <c r="X158" i="18" s="1"/>
  <c r="Y115" i="18"/>
  <c r="Z115" i="18"/>
  <c r="Z158" i="18" s="1"/>
  <c r="AA115" i="18"/>
  <c r="AB115" i="18"/>
  <c r="AC115" i="18"/>
  <c r="AD115" i="18"/>
  <c r="AE115" i="18"/>
  <c r="AF115" i="18"/>
  <c r="AG115" i="18"/>
  <c r="AH115" i="18"/>
  <c r="AI115" i="18"/>
  <c r="AJ115" i="18"/>
  <c r="AK115" i="18"/>
  <c r="AL115" i="18"/>
  <c r="AM115" i="18"/>
  <c r="AM158" i="18" s="1"/>
  <c r="AN115" i="18"/>
  <c r="AO115" i="18"/>
  <c r="AP115" i="18"/>
  <c r="AQ115" i="18"/>
  <c r="E116" i="18"/>
  <c r="F116" i="18"/>
  <c r="G116" i="18"/>
  <c r="H116" i="18"/>
  <c r="I116" i="18"/>
  <c r="J116" i="18"/>
  <c r="K116" i="18"/>
  <c r="L116" i="18"/>
  <c r="M116" i="18"/>
  <c r="N116" i="18"/>
  <c r="O116" i="18"/>
  <c r="P116" i="18"/>
  <c r="Q116" i="18"/>
  <c r="R116" i="18"/>
  <c r="S116" i="18"/>
  <c r="T116" i="18"/>
  <c r="U116" i="18"/>
  <c r="V116" i="18"/>
  <c r="W116" i="18"/>
  <c r="X116" i="18"/>
  <c r="Y116" i="18"/>
  <c r="Z116" i="18"/>
  <c r="AA116" i="18"/>
  <c r="AB116" i="18"/>
  <c r="AC116" i="18"/>
  <c r="AD116" i="18"/>
  <c r="AE116" i="18"/>
  <c r="AF116" i="18"/>
  <c r="AG116" i="18"/>
  <c r="AH116" i="18"/>
  <c r="AI116" i="18"/>
  <c r="AJ116" i="18"/>
  <c r="AK116" i="18"/>
  <c r="AL116" i="18"/>
  <c r="AM116" i="18"/>
  <c r="AN116" i="18"/>
  <c r="AO116" i="18"/>
  <c r="AP116" i="18"/>
  <c r="AQ116" i="18"/>
  <c r="E117" i="18"/>
  <c r="F117" i="18"/>
  <c r="G117" i="18"/>
  <c r="H117" i="18"/>
  <c r="I117" i="18"/>
  <c r="J117" i="18"/>
  <c r="K117" i="18"/>
  <c r="L117" i="18"/>
  <c r="M117" i="18"/>
  <c r="N117" i="18"/>
  <c r="O117" i="18"/>
  <c r="P117" i="18"/>
  <c r="Q117" i="18"/>
  <c r="R117" i="18"/>
  <c r="S117" i="18"/>
  <c r="T117" i="18"/>
  <c r="U117" i="18"/>
  <c r="V117" i="18"/>
  <c r="W117" i="18"/>
  <c r="X117" i="18"/>
  <c r="Y117" i="18"/>
  <c r="Z117" i="18"/>
  <c r="AA117" i="18"/>
  <c r="AB117" i="18"/>
  <c r="AC117" i="18"/>
  <c r="AD117" i="18"/>
  <c r="AE117" i="18"/>
  <c r="AF117" i="18"/>
  <c r="AG117" i="18"/>
  <c r="AH117" i="18"/>
  <c r="AI117" i="18"/>
  <c r="AJ117" i="18"/>
  <c r="AK117" i="18"/>
  <c r="AL117" i="18"/>
  <c r="AM117" i="18"/>
  <c r="AN117" i="18"/>
  <c r="AO117" i="18"/>
  <c r="AP117" i="18"/>
  <c r="AQ117" i="18"/>
  <c r="E118" i="18"/>
  <c r="F118" i="18"/>
  <c r="G118" i="18"/>
  <c r="H118" i="18"/>
  <c r="I118" i="18"/>
  <c r="J118" i="18"/>
  <c r="K118" i="18"/>
  <c r="L118" i="18"/>
  <c r="M118" i="18"/>
  <c r="N118" i="18"/>
  <c r="O118" i="18"/>
  <c r="P118" i="18"/>
  <c r="Q118" i="18"/>
  <c r="R118" i="18"/>
  <c r="S118" i="18"/>
  <c r="T118" i="18"/>
  <c r="U118" i="18"/>
  <c r="V118" i="18"/>
  <c r="W118" i="18"/>
  <c r="X118" i="18"/>
  <c r="Y118" i="18"/>
  <c r="Z118" i="18"/>
  <c r="AA118" i="18"/>
  <c r="AB118" i="18"/>
  <c r="AC118" i="18"/>
  <c r="AD118" i="18"/>
  <c r="AE118" i="18"/>
  <c r="AF118" i="18"/>
  <c r="AG118" i="18"/>
  <c r="AH118" i="18"/>
  <c r="AI118" i="18"/>
  <c r="AJ118" i="18"/>
  <c r="AK118" i="18"/>
  <c r="AL118" i="18"/>
  <c r="AM118" i="18"/>
  <c r="AN118" i="18"/>
  <c r="AO118" i="18"/>
  <c r="AP118" i="18"/>
  <c r="AQ118" i="18"/>
  <c r="E119" i="18"/>
  <c r="F119" i="18"/>
  <c r="G119" i="18"/>
  <c r="H119" i="18"/>
  <c r="I119" i="18"/>
  <c r="J119" i="18"/>
  <c r="K119" i="18"/>
  <c r="L119" i="18"/>
  <c r="M119" i="18"/>
  <c r="N119" i="18"/>
  <c r="O119" i="18"/>
  <c r="P119" i="18"/>
  <c r="Q119" i="18"/>
  <c r="R119" i="18"/>
  <c r="S119" i="18"/>
  <c r="T119" i="18"/>
  <c r="U119" i="18"/>
  <c r="V119" i="18"/>
  <c r="W119" i="18"/>
  <c r="X119" i="18"/>
  <c r="Y119" i="18"/>
  <c r="Z119" i="18"/>
  <c r="AA119" i="18"/>
  <c r="AB119" i="18"/>
  <c r="AC119" i="18"/>
  <c r="AD119" i="18"/>
  <c r="AE119" i="18"/>
  <c r="AF119" i="18"/>
  <c r="AG119" i="18"/>
  <c r="AH119" i="18"/>
  <c r="AI119" i="18"/>
  <c r="AJ119" i="18"/>
  <c r="AK119" i="18"/>
  <c r="AL119" i="18"/>
  <c r="AM119" i="18"/>
  <c r="AN119" i="18"/>
  <c r="AO119" i="18"/>
  <c r="AP119" i="18"/>
  <c r="AQ119" i="18"/>
  <c r="E120" i="18"/>
  <c r="F120" i="18"/>
  <c r="G120" i="18"/>
  <c r="H120" i="18"/>
  <c r="I120" i="18"/>
  <c r="J120" i="18"/>
  <c r="K120" i="18"/>
  <c r="L120" i="18"/>
  <c r="M120" i="18"/>
  <c r="N120" i="18"/>
  <c r="O120" i="18"/>
  <c r="P120" i="18"/>
  <c r="Q120" i="18"/>
  <c r="R120" i="18"/>
  <c r="S120" i="18"/>
  <c r="T120" i="18"/>
  <c r="U120" i="18"/>
  <c r="V120" i="18"/>
  <c r="W120" i="18"/>
  <c r="X120" i="18"/>
  <c r="Y120" i="18"/>
  <c r="Z120" i="18"/>
  <c r="AA120" i="18"/>
  <c r="AB120" i="18"/>
  <c r="AC120" i="18"/>
  <c r="AD120" i="18"/>
  <c r="AE120" i="18"/>
  <c r="AF120" i="18"/>
  <c r="AG120" i="18"/>
  <c r="AH120" i="18"/>
  <c r="AI120" i="18"/>
  <c r="AJ120" i="18"/>
  <c r="AK120" i="18"/>
  <c r="AL120" i="18"/>
  <c r="AM120" i="18"/>
  <c r="AN120" i="18"/>
  <c r="AO120" i="18"/>
  <c r="AP120" i="18"/>
  <c r="AQ120" i="18"/>
  <c r="E121" i="18"/>
  <c r="F121" i="18"/>
  <c r="G121" i="18"/>
  <c r="H121" i="18"/>
  <c r="I121" i="18"/>
  <c r="J121" i="18"/>
  <c r="K121" i="18"/>
  <c r="L121" i="18"/>
  <c r="M121" i="18"/>
  <c r="N121" i="18"/>
  <c r="O121" i="18"/>
  <c r="P121" i="18"/>
  <c r="Q121" i="18"/>
  <c r="R121" i="18"/>
  <c r="S121" i="18"/>
  <c r="T121" i="18"/>
  <c r="U121" i="18"/>
  <c r="V121" i="18"/>
  <c r="W121" i="18"/>
  <c r="X121" i="18"/>
  <c r="Y121" i="18"/>
  <c r="Z121" i="18"/>
  <c r="AA121" i="18"/>
  <c r="AB121" i="18"/>
  <c r="AC121" i="18"/>
  <c r="AD121" i="18"/>
  <c r="AE121" i="18"/>
  <c r="AF121" i="18"/>
  <c r="AG121" i="18"/>
  <c r="AH121" i="18"/>
  <c r="AI121" i="18"/>
  <c r="AJ121" i="18"/>
  <c r="AK121" i="18"/>
  <c r="AL121" i="18"/>
  <c r="AM121" i="18"/>
  <c r="AN121" i="18"/>
  <c r="AO121" i="18"/>
  <c r="AP121" i="18"/>
  <c r="AQ121" i="18"/>
  <c r="E122" i="18"/>
  <c r="F122" i="18"/>
  <c r="G122" i="18"/>
  <c r="H122" i="18"/>
  <c r="I122" i="18"/>
  <c r="J122" i="18"/>
  <c r="K122" i="18"/>
  <c r="L122" i="18"/>
  <c r="M122" i="18"/>
  <c r="N122" i="18"/>
  <c r="O122" i="18"/>
  <c r="P122" i="18"/>
  <c r="Q122" i="18"/>
  <c r="R122" i="18"/>
  <c r="S122" i="18"/>
  <c r="T122" i="18"/>
  <c r="U122" i="18"/>
  <c r="V122" i="18"/>
  <c r="W122" i="18"/>
  <c r="X122" i="18"/>
  <c r="Y122" i="18"/>
  <c r="Z122" i="18"/>
  <c r="AA122" i="18"/>
  <c r="AB122" i="18"/>
  <c r="AC122" i="18"/>
  <c r="AD122" i="18"/>
  <c r="AE122" i="18"/>
  <c r="AF122" i="18"/>
  <c r="AG122" i="18"/>
  <c r="AH122" i="18"/>
  <c r="AI122" i="18"/>
  <c r="AJ122" i="18"/>
  <c r="AK122" i="18"/>
  <c r="AL122" i="18"/>
  <c r="AM122" i="18"/>
  <c r="AN122" i="18"/>
  <c r="AO122" i="18"/>
  <c r="AP122" i="18"/>
  <c r="AQ122" i="18"/>
  <c r="E123" i="18"/>
  <c r="F123" i="18"/>
  <c r="G123" i="18"/>
  <c r="H123" i="18"/>
  <c r="I123" i="18"/>
  <c r="J123" i="18"/>
  <c r="K123" i="18"/>
  <c r="L123" i="18"/>
  <c r="M123" i="18"/>
  <c r="N123" i="18"/>
  <c r="O123" i="18"/>
  <c r="P123" i="18"/>
  <c r="Q123" i="18"/>
  <c r="R123" i="18"/>
  <c r="S123" i="18"/>
  <c r="T123" i="18"/>
  <c r="U123" i="18"/>
  <c r="V123" i="18"/>
  <c r="W123" i="18"/>
  <c r="X123" i="18"/>
  <c r="Y123" i="18"/>
  <c r="Z123" i="18"/>
  <c r="AA123" i="18"/>
  <c r="AB123" i="18"/>
  <c r="AC123" i="18"/>
  <c r="AD123" i="18"/>
  <c r="AE123" i="18"/>
  <c r="AF123" i="18"/>
  <c r="AG123" i="18"/>
  <c r="AH123" i="18"/>
  <c r="AI123" i="18"/>
  <c r="AJ123" i="18"/>
  <c r="AK123" i="18"/>
  <c r="AL123" i="18"/>
  <c r="AM123" i="18"/>
  <c r="AN123" i="18"/>
  <c r="AO123" i="18"/>
  <c r="AP123" i="18"/>
  <c r="AQ123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Q124" i="18"/>
  <c r="R124" i="18"/>
  <c r="S124" i="18"/>
  <c r="T124" i="18"/>
  <c r="U124" i="18"/>
  <c r="V124" i="18"/>
  <c r="W124" i="18"/>
  <c r="X124" i="18"/>
  <c r="Y124" i="18"/>
  <c r="Z124" i="18"/>
  <c r="AA124" i="18"/>
  <c r="AB124" i="18"/>
  <c r="AC124" i="18"/>
  <c r="AD124" i="18"/>
  <c r="AE124" i="18"/>
  <c r="AF124" i="18"/>
  <c r="AG124" i="18"/>
  <c r="AH124" i="18"/>
  <c r="AI124" i="18"/>
  <c r="AJ124" i="18"/>
  <c r="AK124" i="18"/>
  <c r="AL124" i="18"/>
  <c r="AM124" i="18"/>
  <c r="AN124" i="18"/>
  <c r="AO124" i="18"/>
  <c r="AP124" i="18"/>
  <c r="AQ124" i="18"/>
  <c r="E125" i="18"/>
  <c r="F125" i="18"/>
  <c r="G125" i="18"/>
  <c r="H125" i="18"/>
  <c r="I125" i="18"/>
  <c r="J125" i="18"/>
  <c r="K125" i="18"/>
  <c r="L125" i="18"/>
  <c r="M125" i="18"/>
  <c r="N125" i="18"/>
  <c r="O125" i="18"/>
  <c r="P125" i="18"/>
  <c r="Q125" i="18"/>
  <c r="R125" i="18"/>
  <c r="S125" i="18"/>
  <c r="T125" i="18"/>
  <c r="U125" i="18"/>
  <c r="V125" i="18"/>
  <c r="W125" i="18"/>
  <c r="X125" i="18"/>
  <c r="Y125" i="18"/>
  <c r="Z125" i="18"/>
  <c r="AA125" i="18"/>
  <c r="AB125" i="18"/>
  <c r="AC125" i="18"/>
  <c r="AD125" i="18"/>
  <c r="AE125" i="18"/>
  <c r="AF125" i="18"/>
  <c r="AG125" i="18"/>
  <c r="AH125" i="18"/>
  <c r="AI125" i="18"/>
  <c r="AJ125" i="18"/>
  <c r="AK125" i="18"/>
  <c r="AL125" i="18"/>
  <c r="AM125" i="18"/>
  <c r="AN125" i="18"/>
  <c r="AO125" i="18"/>
  <c r="AP125" i="18"/>
  <c r="AQ125" i="18"/>
  <c r="E126" i="18"/>
  <c r="F126" i="18"/>
  <c r="G126" i="18"/>
  <c r="H126" i="18"/>
  <c r="I126" i="18"/>
  <c r="J126" i="18"/>
  <c r="K126" i="18"/>
  <c r="L126" i="18"/>
  <c r="M126" i="18"/>
  <c r="N126" i="18"/>
  <c r="O126" i="18"/>
  <c r="P126" i="18"/>
  <c r="Q126" i="18"/>
  <c r="R126" i="18"/>
  <c r="S126" i="18"/>
  <c r="T126" i="18"/>
  <c r="U126" i="18"/>
  <c r="V126" i="18"/>
  <c r="W126" i="18"/>
  <c r="X126" i="18"/>
  <c r="Y126" i="18"/>
  <c r="Z126" i="18"/>
  <c r="AA126" i="18"/>
  <c r="AB126" i="18"/>
  <c r="AC126" i="18"/>
  <c r="AD126" i="18"/>
  <c r="AE126" i="18"/>
  <c r="AF126" i="18"/>
  <c r="AG126" i="18"/>
  <c r="AH126" i="18"/>
  <c r="AI126" i="18"/>
  <c r="AJ126" i="18"/>
  <c r="AK126" i="18"/>
  <c r="AL126" i="18"/>
  <c r="AM126" i="18"/>
  <c r="AN126" i="18"/>
  <c r="AO126" i="18"/>
  <c r="AP126" i="18"/>
  <c r="AQ126" i="18"/>
  <c r="E127" i="18"/>
  <c r="F127" i="18"/>
  <c r="G127" i="18"/>
  <c r="H127" i="18"/>
  <c r="I127" i="18"/>
  <c r="J127" i="18"/>
  <c r="K127" i="18"/>
  <c r="L127" i="18"/>
  <c r="M127" i="18"/>
  <c r="N127" i="18"/>
  <c r="O127" i="18"/>
  <c r="P127" i="18"/>
  <c r="Q127" i="18"/>
  <c r="R127" i="18"/>
  <c r="S127" i="18"/>
  <c r="T127" i="18"/>
  <c r="U127" i="18"/>
  <c r="V127" i="18"/>
  <c r="W127" i="18"/>
  <c r="X127" i="18"/>
  <c r="Y127" i="18"/>
  <c r="Z127" i="18"/>
  <c r="AA127" i="18"/>
  <c r="AB127" i="18"/>
  <c r="AC127" i="18"/>
  <c r="AD127" i="18"/>
  <c r="AE127" i="18"/>
  <c r="AF127" i="18"/>
  <c r="AG127" i="18"/>
  <c r="AH127" i="18"/>
  <c r="AI127" i="18"/>
  <c r="AJ127" i="18"/>
  <c r="AK127" i="18"/>
  <c r="AL127" i="18"/>
  <c r="AM127" i="18"/>
  <c r="AN127" i="18"/>
  <c r="AO127" i="18"/>
  <c r="AP127" i="18"/>
  <c r="AQ127" i="18"/>
  <c r="E128" i="18"/>
  <c r="F128" i="18"/>
  <c r="G128" i="18"/>
  <c r="H128" i="18"/>
  <c r="I128" i="18"/>
  <c r="J128" i="18"/>
  <c r="K128" i="18"/>
  <c r="L128" i="18"/>
  <c r="M128" i="18"/>
  <c r="N128" i="18"/>
  <c r="O128" i="18"/>
  <c r="P128" i="18"/>
  <c r="Q128" i="18"/>
  <c r="R128" i="18"/>
  <c r="S128" i="18"/>
  <c r="T128" i="18"/>
  <c r="U128" i="18"/>
  <c r="V128" i="18"/>
  <c r="W128" i="18"/>
  <c r="X128" i="18"/>
  <c r="Y128" i="18"/>
  <c r="Z128" i="18"/>
  <c r="AA128" i="18"/>
  <c r="AB128" i="18"/>
  <c r="AC128" i="18"/>
  <c r="AD128" i="18"/>
  <c r="AE128" i="18"/>
  <c r="AF128" i="18"/>
  <c r="AG128" i="18"/>
  <c r="AH128" i="18"/>
  <c r="AI128" i="18"/>
  <c r="AJ128" i="18"/>
  <c r="AK128" i="18"/>
  <c r="AL128" i="18"/>
  <c r="AM128" i="18"/>
  <c r="AN128" i="18"/>
  <c r="AO128" i="18"/>
  <c r="AP128" i="18"/>
  <c r="AQ128" i="18"/>
  <c r="E129" i="18"/>
  <c r="F129" i="18"/>
  <c r="G129" i="18"/>
  <c r="H129" i="18"/>
  <c r="I129" i="18"/>
  <c r="J129" i="18"/>
  <c r="K129" i="18"/>
  <c r="L129" i="18"/>
  <c r="M129" i="18"/>
  <c r="N129" i="18"/>
  <c r="O129" i="18"/>
  <c r="P129" i="18"/>
  <c r="Q129" i="18"/>
  <c r="R129" i="18"/>
  <c r="S129" i="18"/>
  <c r="T129" i="18"/>
  <c r="U129" i="18"/>
  <c r="V129" i="18"/>
  <c r="W129" i="18"/>
  <c r="X129" i="18"/>
  <c r="Y129" i="18"/>
  <c r="Z129" i="18"/>
  <c r="AA129" i="18"/>
  <c r="AB129" i="18"/>
  <c r="AC129" i="18"/>
  <c r="AD129" i="18"/>
  <c r="AE129" i="18"/>
  <c r="AF129" i="18"/>
  <c r="AG129" i="18"/>
  <c r="AH129" i="18"/>
  <c r="AI129" i="18"/>
  <c r="AJ129" i="18"/>
  <c r="AK129" i="18"/>
  <c r="AL129" i="18"/>
  <c r="AM129" i="18"/>
  <c r="AN129" i="18"/>
  <c r="AO129" i="18"/>
  <c r="AP129" i="18"/>
  <c r="AQ129" i="18"/>
  <c r="E130" i="18"/>
  <c r="F130" i="18"/>
  <c r="G130" i="18"/>
  <c r="H130" i="18"/>
  <c r="I130" i="18"/>
  <c r="J130" i="18"/>
  <c r="K130" i="18"/>
  <c r="L130" i="18"/>
  <c r="M130" i="18"/>
  <c r="N130" i="18"/>
  <c r="O130" i="18"/>
  <c r="P130" i="18"/>
  <c r="Q130" i="18"/>
  <c r="R130" i="18"/>
  <c r="S130" i="18"/>
  <c r="T130" i="18"/>
  <c r="U130" i="18"/>
  <c r="V130" i="18"/>
  <c r="W130" i="18"/>
  <c r="X130" i="18"/>
  <c r="Y130" i="18"/>
  <c r="Z130" i="18"/>
  <c r="AA130" i="18"/>
  <c r="AB130" i="18"/>
  <c r="AC130" i="18"/>
  <c r="AD130" i="18"/>
  <c r="AE130" i="18"/>
  <c r="AF130" i="18"/>
  <c r="AG130" i="18"/>
  <c r="AH130" i="18"/>
  <c r="AI130" i="18"/>
  <c r="AJ130" i="18"/>
  <c r="AK130" i="18"/>
  <c r="AL130" i="18"/>
  <c r="AM130" i="18"/>
  <c r="AN130" i="18"/>
  <c r="AO130" i="18"/>
  <c r="AP130" i="18"/>
  <c r="AQ130" i="18"/>
  <c r="E131" i="18"/>
  <c r="F131" i="18"/>
  <c r="G131" i="18"/>
  <c r="H131" i="18"/>
  <c r="I131" i="18"/>
  <c r="J131" i="18"/>
  <c r="K131" i="18"/>
  <c r="L131" i="18"/>
  <c r="M131" i="18"/>
  <c r="N131" i="18"/>
  <c r="O131" i="18"/>
  <c r="P131" i="18"/>
  <c r="Q131" i="18"/>
  <c r="R131" i="18"/>
  <c r="S131" i="18"/>
  <c r="T131" i="18"/>
  <c r="U131" i="18"/>
  <c r="V131" i="18"/>
  <c r="W131" i="18"/>
  <c r="X131" i="18"/>
  <c r="Y131" i="18"/>
  <c r="Z131" i="18"/>
  <c r="AA131" i="18"/>
  <c r="AB131" i="18"/>
  <c r="AC131" i="18"/>
  <c r="AD131" i="18"/>
  <c r="AE131" i="18"/>
  <c r="AF131" i="18"/>
  <c r="AG131" i="18"/>
  <c r="AH131" i="18"/>
  <c r="AI131" i="18"/>
  <c r="AJ131" i="18"/>
  <c r="AK131" i="18"/>
  <c r="AL131" i="18"/>
  <c r="AM131" i="18"/>
  <c r="AN131" i="18"/>
  <c r="AO131" i="18"/>
  <c r="AP131" i="18"/>
  <c r="AQ131" i="18"/>
  <c r="E132" i="18"/>
  <c r="F132" i="18"/>
  <c r="G132" i="18"/>
  <c r="H132" i="18"/>
  <c r="I132" i="18"/>
  <c r="J132" i="18"/>
  <c r="K132" i="18"/>
  <c r="L132" i="18"/>
  <c r="M132" i="18"/>
  <c r="N132" i="18"/>
  <c r="O132" i="18"/>
  <c r="P132" i="18"/>
  <c r="Q132" i="18"/>
  <c r="R132" i="18"/>
  <c r="S132" i="18"/>
  <c r="T132" i="18"/>
  <c r="U132" i="18"/>
  <c r="V132" i="18"/>
  <c r="W132" i="18"/>
  <c r="X132" i="18"/>
  <c r="Y132" i="18"/>
  <c r="Z132" i="18"/>
  <c r="AA132" i="18"/>
  <c r="AB132" i="18"/>
  <c r="AC132" i="18"/>
  <c r="AD132" i="18"/>
  <c r="AE132" i="18"/>
  <c r="AF132" i="18"/>
  <c r="AG132" i="18"/>
  <c r="AH132" i="18"/>
  <c r="AI132" i="18"/>
  <c r="AJ132" i="18"/>
  <c r="AK132" i="18"/>
  <c r="AL132" i="18"/>
  <c r="AM132" i="18"/>
  <c r="AN132" i="18"/>
  <c r="AO132" i="18"/>
  <c r="AP132" i="18"/>
  <c r="AQ132" i="18"/>
  <c r="E133" i="18"/>
  <c r="F133" i="18"/>
  <c r="G133" i="18"/>
  <c r="H133" i="18"/>
  <c r="I133" i="18"/>
  <c r="L133" i="18"/>
  <c r="M133" i="18"/>
  <c r="O133" i="18"/>
  <c r="P133" i="18"/>
  <c r="Q133" i="18"/>
  <c r="R133" i="18"/>
  <c r="S133" i="18"/>
  <c r="T133" i="18"/>
  <c r="V133" i="18"/>
  <c r="W133" i="18"/>
  <c r="X133" i="18"/>
  <c r="Y133" i="18"/>
  <c r="Z133" i="18"/>
  <c r="AA133" i="18"/>
  <c r="AB133" i="18"/>
  <c r="AC133" i="18"/>
  <c r="AF133" i="18"/>
  <c r="AG133" i="18"/>
  <c r="AI133" i="18"/>
  <c r="AJ133" i="18"/>
  <c r="AK133" i="18"/>
  <c r="AL133" i="18"/>
  <c r="AM133" i="18"/>
  <c r="AN133" i="18"/>
  <c r="AP133" i="18"/>
  <c r="AQ133" i="18"/>
  <c r="E134" i="18"/>
  <c r="F134" i="18"/>
  <c r="G134" i="18"/>
  <c r="H134" i="18"/>
  <c r="I134" i="18"/>
  <c r="J134" i="18"/>
  <c r="M134" i="18"/>
  <c r="N134" i="18"/>
  <c r="P134" i="18"/>
  <c r="Q134" i="18"/>
  <c r="R134" i="18"/>
  <c r="S134" i="18"/>
  <c r="T134" i="18"/>
  <c r="U134" i="18"/>
  <c r="W134" i="18"/>
  <c r="X134" i="18"/>
  <c r="Y134" i="18"/>
  <c r="Z134" i="18"/>
  <c r="AA134" i="18"/>
  <c r="AB134" i="18"/>
  <c r="AC134" i="18"/>
  <c r="AD134" i="18"/>
  <c r="AG134" i="18"/>
  <c r="AH134" i="18"/>
  <c r="AI134" i="18"/>
  <c r="AJ134" i="18"/>
  <c r="AK134" i="18"/>
  <c r="AL134" i="18"/>
  <c r="AM134" i="18"/>
  <c r="AN134" i="18"/>
  <c r="AO134" i="18"/>
  <c r="AQ134" i="18"/>
  <c r="E135" i="18"/>
  <c r="F135" i="18"/>
  <c r="G135" i="18"/>
  <c r="H135" i="18"/>
  <c r="I135" i="18"/>
  <c r="J135" i="18"/>
  <c r="K135" i="18"/>
  <c r="N135" i="18"/>
  <c r="O135" i="18"/>
  <c r="P135" i="18"/>
  <c r="Q135" i="18"/>
  <c r="R135" i="18"/>
  <c r="S135" i="18"/>
  <c r="T135" i="18"/>
  <c r="U135" i="18"/>
  <c r="V135" i="18"/>
  <c r="X135" i="18"/>
  <c r="Y135" i="18"/>
  <c r="Z135" i="18"/>
  <c r="AA135" i="18"/>
  <c r="AB135" i="18"/>
  <c r="AC135" i="18"/>
  <c r="AD135" i="18"/>
  <c r="AE135" i="18"/>
  <c r="AH135" i="18"/>
  <c r="AI135" i="18"/>
  <c r="AK135" i="18"/>
  <c r="AL135" i="18"/>
  <c r="AM135" i="18"/>
  <c r="AN135" i="18"/>
  <c r="AO135" i="18"/>
  <c r="AP135" i="18"/>
  <c r="E136" i="18"/>
  <c r="F136" i="18"/>
  <c r="G136" i="18"/>
  <c r="H136" i="18"/>
  <c r="I136" i="18"/>
  <c r="J136" i="18"/>
  <c r="K136" i="18"/>
  <c r="L136" i="18"/>
  <c r="O136" i="18"/>
  <c r="P136" i="18"/>
  <c r="R136" i="18"/>
  <c r="S136" i="18"/>
  <c r="T136" i="18"/>
  <c r="U136" i="18"/>
  <c r="V136" i="18"/>
  <c r="W136" i="18"/>
  <c r="Y136" i="18"/>
  <c r="Z136" i="18"/>
  <c r="AA136" i="18"/>
  <c r="AB136" i="18"/>
  <c r="AC136" i="18"/>
  <c r="AD136" i="18"/>
  <c r="AE136" i="18"/>
  <c r="AF136" i="18"/>
  <c r="AI136" i="18"/>
  <c r="AJ136" i="18"/>
  <c r="AL136" i="18"/>
  <c r="AM136" i="18"/>
  <c r="AN136" i="18"/>
  <c r="AO136" i="18"/>
  <c r="AP136" i="18"/>
  <c r="AQ136" i="18"/>
  <c r="F137" i="18"/>
  <c r="G137" i="18"/>
  <c r="H137" i="18"/>
  <c r="I137" i="18"/>
  <c r="J137" i="18"/>
  <c r="K137" i="18"/>
  <c r="L137" i="18"/>
  <c r="M137" i="18"/>
  <c r="P137" i="18"/>
  <c r="Q137" i="18"/>
  <c r="S137" i="18"/>
  <c r="U137" i="18"/>
  <c r="V137" i="18"/>
  <c r="X137" i="18"/>
  <c r="Z137" i="18"/>
  <c r="AA137" i="18"/>
  <c r="AB137" i="18"/>
  <c r="AC137" i="18"/>
  <c r="AD137" i="18"/>
  <c r="AE137" i="18"/>
  <c r="AF137" i="18"/>
  <c r="AG137" i="18"/>
  <c r="AJ137" i="18"/>
  <c r="AK137" i="18"/>
  <c r="AM137" i="18"/>
  <c r="AO137" i="18"/>
  <c r="AP137" i="18"/>
  <c r="E138" i="18"/>
  <c r="G138" i="18"/>
  <c r="H138" i="18"/>
  <c r="I138" i="18"/>
  <c r="J138" i="18"/>
  <c r="K138" i="18"/>
  <c r="L138" i="18"/>
  <c r="M138" i="18"/>
  <c r="N138" i="18"/>
  <c r="Q138" i="18"/>
  <c r="R138" i="18"/>
  <c r="T138" i="18"/>
  <c r="V138" i="18"/>
  <c r="W138" i="18"/>
  <c r="Y138" i="18"/>
  <c r="AA138" i="18"/>
  <c r="AB138" i="18"/>
  <c r="AC138" i="18"/>
  <c r="AD138" i="18"/>
  <c r="AE138" i="18"/>
  <c r="AF138" i="18"/>
  <c r="AG138" i="18"/>
  <c r="AH138" i="18"/>
  <c r="AK138" i="18"/>
  <c r="AL138" i="18"/>
  <c r="AN138" i="18"/>
  <c r="AP138" i="18"/>
  <c r="AQ138" i="18"/>
  <c r="F139" i="18"/>
  <c r="H139" i="18"/>
  <c r="I139" i="18"/>
  <c r="J139" i="18"/>
  <c r="K139" i="18"/>
  <c r="L139" i="18"/>
  <c r="M139" i="18"/>
  <c r="N139" i="18"/>
  <c r="O139" i="18"/>
  <c r="R139" i="18"/>
  <c r="S139" i="18"/>
  <c r="U139" i="18"/>
  <c r="W139" i="18"/>
  <c r="X139" i="18"/>
  <c r="Z139" i="18"/>
  <c r="AB139" i="18"/>
  <c r="AC139" i="18"/>
  <c r="AD139" i="18"/>
  <c r="AE139" i="18"/>
  <c r="AF139" i="18"/>
  <c r="AG139" i="18"/>
  <c r="AH139" i="18"/>
  <c r="AI139" i="18"/>
  <c r="AL139" i="18"/>
  <c r="AM139" i="18"/>
  <c r="AO139" i="18"/>
  <c r="AQ139" i="18"/>
  <c r="E140" i="18"/>
  <c r="G140" i="18"/>
  <c r="I140" i="18"/>
  <c r="J140" i="18"/>
  <c r="K140" i="18"/>
  <c r="L140" i="18"/>
  <c r="M140" i="18"/>
  <c r="N140" i="18"/>
  <c r="O140" i="18"/>
  <c r="P140" i="18"/>
  <c r="S140" i="18"/>
  <c r="T140" i="18"/>
  <c r="V140" i="18"/>
  <c r="X140" i="18"/>
  <c r="Y140" i="18"/>
  <c r="AA140" i="18"/>
  <c r="AC140" i="18"/>
  <c r="AD140" i="18"/>
  <c r="AE140" i="18"/>
  <c r="AF140" i="18"/>
  <c r="AG140" i="18"/>
  <c r="AH140" i="18"/>
  <c r="AI140" i="18"/>
  <c r="AJ140" i="18"/>
  <c r="AM140" i="18"/>
  <c r="AN140" i="18"/>
  <c r="AP140" i="18"/>
  <c r="E141" i="18"/>
  <c r="F141" i="18"/>
  <c r="H141" i="18"/>
  <c r="J141" i="18"/>
  <c r="K141" i="18"/>
  <c r="L141" i="18"/>
  <c r="M141" i="18"/>
  <c r="N141" i="18"/>
  <c r="O141" i="18"/>
  <c r="P141" i="18"/>
  <c r="Q141" i="18"/>
  <c r="T141" i="18"/>
  <c r="U141" i="18"/>
  <c r="W141" i="18"/>
  <c r="Y141" i="18"/>
  <c r="Z141" i="18"/>
  <c r="AB141" i="18"/>
  <c r="AD141" i="18"/>
  <c r="AE141" i="18"/>
  <c r="AF141" i="18"/>
  <c r="AG141" i="18"/>
  <c r="AH141" i="18"/>
  <c r="AI141" i="18"/>
  <c r="AJ141" i="18"/>
  <c r="AK141" i="18"/>
  <c r="AL141" i="18"/>
  <c r="AM141" i="18"/>
  <c r="AN141" i="18"/>
  <c r="AO141" i="18"/>
  <c r="AQ141" i="18"/>
  <c r="F142" i="18"/>
  <c r="G142" i="18"/>
  <c r="I142" i="18"/>
  <c r="K142" i="18"/>
  <c r="L142" i="18"/>
  <c r="M142" i="18"/>
  <c r="N142" i="18"/>
  <c r="O142" i="18"/>
  <c r="P142" i="18"/>
  <c r="Q142" i="18"/>
  <c r="R142" i="18"/>
  <c r="S142" i="18"/>
  <c r="T142" i="18"/>
  <c r="U142" i="18"/>
  <c r="V142" i="18"/>
  <c r="X142" i="18"/>
  <c r="Z142" i="18"/>
  <c r="AA142" i="18"/>
  <c r="AC142" i="18"/>
  <c r="AE142" i="18"/>
  <c r="AF142" i="18"/>
  <c r="AG142" i="18"/>
  <c r="AH142" i="18"/>
  <c r="AI142" i="18"/>
  <c r="AJ142" i="18"/>
  <c r="AK142" i="18"/>
  <c r="AL142" i="18"/>
  <c r="AM142" i="18"/>
  <c r="AN142" i="18"/>
  <c r="AO142" i="18"/>
  <c r="AP142" i="18"/>
  <c r="E143" i="18"/>
  <c r="G143" i="18"/>
  <c r="H143" i="18"/>
  <c r="J143" i="18"/>
  <c r="L143" i="18"/>
  <c r="M143" i="18"/>
  <c r="N143" i="18"/>
  <c r="O143" i="18"/>
  <c r="P143" i="18"/>
  <c r="Q143" i="18"/>
  <c r="R143" i="18"/>
  <c r="S143" i="18"/>
  <c r="T143" i="18"/>
  <c r="U143" i="18"/>
  <c r="V143" i="18"/>
  <c r="W143" i="18"/>
  <c r="X143" i="18"/>
  <c r="Y143" i="18"/>
  <c r="AA143" i="18"/>
  <c r="AB143" i="18"/>
  <c r="AD143" i="18"/>
  <c r="AF143" i="18"/>
  <c r="AG143" i="18"/>
  <c r="AH143" i="18"/>
  <c r="AI143" i="18"/>
  <c r="AJ143" i="18"/>
  <c r="AK143" i="18"/>
  <c r="AL143" i="18"/>
  <c r="AM143" i="18"/>
  <c r="AN143" i="18"/>
  <c r="AO143" i="18"/>
  <c r="AP143" i="18"/>
  <c r="AQ143" i="18"/>
  <c r="E144" i="18"/>
  <c r="F144" i="18"/>
  <c r="G144" i="18"/>
  <c r="H144" i="18"/>
  <c r="I144" i="18"/>
  <c r="K144" i="18"/>
  <c r="M144" i="18"/>
  <c r="N144" i="18"/>
  <c r="O144" i="18"/>
  <c r="P144" i="18"/>
  <c r="Q144" i="18"/>
  <c r="R144" i="18"/>
  <c r="S144" i="18"/>
  <c r="T144" i="18"/>
  <c r="V144" i="18"/>
  <c r="W144" i="18"/>
  <c r="X144" i="18"/>
  <c r="Z144" i="18"/>
  <c r="AA144" i="18"/>
  <c r="AB144" i="18"/>
  <c r="AC144" i="18"/>
  <c r="AE144" i="18"/>
  <c r="AG144" i="18"/>
  <c r="AH144" i="18"/>
  <c r="AI144" i="18"/>
  <c r="AJ144" i="18"/>
  <c r="AK144" i="18"/>
  <c r="AL144" i="18"/>
  <c r="AM144" i="18"/>
  <c r="AN144" i="18"/>
  <c r="AO144" i="18"/>
  <c r="AP144" i="18"/>
  <c r="AQ144" i="18"/>
  <c r="E145" i="18"/>
  <c r="G145" i="18"/>
  <c r="H145" i="18"/>
  <c r="I145" i="18"/>
  <c r="J145" i="18"/>
  <c r="L145" i="18"/>
  <c r="N145" i="18"/>
  <c r="O145" i="18"/>
  <c r="P145" i="18"/>
  <c r="Q145" i="18"/>
  <c r="R145" i="18"/>
  <c r="S145" i="18"/>
  <c r="T145" i="18"/>
  <c r="U145" i="18"/>
  <c r="V145" i="18"/>
  <c r="W145" i="18"/>
  <c r="X145" i="18"/>
  <c r="Y145" i="18"/>
  <c r="AA145" i="18"/>
  <c r="AB145" i="18"/>
  <c r="AC145" i="18"/>
  <c r="AD145" i="18"/>
  <c r="AF145" i="18"/>
  <c r="AH145" i="18"/>
  <c r="AI145" i="18"/>
  <c r="AJ145" i="18"/>
  <c r="AK145" i="18"/>
  <c r="AL145" i="18"/>
  <c r="AM145" i="18"/>
  <c r="AN145" i="18"/>
  <c r="AO145" i="18"/>
  <c r="AP145" i="18"/>
  <c r="AQ145" i="18"/>
  <c r="E146" i="18"/>
  <c r="F146" i="18"/>
  <c r="H146" i="18"/>
  <c r="I146" i="18"/>
  <c r="J146" i="18"/>
  <c r="K146" i="18"/>
  <c r="M146" i="18"/>
  <c r="O146" i="18"/>
  <c r="P146" i="18"/>
  <c r="Q146" i="18"/>
  <c r="R146" i="18"/>
  <c r="S146" i="18"/>
  <c r="T146" i="18"/>
  <c r="U146" i="18"/>
  <c r="V146" i="18"/>
  <c r="W146" i="18"/>
  <c r="X146" i="18"/>
  <c r="Y146" i="18"/>
  <c r="Z146" i="18"/>
  <c r="AB146" i="18"/>
  <c r="AC146" i="18"/>
  <c r="AD146" i="18"/>
  <c r="AE146" i="18"/>
  <c r="AG146" i="18"/>
  <c r="AI146" i="18"/>
  <c r="AJ146" i="18"/>
  <c r="AK146" i="18"/>
  <c r="AL146" i="18"/>
  <c r="AM146" i="18"/>
  <c r="AN146" i="18"/>
  <c r="AO146" i="18"/>
  <c r="AP146" i="18"/>
  <c r="AQ146" i="18"/>
  <c r="E147" i="18"/>
  <c r="F147" i="18"/>
  <c r="G147" i="18"/>
  <c r="I147" i="18"/>
  <c r="J147" i="18"/>
  <c r="K147" i="18"/>
  <c r="L147" i="18"/>
  <c r="N147" i="18"/>
  <c r="P147" i="18"/>
  <c r="Q147" i="18"/>
  <c r="R147" i="18"/>
  <c r="S147" i="18"/>
  <c r="T147" i="18"/>
  <c r="U147" i="18"/>
  <c r="V147" i="18"/>
  <c r="W147" i="18"/>
  <c r="X147" i="18"/>
  <c r="Y147" i="18"/>
  <c r="Z147" i="18"/>
  <c r="AA147" i="18"/>
  <c r="AC147" i="18"/>
  <c r="AD147" i="18"/>
  <c r="AE147" i="18"/>
  <c r="AF147" i="18"/>
  <c r="AH147" i="18"/>
  <c r="AJ147" i="18"/>
  <c r="AK147" i="18"/>
  <c r="AL147" i="18"/>
  <c r="AM147" i="18"/>
  <c r="AN147" i="18"/>
  <c r="AO147" i="18"/>
  <c r="AP147" i="18"/>
  <c r="AQ147" i="18"/>
  <c r="E148" i="18"/>
  <c r="F148" i="18"/>
  <c r="G148" i="18"/>
  <c r="H148" i="18"/>
  <c r="J148" i="18"/>
  <c r="K148" i="18"/>
  <c r="L148" i="18"/>
  <c r="M148" i="18"/>
  <c r="O148" i="18"/>
  <c r="Q148" i="18"/>
  <c r="R148" i="18"/>
  <c r="S148" i="18"/>
  <c r="T148" i="18"/>
  <c r="U148" i="18"/>
  <c r="V148" i="18"/>
  <c r="W148" i="18"/>
  <c r="X148" i="18"/>
  <c r="Y148" i="18"/>
  <c r="Z148" i="18"/>
  <c r="AA148" i="18"/>
  <c r="AB148" i="18"/>
  <c r="AD148" i="18"/>
  <c r="AE148" i="18"/>
  <c r="AF148" i="18"/>
  <c r="AG148" i="18"/>
  <c r="AI148" i="18"/>
  <c r="AK148" i="18"/>
  <c r="AL148" i="18"/>
  <c r="AM148" i="18"/>
  <c r="AN148" i="18"/>
  <c r="AO148" i="18"/>
  <c r="AP148" i="18"/>
  <c r="AQ148" i="18"/>
  <c r="E149" i="18"/>
  <c r="F149" i="18"/>
  <c r="G149" i="18"/>
  <c r="H149" i="18"/>
  <c r="I149" i="18"/>
  <c r="K149" i="18"/>
  <c r="L149" i="18"/>
  <c r="M149" i="18"/>
  <c r="N149" i="18"/>
  <c r="P149" i="18"/>
  <c r="R149" i="18"/>
  <c r="S149" i="18"/>
  <c r="T149" i="18"/>
  <c r="U149" i="18"/>
  <c r="V149" i="18"/>
  <c r="W149" i="18"/>
  <c r="X149" i="18"/>
  <c r="Y149" i="18"/>
  <c r="Z149" i="18"/>
  <c r="AA149" i="18"/>
  <c r="AB149" i="18"/>
  <c r="AC149" i="18"/>
  <c r="AE149" i="18"/>
  <c r="AF149" i="18"/>
  <c r="AG149" i="18"/>
  <c r="AH149" i="18"/>
  <c r="AJ149" i="18"/>
  <c r="AL149" i="18"/>
  <c r="AM149" i="18"/>
  <c r="AN149" i="18"/>
  <c r="AO149" i="18"/>
  <c r="AP149" i="18"/>
  <c r="AQ149" i="18"/>
  <c r="E150" i="18"/>
  <c r="F150" i="18"/>
  <c r="G150" i="18"/>
  <c r="H150" i="18"/>
  <c r="I150" i="18"/>
  <c r="J150" i="18"/>
  <c r="L150" i="18"/>
  <c r="M150" i="18"/>
  <c r="N150" i="18"/>
  <c r="O150" i="18"/>
  <c r="Q150" i="18"/>
  <c r="S150" i="18"/>
  <c r="T150" i="18"/>
  <c r="U150" i="18"/>
  <c r="V150" i="18"/>
  <c r="W150" i="18"/>
  <c r="X150" i="18"/>
  <c r="Y150" i="18"/>
  <c r="Z150" i="18"/>
  <c r="AA150" i="18"/>
  <c r="AB150" i="18"/>
  <c r="AC150" i="18"/>
  <c r="AD150" i="18"/>
  <c r="AF150" i="18"/>
  <c r="AG150" i="18"/>
  <c r="AH150" i="18"/>
  <c r="AI150" i="18"/>
  <c r="AK150" i="18"/>
  <c r="AM150" i="18"/>
  <c r="AN150" i="18"/>
  <c r="AO150" i="18"/>
  <c r="AP150" i="18"/>
  <c r="AQ150" i="18"/>
  <c r="E151" i="18"/>
  <c r="F151" i="18"/>
  <c r="G151" i="18"/>
  <c r="H151" i="18"/>
  <c r="I151" i="18"/>
  <c r="J151" i="18"/>
  <c r="K151" i="18"/>
  <c r="M151" i="18"/>
  <c r="N151" i="18"/>
  <c r="O151" i="18"/>
  <c r="P151" i="18"/>
  <c r="R151" i="18"/>
  <c r="S151" i="18"/>
  <c r="T151" i="18"/>
  <c r="U151" i="18"/>
  <c r="V151" i="18"/>
  <c r="W151" i="18"/>
  <c r="X151" i="18"/>
  <c r="Y151" i="18"/>
  <c r="Z151" i="18"/>
  <c r="AA151" i="18"/>
  <c r="AB151" i="18"/>
  <c r="AC151" i="18"/>
  <c r="AD151" i="18"/>
  <c r="AE151" i="18"/>
  <c r="AG151" i="18"/>
  <c r="AH151" i="18"/>
  <c r="AI151" i="18"/>
  <c r="AJ151" i="18"/>
  <c r="AL151" i="18"/>
  <c r="AM151" i="18"/>
  <c r="AN151" i="18"/>
  <c r="AO151" i="18"/>
  <c r="AP151" i="18"/>
  <c r="AQ151" i="18"/>
  <c r="E152" i="18"/>
  <c r="F152" i="18"/>
  <c r="G152" i="18"/>
  <c r="H152" i="18"/>
  <c r="I152" i="18"/>
  <c r="J152" i="18"/>
  <c r="K152" i="18"/>
  <c r="L152" i="18"/>
  <c r="N152" i="18"/>
  <c r="O152" i="18"/>
  <c r="P152" i="18"/>
  <c r="Q152" i="18"/>
  <c r="S152" i="18"/>
  <c r="T152" i="18"/>
  <c r="U152" i="18"/>
  <c r="V152" i="18"/>
  <c r="W152" i="18"/>
  <c r="X152" i="18"/>
  <c r="Y152" i="18"/>
  <c r="Z152" i="18"/>
  <c r="AA152" i="18"/>
  <c r="AB152" i="18"/>
  <c r="AC152" i="18"/>
  <c r="AD152" i="18"/>
  <c r="AE152" i="18"/>
  <c r="AF152" i="18"/>
  <c r="AH152" i="18"/>
  <c r="AI152" i="18"/>
  <c r="AJ152" i="18"/>
  <c r="AK152" i="18"/>
  <c r="AM152" i="18"/>
  <c r="AN152" i="18"/>
  <c r="AO152" i="18"/>
  <c r="AP152" i="18"/>
  <c r="AQ152" i="18"/>
  <c r="E153" i="18"/>
  <c r="F153" i="18"/>
  <c r="G153" i="18"/>
  <c r="H153" i="18"/>
  <c r="I153" i="18"/>
  <c r="J153" i="18"/>
  <c r="K153" i="18"/>
  <c r="L153" i="18"/>
  <c r="M153" i="18"/>
  <c r="O153" i="18"/>
  <c r="P153" i="18"/>
  <c r="Q153" i="18"/>
  <c r="R153" i="18"/>
  <c r="T153" i="18"/>
  <c r="U153" i="18"/>
  <c r="V153" i="18"/>
  <c r="W153" i="18"/>
  <c r="X153" i="18"/>
  <c r="Y153" i="18"/>
  <c r="Z153" i="18"/>
  <c r="AA153" i="18"/>
  <c r="AB153" i="18"/>
  <c r="AC153" i="18"/>
  <c r="AD153" i="18"/>
  <c r="AE153" i="18"/>
  <c r="AF153" i="18"/>
  <c r="AG153" i="18"/>
  <c r="AI153" i="18"/>
  <c r="AK153" i="18"/>
  <c r="AL153" i="18"/>
  <c r="AN153" i="18"/>
  <c r="AP153" i="18"/>
  <c r="AQ153" i="18"/>
  <c r="E154" i="18"/>
  <c r="F154" i="18"/>
  <c r="G154" i="18"/>
  <c r="H154" i="18"/>
  <c r="I154" i="18"/>
  <c r="J154" i="18"/>
  <c r="K154" i="18"/>
  <c r="L154" i="18"/>
  <c r="M154" i="18"/>
  <c r="N154" i="18"/>
  <c r="P154" i="18"/>
  <c r="Q154" i="18"/>
  <c r="R154" i="18"/>
  <c r="S154" i="18"/>
  <c r="U154" i="18"/>
  <c r="W154" i="18"/>
  <c r="X154" i="18"/>
  <c r="Y154" i="18"/>
  <c r="Z154" i="18"/>
  <c r="AA154" i="18"/>
  <c r="AB154" i="18"/>
  <c r="AC154" i="18"/>
  <c r="AD154" i="18"/>
  <c r="AE154" i="18"/>
  <c r="AF154" i="18"/>
  <c r="AG154" i="18"/>
  <c r="AH154" i="18"/>
  <c r="AJ154" i="18"/>
  <c r="AL154" i="18"/>
  <c r="AM154" i="18"/>
  <c r="AO154" i="18"/>
  <c r="AQ154" i="18"/>
  <c r="E155" i="18"/>
  <c r="F155" i="18"/>
  <c r="G155" i="18"/>
  <c r="H155" i="18"/>
  <c r="I155" i="18"/>
  <c r="J155" i="18"/>
  <c r="K155" i="18"/>
  <c r="L155" i="18"/>
  <c r="M155" i="18"/>
  <c r="N155" i="18"/>
  <c r="O155" i="18"/>
  <c r="Q155" i="18"/>
  <c r="S155" i="18"/>
  <c r="T155" i="18"/>
  <c r="V155" i="18"/>
  <c r="X155" i="18"/>
  <c r="Y155" i="18"/>
  <c r="Z155" i="18"/>
  <c r="AA155" i="18"/>
  <c r="AB155" i="18"/>
  <c r="AC155" i="18"/>
  <c r="AD155" i="18"/>
  <c r="AE155" i="18"/>
  <c r="AF155" i="18"/>
  <c r="AG155" i="18"/>
  <c r="AH155" i="18"/>
  <c r="AI155" i="18"/>
  <c r="AK155" i="18"/>
  <c r="AM155" i="18"/>
  <c r="AN155" i="18"/>
  <c r="AP155" i="18"/>
  <c r="E156" i="18"/>
  <c r="F156" i="18"/>
  <c r="G156" i="18"/>
  <c r="H156" i="18"/>
  <c r="I156" i="18"/>
  <c r="J156" i="18"/>
  <c r="K156" i="18"/>
  <c r="L156" i="18"/>
  <c r="M156" i="18"/>
  <c r="N156" i="18"/>
  <c r="O156" i="18"/>
  <c r="P156" i="18"/>
  <c r="R156" i="18"/>
  <c r="T156" i="18"/>
  <c r="U156" i="18"/>
  <c r="W156" i="18"/>
  <c r="Y156" i="18"/>
  <c r="Z156" i="18"/>
  <c r="AA156" i="18"/>
  <c r="AB156" i="18"/>
  <c r="AC156" i="18"/>
  <c r="AD156" i="18"/>
  <c r="AE156" i="18"/>
  <c r="AF156" i="18"/>
  <c r="AG156" i="18"/>
  <c r="AH156" i="18"/>
  <c r="AI156" i="18"/>
  <c r="AJ156" i="18"/>
  <c r="AL156" i="18"/>
  <c r="AN156" i="18"/>
  <c r="AO156" i="18"/>
  <c r="AQ156" i="18"/>
  <c r="F157" i="18"/>
  <c r="G157" i="18"/>
  <c r="H157" i="18"/>
  <c r="I157" i="18"/>
  <c r="J157" i="18"/>
  <c r="K157" i="18"/>
  <c r="L157" i="18"/>
  <c r="M157" i="18"/>
  <c r="N157" i="18"/>
  <c r="O157" i="18"/>
  <c r="P157" i="18"/>
  <c r="Q157" i="18"/>
  <c r="S157" i="18"/>
  <c r="U157" i="18"/>
  <c r="V157" i="18"/>
  <c r="X157" i="18"/>
  <c r="Z157" i="18"/>
  <c r="AA157" i="18"/>
  <c r="AB157" i="18"/>
  <c r="AC157" i="18"/>
  <c r="AD157" i="18"/>
  <c r="AE157" i="18"/>
  <c r="AF157" i="18"/>
  <c r="AG157" i="18"/>
  <c r="AH157" i="18"/>
  <c r="AI157" i="18"/>
  <c r="AJ157" i="18"/>
  <c r="AK157" i="18"/>
  <c r="AM157" i="18"/>
  <c r="AO157" i="18"/>
  <c r="AP157" i="18"/>
  <c r="E158" i="18"/>
  <c r="G158" i="18"/>
  <c r="H158" i="18"/>
  <c r="I158" i="18"/>
  <c r="J158" i="18"/>
  <c r="K158" i="18"/>
  <c r="L158" i="18"/>
  <c r="M158" i="18"/>
  <c r="N158" i="18"/>
  <c r="O158" i="18"/>
  <c r="P158" i="18"/>
  <c r="Q158" i="18"/>
  <c r="R158" i="18"/>
  <c r="T158" i="18"/>
  <c r="U158" i="18"/>
  <c r="V158" i="18"/>
  <c r="W158" i="18"/>
  <c r="Y158" i="18"/>
  <c r="AA158" i="18"/>
  <c r="AB158" i="18"/>
  <c r="AC158" i="18"/>
  <c r="AD158" i="18"/>
  <c r="AE158" i="18"/>
  <c r="AF158" i="18"/>
  <c r="AG158" i="18"/>
  <c r="AH158" i="18"/>
  <c r="AI158" i="18"/>
  <c r="AJ158" i="18"/>
  <c r="AK158" i="18"/>
  <c r="AL158" i="18"/>
  <c r="AN158" i="18"/>
  <c r="AO158" i="18"/>
  <c r="AP158" i="18"/>
  <c r="AQ158" i="18"/>
  <c r="K5" i="3"/>
  <c r="K6" i="3"/>
  <c r="H1" i="2" s="1"/>
  <c r="K7" i="3"/>
  <c r="K10" i="3"/>
  <c r="A3" i="17"/>
  <c r="A4" i="17"/>
  <c r="A5" i="17"/>
  <c r="A6" i="17"/>
  <c r="A7" i="17"/>
  <c r="A8" i="17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G1" i="2"/>
  <c r="I1" i="2"/>
  <c r="M2" i="2"/>
  <c r="M7" i="2"/>
  <c r="M12" i="2"/>
  <c r="M17" i="2"/>
  <c r="M22" i="2"/>
  <c r="M27" i="2"/>
  <c r="N2" i="2"/>
  <c r="N7" i="2"/>
  <c r="N12" i="2"/>
  <c r="M8" i="2"/>
  <c r="N10" i="2"/>
  <c r="M20" i="2"/>
  <c r="N27" i="2"/>
  <c r="C38" i="2"/>
  <c r="C43" i="2"/>
  <c r="C48" i="2"/>
  <c r="C53" i="2"/>
  <c r="C58" i="2"/>
  <c r="C63" i="2"/>
  <c r="C68" i="2"/>
  <c r="C73" i="2"/>
  <c r="M6" i="2"/>
  <c r="N8" i="2"/>
  <c r="N20" i="2"/>
  <c r="M34" i="2"/>
  <c r="M39" i="2"/>
  <c r="M44" i="2"/>
  <c r="M49" i="2"/>
  <c r="M54" i="2"/>
  <c r="M59" i="2"/>
  <c r="M64" i="2"/>
  <c r="M69" i="2"/>
  <c r="M74" i="2"/>
  <c r="M79" i="2"/>
  <c r="M84" i="2"/>
  <c r="M89" i="2"/>
  <c r="M94" i="2"/>
  <c r="M99" i="2"/>
  <c r="M104" i="2"/>
  <c r="M109" i="2"/>
  <c r="M114" i="2"/>
  <c r="M119" i="2"/>
  <c r="M124" i="2"/>
  <c r="M129" i="2"/>
  <c r="M134" i="2"/>
  <c r="M4" i="2"/>
  <c r="N22" i="2"/>
  <c r="N29" i="2"/>
  <c r="F63" i="2"/>
  <c r="B65" i="2"/>
  <c r="F68" i="2"/>
  <c r="B70" i="2"/>
  <c r="F73" i="2"/>
  <c r="B75" i="2"/>
  <c r="F78" i="2"/>
  <c r="B80" i="2"/>
  <c r="F83" i="2"/>
  <c r="B85" i="2"/>
  <c r="F88" i="2"/>
  <c r="B90" i="2"/>
  <c r="F93" i="2"/>
  <c r="B95" i="2"/>
  <c r="F98" i="2"/>
  <c r="B100" i="2"/>
  <c r="D19" i="3"/>
  <c r="C37" i="3"/>
  <c r="D37" i="3"/>
  <c r="D52" i="3"/>
  <c r="C83" i="3"/>
  <c r="D111" i="3"/>
  <c r="D124" i="3"/>
  <c r="D180" i="3"/>
  <c r="C246" i="3"/>
  <c r="C256" i="3"/>
  <c r="C272" i="3"/>
  <c r="D286" i="3"/>
  <c r="D300" i="3"/>
  <c r="D316" i="3"/>
  <c r="C331" i="3"/>
  <c r="C345" i="3"/>
  <c r="C361" i="3"/>
  <c r="D375" i="3"/>
  <c r="D389" i="3"/>
  <c r="D405" i="3"/>
  <c r="C420" i="3"/>
  <c r="D433" i="3"/>
  <c r="C450" i="3"/>
  <c r="D464" i="3"/>
  <c r="D10" i="3"/>
  <c r="C25" i="3"/>
  <c r="C38" i="3"/>
  <c r="D53" i="3"/>
  <c r="D66" i="3"/>
  <c r="C112" i="3"/>
  <c r="C125" i="3"/>
  <c r="D140" i="3"/>
  <c r="C157" i="3"/>
  <c r="D25" i="3"/>
  <c r="D38" i="3"/>
  <c r="C84" i="3"/>
  <c r="C97" i="3"/>
  <c r="D112" i="3"/>
  <c r="C127" i="3"/>
  <c r="D142" i="3"/>
  <c r="D185" i="3"/>
  <c r="D212" i="3"/>
  <c r="C238" i="3"/>
  <c r="C247" i="3"/>
  <c r="D258" i="3"/>
  <c r="D274" i="3"/>
  <c r="D288" i="3"/>
  <c r="D302" i="3"/>
  <c r="C11" i="3"/>
  <c r="C26" i="3"/>
  <c r="C39" i="3"/>
  <c r="D56" i="3"/>
  <c r="C71" i="3"/>
  <c r="D24" i="3"/>
  <c r="C91" i="3"/>
  <c r="C132" i="3"/>
  <c r="D152" i="3"/>
  <c r="C172" i="3"/>
  <c r="C190" i="3"/>
  <c r="D211" i="3"/>
  <c r="D241" i="3"/>
  <c r="D256" i="3"/>
  <c r="D276" i="3"/>
  <c r="C296" i="3"/>
  <c r="D317" i="3"/>
  <c r="C46" i="3"/>
  <c r="D72" i="3"/>
  <c r="C113" i="3"/>
  <c r="D132" i="3"/>
  <c r="C153" i="3"/>
  <c r="D190" i="3"/>
  <c r="C212" i="3"/>
  <c r="D230" i="3"/>
  <c r="C242" i="3"/>
  <c r="D257" i="3"/>
  <c r="D277" i="3"/>
  <c r="D296" i="3"/>
  <c r="D318" i="3"/>
  <c r="D334" i="3"/>
  <c r="C353" i="3"/>
  <c r="D372" i="3"/>
  <c r="D390" i="3"/>
  <c r="D409" i="3"/>
  <c r="C428" i="3"/>
  <c r="D445" i="3"/>
  <c r="D465" i="3"/>
  <c r="C483" i="3"/>
  <c r="D499" i="3"/>
  <c r="C4" i="2"/>
  <c r="C7" i="2"/>
  <c r="M16" i="2"/>
  <c r="N18" i="2"/>
  <c r="F21" i="2"/>
  <c r="F23" i="2"/>
  <c r="F25" i="2"/>
  <c r="F27" i="2"/>
  <c r="F29" i="2"/>
  <c r="I31" i="2"/>
  <c r="I33" i="2"/>
  <c r="H35" i="2"/>
  <c r="F39" i="2"/>
  <c r="F45" i="2"/>
  <c r="C51" i="2"/>
  <c r="A2" i="3" a="1"/>
  <c r="D26" i="3"/>
  <c r="C47" i="3"/>
  <c r="D113" i="3"/>
  <c r="D158" i="3"/>
  <c r="D176" i="3"/>
  <c r="D244" i="3"/>
  <c r="D260" i="3"/>
  <c r="C278" i="3"/>
  <c r="D298" i="3"/>
  <c r="C319" i="3"/>
  <c r="C335" i="3"/>
  <c r="D353" i="3"/>
  <c r="D374" i="3"/>
  <c r="D391" i="3"/>
  <c r="C410" i="3"/>
  <c r="D428" i="3"/>
  <c r="D447" i="3"/>
  <c r="C466" i="3"/>
  <c r="D483" i="3"/>
  <c r="C500" i="3"/>
  <c r="M9" i="2"/>
  <c r="N16" i="2"/>
  <c r="H37" i="2"/>
  <c r="F41" i="2"/>
  <c r="H43" i="2"/>
  <c r="F47" i="2"/>
  <c r="C59" i="2"/>
  <c r="B61" i="2"/>
  <c r="N62" i="2"/>
  <c r="C65" i="2"/>
  <c r="B67" i="2"/>
  <c r="N68" i="2"/>
  <c r="M70" i="2"/>
  <c r="I76" i="2"/>
  <c r="H78" i="2"/>
  <c r="F80" i="2"/>
  <c r="B84" i="2"/>
  <c r="M85" i="2"/>
  <c r="H89" i="2"/>
  <c r="F91" i="2"/>
  <c r="B97" i="2"/>
  <c r="M98" i="2"/>
  <c r="H102" i="2"/>
  <c r="B106" i="2"/>
  <c r="H109" i="2"/>
  <c r="B113" i="2"/>
  <c r="I116" i="2"/>
  <c r="F118" i="2"/>
  <c r="C120" i="2"/>
  <c r="M121" i="2"/>
  <c r="C2" i="3"/>
  <c r="C73" i="3"/>
  <c r="D93" i="3"/>
  <c r="C133" i="3"/>
  <c r="C177" i="3"/>
  <c r="C213" i="3"/>
  <c r="C231" i="3"/>
  <c r="D245" i="3"/>
  <c r="C261" i="3"/>
  <c r="D278" i="3"/>
  <c r="D299" i="3"/>
  <c r="D319" i="3"/>
  <c r="C336" i="3"/>
  <c r="D354" i="3"/>
  <c r="C375" i="3"/>
  <c r="D393" i="3"/>
  <c r="D410" i="3"/>
  <c r="D2" i="3"/>
  <c r="C27" i="3"/>
  <c r="D73" i="3"/>
  <c r="C159" i="3"/>
  <c r="D177" i="3"/>
  <c r="D196" i="3"/>
  <c r="D213" i="3"/>
  <c r="D231" i="3"/>
  <c r="D261" i="3"/>
  <c r="C279" i="3"/>
  <c r="C300" i="3"/>
  <c r="C320" i="3"/>
  <c r="D338" i="3"/>
  <c r="C355" i="3"/>
  <c r="C376" i="3"/>
  <c r="D394" i="3"/>
  <c r="C411" i="3"/>
  <c r="C430" i="3"/>
  <c r="D450" i="3"/>
  <c r="D467" i="3"/>
  <c r="D485" i="3"/>
  <c r="C501" i="3"/>
  <c r="B2" i="2"/>
  <c r="N4" i="2"/>
  <c r="F7" i="2"/>
  <c r="C10" i="2"/>
  <c r="N14" i="2"/>
  <c r="C17" i="2"/>
  <c r="M29" i="2"/>
  <c r="N31" i="2"/>
  <c r="M33" i="2"/>
  <c r="H47" i="2"/>
  <c r="F51" i="2"/>
  <c r="H53" i="2"/>
  <c r="F57" i="2"/>
  <c r="C69" i="2"/>
  <c r="B71" i="2"/>
  <c r="N72" i="2"/>
  <c r="N74" i="2"/>
  <c r="M76" i="2"/>
  <c r="H80" i="2"/>
  <c r="F82" i="2"/>
  <c r="B86" i="2"/>
  <c r="M87" i="2"/>
  <c r="I91" i="2"/>
  <c r="H93" i="2"/>
  <c r="F95" i="2"/>
  <c r="B99" i="2"/>
  <c r="M100" i="2"/>
  <c r="N107" i="2"/>
  <c r="B115" i="2"/>
  <c r="H118" i="2"/>
  <c r="C29" i="3"/>
  <c r="C53" i="3"/>
  <c r="D96" i="3"/>
  <c r="D116" i="3"/>
  <c r="C139" i="3"/>
  <c r="D159" i="3"/>
  <c r="C197" i="3"/>
  <c r="D246" i="3"/>
  <c r="D262" i="3"/>
  <c r="D279" i="3"/>
  <c r="C301" i="3"/>
  <c r="D320" i="3"/>
  <c r="C339" i="3"/>
  <c r="D356" i="3"/>
  <c r="D376" i="3"/>
  <c r="C395" i="3"/>
  <c r="D411" i="3"/>
  <c r="H91" i="2"/>
  <c r="C99" i="3"/>
  <c r="D118" i="3"/>
  <c r="D139" i="3"/>
  <c r="C178" i="3"/>
  <c r="D197" i="3"/>
  <c r="C232" i="3"/>
  <c r="C263" i="3"/>
  <c r="D280" i="3"/>
  <c r="D301" i="3"/>
  <c r="C321" i="3"/>
  <c r="D339" i="3"/>
  <c r="D358" i="3"/>
  <c r="D377" i="3"/>
  <c r="C396" i="3"/>
  <c r="C412" i="3"/>
  <c r="D432" i="3"/>
  <c r="C452" i="3"/>
  <c r="D468" i="3"/>
  <c r="D486" i="3"/>
  <c r="F2" i="2"/>
  <c r="H17" i="2"/>
  <c r="C30" i="2"/>
  <c r="C32" i="2"/>
  <c r="B34" i="2"/>
  <c r="N35" i="2"/>
  <c r="M37" i="2"/>
  <c r="N39" i="2"/>
  <c r="N41" i="2"/>
  <c r="M43" i="2"/>
  <c r="H57" i="2"/>
  <c r="F61" i="2"/>
  <c r="H63" i="2"/>
  <c r="F67" i="2"/>
  <c r="B77" i="2"/>
  <c r="M78" i="2"/>
  <c r="H82" i="2"/>
  <c r="F84" i="2"/>
  <c r="B88" i="2"/>
  <c r="N89" i="2"/>
  <c r="M91" i="2"/>
  <c r="H95" i="2"/>
  <c r="F97" i="2"/>
  <c r="B101" i="2"/>
  <c r="M102" i="2"/>
  <c r="I104" i="2"/>
  <c r="F106" i="2"/>
  <c r="C108" i="2"/>
  <c r="N109" i="2"/>
  <c r="N116" i="2"/>
  <c r="D30" i="3"/>
  <c r="C57" i="3"/>
  <c r="D77" i="3"/>
  <c r="D100" i="3"/>
  <c r="C143" i="3"/>
  <c r="D160" i="3"/>
  <c r="D198" i="3"/>
  <c r="D216" i="3"/>
  <c r="C248" i="3"/>
  <c r="D264" i="3"/>
  <c r="D285" i="3"/>
  <c r="D305" i="3"/>
  <c r="C322" i="3"/>
  <c r="C341" i="3"/>
  <c r="D361" i="3"/>
  <c r="D378" i="3"/>
  <c r="D397" i="3"/>
  <c r="D413" i="3"/>
  <c r="D434" i="3"/>
  <c r="C453" i="3"/>
  <c r="D471" i="3"/>
  <c r="C488" i="3"/>
  <c r="F5" i="2"/>
  <c r="B13" i="2"/>
  <c r="N19" i="2"/>
  <c r="N21" i="2"/>
  <c r="N23" i="2"/>
  <c r="N25" i="2"/>
  <c r="C36" i="2"/>
  <c r="B38" i="2"/>
  <c r="C42" i="2"/>
  <c r="B44" i="2"/>
  <c r="N45" i="2"/>
  <c r="M47" i="2"/>
  <c r="N49" i="2"/>
  <c r="N51" i="2"/>
  <c r="M53" i="2"/>
  <c r="I59" i="2"/>
  <c r="I65" i="2"/>
  <c r="H67" i="2"/>
  <c r="F71" i="2"/>
  <c r="H73" i="2"/>
  <c r="F75" i="2"/>
  <c r="B79" i="2"/>
  <c r="M80" i="2"/>
  <c r="H84" i="2"/>
  <c r="F86" i="2"/>
  <c r="B92" i="2"/>
  <c r="M93" i="2"/>
  <c r="H97" i="2"/>
  <c r="F99" i="2"/>
  <c r="B103" i="2"/>
  <c r="I106" i="2"/>
  <c r="F108" i="2"/>
  <c r="D32" i="3"/>
  <c r="D57" i="3"/>
  <c r="D102" i="3"/>
  <c r="C120" i="3"/>
  <c r="D143" i="3"/>
  <c r="D162" i="3"/>
  <c r="C180" i="3"/>
  <c r="D236" i="3"/>
  <c r="D248" i="3"/>
  <c r="C265" i="3"/>
  <c r="C286" i="3"/>
  <c r="C306" i="3"/>
  <c r="D322" i="3"/>
  <c r="D342" i="3"/>
  <c r="D362" i="3"/>
  <c r="C379" i="3"/>
  <c r="C398" i="3"/>
  <c r="D417" i="3"/>
  <c r="D60" i="3"/>
  <c r="C104" i="3"/>
  <c r="D146" i="3"/>
  <c r="D45" i="3"/>
  <c r="D90" i="3"/>
  <c r="D171" i="3"/>
  <c r="C205" i="3"/>
  <c r="C239" i="3"/>
  <c r="C268" i="3"/>
  <c r="D307" i="3"/>
  <c r="C333" i="3"/>
  <c r="C366" i="3"/>
  <c r="C399" i="3"/>
  <c r="C425" i="3"/>
  <c r="D453" i="3"/>
  <c r="D477" i="3"/>
  <c r="D498" i="3"/>
  <c r="E1" i="2"/>
  <c r="N11" i="2"/>
  <c r="M23" i="2"/>
  <c r="C29" i="2"/>
  <c r="I34" i="2"/>
  <c r="C40" i="2"/>
  <c r="H42" i="2"/>
  <c r="C45" i="2"/>
  <c r="F55" i="2"/>
  <c r="M57" i="2"/>
  <c r="F60" i="2"/>
  <c r="I62" i="2"/>
  <c r="F77" i="2"/>
  <c r="H79" i="2"/>
  <c r="M81" i="2"/>
  <c r="C84" i="2"/>
  <c r="I86" i="2"/>
  <c r="M88" i="2"/>
  <c r="B91" i="2"/>
  <c r="M95" i="2"/>
  <c r="B98" i="2"/>
  <c r="F100" i="2"/>
  <c r="I102" i="2"/>
  <c r="B105" i="2"/>
  <c r="C107" i="2"/>
  <c r="H113" i="2"/>
  <c r="H115" i="2"/>
  <c r="H117" i="2"/>
  <c r="H119" i="2"/>
  <c r="I121" i="2"/>
  <c r="G123" i="2"/>
  <c r="N126" i="2"/>
  <c r="G130" i="2"/>
  <c r="N133" i="2"/>
  <c r="G137" i="2"/>
  <c r="C139" i="2"/>
  <c r="G142" i="2"/>
  <c r="C144" i="2"/>
  <c r="G147" i="2"/>
  <c r="C149" i="2"/>
  <c r="G152" i="2"/>
  <c r="C154" i="2"/>
  <c r="G157" i="2"/>
  <c r="C159" i="2"/>
  <c r="G162" i="2"/>
  <c r="C164" i="2"/>
  <c r="G167" i="2"/>
  <c r="C169" i="2"/>
  <c r="G172" i="2"/>
  <c r="C174" i="2"/>
  <c r="G177" i="2"/>
  <c r="C179" i="2"/>
  <c r="G182" i="2"/>
  <c r="C184" i="2"/>
  <c r="G187" i="2"/>
  <c r="C189" i="2"/>
  <c r="G192" i="2"/>
  <c r="C194" i="2"/>
  <c r="G197" i="2"/>
  <c r="C199" i="2"/>
  <c r="G202" i="2"/>
  <c r="C204" i="2"/>
  <c r="C140" i="3"/>
  <c r="C206" i="3"/>
  <c r="D239" i="3"/>
  <c r="D269" i="3"/>
  <c r="C308" i="3"/>
  <c r="D333" i="3"/>
  <c r="D366" i="3"/>
  <c r="D399" i="3"/>
  <c r="D427" i="3"/>
  <c r="D454" i="3"/>
  <c r="C478" i="3"/>
  <c r="C499" i="3"/>
  <c r="G5" i="2"/>
  <c r="I8" i="2"/>
  <c r="B12" i="2"/>
  <c r="F18" i="2"/>
  <c r="B21" i="2"/>
  <c r="B24" i="2"/>
  <c r="F32" i="2"/>
  <c r="I42" i="2"/>
  <c r="N47" i="2"/>
  <c r="H50" i="2"/>
  <c r="M52" i="2"/>
  <c r="H55" i="2"/>
  <c r="N57" i="2"/>
  <c r="G60" i="2"/>
  <c r="F65" i="2"/>
  <c r="H72" i="2"/>
  <c r="C75" i="2"/>
  <c r="C103" i="3"/>
  <c r="C179" i="3"/>
  <c r="D271" i="3"/>
  <c r="D308" i="3"/>
  <c r="D340" i="3"/>
  <c r="D367" i="3"/>
  <c r="C401" i="3"/>
  <c r="D429" i="3"/>
  <c r="C455" i="3"/>
  <c r="D478" i="3"/>
  <c r="D500" i="3"/>
  <c r="I35" i="2"/>
  <c r="C12" i="2"/>
  <c r="C24" i="2"/>
  <c r="M26" i="2"/>
  <c r="N34" i="2"/>
  <c r="F37" i="2"/>
  <c r="F40" i="2"/>
  <c r="B48" i="2"/>
  <c r="I50" i="2"/>
  <c r="N52" i="2"/>
  <c r="B58" i="2"/>
  <c r="H60" i="2"/>
  <c r="H65" i="2"/>
  <c r="M67" i="2"/>
  <c r="F70" i="2"/>
  <c r="I72" i="2"/>
  <c r="H77" i="2"/>
  <c r="B82" i="2"/>
  <c r="M86" i="2"/>
  <c r="B89" i="2"/>
  <c r="B96" i="2"/>
  <c r="H100" i="2"/>
  <c r="N102" i="2"/>
  <c r="F109" i="2"/>
  <c r="I111" i="2"/>
  <c r="I123" i="2"/>
  <c r="F125" i="2"/>
  <c r="C127" i="2"/>
  <c r="M128" i="2"/>
  <c r="I130" i="2"/>
  <c r="F132" i="2"/>
  <c r="C134" i="2"/>
  <c r="M135" i="2"/>
  <c r="I137" i="2"/>
  <c r="N140" i="2"/>
  <c r="I142" i="2"/>
  <c r="N145" i="2"/>
  <c r="I147" i="2"/>
  <c r="N150" i="2"/>
  <c r="I152" i="2"/>
  <c r="N155" i="2"/>
  <c r="I157" i="2"/>
  <c r="N160" i="2"/>
  <c r="I162" i="2"/>
  <c r="N165" i="2"/>
  <c r="I167" i="2"/>
  <c r="N170" i="2"/>
  <c r="I172" i="2"/>
  <c r="N175" i="2"/>
  <c r="I177" i="2"/>
  <c r="N180" i="2"/>
  <c r="I182" i="2"/>
  <c r="N185" i="2"/>
  <c r="I187" i="2"/>
  <c r="N190" i="2"/>
  <c r="I192" i="2"/>
  <c r="N195" i="2"/>
  <c r="I197" i="2"/>
  <c r="N200" i="2"/>
  <c r="I202" i="2"/>
  <c r="N205" i="2"/>
  <c r="I207" i="2"/>
  <c r="D11" i="3"/>
  <c r="C58" i="3"/>
  <c r="D103" i="3"/>
  <c r="C144" i="3"/>
  <c r="C184" i="3"/>
  <c r="C207" i="3"/>
  <c r="C240" i="3"/>
  <c r="D272" i="3"/>
  <c r="C309" i="3"/>
  <c r="D343" i="3"/>
  <c r="C368" i="3"/>
  <c r="D402" i="3"/>
  <c r="D431" i="3"/>
  <c r="D455" i="3"/>
  <c r="C479" i="3"/>
  <c r="D501" i="3"/>
  <c r="I5" i="2"/>
  <c r="F12" i="2"/>
  <c r="M15" i="2"/>
  <c r="H18" i="2"/>
  <c r="N26" i="2"/>
  <c r="I29" i="2"/>
  <c r="H32" i="2"/>
  <c r="C35" i="2"/>
  <c r="I37" i="2"/>
  <c r="G40" i="2"/>
  <c r="H45" i="2"/>
  <c r="B53" i="2"/>
  <c r="M55" i="2"/>
  <c r="I60" i="2"/>
  <c r="M62" i="2"/>
  <c r="N67" i="2"/>
  <c r="G70" i="2"/>
  <c r="G75" i="2"/>
  <c r="I77" i="2"/>
  <c r="C82" i="2"/>
  <c r="I84" i="2"/>
  <c r="N86" i="2"/>
  <c r="C89" i="2"/>
  <c r="N93" i="2"/>
  <c r="C96" i="2"/>
  <c r="G98" i="2"/>
  <c r="I100" i="2"/>
  <c r="C103" i="2"/>
  <c r="F107" i="2"/>
  <c r="G109" i="2"/>
  <c r="N121" i="2"/>
  <c r="G125" i="2"/>
  <c r="N128" i="2"/>
  <c r="C13" i="3"/>
  <c r="D58" i="3"/>
  <c r="D144" i="3"/>
  <c r="D240" i="3"/>
  <c r="D273" i="3"/>
  <c r="D309" i="3"/>
  <c r="D344" i="3"/>
  <c r="D368" i="3"/>
  <c r="C405" i="3"/>
  <c r="C433" i="3"/>
  <c r="C456" i="3"/>
  <c r="D479" i="3"/>
  <c r="C2" i="2"/>
  <c r="B9" i="2"/>
  <c r="H12" i="2"/>
  <c r="N15" i="2"/>
  <c r="I18" i="2"/>
  <c r="B27" i="2"/>
  <c r="B30" i="2"/>
  <c r="I32" i="2"/>
  <c r="H40" i="2"/>
  <c r="M42" i="2"/>
  <c r="N55" i="2"/>
  <c r="B63" i="2"/>
  <c r="B68" i="2"/>
  <c r="H70" i="2"/>
  <c r="M72" i="2"/>
  <c r="H75" i="2"/>
  <c r="N79" i="2"/>
  <c r="B87" i="2"/>
  <c r="G91" i="2"/>
  <c r="B94" i="2"/>
  <c r="H98" i="2"/>
  <c r="F105" i="2"/>
  <c r="G107" i="2"/>
  <c r="I109" i="2"/>
  <c r="M111" i="2"/>
  <c r="M113" i="2"/>
  <c r="M115" i="2"/>
  <c r="M117" i="2"/>
  <c r="N119" i="2"/>
  <c r="B122" i="2"/>
  <c r="H125" i="2"/>
  <c r="B129" i="2"/>
  <c r="H132" i="2"/>
  <c r="B136" i="2"/>
  <c r="G139" i="2"/>
  <c r="C141" i="2"/>
  <c r="G144" i="2"/>
  <c r="C146" i="2"/>
  <c r="G149" i="2"/>
  <c r="C151" i="2"/>
  <c r="G154" i="2"/>
  <c r="C156" i="2"/>
  <c r="G159" i="2"/>
  <c r="C161" i="2"/>
  <c r="G164" i="2"/>
  <c r="C166" i="2"/>
  <c r="G169" i="2"/>
  <c r="C171" i="2"/>
  <c r="G174" i="2"/>
  <c r="C176" i="2"/>
  <c r="G179" i="2"/>
  <c r="C181" i="2"/>
  <c r="G184" i="2"/>
  <c r="C186" i="2"/>
  <c r="D16" i="3"/>
  <c r="C63" i="3"/>
  <c r="D104" i="3"/>
  <c r="C147" i="3"/>
  <c r="C217" i="3"/>
  <c r="C241" i="3"/>
  <c r="C275" i="3"/>
  <c r="C310" i="3"/>
  <c r="D345" i="3"/>
  <c r="D64" i="3"/>
  <c r="C186" i="3"/>
  <c r="C219" i="3"/>
  <c r="C17" i="3"/>
  <c r="C65" i="3"/>
  <c r="C150" i="3"/>
  <c r="D186" i="3"/>
  <c r="D221" i="3"/>
  <c r="C276" i="3"/>
  <c r="C312" i="3"/>
  <c r="D347" i="3"/>
  <c r="D379" i="3"/>
  <c r="C408" i="3"/>
  <c r="D438" i="3"/>
  <c r="D458" i="3"/>
  <c r="C485" i="3"/>
  <c r="C3" i="2"/>
  <c r="N5" i="2"/>
  <c r="F16" i="2"/>
  <c r="M18" i="2"/>
  <c r="C22" i="2"/>
  <c r="M24" i="2"/>
  <c r="M32" i="2"/>
  <c r="C46" i="2"/>
  <c r="B51" i="2"/>
  <c r="N53" i="2"/>
  <c r="N60" i="2"/>
  <c r="B66" i="2"/>
  <c r="H68" i="2"/>
  <c r="I73" i="2"/>
  <c r="N77" i="2"/>
  <c r="C85" i="2"/>
  <c r="G89" i="2"/>
  <c r="C92" i="2"/>
  <c r="G96" i="2"/>
  <c r="H103" i="2"/>
  <c r="I105" i="2"/>
  <c r="C110" i="2"/>
  <c r="C112" i="2"/>
  <c r="C114" i="2"/>
  <c r="C116" i="2"/>
  <c r="C118" i="2"/>
  <c r="F120" i="2"/>
  <c r="B124" i="2"/>
  <c r="H127" i="2"/>
  <c r="B131" i="2"/>
  <c r="H134" i="2"/>
  <c r="B138" i="2"/>
  <c r="F141" i="2"/>
  <c r="B143" i="2"/>
  <c r="F146" i="2"/>
  <c r="B148" i="2"/>
  <c r="F151" i="2"/>
  <c r="B153" i="2"/>
  <c r="F156" i="2"/>
  <c r="B158" i="2"/>
  <c r="F161" i="2"/>
  <c r="B163" i="2"/>
  <c r="F166" i="2"/>
  <c r="B168" i="2"/>
  <c r="F171" i="2"/>
  <c r="B173" i="2"/>
  <c r="F176" i="2"/>
  <c r="B178" i="2"/>
  <c r="F181" i="2"/>
  <c r="B183" i="2"/>
  <c r="D17" i="3"/>
  <c r="D65" i="3"/>
  <c r="D110" i="3"/>
  <c r="D150" i="3"/>
  <c r="C223" i="3"/>
  <c r="D283" i="3"/>
  <c r="D313" i="3"/>
  <c r="D349" i="3"/>
  <c r="D380" i="3"/>
  <c r="D408" i="3"/>
  <c r="C439" i="3"/>
  <c r="D461" i="3"/>
  <c r="C486" i="3"/>
  <c r="C6" i="2"/>
  <c r="N9" i="2"/>
  <c r="G16" i="2"/>
  <c r="C66" i="3"/>
  <c r="C111" i="3"/>
  <c r="D151" i="3"/>
  <c r="C187" i="3"/>
  <c r="D223" i="3"/>
  <c r="C251" i="3"/>
  <c r="D287" i="3"/>
  <c r="C316" i="3"/>
  <c r="C350" i="3"/>
  <c r="D382" i="3"/>
  <c r="C409" i="3"/>
  <c r="D439" i="3"/>
  <c r="C463" i="3"/>
  <c r="D487" i="3"/>
  <c r="C67" i="3"/>
  <c r="C152" i="3"/>
  <c r="C188" i="3"/>
  <c r="C224" i="3"/>
  <c r="D251" i="3"/>
  <c r="C288" i="3"/>
  <c r="D321" i="3"/>
  <c r="D350" i="3"/>
  <c r="C383" i="3"/>
  <c r="D412" i="3"/>
  <c r="D440" i="3"/>
  <c r="D463" i="3"/>
  <c r="D488" i="3"/>
  <c r="H6" i="2"/>
  <c r="F10" i="2"/>
  <c r="I16" i="2"/>
  <c r="M19" i="2"/>
  <c r="F22" i="2"/>
  <c r="D80" i="3"/>
  <c r="C123" i="3"/>
  <c r="C163" i="3"/>
  <c r="C225" i="3"/>
  <c r="D252" i="3"/>
  <c r="D289" i="3"/>
  <c r="D323" i="3"/>
  <c r="C352" i="3"/>
  <c r="C385" i="3"/>
  <c r="D419" i="3"/>
  <c r="D441" i="3"/>
  <c r="D466" i="3"/>
  <c r="D491" i="3"/>
  <c r="I3" i="2"/>
  <c r="N6" i="2"/>
  <c r="I10" i="2"/>
  <c r="N13" i="2"/>
  <c r="C20" i="2"/>
  <c r="D83" i="3"/>
  <c r="C170" i="3"/>
  <c r="D328" i="3"/>
  <c r="D388" i="3"/>
  <c r="C443" i="3"/>
  <c r="C495" i="3"/>
  <c r="C16" i="2"/>
  <c r="M28" i="2"/>
  <c r="B33" i="2"/>
  <c r="I47" i="2"/>
  <c r="B52" i="2"/>
  <c r="N54" i="2"/>
  <c r="M58" i="2"/>
  <c r="N65" i="2"/>
  <c r="F72" i="2"/>
  <c r="C76" i="2"/>
  <c r="G82" i="2"/>
  <c r="G85" i="2"/>
  <c r="H88" i="2"/>
  <c r="I94" i="2"/>
  <c r="D84" i="3"/>
  <c r="D170" i="3"/>
  <c r="C330" i="3"/>
  <c r="C389" i="3"/>
  <c r="D443" i="3"/>
  <c r="C496" i="3"/>
  <c r="I20" i="2"/>
  <c r="N28" i="2"/>
  <c r="M36" i="2"/>
  <c r="M40" i="2"/>
  <c r="F44" i="2"/>
  <c r="H48" i="2"/>
  <c r="C52" i="2"/>
  <c r="C55" i="2"/>
  <c r="N58" i="2"/>
  <c r="C66" i="2"/>
  <c r="F69" i="2"/>
  <c r="B73" i="2"/>
  <c r="I82" i="2"/>
  <c r="H85" i="2"/>
  <c r="I88" i="2"/>
  <c r="N91" i="2"/>
  <c r="C101" i="2"/>
  <c r="N103" i="2"/>
  <c r="M106" i="2"/>
  <c r="B110" i="2"/>
  <c r="H112" i="2"/>
  <c r="B118" i="2"/>
  <c r="M120" i="2"/>
  <c r="C123" i="2"/>
  <c r="N127" i="2"/>
  <c r="G132" i="2"/>
  <c r="M136" i="2"/>
  <c r="M138" i="2"/>
  <c r="B141" i="2"/>
  <c r="F149" i="2"/>
  <c r="H151" i="2"/>
  <c r="H153" i="2"/>
  <c r="H155" i="2"/>
  <c r="M159" i="2"/>
  <c r="M161" i="2"/>
  <c r="M163" i="2"/>
  <c r="B166" i="2"/>
  <c r="F174" i="2"/>
  <c r="H176" i="2"/>
  <c r="H178" i="2"/>
  <c r="H180" i="2"/>
  <c r="H188" i="2"/>
  <c r="F190" i="2"/>
  <c r="B194" i="2"/>
  <c r="B196" i="2"/>
  <c r="M197" i="2"/>
  <c r="H201" i="2"/>
  <c r="F203" i="2"/>
  <c r="B207" i="2"/>
  <c r="G210" i="2"/>
  <c r="C212" i="2"/>
  <c r="G215" i="2"/>
  <c r="C217" i="2"/>
  <c r="G220" i="2"/>
  <c r="C222" i="2"/>
  <c r="G225" i="2"/>
  <c r="C227" i="2"/>
  <c r="G230" i="2"/>
  <c r="C232" i="2"/>
  <c r="G235" i="2"/>
  <c r="C237" i="2"/>
  <c r="C85" i="3"/>
  <c r="C171" i="3"/>
  <c r="D330" i="3"/>
  <c r="C390" i="3"/>
  <c r="D449" i="3"/>
  <c r="D496" i="3"/>
  <c r="H3" i="2"/>
  <c r="H25" i="2"/>
  <c r="B29" i="2"/>
  <c r="G33" i="2"/>
  <c r="N36" i="2"/>
  <c r="N40" i="2"/>
  <c r="G44" i="2"/>
  <c r="I48" i="2"/>
  <c r="B59" i="2"/>
  <c r="F62" i="2"/>
  <c r="H69" i="2"/>
  <c r="G73" i="2"/>
  <c r="F79" i="2"/>
  <c r="M82" i="2"/>
  <c r="I85" i="2"/>
  <c r="M97" i="2"/>
  <c r="F101" i="2"/>
  <c r="B104" i="2"/>
  <c r="N106" i="2"/>
  <c r="I112" i="2"/>
  <c r="F115" i="2"/>
  <c r="N120" i="2"/>
  <c r="M125" i="2"/>
  <c r="B128" i="2"/>
  <c r="I132" i="2"/>
  <c r="N136" i="2"/>
  <c r="N138" i="2"/>
  <c r="H149" i="2"/>
  <c r="I151" i="2"/>
  <c r="I153" i="2"/>
  <c r="I155" i="2"/>
  <c r="M157" i="2"/>
  <c r="N159" i="2"/>
  <c r="N161" i="2"/>
  <c r="N163" i="2"/>
  <c r="H174" i="2"/>
  <c r="I176" i="2"/>
  <c r="I178" i="2"/>
  <c r="I180" i="2"/>
  <c r="M182" i="2"/>
  <c r="M184" i="2"/>
  <c r="I188" i="2"/>
  <c r="G190" i="2"/>
  <c r="C196" i="2"/>
  <c r="N197" i="2"/>
  <c r="I201" i="2"/>
  <c r="G203" i="2"/>
  <c r="C207" i="2"/>
  <c r="M208" i="2"/>
  <c r="H210" i="2"/>
  <c r="M213" i="2"/>
  <c r="H215" i="2"/>
  <c r="M218" i="2"/>
  <c r="H220" i="2"/>
  <c r="M223" i="2"/>
  <c r="H225" i="2"/>
  <c r="M228" i="2"/>
  <c r="H230" i="2"/>
  <c r="M233" i="2"/>
  <c r="H235" i="2"/>
  <c r="M238" i="2"/>
  <c r="H240" i="2"/>
  <c r="M243" i="2"/>
  <c r="H245" i="2"/>
  <c r="M248" i="2"/>
  <c r="H250" i="2"/>
  <c r="M253" i="2"/>
  <c r="H255" i="2"/>
  <c r="M258" i="2"/>
  <c r="H260" i="2"/>
  <c r="M263" i="2"/>
  <c r="H265" i="2"/>
  <c r="M268" i="2"/>
  <c r="H270" i="2"/>
  <c r="M273" i="2"/>
  <c r="H275" i="2"/>
  <c r="M278" i="2"/>
  <c r="H280" i="2"/>
  <c r="M283" i="2"/>
  <c r="H285" i="2"/>
  <c r="M288" i="2"/>
  <c r="H290" i="2"/>
  <c r="M293" i="2"/>
  <c r="H295" i="2"/>
  <c r="D85" i="3"/>
  <c r="C189" i="3"/>
  <c r="C255" i="3"/>
  <c r="D331" i="3"/>
  <c r="D396" i="3"/>
  <c r="D451" i="3"/>
  <c r="D497" i="3"/>
  <c r="M21" i="2"/>
  <c r="H33" i="2"/>
  <c r="B37" i="2"/>
  <c r="B41" i="2"/>
  <c r="H44" i="2"/>
  <c r="B56" i="2"/>
  <c r="G62" i="2"/>
  <c r="I69" i="2"/>
  <c r="F76" i="2"/>
  <c r="G79" i="2"/>
  <c r="N82" i="2"/>
  <c r="N94" i="2"/>
  <c r="N97" i="2"/>
  <c r="G101" i="2"/>
  <c r="C104" i="2"/>
  <c r="B107" i="2"/>
  <c r="G115" i="2"/>
  <c r="G118" i="2"/>
  <c r="B121" i="2"/>
  <c r="F123" i="2"/>
  <c r="N125" i="2"/>
  <c r="C128" i="2"/>
  <c r="F130" i="2"/>
  <c r="N134" i="2"/>
  <c r="B137" i="2"/>
  <c r="B139" i="2"/>
  <c r="F143" i="2"/>
  <c r="F145" i="2"/>
  <c r="F147" i="2"/>
  <c r="I149" i="2"/>
  <c r="N157" i="2"/>
  <c r="B160" i="2"/>
  <c r="B162" i="2"/>
  <c r="B164" i="2"/>
  <c r="F168" i="2"/>
  <c r="F170" i="2"/>
  <c r="F172" i="2"/>
  <c r="I174" i="2"/>
  <c r="N182" i="2"/>
  <c r="N184" i="2"/>
  <c r="M186" i="2"/>
  <c r="H190" i="2"/>
  <c r="F192" i="2"/>
  <c r="F194" i="2"/>
  <c r="B198" i="2"/>
  <c r="M199" i="2"/>
  <c r="H203" i="2"/>
  <c r="F205" i="2"/>
  <c r="N208" i="2"/>
  <c r="I210" i="2"/>
  <c r="N213" i="2"/>
  <c r="I215" i="2"/>
  <c r="N218" i="2"/>
  <c r="I220" i="2"/>
  <c r="N223" i="2"/>
  <c r="I225" i="2"/>
  <c r="N228" i="2"/>
  <c r="I230" i="2"/>
  <c r="N233" i="2"/>
  <c r="I235" i="2"/>
  <c r="N238" i="2"/>
  <c r="I240" i="2"/>
  <c r="N243" i="2"/>
  <c r="I245" i="2"/>
  <c r="N248" i="2"/>
  <c r="I250" i="2"/>
  <c r="N253" i="2"/>
  <c r="C198" i="3"/>
  <c r="D255" i="3"/>
  <c r="C332" i="3"/>
  <c r="D398" i="3"/>
  <c r="D452" i="3"/>
  <c r="C498" i="3"/>
  <c r="B17" i="2"/>
  <c r="B22" i="2"/>
  <c r="M25" i="2"/>
  <c r="F30" i="2"/>
  <c r="C37" i="2"/>
  <c r="C41" i="2"/>
  <c r="I44" i="2"/>
  <c r="M48" i="2"/>
  <c r="F52" i="2"/>
  <c r="C56" i="2"/>
  <c r="F59" i="2"/>
  <c r="H62" i="2"/>
  <c r="F66" i="2"/>
  <c r="G76" i="2"/>
  <c r="I79" i="2"/>
  <c r="B83" i="2"/>
  <c r="N88" i="2"/>
  <c r="F92" i="2"/>
  <c r="C95" i="2"/>
  <c r="C98" i="2"/>
  <c r="I101" i="2"/>
  <c r="F110" i="2"/>
  <c r="I115" i="2"/>
  <c r="I118" i="2"/>
  <c r="C121" i="2"/>
  <c r="H123" i="2"/>
  <c r="B126" i="2"/>
  <c r="H130" i="2"/>
  <c r="M132" i="2"/>
  <c r="B135" i="2"/>
  <c r="C137" i="2"/>
  <c r="G141" i="2"/>
  <c r="G143" i="2"/>
  <c r="G145" i="2"/>
  <c r="H147" i="2"/>
  <c r="M155" i="2"/>
  <c r="C158" i="2"/>
  <c r="C160" i="2"/>
  <c r="C162" i="2"/>
  <c r="G166" i="2"/>
  <c r="G168" i="2"/>
  <c r="G170" i="2"/>
  <c r="H172" i="2"/>
  <c r="M180" i="2"/>
  <c r="C183" i="2"/>
  <c r="B185" i="2"/>
  <c r="N186" i="2"/>
  <c r="I190" i="2"/>
  <c r="H192" i="2"/>
  <c r="G194" i="2"/>
  <c r="C198" i="2"/>
  <c r="N199" i="2"/>
  <c r="I203" i="2"/>
  <c r="G205" i="2"/>
  <c r="B209" i="2"/>
  <c r="F212" i="2"/>
  <c r="B214" i="2"/>
  <c r="F217" i="2"/>
  <c r="B219" i="2"/>
  <c r="F222" i="2"/>
  <c r="B224" i="2"/>
  <c r="F227" i="2"/>
  <c r="C86" i="3"/>
  <c r="D201" i="3"/>
  <c r="D263" i="3"/>
  <c r="D332" i="3"/>
  <c r="C406" i="3"/>
  <c r="D456" i="3"/>
  <c r="M3" i="2"/>
  <c r="M10" i="2"/>
  <c r="F17" i="2"/>
  <c r="B26" i="2"/>
  <c r="H30" i="2"/>
  <c r="N33" i="2"/>
  <c r="N37" i="2"/>
  <c r="N48" i="2"/>
  <c r="G52" i="2"/>
  <c r="H59" i="2"/>
  <c r="G63" i="2"/>
  <c r="I66" i="2"/>
  <c r="N69" i="2"/>
  <c r="M73" i="2"/>
  <c r="D86" i="3"/>
  <c r="C203" i="3"/>
  <c r="D265" i="3"/>
  <c r="C346" i="3"/>
  <c r="D407" i="3"/>
  <c r="D457" i="3"/>
  <c r="N3" i="2"/>
  <c r="G11" i="2"/>
  <c r="I17" i="2"/>
  <c r="F26" i="2"/>
  <c r="I30" i="2"/>
  <c r="C34" i="2"/>
  <c r="I41" i="2"/>
  <c r="N44" i="2"/>
  <c r="B49" i="2"/>
  <c r="C119" i="3"/>
  <c r="C266" i="3"/>
  <c r="D351" i="3"/>
  <c r="C419" i="3"/>
  <c r="C465" i="3"/>
  <c r="B4" i="2"/>
  <c r="I11" i="2"/>
  <c r="N17" i="2"/>
  <c r="G22" i="2"/>
  <c r="H26" i="2"/>
  <c r="H38" i="2"/>
  <c r="M41" i="2"/>
  <c r="M45" i="2"/>
  <c r="C49" i="2"/>
  <c r="I52" i="2"/>
  <c r="I56" i="2"/>
  <c r="N59" i="2"/>
  <c r="M63" i="2"/>
  <c r="M66" i="2"/>
  <c r="I70" i="2"/>
  <c r="B74" i="2"/>
  <c r="C77" i="2"/>
  <c r="G80" i="2"/>
  <c r="G83" i="2"/>
  <c r="I89" i="2"/>
  <c r="I92" i="2"/>
  <c r="I95" i="2"/>
  <c r="N98" i="2"/>
  <c r="N101" i="2"/>
  <c r="M107" i="2"/>
  <c r="I110" i="2"/>
  <c r="C113" i="2"/>
  <c r="N118" i="2"/>
  <c r="F121" i="2"/>
  <c r="C124" i="2"/>
  <c r="H128" i="2"/>
  <c r="N130" i="2"/>
  <c r="C133" i="2"/>
  <c r="F137" i="2"/>
  <c r="I139" i="2"/>
  <c r="N147" i="2"/>
  <c r="B150" i="2"/>
  <c r="B152" i="2"/>
  <c r="B154" i="2"/>
  <c r="F158" i="2"/>
  <c r="F160" i="2"/>
  <c r="F162" i="2"/>
  <c r="I164" i="2"/>
  <c r="N172" i="2"/>
  <c r="C204" i="3"/>
  <c r="D275" i="3"/>
  <c r="D352" i="3"/>
  <c r="D420" i="3"/>
  <c r="C468" i="3"/>
  <c r="B18" i="2"/>
  <c r="I26" i="2"/>
  <c r="F34" i="2"/>
  <c r="I38" i="2"/>
  <c r="B42" i="2"/>
  <c r="B46" i="2"/>
  <c r="F49" i="2"/>
  <c r="C60" i="2"/>
  <c r="N63" i="2"/>
  <c r="N66" i="2"/>
  <c r="C74" i="2"/>
  <c r="I80" i="2"/>
  <c r="H83" i="2"/>
  <c r="G86" i="2"/>
  <c r="C99" i="2"/>
  <c r="B102" i="2"/>
  <c r="N104" i="2"/>
  <c r="B108" i="2"/>
  <c r="F113" i="2"/>
  <c r="B119" i="2"/>
  <c r="G121" i="2"/>
  <c r="F126" i="2"/>
  <c r="I128" i="2"/>
  <c r="C131" i="2"/>
  <c r="C124" i="3"/>
  <c r="C290" i="3"/>
  <c r="C363" i="3"/>
  <c r="D421" i="3"/>
  <c r="C472" i="3"/>
  <c r="C23" i="2"/>
  <c r="N30" i="2"/>
  <c r="H34" i="2"/>
  <c r="N56" i="2"/>
  <c r="C64" i="2"/>
  <c r="C71" i="2"/>
  <c r="N80" i="2"/>
  <c r="C87" i="2"/>
  <c r="M92" i="2"/>
  <c r="G99" i="2"/>
  <c r="G105" i="2"/>
  <c r="G108" i="2"/>
  <c r="M110" i="2"/>
  <c r="N113" i="2"/>
  <c r="G116" i="2"/>
  <c r="C122" i="2"/>
  <c r="F124" i="2"/>
  <c r="I126" i="2"/>
  <c r="C129" i="2"/>
  <c r="G133" i="2"/>
  <c r="C30" i="3"/>
  <c r="D130" i="3"/>
  <c r="D224" i="3"/>
  <c r="D290" i="3"/>
  <c r="D363" i="3"/>
  <c r="C422" i="3"/>
  <c r="D472" i="3"/>
  <c r="M5" i="2"/>
  <c r="C13" i="2"/>
  <c r="H27" i="2"/>
  <c r="B31" i="2"/>
  <c r="M38" i="2"/>
  <c r="D225" i="3"/>
  <c r="D291" i="3"/>
  <c r="D364" i="3"/>
  <c r="D422" i="3"/>
  <c r="D473" i="3"/>
  <c r="I6" i="2"/>
  <c r="M13" i="2"/>
  <c r="C31" i="2"/>
  <c r="F35" i="2"/>
  <c r="N38" i="2"/>
  <c r="G42" i="2"/>
  <c r="I46" i="2"/>
  <c r="C54" i="2"/>
  <c r="C57" i="2"/>
  <c r="M60" i="2"/>
  <c r="I67" i="2"/>
  <c r="I71" i="2"/>
  <c r="G74" i="2"/>
  <c r="B78" i="2"/>
  <c r="C81" i="2"/>
  <c r="M83" i="2"/>
  <c r="F87" i="2"/>
  <c r="G90" i="2"/>
  <c r="B93" i="2"/>
  <c r="I96" i="2"/>
  <c r="I99" i="2"/>
  <c r="F102" i="2"/>
  <c r="I108" i="2"/>
  <c r="B111" i="2"/>
  <c r="M116" i="2"/>
  <c r="F119" i="2"/>
  <c r="F122" i="2"/>
  <c r="C131" i="3"/>
  <c r="C228" i="3"/>
  <c r="D293" i="3"/>
  <c r="C365" i="3"/>
  <c r="C423" i="3"/>
  <c r="D474" i="3"/>
  <c r="B14" i="2"/>
  <c r="G19" i="2"/>
  <c r="H23" i="2"/>
  <c r="C28" i="2"/>
  <c r="B39" i="2"/>
  <c r="N42" i="2"/>
  <c r="C61" i="2"/>
  <c r="F64" i="2"/>
  <c r="H74" i="2"/>
  <c r="C78" i="2"/>
  <c r="N83" i="2"/>
  <c r="G87" i="2"/>
  <c r="H90" i="2"/>
  <c r="C93" i="2"/>
  <c r="C45" i="3"/>
  <c r="C168" i="3"/>
  <c r="C323" i="3"/>
  <c r="D385" i="3"/>
  <c r="C442" i="3"/>
  <c r="D493" i="3"/>
  <c r="M14" i="2"/>
  <c r="F20" i="2"/>
  <c r="B25" i="2"/>
  <c r="D76" i="3"/>
  <c r="C169" i="3"/>
  <c r="C325" i="3"/>
  <c r="D387" i="3"/>
  <c r="D442" i="3"/>
  <c r="D494" i="3"/>
  <c r="G8" i="2"/>
  <c r="C15" i="2"/>
  <c r="G20" i="2"/>
  <c r="C25" i="2"/>
  <c r="D238" i="3"/>
  <c r="C490" i="3"/>
  <c r="F31" i="2"/>
  <c r="N50" i="2"/>
  <c r="I58" i="2"/>
  <c r="F74" i="2"/>
  <c r="B81" i="2"/>
  <c r="N92" i="2"/>
  <c r="M103" i="2"/>
  <c r="N108" i="2"/>
  <c r="B114" i="2"/>
  <c r="N117" i="2"/>
  <c r="G126" i="2"/>
  <c r="H133" i="2"/>
  <c r="F136" i="2"/>
  <c r="F139" i="2"/>
  <c r="B142" i="2"/>
  <c r="F150" i="2"/>
  <c r="C153" i="2"/>
  <c r="C289" i="3"/>
  <c r="G14" i="2"/>
  <c r="M31" i="2"/>
  <c r="F42" i="2"/>
  <c r="C67" i="2"/>
  <c r="I74" i="2"/>
  <c r="H87" i="2"/>
  <c r="I93" i="2"/>
  <c r="H99" i="2"/>
  <c r="F104" i="2"/>
  <c r="B109" i="2"/>
  <c r="N129" i="2"/>
  <c r="I133" i="2"/>
  <c r="G136" i="2"/>
  <c r="H139" i="2"/>
  <c r="C142" i="2"/>
  <c r="M144" i="2"/>
  <c r="M147" i="2"/>
  <c r="G150" i="2"/>
  <c r="H161" i="2"/>
  <c r="H164" i="2"/>
  <c r="C167" i="2"/>
  <c r="M169" i="2"/>
  <c r="M172" i="2"/>
  <c r="F175" i="2"/>
  <c r="N177" i="2"/>
  <c r="F180" i="2"/>
  <c r="F183" i="2"/>
  <c r="I185" i="2"/>
  <c r="B188" i="2"/>
  <c r="M192" i="2"/>
  <c r="B195" i="2"/>
  <c r="H199" i="2"/>
  <c r="B202" i="2"/>
  <c r="F204" i="2"/>
  <c r="H206" i="2"/>
  <c r="I208" i="2"/>
  <c r="N210" i="2"/>
  <c r="N212" i="2"/>
  <c r="N214" i="2"/>
  <c r="N216" i="2"/>
  <c r="I227" i="2"/>
  <c r="H229" i="2"/>
  <c r="G231" i="2"/>
  <c r="F233" i="2"/>
  <c r="G237" i="2"/>
  <c r="C241" i="2"/>
  <c r="N242" i="2"/>
  <c r="I246" i="2"/>
  <c r="G248" i="2"/>
  <c r="C252" i="2"/>
  <c r="C254" i="2"/>
  <c r="M255" i="2"/>
  <c r="I257" i="2"/>
  <c r="F259" i="2"/>
  <c r="C261" i="2"/>
  <c r="M262" i="2"/>
  <c r="I264" i="2"/>
  <c r="F266" i="2"/>
  <c r="C268" i="2"/>
  <c r="M269" i="2"/>
  <c r="I271" i="2"/>
  <c r="F273" i="2"/>
  <c r="C275" i="2"/>
  <c r="M276" i="2"/>
  <c r="I278" i="2"/>
  <c r="F280" i="2"/>
  <c r="C282" i="2"/>
  <c r="N283" i="2"/>
  <c r="G287" i="2"/>
  <c r="N290" i="2"/>
  <c r="G294" i="2"/>
  <c r="M297" i="2"/>
  <c r="H299" i="2"/>
  <c r="M302" i="2"/>
  <c r="H304" i="2"/>
  <c r="M307" i="2"/>
  <c r="H309" i="2"/>
  <c r="M312" i="2"/>
  <c r="H314" i="2"/>
  <c r="M317" i="2"/>
  <c r="H319" i="2"/>
  <c r="M322" i="2"/>
  <c r="D294" i="3"/>
  <c r="C18" i="2"/>
  <c r="B32" i="2"/>
  <c r="B43" i="2"/>
  <c r="I51" i="2"/>
  <c r="G67" i="2"/>
  <c r="I75" i="2"/>
  <c r="F81" i="2"/>
  <c r="I87" i="2"/>
  <c r="C94" i="2"/>
  <c r="H104" i="2"/>
  <c r="C109" i="2"/>
  <c r="F114" i="2"/>
  <c r="M118" i="2"/>
  <c r="M122" i="2"/>
  <c r="B130" i="2"/>
  <c r="I136" i="2"/>
  <c r="N144" i="2"/>
  <c r="C148" i="2"/>
  <c r="H150" i="2"/>
  <c r="G156" i="2"/>
  <c r="M158" i="2"/>
  <c r="I161" i="2"/>
  <c r="N169" i="2"/>
  <c r="C173" i="2"/>
  <c r="G175" i="2"/>
  <c r="C178" i="2"/>
  <c r="G180" i="2"/>
  <c r="G183" i="2"/>
  <c r="C188" i="2"/>
  <c r="N192" i="2"/>
  <c r="C195" i="2"/>
  <c r="I199" i="2"/>
  <c r="C202" i="2"/>
  <c r="G204" i="2"/>
  <c r="I206" i="2"/>
  <c r="B211" i="2"/>
  <c r="B213" i="2"/>
  <c r="B215" i="2"/>
  <c r="B217" i="2"/>
  <c r="F219" i="2"/>
  <c r="F221" i="2"/>
  <c r="F223" i="2"/>
  <c r="F225" i="2"/>
  <c r="I229" i="2"/>
  <c r="H231" i="2"/>
  <c r="G233" i="2"/>
  <c r="F235" i="2"/>
  <c r="H237" i="2"/>
  <c r="F239" i="2"/>
  <c r="B243" i="2"/>
  <c r="M244" i="2"/>
  <c r="H248" i="2"/>
  <c r="F250" i="2"/>
  <c r="F252" i="2"/>
  <c r="N255" i="2"/>
  <c r="G259" i="2"/>
  <c r="N262" i="2"/>
  <c r="G266" i="2"/>
  <c r="N269" i="2"/>
  <c r="G273" i="2"/>
  <c r="N276" i="2"/>
  <c r="G280" i="2"/>
  <c r="B284" i="2"/>
  <c r="H287" i="2"/>
  <c r="B291" i="2"/>
  <c r="H294" i="2"/>
  <c r="N297" i="2"/>
  <c r="I299" i="2"/>
  <c r="N302" i="2"/>
  <c r="I304" i="2"/>
  <c r="N307" i="2"/>
  <c r="I309" i="2"/>
  <c r="N312" i="2"/>
  <c r="I314" i="2"/>
  <c r="N317" i="2"/>
  <c r="I319" i="2"/>
  <c r="N322" i="2"/>
  <c r="I324" i="2"/>
  <c r="N327" i="2"/>
  <c r="I329" i="2"/>
  <c r="N332" i="2"/>
  <c r="I334" i="2"/>
  <c r="N337" i="2"/>
  <c r="I339" i="2"/>
  <c r="N342" i="2"/>
  <c r="I344" i="2"/>
  <c r="N347" i="2"/>
  <c r="I349" i="2"/>
  <c r="N352" i="2"/>
  <c r="C295" i="3"/>
  <c r="I43" i="2"/>
  <c r="M51" i="2"/>
  <c r="G68" i="2"/>
  <c r="G81" i="2"/>
  <c r="N99" i="2"/>
  <c r="C105" i="2"/>
  <c r="G114" i="2"/>
  <c r="C119" i="2"/>
  <c r="N122" i="2"/>
  <c r="M126" i="2"/>
  <c r="C130" i="2"/>
  <c r="M139" i="2"/>
  <c r="B145" i="2"/>
  <c r="I150" i="2"/>
  <c r="F153" i="2"/>
  <c r="H156" i="2"/>
  <c r="N158" i="2"/>
  <c r="M164" i="2"/>
  <c r="B170" i="2"/>
  <c r="H175" i="2"/>
  <c r="B181" i="2"/>
  <c r="H183" i="2"/>
  <c r="M185" i="2"/>
  <c r="B193" i="2"/>
  <c r="F197" i="2"/>
  <c r="B200" i="2"/>
  <c r="H204" i="2"/>
  <c r="C209" i="2"/>
  <c r="C211" i="2"/>
  <c r="C213" i="2"/>
  <c r="C215" i="2"/>
  <c r="G217" i="2"/>
  <c r="G219" i="2"/>
  <c r="G221" i="2"/>
  <c r="G223" i="2"/>
  <c r="I231" i="2"/>
  <c r="H233" i="2"/>
  <c r="I237" i="2"/>
  <c r="G239" i="2"/>
  <c r="C243" i="2"/>
  <c r="N244" i="2"/>
  <c r="I248" i="2"/>
  <c r="G250" i="2"/>
  <c r="G252" i="2"/>
  <c r="B256" i="2"/>
  <c r="H259" i="2"/>
  <c r="B263" i="2"/>
  <c r="H266" i="2"/>
  <c r="B270" i="2"/>
  <c r="H273" i="2"/>
  <c r="B277" i="2"/>
  <c r="I280" i="2"/>
  <c r="F282" i="2"/>
  <c r="C284" i="2"/>
  <c r="M285" i="2"/>
  <c r="I287" i="2"/>
  <c r="F289" i="2"/>
  <c r="C291" i="2"/>
  <c r="M292" i="2"/>
  <c r="I294" i="2"/>
  <c r="F296" i="2"/>
  <c r="B298" i="2"/>
  <c r="F301" i="2"/>
  <c r="B303" i="2"/>
  <c r="F306" i="2"/>
  <c r="B308" i="2"/>
  <c r="F311" i="2"/>
  <c r="B313" i="2"/>
  <c r="F316" i="2"/>
  <c r="B318" i="2"/>
  <c r="C305" i="3"/>
  <c r="B20" i="2"/>
  <c r="H52" i="2"/>
  <c r="I68" i="2"/>
  <c r="M75" i="2"/>
  <c r="I81" i="2"/>
  <c r="N87" i="2"/>
  <c r="F94" i="2"/>
  <c r="C100" i="2"/>
  <c r="H105" i="2"/>
  <c r="H114" i="2"/>
  <c r="B123" i="2"/>
  <c r="B127" i="2"/>
  <c r="M133" i="2"/>
  <c r="N139" i="2"/>
  <c r="F142" i="2"/>
  <c r="C145" i="2"/>
  <c r="G153" i="2"/>
  <c r="I156" i="2"/>
  <c r="B159" i="2"/>
  <c r="N164" i="2"/>
  <c r="F167" i="2"/>
  <c r="C170" i="2"/>
  <c r="I175" i="2"/>
  <c r="I183" i="2"/>
  <c r="B186" i="2"/>
  <c r="M190" i="2"/>
  <c r="C193" i="2"/>
  <c r="H197" i="2"/>
  <c r="C200" i="2"/>
  <c r="I204" i="2"/>
  <c r="H217" i="2"/>
  <c r="H219" i="2"/>
  <c r="H221" i="2"/>
  <c r="H223" i="2"/>
  <c r="M225" i="2"/>
  <c r="M227" i="2"/>
  <c r="I233" i="2"/>
  <c r="H239" i="2"/>
  <c r="F241" i="2"/>
  <c r="B245" i="2"/>
  <c r="M246" i="2"/>
  <c r="H252" i="2"/>
  <c r="F254" i="2"/>
  <c r="C256" i="2"/>
  <c r="M257" i="2"/>
  <c r="I259" i="2"/>
  <c r="F261" i="2"/>
  <c r="C263" i="2"/>
  <c r="M264" i="2"/>
  <c r="I266" i="2"/>
  <c r="F268" i="2"/>
  <c r="C270" i="2"/>
  <c r="M271" i="2"/>
  <c r="I273" i="2"/>
  <c r="F275" i="2"/>
  <c r="C277" i="2"/>
  <c r="N278" i="2"/>
  <c r="G282" i="2"/>
  <c r="N285" i="2"/>
  <c r="G289" i="2"/>
  <c r="N292" i="2"/>
  <c r="G296" i="2"/>
  <c r="C298" i="2"/>
  <c r="G301" i="2"/>
  <c r="C303" i="2"/>
  <c r="G306" i="2"/>
  <c r="D310" i="3"/>
  <c r="N32" i="2"/>
  <c r="N43" i="2"/>
  <c r="I53" i="2"/>
  <c r="N75" i="2"/>
  <c r="C88" i="2"/>
  <c r="G94" i="2"/>
  <c r="G110" i="2"/>
  <c r="I114" i="2"/>
  <c r="G119" i="2"/>
  <c r="M123" i="2"/>
  <c r="F127" i="2"/>
  <c r="M130" i="2"/>
  <c r="B134" i="2"/>
  <c r="B140" i="2"/>
  <c r="H142" i="2"/>
  <c r="H145" i="2"/>
  <c r="F148" i="2"/>
  <c r="M150" i="2"/>
  <c r="M153" i="2"/>
  <c r="D360" i="3"/>
  <c r="G34" i="2"/>
  <c r="C44" i="2"/>
  <c r="B54" i="2"/>
  <c r="I61" i="2"/>
  <c r="B76" i="2"/>
  <c r="N81" i="2"/>
  <c r="G88" i="2"/>
  <c r="H94" i="2"/>
  <c r="M105" i="2"/>
  <c r="H110" i="2"/>
  <c r="I119" i="2"/>
  <c r="N123" i="2"/>
  <c r="G127" i="2"/>
  <c r="D365" i="3"/>
  <c r="B23" i="2"/>
  <c r="M35" i="2"/>
  <c r="M61" i="2"/>
  <c r="M68" i="2"/>
  <c r="C83" i="2"/>
  <c r="G100" i="2"/>
  <c r="N105" i="2"/>
  <c r="N114" i="2"/>
  <c r="B120" i="2"/>
  <c r="I127" i="2"/>
  <c r="C43" i="3"/>
  <c r="D369" i="3"/>
  <c r="B36" i="2"/>
  <c r="F54" i="2"/>
  <c r="N61" i="2"/>
  <c r="B69" i="2"/>
  <c r="N76" i="2"/>
  <c r="F89" i="2"/>
  <c r="G95" i="2"/>
  <c r="N100" i="2"/>
  <c r="C106" i="2"/>
  <c r="N110" i="2"/>
  <c r="C115" i="2"/>
  <c r="G124" i="2"/>
  <c r="G131" i="2"/>
  <c r="G134" i="2"/>
  <c r="N142" i="2"/>
  <c r="B146" i="2"/>
  <c r="I148" i="2"/>
  <c r="F154" i="2"/>
  <c r="N156" i="2"/>
  <c r="I159" i="2"/>
  <c r="N167" i="2"/>
  <c r="B171" i="2"/>
  <c r="I173" i="2"/>
  <c r="N178" i="2"/>
  <c r="I181" i="2"/>
  <c r="N183" i="2"/>
  <c r="G186" i="2"/>
  <c r="N188" i="2"/>
  <c r="G193" i="2"/>
  <c r="I195" i="2"/>
  <c r="G200" i="2"/>
  <c r="N204" i="2"/>
  <c r="G207" i="2"/>
  <c r="H209" i="2"/>
  <c r="H211" i="2"/>
  <c r="H213" i="2"/>
  <c r="M215" i="2"/>
  <c r="M217" i="2"/>
  <c r="M219" i="2"/>
  <c r="M221" i="2"/>
  <c r="C230" i="2"/>
  <c r="B232" i="2"/>
  <c r="C236" i="2"/>
  <c r="B238" i="2"/>
  <c r="M239" i="2"/>
  <c r="H243" i="2"/>
  <c r="F245" i="2"/>
  <c r="F247" i="2"/>
  <c r="B251" i="2"/>
  <c r="M252" i="2"/>
  <c r="G256" i="2"/>
  <c r="N259" i="2"/>
  <c r="G263" i="2"/>
  <c r="N266" i="2"/>
  <c r="G270" i="2"/>
  <c r="B274" i="2"/>
  <c r="H277" i="2"/>
  <c r="B281" i="2"/>
  <c r="H284" i="2"/>
  <c r="B288" i="2"/>
  <c r="H291" i="2"/>
  <c r="B295" i="2"/>
  <c r="G298" i="2"/>
  <c r="C300" i="2"/>
  <c r="G303" i="2"/>
  <c r="C305" i="2"/>
  <c r="G308" i="2"/>
  <c r="C310" i="2"/>
  <c r="G313" i="2"/>
  <c r="C315" i="2"/>
  <c r="G318" i="2"/>
  <c r="C378" i="3"/>
  <c r="D1" i="2"/>
  <c r="I24" i="2"/>
  <c r="F46" i="2"/>
  <c r="G54" i="2"/>
  <c r="B62" i="2"/>
  <c r="C70" i="2"/>
  <c r="G77" i="2"/>
  <c r="I83" i="2"/>
  <c r="C90" i="2"/>
  <c r="N95" i="2"/>
  <c r="C111" i="2"/>
  <c r="N115" i="2"/>
  <c r="H120" i="2"/>
  <c r="H124" i="2"/>
  <c r="I131" i="2"/>
  <c r="I134" i="2"/>
  <c r="M137" i="2"/>
  <c r="F140" i="2"/>
  <c r="C143" i="2"/>
  <c r="G151" i="2"/>
  <c r="H154" i="2"/>
  <c r="B157" i="2"/>
  <c r="M162" i="2"/>
  <c r="F165" i="2"/>
  <c r="C168" i="2"/>
  <c r="B179" i="2"/>
  <c r="D44" i="3"/>
  <c r="D383" i="3"/>
  <c r="M46" i="2"/>
  <c r="H54" i="2"/>
  <c r="C62" i="2"/>
  <c r="N70" i="2"/>
  <c r="M77" i="2"/>
  <c r="F90" i="2"/>
  <c r="F96" i="2"/>
  <c r="M101" i="2"/>
  <c r="G106" i="2"/>
  <c r="F111" i="2"/>
  <c r="B116" i="2"/>
  <c r="I120" i="2"/>
  <c r="I124" i="2"/>
  <c r="M127" i="2"/>
  <c r="C135" i="2"/>
  <c r="N137" i="2"/>
  <c r="G140" i="2"/>
  <c r="H143" i="2"/>
  <c r="M151" i="2"/>
  <c r="I154" i="2"/>
  <c r="C157" i="2"/>
  <c r="N162" i="2"/>
  <c r="G165" i="2"/>
  <c r="H168" i="2"/>
  <c r="G176" i="2"/>
  <c r="I186" i="2"/>
  <c r="G191" i="2"/>
  <c r="I193" i="2"/>
  <c r="M195" i="2"/>
  <c r="G198" i="2"/>
  <c r="I200" i="2"/>
  <c r="N202" i="2"/>
  <c r="C205" i="2"/>
  <c r="B216" i="2"/>
  <c r="B218" i="2"/>
  <c r="B220" i="2"/>
  <c r="B222" i="2"/>
  <c r="F224" i="2"/>
  <c r="F226" i="2"/>
  <c r="F228" i="2"/>
  <c r="G232" i="2"/>
  <c r="F234" i="2"/>
  <c r="B240" i="2"/>
  <c r="M241" i="2"/>
  <c r="H247" i="2"/>
  <c r="F249" i="2"/>
  <c r="B253" i="2"/>
  <c r="M254" i="2"/>
  <c r="I256" i="2"/>
  <c r="F258" i="2"/>
  <c r="C260" i="2"/>
  <c r="M261" i="2"/>
  <c r="I263" i="2"/>
  <c r="F265" i="2"/>
  <c r="C267" i="2"/>
  <c r="N268" i="2"/>
  <c r="G272" i="2"/>
  <c r="N275" i="2"/>
  <c r="G279" i="2"/>
  <c r="N282" i="2"/>
  <c r="G286" i="2"/>
  <c r="N289" i="2"/>
  <c r="G293" i="2"/>
  <c r="N296" i="2"/>
  <c r="I298" i="2"/>
  <c r="N301" i="2"/>
  <c r="I303" i="2"/>
  <c r="N306" i="2"/>
  <c r="I308" i="2"/>
  <c r="N311" i="2"/>
  <c r="I313" i="2"/>
  <c r="N316" i="2"/>
  <c r="I318" i="2"/>
  <c r="D131" i="3"/>
  <c r="D423" i="3"/>
  <c r="C5" i="2"/>
  <c r="C27" i="2"/>
  <c r="I36" i="2"/>
  <c r="B47" i="2"/>
  <c r="B64" i="2"/>
  <c r="M71" i="2"/>
  <c r="G78" i="2"/>
  <c r="N96" i="2"/>
  <c r="B112" i="2"/>
  <c r="G128" i="2"/>
  <c r="M131" i="2"/>
  <c r="F135" i="2"/>
  <c r="I140" i="2"/>
  <c r="H146" i="2"/>
  <c r="N148" i="2"/>
  <c r="C152" i="2"/>
  <c r="M154" i="2"/>
  <c r="G160" i="2"/>
  <c r="I165" i="2"/>
  <c r="H171" i="2"/>
  <c r="N173" i="2"/>
  <c r="N176" i="2"/>
  <c r="H179" i="2"/>
  <c r="N181" i="2"/>
  <c r="H184" i="2"/>
  <c r="C187" i="2"/>
  <c r="G189" i="2"/>
  <c r="I191" i="2"/>
  <c r="G196" i="2"/>
  <c r="I198" i="2"/>
  <c r="M200" i="2"/>
  <c r="C203" i="2"/>
  <c r="I205" i="2"/>
  <c r="M207" i="2"/>
  <c r="M209" i="2"/>
  <c r="M211" i="2"/>
  <c r="H222" i="2"/>
  <c r="H224" i="2"/>
  <c r="H226" i="2"/>
  <c r="H228" i="2"/>
  <c r="I232" i="2"/>
  <c r="H234" i="2"/>
  <c r="G236" i="2"/>
  <c r="F238" i="2"/>
  <c r="B242" i="2"/>
  <c r="B244" i="2"/>
  <c r="M245" i="2"/>
  <c r="H249" i="2"/>
  <c r="F251" i="2"/>
  <c r="B255" i="2"/>
  <c r="H258" i="2"/>
  <c r="B262" i="2"/>
  <c r="I265" i="2"/>
  <c r="F267" i="2"/>
  <c r="C269" i="2"/>
  <c r="M270" i="2"/>
  <c r="I272" i="2"/>
  <c r="F274" i="2"/>
  <c r="C276" i="2"/>
  <c r="M277" i="2"/>
  <c r="I279" i="2"/>
  <c r="F281" i="2"/>
  <c r="C283" i="2"/>
  <c r="M284" i="2"/>
  <c r="I286" i="2"/>
  <c r="F288" i="2"/>
  <c r="C290" i="2"/>
  <c r="M291" i="2"/>
  <c r="I293" i="2"/>
  <c r="F295" i="2"/>
  <c r="D163" i="3"/>
  <c r="C436" i="3"/>
  <c r="I7" i="2"/>
  <c r="G28" i="2"/>
  <c r="C39" i="2"/>
  <c r="M56" i="2"/>
  <c r="G64" i="2"/>
  <c r="B72" i="2"/>
  <c r="M90" i="2"/>
  <c r="I107" i="2"/>
  <c r="C117" i="2"/>
  <c r="B125" i="2"/>
  <c r="B132" i="2"/>
  <c r="H135" i="2"/>
  <c r="F138" i="2"/>
  <c r="M140" i="2"/>
  <c r="N143" i="2"/>
  <c r="B155" i="2"/>
  <c r="H157" i="2"/>
  <c r="I160" i="2"/>
  <c r="F163" i="2"/>
  <c r="M165" i="2"/>
  <c r="N168" i="2"/>
  <c r="C177" i="2"/>
  <c r="C182" i="2"/>
  <c r="I189" i="2"/>
  <c r="N193" i="2"/>
  <c r="I196" i="2"/>
  <c r="C201" i="2"/>
  <c r="M205" i="2"/>
  <c r="B208" i="2"/>
  <c r="B210" i="2"/>
  <c r="B212" i="2"/>
  <c r="F214" i="2"/>
  <c r="F216" i="2"/>
  <c r="F218" i="2"/>
  <c r="F220" i="2"/>
  <c r="M230" i="2"/>
  <c r="I236" i="2"/>
  <c r="H238" i="2"/>
  <c r="F240" i="2"/>
  <c r="F242" i="2"/>
  <c r="B246" i="2"/>
  <c r="M247" i="2"/>
  <c r="H251" i="2"/>
  <c r="F253" i="2"/>
  <c r="N256" i="2"/>
  <c r="G260" i="2"/>
  <c r="B264" i="2"/>
  <c r="H267" i="2"/>
  <c r="B271" i="2"/>
  <c r="H274" i="2"/>
  <c r="B278" i="2"/>
  <c r="H281" i="2"/>
  <c r="B285" i="2"/>
  <c r="C233" i="3"/>
  <c r="C476" i="3"/>
  <c r="M11" i="2"/>
  <c r="H39" i="2"/>
  <c r="C50" i="2"/>
  <c r="I57" i="2"/>
  <c r="C80" i="2"/>
  <c r="N85" i="2"/>
  <c r="G92" i="2"/>
  <c r="I103" i="2"/>
  <c r="M112" i="2"/>
  <c r="F117" i="2"/>
  <c r="G122" i="2"/>
  <c r="I125" i="2"/>
  <c r="H129" i="2"/>
  <c r="N132" i="2"/>
  <c r="N135" i="2"/>
  <c r="I138" i="2"/>
  <c r="F144" i="2"/>
  <c r="N146" i="2"/>
  <c r="C150" i="2"/>
  <c r="G158" i="2"/>
  <c r="B161" i="2"/>
  <c r="I163" i="2"/>
  <c r="F169" i="2"/>
  <c r="N171" i="2"/>
  <c r="B175" i="2"/>
  <c r="F177" i="2"/>
  <c r="B180" i="2"/>
  <c r="F182" i="2"/>
  <c r="M189" i="2"/>
  <c r="B192" i="2"/>
  <c r="M196" i="2"/>
  <c r="B199" i="2"/>
  <c r="F201" i="2"/>
  <c r="M203" i="2"/>
  <c r="I212" i="2"/>
  <c r="I214" i="2"/>
  <c r="I216" i="2"/>
  <c r="I218" i="2"/>
  <c r="N220" i="2"/>
  <c r="N222" i="2"/>
  <c r="N224" i="2"/>
  <c r="N226" i="2"/>
  <c r="C231" i="2"/>
  <c r="B233" i="2"/>
  <c r="N234" i="2"/>
  <c r="M236" i="2"/>
  <c r="I242" i="2"/>
  <c r="G244" i="2"/>
  <c r="C248" i="2"/>
  <c r="N249" i="2"/>
  <c r="C237" i="3"/>
  <c r="D480" i="3"/>
  <c r="C14" i="2"/>
  <c r="F50" i="2"/>
  <c r="N64" i="2"/>
  <c r="N73" i="2"/>
  <c r="C86" i="2"/>
  <c r="H92" i="2"/>
  <c r="I98" i="2"/>
  <c r="N112" i="2"/>
  <c r="G117" i="2"/>
  <c r="H122" i="2"/>
  <c r="C126" i="2"/>
  <c r="I129" i="2"/>
  <c r="B133" i="2"/>
  <c r="C136" i="2"/>
  <c r="M141" i="2"/>
  <c r="H144" i="2"/>
  <c r="B147" i="2"/>
  <c r="M152" i="2"/>
  <c r="F155" i="2"/>
  <c r="H158" i="2"/>
  <c r="M166" i="2"/>
  <c r="H169" i="2"/>
  <c r="B172" i="2"/>
  <c r="C175" i="2"/>
  <c r="H177" i="2"/>
  <c r="C180" i="2"/>
  <c r="H182" i="2"/>
  <c r="F185" i="2"/>
  <c r="N189" i="2"/>
  <c r="C192" i="2"/>
  <c r="N196" i="2"/>
  <c r="G201" i="2"/>
  <c r="N203" i="2"/>
  <c r="F208" i="2"/>
  <c r="F210" i="2"/>
  <c r="B221" i="2"/>
  <c r="B223" i="2"/>
  <c r="B225" i="2"/>
  <c r="B227" i="2"/>
  <c r="C233" i="2"/>
  <c r="B235" i="2"/>
  <c r="N236" i="2"/>
  <c r="B239" i="2"/>
  <c r="M240" i="2"/>
  <c r="H244" i="2"/>
  <c r="F246" i="2"/>
  <c r="B250" i="2"/>
  <c r="M251" i="2"/>
  <c r="I255" i="2"/>
  <c r="F257" i="2"/>
  <c r="C259" i="2"/>
  <c r="M260" i="2"/>
  <c r="I262" i="2"/>
  <c r="F264" i="2"/>
  <c r="C266" i="2"/>
  <c r="D482" i="3"/>
  <c r="M30" i="2"/>
  <c r="I40" i="2"/>
  <c r="M50" i="2"/>
  <c r="H58" i="2"/>
  <c r="M65" i="2"/>
  <c r="M108" i="2"/>
  <c r="I113" i="2"/>
  <c r="I117" i="2"/>
  <c r="I122" i="2"/>
  <c r="F133" i="2"/>
  <c r="N141" i="2"/>
  <c r="I144" i="2"/>
  <c r="C147" i="2"/>
  <c r="N152" i="2"/>
  <c r="G155" i="2"/>
  <c r="I158" i="2"/>
  <c r="N166" i="2"/>
  <c r="I169" i="2"/>
  <c r="C172" i="2"/>
  <c r="G185" i="2"/>
  <c r="M187" i="2"/>
  <c r="B190" i="2"/>
  <c r="M194" i="2"/>
  <c r="B197" i="2"/>
  <c r="F199" i="2"/>
  <c r="M201" i="2"/>
  <c r="B204" i="2"/>
  <c r="F206" i="2"/>
  <c r="G208" i="2"/>
  <c r="C219" i="2"/>
  <c r="C221" i="2"/>
  <c r="C223" i="2"/>
  <c r="C225" i="2"/>
  <c r="G227" i="2"/>
  <c r="F229" i="2"/>
  <c r="C235" i="2"/>
  <c r="B237" i="2"/>
  <c r="C239" i="2"/>
  <c r="N240" i="2"/>
  <c r="I244" i="2"/>
  <c r="G246" i="2"/>
  <c r="C250" i="2"/>
  <c r="N251" i="2"/>
  <c r="G257" i="2"/>
  <c r="N260" i="2"/>
  <c r="G264" i="2"/>
  <c r="N267" i="2"/>
  <c r="G271" i="2"/>
  <c r="G47" i="2"/>
  <c r="F112" i="2"/>
  <c r="H141" i="2"/>
  <c r="B151" i="2"/>
  <c r="F173" i="2"/>
  <c r="I179" i="2"/>
  <c r="B191" i="2"/>
  <c r="H195" i="2"/>
  <c r="B206" i="2"/>
  <c r="M210" i="2"/>
  <c r="F215" i="2"/>
  <c r="N219" i="2"/>
  <c r="I224" i="2"/>
  <c r="C229" i="2"/>
  <c r="N237" i="2"/>
  <c r="N241" i="2"/>
  <c r="C246" i="2"/>
  <c r="B254" i="2"/>
  <c r="H257" i="2"/>
  <c r="B261" i="2"/>
  <c r="H264" i="2"/>
  <c r="M267" i="2"/>
  <c r="H49" i="2"/>
  <c r="F85" i="2"/>
  <c r="G112" i="2"/>
  <c r="N131" i="2"/>
  <c r="I141" i="2"/>
  <c r="F159" i="2"/>
  <c r="H166" i="2"/>
  <c r="G173" i="2"/>
  <c r="M179" i="2"/>
  <c r="H185" i="2"/>
  <c r="C191" i="2"/>
  <c r="B201" i="2"/>
  <c r="C206" i="2"/>
  <c r="C220" i="2"/>
  <c r="G229" i="2"/>
  <c r="B234" i="2"/>
  <c r="C238" i="2"/>
  <c r="C242" i="2"/>
  <c r="G254" i="2"/>
  <c r="N257" i="2"/>
  <c r="G261" i="2"/>
  <c r="N264" i="2"/>
  <c r="I54" i="2"/>
  <c r="I90" i="2"/>
  <c r="F116" i="2"/>
  <c r="C132" i="2"/>
  <c r="N151" i="2"/>
  <c r="H159" i="2"/>
  <c r="I166" i="2"/>
  <c r="H173" i="2"/>
  <c r="N179" i="2"/>
  <c r="F196" i="2"/>
  <c r="G206" i="2"/>
  <c r="F211" i="2"/>
  <c r="N215" i="2"/>
  <c r="M224" i="2"/>
  <c r="M229" i="2"/>
  <c r="C234" i="2"/>
  <c r="G242" i="2"/>
  <c r="H246" i="2"/>
  <c r="M250" i="2"/>
  <c r="H254" i="2"/>
  <c r="B258" i="2"/>
  <c r="H261" i="2"/>
  <c r="B265" i="2"/>
  <c r="G268" i="2"/>
  <c r="F271" i="2"/>
  <c r="I274" i="2"/>
  <c r="G277" i="2"/>
  <c r="F283" i="2"/>
  <c r="I291" i="2"/>
  <c r="B297" i="2"/>
  <c r="B304" i="2"/>
  <c r="H306" i="2"/>
  <c r="M310" i="2"/>
  <c r="G315" i="2"/>
  <c r="H317" i="2"/>
  <c r="M319" i="2"/>
  <c r="H323" i="2"/>
  <c r="B327" i="2"/>
  <c r="H330" i="2"/>
  <c r="B334" i="2"/>
  <c r="H337" i="2"/>
  <c r="B341" i="2"/>
  <c r="H344" i="2"/>
  <c r="F346" i="2"/>
  <c r="C348" i="2"/>
  <c r="F56" i="2"/>
  <c r="B117" i="2"/>
  <c r="M142" i="2"/>
  <c r="B167" i="2"/>
  <c r="M173" i="2"/>
  <c r="F191" i="2"/>
  <c r="H196" i="2"/>
  <c r="M206" i="2"/>
  <c r="G211" i="2"/>
  <c r="C216" i="2"/>
  <c r="N229" i="2"/>
  <c r="G238" i="2"/>
  <c r="H242" i="2"/>
  <c r="N246" i="2"/>
  <c r="N250" i="2"/>
  <c r="I254" i="2"/>
  <c r="C258" i="2"/>
  <c r="I261" i="2"/>
  <c r="C265" i="2"/>
  <c r="H268" i="2"/>
  <c r="H271" i="2"/>
  <c r="I277" i="2"/>
  <c r="G283" i="2"/>
  <c r="F286" i="2"/>
  <c r="N288" i="2"/>
  <c r="C297" i="2"/>
  <c r="M301" i="2"/>
  <c r="C304" i="2"/>
  <c r="I306" i="2"/>
  <c r="M308" i="2"/>
  <c r="N310" i="2"/>
  <c r="H315" i="2"/>
  <c r="I317" i="2"/>
  <c r="N319" i="2"/>
  <c r="I323" i="2"/>
  <c r="F325" i="2"/>
  <c r="C327" i="2"/>
  <c r="M328" i="2"/>
  <c r="I330" i="2"/>
  <c r="F332" i="2"/>
  <c r="C334" i="2"/>
  <c r="M335" i="2"/>
  <c r="I337" i="2"/>
  <c r="F339" i="2"/>
  <c r="C341" i="2"/>
  <c r="M342" i="2"/>
  <c r="G346" i="2"/>
  <c r="N349" i="2"/>
  <c r="G353" i="2"/>
  <c r="C355" i="2"/>
  <c r="G358" i="2"/>
  <c r="C360" i="2"/>
  <c r="G363" i="2"/>
  <c r="C365" i="2"/>
  <c r="G368" i="2"/>
  <c r="C370" i="2"/>
  <c r="G373" i="2"/>
  <c r="C375" i="2"/>
  <c r="G378" i="2"/>
  <c r="C380" i="2"/>
  <c r="G383" i="2"/>
  <c r="C385" i="2"/>
  <c r="G388" i="2"/>
  <c r="C390" i="2"/>
  <c r="G393" i="2"/>
  <c r="C395" i="2"/>
  <c r="G398" i="2"/>
  <c r="C400" i="2"/>
  <c r="G403" i="2"/>
  <c r="C405" i="2"/>
  <c r="G408" i="2"/>
  <c r="C410" i="2"/>
  <c r="G413" i="2"/>
  <c r="C415" i="2"/>
  <c r="G418" i="2"/>
  <c r="C420" i="2"/>
  <c r="G423" i="2"/>
  <c r="C425" i="2"/>
  <c r="G428" i="2"/>
  <c r="C430" i="2"/>
  <c r="G433" i="2"/>
  <c r="C435" i="2"/>
  <c r="G438" i="2"/>
  <c r="C440" i="2"/>
  <c r="G443" i="2"/>
  <c r="C445" i="2"/>
  <c r="G448" i="2"/>
  <c r="C450" i="2"/>
  <c r="B57" i="2"/>
  <c r="N90" i="2"/>
  <c r="I143" i="2"/>
  <c r="F152" i="2"/>
  <c r="H160" i="2"/>
  <c r="H167" i="2"/>
  <c r="B174" i="2"/>
  <c r="F186" i="2"/>
  <c r="H191" i="2"/>
  <c r="N201" i="2"/>
  <c r="N206" i="2"/>
  <c r="I211" i="2"/>
  <c r="M220" i="2"/>
  <c r="N225" i="2"/>
  <c r="B230" i="2"/>
  <c r="G234" i="2"/>
  <c r="I238" i="2"/>
  <c r="M242" i="2"/>
  <c r="B247" i="2"/>
  <c r="C251" i="2"/>
  <c r="I268" i="2"/>
  <c r="N271" i="2"/>
  <c r="H283" i="2"/>
  <c r="H286" i="2"/>
  <c r="B289" i="2"/>
  <c r="N291" i="2"/>
  <c r="F294" i="2"/>
  <c r="F299" i="2"/>
  <c r="B302" i="2"/>
  <c r="N308" i="2"/>
  <c r="B311" i="2"/>
  <c r="F313" i="2"/>
  <c r="I315" i="2"/>
  <c r="B320" i="2"/>
  <c r="M321" i="2"/>
  <c r="G325" i="2"/>
  <c r="N328" i="2"/>
  <c r="G332" i="2"/>
  <c r="N335" i="2"/>
  <c r="G339" i="2"/>
  <c r="B343" i="2"/>
  <c r="H346" i="2"/>
  <c r="B350" i="2"/>
  <c r="H353" i="2"/>
  <c r="M356" i="2"/>
  <c r="H358" i="2"/>
  <c r="M361" i="2"/>
  <c r="H363" i="2"/>
  <c r="M366" i="2"/>
  <c r="H368" i="2"/>
  <c r="M371" i="2"/>
  <c r="H373" i="2"/>
  <c r="M376" i="2"/>
  <c r="H378" i="2"/>
  <c r="M381" i="2"/>
  <c r="H383" i="2"/>
  <c r="M386" i="2"/>
  <c r="H388" i="2"/>
  <c r="M391" i="2"/>
  <c r="H393" i="2"/>
  <c r="M396" i="2"/>
  <c r="H398" i="2"/>
  <c r="M401" i="2"/>
  <c r="H403" i="2"/>
  <c r="M406" i="2"/>
  <c r="H408" i="2"/>
  <c r="M411" i="2"/>
  <c r="H413" i="2"/>
  <c r="M416" i="2"/>
  <c r="H418" i="2"/>
  <c r="M421" i="2"/>
  <c r="H423" i="2"/>
  <c r="M426" i="2"/>
  <c r="H428" i="2"/>
  <c r="M431" i="2"/>
  <c r="H433" i="2"/>
  <c r="M436" i="2"/>
  <c r="H438" i="2"/>
  <c r="M441" i="2"/>
  <c r="G57" i="2"/>
  <c r="C91" i="2"/>
  <c r="F134" i="2"/>
  <c r="M143" i="2"/>
  <c r="H152" i="2"/>
  <c r="M174" i="2"/>
  <c r="G181" i="2"/>
  <c r="H186" i="2"/>
  <c r="F202" i="2"/>
  <c r="F207" i="2"/>
  <c r="G216" i="2"/>
  <c r="B226" i="2"/>
  <c r="I234" i="2"/>
  <c r="C247" i="2"/>
  <c r="N254" i="2"/>
  <c r="G258" i="2"/>
  <c r="N261" i="2"/>
  <c r="G265" i="2"/>
  <c r="B272" i="2"/>
  <c r="M274" i="2"/>
  <c r="I63" i="2"/>
  <c r="M96" i="2"/>
  <c r="B144" i="2"/>
  <c r="N153" i="2"/>
  <c r="M160" i="2"/>
  <c r="M167" i="2"/>
  <c r="N174" i="2"/>
  <c r="H181" i="2"/>
  <c r="B187" i="2"/>
  <c r="M191" i="2"/>
  <c r="C197" i="2"/>
  <c r="H202" i="2"/>
  <c r="H207" i="2"/>
  <c r="N211" i="2"/>
  <c r="H216" i="2"/>
  <c r="I221" i="2"/>
  <c r="C226" i="2"/>
  <c r="F230" i="2"/>
  <c r="F243" i="2"/>
  <c r="G247" i="2"/>
  <c r="G251" i="2"/>
  <c r="C255" i="2"/>
  <c r="I258" i="2"/>
  <c r="C262" i="2"/>
  <c r="B269" i="2"/>
  <c r="C272" i="2"/>
  <c r="N274" i="2"/>
  <c r="C278" i="2"/>
  <c r="N280" i="2"/>
  <c r="H289" i="2"/>
  <c r="C292" i="2"/>
  <c r="M294" i="2"/>
  <c r="F297" i="2"/>
  <c r="M299" i="2"/>
  <c r="F304" i="2"/>
  <c r="B307" i="2"/>
  <c r="C309" i="2"/>
  <c r="G311" i="2"/>
  <c r="C318" i="2"/>
  <c r="B322" i="2"/>
  <c r="M323" i="2"/>
  <c r="I325" i="2"/>
  <c r="F327" i="2"/>
  <c r="C329" i="2"/>
  <c r="M330" i="2"/>
  <c r="I332" i="2"/>
  <c r="F334" i="2"/>
  <c r="C336" i="2"/>
  <c r="M337" i="2"/>
  <c r="G341" i="2"/>
  <c r="N344" i="2"/>
  <c r="G348" i="2"/>
  <c r="N351" i="2"/>
  <c r="F355" i="2"/>
  <c r="B357" i="2"/>
  <c r="F360" i="2"/>
  <c r="B362" i="2"/>
  <c r="F365" i="2"/>
  <c r="B367" i="2"/>
  <c r="F370" i="2"/>
  <c r="B372" i="2"/>
  <c r="F375" i="2"/>
  <c r="B377" i="2"/>
  <c r="F380" i="2"/>
  <c r="B382" i="2"/>
  <c r="F385" i="2"/>
  <c r="B387" i="2"/>
  <c r="F390" i="2"/>
  <c r="B392" i="2"/>
  <c r="F395" i="2"/>
  <c r="B397" i="2"/>
  <c r="F400" i="2"/>
  <c r="B402" i="2"/>
  <c r="F405" i="2"/>
  <c r="B407" i="2"/>
  <c r="F410" i="2"/>
  <c r="B412" i="2"/>
  <c r="F415" i="2"/>
  <c r="B417" i="2"/>
  <c r="F420" i="2"/>
  <c r="B422" i="2"/>
  <c r="F425" i="2"/>
  <c r="G7" i="2"/>
  <c r="C97" i="2"/>
  <c r="G135" i="2"/>
  <c r="G161" i="2"/>
  <c r="I168" i="2"/>
  <c r="N191" i="2"/>
  <c r="G212" i="2"/>
  <c r="M216" i="2"/>
  <c r="M234" i="2"/>
  <c r="I239" i="2"/>
  <c r="C160" i="3"/>
  <c r="C8" i="2"/>
  <c r="H64" i="2"/>
  <c r="G97" i="2"/>
  <c r="I135" i="2"/>
  <c r="I145" i="2"/>
  <c r="M168" i="2"/>
  <c r="M181" i="2"/>
  <c r="F187" i="2"/>
  <c r="M202" i="2"/>
  <c r="N207" i="2"/>
  <c r="H212" i="2"/>
  <c r="I217" i="2"/>
  <c r="G226" i="2"/>
  <c r="N230" i="2"/>
  <c r="I243" i="2"/>
  <c r="F255" i="2"/>
  <c r="N258" i="2"/>
  <c r="G262" i="2"/>
  <c r="N265" i="2"/>
  <c r="F269" i="2"/>
  <c r="H272" i="2"/>
  <c r="G275" i="2"/>
  <c r="N286" i="2"/>
  <c r="F292" i="2"/>
  <c r="C295" i="2"/>
  <c r="H297" i="2"/>
  <c r="B300" i="2"/>
  <c r="F302" i="2"/>
  <c r="M304" i="2"/>
  <c r="I311" i="2"/>
  <c r="M313" i="2"/>
  <c r="N315" i="2"/>
  <c r="F320" i="2"/>
  <c r="B324" i="2"/>
  <c r="H327" i="2"/>
  <c r="B331" i="2"/>
  <c r="H334" i="2"/>
  <c r="F336" i="2"/>
  <c r="C338" i="2"/>
  <c r="M339" i="2"/>
  <c r="I341" i="2"/>
  <c r="F343" i="2"/>
  <c r="C345" i="2"/>
  <c r="M346" i="2"/>
  <c r="I348" i="2"/>
  <c r="F350" i="2"/>
  <c r="C352" i="2"/>
  <c r="M353" i="2"/>
  <c r="H355" i="2"/>
  <c r="M358" i="2"/>
  <c r="H360" i="2"/>
  <c r="M363" i="2"/>
  <c r="H365" i="2"/>
  <c r="M368" i="2"/>
  <c r="H370" i="2"/>
  <c r="M373" i="2"/>
  <c r="H375" i="2"/>
  <c r="M378" i="2"/>
  <c r="H380" i="2"/>
  <c r="M383" i="2"/>
  <c r="H385" i="2"/>
  <c r="M388" i="2"/>
  <c r="H390" i="2"/>
  <c r="M393" i="2"/>
  <c r="H395" i="2"/>
  <c r="M398" i="2"/>
  <c r="H400" i="2"/>
  <c r="M403" i="2"/>
  <c r="H405" i="2"/>
  <c r="M408" i="2"/>
  <c r="H410" i="2"/>
  <c r="M413" i="2"/>
  <c r="H415" i="2"/>
  <c r="M418" i="2"/>
  <c r="H420" i="2"/>
  <c r="M423" i="2"/>
  <c r="H425" i="2"/>
  <c r="M428" i="2"/>
  <c r="H430" i="2"/>
  <c r="D166" i="3"/>
  <c r="I64" i="2"/>
  <c r="I97" i="2"/>
  <c r="M145" i="2"/>
  <c r="N154" i="2"/>
  <c r="B169" i="2"/>
  <c r="M175" i="2"/>
  <c r="B182" i="2"/>
  <c r="H187" i="2"/>
  <c r="B203" i="2"/>
  <c r="C208" i="2"/>
  <c r="M212" i="2"/>
  <c r="N221" i="2"/>
  <c r="I226" i="2"/>
  <c r="B231" i="2"/>
  <c r="M235" i="2"/>
  <c r="N247" i="2"/>
  <c r="G255" i="2"/>
  <c r="B259" i="2"/>
  <c r="H262" i="2"/>
  <c r="B266" i="2"/>
  <c r="G269" i="2"/>
  <c r="I275" i="2"/>
  <c r="F278" i="2"/>
  <c r="G281" i="2"/>
  <c r="F284" i="2"/>
  <c r="B287" i="2"/>
  <c r="M289" i="2"/>
  <c r="G292" i="2"/>
  <c r="I297" i="2"/>
  <c r="G302" i="2"/>
  <c r="N304" i="2"/>
  <c r="F309" i="2"/>
  <c r="N313" i="2"/>
  <c r="B316" i="2"/>
  <c r="F318" i="2"/>
  <c r="G320" i="2"/>
  <c r="C324" i="2"/>
  <c r="M325" i="2"/>
  <c r="I327" i="2"/>
  <c r="F329" i="2"/>
  <c r="C331" i="2"/>
  <c r="M332" i="2"/>
  <c r="G336" i="2"/>
  <c r="N339" i="2"/>
  <c r="G343" i="2"/>
  <c r="N346" i="2"/>
  <c r="G350" i="2"/>
  <c r="N353" i="2"/>
  <c r="I355" i="2"/>
  <c r="N358" i="2"/>
  <c r="I360" i="2"/>
  <c r="N363" i="2"/>
  <c r="I365" i="2"/>
  <c r="N368" i="2"/>
  <c r="I370" i="2"/>
  <c r="N373" i="2"/>
  <c r="I375" i="2"/>
  <c r="N378" i="2"/>
  <c r="I380" i="2"/>
  <c r="N383" i="2"/>
  <c r="I385" i="2"/>
  <c r="D204" i="3"/>
  <c r="N24" i="2"/>
  <c r="C102" i="2"/>
  <c r="G146" i="2"/>
  <c r="C155" i="2"/>
  <c r="H162" i="2"/>
  <c r="B176" i="2"/>
  <c r="N187" i="2"/>
  <c r="F198" i="2"/>
  <c r="G222" i="2"/>
  <c r="F231" i="2"/>
  <c r="N235" i="2"/>
  <c r="N239" i="2"/>
  <c r="C244" i="2"/>
  <c r="B248" i="2"/>
  <c r="B252" i="2"/>
  <c r="H269" i="2"/>
  <c r="M272" i="2"/>
  <c r="G278" i="2"/>
  <c r="I281" i="2"/>
  <c r="G284" i="2"/>
  <c r="C287" i="2"/>
  <c r="B290" i="2"/>
  <c r="H292" i="2"/>
  <c r="G295" i="2"/>
  <c r="F300" i="2"/>
  <c r="H302" i="2"/>
  <c r="B305" i="2"/>
  <c r="F307" i="2"/>
  <c r="G309" i="2"/>
  <c r="M311" i="2"/>
  <c r="B314" i="2"/>
  <c r="C316" i="2"/>
  <c r="H318" i="2"/>
  <c r="H320" i="2"/>
  <c r="F322" i="2"/>
  <c r="N325" i="2"/>
  <c r="G329" i="2"/>
  <c r="B333" i="2"/>
  <c r="H336" i="2"/>
  <c r="B340" i="2"/>
  <c r="H343" i="2"/>
  <c r="B347" i="2"/>
  <c r="H350" i="2"/>
  <c r="B354" i="2"/>
  <c r="F357" i="2"/>
  <c r="B359" i="2"/>
  <c r="F362" i="2"/>
  <c r="B364" i="2"/>
  <c r="F367" i="2"/>
  <c r="B369" i="2"/>
  <c r="F372" i="2"/>
  <c r="B374" i="2"/>
  <c r="F377" i="2"/>
  <c r="B379" i="2"/>
  <c r="F382" i="2"/>
  <c r="B384" i="2"/>
  <c r="F387" i="2"/>
  <c r="B389" i="2"/>
  <c r="F392" i="2"/>
  <c r="B394" i="2"/>
  <c r="F397" i="2"/>
  <c r="B399" i="2"/>
  <c r="F402" i="2"/>
  <c r="B404" i="2"/>
  <c r="F407" i="2"/>
  <c r="B409" i="2"/>
  <c r="F412" i="2"/>
  <c r="B414" i="2"/>
  <c r="F417" i="2"/>
  <c r="B419" i="2"/>
  <c r="F422" i="2"/>
  <c r="B424" i="2"/>
  <c r="F427" i="2"/>
  <c r="B429" i="2"/>
  <c r="C421" i="3"/>
  <c r="F28" i="2"/>
  <c r="N71" i="2"/>
  <c r="G102" i="2"/>
  <c r="N124" i="2"/>
  <c r="H137" i="2"/>
  <c r="I146" i="2"/>
  <c r="C163" i="2"/>
  <c r="M176" i="2"/>
  <c r="F188" i="2"/>
  <c r="F193" i="2"/>
  <c r="H198" i="2"/>
  <c r="H208" i="2"/>
  <c r="F213" i="2"/>
  <c r="N217" i="2"/>
  <c r="I222" i="2"/>
  <c r="M226" i="2"/>
  <c r="B236" i="2"/>
  <c r="C240" i="2"/>
  <c r="F248" i="2"/>
  <c r="I252" i="2"/>
  <c r="I269" i="2"/>
  <c r="N272" i="2"/>
  <c r="M275" i="2"/>
  <c r="H278" i="2"/>
  <c r="I284" i="2"/>
  <c r="I292" i="2"/>
  <c r="I295" i="2"/>
  <c r="G300" i="2"/>
  <c r="I302" i="2"/>
  <c r="G307" i="2"/>
  <c r="B312" i="2"/>
  <c r="C314" i="2"/>
  <c r="G316" i="2"/>
  <c r="I320" i="2"/>
  <c r="G322" i="2"/>
  <c r="B326" i="2"/>
  <c r="H329" i="2"/>
  <c r="F331" i="2"/>
  <c r="C333" i="2"/>
  <c r="M334" i="2"/>
  <c r="I336" i="2"/>
  <c r="C435" i="3"/>
  <c r="H28" i="2"/>
  <c r="C72" i="2"/>
  <c r="F103" i="2"/>
  <c r="C125" i="2"/>
  <c r="C138" i="2"/>
  <c r="B156" i="2"/>
  <c r="H170" i="2"/>
  <c r="B177" i="2"/>
  <c r="G188" i="2"/>
  <c r="H193" i="2"/>
  <c r="G213" i="2"/>
  <c r="C218" i="2"/>
  <c r="H227" i="2"/>
  <c r="M231" i="2"/>
  <c r="F244" i="2"/>
  <c r="B273" i="2"/>
  <c r="B276" i="2"/>
  <c r="B279" i="2"/>
  <c r="F287" i="2"/>
  <c r="B293" i="2"/>
  <c r="H300" i="2"/>
  <c r="F305" i="2"/>
  <c r="H307" i="2"/>
  <c r="M309" i="2"/>
  <c r="C312" i="2"/>
  <c r="H316" i="2"/>
  <c r="H322" i="2"/>
  <c r="F324" i="2"/>
  <c r="C326" i="2"/>
  <c r="M327" i="2"/>
  <c r="G331" i="2"/>
  <c r="N334" i="2"/>
  <c r="G338" i="2"/>
  <c r="N341" i="2"/>
  <c r="G345" i="2"/>
  <c r="N348" i="2"/>
  <c r="G352" i="2"/>
  <c r="M355" i="2"/>
  <c r="H357" i="2"/>
  <c r="M360" i="2"/>
  <c r="H362" i="2"/>
  <c r="M365" i="2"/>
  <c r="H367" i="2"/>
  <c r="M370" i="2"/>
  <c r="H372" i="2"/>
  <c r="M375" i="2"/>
  <c r="H377" i="2"/>
  <c r="M380" i="2"/>
  <c r="H382" i="2"/>
  <c r="M385" i="2"/>
  <c r="H387" i="2"/>
  <c r="M390" i="2"/>
  <c r="H392" i="2"/>
  <c r="M395" i="2"/>
  <c r="H397" i="2"/>
  <c r="M400" i="2"/>
  <c r="H402" i="2"/>
  <c r="M405" i="2"/>
  <c r="D469" i="3"/>
  <c r="F36" i="2"/>
  <c r="F128" i="2"/>
  <c r="G138" i="2"/>
  <c r="G148" i="2"/>
  <c r="M156" i="2"/>
  <c r="H163" i="2"/>
  <c r="M170" i="2"/>
  <c r="B189" i="2"/>
  <c r="M193" i="2"/>
  <c r="N198" i="2"/>
  <c r="G209" i="2"/>
  <c r="C214" i="2"/>
  <c r="G218" i="2"/>
  <c r="B228" i="2"/>
  <c r="F232" i="2"/>
  <c r="H236" i="2"/>
  <c r="C245" i="2"/>
  <c r="C249" i="2"/>
  <c r="N252" i="2"/>
  <c r="H256" i="2"/>
  <c r="B260" i="2"/>
  <c r="H263" i="2"/>
  <c r="B267" i="2"/>
  <c r="F276" i="2"/>
  <c r="N281" i="2"/>
  <c r="C285" i="2"/>
  <c r="M287" i="2"/>
  <c r="G290" i="2"/>
  <c r="M295" i="2"/>
  <c r="F298" i="2"/>
  <c r="H305" i="2"/>
  <c r="B310" i="2"/>
  <c r="F314" i="2"/>
  <c r="N318" i="2"/>
  <c r="M320" i="2"/>
  <c r="H324" i="2"/>
  <c r="F326" i="2"/>
  <c r="C328" i="2"/>
  <c r="M329" i="2"/>
  <c r="I331" i="2"/>
  <c r="F333" i="2"/>
  <c r="C335" i="2"/>
  <c r="M336" i="2"/>
  <c r="I338" i="2"/>
  <c r="F340" i="2"/>
  <c r="C342" i="2"/>
  <c r="M343" i="2"/>
  <c r="I345" i="2"/>
  <c r="F347" i="2"/>
  <c r="C349" i="2"/>
  <c r="M350" i="2"/>
  <c r="I352" i="2"/>
  <c r="F354" i="2"/>
  <c r="B356" i="2"/>
  <c r="F359" i="2"/>
  <c r="B361" i="2"/>
  <c r="F364" i="2"/>
  <c r="B366" i="2"/>
  <c r="F369" i="2"/>
  <c r="B371" i="2"/>
  <c r="F374" i="2"/>
  <c r="B376" i="2"/>
  <c r="N78" i="2"/>
  <c r="F129" i="2"/>
  <c r="C140" i="2"/>
  <c r="M148" i="2"/>
  <c r="F157" i="2"/>
  <c r="B165" i="2"/>
  <c r="I171" i="2"/>
  <c r="F178" i="2"/>
  <c r="B184" i="2"/>
  <c r="H189" i="2"/>
  <c r="I194" i="2"/>
  <c r="M204" i="2"/>
  <c r="G214" i="2"/>
  <c r="G241" i="2"/>
  <c r="G249" i="2"/>
  <c r="M256" i="2"/>
  <c r="F260" i="2"/>
  <c r="N263" i="2"/>
  <c r="G267" i="2"/>
  <c r="I270" i="2"/>
  <c r="H276" i="2"/>
  <c r="H279" i="2"/>
  <c r="H282" i="2"/>
  <c r="C288" i="2"/>
  <c r="H293" i="2"/>
  <c r="B296" i="2"/>
  <c r="M300" i="2"/>
  <c r="F303" i="2"/>
  <c r="C308" i="2"/>
  <c r="F310" i="2"/>
  <c r="G312" i="2"/>
  <c r="B317" i="2"/>
  <c r="C319" i="2"/>
  <c r="B321" i="2"/>
  <c r="B323" i="2"/>
  <c r="H326" i="2"/>
  <c r="B330" i="2"/>
  <c r="H333" i="2"/>
  <c r="B337" i="2"/>
  <c r="H340" i="2"/>
  <c r="C79" i="2"/>
  <c r="H108" i="2"/>
  <c r="G129" i="2"/>
  <c r="B149" i="2"/>
  <c r="C165" i="2"/>
  <c r="G178" i="2"/>
  <c r="F184" i="2"/>
  <c r="N194" i="2"/>
  <c r="B205" i="2"/>
  <c r="N209" i="2"/>
  <c r="H214" i="2"/>
  <c r="I219" i="2"/>
  <c r="C224" i="2"/>
  <c r="G228" i="2"/>
  <c r="M232" i="2"/>
  <c r="F237" i="2"/>
  <c r="H241" i="2"/>
  <c r="G245" i="2"/>
  <c r="I249" i="2"/>
  <c r="G253" i="2"/>
  <c r="B257" i="2"/>
  <c r="I260" i="2"/>
  <c r="C264" i="2"/>
  <c r="I267" i="2"/>
  <c r="I276" i="2"/>
  <c r="I282" i="2"/>
  <c r="F285" i="2"/>
  <c r="C296" i="2"/>
  <c r="N300" i="2"/>
  <c r="H303" i="2"/>
  <c r="G310" i="2"/>
  <c r="H312" i="2"/>
  <c r="M314" i="2"/>
  <c r="C317" i="2"/>
  <c r="C321" i="2"/>
  <c r="C323" i="2"/>
  <c r="M324" i="2"/>
  <c r="I326" i="2"/>
  <c r="F328" i="2"/>
  <c r="C330" i="2"/>
  <c r="M331" i="2"/>
  <c r="I333" i="2"/>
  <c r="F335" i="2"/>
  <c r="C337" i="2"/>
  <c r="M338" i="2"/>
  <c r="I340" i="2"/>
  <c r="N46" i="2"/>
  <c r="N111" i="2"/>
  <c r="H140" i="2"/>
  <c r="M149" i="2"/>
  <c r="M171" i="2"/>
  <c r="M178" i="2"/>
  <c r="I184" i="2"/>
  <c r="F195" i="2"/>
  <c r="F200" i="2"/>
  <c r="H205" i="2"/>
  <c r="C210" i="2"/>
  <c r="M214" i="2"/>
  <c r="I228" i="2"/>
  <c r="N232" i="2"/>
  <c r="I241" i="2"/>
  <c r="H253" i="2"/>
  <c r="C257" i="2"/>
  <c r="N270" i="2"/>
  <c r="N273" i="2"/>
  <c r="M279" i="2"/>
  <c r="G285" i="2"/>
  <c r="G288" i="2"/>
  <c r="M290" i="2"/>
  <c r="H296" i="2"/>
  <c r="M298" i="2"/>
  <c r="B301" i="2"/>
  <c r="M305" i="2"/>
  <c r="H310" i="2"/>
  <c r="I312" i="2"/>
  <c r="N314" i="2"/>
  <c r="F321" i="2"/>
  <c r="N324" i="2"/>
  <c r="G328" i="2"/>
  <c r="I78" i="2"/>
  <c r="I170" i="2"/>
  <c r="C273" i="2"/>
  <c r="M281" i="2"/>
  <c r="I289" i="2"/>
  <c r="N303" i="2"/>
  <c r="B328" i="2"/>
  <c r="N336" i="2"/>
  <c r="H347" i="2"/>
  <c r="I350" i="2"/>
  <c r="C359" i="2"/>
  <c r="I361" i="2"/>
  <c r="I364" i="2"/>
  <c r="G367" i="2"/>
  <c r="N372" i="2"/>
  <c r="B381" i="2"/>
  <c r="C386" i="2"/>
  <c r="N397" i="2"/>
  <c r="N84" i="2"/>
  <c r="G171" i="2"/>
  <c r="F209" i="2"/>
  <c r="M237" i="2"/>
  <c r="B282" i="2"/>
  <c r="F290" i="2"/>
  <c r="G297" i="2"/>
  <c r="F317" i="2"/>
  <c r="H332" i="2"/>
  <c r="M340" i="2"/>
  <c r="I347" i="2"/>
  <c r="F353" i="2"/>
  <c r="F356" i="2"/>
  <c r="I367" i="2"/>
  <c r="B370" i="2"/>
  <c r="B373" i="2"/>
  <c r="N375" i="2"/>
  <c r="C381" i="2"/>
  <c r="F383" i="2"/>
  <c r="F388" i="2"/>
  <c r="B391" i="2"/>
  <c r="B398" i="2"/>
  <c r="G400" i="2"/>
  <c r="M402" i="2"/>
  <c r="B405" i="2"/>
  <c r="I407" i="2"/>
  <c r="N411" i="2"/>
  <c r="F416" i="2"/>
  <c r="I418" i="2"/>
  <c r="N420" i="2"/>
  <c r="B423" i="2"/>
  <c r="H427" i="2"/>
  <c r="H429" i="2"/>
  <c r="G431" i="2"/>
  <c r="F433" i="2"/>
  <c r="F435" i="2"/>
  <c r="B439" i="2"/>
  <c r="M440" i="2"/>
  <c r="G444" i="2"/>
  <c r="N447" i="2"/>
  <c r="G451" i="2"/>
  <c r="C453" i="2"/>
  <c r="G456" i="2"/>
  <c r="C458" i="2"/>
  <c r="G461" i="2"/>
  <c r="C463" i="2"/>
  <c r="G466" i="2"/>
  <c r="C468" i="2"/>
  <c r="G471" i="2"/>
  <c r="C473" i="2"/>
  <c r="G476" i="2"/>
  <c r="C478" i="2"/>
  <c r="G481" i="2"/>
  <c r="C483" i="2"/>
  <c r="G486" i="2"/>
  <c r="C488" i="2"/>
  <c r="G491" i="2"/>
  <c r="C493" i="2"/>
  <c r="G496" i="2"/>
  <c r="C498" i="2"/>
  <c r="G501" i="2"/>
  <c r="F378" i="2"/>
  <c r="C398" i="2"/>
  <c r="I400" i="2"/>
  <c r="N402" i="2"/>
  <c r="C412" i="2"/>
  <c r="G416" i="2"/>
  <c r="B421" i="2"/>
  <c r="G425" i="2"/>
  <c r="I427" i="2"/>
  <c r="I429" i="2"/>
  <c r="I433" i="2"/>
  <c r="G435" i="2"/>
  <c r="N440" i="2"/>
  <c r="H444" i="2"/>
  <c r="B448" i="2"/>
  <c r="H451" i="2"/>
  <c r="H456" i="2"/>
  <c r="H461" i="2"/>
  <c r="H466" i="2"/>
  <c r="M469" i="2"/>
  <c r="M474" i="2"/>
  <c r="M479" i="2"/>
  <c r="M484" i="2"/>
  <c r="H486" i="2"/>
  <c r="M489" i="2"/>
  <c r="H491" i="2"/>
  <c r="M494" i="2"/>
  <c r="G103" i="2"/>
  <c r="I209" i="2"/>
  <c r="G240" i="2"/>
  <c r="M259" i="2"/>
  <c r="C274" i="2"/>
  <c r="M282" i="2"/>
  <c r="I290" i="2"/>
  <c r="G304" i="2"/>
  <c r="C311" i="2"/>
  <c r="G317" i="2"/>
  <c r="F323" i="2"/>
  <c r="H328" i="2"/>
  <c r="N340" i="2"/>
  <c r="F344" i="2"/>
  <c r="N350" i="2"/>
  <c r="I353" i="2"/>
  <c r="G356" i="2"/>
  <c r="G359" i="2"/>
  <c r="N361" i="2"/>
  <c r="C373" i="2"/>
  <c r="C376" i="2"/>
  <c r="I383" i="2"/>
  <c r="I388" i="2"/>
  <c r="C391" i="2"/>
  <c r="N395" i="2"/>
  <c r="F414" i="2"/>
  <c r="C423" i="2"/>
  <c r="H431" i="2"/>
  <c r="C439" i="2"/>
  <c r="M454" i="2"/>
  <c r="M459" i="2"/>
  <c r="M464" i="2"/>
  <c r="H471" i="2"/>
  <c r="H476" i="2"/>
  <c r="H481" i="2"/>
  <c r="H107" i="2"/>
  <c r="B241" i="2"/>
  <c r="B283" i="2"/>
  <c r="H298" i="2"/>
  <c r="G305" i="2"/>
  <c r="H311" i="2"/>
  <c r="G323" i="2"/>
  <c r="I328" i="2"/>
  <c r="F337" i="2"/>
  <c r="F341" i="2"/>
  <c r="G344" i="2"/>
  <c r="B351" i="2"/>
  <c r="H356" i="2"/>
  <c r="H359" i="2"/>
  <c r="C362" i="2"/>
  <c r="M364" i="2"/>
  <c r="M367" i="2"/>
  <c r="G370" i="2"/>
  <c r="I378" i="2"/>
  <c r="F386" i="2"/>
  <c r="F393" i="2"/>
  <c r="B396" i="2"/>
  <c r="B403" i="2"/>
  <c r="G405" i="2"/>
  <c r="M409" i="2"/>
  <c r="G414" i="2"/>
  <c r="H416" i="2"/>
  <c r="N418" i="2"/>
  <c r="C421" i="2"/>
  <c r="I425" i="2"/>
  <c r="I431" i="2"/>
  <c r="H435" i="2"/>
  <c r="F437" i="2"/>
  <c r="B441" i="2"/>
  <c r="M442" i="2"/>
  <c r="I444" i="2"/>
  <c r="F446" i="2"/>
  <c r="C448" i="2"/>
  <c r="M449" i="2"/>
  <c r="I451" i="2"/>
  <c r="N454" i="2"/>
  <c r="I456" i="2"/>
  <c r="N459" i="2"/>
  <c r="I461" i="2"/>
  <c r="N464" i="2"/>
  <c r="I466" i="2"/>
  <c r="N469" i="2"/>
  <c r="I471" i="2"/>
  <c r="N474" i="2"/>
  <c r="I476" i="2"/>
  <c r="N479" i="2"/>
  <c r="I481" i="2"/>
  <c r="N484" i="2"/>
  <c r="I486" i="2"/>
  <c r="N489" i="2"/>
  <c r="I491" i="2"/>
  <c r="N494" i="2"/>
  <c r="I496" i="2"/>
  <c r="N499" i="2"/>
  <c r="I501" i="2"/>
  <c r="F488" i="2"/>
  <c r="B495" i="2"/>
  <c r="F498" i="2"/>
  <c r="B345" i="2"/>
  <c r="B368" i="2"/>
  <c r="F376" i="2"/>
  <c r="G381" i="2"/>
  <c r="F391" i="2"/>
  <c r="F398" i="2"/>
  <c r="H412" i="2"/>
  <c r="F423" i="2"/>
  <c r="M427" i="2"/>
  <c r="M433" i="2"/>
  <c r="H437" i="2"/>
  <c r="G453" i="2"/>
  <c r="M177" i="2"/>
  <c r="I213" i="2"/>
  <c r="G274" i="2"/>
  <c r="F291" i="2"/>
  <c r="N298" i="2"/>
  <c r="I305" i="2"/>
  <c r="G333" i="2"/>
  <c r="G337" i="2"/>
  <c r="H341" i="2"/>
  <c r="M344" i="2"/>
  <c r="M347" i="2"/>
  <c r="C351" i="2"/>
  <c r="C354" i="2"/>
  <c r="I356" i="2"/>
  <c r="I359" i="2"/>
  <c r="G362" i="2"/>
  <c r="N364" i="2"/>
  <c r="N367" i="2"/>
  <c r="F381" i="2"/>
  <c r="C384" i="2"/>
  <c r="G386" i="2"/>
  <c r="N388" i="2"/>
  <c r="I393" i="2"/>
  <c r="C396" i="2"/>
  <c r="N400" i="2"/>
  <c r="C403" i="2"/>
  <c r="I405" i="2"/>
  <c r="M407" i="2"/>
  <c r="N409" i="2"/>
  <c r="G412" i="2"/>
  <c r="H414" i="2"/>
  <c r="I416" i="2"/>
  <c r="C419" i="2"/>
  <c r="I435" i="2"/>
  <c r="G437" i="2"/>
  <c r="C441" i="2"/>
  <c r="N442" i="2"/>
  <c r="G446" i="2"/>
  <c r="N449" i="2"/>
  <c r="F453" i="2"/>
  <c r="B455" i="2"/>
  <c r="F458" i="2"/>
  <c r="B460" i="2"/>
  <c r="F463" i="2"/>
  <c r="B465" i="2"/>
  <c r="F468" i="2"/>
  <c r="B470" i="2"/>
  <c r="F473" i="2"/>
  <c r="B475" i="2"/>
  <c r="F478" i="2"/>
  <c r="B480" i="2"/>
  <c r="F483" i="2"/>
  <c r="B485" i="2"/>
  <c r="B490" i="2"/>
  <c r="F493" i="2"/>
  <c r="B500" i="2"/>
  <c r="B348" i="2"/>
  <c r="B365" i="2"/>
  <c r="F373" i="2"/>
  <c r="C379" i="2"/>
  <c r="H386" i="2"/>
  <c r="B401" i="2"/>
  <c r="N407" i="2"/>
  <c r="I414" i="2"/>
  <c r="M425" i="2"/>
  <c r="N431" i="2"/>
  <c r="F439" i="2"/>
  <c r="B443" i="2"/>
  <c r="B450" i="2"/>
  <c r="F179" i="2"/>
  <c r="G243" i="2"/>
  <c r="F262" i="2"/>
  <c r="B275" i="2"/>
  <c r="I283" i="2"/>
  <c r="G291" i="2"/>
  <c r="B299" i="2"/>
  <c r="N305" i="2"/>
  <c r="F312" i="2"/>
  <c r="M318" i="2"/>
  <c r="N323" i="2"/>
  <c r="B329" i="2"/>
  <c r="M341" i="2"/>
  <c r="I362" i="2"/>
  <c r="N370" i="2"/>
  <c r="C389" i="2"/>
  <c r="B410" i="2"/>
  <c r="M429" i="2"/>
  <c r="H446" i="2"/>
  <c r="F263" i="2"/>
  <c r="B292" i="2"/>
  <c r="C299" i="2"/>
  <c r="B306" i="2"/>
  <c r="B319" i="2"/>
  <c r="G324" i="2"/>
  <c r="B338" i="2"/>
  <c r="B342" i="2"/>
  <c r="F345" i="2"/>
  <c r="F348" i="2"/>
  <c r="F351" i="2"/>
  <c r="G354" i="2"/>
  <c r="N356" i="2"/>
  <c r="C368" i="2"/>
  <c r="C371" i="2"/>
  <c r="I373" i="2"/>
  <c r="G376" i="2"/>
  <c r="H381" i="2"/>
  <c r="F384" i="2"/>
  <c r="I386" i="2"/>
  <c r="G391" i="2"/>
  <c r="N393" i="2"/>
  <c r="I398" i="2"/>
  <c r="C401" i="2"/>
  <c r="N405" i="2"/>
  <c r="B408" i="2"/>
  <c r="I412" i="2"/>
  <c r="N416" i="2"/>
  <c r="F421" i="2"/>
  <c r="I423" i="2"/>
  <c r="N425" i="2"/>
  <c r="N427" i="2"/>
  <c r="N429" i="2"/>
  <c r="B432" i="2"/>
  <c r="N433" i="2"/>
  <c r="I437" i="2"/>
  <c r="G439" i="2"/>
  <c r="C443" i="2"/>
  <c r="M444" i="2"/>
  <c r="I446" i="2"/>
  <c r="F448" i="2"/>
  <c r="M451" i="2"/>
  <c r="H453" i="2"/>
  <c r="M456" i="2"/>
  <c r="H458" i="2"/>
  <c r="M461" i="2"/>
  <c r="H463" i="2"/>
  <c r="M466" i="2"/>
  <c r="H468" i="2"/>
  <c r="M471" i="2"/>
  <c r="H473" i="2"/>
  <c r="M476" i="2"/>
  <c r="H478" i="2"/>
  <c r="M481" i="2"/>
  <c r="H483" i="2"/>
  <c r="M486" i="2"/>
  <c r="H488" i="2"/>
  <c r="M491" i="2"/>
  <c r="H493" i="2"/>
  <c r="M496" i="2"/>
  <c r="H498" i="2"/>
  <c r="M501" i="2"/>
  <c r="C357" i="2"/>
  <c r="C441" i="3"/>
  <c r="F131" i="2"/>
  <c r="M183" i="2"/>
  <c r="G276" i="2"/>
  <c r="N284" i="2"/>
  <c r="G299" i="2"/>
  <c r="C306" i="2"/>
  <c r="F319" i="2"/>
  <c r="M333" i="2"/>
  <c r="F338" i="2"/>
  <c r="H345" i="2"/>
  <c r="H348" i="2"/>
  <c r="G351" i="2"/>
  <c r="H354" i="2"/>
  <c r="M359" i="2"/>
  <c r="M362" i="2"/>
  <c r="G365" i="2"/>
  <c r="C185" i="2"/>
  <c r="H218" i="2"/>
  <c r="N245" i="2"/>
  <c r="C293" i="2"/>
  <c r="N299" i="2"/>
  <c r="M306" i="2"/>
  <c r="C313" i="2"/>
  <c r="G319" i="2"/>
  <c r="B325" i="2"/>
  <c r="N329" i="2"/>
  <c r="N333" i="2"/>
  <c r="H338" i="2"/>
  <c r="F342" i="2"/>
  <c r="M348" i="2"/>
  <c r="H351" i="2"/>
  <c r="I354" i="2"/>
  <c r="G357" i="2"/>
  <c r="N359" i="2"/>
  <c r="N362" i="2"/>
  <c r="C374" i="2"/>
  <c r="I376" i="2"/>
  <c r="G379" i="2"/>
  <c r="H384" i="2"/>
  <c r="N386" i="2"/>
  <c r="G389" i="2"/>
  <c r="I391" i="2"/>
  <c r="G396" i="2"/>
  <c r="N398" i="2"/>
  <c r="I403" i="2"/>
  <c r="C406" i="2"/>
  <c r="I410" i="2"/>
  <c r="M414" i="2"/>
  <c r="G419" i="2"/>
  <c r="H421" i="2"/>
  <c r="N423" i="2"/>
  <c r="C426" i="2"/>
  <c r="C428" i="2"/>
  <c r="C434" i="2"/>
  <c r="N435" i="2"/>
  <c r="I439" i="2"/>
  <c r="G441" i="2"/>
  <c r="B445" i="2"/>
  <c r="M446" i="2"/>
  <c r="I448" i="2"/>
  <c r="F450" i="2"/>
  <c r="B452" i="2"/>
  <c r="F455" i="2"/>
  <c r="B457" i="2"/>
  <c r="F460" i="2"/>
  <c r="B462" i="2"/>
  <c r="F465" i="2"/>
  <c r="B467" i="2"/>
  <c r="F470" i="2"/>
  <c r="B472" i="2"/>
  <c r="F475" i="2"/>
  <c r="B477" i="2"/>
  <c r="F480" i="2"/>
  <c r="B482" i="2"/>
  <c r="F485" i="2"/>
  <c r="B487" i="2"/>
  <c r="F490" i="2"/>
  <c r="B492" i="2"/>
  <c r="F495" i="2"/>
  <c r="B497" i="2"/>
  <c r="F500" i="2"/>
  <c r="G490" i="2"/>
  <c r="G495" i="2"/>
  <c r="G500" i="2"/>
  <c r="H342" i="2"/>
  <c r="C366" i="2"/>
  <c r="G374" i="2"/>
  <c r="N376" i="2"/>
  <c r="C382" i="2"/>
  <c r="N391" i="2"/>
  <c r="G394" i="2"/>
  <c r="N403" i="2"/>
  <c r="H138" i="2"/>
  <c r="M188" i="2"/>
  <c r="I247" i="2"/>
  <c r="M265" i="2"/>
  <c r="I285" i="2"/>
  <c r="F293" i="2"/>
  <c r="I300" i="2"/>
  <c r="C307" i="2"/>
  <c r="H313" i="2"/>
  <c r="C325" i="2"/>
  <c r="G342" i="2"/>
  <c r="B349" i="2"/>
  <c r="I351" i="2"/>
  <c r="I357" i="2"/>
  <c r="B360" i="2"/>
  <c r="B363" i="2"/>
  <c r="N365" i="2"/>
  <c r="F368" i="2"/>
  <c r="F371" i="2"/>
  <c r="H379" i="2"/>
  <c r="N381" i="2"/>
  <c r="I384" i="2"/>
  <c r="C387" i="2"/>
  <c r="H389" i="2"/>
  <c r="F394" i="2"/>
  <c r="H396" i="2"/>
  <c r="C399" i="2"/>
  <c r="F401" i="2"/>
  <c r="M412" i="2"/>
  <c r="N414" i="2"/>
  <c r="G417" i="2"/>
  <c r="H419" i="2"/>
  <c r="I421" i="2"/>
  <c r="C424" i="2"/>
  <c r="F430" i="2"/>
  <c r="F432" i="2"/>
  <c r="B436" i="2"/>
  <c r="M437" i="2"/>
  <c r="H441" i="2"/>
  <c r="F443" i="2"/>
  <c r="N446" i="2"/>
  <c r="G450" i="2"/>
  <c r="C452" i="2"/>
  <c r="G455" i="2"/>
  <c r="C457" i="2"/>
  <c r="G460" i="2"/>
  <c r="C462" i="2"/>
  <c r="G465" i="2"/>
  <c r="C467" i="2"/>
  <c r="G470" i="2"/>
  <c r="C472" i="2"/>
  <c r="G475" i="2"/>
  <c r="C477" i="2"/>
  <c r="G480" i="2"/>
  <c r="C482" i="2"/>
  <c r="G485" i="2"/>
  <c r="C487" i="2"/>
  <c r="C492" i="2"/>
  <c r="C497" i="2"/>
  <c r="G334" i="2"/>
  <c r="I368" i="2"/>
  <c r="I379" i="2"/>
  <c r="I389" i="2"/>
  <c r="I396" i="2"/>
  <c r="G401" i="2"/>
  <c r="F189" i="2"/>
  <c r="M222" i="2"/>
  <c r="B249" i="2"/>
  <c r="M266" i="2"/>
  <c r="F277" i="2"/>
  <c r="B286" i="2"/>
  <c r="N293" i="2"/>
  <c r="I307" i="2"/>
  <c r="C320" i="2"/>
  <c r="N338" i="2"/>
  <c r="M345" i="2"/>
  <c r="M351" i="2"/>
  <c r="C363" i="2"/>
  <c r="G371" i="2"/>
  <c r="M146" i="2"/>
  <c r="C190" i="2"/>
  <c r="I223" i="2"/>
  <c r="N277" i="2"/>
  <c r="C286" i="2"/>
  <c r="B294" i="2"/>
  <c r="C301" i="2"/>
  <c r="H325" i="2"/>
  <c r="F330" i="2"/>
  <c r="B335" i="2"/>
  <c r="B339" i="2"/>
  <c r="I342" i="2"/>
  <c r="N345" i="2"/>
  <c r="B352" i="2"/>
  <c r="M354" i="2"/>
  <c r="M357" i="2"/>
  <c r="G360" i="2"/>
  <c r="H371" i="2"/>
  <c r="H374" i="2"/>
  <c r="C377" i="2"/>
  <c r="G382" i="2"/>
  <c r="G387" i="2"/>
  <c r="C392" i="2"/>
  <c r="H394" i="2"/>
  <c r="F399" i="2"/>
  <c r="H401" i="2"/>
  <c r="C404" i="2"/>
  <c r="F406" i="2"/>
  <c r="I408" i="2"/>
  <c r="N410" i="2"/>
  <c r="B413" i="2"/>
  <c r="I417" i="2"/>
  <c r="N421" i="2"/>
  <c r="F426" i="2"/>
  <c r="F428" i="2"/>
  <c r="I430" i="2"/>
  <c r="H432" i="2"/>
  <c r="F434" i="2"/>
  <c r="B438" i="2"/>
  <c r="M439" i="2"/>
  <c r="I443" i="2"/>
  <c r="F445" i="2"/>
  <c r="C447" i="2"/>
  <c r="M448" i="2"/>
  <c r="I450" i="2"/>
  <c r="N453" i="2"/>
  <c r="I455" i="2"/>
  <c r="N458" i="2"/>
  <c r="I460" i="2"/>
  <c r="N463" i="2"/>
  <c r="I465" i="2"/>
  <c r="N468" i="2"/>
  <c r="I470" i="2"/>
  <c r="N473" i="2"/>
  <c r="I475" i="2"/>
  <c r="N478" i="2"/>
  <c r="I480" i="2"/>
  <c r="N483" i="2"/>
  <c r="I485" i="2"/>
  <c r="N488" i="2"/>
  <c r="I490" i="2"/>
  <c r="N493" i="2"/>
  <c r="I495" i="2"/>
  <c r="N498" i="2"/>
  <c r="I500" i="2"/>
  <c r="F482" i="2"/>
  <c r="B489" i="2"/>
  <c r="F492" i="2"/>
  <c r="B499" i="2"/>
  <c r="H148" i="2"/>
  <c r="G224" i="2"/>
  <c r="M249" i="2"/>
  <c r="C294" i="2"/>
  <c r="H301" i="2"/>
  <c r="F308" i="2"/>
  <c r="G314" i="2"/>
  <c r="G330" i="2"/>
  <c r="C339" i="2"/>
  <c r="B346" i="2"/>
  <c r="F349" i="2"/>
  <c r="F352" i="2"/>
  <c r="N354" i="2"/>
  <c r="N357" i="2"/>
  <c r="C369" i="2"/>
  <c r="I371" i="2"/>
  <c r="I374" i="2"/>
  <c r="G377" i="2"/>
  <c r="I382" i="2"/>
  <c r="M384" i="2"/>
  <c r="I387" i="2"/>
  <c r="I394" i="2"/>
  <c r="N396" i="2"/>
  <c r="G399" i="2"/>
  <c r="I401" i="2"/>
  <c r="G406" i="2"/>
  <c r="B411" i="2"/>
  <c r="C413" i="2"/>
  <c r="G415" i="2"/>
  <c r="C422" i="2"/>
  <c r="F424" i="2"/>
  <c r="G426" i="2"/>
  <c r="I428" i="2"/>
  <c r="I432" i="2"/>
  <c r="G434" i="2"/>
  <c r="C438" i="2"/>
  <c r="N439" i="2"/>
  <c r="N441" i="2"/>
  <c r="G445" i="2"/>
  <c r="N448" i="2"/>
  <c r="F452" i="2"/>
  <c r="B454" i="2"/>
  <c r="F457" i="2"/>
  <c r="B459" i="2"/>
  <c r="F462" i="2"/>
  <c r="B464" i="2"/>
  <c r="F467" i="2"/>
  <c r="B469" i="2"/>
  <c r="F472" i="2"/>
  <c r="B474" i="2"/>
  <c r="F477" i="2"/>
  <c r="B479" i="2"/>
  <c r="B484" i="2"/>
  <c r="F487" i="2"/>
  <c r="B494" i="2"/>
  <c r="F497" i="2"/>
  <c r="G195" i="2"/>
  <c r="C228" i="2"/>
  <c r="F279" i="2"/>
  <c r="N294" i="2"/>
  <c r="C302" i="2"/>
  <c r="G321" i="2"/>
  <c r="G326" i="2"/>
  <c r="N330" i="2"/>
  <c r="H335" i="2"/>
  <c r="H339" i="2"/>
  <c r="H349" i="2"/>
  <c r="C358" i="2"/>
  <c r="C361" i="2"/>
  <c r="I363" i="2"/>
  <c r="G366" i="2"/>
  <c r="G369" i="2"/>
  <c r="N371" i="2"/>
  <c r="N379" i="2"/>
  <c r="B385" i="2"/>
  <c r="N389" i="2"/>
  <c r="I392" i="2"/>
  <c r="I399" i="2"/>
  <c r="N401" i="2"/>
  <c r="G404" i="2"/>
  <c r="I406" i="2"/>
  <c r="C409" i="2"/>
  <c r="M417" i="2"/>
  <c r="N419" i="2"/>
  <c r="G422" i="2"/>
  <c r="H424" i="2"/>
  <c r="I426" i="2"/>
  <c r="M430" i="2"/>
  <c r="I434" i="2"/>
  <c r="G436" i="2"/>
  <c r="C442" i="2"/>
  <c r="M443" i="2"/>
  <c r="I445" i="2"/>
  <c r="F447" i="2"/>
  <c r="C449" i="2"/>
  <c r="M450" i="2"/>
  <c r="H452" i="2"/>
  <c r="M455" i="2"/>
  <c r="H457" i="2"/>
  <c r="M460" i="2"/>
  <c r="H462" i="2"/>
  <c r="M465" i="2"/>
  <c r="H467" i="2"/>
  <c r="M470" i="2"/>
  <c r="H472" i="2"/>
  <c r="M475" i="2"/>
  <c r="H477" i="2"/>
  <c r="M480" i="2"/>
  <c r="H482" i="2"/>
  <c r="M485" i="2"/>
  <c r="H487" i="2"/>
  <c r="M490" i="2"/>
  <c r="H492" i="2"/>
  <c r="M495" i="2"/>
  <c r="H497" i="2"/>
  <c r="M500" i="2"/>
  <c r="I28" i="2"/>
  <c r="G199" i="2"/>
  <c r="N231" i="2"/>
  <c r="I253" i="2"/>
  <c r="F270" i="2"/>
  <c r="B280" i="2"/>
  <c r="H288" i="2"/>
  <c r="N295" i="2"/>
  <c r="I321" i="2"/>
  <c r="M326" i="2"/>
  <c r="C340" i="2"/>
  <c r="M352" i="2"/>
  <c r="C364" i="2"/>
  <c r="I366" i="2"/>
  <c r="I369" i="2"/>
  <c r="G372" i="2"/>
  <c r="N374" i="2"/>
  <c r="M377" i="2"/>
  <c r="N382" i="2"/>
  <c r="G385" i="2"/>
  <c r="N387" i="2"/>
  <c r="N394" i="2"/>
  <c r="I397" i="2"/>
  <c r="I404" i="2"/>
  <c r="N406" i="2"/>
  <c r="F411" i="2"/>
  <c r="I413" i="2"/>
  <c r="N415" i="2"/>
  <c r="B418" i="2"/>
  <c r="I422" i="2"/>
  <c r="N426" i="2"/>
  <c r="C429" i="2"/>
  <c r="B431" i="2"/>
  <c r="N432" i="2"/>
  <c r="I436" i="2"/>
  <c r="I438" i="2"/>
  <c r="G440" i="2"/>
  <c r="B444" i="2"/>
  <c r="H447" i="2"/>
  <c r="B451" i="2"/>
  <c r="F454" i="2"/>
  <c r="B456" i="2"/>
  <c r="F459" i="2"/>
  <c r="B461" i="2"/>
  <c r="F464" i="2"/>
  <c r="B466" i="2"/>
  <c r="F469" i="2"/>
  <c r="B471" i="2"/>
  <c r="F474" i="2"/>
  <c r="B476" i="2"/>
  <c r="F479" i="2"/>
  <c r="B481" i="2"/>
  <c r="F484" i="2"/>
  <c r="B486" i="2"/>
  <c r="F489" i="2"/>
  <c r="B491" i="2"/>
  <c r="F494" i="2"/>
  <c r="B496" i="2"/>
  <c r="F499" i="2"/>
  <c r="B501" i="2"/>
  <c r="G163" i="2"/>
  <c r="H200" i="2"/>
  <c r="H232" i="2"/>
  <c r="C271" i="2"/>
  <c r="C280" i="2"/>
  <c r="I288" i="2"/>
  <c r="I296" i="2"/>
  <c r="N309" i="2"/>
  <c r="M315" i="2"/>
  <c r="N321" i="2"/>
  <c r="N326" i="2"/>
  <c r="N331" i="2"/>
  <c r="B336" i="2"/>
  <c r="N343" i="2"/>
  <c r="C347" i="2"/>
  <c r="M349" i="2"/>
  <c r="B353" i="2"/>
  <c r="N355" i="2"/>
  <c r="C47" i="2"/>
  <c r="F164" i="2"/>
  <c r="F256" i="2"/>
  <c r="M280" i="2"/>
  <c r="I316" i="2"/>
  <c r="C322" i="2"/>
  <c r="B332" i="2"/>
  <c r="G340" i="2"/>
  <c r="B344" i="2"/>
  <c r="C350" i="2"/>
  <c r="C353" i="2"/>
  <c r="C356" i="2"/>
  <c r="I358" i="2"/>
  <c r="G361" i="2"/>
  <c r="G364" i="2"/>
  <c r="N366" i="2"/>
  <c r="B378" i="2"/>
  <c r="C383" i="2"/>
  <c r="N385" i="2"/>
  <c r="C388" i="2"/>
  <c r="I390" i="2"/>
  <c r="N392" i="2"/>
  <c r="N399" i="2"/>
  <c r="I402" i="2"/>
  <c r="G409" i="2"/>
  <c r="H411" i="2"/>
  <c r="N413" i="2"/>
  <c r="C416" i="2"/>
  <c r="I420" i="2"/>
  <c r="M424" i="2"/>
  <c r="C427" i="2"/>
  <c r="C433" i="2"/>
  <c r="N434" i="2"/>
  <c r="N436" i="2"/>
  <c r="I440" i="2"/>
  <c r="G442" i="2"/>
  <c r="N445" i="2"/>
  <c r="G449" i="2"/>
  <c r="M452" i="2"/>
  <c r="H454" i="2"/>
  <c r="M457" i="2"/>
  <c r="H459" i="2"/>
  <c r="M462" i="2"/>
  <c r="H464" i="2"/>
  <c r="M467" i="2"/>
  <c r="H469" i="2"/>
  <c r="M472" i="2"/>
  <c r="H474" i="2"/>
  <c r="M477" i="2"/>
  <c r="H479" i="2"/>
  <c r="M482" i="2"/>
  <c r="H484" i="2"/>
  <c r="M487" i="2"/>
  <c r="H489" i="2"/>
  <c r="M492" i="2"/>
  <c r="H494" i="2"/>
  <c r="M497" i="2"/>
  <c r="H499" i="2"/>
  <c r="N404" i="2"/>
  <c r="H165" i="2"/>
  <c r="F236" i="2"/>
  <c r="F272" i="2"/>
  <c r="C281" i="2"/>
  <c r="C289" i="2"/>
  <c r="M296" i="2"/>
  <c r="M303" i="2"/>
  <c r="I310" i="2"/>
  <c r="M316" i="2"/>
  <c r="I322" i="2"/>
  <c r="G327" i="2"/>
  <c r="C332" i="2"/>
  <c r="C344" i="2"/>
  <c r="G347" i="2"/>
  <c r="H361" i="2"/>
  <c r="H364" i="2"/>
  <c r="C367" i="2"/>
  <c r="M369" i="2"/>
  <c r="M372" i="2"/>
  <c r="G375" i="2"/>
  <c r="C378" i="2"/>
  <c r="N380" i="2"/>
  <c r="B386" i="2"/>
  <c r="B393" i="2"/>
  <c r="G395" i="2"/>
  <c r="M397" i="2"/>
  <c r="B400" i="2"/>
  <c r="M404" i="2"/>
  <c r="G407" i="2"/>
  <c r="H409" i="2"/>
  <c r="I411" i="2"/>
  <c r="C414" i="2"/>
  <c r="M422" i="2"/>
  <c r="N424" i="2"/>
  <c r="F429" i="2"/>
  <c r="B435" i="2"/>
  <c r="B437" i="2"/>
  <c r="M438" i="2"/>
  <c r="H442" i="2"/>
  <c r="B446" i="2"/>
  <c r="H449" i="2"/>
  <c r="N452" i="2"/>
  <c r="I454" i="2"/>
  <c r="N457" i="2"/>
  <c r="I459" i="2"/>
  <c r="N462" i="2"/>
  <c r="I464" i="2"/>
  <c r="N467" i="2"/>
  <c r="I469" i="2"/>
  <c r="N472" i="2"/>
  <c r="I474" i="2"/>
  <c r="N477" i="2"/>
  <c r="I479" i="2"/>
  <c r="N482" i="2"/>
  <c r="I484" i="2"/>
  <c r="N487" i="2"/>
  <c r="I489" i="2"/>
  <c r="N492" i="2"/>
  <c r="I494" i="2"/>
  <c r="N497" i="2"/>
  <c r="I499" i="2"/>
  <c r="N369" i="2"/>
  <c r="N390" i="2"/>
  <c r="C393" i="2"/>
  <c r="I395" i="2"/>
  <c r="H407" i="2"/>
  <c r="I409" i="2"/>
  <c r="F418" i="2"/>
  <c r="M420" i="2"/>
  <c r="N422" i="2"/>
  <c r="B425" i="2"/>
  <c r="B229" i="2"/>
  <c r="N360" i="2"/>
  <c r="B375" i="2"/>
  <c r="B388" i="2"/>
  <c r="M399" i="2"/>
  <c r="M410" i="2"/>
  <c r="I419" i="2"/>
  <c r="B428" i="2"/>
  <c r="H434" i="2"/>
  <c r="H440" i="2"/>
  <c r="G452" i="2"/>
  <c r="G457" i="2"/>
  <c r="N466" i="2"/>
  <c r="F476" i="2"/>
  <c r="C481" i="2"/>
  <c r="N485" i="2"/>
  <c r="H495" i="2"/>
  <c r="I488" i="2"/>
  <c r="I251" i="2"/>
  <c r="H376" i="2"/>
  <c r="F389" i="2"/>
  <c r="C411" i="2"/>
  <c r="M419" i="2"/>
  <c r="B447" i="2"/>
  <c r="I452" i="2"/>
  <c r="I457" i="2"/>
  <c r="G462" i="2"/>
  <c r="N471" i="2"/>
  <c r="F481" i="2"/>
  <c r="C486" i="2"/>
  <c r="N490" i="2"/>
  <c r="M499" i="2"/>
  <c r="C253" i="2"/>
  <c r="F361" i="2"/>
  <c r="I377" i="2"/>
  <c r="M389" i="2"/>
  <c r="B420" i="2"/>
  <c r="M434" i="2"/>
  <c r="F441" i="2"/>
  <c r="I462" i="2"/>
  <c r="G467" i="2"/>
  <c r="N476" i="2"/>
  <c r="F486" i="2"/>
  <c r="C491" i="2"/>
  <c r="N495" i="2"/>
  <c r="C500" i="2"/>
  <c r="M447" i="2"/>
  <c r="C431" i="2"/>
  <c r="C479" i="2"/>
  <c r="H331" i="2"/>
  <c r="G479" i="2"/>
  <c r="B268" i="2"/>
  <c r="G335" i="2"/>
  <c r="F363" i="2"/>
  <c r="B390" i="2"/>
  <c r="C402" i="2"/>
  <c r="G411" i="2"/>
  <c r="G420" i="2"/>
  <c r="N428" i="2"/>
  <c r="I441" i="2"/>
  <c r="G447" i="2"/>
  <c r="B453" i="2"/>
  <c r="B458" i="2"/>
  <c r="I467" i="2"/>
  <c r="G472" i="2"/>
  <c r="N481" i="2"/>
  <c r="F491" i="2"/>
  <c r="C496" i="2"/>
  <c r="I453" i="2"/>
  <c r="B463" i="2"/>
  <c r="I472" i="2"/>
  <c r="N486" i="2"/>
  <c r="F496" i="2"/>
  <c r="H391" i="2"/>
  <c r="C436" i="2"/>
  <c r="M453" i="2"/>
  <c r="G463" i="2"/>
  <c r="G482" i="2"/>
  <c r="H496" i="2"/>
  <c r="F431" i="2"/>
  <c r="C407" i="2"/>
  <c r="C446" i="2"/>
  <c r="G499" i="2"/>
  <c r="I335" i="2"/>
  <c r="N377" i="2"/>
  <c r="G390" i="2"/>
  <c r="G402" i="2"/>
  <c r="G421" i="2"/>
  <c r="M435" i="2"/>
  <c r="B442" i="2"/>
  <c r="I447" i="2"/>
  <c r="G458" i="2"/>
  <c r="G477" i="2"/>
  <c r="H500" i="2"/>
  <c r="C279" i="2"/>
  <c r="F379" i="2"/>
  <c r="F403" i="2"/>
  <c r="G429" i="2"/>
  <c r="I458" i="2"/>
  <c r="B468" i="2"/>
  <c r="I477" i="2"/>
  <c r="N491" i="2"/>
  <c r="B415" i="2"/>
  <c r="N443" i="2"/>
  <c r="N501" i="2"/>
  <c r="C489" i="2"/>
  <c r="C456" i="2"/>
  <c r="N461" i="2"/>
  <c r="H490" i="2"/>
  <c r="N412" i="2"/>
  <c r="M394" i="2"/>
  <c r="N279" i="2"/>
  <c r="F366" i="2"/>
  <c r="M379" i="2"/>
  <c r="G392" i="2"/>
  <c r="F404" i="2"/>
  <c r="B430" i="2"/>
  <c r="F436" i="2"/>
  <c r="F442" i="2"/>
  <c r="H448" i="2"/>
  <c r="C454" i="2"/>
  <c r="M458" i="2"/>
  <c r="I463" i="2"/>
  <c r="G468" i="2"/>
  <c r="B473" i="2"/>
  <c r="I482" i="2"/>
  <c r="G487" i="2"/>
  <c r="N500" i="2"/>
  <c r="G464" i="2"/>
  <c r="I415" i="2"/>
  <c r="G410" i="2"/>
  <c r="M286" i="2"/>
  <c r="C343" i="2"/>
  <c r="H366" i="2"/>
  <c r="B380" i="2"/>
  <c r="H404" i="2"/>
  <c r="F413" i="2"/>
  <c r="H422" i="2"/>
  <c r="G430" i="2"/>
  <c r="H436" i="2"/>
  <c r="I442" i="2"/>
  <c r="C459" i="2"/>
  <c r="M463" i="2"/>
  <c r="I468" i="2"/>
  <c r="G473" i="2"/>
  <c r="B478" i="2"/>
  <c r="I487" i="2"/>
  <c r="G492" i="2"/>
  <c r="N496" i="2"/>
  <c r="C501" i="2"/>
  <c r="F501" i="2"/>
  <c r="C474" i="2"/>
  <c r="I483" i="2"/>
  <c r="I497" i="2"/>
  <c r="M382" i="2"/>
  <c r="N437" i="2"/>
  <c r="G469" i="2"/>
  <c r="H460" i="2"/>
  <c r="N438" i="2"/>
  <c r="C480" i="2"/>
  <c r="F440" i="2"/>
  <c r="F471" i="2"/>
  <c r="N287" i="2"/>
  <c r="I343" i="2"/>
  <c r="G380" i="2"/>
  <c r="M392" i="2"/>
  <c r="B449" i="2"/>
  <c r="G454" i="2"/>
  <c r="C464" i="2"/>
  <c r="M468" i="2"/>
  <c r="I473" i="2"/>
  <c r="G478" i="2"/>
  <c r="B483" i="2"/>
  <c r="I492" i="2"/>
  <c r="F449" i="2"/>
  <c r="G488" i="2"/>
  <c r="G424" i="2"/>
  <c r="C460" i="2"/>
  <c r="G493" i="2"/>
  <c r="H352" i="2"/>
  <c r="I498" i="2"/>
  <c r="F419" i="2"/>
  <c r="C346" i="2"/>
  <c r="I381" i="2"/>
  <c r="C394" i="2"/>
  <c r="B406" i="2"/>
  <c r="N430" i="2"/>
  <c r="C437" i="2"/>
  <c r="H443" i="2"/>
  <c r="G459" i="2"/>
  <c r="C469" i="2"/>
  <c r="M473" i="2"/>
  <c r="I478" i="2"/>
  <c r="G483" i="2"/>
  <c r="B488" i="2"/>
  <c r="G497" i="2"/>
  <c r="H501" i="2"/>
  <c r="I346" i="2"/>
  <c r="C455" i="2"/>
  <c r="M478" i="2"/>
  <c r="B493" i="2"/>
  <c r="H369" i="2"/>
  <c r="I449" i="2"/>
  <c r="M483" i="2"/>
  <c r="H470" i="2"/>
  <c r="G427" i="2"/>
  <c r="C476" i="2"/>
  <c r="I301" i="2"/>
  <c r="G349" i="2"/>
  <c r="H406" i="2"/>
  <c r="B383" i="2"/>
  <c r="B395" i="2"/>
  <c r="M415" i="2"/>
  <c r="I424" i="2"/>
  <c r="C432" i="2"/>
  <c r="C444" i="2"/>
  <c r="H455" i="2"/>
  <c r="C465" i="2"/>
  <c r="G474" i="2"/>
  <c r="C484" i="2"/>
  <c r="M488" i="2"/>
  <c r="I493" i="2"/>
  <c r="B498" i="2"/>
  <c r="H308" i="2"/>
  <c r="G384" i="2"/>
  <c r="F396" i="2"/>
  <c r="B416" i="2"/>
  <c r="G432" i="2"/>
  <c r="F438" i="2"/>
  <c r="F444" i="2"/>
  <c r="H450" i="2"/>
  <c r="C470" i="2"/>
  <c r="M493" i="2"/>
  <c r="N450" i="2"/>
  <c r="G489" i="2"/>
  <c r="N480" i="2"/>
  <c r="B309" i="2"/>
  <c r="N384" i="2"/>
  <c r="C397" i="2"/>
  <c r="C408" i="2"/>
  <c r="C417" i="2"/>
  <c r="B426" i="2"/>
  <c r="N444" i="2"/>
  <c r="N455" i="2"/>
  <c r="H465" i="2"/>
  <c r="C475" i="2"/>
  <c r="G484" i="2"/>
  <c r="C494" i="2"/>
  <c r="G498" i="2"/>
  <c r="N149" i="2"/>
  <c r="B315" i="2"/>
  <c r="B355" i="2"/>
  <c r="C372" i="2"/>
  <c r="G397" i="2"/>
  <c r="F408" i="2"/>
  <c r="H417" i="2"/>
  <c r="M432" i="2"/>
  <c r="N460" i="2"/>
  <c r="F315" i="2"/>
  <c r="G355" i="2"/>
  <c r="I372" i="2"/>
  <c r="N408" i="2"/>
  <c r="H426" i="2"/>
  <c r="B433" i="2"/>
  <c r="H439" i="2"/>
  <c r="H445" i="2"/>
  <c r="C451" i="2"/>
  <c r="F456" i="2"/>
  <c r="C461" i="2"/>
  <c r="N465" i="2"/>
  <c r="H475" i="2"/>
  <c r="C485" i="2"/>
  <c r="G494" i="2"/>
  <c r="M498" i="2"/>
  <c r="H194" i="2"/>
  <c r="N320" i="2"/>
  <c r="N417" i="2"/>
  <c r="F451" i="2"/>
  <c r="F461" i="2"/>
  <c r="N470" i="2"/>
  <c r="H480" i="2"/>
  <c r="C490" i="2"/>
  <c r="C499" i="2"/>
  <c r="M374" i="2"/>
  <c r="B358" i="2"/>
  <c r="C466" i="2"/>
  <c r="M198" i="2"/>
  <c r="H321" i="2"/>
  <c r="H399" i="2"/>
  <c r="F409" i="2"/>
  <c r="C418" i="2"/>
  <c r="B427" i="2"/>
  <c r="B434" i="2"/>
  <c r="B440" i="2"/>
  <c r="M445" i="2"/>
  <c r="N451" i="2"/>
  <c r="N456" i="2"/>
  <c r="F466" i="2"/>
  <c r="C471" i="2"/>
  <c r="N475" i="2"/>
  <c r="H485" i="2"/>
  <c r="C495" i="2"/>
  <c r="N227" i="2"/>
  <c r="F358" i="2"/>
  <c r="M387" i="2"/>
  <c r="D495" i="2" l="1"/>
  <c r="D471" i="2"/>
  <c r="D418" i="2"/>
  <c r="D466" i="2"/>
  <c r="D499" i="2"/>
  <c r="D490" i="2"/>
  <c r="D485" i="2"/>
  <c r="D461" i="2"/>
  <c r="D451" i="2"/>
  <c r="D372" i="2"/>
  <c r="D494" i="2"/>
  <c r="D475" i="2"/>
  <c r="D417" i="2"/>
  <c r="D408" i="2"/>
  <c r="D397" i="2"/>
  <c r="D470" i="2"/>
  <c r="D484" i="2"/>
  <c r="D465" i="2"/>
  <c r="D444" i="2"/>
  <c r="D432" i="2"/>
  <c r="D476" i="2"/>
  <c r="D455" i="2"/>
  <c r="D469" i="2"/>
  <c r="D437" i="2"/>
  <c r="D394" i="2"/>
  <c r="D346" i="2"/>
  <c r="D460" i="2"/>
  <c r="D464" i="2"/>
  <c r="D480" i="2"/>
  <c r="D474" i="2"/>
  <c r="D501" i="2"/>
  <c r="D459" i="2"/>
  <c r="D343" i="2"/>
  <c r="D454" i="2"/>
  <c r="D456" i="2"/>
  <c r="D489" i="2"/>
  <c r="D279" i="2"/>
  <c r="D446" i="2"/>
  <c r="D407" i="2"/>
  <c r="D436" i="2"/>
  <c r="D496" i="2"/>
  <c r="D402" i="2"/>
  <c r="D479" i="2"/>
  <c r="D431" i="2"/>
  <c r="D500" i="2"/>
  <c r="D491" i="2"/>
  <c r="D253" i="2"/>
  <c r="D486" i="2"/>
  <c r="D411" i="2"/>
  <c r="D481" i="2"/>
  <c r="D393" i="2"/>
  <c r="D414" i="2"/>
  <c r="D378" i="2"/>
  <c r="D367" i="2"/>
  <c r="D344" i="2"/>
  <c r="D332" i="2"/>
  <c r="D289" i="2"/>
  <c r="D281" i="2"/>
  <c r="D433" i="2"/>
  <c r="D427" i="2"/>
  <c r="D416" i="2"/>
  <c r="D388" i="2"/>
  <c r="D383" i="2"/>
  <c r="D356" i="2"/>
  <c r="D353" i="2"/>
  <c r="D350" i="2"/>
  <c r="D322" i="2"/>
  <c r="D47" i="2"/>
  <c r="D347" i="2"/>
  <c r="D280" i="2"/>
  <c r="D271" i="2"/>
  <c r="D429" i="2"/>
  <c r="D364" i="2"/>
  <c r="D340" i="2"/>
  <c r="D449" i="2"/>
  <c r="D442" i="2"/>
  <c r="D409" i="2"/>
  <c r="D361" i="2"/>
  <c r="D358" i="2"/>
  <c r="D302" i="2"/>
  <c r="D228" i="2"/>
  <c r="D438" i="2"/>
  <c r="D422" i="2"/>
  <c r="D413" i="2"/>
  <c r="D369" i="2"/>
  <c r="D339" i="2"/>
  <c r="D294" i="2"/>
  <c r="D447" i="2"/>
  <c r="D404" i="2"/>
  <c r="D392" i="2"/>
  <c r="D377" i="2"/>
  <c r="D301" i="2"/>
  <c r="D286" i="2"/>
  <c r="D190" i="2"/>
  <c r="D363" i="2"/>
  <c r="D320" i="2"/>
  <c r="D497" i="2"/>
  <c r="D492" i="2"/>
  <c r="D487" i="2"/>
  <c r="D482" i="2"/>
  <c r="D477" i="2"/>
  <c r="D472" i="2"/>
  <c r="D467" i="2"/>
  <c r="D462" i="2"/>
  <c r="D457" i="2"/>
  <c r="D452" i="2"/>
  <c r="D424" i="2"/>
  <c r="D399" i="2"/>
  <c r="D387" i="2"/>
  <c r="D325" i="2"/>
  <c r="D307" i="2"/>
  <c r="D382" i="2"/>
  <c r="D366" i="2"/>
  <c r="D434" i="2"/>
  <c r="D428" i="2"/>
  <c r="D426" i="2"/>
  <c r="D406" i="2"/>
  <c r="D374" i="2"/>
  <c r="D313" i="2"/>
  <c r="D293" i="2"/>
  <c r="D185" i="2"/>
  <c r="D306" i="2"/>
  <c r="D357" i="2"/>
  <c r="D443" i="2"/>
  <c r="D401" i="2"/>
  <c r="D371" i="2"/>
  <c r="D368" i="2"/>
  <c r="D299" i="2"/>
  <c r="D389" i="2"/>
  <c r="D379" i="2"/>
  <c r="D441" i="2"/>
  <c r="D419" i="2"/>
  <c r="D403" i="2"/>
  <c r="D396" i="2"/>
  <c r="D384" i="2"/>
  <c r="D354" i="2"/>
  <c r="D351" i="2"/>
  <c r="D448" i="2"/>
  <c r="D421" i="2"/>
  <c r="D362" i="2"/>
  <c r="D439" i="2"/>
  <c r="D423" i="2"/>
  <c r="D391" i="2"/>
  <c r="D376" i="2"/>
  <c r="D373" i="2"/>
  <c r="D311" i="2"/>
  <c r="D274" i="2"/>
  <c r="D412" i="2"/>
  <c r="D398" i="2"/>
  <c r="D498" i="2"/>
  <c r="D493" i="2"/>
  <c r="D488" i="2"/>
  <c r="D483" i="2"/>
  <c r="D478" i="2"/>
  <c r="D473" i="2"/>
  <c r="D468" i="2"/>
  <c r="D463" i="2"/>
  <c r="D458" i="2"/>
  <c r="D453" i="2"/>
  <c r="D381" i="2"/>
  <c r="D386" i="2"/>
  <c r="D359" i="2"/>
  <c r="D273" i="2"/>
  <c r="D257" i="2"/>
  <c r="D210" i="2"/>
  <c r="D337" i="2"/>
  <c r="D330" i="2"/>
  <c r="D323" i="2"/>
  <c r="D321" i="2"/>
  <c r="D317" i="2"/>
  <c r="D296" i="2"/>
  <c r="D264" i="2"/>
  <c r="D224" i="2"/>
  <c r="D165" i="2"/>
  <c r="D79" i="2"/>
  <c r="D319" i="2"/>
  <c r="D308" i="2"/>
  <c r="D288" i="2"/>
  <c r="D140" i="2"/>
  <c r="D349" i="2"/>
  <c r="D342" i="2"/>
  <c r="D335" i="2"/>
  <c r="D328" i="2"/>
  <c r="D285" i="2"/>
  <c r="D249" i="2"/>
  <c r="D245" i="2"/>
  <c r="D214" i="2"/>
  <c r="D326" i="2"/>
  <c r="D312" i="2"/>
  <c r="D218" i="2"/>
  <c r="D138" i="2"/>
  <c r="D125" i="2"/>
  <c r="D72" i="2"/>
  <c r="D333" i="2"/>
  <c r="D314" i="2"/>
  <c r="D240" i="2"/>
  <c r="D163" i="2"/>
  <c r="D316" i="2"/>
  <c r="D287" i="2"/>
  <c r="D244" i="2"/>
  <c r="D155" i="2"/>
  <c r="D102" i="2"/>
  <c r="D331" i="2"/>
  <c r="D324" i="2"/>
  <c r="D208" i="2"/>
  <c r="D352" i="2"/>
  <c r="D345" i="2"/>
  <c r="D338" i="2"/>
  <c r="D295" i="2"/>
  <c r="D97" i="2"/>
  <c r="D336" i="2"/>
  <c r="D329" i="2"/>
  <c r="D318" i="2"/>
  <c r="D309" i="2"/>
  <c r="D292" i="2"/>
  <c r="D278" i="2"/>
  <c r="D272" i="2"/>
  <c r="D262" i="2"/>
  <c r="D255" i="2"/>
  <c r="D226" i="2"/>
  <c r="D197" i="2"/>
  <c r="D247" i="2"/>
  <c r="D91" i="2"/>
  <c r="D251" i="2"/>
  <c r="D450" i="2"/>
  <c r="D445" i="2"/>
  <c r="D440" i="2"/>
  <c r="D435" i="2"/>
  <c r="D430" i="2"/>
  <c r="D425" i="2"/>
  <c r="D420" i="2"/>
  <c r="D415" i="2"/>
  <c r="D410" i="2"/>
  <c r="D405" i="2"/>
  <c r="D400" i="2"/>
  <c r="D395" i="2"/>
  <c r="D390" i="2"/>
  <c r="D385" i="2"/>
  <c r="D380" i="2"/>
  <c r="D375" i="2"/>
  <c r="D370" i="2"/>
  <c r="D365" i="2"/>
  <c r="D360" i="2"/>
  <c r="D355" i="2"/>
  <c r="D341" i="2"/>
  <c r="D334" i="2"/>
  <c r="D327" i="2"/>
  <c r="D304" i="2"/>
  <c r="D297" i="2"/>
  <c r="D265" i="2"/>
  <c r="D258" i="2"/>
  <c r="D216" i="2"/>
  <c r="D348" i="2"/>
  <c r="D234" i="2"/>
  <c r="D132" i="2"/>
  <c r="D242" i="2"/>
  <c r="D238" i="2"/>
  <c r="D220" i="2"/>
  <c r="D206" i="2"/>
  <c r="D191" i="2"/>
  <c r="D246" i="2"/>
  <c r="D229" i="2"/>
  <c r="D250" i="2"/>
  <c r="D239" i="2"/>
  <c r="D235" i="2"/>
  <c r="D225" i="2"/>
  <c r="D223" i="2"/>
  <c r="D221" i="2"/>
  <c r="D219" i="2"/>
  <c r="D172" i="2"/>
  <c r="D147" i="2"/>
  <c r="D266" i="2"/>
  <c r="D259" i="2"/>
  <c r="D233" i="2"/>
  <c r="D192" i="2"/>
  <c r="D180" i="2"/>
  <c r="D175" i="2"/>
  <c r="D136" i="2"/>
  <c r="D126" i="2"/>
  <c r="D86" i="2"/>
  <c r="D14" i="2"/>
  <c r="D248" i="2"/>
  <c r="D231" i="2"/>
  <c r="D150" i="2"/>
  <c r="D80" i="2"/>
  <c r="D201" i="2"/>
  <c r="D182" i="2"/>
  <c r="D177" i="2"/>
  <c r="D117" i="2"/>
  <c r="D39" i="2"/>
  <c r="D290" i="2"/>
  <c r="D283" i="2"/>
  <c r="D276" i="2"/>
  <c r="D269" i="2"/>
  <c r="D203" i="2"/>
  <c r="D187" i="2"/>
  <c r="D152" i="2"/>
  <c r="D27" i="2"/>
  <c r="D267" i="2"/>
  <c r="D260" i="2"/>
  <c r="D205" i="2"/>
  <c r="D157" i="2"/>
  <c r="D135" i="2"/>
  <c r="D62" i="2"/>
  <c r="D168" i="2"/>
  <c r="D143" i="2"/>
  <c r="D111" i="2"/>
  <c r="D90" i="2"/>
  <c r="D70" i="2"/>
  <c r="C1" i="17"/>
  <c r="D315" i="2"/>
  <c r="D310" i="2"/>
  <c r="D305" i="2"/>
  <c r="D300" i="2"/>
  <c r="D236" i="2"/>
  <c r="D230" i="2"/>
  <c r="D115" i="2"/>
  <c r="D106" i="2"/>
  <c r="D83" i="2"/>
  <c r="D44" i="2"/>
  <c r="D88" i="2"/>
  <c r="D303" i="2"/>
  <c r="D298" i="2"/>
  <c r="D277" i="2"/>
  <c r="D270" i="2"/>
  <c r="D263" i="2"/>
  <c r="D256" i="2"/>
  <c r="D200" i="2"/>
  <c r="D193" i="2"/>
  <c r="D170" i="2"/>
  <c r="D145" i="2"/>
  <c r="D100" i="2"/>
  <c r="D291" i="2"/>
  <c r="D284" i="2"/>
  <c r="D243" i="2"/>
  <c r="D215" i="2"/>
  <c r="D213" i="2"/>
  <c r="D211" i="2"/>
  <c r="D209" i="2"/>
  <c r="D130" i="2"/>
  <c r="D119" i="2"/>
  <c r="D105" i="2"/>
  <c r="D202" i="2"/>
  <c r="D195" i="2"/>
  <c r="D188" i="2"/>
  <c r="D178" i="2"/>
  <c r="D173" i="2"/>
  <c r="D148" i="2"/>
  <c r="D109" i="2"/>
  <c r="D94" i="2"/>
  <c r="D18" i="2"/>
  <c r="D282" i="2"/>
  <c r="D275" i="2"/>
  <c r="D268" i="2"/>
  <c r="D261" i="2"/>
  <c r="D254" i="2"/>
  <c r="D252" i="2"/>
  <c r="D241" i="2"/>
  <c r="D167" i="2"/>
  <c r="D142" i="2"/>
  <c r="D67" i="2"/>
  <c r="D153" i="2"/>
  <c r="D25" i="2"/>
  <c r="D93" i="2"/>
  <c r="D78" i="2"/>
  <c r="D61" i="2"/>
  <c r="D81" i="2"/>
  <c r="D57" i="2"/>
  <c r="D54" i="2"/>
  <c r="D31" i="2"/>
  <c r="D13" i="2"/>
  <c r="D129" i="2"/>
  <c r="D122" i="2"/>
  <c r="D87" i="2"/>
  <c r="D71" i="2"/>
  <c r="D64" i="2"/>
  <c r="D23" i="2"/>
  <c r="D131" i="2"/>
  <c r="D99" i="2"/>
  <c r="D74" i="2"/>
  <c r="D133" i="2"/>
  <c r="D124" i="2"/>
  <c r="D113" i="2"/>
  <c r="D77" i="2"/>
  <c r="D49" i="2"/>
  <c r="D34" i="2"/>
  <c r="D198" i="2"/>
  <c r="D183" i="2"/>
  <c r="D162" i="2"/>
  <c r="D160" i="2"/>
  <c r="D158" i="2"/>
  <c r="D137" i="2"/>
  <c r="D121" i="2"/>
  <c r="D98" i="2"/>
  <c r="D95" i="2"/>
  <c r="D56" i="2"/>
  <c r="D41" i="2"/>
  <c r="D37" i="2"/>
  <c r="D128" i="2"/>
  <c r="D104" i="2"/>
  <c r="D207" i="2"/>
  <c r="D196" i="2"/>
  <c r="D237" i="2"/>
  <c r="D232" i="2"/>
  <c r="D227" i="2"/>
  <c r="D222" i="2"/>
  <c r="D217" i="2"/>
  <c r="D212" i="2"/>
  <c r="D123" i="2"/>
  <c r="D101" i="2"/>
  <c r="D66" i="2"/>
  <c r="D52" i="2"/>
  <c r="D76" i="2"/>
  <c r="D20" i="2"/>
  <c r="D118" i="2"/>
  <c r="D116" i="2"/>
  <c r="D114" i="2"/>
  <c r="D112" i="2"/>
  <c r="D110" i="2"/>
  <c r="D92" i="2"/>
  <c r="D85" i="2"/>
  <c r="D46" i="2"/>
  <c r="D22" i="2"/>
  <c r="D186" i="2"/>
  <c r="D181" i="2"/>
  <c r="D176" i="2"/>
  <c r="D171" i="2"/>
  <c r="D166" i="2"/>
  <c r="D161" i="2"/>
  <c r="D156" i="2"/>
  <c r="D151" i="2"/>
  <c r="D146" i="2"/>
  <c r="D141" i="2"/>
  <c r="D2" i="2"/>
  <c r="K8" i="3"/>
  <c r="J1" i="2" s="1"/>
  <c r="D103" i="2"/>
  <c r="D96" i="2"/>
  <c r="D89" i="2"/>
  <c r="D82" i="2"/>
  <c r="D134" i="2"/>
  <c r="D127" i="2"/>
  <c r="D24" i="2"/>
  <c r="D12" i="2"/>
  <c r="D75" i="2"/>
  <c r="D204" i="2"/>
  <c r="D199" i="2"/>
  <c r="D194" i="2"/>
  <c r="D189" i="2"/>
  <c r="D184" i="2"/>
  <c r="D179" i="2"/>
  <c r="D174" i="2"/>
  <c r="D169" i="2"/>
  <c r="D164" i="2"/>
  <c r="D159" i="2"/>
  <c r="D154" i="2"/>
  <c r="D149" i="2"/>
  <c r="D144" i="2"/>
  <c r="D139" i="2"/>
  <c r="D107" i="2"/>
  <c r="D84" i="2"/>
  <c r="D29" i="2"/>
  <c r="D42" i="2"/>
  <c r="D36" i="2"/>
  <c r="D108" i="2"/>
  <c r="D32" i="2"/>
  <c r="D30" i="2"/>
  <c r="D69" i="2"/>
  <c r="D17" i="2"/>
  <c r="D120" i="2"/>
  <c r="D65" i="2"/>
  <c r="D59" i="2"/>
  <c r="A3" i="3"/>
  <c r="A21" i="3"/>
  <c r="A41" i="3"/>
  <c r="A61" i="3"/>
  <c r="A81" i="3"/>
  <c r="A101" i="3"/>
  <c r="A121" i="3"/>
  <c r="A141" i="3"/>
  <c r="A161" i="3"/>
  <c r="A181" i="3"/>
  <c r="A201" i="3"/>
  <c r="A221" i="3"/>
  <c r="A241" i="3"/>
  <c r="A28" i="3"/>
  <c r="A48" i="3"/>
  <c r="A68" i="3"/>
  <c r="A88" i="3"/>
  <c r="A108" i="3"/>
  <c r="A128" i="3"/>
  <c r="A148" i="3"/>
  <c r="A168" i="3"/>
  <c r="A188" i="3"/>
  <c r="A208" i="3"/>
  <c r="A228" i="3"/>
  <c r="A9" i="3"/>
  <c r="A15" i="3"/>
  <c r="A35" i="3"/>
  <c r="A55" i="3"/>
  <c r="A75" i="3"/>
  <c r="A95" i="3"/>
  <c r="A115" i="3"/>
  <c r="A135" i="3"/>
  <c r="A155" i="3"/>
  <c r="A4" i="3"/>
  <c r="A22" i="3"/>
  <c r="A42" i="3"/>
  <c r="A62" i="3"/>
  <c r="A82" i="3"/>
  <c r="A102" i="3"/>
  <c r="A122" i="3"/>
  <c r="A142" i="3"/>
  <c r="A162" i="3"/>
  <c r="A182" i="3"/>
  <c r="A202" i="3"/>
  <c r="A222" i="3"/>
  <c r="A29" i="3"/>
  <c r="A49" i="3"/>
  <c r="A69" i="3"/>
  <c r="A89" i="3"/>
  <c r="A109" i="3"/>
  <c r="A129" i="3"/>
  <c r="A149" i="3"/>
  <c r="A169" i="3"/>
  <c r="A189" i="3"/>
  <c r="A209" i="3"/>
  <c r="A229" i="3"/>
  <c r="A5" i="3"/>
  <c r="A23" i="3"/>
  <c r="A43" i="3"/>
  <c r="A63" i="3"/>
  <c r="A83" i="3"/>
  <c r="A103" i="3"/>
  <c r="A123" i="3"/>
  <c r="A143" i="3"/>
  <c r="A163" i="3"/>
  <c r="A183" i="3"/>
  <c r="A203" i="3"/>
  <c r="A223" i="3"/>
  <c r="A243" i="3"/>
  <c r="A31" i="3"/>
  <c r="A59" i="3"/>
  <c r="A87" i="3"/>
  <c r="A117" i="3"/>
  <c r="A136" i="3"/>
  <c r="A145" i="3"/>
  <c r="A191" i="3"/>
  <c r="A226" i="3"/>
  <c r="A242" i="3"/>
  <c r="A12" i="3"/>
  <c r="A40" i="3"/>
  <c r="A70" i="3"/>
  <c r="A98" i="3"/>
  <c r="A126" i="3"/>
  <c r="A154" i="3"/>
  <c r="A173" i="3"/>
  <c r="A218" i="3"/>
  <c r="A235" i="3"/>
  <c r="A51" i="3"/>
  <c r="A79" i="3"/>
  <c r="A107" i="3"/>
  <c r="A137" i="3"/>
  <c r="A156" i="3"/>
  <c r="A165" i="3"/>
  <c r="A200" i="3"/>
  <c r="A210" i="3"/>
  <c r="A32" i="3"/>
  <c r="A60" i="3"/>
  <c r="A90" i="3"/>
  <c r="A118" i="3"/>
  <c r="A146" i="3"/>
  <c r="A192" i="3"/>
  <c r="A227" i="3"/>
  <c r="A6" i="3"/>
  <c r="A13" i="3"/>
  <c r="A71" i="3"/>
  <c r="A99" i="3"/>
  <c r="A127" i="3"/>
  <c r="A157" i="3"/>
  <c r="A174" i="3"/>
  <c r="A184" i="3"/>
  <c r="A219" i="3"/>
  <c r="A236" i="3"/>
  <c r="A251" i="3"/>
  <c r="A33" i="3"/>
  <c r="A91" i="3"/>
  <c r="A119" i="3"/>
  <c r="A147" i="3"/>
  <c r="A176" i="3"/>
  <c r="A193" i="3"/>
  <c r="A7" i="3"/>
  <c r="A16" i="3"/>
  <c r="A25" i="3"/>
  <c r="A53" i="3"/>
  <c r="A111" i="3"/>
  <c r="A139" i="3"/>
  <c r="A167" i="3"/>
  <c r="A177" i="3"/>
  <c r="A212" i="3"/>
  <c r="A245" i="3"/>
  <c r="A64" i="3"/>
  <c r="A77" i="3"/>
  <c r="A151" i="3"/>
  <c r="A164" i="3"/>
  <c r="A220" i="3"/>
  <c r="A244" i="3"/>
  <c r="A34" i="3"/>
  <c r="A47" i="3"/>
  <c r="A134" i="3"/>
  <c r="A166" i="3"/>
  <c r="A179" i="3"/>
  <c r="A206" i="3"/>
  <c r="A233" i="3"/>
  <c r="A65" i="3"/>
  <c r="A78" i="3"/>
  <c r="A110" i="3"/>
  <c r="A152" i="3"/>
  <c r="A195" i="3"/>
  <c r="A8" i="3"/>
  <c r="A20" i="3"/>
  <c r="A24" i="3"/>
  <c r="A66" i="3"/>
  <c r="A96" i="3"/>
  <c r="A140" i="3"/>
  <c r="A153" i="3"/>
  <c r="A170" i="3"/>
  <c r="A197" i="3"/>
  <c r="A211" i="3"/>
  <c r="A224" i="3"/>
  <c r="A237" i="3"/>
  <c r="A84" i="3"/>
  <c r="A97" i="3"/>
  <c r="A54" i="3"/>
  <c r="A67" i="3"/>
  <c r="A158" i="3"/>
  <c r="A171" i="3"/>
  <c r="A198" i="3"/>
  <c r="A225" i="3"/>
  <c r="A46" i="3"/>
  <c r="A72" i="3"/>
  <c r="A113" i="3"/>
  <c r="A230" i="3"/>
  <c r="A2" i="3"/>
  <c r="A26" i="3"/>
  <c r="A92" i="3"/>
  <c r="A175" i="3"/>
  <c r="A73" i="3"/>
  <c r="A93" i="3"/>
  <c r="A133" i="3"/>
  <c r="A194" i="3"/>
  <c r="A213" i="3"/>
  <c r="A231" i="3"/>
  <c r="A27" i="3"/>
  <c r="A50" i="3"/>
  <c r="A114" i="3"/>
  <c r="A159" i="3"/>
  <c r="A196" i="3"/>
  <c r="A52" i="3"/>
  <c r="A94" i="3"/>
  <c r="A116" i="3"/>
  <c r="A138" i="3"/>
  <c r="A246" i="3"/>
  <c r="A74" i="3"/>
  <c r="A178" i="3"/>
  <c r="A214" i="3"/>
  <c r="A232" i="3"/>
  <c r="A30" i="3"/>
  <c r="A56" i="3"/>
  <c r="A76" i="3"/>
  <c r="A160" i="3"/>
  <c r="A215" i="3"/>
  <c r="A247" i="3"/>
  <c r="A10" i="3"/>
  <c r="A120" i="3"/>
  <c r="A180" i="3"/>
  <c r="A234" i="3"/>
  <c r="A80" i="3"/>
  <c r="A199" i="3"/>
  <c r="A217" i="3"/>
  <c r="A14" i="3"/>
  <c r="A39" i="3"/>
  <c r="A85" i="3"/>
  <c r="A125" i="3"/>
  <c r="A132" i="3"/>
  <c r="A57" i="3"/>
  <c r="A100" i="3"/>
  <c r="A172" i="3"/>
  <c r="A11" i="3"/>
  <c r="A58" i="3"/>
  <c r="A144" i="3"/>
  <c r="A207" i="3"/>
  <c r="A240" i="3"/>
  <c r="A104" i="3"/>
  <c r="A185" i="3"/>
  <c r="A216" i="3"/>
  <c r="A186" i="3"/>
  <c r="A17" i="3"/>
  <c r="A105" i="3"/>
  <c r="A150" i="3"/>
  <c r="A106" i="3"/>
  <c r="A249" i="3"/>
  <c r="A187" i="3"/>
  <c r="A250" i="3"/>
  <c r="A18" i="3"/>
  <c r="A19" i="3"/>
  <c r="A112" i="3"/>
  <c r="A36" i="3"/>
  <c r="A190" i="3"/>
  <c r="A252" i="3"/>
  <c r="A253" i="3"/>
  <c r="A254" i="3"/>
  <c r="A86" i="3"/>
  <c r="A204" i="3"/>
  <c r="A124" i="3"/>
  <c r="A130" i="3"/>
  <c r="A205" i="3"/>
  <c r="A37" i="3"/>
  <c r="A131" i="3"/>
  <c r="A38" i="3"/>
  <c r="A239" i="3"/>
  <c r="A248" i="3"/>
  <c r="A44" i="3"/>
  <c r="A238" i="3"/>
  <c r="A45" i="3"/>
  <c r="D51" i="2"/>
  <c r="D4" i="2"/>
  <c r="D73" i="2"/>
  <c r="D68" i="2"/>
  <c r="D63" i="2"/>
  <c r="D58" i="2"/>
  <c r="D53" i="2"/>
  <c r="D48" i="2"/>
  <c r="D43" i="2"/>
  <c r="D38" i="2"/>
  <c r="AU16" i="16"/>
  <c r="AV16" i="16"/>
  <c r="AW16" i="16"/>
  <c r="AX16" i="16"/>
  <c r="AY16" i="16"/>
  <c r="AU10" i="16"/>
  <c r="AV10" i="16"/>
  <c r="AW10" i="16"/>
  <c r="AX10" i="16"/>
  <c r="AY10" i="16"/>
  <c r="AU37" i="16"/>
  <c r="AV37" i="16"/>
  <c r="AW37" i="16"/>
  <c r="AX37" i="16"/>
  <c r="AY37" i="16"/>
  <c r="AU45" i="15"/>
  <c r="AV45" i="15"/>
  <c r="AW45" i="15"/>
  <c r="AX45" i="15"/>
  <c r="AY45" i="15"/>
  <c r="AU10" i="15"/>
  <c r="AV10" i="15"/>
  <c r="AW10" i="15"/>
  <c r="AX10" i="15"/>
  <c r="AY10" i="15"/>
  <c r="AU46" i="15"/>
  <c r="AV46" i="15"/>
  <c r="AW46" i="15"/>
  <c r="AX46" i="15"/>
  <c r="AY46" i="15"/>
  <c r="AU46" i="16"/>
  <c r="AV46" i="16"/>
  <c r="AW46" i="16"/>
  <c r="AX46" i="16"/>
  <c r="AY46" i="16"/>
  <c r="K11" i="3"/>
  <c r="AU8" i="14"/>
  <c r="AV8" i="14"/>
  <c r="AW8" i="14"/>
  <c r="AX8" i="14"/>
  <c r="AY8" i="14"/>
  <c r="AU44" i="13"/>
  <c r="AV44" i="13"/>
  <c r="AW44" i="13"/>
  <c r="AX44" i="13"/>
  <c r="AY44" i="13"/>
  <c r="AU8" i="13"/>
  <c r="AV8" i="13"/>
  <c r="AW8" i="13"/>
  <c r="AX8" i="13"/>
  <c r="AY8" i="13"/>
  <c r="AU31" i="11"/>
  <c r="AV31" i="11"/>
  <c r="AW31" i="11"/>
  <c r="AX31" i="11"/>
  <c r="AY31" i="11"/>
  <c r="AU6" i="12"/>
  <c r="AV6" i="12"/>
  <c r="AW6" i="12"/>
  <c r="AX6" i="12"/>
  <c r="AY6" i="12"/>
  <c r="AU36" i="16"/>
  <c r="AV36" i="16"/>
  <c r="AW36" i="16"/>
  <c r="AX36" i="16"/>
  <c r="AY36" i="16"/>
  <c r="AU15" i="15"/>
  <c r="AV15" i="15"/>
  <c r="AW15" i="15"/>
  <c r="AX15" i="15"/>
  <c r="AY15" i="15"/>
  <c r="AU24" i="14"/>
  <c r="AV24" i="14"/>
  <c r="AW24" i="14"/>
  <c r="AX24" i="14"/>
  <c r="AY24" i="14"/>
  <c r="AU15" i="14"/>
  <c r="AV15" i="14"/>
  <c r="AW15" i="14"/>
  <c r="AX15" i="14"/>
  <c r="AY15" i="14"/>
  <c r="AU6" i="11"/>
  <c r="AV6" i="11"/>
  <c r="AW6" i="11"/>
  <c r="AX6" i="11"/>
  <c r="AY6" i="11"/>
  <c r="AU33" i="13"/>
  <c r="AV33" i="13"/>
  <c r="AW33" i="13"/>
  <c r="AX33" i="13"/>
  <c r="AY33" i="13"/>
  <c r="AU24" i="13"/>
  <c r="AV24" i="13"/>
  <c r="AW24" i="13"/>
  <c r="AX24" i="13"/>
  <c r="AY24" i="13"/>
  <c r="AU22" i="12"/>
  <c r="AV22" i="12"/>
  <c r="AW22" i="12"/>
  <c r="AX22" i="12"/>
  <c r="AY22" i="12"/>
  <c r="AU42" i="11"/>
  <c r="AV42" i="11"/>
  <c r="AW42" i="11"/>
  <c r="AX42" i="11"/>
  <c r="AY42" i="11"/>
  <c r="AU22" i="11"/>
  <c r="AV22" i="11"/>
  <c r="AW22" i="11"/>
  <c r="AX22" i="11"/>
  <c r="AY22" i="11"/>
  <c r="AU44" i="14"/>
  <c r="AV44" i="14"/>
  <c r="AW44" i="14"/>
  <c r="AX44" i="14"/>
  <c r="AY44" i="14"/>
  <c r="AU35" i="15"/>
  <c r="AV35" i="15"/>
  <c r="AW35" i="15"/>
  <c r="AX35" i="15"/>
  <c r="AY35" i="15"/>
  <c r="AU26" i="15"/>
  <c r="AV26" i="15"/>
  <c r="AW26" i="15"/>
  <c r="AX26" i="15"/>
  <c r="AY26" i="15"/>
  <c r="AU35" i="14"/>
  <c r="AV35" i="14"/>
  <c r="AW35" i="14"/>
  <c r="AX35" i="14"/>
  <c r="AY35" i="14"/>
  <c r="AU42" i="12"/>
  <c r="AV42" i="12"/>
  <c r="AW42" i="12"/>
  <c r="AX42" i="12"/>
  <c r="AY42" i="12"/>
  <c r="AU33" i="12"/>
  <c r="AV33" i="12"/>
  <c r="AW33" i="12"/>
  <c r="AX33" i="12"/>
  <c r="AY33" i="12"/>
  <c r="AU17" i="16"/>
  <c r="AV17" i="16"/>
  <c r="AW17" i="16"/>
  <c r="AX17" i="16"/>
  <c r="AY17" i="16"/>
  <c r="AU26" i="16"/>
  <c r="AV26" i="16"/>
  <c r="AW26" i="16"/>
  <c r="AX26" i="16"/>
  <c r="AY26" i="16"/>
  <c r="AY43" i="16"/>
  <c r="AY23" i="16"/>
  <c r="AY7" i="16"/>
  <c r="AY32" i="15"/>
  <c r="AY41" i="14"/>
  <c r="AY21" i="14"/>
  <c r="AY5" i="14"/>
  <c r="AY30" i="13"/>
  <c r="AY39" i="12"/>
  <c r="AY19" i="12"/>
  <c r="AY3" i="12"/>
  <c r="AX45" i="16"/>
  <c r="AV43" i="16"/>
  <c r="AX25" i="16"/>
  <c r="AV23" i="16"/>
  <c r="AX9" i="16"/>
  <c r="AV7" i="16"/>
  <c r="AX34" i="15"/>
  <c r="AV32" i="15"/>
  <c r="AY25" i="15"/>
  <c r="AY9" i="15"/>
  <c r="AV41" i="14"/>
  <c r="AY34" i="14"/>
  <c r="AV21" i="14"/>
  <c r="AV5" i="14"/>
  <c r="AY43" i="13"/>
  <c r="AV30" i="13"/>
  <c r="AY23" i="13"/>
  <c r="AY7" i="13"/>
  <c r="AV39" i="12"/>
  <c r="AY32" i="12"/>
  <c r="AV19" i="12"/>
  <c r="AV3" i="12"/>
  <c r="AY41" i="11"/>
  <c r="AY21" i="11"/>
  <c r="AW45" i="16"/>
  <c r="AV34" i="16"/>
  <c r="AW25" i="16"/>
  <c r="AW9" i="16"/>
  <c r="AV43" i="15"/>
  <c r="AW34" i="15"/>
  <c r="AX25" i="15"/>
  <c r="AV23" i="15"/>
  <c r="AX9" i="15"/>
  <c r="AV7" i="15"/>
  <c r="AW43" i="14"/>
  <c r="AX34" i="14"/>
  <c r="AV32" i="14"/>
  <c r="AW23" i="14"/>
  <c r="AW7" i="14"/>
  <c r="AX43" i="13"/>
  <c r="AV41" i="13"/>
  <c r="AW32" i="13"/>
  <c r="AX23" i="13"/>
  <c r="AV21" i="13"/>
  <c r="AX7" i="13"/>
  <c r="AW41" i="12"/>
  <c r="AX32" i="12"/>
  <c r="AX41" i="11"/>
  <c r="AX21" i="11"/>
  <c r="AV45" i="16"/>
  <c r="AY38" i="16"/>
  <c r="AV25" i="16"/>
  <c r="AY18" i="16"/>
  <c r="AV9" i="16"/>
  <c r="AY2" i="16"/>
  <c r="AY27" i="15"/>
  <c r="AW25" i="15"/>
  <c r="AY11" i="15"/>
  <c r="AW9" i="15"/>
  <c r="AV43" i="14"/>
  <c r="AY36" i="14"/>
  <c r="AW34" i="14"/>
  <c r="AV23" i="14"/>
  <c r="AY16" i="14"/>
  <c r="AV7" i="14"/>
  <c r="AY45" i="13"/>
  <c r="AW43" i="13"/>
  <c r="AY25" i="13"/>
  <c r="AW23" i="13"/>
  <c r="AW7" i="13"/>
  <c r="AW32" i="12"/>
  <c r="AW41" i="11"/>
  <c r="AW21" i="11"/>
  <c r="AX38" i="16"/>
  <c r="AX18" i="16"/>
  <c r="AX2" i="16"/>
  <c r="AX27" i="15"/>
  <c r="AV25" i="15"/>
  <c r="AX11" i="15"/>
  <c r="AV9" i="15"/>
  <c r="AX36" i="14"/>
  <c r="AV34" i="14"/>
  <c r="AX16" i="14"/>
  <c r="AX45" i="13"/>
  <c r="AV43" i="13"/>
  <c r="AV23" i="13"/>
  <c r="AV7" i="13"/>
  <c r="AV32" i="12"/>
  <c r="AV41" i="11"/>
  <c r="AV21" i="11"/>
  <c r="AV5" i="11"/>
  <c r="AW38" i="16"/>
  <c r="AW18" i="16"/>
  <c r="AW2" i="16"/>
  <c r="AW27" i="15"/>
  <c r="AW11" i="15"/>
  <c r="AW36" i="14"/>
  <c r="AW16" i="14"/>
  <c r="AW45" i="13"/>
  <c r="AW25" i="13"/>
  <c r="AX31" i="16"/>
  <c r="AX40" i="15"/>
  <c r="AX20" i="15"/>
  <c r="AX4" i="15"/>
  <c r="AX29" i="14"/>
  <c r="AX38" i="13"/>
  <c r="AX18" i="13"/>
  <c r="AY33" i="16"/>
  <c r="AW31" i="16"/>
  <c r="AY42" i="15"/>
  <c r="AW40" i="15"/>
  <c r="AY22" i="15"/>
  <c r="AW20" i="15"/>
  <c r="AY6" i="15"/>
  <c r="AW4" i="15"/>
  <c r="AY31" i="14"/>
  <c r="AW29" i="14"/>
  <c r="AW38" i="13"/>
  <c r="AW18" i="13"/>
  <c r="AY29" i="11"/>
  <c r="AX44" i="16"/>
  <c r="AY35" i="16"/>
  <c r="AW33" i="16"/>
  <c r="AX24" i="16"/>
  <c r="AY15" i="16"/>
  <c r="AX8" i="16"/>
  <c r="AY44" i="15"/>
  <c r="AW42" i="15"/>
  <c r="AX33" i="15"/>
  <c r="AY24" i="15"/>
  <c r="AW22" i="15"/>
  <c r="AY8" i="15"/>
  <c r="AW6" i="15"/>
  <c r="AX42" i="14"/>
  <c r="AY33" i="14"/>
  <c r="AW31" i="14"/>
  <c r="AX22" i="14"/>
  <c r="AX6" i="14"/>
  <c r="AY42" i="13"/>
  <c r="AW40" i="13"/>
  <c r="AX31" i="13"/>
  <c r="AY22" i="13"/>
  <c r="AW20" i="13"/>
  <c r="AY6" i="13"/>
  <c r="AW4" i="13"/>
  <c r="AX40" i="12"/>
  <c r="AY31" i="12"/>
  <c r="AW29" i="12"/>
  <c r="AX20" i="12"/>
  <c r="AX4" i="12"/>
  <c r="AY40" i="11"/>
  <c r="AW38" i="11"/>
  <c r="AX29" i="11"/>
  <c r="AY20" i="11"/>
  <c r="AY4" i="11"/>
  <c r="AV33" i="16"/>
  <c r="AV42" i="15"/>
  <c r="AV22" i="15"/>
  <c r="AV6" i="15"/>
  <c r="AV31" i="14"/>
  <c r="AW22" i="14"/>
  <c r="AW6" i="14"/>
  <c r="AX42" i="13"/>
  <c r="AW31" i="13"/>
  <c r="AX22" i="13"/>
  <c r="AX6" i="13"/>
  <c r="AW40" i="12"/>
  <c r="AX31" i="12"/>
  <c r="AW20" i="12"/>
  <c r="AW4" i="12"/>
  <c r="AX40" i="11"/>
  <c r="AW29" i="11"/>
  <c r="AX20" i="11"/>
  <c r="AX4" i="11"/>
  <c r="AV44" i="16"/>
  <c r="AW35" i="16"/>
  <c r="AV24" i="16"/>
  <c r="AW15" i="16"/>
  <c r="AV8" i="16"/>
  <c r="AW44" i="15"/>
  <c r="AV33" i="15"/>
  <c r="AW24" i="15"/>
  <c r="AW8" i="15"/>
  <c r="AV42" i="14"/>
  <c r="AW33" i="14"/>
  <c r="AV22" i="14"/>
  <c r="AV6" i="14"/>
  <c r="AW42" i="13"/>
  <c r="AV31" i="13"/>
  <c r="AW22" i="13"/>
  <c r="AW6" i="13"/>
  <c r="AV40" i="12"/>
  <c r="AW31" i="12"/>
  <c r="AV20" i="12"/>
  <c r="AV4" i="12"/>
  <c r="AW40" i="11"/>
  <c r="AV29" i="11"/>
  <c r="AW20" i="11"/>
  <c r="AW4" i="11"/>
  <c r="AY28" i="16"/>
  <c r="AY12" i="16"/>
  <c r="AY37" i="15"/>
  <c r="AY17" i="15"/>
  <c r="AY46" i="14"/>
  <c r="AY26" i="14"/>
  <c r="AY10" i="14"/>
  <c r="AV42" i="13"/>
  <c r="AY35" i="13"/>
  <c r="AV22" i="13"/>
  <c r="AY15" i="13"/>
  <c r="AV6" i="13"/>
  <c r="AY44" i="12"/>
  <c r="AV31" i="12"/>
  <c r="AY24" i="12"/>
  <c r="AY8" i="12"/>
  <c r="AV40" i="11"/>
  <c r="AY33" i="11"/>
  <c r="AV20" i="11"/>
  <c r="AV4" i="11"/>
  <c r="AX35" i="13"/>
  <c r="AX15" i="13"/>
  <c r="AX44" i="12"/>
  <c r="AY35" i="12"/>
  <c r="AX24" i="12"/>
  <c r="AY15" i="12"/>
  <c r="AX8" i="12"/>
  <c r="AY44" i="11"/>
  <c r="AX33" i="11"/>
  <c r="AY24" i="11"/>
  <c r="AY8" i="11"/>
  <c r="AW35" i="13"/>
  <c r="AX26" i="13"/>
  <c r="AY17" i="13"/>
  <c r="AW15" i="13"/>
  <c r="AX10" i="13"/>
  <c r="AY46" i="12"/>
  <c r="AW44" i="12"/>
  <c r="AX35" i="12"/>
  <c r="AY26" i="12"/>
  <c r="AW24" i="12"/>
  <c r="AX15" i="12"/>
  <c r="AY10" i="12"/>
  <c r="AW8" i="12"/>
  <c r="AX44" i="11"/>
  <c r="AY35" i="11"/>
  <c r="AW33" i="11"/>
  <c r="AX24" i="11"/>
  <c r="AY15" i="11"/>
  <c r="AX8" i="11"/>
  <c r="G30" i="2"/>
  <c r="G27" i="2"/>
  <c r="I49" i="2"/>
  <c r="D167" i="3"/>
  <c r="C364" i="3"/>
  <c r="C61" i="3"/>
  <c r="D41" i="3"/>
  <c r="C75" i="3"/>
  <c r="D35" i="3"/>
  <c r="C10" i="3"/>
  <c r="D209" i="3"/>
  <c r="C407" i="3"/>
  <c r="D153" i="3"/>
  <c r="C380" i="3"/>
  <c r="J17" i="2"/>
  <c r="C12" i="3"/>
  <c r="C270" i="3"/>
  <c r="C492" i="3"/>
  <c r="D183" i="3"/>
  <c r="D403" i="3"/>
  <c r="C118" i="3"/>
  <c r="C382" i="3"/>
  <c r="D43" i="3"/>
  <c r="D82" i="3"/>
  <c r="C329" i="3"/>
  <c r="B10" i="2"/>
  <c r="F38" i="2"/>
  <c r="D418" i="3"/>
  <c r="C93" i="3"/>
  <c r="H56" i="2"/>
  <c r="D400" i="3"/>
  <c r="D18" i="3"/>
  <c r="D341" i="3"/>
  <c r="D74" i="3"/>
  <c r="C216" i="3"/>
  <c r="C164" i="3"/>
  <c r="C391" i="3"/>
  <c r="F19" i="2"/>
  <c r="C281" i="3"/>
  <c r="H4" i="2"/>
  <c r="C415" i="3"/>
  <c r="D137" i="3"/>
  <c r="C393" i="3"/>
  <c r="D91" i="3"/>
  <c r="C340" i="3"/>
  <c r="J11" i="2"/>
  <c r="D401" i="3"/>
  <c r="C49" i="3"/>
  <c r="H51" i="2"/>
  <c r="C6" i="3"/>
  <c r="D327" i="3"/>
  <c r="D51" i="3"/>
  <c r="C134" i="3"/>
  <c r="D370" i="3"/>
  <c r="C167" i="3"/>
  <c r="I2" i="2"/>
  <c r="C358" i="3"/>
  <c r="D306" i="3"/>
  <c r="G25" i="2"/>
  <c r="C109" i="3"/>
  <c r="G9" i="2"/>
  <c r="G29" i="2"/>
  <c r="I12" i="2"/>
  <c r="C174" i="3"/>
  <c r="C374" i="3"/>
  <c r="C48" i="3"/>
  <c r="D88" i="3"/>
  <c r="C42" i="3"/>
  <c r="C16" i="3"/>
  <c r="C417" i="3"/>
  <c r="D22" i="3"/>
  <c r="C200" i="3"/>
  <c r="C52" i="3"/>
  <c r="J36" i="2"/>
  <c r="D386" i="3"/>
  <c r="G37" i="2"/>
  <c r="G58" i="2"/>
  <c r="G39" i="2"/>
  <c r="I45" i="2"/>
  <c r="D187" i="3"/>
  <c r="C384" i="3"/>
  <c r="C81" i="3"/>
  <c r="D61" i="3"/>
  <c r="C95" i="3"/>
  <c r="D55" i="3"/>
  <c r="D29" i="3"/>
  <c r="D229" i="3"/>
  <c r="C427" i="3"/>
  <c r="D172" i="3"/>
  <c r="C402" i="3"/>
  <c r="C5" i="3"/>
  <c r="D31" i="3"/>
  <c r="C292" i="3"/>
  <c r="C210" i="3"/>
  <c r="C426" i="3"/>
  <c r="C146" i="3"/>
  <c r="D404" i="3"/>
  <c r="D62" i="3"/>
  <c r="C100" i="3"/>
  <c r="C351" i="3"/>
  <c r="F13" i="2"/>
  <c r="B35" i="2"/>
  <c r="C388" i="3"/>
  <c r="D36" i="3"/>
  <c r="H46" i="2"/>
  <c r="C372" i="3"/>
  <c r="C33" i="2"/>
  <c r="C311" i="3"/>
  <c r="D101" i="3"/>
  <c r="D446" i="3"/>
  <c r="H29" i="2"/>
  <c r="C110" i="3"/>
  <c r="J24" i="2"/>
  <c r="D311" i="3"/>
  <c r="D324" i="3"/>
  <c r="C209" i="3"/>
  <c r="D92" i="3"/>
  <c r="D15" i="3"/>
  <c r="C360" i="3"/>
  <c r="C28" i="3"/>
  <c r="D392" i="3"/>
  <c r="H61" i="2"/>
  <c r="G53" i="2"/>
  <c r="G45" i="2"/>
  <c r="I39" i="2"/>
  <c r="C194" i="3"/>
  <c r="C394" i="3"/>
  <c r="D94" i="3"/>
  <c r="C68" i="3"/>
  <c r="D108" i="3"/>
  <c r="C62" i="3"/>
  <c r="C36" i="3"/>
  <c r="C236" i="3"/>
  <c r="C437" i="3"/>
  <c r="D181" i="3"/>
  <c r="C413" i="3"/>
  <c r="D20" i="3"/>
  <c r="C40" i="3"/>
  <c r="C303" i="3"/>
  <c r="H14" i="2"/>
  <c r="D218" i="3"/>
  <c r="D437" i="3"/>
  <c r="D165" i="3"/>
  <c r="D415" i="3"/>
  <c r="D71" i="3"/>
  <c r="D119" i="3"/>
  <c r="C362" i="3"/>
  <c r="B15" i="2"/>
  <c r="F33" i="2"/>
  <c r="D373" i="3"/>
  <c r="C19" i="3"/>
  <c r="H41" i="2"/>
  <c r="C356" i="3"/>
  <c r="G31" i="2"/>
  <c r="D297" i="3"/>
  <c r="C121" i="3"/>
  <c r="C59" i="3"/>
  <c r="D470" i="3"/>
  <c r="C158" i="3"/>
  <c r="D329" i="3"/>
  <c r="F24" i="2"/>
  <c r="D228" i="3"/>
  <c r="D46" i="3"/>
  <c r="D48" i="3"/>
  <c r="C349" i="3"/>
  <c r="H71" i="2"/>
  <c r="F14" i="2"/>
  <c r="J6" i="2"/>
  <c r="D54" i="3"/>
  <c r="D125" i="3"/>
  <c r="C481" i="3"/>
  <c r="C318" i="3"/>
  <c r="C64" i="3"/>
  <c r="H13" i="2"/>
  <c r="H22" i="2"/>
  <c r="G48" i="2"/>
  <c r="G12" i="2"/>
  <c r="I27" i="2"/>
  <c r="D8" i="3"/>
  <c r="D207" i="3"/>
  <c r="C404" i="3"/>
  <c r="C101" i="3"/>
  <c r="D81" i="3"/>
  <c r="C115" i="3"/>
  <c r="D75" i="3"/>
  <c r="D49" i="3"/>
  <c r="D249" i="3"/>
  <c r="C447" i="3"/>
  <c r="C199" i="3"/>
  <c r="D424" i="3"/>
  <c r="C31" i="3"/>
  <c r="D59" i="3"/>
  <c r="D314" i="3"/>
  <c r="D235" i="3"/>
  <c r="D448" i="3"/>
  <c r="C192" i="3"/>
  <c r="D426" i="3"/>
  <c r="C80" i="3"/>
  <c r="C130" i="3"/>
  <c r="C373" i="3"/>
  <c r="C7" i="3"/>
  <c r="J31" i="2"/>
  <c r="D357" i="3"/>
  <c r="D7" i="3"/>
  <c r="H36" i="2"/>
  <c r="C342" i="3"/>
  <c r="J29" i="2"/>
  <c r="D282" i="3"/>
  <c r="C424" i="3"/>
  <c r="C89" i="3"/>
  <c r="C449" i="3"/>
  <c r="J61" i="2"/>
  <c r="B28" i="2"/>
  <c r="G93" i="2"/>
  <c r="C69" i="3"/>
  <c r="J9" i="2"/>
  <c r="D206" i="3"/>
  <c r="C334" i="3"/>
  <c r="D156" i="3"/>
  <c r="C445" i="3"/>
  <c r="C41" i="3"/>
  <c r="C165" i="3"/>
  <c r="G35" i="2"/>
  <c r="C369" i="3"/>
  <c r="C432" i="3"/>
  <c r="G84" i="2"/>
  <c r="G49" i="2"/>
  <c r="I25" i="2"/>
  <c r="C14" i="3"/>
  <c r="C214" i="3"/>
  <c r="C414" i="3"/>
  <c r="D114" i="3"/>
  <c r="C88" i="3"/>
  <c r="D128" i="3"/>
  <c r="C82" i="3"/>
  <c r="C56" i="3"/>
  <c r="C257" i="3"/>
  <c r="C457" i="3"/>
  <c r="C208" i="3"/>
  <c r="D435" i="3"/>
  <c r="D50" i="3"/>
  <c r="C70" i="3"/>
  <c r="D325" i="3"/>
  <c r="H24" i="2"/>
  <c r="C243" i="3"/>
  <c r="D459" i="3"/>
  <c r="D200" i="3"/>
  <c r="C438" i="3"/>
  <c r="D99" i="3"/>
  <c r="C149" i="3"/>
  <c r="D384" i="3"/>
  <c r="C8" i="3"/>
  <c r="G26" i="2"/>
  <c r="C343" i="3"/>
  <c r="H136" i="2"/>
  <c r="H31" i="2"/>
  <c r="C328" i="3"/>
  <c r="C26" i="2"/>
  <c r="D266" i="3"/>
  <c r="D95" i="3"/>
  <c r="D217" i="3"/>
  <c r="D336" i="3"/>
  <c r="D210" i="3"/>
  <c r="D395" i="3"/>
  <c r="H131" i="2"/>
  <c r="C253" i="3"/>
  <c r="C114" i="3"/>
  <c r="C182" i="3"/>
  <c r="C191" i="3"/>
  <c r="D348" i="3"/>
  <c r="C273" i="3"/>
  <c r="H81" i="2"/>
  <c r="G50" i="2"/>
  <c r="C44" i="3"/>
  <c r="G23" i="2"/>
  <c r="C387" i="3"/>
  <c r="C90" i="3"/>
  <c r="D371" i="3"/>
  <c r="C354" i="3"/>
  <c r="D173" i="3"/>
  <c r="D123" i="3"/>
  <c r="G18" i="2"/>
  <c r="G32" i="2"/>
  <c r="G55" i="2"/>
  <c r="I23" i="2"/>
  <c r="D27" i="3"/>
  <c r="D227" i="3"/>
  <c r="C135" i="3"/>
  <c r="D69" i="3"/>
  <c r="C267" i="3"/>
  <c r="C467" i="3"/>
  <c r="D250" i="3"/>
  <c r="G36" i="2"/>
  <c r="G104" i="2"/>
  <c r="I21" i="2"/>
  <c r="C34" i="3"/>
  <c r="C234" i="3"/>
  <c r="C434" i="3"/>
  <c r="D134" i="3"/>
  <c r="C108" i="3"/>
  <c r="D148" i="3"/>
  <c r="C102" i="3"/>
  <c r="C76" i="3"/>
  <c r="C277" i="3"/>
  <c r="C477" i="3"/>
  <c r="D234" i="3"/>
  <c r="C458" i="3"/>
  <c r="D78" i="3"/>
  <c r="C98" i="3"/>
  <c r="C348" i="3"/>
  <c r="D12" i="3"/>
  <c r="D259" i="3"/>
  <c r="D481" i="3"/>
  <c r="C227" i="3"/>
  <c r="C460" i="3"/>
  <c r="C129" i="3"/>
  <c r="C185" i="3"/>
  <c r="D406" i="3"/>
  <c r="B60" i="2"/>
  <c r="C21" i="2"/>
  <c r="D312" i="3"/>
  <c r="H126" i="2"/>
  <c r="G24" i="2"/>
  <c r="C298" i="3"/>
  <c r="I22" i="2"/>
  <c r="D232" i="3"/>
  <c r="B3" i="2"/>
  <c r="D254" i="3"/>
  <c r="D133" i="3"/>
  <c r="C462" i="3"/>
  <c r="C11" i="2"/>
  <c r="F9" i="2"/>
  <c r="J12" i="2"/>
  <c r="C386" i="3"/>
  <c r="D215" i="3"/>
  <c r="D13" i="3"/>
  <c r="C222" i="3"/>
  <c r="C24" i="3"/>
  <c r="H2" i="2"/>
  <c r="G41" i="2"/>
  <c r="G111" i="2"/>
  <c r="I19" i="2"/>
  <c r="D47" i="3"/>
  <c r="D247" i="3"/>
  <c r="C444" i="3"/>
  <c r="C141" i="3"/>
  <c r="D121" i="3"/>
  <c r="C155" i="3"/>
  <c r="D115" i="3"/>
  <c r="D89" i="3"/>
  <c r="C287" i="3"/>
  <c r="C487" i="3"/>
  <c r="C249" i="3"/>
  <c r="C469" i="3"/>
  <c r="C87" i="3"/>
  <c r="D117" i="3"/>
  <c r="C359" i="3"/>
  <c r="C23" i="3"/>
  <c r="D270" i="3"/>
  <c r="D492" i="3"/>
  <c r="D243" i="3"/>
  <c r="C471" i="3"/>
  <c r="C138" i="3"/>
  <c r="D193" i="3"/>
  <c r="C418" i="3"/>
  <c r="F58" i="2"/>
  <c r="G17" i="2"/>
  <c r="C299" i="3"/>
  <c r="H121" i="2"/>
  <c r="J22" i="2"/>
  <c r="C283" i="3"/>
  <c r="B19" i="2"/>
  <c r="D205" i="3"/>
  <c r="C230" i="3"/>
  <c r="G13" i="2"/>
  <c r="D237" i="3"/>
  <c r="H101" i="2"/>
  <c r="D460" i="3"/>
  <c r="D14" i="3"/>
  <c r="D122" i="3"/>
  <c r="D9" i="3"/>
  <c r="D79" i="3"/>
  <c r="D462" i="3"/>
  <c r="C106" i="3"/>
  <c r="D63" i="3"/>
  <c r="I55" i="2"/>
  <c r="C196" i="3"/>
  <c r="B16" i="2"/>
  <c r="C72" i="3"/>
  <c r="D416" i="3"/>
  <c r="J387" i="2"/>
  <c r="J374" i="2"/>
  <c r="J494" i="2"/>
  <c r="J445" i="2"/>
  <c r="J426" i="2"/>
  <c r="J386" i="2"/>
  <c r="J489" i="2"/>
  <c r="J397" i="2"/>
  <c r="J479" i="2"/>
  <c r="J438" i="2"/>
  <c r="J432" i="2"/>
  <c r="J371" i="2"/>
  <c r="J469" i="2"/>
  <c r="J406" i="2"/>
  <c r="J369" i="2"/>
  <c r="J349" i="2"/>
  <c r="J394" i="2"/>
  <c r="J454" i="2"/>
  <c r="J474" i="2"/>
  <c r="J436" i="2"/>
  <c r="J422" i="2"/>
  <c r="J404" i="2"/>
  <c r="J366" i="2"/>
  <c r="J459" i="2"/>
  <c r="J437" i="2"/>
  <c r="J382" i="2"/>
  <c r="J392" i="2"/>
  <c r="J464" i="2"/>
  <c r="J412" i="2"/>
  <c r="J484" i="2"/>
  <c r="J421" i="2"/>
  <c r="J399" i="2"/>
  <c r="J428" i="2"/>
  <c r="J401" i="2"/>
  <c r="J434" i="2"/>
  <c r="J499" i="2"/>
  <c r="J446" i="2"/>
  <c r="J440" i="2"/>
  <c r="J402" i="2"/>
  <c r="J340" i="2"/>
  <c r="J256" i="2"/>
  <c r="J447" i="2"/>
  <c r="J296" i="2"/>
  <c r="J288" i="2"/>
  <c r="J38" i="2"/>
  <c r="J497" i="2"/>
  <c r="J492" i="2"/>
  <c r="J487" i="2"/>
  <c r="J482" i="2"/>
  <c r="J477" i="2"/>
  <c r="J472" i="2"/>
  <c r="J467" i="2"/>
  <c r="J462" i="2"/>
  <c r="J457" i="2"/>
  <c r="J452" i="2"/>
  <c r="J424" i="2"/>
  <c r="J335" i="2"/>
  <c r="J331" i="2"/>
  <c r="J315" i="2"/>
  <c r="J158" i="2"/>
  <c r="J377" i="2"/>
  <c r="J352" i="2"/>
  <c r="J308" i="2"/>
  <c r="J500" i="2"/>
  <c r="J490" i="2"/>
  <c r="J485" i="2"/>
  <c r="J480" i="2"/>
  <c r="J475" i="2"/>
  <c r="J470" i="2"/>
  <c r="J465" i="2"/>
  <c r="J460" i="2"/>
  <c r="J455" i="2"/>
  <c r="J450" i="2"/>
  <c r="J443" i="2"/>
  <c r="J430" i="2"/>
  <c r="J417" i="2"/>
  <c r="J342" i="2"/>
  <c r="J325" i="2"/>
  <c r="J286" i="2"/>
  <c r="J193" i="2"/>
  <c r="J495" i="2"/>
  <c r="J441" i="2"/>
  <c r="J419" i="2"/>
  <c r="J396" i="2"/>
  <c r="J389" i="2"/>
  <c r="J379" i="2"/>
  <c r="J384" i="2"/>
  <c r="J140" i="2"/>
  <c r="J448" i="2"/>
  <c r="J439" i="2"/>
  <c r="J391" i="2"/>
  <c r="J376" i="2"/>
  <c r="J354" i="2"/>
  <c r="J338" i="2"/>
  <c r="J498" i="2"/>
  <c r="J493" i="2"/>
  <c r="J488" i="2"/>
  <c r="J483" i="2"/>
  <c r="J478" i="2"/>
  <c r="J473" i="2"/>
  <c r="J468" i="2"/>
  <c r="J463" i="2"/>
  <c r="J458" i="2"/>
  <c r="J453" i="2"/>
  <c r="J381" i="2"/>
  <c r="J345" i="2"/>
  <c r="J324" i="2"/>
  <c r="J263" i="2"/>
  <c r="J414" i="2"/>
  <c r="J312" i="2"/>
  <c r="J244" i="2"/>
  <c r="J183" i="2"/>
  <c r="J359" i="2"/>
  <c r="J356" i="2"/>
  <c r="J333" i="2"/>
  <c r="J435" i="2"/>
  <c r="J416" i="2"/>
  <c r="J496" i="2"/>
  <c r="J486" i="2"/>
  <c r="J481" i="2"/>
  <c r="J476" i="2"/>
  <c r="J471" i="2"/>
  <c r="J466" i="2"/>
  <c r="J461" i="2"/>
  <c r="J456" i="2"/>
  <c r="J451" i="2"/>
  <c r="J444" i="2"/>
  <c r="J431" i="2"/>
  <c r="J328" i="2"/>
  <c r="J501" i="2"/>
  <c r="J491" i="2"/>
  <c r="J433" i="2"/>
  <c r="J429" i="2"/>
  <c r="J427" i="2"/>
  <c r="J347" i="2"/>
  <c r="J332" i="2"/>
  <c r="J172" i="2"/>
  <c r="J407" i="2"/>
  <c r="J449" i="2"/>
  <c r="J442" i="2"/>
  <c r="J409" i="2"/>
  <c r="J364" i="2"/>
  <c r="J361" i="2"/>
  <c r="J411" i="2"/>
  <c r="J310" i="2"/>
  <c r="J236" i="2"/>
  <c r="J205" i="2"/>
  <c r="J326" i="2"/>
  <c r="J303" i="2"/>
  <c r="J282" i="2"/>
  <c r="J276" i="2"/>
  <c r="J267" i="2"/>
  <c r="J260" i="2"/>
  <c r="J219" i="2"/>
  <c r="J293" i="2"/>
  <c r="J279" i="2"/>
  <c r="J189" i="2"/>
  <c r="J305" i="2"/>
  <c r="J298" i="2"/>
  <c r="J290" i="2"/>
  <c r="J273" i="2"/>
  <c r="J232" i="2"/>
  <c r="J223" i="2"/>
  <c r="J372" i="2"/>
  <c r="J367" i="2"/>
  <c r="J362" i="2"/>
  <c r="J357" i="2"/>
  <c r="J322" i="2"/>
  <c r="J316" i="2"/>
  <c r="J307" i="2"/>
  <c r="J300" i="2"/>
  <c r="J240" i="2"/>
  <c r="J204" i="2"/>
  <c r="J106" i="2"/>
  <c r="J350" i="2"/>
  <c r="J343" i="2"/>
  <c r="J336" i="2"/>
  <c r="J329" i="2"/>
  <c r="J320" i="2"/>
  <c r="J302" i="2"/>
  <c r="J295" i="2"/>
  <c r="J252" i="2"/>
  <c r="J198" i="2"/>
  <c r="J318" i="2"/>
  <c r="J281" i="2"/>
  <c r="J266" i="2"/>
  <c r="J259" i="2"/>
  <c r="J203" i="2"/>
  <c r="J425" i="2"/>
  <c r="J420" i="2"/>
  <c r="J415" i="2"/>
  <c r="J410" i="2"/>
  <c r="J405" i="2"/>
  <c r="J400" i="2"/>
  <c r="J395" i="2"/>
  <c r="J390" i="2"/>
  <c r="J385" i="2"/>
  <c r="J380" i="2"/>
  <c r="J375" i="2"/>
  <c r="J370" i="2"/>
  <c r="J365" i="2"/>
  <c r="J360" i="2"/>
  <c r="J355" i="2"/>
  <c r="J327" i="2"/>
  <c r="J297" i="2"/>
  <c r="J275" i="2"/>
  <c r="J124" i="2"/>
  <c r="J348" i="2"/>
  <c r="J341" i="2"/>
  <c r="J334" i="2"/>
  <c r="J311" i="2"/>
  <c r="J272" i="2"/>
  <c r="J217" i="2"/>
  <c r="J289" i="2"/>
  <c r="J251" i="2"/>
  <c r="J239" i="2"/>
  <c r="J175" i="2"/>
  <c r="J121" i="2"/>
  <c r="J221" i="2"/>
  <c r="J202" i="2"/>
  <c r="J197" i="2"/>
  <c r="J181" i="2"/>
  <c r="J423" i="2"/>
  <c r="J418" i="2"/>
  <c r="J413" i="2"/>
  <c r="J408" i="2"/>
  <c r="J403" i="2"/>
  <c r="J398" i="2"/>
  <c r="J393" i="2"/>
  <c r="J388" i="2"/>
  <c r="J383" i="2"/>
  <c r="J378" i="2"/>
  <c r="J373" i="2"/>
  <c r="J368" i="2"/>
  <c r="J363" i="2"/>
  <c r="J358" i="2"/>
  <c r="J353" i="2"/>
  <c r="J346" i="2"/>
  <c r="J339" i="2"/>
  <c r="J313" i="2"/>
  <c r="J283" i="2"/>
  <c r="J265" i="2"/>
  <c r="J120" i="2"/>
  <c r="J238" i="2"/>
  <c r="J191" i="2"/>
  <c r="J167" i="2"/>
  <c r="J160" i="2"/>
  <c r="J337" i="2"/>
  <c r="J330" i="2"/>
  <c r="J323" i="2"/>
  <c r="J317" i="2"/>
  <c r="J306" i="2"/>
  <c r="J196" i="2"/>
  <c r="J351" i="2"/>
  <c r="J344" i="2"/>
  <c r="J274" i="2"/>
  <c r="J321" i="2"/>
  <c r="J301" i="2"/>
  <c r="J142" i="2"/>
  <c r="J195" i="2"/>
  <c r="J233" i="2"/>
  <c r="J200" i="2"/>
  <c r="J165" i="2"/>
  <c r="J269" i="2"/>
  <c r="J262" i="2"/>
  <c r="J255" i="2"/>
  <c r="J192" i="2"/>
  <c r="J177" i="2"/>
  <c r="J129" i="2"/>
  <c r="J98" i="2"/>
  <c r="J253" i="2"/>
  <c r="J242" i="2"/>
  <c r="J218" i="2"/>
  <c r="J216" i="2"/>
  <c r="J214" i="2"/>
  <c r="J212" i="2"/>
  <c r="J163" i="2"/>
  <c r="J138" i="2"/>
  <c r="J103" i="2"/>
  <c r="J39" i="2"/>
  <c r="J194" i="2"/>
  <c r="J187" i="2"/>
  <c r="J152" i="2"/>
  <c r="J108" i="2"/>
  <c r="J97" i="2"/>
  <c r="J64" i="2"/>
  <c r="J28" i="2"/>
  <c r="J258" i="2"/>
  <c r="J249" i="2"/>
  <c r="J234" i="2"/>
  <c r="J228" i="2"/>
  <c r="J226" i="2"/>
  <c r="J224" i="2"/>
  <c r="J222" i="2"/>
  <c r="J184" i="2"/>
  <c r="J171" i="2"/>
  <c r="J146" i="2"/>
  <c r="J247" i="2"/>
  <c r="J230" i="2"/>
  <c r="J116" i="2"/>
  <c r="J90" i="2"/>
  <c r="J54" i="2"/>
  <c r="J291" i="2"/>
  <c r="J284" i="2"/>
  <c r="J277" i="2"/>
  <c r="J270" i="2"/>
  <c r="J245" i="2"/>
  <c r="J243" i="2"/>
  <c r="J213" i="2"/>
  <c r="J211" i="2"/>
  <c r="J209" i="2"/>
  <c r="J207" i="2"/>
  <c r="J131" i="2"/>
  <c r="J173" i="2"/>
  <c r="J148" i="2"/>
  <c r="J268" i="2"/>
  <c r="J261" i="2"/>
  <c r="J254" i="2"/>
  <c r="J241" i="2"/>
  <c r="J162" i="2"/>
  <c r="J137" i="2"/>
  <c r="J127" i="2"/>
  <c r="J23" i="2"/>
  <c r="J114" i="2"/>
  <c r="J156" i="2"/>
  <c r="J68" i="2"/>
  <c r="J294" i="2"/>
  <c r="J287" i="2"/>
  <c r="J280" i="2"/>
  <c r="J250" i="2"/>
  <c r="J248" i="2"/>
  <c r="J237" i="2"/>
  <c r="J231" i="2"/>
  <c r="J150" i="2"/>
  <c r="J130" i="2"/>
  <c r="J319" i="2"/>
  <c r="J314" i="2"/>
  <c r="J309" i="2"/>
  <c r="J304" i="2"/>
  <c r="J299" i="2"/>
  <c r="J235" i="2"/>
  <c r="J229" i="2"/>
  <c r="J206" i="2"/>
  <c r="J190" i="2"/>
  <c r="J161" i="2"/>
  <c r="J136" i="2"/>
  <c r="J75" i="2"/>
  <c r="J32" i="2"/>
  <c r="J19" i="2"/>
  <c r="J278" i="2"/>
  <c r="J271" i="2"/>
  <c r="J264" i="2"/>
  <c r="J257" i="2"/>
  <c r="J246" i="2"/>
  <c r="J227" i="2"/>
  <c r="J208" i="2"/>
  <c r="J185" i="2"/>
  <c r="J133" i="2"/>
  <c r="J59" i="2"/>
  <c r="J292" i="2"/>
  <c r="J285" i="2"/>
  <c r="J126" i="2"/>
  <c r="J147" i="2"/>
  <c r="J122" i="2"/>
  <c r="J99" i="2"/>
  <c r="J35" i="2"/>
  <c r="J105" i="2"/>
  <c r="J27" i="2"/>
  <c r="J18" i="2"/>
  <c r="J83" i="2"/>
  <c r="J49" i="2"/>
  <c r="J110" i="2"/>
  <c r="J92" i="2"/>
  <c r="J70" i="2"/>
  <c r="J52" i="2"/>
  <c r="J170" i="2"/>
  <c r="J168" i="2"/>
  <c r="J166" i="2"/>
  <c r="J145" i="2"/>
  <c r="J143" i="2"/>
  <c r="J141" i="2"/>
  <c r="J104" i="2"/>
  <c r="J30" i="2"/>
  <c r="J44" i="2"/>
  <c r="J225" i="2"/>
  <c r="J220" i="2"/>
  <c r="J215" i="2"/>
  <c r="J210" i="2"/>
  <c r="J69" i="2"/>
  <c r="J201" i="2"/>
  <c r="J188" i="2"/>
  <c r="J180" i="2"/>
  <c r="J178" i="2"/>
  <c r="J176" i="2"/>
  <c r="J155" i="2"/>
  <c r="J153" i="2"/>
  <c r="J151" i="2"/>
  <c r="J132" i="2"/>
  <c r="J112" i="2"/>
  <c r="J85" i="2"/>
  <c r="J73" i="2"/>
  <c r="J25" i="2"/>
  <c r="J16" i="2"/>
  <c r="J10" i="2"/>
  <c r="J3" i="2"/>
  <c r="J88" i="2"/>
  <c r="J20" i="2"/>
  <c r="J199" i="2"/>
  <c r="J186" i="2"/>
  <c r="J182" i="2"/>
  <c r="J157" i="2"/>
  <c r="J134" i="2"/>
  <c r="J125" i="2"/>
  <c r="J94" i="2"/>
  <c r="J40" i="2"/>
  <c r="J13" i="2"/>
  <c r="J179" i="2"/>
  <c r="J174" i="2"/>
  <c r="J169" i="2"/>
  <c r="J164" i="2"/>
  <c r="J159" i="2"/>
  <c r="J154" i="2"/>
  <c r="J149" i="2"/>
  <c r="J144" i="2"/>
  <c r="J139" i="2"/>
  <c r="J107" i="2"/>
  <c r="J58" i="2"/>
  <c r="J48" i="2"/>
  <c r="J84" i="2"/>
  <c r="J77" i="2"/>
  <c r="J60" i="2"/>
  <c r="J45" i="2"/>
  <c r="J21" i="2"/>
  <c r="J5" i="2"/>
  <c r="J123" i="2"/>
  <c r="J72" i="2"/>
  <c r="J65" i="2"/>
  <c r="J50" i="2"/>
  <c r="J119" i="2"/>
  <c r="J117" i="2"/>
  <c r="J115" i="2"/>
  <c r="J113" i="2"/>
  <c r="J79" i="2"/>
  <c r="J55" i="2"/>
  <c r="J42" i="2"/>
  <c r="J8" i="2"/>
  <c r="J62" i="2"/>
  <c r="J34" i="2"/>
  <c r="J15" i="2"/>
  <c r="J135" i="2"/>
  <c r="J128" i="2"/>
  <c r="J67" i="2"/>
  <c r="J26" i="2"/>
  <c r="J95" i="2"/>
  <c r="J82" i="2"/>
  <c r="J63" i="2"/>
  <c r="J57" i="2"/>
  <c r="J118" i="2"/>
  <c r="J111" i="2"/>
  <c r="J93" i="2"/>
  <c r="J80" i="2"/>
  <c r="J53" i="2"/>
  <c r="J47" i="2"/>
  <c r="J109" i="2"/>
  <c r="J102" i="2"/>
  <c r="J89" i="2"/>
  <c r="J78" i="2"/>
  <c r="J43" i="2"/>
  <c r="J37" i="2"/>
  <c r="J100" i="2"/>
  <c r="J87" i="2"/>
  <c r="J74" i="2"/>
  <c r="J33" i="2"/>
  <c r="J14" i="2"/>
  <c r="J101" i="2"/>
  <c r="J96" i="2"/>
  <c r="J91" i="2"/>
  <c r="J86" i="2"/>
  <c r="J81" i="2"/>
  <c r="J76" i="2"/>
  <c r="J71" i="2"/>
  <c r="J66" i="2"/>
  <c r="G46" i="2"/>
  <c r="G59" i="2"/>
  <c r="C54" i="3"/>
  <c r="C254" i="3"/>
  <c r="C454" i="3"/>
  <c r="D154" i="3"/>
  <c r="C128" i="3"/>
  <c r="D168" i="3"/>
  <c r="C122" i="3"/>
  <c r="C96" i="3"/>
  <c r="C297" i="3"/>
  <c r="C497" i="3"/>
  <c r="C258" i="3"/>
  <c r="C480" i="3"/>
  <c r="D106" i="3"/>
  <c r="C126" i="3"/>
  <c r="C370" i="3"/>
  <c r="D40" i="3"/>
  <c r="D281" i="3"/>
  <c r="I4" i="2"/>
  <c r="C260" i="3"/>
  <c r="C482" i="3"/>
  <c r="D157" i="3"/>
  <c r="D203" i="3"/>
  <c r="C429" i="3"/>
  <c r="J56" i="2"/>
  <c r="I15" i="2"/>
  <c r="C285" i="3"/>
  <c r="H116" i="2"/>
  <c r="C19" i="2"/>
  <c r="D267" i="3"/>
  <c r="F15" i="2"/>
  <c r="D192" i="3"/>
  <c r="C451" i="3"/>
  <c r="H106" i="2"/>
  <c r="J51" i="2"/>
  <c r="D220" i="3"/>
  <c r="D490" i="3"/>
  <c r="C176" i="3"/>
  <c r="B5" i="2"/>
  <c r="D21" i="3"/>
  <c r="C226" i="3"/>
  <c r="H66" i="2"/>
  <c r="C259" i="3"/>
  <c r="D355" i="3"/>
  <c r="G51" i="2"/>
  <c r="G65" i="2"/>
  <c r="D67" i="3"/>
  <c r="C264" i="3"/>
  <c r="C464" i="3"/>
  <c r="C161" i="3"/>
  <c r="D141" i="3"/>
  <c r="C175" i="3"/>
  <c r="D135" i="3"/>
  <c r="D109" i="3"/>
  <c r="C307" i="3"/>
  <c r="D4" i="3"/>
  <c r="C269" i="3"/>
  <c r="C491" i="3"/>
  <c r="C117" i="3"/>
  <c r="D145" i="3"/>
  <c r="C381" i="3"/>
  <c r="C51" i="3"/>
  <c r="D292" i="3"/>
  <c r="I9" i="2"/>
  <c r="C271" i="3"/>
  <c r="C493" i="3"/>
  <c r="C166" i="3"/>
  <c r="C220" i="3"/>
  <c r="C440" i="3"/>
  <c r="B55" i="2"/>
  <c r="I13" i="2"/>
  <c r="D268" i="3"/>
  <c r="H111" i="2"/>
  <c r="G15" i="2"/>
  <c r="D253" i="3"/>
  <c r="C489" i="3"/>
  <c r="D178" i="3"/>
  <c r="C244" i="3"/>
  <c r="C9" i="2"/>
  <c r="D120" i="3"/>
  <c r="D28" i="3"/>
  <c r="D97" i="3"/>
  <c r="C344" i="3"/>
  <c r="D138" i="3"/>
  <c r="D5" i="3"/>
  <c r="H20" i="2"/>
  <c r="G56" i="2"/>
  <c r="G113" i="2"/>
  <c r="C74" i="3"/>
  <c r="C274" i="3"/>
  <c r="C474" i="3"/>
  <c r="D174" i="3"/>
  <c r="C148" i="3"/>
  <c r="D188" i="3"/>
  <c r="C142" i="3"/>
  <c r="C116" i="3"/>
  <c r="C317" i="3"/>
  <c r="C280" i="3"/>
  <c r="J2" i="2"/>
  <c r="D136" i="3"/>
  <c r="C173" i="3"/>
  <c r="C392" i="3"/>
  <c r="D70" i="3"/>
  <c r="D303" i="3"/>
  <c r="I14" i="2"/>
  <c r="C282" i="3"/>
  <c r="D184" i="3"/>
  <c r="F53" i="2"/>
  <c r="C475" i="3"/>
  <c r="D226" i="3"/>
  <c r="G61" i="2"/>
  <c r="G120" i="2"/>
  <c r="D87" i="3"/>
  <c r="C284" i="3"/>
  <c r="C484" i="3"/>
  <c r="C181" i="3"/>
  <c r="D161" i="3"/>
  <c r="C195" i="3"/>
  <c r="D155" i="3"/>
  <c r="D129" i="3"/>
  <c r="C327" i="3"/>
  <c r="C20" i="3"/>
  <c r="C291" i="3"/>
  <c r="F4" i="2"/>
  <c r="C145" i="3"/>
  <c r="C183" i="3"/>
  <c r="C403" i="3"/>
  <c r="C79" i="3"/>
  <c r="C315" i="3"/>
  <c r="D23" i="3"/>
  <c r="C293" i="3"/>
  <c r="J4" i="2"/>
  <c r="D202" i="3"/>
  <c r="C245" i="3"/>
  <c r="J41" i="2"/>
  <c r="C154" i="3"/>
  <c r="G66" i="2"/>
  <c r="G10" i="2"/>
  <c r="C94" i="3"/>
  <c r="C294" i="3"/>
  <c r="C494" i="3"/>
  <c r="D194" i="3"/>
  <c r="C9" i="3"/>
  <c r="D208" i="3"/>
  <c r="C162" i="3"/>
  <c r="C136" i="3"/>
  <c r="C337" i="3"/>
  <c r="D39" i="3"/>
  <c r="C302" i="3"/>
  <c r="B6" i="2"/>
  <c r="D164" i="3"/>
  <c r="D191" i="3"/>
  <c r="D414" i="3"/>
  <c r="D98" i="3"/>
  <c r="C326" i="3"/>
  <c r="C32" i="3"/>
  <c r="D304" i="3"/>
  <c r="F6" i="2"/>
  <c r="C211" i="3"/>
  <c r="C252" i="3"/>
  <c r="C473" i="3"/>
  <c r="B50" i="2"/>
  <c r="B7" i="2"/>
  <c r="D233" i="3"/>
  <c r="H96" i="2"/>
  <c r="G4" i="2"/>
  <c r="C193" i="3"/>
  <c r="D444" i="3"/>
  <c r="C105" i="3"/>
  <c r="C314" i="3"/>
  <c r="C156" i="3"/>
  <c r="D126" i="3"/>
  <c r="C229" i="3"/>
  <c r="J46" i="2"/>
  <c r="C416" i="3"/>
  <c r="D3" i="3"/>
  <c r="C459" i="3"/>
  <c r="F43" i="2"/>
  <c r="C55" i="3"/>
  <c r="C250" i="3"/>
  <c r="C446" i="3"/>
  <c r="C22" i="3"/>
  <c r="B40" i="2"/>
  <c r="G71" i="2"/>
  <c r="G69" i="2"/>
  <c r="D107" i="3"/>
  <c r="C304" i="3"/>
  <c r="C3" i="3"/>
  <c r="C201" i="3"/>
  <c r="C15" i="3"/>
  <c r="C215" i="3"/>
  <c r="D175" i="3"/>
  <c r="D149" i="3"/>
  <c r="C347" i="3"/>
  <c r="C50" i="3"/>
  <c r="C313" i="3"/>
  <c r="J7" i="2"/>
  <c r="D182" i="3"/>
  <c r="C218" i="3"/>
  <c r="D425" i="3"/>
  <c r="C107" i="3"/>
  <c r="D337" i="3"/>
  <c r="D42" i="3"/>
  <c r="D315" i="3"/>
  <c r="B8" i="2"/>
  <c r="D219" i="3"/>
  <c r="C262" i="3"/>
  <c r="D484" i="3"/>
  <c r="F48" i="2"/>
  <c r="G2" i="2"/>
  <c r="D222" i="3"/>
  <c r="H86" i="2"/>
  <c r="D489" i="3"/>
  <c r="C151" i="3"/>
  <c r="D430" i="3"/>
  <c r="C92" i="3"/>
  <c r="D214" i="3"/>
  <c r="C357" i="3"/>
  <c r="D436" i="3"/>
  <c r="D326" i="3"/>
  <c r="D495" i="3"/>
  <c r="D475" i="3"/>
  <c r="D6" i="3"/>
  <c r="G38" i="2"/>
  <c r="D189" i="3"/>
  <c r="D381" i="3"/>
  <c r="C77" i="3"/>
  <c r="D68" i="3"/>
  <c r="C371" i="3"/>
  <c r="G43" i="2"/>
  <c r="G72" i="2"/>
  <c r="D127" i="3"/>
  <c r="C324" i="3"/>
  <c r="C21" i="3"/>
  <c r="C221" i="3"/>
  <c r="C35" i="3"/>
  <c r="C4" i="3"/>
  <c r="D195" i="3"/>
  <c r="D169" i="3"/>
  <c r="C367" i="3"/>
  <c r="C78" i="3"/>
  <c r="D335" i="3"/>
  <c r="B11" i="2"/>
  <c r="D199" i="3"/>
  <c r="C235" i="3"/>
  <c r="C448" i="3"/>
  <c r="C137" i="3"/>
  <c r="D359" i="3"/>
  <c r="C60" i="3"/>
  <c r="C338" i="3"/>
  <c r="F11" i="2"/>
  <c r="D33" i="3"/>
  <c r="D284" i="3"/>
  <c r="F3" i="2"/>
  <c r="B45" i="2"/>
  <c r="D476" i="3"/>
  <c r="D179" i="3"/>
  <c r="H76" i="2"/>
  <c r="C461" i="3"/>
  <c r="D105" i="3"/>
  <c r="C400" i="3"/>
  <c r="C33" i="3"/>
  <c r="G21" i="2"/>
  <c r="D34" i="3"/>
  <c r="C202" i="3"/>
  <c r="C377" i="3"/>
  <c r="D346" i="3"/>
  <c r="D242" i="3"/>
  <c r="D295" i="3"/>
  <c r="C18" i="3"/>
  <c r="D147" i="3"/>
  <c r="C470" i="3"/>
  <c r="C431" i="3"/>
  <c r="C397" i="3"/>
  <c r="F8" i="2"/>
  <c r="K76" i="2" l="1"/>
  <c r="E76" i="2" s="1"/>
  <c r="D45" i="2"/>
  <c r="K72" i="2"/>
  <c r="E72" i="2" s="1"/>
  <c r="K43" i="2"/>
  <c r="E43" i="2" s="1"/>
  <c r="K38" i="2"/>
  <c r="E38" i="2" s="1"/>
  <c r="K86" i="2"/>
  <c r="E86" i="2" s="1"/>
  <c r="K2" i="2"/>
  <c r="D8" i="2"/>
  <c r="K69" i="2"/>
  <c r="E69" i="2" s="1"/>
  <c r="K71" i="2"/>
  <c r="E71" i="2" s="1"/>
  <c r="D40" i="2"/>
  <c r="K4" i="2"/>
  <c r="E4" i="2" s="1"/>
  <c r="K96" i="2"/>
  <c r="E96" i="2" s="1"/>
  <c r="D7" i="2"/>
  <c r="D50" i="2"/>
  <c r="D6" i="2"/>
  <c r="K66" i="2"/>
  <c r="E66" i="2" s="1"/>
  <c r="K120" i="2"/>
  <c r="E120" i="2" s="1"/>
  <c r="K61" i="2"/>
  <c r="E61" i="2" s="1"/>
  <c r="K113" i="2"/>
  <c r="E113" i="2" s="1"/>
  <c r="K56" i="2"/>
  <c r="E56" i="2" s="1"/>
  <c r="K20" i="2"/>
  <c r="E20" i="2" s="1"/>
  <c r="D9" i="2"/>
  <c r="D55" i="2"/>
  <c r="K65" i="2"/>
  <c r="E65" i="2" s="1"/>
  <c r="K51" i="2"/>
  <c r="E51" i="2" s="1"/>
  <c r="D5" i="2"/>
  <c r="K106" i="2"/>
  <c r="E106" i="2" s="1"/>
  <c r="D19" i="2"/>
  <c r="K116" i="2"/>
  <c r="E116" i="2" s="1"/>
  <c r="K59" i="2"/>
  <c r="E59" i="2" s="1"/>
  <c r="K46" i="2"/>
  <c r="E46" i="2" s="1"/>
  <c r="K91" i="2"/>
  <c r="E91" i="2" s="1"/>
  <c r="K33" i="2"/>
  <c r="E33" i="2" s="1"/>
  <c r="K74" i="2"/>
  <c r="E74" i="2" s="1"/>
  <c r="K87" i="2"/>
  <c r="E87" i="2" s="1"/>
  <c r="K100" i="2"/>
  <c r="E100" i="2" s="1"/>
  <c r="K78" i="2"/>
  <c r="E78" i="2" s="1"/>
  <c r="K89" i="2"/>
  <c r="E89" i="2" s="1"/>
  <c r="K102" i="2"/>
  <c r="E102" i="2" s="1"/>
  <c r="K109" i="2"/>
  <c r="E109" i="2" s="1"/>
  <c r="K47" i="2"/>
  <c r="E47" i="2" s="1"/>
  <c r="K80" i="2"/>
  <c r="E80" i="2" s="1"/>
  <c r="K118" i="2"/>
  <c r="E118" i="2" s="1"/>
  <c r="K57" i="2"/>
  <c r="E57" i="2" s="1"/>
  <c r="K63" i="2"/>
  <c r="E63" i="2" s="1"/>
  <c r="K82" i="2"/>
  <c r="E82" i="2" s="1"/>
  <c r="K95" i="2"/>
  <c r="E95" i="2" s="1"/>
  <c r="K67" i="2"/>
  <c r="E67" i="2" s="1"/>
  <c r="K128" i="2"/>
  <c r="E128" i="2" s="1"/>
  <c r="K135" i="2"/>
  <c r="E135" i="2" s="1"/>
  <c r="K34" i="2"/>
  <c r="E34" i="2" s="1"/>
  <c r="K62" i="2"/>
  <c r="E62" i="2" s="1"/>
  <c r="K42" i="2"/>
  <c r="E42" i="2" s="1"/>
  <c r="K79" i="2"/>
  <c r="E79" i="2" s="1"/>
  <c r="K115" i="2"/>
  <c r="E115" i="2" s="1"/>
  <c r="K117" i="2"/>
  <c r="E117" i="2" s="1"/>
  <c r="K119" i="2"/>
  <c r="E119" i="2" s="1"/>
  <c r="K123" i="2"/>
  <c r="E123" i="2" s="1"/>
  <c r="K60" i="2"/>
  <c r="E60" i="2" s="1"/>
  <c r="K77" i="2"/>
  <c r="E77" i="2" s="1"/>
  <c r="K107" i="2"/>
  <c r="E107" i="2" s="1"/>
  <c r="K139" i="2"/>
  <c r="E139" i="2" s="1"/>
  <c r="K144" i="2"/>
  <c r="E144" i="2" s="1"/>
  <c r="K149" i="2"/>
  <c r="E149" i="2" s="1"/>
  <c r="K154" i="2"/>
  <c r="E154" i="2" s="1"/>
  <c r="K159" i="2"/>
  <c r="E159" i="2" s="1"/>
  <c r="K164" i="2"/>
  <c r="E164" i="2" s="1"/>
  <c r="K169" i="2"/>
  <c r="E169" i="2" s="1"/>
  <c r="K174" i="2"/>
  <c r="E174" i="2" s="1"/>
  <c r="K179" i="2"/>
  <c r="E179" i="2" s="1"/>
  <c r="K40" i="2"/>
  <c r="E40" i="2" s="1"/>
  <c r="K94" i="2"/>
  <c r="E94" i="2" s="1"/>
  <c r="K125" i="2"/>
  <c r="E125" i="2" s="1"/>
  <c r="K134" i="2"/>
  <c r="E134" i="2" s="1"/>
  <c r="K157" i="2"/>
  <c r="E157" i="2" s="1"/>
  <c r="K182" i="2"/>
  <c r="E182" i="2" s="1"/>
  <c r="K186" i="2"/>
  <c r="E186" i="2" s="1"/>
  <c r="K199" i="2"/>
  <c r="E199" i="2" s="1"/>
  <c r="K88" i="2"/>
  <c r="E88" i="2" s="1"/>
  <c r="K73" i="2"/>
  <c r="E73" i="2" s="1"/>
  <c r="K85" i="2"/>
  <c r="E85" i="2" s="1"/>
  <c r="K112" i="2"/>
  <c r="E112" i="2" s="1"/>
  <c r="K132" i="2"/>
  <c r="E132" i="2" s="1"/>
  <c r="K151" i="2"/>
  <c r="E151" i="2" s="1"/>
  <c r="K153" i="2"/>
  <c r="E153" i="2" s="1"/>
  <c r="K155" i="2"/>
  <c r="E155" i="2" s="1"/>
  <c r="K176" i="2"/>
  <c r="E176" i="2" s="1"/>
  <c r="K178" i="2"/>
  <c r="E178" i="2" s="1"/>
  <c r="K180" i="2"/>
  <c r="E180" i="2" s="1"/>
  <c r="K188" i="2"/>
  <c r="E188" i="2" s="1"/>
  <c r="K201" i="2"/>
  <c r="E201" i="2" s="1"/>
  <c r="K210" i="2"/>
  <c r="E210" i="2" s="1"/>
  <c r="K215" i="2"/>
  <c r="E215" i="2" s="1"/>
  <c r="K220" i="2"/>
  <c r="E220" i="2" s="1"/>
  <c r="K225" i="2"/>
  <c r="E225" i="2" s="1"/>
  <c r="K44" i="2"/>
  <c r="E44" i="2" s="1"/>
  <c r="K141" i="2"/>
  <c r="E141" i="2" s="1"/>
  <c r="K143" i="2"/>
  <c r="E143" i="2" s="1"/>
  <c r="K145" i="2"/>
  <c r="E145" i="2" s="1"/>
  <c r="K166" i="2"/>
  <c r="E166" i="2" s="1"/>
  <c r="K168" i="2"/>
  <c r="E168" i="2" s="1"/>
  <c r="K170" i="2"/>
  <c r="E170" i="2" s="1"/>
  <c r="K52" i="2"/>
  <c r="E52" i="2" s="1"/>
  <c r="K70" i="2"/>
  <c r="E70" i="2" s="1"/>
  <c r="K92" i="2"/>
  <c r="E92" i="2" s="1"/>
  <c r="K110" i="2"/>
  <c r="E110" i="2" s="1"/>
  <c r="K83" i="2"/>
  <c r="E83" i="2" s="1"/>
  <c r="K105" i="2"/>
  <c r="E105" i="2" s="1"/>
  <c r="K99" i="2"/>
  <c r="E99" i="2" s="1"/>
  <c r="K122" i="2"/>
  <c r="E122" i="2" s="1"/>
  <c r="K147" i="2"/>
  <c r="E147" i="2" s="1"/>
  <c r="K285" i="2"/>
  <c r="E285" i="2" s="1"/>
  <c r="K292" i="2"/>
  <c r="E292" i="2" s="1"/>
  <c r="K133" i="2"/>
  <c r="E133" i="2" s="1"/>
  <c r="K185" i="2"/>
  <c r="E185" i="2" s="1"/>
  <c r="K208" i="2"/>
  <c r="E208" i="2" s="1"/>
  <c r="K227" i="2"/>
  <c r="E227" i="2" s="1"/>
  <c r="K246" i="2"/>
  <c r="E246" i="2" s="1"/>
  <c r="K257" i="2"/>
  <c r="E257" i="2" s="1"/>
  <c r="K264" i="2"/>
  <c r="E264" i="2" s="1"/>
  <c r="K271" i="2"/>
  <c r="E271" i="2" s="1"/>
  <c r="K278" i="2"/>
  <c r="E278" i="2" s="1"/>
  <c r="K75" i="2"/>
  <c r="E75" i="2" s="1"/>
  <c r="K161" i="2"/>
  <c r="E161" i="2" s="1"/>
  <c r="K190" i="2"/>
  <c r="E190" i="2" s="1"/>
  <c r="K206" i="2"/>
  <c r="E206" i="2" s="1"/>
  <c r="K229" i="2"/>
  <c r="E229" i="2" s="1"/>
  <c r="K235" i="2"/>
  <c r="E235" i="2" s="1"/>
  <c r="K299" i="2"/>
  <c r="E299" i="2" s="1"/>
  <c r="K304" i="2"/>
  <c r="E304" i="2" s="1"/>
  <c r="K309" i="2"/>
  <c r="E309" i="2" s="1"/>
  <c r="K314" i="2"/>
  <c r="E314" i="2" s="1"/>
  <c r="K319" i="2"/>
  <c r="E319" i="2" s="1"/>
  <c r="K130" i="2"/>
  <c r="E130" i="2" s="1"/>
  <c r="K150" i="2"/>
  <c r="E150" i="2" s="1"/>
  <c r="K231" i="2"/>
  <c r="E231" i="2" s="1"/>
  <c r="K237" i="2"/>
  <c r="E237" i="2" s="1"/>
  <c r="K248" i="2"/>
  <c r="E248" i="2" s="1"/>
  <c r="K250" i="2"/>
  <c r="E250" i="2" s="1"/>
  <c r="K280" i="2"/>
  <c r="E280" i="2" s="1"/>
  <c r="K287" i="2"/>
  <c r="E287" i="2" s="1"/>
  <c r="K294" i="2"/>
  <c r="E294" i="2" s="1"/>
  <c r="K68" i="2"/>
  <c r="E68" i="2" s="1"/>
  <c r="K156" i="2"/>
  <c r="E156" i="2" s="1"/>
  <c r="K114" i="2"/>
  <c r="E114" i="2" s="1"/>
  <c r="K127" i="2"/>
  <c r="E127" i="2" s="1"/>
  <c r="K137" i="2"/>
  <c r="E137" i="2" s="1"/>
  <c r="K162" i="2"/>
  <c r="E162" i="2" s="1"/>
  <c r="K241" i="2"/>
  <c r="E241" i="2" s="1"/>
  <c r="K254" i="2"/>
  <c r="E254" i="2" s="1"/>
  <c r="K261" i="2"/>
  <c r="E261" i="2" s="1"/>
  <c r="K268" i="2"/>
  <c r="E268" i="2" s="1"/>
  <c r="K148" i="2"/>
  <c r="E148" i="2" s="1"/>
  <c r="K173" i="2"/>
  <c r="E173" i="2" s="1"/>
  <c r="K207" i="2"/>
  <c r="E207" i="2" s="1"/>
  <c r="K209" i="2"/>
  <c r="E209" i="2" s="1"/>
  <c r="K211" i="2"/>
  <c r="E211" i="2" s="1"/>
  <c r="K213" i="2"/>
  <c r="E213" i="2" s="1"/>
  <c r="K243" i="2"/>
  <c r="E243" i="2" s="1"/>
  <c r="K245" i="2"/>
  <c r="E245" i="2" s="1"/>
  <c r="K270" i="2"/>
  <c r="E270" i="2" s="1"/>
  <c r="K277" i="2"/>
  <c r="E277" i="2" s="1"/>
  <c r="K284" i="2"/>
  <c r="E284" i="2" s="1"/>
  <c r="K291" i="2"/>
  <c r="E291" i="2" s="1"/>
  <c r="K54" i="2"/>
  <c r="E54" i="2" s="1"/>
  <c r="K90" i="2"/>
  <c r="E90" i="2" s="1"/>
  <c r="K230" i="2"/>
  <c r="E230" i="2" s="1"/>
  <c r="K247" i="2"/>
  <c r="E247" i="2" s="1"/>
  <c r="K146" i="2"/>
  <c r="E146" i="2" s="1"/>
  <c r="K171" i="2"/>
  <c r="E171" i="2" s="1"/>
  <c r="K184" i="2"/>
  <c r="E184" i="2" s="1"/>
  <c r="K222" i="2"/>
  <c r="E222" i="2" s="1"/>
  <c r="K224" i="2"/>
  <c r="E224" i="2" s="1"/>
  <c r="K226" i="2"/>
  <c r="E226" i="2" s="1"/>
  <c r="K228" i="2"/>
  <c r="E228" i="2" s="1"/>
  <c r="K234" i="2"/>
  <c r="E234" i="2" s="1"/>
  <c r="K249" i="2"/>
  <c r="E249" i="2" s="1"/>
  <c r="K258" i="2"/>
  <c r="E258" i="2" s="1"/>
  <c r="K28" i="2"/>
  <c r="E28" i="2" s="1"/>
  <c r="K64" i="2"/>
  <c r="E64" i="2" s="1"/>
  <c r="K97" i="2"/>
  <c r="E97" i="2" s="1"/>
  <c r="K108" i="2"/>
  <c r="E108" i="2" s="1"/>
  <c r="K152" i="2"/>
  <c r="E152" i="2" s="1"/>
  <c r="K187" i="2"/>
  <c r="E187" i="2" s="1"/>
  <c r="K194" i="2"/>
  <c r="E194" i="2" s="1"/>
  <c r="K103" i="2"/>
  <c r="E103" i="2" s="1"/>
  <c r="K138" i="2"/>
  <c r="E138" i="2" s="1"/>
  <c r="K163" i="2"/>
  <c r="E163" i="2" s="1"/>
  <c r="K212" i="2"/>
  <c r="E212" i="2" s="1"/>
  <c r="K214" i="2"/>
  <c r="E214" i="2" s="1"/>
  <c r="K216" i="2"/>
  <c r="E216" i="2" s="1"/>
  <c r="K218" i="2"/>
  <c r="E218" i="2" s="1"/>
  <c r="K242" i="2"/>
  <c r="E242" i="2" s="1"/>
  <c r="K253" i="2"/>
  <c r="E253" i="2" s="1"/>
  <c r="K98" i="2"/>
  <c r="E98" i="2" s="1"/>
  <c r="K129" i="2"/>
  <c r="E129" i="2" s="1"/>
  <c r="K177" i="2"/>
  <c r="E177" i="2" s="1"/>
  <c r="K192" i="2"/>
  <c r="E192" i="2" s="1"/>
  <c r="K255" i="2"/>
  <c r="E255" i="2" s="1"/>
  <c r="K262" i="2"/>
  <c r="E262" i="2" s="1"/>
  <c r="K269" i="2"/>
  <c r="E269" i="2" s="1"/>
  <c r="K165" i="2"/>
  <c r="E165" i="2" s="1"/>
  <c r="K200" i="2"/>
  <c r="E200" i="2" s="1"/>
  <c r="K233" i="2"/>
  <c r="E233" i="2" s="1"/>
  <c r="K195" i="2"/>
  <c r="E195" i="2" s="1"/>
  <c r="K142" i="2"/>
  <c r="E142" i="2" s="1"/>
  <c r="K301" i="2"/>
  <c r="E301" i="2" s="1"/>
  <c r="K321" i="2"/>
  <c r="E321" i="2" s="1"/>
  <c r="K274" i="2"/>
  <c r="E274" i="2" s="1"/>
  <c r="K344" i="2"/>
  <c r="E344" i="2" s="1"/>
  <c r="K351" i="2"/>
  <c r="E351" i="2" s="1"/>
  <c r="K196" i="2"/>
  <c r="E196" i="2" s="1"/>
  <c r="K306" i="2"/>
  <c r="E306" i="2" s="1"/>
  <c r="K317" i="2"/>
  <c r="E317" i="2" s="1"/>
  <c r="K323" i="2"/>
  <c r="E323" i="2" s="1"/>
  <c r="K330" i="2"/>
  <c r="E330" i="2" s="1"/>
  <c r="K337" i="2"/>
  <c r="E337" i="2" s="1"/>
  <c r="K160" i="2"/>
  <c r="E160" i="2" s="1"/>
  <c r="K167" i="2"/>
  <c r="E167" i="2" s="1"/>
  <c r="K191" i="2"/>
  <c r="E191" i="2" s="1"/>
  <c r="K238" i="2"/>
  <c r="E238" i="2" s="1"/>
  <c r="K265" i="2"/>
  <c r="E265" i="2" s="1"/>
  <c r="K283" i="2"/>
  <c r="E283" i="2" s="1"/>
  <c r="K313" i="2"/>
  <c r="E313" i="2" s="1"/>
  <c r="K339" i="2"/>
  <c r="E339" i="2" s="1"/>
  <c r="K346" i="2"/>
  <c r="E346" i="2" s="1"/>
  <c r="K353" i="2"/>
  <c r="E353" i="2" s="1"/>
  <c r="K358" i="2"/>
  <c r="E358" i="2" s="1"/>
  <c r="K363" i="2"/>
  <c r="E363" i="2" s="1"/>
  <c r="K368" i="2"/>
  <c r="E368" i="2" s="1"/>
  <c r="K373" i="2"/>
  <c r="E373" i="2" s="1"/>
  <c r="K378" i="2"/>
  <c r="E378" i="2" s="1"/>
  <c r="K383" i="2"/>
  <c r="E383" i="2" s="1"/>
  <c r="K388" i="2"/>
  <c r="E388" i="2" s="1"/>
  <c r="K393" i="2"/>
  <c r="E393" i="2" s="1"/>
  <c r="K398" i="2"/>
  <c r="E398" i="2" s="1"/>
  <c r="K403" i="2"/>
  <c r="E403" i="2" s="1"/>
  <c r="K408" i="2"/>
  <c r="E408" i="2" s="1"/>
  <c r="K413" i="2"/>
  <c r="E413" i="2" s="1"/>
  <c r="K418" i="2"/>
  <c r="E418" i="2" s="1"/>
  <c r="K423" i="2"/>
  <c r="E423" i="2" s="1"/>
  <c r="K181" i="2"/>
  <c r="E181" i="2" s="1"/>
  <c r="K197" i="2"/>
  <c r="E197" i="2" s="1"/>
  <c r="K202" i="2"/>
  <c r="E202" i="2" s="1"/>
  <c r="K221" i="2"/>
  <c r="E221" i="2" s="1"/>
  <c r="K175" i="2"/>
  <c r="E175" i="2" s="1"/>
  <c r="K239" i="2"/>
  <c r="E239" i="2" s="1"/>
  <c r="K251" i="2"/>
  <c r="E251" i="2" s="1"/>
  <c r="K289" i="2"/>
  <c r="E289" i="2" s="1"/>
  <c r="K217" i="2"/>
  <c r="E217" i="2" s="1"/>
  <c r="K272" i="2"/>
  <c r="E272" i="2" s="1"/>
  <c r="K311" i="2"/>
  <c r="E311" i="2" s="1"/>
  <c r="K334" i="2"/>
  <c r="E334" i="2" s="1"/>
  <c r="K341" i="2"/>
  <c r="E341" i="2" s="1"/>
  <c r="K348" i="2"/>
  <c r="E348" i="2" s="1"/>
  <c r="K124" i="2"/>
  <c r="E124" i="2" s="1"/>
  <c r="K275" i="2"/>
  <c r="E275" i="2" s="1"/>
  <c r="K297" i="2"/>
  <c r="E297" i="2" s="1"/>
  <c r="K327" i="2"/>
  <c r="E327" i="2" s="1"/>
  <c r="K355" i="2"/>
  <c r="E355" i="2" s="1"/>
  <c r="K360" i="2"/>
  <c r="E360" i="2" s="1"/>
  <c r="K365" i="2"/>
  <c r="E365" i="2" s="1"/>
  <c r="K370" i="2"/>
  <c r="E370" i="2" s="1"/>
  <c r="K375" i="2"/>
  <c r="E375" i="2" s="1"/>
  <c r="K380" i="2"/>
  <c r="E380" i="2" s="1"/>
  <c r="K385" i="2"/>
  <c r="E385" i="2" s="1"/>
  <c r="K390" i="2"/>
  <c r="E390" i="2" s="1"/>
  <c r="K395" i="2"/>
  <c r="E395" i="2" s="1"/>
  <c r="K400" i="2"/>
  <c r="E400" i="2" s="1"/>
  <c r="K405" i="2"/>
  <c r="E405" i="2" s="1"/>
  <c r="K410" i="2"/>
  <c r="E410" i="2" s="1"/>
  <c r="K415" i="2"/>
  <c r="E415" i="2" s="1"/>
  <c r="K420" i="2"/>
  <c r="E420" i="2" s="1"/>
  <c r="K425" i="2"/>
  <c r="E425" i="2" s="1"/>
  <c r="K203" i="2"/>
  <c r="E203" i="2" s="1"/>
  <c r="K259" i="2"/>
  <c r="E259" i="2" s="1"/>
  <c r="K266" i="2"/>
  <c r="E266" i="2" s="1"/>
  <c r="K281" i="2"/>
  <c r="E281" i="2" s="1"/>
  <c r="K318" i="2"/>
  <c r="E318" i="2" s="1"/>
  <c r="K198" i="2"/>
  <c r="E198" i="2" s="1"/>
  <c r="K252" i="2"/>
  <c r="E252" i="2" s="1"/>
  <c r="K295" i="2"/>
  <c r="E295" i="2" s="1"/>
  <c r="K302" i="2"/>
  <c r="E302" i="2" s="1"/>
  <c r="K320" i="2"/>
  <c r="E320" i="2" s="1"/>
  <c r="K329" i="2"/>
  <c r="E329" i="2" s="1"/>
  <c r="K336" i="2"/>
  <c r="E336" i="2" s="1"/>
  <c r="K343" i="2"/>
  <c r="E343" i="2" s="1"/>
  <c r="K350" i="2"/>
  <c r="E350" i="2" s="1"/>
  <c r="K204" i="2"/>
  <c r="E204" i="2" s="1"/>
  <c r="K240" i="2"/>
  <c r="E240" i="2" s="1"/>
  <c r="K300" i="2"/>
  <c r="E300" i="2" s="1"/>
  <c r="K307" i="2"/>
  <c r="E307" i="2" s="1"/>
  <c r="K316" i="2"/>
  <c r="E316" i="2" s="1"/>
  <c r="K322" i="2"/>
  <c r="E322" i="2" s="1"/>
  <c r="K357" i="2"/>
  <c r="E357" i="2" s="1"/>
  <c r="K362" i="2"/>
  <c r="E362" i="2" s="1"/>
  <c r="K367" i="2"/>
  <c r="E367" i="2" s="1"/>
  <c r="K372" i="2"/>
  <c r="E372" i="2" s="1"/>
  <c r="K223" i="2"/>
  <c r="E223" i="2" s="1"/>
  <c r="K232" i="2"/>
  <c r="E232" i="2" s="1"/>
  <c r="K273" i="2"/>
  <c r="E273" i="2" s="1"/>
  <c r="K290" i="2"/>
  <c r="E290" i="2" s="1"/>
  <c r="K298" i="2"/>
  <c r="E298" i="2" s="1"/>
  <c r="K305" i="2"/>
  <c r="E305" i="2" s="1"/>
  <c r="K189" i="2"/>
  <c r="E189" i="2" s="1"/>
  <c r="K279" i="2"/>
  <c r="E279" i="2" s="1"/>
  <c r="K293" i="2"/>
  <c r="E293" i="2" s="1"/>
  <c r="K219" i="2"/>
  <c r="E219" i="2" s="1"/>
  <c r="K260" i="2"/>
  <c r="E260" i="2" s="1"/>
  <c r="K267" i="2"/>
  <c r="E267" i="2" s="1"/>
  <c r="K276" i="2"/>
  <c r="E276" i="2" s="1"/>
  <c r="K282" i="2"/>
  <c r="E282" i="2" s="1"/>
  <c r="K303" i="2"/>
  <c r="E303" i="2" s="1"/>
  <c r="K326" i="2"/>
  <c r="E326" i="2" s="1"/>
  <c r="K205" i="2"/>
  <c r="E205" i="2" s="1"/>
  <c r="K236" i="2"/>
  <c r="E236" i="2" s="1"/>
  <c r="K310" i="2"/>
  <c r="E310" i="2" s="1"/>
  <c r="K411" i="2"/>
  <c r="E411" i="2" s="1"/>
  <c r="K361" i="2"/>
  <c r="E361" i="2" s="1"/>
  <c r="K364" i="2"/>
  <c r="E364" i="2" s="1"/>
  <c r="K409" i="2"/>
  <c r="E409" i="2" s="1"/>
  <c r="K442" i="2"/>
  <c r="E442" i="2" s="1"/>
  <c r="K449" i="2"/>
  <c r="E449" i="2" s="1"/>
  <c r="K407" i="2"/>
  <c r="E407" i="2" s="1"/>
  <c r="K172" i="2"/>
  <c r="E172" i="2" s="1"/>
  <c r="K332" i="2"/>
  <c r="E332" i="2" s="1"/>
  <c r="K347" i="2"/>
  <c r="E347" i="2" s="1"/>
  <c r="K427" i="2"/>
  <c r="E427" i="2" s="1"/>
  <c r="K429" i="2"/>
  <c r="E429" i="2" s="1"/>
  <c r="K433" i="2"/>
  <c r="E433" i="2" s="1"/>
  <c r="K491" i="2"/>
  <c r="E491" i="2" s="1"/>
  <c r="K501" i="2"/>
  <c r="E501" i="2" s="1"/>
  <c r="K328" i="2"/>
  <c r="E328" i="2" s="1"/>
  <c r="K431" i="2"/>
  <c r="E431" i="2" s="1"/>
  <c r="K444" i="2"/>
  <c r="E444" i="2" s="1"/>
  <c r="K451" i="2"/>
  <c r="E451" i="2" s="1"/>
  <c r="K456" i="2"/>
  <c r="E456" i="2" s="1"/>
  <c r="K461" i="2"/>
  <c r="E461" i="2" s="1"/>
  <c r="K466" i="2"/>
  <c r="E466" i="2" s="1"/>
  <c r="K471" i="2"/>
  <c r="E471" i="2" s="1"/>
  <c r="K476" i="2"/>
  <c r="E476" i="2" s="1"/>
  <c r="K481" i="2"/>
  <c r="E481" i="2" s="1"/>
  <c r="K486" i="2"/>
  <c r="E486" i="2" s="1"/>
  <c r="K496" i="2"/>
  <c r="E496" i="2" s="1"/>
  <c r="K416" i="2"/>
  <c r="E416" i="2" s="1"/>
  <c r="K435" i="2"/>
  <c r="E435" i="2" s="1"/>
  <c r="K333" i="2"/>
  <c r="E333" i="2" s="1"/>
  <c r="K356" i="2"/>
  <c r="E356" i="2" s="1"/>
  <c r="K359" i="2"/>
  <c r="E359" i="2" s="1"/>
  <c r="K183" i="2"/>
  <c r="E183" i="2" s="1"/>
  <c r="K244" i="2"/>
  <c r="E244" i="2" s="1"/>
  <c r="K312" i="2"/>
  <c r="E312" i="2" s="1"/>
  <c r="K414" i="2"/>
  <c r="E414" i="2" s="1"/>
  <c r="K263" i="2"/>
  <c r="E263" i="2" s="1"/>
  <c r="K324" i="2"/>
  <c r="E324" i="2" s="1"/>
  <c r="K345" i="2"/>
  <c r="E345" i="2" s="1"/>
  <c r="K381" i="2"/>
  <c r="E381" i="2" s="1"/>
  <c r="K453" i="2"/>
  <c r="E453" i="2" s="1"/>
  <c r="K458" i="2"/>
  <c r="E458" i="2" s="1"/>
  <c r="K463" i="2"/>
  <c r="E463" i="2" s="1"/>
  <c r="K468" i="2"/>
  <c r="E468" i="2" s="1"/>
  <c r="K473" i="2"/>
  <c r="E473" i="2" s="1"/>
  <c r="K478" i="2"/>
  <c r="E478" i="2" s="1"/>
  <c r="K483" i="2"/>
  <c r="E483" i="2" s="1"/>
  <c r="K488" i="2"/>
  <c r="E488" i="2" s="1"/>
  <c r="K493" i="2"/>
  <c r="E493" i="2" s="1"/>
  <c r="K498" i="2"/>
  <c r="E498" i="2" s="1"/>
  <c r="K338" i="2"/>
  <c r="E338" i="2" s="1"/>
  <c r="K354" i="2"/>
  <c r="E354" i="2" s="1"/>
  <c r="K376" i="2"/>
  <c r="E376" i="2" s="1"/>
  <c r="K391" i="2"/>
  <c r="E391" i="2" s="1"/>
  <c r="K439" i="2"/>
  <c r="E439" i="2" s="1"/>
  <c r="K448" i="2"/>
  <c r="E448" i="2" s="1"/>
  <c r="K140" i="2"/>
  <c r="E140" i="2" s="1"/>
  <c r="K384" i="2"/>
  <c r="E384" i="2" s="1"/>
  <c r="K379" i="2"/>
  <c r="E379" i="2" s="1"/>
  <c r="K389" i="2"/>
  <c r="E389" i="2" s="1"/>
  <c r="K396" i="2"/>
  <c r="E396" i="2" s="1"/>
  <c r="K419" i="2"/>
  <c r="E419" i="2" s="1"/>
  <c r="K441" i="2"/>
  <c r="E441" i="2" s="1"/>
  <c r="K495" i="2"/>
  <c r="E495" i="2" s="1"/>
  <c r="K193" i="2"/>
  <c r="E193" i="2" s="1"/>
  <c r="K286" i="2"/>
  <c r="E286" i="2" s="1"/>
  <c r="K325" i="2"/>
  <c r="E325" i="2" s="1"/>
  <c r="K342" i="2"/>
  <c r="E342" i="2" s="1"/>
  <c r="K417" i="2"/>
  <c r="E417" i="2" s="1"/>
  <c r="K430" i="2"/>
  <c r="E430" i="2" s="1"/>
  <c r="K443" i="2"/>
  <c r="E443" i="2" s="1"/>
  <c r="K450" i="2"/>
  <c r="E450" i="2" s="1"/>
  <c r="K455" i="2"/>
  <c r="E455" i="2" s="1"/>
  <c r="K460" i="2"/>
  <c r="E460" i="2" s="1"/>
  <c r="K465" i="2"/>
  <c r="E465" i="2" s="1"/>
  <c r="K470" i="2"/>
  <c r="E470" i="2" s="1"/>
  <c r="K475" i="2"/>
  <c r="E475" i="2" s="1"/>
  <c r="K480" i="2"/>
  <c r="E480" i="2" s="1"/>
  <c r="K485" i="2"/>
  <c r="E485" i="2" s="1"/>
  <c r="K490" i="2"/>
  <c r="E490" i="2" s="1"/>
  <c r="K500" i="2"/>
  <c r="E500" i="2" s="1"/>
  <c r="K308" i="2"/>
  <c r="E308" i="2" s="1"/>
  <c r="K352" i="2"/>
  <c r="E352" i="2" s="1"/>
  <c r="K377" i="2"/>
  <c r="E377" i="2" s="1"/>
  <c r="K158" i="2"/>
  <c r="E158" i="2" s="1"/>
  <c r="K315" i="2"/>
  <c r="E315" i="2" s="1"/>
  <c r="K331" i="2"/>
  <c r="E331" i="2" s="1"/>
  <c r="K335" i="2"/>
  <c r="E335" i="2" s="1"/>
  <c r="K424" i="2"/>
  <c r="E424" i="2" s="1"/>
  <c r="K452" i="2"/>
  <c r="E452" i="2" s="1"/>
  <c r="K457" i="2"/>
  <c r="E457" i="2" s="1"/>
  <c r="K462" i="2"/>
  <c r="E462" i="2" s="1"/>
  <c r="K467" i="2"/>
  <c r="E467" i="2" s="1"/>
  <c r="K472" i="2"/>
  <c r="E472" i="2" s="1"/>
  <c r="K477" i="2"/>
  <c r="E477" i="2" s="1"/>
  <c r="K482" i="2"/>
  <c r="E482" i="2" s="1"/>
  <c r="K487" i="2"/>
  <c r="E487" i="2" s="1"/>
  <c r="K492" i="2"/>
  <c r="E492" i="2" s="1"/>
  <c r="K497" i="2"/>
  <c r="E497" i="2" s="1"/>
  <c r="K288" i="2"/>
  <c r="E288" i="2" s="1"/>
  <c r="K296" i="2"/>
  <c r="E296" i="2" s="1"/>
  <c r="K447" i="2"/>
  <c r="E447" i="2" s="1"/>
  <c r="K256" i="2"/>
  <c r="E256" i="2" s="1"/>
  <c r="K340" i="2"/>
  <c r="E340" i="2" s="1"/>
  <c r="K402" i="2"/>
  <c r="E402" i="2" s="1"/>
  <c r="K440" i="2"/>
  <c r="E440" i="2" s="1"/>
  <c r="K446" i="2"/>
  <c r="E446" i="2" s="1"/>
  <c r="K499" i="2"/>
  <c r="E499" i="2" s="1"/>
  <c r="K434" i="2"/>
  <c r="E434" i="2" s="1"/>
  <c r="K401" i="2"/>
  <c r="E401" i="2" s="1"/>
  <c r="K428" i="2"/>
  <c r="E428" i="2" s="1"/>
  <c r="K399" i="2"/>
  <c r="E399" i="2" s="1"/>
  <c r="K421" i="2"/>
  <c r="E421" i="2" s="1"/>
  <c r="K484" i="2"/>
  <c r="E484" i="2" s="1"/>
  <c r="K412" i="2"/>
  <c r="E412" i="2" s="1"/>
  <c r="K464" i="2"/>
  <c r="E464" i="2" s="1"/>
  <c r="K392" i="2"/>
  <c r="E392" i="2" s="1"/>
  <c r="K382" i="2"/>
  <c r="E382" i="2" s="1"/>
  <c r="K437" i="2"/>
  <c r="E437" i="2" s="1"/>
  <c r="K459" i="2"/>
  <c r="E459" i="2" s="1"/>
  <c r="K366" i="2"/>
  <c r="E366" i="2" s="1"/>
  <c r="K404" i="2"/>
  <c r="E404" i="2" s="1"/>
  <c r="K422" i="2"/>
  <c r="E422" i="2" s="1"/>
  <c r="K436" i="2"/>
  <c r="E436" i="2" s="1"/>
  <c r="K474" i="2"/>
  <c r="E474" i="2" s="1"/>
  <c r="K454" i="2"/>
  <c r="E454" i="2" s="1"/>
  <c r="K394" i="2"/>
  <c r="E394" i="2" s="1"/>
  <c r="K349" i="2"/>
  <c r="E349" i="2" s="1"/>
  <c r="K369" i="2"/>
  <c r="E369" i="2" s="1"/>
  <c r="K406" i="2"/>
  <c r="E406" i="2" s="1"/>
  <c r="K469" i="2"/>
  <c r="E469" i="2" s="1"/>
  <c r="K371" i="2"/>
  <c r="E371" i="2" s="1"/>
  <c r="K432" i="2"/>
  <c r="E432" i="2" s="1"/>
  <c r="K438" i="2"/>
  <c r="E438" i="2" s="1"/>
  <c r="K479" i="2"/>
  <c r="E479" i="2" s="1"/>
  <c r="K397" i="2"/>
  <c r="E397" i="2" s="1"/>
  <c r="K489" i="2"/>
  <c r="E489" i="2" s="1"/>
  <c r="K386" i="2"/>
  <c r="E386" i="2" s="1"/>
  <c r="K426" i="2"/>
  <c r="E426" i="2" s="1"/>
  <c r="K445" i="2"/>
  <c r="E445" i="2" s="1"/>
  <c r="K494" i="2"/>
  <c r="E494" i="2" s="1"/>
  <c r="K374" i="2"/>
  <c r="E374" i="2" s="1"/>
  <c r="K387" i="2"/>
  <c r="E387" i="2" s="1"/>
  <c r="D16" i="2"/>
  <c r="K101" i="2"/>
  <c r="E101" i="2" s="1"/>
  <c r="K13" i="2"/>
  <c r="E13" i="2" s="1"/>
  <c r="K121" i="2"/>
  <c r="E121" i="2" s="1"/>
  <c r="K17" i="2"/>
  <c r="E17" i="2" s="1"/>
  <c r="K111" i="2"/>
  <c r="E111" i="2" s="1"/>
  <c r="K41" i="2"/>
  <c r="E41" i="2" s="1"/>
  <c r="D11" i="2"/>
  <c r="D3" i="2"/>
  <c r="K24" i="2"/>
  <c r="E24" i="2" s="1"/>
  <c r="K126" i="2"/>
  <c r="E126" i="2" s="1"/>
  <c r="D21" i="2"/>
  <c r="D60" i="2"/>
  <c r="K104" i="2"/>
  <c r="E104" i="2" s="1"/>
  <c r="K36" i="2"/>
  <c r="E36" i="2" s="1"/>
  <c r="K55" i="2"/>
  <c r="E55" i="2" s="1"/>
  <c r="K32" i="2"/>
  <c r="E32" i="2" s="1"/>
  <c r="K18" i="2"/>
  <c r="E18" i="2" s="1"/>
  <c r="K23" i="2"/>
  <c r="E23" i="2" s="1"/>
  <c r="K50" i="2"/>
  <c r="E50" i="2" s="1"/>
  <c r="K81" i="2"/>
  <c r="E81" i="2" s="1"/>
  <c r="K131" i="2"/>
  <c r="E131" i="2" s="1"/>
  <c r="D26" i="2"/>
  <c r="K136" i="2"/>
  <c r="E136" i="2" s="1"/>
  <c r="K26" i="2"/>
  <c r="E26" i="2" s="1"/>
  <c r="K49" i="2"/>
  <c r="E49" i="2" s="1"/>
  <c r="K84" i="2"/>
  <c r="E84" i="2" s="1"/>
  <c r="K35" i="2"/>
  <c r="E35" i="2" s="1"/>
  <c r="K93" i="2"/>
  <c r="E93" i="2" s="1"/>
  <c r="D28" i="2"/>
  <c r="K12" i="2"/>
  <c r="E12" i="2" s="1"/>
  <c r="K48" i="2"/>
  <c r="E48" i="2" s="1"/>
  <c r="K22" i="2"/>
  <c r="E22" i="2" s="1"/>
  <c r="K31" i="2"/>
  <c r="E31" i="2" s="1"/>
  <c r="D15" i="2"/>
  <c r="K14" i="2"/>
  <c r="E14" i="2" s="1"/>
  <c r="K45" i="2"/>
  <c r="E45" i="2" s="1"/>
  <c r="K53" i="2"/>
  <c r="E53" i="2" s="1"/>
  <c r="D33" i="2"/>
  <c r="D35" i="2"/>
  <c r="K39" i="2"/>
  <c r="E39" i="2" s="1"/>
  <c r="K58" i="2"/>
  <c r="E58" i="2" s="1"/>
  <c r="K37" i="2"/>
  <c r="E37" i="2" s="1"/>
  <c r="K29" i="2"/>
  <c r="E29" i="2" s="1"/>
  <c r="K25" i="2"/>
  <c r="E25" i="2" s="1"/>
  <c r="D10" i="2"/>
  <c r="K27" i="2"/>
  <c r="E27" i="2" s="1"/>
  <c r="K30" i="2"/>
  <c r="E30" i="2" s="1"/>
  <c r="C38" i="17"/>
  <c r="D38" i="17" s="1"/>
  <c r="B38" i="17"/>
  <c r="C14" i="17"/>
  <c r="D14" i="17" s="1"/>
  <c r="B14" i="17"/>
  <c r="C43" i="17"/>
  <c r="D43" i="17" s="1"/>
  <c r="B43" i="17"/>
  <c r="B82" i="17"/>
  <c r="C82" i="17"/>
  <c r="D82" i="17" s="1"/>
  <c r="B86" i="17"/>
  <c r="C86" i="17"/>
  <c r="D86" i="17" s="1"/>
  <c r="C48" i="17"/>
  <c r="D48" i="17" s="1"/>
  <c r="B48" i="17"/>
  <c r="B89" i="17"/>
  <c r="C89" i="17"/>
  <c r="D89" i="17" s="1"/>
  <c r="B53" i="17"/>
  <c r="C53" i="17"/>
  <c r="D53" i="17" s="1"/>
  <c r="B96" i="17"/>
  <c r="C96" i="17"/>
  <c r="D96" i="17" s="1"/>
  <c r="B37" i="17"/>
  <c r="C37" i="17"/>
  <c r="D37" i="17" s="1"/>
  <c r="C64" i="17"/>
  <c r="D64" i="17" s="1"/>
  <c r="B64" i="17"/>
  <c r="B61" i="17"/>
  <c r="C61" i="17"/>
  <c r="D61" i="17" s="1"/>
  <c r="B58" i="17"/>
  <c r="C58" i="17"/>
  <c r="D58" i="17" s="1"/>
  <c r="C59" i="17"/>
  <c r="D59" i="17" s="1"/>
  <c r="B59" i="17"/>
  <c r="B41" i="17"/>
  <c r="C41" i="17"/>
  <c r="D41" i="17" s="1"/>
  <c r="B71" i="17"/>
  <c r="C71" i="17"/>
  <c r="D71" i="17" s="1"/>
  <c r="B78" i="17"/>
  <c r="C78" i="17"/>
  <c r="D78" i="17" s="1"/>
  <c r="B70" i="17"/>
  <c r="C70" i="17"/>
  <c r="D70" i="17" s="1"/>
  <c r="C39" i="17"/>
  <c r="D39" i="17" s="1"/>
  <c r="B39" i="17"/>
  <c r="C63" i="17"/>
  <c r="D63" i="17" s="1"/>
  <c r="B63" i="17"/>
  <c r="B65" i="17"/>
  <c r="C65" i="17"/>
  <c r="D65" i="17" s="1"/>
  <c r="B56" i="17"/>
  <c r="C56" i="17"/>
  <c r="D56" i="17" s="1"/>
  <c r="B87" i="17"/>
  <c r="C87" i="17"/>
  <c r="D87" i="17" s="1"/>
  <c r="C68" i="17"/>
  <c r="D68" i="17" s="1"/>
  <c r="B68" i="17"/>
  <c r="C20" i="17"/>
  <c r="D20" i="17" s="1"/>
  <c r="B20" i="17"/>
  <c r="B93" i="17"/>
  <c r="C93" i="17"/>
  <c r="D93" i="17" s="1"/>
  <c r="B90" i="17"/>
  <c r="C90" i="17"/>
  <c r="D90" i="17" s="1"/>
  <c r="B73" i="17"/>
  <c r="C73" i="17"/>
  <c r="D73" i="17" s="1"/>
  <c r="C95" i="17"/>
  <c r="D95" i="17" s="1"/>
  <c r="B95" i="17"/>
  <c r="C34" i="17"/>
  <c r="D34" i="17" s="1"/>
  <c r="B34" i="17"/>
  <c r="B84" i="17"/>
  <c r="C84" i="17"/>
  <c r="D84" i="17" s="1"/>
  <c r="B99" i="17"/>
  <c r="C99" i="17"/>
  <c r="D99" i="17" s="1"/>
  <c r="C4" i="17"/>
  <c r="D4" i="17" s="1"/>
  <c r="B4" i="17"/>
  <c r="C17" i="17"/>
  <c r="D17" i="17" s="1"/>
  <c r="B17" i="17"/>
  <c r="B76" i="17"/>
  <c r="C76" i="17"/>
  <c r="D76" i="17" s="1"/>
  <c r="B98" i="17"/>
  <c r="C98" i="17"/>
  <c r="D98" i="17" s="1"/>
  <c r="C88" i="17"/>
  <c r="D88" i="17" s="1"/>
  <c r="B88" i="17"/>
  <c r="B91" i="17"/>
  <c r="C91" i="17"/>
  <c r="D91" i="17" s="1"/>
  <c r="C69" i="17"/>
  <c r="D69" i="17" s="1"/>
  <c r="B69" i="17"/>
  <c r="C2" i="17"/>
  <c r="D2" i="17" s="1"/>
  <c r="B2" i="17"/>
  <c r="C49" i="17"/>
  <c r="D49" i="17" s="1"/>
  <c r="B49" i="17"/>
  <c r="B27" i="17"/>
  <c r="C27" i="17"/>
  <c r="D27" i="17" s="1"/>
  <c r="B51" i="17"/>
  <c r="C51" i="17"/>
  <c r="D51" i="17" s="1"/>
  <c r="B30" i="17"/>
  <c r="C30" i="17"/>
  <c r="D30" i="17" s="1"/>
  <c r="B77" i="17"/>
  <c r="C77" i="17"/>
  <c r="D77" i="17" s="1"/>
  <c r="B25" i="17"/>
  <c r="C25" i="17"/>
  <c r="D25" i="17" s="1"/>
  <c r="B32" i="17"/>
  <c r="C32" i="17"/>
  <c r="D32" i="17" s="1"/>
  <c r="B52" i="17"/>
  <c r="C52" i="17"/>
  <c r="D52" i="17" s="1"/>
  <c r="C18" i="17"/>
  <c r="D18" i="17" s="1"/>
  <c r="B18" i="17"/>
  <c r="B100" i="17"/>
  <c r="C100" i="17"/>
  <c r="D100" i="17" s="1"/>
  <c r="C62" i="17"/>
  <c r="D62" i="17" s="1"/>
  <c r="B62" i="17"/>
  <c r="C97" i="17"/>
  <c r="D97" i="17" s="1"/>
  <c r="B97" i="17"/>
  <c r="C79" i="17"/>
  <c r="D79" i="17" s="1"/>
  <c r="B79" i="17"/>
  <c r="B47" i="17"/>
  <c r="C47" i="17"/>
  <c r="D47" i="17" s="1"/>
  <c r="B23" i="17"/>
  <c r="C23" i="17"/>
  <c r="D23" i="17" s="1"/>
  <c r="B75" i="17"/>
  <c r="C75" i="17"/>
  <c r="D75" i="17" s="1"/>
  <c r="B80" i="17"/>
  <c r="C80" i="17"/>
  <c r="D80" i="17" s="1"/>
  <c r="B36" i="17"/>
  <c r="C36" i="17"/>
  <c r="D36" i="17" s="1"/>
  <c r="B12" i="17"/>
  <c r="C12" i="17"/>
  <c r="D12" i="17" s="1"/>
  <c r="B22" i="17"/>
  <c r="C22" i="17"/>
  <c r="D22" i="17" s="1"/>
  <c r="B66" i="17"/>
  <c r="C66" i="17"/>
  <c r="D66" i="17" s="1"/>
  <c r="C13" i="17"/>
  <c r="D13" i="17" s="1"/>
  <c r="B13" i="17"/>
  <c r="C94" i="17"/>
  <c r="D94" i="17" s="1"/>
  <c r="B94" i="17"/>
  <c r="C44" i="17"/>
  <c r="D44" i="17" s="1"/>
  <c r="B44" i="17"/>
  <c r="B42" i="17"/>
  <c r="C42" i="17"/>
  <c r="D42" i="17" s="1"/>
  <c r="C24" i="17"/>
  <c r="D24" i="17" s="1"/>
  <c r="B24" i="17"/>
  <c r="B46" i="17"/>
  <c r="C46" i="17"/>
  <c r="D46" i="17" s="1"/>
  <c r="B101" i="17"/>
  <c r="C101" i="17"/>
  <c r="D101" i="17" s="1"/>
  <c r="B31" i="17"/>
  <c r="C31" i="17"/>
  <c r="D31" i="17" s="1"/>
  <c r="C67" i="17"/>
  <c r="D67" i="17" s="1"/>
  <c r="B67" i="17"/>
  <c r="B81" i="17"/>
  <c r="C81" i="17"/>
  <c r="D81" i="17" s="1"/>
  <c r="C29" i="17"/>
  <c r="D29" i="17" s="1"/>
  <c r="B29" i="17"/>
  <c r="C85" i="17"/>
  <c r="D85" i="17" s="1"/>
  <c r="B85" i="17"/>
  <c r="C54" i="17"/>
  <c r="D54" i="17" s="1"/>
  <c r="B54" i="17"/>
  <c r="C83" i="17"/>
  <c r="D83" i="17" s="1"/>
  <c r="B83" i="17"/>
  <c r="B92" i="17"/>
  <c r="C92" i="17"/>
  <c r="D92" i="17" s="1"/>
  <c r="C74" i="17"/>
  <c r="D74" i="17" s="1"/>
  <c r="B74" i="17"/>
  <c r="B57" i="17"/>
  <c r="C57" i="17"/>
  <c r="D57" i="17" s="1"/>
  <c r="B72" i="17"/>
  <c r="C72" i="17"/>
  <c r="D72" i="17" s="1"/>
  <c r="H11" i="2"/>
  <c r="H16" i="2"/>
  <c r="H9" i="2"/>
  <c r="H15" i="2"/>
  <c r="H8" i="2"/>
  <c r="H5" i="2"/>
  <c r="G3" i="2"/>
  <c r="H10" i="2"/>
  <c r="H19" i="2"/>
  <c r="H7" i="2"/>
  <c r="H21" i="2"/>
  <c r="G6" i="2"/>
  <c r="K6" i="2" l="1"/>
  <c r="E6" i="2" s="1"/>
  <c r="K21" i="2"/>
  <c r="E21" i="2" s="1"/>
  <c r="K7" i="2"/>
  <c r="E7" i="2" s="1"/>
  <c r="K19" i="2"/>
  <c r="E19" i="2" s="1"/>
  <c r="K10" i="2"/>
  <c r="E10" i="2" s="1"/>
  <c r="K3" i="2"/>
  <c r="E3" i="2" s="1"/>
  <c r="K5" i="2"/>
  <c r="E5" i="2" s="1"/>
  <c r="K8" i="2"/>
  <c r="E8" i="2" s="1"/>
  <c r="K15" i="2"/>
  <c r="E15" i="2" s="1"/>
  <c r="K9" i="2"/>
  <c r="E9" i="2" s="1"/>
  <c r="K16" i="2"/>
  <c r="E16" i="2" s="1"/>
  <c r="K11" i="2"/>
  <c r="E11" i="2" s="1"/>
  <c r="C60" i="17"/>
  <c r="D60" i="17" s="1"/>
  <c r="B60" i="17"/>
  <c r="B6" i="17"/>
  <c r="C6" i="17"/>
  <c r="D6" i="17" s="1"/>
  <c r="B21" i="17"/>
  <c r="C21" i="17"/>
  <c r="D21" i="17" s="1"/>
  <c r="B50" i="17"/>
  <c r="C50" i="17"/>
  <c r="D50" i="17" s="1"/>
  <c r="B7" i="17"/>
  <c r="C7" i="17"/>
  <c r="D7" i="17" s="1"/>
  <c r="C28" i="17"/>
  <c r="D28" i="17" s="1"/>
  <c r="B28" i="17"/>
  <c r="C19" i="17"/>
  <c r="D19" i="17" s="1"/>
  <c r="B19" i="17"/>
  <c r="B40" i="17"/>
  <c r="C40" i="17"/>
  <c r="D40" i="17" s="1"/>
  <c r="B10" i="17"/>
  <c r="C10" i="17"/>
  <c r="D10" i="17" s="1"/>
  <c r="B3" i="17"/>
  <c r="C3" i="17"/>
  <c r="D3" i="17" s="1"/>
  <c r="B5" i="17"/>
  <c r="C5" i="17"/>
  <c r="D5" i="17" s="1"/>
  <c r="B8" i="17"/>
  <c r="C8" i="17"/>
  <c r="D8" i="17" s="1"/>
  <c r="B15" i="17"/>
  <c r="C15" i="17"/>
  <c r="D15" i="17" s="1"/>
  <c r="E2" i="2"/>
  <c r="K1" i="2"/>
  <c r="B26" i="17"/>
  <c r="C26" i="17"/>
  <c r="D26" i="17" s="1"/>
  <c r="B55" i="17"/>
  <c r="C55" i="17"/>
  <c r="D55" i="17" s="1"/>
  <c r="C9" i="17"/>
  <c r="D9" i="17" s="1"/>
  <c r="B9" i="17"/>
  <c r="B35" i="17"/>
  <c r="C35" i="17"/>
  <c r="D35" i="17" s="1"/>
  <c r="C33" i="17"/>
  <c r="D33" i="17" s="1"/>
  <c r="B33" i="17"/>
  <c r="C45" i="17"/>
  <c r="D45" i="17" s="1"/>
  <c r="B45" i="17"/>
  <c r="C16" i="17"/>
  <c r="D16" i="17" s="1"/>
  <c r="B16" i="17"/>
  <c r="C11" i="17"/>
  <c r="D11" i="17" s="1"/>
  <c r="B11" i="17"/>
</calcChain>
</file>

<file path=xl/sharedStrings.xml><?xml version="1.0" encoding="utf-8"?>
<sst xmlns="http://schemas.openxmlformats.org/spreadsheetml/2006/main" count="1714" uniqueCount="358">
  <si>
    <t>Type</t>
  </si>
  <si>
    <t>Parameters (transposed from Data sheet)</t>
  </si>
  <si>
    <t>Total</t>
  </si>
  <si>
    <t>Name</t>
  </si>
  <si>
    <t>Box</t>
  </si>
  <si>
    <t>Menu position</t>
  </si>
  <si>
    <t>x param</t>
  </si>
  <si>
    <t>y param</t>
  </si>
  <si>
    <t>from param list</t>
  </si>
  <si>
    <t>Currently selected parameters (generated by dialog box)</t>
  </si>
  <si>
    <t>The data in this database comes from</t>
  </si>
  <si>
    <t>Type 1</t>
  </si>
  <si>
    <t>Type 2</t>
  </si>
  <si>
    <t>Type 3</t>
  </si>
  <si>
    <t>Identify</t>
  </si>
  <si>
    <t>from types</t>
  </si>
  <si>
    <t>from data</t>
  </si>
  <si>
    <t>DATA STRUCTURE</t>
  </si>
  <si>
    <t>USER NOTES</t>
  </si>
  <si>
    <t>Plot y/x</t>
  </si>
  <si>
    <t>x</t>
  </si>
  <si>
    <t>y</t>
  </si>
  <si>
    <t>Data sheet</t>
  </si>
  <si>
    <t>Row</t>
  </si>
  <si>
    <t>Row in data sheet</t>
  </si>
  <si>
    <t>Data sheets</t>
  </si>
  <si>
    <t>from data sheets list</t>
  </si>
  <si>
    <t>Code</t>
  </si>
  <si>
    <t>Names (from selected data sheet)</t>
  </si>
  <si>
    <t>Types (from selected data sheet)</t>
  </si>
  <si>
    <t>Count of Types (from selected data sheet)</t>
  </si>
  <si>
    <t>Types (pivot-tabled)</t>
  </si>
  <si>
    <t>Bulgaria</t>
  </si>
  <si>
    <t>Czech Republic</t>
  </si>
  <si>
    <t>Estonia</t>
  </si>
  <si>
    <t>Hungary</t>
  </si>
  <si>
    <t>Latvia</t>
  </si>
  <si>
    <t>Lithuania</t>
  </si>
  <si>
    <t>Poland</t>
  </si>
  <si>
    <t>Romania</t>
  </si>
  <si>
    <t>Slovak Rep</t>
  </si>
  <si>
    <t>Slovenia</t>
  </si>
  <si>
    <t>Austria</t>
  </si>
  <si>
    <t>Belgium</t>
  </si>
  <si>
    <t>Denmark</t>
  </si>
  <si>
    <t>Eire</t>
  </si>
  <si>
    <t>Finland</t>
  </si>
  <si>
    <t>France</t>
  </si>
  <si>
    <t>Greece</t>
  </si>
  <si>
    <t>Iceland</t>
  </si>
  <si>
    <t>Italy</t>
  </si>
  <si>
    <t>Liechtenstein</t>
  </si>
  <si>
    <t>Luxembourg</t>
  </si>
  <si>
    <t>Netherlands</t>
  </si>
  <si>
    <t>Norway</t>
  </si>
  <si>
    <t>Portugal</t>
  </si>
  <si>
    <t>Spain</t>
  </si>
  <si>
    <t>Sweden</t>
  </si>
  <si>
    <t>Switzerland</t>
  </si>
  <si>
    <t>UK</t>
  </si>
  <si>
    <t>Germany</t>
  </si>
  <si>
    <t>USA</t>
  </si>
  <si>
    <t>Turkey</t>
  </si>
  <si>
    <t>Australia</t>
  </si>
  <si>
    <t>Japan</t>
  </si>
  <si>
    <t>Libraries - Total Administrative Units</t>
  </si>
  <si>
    <t>Libraries - Service Points</t>
  </si>
  <si>
    <t>Collections - Books &amp; Bound Periodicals</t>
  </si>
  <si>
    <t>Collections - Current Periodicals - Titles</t>
  </si>
  <si>
    <t>Collections - Current Periodicals - Subscriptions</t>
  </si>
  <si>
    <t>Collections - Manuscripts</t>
  </si>
  <si>
    <t>Collections - Microforms</t>
  </si>
  <si>
    <t>Collections - Audio-visual Materials</t>
  </si>
  <si>
    <t>Collections - CD-ROMs</t>
  </si>
  <si>
    <t>Additions - Books &amp; Bound Periodicals</t>
  </si>
  <si>
    <t>Additions - Audio-visual Materials</t>
  </si>
  <si>
    <t>Facilities &amp; Services - Percentage Stock on Open Access</t>
  </si>
  <si>
    <t>Facilities &amp; Services - Percentage Catalogue Records Automated</t>
  </si>
  <si>
    <t>Facilities &amp; Services - Number of Workstations for users</t>
  </si>
  <si>
    <t>Facilities &amp; Services - Number connected to the internet</t>
  </si>
  <si>
    <t>Use &amp; Users - Registered Users</t>
  </si>
  <si>
    <t>Use &amp; Users - Number of Visits</t>
  </si>
  <si>
    <t>Use &amp; Users - Potential Total Population Served</t>
  </si>
  <si>
    <t>Library Staff FTE - Trained Librarians</t>
  </si>
  <si>
    <t>Library Staff FTE - Other Library Staff</t>
  </si>
  <si>
    <t>Library Staff FTE - Total Staff</t>
  </si>
  <si>
    <t>Income - Public Funding</t>
  </si>
  <si>
    <t>Income - Fees &amp; Charges</t>
  </si>
  <si>
    <t>Income - Other Income</t>
  </si>
  <si>
    <t>Income - TOTAL INCOME</t>
  </si>
  <si>
    <t>Capital Expenditure - New Buildings / Refurbishment</t>
  </si>
  <si>
    <t>Capital Expenditure - Acquisition of Stock</t>
  </si>
  <si>
    <t>Capital Expenditure - Automation</t>
  </si>
  <si>
    <t>Capital Expenditure - Other Capital Expenditure</t>
  </si>
  <si>
    <t>Capital Expenditure - TOTAL CAPITAL   PAYMENTS</t>
  </si>
  <si>
    <t>Population '000s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</si>
  <si>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</si>
  <si>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</si>
  <si>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</si>
  <si>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</si>
  <si>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</si>
  <si>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</si>
  <si>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</si>
  <si>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</si>
  <si>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</si>
  <si>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</si>
  <si>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</si>
  <si>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</si>
  <si>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</si>
  <si>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</si>
  <si>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</si>
  <si>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</si>
  <si>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</si>
  <si>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</si>
  <si>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</si>
  <si>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</si>
  <si>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</si>
  <si>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</si>
  <si>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</si>
  <si>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</si>
  <si>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</si>
  <si>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</si>
  <si>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</si>
  <si>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</si>
  <si>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C31</t>
  </si>
  <si>
    <t>C50</t>
  </si>
  <si>
    <t>C42</t>
  </si>
  <si>
    <t>C70</t>
  </si>
  <si>
    <t>C41</t>
  </si>
  <si>
    <t>Martin Jennings</t>
  </si>
  <si>
    <t>Recurrent Expenditure (Euros) - Staff</t>
  </si>
  <si>
    <t>Recurrent Expenditure (Euros) - Acquisition of Stock</t>
  </si>
  <si>
    <t>Recurrent Expenditure (Euros) - Electronic Information</t>
  </si>
  <si>
    <t>Recurrent Expenditure (Euros) - Automation</t>
  </si>
  <si>
    <t>Recurrent Expenditure (Euros) - Premises and Related Costs</t>
  </si>
  <si>
    <t>Recurrent Expenditure (Euros) - New Buildings / Refurbishment</t>
  </si>
  <si>
    <t>Recurrent Expenditure (Euros) - Other Expenditure</t>
  </si>
  <si>
    <t>Recurrent Expenditure (Euros) - TOTAL EXPENDITURE</t>
  </si>
  <si>
    <t>The data is set out in the order of the questionnaires, with population (000's) in the first data column.</t>
  </si>
  <si>
    <t>The Y value will show up on the Histogram (or bar chart) or can be shown divided by the X value</t>
  </si>
  <si>
    <t>Korea</t>
  </si>
  <si>
    <t>Canada</t>
  </si>
  <si>
    <t>New Zealand</t>
  </si>
  <si>
    <t>C40</t>
  </si>
  <si>
    <t>C51</t>
  </si>
  <si>
    <t>C71</t>
  </si>
  <si>
    <t>Mexico</t>
  </si>
  <si>
    <t>CEE</t>
  </si>
  <si>
    <t>EU</t>
  </si>
  <si>
    <t>EFTA</t>
  </si>
  <si>
    <t>C72</t>
  </si>
  <si>
    <t>CEE - Total</t>
  </si>
  <si>
    <t>EU - Total</t>
  </si>
  <si>
    <t>EFTA - Total</t>
  </si>
  <si>
    <t>World A - Total</t>
  </si>
  <si>
    <t>World B - Total</t>
  </si>
  <si>
    <t>Totals</t>
  </si>
  <si>
    <t>Totals include figures for all countries covered by LibEcon</t>
  </si>
  <si>
    <t>Data is split into 6 sheets all with the same data structure and order.</t>
  </si>
  <si>
    <t>World - A</t>
  </si>
  <si>
    <t>World - B</t>
  </si>
  <si>
    <t>Press the 'Update Type' to display the new options before reusing the model.</t>
  </si>
  <si>
    <t>Rank</t>
  </si>
  <si>
    <t>Country</t>
  </si>
  <si>
    <t>Apportioned or estimated from previous years returns</t>
  </si>
  <si>
    <t>Grossed on regional averages</t>
  </si>
  <si>
    <t>To Change the number of</t>
  </si>
  <si>
    <t>Decimal Places shown,</t>
  </si>
  <si>
    <t>select column C and</t>
  </si>
  <si>
    <t>change cell format</t>
  </si>
  <si>
    <t>Data</t>
  </si>
  <si>
    <t>Returned Data for year 2000</t>
  </si>
  <si>
    <t>Real data x</t>
  </si>
  <si>
    <t>Real data y</t>
  </si>
  <si>
    <t>"World B". For a list of the country groups click here.</t>
  </si>
  <si>
    <t>Country Name</t>
  </si>
  <si>
    <t>DATA TYPES</t>
  </si>
  <si>
    <t>explanation is given in the 'Data types' section of this help sheet.</t>
  </si>
  <si>
    <t>Data is shown in three forms.</t>
  </si>
  <si>
    <t>figures have been spread over relevant headings in line with country type ratios. Also, where data</t>
  </si>
  <si>
    <r>
      <t xml:space="preserve">    </t>
    </r>
    <r>
      <rPr>
        <b/>
        <sz val="10"/>
        <rFont val="Arial"/>
        <family val="2"/>
      </rPr>
      <t>Returned Data</t>
    </r>
    <r>
      <rPr>
        <sz val="10"/>
        <rFont val="Arial"/>
      </rPr>
      <t xml:space="preserve"> - Data submitted by countries which has been split between the questionnaire</t>
    </r>
  </si>
  <si>
    <r>
      <t xml:space="preserve">    Based on returned data</t>
    </r>
    <r>
      <rPr>
        <sz val="10"/>
        <rFont val="Arial"/>
      </rPr>
      <t xml:space="preserve"> - Where information was not split between questionnaire headings given </t>
    </r>
  </si>
  <si>
    <r>
      <t xml:space="preserve">    </t>
    </r>
    <r>
      <rPr>
        <b/>
        <sz val="10"/>
        <rFont val="Arial"/>
        <family val="2"/>
      </rPr>
      <t>Grossed on class averages</t>
    </r>
    <r>
      <rPr>
        <sz val="10"/>
        <rFont val="Arial"/>
      </rPr>
      <t xml:space="preserve"> - Where no information has been given for any years previously,</t>
    </r>
  </si>
  <si>
    <t>figures have been estimated using population served (dependant on library type) and country type</t>
  </si>
  <si>
    <t>The non-financial data comes first with the financial data following.</t>
  </si>
  <si>
    <t>CHANGING COMPARATOR GROUPS</t>
  </si>
  <si>
    <t>sheet. Then the relevant Country Type(s) needs to be changed as required on the Dialogbox sheet.</t>
  </si>
  <si>
    <t>This may be useful for identifying regions such as; 'Baltic States' , 'Eastern Europe' etc. or for</t>
  </si>
  <si>
    <t>singling out individual countries to be shown.</t>
  </si>
  <si>
    <t>Eastern Europe</t>
  </si>
  <si>
    <t>Baltic States</t>
  </si>
  <si>
    <t>Northern Europe</t>
  </si>
  <si>
    <t>Southern Europe</t>
  </si>
  <si>
    <t>Central Europe</t>
  </si>
  <si>
    <t>Australasia</t>
  </si>
  <si>
    <t>Northern America</t>
  </si>
  <si>
    <t>Asia</t>
  </si>
  <si>
    <t>Rest of the World</t>
  </si>
  <si>
    <t>y value, or y divided by x if the 'y/x plot' box is ticked.</t>
  </si>
  <si>
    <t>TOTAL CAPITAL  PAYMENTS</t>
  </si>
  <si>
    <t>Other Capital Expenditure</t>
  </si>
  <si>
    <t>Automation</t>
  </si>
  <si>
    <t>Acquisition of Stock</t>
  </si>
  <si>
    <t>New Buildings / Refurbishment</t>
  </si>
  <si>
    <t>CAPITAL EXPENDITURE (not included above):</t>
  </si>
  <si>
    <t>TOTAL INCOME</t>
  </si>
  <si>
    <t>Other Income</t>
  </si>
  <si>
    <t>Fees &amp; Charges</t>
  </si>
  <si>
    <t>Public Funding</t>
  </si>
  <si>
    <r>
      <t xml:space="preserve">INCOME (Expressed in </t>
    </r>
    <r>
      <rPr>
        <u/>
        <sz val="10"/>
        <rFont val="Arial"/>
        <family val="2"/>
      </rPr>
      <t>Euros</t>
    </r>
    <r>
      <rPr>
        <sz val="10"/>
        <rFont val="Arial"/>
      </rPr>
      <t>, outturn prices):</t>
    </r>
  </si>
  <si>
    <t>TOTAL EXPENDITURE</t>
  </si>
  <si>
    <t>Other Expenditure</t>
  </si>
  <si>
    <t>Premises and Related Costs</t>
  </si>
  <si>
    <t>Electronic Information</t>
  </si>
  <si>
    <t>Staff</t>
  </si>
  <si>
    <r>
      <t xml:space="preserve">RECURRENT EXPENDITURE (Expressed in </t>
    </r>
    <r>
      <rPr>
        <u/>
        <sz val="10"/>
        <rFont val="Arial"/>
        <family val="2"/>
      </rPr>
      <t>Euros</t>
    </r>
    <r>
      <rPr>
        <sz val="10"/>
        <rFont val="Arial"/>
      </rPr>
      <t>, outturn prices):</t>
    </r>
  </si>
  <si>
    <t>Total Staff</t>
  </si>
  <si>
    <t>Other Library Staff</t>
  </si>
  <si>
    <t>Trained Librarians</t>
  </si>
  <si>
    <t>LIBRARY STAFF  (Full-time equivalent):</t>
  </si>
  <si>
    <t>Potential Total Population Served</t>
  </si>
  <si>
    <r>
      <t xml:space="preserve">Number of virtual visits to networked library services </t>
    </r>
    <r>
      <rPr>
        <i/>
        <sz val="10"/>
        <rFont val="Arial"/>
        <family val="2"/>
      </rPr>
      <t>(Public Libraries only)</t>
    </r>
  </si>
  <si>
    <r>
      <t xml:space="preserve">Number of virtual referrals and transactions </t>
    </r>
    <r>
      <rPr>
        <i/>
        <sz val="10"/>
        <rFont val="Arial"/>
        <family val="2"/>
      </rPr>
      <t>(Public Libraries only)</t>
    </r>
  </si>
  <si>
    <t>Number of Visits</t>
  </si>
  <si>
    <t>Loan Transactions / Consultations</t>
  </si>
  <si>
    <t>Registered Users</t>
  </si>
  <si>
    <t>USE AND USERS:</t>
  </si>
  <si>
    <t>- Number connected to the internet (included above)</t>
  </si>
  <si>
    <t>Number of Workstations for users</t>
  </si>
  <si>
    <t>Percentage Catalogue Records Automated</t>
  </si>
  <si>
    <t>Percentage Stock on Open Access</t>
  </si>
  <si>
    <t>FACILITIES &amp; SERVICES:</t>
  </si>
  <si>
    <t>Audio-visual Materials</t>
  </si>
  <si>
    <t>Books &amp; Bound Periodicals</t>
  </si>
  <si>
    <t>ADDITIONS:</t>
  </si>
  <si>
    <t>CD-ROMs</t>
  </si>
  <si>
    <t>Microforms</t>
  </si>
  <si>
    <t>Manuscripts</t>
  </si>
  <si>
    <t>Current Periodicals - Subscriptions</t>
  </si>
  <si>
    <t>Current Periodicals - Titles</t>
  </si>
  <si>
    <t>COLLECTIONS:</t>
  </si>
  <si>
    <t>Service Points</t>
  </si>
  <si>
    <t>Total Administrative Units</t>
  </si>
  <si>
    <t>LIBRARIES:</t>
  </si>
  <si>
    <t>FINANCIAL INFORMATION</t>
  </si>
  <si>
    <t>NUMBER OF STAFF</t>
  </si>
  <si>
    <t>NON-FINANCIAL INFORMATION</t>
  </si>
  <si>
    <t>Information included within the LIBECON database</t>
  </si>
  <si>
    <t>Shown in order of appearance on database and questionnaire</t>
  </si>
  <si>
    <t>Potential Population Served '000s (this will vary with library sector)</t>
  </si>
  <si>
    <t>Region (Example)</t>
  </si>
  <si>
    <r>
      <t xml:space="preserve">See </t>
    </r>
    <r>
      <rPr>
        <b/>
        <sz val="10"/>
        <rFont val="Arial"/>
        <family val="2"/>
      </rPr>
      <t xml:space="preserve">www.libecon.org </t>
    </r>
    <r>
      <rPr>
        <sz val="10"/>
        <rFont val="Arial"/>
        <family val="2"/>
      </rPr>
      <t>for questionnaires and guidance notes</t>
    </r>
  </si>
  <si>
    <t xml:space="preserve">shows 'real' submitted data, data estimated from previous years submissions or data based on </t>
  </si>
  <si>
    <r>
      <t xml:space="preserve">The countries are grouped by </t>
    </r>
    <r>
      <rPr>
        <b/>
        <sz val="10"/>
        <rFont val="Arial"/>
        <family val="2"/>
      </rPr>
      <t>TYPE</t>
    </r>
    <r>
      <rPr>
        <sz val="10"/>
        <rFont val="Arial"/>
      </rPr>
      <t xml:space="preserve"> the default being "EU", "CEE", "EFTA", "World A" and</t>
    </r>
  </si>
  <si>
    <r>
      <t xml:space="preserve">At the top of the </t>
    </r>
    <r>
      <rPr>
        <b/>
        <sz val="10"/>
        <rFont val="Arial"/>
        <family val="2"/>
      </rPr>
      <t>Dialogbox</t>
    </r>
    <r>
      <rPr>
        <sz val="10"/>
        <rFont val="Arial"/>
      </rPr>
      <t xml:space="preserve"> sheet you can select the type of library you wish to use. Then select</t>
    </r>
  </si>
  <si>
    <r>
      <t xml:space="preserve">an </t>
    </r>
    <r>
      <rPr>
        <b/>
        <sz val="10"/>
        <rFont val="Arial"/>
        <family val="2"/>
      </rPr>
      <t>X and Y value to compare</t>
    </r>
    <r>
      <rPr>
        <sz val="10"/>
        <rFont val="Arial"/>
      </rPr>
      <t xml:space="preserve"> (this will extract data from the datasheets for these two indicators).</t>
    </r>
  </si>
  <si>
    <r>
      <t xml:space="preserve">if the </t>
    </r>
    <r>
      <rPr>
        <b/>
        <sz val="10"/>
        <rFont val="Arial"/>
        <family val="2"/>
      </rPr>
      <t>'y/x plot'</t>
    </r>
    <r>
      <rPr>
        <sz val="10"/>
        <rFont val="Arial"/>
      </rPr>
      <t xml:space="preserve"> box is ticked.</t>
    </r>
  </si>
  <si>
    <r>
      <t xml:space="preserve">Alternatively the data can be viewed on  a </t>
    </r>
    <r>
      <rPr>
        <b/>
        <sz val="10"/>
        <rFont val="Arial"/>
        <family val="2"/>
      </rPr>
      <t>scatter</t>
    </r>
    <r>
      <rPr>
        <sz val="10"/>
        <rFont val="Arial"/>
      </rPr>
      <t xml:space="preserve"> plot. To add a trend line click on 'Chart'</t>
    </r>
  </si>
  <si>
    <t>'Add trendline'.</t>
  </si>
  <si>
    <r>
      <t>Rankings</t>
    </r>
    <r>
      <rPr>
        <sz val="10"/>
        <rFont val="Arial"/>
      </rPr>
      <t xml:space="preserve"> can be viewed via the histogram or scatter graphs. The rankings will be based on the</t>
    </r>
  </si>
  <si>
    <r>
      <t xml:space="preserve">To </t>
    </r>
    <r>
      <rPr>
        <b/>
        <sz val="10"/>
        <rFont val="Arial"/>
        <family val="2"/>
      </rPr>
      <t>enter or edit data</t>
    </r>
    <r>
      <rPr>
        <sz val="10"/>
        <rFont val="Arial"/>
      </rPr>
      <t>, simply use the relevant "data" sheet.  The columns are already headed to</t>
    </r>
  </si>
  <si>
    <r>
      <t xml:space="preserve">country type averages. To identify the type of data for each country goto the </t>
    </r>
    <r>
      <rPr>
        <b/>
        <sz val="10"/>
        <rFont val="Arial"/>
        <family val="2"/>
      </rPr>
      <t>'Ranking'</t>
    </r>
    <r>
      <rPr>
        <sz val="10"/>
        <rFont val="Arial"/>
      </rPr>
      <t xml:space="preserve"> sheet, further</t>
    </r>
  </si>
  <si>
    <r>
      <t xml:space="preserve">Hence, the returned and based on returned data will show an </t>
    </r>
    <r>
      <rPr>
        <b/>
        <sz val="10"/>
        <rFont val="Arial"/>
        <family val="2"/>
      </rPr>
      <t>accurate</t>
    </r>
    <r>
      <rPr>
        <sz val="10"/>
        <rFont val="Arial"/>
      </rPr>
      <t xml:space="preserve"> reflexion of countries'</t>
    </r>
  </si>
  <si>
    <r>
      <t xml:space="preserve">activity and expenditure, but the data grossed on class averages will </t>
    </r>
    <r>
      <rPr>
        <b/>
        <sz val="10"/>
        <rFont val="Arial"/>
        <family val="2"/>
      </rPr>
      <t>only give an approxiamte</t>
    </r>
  </si>
  <si>
    <r>
      <t>estimate</t>
    </r>
    <r>
      <rPr>
        <sz val="10"/>
        <rFont val="Arial"/>
      </rPr>
      <t xml:space="preserve"> of the situation and </t>
    </r>
    <r>
      <rPr>
        <b/>
        <sz val="10"/>
        <rFont val="Arial"/>
        <family val="2"/>
      </rPr>
      <t>should therefore not be used for serious comparisons</t>
    </r>
    <r>
      <rPr>
        <sz val="10"/>
        <rFont val="Arial"/>
      </rPr>
      <t>.</t>
    </r>
  </si>
  <si>
    <t>If you have any questions or comments please contact Martin Jennings on;</t>
  </si>
  <si>
    <r>
      <t>martin.jennings@ipf.co.uk</t>
    </r>
    <r>
      <rPr>
        <sz val="10"/>
        <color indexed="12"/>
        <rFont val="Arial"/>
        <family val="2"/>
      </rPr>
      <t xml:space="preserve">      </t>
    </r>
    <r>
      <rPr>
        <sz val="10"/>
        <rFont val="Arial"/>
        <family val="2"/>
      </rPr>
      <t>or at</t>
    </r>
  </si>
  <si>
    <t>IPF Ltd</t>
  </si>
  <si>
    <t>6th Floor, NLA Tower</t>
  </si>
  <si>
    <t>12 - 16 Addiscombe Road</t>
  </si>
  <si>
    <t>Croydon</t>
  </si>
  <si>
    <t>CR0 0XT</t>
  </si>
  <si>
    <t>CONTACT</t>
  </si>
  <si>
    <t>As an example, copy highlighted column in row D by pressing this button.</t>
  </si>
  <si>
    <r>
      <t>sheet and press the '</t>
    </r>
    <r>
      <rPr>
        <b/>
        <sz val="10"/>
        <rFont val="Arial"/>
        <family val="2"/>
      </rPr>
      <t>Update Type</t>
    </r>
    <r>
      <rPr>
        <sz val="10"/>
        <rFont val="Arial"/>
      </rPr>
      <t>' button.</t>
    </r>
  </si>
  <si>
    <t>All totals for all years shown relate to grossed data</t>
  </si>
  <si>
    <t>database. See the Help sheet for instructions.</t>
  </si>
  <si>
    <t>data, peer groups, are all possible using this</t>
  </si>
  <si>
    <t>Scatter plots, histograms, rankings,  editing</t>
  </si>
  <si>
    <t>To view data quality see 'Ranking' sheet</t>
  </si>
  <si>
    <r>
      <t xml:space="preserve">"Totals" shows the </t>
    </r>
    <r>
      <rPr>
        <b/>
        <sz val="10"/>
        <rFont val="Arial"/>
        <family val="2"/>
      </rPr>
      <t>grossed</t>
    </r>
    <r>
      <rPr>
        <sz val="10"/>
        <rFont val="Arial"/>
      </rPr>
      <t xml:space="preserve"> totals for these regions.</t>
    </r>
  </si>
  <si>
    <t xml:space="preserve">averages. (The Gross sheet indicates the data type 0 for returned, 1 for based on returned and </t>
  </si>
  <si>
    <t>2 for grossed on class averages.</t>
  </si>
  <si>
    <t>increased or decreased in line with the trend for the relevant country type.</t>
  </si>
  <si>
    <t>Tel: 020 8667 8530</t>
  </si>
  <si>
    <r>
      <t xml:space="preserve">indicate how to enter your data.  Put additional countries or information in the next available </t>
    </r>
    <r>
      <rPr>
        <b/>
        <sz val="10"/>
        <rFont val="Arial"/>
        <family val="2"/>
      </rPr>
      <t>row</t>
    </r>
  </si>
  <si>
    <r>
      <t xml:space="preserve">or </t>
    </r>
    <r>
      <rPr>
        <b/>
        <sz val="10"/>
        <rFont val="Arial"/>
        <family val="2"/>
      </rPr>
      <t>column</t>
    </r>
    <r>
      <rPr>
        <sz val="10"/>
        <rFont val="Arial"/>
      </rPr>
      <t xml:space="preserve"> respectively.  For example, a group of columns can be summed together to form one</t>
    </r>
  </si>
  <si>
    <t xml:space="preserve">other worksheets refer to them, and moving or inserting columns and rows will affect the formulae. </t>
  </si>
  <si>
    <t>column at the end of the database.  Editing cells, copying, pasting, and sorting columns or rows is</t>
  </si>
  <si>
    <r>
      <t xml:space="preserve">OK, but please </t>
    </r>
    <r>
      <rPr>
        <b/>
        <sz val="10"/>
        <rFont val="Arial"/>
        <family val="2"/>
      </rPr>
      <t>do not</t>
    </r>
    <r>
      <rPr>
        <sz val="10"/>
        <rFont val="Arial"/>
      </rPr>
      <t xml:space="preserve"> insert rows or move cells around on the "data" worksheet.  Functions in</t>
    </r>
  </si>
  <si>
    <t>LibEcon - Tertiary Libraries</t>
  </si>
  <si>
    <t>Use &amp; Users - Consultations</t>
  </si>
  <si>
    <t>Staff &amp; Students '000s</t>
  </si>
  <si>
    <t>Use &amp; Users - Staff &amp; Students</t>
  </si>
  <si>
    <t>Additions</t>
  </si>
  <si>
    <t>Loans per visit</t>
  </si>
  <si>
    <t>Cost per pop</t>
  </si>
  <si>
    <t>Users per 1000 pop</t>
  </si>
  <si>
    <t>visits per 1000 pop</t>
  </si>
  <si>
    <t>Bookstock per 1000 pop</t>
  </si>
  <si>
    <t>Total stock per 1000 pop</t>
  </si>
  <si>
    <t>AV materials per 1000 pop</t>
  </si>
  <si>
    <t>2001 Grossed</t>
  </si>
  <si>
    <t>Returned Data for year 2001</t>
  </si>
  <si>
    <t>The data includes the 5 years of data 1997 to 2001. Also included is 'Grossed' data for 2001, this</t>
  </si>
  <si>
    <r>
      <t xml:space="preserve">To change the comparator group settings simply edit the second column in the </t>
    </r>
    <r>
      <rPr>
        <b/>
        <sz val="10"/>
        <rFont val="Arial"/>
        <family val="2"/>
      </rPr>
      <t>2001 Grossed</t>
    </r>
    <r>
      <rPr>
        <sz val="10"/>
        <rFont val="Arial"/>
      </rPr>
      <t xml:space="preserve"> data</t>
    </r>
  </si>
  <si>
    <r>
      <t>Paste this into Cell B2 of sheet '</t>
    </r>
    <r>
      <rPr>
        <b/>
        <sz val="10"/>
        <rFont val="Arial"/>
        <family val="2"/>
      </rPr>
      <t>2001 Grossed</t>
    </r>
    <r>
      <rPr>
        <sz val="10"/>
        <rFont val="Arial"/>
      </rPr>
      <t>', then return to the 'Dialogbox'</t>
    </r>
  </si>
  <si>
    <t>headings. ONLY returned data are shown in the 1997 to 2001 datasheets.</t>
  </si>
  <si>
    <t>The following two data types only appear in the '2001 Grossed' datasheet.</t>
  </si>
  <si>
    <t>has been submitted in previous years, but not in 2001 then previous years financial figures have been</t>
  </si>
  <si>
    <t>years 1997 to 2001.</t>
  </si>
  <si>
    <t>2003</t>
  </si>
  <si>
    <t>EU Accession Countries - Totals</t>
  </si>
  <si>
    <t>EU Accession Country Totals included estimates for Cyprus and Malta</t>
  </si>
  <si>
    <t>The year 2001 grossed shows real and grossed data based on previous years returns and country type averages</t>
  </si>
  <si>
    <t>Use &amp; Users - Loans</t>
  </si>
  <si>
    <t>returns at 27/10/03, and relates to the</t>
  </si>
  <si>
    <t>C12a</t>
  </si>
  <si>
    <t>C12b</t>
  </si>
  <si>
    <t>België Vlaamse Gemeenschap</t>
  </si>
  <si>
    <t>België Nederlandstalige Universiteiten</t>
  </si>
  <si>
    <t xml:space="preserve">Belgique universités francophones </t>
  </si>
  <si>
    <t>Organisational framework for the libraries</t>
  </si>
  <si>
    <t xml:space="preserve">This introductory section gives a short overview of the Belgian institutional </t>
  </si>
  <si>
    <t xml:space="preserve">structure in order to help understanding the way libraries are organized in </t>
  </si>
  <si>
    <t>Belgium.</t>
  </si>
  <si>
    <t xml:space="preserve">The reforms of the State implemented in 1980, 1988, 1993 and 2001 have led to </t>
  </si>
  <si>
    <t xml:space="preserve">Belgium being turned into a federal country. Belgium consists of three geographical </t>
  </si>
  <si>
    <t>(and economic) regions - the Flemish Region, the Walloon Region and the Brussels-</t>
  </si>
  <si>
    <t xml:space="preserve">Capital Region – and three cultural communities – the Flemish Community (Vlaamse </t>
  </si>
  <si>
    <r>
      <t>Gemeenschap), the French Community (Communauté Française)</t>
    </r>
    <r>
      <rPr>
        <b/>
        <sz val="10"/>
        <color indexed="18"/>
        <rFont val="Arial"/>
        <family val="2"/>
      </rPr>
      <t xml:space="preserve"> </t>
    </r>
    <r>
      <rPr>
        <sz val="11"/>
        <rFont val="Arial"/>
        <family val="2"/>
      </rPr>
      <t>and the German-</t>
    </r>
  </si>
  <si>
    <t xml:space="preserve">speaking Community. The three cultural (and speech) communities are a product of </t>
  </si>
  <si>
    <t xml:space="preserve">history: the country is situated at the junction between the Latin and Germanic </t>
  </si>
  <si>
    <t>languages: French, Dutch and German.</t>
  </si>
  <si>
    <t xml:space="preserve">As a result of the reforms, the decision-making power is no longer exclusively in the </t>
  </si>
  <si>
    <t xml:space="preserve">hands of the Federal Parliament and the Federal Government. Each of the </t>
  </si>
  <si>
    <t>Communities and Regions has a Parliament and a Government too.</t>
  </si>
  <si>
    <t xml:space="preserve">The Communities are essentially competent for culture (including museums, libraries </t>
  </si>
  <si>
    <t xml:space="preserve">and archives) and education and the so-called personalized matters related to health </t>
  </si>
  <si>
    <t xml:space="preserve">policy (health care policy and health education) and to assistance to individuals </t>
  </si>
  <si>
    <t xml:space="preserve">(family, youth, elderly, etc). The Regions are responsible in particular for the fields of </t>
  </si>
  <si>
    <t xml:space="preserve">the economy, energy (nuclear energy remains, however, a federal competence), </t>
  </si>
  <si>
    <t xml:space="preserve">public works, agriculture, the environment and transport. The federal authority retains </t>
  </si>
  <si>
    <t xml:space="preserve">among others: the foreign affairs, defence, justice, finances, social security, important </t>
  </si>
  <si>
    <t xml:space="preserve">sectors of public health and domestic affairs, etc. It supports also the activities of a </t>
  </si>
  <si>
    <t>series of federal scientific and cultural institutions.</t>
  </si>
  <si>
    <t xml:space="preserve">The public competences in the sector of libraries are widely spread among the federal </t>
  </si>
  <si>
    <t xml:space="preserve">entities. Except the Royal Library (and the libraries of the federal scientific and cultural </t>
  </si>
  <si>
    <t xml:space="preserve">institutions) which is placed under the responsibility of the Belgian Federal Science </t>
  </si>
  <si>
    <t xml:space="preserve">Policy Office, the other scientific and public libraries lie with the Flemish, French and </t>
  </si>
  <si>
    <t>German-speaking Communities or even with the provincial and local authorities.</t>
  </si>
  <si>
    <t xml:space="preserve">The policies regarding public libraries are defined since 1978 by Community decrees </t>
  </si>
  <si>
    <t xml:space="preserve">and implemented by a special administration for public libraries located within the </t>
  </si>
  <si>
    <t xml:space="preserve">ministries of Culture of the Communities. Higher Councils for public libraries (advisory </t>
  </si>
  <si>
    <t>bodies) have also been installed in the Flemish and the French Communities.</t>
  </si>
  <si>
    <t xml:space="preserve">The university libraries are placed under the authority of the leading bodies of each </t>
  </si>
  <si>
    <t xml:space="preserve">university. There is no central administration responsible at Community level for these </t>
  </si>
  <si>
    <t>libraries.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</si>
</sst>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2" formatCode="0.0"/>
    <numFmt numFmtId="179" formatCode="#,###.###"/>
  </numFmts>
  <fonts count="2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Tahoma"/>
      <family val="2"/>
    </font>
    <font>
      <sz val="7.5"/>
      <color indexed="8"/>
      <name val="Arial"/>
      <family val="2"/>
    </font>
    <font>
      <sz val="10"/>
      <color indexed="41"/>
      <name val="Verdana"/>
      <family val="2"/>
    </font>
    <font>
      <b/>
      <sz val="10"/>
      <color indexed="41"/>
      <name val="Verdana"/>
      <family val="2"/>
    </font>
    <font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DashDot">
        <color indexed="60"/>
      </left>
      <right/>
      <top/>
      <bottom/>
      <diagonal/>
    </border>
    <border>
      <left/>
      <right style="mediumDashDot">
        <color indexed="60"/>
      </right>
      <top/>
      <bottom/>
      <diagonal/>
    </border>
    <border>
      <left style="mediumDashDot">
        <color indexed="60"/>
      </left>
      <right/>
      <top/>
      <bottom style="mediumDashDot">
        <color indexed="60"/>
      </bottom>
      <diagonal/>
    </border>
    <border>
      <left/>
      <right/>
      <top/>
      <bottom style="mediumDashDot">
        <color indexed="60"/>
      </bottom>
      <diagonal/>
    </border>
    <border>
      <left/>
      <right style="mediumDashDot">
        <color indexed="60"/>
      </right>
      <top/>
      <bottom style="mediumDashDot">
        <color indexed="60"/>
      </bottom>
      <diagonal/>
    </border>
    <border>
      <left style="medium">
        <color indexed="60"/>
      </left>
      <right/>
      <top style="medium">
        <color indexed="60"/>
      </top>
      <bottom style="medium">
        <color indexed="60"/>
      </bottom>
      <diagonal/>
    </border>
    <border>
      <left/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indexed="60"/>
      </left>
      <right style="thin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1" fontId="0" fillId="0" borderId="0" xfId="0" applyNumberFormat="1"/>
    <xf numFmtId="172" fontId="0" fillId="0" borderId="0" xfId="0" applyNumberFormat="1"/>
    <xf numFmtId="172" fontId="2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7" fillId="0" borderId="0" xfId="0" applyFont="1"/>
    <xf numFmtId="172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NumberFormat="1"/>
    <xf numFmtId="0" fontId="0" fillId="0" borderId="3" xfId="0" applyBorder="1"/>
    <xf numFmtId="0" fontId="0" fillId="0" borderId="4" xfId="0" applyBorder="1"/>
    <xf numFmtId="0" fontId="7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/>
    <xf numFmtId="0" fontId="7" fillId="0" borderId="0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0" fillId="0" borderId="0" xfId="0" applyFill="1" applyBorder="1"/>
    <xf numFmtId="0" fontId="7" fillId="0" borderId="7" xfId="0" applyFont="1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172" fontId="0" fillId="0" borderId="0" xfId="0" applyNumberFormat="1" applyBorder="1" applyAlignment="1">
      <alignment vertical="top"/>
    </xf>
    <xf numFmtId="0" fontId="7" fillId="0" borderId="9" xfId="0" applyFont="1" applyBorder="1"/>
    <xf numFmtId="38" fontId="0" fillId="0" borderId="0" xfId="1" applyNumberFormat="1" applyFont="1"/>
    <xf numFmtId="0" fontId="0" fillId="0" borderId="0" xfId="0" applyBorder="1"/>
    <xf numFmtId="0" fontId="0" fillId="0" borderId="0" xfId="0" applyNumberFormat="1" applyBorder="1"/>
    <xf numFmtId="0" fontId="0" fillId="0" borderId="1" xfId="0" pivotButton="1" applyBorder="1"/>
    <xf numFmtId="1" fontId="0" fillId="0" borderId="0" xfId="0" applyNumberFormat="1" applyProtection="1"/>
    <xf numFmtId="1" fontId="0" fillId="0" borderId="0" xfId="0" applyNumberFormat="1" applyAlignment="1">
      <alignment wrapText="1"/>
    </xf>
    <xf numFmtId="1" fontId="2" fillId="0" borderId="0" xfId="0" applyNumberFormat="1" applyFont="1"/>
    <xf numFmtId="1" fontId="7" fillId="0" borderId="0" xfId="0" applyNumberFormat="1" applyFont="1"/>
    <xf numFmtId="0" fontId="0" fillId="0" borderId="2" xfId="0" applyNumberFormat="1" applyBorder="1"/>
    <xf numFmtId="0" fontId="0" fillId="0" borderId="13" xfId="0" applyBorder="1"/>
    <xf numFmtId="0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0" fontId="10" fillId="2" borderId="0" xfId="0" applyFont="1" applyFill="1" applyAlignment="1">
      <alignment horizontal="left" wrapText="1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8" fillId="3" borderId="6" xfId="0" applyFont="1" applyFill="1" applyBorder="1"/>
    <xf numFmtId="0" fontId="8" fillId="3" borderId="0" xfId="0" applyFont="1" applyFill="1" applyBorder="1"/>
    <xf numFmtId="0" fontId="8" fillId="3" borderId="7" xfId="0" applyFont="1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1" fillId="4" borderId="3" xfId="0" applyFont="1" applyFill="1" applyBorder="1"/>
    <xf numFmtId="0" fontId="11" fillId="4" borderId="4" xfId="0" applyFont="1" applyFill="1" applyBorder="1"/>
    <xf numFmtId="0" fontId="12" fillId="4" borderId="4" xfId="0" applyFont="1" applyFill="1" applyBorder="1"/>
    <xf numFmtId="0" fontId="11" fillId="4" borderId="5" xfId="0" applyFont="1" applyFill="1" applyBorder="1"/>
    <xf numFmtId="0" fontId="11" fillId="4" borderId="6" xfId="0" applyFont="1" applyFill="1" applyBorder="1"/>
    <xf numFmtId="0" fontId="11" fillId="4" borderId="0" xfId="0" applyFont="1" applyFill="1" applyBorder="1"/>
    <xf numFmtId="0" fontId="11" fillId="4" borderId="7" xfId="0" applyFont="1" applyFill="1" applyBorder="1"/>
    <xf numFmtId="0" fontId="11" fillId="4" borderId="8" xfId="0" applyFont="1" applyFill="1" applyBorder="1"/>
    <xf numFmtId="0" fontId="11" fillId="4" borderId="9" xfId="0" applyFont="1" applyFill="1" applyBorder="1"/>
    <xf numFmtId="17" fontId="11" fillId="4" borderId="9" xfId="0" applyNumberFormat="1" applyFont="1" applyFill="1" applyBorder="1"/>
    <xf numFmtId="0" fontId="11" fillId="4" borderId="10" xfId="0" applyFont="1" applyFill="1" applyBorder="1"/>
    <xf numFmtId="0" fontId="0" fillId="0" borderId="11" xfId="0" quotePrefix="1" applyBorder="1"/>
    <xf numFmtId="17" fontId="11" fillId="4" borderId="0" xfId="0" quotePrefix="1" applyNumberFormat="1" applyFont="1" applyFill="1" applyBorder="1"/>
    <xf numFmtId="0" fontId="12" fillId="4" borderId="0" xfId="0" applyFont="1" applyFill="1" applyBorder="1" applyAlignment="1">
      <alignment horizontal="centerContinuous"/>
    </xf>
    <xf numFmtId="0" fontId="11" fillId="4" borderId="0" xfId="0" applyFont="1" applyFill="1" applyBorder="1" applyAlignment="1">
      <alignment horizontal="centerContinuous"/>
    </xf>
    <xf numFmtId="3" fontId="0" fillId="0" borderId="0" xfId="0" applyNumberFormat="1"/>
    <xf numFmtId="172" fontId="0" fillId="5" borderId="17" xfId="0" applyNumberFormat="1" applyFill="1" applyBorder="1"/>
    <xf numFmtId="172" fontId="0" fillId="5" borderId="0" xfId="0" applyNumberFormat="1" applyFill="1" applyBorder="1"/>
    <xf numFmtId="1" fontId="0" fillId="5" borderId="18" xfId="0" applyNumberFormat="1" applyFill="1" applyBorder="1"/>
    <xf numFmtId="172" fontId="0" fillId="5" borderId="19" xfId="0" applyNumberFormat="1" applyFill="1" applyBorder="1"/>
    <xf numFmtId="172" fontId="0" fillId="5" borderId="20" xfId="0" applyNumberFormat="1" applyFill="1" applyBorder="1"/>
    <xf numFmtId="1" fontId="0" fillId="5" borderId="21" xfId="0" applyNumberFormat="1" applyFill="1" applyBorder="1"/>
    <xf numFmtId="172" fontId="0" fillId="6" borderId="22" xfId="0" applyNumberFormat="1" applyFill="1" applyBorder="1" applyAlignment="1">
      <alignment horizontal="center" vertical="top" wrapText="1"/>
    </xf>
    <xf numFmtId="0" fontId="0" fillId="6" borderId="23" xfId="0" applyFill="1" applyBorder="1" applyAlignment="1">
      <alignment horizontal="center" vertical="top" wrapText="1"/>
    </xf>
    <xf numFmtId="172" fontId="0" fillId="6" borderId="24" xfId="0" applyNumberForma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179" fontId="0" fillId="0" borderId="0" xfId="0" applyNumberFormat="1"/>
    <xf numFmtId="179" fontId="2" fillId="0" borderId="0" xfId="0" applyNumberFormat="1" applyFont="1"/>
    <xf numFmtId="172" fontId="0" fillId="0" borderId="0" xfId="0" quotePrefix="1" applyNumberFormat="1"/>
    <xf numFmtId="0" fontId="2" fillId="0" borderId="0" xfId="0" applyFont="1" applyAlignment="1">
      <alignment horizontal="center" wrapText="1"/>
    </xf>
    <xf numFmtId="172" fontId="0" fillId="0" borderId="0" xfId="0" quotePrefix="1" applyNumberFormat="1" applyAlignment="1">
      <alignment horizont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11" xfId="0" applyFont="1" applyBorder="1"/>
    <xf numFmtId="0" fontId="0" fillId="0" borderId="9" xfId="0" applyBorder="1"/>
    <xf numFmtId="0" fontId="2" fillId="7" borderId="0" xfId="0" applyFont="1" applyFill="1" applyAlignment="1">
      <alignment horizontal="center" wrapText="1"/>
    </xf>
    <xf numFmtId="0" fontId="15" fillId="0" borderId="0" xfId="0" applyFont="1"/>
    <xf numFmtId="0" fontId="1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5" xfId="0" applyFont="1" applyBorder="1" applyAlignment="1">
      <alignment horizontal="left"/>
    </xf>
    <xf numFmtId="0" fontId="2" fillId="0" borderId="25" xfId="0" applyFont="1" applyBorder="1" applyAlignment="1">
      <alignment horizontal="left" wrapText="1"/>
    </xf>
    <xf numFmtId="0" fontId="2" fillId="0" borderId="25" xfId="0" applyFont="1" applyBorder="1"/>
    <xf numFmtId="0" fontId="0" fillId="0" borderId="11" xfId="0" applyFill="1" applyBorder="1"/>
    <xf numFmtId="0" fontId="2" fillId="0" borderId="11" xfId="0" applyFont="1" applyFill="1" applyBorder="1"/>
    <xf numFmtId="0" fontId="16" fillId="0" borderId="11" xfId="2" applyFont="1" applyBorder="1" applyAlignment="1" applyProtection="1"/>
    <xf numFmtId="0" fontId="0" fillId="6" borderId="0" xfId="0" applyFill="1"/>
    <xf numFmtId="1" fontId="0" fillId="6" borderId="0" xfId="0" applyNumberFormat="1" applyFill="1"/>
    <xf numFmtId="1" fontId="0" fillId="7" borderId="0" xfId="0" applyNumberFormat="1" applyFill="1"/>
    <xf numFmtId="0" fontId="19" fillId="6" borderId="0" xfId="0" applyFont="1" applyFill="1"/>
    <xf numFmtId="0" fontId="20" fillId="6" borderId="0" xfId="0" applyFont="1" applyFill="1"/>
    <xf numFmtId="0" fontId="18" fillId="6" borderId="0" xfId="0" applyFont="1" applyFill="1"/>
    <xf numFmtId="0" fontId="20" fillId="6" borderId="0" xfId="0" applyFont="1" applyFill="1" applyAlignment="1"/>
    <xf numFmtId="0" fontId="0" fillId="6" borderId="0" xfId="0" applyFill="1" applyAlignment="1"/>
    <xf numFmtId="0" fontId="18" fillId="6" borderId="0" xfId="0" applyFont="1" applyFill="1" applyAlignment="1"/>
    <xf numFmtId="0" fontId="18" fillId="6" borderId="0" xfId="0" applyFont="1" applyFill="1" applyAlignment="1">
      <alignment horizontal="justify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344827586206897E-2"/>
          <c:y val="3.3936651583710405E-2"/>
          <c:w val="0.80965517241379314"/>
          <c:h val="0.90837104072398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Selection!$G$1</c:f>
              <c:strCache>
                <c:ptCount val="1"/>
                <c:pt idx="0">
                  <c:v>EFTA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899</c:v>
                </c:pt>
                <c:pt idx="1">
                  <c:v>964</c:v>
                </c:pt>
                <c:pt idx="2">
                  <c:v>4364</c:v>
                </c:pt>
                <c:pt idx="3">
                  <c:v>1733</c:v>
                </c:pt>
                <c:pt idx="4">
                  <c:v>5</c:v>
                </c:pt>
                <c:pt idx="5">
                  <c:v>9820</c:v>
                </c:pt>
                <c:pt idx="6">
                  <c:v>9</c:v>
                </c:pt>
                <c:pt idx="7">
                  <c:v>1870</c:v>
                </c:pt>
                <c:pt idx="8">
                  <c:v>941</c:v>
                </c:pt>
                <c:pt idx="9">
                  <c:v>6532</c:v>
                </c:pt>
                <c:pt idx="10">
                  <c:v>54</c:v>
                </c:pt>
                <c:pt idx="11">
                  <c:v>1448</c:v>
                </c:pt>
                <c:pt idx="12">
                  <c:v>307</c:v>
                </c:pt>
                <c:pt idx="13">
                  <c:v>8869</c:v>
                </c:pt>
                <c:pt idx="14">
                  <c:v>609</c:v>
                </c:pt>
                <c:pt idx="15">
                  <c:v>#N/A</c:v>
                </c:pt>
                <c:pt idx="16">
                  <c:v>1429</c:v>
                </c:pt>
                <c:pt idx="17">
                  <c:v>750</c:v>
                </c:pt>
                <c:pt idx="18">
                  <c:v>7430</c:v>
                </c:pt>
                <c:pt idx="19">
                  <c:v>1215</c:v>
                </c:pt>
                <c:pt idx="20">
                  <c:v>1123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Selection!$G$2:$G$501</c:f>
              <c:numCache>
                <c:formatCode>0.0</c:formatCode>
                <c:ptCount val="500"/>
                <c:pt idx="0">
                  <c:v>#N/A</c:v>
                </c:pt>
                <c:pt idx="1">
                  <c:v>40033.091286307055</c:v>
                </c:pt>
                <c:pt idx="2">
                  <c:v>#N/A</c:v>
                </c:pt>
                <c:pt idx="3">
                  <c:v>#N/A</c:v>
                </c:pt>
                <c:pt idx="4">
                  <c:v>37124.6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27499.611111111109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21043.254023792862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1-4FC8-BD47-D616DBB26C19}"/>
            </c:ext>
          </c:extLst>
        </c:ser>
        <c:ser>
          <c:idx val="1"/>
          <c:order val="1"/>
          <c:tx>
            <c:strRef>
              <c:f>Selection!$H$1</c:f>
              <c:strCache>
                <c:ptCount val="1"/>
                <c:pt idx="0">
                  <c:v>EU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899</c:v>
                </c:pt>
                <c:pt idx="1">
                  <c:v>964</c:v>
                </c:pt>
                <c:pt idx="2">
                  <c:v>4364</c:v>
                </c:pt>
                <c:pt idx="3">
                  <c:v>1733</c:v>
                </c:pt>
                <c:pt idx="4">
                  <c:v>5</c:v>
                </c:pt>
                <c:pt idx="5">
                  <c:v>9820</c:v>
                </c:pt>
                <c:pt idx="6">
                  <c:v>9</c:v>
                </c:pt>
                <c:pt idx="7">
                  <c:v>1870</c:v>
                </c:pt>
                <c:pt idx="8">
                  <c:v>941</c:v>
                </c:pt>
                <c:pt idx="9">
                  <c:v>6532</c:v>
                </c:pt>
                <c:pt idx="10">
                  <c:v>54</c:v>
                </c:pt>
                <c:pt idx="11">
                  <c:v>1448</c:v>
                </c:pt>
                <c:pt idx="12">
                  <c:v>307</c:v>
                </c:pt>
                <c:pt idx="13">
                  <c:v>8869</c:v>
                </c:pt>
                <c:pt idx="14">
                  <c:v>609</c:v>
                </c:pt>
                <c:pt idx="15">
                  <c:v>#N/A</c:v>
                </c:pt>
                <c:pt idx="16">
                  <c:v>1429</c:v>
                </c:pt>
                <c:pt idx="17">
                  <c:v>750</c:v>
                </c:pt>
                <c:pt idx="18">
                  <c:v>7430</c:v>
                </c:pt>
                <c:pt idx="19">
                  <c:v>1215</c:v>
                </c:pt>
                <c:pt idx="20">
                  <c:v>1123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Selection!$H$2:$H$501</c:f>
              <c:numCache>
                <c:formatCode>0.0</c:formatCode>
                <c:ptCount val="500"/>
                <c:pt idx="0">
                  <c:v>42413.65517241379</c:v>
                </c:pt>
                <c:pt idx="1">
                  <c:v>#N/A</c:v>
                </c:pt>
                <c:pt idx="2">
                  <c:v>38333.626947754354</c:v>
                </c:pt>
                <c:pt idx="3">
                  <c:v>38265.252163877667</c:v>
                </c:pt>
                <c:pt idx="4">
                  <c:v>#N/A</c:v>
                </c:pt>
                <c:pt idx="5">
                  <c:v>35583.506415478616</c:v>
                </c:pt>
                <c:pt idx="6">
                  <c:v>33761.777777777781</c:v>
                </c:pt>
                <c:pt idx="7">
                  <c:v>31750.330481283421</c:v>
                </c:pt>
                <c:pt idx="8">
                  <c:v>31509.319872476088</c:v>
                </c:pt>
                <c:pt idx="9">
                  <c:v>31173.883037354561</c:v>
                </c:pt>
                <c:pt idx="10">
                  <c:v>#N/A</c:v>
                </c:pt>
                <c:pt idx="11">
                  <c:v>27353.222375690606</c:v>
                </c:pt>
                <c:pt idx="12">
                  <c:v>#N/A</c:v>
                </c:pt>
                <c:pt idx="13">
                  <c:v>27132.814184237232</c:v>
                </c:pt>
                <c:pt idx="14">
                  <c:v>25348.756978653531</c:v>
                </c:pt>
                <c:pt idx="15">
                  <c:v>#N/A</c:v>
                </c:pt>
                <c:pt idx="16">
                  <c:v>#N/A</c:v>
                </c:pt>
                <c:pt idx="17">
                  <c:v>20084.240000000002</c:v>
                </c:pt>
                <c:pt idx="18">
                  <c:v>16526.102960969045</c:v>
                </c:pt>
                <c:pt idx="19">
                  <c:v>5801.2510288065841</c:v>
                </c:pt>
                <c:pt idx="20">
                  <c:v>3611.1086375779164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F1-4FC8-BD47-D616DBB26C19}"/>
            </c:ext>
          </c:extLst>
        </c:ser>
        <c:ser>
          <c:idx val="2"/>
          <c:order val="2"/>
          <c:tx>
            <c:strRef>
              <c:f>Selection!$I$1</c:f>
              <c:strCache>
                <c:ptCount val="1"/>
                <c:pt idx="0">
                  <c:v>België Nederlandstalige Universiteiten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899</c:v>
                </c:pt>
                <c:pt idx="1">
                  <c:v>964</c:v>
                </c:pt>
                <c:pt idx="2">
                  <c:v>4364</c:v>
                </c:pt>
                <c:pt idx="3">
                  <c:v>1733</c:v>
                </c:pt>
                <c:pt idx="4">
                  <c:v>5</c:v>
                </c:pt>
                <c:pt idx="5">
                  <c:v>9820</c:v>
                </c:pt>
                <c:pt idx="6">
                  <c:v>9</c:v>
                </c:pt>
                <c:pt idx="7">
                  <c:v>1870</c:v>
                </c:pt>
                <c:pt idx="8">
                  <c:v>941</c:v>
                </c:pt>
                <c:pt idx="9">
                  <c:v>6532</c:v>
                </c:pt>
                <c:pt idx="10">
                  <c:v>54</c:v>
                </c:pt>
                <c:pt idx="11">
                  <c:v>1448</c:v>
                </c:pt>
                <c:pt idx="12">
                  <c:v>307</c:v>
                </c:pt>
                <c:pt idx="13">
                  <c:v>8869</c:v>
                </c:pt>
                <c:pt idx="14">
                  <c:v>609</c:v>
                </c:pt>
                <c:pt idx="15">
                  <c:v>#N/A</c:v>
                </c:pt>
                <c:pt idx="16">
                  <c:v>1429</c:v>
                </c:pt>
                <c:pt idx="17">
                  <c:v>750</c:v>
                </c:pt>
                <c:pt idx="18">
                  <c:v>7430</c:v>
                </c:pt>
                <c:pt idx="19">
                  <c:v>1215</c:v>
                </c:pt>
                <c:pt idx="20">
                  <c:v>1123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Selection!$I$2:$I$501</c:f>
              <c:numCache>
                <c:formatCode>0.0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27280.814332247555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F1-4FC8-BD47-D616DBB26C19}"/>
            </c:ext>
          </c:extLst>
        </c:ser>
        <c:ser>
          <c:idx val="3"/>
          <c:order val="3"/>
          <c:tx>
            <c:strRef>
              <c:f>Selection!$J$1</c:f>
              <c:strCache>
                <c:ptCount val="1"/>
                <c:pt idx="0">
                  <c:v>België Nederlandstalige Universiteiten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899</c:v>
                </c:pt>
                <c:pt idx="1">
                  <c:v>964</c:v>
                </c:pt>
                <c:pt idx="2">
                  <c:v>4364</c:v>
                </c:pt>
                <c:pt idx="3">
                  <c:v>1733</c:v>
                </c:pt>
                <c:pt idx="4">
                  <c:v>5</c:v>
                </c:pt>
                <c:pt idx="5">
                  <c:v>9820</c:v>
                </c:pt>
                <c:pt idx="6">
                  <c:v>9</c:v>
                </c:pt>
                <c:pt idx="7">
                  <c:v>1870</c:v>
                </c:pt>
                <c:pt idx="8">
                  <c:v>941</c:v>
                </c:pt>
                <c:pt idx="9">
                  <c:v>6532</c:v>
                </c:pt>
                <c:pt idx="10">
                  <c:v>54</c:v>
                </c:pt>
                <c:pt idx="11">
                  <c:v>1448</c:v>
                </c:pt>
                <c:pt idx="12">
                  <c:v>307</c:v>
                </c:pt>
                <c:pt idx="13">
                  <c:v>8869</c:v>
                </c:pt>
                <c:pt idx="14">
                  <c:v>609</c:v>
                </c:pt>
                <c:pt idx="15">
                  <c:v>#N/A</c:v>
                </c:pt>
                <c:pt idx="16">
                  <c:v>1429</c:v>
                </c:pt>
                <c:pt idx="17">
                  <c:v>750</c:v>
                </c:pt>
                <c:pt idx="18">
                  <c:v>7430</c:v>
                </c:pt>
                <c:pt idx="19">
                  <c:v>1215</c:v>
                </c:pt>
                <c:pt idx="20">
                  <c:v>1123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Selection!$J$2:$J$501</c:f>
              <c:numCache>
                <c:formatCode>0.0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27280.814332247555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F1-4FC8-BD47-D616DBB26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941183"/>
        <c:axId val="1"/>
      </c:scatterChart>
      <c:valAx>
        <c:axId val="855941183"/>
        <c:scaling>
          <c:orientation val="minMax"/>
        </c:scaling>
        <c:delete val="0"/>
        <c:axPos val="b"/>
        <c:title>
          <c:tx>
            <c:strRef>
              <c:f>Selection!$E$1</c:f>
              <c:strCache>
                <c:ptCount val="1"/>
                <c:pt idx="0">
                  <c:v>Library Staff FTE - Total Staff</c:v>
                </c:pt>
              </c:strCache>
            </c:strRef>
          </c:tx>
          <c:layout>
            <c:manualLayout>
              <c:xMode val="edge"/>
              <c:yMode val="edge"/>
              <c:x val="0.35655172413793101"/>
              <c:y val="0.95927601809954754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strRef>
              <c:f>Selection!$D$1</c:f>
              <c:strCache>
                <c:ptCount val="1"/>
                <c:pt idx="0">
                  <c:v>Recurrent Expenditure (Euros) - Staff / Library Staff FTE - Total Staff</c:v>
                </c:pt>
              </c:strCache>
            </c:strRef>
          </c:tx>
          <c:layout>
            <c:manualLayout>
              <c:xMode val="edge"/>
              <c:yMode val="edge"/>
              <c:x val="0"/>
              <c:y val="0.11538461538461539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5941183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448275862068963"/>
          <c:y val="0.51018099547511309"/>
          <c:w val="0.2489655172413793"/>
          <c:h val="0.132352941176470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344827586206897E-2"/>
          <c:y val="3.5067873303167421E-2"/>
          <c:w val="0.94965517241379316"/>
          <c:h val="0.6459276018099547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Selection!$G$1</c:f>
              <c:strCache>
                <c:ptCount val="1"/>
                <c:pt idx="0">
                  <c:v>EFTA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Denmark</c:v>
                </c:pt>
                <c:pt idx="1">
                  <c:v>Norway</c:v>
                </c:pt>
                <c:pt idx="2">
                  <c:v>France</c:v>
                </c:pt>
                <c:pt idx="3">
                  <c:v>Sweden</c:v>
                </c:pt>
                <c:pt idx="4">
                  <c:v>Liechtenstein</c:v>
                </c:pt>
                <c:pt idx="5">
                  <c:v>UK</c:v>
                </c:pt>
                <c:pt idx="6">
                  <c:v>Luxembourg</c:v>
                </c:pt>
                <c:pt idx="7">
                  <c:v>Netherlands</c:v>
                </c:pt>
                <c:pt idx="8">
                  <c:v>Austria</c:v>
                </c:pt>
                <c:pt idx="9">
                  <c:v>Italy</c:v>
                </c:pt>
                <c:pt idx="10">
                  <c:v>Iceland</c:v>
                </c:pt>
                <c:pt idx="11">
                  <c:v>Finland</c:v>
                </c:pt>
                <c:pt idx="12">
                  <c:v>België Nederlandstalige Universiteiten</c:v>
                </c:pt>
                <c:pt idx="13">
                  <c:v>Germany</c:v>
                </c:pt>
                <c:pt idx="14">
                  <c:v>Belgium</c:v>
                </c:pt>
                <c:pt idx="15">
                  <c:v>Belgique universités francophones </c:v>
                </c:pt>
                <c:pt idx="16">
                  <c:v>Switzerland</c:v>
                </c:pt>
                <c:pt idx="17">
                  <c:v>Eire</c:v>
                </c:pt>
                <c:pt idx="18">
                  <c:v>Spain</c:v>
                </c:pt>
                <c:pt idx="19">
                  <c:v>Portugal</c:v>
                </c:pt>
                <c:pt idx="20">
                  <c:v>Greece</c:v>
                </c:pt>
              </c:strCache>
            </c:strRef>
          </c:cat>
          <c:val>
            <c:numRef>
              <c:f>Selection!$G$2:$G$22</c:f>
              <c:numCache>
                <c:formatCode>0.0</c:formatCode>
                <c:ptCount val="21"/>
                <c:pt idx="0">
                  <c:v>#N/A</c:v>
                </c:pt>
                <c:pt idx="1">
                  <c:v>40033.091286307055</c:v>
                </c:pt>
                <c:pt idx="2">
                  <c:v>#N/A</c:v>
                </c:pt>
                <c:pt idx="3">
                  <c:v>#N/A</c:v>
                </c:pt>
                <c:pt idx="4">
                  <c:v>37124.6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27499.611111111109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21043.254023792862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C-4AA6-BEDC-5A5B7BBFF5B8}"/>
            </c:ext>
          </c:extLst>
        </c:ser>
        <c:ser>
          <c:idx val="0"/>
          <c:order val="1"/>
          <c:tx>
            <c:strRef>
              <c:f>Selection!$H$1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Denmark</c:v>
                </c:pt>
                <c:pt idx="1">
                  <c:v>Norway</c:v>
                </c:pt>
                <c:pt idx="2">
                  <c:v>France</c:v>
                </c:pt>
                <c:pt idx="3">
                  <c:v>Sweden</c:v>
                </c:pt>
                <c:pt idx="4">
                  <c:v>Liechtenstein</c:v>
                </c:pt>
                <c:pt idx="5">
                  <c:v>UK</c:v>
                </c:pt>
                <c:pt idx="6">
                  <c:v>Luxembourg</c:v>
                </c:pt>
                <c:pt idx="7">
                  <c:v>Netherlands</c:v>
                </c:pt>
                <c:pt idx="8">
                  <c:v>Austria</c:v>
                </c:pt>
                <c:pt idx="9">
                  <c:v>Italy</c:v>
                </c:pt>
                <c:pt idx="10">
                  <c:v>Iceland</c:v>
                </c:pt>
                <c:pt idx="11">
                  <c:v>Finland</c:v>
                </c:pt>
                <c:pt idx="12">
                  <c:v>België Nederlandstalige Universiteiten</c:v>
                </c:pt>
                <c:pt idx="13">
                  <c:v>Germany</c:v>
                </c:pt>
                <c:pt idx="14">
                  <c:v>Belgium</c:v>
                </c:pt>
                <c:pt idx="15">
                  <c:v>Belgique universités francophones </c:v>
                </c:pt>
                <c:pt idx="16">
                  <c:v>Switzerland</c:v>
                </c:pt>
                <c:pt idx="17">
                  <c:v>Eire</c:v>
                </c:pt>
                <c:pt idx="18">
                  <c:v>Spain</c:v>
                </c:pt>
                <c:pt idx="19">
                  <c:v>Portugal</c:v>
                </c:pt>
                <c:pt idx="20">
                  <c:v>Greece</c:v>
                </c:pt>
              </c:strCache>
            </c:strRef>
          </c:cat>
          <c:val>
            <c:numRef>
              <c:f>Selection!$H$2:$H$22</c:f>
              <c:numCache>
                <c:formatCode>0.0</c:formatCode>
                <c:ptCount val="21"/>
                <c:pt idx="0">
                  <c:v>42413.65517241379</c:v>
                </c:pt>
                <c:pt idx="1">
                  <c:v>#N/A</c:v>
                </c:pt>
                <c:pt idx="2">
                  <c:v>38333.626947754354</c:v>
                </c:pt>
                <c:pt idx="3">
                  <c:v>38265.252163877667</c:v>
                </c:pt>
                <c:pt idx="4">
                  <c:v>#N/A</c:v>
                </c:pt>
                <c:pt idx="5">
                  <c:v>35583.506415478616</c:v>
                </c:pt>
                <c:pt idx="6">
                  <c:v>33761.777777777781</c:v>
                </c:pt>
                <c:pt idx="7">
                  <c:v>31750.330481283421</c:v>
                </c:pt>
                <c:pt idx="8">
                  <c:v>31509.319872476088</c:v>
                </c:pt>
                <c:pt idx="9">
                  <c:v>31173.883037354561</c:v>
                </c:pt>
                <c:pt idx="10">
                  <c:v>#N/A</c:v>
                </c:pt>
                <c:pt idx="11">
                  <c:v>27353.222375690606</c:v>
                </c:pt>
                <c:pt idx="12">
                  <c:v>#N/A</c:v>
                </c:pt>
                <c:pt idx="13">
                  <c:v>27132.814184237232</c:v>
                </c:pt>
                <c:pt idx="14">
                  <c:v>25348.756978653531</c:v>
                </c:pt>
                <c:pt idx="15">
                  <c:v>#N/A</c:v>
                </c:pt>
                <c:pt idx="16">
                  <c:v>#N/A</c:v>
                </c:pt>
                <c:pt idx="17">
                  <c:v>20084.240000000002</c:v>
                </c:pt>
                <c:pt idx="18">
                  <c:v>16526.102960969045</c:v>
                </c:pt>
                <c:pt idx="19">
                  <c:v>5801.2510288065841</c:v>
                </c:pt>
                <c:pt idx="20">
                  <c:v>3611.1086375779164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C-4AA6-BEDC-5A5B7BBFF5B8}"/>
            </c:ext>
          </c:extLst>
        </c:ser>
        <c:ser>
          <c:idx val="1"/>
          <c:order val="2"/>
          <c:tx>
            <c:strRef>
              <c:f>Selection!$I$1</c:f>
              <c:strCache>
                <c:ptCount val="1"/>
                <c:pt idx="0">
                  <c:v>België Nederlandstalige Universiteiten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Denmark</c:v>
                </c:pt>
                <c:pt idx="1">
                  <c:v>Norway</c:v>
                </c:pt>
                <c:pt idx="2">
                  <c:v>France</c:v>
                </c:pt>
                <c:pt idx="3">
                  <c:v>Sweden</c:v>
                </c:pt>
                <c:pt idx="4">
                  <c:v>Liechtenstein</c:v>
                </c:pt>
                <c:pt idx="5">
                  <c:v>UK</c:v>
                </c:pt>
                <c:pt idx="6">
                  <c:v>Luxembourg</c:v>
                </c:pt>
                <c:pt idx="7">
                  <c:v>Netherlands</c:v>
                </c:pt>
                <c:pt idx="8">
                  <c:v>Austria</c:v>
                </c:pt>
                <c:pt idx="9">
                  <c:v>Italy</c:v>
                </c:pt>
                <c:pt idx="10">
                  <c:v>Iceland</c:v>
                </c:pt>
                <c:pt idx="11">
                  <c:v>Finland</c:v>
                </c:pt>
                <c:pt idx="12">
                  <c:v>België Nederlandstalige Universiteiten</c:v>
                </c:pt>
                <c:pt idx="13">
                  <c:v>Germany</c:v>
                </c:pt>
                <c:pt idx="14">
                  <c:v>Belgium</c:v>
                </c:pt>
                <c:pt idx="15">
                  <c:v>Belgique universités francophones </c:v>
                </c:pt>
                <c:pt idx="16">
                  <c:v>Switzerland</c:v>
                </c:pt>
                <c:pt idx="17">
                  <c:v>Eire</c:v>
                </c:pt>
                <c:pt idx="18">
                  <c:v>Spain</c:v>
                </c:pt>
                <c:pt idx="19">
                  <c:v>Portugal</c:v>
                </c:pt>
                <c:pt idx="20">
                  <c:v>Greece</c:v>
                </c:pt>
              </c:strCache>
            </c:strRef>
          </c:cat>
          <c:val>
            <c:numRef>
              <c:f>Selection!$I$2:$I$22</c:f>
              <c:numCache>
                <c:formatCode>0.0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27280.814332247555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C-4AA6-BEDC-5A5B7BBFF5B8}"/>
            </c:ext>
          </c:extLst>
        </c:ser>
        <c:ser>
          <c:idx val="3"/>
          <c:order val="3"/>
          <c:tx>
            <c:strRef>
              <c:f>Selection!$J$1</c:f>
              <c:strCache>
                <c:ptCount val="1"/>
                <c:pt idx="0">
                  <c:v>België Nederlandstalige Universiteiten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Denmark</c:v>
                </c:pt>
                <c:pt idx="1">
                  <c:v>Norway</c:v>
                </c:pt>
                <c:pt idx="2">
                  <c:v>France</c:v>
                </c:pt>
                <c:pt idx="3">
                  <c:v>Sweden</c:v>
                </c:pt>
                <c:pt idx="4">
                  <c:v>Liechtenstein</c:v>
                </c:pt>
                <c:pt idx="5">
                  <c:v>UK</c:v>
                </c:pt>
                <c:pt idx="6">
                  <c:v>Luxembourg</c:v>
                </c:pt>
                <c:pt idx="7">
                  <c:v>Netherlands</c:v>
                </c:pt>
                <c:pt idx="8">
                  <c:v>Austria</c:v>
                </c:pt>
                <c:pt idx="9">
                  <c:v>Italy</c:v>
                </c:pt>
                <c:pt idx="10">
                  <c:v>Iceland</c:v>
                </c:pt>
                <c:pt idx="11">
                  <c:v>Finland</c:v>
                </c:pt>
                <c:pt idx="12">
                  <c:v>België Nederlandstalige Universiteiten</c:v>
                </c:pt>
                <c:pt idx="13">
                  <c:v>Germany</c:v>
                </c:pt>
                <c:pt idx="14">
                  <c:v>Belgium</c:v>
                </c:pt>
                <c:pt idx="15">
                  <c:v>Belgique universités francophones </c:v>
                </c:pt>
                <c:pt idx="16">
                  <c:v>Switzerland</c:v>
                </c:pt>
                <c:pt idx="17">
                  <c:v>Eire</c:v>
                </c:pt>
                <c:pt idx="18">
                  <c:v>Spain</c:v>
                </c:pt>
                <c:pt idx="19">
                  <c:v>Portugal</c:v>
                </c:pt>
                <c:pt idx="20">
                  <c:v>Greece</c:v>
                </c:pt>
              </c:strCache>
            </c:strRef>
          </c:cat>
          <c:val>
            <c:numRef>
              <c:f>Selection!$J$2:$J$22</c:f>
              <c:numCache>
                <c:formatCode>0.0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27280.814332247555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3C-4AA6-BEDC-5A5B7BBFF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81928095"/>
        <c:axId val="1"/>
      </c:barChart>
      <c:catAx>
        <c:axId val="781928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Rank order</a:t>
                </a:r>
              </a:p>
            </c:rich>
          </c:tx>
          <c:layout>
            <c:manualLayout>
              <c:xMode val="edge"/>
              <c:yMode val="edge"/>
              <c:x val="0.48689655172413793"/>
              <c:y val="0.959276018099547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strRef>
              <c:f>Selection!$D$1</c:f>
              <c:strCache>
                <c:ptCount val="1"/>
                <c:pt idx="0">
                  <c:v>Recurrent Expenditure (Euros) - Staff / Library Staff FTE - Total Staff</c:v>
                </c:pt>
              </c:strCache>
            </c:strRef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19280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551724137931038"/>
          <c:y val="3.8461538461538464E-2"/>
          <c:w val="0.2489655172413793"/>
          <c:h val="0.132352941176470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1"/>
  <sheetViews>
    <sheetView workbookViewId="0" zoomToFit="1"/>
  </sheetViews>
  <pageMargins left="0.75" right="0.75" top="1" bottom="1" header="0.5" footer="0.5"/>
  <pageSetup paperSize="9" orientation="landscape" r:id="rId1"/>
  <headerFooter alignWithMargins="0">
    <oddFooter>&amp;LSource: &amp;F&amp;RDistrict Audit &amp;D</oddFooter>
  </headerFooter>
  <drawing r:id="rId2"/>
  <legacyDrawing r:id="rId3"/>
</chartsheet>
</file>

<file path=xl/chartsheets/sheet2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2"/>
  <sheetViews>
    <sheetView workbookViewId="0" zoomToFit="1"/>
  </sheetViews>
  <pageMargins left="0.75" right="0.75" top="1" bottom="1" header="0.5" footer="0.5"/>
  <pageSetup paperSize="9" orientation="landscape" r:id="rId1"/>
  <headerFooter alignWithMargins="0">
    <oddFooter>&amp;LSource: &amp;F&amp;RDistrict Audit &amp;D</oddFooter>
  </headerFooter>
  <drawing r:id="rId2"/>
  <legacyDrawing r:id="rId3"/>
</chartsheet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Drop" dropLines="16" dropStyle="combo" dx="31" fmlaLink="Menus!J3" fmlaRange="Menus!A2:A254" noThreeD="1" sel="24" val="16"/>
</file>

<file path=xl/ctrlProps/ctrlProp5.xml><?xml version="1.0" encoding="utf-8"?>
<formControlPr xmlns="http://schemas.microsoft.com/office/spreadsheetml/2009/9/main" objectType="Drop" dropLines="16" dropStyle="combo" dx="31" fmlaLink="Menus!J4" fmlaRange="Menus!A2:A254" noThreeD="1" sel="23" val="8"/>
</file>

<file path=xl/ctrlProps/ctrlProp6.xml><?xml version="1.0" encoding="utf-8"?>
<formControlPr xmlns="http://schemas.microsoft.com/office/spreadsheetml/2009/9/main" objectType="Drop" dropStyle="combo" dx="31" fmlaLink="Menus!J8" fmlaRange="Menus!C2:C501" noThreeD="1" sel="12" val="11"/>
</file>

<file path=xl/ctrlProps/ctrlProp7.xml><?xml version="1.0" encoding="utf-8"?>
<formControlPr xmlns="http://schemas.microsoft.com/office/spreadsheetml/2009/9/main" objectType="Drop" dropStyle="combo" dx="31" fmlaLink="Menus!J5" fmlaRange="Menus!F4:F54" noThreeD="1" sel="4" val="3"/>
</file>

<file path=xl/ctrlProps/ctrlProp8.xml><?xml version="1.0" encoding="utf-8"?>
<formControlPr xmlns="http://schemas.microsoft.com/office/spreadsheetml/2009/9/main" objectType="Drop" dropStyle="combo" dx="31" fmlaLink="Menus!J6" fmlaRange="Menus!F4:F54" noThreeD="1" sel="5" val="2"/>
</file>

<file path=xl/ctrlProps/ctrlProp9.xml><?xml version="1.0" encoding="utf-8"?>
<formControlPr xmlns="http://schemas.microsoft.com/office/spreadsheetml/2009/9/main" objectType="Drop" dropStyle="combo" dx="31" fmlaLink="Menus!J7" fmlaRange="Menus!F4:F54" noThreeD="1" sel="8" val="7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Label" lockText="1"/>
</file>

<file path=xl/ctrlProps/ctrlProp13.xml><?xml version="1.0" encoding="utf-8"?>
<formControlPr xmlns="http://schemas.microsoft.com/office/spreadsheetml/2009/9/main" objectType="Label" lockText="1"/>
</file>

<file path=xl/ctrlProps/ctrlProp14.xml><?xml version="1.0" encoding="utf-8"?>
<formControlPr xmlns="http://schemas.microsoft.com/office/spreadsheetml/2009/9/main" objectType="Label" lockText="1"/>
</file>

<file path=xl/ctrlProps/ctrlProp15.xml><?xml version="1.0" encoding="utf-8"?>
<formControlPr xmlns="http://schemas.microsoft.com/office/spreadsheetml/2009/9/main" objectType="Label" lockText="1"/>
</file>

<file path=xl/ctrlProps/ctrlProp16.xml><?xml version="1.0" encoding="utf-8"?>
<formControlPr xmlns="http://schemas.microsoft.com/office/spreadsheetml/2009/9/main" objectType="Label" lockText="1"/>
</file>

<file path=xl/ctrlProps/ctrlProp17.xml><?xml version="1.0" encoding="utf-8"?>
<formControlPr xmlns="http://schemas.microsoft.com/office/spreadsheetml/2009/9/main" objectType="Label" lockText="1"/>
</file>

<file path=xl/ctrlProps/ctrlProp18.xml><?xml version="1.0" encoding="utf-8"?>
<formControlPr xmlns="http://schemas.microsoft.com/office/spreadsheetml/2009/9/main" objectType="CheckBox" checked="Checked" fmlaLink="Menus!$J$9" lockText="1" noThreeD="1"/>
</file>

<file path=xl/ctrlProps/ctrlProp19.xml><?xml version="1.0" encoding="utf-8"?>
<formControlPr xmlns="http://schemas.microsoft.com/office/spreadsheetml/2009/9/main" objectType="Drop" dropStyle="combo" dx="31" fmlaLink="Menus!J10" fmlaRange="Menus!N2:N50" noThreeD="1" sel="6" val="0"/>
</file>

<file path=xl/ctrlProps/ctrlProp20.xml><?xml version="1.0" encoding="utf-8"?>
<formControlPr xmlns="http://schemas.microsoft.com/office/spreadsheetml/2009/9/main" objectType="Label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5ED73-1758-4484-B618-FD44496908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643C5-74EA-4670-9CEF-082CA2AB29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247650</xdr:colOff>
          <xdr:row>0</xdr:row>
          <xdr:rowOff>114300</xdr:rowOff>
        </xdr:from>
        <xdr:to>
          <xdr:col>4</xdr:col>
          <xdr:colOff>1435100</xdr:colOff>
          <xdr:row>0</xdr:row>
          <xdr:rowOff>774700</xdr:rowOff>
        </xdr:to>
        <xdr:sp macro="" textlink="">
          <xdr:nvSpPr>
            <xdr:cNvPr id="509953" name="Button 1" hidden="1">
              <a:extLst>
                <a:ext uri="{63B3BB69-23CF-44E3-9099-C40C66FF867C}">
                  <a14:compatExt spid="_x0000_s509953"/>
                </a:ext>
                <a:ext uri="{FF2B5EF4-FFF2-40B4-BE49-F238E27FC236}">
                  <a16:creationId xmlns:a16="http://schemas.microsoft.com/office/drawing/2014/main" id="{A57573F0-DF4B-4987-96DE-519BE298A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16</xdr:row>
          <xdr:rowOff>101600</xdr:rowOff>
        </xdr:from>
        <xdr:to>
          <xdr:col>8</xdr:col>
          <xdr:colOff>476250</xdr:colOff>
          <xdr:row>18</xdr:row>
          <xdr:rowOff>57150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675E4C6-7D08-48FB-AA98-C59B7EE2A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374650</xdr:colOff>
          <xdr:row>5</xdr:row>
          <xdr:rowOff>114300</xdr:rowOff>
        </xdr:from>
        <xdr:to>
          <xdr:col>8</xdr:col>
          <xdr:colOff>514350</xdr:colOff>
          <xdr:row>11</xdr:row>
          <xdr:rowOff>50800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17773122-B052-4EA5-9614-94D8FC456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Explanation of Belgium libraries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5</xdr:row>
          <xdr:rowOff>114300</xdr:rowOff>
        </xdr:from>
        <xdr:to>
          <xdr:col>7</xdr:col>
          <xdr:colOff>222250</xdr:colOff>
          <xdr:row>6</xdr:row>
          <xdr:rowOff>152400</xdr:rowOff>
        </xdr:to>
        <xdr:sp macro="" textlink="">
          <xdr:nvSpPr>
            <xdr:cNvPr id="15383" name="Drop Down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97E0DBEB-01DA-4B54-B15D-05932E35E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9</xdr:row>
          <xdr:rowOff>114300</xdr:rowOff>
        </xdr:from>
        <xdr:to>
          <xdr:col>7</xdr:col>
          <xdr:colOff>222250</xdr:colOff>
          <xdr:row>10</xdr:row>
          <xdr:rowOff>152400</xdr:rowOff>
        </xdr:to>
        <xdr:sp macro="" textlink="">
          <xdr:nvSpPr>
            <xdr:cNvPr id="15384" name="Drop Down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D85C7A6-703B-4893-AE68-340B674F3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13</xdr:row>
          <xdr:rowOff>82550</xdr:rowOff>
        </xdr:from>
        <xdr:to>
          <xdr:col>7</xdr:col>
          <xdr:colOff>222250</xdr:colOff>
          <xdr:row>14</xdr:row>
          <xdr:rowOff>120650</xdr:rowOff>
        </xdr:to>
        <xdr:sp macro="" textlink="">
          <xdr:nvSpPr>
            <xdr:cNvPr id="15385" name="Drop Down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325F6802-9BBB-4F58-98A8-542436141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387350</xdr:colOff>
          <xdr:row>17</xdr:row>
          <xdr:rowOff>6350</xdr:rowOff>
        </xdr:from>
        <xdr:to>
          <xdr:col>4</xdr:col>
          <xdr:colOff>222250</xdr:colOff>
          <xdr:row>18</xdr:row>
          <xdr:rowOff>44450</xdr:rowOff>
        </xdr:to>
        <xdr:sp macro="" textlink="">
          <xdr:nvSpPr>
            <xdr:cNvPr id="15386" name="Drop Down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A233810B-0DF2-49E2-8A81-E0FAEA8BB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292100</xdr:colOff>
          <xdr:row>17</xdr:row>
          <xdr:rowOff>6350</xdr:rowOff>
        </xdr:from>
        <xdr:to>
          <xdr:col>7</xdr:col>
          <xdr:colOff>127000</xdr:colOff>
          <xdr:row>18</xdr:row>
          <xdr:rowOff>57150</xdr:rowOff>
        </xdr:to>
        <xdr:sp macro="" textlink="">
          <xdr:nvSpPr>
            <xdr:cNvPr id="15387" name="Drop Down 27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59E1CFAD-CD79-4B1C-8050-1B5C7DB19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17</xdr:row>
          <xdr:rowOff>6350</xdr:rowOff>
        </xdr:from>
        <xdr:to>
          <xdr:col>9</xdr:col>
          <xdr:colOff>622300</xdr:colOff>
          <xdr:row>18</xdr:row>
          <xdr:rowOff>63500</xdr:rowOff>
        </xdr:to>
        <xdr:sp macro="" textlink="">
          <xdr:nvSpPr>
            <xdr:cNvPr id="15388" name="Drop Down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CD7BC47D-F0F0-4F50-A4D5-AACB77E49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647700</xdr:colOff>
          <xdr:row>7</xdr:row>
          <xdr:rowOff>6350</xdr:rowOff>
        </xdr:from>
        <xdr:to>
          <xdr:col>9</xdr:col>
          <xdr:colOff>387350</xdr:colOff>
          <xdr:row>10</xdr:row>
          <xdr:rowOff>82550</xdr:rowOff>
        </xdr:to>
        <xdr:sp macro="" textlink="">
          <xdr:nvSpPr>
            <xdr:cNvPr id="15389" name="Button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11852BEA-2720-4D7F-9EF2-A4D08F3804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Scatter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660400</xdr:colOff>
          <xdr:row>11</xdr:row>
          <xdr:rowOff>38100</xdr:rowOff>
        </xdr:from>
        <xdr:to>
          <xdr:col>9</xdr:col>
          <xdr:colOff>400050</xdr:colOff>
          <xdr:row>14</xdr:row>
          <xdr:rowOff>133350</xdr:rowOff>
        </xdr:to>
        <xdr:sp macro="" textlink="">
          <xdr:nvSpPr>
            <xdr:cNvPr id="15390" name="Button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14162489-84FA-4A50-8DFD-79D77EC92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Histogram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4</xdr:row>
          <xdr:rowOff>120650</xdr:rowOff>
        </xdr:from>
        <xdr:to>
          <xdr:col>2</xdr:col>
          <xdr:colOff>387350</xdr:colOff>
          <xdr:row>5</xdr:row>
          <xdr:rowOff>95250</xdr:rowOff>
        </xdr:to>
        <xdr:sp macro="" textlink="">
          <xdr:nvSpPr>
            <xdr:cNvPr id="15394" name="Label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FBD270BF-4BC3-498D-A1D5-E909BBA04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 value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431800</xdr:colOff>
          <xdr:row>15</xdr:row>
          <xdr:rowOff>139700</xdr:rowOff>
        </xdr:from>
        <xdr:to>
          <xdr:col>3</xdr:col>
          <xdr:colOff>107950</xdr:colOff>
          <xdr:row>16</xdr:row>
          <xdr:rowOff>139700</xdr:rowOff>
        </xdr:to>
        <xdr:sp macro="" textlink="">
          <xdr:nvSpPr>
            <xdr:cNvPr id="15395" name="Label 35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94E16840-2163-4EF1-91BE-4C4B6143D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Comparison type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8</xdr:row>
          <xdr:rowOff>101600</xdr:rowOff>
        </xdr:from>
        <xdr:to>
          <xdr:col>5</xdr:col>
          <xdr:colOff>57150</xdr:colOff>
          <xdr:row>9</xdr:row>
          <xdr:rowOff>95250</xdr:rowOff>
        </xdr:to>
        <xdr:sp macro="" textlink="">
          <xdr:nvSpPr>
            <xdr:cNvPr id="15396" name="Label 36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2B601F51-3FAB-4AB2-9CE7-AF4D6D8E1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X value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381000</xdr:colOff>
          <xdr:row>12</xdr:row>
          <xdr:rowOff>95250</xdr:rowOff>
        </xdr:from>
        <xdr:to>
          <xdr:col>2</xdr:col>
          <xdr:colOff>342900</xdr:colOff>
          <xdr:row>13</xdr:row>
          <xdr:rowOff>63500</xdr:rowOff>
        </xdr:to>
        <xdr:sp macro="" textlink="">
          <xdr:nvSpPr>
            <xdr:cNvPr id="15397" name="Label 37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A48BF0B1-98B0-4202-B06B-ADFE0DD117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Identify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311150</xdr:colOff>
          <xdr:row>15</xdr:row>
          <xdr:rowOff>152400</xdr:rowOff>
        </xdr:from>
        <xdr:to>
          <xdr:col>6</xdr:col>
          <xdr:colOff>419100</xdr:colOff>
          <xdr:row>16</xdr:row>
          <xdr:rowOff>152400</xdr:rowOff>
        </xdr:to>
        <xdr:sp macro="" textlink="">
          <xdr:nvSpPr>
            <xdr:cNvPr id="15398" name="Label 38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7E98CED-E9C6-4693-81C1-03DD0EB78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Comparison type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196850</xdr:colOff>
          <xdr:row>15</xdr:row>
          <xdr:rowOff>139700</xdr:rowOff>
        </xdr:from>
        <xdr:to>
          <xdr:col>9</xdr:col>
          <xdr:colOff>260350</xdr:colOff>
          <xdr:row>17</xdr:row>
          <xdr:rowOff>25400</xdr:rowOff>
        </xdr:to>
        <xdr:sp macro="" textlink="">
          <xdr:nvSpPr>
            <xdr:cNvPr id="15399" name="Label 39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F7885ECD-2EB5-486C-AF9E-6B671FCC7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Comparison type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622300</xdr:colOff>
          <xdr:row>5</xdr:row>
          <xdr:rowOff>38100</xdr:rowOff>
        </xdr:from>
        <xdr:to>
          <xdr:col>9</xdr:col>
          <xdr:colOff>330200</xdr:colOff>
          <xdr:row>6</xdr:row>
          <xdr:rowOff>120650</xdr:rowOff>
        </xdr:to>
        <xdr:sp macro="" textlink="">
          <xdr:nvSpPr>
            <xdr:cNvPr id="15404" name="Check Box 44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73052A3A-39B1-4B0D-9A17-0436BE00BE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Plot y/x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3</xdr:row>
          <xdr:rowOff>6350</xdr:rowOff>
        </xdr:from>
        <xdr:to>
          <xdr:col>7</xdr:col>
          <xdr:colOff>209550</xdr:colOff>
          <xdr:row>4</xdr:row>
          <xdr:rowOff>44450</xdr:rowOff>
        </xdr:to>
        <xdr:sp macro="" textlink="">
          <xdr:nvSpPr>
            <xdr:cNvPr id="15407" name="Drop Down 47" hidden="1">
              <a:extLst>
                <a:ext uri="{63B3BB69-23CF-44E3-9099-C40C66FF867C}">
                  <a14:compatExt spid="_x0000_s15407"/>
                </a:ext>
                <a:ext uri="{FF2B5EF4-FFF2-40B4-BE49-F238E27FC236}">
                  <a16:creationId xmlns:a16="http://schemas.microsoft.com/office/drawing/2014/main" id="{364F0974-4823-40BC-BD3E-694997DA5A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3</xdr:row>
          <xdr:rowOff>44450</xdr:rowOff>
        </xdr:from>
        <xdr:to>
          <xdr:col>4</xdr:col>
          <xdr:colOff>438150</xdr:colOff>
          <xdr:row>4</xdr:row>
          <xdr:rowOff>38100</xdr:rowOff>
        </xdr:to>
        <xdr:sp macro="" textlink="">
          <xdr:nvSpPr>
            <xdr:cNvPr id="15408" name="Label 48" hidden="1">
              <a:extLst>
                <a:ext uri="{63B3BB69-23CF-44E3-9099-C40C66FF867C}">
                  <a14:compatExt spid="_x0000_s15408"/>
                </a:ext>
                <a:ext uri="{FF2B5EF4-FFF2-40B4-BE49-F238E27FC236}">
                  <a16:creationId xmlns:a16="http://schemas.microsoft.com/office/drawing/2014/main" id="{875ED242-3910-4596-973B-44069DD61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Year of Tertiary Libraries 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666750</xdr:colOff>
          <xdr:row>19</xdr:row>
          <xdr:rowOff>19050</xdr:rowOff>
        </xdr:from>
        <xdr:to>
          <xdr:col>9</xdr:col>
          <xdr:colOff>406400</xdr:colOff>
          <xdr:row>21</xdr:row>
          <xdr:rowOff>57150</xdr:rowOff>
        </xdr:to>
        <xdr:sp macro="" textlink="">
          <xdr:nvSpPr>
            <xdr:cNvPr id="15412" name="Button 52" hidden="1">
              <a:extLst>
                <a:ext uri="{63B3BB69-23CF-44E3-9099-C40C66FF867C}">
                  <a14:compatExt spid="_x0000_s15412"/>
                </a:ext>
                <a:ext uri="{FF2B5EF4-FFF2-40B4-BE49-F238E27FC236}">
                  <a16:creationId xmlns:a16="http://schemas.microsoft.com/office/drawing/2014/main" id="{8F7CBC02-BDEC-437E-B176-1B3CFEEDC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Update Types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120650</xdr:colOff>
          <xdr:row>19</xdr:row>
          <xdr:rowOff>76200</xdr:rowOff>
        </xdr:from>
        <xdr:to>
          <xdr:col>2</xdr:col>
          <xdr:colOff>539750</xdr:colOff>
          <xdr:row>21</xdr:row>
          <xdr:rowOff>63500</xdr:rowOff>
        </xdr:to>
        <xdr:sp macro="" textlink="">
          <xdr:nvSpPr>
            <xdr:cNvPr id="15413" name="Button 53" hidden="1">
              <a:extLst>
                <a:ext uri="{63B3BB69-23CF-44E3-9099-C40C66FF867C}">
                  <a14:compatExt spid="_x0000_s15413"/>
                </a:ext>
                <a:ext uri="{FF2B5EF4-FFF2-40B4-BE49-F238E27FC236}">
                  <a16:creationId xmlns:a16="http://schemas.microsoft.com/office/drawing/2014/main" id="{37DFAB6A-4C6D-42A5-A369-E6EF135EF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Goto Help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3200400</xdr:colOff>
          <xdr:row>13</xdr:row>
          <xdr:rowOff>0</xdr:rowOff>
        </xdr:from>
        <xdr:to>
          <xdr:col>1</xdr:col>
          <xdr:colOff>5708650</xdr:colOff>
          <xdr:row>14</xdr:row>
          <xdr:rowOff>19050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78133E15-ADA5-4952-BF13-583260CF27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List of Country Types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3771900</xdr:colOff>
          <xdr:row>8</xdr:row>
          <xdr:rowOff>6350</xdr:rowOff>
        </xdr:from>
        <xdr:to>
          <xdr:col>1</xdr:col>
          <xdr:colOff>5708650</xdr:colOff>
          <xdr:row>9</xdr:row>
          <xdr:rowOff>25400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D382351C-C69C-48C4-863E-73F4233FE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 Types Help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330200</xdr:colOff>
          <xdr:row>0</xdr:row>
          <xdr:rowOff>31750</xdr:rowOff>
        </xdr:from>
        <xdr:to>
          <xdr:col>3</xdr:col>
          <xdr:colOff>590550</xdr:colOff>
          <xdr:row>2</xdr:row>
          <xdr:rowOff>95250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6748D25B-A827-43FA-8F34-B35ADC5C7A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Menu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4102100</xdr:colOff>
          <xdr:row>3</xdr:row>
          <xdr:rowOff>101600</xdr:rowOff>
        </xdr:from>
        <xdr:to>
          <xdr:col>1</xdr:col>
          <xdr:colOff>5683250</xdr:colOff>
          <xdr:row>4</xdr:row>
          <xdr:rowOff>146050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563AC09D-FB3B-41D5-A60C-1CBF06BD3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Data Headings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4591050</xdr:colOff>
          <xdr:row>38</xdr:row>
          <xdr:rowOff>31750</xdr:rowOff>
        </xdr:from>
        <xdr:to>
          <xdr:col>1</xdr:col>
          <xdr:colOff>5810250</xdr:colOff>
          <xdr:row>40</xdr:row>
          <xdr:rowOff>12700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1B228526-D711-4F76-8438-5569B8F33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Example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381000</xdr:colOff>
          <xdr:row>94</xdr:row>
          <xdr:rowOff>0</xdr:rowOff>
        </xdr:from>
        <xdr:to>
          <xdr:col>6</xdr:col>
          <xdr:colOff>361950</xdr:colOff>
          <xdr:row>96</xdr:row>
          <xdr:rowOff>19050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3CD278C6-5049-4E1E-8102-9260AA2582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Goto Cell B2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3200400</xdr:colOff>
          <xdr:row>13</xdr:row>
          <xdr:rowOff>0</xdr:rowOff>
        </xdr:from>
        <xdr:to>
          <xdr:col>1</xdr:col>
          <xdr:colOff>5708650</xdr:colOff>
          <xdr:row>14</xdr:row>
          <xdr:rowOff>19050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996AAC02-6933-4844-977B-9197965BA5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List of Country Types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3771900</xdr:colOff>
          <xdr:row>8</xdr:row>
          <xdr:rowOff>6350</xdr:rowOff>
        </xdr:from>
        <xdr:to>
          <xdr:col>1</xdr:col>
          <xdr:colOff>5708650</xdr:colOff>
          <xdr:row>9</xdr:row>
          <xdr:rowOff>25400</xdr:rowOff>
        </xdr:to>
        <xdr:sp macro="" textlink="">
          <xdr:nvSpPr>
            <xdr:cNvPr id="2058" name="Butto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C116913B-909A-4397-9359-44BAB7519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 Types Help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4102100</xdr:colOff>
          <xdr:row>3</xdr:row>
          <xdr:rowOff>101600</xdr:rowOff>
        </xdr:from>
        <xdr:to>
          <xdr:col>1</xdr:col>
          <xdr:colOff>5683250</xdr:colOff>
          <xdr:row>4</xdr:row>
          <xdr:rowOff>146050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CF0DD3B5-5A55-4B24-990F-4499143C2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Data Headings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4591050</xdr:colOff>
          <xdr:row>38</xdr:row>
          <xdr:rowOff>31750</xdr:rowOff>
        </xdr:from>
        <xdr:to>
          <xdr:col>1</xdr:col>
          <xdr:colOff>5810250</xdr:colOff>
          <xdr:row>40</xdr:row>
          <xdr:rowOff>12700</xdr:rowOff>
        </xdr:to>
        <xdr:sp macro="" textlink="">
          <xdr:nvSpPr>
            <xdr:cNvPr id="2060" name="Butto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C658AD1A-DFE1-41D7-A23A-9D0417C78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Example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tinJ" refreshedDate="37930.502802430557" createdVersion="1" recordCount="500" upgradeOnRefresh="1">
  <cacheSource type="worksheet">
    <worksheetSource ref="D1:D501" sheet="Menus"/>
  </cacheSource>
  <cacheFields count="1">
    <cacheField name="Types (from selected data sheet)" numFmtId="0">
      <sharedItems containsMixedTypes="1" containsNumber="1" containsInteger="1" minValue="0" maxValue="0" count="9">
        <s v="CEE"/>
        <s v="EU"/>
        <s v="België Nederlandstalige Universiteiten"/>
        <s v="Belgique universités francophones "/>
        <s v="EFTA"/>
        <s v="World - A"/>
        <s v="World - B"/>
        <s v="Totals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F2:G12" firstHeaderRow="2" firstDataRow="2" firstDataCol="1"/>
  <pivotFields count="1">
    <pivotField axis="axisRow" dataField="1" compact="0" outline="0" subtotalTop="0" showAll="0" includeNewItemsInFilter="1">
      <items count="10">
        <item x="8"/>
        <item x="7"/>
        <item x="0"/>
        <item x="4"/>
        <item x="1"/>
        <item x="5"/>
        <item x="6"/>
        <item x="2"/>
        <item x="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Count of Types (from selected data sheet)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13" Type="http://schemas.openxmlformats.org/officeDocument/2006/relationships/ctrlProp" Target="../ctrlProps/ctrlProp13.xml"/><Relationship Id="rId18" Type="http://schemas.openxmlformats.org/officeDocument/2006/relationships/ctrlProp" Target="../ctrlProps/ctrlProp1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21.xml"/><Relationship Id="rId7" Type="http://schemas.openxmlformats.org/officeDocument/2006/relationships/ctrlProp" Target="../ctrlProps/ctrlProp7.xml"/><Relationship Id="rId12" Type="http://schemas.openxmlformats.org/officeDocument/2006/relationships/ctrlProp" Target="../ctrlProps/ctrlProp12.xml"/><Relationship Id="rId17" Type="http://schemas.openxmlformats.org/officeDocument/2006/relationships/ctrlProp" Target="../ctrlProps/ctrlProp17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6.xml"/><Relationship Id="rId20" Type="http://schemas.openxmlformats.org/officeDocument/2006/relationships/ctrlProp" Target="../ctrlProps/ctrlProp20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6.xml"/><Relationship Id="rId11" Type="http://schemas.openxmlformats.org/officeDocument/2006/relationships/ctrlProp" Target="../ctrlProps/ctrlProp11.xml"/><Relationship Id="rId5" Type="http://schemas.openxmlformats.org/officeDocument/2006/relationships/ctrlProp" Target="../ctrlProps/ctrlProp5.xml"/><Relationship Id="rId15" Type="http://schemas.openxmlformats.org/officeDocument/2006/relationships/ctrlProp" Target="../ctrlProps/ctrlProp15.xml"/><Relationship Id="rId10" Type="http://schemas.openxmlformats.org/officeDocument/2006/relationships/ctrlProp" Target="../ctrlProps/ctrlProp10.xml"/><Relationship Id="rId19" Type="http://schemas.openxmlformats.org/officeDocument/2006/relationships/ctrlProp" Target="../ctrlProps/ctrlProp19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Relationship Id="rId14" Type="http://schemas.openxmlformats.org/officeDocument/2006/relationships/ctrlProp" Target="../ctrlProps/ctrlProp14.xml"/><Relationship Id="rId22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13" Type="http://schemas.openxmlformats.org/officeDocument/2006/relationships/ctrlProp" Target="../ctrlProps/ctrlProp31.xml"/><Relationship Id="rId3" Type="http://schemas.openxmlformats.org/officeDocument/2006/relationships/drawing" Target="../drawings/drawing6.xml"/><Relationship Id="rId7" Type="http://schemas.openxmlformats.org/officeDocument/2006/relationships/ctrlProp" Target="../ctrlProps/ctrlProp25.xml"/><Relationship Id="rId12" Type="http://schemas.openxmlformats.org/officeDocument/2006/relationships/ctrlProp" Target="../ctrlProps/ctrlProp30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martin.jennings@ipf.co.uk" TargetMode="External"/><Relationship Id="rId6" Type="http://schemas.openxmlformats.org/officeDocument/2006/relationships/ctrlProp" Target="../ctrlProps/ctrlProp24.xml"/><Relationship Id="rId11" Type="http://schemas.openxmlformats.org/officeDocument/2006/relationships/ctrlProp" Target="../ctrlProps/ctrlProp29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27.xml"/><Relationship Id="rId14" Type="http://schemas.openxmlformats.org/officeDocument/2006/relationships/ctrlProp" Target="../ctrlProps/ctrlProp3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46"/>
  <sheetViews>
    <sheetView workbookViewId="0">
      <pane xSplit="3" ySplit="1" topLeftCell="V8" activePane="bottomRight" state="frozen"/>
      <selection activeCell="A14" sqref="A14"/>
      <selection pane="topRight" activeCell="A14" sqref="A14"/>
      <selection pane="bottomLeft" activeCell="A14" sqref="A14"/>
      <selection pane="bottomRight" activeCell="A14" sqref="A14"/>
    </sheetView>
  </sheetViews>
  <sheetFormatPr defaultRowHeight="12.5" x14ac:dyDescent="0.25"/>
  <cols>
    <col min="1" max="6" width="9.1796875" style="1" customWidth="1"/>
    <col min="7" max="7" width="10" style="1" bestFit="1" customWidth="1"/>
    <col min="8" max="20" width="9.1796875" style="1" customWidth="1"/>
    <col min="21" max="21" width="10" style="1" bestFit="1" customWidth="1"/>
    <col min="22" max="26" width="9.1796875" style="1" customWidth="1"/>
    <col min="27" max="27" width="10" style="1" bestFit="1" customWidth="1"/>
    <col min="28" max="28" width="9.1796875" style="31" customWidth="1"/>
    <col min="29" max="38" width="9.1796875" style="1" customWidth="1"/>
    <col min="39" max="39" width="10" style="1" bestFit="1" customWidth="1"/>
    <col min="40" max="43" width="9.1796875" style="1" customWidth="1"/>
  </cols>
  <sheetData>
    <row r="1" spans="1:51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291</v>
      </c>
      <c r="V1" s="36" t="s">
        <v>81</v>
      </c>
      <c r="W1" s="36" t="s">
        <v>82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51" x14ac:dyDescent="0.25">
      <c r="A2" s="1" t="s">
        <v>32</v>
      </c>
      <c r="B2" s="1" t="s">
        <v>147</v>
      </c>
      <c r="C2" s="44" t="s">
        <v>96</v>
      </c>
      <c r="D2" s="35">
        <f>+W2/1000</f>
        <v>289</v>
      </c>
      <c r="E2" s="38">
        <v>84</v>
      </c>
      <c r="F2" s="38">
        <v>84</v>
      </c>
      <c r="G2" s="38">
        <v>8501798</v>
      </c>
      <c r="H2" s="38">
        <v>8198</v>
      </c>
      <c r="I2" s="38"/>
      <c r="J2" s="38"/>
      <c r="K2" s="38">
        <v>23792</v>
      </c>
      <c r="L2" s="38">
        <v>84101</v>
      </c>
      <c r="M2" s="38"/>
      <c r="N2" s="38">
        <v>101846</v>
      </c>
      <c r="O2" s="38">
        <v>3634</v>
      </c>
      <c r="P2" s="38"/>
      <c r="Q2" s="38"/>
      <c r="R2" s="38"/>
      <c r="S2" s="38"/>
      <c r="T2" s="38">
        <v>200848</v>
      </c>
      <c r="U2" s="38">
        <v>5002065</v>
      </c>
      <c r="V2" s="38">
        <v>2813081</v>
      </c>
      <c r="W2" s="38">
        <v>289000</v>
      </c>
      <c r="X2" s="38">
        <v>496</v>
      </c>
      <c r="Y2" s="38">
        <v>312</v>
      </c>
      <c r="Z2" s="38">
        <v>808</v>
      </c>
      <c r="AA2" s="38">
        <v>951033</v>
      </c>
      <c r="AB2" s="38">
        <v>1319389</v>
      </c>
      <c r="AC2" s="38">
        <v>0</v>
      </c>
      <c r="AD2" s="38">
        <v>0</v>
      </c>
      <c r="AE2" s="38">
        <v>0</v>
      </c>
      <c r="AF2" s="38">
        <v>0</v>
      </c>
      <c r="AG2" s="38">
        <v>89817</v>
      </c>
      <c r="AH2" s="38">
        <v>2360239</v>
      </c>
      <c r="AI2" s="38">
        <v>1386130</v>
      </c>
      <c r="AJ2" s="38">
        <v>141230</v>
      </c>
      <c r="AK2" s="38">
        <v>832879</v>
      </c>
      <c r="AL2" s="38">
        <v>2360239</v>
      </c>
      <c r="AM2" s="38"/>
      <c r="AN2" s="38"/>
      <c r="AO2" s="38"/>
      <c r="AP2" s="38"/>
      <c r="AQ2"/>
      <c r="AR2" s="1">
        <f>+N2+O2</f>
        <v>105480</v>
      </c>
      <c r="AS2">
        <f>+U2/V2</f>
        <v>1.7781446748245073</v>
      </c>
      <c r="AT2">
        <f>+AH2/W2</f>
        <v>8.1669169550173013</v>
      </c>
      <c r="AU2">
        <f>+T2/D2</f>
        <v>694.97577854671283</v>
      </c>
      <c r="AV2">
        <f>+V2/D2</f>
        <v>9733.8442906574401</v>
      </c>
      <c r="AW2">
        <f>+G2/D2</f>
        <v>29417.986159169552</v>
      </c>
      <c r="AX2">
        <f>SUM(G2:M2)/D2</f>
        <v>29819.685121107268</v>
      </c>
      <c r="AY2">
        <f>+L2/D2</f>
        <v>291.0069204152249</v>
      </c>
    </row>
    <row r="3" spans="1:51" x14ac:dyDescent="0.25">
      <c r="A3" s="1" t="s">
        <v>33</v>
      </c>
      <c r="B3" s="1" t="s">
        <v>147</v>
      </c>
      <c r="C3" s="44" t="s">
        <v>97</v>
      </c>
      <c r="D3" s="35">
        <f t="shared" ref="D3:D46" si="0">+W3/1000</f>
        <v>192</v>
      </c>
      <c r="E3" s="38">
        <v>80</v>
      </c>
      <c r="F3" s="38">
        <v>1081</v>
      </c>
      <c r="G3" s="38">
        <v>10704109</v>
      </c>
      <c r="H3" s="38">
        <v>21703</v>
      </c>
      <c r="I3" s="38"/>
      <c r="J3" s="38">
        <v>43062</v>
      </c>
      <c r="K3" s="38">
        <v>13753</v>
      </c>
      <c r="L3" s="38">
        <v>38158</v>
      </c>
      <c r="M3" s="38"/>
      <c r="N3" s="38">
        <v>266549</v>
      </c>
      <c r="O3" s="38">
        <v>2556</v>
      </c>
      <c r="P3" s="38"/>
      <c r="Q3" s="38"/>
      <c r="R3" s="38"/>
      <c r="S3" s="38"/>
      <c r="T3" s="38">
        <v>276163</v>
      </c>
      <c r="U3" s="38">
        <v>2178474</v>
      </c>
      <c r="V3" s="38">
        <v>4255805</v>
      </c>
      <c r="W3" s="38">
        <v>192000</v>
      </c>
      <c r="X3" s="38">
        <v>395</v>
      </c>
      <c r="Y3" s="38">
        <v>372</v>
      </c>
      <c r="Z3" s="38">
        <v>767</v>
      </c>
      <c r="AA3" s="38"/>
      <c r="AB3" s="38">
        <v>4761705</v>
      </c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/>
      <c r="AR3" s="1">
        <f t="shared" ref="AR3:AR45" si="1">+N3+O3</f>
        <v>269105</v>
      </c>
      <c r="AS3">
        <f t="shared" ref="AS3:AS45" si="2">+U3/V3</f>
        <v>0.51188294576466731</v>
      </c>
      <c r="AT3">
        <f t="shared" ref="AT3:AT45" si="3">+AH3/W3</f>
        <v>0</v>
      </c>
      <c r="AU3">
        <f t="shared" ref="AU3:AU45" si="4">+T3/D3</f>
        <v>1438.3489583333333</v>
      </c>
      <c r="AV3">
        <f t="shared" ref="AV3:AV45" si="5">+V3/D3</f>
        <v>22165.651041666668</v>
      </c>
      <c r="AW3">
        <f t="shared" ref="AW3:AW45" si="6">+G3/D3</f>
        <v>55750.567708333336</v>
      </c>
      <c r="AX3">
        <f t="shared" ref="AX3:AX45" si="7">SUM(G3:M3)/D3</f>
        <v>56358.255208333336</v>
      </c>
      <c r="AY3">
        <f t="shared" ref="AY3:AY45" si="8">+L3/D3</f>
        <v>198.73958333333334</v>
      </c>
    </row>
    <row r="4" spans="1:51" x14ac:dyDescent="0.25">
      <c r="A4" s="1" t="s">
        <v>34</v>
      </c>
      <c r="B4" s="1" t="s">
        <v>147</v>
      </c>
      <c r="C4" s="44" t="s">
        <v>98</v>
      </c>
      <c r="D4" s="35">
        <f t="shared" si="0"/>
        <v>48</v>
      </c>
      <c r="E4" s="38">
        <v>23</v>
      </c>
      <c r="F4" s="38">
        <v>37</v>
      </c>
      <c r="G4" s="38">
        <v>7399469</v>
      </c>
      <c r="H4" s="38">
        <v>11565</v>
      </c>
      <c r="I4" s="38">
        <v>20099</v>
      </c>
      <c r="J4" s="38">
        <v>72773</v>
      </c>
      <c r="K4" s="38">
        <v>28166</v>
      </c>
      <c r="L4" s="38">
        <v>38818</v>
      </c>
      <c r="M4" s="38">
        <v>3712</v>
      </c>
      <c r="N4" s="38">
        <v>110337</v>
      </c>
      <c r="O4" s="38">
        <v>2304</v>
      </c>
      <c r="P4" s="38">
        <v>5</v>
      </c>
      <c r="Q4" s="38">
        <v>20</v>
      </c>
      <c r="R4" s="38">
        <v>271</v>
      </c>
      <c r="S4" s="38">
        <v>261</v>
      </c>
      <c r="T4" s="38">
        <v>84571</v>
      </c>
      <c r="U4" s="38">
        <v>1905991</v>
      </c>
      <c r="V4" s="38">
        <v>1550796</v>
      </c>
      <c r="W4" s="38">
        <v>48000</v>
      </c>
      <c r="X4" s="38">
        <v>527</v>
      </c>
      <c r="Y4" s="38">
        <v>51</v>
      </c>
      <c r="Z4" s="38">
        <v>578</v>
      </c>
      <c r="AA4" s="38">
        <v>2398155</v>
      </c>
      <c r="AB4" s="38">
        <v>1379407</v>
      </c>
      <c r="AC4" s="38">
        <v>302797</v>
      </c>
      <c r="AD4" s="38">
        <v>114234</v>
      </c>
      <c r="AE4" s="38">
        <v>236763</v>
      </c>
      <c r="AF4" s="38">
        <v>0</v>
      </c>
      <c r="AG4" s="38">
        <v>375264</v>
      </c>
      <c r="AH4" s="38">
        <v>4806620</v>
      </c>
      <c r="AI4" s="38">
        <v>4806620</v>
      </c>
      <c r="AJ4" s="38">
        <v>0</v>
      </c>
      <c r="AK4" s="38">
        <v>0</v>
      </c>
      <c r="AL4" s="38">
        <v>4806620</v>
      </c>
      <c r="AM4" s="38">
        <v>0</v>
      </c>
      <c r="AN4" s="38">
        <v>0</v>
      </c>
      <c r="AO4" s="38">
        <v>15664</v>
      </c>
      <c r="AP4" s="38">
        <v>80035</v>
      </c>
      <c r="AQ4">
        <v>95699</v>
      </c>
      <c r="AR4" s="1">
        <f t="shared" si="1"/>
        <v>112641</v>
      </c>
      <c r="AS4">
        <f t="shared" si="2"/>
        <v>1.2290404411669877</v>
      </c>
      <c r="AT4">
        <f t="shared" si="3"/>
        <v>100.13791666666667</v>
      </c>
      <c r="AU4">
        <f t="shared" si="4"/>
        <v>1761.8958333333333</v>
      </c>
      <c r="AV4">
        <f t="shared" si="5"/>
        <v>32308.25</v>
      </c>
      <c r="AW4">
        <f t="shared" si="6"/>
        <v>154155.60416666666</v>
      </c>
      <c r="AX4">
        <f t="shared" si="7"/>
        <v>157804.20833333334</v>
      </c>
      <c r="AY4">
        <f t="shared" si="8"/>
        <v>808.70833333333337</v>
      </c>
    </row>
    <row r="5" spans="1:51" x14ac:dyDescent="0.25">
      <c r="A5" s="1" t="s">
        <v>35</v>
      </c>
      <c r="B5" s="1" t="s">
        <v>147</v>
      </c>
      <c r="C5" s="44" t="s">
        <v>99</v>
      </c>
      <c r="D5" s="35">
        <f t="shared" si="0"/>
        <v>214</v>
      </c>
      <c r="E5" s="38">
        <v>141</v>
      </c>
      <c r="F5" s="38">
        <v>401</v>
      </c>
      <c r="G5" s="38">
        <v>16366142</v>
      </c>
      <c r="H5" s="38">
        <v>26078</v>
      </c>
      <c r="I5" s="38"/>
      <c r="J5" s="38">
        <v>796077</v>
      </c>
      <c r="K5" s="38">
        <v>5418049</v>
      </c>
      <c r="L5" s="38">
        <v>117905</v>
      </c>
      <c r="M5" s="38">
        <v>22354</v>
      </c>
      <c r="N5" s="38">
        <v>374994</v>
      </c>
      <c r="O5" s="38">
        <v>6380</v>
      </c>
      <c r="P5" s="38"/>
      <c r="Q5" s="38"/>
      <c r="R5" s="38"/>
      <c r="S5" s="38"/>
      <c r="T5" s="38">
        <v>284873</v>
      </c>
      <c r="U5" s="38">
        <v>4014677</v>
      </c>
      <c r="V5" s="38">
        <v>3788043</v>
      </c>
      <c r="W5" s="38">
        <v>214000</v>
      </c>
      <c r="X5" s="38">
        <v>1016</v>
      </c>
      <c r="Y5" s="38">
        <v>385</v>
      </c>
      <c r="Z5" s="38">
        <v>1401</v>
      </c>
      <c r="AA5" s="38">
        <v>4490076</v>
      </c>
      <c r="AB5" s="38">
        <v>8336805</v>
      </c>
      <c r="AC5" s="38">
        <v>40116</v>
      </c>
      <c r="AD5" s="38">
        <v>217899</v>
      </c>
      <c r="AE5" s="38">
        <v>132781</v>
      </c>
      <c r="AF5" s="38">
        <v>593518</v>
      </c>
      <c r="AG5" s="38">
        <v>632260</v>
      </c>
      <c r="AH5" s="38">
        <v>14443455</v>
      </c>
      <c r="AI5" s="38">
        <v>13565728</v>
      </c>
      <c r="AJ5" s="38">
        <v>517464</v>
      </c>
      <c r="AK5" s="38">
        <v>360263</v>
      </c>
      <c r="AL5" s="38">
        <v>14443455</v>
      </c>
      <c r="AM5" s="38"/>
      <c r="AN5" s="38"/>
      <c r="AO5" s="38"/>
      <c r="AP5" s="38"/>
      <c r="AQ5"/>
      <c r="AR5" s="1">
        <f t="shared" si="1"/>
        <v>381374</v>
      </c>
      <c r="AS5">
        <f t="shared" si="2"/>
        <v>1.0598287823026296</v>
      </c>
      <c r="AT5">
        <f t="shared" si="3"/>
        <v>67.492780373831778</v>
      </c>
      <c r="AU5">
        <f t="shared" si="4"/>
        <v>1331.1822429906542</v>
      </c>
      <c r="AV5">
        <f t="shared" si="5"/>
        <v>17701.135514018693</v>
      </c>
      <c r="AW5">
        <f t="shared" si="6"/>
        <v>76477.299065420564</v>
      </c>
      <c r="AX5">
        <f t="shared" si="7"/>
        <v>106292.54672897197</v>
      </c>
      <c r="AY5">
        <f t="shared" si="8"/>
        <v>550.95794392523362</v>
      </c>
    </row>
    <row r="6" spans="1:51" x14ac:dyDescent="0.25">
      <c r="A6" s="1" t="s">
        <v>36</v>
      </c>
      <c r="B6" s="1" t="s">
        <v>147</v>
      </c>
      <c r="C6" s="44" t="s">
        <v>100</v>
      </c>
      <c r="D6" s="35">
        <f t="shared" si="0"/>
        <v>61</v>
      </c>
      <c r="E6" s="38">
        <v>31</v>
      </c>
      <c r="F6" s="38">
        <v>31</v>
      </c>
      <c r="G6" s="38">
        <v>5631479</v>
      </c>
      <c r="H6" s="38"/>
      <c r="I6" s="38"/>
      <c r="J6" s="38">
        <v>25362</v>
      </c>
      <c r="K6" s="38"/>
      <c r="L6" s="38">
        <v>4085</v>
      </c>
      <c r="M6" s="38"/>
      <c r="N6" s="38">
        <v>134553</v>
      </c>
      <c r="O6" s="38"/>
      <c r="P6" s="38"/>
      <c r="Q6" s="38"/>
      <c r="R6" s="38"/>
      <c r="S6" s="38"/>
      <c r="T6" s="38">
        <v>94467</v>
      </c>
      <c r="U6" s="38">
        <v>4209082</v>
      </c>
      <c r="V6" s="38">
        <v>1976819</v>
      </c>
      <c r="W6" s="38">
        <v>61000</v>
      </c>
      <c r="X6" s="38">
        <v>378</v>
      </c>
      <c r="Y6" s="38">
        <v>27</v>
      </c>
      <c r="Z6" s="38">
        <v>405</v>
      </c>
      <c r="AA6" s="38">
        <v>1106524</v>
      </c>
      <c r="AB6" s="38">
        <v>1023219</v>
      </c>
      <c r="AC6" s="38">
        <v>0</v>
      </c>
      <c r="AD6" s="38">
        <v>0</v>
      </c>
      <c r="AE6" s="38">
        <v>0</v>
      </c>
      <c r="AF6" s="38">
        <v>0</v>
      </c>
      <c r="AG6" s="38">
        <v>252124</v>
      </c>
      <c r="AH6" s="38">
        <v>2381867</v>
      </c>
      <c r="AI6" s="38">
        <v>1283798</v>
      </c>
      <c r="AJ6" s="38">
        <v>0</v>
      </c>
      <c r="AK6" s="38">
        <v>954612</v>
      </c>
      <c r="AL6" s="38">
        <v>2238410</v>
      </c>
      <c r="AM6" s="38">
        <v>506776</v>
      </c>
      <c r="AN6" s="38">
        <v>0</v>
      </c>
      <c r="AO6" s="38">
        <v>25899</v>
      </c>
      <c r="AP6" s="38">
        <v>6083</v>
      </c>
      <c r="AQ6">
        <v>538758</v>
      </c>
      <c r="AR6" s="1">
        <f t="shared" si="1"/>
        <v>134553</v>
      </c>
      <c r="AS6">
        <f t="shared" si="2"/>
        <v>2.1292197211783175</v>
      </c>
      <c r="AT6">
        <f t="shared" si="3"/>
        <v>39.046999999999997</v>
      </c>
      <c r="AU6">
        <f t="shared" si="4"/>
        <v>1548.639344262295</v>
      </c>
      <c r="AV6">
        <f t="shared" si="5"/>
        <v>32406.868852459018</v>
      </c>
      <c r="AW6">
        <f t="shared" si="6"/>
        <v>92319.327868852459</v>
      </c>
      <c r="AX6">
        <f t="shared" si="7"/>
        <v>92802.065573770495</v>
      </c>
      <c r="AY6">
        <f t="shared" si="8"/>
        <v>66.967213114754102</v>
      </c>
    </row>
    <row r="7" spans="1:51" x14ac:dyDescent="0.25">
      <c r="A7" s="1" t="s">
        <v>37</v>
      </c>
      <c r="B7" s="1" t="s">
        <v>147</v>
      </c>
      <c r="C7" s="44" t="s">
        <v>101</v>
      </c>
      <c r="D7" s="35">
        <f t="shared" si="0"/>
        <v>97</v>
      </c>
      <c r="E7" s="38">
        <v>15</v>
      </c>
      <c r="F7" s="38">
        <v>106</v>
      </c>
      <c r="G7" s="38">
        <v>10977183</v>
      </c>
      <c r="H7" s="38">
        <v>4000</v>
      </c>
      <c r="I7" s="38">
        <v>5000</v>
      </c>
      <c r="J7" s="38">
        <v>248300</v>
      </c>
      <c r="K7" s="38">
        <v>26764</v>
      </c>
      <c r="L7" s="38">
        <v>37250</v>
      </c>
      <c r="M7" s="38">
        <v>3625</v>
      </c>
      <c r="N7" s="38">
        <v>174036</v>
      </c>
      <c r="O7" s="38">
        <v>852</v>
      </c>
      <c r="P7" s="38">
        <v>4</v>
      </c>
      <c r="Q7" s="38">
        <v>3</v>
      </c>
      <c r="R7" s="38">
        <v>298</v>
      </c>
      <c r="S7" s="38">
        <v>298</v>
      </c>
      <c r="T7" s="38">
        <v>118445</v>
      </c>
      <c r="U7" s="38">
        <v>8134682</v>
      </c>
      <c r="V7" s="38">
        <v>4520707</v>
      </c>
      <c r="W7" s="38">
        <v>97000</v>
      </c>
      <c r="X7" s="38">
        <v>594</v>
      </c>
      <c r="Y7" s="38">
        <v>92</v>
      </c>
      <c r="Z7" s="38">
        <v>686</v>
      </c>
      <c r="AA7" s="38">
        <v>1856644</v>
      </c>
      <c r="AB7" s="38">
        <v>787172</v>
      </c>
      <c r="AC7" s="38">
        <v>0</v>
      </c>
      <c r="AD7" s="38">
        <v>94213</v>
      </c>
      <c r="AE7" s="38">
        <v>0</v>
      </c>
      <c r="AF7" s="38">
        <v>0</v>
      </c>
      <c r="AG7" s="38">
        <v>344466</v>
      </c>
      <c r="AH7" s="38">
        <v>3082495</v>
      </c>
      <c r="AI7" s="38">
        <v>2440386</v>
      </c>
      <c r="AJ7" s="38">
        <v>324443</v>
      </c>
      <c r="AK7" s="38">
        <v>293871</v>
      </c>
      <c r="AL7" s="38">
        <v>3058700</v>
      </c>
      <c r="AM7" s="38"/>
      <c r="AN7" s="38"/>
      <c r="AO7" s="38"/>
      <c r="AP7" s="38"/>
      <c r="AQ7"/>
      <c r="AR7" s="1">
        <f t="shared" si="1"/>
        <v>174888</v>
      </c>
      <c r="AS7">
        <f t="shared" si="2"/>
        <v>1.7994269480415341</v>
      </c>
      <c r="AT7">
        <f t="shared" si="3"/>
        <v>31.778298969072164</v>
      </c>
      <c r="AU7">
        <f t="shared" si="4"/>
        <v>1221.0824742268042</v>
      </c>
      <c r="AV7">
        <f t="shared" si="5"/>
        <v>46605.226804123711</v>
      </c>
      <c r="AW7">
        <f t="shared" si="6"/>
        <v>113166.8350515464</v>
      </c>
      <c r="AX7">
        <f t="shared" si="7"/>
        <v>116516.72164948453</v>
      </c>
      <c r="AY7">
        <f t="shared" si="8"/>
        <v>384.02061855670104</v>
      </c>
    </row>
    <row r="8" spans="1:51" x14ac:dyDescent="0.25">
      <c r="A8" s="1" t="s">
        <v>38</v>
      </c>
      <c r="B8" s="1" t="s">
        <v>147</v>
      </c>
      <c r="C8" s="44" t="s">
        <v>102</v>
      </c>
      <c r="D8" s="35">
        <f t="shared" si="0"/>
        <v>796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>
        <v>796000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/>
      <c r="AR8" s="1">
        <f t="shared" si="1"/>
        <v>0</v>
      </c>
      <c r="AS8" t="e">
        <f t="shared" si="2"/>
        <v>#DIV/0!</v>
      </c>
      <c r="AT8">
        <f t="shared" si="3"/>
        <v>0</v>
      </c>
      <c r="AU8">
        <f t="shared" si="4"/>
        <v>0</v>
      </c>
      <c r="AV8">
        <f t="shared" si="5"/>
        <v>0</v>
      </c>
      <c r="AW8">
        <f t="shared" si="6"/>
        <v>0</v>
      </c>
      <c r="AX8">
        <f t="shared" si="7"/>
        <v>0</v>
      </c>
      <c r="AY8">
        <f t="shared" si="8"/>
        <v>0</v>
      </c>
    </row>
    <row r="9" spans="1:51" x14ac:dyDescent="0.25">
      <c r="A9" s="1" t="s">
        <v>39</v>
      </c>
      <c r="B9" s="1" t="s">
        <v>147</v>
      </c>
      <c r="C9" s="44" t="s">
        <v>103</v>
      </c>
      <c r="D9" s="35">
        <f t="shared" si="0"/>
        <v>438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>
        <v>438000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/>
      <c r="AR9" s="1">
        <f t="shared" si="1"/>
        <v>0</v>
      </c>
      <c r="AS9" t="e">
        <f t="shared" si="2"/>
        <v>#DIV/0!</v>
      </c>
      <c r="AT9">
        <f t="shared" si="3"/>
        <v>0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7"/>
        <v>0</v>
      </c>
      <c r="AY9">
        <f t="shared" si="8"/>
        <v>0</v>
      </c>
    </row>
    <row r="10" spans="1:51" x14ac:dyDescent="0.25">
      <c r="A10" s="1" t="s">
        <v>40</v>
      </c>
      <c r="B10" s="1" t="s">
        <v>147</v>
      </c>
      <c r="C10" s="44" t="s">
        <v>104</v>
      </c>
      <c r="D10" s="35">
        <f t="shared" si="0"/>
        <v>112</v>
      </c>
      <c r="E10" s="38">
        <v>35</v>
      </c>
      <c r="F10" s="38">
        <v>568</v>
      </c>
      <c r="G10" s="38">
        <v>4670126</v>
      </c>
      <c r="H10" s="38">
        <v>7534</v>
      </c>
      <c r="I10" s="38">
        <v>9231</v>
      </c>
      <c r="J10" s="38"/>
      <c r="K10" s="38"/>
      <c r="L10" s="38"/>
      <c r="M10" s="38">
        <v>1130</v>
      </c>
      <c r="N10" s="38">
        <v>98198</v>
      </c>
      <c r="O10" s="38">
        <v>568</v>
      </c>
      <c r="P10" s="38"/>
      <c r="Q10" s="38"/>
      <c r="R10" s="38">
        <v>1094</v>
      </c>
      <c r="S10" s="38">
        <v>896</v>
      </c>
      <c r="T10" s="38">
        <v>142344</v>
      </c>
      <c r="U10" s="38">
        <v>2706702</v>
      </c>
      <c r="V10" s="38">
        <v>1045163</v>
      </c>
      <c r="W10" s="38">
        <v>112000</v>
      </c>
      <c r="X10" s="38">
        <v>254</v>
      </c>
      <c r="Y10" s="38">
        <v>244</v>
      </c>
      <c r="Z10" s="38">
        <v>498</v>
      </c>
      <c r="AA10" s="38">
        <v>1189740</v>
      </c>
      <c r="AB10" s="38">
        <v>960166</v>
      </c>
      <c r="AC10" s="38">
        <v>0</v>
      </c>
      <c r="AD10" s="38">
        <v>0</v>
      </c>
      <c r="AE10" s="38">
        <v>89466</v>
      </c>
      <c r="AF10" s="38">
        <v>0</v>
      </c>
      <c r="AG10" s="38">
        <v>385251</v>
      </c>
      <c r="AH10" s="38">
        <v>2624623</v>
      </c>
      <c r="AI10" s="38">
        <v>2496700</v>
      </c>
      <c r="AJ10" s="38">
        <v>34423</v>
      </c>
      <c r="AK10" s="38">
        <v>0</v>
      </c>
      <c r="AL10" s="38">
        <v>2531123</v>
      </c>
      <c r="AM10" s="38">
        <v>227232</v>
      </c>
      <c r="AN10" s="38">
        <v>0</v>
      </c>
      <c r="AO10" s="38">
        <v>140400</v>
      </c>
      <c r="AP10" s="38">
        <v>0</v>
      </c>
      <c r="AQ10">
        <v>367632</v>
      </c>
      <c r="AR10" s="1">
        <f t="shared" si="1"/>
        <v>98766</v>
      </c>
      <c r="AS10">
        <f t="shared" si="2"/>
        <v>2.5897415044351932</v>
      </c>
      <c r="AT10">
        <f t="shared" si="3"/>
        <v>23.434133928571427</v>
      </c>
      <c r="AU10">
        <f t="shared" si="4"/>
        <v>1270.9285714285713</v>
      </c>
      <c r="AV10">
        <f t="shared" si="5"/>
        <v>9331.8125</v>
      </c>
      <c r="AW10">
        <f t="shared" si="6"/>
        <v>41697.553571428572</v>
      </c>
      <c r="AX10">
        <f t="shared" si="7"/>
        <v>41857.330357142855</v>
      </c>
      <c r="AY10">
        <f t="shared" si="8"/>
        <v>0</v>
      </c>
    </row>
    <row r="11" spans="1:51" x14ac:dyDescent="0.25">
      <c r="A11" s="1" t="s">
        <v>41</v>
      </c>
      <c r="B11" s="1" t="s">
        <v>147</v>
      </c>
      <c r="C11" s="44" t="s">
        <v>105</v>
      </c>
      <c r="D11" s="35">
        <f t="shared" si="0"/>
        <v>55</v>
      </c>
      <c r="E11" s="38">
        <v>54</v>
      </c>
      <c r="F11" s="38">
        <v>79</v>
      </c>
      <c r="G11" s="38">
        <v>4151409</v>
      </c>
      <c r="H11" s="38">
        <v>14489</v>
      </c>
      <c r="I11" s="38">
        <v>16234</v>
      </c>
      <c r="J11" s="38"/>
      <c r="K11" s="38"/>
      <c r="L11" s="38"/>
      <c r="M11" s="38"/>
      <c r="N11" s="38">
        <v>118375</v>
      </c>
      <c r="O11" s="38">
        <v>12372</v>
      </c>
      <c r="P11" s="38"/>
      <c r="Q11" s="38">
        <v>44</v>
      </c>
      <c r="R11" s="38">
        <v>314</v>
      </c>
      <c r="S11" s="38">
        <v>299</v>
      </c>
      <c r="T11" s="38">
        <v>135425</v>
      </c>
      <c r="U11" s="38">
        <v>3263696</v>
      </c>
      <c r="V11" s="38">
        <v>1512745</v>
      </c>
      <c r="W11" s="38">
        <v>55000</v>
      </c>
      <c r="X11" s="38">
        <v>263</v>
      </c>
      <c r="Y11" s="38">
        <v>93</v>
      </c>
      <c r="Z11" s="38">
        <v>356</v>
      </c>
      <c r="AA11" s="38">
        <v>1005555</v>
      </c>
      <c r="AB11" s="38">
        <v>4009447</v>
      </c>
      <c r="AC11" s="38">
        <v>14203</v>
      </c>
      <c r="AD11" s="38">
        <v>77143</v>
      </c>
      <c r="AE11" s="38">
        <v>47009</v>
      </c>
      <c r="AF11" s="38">
        <v>210125</v>
      </c>
      <c r="AG11" s="38">
        <v>3811444</v>
      </c>
      <c r="AH11" s="38">
        <v>9174926</v>
      </c>
      <c r="AI11" s="38">
        <v>5917186</v>
      </c>
      <c r="AJ11" s="38">
        <v>172832</v>
      </c>
      <c r="AK11" s="38">
        <v>3084908</v>
      </c>
      <c r="AL11" s="38">
        <v>9174926</v>
      </c>
      <c r="AM11" s="38"/>
      <c r="AN11" s="38"/>
      <c r="AO11" s="38"/>
      <c r="AP11" s="38"/>
      <c r="AQ11"/>
      <c r="AR11" s="1">
        <f t="shared" si="1"/>
        <v>130747</v>
      </c>
      <c r="AS11">
        <f t="shared" si="2"/>
        <v>2.1574660633484162</v>
      </c>
      <c r="AT11">
        <f t="shared" si="3"/>
        <v>166.81683636363636</v>
      </c>
      <c r="AU11">
        <f t="shared" si="4"/>
        <v>2462.2727272727275</v>
      </c>
      <c r="AV11">
        <f t="shared" si="5"/>
        <v>27504.454545454544</v>
      </c>
      <c r="AW11">
        <f t="shared" si="6"/>
        <v>75480.163636363635</v>
      </c>
      <c r="AX11">
        <f t="shared" si="7"/>
        <v>76038.763636363641</v>
      </c>
      <c r="AY11">
        <f t="shared" si="8"/>
        <v>0</v>
      </c>
    </row>
    <row r="12" spans="1:51" x14ac:dyDescent="0.25">
      <c r="A12" s="1" t="s">
        <v>42</v>
      </c>
      <c r="B12" s="1" t="s">
        <v>148</v>
      </c>
      <c r="C12" s="44" t="s">
        <v>106</v>
      </c>
      <c r="D12" s="35">
        <f t="shared" si="0"/>
        <v>269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>
        <v>269000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/>
      <c r="AR12" s="1">
        <f t="shared" si="1"/>
        <v>0</v>
      </c>
      <c r="AS12" t="e">
        <f t="shared" si="2"/>
        <v>#DIV/0!</v>
      </c>
      <c r="AT12">
        <f t="shared" si="3"/>
        <v>0</v>
      </c>
      <c r="AU12">
        <f t="shared" si="4"/>
        <v>0</v>
      </c>
      <c r="AV12">
        <f t="shared" si="5"/>
        <v>0</v>
      </c>
      <c r="AW12">
        <f t="shared" si="6"/>
        <v>0</v>
      </c>
      <c r="AX12">
        <f t="shared" si="7"/>
        <v>0</v>
      </c>
      <c r="AY12">
        <f t="shared" si="8"/>
        <v>0</v>
      </c>
    </row>
    <row r="13" spans="1:51" x14ac:dyDescent="0.25">
      <c r="A13" s="1" t="s">
        <v>320</v>
      </c>
      <c r="B13" s="1" t="s">
        <v>320</v>
      </c>
      <c r="C13" s="44" t="s">
        <v>317</v>
      </c>
      <c r="D13" s="35">
        <v>58.777000000000001</v>
      </c>
      <c r="E13" s="38">
        <v>41</v>
      </c>
      <c r="F13" s="38">
        <v>317</v>
      </c>
      <c r="G13" s="38">
        <v>9925746</v>
      </c>
      <c r="H13" s="38">
        <v>42654</v>
      </c>
      <c r="I13" s="38">
        <v>14074</v>
      </c>
      <c r="J13" s="38">
        <v>115</v>
      </c>
      <c r="K13" s="38">
        <v>1000</v>
      </c>
      <c r="L13" s="38">
        <v>9068</v>
      </c>
      <c r="M13" s="38">
        <v>2028</v>
      </c>
      <c r="N13" s="38">
        <v>179054</v>
      </c>
      <c r="O13" s="38">
        <v>210</v>
      </c>
      <c r="P13" s="38">
        <v>48</v>
      </c>
      <c r="Q13" s="38">
        <v>60</v>
      </c>
      <c r="R13" s="38">
        <v>354</v>
      </c>
      <c r="S13" s="38"/>
      <c r="T13" s="38">
        <v>106123</v>
      </c>
      <c r="U13" s="38">
        <v>666128</v>
      </c>
      <c r="V13" s="38">
        <v>1071148</v>
      </c>
      <c r="W13" s="38">
        <v>58777</v>
      </c>
      <c r="X13" s="38">
        <v>116</v>
      </c>
      <c r="Y13" s="38">
        <v>191</v>
      </c>
      <c r="Z13" s="38">
        <v>307</v>
      </c>
      <c r="AA13" s="38">
        <v>8375210</v>
      </c>
      <c r="AB13" s="38">
        <v>5472894</v>
      </c>
      <c r="AC13" s="38">
        <v>1948575</v>
      </c>
      <c r="AD13" s="38">
        <v>375538</v>
      </c>
      <c r="AE13" s="38">
        <v>112271</v>
      </c>
      <c r="AF13" s="38">
        <v>13758</v>
      </c>
      <c r="AG13" s="38">
        <v>361682</v>
      </c>
      <c r="AH13" s="38">
        <v>16659928</v>
      </c>
      <c r="AI13" s="38">
        <v>5971614</v>
      </c>
      <c r="AJ13" s="38">
        <v>98259</v>
      </c>
      <c r="AK13" s="38">
        <v>98414</v>
      </c>
      <c r="AL13" s="38">
        <v>6108793</v>
      </c>
      <c r="AM13" s="38">
        <v>0</v>
      </c>
      <c r="AN13" s="38">
        <v>0</v>
      </c>
      <c r="AO13" s="38">
        <v>88939</v>
      </c>
      <c r="AP13" s="38">
        <v>0</v>
      </c>
      <c r="AQ13">
        <v>88939</v>
      </c>
      <c r="AR13" s="1">
        <v>179264</v>
      </c>
      <c r="AS13">
        <f>+U13/V13</f>
        <v>0.62188231691605644</v>
      </c>
      <c r="AT13">
        <f>+AH13/W13</f>
        <v>283.44297939670281</v>
      </c>
      <c r="AU13">
        <f>+T13/D13</f>
        <v>1805.5191656600371</v>
      </c>
      <c r="AV13">
        <f>+V13/D13</f>
        <v>18223.931129523451</v>
      </c>
      <c r="AW13">
        <f>+G13/D13</f>
        <v>168871.25916600029</v>
      </c>
      <c r="AX13">
        <f>SUM(G13:M13)/D13</f>
        <v>170044.14992258875</v>
      </c>
      <c r="AY13">
        <f>+L13/D13</f>
        <v>154.27803392483455</v>
      </c>
    </row>
    <row r="14" spans="1:51" x14ac:dyDescent="0.25">
      <c r="A14" s="1" t="s">
        <v>321</v>
      </c>
      <c r="B14" s="1" t="s">
        <v>321</v>
      </c>
      <c r="C14" s="44" t="s">
        <v>318</v>
      </c>
      <c r="D14" s="35">
        <v>74.457999999999998</v>
      </c>
      <c r="E14" s="38"/>
      <c r="F14" s="38"/>
      <c r="G14" s="38">
        <v>9057965</v>
      </c>
      <c r="H14" s="38">
        <v>29979</v>
      </c>
      <c r="I14" s="38">
        <v>20837</v>
      </c>
      <c r="J14" s="38">
        <v>1135</v>
      </c>
      <c r="K14" s="38">
        <v>279897</v>
      </c>
      <c r="L14" s="38">
        <v>11873</v>
      </c>
      <c r="M14" s="38">
        <v>1193</v>
      </c>
      <c r="N14" s="38">
        <v>128821</v>
      </c>
      <c r="O14" s="38">
        <v>1511</v>
      </c>
      <c r="P14" s="38">
        <v>46</v>
      </c>
      <c r="Q14" s="38">
        <v>56</v>
      </c>
      <c r="R14" s="38">
        <v>423</v>
      </c>
      <c r="S14" s="38"/>
      <c r="T14" s="38">
        <v>63788</v>
      </c>
      <c r="U14" s="38">
        <v>460619</v>
      </c>
      <c r="V14" s="38">
        <v>3062634</v>
      </c>
      <c r="W14" s="38">
        <v>74458</v>
      </c>
      <c r="X14" s="38">
        <v>124</v>
      </c>
      <c r="Y14" s="38">
        <v>179</v>
      </c>
      <c r="Z14" s="38">
        <v>301</v>
      </c>
      <c r="AA14" s="38">
        <v>7062183</v>
      </c>
      <c r="AB14" s="38">
        <v>7195308</v>
      </c>
      <c r="AC14" s="38">
        <v>771134</v>
      </c>
      <c r="AD14" s="38">
        <v>279846</v>
      </c>
      <c r="AE14" s="38">
        <v>772490</v>
      </c>
      <c r="AF14" s="38">
        <v>0</v>
      </c>
      <c r="AG14" s="38">
        <v>346279</v>
      </c>
      <c r="AH14" s="38">
        <v>16427240</v>
      </c>
      <c r="AI14" s="38">
        <v>6715288</v>
      </c>
      <c r="AJ14" s="38">
        <v>394456</v>
      </c>
      <c r="AK14" s="38">
        <v>439313</v>
      </c>
      <c r="AL14" s="38">
        <v>7207068</v>
      </c>
      <c r="AM14" s="38">
        <v>0</v>
      </c>
      <c r="AN14" s="38">
        <v>68369</v>
      </c>
      <c r="AO14" s="38">
        <v>48691</v>
      </c>
      <c r="AP14" s="38">
        <v>0</v>
      </c>
      <c r="AQ14">
        <v>117060</v>
      </c>
      <c r="AR14" s="1">
        <v>130332</v>
      </c>
      <c r="AS14">
        <f>+U14/V14</f>
        <v>0.15039962333076692</v>
      </c>
      <c r="AT14">
        <f>+AH14/W14</f>
        <v>220.62424454054636</v>
      </c>
      <c r="AU14">
        <f>+T14/D14</f>
        <v>856.69773563619765</v>
      </c>
      <c r="AV14">
        <f>+V14/D14</f>
        <v>41132.369926670071</v>
      </c>
      <c r="AW14">
        <f>+G14/D14</f>
        <v>121652.00515726987</v>
      </c>
      <c r="AX14">
        <f>SUM(G14:M14)/D14</f>
        <v>126284.33479276908</v>
      </c>
      <c r="AY14">
        <f>+L14/D14</f>
        <v>159.45902387923394</v>
      </c>
    </row>
    <row r="15" spans="1:51" x14ac:dyDescent="0.25">
      <c r="A15" s="1" t="s">
        <v>43</v>
      </c>
      <c r="B15" s="1" t="s">
        <v>148</v>
      </c>
      <c r="C15" s="44" t="s">
        <v>107</v>
      </c>
      <c r="D15" s="35">
        <f t="shared" si="0"/>
        <v>133.23500000000001</v>
      </c>
      <c r="E15" s="38">
        <v>72</v>
      </c>
      <c r="F15" s="38">
        <v>47</v>
      </c>
      <c r="G15" s="38">
        <v>18983711</v>
      </c>
      <c r="H15" s="38">
        <v>72633</v>
      </c>
      <c r="I15" s="38">
        <v>34911</v>
      </c>
      <c r="J15" s="38">
        <v>1250</v>
      </c>
      <c r="K15" s="38">
        <v>280897</v>
      </c>
      <c r="L15" s="38">
        <v>20941</v>
      </c>
      <c r="M15" s="38">
        <v>3221</v>
      </c>
      <c r="N15" s="38">
        <v>307875</v>
      </c>
      <c r="O15" s="38">
        <v>1721</v>
      </c>
      <c r="P15" s="38">
        <v>46</v>
      </c>
      <c r="Q15" s="38">
        <v>56</v>
      </c>
      <c r="R15" s="38">
        <v>777</v>
      </c>
      <c r="S15" s="38"/>
      <c r="T15" s="38">
        <v>169911</v>
      </c>
      <c r="U15" s="38">
        <v>1126747</v>
      </c>
      <c r="V15" s="38">
        <v>4133782</v>
      </c>
      <c r="W15" s="38">
        <v>133235</v>
      </c>
      <c r="X15" s="38">
        <v>240</v>
      </c>
      <c r="Y15" s="38">
        <v>369</v>
      </c>
      <c r="Z15" s="38">
        <v>609</v>
      </c>
      <c r="AA15" s="38">
        <v>15437393</v>
      </c>
      <c r="AB15" s="38">
        <v>12668202</v>
      </c>
      <c r="AC15" s="38">
        <v>2719709</v>
      </c>
      <c r="AD15" s="38">
        <v>655384</v>
      </c>
      <c r="AE15" s="38">
        <v>884761</v>
      </c>
      <c r="AF15" s="38">
        <v>13758</v>
      </c>
      <c r="AG15" s="38">
        <v>707961</v>
      </c>
      <c r="AH15" s="38">
        <v>33087168</v>
      </c>
      <c r="AI15" s="38">
        <v>26002762</v>
      </c>
      <c r="AJ15" s="38">
        <v>492716</v>
      </c>
      <c r="AK15" s="38">
        <v>537726</v>
      </c>
      <c r="AL15" s="38">
        <v>27033204</v>
      </c>
      <c r="AM15" s="38">
        <v>68369</v>
      </c>
      <c r="AN15" s="38">
        <v>137630</v>
      </c>
      <c r="AO15" s="38">
        <v>0</v>
      </c>
      <c r="AP15" s="38">
        <v>0</v>
      </c>
      <c r="AQ15">
        <v>205999</v>
      </c>
      <c r="AR15" s="1">
        <f t="shared" si="1"/>
        <v>309596</v>
      </c>
      <c r="AS15">
        <f t="shared" si="2"/>
        <v>0.27257049355771545</v>
      </c>
      <c r="AT15">
        <f t="shared" si="3"/>
        <v>248.33690846999662</v>
      </c>
      <c r="AU15">
        <f t="shared" si="4"/>
        <v>1275.2730138477125</v>
      </c>
      <c r="AV15">
        <f t="shared" si="5"/>
        <v>31026.246857057078</v>
      </c>
      <c r="AW15">
        <f t="shared" si="6"/>
        <v>142482.913648816</v>
      </c>
      <c r="AX15">
        <f t="shared" si="7"/>
        <v>145589.10196269749</v>
      </c>
      <c r="AY15">
        <f t="shared" si="8"/>
        <v>157.17341539385296</v>
      </c>
    </row>
    <row r="16" spans="1:51" x14ac:dyDescent="0.25">
      <c r="A16" s="1" t="s">
        <v>44</v>
      </c>
      <c r="B16" s="1" t="s">
        <v>148</v>
      </c>
      <c r="C16" s="44" t="s">
        <v>108</v>
      </c>
      <c r="D16" s="35">
        <f t="shared" si="0"/>
        <v>180</v>
      </c>
      <c r="E16" s="38">
        <v>19</v>
      </c>
      <c r="F16" s="38">
        <v>40</v>
      </c>
      <c r="G16" s="38">
        <v>10698685</v>
      </c>
      <c r="H16" s="38">
        <v>74100</v>
      </c>
      <c r="I16" s="38">
        <v>94344</v>
      </c>
      <c r="J16" s="38">
        <v>95140</v>
      </c>
      <c r="K16" s="38">
        <v>1220634</v>
      </c>
      <c r="L16" s="38">
        <v>883224</v>
      </c>
      <c r="M16" s="38">
        <v>36856</v>
      </c>
      <c r="N16" s="38">
        <v>255661</v>
      </c>
      <c r="O16" s="38">
        <v>28595</v>
      </c>
      <c r="P16" s="38">
        <v>20</v>
      </c>
      <c r="Q16" s="38"/>
      <c r="R16" s="38">
        <v>932</v>
      </c>
      <c r="S16" s="38"/>
      <c r="T16" s="38"/>
      <c r="U16" s="38">
        <v>5085626</v>
      </c>
      <c r="V16" s="38"/>
      <c r="W16" s="38">
        <v>180000</v>
      </c>
      <c r="X16" s="38">
        <v>427</v>
      </c>
      <c r="Y16" s="38">
        <v>472</v>
      </c>
      <c r="Z16" s="38">
        <v>899</v>
      </c>
      <c r="AA16" s="38">
        <v>38129876</v>
      </c>
      <c r="AB16" s="38">
        <v>19659084</v>
      </c>
      <c r="AC16" s="38"/>
      <c r="AD16" s="38"/>
      <c r="AE16" s="38"/>
      <c r="AF16" s="38">
        <v>550806</v>
      </c>
      <c r="AG16" s="38">
        <v>10882096</v>
      </c>
      <c r="AH16" s="38">
        <v>69221863</v>
      </c>
      <c r="AI16" s="38">
        <v>69221863</v>
      </c>
      <c r="AJ16" s="38"/>
      <c r="AK16" s="38"/>
      <c r="AL16" s="38">
        <v>69221863</v>
      </c>
      <c r="AM16" s="38">
        <v>2680041</v>
      </c>
      <c r="AN16" s="38"/>
      <c r="AO16" s="38"/>
      <c r="AP16" s="38"/>
      <c r="AQ16">
        <v>2680041</v>
      </c>
      <c r="AR16" s="1">
        <f t="shared" si="1"/>
        <v>284256</v>
      </c>
      <c r="AS16" t="e">
        <f t="shared" si="2"/>
        <v>#DIV/0!</v>
      </c>
      <c r="AT16">
        <f t="shared" si="3"/>
        <v>384.56590555555556</v>
      </c>
      <c r="AU16">
        <f t="shared" si="4"/>
        <v>0</v>
      </c>
      <c r="AV16">
        <f t="shared" si="5"/>
        <v>0</v>
      </c>
      <c r="AW16">
        <f t="shared" si="6"/>
        <v>59437.138888888891</v>
      </c>
      <c r="AX16">
        <f t="shared" si="7"/>
        <v>72794.350000000006</v>
      </c>
      <c r="AY16">
        <f t="shared" si="8"/>
        <v>4906.8</v>
      </c>
    </row>
    <row r="17" spans="1:51" x14ac:dyDescent="0.25">
      <c r="A17" s="1" t="s">
        <v>45</v>
      </c>
      <c r="B17" s="1" t="s">
        <v>148</v>
      </c>
      <c r="C17" s="44" t="s">
        <v>109</v>
      </c>
      <c r="D17" s="35">
        <f t="shared" si="0"/>
        <v>137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>
        <v>137000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/>
      <c r="AR17" s="1">
        <f t="shared" si="1"/>
        <v>0</v>
      </c>
      <c r="AS17" t="e">
        <f t="shared" si="2"/>
        <v>#DIV/0!</v>
      </c>
      <c r="AT17">
        <f t="shared" si="3"/>
        <v>0</v>
      </c>
      <c r="AU17">
        <f t="shared" si="4"/>
        <v>0</v>
      </c>
      <c r="AV17">
        <f t="shared" si="5"/>
        <v>0</v>
      </c>
      <c r="AW17">
        <f t="shared" si="6"/>
        <v>0</v>
      </c>
      <c r="AX17">
        <f t="shared" si="7"/>
        <v>0</v>
      </c>
      <c r="AY17">
        <f t="shared" si="8"/>
        <v>0</v>
      </c>
    </row>
    <row r="18" spans="1:51" x14ac:dyDescent="0.25">
      <c r="A18" s="1" t="s">
        <v>46</v>
      </c>
      <c r="B18" s="1" t="s">
        <v>148</v>
      </c>
      <c r="C18" s="44" t="s">
        <v>110</v>
      </c>
      <c r="D18" s="35">
        <f t="shared" si="0"/>
        <v>224</v>
      </c>
      <c r="E18" s="38">
        <v>48</v>
      </c>
      <c r="F18" s="38">
        <v>457</v>
      </c>
      <c r="G18" s="38">
        <v>15572434</v>
      </c>
      <c r="H18" s="38">
        <v>161100</v>
      </c>
      <c r="I18" s="38">
        <v>382625</v>
      </c>
      <c r="J18" s="38">
        <v>262463</v>
      </c>
      <c r="K18" s="38">
        <v>1251223</v>
      </c>
      <c r="L18" s="38">
        <v>325048</v>
      </c>
      <c r="M18" s="38"/>
      <c r="N18" s="38">
        <v>610881</v>
      </c>
      <c r="O18" s="38">
        <v>15112</v>
      </c>
      <c r="P18" s="38">
        <v>45</v>
      </c>
      <c r="Q18" s="38"/>
      <c r="R18" s="38"/>
      <c r="S18" s="38"/>
      <c r="T18" s="38"/>
      <c r="U18" s="38">
        <v>13617288</v>
      </c>
      <c r="V18" s="38">
        <v>16882610</v>
      </c>
      <c r="W18" s="38">
        <v>224000</v>
      </c>
      <c r="X18" s="38">
        <v>1310</v>
      </c>
      <c r="Y18" s="38">
        <v>138</v>
      </c>
      <c r="Z18" s="38">
        <v>1448</v>
      </c>
      <c r="AA18" s="38">
        <v>36907466</v>
      </c>
      <c r="AB18" s="38">
        <v>22543220</v>
      </c>
      <c r="AC18" s="38">
        <v>0</v>
      </c>
      <c r="AD18" s="38">
        <v>0</v>
      </c>
      <c r="AE18" s="38">
        <v>0</v>
      </c>
      <c r="AF18" s="38">
        <v>3528953</v>
      </c>
      <c r="AG18" s="38">
        <v>10987011</v>
      </c>
      <c r="AH18" s="38">
        <v>76666650</v>
      </c>
      <c r="AI18" s="38">
        <v>62922332</v>
      </c>
      <c r="AJ18" s="38">
        <v>4788563</v>
      </c>
      <c r="AK18" s="38">
        <v>5513940</v>
      </c>
      <c r="AL18" s="38">
        <v>73224835</v>
      </c>
      <c r="AM18" s="38"/>
      <c r="AN18" s="38"/>
      <c r="AO18" s="38"/>
      <c r="AP18" s="38"/>
      <c r="AQ18"/>
      <c r="AR18" s="1">
        <f t="shared" si="1"/>
        <v>625993</v>
      </c>
      <c r="AS18">
        <f t="shared" si="2"/>
        <v>0.80658665929024009</v>
      </c>
      <c r="AT18">
        <f t="shared" si="3"/>
        <v>342.26183035714286</v>
      </c>
      <c r="AU18">
        <f t="shared" si="4"/>
        <v>0</v>
      </c>
      <c r="AV18">
        <f t="shared" si="5"/>
        <v>75368.794642857145</v>
      </c>
      <c r="AW18">
        <f t="shared" si="6"/>
        <v>69519.794642857145</v>
      </c>
      <c r="AX18">
        <f t="shared" si="7"/>
        <v>80155.772321428565</v>
      </c>
      <c r="AY18">
        <f t="shared" si="8"/>
        <v>1451.1071428571429</v>
      </c>
    </row>
    <row r="19" spans="1:51" x14ac:dyDescent="0.25">
      <c r="A19" s="1" t="s">
        <v>47</v>
      </c>
      <c r="B19" s="1" t="s">
        <v>148</v>
      </c>
      <c r="C19" s="44" t="s">
        <v>111</v>
      </c>
      <c r="D19" s="35">
        <f t="shared" si="0"/>
        <v>2278</v>
      </c>
      <c r="E19" s="38">
        <v>95</v>
      </c>
      <c r="F19" s="38">
        <v>396</v>
      </c>
      <c r="G19" s="38">
        <v>25684360</v>
      </c>
      <c r="H19" s="38">
        <v>152995</v>
      </c>
      <c r="I19" s="38"/>
      <c r="J19" s="38"/>
      <c r="K19" s="38">
        <v>1384057</v>
      </c>
      <c r="L19" s="38">
        <v>97296</v>
      </c>
      <c r="M19" s="38">
        <v>44108</v>
      </c>
      <c r="N19" s="38">
        <v>1008519</v>
      </c>
      <c r="O19" s="38"/>
      <c r="P19" s="38">
        <v>35</v>
      </c>
      <c r="Q19" s="38"/>
      <c r="R19" s="38"/>
      <c r="S19" s="38"/>
      <c r="T19" s="38"/>
      <c r="U19" s="38"/>
      <c r="V19" s="38"/>
      <c r="W19" s="38">
        <v>2278000</v>
      </c>
      <c r="X19" s="38">
        <v>1812</v>
      </c>
      <c r="Y19" s="38">
        <v>2552</v>
      </c>
      <c r="Z19" s="38">
        <v>4364</v>
      </c>
      <c r="AA19" s="38">
        <v>167287948</v>
      </c>
      <c r="AB19" s="38">
        <v>60509187</v>
      </c>
      <c r="AC19" s="38">
        <v>5924182</v>
      </c>
      <c r="AD19" s="38">
        <v>0</v>
      </c>
      <c r="AE19" s="38">
        <v>0</v>
      </c>
      <c r="AF19" s="38">
        <v>0</v>
      </c>
      <c r="AG19" s="38">
        <v>68159578</v>
      </c>
      <c r="AH19" s="38">
        <v>301880895</v>
      </c>
      <c r="AI19" s="38">
        <v>285222928</v>
      </c>
      <c r="AJ19" s="38">
        <v>8495252</v>
      </c>
      <c r="AK19" s="38">
        <v>8162715</v>
      </c>
      <c r="AL19" s="38">
        <v>301880895</v>
      </c>
      <c r="AM19" s="38"/>
      <c r="AN19" s="38"/>
      <c r="AO19" s="38"/>
      <c r="AP19" s="38"/>
      <c r="AQ19"/>
      <c r="AR19" s="1">
        <f t="shared" si="1"/>
        <v>1008519</v>
      </c>
      <c r="AS19" t="e">
        <f t="shared" si="2"/>
        <v>#DIV/0!</v>
      </c>
      <c r="AT19">
        <f t="shared" si="3"/>
        <v>132.52014705882354</v>
      </c>
      <c r="AU19">
        <f t="shared" si="4"/>
        <v>0</v>
      </c>
      <c r="AV19">
        <f t="shared" si="5"/>
        <v>0</v>
      </c>
      <c r="AW19">
        <f t="shared" si="6"/>
        <v>11274.960491659351</v>
      </c>
      <c r="AX19">
        <f t="shared" si="7"/>
        <v>12011.771729587357</v>
      </c>
      <c r="AY19">
        <f t="shared" si="8"/>
        <v>42.711150131694467</v>
      </c>
    </row>
    <row r="20" spans="1:51" x14ac:dyDescent="0.25">
      <c r="A20" s="1" t="s">
        <v>48</v>
      </c>
      <c r="B20" s="1" t="s">
        <v>148</v>
      </c>
      <c r="C20" s="44" t="s">
        <v>112</v>
      </c>
      <c r="D20" s="35">
        <f t="shared" si="0"/>
        <v>347</v>
      </c>
      <c r="E20" s="38">
        <v>82</v>
      </c>
      <c r="F20" s="38">
        <v>180</v>
      </c>
      <c r="G20" s="38">
        <v>5683287</v>
      </c>
      <c r="H20" s="38"/>
      <c r="I20" s="38">
        <v>36200</v>
      </c>
      <c r="J20" s="38">
        <v>29790</v>
      </c>
      <c r="K20" s="38">
        <v>25338</v>
      </c>
      <c r="L20" s="38">
        <v>22796</v>
      </c>
      <c r="M20" s="38">
        <v>18726</v>
      </c>
      <c r="N20" s="38">
        <v>296750</v>
      </c>
      <c r="O20" s="38">
        <v>1439</v>
      </c>
      <c r="P20" s="38">
        <v>95</v>
      </c>
      <c r="Q20" s="38">
        <v>49</v>
      </c>
      <c r="R20" s="38"/>
      <c r="S20" s="38"/>
      <c r="T20" s="38">
        <v>402192</v>
      </c>
      <c r="U20" s="38">
        <v>1415696</v>
      </c>
      <c r="V20" s="38"/>
      <c r="W20" s="38">
        <v>347000</v>
      </c>
      <c r="X20" s="38">
        <v>728</v>
      </c>
      <c r="Y20" s="38">
        <v>395</v>
      </c>
      <c r="Z20" s="38">
        <v>1123</v>
      </c>
      <c r="AA20" s="38">
        <v>4055275</v>
      </c>
      <c r="AB20" s="38">
        <v>14572579</v>
      </c>
      <c r="AC20" s="38">
        <v>696828</v>
      </c>
      <c r="AD20" s="38">
        <v>126795</v>
      </c>
      <c r="AE20" s="38">
        <v>0</v>
      </c>
      <c r="AF20" s="38">
        <v>948625</v>
      </c>
      <c r="AG20" s="38">
        <v>3944656</v>
      </c>
      <c r="AH20" s="38">
        <v>24344758</v>
      </c>
      <c r="AI20" s="38">
        <v>13660012</v>
      </c>
      <c r="AJ20" s="38">
        <v>10500572</v>
      </c>
      <c r="AK20" s="38">
        <v>184174</v>
      </c>
      <c r="AL20" s="38">
        <v>24344758</v>
      </c>
      <c r="AM20" s="38"/>
      <c r="AN20" s="38"/>
      <c r="AO20" s="38"/>
      <c r="AP20" s="38"/>
      <c r="AQ20"/>
      <c r="AR20" s="1">
        <f t="shared" si="1"/>
        <v>298189</v>
      </c>
      <c r="AS20" t="e">
        <f t="shared" si="2"/>
        <v>#DIV/0!</v>
      </c>
      <c r="AT20">
        <f t="shared" si="3"/>
        <v>70.157804034582128</v>
      </c>
      <c r="AU20">
        <f t="shared" si="4"/>
        <v>1159.0547550432277</v>
      </c>
      <c r="AV20">
        <f t="shared" si="5"/>
        <v>0</v>
      </c>
      <c r="AW20">
        <f t="shared" si="6"/>
        <v>16378.34870317003</v>
      </c>
      <c r="AX20">
        <f t="shared" si="7"/>
        <v>16761.20172910663</v>
      </c>
      <c r="AY20">
        <f t="shared" si="8"/>
        <v>65.694524495677229</v>
      </c>
    </row>
    <row r="21" spans="1:51" x14ac:dyDescent="0.25">
      <c r="A21" s="1" t="s">
        <v>49</v>
      </c>
      <c r="B21" s="1" t="s">
        <v>149</v>
      </c>
      <c r="C21" s="44" t="s">
        <v>113</v>
      </c>
      <c r="D21" s="35">
        <f t="shared" si="0"/>
        <v>8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>
        <v>8000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/>
      <c r="AR21" s="1">
        <f t="shared" si="1"/>
        <v>0</v>
      </c>
      <c r="AS21" t="e">
        <f t="shared" si="2"/>
        <v>#DIV/0!</v>
      </c>
      <c r="AT21">
        <f t="shared" si="3"/>
        <v>0</v>
      </c>
      <c r="AU21">
        <f t="shared" si="4"/>
        <v>0</v>
      </c>
      <c r="AV21">
        <f t="shared" si="5"/>
        <v>0</v>
      </c>
      <c r="AW21">
        <f t="shared" si="6"/>
        <v>0</v>
      </c>
      <c r="AX21">
        <f t="shared" si="7"/>
        <v>0</v>
      </c>
      <c r="AY21">
        <f t="shared" si="8"/>
        <v>0</v>
      </c>
    </row>
    <row r="22" spans="1:51" x14ac:dyDescent="0.25">
      <c r="A22" s="1" t="s">
        <v>50</v>
      </c>
      <c r="B22" s="1" t="s">
        <v>148</v>
      </c>
      <c r="C22" s="44" t="s">
        <v>114</v>
      </c>
      <c r="D22" s="35">
        <f t="shared" si="0"/>
        <v>1852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>
        <v>1852000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/>
      <c r="AR22" s="1">
        <f t="shared" si="1"/>
        <v>0</v>
      </c>
      <c r="AS22" t="e">
        <f t="shared" si="2"/>
        <v>#DIV/0!</v>
      </c>
      <c r="AT22">
        <f t="shared" si="3"/>
        <v>0</v>
      </c>
      <c r="AU22">
        <f t="shared" si="4"/>
        <v>0</v>
      </c>
      <c r="AV22">
        <f t="shared" si="5"/>
        <v>0</v>
      </c>
      <c r="AW22">
        <f t="shared" si="6"/>
        <v>0</v>
      </c>
      <c r="AX22">
        <f t="shared" si="7"/>
        <v>0</v>
      </c>
      <c r="AY22">
        <f t="shared" si="8"/>
        <v>0</v>
      </c>
    </row>
    <row r="23" spans="1:51" x14ac:dyDescent="0.25">
      <c r="A23" s="1" t="s">
        <v>51</v>
      </c>
      <c r="B23" s="1" t="s">
        <v>149</v>
      </c>
      <c r="C23" s="44" t="s">
        <v>115</v>
      </c>
      <c r="D23" s="35">
        <f t="shared" si="0"/>
        <v>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>
        <v>1000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/>
      <c r="AR23" s="1">
        <f t="shared" si="1"/>
        <v>0</v>
      </c>
      <c r="AS23" t="e">
        <f t="shared" si="2"/>
        <v>#DIV/0!</v>
      </c>
      <c r="AT23">
        <f t="shared" si="3"/>
        <v>0</v>
      </c>
      <c r="AU23">
        <f t="shared" si="4"/>
        <v>0</v>
      </c>
      <c r="AV23">
        <f t="shared" si="5"/>
        <v>0</v>
      </c>
      <c r="AW23">
        <f t="shared" si="6"/>
        <v>0</v>
      </c>
      <c r="AX23">
        <f t="shared" si="7"/>
        <v>0</v>
      </c>
      <c r="AY23">
        <f t="shared" si="8"/>
        <v>0</v>
      </c>
    </row>
    <row r="24" spans="1:51" x14ac:dyDescent="0.25">
      <c r="A24" s="1" t="s">
        <v>52</v>
      </c>
      <c r="B24" s="1" t="s">
        <v>148</v>
      </c>
      <c r="C24" s="44" t="s">
        <v>116</v>
      </c>
      <c r="D24" s="35">
        <f t="shared" si="0"/>
        <v>2.9990000000000001</v>
      </c>
      <c r="E24" s="38">
        <v>6</v>
      </c>
      <c r="F24" s="38">
        <v>6</v>
      </c>
      <c r="G24" s="38">
        <v>469000</v>
      </c>
      <c r="H24" s="38">
        <v>1650</v>
      </c>
      <c r="I24" s="38">
        <v>770</v>
      </c>
      <c r="J24" s="38">
        <v>10</v>
      </c>
      <c r="K24" s="38">
        <v>5</v>
      </c>
      <c r="L24" s="38">
        <v>3200</v>
      </c>
      <c r="M24" s="38">
        <v>184</v>
      </c>
      <c r="N24" s="38">
        <v>3800</v>
      </c>
      <c r="O24" s="38">
        <v>120</v>
      </c>
      <c r="P24" s="38">
        <v>83</v>
      </c>
      <c r="Q24" s="38">
        <v>41</v>
      </c>
      <c r="R24" s="38">
        <v>38</v>
      </c>
      <c r="S24" s="38">
        <v>30</v>
      </c>
      <c r="T24" s="38">
        <v>13837</v>
      </c>
      <c r="U24" s="38"/>
      <c r="V24" s="38"/>
      <c r="W24" s="38">
        <v>2999</v>
      </c>
      <c r="X24" s="38">
        <v>5</v>
      </c>
      <c r="Y24" s="38">
        <v>5</v>
      </c>
      <c r="Z24" s="38">
        <v>9</v>
      </c>
      <c r="AA24" s="38">
        <v>303856</v>
      </c>
      <c r="AB24" s="38">
        <v>233335</v>
      </c>
      <c r="AC24" s="38">
        <v>17967</v>
      </c>
      <c r="AD24" s="38">
        <v>151</v>
      </c>
      <c r="AE24" s="38">
        <v>1425</v>
      </c>
      <c r="AF24" s="38">
        <v>8928</v>
      </c>
      <c r="AG24" s="38">
        <v>67651</v>
      </c>
      <c r="AH24" s="38">
        <v>633313</v>
      </c>
      <c r="AI24" s="38">
        <v>563959</v>
      </c>
      <c r="AJ24" s="38">
        <v>0</v>
      </c>
      <c r="AK24" s="38">
        <v>69354</v>
      </c>
      <c r="AL24" s="38">
        <v>633313</v>
      </c>
      <c r="AM24" s="38"/>
      <c r="AN24" s="38"/>
      <c r="AO24" s="38"/>
      <c r="AP24" s="38"/>
      <c r="AQ24"/>
      <c r="AR24" s="1">
        <f t="shared" si="1"/>
        <v>3920</v>
      </c>
      <c r="AS24" t="e">
        <f t="shared" si="2"/>
        <v>#DIV/0!</v>
      </c>
      <c r="AT24">
        <f t="shared" si="3"/>
        <v>211.17472490830278</v>
      </c>
      <c r="AU24">
        <f t="shared" si="4"/>
        <v>4613.8712904301428</v>
      </c>
      <c r="AV24">
        <f t="shared" si="5"/>
        <v>0</v>
      </c>
      <c r="AW24">
        <f t="shared" si="6"/>
        <v>156385.46182060687</v>
      </c>
      <c r="AX24">
        <f t="shared" si="7"/>
        <v>158325.77525841945</v>
      </c>
      <c r="AY24">
        <f t="shared" si="8"/>
        <v>1067.02234078026</v>
      </c>
    </row>
    <row r="25" spans="1:51" x14ac:dyDescent="0.25">
      <c r="A25" s="1" t="s">
        <v>53</v>
      </c>
      <c r="B25" s="1" t="s">
        <v>148</v>
      </c>
      <c r="C25" s="44" t="s">
        <v>117</v>
      </c>
      <c r="D25" s="35">
        <f t="shared" si="0"/>
        <v>540</v>
      </c>
      <c r="E25" s="38">
        <v>23</v>
      </c>
      <c r="F25" s="38">
        <v>138</v>
      </c>
      <c r="G25" s="38">
        <v>25084875</v>
      </c>
      <c r="H25" s="38">
        <v>152742</v>
      </c>
      <c r="I25" s="38">
        <v>161182</v>
      </c>
      <c r="J25" s="38"/>
      <c r="K25" s="38">
        <v>5797711</v>
      </c>
      <c r="L25" s="38"/>
      <c r="M25" s="38"/>
      <c r="N25" s="38"/>
      <c r="O25" s="38"/>
      <c r="P25" s="38"/>
      <c r="Q25" s="38"/>
      <c r="R25" s="38"/>
      <c r="S25" s="38"/>
      <c r="T25" s="38"/>
      <c r="U25" s="38">
        <v>4162863</v>
      </c>
      <c r="V25" s="38"/>
      <c r="W25" s="38">
        <v>540000</v>
      </c>
      <c r="X25" s="38">
        <v>868</v>
      </c>
      <c r="Y25" s="38">
        <v>1002</v>
      </c>
      <c r="Z25" s="38">
        <v>1870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/>
      <c r="AR25" s="1">
        <f t="shared" si="1"/>
        <v>0</v>
      </c>
      <c r="AS25" t="e">
        <f t="shared" si="2"/>
        <v>#DIV/0!</v>
      </c>
      <c r="AT25">
        <f t="shared" si="3"/>
        <v>0</v>
      </c>
      <c r="AU25">
        <f t="shared" si="4"/>
        <v>0</v>
      </c>
      <c r="AV25">
        <f t="shared" si="5"/>
        <v>0</v>
      </c>
      <c r="AW25">
        <f t="shared" si="6"/>
        <v>46453.472222222219</v>
      </c>
      <c r="AX25">
        <f t="shared" si="7"/>
        <v>57771.314814814818</v>
      </c>
      <c r="AY25">
        <f t="shared" si="8"/>
        <v>0</v>
      </c>
    </row>
    <row r="26" spans="1:51" x14ac:dyDescent="0.25">
      <c r="A26" s="1" t="s">
        <v>54</v>
      </c>
      <c r="B26" s="1" t="s">
        <v>149</v>
      </c>
      <c r="C26" s="44" t="s">
        <v>118</v>
      </c>
      <c r="D26" s="35">
        <f t="shared" si="0"/>
        <v>194</v>
      </c>
      <c r="E26" s="38">
        <v>85</v>
      </c>
      <c r="F26" s="38">
        <v>186</v>
      </c>
      <c r="G26" s="38">
        <v>12847148</v>
      </c>
      <c r="H26" s="38">
        <v>86079</v>
      </c>
      <c r="I26" s="38"/>
      <c r="J26" s="38">
        <v>49356</v>
      </c>
      <c r="K26" s="38">
        <v>442477</v>
      </c>
      <c r="L26" s="38">
        <v>115851</v>
      </c>
      <c r="M26" s="38"/>
      <c r="N26" s="38">
        <v>291236</v>
      </c>
      <c r="O26" s="38">
        <v>5151</v>
      </c>
      <c r="P26" s="38">
        <v>21</v>
      </c>
      <c r="Q26" s="38"/>
      <c r="R26" s="38">
        <v>1140</v>
      </c>
      <c r="S26" s="38">
        <v>424</v>
      </c>
      <c r="T26" s="38"/>
      <c r="U26" s="38">
        <v>2688468</v>
      </c>
      <c r="V26" s="38">
        <v>5376936</v>
      </c>
      <c r="W26" s="38">
        <v>194000</v>
      </c>
      <c r="X26" s="38">
        <v>619</v>
      </c>
      <c r="Y26" s="38">
        <v>346</v>
      </c>
      <c r="Z26" s="38">
        <v>964</v>
      </c>
      <c r="AA26" s="38">
        <v>38591900</v>
      </c>
      <c r="AB26" s="38">
        <v>21176919</v>
      </c>
      <c r="AC26" s="38">
        <v>0</v>
      </c>
      <c r="AD26" s="38">
        <v>0</v>
      </c>
      <c r="AE26" s="38">
        <v>0</v>
      </c>
      <c r="AF26" s="38">
        <v>0</v>
      </c>
      <c r="AG26" s="38">
        <v>17201698</v>
      </c>
      <c r="AH26" s="38">
        <v>76970517</v>
      </c>
      <c r="AI26" s="38">
        <v>62407529</v>
      </c>
      <c r="AJ26" s="38">
        <v>8521543</v>
      </c>
      <c r="AK26" s="38">
        <v>0</v>
      </c>
      <c r="AL26" s="38">
        <v>70929072</v>
      </c>
      <c r="AM26" s="38"/>
      <c r="AN26" s="38"/>
      <c r="AO26" s="38"/>
      <c r="AP26" s="38"/>
      <c r="AQ26"/>
      <c r="AR26" s="1">
        <f t="shared" si="1"/>
        <v>296387</v>
      </c>
      <c r="AS26">
        <f t="shared" si="2"/>
        <v>0.5</v>
      </c>
      <c r="AT26">
        <f t="shared" si="3"/>
        <v>396.75524226804123</v>
      </c>
      <c r="AU26">
        <f t="shared" si="4"/>
        <v>0</v>
      </c>
      <c r="AV26">
        <f t="shared" si="5"/>
        <v>27716.164948453606</v>
      </c>
      <c r="AW26">
        <f t="shared" si="6"/>
        <v>66222.412371134022</v>
      </c>
      <c r="AX26">
        <f t="shared" si="7"/>
        <v>69798.510309278354</v>
      </c>
      <c r="AY26">
        <f t="shared" si="8"/>
        <v>597.17010309278351</v>
      </c>
    </row>
    <row r="27" spans="1:51" x14ac:dyDescent="0.25">
      <c r="A27" s="1" t="s">
        <v>55</v>
      </c>
      <c r="B27" s="1" t="s">
        <v>148</v>
      </c>
      <c r="C27" s="44" t="s">
        <v>119</v>
      </c>
      <c r="D27" s="35">
        <f t="shared" si="0"/>
        <v>325</v>
      </c>
      <c r="E27" s="38">
        <v>230</v>
      </c>
      <c r="F27" s="38">
        <v>230</v>
      </c>
      <c r="G27" s="38">
        <v>8616219</v>
      </c>
      <c r="H27" s="38"/>
      <c r="I27" s="38"/>
      <c r="J27" s="38">
        <v>14149</v>
      </c>
      <c r="K27" s="38">
        <v>47946</v>
      </c>
      <c r="L27" s="38">
        <v>144852</v>
      </c>
      <c r="M27" s="38"/>
      <c r="N27" s="38">
        <v>333379</v>
      </c>
      <c r="O27" s="38">
        <v>9748</v>
      </c>
      <c r="P27" s="38"/>
      <c r="Q27" s="38"/>
      <c r="R27" s="38">
        <v>484</v>
      </c>
      <c r="S27" s="38">
        <v>146</v>
      </c>
      <c r="T27" s="38">
        <v>1106067</v>
      </c>
      <c r="U27" s="38">
        <v>1615393</v>
      </c>
      <c r="V27" s="38"/>
      <c r="W27" s="38">
        <v>325000</v>
      </c>
      <c r="X27" s="38">
        <v>829</v>
      </c>
      <c r="Y27" s="38">
        <v>470</v>
      </c>
      <c r="Z27" s="38">
        <v>1215</v>
      </c>
      <c r="AA27" s="38">
        <v>7048520</v>
      </c>
      <c r="AB27" s="38">
        <v>10692942</v>
      </c>
      <c r="AC27" s="38">
        <v>0</v>
      </c>
      <c r="AD27" s="38">
        <v>0</v>
      </c>
      <c r="AE27" s="38">
        <v>0</v>
      </c>
      <c r="AF27" s="38">
        <v>0</v>
      </c>
      <c r="AG27" s="38">
        <v>1519291</v>
      </c>
      <c r="AH27" s="38">
        <v>19260753</v>
      </c>
      <c r="AI27" s="38">
        <v>17669449</v>
      </c>
      <c r="AJ27" s="38">
        <v>525356</v>
      </c>
      <c r="AK27" s="38">
        <v>1065948</v>
      </c>
      <c r="AL27" s="38">
        <v>19260753</v>
      </c>
      <c r="AM27" s="38">
        <v>12126</v>
      </c>
      <c r="AN27" s="38">
        <v>0</v>
      </c>
      <c r="AO27" s="38">
        <v>0</v>
      </c>
      <c r="AP27" s="38">
        <v>457209</v>
      </c>
      <c r="AQ27">
        <v>469335</v>
      </c>
      <c r="AR27" s="1">
        <f t="shared" si="1"/>
        <v>343127</v>
      </c>
      <c r="AS27" t="e">
        <f t="shared" si="2"/>
        <v>#DIV/0!</v>
      </c>
      <c r="AT27">
        <f t="shared" si="3"/>
        <v>59.263855384615383</v>
      </c>
      <c r="AU27">
        <f t="shared" si="4"/>
        <v>3403.2830769230768</v>
      </c>
      <c r="AV27">
        <f t="shared" si="5"/>
        <v>0</v>
      </c>
      <c r="AW27">
        <f t="shared" si="6"/>
        <v>26511.443076923078</v>
      </c>
      <c r="AX27">
        <f t="shared" si="7"/>
        <v>27148.203076923077</v>
      </c>
      <c r="AY27">
        <f t="shared" si="8"/>
        <v>445.69846153846152</v>
      </c>
    </row>
    <row r="28" spans="1:51" x14ac:dyDescent="0.25">
      <c r="A28" s="1" t="s">
        <v>56</v>
      </c>
      <c r="B28" s="1" t="s">
        <v>148</v>
      </c>
      <c r="C28" s="44" t="s">
        <v>120</v>
      </c>
      <c r="D28" s="35">
        <f t="shared" si="0"/>
        <v>1680</v>
      </c>
      <c r="E28" s="38">
        <v>610</v>
      </c>
      <c r="F28" s="38">
        <v>1007</v>
      </c>
      <c r="G28" s="38">
        <v>29482682</v>
      </c>
      <c r="H28" s="38">
        <v>234938</v>
      </c>
      <c r="I28" s="38"/>
      <c r="J28" s="38">
        <v>41839</v>
      </c>
      <c r="K28" s="38">
        <v>1635186</v>
      </c>
      <c r="L28" s="38">
        <v>1038741</v>
      </c>
      <c r="M28" s="38">
        <v>71863</v>
      </c>
      <c r="N28" s="38">
        <v>1371270</v>
      </c>
      <c r="O28" s="38">
        <v>77635</v>
      </c>
      <c r="P28" s="38"/>
      <c r="Q28" s="38"/>
      <c r="R28" s="38"/>
      <c r="S28" s="38"/>
      <c r="T28" s="38">
        <v>3805781</v>
      </c>
      <c r="U28" s="38">
        <v>14251982</v>
      </c>
      <c r="V28" s="38">
        <v>51875328</v>
      </c>
      <c r="W28" s="38">
        <v>1680000</v>
      </c>
      <c r="X28" s="38">
        <v>5874</v>
      </c>
      <c r="Y28" s="38">
        <v>1556</v>
      </c>
      <c r="Z28" s="38">
        <v>7430</v>
      </c>
      <c r="AA28" s="38">
        <v>122788945</v>
      </c>
      <c r="AB28" s="38">
        <v>79317863</v>
      </c>
      <c r="AC28" s="38">
        <v>0</v>
      </c>
      <c r="AD28" s="38">
        <v>0</v>
      </c>
      <c r="AE28" s="38">
        <v>0</v>
      </c>
      <c r="AF28" s="38">
        <v>0</v>
      </c>
      <c r="AG28" s="38">
        <v>10218365</v>
      </c>
      <c r="AH28" s="38">
        <v>212325173</v>
      </c>
      <c r="AI28" s="38">
        <v>181396888</v>
      </c>
      <c r="AJ28" s="38">
        <v>9628756</v>
      </c>
      <c r="AK28" s="38">
        <v>21299529</v>
      </c>
      <c r="AL28" s="38">
        <v>212325173</v>
      </c>
      <c r="AM28" s="38"/>
      <c r="AN28" s="38"/>
      <c r="AO28" s="38"/>
      <c r="AP28" s="38"/>
      <c r="AQ28"/>
      <c r="AR28" s="1">
        <f t="shared" si="1"/>
        <v>1448905</v>
      </c>
      <c r="AS28">
        <f t="shared" si="2"/>
        <v>0.27473526528834669</v>
      </c>
      <c r="AT28">
        <f t="shared" si="3"/>
        <v>126.38403154761905</v>
      </c>
      <c r="AU28">
        <f t="shared" si="4"/>
        <v>2265.3458333333333</v>
      </c>
      <c r="AV28">
        <f t="shared" si="5"/>
        <v>30878.17142857143</v>
      </c>
      <c r="AW28">
        <f t="shared" si="6"/>
        <v>17549.215476190475</v>
      </c>
      <c r="AX28">
        <f t="shared" si="7"/>
        <v>19348.362499999999</v>
      </c>
      <c r="AY28">
        <f t="shared" si="8"/>
        <v>618.29821428571427</v>
      </c>
    </row>
    <row r="29" spans="1:51" x14ac:dyDescent="0.25">
      <c r="A29" s="1" t="s">
        <v>57</v>
      </c>
      <c r="B29" s="1" t="s">
        <v>148</v>
      </c>
      <c r="C29" s="44" t="s">
        <v>121</v>
      </c>
      <c r="D29" s="35">
        <f t="shared" si="0"/>
        <v>292</v>
      </c>
      <c r="E29" s="38">
        <v>37</v>
      </c>
      <c r="F29" s="38">
        <v>155</v>
      </c>
      <c r="G29" s="38">
        <v>23323000</v>
      </c>
      <c r="H29" s="38">
        <v>254183</v>
      </c>
      <c r="I29" s="38"/>
      <c r="J29" s="38">
        <v>69985</v>
      </c>
      <c r="K29" s="38">
        <v>2710924</v>
      </c>
      <c r="L29" s="38">
        <v>45375</v>
      </c>
      <c r="M29" s="38">
        <v>9291</v>
      </c>
      <c r="N29" s="38">
        <v>342000</v>
      </c>
      <c r="O29" s="38">
        <v>1045</v>
      </c>
      <c r="P29" s="38"/>
      <c r="Q29" s="38"/>
      <c r="R29" s="38">
        <v>2510</v>
      </c>
      <c r="S29" s="38"/>
      <c r="T29" s="38">
        <v>497999</v>
      </c>
      <c r="U29" s="38">
        <v>6899208</v>
      </c>
      <c r="V29" s="38"/>
      <c r="W29" s="38">
        <v>292000</v>
      </c>
      <c r="X29" s="38">
        <v>1111</v>
      </c>
      <c r="Y29" s="38">
        <v>622</v>
      </c>
      <c r="Z29" s="38">
        <v>1733</v>
      </c>
      <c r="AA29" s="38">
        <v>66313682</v>
      </c>
      <c r="AB29" s="38">
        <v>31054748</v>
      </c>
      <c r="AC29" s="38">
        <v>0</v>
      </c>
      <c r="AD29" s="38">
        <v>0</v>
      </c>
      <c r="AE29" s="38">
        <v>0</v>
      </c>
      <c r="AF29" s="38">
        <v>0</v>
      </c>
      <c r="AG29" s="38">
        <v>20561175</v>
      </c>
      <c r="AH29" s="38">
        <v>117929605</v>
      </c>
      <c r="AI29" s="38">
        <v>103233087</v>
      </c>
      <c r="AJ29" s="38">
        <v>2479925</v>
      </c>
      <c r="AK29" s="38">
        <v>12216593</v>
      </c>
      <c r="AL29" s="38">
        <v>117929605</v>
      </c>
      <c r="AM29" s="38"/>
      <c r="AN29" s="38"/>
      <c r="AO29" s="38"/>
      <c r="AP29" s="38"/>
      <c r="AQ29"/>
      <c r="AR29" s="1">
        <f t="shared" si="1"/>
        <v>343045</v>
      </c>
      <c r="AS29" t="e">
        <f t="shared" si="2"/>
        <v>#DIV/0!</v>
      </c>
      <c r="AT29">
        <f t="shared" si="3"/>
        <v>403.86851027397262</v>
      </c>
      <c r="AU29">
        <f t="shared" si="4"/>
        <v>1705.4760273972602</v>
      </c>
      <c r="AV29">
        <f t="shared" si="5"/>
        <v>0</v>
      </c>
      <c r="AW29">
        <f t="shared" si="6"/>
        <v>79873.287671232873</v>
      </c>
      <c r="AX29">
        <f t="shared" si="7"/>
        <v>90454.650684931505</v>
      </c>
      <c r="AY29">
        <f t="shared" si="8"/>
        <v>155.39383561643837</v>
      </c>
    </row>
    <row r="30" spans="1:51" x14ac:dyDescent="0.25">
      <c r="A30" s="1" t="s">
        <v>58</v>
      </c>
      <c r="B30" s="1" t="s">
        <v>149</v>
      </c>
      <c r="C30" s="44" t="s">
        <v>122</v>
      </c>
      <c r="D30" s="35">
        <f t="shared" si="0"/>
        <v>162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>
        <v>162000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/>
      <c r="AR30" s="1">
        <f t="shared" si="1"/>
        <v>0</v>
      </c>
      <c r="AS30" t="e">
        <f t="shared" si="2"/>
        <v>#DIV/0!</v>
      </c>
      <c r="AT30">
        <f t="shared" si="3"/>
        <v>0</v>
      </c>
      <c r="AU30">
        <f t="shared" si="4"/>
        <v>0</v>
      </c>
      <c r="AV30">
        <f t="shared" si="5"/>
        <v>0</v>
      </c>
      <c r="AW30">
        <f t="shared" si="6"/>
        <v>0</v>
      </c>
      <c r="AX30">
        <f t="shared" si="7"/>
        <v>0</v>
      </c>
      <c r="AY30">
        <f t="shared" si="8"/>
        <v>0</v>
      </c>
    </row>
    <row r="31" spans="1:51" x14ac:dyDescent="0.25">
      <c r="A31" s="1" t="s">
        <v>59</v>
      </c>
      <c r="B31" s="1" t="s">
        <v>148</v>
      </c>
      <c r="C31" s="44" t="s">
        <v>123</v>
      </c>
      <c r="D31" s="35">
        <f t="shared" si="0"/>
        <v>1910</v>
      </c>
      <c r="E31" s="38">
        <v>166</v>
      </c>
      <c r="F31" s="38">
        <v>790</v>
      </c>
      <c r="G31" s="38">
        <v>104563000</v>
      </c>
      <c r="H31" s="38">
        <v>839000</v>
      </c>
      <c r="I31" s="38"/>
      <c r="J31" s="38">
        <v>107000</v>
      </c>
      <c r="K31" s="38">
        <v>10641000</v>
      </c>
      <c r="L31" s="38">
        <v>2405000</v>
      </c>
      <c r="M31" s="38"/>
      <c r="N31" s="38">
        <v>2831000</v>
      </c>
      <c r="O31" s="38">
        <v>157000</v>
      </c>
      <c r="P31" s="38"/>
      <c r="Q31" s="38"/>
      <c r="R31" s="38">
        <v>35670</v>
      </c>
      <c r="S31" s="38">
        <v>35670</v>
      </c>
      <c r="T31" s="38">
        <v>2449000</v>
      </c>
      <c r="U31" s="38">
        <v>79300000</v>
      </c>
      <c r="V31" s="38">
        <v>119300000</v>
      </c>
      <c r="W31" s="38">
        <v>1910000</v>
      </c>
      <c r="X31" s="38">
        <v>3629</v>
      </c>
      <c r="Y31" s="38">
        <v>6191</v>
      </c>
      <c r="Z31" s="38">
        <v>9820</v>
      </c>
      <c r="AA31" s="38">
        <v>349430033</v>
      </c>
      <c r="AB31" s="38">
        <v>221228019</v>
      </c>
      <c r="AC31" s="38">
        <v>24467620</v>
      </c>
      <c r="AD31" s="38">
        <v>264739</v>
      </c>
      <c r="AE31" s="38">
        <v>2493264</v>
      </c>
      <c r="AF31" s="38">
        <v>0</v>
      </c>
      <c r="AG31" s="38">
        <v>91189805</v>
      </c>
      <c r="AH31" s="38">
        <v>689073480</v>
      </c>
      <c r="AI31" s="38">
        <v>482267515</v>
      </c>
      <c r="AJ31" s="38">
        <v>32964520</v>
      </c>
      <c r="AK31" s="38">
        <v>108013536</v>
      </c>
      <c r="AL31" s="38">
        <v>623245571</v>
      </c>
      <c r="AM31" s="38"/>
      <c r="AN31" s="38"/>
      <c r="AO31" s="38"/>
      <c r="AP31" s="38"/>
      <c r="AQ31"/>
      <c r="AR31" s="1">
        <f t="shared" si="1"/>
        <v>2988000</v>
      </c>
      <c r="AS31">
        <f t="shared" si="2"/>
        <v>0.66471081307627833</v>
      </c>
      <c r="AT31">
        <f t="shared" si="3"/>
        <v>360.77145549738219</v>
      </c>
      <c r="AU31">
        <f t="shared" si="4"/>
        <v>1282.1989528795812</v>
      </c>
      <c r="AV31">
        <f t="shared" si="5"/>
        <v>62460.732984293194</v>
      </c>
      <c r="AW31">
        <f t="shared" si="6"/>
        <v>54745.02617801047</v>
      </c>
      <c r="AX31">
        <f t="shared" si="7"/>
        <v>62070.680628272254</v>
      </c>
      <c r="AY31">
        <f t="shared" si="8"/>
        <v>1259.1623036649214</v>
      </c>
    </row>
    <row r="32" spans="1:51" x14ac:dyDescent="0.25">
      <c r="A32" s="1" t="s">
        <v>60</v>
      </c>
      <c r="B32" s="1" t="s">
        <v>148</v>
      </c>
      <c r="C32" s="44" t="s">
        <v>124</v>
      </c>
      <c r="D32" s="35">
        <f t="shared" si="0"/>
        <v>2415</v>
      </c>
      <c r="E32" s="38">
        <v>241</v>
      </c>
      <c r="F32" s="38">
        <v>845</v>
      </c>
      <c r="G32" s="38">
        <v>154369463</v>
      </c>
      <c r="H32" s="38"/>
      <c r="I32" s="38">
        <v>519536</v>
      </c>
      <c r="J32" s="38">
        <v>178925</v>
      </c>
      <c r="K32" s="38">
        <v>49986069</v>
      </c>
      <c r="L32" s="38">
        <v>1722099</v>
      </c>
      <c r="M32" s="38"/>
      <c r="N32" s="38">
        <v>3232266</v>
      </c>
      <c r="O32" s="38">
        <v>61183</v>
      </c>
      <c r="P32" s="38"/>
      <c r="Q32" s="38"/>
      <c r="R32" s="38"/>
      <c r="S32" s="38"/>
      <c r="T32" s="38">
        <v>2228181</v>
      </c>
      <c r="U32" s="38">
        <v>57583739</v>
      </c>
      <c r="V32" s="38"/>
      <c r="W32" s="38">
        <v>2415000</v>
      </c>
      <c r="X32" s="38">
        <v>5231</v>
      </c>
      <c r="Y32" s="38">
        <v>3638</v>
      </c>
      <c r="Z32" s="38">
        <v>8869</v>
      </c>
      <c r="AA32" s="38">
        <v>240640929</v>
      </c>
      <c r="AB32" s="38">
        <v>200462916</v>
      </c>
      <c r="AC32" s="38">
        <v>18827653</v>
      </c>
      <c r="AD32" s="38">
        <v>0</v>
      </c>
      <c r="AE32" s="38">
        <v>4629073</v>
      </c>
      <c r="AF32" s="38">
        <v>0</v>
      </c>
      <c r="AG32" s="38">
        <v>26773402</v>
      </c>
      <c r="AH32" s="38">
        <v>491333973</v>
      </c>
      <c r="AI32" s="38">
        <v>454813141</v>
      </c>
      <c r="AJ32" s="38">
        <v>11287646</v>
      </c>
      <c r="AK32" s="38">
        <v>25233186</v>
      </c>
      <c r="AL32" s="38">
        <v>491333973</v>
      </c>
      <c r="AM32" s="38">
        <v>15760576</v>
      </c>
      <c r="AN32" s="38">
        <v>0</v>
      </c>
      <c r="AO32" s="38">
        <v>0</v>
      </c>
      <c r="AP32" s="38">
        <v>13353451</v>
      </c>
      <c r="AQ32">
        <v>29114027</v>
      </c>
      <c r="AR32" s="1">
        <f t="shared" si="1"/>
        <v>3293449</v>
      </c>
      <c r="AS32" t="e">
        <f t="shared" si="2"/>
        <v>#DIV/0!</v>
      </c>
      <c r="AT32">
        <f t="shared" si="3"/>
        <v>203.45092049689441</v>
      </c>
      <c r="AU32">
        <f t="shared" si="4"/>
        <v>922.64223602484469</v>
      </c>
      <c r="AV32">
        <f t="shared" si="5"/>
        <v>0</v>
      </c>
      <c r="AW32">
        <f t="shared" si="6"/>
        <v>63921.102691511391</v>
      </c>
      <c r="AX32">
        <f t="shared" si="7"/>
        <v>85621.570186335404</v>
      </c>
      <c r="AY32">
        <f t="shared" si="8"/>
        <v>713.08447204968945</v>
      </c>
    </row>
    <row r="33" spans="1:51" x14ac:dyDescent="0.25">
      <c r="A33" s="1" t="s">
        <v>61</v>
      </c>
      <c r="B33" s="1" t="s">
        <v>159</v>
      </c>
      <c r="C33" s="44" t="s">
        <v>125</v>
      </c>
      <c r="D33" s="35">
        <f t="shared" si="0"/>
        <v>16072.976000000001</v>
      </c>
      <c r="E33" s="38">
        <v>3575</v>
      </c>
      <c r="F33" s="38"/>
      <c r="G33" s="38">
        <v>878906177</v>
      </c>
      <c r="H33" s="38"/>
      <c r="I33" s="38">
        <v>7543703</v>
      </c>
      <c r="J33" s="38"/>
      <c r="K33" s="38">
        <v>1062082077</v>
      </c>
      <c r="L33" s="38">
        <v>94285669</v>
      </c>
      <c r="M33" s="38">
        <v>3473225</v>
      </c>
      <c r="N33" s="38">
        <v>24550615</v>
      </c>
      <c r="O33" s="38">
        <v>3249220</v>
      </c>
      <c r="P33" s="38"/>
      <c r="Q33" s="38"/>
      <c r="R33" s="38"/>
      <c r="S33" s="38">
        <v>28803</v>
      </c>
      <c r="T33" s="38"/>
      <c r="U33" s="38">
        <v>220701765</v>
      </c>
      <c r="V33" s="38">
        <v>16541520</v>
      </c>
      <c r="W33" s="38">
        <v>16072976</v>
      </c>
      <c r="X33" s="38">
        <v>30041</v>
      </c>
      <c r="Y33" s="38">
        <v>66668</v>
      </c>
      <c r="Z33" s="38">
        <v>96709</v>
      </c>
      <c r="AA33" s="38">
        <v>2534637034</v>
      </c>
      <c r="AB33" s="38">
        <v>1800363164</v>
      </c>
      <c r="AC33" s="38">
        <v>0</v>
      </c>
      <c r="AD33" s="38">
        <v>0</v>
      </c>
      <c r="AE33" s="38">
        <v>0</v>
      </c>
      <c r="AF33" s="38">
        <v>0</v>
      </c>
      <c r="AG33" s="38">
        <v>694734341</v>
      </c>
      <c r="AH33" s="38">
        <v>5029734539</v>
      </c>
      <c r="AI33" s="38">
        <v>4388151679</v>
      </c>
      <c r="AJ33" s="38">
        <v>204458423</v>
      </c>
      <c r="AK33" s="38">
        <v>437124437</v>
      </c>
      <c r="AL33" s="38">
        <v>5029734539</v>
      </c>
      <c r="AM33" s="38"/>
      <c r="AN33" s="38"/>
      <c r="AO33" s="38"/>
      <c r="AP33" s="38"/>
      <c r="AQ33"/>
      <c r="AR33" s="1">
        <f t="shared" si="1"/>
        <v>27799835</v>
      </c>
      <c r="AS33">
        <f t="shared" si="2"/>
        <v>13.342290490837602</v>
      </c>
      <c r="AT33">
        <f t="shared" si="3"/>
        <v>312.93112980446188</v>
      </c>
      <c r="AU33">
        <f t="shared" si="4"/>
        <v>0</v>
      </c>
      <c r="AV33">
        <f t="shared" si="5"/>
        <v>1029.1510420969955</v>
      </c>
      <c r="AW33">
        <f t="shared" si="6"/>
        <v>54682.230409601805</v>
      </c>
      <c r="AX33">
        <f t="shared" si="7"/>
        <v>127312.50584832577</v>
      </c>
      <c r="AY33">
        <f t="shared" si="8"/>
        <v>5866.0990348022669</v>
      </c>
    </row>
    <row r="34" spans="1:51" x14ac:dyDescent="0.25">
      <c r="A34" s="1" t="s">
        <v>62</v>
      </c>
      <c r="B34" s="1" t="s">
        <v>160</v>
      </c>
      <c r="C34" s="44" t="s">
        <v>126</v>
      </c>
      <c r="D34" s="35">
        <f t="shared" si="0"/>
        <v>1019.7809999999999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>
        <v>1019781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/>
      <c r="AR34" s="1">
        <f t="shared" si="1"/>
        <v>0</v>
      </c>
      <c r="AS34" t="e">
        <f t="shared" si="2"/>
        <v>#DIV/0!</v>
      </c>
      <c r="AT34">
        <f t="shared" si="3"/>
        <v>0</v>
      </c>
      <c r="AU34">
        <f t="shared" si="4"/>
        <v>0</v>
      </c>
      <c r="AV34">
        <f t="shared" si="5"/>
        <v>0</v>
      </c>
      <c r="AW34">
        <f t="shared" si="6"/>
        <v>0</v>
      </c>
      <c r="AX34">
        <f t="shared" si="7"/>
        <v>0</v>
      </c>
      <c r="AY34">
        <f t="shared" si="8"/>
        <v>0</v>
      </c>
    </row>
    <row r="35" spans="1:51" x14ac:dyDescent="0.25">
      <c r="A35" s="1" t="s">
        <v>63</v>
      </c>
      <c r="B35" s="1" t="s">
        <v>159</v>
      </c>
      <c r="C35" s="44" t="s">
        <v>127</v>
      </c>
      <c r="D35" s="35">
        <f t="shared" si="0"/>
        <v>1063.7750000000001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>
        <v>1063775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/>
      <c r="AR35" s="1">
        <f t="shared" si="1"/>
        <v>0</v>
      </c>
      <c r="AS35" t="e">
        <f t="shared" si="2"/>
        <v>#DIV/0!</v>
      </c>
      <c r="AT35">
        <f t="shared" si="3"/>
        <v>0</v>
      </c>
      <c r="AU35">
        <f t="shared" si="4"/>
        <v>0</v>
      </c>
      <c r="AV35">
        <f t="shared" si="5"/>
        <v>0</v>
      </c>
      <c r="AW35">
        <f t="shared" si="6"/>
        <v>0</v>
      </c>
      <c r="AX35">
        <f t="shared" si="7"/>
        <v>0</v>
      </c>
      <c r="AY35">
        <f t="shared" si="8"/>
        <v>0</v>
      </c>
    </row>
    <row r="36" spans="1:51" x14ac:dyDescent="0.25">
      <c r="A36" s="1" t="s">
        <v>64</v>
      </c>
      <c r="B36" s="1" t="s">
        <v>159</v>
      </c>
      <c r="C36" s="44" t="s">
        <v>128</v>
      </c>
      <c r="D36" s="35">
        <f t="shared" si="0"/>
        <v>3782.3130000000001</v>
      </c>
      <c r="E36" s="38">
        <v>1064</v>
      </c>
      <c r="F36" s="38">
        <v>1651</v>
      </c>
      <c r="G36" s="38">
        <v>280726000</v>
      </c>
      <c r="H36" s="38"/>
      <c r="I36" s="38"/>
      <c r="J36" s="38"/>
      <c r="K36" s="38"/>
      <c r="L36" s="38"/>
      <c r="M36" s="38"/>
      <c r="N36" s="38">
        <v>7637000</v>
      </c>
      <c r="O36" s="38"/>
      <c r="P36" s="38"/>
      <c r="Q36" s="38"/>
      <c r="R36" s="38"/>
      <c r="S36" s="38"/>
      <c r="T36" s="38"/>
      <c r="U36" s="38">
        <v>28374000</v>
      </c>
      <c r="V36" s="38"/>
      <c r="W36" s="38">
        <v>3782313</v>
      </c>
      <c r="X36" s="38">
        <v>7508</v>
      </c>
      <c r="Y36" s="38">
        <v>6902</v>
      </c>
      <c r="Z36" s="38">
        <v>14410</v>
      </c>
      <c r="AA36" s="38">
        <v>217143840</v>
      </c>
      <c r="AB36" s="38">
        <v>685720182</v>
      </c>
      <c r="AC36" s="38">
        <v>2303953</v>
      </c>
      <c r="AD36" s="38">
        <v>85529</v>
      </c>
      <c r="AE36" s="38">
        <v>805492</v>
      </c>
      <c r="AF36" s="38">
        <v>1661955</v>
      </c>
      <c r="AG36" s="38">
        <v>28519971</v>
      </c>
      <c r="AH36" s="38">
        <v>936240922</v>
      </c>
      <c r="AI36" s="38">
        <v>835799770</v>
      </c>
      <c r="AJ36" s="38">
        <v>35882362</v>
      </c>
      <c r="AK36" s="38">
        <v>64558790</v>
      </c>
      <c r="AL36" s="38">
        <v>936240922</v>
      </c>
      <c r="AM36" s="38"/>
      <c r="AN36" s="38"/>
      <c r="AO36" s="38"/>
      <c r="AP36" s="38"/>
      <c r="AQ36"/>
      <c r="AR36" s="1">
        <f t="shared" si="1"/>
        <v>7637000</v>
      </c>
      <c r="AS36" t="e">
        <f t="shared" si="2"/>
        <v>#DIV/0!</v>
      </c>
      <c r="AT36">
        <f t="shared" si="3"/>
        <v>247.53131800567536</v>
      </c>
      <c r="AU36">
        <f t="shared" si="4"/>
        <v>0</v>
      </c>
      <c r="AV36">
        <f t="shared" si="5"/>
        <v>0</v>
      </c>
      <c r="AW36">
        <f t="shared" si="6"/>
        <v>74220.721553187162</v>
      </c>
      <c r="AX36">
        <f t="shared" si="7"/>
        <v>74220.721553187162</v>
      </c>
      <c r="AY36">
        <f t="shared" si="8"/>
        <v>0</v>
      </c>
    </row>
    <row r="37" spans="1:51" x14ac:dyDescent="0.25">
      <c r="A37" s="1" t="s">
        <v>140</v>
      </c>
      <c r="B37" s="1" t="s">
        <v>159</v>
      </c>
      <c r="C37" s="1" t="s">
        <v>143</v>
      </c>
      <c r="D37" s="35">
        <f t="shared" si="0"/>
        <v>2413.145</v>
      </c>
      <c r="W37" s="1">
        <v>2413145</v>
      </c>
      <c r="Z37" s="31"/>
      <c r="AB37" s="1"/>
      <c r="AQ37"/>
      <c r="AR37" s="1">
        <f t="shared" si="1"/>
        <v>0</v>
      </c>
      <c r="AS37" t="e">
        <f t="shared" si="2"/>
        <v>#DIV/0!</v>
      </c>
      <c r="AT37">
        <f t="shared" si="3"/>
        <v>0</v>
      </c>
      <c r="AU37">
        <f t="shared" si="4"/>
        <v>0</v>
      </c>
      <c r="AV37">
        <f t="shared" si="5"/>
        <v>0</v>
      </c>
      <c r="AW37">
        <f t="shared" si="6"/>
        <v>0</v>
      </c>
      <c r="AX37">
        <f t="shared" si="7"/>
        <v>0</v>
      </c>
      <c r="AY37">
        <f t="shared" si="8"/>
        <v>0</v>
      </c>
    </row>
    <row r="38" spans="1:51" x14ac:dyDescent="0.25">
      <c r="A38" s="1" t="s">
        <v>141</v>
      </c>
      <c r="B38" s="1" t="s">
        <v>159</v>
      </c>
      <c r="C38" s="1" t="s">
        <v>144</v>
      </c>
      <c r="D38" s="35">
        <f t="shared" si="0"/>
        <v>2030.395</v>
      </c>
      <c r="E38" s="1">
        <v>2739</v>
      </c>
      <c r="F38" s="1">
        <v>910</v>
      </c>
      <c r="G38" s="1">
        <v>75032608</v>
      </c>
      <c r="I38" s="1">
        <v>150814</v>
      </c>
      <c r="V38" s="1">
        <v>241138449</v>
      </c>
      <c r="W38" s="1">
        <v>2030395</v>
      </c>
      <c r="X38" s="1">
        <v>3130</v>
      </c>
      <c r="Y38" s="1">
        <v>6616</v>
      </c>
      <c r="Z38" s="31">
        <v>13349</v>
      </c>
      <c r="AA38" s="1">
        <v>402701509</v>
      </c>
      <c r="AB38" s="1">
        <v>87045658</v>
      </c>
      <c r="AC38" s="1">
        <v>0</v>
      </c>
      <c r="AD38" s="1">
        <v>0</v>
      </c>
      <c r="AE38" s="1">
        <v>0</v>
      </c>
      <c r="AF38" s="1">
        <v>0</v>
      </c>
      <c r="AG38" s="1">
        <v>130705857</v>
      </c>
      <c r="AH38" s="1">
        <v>620453024</v>
      </c>
      <c r="AI38" s="1">
        <v>573016599</v>
      </c>
      <c r="AJ38" s="1">
        <v>14160664</v>
      </c>
      <c r="AK38" s="1">
        <v>33275761</v>
      </c>
      <c r="AL38" s="1">
        <v>620453024</v>
      </c>
      <c r="AM38" s="1">
        <v>25852154</v>
      </c>
      <c r="AN38" s="1">
        <v>38825</v>
      </c>
      <c r="AO38" s="1">
        <v>1941548</v>
      </c>
      <c r="AP38" s="1">
        <v>309008</v>
      </c>
      <c r="AQ38">
        <v>28141535</v>
      </c>
      <c r="AR38" s="1">
        <f t="shared" si="1"/>
        <v>0</v>
      </c>
      <c r="AS38">
        <f t="shared" si="2"/>
        <v>0</v>
      </c>
      <c r="AT38">
        <f t="shared" si="3"/>
        <v>305.58242312456446</v>
      </c>
      <c r="AU38">
        <f t="shared" si="4"/>
        <v>0</v>
      </c>
      <c r="AV38">
        <f t="shared" si="5"/>
        <v>118764.3039901103</v>
      </c>
      <c r="AW38">
        <f t="shared" si="6"/>
        <v>36954.685172097059</v>
      </c>
      <c r="AX38">
        <f t="shared" si="7"/>
        <v>37028.963329795435</v>
      </c>
      <c r="AY38">
        <f t="shared" si="8"/>
        <v>0</v>
      </c>
    </row>
    <row r="39" spans="1:51" x14ac:dyDescent="0.25">
      <c r="A39" s="1" t="s">
        <v>142</v>
      </c>
      <c r="B39" s="1" t="s">
        <v>159</v>
      </c>
      <c r="C39" s="1" t="s">
        <v>145</v>
      </c>
      <c r="D39" s="35">
        <f t="shared" si="0"/>
        <v>169.55699999999999</v>
      </c>
      <c r="W39" s="1">
        <v>169557</v>
      </c>
      <c r="Z39" s="31"/>
      <c r="AB39" s="1"/>
      <c r="AQ39"/>
      <c r="AR39" s="1">
        <f t="shared" si="1"/>
        <v>0</v>
      </c>
      <c r="AS39" t="e">
        <f t="shared" si="2"/>
        <v>#DIV/0!</v>
      </c>
      <c r="AT39">
        <f t="shared" si="3"/>
        <v>0</v>
      </c>
      <c r="AU39">
        <f t="shared" si="4"/>
        <v>0</v>
      </c>
      <c r="AV39">
        <f t="shared" si="5"/>
        <v>0</v>
      </c>
      <c r="AW39">
        <f t="shared" si="6"/>
        <v>0</v>
      </c>
      <c r="AX39">
        <f t="shared" si="7"/>
        <v>0</v>
      </c>
      <c r="AY39">
        <f t="shared" si="8"/>
        <v>0</v>
      </c>
    </row>
    <row r="40" spans="1:51" x14ac:dyDescent="0.25">
      <c r="A40" s="1" t="s">
        <v>146</v>
      </c>
      <c r="B40" s="1" t="s">
        <v>160</v>
      </c>
      <c r="C40" s="1" t="s">
        <v>150</v>
      </c>
      <c r="D40" s="35">
        <f t="shared" si="0"/>
        <v>1492.1759999999999</v>
      </c>
      <c r="W40" s="1">
        <v>1492176</v>
      </c>
      <c r="Z40" s="31"/>
      <c r="AB40" s="1"/>
      <c r="AQ40"/>
      <c r="AR40" s="1">
        <f t="shared" si="1"/>
        <v>0</v>
      </c>
      <c r="AS40" t="e">
        <f t="shared" si="2"/>
        <v>#DIV/0!</v>
      </c>
      <c r="AT40">
        <f t="shared" si="3"/>
        <v>0</v>
      </c>
      <c r="AU40">
        <f t="shared" si="4"/>
        <v>0</v>
      </c>
      <c r="AV40">
        <f t="shared" si="5"/>
        <v>0</v>
      </c>
      <c r="AW40">
        <f t="shared" si="6"/>
        <v>0</v>
      </c>
      <c r="AX40">
        <f t="shared" si="7"/>
        <v>0</v>
      </c>
      <c r="AY40">
        <f t="shared" si="8"/>
        <v>0</v>
      </c>
    </row>
    <row r="41" spans="1:51" x14ac:dyDescent="0.25">
      <c r="A41" s="1" t="s">
        <v>151</v>
      </c>
      <c r="B41" s="104" t="s">
        <v>156</v>
      </c>
      <c r="D41" s="38">
        <f t="shared" si="0"/>
        <v>2302</v>
      </c>
      <c r="E41" s="1">
        <v>934</v>
      </c>
      <c r="F41" s="1">
        <v>3615</v>
      </c>
      <c r="G41" s="1">
        <v>131734074</v>
      </c>
      <c r="H41" s="1">
        <v>1142831</v>
      </c>
      <c r="I41" s="1">
        <v>1168450</v>
      </c>
      <c r="J41" s="1">
        <v>1960226</v>
      </c>
      <c r="K41" s="1">
        <v>8711868</v>
      </c>
      <c r="L41" s="1">
        <v>852840</v>
      </c>
      <c r="M41" s="1">
        <v>88631</v>
      </c>
      <c r="N41" s="1">
        <v>4228576</v>
      </c>
      <c r="O41" s="1">
        <v>57769</v>
      </c>
      <c r="P41" s="35">
        <v>7</v>
      </c>
      <c r="Q41" s="35">
        <v>26</v>
      </c>
      <c r="R41" s="1">
        <v>6829</v>
      </c>
      <c r="S41" s="1">
        <v>3511</v>
      </c>
      <c r="T41" s="1">
        <v>2553436</v>
      </c>
      <c r="U41" s="1">
        <v>55149153</v>
      </c>
      <c r="V41" s="1">
        <v>37603812</v>
      </c>
      <c r="W41" s="1">
        <v>2302000</v>
      </c>
      <c r="X41" s="1">
        <v>11489</v>
      </c>
      <c r="Y41" s="1">
        <v>4214</v>
      </c>
      <c r="Z41" s="31">
        <v>15703</v>
      </c>
      <c r="AA41" s="1">
        <v>33263888</v>
      </c>
      <c r="AB41" s="1">
        <v>47382991</v>
      </c>
      <c r="AC41" s="1">
        <v>565690</v>
      </c>
      <c r="AD41" s="1">
        <v>1636390</v>
      </c>
      <c r="AE41" s="1">
        <v>1196376</v>
      </c>
      <c r="AF41" s="1">
        <v>3889473</v>
      </c>
      <c r="AG41" s="1">
        <v>13733644</v>
      </c>
      <c r="AH41" s="1">
        <v>101668452</v>
      </c>
      <c r="AI41" s="1">
        <v>79791420</v>
      </c>
      <c r="AJ41" s="1">
        <v>2661068</v>
      </c>
      <c r="AK41" s="1">
        <v>18955212</v>
      </c>
      <c r="AL41" s="1">
        <v>101407700</v>
      </c>
      <c r="AM41" s="1">
        <v>14119252</v>
      </c>
      <c r="AN41" s="1">
        <v>0</v>
      </c>
      <c r="AO41" s="1">
        <v>866018</v>
      </c>
      <c r="AP41" s="1">
        <v>246785</v>
      </c>
      <c r="AQ41" s="1">
        <v>15232055</v>
      </c>
      <c r="AR41" s="1">
        <f t="shared" si="1"/>
        <v>4286345</v>
      </c>
      <c r="AS41">
        <f t="shared" si="2"/>
        <v>1.4665841058879883</v>
      </c>
      <c r="AT41">
        <f t="shared" si="3"/>
        <v>44.165270199826239</v>
      </c>
      <c r="AU41">
        <f t="shared" si="4"/>
        <v>1109.2250217202434</v>
      </c>
      <c r="AV41">
        <f t="shared" si="5"/>
        <v>16335.278887923545</v>
      </c>
      <c r="AW41">
        <f t="shared" si="6"/>
        <v>57225.922675933973</v>
      </c>
      <c r="AX41">
        <f t="shared" si="7"/>
        <v>63274.943527367504</v>
      </c>
      <c r="AY41">
        <f t="shared" si="8"/>
        <v>370.47784535186793</v>
      </c>
    </row>
    <row r="42" spans="1:51" x14ac:dyDescent="0.25">
      <c r="A42" s="1" t="s">
        <v>152</v>
      </c>
      <c r="B42" s="104" t="s">
        <v>156</v>
      </c>
      <c r="D42" s="38">
        <f t="shared" si="0"/>
        <v>12585.234</v>
      </c>
      <c r="E42" s="1">
        <v>3208</v>
      </c>
      <c r="F42" s="1">
        <v>6424</v>
      </c>
      <c r="G42" s="1">
        <v>487754400</v>
      </c>
      <c r="H42" s="1">
        <v>2911598</v>
      </c>
      <c r="I42" s="1">
        <v>3865860</v>
      </c>
      <c r="J42" s="1">
        <v>1766522</v>
      </c>
      <c r="K42" s="1">
        <v>78693509</v>
      </c>
      <c r="L42" s="1">
        <v>9969449</v>
      </c>
      <c r="M42" s="1">
        <v>423705</v>
      </c>
      <c r="N42" s="1">
        <v>14813673</v>
      </c>
      <c r="O42" s="1">
        <v>660572</v>
      </c>
      <c r="P42" s="35">
        <v>38</v>
      </c>
      <c r="Q42" s="35">
        <v>48</v>
      </c>
      <c r="R42" s="1">
        <v>154269</v>
      </c>
      <c r="S42" s="1">
        <v>80462</v>
      </c>
      <c r="T42" s="1">
        <v>14382525</v>
      </c>
      <c r="U42" s="1">
        <v>210580745</v>
      </c>
      <c r="V42" s="1">
        <v>403657987</v>
      </c>
      <c r="W42" s="1">
        <v>12585234</v>
      </c>
      <c r="X42" s="1">
        <v>24539</v>
      </c>
      <c r="Y42" s="1">
        <v>20301</v>
      </c>
      <c r="Z42" s="31">
        <v>47560</v>
      </c>
      <c r="AA42" s="1">
        <v>1354514691</v>
      </c>
      <c r="AB42" s="1">
        <v>864718452</v>
      </c>
      <c r="AC42" s="1">
        <v>67486035</v>
      </c>
      <c r="AD42" s="1">
        <v>1353979</v>
      </c>
      <c r="AE42" s="1">
        <v>9296599</v>
      </c>
      <c r="AF42" s="1">
        <v>29096808</v>
      </c>
      <c r="AG42" s="1">
        <v>318420990</v>
      </c>
      <c r="AH42" s="1">
        <v>2644887555</v>
      </c>
      <c r="AI42" s="1">
        <v>2231179957</v>
      </c>
      <c r="AJ42" s="1">
        <v>106286030</v>
      </c>
      <c r="AK42" s="1">
        <v>235802452</v>
      </c>
      <c r="AL42" s="1">
        <v>2573268439</v>
      </c>
      <c r="AM42" s="1">
        <v>82712061</v>
      </c>
      <c r="AN42" s="1">
        <v>1136892</v>
      </c>
      <c r="AO42" s="1">
        <v>3768217</v>
      </c>
      <c r="AP42" s="1">
        <v>25911026</v>
      </c>
      <c r="AQ42" s="1">
        <v>113528196</v>
      </c>
      <c r="AR42" s="1">
        <f t="shared" si="1"/>
        <v>15474245</v>
      </c>
      <c r="AS42">
        <f t="shared" si="2"/>
        <v>0.52168110574261972</v>
      </c>
      <c r="AT42">
        <f t="shared" si="3"/>
        <v>210.15799587039859</v>
      </c>
      <c r="AU42">
        <f t="shared" si="4"/>
        <v>1142.8095019925731</v>
      </c>
      <c r="AV42">
        <f t="shared" si="5"/>
        <v>32073.935772668192</v>
      </c>
      <c r="AW42">
        <f t="shared" si="6"/>
        <v>38756.085107356761</v>
      </c>
      <c r="AX42">
        <f t="shared" si="7"/>
        <v>46513.639952979815</v>
      </c>
      <c r="AY42">
        <f t="shared" si="8"/>
        <v>792.15444067229896</v>
      </c>
    </row>
    <row r="43" spans="1:51" x14ac:dyDescent="0.25">
      <c r="A43" s="1" t="s">
        <v>153</v>
      </c>
      <c r="B43" s="104" t="s">
        <v>156</v>
      </c>
      <c r="D43" s="38">
        <f t="shared" si="0"/>
        <v>365</v>
      </c>
      <c r="E43" s="1">
        <v>243</v>
      </c>
      <c r="F43" s="1">
        <v>546</v>
      </c>
      <c r="G43" s="1">
        <v>31208347</v>
      </c>
      <c r="H43" s="1">
        <v>219470</v>
      </c>
      <c r="I43" s="1">
        <v>292848</v>
      </c>
      <c r="J43" s="1">
        <v>109166</v>
      </c>
      <c r="K43" s="1">
        <v>1270604</v>
      </c>
      <c r="L43" s="1">
        <v>319773</v>
      </c>
      <c r="M43" s="1">
        <v>23761</v>
      </c>
      <c r="N43" s="1">
        <v>848616</v>
      </c>
      <c r="O43" s="1">
        <v>17118</v>
      </c>
      <c r="P43" s="35">
        <v>22</v>
      </c>
      <c r="Q43" s="35">
        <v>31</v>
      </c>
      <c r="R43" s="1">
        <v>3105</v>
      </c>
      <c r="S43" s="1">
        <v>1159</v>
      </c>
      <c r="T43" s="1">
        <v>332547</v>
      </c>
      <c r="U43" s="1">
        <v>7957560</v>
      </c>
      <c r="V43" s="1">
        <v>11540072</v>
      </c>
      <c r="W43" s="1">
        <v>365000</v>
      </c>
      <c r="X43" s="1">
        <v>1569</v>
      </c>
      <c r="Y43" s="1">
        <v>884</v>
      </c>
      <c r="Z43" s="31">
        <v>2452</v>
      </c>
      <c r="AA43" s="1">
        <v>70333312</v>
      </c>
      <c r="AB43" s="1">
        <v>37558616</v>
      </c>
      <c r="AC43" s="1">
        <v>0</v>
      </c>
      <c r="AD43" s="1">
        <v>0</v>
      </c>
      <c r="AE43" s="1">
        <v>0</v>
      </c>
      <c r="AF43" s="1">
        <v>0</v>
      </c>
      <c r="AG43" s="1">
        <v>27051215</v>
      </c>
      <c r="AH43" s="1">
        <v>134943143</v>
      </c>
      <c r="AI43" s="1">
        <v>117633762</v>
      </c>
      <c r="AJ43" s="1">
        <v>11267938</v>
      </c>
      <c r="AK43" s="1">
        <v>-2</v>
      </c>
      <c r="AL43" s="1">
        <v>128901698</v>
      </c>
      <c r="AM43" s="1">
        <v>3931886</v>
      </c>
      <c r="AN43" s="1">
        <v>61209</v>
      </c>
      <c r="AO43" s="1">
        <v>230814</v>
      </c>
      <c r="AP43" s="1">
        <v>741183</v>
      </c>
      <c r="AQ43" s="1">
        <v>4965092</v>
      </c>
      <c r="AR43" s="1">
        <f t="shared" si="1"/>
        <v>865734</v>
      </c>
      <c r="AS43">
        <f t="shared" si="2"/>
        <v>0.68955895595798711</v>
      </c>
      <c r="AT43">
        <f t="shared" si="3"/>
        <v>369.70724109589042</v>
      </c>
      <c r="AU43">
        <f t="shared" si="4"/>
        <v>911.08767123287669</v>
      </c>
      <c r="AV43">
        <f t="shared" si="5"/>
        <v>31616.635616438358</v>
      </c>
      <c r="AW43">
        <f t="shared" si="6"/>
        <v>85502.320547945201</v>
      </c>
      <c r="AX43">
        <f t="shared" si="7"/>
        <v>91627.312328767119</v>
      </c>
      <c r="AY43">
        <f t="shared" si="8"/>
        <v>876.09041095890416</v>
      </c>
    </row>
    <row r="44" spans="1:51" x14ac:dyDescent="0.25">
      <c r="A44" s="1" t="s">
        <v>154</v>
      </c>
      <c r="B44" s="104" t="s">
        <v>156</v>
      </c>
      <c r="D44" s="38">
        <f t="shared" si="0"/>
        <v>25532.161</v>
      </c>
      <c r="E44" s="1">
        <v>8272</v>
      </c>
      <c r="F44" s="1">
        <v>14308</v>
      </c>
      <c r="G44" s="1">
        <v>1449728909</v>
      </c>
      <c r="H44" s="1">
        <v>9563506</v>
      </c>
      <c r="I44" s="1">
        <v>11934892</v>
      </c>
      <c r="J44" s="1">
        <v>8727610</v>
      </c>
      <c r="K44" s="1">
        <v>1374967028</v>
      </c>
      <c r="L44" s="1">
        <v>122512732</v>
      </c>
      <c r="M44" s="1">
        <v>4522442</v>
      </c>
      <c r="N44" s="1">
        <v>41732246</v>
      </c>
      <c r="O44" s="1">
        <v>4281006</v>
      </c>
      <c r="P44" s="35">
        <v>36</v>
      </c>
      <c r="Q44" s="35">
        <v>54</v>
      </c>
      <c r="R44" s="1">
        <v>151587</v>
      </c>
      <c r="S44" s="1">
        <v>53281</v>
      </c>
      <c r="T44" s="1">
        <v>14000859</v>
      </c>
      <c r="U44" s="1">
        <v>308064410</v>
      </c>
      <c r="V44" s="1">
        <v>356095263</v>
      </c>
      <c r="W44" s="1">
        <v>25532161</v>
      </c>
      <c r="X44" s="1">
        <v>47154</v>
      </c>
      <c r="Y44" s="1">
        <v>87500</v>
      </c>
      <c r="Z44" s="31">
        <v>138257</v>
      </c>
      <c r="AA44" s="1">
        <v>3544120087</v>
      </c>
      <c r="AB44" s="1">
        <v>3250815148</v>
      </c>
      <c r="AC44" s="1">
        <v>4374510</v>
      </c>
      <c r="AD44" s="1">
        <v>162394</v>
      </c>
      <c r="AE44" s="1">
        <v>1529386</v>
      </c>
      <c r="AF44" s="1">
        <v>3155550</v>
      </c>
      <c r="AG44" s="1">
        <v>932900246</v>
      </c>
      <c r="AH44" s="1">
        <v>7737057321</v>
      </c>
      <c r="AI44" s="1">
        <v>6800824975</v>
      </c>
      <c r="AJ44" s="1">
        <v>301274447</v>
      </c>
      <c r="AK44" s="1">
        <v>634957899</v>
      </c>
      <c r="AL44" s="1">
        <v>7737057321</v>
      </c>
      <c r="AM44" s="1">
        <v>258632557</v>
      </c>
      <c r="AN44" s="1">
        <v>3662525</v>
      </c>
      <c r="AO44" s="1">
        <v>15606518</v>
      </c>
      <c r="AP44" s="1">
        <v>44189468</v>
      </c>
      <c r="AQ44" s="1">
        <v>322091068</v>
      </c>
      <c r="AR44" s="1">
        <f t="shared" si="1"/>
        <v>46013252</v>
      </c>
      <c r="AS44">
        <f t="shared" si="2"/>
        <v>0.8651179670424316</v>
      </c>
      <c r="AT44">
        <f t="shared" si="3"/>
        <v>303.03182409824223</v>
      </c>
      <c r="AU44">
        <f t="shared" si="4"/>
        <v>548.36169175025964</v>
      </c>
      <c r="AV44">
        <f t="shared" si="5"/>
        <v>13946.930030716945</v>
      </c>
      <c r="AW44">
        <f t="shared" si="6"/>
        <v>56780.50161911481</v>
      </c>
      <c r="AX44">
        <f t="shared" si="7"/>
        <v>116792.19471473644</v>
      </c>
      <c r="AY44">
        <f t="shared" si="8"/>
        <v>4798.3690843873337</v>
      </c>
    </row>
    <row r="45" spans="1:51" x14ac:dyDescent="0.25">
      <c r="A45" s="1" t="s">
        <v>155</v>
      </c>
      <c r="B45" s="104" t="s">
        <v>156</v>
      </c>
      <c r="D45" s="38">
        <f t="shared" si="0"/>
        <v>2511.9569999999999</v>
      </c>
      <c r="E45" s="1">
        <v>404</v>
      </c>
      <c r="F45" s="1">
        <v>495</v>
      </c>
      <c r="G45" s="1">
        <v>39127601</v>
      </c>
      <c r="H45" s="1">
        <v>254526</v>
      </c>
      <c r="I45" s="1">
        <v>343668</v>
      </c>
      <c r="J45" s="1">
        <v>232280</v>
      </c>
      <c r="K45" s="1">
        <v>27338657</v>
      </c>
      <c r="L45" s="1">
        <v>2504638</v>
      </c>
      <c r="M45" s="1">
        <v>93433</v>
      </c>
      <c r="N45" s="1">
        <v>1186903</v>
      </c>
      <c r="O45" s="1">
        <v>95485</v>
      </c>
      <c r="P45" s="35">
        <v>22</v>
      </c>
      <c r="Q45" s="35">
        <v>30</v>
      </c>
      <c r="R45" s="1">
        <v>49718</v>
      </c>
      <c r="S45" s="1">
        <v>17743</v>
      </c>
      <c r="T45" s="1">
        <v>4591924</v>
      </c>
      <c r="U45" s="1">
        <v>93952846</v>
      </c>
      <c r="V45" s="1">
        <v>84887696</v>
      </c>
      <c r="W45" s="1">
        <v>2511957</v>
      </c>
      <c r="X45" s="1">
        <v>1498</v>
      </c>
      <c r="Y45" s="1">
        <v>2242</v>
      </c>
      <c r="Z45" s="31">
        <v>3740</v>
      </c>
      <c r="AA45" s="1">
        <v>6618301</v>
      </c>
      <c r="AB45" s="1">
        <v>9331753</v>
      </c>
      <c r="AC45" s="1">
        <v>68112</v>
      </c>
      <c r="AD45" s="1">
        <v>369971</v>
      </c>
      <c r="AE45" s="1">
        <v>225448</v>
      </c>
      <c r="AF45" s="1">
        <v>1007737</v>
      </c>
      <c r="AG45" s="1">
        <v>2903375</v>
      </c>
      <c r="AH45" s="1">
        <v>20524697</v>
      </c>
      <c r="AI45" s="1">
        <v>15654749</v>
      </c>
      <c r="AJ45" s="1">
        <v>480700</v>
      </c>
      <c r="AK45" s="1">
        <v>4389248</v>
      </c>
      <c r="AL45" s="1">
        <v>20524697</v>
      </c>
      <c r="AM45" s="1">
        <v>3123861</v>
      </c>
      <c r="AN45" s="1">
        <v>0</v>
      </c>
      <c r="AO45" s="1">
        <v>159645</v>
      </c>
      <c r="AP45" s="1">
        <v>37498</v>
      </c>
      <c r="AQ45" s="1">
        <v>3321004</v>
      </c>
      <c r="AR45" s="1">
        <f t="shared" si="1"/>
        <v>1282388</v>
      </c>
      <c r="AS45">
        <f t="shared" si="2"/>
        <v>1.1067899168802979</v>
      </c>
      <c r="AT45">
        <f t="shared" si="3"/>
        <v>8.1707995001506788</v>
      </c>
      <c r="AU45">
        <f t="shared" si="4"/>
        <v>1828.026514785086</v>
      </c>
      <c r="AV45">
        <f t="shared" si="5"/>
        <v>33793.451082164225</v>
      </c>
      <c r="AW45">
        <f t="shared" si="6"/>
        <v>15576.540920087407</v>
      </c>
      <c r="AX45">
        <f t="shared" si="7"/>
        <v>27824.840552605001</v>
      </c>
      <c r="AY45">
        <f t="shared" si="8"/>
        <v>997.08633547469174</v>
      </c>
    </row>
    <row r="46" spans="1:51" x14ac:dyDescent="0.25">
      <c r="A46" s="1" t="s">
        <v>312</v>
      </c>
      <c r="B46" s="105" t="s">
        <v>156</v>
      </c>
      <c r="C46"/>
      <c r="D46" s="38">
        <f t="shared" si="0"/>
        <v>1616.63</v>
      </c>
      <c r="E46">
        <v>667</v>
      </c>
      <c r="F46">
        <v>2835</v>
      </c>
      <c r="G46">
        <v>93938357</v>
      </c>
      <c r="H46">
        <v>859989</v>
      </c>
      <c r="I46">
        <v>884554</v>
      </c>
      <c r="J46">
        <v>1531096</v>
      </c>
      <c r="K46">
        <v>7862199</v>
      </c>
      <c r="L46">
        <v>532106</v>
      </c>
      <c r="M46">
        <v>74514</v>
      </c>
      <c r="N46">
        <v>3141060</v>
      </c>
      <c r="O46">
        <v>42180</v>
      </c>
      <c r="P46">
        <v>7</v>
      </c>
      <c r="Q46">
        <v>26</v>
      </c>
      <c r="R46">
        <v>5462</v>
      </c>
      <c r="S46">
        <v>3000</v>
      </c>
      <c r="T46">
        <v>1898554</v>
      </c>
      <c r="U46">
        <v>38312786</v>
      </c>
      <c r="V46">
        <v>27326879</v>
      </c>
      <c r="W46">
        <v>1616630</v>
      </c>
      <c r="X46">
        <v>8467</v>
      </c>
      <c r="Y46">
        <v>2946</v>
      </c>
      <c r="Z46">
        <v>11413</v>
      </c>
      <c r="AA46">
        <v>28300167</v>
      </c>
      <c r="AB46">
        <v>38915339</v>
      </c>
      <c r="AC46">
        <v>512335</v>
      </c>
      <c r="AD46">
        <v>1281841</v>
      </c>
      <c r="AE46">
        <v>978957</v>
      </c>
      <c r="AF46">
        <v>2934421</v>
      </c>
      <c r="AG46">
        <v>11121444</v>
      </c>
      <c r="AH46">
        <v>84044504</v>
      </c>
      <c r="AI46">
        <v>67073361</v>
      </c>
      <c r="AJ46">
        <v>2421845</v>
      </c>
      <c r="AK46">
        <v>14288546</v>
      </c>
      <c r="AL46">
        <v>83783752</v>
      </c>
      <c r="AM46">
        <v>11011200</v>
      </c>
      <c r="AN46">
        <v>2101</v>
      </c>
      <c r="AO46">
        <v>708194</v>
      </c>
      <c r="AP46">
        <v>241384</v>
      </c>
      <c r="AQ46">
        <v>11962879</v>
      </c>
      <c r="AR46" s="1">
        <f>+N46+O46</f>
        <v>3183240</v>
      </c>
      <c r="AS46">
        <f>+U46/V46</f>
        <v>1.4020183570908336</v>
      </c>
      <c r="AT46">
        <f>+AH46/W46</f>
        <v>51.987470231283595</v>
      </c>
      <c r="AU46">
        <f>+T46/D46</f>
        <v>1174.3899346170738</v>
      </c>
      <c r="AV46">
        <f>+V46/D46</f>
        <v>16903.607504500102</v>
      </c>
      <c r="AW46">
        <f>+G46/D46</f>
        <v>58107.518108658129</v>
      </c>
      <c r="AX46">
        <f>SUM(G46:M46)/D46</f>
        <v>65372.296072694429</v>
      </c>
      <c r="AY46">
        <f>+L46/D46</f>
        <v>329.14519710756326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Y46"/>
  <sheetViews>
    <sheetView topLeftCell="A2" workbookViewId="0">
      <selection activeCell="A14" sqref="A14:B14"/>
    </sheetView>
  </sheetViews>
  <sheetFormatPr defaultRowHeight="12.5" x14ac:dyDescent="0.25"/>
  <cols>
    <col min="1" max="43" width="9.1796875" style="1" customWidth="1"/>
  </cols>
  <sheetData>
    <row r="1" spans="1:51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315</v>
      </c>
      <c r="V1" s="36" t="s">
        <v>81</v>
      </c>
      <c r="W1" s="36" t="s">
        <v>82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51" x14ac:dyDescent="0.25">
      <c r="A2" s="1" t="s">
        <v>32</v>
      </c>
      <c r="B2" s="1" t="s">
        <v>147</v>
      </c>
      <c r="C2" s="44" t="s">
        <v>96</v>
      </c>
      <c r="D2" s="35">
        <f>+W2/1000</f>
        <v>289</v>
      </c>
      <c r="E2" s="38">
        <v>84</v>
      </c>
      <c r="F2" s="38">
        <v>84</v>
      </c>
      <c r="G2" s="38">
        <v>8501798</v>
      </c>
      <c r="H2" s="38">
        <v>8198</v>
      </c>
      <c r="I2" s="38"/>
      <c r="J2" s="38"/>
      <c r="K2" s="38">
        <v>23792</v>
      </c>
      <c r="L2" s="38">
        <v>84101</v>
      </c>
      <c r="M2" s="38"/>
      <c r="N2" s="38">
        <v>101846</v>
      </c>
      <c r="O2" s="38">
        <v>3634</v>
      </c>
      <c r="P2" s="38"/>
      <c r="Q2" s="38"/>
      <c r="R2" s="38"/>
      <c r="S2" s="38"/>
      <c r="T2" s="38">
        <v>200848</v>
      </c>
      <c r="U2" s="38">
        <v>5002065</v>
      </c>
      <c r="V2" s="38">
        <v>2813081</v>
      </c>
      <c r="W2" s="38">
        <v>289000</v>
      </c>
      <c r="X2" s="38">
        <v>496</v>
      </c>
      <c r="Y2" s="38">
        <v>312</v>
      </c>
      <c r="Z2" s="38">
        <v>808</v>
      </c>
      <c r="AA2" s="38">
        <v>915682</v>
      </c>
      <c r="AB2" s="38">
        <v>1270346</v>
      </c>
      <c r="AC2" s="38">
        <v>0</v>
      </c>
      <c r="AD2" s="38">
        <v>0</v>
      </c>
      <c r="AE2" s="38">
        <v>0</v>
      </c>
      <c r="AF2" s="38">
        <v>0</v>
      </c>
      <c r="AG2" s="38">
        <v>86478</v>
      </c>
      <c r="AH2" s="38">
        <v>2272506</v>
      </c>
      <c r="AI2" s="38">
        <v>1440682</v>
      </c>
      <c r="AJ2" s="38">
        <v>146788</v>
      </c>
      <c r="AK2" s="38">
        <v>865658</v>
      </c>
      <c r="AL2" s="38">
        <v>2453128</v>
      </c>
      <c r="AM2" s="38"/>
      <c r="AN2" s="38"/>
      <c r="AO2" s="38"/>
      <c r="AP2" s="38"/>
      <c r="AQ2" s="38"/>
      <c r="AR2" s="1">
        <f>+N2+O2</f>
        <v>105480</v>
      </c>
      <c r="AS2">
        <f>+U2/V2</f>
        <v>1.7781446748245073</v>
      </c>
      <c r="AT2">
        <f t="shared" ref="AT2:AT46" si="0">+AH2/W2</f>
        <v>7.8633425605536331</v>
      </c>
      <c r="AU2">
        <f>+T2/D2</f>
        <v>694.97577854671283</v>
      </c>
      <c r="AV2">
        <f>+V2/D2</f>
        <v>9733.8442906574401</v>
      </c>
      <c r="AW2">
        <f>+G2/D2</f>
        <v>29417.986159169552</v>
      </c>
      <c r="AX2">
        <f>SUM(G2:M2)/D2</f>
        <v>29819.685121107268</v>
      </c>
      <c r="AY2">
        <f>+L2/D2</f>
        <v>291.0069204152249</v>
      </c>
    </row>
    <row r="3" spans="1:51" x14ac:dyDescent="0.25">
      <c r="A3" s="1" t="s">
        <v>33</v>
      </c>
      <c r="B3" s="1" t="s">
        <v>147</v>
      </c>
      <c r="C3" s="44" t="s">
        <v>97</v>
      </c>
      <c r="D3" s="35">
        <f t="shared" ref="D3:D46" si="1">+W3/1000</f>
        <v>192</v>
      </c>
      <c r="E3" s="38">
        <v>75</v>
      </c>
      <c r="F3" s="38">
        <v>1186</v>
      </c>
      <c r="G3" s="38">
        <v>10618145</v>
      </c>
      <c r="H3" s="38">
        <v>21511</v>
      </c>
      <c r="I3" s="38"/>
      <c r="J3" s="38">
        <v>43062</v>
      </c>
      <c r="K3" s="38">
        <v>13753</v>
      </c>
      <c r="L3" s="38">
        <v>38158</v>
      </c>
      <c r="M3" s="38"/>
      <c r="N3" s="38">
        <v>230445</v>
      </c>
      <c r="O3" s="38">
        <v>2556</v>
      </c>
      <c r="P3" s="38"/>
      <c r="Q3" s="38"/>
      <c r="R3" s="38"/>
      <c r="S3" s="38"/>
      <c r="T3" s="38">
        <v>265265</v>
      </c>
      <c r="U3" s="38">
        <v>2507780</v>
      </c>
      <c r="V3" s="38">
        <v>4255805</v>
      </c>
      <c r="W3" s="38">
        <v>192000</v>
      </c>
      <c r="X3" s="38">
        <v>406</v>
      </c>
      <c r="Y3" s="38">
        <v>387</v>
      </c>
      <c r="Z3" s="38">
        <v>793</v>
      </c>
      <c r="AA3" s="38"/>
      <c r="AB3" s="38">
        <v>3583782</v>
      </c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1">
        <f t="shared" ref="AR3:AR46" si="2">+N3+O3</f>
        <v>233001</v>
      </c>
      <c r="AS3">
        <f t="shared" ref="AS3:AS46" si="3">+U3/V3</f>
        <v>0.58926102112291334</v>
      </c>
      <c r="AT3">
        <f t="shared" si="0"/>
        <v>0</v>
      </c>
      <c r="AU3">
        <f t="shared" ref="AU3:AU46" si="4">+T3/D3</f>
        <v>1381.5885416666667</v>
      </c>
      <c r="AV3">
        <f t="shared" ref="AV3:AV46" si="5">+V3/D3</f>
        <v>22165.651041666668</v>
      </c>
      <c r="AW3">
        <f t="shared" ref="AW3:AW46" si="6">+G3/D3</f>
        <v>55302.838541666664</v>
      </c>
      <c r="AX3">
        <f t="shared" ref="AX3:AX46" si="7">SUM(G3:M3)/D3</f>
        <v>55909.526041666664</v>
      </c>
      <c r="AY3">
        <f t="shared" ref="AY3:AY46" si="8">+L3/D3</f>
        <v>198.73958333333334</v>
      </c>
    </row>
    <row r="4" spans="1:51" x14ac:dyDescent="0.25">
      <c r="A4" s="1" t="s">
        <v>34</v>
      </c>
      <c r="B4" s="1" t="s">
        <v>147</v>
      </c>
      <c r="C4" s="44" t="s">
        <v>98</v>
      </c>
      <c r="D4" s="35">
        <f t="shared" si="1"/>
        <v>48</v>
      </c>
      <c r="E4" s="38">
        <v>20</v>
      </c>
      <c r="F4" s="38">
        <v>37</v>
      </c>
      <c r="G4" s="38">
        <v>7384025</v>
      </c>
      <c r="H4" s="38">
        <v>12527</v>
      </c>
      <c r="I4" s="38">
        <v>23467</v>
      </c>
      <c r="J4" s="38">
        <v>71068</v>
      </c>
      <c r="K4" s="38">
        <v>29088</v>
      </c>
      <c r="L4" s="38">
        <v>36998</v>
      </c>
      <c r="M4" s="38">
        <v>3570</v>
      </c>
      <c r="N4" s="38">
        <v>110480</v>
      </c>
      <c r="O4" s="38">
        <v>4134</v>
      </c>
      <c r="P4" s="38">
        <v>5</v>
      </c>
      <c r="Q4" s="38">
        <v>15</v>
      </c>
      <c r="R4" s="38">
        <v>196</v>
      </c>
      <c r="S4" s="38">
        <v>190</v>
      </c>
      <c r="T4" s="38">
        <v>73823</v>
      </c>
      <c r="U4" s="38">
        <v>1978566</v>
      </c>
      <c r="V4" s="38">
        <v>1761645</v>
      </c>
      <c r="W4" s="38">
        <v>48000</v>
      </c>
      <c r="X4" s="38">
        <v>522</v>
      </c>
      <c r="Y4" s="38">
        <v>98</v>
      </c>
      <c r="Z4" s="38">
        <v>620</v>
      </c>
      <c r="AA4" s="38">
        <v>2322593</v>
      </c>
      <c r="AB4" s="38">
        <v>1441470</v>
      </c>
      <c r="AC4" s="38">
        <v>297336</v>
      </c>
      <c r="AD4" s="38">
        <v>103588</v>
      </c>
      <c r="AE4" s="38">
        <v>186120</v>
      </c>
      <c r="AF4" s="38">
        <v>0</v>
      </c>
      <c r="AG4" s="38">
        <v>438451</v>
      </c>
      <c r="AH4" s="38">
        <v>4789558</v>
      </c>
      <c r="AI4" s="38">
        <v>3335112</v>
      </c>
      <c r="AJ4" s="38">
        <v>0</v>
      </c>
      <c r="AK4" s="38">
        <v>1995303</v>
      </c>
      <c r="AL4" s="38">
        <v>5330415</v>
      </c>
      <c r="AM4" s="38">
        <v>505799</v>
      </c>
      <c r="AN4" s="38">
        <v>0</v>
      </c>
      <c r="AO4" s="38">
        <v>25849</v>
      </c>
      <c r="AP4" s="38">
        <v>6071</v>
      </c>
      <c r="AQ4" s="38">
        <v>537719</v>
      </c>
      <c r="AR4" s="1">
        <f t="shared" si="2"/>
        <v>114614</v>
      </c>
      <c r="AS4">
        <f t="shared" si="3"/>
        <v>1.1231354784874366</v>
      </c>
      <c r="AT4">
        <f t="shared" si="0"/>
        <v>99.782458333333338</v>
      </c>
      <c r="AU4">
        <f t="shared" si="4"/>
        <v>1537.9791666666667</v>
      </c>
      <c r="AV4">
        <f t="shared" si="5"/>
        <v>36700.9375</v>
      </c>
      <c r="AW4">
        <f t="shared" si="6"/>
        <v>153833.85416666666</v>
      </c>
      <c r="AX4">
        <f t="shared" si="7"/>
        <v>157515.47916666666</v>
      </c>
      <c r="AY4">
        <f t="shared" si="8"/>
        <v>770.79166666666663</v>
      </c>
    </row>
    <row r="5" spans="1:51" x14ac:dyDescent="0.25">
      <c r="A5" s="1" t="s">
        <v>35</v>
      </c>
      <c r="B5" s="1" t="s">
        <v>147</v>
      </c>
      <c r="C5" s="44" t="s">
        <v>99</v>
      </c>
      <c r="D5" s="35">
        <f t="shared" si="1"/>
        <v>214</v>
      </c>
      <c r="E5" s="38">
        <v>141</v>
      </c>
      <c r="F5" s="38">
        <v>401</v>
      </c>
      <c r="G5" s="38">
        <v>16366142</v>
      </c>
      <c r="H5" s="38">
        <v>26078</v>
      </c>
      <c r="I5" s="38"/>
      <c r="J5" s="38">
        <v>796077</v>
      </c>
      <c r="K5" s="38">
        <v>5418049</v>
      </c>
      <c r="L5" s="38">
        <v>117905</v>
      </c>
      <c r="M5" s="38">
        <v>22354</v>
      </c>
      <c r="N5" s="38">
        <v>374994</v>
      </c>
      <c r="O5" s="38">
        <v>6380</v>
      </c>
      <c r="P5" s="38"/>
      <c r="Q5" s="38"/>
      <c r="R5" s="38"/>
      <c r="S5" s="38"/>
      <c r="T5" s="38">
        <v>284873</v>
      </c>
      <c r="U5" s="38">
        <v>4014677</v>
      </c>
      <c r="V5" s="38">
        <v>3788043</v>
      </c>
      <c r="W5" s="38">
        <v>214000</v>
      </c>
      <c r="X5" s="38">
        <v>1016</v>
      </c>
      <c r="Y5" s="38">
        <v>385</v>
      </c>
      <c r="Z5" s="38">
        <v>1401</v>
      </c>
      <c r="AA5" s="38">
        <v>3976037</v>
      </c>
      <c r="AB5" s="38">
        <v>7382380</v>
      </c>
      <c r="AC5" s="38">
        <v>35523</v>
      </c>
      <c r="AD5" s="38">
        <v>192953</v>
      </c>
      <c r="AE5" s="38">
        <v>117580</v>
      </c>
      <c r="AF5" s="38">
        <v>525570</v>
      </c>
      <c r="AG5" s="38">
        <v>559877</v>
      </c>
      <c r="AH5" s="38">
        <v>12789920</v>
      </c>
      <c r="AI5" s="38">
        <v>11030528</v>
      </c>
      <c r="AJ5" s="38">
        <v>420759</v>
      </c>
      <c r="AK5" s="38">
        <v>292935</v>
      </c>
      <c r="AL5" s="38">
        <v>11744223</v>
      </c>
      <c r="AM5" s="38"/>
      <c r="AN5" s="38"/>
      <c r="AO5" s="38"/>
      <c r="AP5" s="38"/>
      <c r="AQ5" s="38"/>
      <c r="AR5" s="1">
        <f t="shared" si="2"/>
        <v>381374</v>
      </c>
      <c r="AS5">
        <f t="shared" si="3"/>
        <v>1.0598287823026296</v>
      </c>
      <c r="AT5">
        <f t="shared" si="0"/>
        <v>59.765981308411213</v>
      </c>
      <c r="AU5">
        <f t="shared" si="4"/>
        <v>1331.1822429906542</v>
      </c>
      <c r="AV5">
        <f t="shared" si="5"/>
        <v>17701.135514018693</v>
      </c>
      <c r="AW5">
        <f t="shared" si="6"/>
        <v>76477.299065420564</v>
      </c>
      <c r="AX5">
        <f t="shared" si="7"/>
        <v>106292.54672897197</v>
      </c>
      <c r="AY5">
        <f t="shared" si="8"/>
        <v>550.95794392523362</v>
      </c>
    </row>
    <row r="6" spans="1:51" x14ac:dyDescent="0.25">
      <c r="A6" s="1" t="s">
        <v>36</v>
      </c>
      <c r="B6" s="1" t="s">
        <v>147</v>
      </c>
      <c r="C6" s="44" t="s">
        <v>100</v>
      </c>
      <c r="D6" s="35">
        <f t="shared" si="1"/>
        <v>61</v>
      </c>
      <c r="E6" s="38">
        <v>28</v>
      </c>
      <c r="F6" s="38">
        <v>28</v>
      </c>
      <c r="G6" s="38">
        <v>5467590</v>
      </c>
      <c r="H6" s="38"/>
      <c r="I6" s="38"/>
      <c r="J6" s="38">
        <v>25362</v>
      </c>
      <c r="K6" s="38"/>
      <c r="L6" s="38">
        <v>1590</v>
      </c>
      <c r="M6" s="38"/>
      <c r="N6" s="38">
        <v>134553</v>
      </c>
      <c r="O6" s="38"/>
      <c r="P6" s="38"/>
      <c r="Q6" s="38"/>
      <c r="R6" s="38"/>
      <c r="S6" s="38"/>
      <c r="T6" s="38">
        <v>88495</v>
      </c>
      <c r="U6" s="38">
        <v>4209082</v>
      </c>
      <c r="V6" s="38">
        <v>1547742</v>
      </c>
      <c r="W6" s="38">
        <v>61000</v>
      </c>
      <c r="X6" s="38">
        <v>362</v>
      </c>
      <c r="Y6" s="38">
        <v>22</v>
      </c>
      <c r="Z6" s="38">
        <v>384</v>
      </c>
      <c r="AA6" s="38">
        <v>933321</v>
      </c>
      <c r="AB6" s="38">
        <v>639562</v>
      </c>
      <c r="AC6" s="38">
        <v>0</v>
      </c>
      <c r="AD6" s="38">
        <v>0</v>
      </c>
      <c r="AE6" s="38">
        <v>0</v>
      </c>
      <c r="AF6" s="38">
        <v>0</v>
      </c>
      <c r="AG6" s="38">
        <v>245185</v>
      </c>
      <c r="AH6" s="38">
        <v>1818068</v>
      </c>
      <c r="AI6" s="38">
        <v>1112621</v>
      </c>
      <c r="AJ6" s="38">
        <v>32498</v>
      </c>
      <c r="AK6" s="38">
        <v>580061</v>
      </c>
      <c r="AL6" s="38">
        <v>1725180</v>
      </c>
      <c r="AM6" s="38">
        <v>491342</v>
      </c>
      <c r="AN6" s="38">
        <v>0</v>
      </c>
      <c r="AO6" s="38">
        <v>25110</v>
      </c>
      <c r="AP6" s="38">
        <v>5897</v>
      </c>
      <c r="AQ6" s="38">
        <v>522350</v>
      </c>
      <c r="AR6" s="1">
        <f t="shared" si="2"/>
        <v>134553</v>
      </c>
      <c r="AS6">
        <f t="shared" si="3"/>
        <v>2.7194984693831401</v>
      </c>
      <c r="AT6">
        <f t="shared" si="0"/>
        <v>29.804393442622949</v>
      </c>
      <c r="AU6">
        <f t="shared" si="4"/>
        <v>1450.7377049180327</v>
      </c>
      <c r="AV6">
        <f t="shared" si="5"/>
        <v>25372.819672131147</v>
      </c>
      <c r="AW6">
        <f t="shared" si="6"/>
        <v>89632.62295081967</v>
      </c>
      <c r="AX6">
        <f t="shared" si="7"/>
        <v>90074.459016393448</v>
      </c>
      <c r="AY6">
        <f t="shared" si="8"/>
        <v>26.065573770491802</v>
      </c>
    </row>
    <row r="7" spans="1:51" x14ac:dyDescent="0.25">
      <c r="A7" s="1" t="s">
        <v>37</v>
      </c>
      <c r="B7" s="1" t="s">
        <v>147</v>
      </c>
      <c r="C7" s="44" t="s">
        <v>101</v>
      </c>
      <c r="D7" s="35">
        <f t="shared" si="1"/>
        <v>97</v>
      </c>
      <c r="E7" s="38">
        <v>15</v>
      </c>
      <c r="F7" s="38">
        <v>106</v>
      </c>
      <c r="G7" s="38">
        <v>12319023</v>
      </c>
      <c r="H7" s="38">
        <v>4208</v>
      </c>
      <c r="I7" s="38">
        <v>4000</v>
      </c>
      <c r="J7" s="38">
        <v>249193</v>
      </c>
      <c r="K7" s="38">
        <v>28264</v>
      </c>
      <c r="L7" s="38">
        <v>3640</v>
      </c>
      <c r="M7" s="38">
        <v>2720</v>
      </c>
      <c r="N7" s="38">
        <v>155423</v>
      </c>
      <c r="O7" s="38">
        <v>32784</v>
      </c>
      <c r="P7" s="38">
        <v>4</v>
      </c>
      <c r="Q7" s="38">
        <v>3</v>
      </c>
      <c r="R7" s="38">
        <v>263</v>
      </c>
      <c r="S7" s="38">
        <v>263</v>
      </c>
      <c r="T7" s="38">
        <v>107259</v>
      </c>
      <c r="U7" s="38">
        <v>7194060</v>
      </c>
      <c r="V7" s="38">
        <v>4179376</v>
      </c>
      <c r="W7" s="38">
        <v>97000</v>
      </c>
      <c r="X7" s="38">
        <v>558</v>
      </c>
      <c r="Y7" s="38">
        <v>97</v>
      </c>
      <c r="Z7" s="38">
        <v>655</v>
      </c>
      <c r="AA7" s="38">
        <v>1644192</v>
      </c>
      <c r="AB7" s="38">
        <v>479185</v>
      </c>
      <c r="AC7" s="38">
        <v>0</v>
      </c>
      <c r="AD7" s="38">
        <v>156133</v>
      </c>
      <c r="AE7" s="38">
        <v>0</v>
      </c>
      <c r="AF7" s="38">
        <v>0</v>
      </c>
      <c r="AG7" s="38">
        <v>462325</v>
      </c>
      <c r="AH7" s="38">
        <v>2741835</v>
      </c>
      <c r="AI7" s="38">
        <v>2019659</v>
      </c>
      <c r="AJ7" s="38">
        <v>98125</v>
      </c>
      <c r="AK7" s="38">
        <v>624048</v>
      </c>
      <c r="AL7" s="38">
        <v>2741832</v>
      </c>
      <c r="AM7" s="38"/>
      <c r="AN7" s="38"/>
      <c r="AO7" s="38"/>
      <c r="AP7" s="38"/>
      <c r="AQ7" s="38"/>
      <c r="AR7" s="1">
        <f t="shared" si="2"/>
        <v>188207</v>
      </c>
      <c r="AS7">
        <f t="shared" si="3"/>
        <v>1.7213239488382954</v>
      </c>
      <c r="AT7">
        <f t="shared" si="0"/>
        <v>28.266340206185568</v>
      </c>
      <c r="AU7">
        <f t="shared" si="4"/>
        <v>1105.7628865979382</v>
      </c>
      <c r="AV7">
        <f t="shared" si="5"/>
        <v>43086.350515463921</v>
      </c>
      <c r="AW7">
        <f t="shared" si="6"/>
        <v>127000.23711340207</v>
      </c>
      <c r="AX7">
        <f t="shared" si="7"/>
        <v>130010.80412371134</v>
      </c>
      <c r="AY7">
        <f t="shared" si="8"/>
        <v>37.52577319587629</v>
      </c>
    </row>
    <row r="8" spans="1:51" x14ac:dyDescent="0.25">
      <c r="A8" s="1" t="s">
        <v>38</v>
      </c>
      <c r="B8" s="1" t="s">
        <v>147</v>
      </c>
      <c r="C8" s="44" t="s">
        <v>102</v>
      </c>
      <c r="D8" s="35">
        <f t="shared" si="1"/>
        <v>796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>
        <v>796000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1">
        <f t="shared" si="2"/>
        <v>0</v>
      </c>
      <c r="AS8" t="e">
        <f t="shared" si="3"/>
        <v>#DIV/0!</v>
      </c>
      <c r="AT8">
        <f t="shared" si="0"/>
        <v>0</v>
      </c>
      <c r="AU8">
        <f t="shared" si="4"/>
        <v>0</v>
      </c>
      <c r="AV8">
        <f t="shared" si="5"/>
        <v>0</v>
      </c>
      <c r="AW8">
        <f t="shared" si="6"/>
        <v>0</v>
      </c>
      <c r="AX8">
        <f t="shared" si="7"/>
        <v>0</v>
      </c>
      <c r="AY8">
        <f t="shared" si="8"/>
        <v>0</v>
      </c>
    </row>
    <row r="9" spans="1:51" x14ac:dyDescent="0.25">
      <c r="A9" s="1" t="s">
        <v>39</v>
      </c>
      <c r="B9" s="1" t="s">
        <v>147</v>
      </c>
      <c r="C9" s="44" t="s">
        <v>103</v>
      </c>
      <c r="D9" s="35">
        <f t="shared" si="1"/>
        <v>438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>
        <v>438000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1">
        <f t="shared" si="2"/>
        <v>0</v>
      </c>
      <c r="AS9" t="e">
        <f t="shared" si="3"/>
        <v>#DIV/0!</v>
      </c>
      <c r="AT9">
        <f t="shared" si="0"/>
        <v>0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7"/>
        <v>0</v>
      </c>
      <c r="AY9">
        <f t="shared" si="8"/>
        <v>0</v>
      </c>
    </row>
    <row r="10" spans="1:51" x14ac:dyDescent="0.25">
      <c r="A10" s="1" t="s">
        <v>40</v>
      </c>
      <c r="B10" s="1" t="s">
        <v>147</v>
      </c>
      <c r="C10" s="44" t="s">
        <v>104</v>
      </c>
      <c r="D10" s="35">
        <f t="shared" si="1"/>
        <v>112</v>
      </c>
      <c r="E10" s="38">
        <v>34</v>
      </c>
      <c r="F10" s="38">
        <v>569</v>
      </c>
      <c r="G10" s="38">
        <v>4663015</v>
      </c>
      <c r="H10" s="38">
        <v>7561</v>
      </c>
      <c r="I10" s="38">
        <v>9455</v>
      </c>
      <c r="J10" s="38"/>
      <c r="K10" s="38"/>
      <c r="L10" s="38"/>
      <c r="M10" s="38">
        <v>1017</v>
      </c>
      <c r="N10" s="38">
        <v>88241</v>
      </c>
      <c r="O10" s="38">
        <v>439</v>
      </c>
      <c r="P10" s="38"/>
      <c r="Q10" s="38"/>
      <c r="R10" s="38">
        <v>261</v>
      </c>
      <c r="S10" s="38">
        <v>80</v>
      </c>
      <c r="T10" s="38">
        <v>145708</v>
      </c>
      <c r="U10" s="38">
        <v>2594041</v>
      </c>
      <c r="V10" s="38">
        <v>847070</v>
      </c>
      <c r="W10" s="38">
        <v>112000</v>
      </c>
      <c r="X10" s="38">
        <v>262</v>
      </c>
      <c r="Y10" s="38">
        <v>228</v>
      </c>
      <c r="Z10" s="38">
        <v>490</v>
      </c>
      <c r="AA10" s="38">
        <v>1069535</v>
      </c>
      <c r="AB10" s="38">
        <v>829960</v>
      </c>
      <c r="AC10" s="38">
        <v>72718</v>
      </c>
      <c r="AD10" s="38">
        <v>140600</v>
      </c>
      <c r="AE10" s="38">
        <v>54571</v>
      </c>
      <c r="AF10" s="38">
        <v>1075864</v>
      </c>
      <c r="AG10" s="38">
        <v>106293</v>
      </c>
      <c r="AH10" s="38">
        <v>3349541</v>
      </c>
      <c r="AI10" s="38">
        <v>2902983</v>
      </c>
      <c r="AJ10" s="38">
        <v>27554</v>
      </c>
      <c r="AK10" s="38">
        <v>321355</v>
      </c>
      <c r="AL10" s="38">
        <v>3251893</v>
      </c>
      <c r="AM10" s="38">
        <v>220415</v>
      </c>
      <c r="AN10" s="38">
        <v>0</v>
      </c>
      <c r="AO10" s="38">
        <v>136188</v>
      </c>
      <c r="AP10" s="38">
        <v>0</v>
      </c>
      <c r="AQ10" s="38">
        <v>356603</v>
      </c>
      <c r="AR10" s="1">
        <f t="shared" si="2"/>
        <v>88680</v>
      </c>
      <c r="AS10">
        <f t="shared" si="3"/>
        <v>3.0623691076298298</v>
      </c>
      <c r="AT10">
        <f t="shared" si="0"/>
        <v>29.906616071428573</v>
      </c>
      <c r="AU10">
        <f t="shared" si="4"/>
        <v>1300.9642857142858</v>
      </c>
      <c r="AV10">
        <f t="shared" si="5"/>
        <v>7563.125</v>
      </c>
      <c r="AW10">
        <f t="shared" si="6"/>
        <v>41634.0625</v>
      </c>
      <c r="AX10">
        <f t="shared" si="7"/>
        <v>41795.071428571428</v>
      </c>
      <c r="AY10">
        <f t="shared" si="8"/>
        <v>0</v>
      </c>
    </row>
    <row r="11" spans="1:51" x14ac:dyDescent="0.25">
      <c r="A11" s="1" t="s">
        <v>41</v>
      </c>
      <c r="B11" s="1" t="s">
        <v>147</v>
      </c>
      <c r="C11" s="44" t="s">
        <v>105</v>
      </c>
      <c r="D11" s="35">
        <f t="shared" si="1"/>
        <v>55</v>
      </c>
      <c r="E11" s="38">
        <v>53</v>
      </c>
      <c r="F11" s="38">
        <v>79</v>
      </c>
      <c r="G11" s="38">
        <v>4080556</v>
      </c>
      <c r="H11" s="38">
        <v>16504</v>
      </c>
      <c r="I11" s="38">
        <v>13802</v>
      </c>
      <c r="J11" s="38"/>
      <c r="K11" s="38"/>
      <c r="L11" s="38"/>
      <c r="M11" s="38"/>
      <c r="N11" s="38">
        <v>127715</v>
      </c>
      <c r="O11" s="38">
        <v>12372</v>
      </c>
      <c r="P11" s="38"/>
      <c r="Q11" s="38">
        <v>44</v>
      </c>
      <c r="R11" s="38">
        <v>262</v>
      </c>
      <c r="S11" s="38">
        <v>249</v>
      </c>
      <c r="T11" s="38">
        <v>124456</v>
      </c>
      <c r="U11" s="38">
        <v>2949667</v>
      </c>
      <c r="V11" s="38">
        <v>1533531</v>
      </c>
      <c r="W11" s="38">
        <v>55000</v>
      </c>
      <c r="X11" s="38">
        <v>268</v>
      </c>
      <c r="Y11" s="38">
        <v>97</v>
      </c>
      <c r="Z11" s="38">
        <v>365</v>
      </c>
      <c r="AA11" s="38">
        <v>912040</v>
      </c>
      <c r="AB11" s="38">
        <v>4200165</v>
      </c>
      <c r="AC11" s="38">
        <v>12882</v>
      </c>
      <c r="AD11" s="38">
        <v>69969</v>
      </c>
      <c r="AE11" s="38">
        <v>42637</v>
      </c>
      <c r="AF11" s="38">
        <v>190584</v>
      </c>
      <c r="AG11" s="38">
        <v>3456985</v>
      </c>
      <c r="AH11" s="38">
        <v>8885262</v>
      </c>
      <c r="AI11" s="38">
        <v>5730373</v>
      </c>
      <c r="AJ11" s="38">
        <v>167375</v>
      </c>
      <c r="AK11" s="38">
        <v>2987513</v>
      </c>
      <c r="AL11" s="38">
        <v>8885262</v>
      </c>
      <c r="AM11" s="38"/>
      <c r="AN11" s="38"/>
      <c r="AO11" s="38"/>
      <c r="AP11" s="38"/>
      <c r="AQ11" s="38"/>
      <c r="AR11" s="1">
        <f t="shared" si="2"/>
        <v>140087</v>
      </c>
      <c r="AS11">
        <f t="shared" si="3"/>
        <v>1.9234479120409043</v>
      </c>
      <c r="AT11">
        <f t="shared" si="0"/>
        <v>161.5502181818182</v>
      </c>
      <c r="AU11">
        <f t="shared" si="4"/>
        <v>2262.8363636363638</v>
      </c>
      <c r="AV11">
        <f t="shared" si="5"/>
        <v>27882.381818181817</v>
      </c>
      <c r="AW11">
        <f t="shared" si="6"/>
        <v>74191.927272727276</v>
      </c>
      <c r="AX11">
        <f t="shared" si="7"/>
        <v>74742.94545454545</v>
      </c>
      <c r="AY11">
        <f t="shared" si="8"/>
        <v>0</v>
      </c>
    </row>
    <row r="12" spans="1:51" x14ac:dyDescent="0.25">
      <c r="A12" s="1" t="s">
        <v>42</v>
      </c>
      <c r="B12" s="1" t="s">
        <v>148</v>
      </c>
      <c r="C12" s="44" t="s">
        <v>106</v>
      </c>
      <c r="D12" s="35">
        <f t="shared" si="1"/>
        <v>269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>
        <v>269000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1">
        <f t="shared" si="2"/>
        <v>0</v>
      </c>
      <c r="AS12" t="e">
        <f t="shared" si="3"/>
        <v>#DIV/0!</v>
      </c>
      <c r="AT12">
        <f t="shared" si="0"/>
        <v>0</v>
      </c>
      <c r="AU12">
        <f t="shared" si="4"/>
        <v>0</v>
      </c>
      <c r="AV12">
        <f t="shared" si="5"/>
        <v>0</v>
      </c>
      <c r="AW12">
        <f t="shared" si="6"/>
        <v>0</v>
      </c>
      <c r="AX12">
        <f t="shared" si="7"/>
        <v>0</v>
      </c>
      <c r="AY12">
        <f t="shared" si="8"/>
        <v>0</v>
      </c>
    </row>
    <row r="13" spans="1:51" x14ac:dyDescent="0.25">
      <c r="A13" s="1" t="s">
        <v>320</v>
      </c>
      <c r="B13" s="1" t="s">
        <v>320</v>
      </c>
      <c r="C13" s="44" t="s">
        <v>317</v>
      </c>
      <c r="D13" s="35">
        <v>94</v>
      </c>
      <c r="E13" s="38">
        <v>41</v>
      </c>
      <c r="F13" s="38">
        <v>317</v>
      </c>
      <c r="G13" s="38">
        <v>9811675</v>
      </c>
      <c r="H13" s="38">
        <v>40200</v>
      </c>
      <c r="I13" s="38">
        <v>10953</v>
      </c>
      <c r="J13" s="38">
        <v>110</v>
      </c>
      <c r="K13" s="38">
        <v>2672</v>
      </c>
      <c r="L13" s="38">
        <v>7793</v>
      </c>
      <c r="M13" s="38">
        <v>1340</v>
      </c>
      <c r="N13" s="38">
        <v>187374</v>
      </c>
      <c r="O13" s="38">
        <v>353</v>
      </c>
      <c r="P13" s="38">
        <v>46</v>
      </c>
      <c r="Q13" s="38">
        <v>60</v>
      </c>
      <c r="R13" s="38">
        <v>311</v>
      </c>
      <c r="S13" s="38"/>
      <c r="T13" s="38">
        <v>75145</v>
      </c>
      <c r="U13" s="38">
        <v>674914</v>
      </c>
      <c r="V13" s="38">
        <v>720027</v>
      </c>
      <c r="W13" s="38">
        <v>94000</v>
      </c>
      <c r="X13" s="38">
        <v>113</v>
      </c>
      <c r="Y13" s="38">
        <v>197</v>
      </c>
      <c r="Z13" s="38">
        <v>305</v>
      </c>
      <c r="AA13" s="38">
        <v>7996380</v>
      </c>
      <c r="AB13" s="38">
        <v>5161661</v>
      </c>
      <c r="AC13" s="38">
        <v>606533</v>
      </c>
      <c r="AD13" s="38">
        <v>368990</v>
      </c>
      <c r="AE13" s="38">
        <v>82920</v>
      </c>
      <c r="AF13" s="38">
        <v>0</v>
      </c>
      <c r="AG13" s="38">
        <v>366734</v>
      </c>
      <c r="AH13" s="38">
        <v>14583218</v>
      </c>
      <c r="AI13" s="38">
        <v>4550869</v>
      </c>
      <c r="AJ13" s="38">
        <v>82920</v>
      </c>
      <c r="AK13" s="38">
        <v>40332</v>
      </c>
      <c r="AL13" s="38">
        <v>4674121</v>
      </c>
      <c r="AM13" s="38">
        <v>0</v>
      </c>
      <c r="AN13" s="38">
        <v>0</v>
      </c>
      <c r="AO13" s="38">
        <v>65444</v>
      </c>
      <c r="AP13" s="38">
        <v>6867</v>
      </c>
      <c r="AQ13" s="38">
        <v>72311</v>
      </c>
      <c r="AR13" s="1">
        <v>187727</v>
      </c>
      <c r="AS13">
        <f>+U13/V13</f>
        <v>0.93734540510286424</v>
      </c>
      <c r="AT13">
        <f>+AH13/W13</f>
        <v>155.1406170212766</v>
      </c>
      <c r="AU13">
        <f>+T13/D13</f>
        <v>799.41489361702122</v>
      </c>
      <c r="AV13">
        <f>+V13/D13</f>
        <v>7659.8617021276596</v>
      </c>
      <c r="AW13">
        <f>+G13/D13</f>
        <v>104379.52127659574</v>
      </c>
      <c r="AX13">
        <f>SUM(G13:M13)/D13</f>
        <v>105050.4574468085</v>
      </c>
      <c r="AY13">
        <f>+L13/D13</f>
        <v>82.90425531914893</v>
      </c>
    </row>
    <row r="14" spans="1:51" x14ac:dyDescent="0.25">
      <c r="A14" s="1" t="s">
        <v>321</v>
      </c>
      <c r="B14" s="1" t="s">
        <v>321</v>
      </c>
      <c r="C14" s="44" t="s">
        <v>318</v>
      </c>
      <c r="D14" s="35">
        <v>60</v>
      </c>
      <c r="E14" s="38"/>
      <c r="F14" s="38"/>
      <c r="G14" s="38">
        <v>8948663</v>
      </c>
      <c r="H14" s="38">
        <v>17836</v>
      </c>
      <c r="I14" s="38">
        <v>17852</v>
      </c>
      <c r="J14" s="38">
        <v>600</v>
      </c>
      <c r="K14" s="38">
        <v>279683</v>
      </c>
      <c r="L14" s="38">
        <v>6462</v>
      </c>
      <c r="M14" s="38">
        <v>903</v>
      </c>
      <c r="N14" s="38">
        <v>126961</v>
      </c>
      <c r="O14" s="38">
        <v>1676</v>
      </c>
      <c r="P14" s="38">
        <v>44</v>
      </c>
      <c r="Q14" s="38">
        <v>54</v>
      </c>
      <c r="R14" s="38">
        <v>376</v>
      </c>
      <c r="S14" s="38"/>
      <c r="T14" s="38">
        <v>50333</v>
      </c>
      <c r="U14" s="38">
        <v>453954</v>
      </c>
      <c r="V14" s="38">
        <v>3104312</v>
      </c>
      <c r="W14" s="38">
        <v>60000</v>
      </c>
      <c r="X14" s="38">
        <v>122</v>
      </c>
      <c r="Y14" s="38">
        <v>184</v>
      </c>
      <c r="Z14" s="38">
        <v>305</v>
      </c>
      <c r="AA14" s="38">
        <v>7661861</v>
      </c>
      <c r="AB14" s="38">
        <v>7003969</v>
      </c>
      <c r="AC14" s="38">
        <v>602631</v>
      </c>
      <c r="AD14" s="38">
        <v>387143</v>
      </c>
      <c r="AE14" s="38">
        <v>749875</v>
      </c>
      <c r="AF14" s="38">
        <v>0</v>
      </c>
      <c r="AG14" s="38">
        <v>362068</v>
      </c>
      <c r="AH14" s="38">
        <v>16767548</v>
      </c>
      <c r="AI14" s="38">
        <v>6514595</v>
      </c>
      <c r="AJ14" s="38">
        <v>263176</v>
      </c>
      <c r="AK14" s="38">
        <v>261511</v>
      </c>
      <c r="AL14" s="38">
        <v>6688966</v>
      </c>
      <c r="AM14" s="38">
        <v>0</v>
      </c>
      <c r="AN14" s="38">
        <v>26196</v>
      </c>
      <c r="AO14" s="38">
        <v>53352</v>
      </c>
      <c r="AP14" s="38">
        <v>0</v>
      </c>
      <c r="AQ14" s="38">
        <v>43802</v>
      </c>
      <c r="AR14" s="1">
        <v>128637</v>
      </c>
      <c r="AS14">
        <f>+U14/V14</f>
        <v>0.14623336829545483</v>
      </c>
      <c r="AT14">
        <f>+AH14/W14</f>
        <v>279.45913333333334</v>
      </c>
      <c r="AU14">
        <f>+T14/D14</f>
        <v>838.88333333333333</v>
      </c>
      <c r="AV14">
        <f>+V14/D14</f>
        <v>51738.533333333333</v>
      </c>
      <c r="AW14">
        <f>+G14/D14</f>
        <v>149144.38333333333</v>
      </c>
      <c r="AX14">
        <f>SUM(G14:M14)/D14</f>
        <v>154533.31666666668</v>
      </c>
      <c r="AY14">
        <f>+L14/D14</f>
        <v>107.7</v>
      </c>
    </row>
    <row r="15" spans="1:51" x14ac:dyDescent="0.25">
      <c r="A15" s="1" t="s">
        <v>43</v>
      </c>
      <c r="B15" s="1" t="s">
        <v>148</v>
      </c>
      <c r="C15" s="44" t="s">
        <v>107</v>
      </c>
      <c r="D15" s="35">
        <f t="shared" si="1"/>
        <v>154.798</v>
      </c>
      <c r="E15" s="38">
        <v>72</v>
      </c>
      <c r="F15" s="38">
        <v>44</v>
      </c>
      <c r="G15" s="38">
        <v>18760338</v>
      </c>
      <c r="H15" s="38">
        <v>58036</v>
      </c>
      <c r="I15" s="38">
        <v>28805</v>
      </c>
      <c r="J15" s="38">
        <v>710</v>
      </c>
      <c r="K15" s="38">
        <v>282355</v>
      </c>
      <c r="L15" s="38">
        <v>14255</v>
      </c>
      <c r="M15" s="38">
        <v>2243</v>
      </c>
      <c r="N15" s="38">
        <v>314335</v>
      </c>
      <c r="O15" s="38">
        <v>2029</v>
      </c>
      <c r="P15" s="38">
        <v>45</v>
      </c>
      <c r="Q15" s="38">
        <v>55</v>
      </c>
      <c r="R15" s="38">
        <v>687</v>
      </c>
      <c r="S15" s="38"/>
      <c r="T15" s="38">
        <v>125478</v>
      </c>
      <c r="U15" s="38">
        <v>1128868</v>
      </c>
      <c r="V15" s="38">
        <v>3824339</v>
      </c>
      <c r="W15" s="38">
        <v>154798</v>
      </c>
      <c r="X15" s="38">
        <v>235</v>
      </c>
      <c r="Y15" s="38">
        <v>381</v>
      </c>
      <c r="Z15" s="38">
        <v>616</v>
      </c>
      <c r="AA15" s="38">
        <v>15686241</v>
      </c>
      <c r="AB15" s="38">
        <v>12165630</v>
      </c>
      <c r="AC15" s="38">
        <v>1209164</v>
      </c>
      <c r="AD15" s="38">
        <v>756134</v>
      </c>
      <c r="AE15" s="38">
        <v>832796</v>
      </c>
      <c r="AF15" s="38">
        <v>0</v>
      </c>
      <c r="AG15" s="38">
        <v>728801</v>
      </c>
      <c r="AH15" s="38">
        <v>31378766</v>
      </c>
      <c r="AI15" s="38">
        <v>20180280</v>
      </c>
      <c r="AJ15" s="38">
        <v>323786</v>
      </c>
      <c r="AK15" s="38">
        <v>272096</v>
      </c>
      <c r="AL15" s="38">
        <v>20776162</v>
      </c>
      <c r="AM15" s="38">
        <v>0</v>
      </c>
      <c r="AN15" s="38">
        <v>111359</v>
      </c>
      <c r="AO15" s="38">
        <v>6867</v>
      </c>
      <c r="AP15" s="38">
        <v>101809</v>
      </c>
      <c r="AQ15" s="38">
        <v>220035</v>
      </c>
      <c r="AR15" s="1">
        <f t="shared" si="2"/>
        <v>316364</v>
      </c>
      <c r="AS15">
        <f t="shared" si="3"/>
        <v>0.29517989906229547</v>
      </c>
      <c r="AT15">
        <f t="shared" si="0"/>
        <v>202.70782568250235</v>
      </c>
      <c r="AU15">
        <f t="shared" si="4"/>
        <v>810.59186811199106</v>
      </c>
      <c r="AV15">
        <f t="shared" si="5"/>
        <v>24705.351490329333</v>
      </c>
      <c r="AW15">
        <f t="shared" si="6"/>
        <v>121192.37974650835</v>
      </c>
      <c r="AX15">
        <f t="shared" si="7"/>
        <v>123688.56186772439</v>
      </c>
      <c r="AY15">
        <f t="shared" si="8"/>
        <v>92.087753071745112</v>
      </c>
    </row>
    <row r="16" spans="1:51" x14ac:dyDescent="0.25">
      <c r="A16" s="1" t="s">
        <v>44</v>
      </c>
      <c r="B16" s="1" t="s">
        <v>148</v>
      </c>
      <c r="C16" s="44" t="s">
        <v>108</v>
      </c>
      <c r="D16" s="35">
        <f t="shared" si="1"/>
        <v>180</v>
      </c>
      <c r="E16" s="38">
        <v>19</v>
      </c>
      <c r="F16" s="38">
        <v>43</v>
      </c>
      <c r="G16" s="38">
        <v>10548697</v>
      </c>
      <c r="H16" s="38"/>
      <c r="I16" s="38">
        <v>95313</v>
      </c>
      <c r="J16" s="38">
        <v>91740</v>
      </c>
      <c r="K16" s="38">
        <v>1203105</v>
      </c>
      <c r="L16" s="38">
        <v>857726</v>
      </c>
      <c r="M16" s="38">
        <v>30834</v>
      </c>
      <c r="N16" s="38">
        <v>248933</v>
      </c>
      <c r="O16" s="38">
        <v>20955</v>
      </c>
      <c r="P16" s="38"/>
      <c r="Q16" s="38"/>
      <c r="R16" s="38">
        <v>848</v>
      </c>
      <c r="S16" s="38"/>
      <c r="T16" s="38"/>
      <c r="U16" s="38">
        <v>4846988</v>
      </c>
      <c r="V16" s="38"/>
      <c r="W16" s="38">
        <v>180000</v>
      </c>
      <c r="X16" s="38">
        <v>398</v>
      </c>
      <c r="Y16" s="38">
        <v>432</v>
      </c>
      <c r="Z16" s="38">
        <v>830</v>
      </c>
      <c r="AA16" s="38">
        <v>38104345</v>
      </c>
      <c r="AB16" s="38">
        <v>16651008</v>
      </c>
      <c r="AC16" s="38">
        <v>595731</v>
      </c>
      <c r="AD16" s="38">
        <v>32925</v>
      </c>
      <c r="AE16" s="38">
        <v>310085</v>
      </c>
      <c r="AF16" s="38">
        <v>0</v>
      </c>
      <c r="AG16" s="38">
        <v>10979155</v>
      </c>
      <c r="AH16" s="38">
        <v>66673249</v>
      </c>
      <c r="AI16" s="38">
        <v>61903726</v>
      </c>
      <c r="AJ16" s="38">
        <v>1806241</v>
      </c>
      <c r="AK16" s="38">
        <v>2963283</v>
      </c>
      <c r="AL16" s="38">
        <v>66673249</v>
      </c>
      <c r="AM16" s="38">
        <v>2229685</v>
      </c>
      <c r="AN16" s="38">
        <v>0</v>
      </c>
      <c r="AO16" s="38">
        <v>0</v>
      </c>
      <c r="AP16" s="38">
        <v>0</v>
      </c>
      <c r="AQ16" s="38">
        <v>2229685</v>
      </c>
      <c r="AR16" s="1">
        <f t="shared" si="2"/>
        <v>269888</v>
      </c>
      <c r="AS16" t="e">
        <f t="shared" si="3"/>
        <v>#DIV/0!</v>
      </c>
      <c r="AT16">
        <f t="shared" si="0"/>
        <v>370.40693888888887</v>
      </c>
      <c r="AU16">
        <f t="shared" si="4"/>
        <v>0</v>
      </c>
      <c r="AV16">
        <f t="shared" si="5"/>
        <v>0</v>
      </c>
      <c r="AW16">
        <f t="shared" si="6"/>
        <v>58603.87222222222</v>
      </c>
      <c r="AX16">
        <f t="shared" si="7"/>
        <v>71263.416666666672</v>
      </c>
      <c r="AY16">
        <f t="shared" si="8"/>
        <v>4765.1444444444442</v>
      </c>
    </row>
    <row r="17" spans="1:51" x14ac:dyDescent="0.25">
      <c r="A17" s="1" t="s">
        <v>45</v>
      </c>
      <c r="B17" s="1" t="s">
        <v>148</v>
      </c>
      <c r="C17" s="44" t="s">
        <v>109</v>
      </c>
      <c r="D17" s="35">
        <f t="shared" si="1"/>
        <v>137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>
        <v>137000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1">
        <f t="shared" si="2"/>
        <v>0</v>
      </c>
      <c r="AS17" t="e">
        <f t="shared" si="3"/>
        <v>#DIV/0!</v>
      </c>
      <c r="AT17">
        <f t="shared" si="0"/>
        <v>0</v>
      </c>
      <c r="AU17">
        <f t="shared" si="4"/>
        <v>0</v>
      </c>
      <c r="AV17">
        <f t="shared" si="5"/>
        <v>0</v>
      </c>
      <c r="AW17">
        <f t="shared" si="6"/>
        <v>0</v>
      </c>
      <c r="AX17">
        <f t="shared" si="7"/>
        <v>0</v>
      </c>
      <c r="AY17">
        <f t="shared" si="8"/>
        <v>0</v>
      </c>
    </row>
    <row r="18" spans="1:51" x14ac:dyDescent="0.25">
      <c r="A18" s="1" t="s">
        <v>46</v>
      </c>
      <c r="B18" s="1" t="s">
        <v>148</v>
      </c>
      <c r="C18" s="44" t="s">
        <v>110</v>
      </c>
      <c r="D18" s="35">
        <f t="shared" si="1"/>
        <v>224</v>
      </c>
      <c r="E18" s="38">
        <v>47</v>
      </c>
      <c r="F18" s="38">
        <v>457</v>
      </c>
      <c r="G18" s="38">
        <v>15437808</v>
      </c>
      <c r="H18" s="38">
        <v>237807</v>
      </c>
      <c r="I18" s="38">
        <v>273707</v>
      </c>
      <c r="J18" s="38">
        <v>265120</v>
      </c>
      <c r="K18" s="38">
        <v>1274515</v>
      </c>
      <c r="L18" s="38">
        <v>306772</v>
      </c>
      <c r="M18" s="38"/>
      <c r="N18" s="38">
        <v>620732</v>
      </c>
      <c r="O18" s="38">
        <v>18049</v>
      </c>
      <c r="P18" s="38">
        <v>45</v>
      </c>
      <c r="Q18" s="38"/>
      <c r="R18" s="38"/>
      <c r="S18" s="38"/>
      <c r="T18" s="38"/>
      <c r="U18" s="38">
        <v>13070949</v>
      </c>
      <c r="V18" s="38">
        <v>16070244</v>
      </c>
      <c r="W18" s="38">
        <v>224000</v>
      </c>
      <c r="X18" s="38">
        <v>1260</v>
      </c>
      <c r="Y18" s="38">
        <v>137</v>
      </c>
      <c r="Z18" s="38">
        <v>1397</v>
      </c>
      <c r="AA18" s="38">
        <v>35800663</v>
      </c>
      <c r="AB18" s="38">
        <v>21903460</v>
      </c>
      <c r="AC18" s="38">
        <v>0</v>
      </c>
      <c r="AD18" s="38">
        <v>0</v>
      </c>
      <c r="AE18" s="38">
        <v>0</v>
      </c>
      <c r="AF18" s="38">
        <v>19252956</v>
      </c>
      <c r="AG18" s="38">
        <v>10771852</v>
      </c>
      <c r="AH18" s="38">
        <v>87728930</v>
      </c>
      <c r="AI18" s="38">
        <v>57682476</v>
      </c>
      <c r="AJ18" s="38">
        <v>4033957</v>
      </c>
      <c r="AK18" s="38">
        <v>6954000</v>
      </c>
      <c r="AL18" s="38">
        <v>68670434</v>
      </c>
      <c r="AM18" s="38"/>
      <c r="AN18" s="38"/>
      <c r="AO18" s="38"/>
      <c r="AP18" s="38"/>
      <c r="AQ18" s="38"/>
      <c r="AR18" s="1">
        <f t="shared" si="2"/>
        <v>638781</v>
      </c>
      <c r="AS18">
        <f t="shared" si="3"/>
        <v>0.81336344364155266</v>
      </c>
      <c r="AT18">
        <f t="shared" si="0"/>
        <v>391.64700892857144</v>
      </c>
      <c r="AU18">
        <f t="shared" si="4"/>
        <v>0</v>
      </c>
      <c r="AV18">
        <f t="shared" si="5"/>
        <v>71742.16071428571</v>
      </c>
      <c r="AW18">
        <f t="shared" si="6"/>
        <v>68918.78571428571</v>
      </c>
      <c r="AX18">
        <f t="shared" si="7"/>
        <v>79445.21875</v>
      </c>
      <c r="AY18">
        <f t="shared" si="8"/>
        <v>1369.5178571428571</v>
      </c>
    </row>
    <row r="19" spans="1:51" x14ac:dyDescent="0.25">
      <c r="A19" s="1" t="s">
        <v>47</v>
      </c>
      <c r="B19" s="1" t="s">
        <v>148</v>
      </c>
      <c r="C19" s="44" t="s">
        <v>111</v>
      </c>
      <c r="D19" s="35">
        <f t="shared" si="1"/>
        <v>2278</v>
      </c>
      <c r="E19" s="38">
        <v>95</v>
      </c>
      <c r="F19" s="38">
        <v>396</v>
      </c>
      <c r="G19" s="38">
        <v>25684360</v>
      </c>
      <c r="H19" s="38">
        <v>152995</v>
      </c>
      <c r="I19" s="38"/>
      <c r="J19" s="38"/>
      <c r="K19" s="38">
        <v>1384057</v>
      </c>
      <c r="L19" s="38">
        <v>97296</v>
      </c>
      <c r="M19" s="38">
        <v>44108</v>
      </c>
      <c r="N19" s="38">
        <v>1008519</v>
      </c>
      <c r="O19" s="38"/>
      <c r="P19" s="38">
        <v>35</v>
      </c>
      <c r="Q19" s="38"/>
      <c r="R19" s="38"/>
      <c r="S19" s="38"/>
      <c r="T19" s="38"/>
      <c r="U19" s="38"/>
      <c r="V19" s="38"/>
      <c r="W19" s="38">
        <v>2278000</v>
      </c>
      <c r="X19" s="38">
        <v>1812</v>
      </c>
      <c r="Y19" s="38">
        <v>2552</v>
      </c>
      <c r="Z19" s="38">
        <v>4364</v>
      </c>
      <c r="AA19" s="38">
        <v>159036673</v>
      </c>
      <c r="AB19" s="38">
        <v>57524645</v>
      </c>
      <c r="AC19" s="38">
        <v>5631979</v>
      </c>
      <c r="AD19" s="38">
        <v>0</v>
      </c>
      <c r="AE19" s="38">
        <v>0</v>
      </c>
      <c r="AF19" s="38">
        <v>0</v>
      </c>
      <c r="AG19" s="38">
        <v>64797689</v>
      </c>
      <c r="AH19" s="38">
        <v>286990986</v>
      </c>
      <c r="AI19" s="38">
        <v>273570384</v>
      </c>
      <c r="AJ19" s="38">
        <v>8148186</v>
      </c>
      <c r="AK19" s="38">
        <v>7829233</v>
      </c>
      <c r="AL19" s="38">
        <v>289547804</v>
      </c>
      <c r="AM19" s="38"/>
      <c r="AN19" s="38"/>
      <c r="AO19" s="38"/>
      <c r="AP19" s="38"/>
      <c r="AQ19" s="38"/>
      <c r="AR19" s="1">
        <f t="shared" si="2"/>
        <v>1008519</v>
      </c>
      <c r="AS19" t="e">
        <f t="shared" si="3"/>
        <v>#DIV/0!</v>
      </c>
      <c r="AT19">
        <f t="shared" si="0"/>
        <v>125.98375153643546</v>
      </c>
      <c r="AU19">
        <f t="shared" si="4"/>
        <v>0</v>
      </c>
      <c r="AV19">
        <f t="shared" si="5"/>
        <v>0</v>
      </c>
      <c r="AW19">
        <f t="shared" si="6"/>
        <v>11274.960491659351</v>
      </c>
      <c r="AX19">
        <f t="shared" si="7"/>
        <v>12011.771729587357</v>
      </c>
      <c r="AY19">
        <f t="shared" si="8"/>
        <v>42.711150131694467</v>
      </c>
    </row>
    <row r="20" spans="1:51" x14ac:dyDescent="0.25">
      <c r="A20" s="1" t="s">
        <v>48</v>
      </c>
      <c r="B20" s="1" t="s">
        <v>148</v>
      </c>
      <c r="C20" s="44" t="s">
        <v>112</v>
      </c>
      <c r="D20" s="35">
        <f t="shared" si="1"/>
        <v>347</v>
      </c>
      <c r="E20" s="38">
        <v>82</v>
      </c>
      <c r="F20" s="38">
        <v>172</v>
      </c>
      <c r="G20" s="38">
        <v>5683287</v>
      </c>
      <c r="H20" s="38"/>
      <c r="I20" s="38">
        <v>36200</v>
      </c>
      <c r="J20" s="38">
        <v>29790</v>
      </c>
      <c r="K20" s="38">
        <v>25338</v>
      </c>
      <c r="L20" s="38">
        <v>22796</v>
      </c>
      <c r="M20" s="38">
        <v>14045</v>
      </c>
      <c r="N20" s="38">
        <v>296750</v>
      </c>
      <c r="O20" s="38">
        <v>1439</v>
      </c>
      <c r="P20" s="38">
        <v>36</v>
      </c>
      <c r="Q20" s="38">
        <v>49</v>
      </c>
      <c r="R20" s="38"/>
      <c r="S20" s="38"/>
      <c r="T20" s="38">
        <v>402192</v>
      </c>
      <c r="U20" s="38">
        <v>1415696</v>
      </c>
      <c r="V20" s="38"/>
      <c r="W20" s="38">
        <v>347000</v>
      </c>
      <c r="X20" s="38">
        <v>728</v>
      </c>
      <c r="Y20" s="38">
        <v>395</v>
      </c>
      <c r="Z20" s="38">
        <v>1123</v>
      </c>
      <c r="AA20" s="38">
        <v>3852511</v>
      </c>
      <c r="AB20" s="38">
        <v>13843950</v>
      </c>
      <c r="AC20" s="38">
        <v>661987</v>
      </c>
      <c r="AD20" s="38">
        <v>120455</v>
      </c>
      <c r="AE20" s="38">
        <v>0</v>
      </c>
      <c r="AF20" s="38">
        <v>901194</v>
      </c>
      <c r="AG20" s="38">
        <v>3747423</v>
      </c>
      <c r="AH20" s="38">
        <v>23127520</v>
      </c>
      <c r="AI20" s="38">
        <v>12977011</v>
      </c>
      <c r="AJ20" s="38">
        <v>9975543</v>
      </c>
      <c r="AK20" s="38">
        <v>174966</v>
      </c>
      <c r="AL20" s="38">
        <v>23127520</v>
      </c>
      <c r="AM20" s="38"/>
      <c r="AN20" s="38"/>
      <c r="AO20" s="38"/>
      <c r="AP20" s="38"/>
      <c r="AQ20" s="38"/>
      <c r="AR20" s="1">
        <f t="shared" si="2"/>
        <v>298189</v>
      </c>
      <c r="AS20" t="e">
        <f t="shared" si="3"/>
        <v>#DIV/0!</v>
      </c>
      <c r="AT20">
        <f t="shared" si="0"/>
        <v>66.649913544668593</v>
      </c>
      <c r="AU20">
        <f t="shared" si="4"/>
        <v>1159.0547550432277</v>
      </c>
      <c r="AV20">
        <f t="shared" si="5"/>
        <v>0</v>
      </c>
      <c r="AW20">
        <f t="shared" si="6"/>
        <v>16378.34870317003</v>
      </c>
      <c r="AX20">
        <f t="shared" si="7"/>
        <v>16747.711815561961</v>
      </c>
      <c r="AY20">
        <f t="shared" si="8"/>
        <v>65.694524495677229</v>
      </c>
    </row>
    <row r="21" spans="1:51" x14ac:dyDescent="0.25">
      <c r="A21" s="1" t="s">
        <v>49</v>
      </c>
      <c r="B21" s="1" t="s">
        <v>149</v>
      </c>
      <c r="C21" s="44" t="s">
        <v>113</v>
      </c>
      <c r="D21" s="35">
        <f t="shared" si="1"/>
        <v>8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>
        <v>8000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1">
        <f t="shared" si="2"/>
        <v>0</v>
      </c>
      <c r="AS21" t="e">
        <f t="shared" si="3"/>
        <v>#DIV/0!</v>
      </c>
      <c r="AT21">
        <f t="shared" si="0"/>
        <v>0</v>
      </c>
      <c r="AU21">
        <f t="shared" si="4"/>
        <v>0</v>
      </c>
      <c r="AV21">
        <f t="shared" si="5"/>
        <v>0</v>
      </c>
      <c r="AW21">
        <f t="shared" si="6"/>
        <v>0</v>
      </c>
      <c r="AX21">
        <f t="shared" si="7"/>
        <v>0</v>
      </c>
      <c r="AY21">
        <f t="shared" si="8"/>
        <v>0</v>
      </c>
    </row>
    <row r="22" spans="1:51" x14ac:dyDescent="0.25">
      <c r="A22" s="1" t="s">
        <v>50</v>
      </c>
      <c r="B22" s="1" t="s">
        <v>148</v>
      </c>
      <c r="C22" s="44" t="s">
        <v>114</v>
      </c>
      <c r="D22" s="35">
        <f t="shared" si="1"/>
        <v>1852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>
        <v>1852000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1">
        <f t="shared" si="2"/>
        <v>0</v>
      </c>
      <c r="AS22" t="e">
        <f t="shared" si="3"/>
        <v>#DIV/0!</v>
      </c>
      <c r="AT22">
        <f t="shared" si="0"/>
        <v>0</v>
      </c>
      <c r="AU22">
        <f t="shared" si="4"/>
        <v>0</v>
      </c>
      <c r="AV22">
        <f t="shared" si="5"/>
        <v>0</v>
      </c>
      <c r="AW22">
        <f t="shared" si="6"/>
        <v>0</v>
      </c>
      <c r="AX22">
        <f t="shared" si="7"/>
        <v>0</v>
      </c>
      <c r="AY22">
        <f t="shared" si="8"/>
        <v>0</v>
      </c>
    </row>
    <row r="23" spans="1:51" x14ac:dyDescent="0.25">
      <c r="A23" s="1" t="s">
        <v>51</v>
      </c>
      <c r="B23" s="1" t="s">
        <v>149</v>
      </c>
      <c r="C23" s="44" t="s">
        <v>115</v>
      </c>
      <c r="D23" s="35">
        <f t="shared" si="1"/>
        <v>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>
        <v>1000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1">
        <f t="shared" si="2"/>
        <v>0</v>
      </c>
      <c r="AS23" t="e">
        <f t="shared" si="3"/>
        <v>#DIV/0!</v>
      </c>
      <c r="AT23">
        <f t="shared" si="0"/>
        <v>0</v>
      </c>
      <c r="AU23">
        <f t="shared" si="4"/>
        <v>0</v>
      </c>
      <c r="AV23">
        <f t="shared" si="5"/>
        <v>0</v>
      </c>
      <c r="AW23">
        <f t="shared" si="6"/>
        <v>0</v>
      </c>
      <c r="AX23">
        <f t="shared" si="7"/>
        <v>0</v>
      </c>
      <c r="AY23">
        <f t="shared" si="8"/>
        <v>0</v>
      </c>
    </row>
    <row r="24" spans="1:51" x14ac:dyDescent="0.25">
      <c r="A24" s="1" t="s">
        <v>52</v>
      </c>
      <c r="B24" s="1" t="s">
        <v>148</v>
      </c>
      <c r="C24" s="44" t="s">
        <v>116</v>
      </c>
      <c r="D24" s="35">
        <f t="shared" si="1"/>
        <v>2.9990000000000001</v>
      </c>
      <c r="E24" s="38">
        <v>7</v>
      </c>
      <c r="F24" s="38">
        <v>5</v>
      </c>
      <c r="G24" s="38">
        <v>395010</v>
      </c>
      <c r="H24" s="38">
        <v>1650</v>
      </c>
      <c r="I24" s="38">
        <v>807</v>
      </c>
      <c r="J24" s="38">
        <v>10</v>
      </c>
      <c r="K24" s="38">
        <v>5</v>
      </c>
      <c r="L24" s="38">
        <v>2415</v>
      </c>
      <c r="M24" s="38">
        <v>135</v>
      </c>
      <c r="N24" s="38">
        <v>3800</v>
      </c>
      <c r="O24" s="38">
        <v>120</v>
      </c>
      <c r="P24" s="38">
        <v>81</v>
      </c>
      <c r="Q24" s="38">
        <v>45</v>
      </c>
      <c r="R24" s="38">
        <v>33</v>
      </c>
      <c r="S24" s="38">
        <v>27</v>
      </c>
      <c r="T24" s="38">
        <v>13837</v>
      </c>
      <c r="U24" s="38"/>
      <c r="V24" s="38"/>
      <c r="W24" s="38">
        <v>2999</v>
      </c>
      <c r="X24" s="38">
        <v>5</v>
      </c>
      <c r="Y24" s="38">
        <v>5</v>
      </c>
      <c r="Z24" s="38">
        <v>9</v>
      </c>
      <c r="AA24" s="38">
        <v>283225</v>
      </c>
      <c r="AB24" s="38">
        <v>217492</v>
      </c>
      <c r="AC24" s="38">
        <v>16747</v>
      </c>
      <c r="AD24" s="38">
        <v>141</v>
      </c>
      <c r="AE24" s="38">
        <v>1328</v>
      </c>
      <c r="AF24" s="38">
        <v>8322</v>
      </c>
      <c r="AG24" s="38">
        <v>63057</v>
      </c>
      <c r="AH24" s="38">
        <v>590312</v>
      </c>
      <c r="AI24" s="38">
        <v>259634</v>
      </c>
      <c r="AJ24" s="38">
        <v>0</v>
      </c>
      <c r="AK24" s="38">
        <v>31929</v>
      </c>
      <c r="AL24" s="38">
        <v>291563</v>
      </c>
      <c r="AM24" s="38"/>
      <c r="AN24" s="38"/>
      <c r="AO24" s="38"/>
      <c r="AP24" s="38"/>
      <c r="AQ24" s="38"/>
      <c r="AR24" s="1">
        <f t="shared" si="2"/>
        <v>3920</v>
      </c>
      <c r="AS24" t="e">
        <f t="shared" si="3"/>
        <v>#DIV/0!</v>
      </c>
      <c r="AT24">
        <f t="shared" si="0"/>
        <v>196.83627875958652</v>
      </c>
      <c r="AU24">
        <f t="shared" si="4"/>
        <v>4613.8712904301428</v>
      </c>
      <c r="AV24">
        <f t="shared" si="5"/>
        <v>0</v>
      </c>
      <c r="AW24">
        <f t="shared" si="6"/>
        <v>131713.9046348783</v>
      </c>
      <c r="AX24">
        <f t="shared" si="7"/>
        <v>133388.4628209403</v>
      </c>
      <c r="AY24">
        <f t="shared" si="8"/>
        <v>805.26842280760252</v>
      </c>
    </row>
    <row r="25" spans="1:51" x14ac:dyDescent="0.25">
      <c r="A25" s="1" t="s">
        <v>53</v>
      </c>
      <c r="B25" s="1" t="s">
        <v>148</v>
      </c>
      <c r="C25" s="44" t="s">
        <v>117</v>
      </c>
      <c r="D25" s="35">
        <f t="shared" si="1"/>
        <v>540</v>
      </c>
      <c r="E25" s="38">
        <v>23</v>
      </c>
      <c r="F25" s="38">
        <v>138</v>
      </c>
      <c r="G25" s="38">
        <v>25084875</v>
      </c>
      <c r="H25" s="38">
        <v>152742</v>
      </c>
      <c r="I25" s="38">
        <v>161182</v>
      </c>
      <c r="J25" s="38"/>
      <c r="K25" s="38">
        <v>5797711</v>
      </c>
      <c r="L25" s="38"/>
      <c r="M25" s="38"/>
      <c r="N25" s="38"/>
      <c r="O25" s="38"/>
      <c r="P25" s="38"/>
      <c r="Q25" s="38"/>
      <c r="R25" s="38"/>
      <c r="S25" s="38"/>
      <c r="T25" s="38"/>
      <c r="U25" s="38">
        <v>4162863</v>
      </c>
      <c r="V25" s="38"/>
      <c r="W25" s="38">
        <v>540000</v>
      </c>
      <c r="X25" s="38">
        <v>868</v>
      </c>
      <c r="Y25" s="38">
        <v>1002</v>
      </c>
      <c r="Z25" s="38">
        <v>1870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1">
        <f t="shared" si="2"/>
        <v>0</v>
      </c>
      <c r="AS25" t="e">
        <f t="shared" si="3"/>
        <v>#DIV/0!</v>
      </c>
      <c r="AT25">
        <f t="shared" si="0"/>
        <v>0</v>
      </c>
      <c r="AU25">
        <f t="shared" si="4"/>
        <v>0</v>
      </c>
      <c r="AV25">
        <f t="shared" si="5"/>
        <v>0</v>
      </c>
      <c r="AW25">
        <f t="shared" si="6"/>
        <v>46453.472222222219</v>
      </c>
      <c r="AX25">
        <f t="shared" si="7"/>
        <v>57771.314814814818</v>
      </c>
      <c r="AY25">
        <f t="shared" si="8"/>
        <v>0</v>
      </c>
    </row>
    <row r="26" spans="1:51" x14ac:dyDescent="0.25">
      <c r="A26" s="1" t="s">
        <v>54</v>
      </c>
      <c r="B26" s="1" t="s">
        <v>149</v>
      </c>
      <c r="C26" s="44" t="s">
        <v>118</v>
      </c>
      <c r="D26" s="35">
        <f t="shared" si="1"/>
        <v>194</v>
      </c>
      <c r="E26" s="38">
        <v>85</v>
      </c>
      <c r="F26" s="38">
        <v>189</v>
      </c>
      <c r="G26" s="38">
        <v>12563166</v>
      </c>
      <c r="H26" s="38">
        <v>77324</v>
      </c>
      <c r="I26" s="38"/>
      <c r="J26" s="38">
        <v>48499</v>
      </c>
      <c r="K26" s="38">
        <v>456921</v>
      </c>
      <c r="L26" s="38">
        <v>108283</v>
      </c>
      <c r="M26" s="38"/>
      <c r="N26" s="38">
        <v>314668</v>
      </c>
      <c r="O26" s="38">
        <v>5108</v>
      </c>
      <c r="P26" s="38">
        <v>22</v>
      </c>
      <c r="Q26" s="38"/>
      <c r="R26" s="38">
        <v>1026</v>
      </c>
      <c r="S26" s="38">
        <v>424</v>
      </c>
      <c r="T26" s="38"/>
      <c r="U26" s="38">
        <v>2720777</v>
      </c>
      <c r="V26" s="38">
        <v>4583208</v>
      </c>
      <c r="W26" s="38">
        <v>194000</v>
      </c>
      <c r="X26" s="38">
        <v>610</v>
      </c>
      <c r="Y26" s="38">
        <v>330</v>
      </c>
      <c r="Z26" s="38">
        <v>940</v>
      </c>
      <c r="AA26" s="38">
        <v>34745459</v>
      </c>
      <c r="AB26" s="38">
        <v>17932081</v>
      </c>
      <c r="AC26" s="38">
        <v>0</v>
      </c>
      <c r="AD26" s="38">
        <v>0</v>
      </c>
      <c r="AE26" s="38">
        <v>0</v>
      </c>
      <c r="AF26" s="38">
        <v>0</v>
      </c>
      <c r="AG26" s="38">
        <v>10781692</v>
      </c>
      <c r="AH26" s="38">
        <v>63459232</v>
      </c>
      <c r="AI26" s="38">
        <v>60452914</v>
      </c>
      <c r="AJ26" s="38">
        <v>3006318</v>
      </c>
      <c r="AK26" s="38">
        <v>0</v>
      </c>
      <c r="AL26" s="38">
        <v>63459232</v>
      </c>
      <c r="AM26" s="38"/>
      <c r="AN26" s="38"/>
      <c r="AO26" s="38"/>
      <c r="AP26" s="38"/>
      <c r="AQ26" s="38"/>
      <c r="AR26" s="1">
        <f t="shared" si="2"/>
        <v>319776</v>
      </c>
      <c r="AS26">
        <f t="shared" si="3"/>
        <v>0.59364030609127927</v>
      </c>
      <c r="AT26">
        <f t="shared" si="0"/>
        <v>327.1094432989691</v>
      </c>
      <c r="AU26">
        <f t="shared" si="4"/>
        <v>0</v>
      </c>
      <c r="AV26">
        <f t="shared" si="5"/>
        <v>23624.783505154639</v>
      </c>
      <c r="AW26">
        <f t="shared" si="6"/>
        <v>64758.587628865978</v>
      </c>
      <c r="AX26">
        <f t="shared" si="7"/>
        <v>68320.582474226801</v>
      </c>
      <c r="AY26">
        <f t="shared" si="8"/>
        <v>558.15979381443299</v>
      </c>
    </row>
    <row r="27" spans="1:51" x14ac:dyDescent="0.25">
      <c r="A27" s="1" t="s">
        <v>55</v>
      </c>
      <c r="B27" s="1" t="s">
        <v>148</v>
      </c>
      <c r="C27" s="44" t="s">
        <v>119</v>
      </c>
      <c r="D27" s="35">
        <f t="shared" si="1"/>
        <v>325</v>
      </c>
      <c r="E27" s="38">
        <v>230</v>
      </c>
      <c r="F27" s="38">
        <v>230</v>
      </c>
      <c r="G27" s="38">
        <v>8616219</v>
      </c>
      <c r="H27" s="38"/>
      <c r="I27" s="38"/>
      <c r="J27" s="38">
        <v>14149</v>
      </c>
      <c r="K27" s="38">
        <v>47946</v>
      </c>
      <c r="L27" s="38">
        <v>144852</v>
      </c>
      <c r="M27" s="38"/>
      <c r="N27" s="38">
        <v>333379</v>
      </c>
      <c r="O27" s="38">
        <v>9748</v>
      </c>
      <c r="P27" s="38"/>
      <c r="Q27" s="38"/>
      <c r="R27" s="38">
        <v>484</v>
      </c>
      <c r="S27" s="38">
        <v>146</v>
      </c>
      <c r="T27" s="38">
        <v>1106067</v>
      </c>
      <c r="U27" s="38">
        <v>1615393</v>
      </c>
      <c r="V27" s="38"/>
      <c r="W27" s="38">
        <v>325000</v>
      </c>
      <c r="X27" s="38">
        <v>829</v>
      </c>
      <c r="Y27" s="38">
        <v>470</v>
      </c>
      <c r="Z27" s="38">
        <v>1215</v>
      </c>
      <c r="AA27" s="38">
        <v>6585510</v>
      </c>
      <c r="AB27" s="38">
        <v>9990534</v>
      </c>
      <c r="AC27" s="38">
        <v>0</v>
      </c>
      <c r="AD27" s="38">
        <v>0</v>
      </c>
      <c r="AE27" s="38">
        <v>0</v>
      </c>
      <c r="AF27" s="38">
        <v>0</v>
      </c>
      <c r="AG27" s="38">
        <v>1419490</v>
      </c>
      <c r="AH27" s="38">
        <v>17995534</v>
      </c>
      <c r="AI27" s="38">
        <v>17034202</v>
      </c>
      <c r="AJ27" s="38">
        <v>506469</v>
      </c>
      <c r="AK27" s="38">
        <v>1027625</v>
      </c>
      <c r="AL27" s="38">
        <v>18568296</v>
      </c>
      <c r="AM27" s="38">
        <v>10888</v>
      </c>
      <c r="AN27" s="38">
        <v>0</v>
      </c>
      <c r="AO27" s="38">
        <v>0</v>
      </c>
      <c r="AP27" s="38">
        <v>410531</v>
      </c>
      <c r="AQ27" s="38">
        <v>421418</v>
      </c>
      <c r="AR27" s="1">
        <f t="shared" si="2"/>
        <v>343127</v>
      </c>
      <c r="AS27" t="e">
        <f t="shared" si="3"/>
        <v>#DIV/0!</v>
      </c>
      <c r="AT27">
        <f t="shared" si="0"/>
        <v>55.370873846153849</v>
      </c>
      <c r="AU27">
        <f t="shared" si="4"/>
        <v>3403.2830769230768</v>
      </c>
      <c r="AV27">
        <f t="shared" si="5"/>
        <v>0</v>
      </c>
      <c r="AW27">
        <f t="shared" si="6"/>
        <v>26511.443076923078</v>
      </c>
      <c r="AX27">
        <f t="shared" si="7"/>
        <v>27148.203076923077</v>
      </c>
      <c r="AY27">
        <f t="shared" si="8"/>
        <v>445.69846153846152</v>
      </c>
    </row>
    <row r="28" spans="1:51" x14ac:dyDescent="0.25">
      <c r="A28" s="1" t="s">
        <v>56</v>
      </c>
      <c r="B28" s="1" t="s">
        <v>148</v>
      </c>
      <c r="C28" s="44" t="s">
        <v>120</v>
      </c>
      <c r="D28" s="35">
        <f t="shared" si="1"/>
        <v>1680</v>
      </c>
      <c r="E28" s="38">
        <v>610</v>
      </c>
      <c r="F28" s="38">
        <v>1007</v>
      </c>
      <c r="G28" s="38">
        <v>29482682</v>
      </c>
      <c r="H28" s="38">
        <v>234938</v>
      </c>
      <c r="I28" s="38"/>
      <c r="J28" s="38">
        <v>41839</v>
      </c>
      <c r="K28" s="38">
        <v>1635186</v>
      </c>
      <c r="L28" s="38">
        <v>1038741</v>
      </c>
      <c r="M28" s="38">
        <v>71863</v>
      </c>
      <c r="N28" s="38">
        <v>1371270</v>
      </c>
      <c r="O28" s="38">
        <v>77635</v>
      </c>
      <c r="P28" s="38"/>
      <c r="Q28" s="38"/>
      <c r="R28" s="38"/>
      <c r="S28" s="38"/>
      <c r="T28" s="38">
        <v>3805781</v>
      </c>
      <c r="U28" s="38">
        <v>14251982</v>
      </c>
      <c r="V28" s="38">
        <v>51875328</v>
      </c>
      <c r="W28" s="38">
        <v>1680000</v>
      </c>
      <c r="X28" s="38">
        <v>5874</v>
      </c>
      <c r="Y28" s="38">
        <v>1556</v>
      </c>
      <c r="Z28" s="38">
        <v>7430</v>
      </c>
      <c r="AA28" s="38">
        <v>114982902</v>
      </c>
      <c r="AB28" s="38">
        <v>74275401</v>
      </c>
      <c r="AC28" s="38">
        <v>0</v>
      </c>
      <c r="AD28" s="38">
        <v>0</v>
      </c>
      <c r="AE28" s="38">
        <v>0</v>
      </c>
      <c r="AF28" s="38">
        <v>0</v>
      </c>
      <c r="AG28" s="38">
        <v>9568754</v>
      </c>
      <c r="AH28" s="38">
        <v>198827057</v>
      </c>
      <c r="AI28" s="38">
        <v>169864971</v>
      </c>
      <c r="AJ28" s="38">
        <v>9016629</v>
      </c>
      <c r="AK28" s="38">
        <v>19945457</v>
      </c>
      <c r="AL28" s="38">
        <v>198827057</v>
      </c>
      <c r="AM28" s="38"/>
      <c r="AN28" s="38"/>
      <c r="AO28" s="38"/>
      <c r="AP28" s="38"/>
      <c r="AQ28" s="38"/>
      <c r="AR28" s="1">
        <f t="shared" si="2"/>
        <v>1448905</v>
      </c>
      <c r="AS28">
        <f t="shared" si="3"/>
        <v>0.27473526528834669</v>
      </c>
      <c r="AT28">
        <f t="shared" si="0"/>
        <v>118.34943869047619</v>
      </c>
      <c r="AU28">
        <f t="shared" si="4"/>
        <v>2265.3458333333333</v>
      </c>
      <c r="AV28">
        <f t="shared" si="5"/>
        <v>30878.17142857143</v>
      </c>
      <c r="AW28">
        <f t="shared" si="6"/>
        <v>17549.215476190475</v>
      </c>
      <c r="AX28">
        <f t="shared" si="7"/>
        <v>19348.362499999999</v>
      </c>
      <c r="AY28">
        <f t="shared" si="8"/>
        <v>618.29821428571427</v>
      </c>
    </row>
    <row r="29" spans="1:51" x14ac:dyDescent="0.25">
      <c r="A29" s="1" t="s">
        <v>57</v>
      </c>
      <c r="B29" s="1" t="s">
        <v>148</v>
      </c>
      <c r="C29" s="44" t="s">
        <v>121</v>
      </c>
      <c r="D29" s="35">
        <f t="shared" si="1"/>
        <v>292</v>
      </c>
      <c r="E29" s="38">
        <v>37</v>
      </c>
      <c r="F29" s="38">
        <v>155</v>
      </c>
      <c r="G29" s="38">
        <v>23323000</v>
      </c>
      <c r="H29" s="38">
        <v>254183</v>
      </c>
      <c r="I29" s="38"/>
      <c r="J29" s="38">
        <v>69985</v>
      </c>
      <c r="K29" s="38">
        <v>2710924</v>
      </c>
      <c r="L29" s="38">
        <v>45375</v>
      </c>
      <c r="M29" s="38">
        <v>7743</v>
      </c>
      <c r="N29" s="38">
        <v>342000</v>
      </c>
      <c r="O29" s="38">
        <v>871</v>
      </c>
      <c r="P29" s="38"/>
      <c r="Q29" s="38"/>
      <c r="R29" s="38">
        <v>2092</v>
      </c>
      <c r="S29" s="38"/>
      <c r="T29" s="38">
        <v>497999</v>
      </c>
      <c r="U29" s="38">
        <v>5332904</v>
      </c>
      <c r="V29" s="38"/>
      <c r="W29" s="38">
        <v>292000</v>
      </c>
      <c r="X29" s="38">
        <v>1038</v>
      </c>
      <c r="Y29" s="38">
        <v>578</v>
      </c>
      <c r="Z29" s="38">
        <v>1616</v>
      </c>
      <c r="AA29" s="38">
        <v>62997998</v>
      </c>
      <c r="AB29" s="38">
        <v>29502011</v>
      </c>
      <c r="AC29" s="38">
        <v>0</v>
      </c>
      <c r="AD29" s="38">
        <v>0</v>
      </c>
      <c r="AE29" s="38">
        <v>0</v>
      </c>
      <c r="AF29" s="38">
        <v>0</v>
      </c>
      <c r="AG29" s="38">
        <v>19533116</v>
      </c>
      <c r="AH29" s="38">
        <v>112033125</v>
      </c>
      <c r="AI29" s="38">
        <v>98071433</v>
      </c>
      <c r="AJ29" s="38">
        <v>2355929</v>
      </c>
      <c r="AK29" s="38">
        <v>11605763</v>
      </c>
      <c r="AL29" s="38">
        <v>112033125</v>
      </c>
      <c r="AM29" s="38"/>
      <c r="AN29" s="38"/>
      <c r="AO29" s="38"/>
      <c r="AP29" s="38"/>
      <c r="AQ29" s="38"/>
      <c r="AR29" s="1">
        <f t="shared" si="2"/>
        <v>342871</v>
      </c>
      <c r="AS29" t="e">
        <f t="shared" si="3"/>
        <v>#DIV/0!</v>
      </c>
      <c r="AT29">
        <f t="shared" si="0"/>
        <v>383.67508561643837</v>
      </c>
      <c r="AU29">
        <f t="shared" si="4"/>
        <v>1705.4760273972602</v>
      </c>
      <c r="AV29">
        <f t="shared" si="5"/>
        <v>0</v>
      </c>
      <c r="AW29">
        <f t="shared" si="6"/>
        <v>79873.287671232873</v>
      </c>
      <c r="AX29">
        <f t="shared" si="7"/>
        <v>90449.349315068495</v>
      </c>
      <c r="AY29">
        <f t="shared" si="8"/>
        <v>155.39383561643837</v>
      </c>
    </row>
    <row r="30" spans="1:51" x14ac:dyDescent="0.25">
      <c r="A30" s="1" t="s">
        <v>58</v>
      </c>
      <c r="B30" s="1" t="s">
        <v>149</v>
      </c>
      <c r="C30" s="44" t="s">
        <v>122</v>
      </c>
      <c r="D30" s="35">
        <f t="shared" si="1"/>
        <v>162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>
        <v>162000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1">
        <f t="shared" si="2"/>
        <v>0</v>
      </c>
      <c r="AS30" t="e">
        <f t="shared" si="3"/>
        <v>#DIV/0!</v>
      </c>
      <c r="AT30">
        <f t="shared" si="0"/>
        <v>0</v>
      </c>
      <c r="AU30">
        <f t="shared" si="4"/>
        <v>0</v>
      </c>
      <c r="AV30">
        <f t="shared" si="5"/>
        <v>0</v>
      </c>
      <c r="AW30">
        <f t="shared" si="6"/>
        <v>0</v>
      </c>
      <c r="AX30">
        <f t="shared" si="7"/>
        <v>0</v>
      </c>
      <c r="AY30">
        <f t="shared" si="8"/>
        <v>0</v>
      </c>
    </row>
    <row r="31" spans="1:51" x14ac:dyDescent="0.25">
      <c r="A31" s="1" t="s">
        <v>59</v>
      </c>
      <c r="B31" s="1" t="s">
        <v>148</v>
      </c>
      <c r="C31" s="44" t="s">
        <v>123</v>
      </c>
      <c r="D31" s="35">
        <f t="shared" si="1"/>
        <v>1910</v>
      </c>
      <c r="E31" s="38">
        <v>169</v>
      </c>
      <c r="F31" s="38">
        <v>780</v>
      </c>
      <c r="G31" s="38">
        <v>100136000</v>
      </c>
      <c r="H31" s="38">
        <v>664000</v>
      </c>
      <c r="I31" s="38"/>
      <c r="J31" s="38">
        <v>92000</v>
      </c>
      <c r="K31" s="38">
        <v>10641000</v>
      </c>
      <c r="L31" s="38">
        <v>2405000</v>
      </c>
      <c r="M31" s="38"/>
      <c r="N31" s="38">
        <v>2831000</v>
      </c>
      <c r="O31" s="38">
        <v>157000</v>
      </c>
      <c r="P31" s="38"/>
      <c r="Q31" s="38"/>
      <c r="R31" s="38">
        <v>34720</v>
      </c>
      <c r="S31" s="38">
        <v>34720</v>
      </c>
      <c r="T31" s="38">
        <v>2449000</v>
      </c>
      <c r="U31" s="38">
        <v>78600000</v>
      </c>
      <c r="V31" s="38">
        <v>120400000</v>
      </c>
      <c r="W31" s="38">
        <v>1910000</v>
      </c>
      <c r="X31" s="38">
        <v>3666</v>
      </c>
      <c r="Y31" s="38">
        <v>5964</v>
      </c>
      <c r="Z31" s="38">
        <v>9630</v>
      </c>
      <c r="AA31" s="38">
        <v>344292699</v>
      </c>
      <c r="AB31" s="38">
        <v>209729465</v>
      </c>
      <c r="AC31" s="38">
        <v>24358297</v>
      </c>
      <c r="AD31" s="38">
        <v>263556</v>
      </c>
      <c r="AE31" s="38">
        <v>2482124</v>
      </c>
      <c r="AF31" s="38">
        <v>0</v>
      </c>
      <c r="AG31" s="38">
        <v>98965124</v>
      </c>
      <c r="AH31" s="38">
        <v>680091265</v>
      </c>
      <c r="AI31" s="38">
        <v>470536180</v>
      </c>
      <c r="AJ31" s="38">
        <v>32038787</v>
      </c>
      <c r="AK31" s="38">
        <v>103168188</v>
      </c>
      <c r="AL31" s="38">
        <v>605743155</v>
      </c>
      <c r="AM31" s="38"/>
      <c r="AN31" s="38"/>
      <c r="AO31" s="38"/>
      <c r="AP31" s="38"/>
      <c r="AQ31" s="38"/>
      <c r="AR31" s="1">
        <f t="shared" si="2"/>
        <v>2988000</v>
      </c>
      <c r="AS31">
        <f t="shared" si="3"/>
        <v>0.65282392026578073</v>
      </c>
      <c r="AT31">
        <f t="shared" si="0"/>
        <v>356.06872513089007</v>
      </c>
      <c r="AU31">
        <f t="shared" si="4"/>
        <v>1282.1989528795812</v>
      </c>
      <c r="AV31">
        <f t="shared" si="5"/>
        <v>63036.649214659687</v>
      </c>
      <c r="AW31">
        <f t="shared" si="6"/>
        <v>52427.225130890052</v>
      </c>
      <c r="AX31">
        <f t="shared" si="7"/>
        <v>59653.403141361254</v>
      </c>
      <c r="AY31">
        <f t="shared" si="8"/>
        <v>1259.1623036649214</v>
      </c>
    </row>
    <row r="32" spans="1:51" x14ac:dyDescent="0.25">
      <c r="A32" s="1" t="s">
        <v>60</v>
      </c>
      <c r="B32" s="1" t="s">
        <v>148</v>
      </c>
      <c r="C32" s="44" t="s">
        <v>124</v>
      </c>
      <c r="D32" s="35">
        <f t="shared" si="1"/>
        <v>2415</v>
      </c>
      <c r="E32" s="38">
        <v>237</v>
      </c>
      <c r="F32" s="38">
        <v>820</v>
      </c>
      <c r="G32" s="38">
        <v>143911373</v>
      </c>
      <c r="H32" s="38"/>
      <c r="I32" s="38">
        <v>459800</v>
      </c>
      <c r="J32" s="38">
        <v>175023</v>
      </c>
      <c r="K32" s="38">
        <v>44230143</v>
      </c>
      <c r="L32" s="38">
        <v>1619872</v>
      </c>
      <c r="M32" s="38"/>
      <c r="N32" s="38">
        <v>3191283</v>
      </c>
      <c r="O32" s="38">
        <v>75607</v>
      </c>
      <c r="P32" s="38"/>
      <c r="Q32" s="38"/>
      <c r="R32" s="38"/>
      <c r="S32" s="38"/>
      <c r="T32" s="38">
        <v>2030448</v>
      </c>
      <c r="U32" s="38">
        <v>54699051</v>
      </c>
      <c r="V32" s="38"/>
      <c r="W32" s="38">
        <v>2415000</v>
      </c>
      <c r="X32" s="38">
        <v>5252</v>
      </c>
      <c r="Y32" s="38">
        <v>3621</v>
      </c>
      <c r="Z32" s="38">
        <v>8873</v>
      </c>
      <c r="AA32" s="38">
        <v>238823496</v>
      </c>
      <c r="AB32" s="38">
        <v>174616372</v>
      </c>
      <c r="AC32" s="38">
        <v>11044241</v>
      </c>
      <c r="AD32" s="38">
        <v>0</v>
      </c>
      <c r="AE32" s="38">
        <v>4223480</v>
      </c>
      <c r="AF32" s="38">
        <v>0</v>
      </c>
      <c r="AG32" s="38">
        <v>22113445</v>
      </c>
      <c r="AH32" s="38">
        <v>450821034</v>
      </c>
      <c r="AI32" s="38">
        <v>417311527</v>
      </c>
      <c r="AJ32" s="38">
        <v>10356923</v>
      </c>
      <c r="AK32" s="38">
        <v>23152584</v>
      </c>
      <c r="AL32" s="38">
        <v>450821034</v>
      </c>
      <c r="AM32" s="38">
        <v>7505785</v>
      </c>
      <c r="AN32" s="38">
        <v>0</v>
      </c>
      <c r="AO32" s="38">
        <v>0</v>
      </c>
      <c r="AP32" s="38">
        <v>10919092</v>
      </c>
      <c r="AQ32" s="38">
        <v>18424877</v>
      </c>
      <c r="AR32" s="1">
        <f t="shared" si="2"/>
        <v>3266890</v>
      </c>
      <c r="AS32" t="e">
        <f t="shared" si="3"/>
        <v>#DIV/0!</v>
      </c>
      <c r="AT32">
        <f t="shared" si="0"/>
        <v>186.67537639751552</v>
      </c>
      <c r="AU32">
        <f t="shared" si="4"/>
        <v>840.7652173913043</v>
      </c>
      <c r="AV32">
        <f t="shared" si="5"/>
        <v>0</v>
      </c>
      <c r="AW32">
        <f t="shared" si="6"/>
        <v>59590.630641821946</v>
      </c>
      <c r="AX32">
        <f t="shared" si="7"/>
        <v>78839.010766045554</v>
      </c>
      <c r="AY32">
        <f t="shared" si="8"/>
        <v>670.75445134575568</v>
      </c>
    </row>
    <row r="33" spans="1:51" x14ac:dyDescent="0.25">
      <c r="A33" s="1" t="s">
        <v>61</v>
      </c>
      <c r="B33" s="1" t="s">
        <v>159</v>
      </c>
      <c r="C33" s="44" t="s">
        <v>125</v>
      </c>
      <c r="D33" s="35">
        <f t="shared" si="1"/>
        <v>16072.976000000001</v>
      </c>
      <c r="E33" s="38">
        <v>3575</v>
      </c>
      <c r="F33" s="38"/>
      <c r="G33" s="38">
        <v>878906177</v>
      </c>
      <c r="H33" s="38"/>
      <c r="I33" s="38">
        <v>7543703</v>
      </c>
      <c r="J33" s="38"/>
      <c r="K33" s="38">
        <v>1062082077</v>
      </c>
      <c r="L33" s="38">
        <v>94285669</v>
      </c>
      <c r="M33" s="38">
        <v>3473225</v>
      </c>
      <c r="N33" s="38">
        <v>24550615</v>
      </c>
      <c r="O33" s="38">
        <v>3249220</v>
      </c>
      <c r="P33" s="38"/>
      <c r="Q33" s="38"/>
      <c r="R33" s="38"/>
      <c r="S33" s="38">
        <v>28803</v>
      </c>
      <c r="T33" s="38"/>
      <c r="U33" s="38">
        <v>220701765</v>
      </c>
      <c r="V33" s="38">
        <v>16541520</v>
      </c>
      <c r="W33" s="38">
        <v>16072976</v>
      </c>
      <c r="X33" s="38">
        <v>30041</v>
      </c>
      <c r="Y33" s="38">
        <v>66668</v>
      </c>
      <c r="Z33" s="38">
        <v>96709</v>
      </c>
      <c r="AA33" s="38">
        <v>2369165242</v>
      </c>
      <c r="AB33" s="38">
        <v>1682827866</v>
      </c>
      <c r="AC33" s="38">
        <v>0</v>
      </c>
      <c r="AD33" s="38">
        <v>0</v>
      </c>
      <c r="AE33" s="38">
        <v>0</v>
      </c>
      <c r="AF33" s="38">
        <v>0</v>
      </c>
      <c r="AG33" s="38">
        <v>649379155</v>
      </c>
      <c r="AH33" s="38">
        <v>4701372263</v>
      </c>
      <c r="AI33" s="38">
        <v>4095522241</v>
      </c>
      <c r="AJ33" s="38">
        <v>190823855</v>
      </c>
      <c r="AK33" s="38">
        <v>407974222</v>
      </c>
      <c r="AL33" s="38">
        <v>4694320338</v>
      </c>
      <c r="AM33" s="38"/>
      <c r="AN33" s="38"/>
      <c r="AO33" s="38"/>
      <c r="AP33" s="38"/>
      <c r="AQ33" s="38"/>
      <c r="AR33" s="1">
        <f t="shared" si="2"/>
        <v>27799835</v>
      </c>
      <c r="AS33">
        <f t="shared" si="3"/>
        <v>13.342290490837602</v>
      </c>
      <c r="AT33">
        <f t="shared" si="0"/>
        <v>292.50166633733539</v>
      </c>
      <c r="AU33">
        <f t="shared" si="4"/>
        <v>0</v>
      </c>
      <c r="AV33">
        <f t="shared" si="5"/>
        <v>1029.1510420969955</v>
      </c>
      <c r="AW33">
        <f t="shared" si="6"/>
        <v>54682.230409601805</v>
      </c>
      <c r="AX33">
        <f t="shared" si="7"/>
        <v>127312.50584832577</v>
      </c>
      <c r="AY33">
        <f t="shared" si="8"/>
        <v>5866.0990348022669</v>
      </c>
    </row>
    <row r="34" spans="1:51" x14ac:dyDescent="0.25">
      <c r="A34" s="1" t="s">
        <v>62</v>
      </c>
      <c r="B34" s="1" t="s">
        <v>160</v>
      </c>
      <c r="C34" s="44" t="s">
        <v>126</v>
      </c>
      <c r="D34" s="35">
        <f t="shared" si="1"/>
        <v>1019.7809999999999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>
        <v>1019781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1">
        <f t="shared" si="2"/>
        <v>0</v>
      </c>
      <c r="AS34" t="e">
        <f t="shared" si="3"/>
        <v>#DIV/0!</v>
      </c>
      <c r="AT34">
        <f t="shared" si="0"/>
        <v>0</v>
      </c>
      <c r="AU34">
        <f t="shared" si="4"/>
        <v>0</v>
      </c>
      <c r="AV34">
        <f t="shared" si="5"/>
        <v>0</v>
      </c>
      <c r="AW34">
        <f t="shared" si="6"/>
        <v>0</v>
      </c>
      <c r="AX34">
        <f t="shared" si="7"/>
        <v>0</v>
      </c>
      <c r="AY34">
        <f t="shared" si="8"/>
        <v>0</v>
      </c>
    </row>
    <row r="35" spans="1:51" x14ac:dyDescent="0.25">
      <c r="A35" s="1" t="s">
        <v>63</v>
      </c>
      <c r="B35" s="1" t="s">
        <v>159</v>
      </c>
      <c r="C35" s="44" t="s">
        <v>127</v>
      </c>
      <c r="D35" s="35">
        <f t="shared" si="1"/>
        <v>1063.7750000000001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>
        <v>1063775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1">
        <f t="shared" si="2"/>
        <v>0</v>
      </c>
      <c r="AS35" t="e">
        <f t="shared" si="3"/>
        <v>#DIV/0!</v>
      </c>
      <c r="AT35">
        <f t="shared" si="0"/>
        <v>0</v>
      </c>
      <c r="AU35">
        <f t="shared" si="4"/>
        <v>0</v>
      </c>
      <c r="AV35">
        <f t="shared" si="5"/>
        <v>0</v>
      </c>
      <c r="AW35">
        <f t="shared" si="6"/>
        <v>0</v>
      </c>
      <c r="AX35">
        <f t="shared" si="7"/>
        <v>0</v>
      </c>
      <c r="AY35">
        <f t="shared" si="8"/>
        <v>0</v>
      </c>
    </row>
    <row r="36" spans="1:51" x14ac:dyDescent="0.25">
      <c r="A36" s="1" t="s">
        <v>64</v>
      </c>
      <c r="B36" s="1" t="s">
        <v>159</v>
      </c>
      <c r="C36" s="44" t="s">
        <v>128</v>
      </c>
      <c r="D36" s="35">
        <f t="shared" si="1"/>
        <v>3782.3130000000001</v>
      </c>
      <c r="E36" s="38">
        <v>1069</v>
      </c>
      <c r="F36" s="38">
        <v>1645</v>
      </c>
      <c r="G36" s="38">
        <v>273022000</v>
      </c>
      <c r="H36" s="38"/>
      <c r="I36" s="38"/>
      <c r="J36" s="38"/>
      <c r="K36" s="38"/>
      <c r="L36" s="38"/>
      <c r="M36" s="38"/>
      <c r="N36" s="38">
        <v>8009000</v>
      </c>
      <c r="O36" s="38"/>
      <c r="P36" s="38"/>
      <c r="Q36" s="38"/>
      <c r="R36" s="38"/>
      <c r="S36" s="38"/>
      <c r="T36" s="38"/>
      <c r="U36" s="38">
        <v>28599000</v>
      </c>
      <c r="V36" s="38"/>
      <c r="W36" s="38">
        <v>3782313</v>
      </c>
      <c r="X36" s="38">
        <v>7508</v>
      </c>
      <c r="Y36" s="38">
        <v>7116</v>
      </c>
      <c r="Z36" s="38">
        <v>14624</v>
      </c>
      <c r="AA36" s="38">
        <v>269734282</v>
      </c>
      <c r="AB36" s="38">
        <v>773529232</v>
      </c>
      <c r="AC36" s="38">
        <v>2861951</v>
      </c>
      <c r="AD36" s="38">
        <v>106243</v>
      </c>
      <c r="AE36" s="38">
        <v>1000575</v>
      </c>
      <c r="AF36" s="38">
        <v>2064467</v>
      </c>
      <c r="AG36" s="38">
        <v>35427273</v>
      </c>
      <c r="AH36" s="38">
        <v>1084724023</v>
      </c>
      <c r="AI36" s="38">
        <v>968353409</v>
      </c>
      <c r="AJ36" s="38">
        <v>41573124</v>
      </c>
      <c r="AK36" s="38">
        <v>74797490</v>
      </c>
      <c r="AL36" s="38">
        <v>1084724023</v>
      </c>
      <c r="AM36" s="38"/>
      <c r="AN36" s="38"/>
      <c r="AO36" s="38"/>
      <c r="AP36" s="38"/>
      <c r="AQ36" s="38"/>
      <c r="AR36" s="1">
        <f t="shared" si="2"/>
        <v>8009000</v>
      </c>
      <c r="AS36" t="e">
        <f t="shared" si="3"/>
        <v>#DIV/0!</v>
      </c>
      <c r="AT36">
        <f t="shared" si="0"/>
        <v>286.78853997540659</v>
      </c>
      <c r="AU36">
        <f t="shared" si="4"/>
        <v>0</v>
      </c>
      <c r="AV36">
        <f t="shared" si="5"/>
        <v>0</v>
      </c>
      <c r="AW36">
        <f t="shared" si="6"/>
        <v>72183.872672621219</v>
      </c>
      <c r="AX36">
        <f t="shared" si="7"/>
        <v>72183.872672621219</v>
      </c>
      <c r="AY36">
        <f t="shared" si="8"/>
        <v>0</v>
      </c>
    </row>
    <row r="37" spans="1:51" x14ac:dyDescent="0.25">
      <c r="A37" s="1" t="s">
        <v>140</v>
      </c>
      <c r="B37" s="1" t="s">
        <v>159</v>
      </c>
      <c r="C37" s="1" t="s">
        <v>143</v>
      </c>
      <c r="D37" s="35">
        <f t="shared" si="1"/>
        <v>2413.145</v>
      </c>
      <c r="W37" s="1">
        <v>2413145</v>
      </c>
      <c r="AR37" s="1">
        <f t="shared" si="2"/>
        <v>0</v>
      </c>
      <c r="AS37" t="e">
        <f t="shared" si="3"/>
        <v>#DIV/0!</v>
      </c>
      <c r="AT37">
        <f t="shared" si="0"/>
        <v>0</v>
      </c>
      <c r="AU37">
        <f t="shared" si="4"/>
        <v>0</v>
      </c>
      <c r="AV37">
        <f t="shared" si="5"/>
        <v>0</v>
      </c>
      <c r="AW37">
        <f t="shared" si="6"/>
        <v>0</v>
      </c>
      <c r="AX37">
        <f t="shared" si="7"/>
        <v>0</v>
      </c>
      <c r="AY37">
        <f t="shared" si="8"/>
        <v>0</v>
      </c>
    </row>
    <row r="38" spans="1:51" x14ac:dyDescent="0.25">
      <c r="A38" s="1" t="s">
        <v>141</v>
      </c>
      <c r="B38" s="1" t="s">
        <v>159</v>
      </c>
      <c r="C38" s="1" t="s">
        <v>144</v>
      </c>
      <c r="D38" s="35">
        <f t="shared" si="1"/>
        <v>2030.395</v>
      </c>
      <c r="E38" s="1">
        <v>2739</v>
      </c>
      <c r="F38" s="1">
        <v>910</v>
      </c>
      <c r="G38" s="1">
        <v>75032608</v>
      </c>
      <c r="I38" s="1">
        <v>150814</v>
      </c>
      <c r="V38" s="1">
        <v>241138449</v>
      </c>
      <c r="W38" s="1">
        <v>2030395</v>
      </c>
      <c r="X38" s="1">
        <v>3130</v>
      </c>
      <c r="Y38" s="1">
        <v>6616</v>
      </c>
      <c r="Z38" s="1">
        <v>13349</v>
      </c>
      <c r="AA38" s="1">
        <v>368924881</v>
      </c>
      <c r="AB38" s="1">
        <v>79744695</v>
      </c>
      <c r="AC38" s="1">
        <v>0</v>
      </c>
      <c r="AD38" s="1">
        <v>0</v>
      </c>
      <c r="AE38" s="1">
        <v>0</v>
      </c>
      <c r="AF38" s="1">
        <v>0</v>
      </c>
      <c r="AG38" s="1">
        <v>119742890</v>
      </c>
      <c r="AH38" s="1">
        <v>568412466</v>
      </c>
      <c r="AI38" s="1">
        <v>524954776</v>
      </c>
      <c r="AJ38" s="1">
        <v>12972937</v>
      </c>
      <c r="AK38" s="1">
        <v>30484753</v>
      </c>
      <c r="AL38" s="1">
        <v>568412466</v>
      </c>
      <c r="AM38" s="1">
        <v>24797063</v>
      </c>
      <c r="AN38" s="1">
        <v>37240</v>
      </c>
      <c r="AO38" s="1">
        <v>1862309</v>
      </c>
      <c r="AP38" s="1">
        <v>296397</v>
      </c>
      <c r="AQ38" s="1">
        <v>26993009</v>
      </c>
      <c r="AR38" s="1">
        <f t="shared" si="2"/>
        <v>0</v>
      </c>
      <c r="AS38">
        <f t="shared" si="3"/>
        <v>0</v>
      </c>
      <c r="AT38">
        <f t="shared" si="0"/>
        <v>279.95166753267222</v>
      </c>
      <c r="AU38">
        <f t="shared" si="4"/>
        <v>0</v>
      </c>
      <c r="AV38">
        <f t="shared" si="5"/>
        <v>118764.3039901103</v>
      </c>
      <c r="AW38">
        <f t="shared" si="6"/>
        <v>36954.685172097059</v>
      </c>
      <c r="AX38">
        <f t="shared" si="7"/>
        <v>37028.963329795435</v>
      </c>
      <c r="AY38">
        <f t="shared" si="8"/>
        <v>0</v>
      </c>
    </row>
    <row r="39" spans="1:51" x14ac:dyDescent="0.25">
      <c r="A39" s="1" t="s">
        <v>142</v>
      </c>
      <c r="B39" s="1" t="s">
        <v>159</v>
      </c>
      <c r="C39" s="1" t="s">
        <v>145</v>
      </c>
      <c r="D39" s="35">
        <f t="shared" si="1"/>
        <v>169.55699999999999</v>
      </c>
      <c r="W39" s="1">
        <v>169557</v>
      </c>
      <c r="AR39" s="1">
        <f t="shared" si="2"/>
        <v>0</v>
      </c>
      <c r="AS39" t="e">
        <f t="shared" si="3"/>
        <v>#DIV/0!</v>
      </c>
      <c r="AT39">
        <f t="shared" si="0"/>
        <v>0</v>
      </c>
      <c r="AU39">
        <f t="shared" si="4"/>
        <v>0</v>
      </c>
      <c r="AV39">
        <f t="shared" si="5"/>
        <v>0</v>
      </c>
      <c r="AW39">
        <f t="shared" si="6"/>
        <v>0</v>
      </c>
      <c r="AX39">
        <f t="shared" si="7"/>
        <v>0</v>
      </c>
      <c r="AY39">
        <f t="shared" si="8"/>
        <v>0</v>
      </c>
    </row>
    <row r="40" spans="1:51" x14ac:dyDescent="0.25">
      <c r="A40" s="1" t="s">
        <v>146</v>
      </c>
      <c r="B40" s="1" t="s">
        <v>160</v>
      </c>
      <c r="C40" s="1" t="s">
        <v>150</v>
      </c>
      <c r="D40" s="35">
        <f>+W40/1000</f>
        <v>1492.1759999999999</v>
      </c>
      <c r="W40" s="1">
        <v>1492176</v>
      </c>
      <c r="AR40" s="1">
        <f t="shared" si="2"/>
        <v>0</v>
      </c>
      <c r="AS40" t="e">
        <f t="shared" si="3"/>
        <v>#DIV/0!</v>
      </c>
      <c r="AT40">
        <f t="shared" si="0"/>
        <v>0</v>
      </c>
      <c r="AU40">
        <f t="shared" si="4"/>
        <v>0</v>
      </c>
      <c r="AV40">
        <f t="shared" si="5"/>
        <v>0</v>
      </c>
      <c r="AW40">
        <f t="shared" si="6"/>
        <v>0</v>
      </c>
      <c r="AX40">
        <f t="shared" si="7"/>
        <v>0</v>
      </c>
      <c r="AY40">
        <f t="shared" si="8"/>
        <v>0</v>
      </c>
    </row>
    <row r="41" spans="1:51" x14ac:dyDescent="0.25">
      <c r="A41" s="1" t="s">
        <v>151</v>
      </c>
      <c r="B41" s="1" t="s">
        <v>156</v>
      </c>
      <c r="D41" s="35">
        <f t="shared" si="1"/>
        <v>2302</v>
      </c>
      <c r="E41" s="1">
        <v>921</v>
      </c>
      <c r="F41" s="1">
        <v>3718</v>
      </c>
      <c r="G41" s="1">
        <v>132732653</v>
      </c>
      <c r="H41" s="1">
        <v>1145851</v>
      </c>
      <c r="I41" s="1">
        <v>1168610</v>
      </c>
      <c r="J41" s="1">
        <v>1959414</v>
      </c>
      <c r="K41" s="1">
        <v>8714290</v>
      </c>
      <c r="L41" s="1">
        <v>814915</v>
      </c>
      <c r="M41" s="1">
        <v>87471</v>
      </c>
      <c r="N41" s="1">
        <v>4173385</v>
      </c>
      <c r="O41" s="1">
        <v>91402</v>
      </c>
      <c r="P41" s="1">
        <v>7</v>
      </c>
      <c r="Q41" s="1">
        <v>25</v>
      </c>
      <c r="R41" s="1">
        <v>5834</v>
      </c>
      <c r="S41" s="1">
        <v>2539</v>
      </c>
      <c r="T41" s="1">
        <v>2507027</v>
      </c>
      <c r="U41" s="1">
        <v>54183722</v>
      </c>
      <c r="V41" s="1">
        <v>36866946</v>
      </c>
      <c r="W41" s="1">
        <v>2302000</v>
      </c>
      <c r="X41" s="1">
        <v>11456</v>
      </c>
      <c r="Y41" s="1">
        <v>4264</v>
      </c>
      <c r="Z41" s="1">
        <v>15720</v>
      </c>
      <c r="AA41" s="1">
        <v>30931712</v>
      </c>
      <c r="AB41" s="1">
        <v>43202822</v>
      </c>
      <c r="AC41" s="1">
        <v>615631</v>
      </c>
      <c r="AD41" s="1">
        <v>1734214</v>
      </c>
      <c r="AE41" s="1">
        <v>1053527</v>
      </c>
      <c r="AF41" s="1">
        <v>4709161</v>
      </c>
      <c r="AG41" s="1">
        <v>13760127</v>
      </c>
      <c r="AH41" s="1">
        <v>96007192</v>
      </c>
      <c r="AI41" s="1">
        <v>72507375</v>
      </c>
      <c r="AJ41" s="1">
        <v>2272901</v>
      </c>
      <c r="AK41" s="1">
        <v>20265779</v>
      </c>
      <c r="AL41" s="1">
        <v>95046065</v>
      </c>
      <c r="AM41" s="1">
        <v>14195148</v>
      </c>
      <c r="AN41" s="1">
        <v>0</v>
      </c>
      <c r="AO41" s="1">
        <v>850369</v>
      </c>
      <c r="AP41" s="1">
        <v>167740</v>
      </c>
      <c r="AQ41" s="1">
        <v>15213260</v>
      </c>
      <c r="AR41" s="1">
        <f t="shared" si="2"/>
        <v>4264787</v>
      </c>
      <c r="AS41">
        <f t="shared" si="3"/>
        <v>1.4697100757952666</v>
      </c>
      <c r="AT41">
        <f t="shared" si="0"/>
        <v>41.705991311902693</v>
      </c>
      <c r="AU41">
        <f t="shared" si="4"/>
        <v>1089.0647263249348</v>
      </c>
      <c r="AV41">
        <f t="shared" si="5"/>
        <v>16015.180712423979</v>
      </c>
      <c r="AW41">
        <f t="shared" si="6"/>
        <v>57659.710251954821</v>
      </c>
      <c r="AX41">
        <f t="shared" si="7"/>
        <v>63693.833188531709</v>
      </c>
      <c r="AY41">
        <f t="shared" si="8"/>
        <v>354.00304083405734</v>
      </c>
    </row>
    <row r="42" spans="1:51" x14ac:dyDescent="0.25">
      <c r="A42" s="1" t="s">
        <v>152</v>
      </c>
      <c r="B42" s="1" t="s">
        <v>156</v>
      </c>
      <c r="D42" s="35">
        <f t="shared" si="1"/>
        <v>12606.797</v>
      </c>
      <c r="E42" s="1">
        <v>3208</v>
      </c>
      <c r="F42" s="1">
        <v>6380</v>
      </c>
      <c r="G42" s="1">
        <v>472421959</v>
      </c>
      <c r="H42" s="1">
        <v>2717982</v>
      </c>
      <c r="I42" s="1">
        <v>3801024</v>
      </c>
      <c r="J42" s="1">
        <v>1743680</v>
      </c>
      <c r="K42" s="1">
        <v>72921512</v>
      </c>
      <c r="L42" s="1">
        <v>9834253</v>
      </c>
      <c r="M42" s="1">
        <v>403338</v>
      </c>
      <c r="N42" s="1">
        <v>14772422</v>
      </c>
      <c r="O42" s="1">
        <v>667490</v>
      </c>
      <c r="P42" s="1">
        <v>570</v>
      </c>
      <c r="Q42" s="1">
        <v>797</v>
      </c>
      <c r="R42" s="1">
        <v>152722</v>
      </c>
      <c r="S42" s="1">
        <v>79121</v>
      </c>
      <c r="T42" s="1">
        <v>14140359</v>
      </c>
      <c r="U42" s="1">
        <v>205193236</v>
      </c>
      <c r="V42" s="1">
        <v>404448544</v>
      </c>
      <c r="W42" s="1">
        <v>12606797</v>
      </c>
      <c r="X42" s="1">
        <v>24490</v>
      </c>
      <c r="Y42" s="1">
        <v>19985</v>
      </c>
      <c r="Z42" s="1">
        <v>44390</v>
      </c>
      <c r="AA42" s="1">
        <v>1307779703</v>
      </c>
      <c r="AB42" s="1">
        <v>794221645</v>
      </c>
      <c r="AC42" s="1">
        <v>57367844</v>
      </c>
      <c r="AD42" s="1">
        <v>1459793</v>
      </c>
      <c r="AE42" s="1">
        <v>9052575</v>
      </c>
      <c r="AF42" s="1">
        <v>26028702</v>
      </c>
      <c r="AG42" s="1">
        <v>310371177</v>
      </c>
      <c r="AH42" s="1">
        <v>2506281437</v>
      </c>
      <c r="AI42" s="1">
        <v>2080162445</v>
      </c>
      <c r="AJ42" s="1">
        <v>101137418</v>
      </c>
      <c r="AK42" s="1">
        <v>222993859</v>
      </c>
      <c r="AL42" s="1">
        <v>2404293725</v>
      </c>
      <c r="AM42" s="1">
        <v>67383686</v>
      </c>
      <c r="AN42" s="1">
        <v>1008600</v>
      </c>
      <c r="AO42" s="1">
        <v>3390366</v>
      </c>
      <c r="AP42" s="1">
        <v>22296403</v>
      </c>
      <c r="AQ42" s="1">
        <v>94079054</v>
      </c>
      <c r="AR42" s="1">
        <f t="shared" si="2"/>
        <v>15439912</v>
      </c>
      <c r="AS42">
        <f t="shared" si="3"/>
        <v>0.50734077064695771</v>
      </c>
      <c r="AT42">
        <f t="shared" si="0"/>
        <v>198.80398145540062</v>
      </c>
      <c r="AU42">
        <f t="shared" si="4"/>
        <v>1121.645648771849</v>
      </c>
      <c r="AV42">
        <f t="shared" si="5"/>
        <v>32081.784453259617</v>
      </c>
      <c r="AW42">
        <f t="shared" si="6"/>
        <v>37473.591349174574</v>
      </c>
      <c r="AX42">
        <f t="shared" si="7"/>
        <v>44725.376953400613</v>
      </c>
      <c r="AY42">
        <f t="shared" si="8"/>
        <v>780.07546246679465</v>
      </c>
    </row>
    <row r="43" spans="1:51" x14ac:dyDescent="0.25">
      <c r="A43" s="1" t="s">
        <v>153</v>
      </c>
      <c r="B43" s="1" t="s">
        <v>156</v>
      </c>
      <c r="D43" s="35">
        <f t="shared" si="1"/>
        <v>365</v>
      </c>
      <c r="E43" s="1">
        <v>243</v>
      </c>
      <c r="F43" s="1">
        <v>549</v>
      </c>
      <c r="G43" s="1">
        <v>30924365</v>
      </c>
      <c r="H43" s="1">
        <v>210715</v>
      </c>
      <c r="I43" s="1">
        <v>279662</v>
      </c>
      <c r="J43" s="1">
        <v>108309</v>
      </c>
      <c r="K43" s="1">
        <v>1285048</v>
      </c>
      <c r="L43" s="1">
        <v>312205</v>
      </c>
      <c r="M43" s="1">
        <v>23211</v>
      </c>
      <c r="N43" s="1">
        <v>872048</v>
      </c>
      <c r="O43" s="1">
        <v>17075</v>
      </c>
      <c r="P43" s="1">
        <v>22</v>
      </c>
      <c r="Q43" s="1">
        <v>30</v>
      </c>
      <c r="R43" s="1">
        <v>2991</v>
      </c>
      <c r="S43" s="1">
        <v>1159</v>
      </c>
      <c r="T43" s="1">
        <v>332547</v>
      </c>
      <c r="U43" s="1">
        <v>7989869</v>
      </c>
      <c r="V43" s="1">
        <v>10746344</v>
      </c>
      <c r="W43" s="1">
        <v>365000</v>
      </c>
      <c r="X43" s="1">
        <v>1560</v>
      </c>
      <c r="Y43" s="1">
        <v>868</v>
      </c>
      <c r="Z43" s="1">
        <v>2428</v>
      </c>
      <c r="AA43" s="1">
        <v>64431009</v>
      </c>
      <c r="AB43" s="1">
        <v>33252750</v>
      </c>
      <c r="AC43" s="1">
        <v>0</v>
      </c>
      <c r="AD43" s="1">
        <v>0</v>
      </c>
      <c r="AE43" s="1">
        <v>0</v>
      </c>
      <c r="AF43" s="1">
        <v>0</v>
      </c>
      <c r="AG43" s="1">
        <v>19993268</v>
      </c>
      <c r="AH43" s="1">
        <v>117677025</v>
      </c>
      <c r="AI43" s="1">
        <v>112102195</v>
      </c>
      <c r="AJ43" s="1">
        <v>5574832</v>
      </c>
      <c r="AK43" s="1">
        <v>0</v>
      </c>
      <c r="AL43" s="1">
        <v>117677025</v>
      </c>
      <c r="AM43" s="1">
        <v>3530457</v>
      </c>
      <c r="AN43" s="1">
        <v>54960</v>
      </c>
      <c r="AO43" s="1">
        <v>207249</v>
      </c>
      <c r="AP43" s="1">
        <v>665511</v>
      </c>
      <c r="AQ43" s="1">
        <v>4458177</v>
      </c>
      <c r="AR43" s="1">
        <f t="shared" si="2"/>
        <v>889123</v>
      </c>
      <c r="AS43">
        <f t="shared" si="3"/>
        <v>0.7434964858746379</v>
      </c>
      <c r="AT43">
        <f t="shared" si="0"/>
        <v>322.4028082191781</v>
      </c>
      <c r="AU43">
        <f t="shared" si="4"/>
        <v>911.08767123287669</v>
      </c>
      <c r="AV43">
        <f t="shared" si="5"/>
        <v>29442.038356164383</v>
      </c>
      <c r="AW43">
        <f t="shared" si="6"/>
        <v>84724.287671232873</v>
      </c>
      <c r="AX43">
        <f t="shared" si="7"/>
        <v>90804.150684931505</v>
      </c>
      <c r="AY43">
        <f t="shared" si="8"/>
        <v>855.35616438356169</v>
      </c>
    </row>
    <row r="44" spans="1:51" x14ac:dyDescent="0.25">
      <c r="A44" s="1" t="s">
        <v>154</v>
      </c>
      <c r="B44" s="1" t="s">
        <v>156</v>
      </c>
      <c r="D44" s="35">
        <f t="shared" si="1"/>
        <v>25532.161</v>
      </c>
      <c r="E44" s="1">
        <v>8277</v>
      </c>
      <c r="F44" s="1">
        <v>14302</v>
      </c>
      <c r="G44" s="1">
        <v>1442024909</v>
      </c>
      <c r="H44" s="1">
        <v>9563506</v>
      </c>
      <c r="I44" s="1">
        <v>11934892</v>
      </c>
      <c r="J44" s="1">
        <v>8727610</v>
      </c>
      <c r="K44" s="1">
        <v>1374967028</v>
      </c>
      <c r="L44" s="1">
        <v>122512732</v>
      </c>
      <c r="M44" s="1">
        <v>4522442</v>
      </c>
      <c r="N44" s="1">
        <v>42104246</v>
      </c>
      <c r="O44" s="1">
        <v>4281006</v>
      </c>
      <c r="P44" s="1">
        <v>36</v>
      </c>
      <c r="Q44" s="1">
        <v>54</v>
      </c>
      <c r="R44" s="1">
        <v>151587</v>
      </c>
      <c r="S44" s="1">
        <v>53281</v>
      </c>
      <c r="T44" s="1">
        <v>14000859</v>
      </c>
      <c r="U44" s="1">
        <v>308289410</v>
      </c>
      <c r="V44" s="1">
        <v>356095263</v>
      </c>
      <c r="W44" s="1">
        <v>25532161</v>
      </c>
      <c r="X44" s="1">
        <v>47154</v>
      </c>
      <c r="Y44" s="1">
        <v>87714</v>
      </c>
      <c r="Z44" s="1">
        <v>138471</v>
      </c>
      <c r="AA44" s="1">
        <v>3368504691</v>
      </c>
      <c r="AB44" s="1">
        <v>3159813067</v>
      </c>
      <c r="AC44" s="1">
        <v>4759983</v>
      </c>
      <c r="AD44" s="1">
        <v>176703</v>
      </c>
      <c r="AE44" s="1">
        <v>1664152</v>
      </c>
      <c r="AF44" s="1">
        <v>3433611</v>
      </c>
      <c r="AG44" s="1">
        <v>877873504</v>
      </c>
      <c r="AH44" s="1">
        <v>7416225709</v>
      </c>
      <c r="AI44" s="1">
        <v>6513727492</v>
      </c>
      <c r="AJ44" s="1">
        <v>288463914</v>
      </c>
      <c r="AK44" s="1">
        <v>605389809</v>
      </c>
      <c r="AL44" s="1">
        <v>7407581239</v>
      </c>
      <c r="AM44" s="1">
        <v>233811586</v>
      </c>
      <c r="AN44" s="1">
        <v>3290975</v>
      </c>
      <c r="AO44" s="1">
        <v>14132145</v>
      </c>
      <c r="AP44" s="1">
        <v>39696849</v>
      </c>
      <c r="AQ44" s="1">
        <v>290931555</v>
      </c>
      <c r="AR44" s="1">
        <f t="shared" si="2"/>
        <v>46385252</v>
      </c>
      <c r="AS44">
        <f t="shared" si="3"/>
        <v>0.86574982043498849</v>
      </c>
      <c r="AT44">
        <f t="shared" si="0"/>
        <v>290.46604041859206</v>
      </c>
      <c r="AU44">
        <f t="shared" si="4"/>
        <v>548.36169175025964</v>
      </c>
      <c r="AV44">
        <f t="shared" si="5"/>
        <v>13946.930030716945</v>
      </c>
      <c r="AW44">
        <f t="shared" si="6"/>
        <v>56478.764527608924</v>
      </c>
      <c r="AX44">
        <f t="shared" si="7"/>
        <v>116490.45762323056</v>
      </c>
      <c r="AY44">
        <f t="shared" si="8"/>
        <v>4798.3690843873337</v>
      </c>
    </row>
    <row r="45" spans="1:51" x14ac:dyDescent="0.25">
      <c r="A45" s="1" t="s">
        <v>155</v>
      </c>
      <c r="B45" s="1" t="s">
        <v>156</v>
      </c>
      <c r="D45" s="35">
        <f t="shared" si="1"/>
        <v>2511.9569999999999</v>
      </c>
      <c r="E45" s="1">
        <v>404</v>
      </c>
      <c r="F45" s="1">
        <v>495</v>
      </c>
      <c r="G45" s="1">
        <v>39127601</v>
      </c>
      <c r="H45" s="1">
        <v>254526</v>
      </c>
      <c r="I45" s="1">
        <v>343668</v>
      </c>
      <c r="J45" s="1">
        <v>232280</v>
      </c>
      <c r="K45" s="1">
        <v>27338657</v>
      </c>
      <c r="L45" s="1">
        <v>2504638</v>
      </c>
      <c r="M45" s="1">
        <v>93433</v>
      </c>
      <c r="N45" s="1">
        <v>1186903</v>
      </c>
      <c r="O45" s="1">
        <v>95485</v>
      </c>
      <c r="P45" s="1">
        <v>22</v>
      </c>
      <c r="Q45" s="1">
        <v>30</v>
      </c>
      <c r="R45" s="1">
        <v>49718</v>
      </c>
      <c r="S45" s="1">
        <v>17743</v>
      </c>
      <c r="T45" s="1">
        <v>4591924</v>
      </c>
      <c r="U45" s="1">
        <v>93952846</v>
      </c>
      <c r="V45" s="1">
        <v>84887696</v>
      </c>
      <c r="W45" s="1">
        <v>2511957</v>
      </c>
      <c r="X45" s="1">
        <v>1498</v>
      </c>
      <c r="Y45" s="1">
        <v>2242</v>
      </c>
      <c r="Z45" s="1">
        <v>3740</v>
      </c>
      <c r="AA45" s="1">
        <v>5961000</v>
      </c>
      <c r="AB45" s="1">
        <v>8404965</v>
      </c>
      <c r="AC45" s="1">
        <v>61348</v>
      </c>
      <c r="AD45" s="1">
        <v>333227</v>
      </c>
      <c r="AE45" s="1">
        <v>203058</v>
      </c>
      <c r="AF45" s="1">
        <v>907653</v>
      </c>
      <c r="AG45" s="1">
        <v>2615022</v>
      </c>
      <c r="AH45" s="1">
        <v>18486274</v>
      </c>
      <c r="AI45" s="1">
        <v>13977573</v>
      </c>
      <c r="AJ45" s="1">
        <v>429200</v>
      </c>
      <c r="AK45" s="1">
        <v>3919005</v>
      </c>
      <c r="AL45" s="1">
        <v>18325778</v>
      </c>
      <c r="AM45" s="1">
        <v>2804929</v>
      </c>
      <c r="AN45" s="1">
        <v>0</v>
      </c>
      <c r="AO45" s="1">
        <v>143346</v>
      </c>
      <c r="AP45" s="1">
        <v>33669</v>
      </c>
      <c r="AQ45" s="1">
        <v>2981944</v>
      </c>
      <c r="AR45" s="1">
        <f t="shared" si="2"/>
        <v>1282388</v>
      </c>
      <c r="AS45">
        <f t="shared" si="3"/>
        <v>1.1067899168802979</v>
      </c>
      <c r="AT45">
        <f t="shared" si="0"/>
        <v>7.3593114850294015</v>
      </c>
      <c r="AU45">
        <f t="shared" si="4"/>
        <v>1828.026514785086</v>
      </c>
      <c r="AV45">
        <f t="shared" si="5"/>
        <v>33793.451082164225</v>
      </c>
      <c r="AW45">
        <f t="shared" si="6"/>
        <v>15576.540920087407</v>
      </c>
      <c r="AX45">
        <f t="shared" si="7"/>
        <v>27824.840552605001</v>
      </c>
      <c r="AY45">
        <f t="shared" si="8"/>
        <v>997.08633547469174</v>
      </c>
    </row>
    <row r="46" spans="1:51" x14ac:dyDescent="0.25">
      <c r="A46" s="1" t="s">
        <v>312</v>
      </c>
      <c r="B46" s="105" t="s">
        <v>156</v>
      </c>
      <c r="C46"/>
      <c r="D46" s="35">
        <f t="shared" si="1"/>
        <v>1616.7809999999999</v>
      </c>
      <c r="E46" s="1">
        <v>654</v>
      </c>
      <c r="F46" s="1">
        <v>2938</v>
      </c>
      <c r="G46" s="1">
        <v>94939747</v>
      </c>
      <c r="H46" s="1">
        <v>863034</v>
      </c>
      <c r="I46" s="1">
        <v>884767</v>
      </c>
      <c r="J46" s="1">
        <v>1530290</v>
      </c>
      <c r="K46" s="1">
        <v>7864730</v>
      </c>
      <c r="L46" s="1">
        <v>494258</v>
      </c>
      <c r="M46" s="1">
        <v>73277</v>
      </c>
      <c r="N46" s="1">
        <v>3085998</v>
      </c>
      <c r="O46" s="1">
        <v>75819</v>
      </c>
      <c r="P46" s="1">
        <v>7</v>
      </c>
      <c r="Q46" s="1">
        <v>25</v>
      </c>
      <c r="R46" s="1">
        <v>4468</v>
      </c>
      <c r="S46" s="1">
        <v>2028</v>
      </c>
      <c r="T46" s="1">
        <v>1852486</v>
      </c>
      <c r="U46" s="1">
        <v>37348465</v>
      </c>
      <c r="V46" s="1">
        <v>26594292</v>
      </c>
      <c r="W46" s="1">
        <v>1616781</v>
      </c>
      <c r="X46" s="1">
        <v>8435</v>
      </c>
      <c r="Y46" s="1">
        <v>2996</v>
      </c>
      <c r="Z46" s="1">
        <v>11431</v>
      </c>
      <c r="AA46" s="1">
        <v>26359480</v>
      </c>
      <c r="AB46" s="1">
        <v>35378159</v>
      </c>
      <c r="AC46" s="1">
        <v>566828</v>
      </c>
      <c r="AD46" s="1">
        <v>1407401</v>
      </c>
      <c r="AE46" s="1">
        <v>853073</v>
      </c>
      <c r="AF46" s="1">
        <v>3829161</v>
      </c>
      <c r="AG46" s="1">
        <v>11353938</v>
      </c>
      <c r="AH46" s="1">
        <v>79748040</v>
      </c>
      <c r="AI46" s="1">
        <v>60810581</v>
      </c>
      <c r="AJ46" s="1">
        <v>2047968</v>
      </c>
      <c r="AK46" s="1">
        <v>15906170</v>
      </c>
      <c r="AL46" s="1">
        <v>78764727</v>
      </c>
      <c r="AM46" s="1">
        <v>11172512</v>
      </c>
      <c r="AN46" s="1">
        <v>1893</v>
      </c>
      <c r="AO46" s="1">
        <v>696811</v>
      </c>
      <c r="AP46" s="1">
        <v>160209</v>
      </c>
      <c r="AQ46" s="1">
        <v>12031428</v>
      </c>
      <c r="AR46" s="1">
        <f t="shared" si="2"/>
        <v>3161817</v>
      </c>
      <c r="AS46">
        <f t="shared" si="3"/>
        <v>1.4043789923040628</v>
      </c>
      <c r="AT46">
        <f t="shared" si="0"/>
        <v>49.325196176847697</v>
      </c>
      <c r="AU46">
        <f t="shared" si="4"/>
        <v>1145.786596947886</v>
      </c>
      <c r="AV46">
        <f t="shared" si="5"/>
        <v>16448.914231426519</v>
      </c>
      <c r="AW46">
        <f t="shared" si="6"/>
        <v>58721.463822249272</v>
      </c>
      <c r="AX46">
        <f t="shared" si="7"/>
        <v>65964.470760109136</v>
      </c>
      <c r="AY46">
        <f t="shared" si="8"/>
        <v>305.70497797784611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BW46"/>
  <sheetViews>
    <sheetView workbookViewId="0">
      <pane xSplit="3" ySplit="1" topLeftCell="P8" activePane="bottomRight" state="frozen"/>
      <selection activeCell="A14" sqref="A14:B14"/>
      <selection pane="topRight" activeCell="A14" sqref="A14:B14"/>
      <selection pane="bottomLeft" activeCell="A14" sqref="A14:B14"/>
      <selection pane="bottomRight" activeCell="A14" sqref="A14:B14"/>
    </sheetView>
  </sheetViews>
  <sheetFormatPr defaultRowHeight="12.5" x14ac:dyDescent="0.25"/>
  <cols>
    <col min="1" max="43" width="9.1796875" style="1" customWidth="1"/>
  </cols>
  <sheetData>
    <row r="1" spans="1:75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291</v>
      </c>
      <c r="V1" s="36" t="s">
        <v>81</v>
      </c>
      <c r="W1" s="36" t="s">
        <v>82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75" x14ac:dyDescent="0.25">
      <c r="A2" s="1" t="s">
        <v>32</v>
      </c>
      <c r="B2" s="1" t="s">
        <v>147</v>
      </c>
      <c r="C2" s="44" t="s">
        <v>96</v>
      </c>
      <c r="D2" s="35">
        <f>+W2/1000</f>
        <v>289</v>
      </c>
      <c r="E2" s="38">
        <v>90</v>
      </c>
      <c r="F2" s="38">
        <v>90</v>
      </c>
      <c r="G2" s="38">
        <v>8451195</v>
      </c>
      <c r="H2" s="38">
        <v>8632</v>
      </c>
      <c r="I2" s="38"/>
      <c r="J2" s="38"/>
      <c r="K2" s="38">
        <v>23913</v>
      </c>
      <c r="L2" s="38">
        <v>80488</v>
      </c>
      <c r="M2" s="38"/>
      <c r="N2" s="38">
        <v>161926</v>
      </c>
      <c r="O2" s="38">
        <v>1599</v>
      </c>
      <c r="P2" s="38"/>
      <c r="Q2" s="38"/>
      <c r="R2" s="38"/>
      <c r="S2" s="38"/>
      <c r="T2" s="38">
        <v>207639</v>
      </c>
      <c r="U2" s="38">
        <v>5304114</v>
      </c>
      <c r="V2" s="38">
        <v>2916446</v>
      </c>
      <c r="W2" s="1">
        <v>289000</v>
      </c>
      <c r="X2" s="38">
        <v>495</v>
      </c>
      <c r="Y2" s="38">
        <v>371</v>
      </c>
      <c r="Z2" s="38">
        <v>866</v>
      </c>
      <c r="AA2" s="38">
        <v>944064</v>
      </c>
      <c r="AB2" s="38">
        <v>1357884</v>
      </c>
      <c r="AC2" s="38">
        <v>0</v>
      </c>
      <c r="AD2" s="38">
        <v>0</v>
      </c>
      <c r="AE2" s="38">
        <v>0</v>
      </c>
      <c r="AF2" s="38">
        <v>0</v>
      </c>
      <c r="AG2" s="38">
        <v>167145</v>
      </c>
      <c r="AH2" s="35">
        <v>2469093</v>
      </c>
      <c r="AI2" s="38">
        <v>1751400</v>
      </c>
      <c r="AJ2" s="38">
        <v>213616</v>
      </c>
      <c r="AK2" s="38">
        <v>523579</v>
      </c>
      <c r="AL2" s="38">
        <v>2488595</v>
      </c>
      <c r="AM2" s="38"/>
      <c r="AN2" s="38"/>
      <c r="AO2" s="38"/>
      <c r="AP2" s="38"/>
      <c r="AQ2" s="38"/>
      <c r="AR2" s="1">
        <f>+N2+O2</f>
        <v>163525</v>
      </c>
      <c r="AS2">
        <f>+U2/V2</f>
        <v>1.81869096839098</v>
      </c>
      <c r="AT2">
        <f>+AH2/W2</f>
        <v>8.5435743944636684</v>
      </c>
      <c r="AU2">
        <f>+T2/D2</f>
        <v>718.47404844290656</v>
      </c>
      <c r="AV2">
        <f>+V2/D2</f>
        <v>10091.508650519032</v>
      </c>
      <c r="AW2">
        <f>+G2/D2</f>
        <v>29242.889273356403</v>
      </c>
      <c r="AX2">
        <f>SUM(G2:M2)/D2</f>
        <v>29634.006920415224</v>
      </c>
      <c r="AY2">
        <f>+L2/D2</f>
        <v>278.50519031141869</v>
      </c>
      <c r="AZ2" s="72"/>
      <c r="BC2" s="72"/>
      <c r="BG2" s="72"/>
      <c r="BH2" s="72"/>
      <c r="BJ2" s="72"/>
      <c r="BK2" s="72"/>
      <c r="BL2" s="72"/>
      <c r="BM2" s="72"/>
      <c r="BN2" s="72"/>
      <c r="BO2" s="72"/>
      <c r="BP2" s="72"/>
      <c r="BR2" s="72"/>
    </row>
    <row r="3" spans="1:75" x14ac:dyDescent="0.25">
      <c r="A3" s="1" t="s">
        <v>33</v>
      </c>
      <c r="B3" s="1" t="s">
        <v>147</v>
      </c>
      <c r="C3" s="44" t="s">
        <v>97</v>
      </c>
      <c r="D3" s="35">
        <f t="shared" ref="D3:D46" si="0">+W3/1000</f>
        <v>192</v>
      </c>
      <c r="E3" s="38">
        <v>76</v>
      </c>
      <c r="F3" s="38">
        <v>1163</v>
      </c>
      <c r="G3" s="38">
        <v>10096576</v>
      </c>
      <c r="H3" s="38">
        <v>21423</v>
      </c>
      <c r="I3" s="38"/>
      <c r="J3" s="38">
        <v>40947</v>
      </c>
      <c r="K3" s="38">
        <v>13753</v>
      </c>
      <c r="L3" s="38">
        <v>36842</v>
      </c>
      <c r="M3" s="38"/>
      <c r="N3" s="38">
        <v>206714</v>
      </c>
      <c r="O3" s="38">
        <v>2468</v>
      </c>
      <c r="P3" s="38"/>
      <c r="Q3" s="38"/>
      <c r="R3" s="38"/>
      <c r="S3" s="38"/>
      <c r="T3" s="38">
        <v>231560</v>
      </c>
      <c r="U3" s="38">
        <v>2140444</v>
      </c>
      <c r="V3" s="38">
        <v>4109027</v>
      </c>
      <c r="W3" s="1">
        <v>192000</v>
      </c>
      <c r="X3" s="38">
        <v>379</v>
      </c>
      <c r="Y3" s="38">
        <v>358</v>
      </c>
      <c r="Z3" s="38">
        <v>737</v>
      </c>
      <c r="AA3" s="38"/>
      <c r="AB3" s="38">
        <v>3475691</v>
      </c>
      <c r="AC3" s="38"/>
      <c r="AD3" s="38"/>
      <c r="AE3" s="38"/>
      <c r="AF3" s="38"/>
      <c r="AG3" s="38"/>
      <c r="AH3" s="35"/>
      <c r="AI3" s="38"/>
      <c r="AJ3" s="38"/>
      <c r="AK3" s="38"/>
      <c r="AL3" s="38"/>
      <c r="AM3" s="38"/>
      <c r="AN3" s="38"/>
      <c r="AO3" s="38"/>
      <c r="AP3" s="38"/>
      <c r="AQ3" s="38"/>
      <c r="AR3" s="1">
        <f t="shared" ref="AR3:AR46" si="1">+N3+O3</f>
        <v>209182</v>
      </c>
      <c r="AS3">
        <f t="shared" ref="AS3:AS46" si="2">+U3/V3</f>
        <v>0.52091261507894693</v>
      </c>
      <c r="AT3">
        <f t="shared" ref="AT3:AT46" si="3">+AH3/W3</f>
        <v>0</v>
      </c>
      <c r="AU3">
        <f t="shared" ref="AU3:AU46" si="4">+T3/D3</f>
        <v>1206.0416666666667</v>
      </c>
      <c r="AV3">
        <f t="shared" ref="AV3:AV46" si="5">+V3/D3</f>
        <v>21401.182291666668</v>
      </c>
      <c r="AW3">
        <f t="shared" ref="AW3:AW46" si="6">+G3/D3</f>
        <v>52586.333333333336</v>
      </c>
      <c r="AX3">
        <f t="shared" ref="AX3:AX46" si="7">SUM(G3:M3)/D3</f>
        <v>53174.692708333336</v>
      </c>
      <c r="AY3">
        <f t="shared" ref="AY3:AY46" si="8">+L3/D3</f>
        <v>191.88541666666666</v>
      </c>
      <c r="AZ3" s="72"/>
      <c r="BC3" s="72"/>
      <c r="BG3" s="72"/>
      <c r="BH3" s="72"/>
      <c r="BI3" s="72"/>
      <c r="BK3" s="72"/>
      <c r="BL3" s="72"/>
      <c r="BM3" s="72"/>
      <c r="BN3" s="72"/>
      <c r="BO3" s="72"/>
      <c r="BQ3" s="72"/>
      <c r="BR3" s="72"/>
      <c r="BS3" s="72"/>
      <c r="BT3" s="72"/>
      <c r="BU3" s="72"/>
      <c r="BV3" s="72"/>
      <c r="BW3" s="72"/>
    </row>
    <row r="4" spans="1:75" x14ac:dyDescent="0.25">
      <c r="A4" s="1" t="s">
        <v>34</v>
      </c>
      <c r="B4" s="1" t="s">
        <v>147</v>
      </c>
      <c r="C4" s="44" t="s">
        <v>98</v>
      </c>
      <c r="D4" s="35">
        <f t="shared" si="0"/>
        <v>48</v>
      </c>
      <c r="E4" s="38">
        <v>19</v>
      </c>
      <c r="F4" s="38">
        <v>36</v>
      </c>
      <c r="G4" s="38">
        <v>7392179</v>
      </c>
      <c r="H4" s="38">
        <v>11621</v>
      </c>
      <c r="I4" s="38">
        <v>18514</v>
      </c>
      <c r="J4" s="38">
        <v>68736</v>
      </c>
      <c r="K4" s="38">
        <v>29204</v>
      </c>
      <c r="L4" s="38">
        <v>32888</v>
      </c>
      <c r="M4" s="38">
        <v>3296</v>
      </c>
      <c r="N4" s="38">
        <v>104181</v>
      </c>
      <c r="O4" s="38">
        <v>2704</v>
      </c>
      <c r="P4" s="38">
        <v>4</v>
      </c>
      <c r="Q4" s="38">
        <v>10</v>
      </c>
      <c r="R4" s="38">
        <v>103</v>
      </c>
      <c r="S4" s="38">
        <v>81</v>
      </c>
      <c r="T4" s="38">
        <v>75122</v>
      </c>
      <c r="U4" s="38">
        <v>1998782</v>
      </c>
      <c r="V4" s="38">
        <v>1823352</v>
      </c>
      <c r="W4" s="1">
        <v>48000</v>
      </c>
      <c r="X4" s="38">
        <v>524</v>
      </c>
      <c r="Y4" s="38">
        <v>114</v>
      </c>
      <c r="Z4" s="38">
        <v>638</v>
      </c>
      <c r="AA4" s="38">
        <v>2211295</v>
      </c>
      <c r="AB4" s="38">
        <v>1675271</v>
      </c>
      <c r="AC4" s="38">
        <v>323860</v>
      </c>
      <c r="AD4" s="38">
        <v>91954</v>
      </c>
      <c r="AE4" s="38">
        <v>479378</v>
      </c>
      <c r="AF4" s="38">
        <v>0</v>
      </c>
      <c r="AG4" s="38">
        <v>59038</v>
      </c>
      <c r="AH4" s="35">
        <v>4840795</v>
      </c>
      <c r="AI4" s="38">
        <v>5215571</v>
      </c>
      <c r="AJ4" s="38">
        <v>0</v>
      </c>
      <c r="AK4" s="38">
        <v>322314</v>
      </c>
      <c r="AL4" s="38">
        <v>5537885</v>
      </c>
      <c r="AM4" s="38">
        <v>690916</v>
      </c>
      <c r="AN4" s="38">
        <v>0</v>
      </c>
      <c r="AO4" s="38">
        <v>0</v>
      </c>
      <c r="AP4" s="38">
        <v>127867</v>
      </c>
      <c r="AQ4" s="38">
        <v>818783</v>
      </c>
      <c r="AR4" s="1">
        <f t="shared" si="1"/>
        <v>106885</v>
      </c>
      <c r="AS4">
        <f t="shared" si="2"/>
        <v>1.0962129089720472</v>
      </c>
      <c r="AT4">
        <f t="shared" si="3"/>
        <v>100.84989583333333</v>
      </c>
      <c r="AU4">
        <f t="shared" si="4"/>
        <v>1565.0416666666667</v>
      </c>
      <c r="AV4">
        <f t="shared" si="5"/>
        <v>37986.5</v>
      </c>
      <c r="AW4">
        <f t="shared" si="6"/>
        <v>154003.72916666666</v>
      </c>
      <c r="AX4">
        <f t="shared" si="7"/>
        <v>157425.79166666666</v>
      </c>
      <c r="AY4">
        <f t="shared" si="8"/>
        <v>685.16666666666663</v>
      </c>
      <c r="AZ4" s="72"/>
      <c r="BC4" s="72"/>
      <c r="BG4" s="72"/>
      <c r="BH4" s="72"/>
      <c r="BK4" s="72"/>
      <c r="BM4" s="72"/>
      <c r="BN4" s="72"/>
      <c r="BO4" s="72"/>
      <c r="BQ4" s="72"/>
      <c r="BR4" s="72"/>
      <c r="BV4" s="72"/>
      <c r="BW4" s="72"/>
    </row>
    <row r="5" spans="1:75" x14ac:dyDescent="0.25">
      <c r="A5" s="1" t="s">
        <v>35</v>
      </c>
      <c r="B5" s="1" t="s">
        <v>147</v>
      </c>
      <c r="C5" s="44" t="s">
        <v>99</v>
      </c>
      <c r="D5" s="35">
        <f t="shared" si="0"/>
        <v>214</v>
      </c>
      <c r="E5" s="38">
        <v>96</v>
      </c>
      <c r="F5" s="38">
        <v>273</v>
      </c>
      <c r="G5" s="38">
        <v>14307557</v>
      </c>
      <c r="H5" s="38">
        <v>24539</v>
      </c>
      <c r="I5" s="38"/>
      <c r="J5" s="38">
        <v>695944</v>
      </c>
      <c r="K5" s="38">
        <v>3688597</v>
      </c>
      <c r="L5" s="38">
        <v>123091</v>
      </c>
      <c r="M5" s="38">
        <v>4196</v>
      </c>
      <c r="N5" s="38">
        <v>327826</v>
      </c>
      <c r="O5" s="38">
        <v>6661</v>
      </c>
      <c r="P5" s="38"/>
      <c r="Q5" s="38"/>
      <c r="R5" s="38"/>
      <c r="S5" s="38"/>
      <c r="T5" s="38">
        <v>284010</v>
      </c>
      <c r="U5" s="38">
        <v>4597282</v>
      </c>
      <c r="V5" s="38">
        <v>3758974</v>
      </c>
      <c r="W5" s="1">
        <v>214000</v>
      </c>
      <c r="X5" s="38">
        <v>702</v>
      </c>
      <c r="Y5" s="38">
        <v>336</v>
      </c>
      <c r="Z5" s="38">
        <v>1038</v>
      </c>
      <c r="AA5" s="38">
        <v>2519201</v>
      </c>
      <c r="AB5" s="38">
        <v>5894215</v>
      </c>
      <c r="AC5" s="38">
        <v>31697</v>
      </c>
      <c r="AD5" s="38">
        <v>168949</v>
      </c>
      <c r="AE5" s="38">
        <v>231864</v>
      </c>
      <c r="AF5" s="38">
        <v>468953</v>
      </c>
      <c r="AG5" s="38">
        <v>375832</v>
      </c>
      <c r="AH5" s="35">
        <v>9690711</v>
      </c>
      <c r="AI5" s="38">
        <v>8357649</v>
      </c>
      <c r="AJ5" s="38">
        <v>318802</v>
      </c>
      <c r="AK5" s="38">
        <v>221952</v>
      </c>
      <c r="AL5" s="38">
        <v>8898404</v>
      </c>
      <c r="AM5" s="38"/>
      <c r="AN5" s="38"/>
      <c r="AO5" s="38"/>
      <c r="AP5" s="38"/>
      <c r="AQ5" s="38"/>
      <c r="AR5" s="1">
        <f t="shared" si="1"/>
        <v>334487</v>
      </c>
      <c r="AS5">
        <f t="shared" si="2"/>
        <v>1.2230151099741577</v>
      </c>
      <c r="AT5">
        <f t="shared" si="3"/>
        <v>45.283696261682245</v>
      </c>
      <c r="AU5">
        <f t="shared" si="4"/>
        <v>1327.1495327102805</v>
      </c>
      <c r="AV5">
        <f t="shared" si="5"/>
        <v>17565.299065420561</v>
      </c>
      <c r="AW5">
        <f t="shared" si="6"/>
        <v>66857.742990654209</v>
      </c>
      <c r="AX5">
        <f t="shared" si="7"/>
        <v>88055.719626168226</v>
      </c>
      <c r="AY5">
        <f t="shared" si="8"/>
        <v>575.19158878504675</v>
      </c>
      <c r="AZ5" s="72"/>
      <c r="BC5" s="72"/>
      <c r="BG5" s="72"/>
      <c r="BH5" s="72"/>
      <c r="BJ5" s="72"/>
      <c r="BK5" s="72"/>
      <c r="BO5" s="72"/>
      <c r="BP5" s="72"/>
      <c r="BQ5" s="72"/>
      <c r="BR5" s="72"/>
    </row>
    <row r="6" spans="1:75" x14ac:dyDescent="0.25">
      <c r="A6" s="1" t="s">
        <v>36</v>
      </c>
      <c r="B6" s="1" t="s">
        <v>147</v>
      </c>
      <c r="C6" s="44" t="s">
        <v>100</v>
      </c>
      <c r="D6" s="35">
        <f t="shared" si="0"/>
        <v>61</v>
      </c>
      <c r="E6" s="38">
        <v>26</v>
      </c>
      <c r="F6" s="38">
        <v>26</v>
      </c>
      <c r="G6" s="38">
        <v>4745097</v>
      </c>
      <c r="H6" s="38"/>
      <c r="I6" s="38"/>
      <c r="J6" s="38">
        <v>21773</v>
      </c>
      <c r="K6" s="38"/>
      <c r="L6" s="38">
        <v>1872</v>
      </c>
      <c r="M6" s="38"/>
      <c r="N6" s="38">
        <v>128323</v>
      </c>
      <c r="O6" s="38"/>
      <c r="P6" s="38"/>
      <c r="Q6" s="38"/>
      <c r="R6" s="38"/>
      <c r="S6" s="38"/>
      <c r="T6" s="38">
        <v>73197</v>
      </c>
      <c r="U6" s="38">
        <v>3268260</v>
      </c>
      <c r="V6" s="38">
        <v>1309129</v>
      </c>
      <c r="W6" s="1">
        <v>61000</v>
      </c>
      <c r="X6" s="38">
        <v>341</v>
      </c>
      <c r="Y6" s="38">
        <v>21</v>
      </c>
      <c r="Z6" s="38">
        <v>362</v>
      </c>
      <c r="AA6" s="38">
        <v>670779</v>
      </c>
      <c r="AB6" s="38">
        <v>443119</v>
      </c>
      <c r="AC6" s="38">
        <v>0</v>
      </c>
      <c r="AD6" s="38">
        <v>0</v>
      </c>
      <c r="AE6" s="38">
        <v>0</v>
      </c>
      <c r="AF6" s="38">
        <v>0</v>
      </c>
      <c r="AG6" s="38">
        <v>157641</v>
      </c>
      <c r="AH6" s="35">
        <v>1271539</v>
      </c>
      <c r="AI6" s="38">
        <v>1103919</v>
      </c>
      <c r="AJ6" s="38">
        <v>32605</v>
      </c>
      <c r="AK6" s="38">
        <v>135015</v>
      </c>
      <c r="AL6" s="38">
        <v>1271539</v>
      </c>
      <c r="AM6" s="38">
        <v>671168</v>
      </c>
      <c r="AN6" s="38">
        <v>0</v>
      </c>
      <c r="AO6" s="38">
        <v>0</v>
      </c>
      <c r="AP6" s="38">
        <v>124212</v>
      </c>
      <c r="AQ6" s="38">
        <v>795380</v>
      </c>
      <c r="AR6" s="1">
        <f t="shared" si="1"/>
        <v>128323</v>
      </c>
      <c r="AS6">
        <f t="shared" si="2"/>
        <v>2.4965148583523855</v>
      </c>
      <c r="AT6">
        <f t="shared" si="3"/>
        <v>20.844901639344261</v>
      </c>
      <c r="AU6">
        <f t="shared" si="4"/>
        <v>1199.950819672131</v>
      </c>
      <c r="AV6">
        <f t="shared" si="5"/>
        <v>21461.131147540982</v>
      </c>
      <c r="AW6">
        <f t="shared" si="6"/>
        <v>77788.475409836072</v>
      </c>
      <c r="AX6">
        <f t="shared" si="7"/>
        <v>78176.098360655742</v>
      </c>
      <c r="AY6">
        <f t="shared" si="8"/>
        <v>30.688524590163933</v>
      </c>
      <c r="AZ6" s="72"/>
      <c r="BC6" s="72"/>
      <c r="BG6" s="72"/>
      <c r="BH6" s="72"/>
      <c r="BI6" s="72"/>
      <c r="BL6" s="72"/>
      <c r="BM6" s="72"/>
      <c r="BN6" s="72"/>
      <c r="BR6" s="72"/>
      <c r="BW6" s="72"/>
    </row>
    <row r="7" spans="1:75" x14ac:dyDescent="0.25">
      <c r="A7" s="1" t="s">
        <v>37</v>
      </c>
      <c r="B7" s="1" t="s">
        <v>147</v>
      </c>
      <c r="C7" s="44" t="s">
        <v>101</v>
      </c>
      <c r="D7" s="35">
        <f t="shared" si="0"/>
        <v>97</v>
      </c>
      <c r="E7" s="38">
        <v>15</v>
      </c>
      <c r="F7" s="38">
        <v>106</v>
      </c>
      <c r="G7" s="38">
        <v>12290866</v>
      </c>
      <c r="H7" s="38">
        <v>5204</v>
      </c>
      <c r="I7" s="38">
        <v>5243</v>
      </c>
      <c r="J7" s="38">
        <v>245500</v>
      </c>
      <c r="K7" s="38">
        <v>27000</v>
      </c>
      <c r="L7" s="38">
        <v>3617</v>
      </c>
      <c r="M7" s="38">
        <v>2085</v>
      </c>
      <c r="N7" s="38">
        <v>181398</v>
      </c>
      <c r="O7" s="38">
        <v>590</v>
      </c>
      <c r="P7" s="38">
        <v>4</v>
      </c>
      <c r="Q7" s="38">
        <v>5</v>
      </c>
      <c r="R7" s="38">
        <v>249</v>
      </c>
      <c r="S7" s="38">
        <v>249</v>
      </c>
      <c r="T7" s="38">
        <v>97636</v>
      </c>
      <c r="U7" s="38">
        <v>7225817</v>
      </c>
      <c r="V7" s="38">
        <v>3174874</v>
      </c>
      <c r="W7" s="1">
        <v>97000</v>
      </c>
      <c r="X7" s="38">
        <v>585</v>
      </c>
      <c r="Y7" s="38">
        <v>89</v>
      </c>
      <c r="Z7" s="38">
        <v>674</v>
      </c>
      <c r="AA7" s="38">
        <v>1462972</v>
      </c>
      <c r="AB7" s="38">
        <v>295648</v>
      </c>
      <c r="AC7" s="38">
        <v>0</v>
      </c>
      <c r="AD7" s="38">
        <v>0</v>
      </c>
      <c r="AE7" s="38">
        <v>0</v>
      </c>
      <c r="AF7" s="38">
        <v>0</v>
      </c>
      <c r="AG7" s="38">
        <v>374065</v>
      </c>
      <c r="AH7" s="35">
        <v>2132685</v>
      </c>
      <c r="AI7" s="38">
        <v>1874136</v>
      </c>
      <c r="AJ7" s="38">
        <v>44290</v>
      </c>
      <c r="AK7" s="38">
        <v>208505</v>
      </c>
      <c r="AL7" s="38">
        <v>2126931</v>
      </c>
      <c r="AM7" s="38"/>
      <c r="AN7" s="38"/>
      <c r="AO7" s="38"/>
      <c r="AP7" s="38"/>
      <c r="AQ7" s="38"/>
      <c r="AR7" s="1">
        <f t="shared" si="1"/>
        <v>181988</v>
      </c>
      <c r="AS7">
        <f t="shared" si="2"/>
        <v>2.2759381947126092</v>
      </c>
      <c r="AT7">
        <f t="shared" si="3"/>
        <v>21.986443298969071</v>
      </c>
      <c r="AU7">
        <f t="shared" si="4"/>
        <v>1006.5567010309278</v>
      </c>
      <c r="AV7">
        <f t="shared" si="5"/>
        <v>32730.659793814433</v>
      </c>
      <c r="AW7">
        <f t="shared" si="6"/>
        <v>126709.9587628866</v>
      </c>
      <c r="AX7">
        <f t="shared" si="7"/>
        <v>129685.72164948453</v>
      </c>
      <c r="AY7">
        <f t="shared" si="8"/>
        <v>37.288659793814432</v>
      </c>
      <c r="AZ7" s="72"/>
      <c r="BC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U7" s="72"/>
      <c r="BV7" s="72"/>
    </row>
    <row r="8" spans="1:75" x14ac:dyDescent="0.25">
      <c r="A8" s="1" t="s">
        <v>38</v>
      </c>
      <c r="B8" s="1" t="s">
        <v>147</v>
      </c>
      <c r="C8" s="44" t="s">
        <v>102</v>
      </c>
      <c r="D8" s="35">
        <f t="shared" si="0"/>
        <v>796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1">
        <v>796000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5"/>
      <c r="AI8" s="38"/>
      <c r="AJ8" s="38"/>
      <c r="AK8" s="38"/>
      <c r="AL8" s="38"/>
      <c r="AM8" s="38"/>
      <c r="AN8" s="38"/>
      <c r="AO8" s="38"/>
      <c r="AP8" s="38"/>
      <c r="AQ8" s="38"/>
      <c r="AR8" s="1">
        <f t="shared" si="1"/>
        <v>0</v>
      </c>
      <c r="AS8" t="e">
        <f t="shared" si="2"/>
        <v>#DIV/0!</v>
      </c>
      <c r="AT8">
        <f t="shared" si="3"/>
        <v>0</v>
      </c>
      <c r="AU8">
        <f t="shared" si="4"/>
        <v>0</v>
      </c>
      <c r="AV8">
        <f t="shared" si="5"/>
        <v>0</v>
      </c>
      <c r="AW8">
        <f t="shared" si="6"/>
        <v>0</v>
      </c>
      <c r="AX8">
        <f t="shared" si="7"/>
        <v>0</v>
      </c>
      <c r="AY8">
        <f t="shared" si="8"/>
        <v>0</v>
      </c>
      <c r="AZ8" s="72"/>
      <c r="BC8" s="72"/>
      <c r="BG8" s="72"/>
      <c r="BH8" s="72"/>
      <c r="BJ8" s="72"/>
      <c r="BK8" s="72"/>
      <c r="BL8" s="72"/>
      <c r="BM8" s="72"/>
      <c r="BN8" s="72"/>
      <c r="BO8" s="72"/>
      <c r="BP8" s="72"/>
      <c r="BQ8" s="72"/>
      <c r="BR8" s="72"/>
      <c r="BU8" s="72"/>
      <c r="BW8" s="72"/>
    </row>
    <row r="9" spans="1:75" x14ac:dyDescent="0.25">
      <c r="A9" s="1" t="s">
        <v>39</v>
      </c>
      <c r="B9" s="1" t="s">
        <v>147</v>
      </c>
      <c r="C9" s="44" t="s">
        <v>103</v>
      </c>
      <c r="D9" s="35">
        <f t="shared" si="0"/>
        <v>438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1">
        <v>438000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5"/>
      <c r="AI9" s="38"/>
      <c r="AJ9" s="38"/>
      <c r="AK9" s="38"/>
      <c r="AL9" s="38"/>
      <c r="AM9" s="38"/>
      <c r="AN9" s="38"/>
      <c r="AO9" s="38"/>
      <c r="AP9" s="38"/>
      <c r="AQ9" s="38"/>
      <c r="AR9" s="1">
        <f t="shared" si="1"/>
        <v>0</v>
      </c>
      <c r="AS9" t="e">
        <f t="shared" si="2"/>
        <v>#DIV/0!</v>
      </c>
      <c r="AT9">
        <f t="shared" si="3"/>
        <v>0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7"/>
        <v>0</v>
      </c>
      <c r="AY9">
        <f t="shared" si="8"/>
        <v>0</v>
      </c>
      <c r="AZ9" s="72"/>
      <c r="BC9" s="72"/>
      <c r="BG9" s="72"/>
      <c r="BP9" s="72"/>
      <c r="BQ9" s="72"/>
    </row>
    <row r="10" spans="1:75" x14ac:dyDescent="0.25">
      <c r="A10" s="1" t="s">
        <v>40</v>
      </c>
      <c r="B10" s="1" t="s">
        <v>147</v>
      </c>
      <c r="C10" s="44" t="s">
        <v>104</v>
      </c>
      <c r="D10" s="35">
        <f t="shared" si="0"/>
        <v>112</v>
      </c>
      <c r="E10" s="38">
        <v>44</v>
      </c>
      <c r="F10" s="38">
        <v>571</v>
      </c>
      <c r="G10" s="38">
        <v>3894219</v>
      </c>
      <c r="H10" s="38">
        <v>6659</v>
      </c>
      <c r="I10" s="38">
        <v>8832</v>
      </c>
      <c r="J10" s="38"/>
      <c r="K10" s="38"/>
      <c r="L10" s="38"/>
      <c r="M10" s="38">
        <v>915</v>
      </c>
      <c r="N10" s="38">
        <v>80408</v>
      </c>
      <c r="O10" s="38">
        <v>395</v>
      </c>
      <c r="P10" s="38"/>
      <c r="Q10" s="38"/>
      <c r="R10" s="38">
        <v>226</v>
      </c>
      <c r="S10" s="38">
        <v>69</v>
      </c>
      <c r="T10" s="38">
        <v>131577</v>
      </c>
      <c r="U10" s="38">
        <v>2413614</v>
      </c>
      <c r="V10" s="38">
        <v>733756</v>
      </c>
      <c r="W10" s="1">
        <v>112000</v>
      </c>
      <c r="X10" s="38">
        <v>396</v>
      </c>
      <c r="Y10" s="38">
        <v>68</v>
      </c>
      <c r="Z10" s="38">
        <v>464</v>
      </c>
      <c r="AA10" s="38">
        <v>866104</v>
      </c>
      <c r="AB10" s="38">
        <v>668220</v>
      </c>
      <c r="AC10" s="38">
        <v>73024</v>
      </c>
      <c r="AD10" s="38">
        <v>141192</v>
      </c>
      <c r="AE10" s="38">
        <v>54801</v>
      </c>
      <c r="AF10" s="38">
        <v>1080397</v>
      </c>
      <c r="AG10" s="38">
        <v>106741</v>
      </c>
      <c r="AH10" s="35">
        <v>2990479</v>
      </c>
      <c r="AI10" s="38">
        <v>2588412</v>
      </c>
      <c r="AJ10" s="38">
        <v>28353</v>
      </c>
      <c r="AK10" s="38">
        <v>286533</v>
      </c>
      <c r="AL10" s="38">
        <v>2903299</v>
      </c>
      <c r="AM10" s="38">
        <v>213803</v>
      </c>
      <c r="AN10" s="38">
        <v>0</v>
      </c>
      <c r="AO10" s="38">
        <v>132102</v>
      </c>
      <c r="AP10" s="38">
        <v>0</v>
      </c>
      <c r="AQ10" s="38">
        <v>345905</v>
      </c>
      <c r="AR10" s="1">
        <f t="shared" si="1"/>
        <v>80803</v>
      </c>
      <c r="AS10">
        <f t="shared" si="2"/>
        <v>3.2893959299821738</v>
      </c>
      <c r="AT10">
        <f t="shared" si="3"/>
        <v>26.700705357142859</v>
      </c>
      <c r="AU10">
        <f t="shared" si="4"/>
        <v>1174.7946428571429</v>
      </c>
      <c r="AV10">
        <f t="shared" si="5"/>
        <v>6551.3928571428569</v>
      </c>
      <c r="AW10">
        <f t="shared" si="6"/>
        <v>34769.8125</v>
      </c>
      <c r="AX10">
        <f t="shared" si="7"/>
        <v>34916.294642857145</v>
      </c>
      <c r="AY10">
        <f t="shared" si="8"/>
        <v>0</v>
      </c>
      <c r="AZ10" s="72"/>
      <c r="BC10" s="72"/>
      <c r="BG10" s="72"/>
      <c r="BH10" s="72"/>
      <c r="BI10" s="72"/>
      <c r="BM10" s="72"/>
      <c r="BO10" s="72"/>
      <c r="BP10" s="72"/>
      <c r="BQ10" s="72"/>
      <c r="BR10" s="72"/>
      <c r="BW10" s="72"/>
    </row>
    <row r="11" spans="1:75" x14ac:dyDescent="0.25">
      <c r="A11" s="1" t="s">
        <v>41</v>
      </c>
      <c r="B11" s="1" t="s">
        <v>147</v>
      </c>
      <c r="C11" s="44" t="s">
        <v>105</v>
      </c>
      <c r="D11" s="35">
        <f t="shared" si="0"/>
        <v>55</v>
      </c>
      <c r="E11" s="38">
        <v>54</v>
      </c>
      <c r="F11" s="38">
        <v>54</v>
      </c>
      <c r="G11" s="38">
        <v>3486062</v>
      </c>
      <c r="H11" s="38">
        <v>14459</v>
      </c>
      <c r="I11" s="38">
        <v>12092</v>
      </c>
      <c r="J11" s="38"/>
      <c r="K11" s="38"/>
      <c r="L11" s="38"/>
      <c r="M11" s="38"/>
      <c r="N11" s="38">
        <v>113965</v>
      </c>
      <c r="O11" s="38">
        <v>13712</v>
      </c>
      <c r="P11" s="38"/>
      <c r="Q11" s="38">
        <v>44</v>
      </c>
      <c r="R11" s="38">
        <v>218</v>
      </c>
      <c r="S11" s="38">
        <v>208</v>
      </c>
      <c r="T11" s="38">
        <v>126886</v>
      </c>
      <c r="U11" s="38">
        <v>3253613</v>
      </c>
      <c r="V11" s="38">
        <v>1698891</v>
      </c>
      <c r="W11" s="1">
        <v>55000</v>
      </c>
      <c r="X11" s="38">
        <v>256</v>
      </c>
      <c r="Y11" s="38">
        <v>106</v>
      </c>
      <c r="Z11" s="38">
        <v>362</v>
      </c>
      <c r="AA11" s="38">
        <v>764138</v>
      </c>
      <c r="AB11" s="38">
        <v>4685441</v>
      </c>
      <c r="AC11" s="38">
        <v>12463</v>
      </c>
      <c r="AD11" s="38">
        <v>66428</v>
      </c>
      <c r="AE11" s="38">
        <v>91165</v>
      </c>
      <c r="AF11" s="38">
        <v>184385</v>
      </c>
      <c r="AG11" s="38">
        <v>3316458</v>
      </c>
      <c r="AH11" s="35">
        <v>9120478</v>
      </c>
      <c r="AI11" s="38">
        <v>7918176</v>
      </c>
      <c r="AJ11" s="38">
        <v>233869</v>
      </c>
      <c r="AK11" s="38">
        <v>968432</v>
      </c>
      <c r="AL11" s="38">
        <v>9120478</v>
      </c>
      <c r="AM11" s="38"/>
      <c r="AN11" s="38"/>
      <c r="AO11" s="38"/>
      <c r="AP11" s="38"/>
      <c r="AQ11" s="38"/>
      <c r="AR11" s="1">
        <f t="shared" si="1"/>
        <v>127677</v>
      </c>
      <c r="AS11">
        <f t="shared" si="2"/>
        <v>1.9151393467856384</v>
      </c>
      <c r="AT11">
        <f t="shared" si="3"/>
        <v>165.82687272727273</v>
      </c>
      <c r="AU11">
        <f t="shared" si="4"/>
        <v>2307.0181818181818</v>
      </c>
      <c r="AV11">
        <f t="shared" si="5"/>
        <v>30888.927272727273</v>
      </c>
      <c r="AW11">
        <f t="shared" si="6"/>
        <v>63382.945454545457</v>
      </c>
      <c r="AX11">
        <f t="shared" si="7"/>
        <v>63865.69090909091</v>
      </c>
      <c r="AY11">
        <f t="shared" si="8"/>
        <v>0</v>
      </c>
      <c r="AZ11" s="72"/>
      <c r="BC11" s="72"/>
      <c r="BG11" s="72"/>
      <c r="BH11" s="72"/>
      <c r="BJ11" s="72"/>
      <c r="BK11" s="72"/>
      <c r="BL11" s="72"/>
      <c r="BM11" s="72"/>
      <c r="BN11" s="72"/>
      <c r="BO11" s="72"/>
      <c r="BP11" s="72"/>
      <c r="BR11" s="72"/>
      <c r="BS11" s="72"/>
      <c r="BU11" s="72"/>
      <c r="BW11" s="72"/>
    </row>
    <row r="12" spans="1:75" x14ac:dyDescent="0.25">
      <c r="A12" s="1" t="s">
        <v>42</v>
      </c>
      <c r="B12" s="1" t="s">
        <v>148</v>
      </c>
      <c r="C12" s="44" t="s">
        <v>106</v>
      </c>
      <c r="D12" s="35">
        <f t="shared" si="0"/>
        <v>269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1">
        <v>269000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5"/>
      <c r="AI12" s="38"/>
      <c r="AJ12" s="38"/>
      <c r="AK12" s="38"/>
      <c r="AL12" s="38"/>
      <c r="AM12" s="38"/>
      <c r="AN12" s="38"/>
      <c r="AO12" s="38"/>
      <c r="AP12" s="38"/>
      <c r="AQ12" s="38"/>
      <c r="AR12" s="1">
        <f t="shared" si="1"/>
        <v>0</v>
      </c>
      <c r="AS12" t="e">
        <f t="shared" si="2"/>
        <v>#DIV/0!</v>
      </c>
      <c r="AT12">
        <f t="shared" si="3"/>
        <v>0</v>
      </c>
      <c r="AU12">
        <f t="shared" si="4"/>
        <v>0</v>
      </c>
      <c r="AV12">
        <f t="shared" si="5"/>
        <v>0</v>
      </c>
      <c r="AW12">
        <f t="shared" si="6"/>
        <v>0</v>
      </c>
      <c r="AX12">
        <f t="shared" si="7"/>
        <v>0</v>
      </c>
      <c r="AY12">
        <f t="shared" si="8"/>
        <v>0</v>
      </c>
      <c r="AZ12" s="72"/>
      <c r="BC12" s="72"/>
      <c r="BG12" s="72"/>
      <c r="BH12" s="72"/>
      <c r="BM12" s="72"/>
      <c r="BN12" s="72"/>
      <c r="BO12" s="72"/>
      <c r="BP12" s="72"/>
      <c r="BR12" s="72"/>
      <c r="BW12" s="72"/>
    </row>
    <row r="13" spans="1:75" x14ac:dyDescent="0.25">
      <c r="A13" s="1" t="s">
        <v>320</v>
      </c>
      <c r="B13" s="1" t="s">
        <v>320</v>
      </c>
      <c r="C13" s="44" t="s">
        <v>317</v>
      </c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5"/>
      <c r="AI13" s="38"/>
      <c r="AJ13" s="38"/>
      <c r="AK13" s="38"/>
      <c r="AL13" s="38"/>
      <c r="AM13" s="38"/>
      <c r="AN13" s="38"/>
      <c r="AO13" s="38"/>
      <c r="AP13" s="38"/>
      <c r="AQ13" s="38"/>
      <c r="AR13" s="1">
        <v>0</v>
      </c>
      <c r="AS13" t="e">
        <f>+U13/V13</f>
        <v>#DIV/0!</v>
      </c>
      <c r="AT13" t="e">
        <f>+AH13/W13</f>
        <v>#DIV/0!</v>
      </c>
      <c r="AU13" t="e">
        <f>+T13/D13</f>
        <v>#DIV/0!</v>
      </c>
      <c r="AV13" t="e">
        <f>+V13/D13</f>
        <v>#DIV/0!</v>
      </c>
      <c r="AW13" t="e">
        <f>+G13/D13</f>
        <v>#DIV/0!</v>
      </c>
      <c r="AX13" t="e">
        <f>SUM(G13:M13)/D13</f>
        <v>#DIV/0!</v>
      </c>
      <c r="AY13" t="e">
        <f>+L13/D13</f>
        <v>#DIV/0!</v>
      </c>
      <c r="AZ13" s="72"/>
      <c r="BC13" s="72"/>
      <c r="BG13" s="72"/>
      <c r="BH13" s="72"/>
      <c r="BM13" s="72"/>
      <c r="BN13" s="72"/>
      <c r="BO13" s="72"/>
      <c r="BP13" s="72"/>
      <c r="BR13" s="72"/>
      <c r="BW13" s="72"/>
    </row>
    <row r="14" spans="1:75" x14ac:dyDescent="0.25">
      <c r="A14" s="1" t="s">
        <v>321</v>
      </c>
      <c r="B14" s="1" t="s">
        <v>321</v>
      </c>
      <c r="C14" s="44" t="s">
        <v>318</v>
      </c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5"/>
      <c r="AI14" s="38"/>
      <c r="AJ14" s="38"/>
      <c r="AK14" s="38"/>
      <c r="AL14" s="38"/>
      <c r="AM14" s="38"/>
      <c r="AN14" s="38"/>
      <c r="AO14" s="38"/>
      <c r="AP14" s="38"/>
      <c r="AQ14" s="38"/>
      <c r="AR14" s="1">
        <v>0</v>
      </c>
      <c r="AS14" t="e">
        <f>+U14/V14</f>
        <v>#DIV/0!</v>
      </c>
      <c r="AT14" t="e">
        <f>+AH14/W14</f>
        <v>#DIV/0!</v>
      </c>
      <c r="AU14" t="e">
        <f>+T14/D14</f>
        <v>#DIV/0!</v>
      </c>
      <c r="AV14" t="e">
        <f>+V14/D14</f>
        <v>#DIV/0!</v>
      </c>
      <c r="AW14" t="e">
        <f>+G14/D14</f>
        <v>#DIV/0!</v>
      </c>
      <c r="AX14" t="e">
        <f>SUM(G14:M14)/D14</f>
        <v>#DIV/0!</v>
      </c>
      <c r="AY14" t="e">
        <f>+L14/D14</f>
        <v>#DIV/0!</v>
      </c>
      <c r="AZ14" s="72"/>
      <c r="BC14" s="72"/>
      <c r="BG14" s="72"/>
      <c r="BH14" s="72"/>
      <c r="BM14" s="72"/>
      <c r="BN14" s="72"/>
      <c r="BO14" s="72"/>
      <c r="BP14" s="72"/>
      <c r="BR14" s="72"/>
      <c r="BW14" s="72"/>
    </row>
    <row r="15" spans="1:75" x14ac:dyDescent="0.25">
      <c r="A15" s="1" t="s">
        <v>43</v>
      </c>
      <c r="B15" s="1" t="s">
        <v>148</v>
      </c>
      <c r="C15" s="44" t="s">
        <v>107</v>
      </c>
      <c r="D15" s="35">
        <f t="shared" si="0"/>
        <v>163</v>
      </c>
      <c r="E15" s="38">
        <v>72</v>
      </c>
      <c r="F15" s="38">
        <v>40</v>
      </c>
      <c r="G15" s="38">
        <v>14483585</v>
      </c>
      <c r="H15" s="38">
        <v>53955</v>
      </c>
      <c r="I15" s="38">
        <v>23379</v>
      </c>
      <c r="J15" s="38">
        <v>8400</v>
      </c>
      <c r="K15" s="38">
        <v>273755</v>
      </c>
      <c r="L15" s="38">
        <v>12383</v>
      </c>
      <c r="M15" s="38">
        <v>1616</v>
      </c>
      <c r="N15" s="38">
        <v>371939</v>
      </c>
      <c r="O15" s="38">
        <v>849</v>
      </c>
      <c r="P15" s="38">
        <v>42</v>
      </c>
      <c r="Q15" s="38">
        <v>54</v>
      </c>
      <c r="R15" s="38">
        <v>628</v>
      </c>
      <c r="S15" s="38"/>
      <c r="T15" s="38">
        <v>187168</v>
      </c>
      <c r="U15" s="38">
        <v>967585</v>
      </c>
      <c r="V15" s="38">
        <v>4410532</v>
      </c>
      <c r="W15" s="1">
        <v>163000</v>
      </c>
      <c r="X15" s="38">
        <v>203</v>
      </c>
      <c r="Y15" s="38">
        <v>345</v>
      </c>
      <c r="Z15" s="38">
        <v>548</v>
      </c>
      <c r="AA15" s="38">
        <v>6734760</v>
      </c>
      <c r="AB15" s="38">
        <v>5372958</v>
      </c>
      <c r="AC15" s="38">
        <v>994934</v>
      </c>
      <c r="AD15" s="38">
        <v>565360</v>
      </c>
      <c r="AE15" s="38">
        <v>805626</v>
      </c>
      <c r="AF15" s="38">
        <v>0</v>
      </c>
      <c r="AG15" s="38">
        <v>464313</v>
      </c>
      <c r="AH15" s="35">
        <v>14937952</v>
      </c>
      <c r="AI15" s="38">
        <v>9302488</v>
      </c>
      <c r="AJ15" s="38">
        <v>58289</v>
      </c>
      <c r="AK15" s="38">
        <v>350114</v>
      </c>
      <c r="AL15" s="38">
        <v>9710891</v>
      </c>
      <c r="AM15" s="38">
        <v>0</v>
      </c>
      <c r="AN15" s="38">
        <v>34879</v>
      </c>
      <c r="AO15" s="38">
        <v>131529</v>
      </c>
      <c r="AP15" s="38">
        <v>11831</v>
      </c>
      <c r="AQ15" s="38">
        <v>178239</v>
      </c>
      <c r="AR15" s="1">
        <f t="shared" si="1"/>
        <v>372788</v>
      </c>
      <c r="AS15">
        <f t="shared" si="2"/>
        <v>0.21938056452146815</v>
      </c>
      <c r="AT15">
        <f t="shared" si="3"/>
        <v>91.643877300613497</v>
      </c>
      <c r="AU15">
        <f t="shared" si="4"/>
        <v>1148.2699386503068</v>
      </c>
      <c r="AV15">
        <f t="shared" si="5"/>
        <v>27058.478527607364</v>
      </c>
      <c r="AW15">
        <f t="shared" si="6"/>
        <v>88856.349693251541</v>
      </c>
      <c r="AX15">
        <f t="shared" si="7"/>
        <v>91147.687116564412</v>
      </c>
      <c r="AY15">
        <f t="shared" si="8"/>
        <v>75.969325153374228</v>
      </c>
      <c r="AZ15" s="72"/>
      <c r="BC15" s="72"/>
    </row>
    <row r="16" spans="1:75" x14ac:dyDescent="0.25">
      <c r="A16" s="1" t="s">
        <v>44</v>
      </c>
      <c r="B16" s="1" t="s">
        <v>148</v>
      </c>
      <c r="C16" s="44" t="s">
        <v>108</v>
      </c>
      <c r="D16" s="35">
        <f t="shared" si="0"/>
        <v>180</v>
      </c>
      <c r="E16" s="38">
        <v>19</v>
      </c>
      <c r="F16" s="38">
        <v>41</v>
      </c>
      <c r="G16" s="38">
        <v>9494806</v>
      </c>
      <c r="H16" s="38"/>
      <c r="I16" s="38">
        <v>95229</v>
      </c>
      <c r="J16" s="38">
        <v>84455</v>
      </c>
      <c r="K16" s="38">
        <v>1182593</v>
      </c>
      <c r="L16" s="38">
        <v>873270</v>
      </c>
      <c r="M16" s="38">
        <v>22708</v>
      </c>
      <c r="N16" s="38">
        <v>236147</v>
      </c>
      <c r="O16" s="38">
        <v>26039</v>
      </c>
      <c r="P16" s="38"/>
      <c r="Q16" s="38"/>
      <c r="R16" s="38">
        <v>845</v>
      </c>
      <c r="S16" s="38"/>
      <c r="T16" s="38"/>
      <c r="U16" s="38">
        <v>4617998</v>
      </c>
      <c r="V16" s="38"/>
      <c r="W16" s="1">
        <v>180000</v>
      </c>
      <c r="X16" s="38">
        <v>392</v>
      </c>
      <c r="Y16" s="38">
        <v>431</v>
      </c>
      <c r="Z16" s="38">
        <v>823</v>
      </c>
      <c r="AA16" s="38">
        <v>36569403</v>
      </c>
      <c r="AB16" s="38">
        <v>17082078</v>
      </c>
      <c r="AC16" s="38">
        <v>652812</v>
      </c>
      <c r="AD16" s="38">
        <v>34272</v>
      </c>
      <c r="AE16" s="38">
        <v>322765</v>
      </c>
      <c r="AF16" s="38">
        <v>0</v>
      </c>
      <c r="AG16" s="38">
        <v>11428122</v>
      </c>
      <c r="AH16" s="35">
        <v>66089451</v>
      </c>
      <c r="AI16" s="38">
        <v>60943568</v>
      </c>
      <c r="AJ16" s="38">
        <v>1948770</v>
      </c>
      <c r="AK16" s="38">
        <v>3197113</v>
      </c>
      <c r="AL16" s="38">
        <v>66089451</v>
      </c>
      <c r="AM16" s="38">
        <v>3354185</v>
      </c>
      <c r="AN16" s="38">
        <v>0</v>
      </c>
      <c r="AO16" s="38">
        <v>0</v>
      </c>
      <c r="AP16" s="38">
        <v>0</v>
      </c>
      <c r="AQ16" s="38">
        <v>3354185</v>
      </c>
      <c r="AR16" s="1">
        <f t="shared" si="1"/>
        <v>262186</v>
      </c>
      <c r="AS16" t="e">
        <f t="shared" si="2"/>
        <v>#DIV/0!</v>
      </c>
      <c r="AT16">
        <f t="shared" si="3"/>
        <v>367.16361666666666</v>
      </c>
      <c r="AU16">
        <f t="shared" si="4"/>
        <v>0</v>
      </c>
      <c r="AV16">
        <f t="shared" si="5"/>
        <v>0</v>
      </c>
      <c r="AW16">
        <f t="shared" si="6"/>
        <v>52748.922222222223</v>
      </c>
      <c r="AX16">
        <f t="shared" si="7"/>
        <v>65294.783333333333</v>
      </c>
      <c r="AY16">
        <f t="shared" si="8"/>
        <v>4851.5</v>
      </c>
      <c r="BC16" s="72"/>
      <c r="BG16" s="72"/>
      <c r="BH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W16" s="72"/>
    </row>
    <row r="17" spans="1:75" x14ac:dyDescent="0.25">
      <c r="A17" s="1" t="s">
        <v>45</v>
      </c>
      <c r="B17" s="1" t="s">
        <v>148</v>
      </c>
      <c r="C17" s="44" t="s">
        <v>109</v>
      </c>
      <c r="D17" s="35">
        <f t="shared" si="0"/>
        <v>137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1">
        <v>137000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5"/>
      <c r="AI17" s="38"/>
      <c r="AJ17" s="38"/>
      <c r="AK17" s="38"/>
      <c r="AL17" s="38"/>
      <c r="AM17" s="38"/>
      <c r="AN17" s="38"/>
      <c r="AO17" s="38"/>
      <c r="AP17" s="38"/>
      <c r="AQ17" s="38"/>
      <c r="AR17" s="1">
        <f t="shared" si="1"/>
        <v>0</v>
      </c>
      <c r="AS17" t="e">
        <f t="shared" si="2"/>
        <v>#DIV/0!</v>
      </c>
      <c r="AT17">
        <f t="shared" si="3"/>
        <v>0</v>
      </c>
      <c r="AU17">
        <f t="shared" si="4"/>
        <v>0</v>
      </c>
      <c r="AV17">
        <f t="shared" si="5"/>
        <v>0</v>
      </c>
      <c r="AW17">
        <f t="shared" si="6"/>
        <v>0</v>
      </c>
      <c r="AX17">
        <f t="shared" si="7"/>
        <v>0</v>
      </c>
      <c r="AY17">
        <f t="shared" si="8"/>
        <v>0</v>
      </c>
      <c r="AZ17" s="72"/>
      <c r="BC17" s="72"/>
      <c r="BG17" s="72"/>
      <c r="BP17" s="72"/>
    </row>
    <row r="18" spans="1:75" x14ac:dyDescent="0.25">
      <c r="A18" s="1" t="s">
        <v>46</v>
      </c>
      <c r="B18" s="1" t="s">
        <v>148</v>
      </c>
      <c r="C18" s="44" t="s">
        <v>110</v>
      </c>
      <c r="D18" s="35">
        <f t="shared" si="0"/>
        <v>224</v>
      </c>
      <c r="E18" s="38">
        <v>38</v>
      </c>
      <c r="F18" s="38">
        <v>398</v>
      </c>
      <c r="G18" s="38">
        <v>14902315</v>
      </c>
      <c r="H18" s="38">
        <v>143624</v>
      </c>
      <c r="I18" s="38">
        <v>233525</v>
      </c>
      <c r="J18" s="38">
        <v>229973</v>
      </c>
      <c r="K18" s="38">
        <v>1263072</v>
      </c>
      <c r="L18" s="38">
        <v>285095</v>
      </c>
      <c r="M18" s="38"/>
      <c r="N18" s="38">
        <v>577131</v>
      </c>
      <c r="O18" s="38">
        <v>10654</v>
      </c>
      <c r="P18" s="38">
        <v>45</v>
      </c>
      <c r="Q18" s="38"/>
      <c r="R18" s="38"/>
      <c r="S18" s="38"/>
      <c r="T18" s="38"/>
      <c r="U18" s="38">
        <v>10397428</v>
      </c>
      <c r="V18" s="38">
        <v>12820317</v>
      </c>
      <c r="W18" s="1">
        <v>224000</v>
      </c>
      <c r="X18" s="38">
        <v>1165</v>
      </c>
      <c r="Y18" s="38">
        <v>142</v>
      </c>
      <c r="Z18" s="38">
        <v>1307</v>
      </c>
      <c r="AA18" s="38">
        <v>31900079</v>
      </c>
      <c r="AB18" s="38">
        <v>18078830</v>
      </c>
      <c r="AC18" s="38">
        <v>0</v>
      </c>
      <c r="AD18" s="38">
        <v>0</v>
      </c>
      <c r="AE18" s="38">
        <v>0</v>
      </c>
      <c r="AF18" s="38">
        <v>1113881</v>
      </c>
      <c r="AG18" s="38">
        <v>8121853</v>
      </c>
      <c r="AH18" s="35">
        <v>59214643</v>
      </c>
      <c r="AI18" s="38">
        <v>47882857</v>
      </c>
      <c r="AJ18" s="38">
        <v>5773971</v>
      </c>
      <c r="AK18" s="38">
        <v>4276603</v>
      </c>
      <c r="AL18" s="38">
        <v>57933431</v>
      </c>
      <c r="AM18" s="38"/>
      <c r="AN18" s="38"/>
      <c r="AO18" s="38"/>
      <c r="AP18" s="38"/>
      <c r="AQ18" s="38"/>
      <c r="AR18" s="1">
        <f t="shared" si="1"/>
        <v>587785</v>
      </c>
      <c r="AS18">
        <f t="shared" si="2"/>
        <v>0.81101177139379632</v>
      </c>
      <c r="AT18">
        <f t="shared" si="3"/>
        <v>264.35108482142857</v>
      </c>
      <c r="AU18">
        <f t="shared" si="4"/>
        <v>0</v>
      </c>
      <c r="AV18">
        <f t="shared" si="5"/>
        <v>57233.558035714283</v>
      </c>
      <c r="AW18">
        <f t="shared" si="6"/>
        <v>66528.19196428571</v>
      </c>
      <c r="AX18">
        <f t="shared" si="7"/>
        <v>76150.017857142855</v>
      </c>
      <c r="AY18">
        <f t="shared" si="8"/>
        <v>1272.7455357142858</v>
      </c>
      <c r="AZ18" s="72"/>
      <c r="BC18" s="72"/>
      <c r="BG18" s="72"/>
      <c r="BH18" s="72"/>
      <c r="BM18" s="72"/>
      <c r="BN18" s="72"/>
      <c r="BO18" s="72"/>
      <c r="BP18" s="72"/>
      <c r="BQ18" s="72"/>
      <c r="BR18" s="72"/>
    </row>
    <row r="19" spans="1:75" x14ac:dyDescent="0.25">
      <c r="A19" s="1" t="s">
        <v>47</v>
      </c>
      <c r="B19" s="1" t="s">
        <v>148</v>
      </c>
      <c r="C19" s="44" t="s">
        <v>111</v>
      </c>
      <c r="D19" s="35">
        <f t="shared" si="0"/>
        <v>2278</v>
      </c>
      <c r="E19" s="38">
        <v>96</v>
      </c>
      <c r="F19" s="38">
        <v>396</v>
      </c>
      <c r="G19" s="38">
        <v>25684360</v>
      </c>
      <c r="H19" s="38">
        <v>152995</v>
      </c>
      <c r="I19" s="38">
        <v>233525</v>
      </c>
      <c r="J19" s="38"/>
      <c r="K19" s="38">
        <v>1384057</v>
      </c>
      <c r="L19" s="38">
        <v>97296</v>
      </c>
      <c r="M19" s="38">
        <v>44108</v>
      </c>
      <c r="N19" s="38">
        <v>1008519</v>
      </c>
      <c r="O19" s="38"/>
      <c r="P19" s="38">
        <v>35</v>
      </c>
      <c r="Q19" s="38"/>
      <c r="R19" s="38"/>
      <c r="S19" s="38"/>
      <c r="T19" s="38"/>
      <c r="U19" s="38"/>
      <c r="V19" s="38"/>
      <c r="W19" s="1">
        <v>2278000</v>
      </c>
      <c r="X19" s="38">
        <v>1812</v>
      </c>
      <c r="Y19" s="38">
        <v>2552</v>
      </c>
      <c r="Z19" s="38">
        <v>4364</v>
      </c>
      <c r="AA19" s="38">
        <v>146286290</v>
      </c>
      <c r="AB19" s="38">
        <v>52912745</v>
      </c>
      <c r="AC19" s="38">
        <v>5180449</v>
      </c>
      <c r="AD19" s="38">
        <v>0</v>
      </c>
      <c r="AE19" s="38">
        <v>0</v>
      </c>
      <c r="AF19" s="38">
        <v>0</v>
      </c>
      <c r="AG19" s="38">
        <v>59602689</v>
      </c>
      <c r="AH19" s="35">
        <v>263982173</v>
      </c>
      <c r="AI19" s="38">
        <v>251637535</v>
      </c>
      <c r="AJ19" s="38">
        <v>7494925</v>
      </c>
      <c r="AK19" s="38">
        <v>7201543</v>
      </c>
      <c r="AL19" s="38">
        <v>266334004</v>
      </c>
      <c r="AM19" s="38"/>
      <c r="AN19" s="38"/>
      <c r="AO19" s="38"/>
      <c r="AP19" s="38"/>
      <c r="AQ19" s="38"/>
      <c r="AR19" s="1">
        <f t="shared" si="1"/>
        <v>1008519</v>
      </c>
      <c r="AS19" t="e">
        <f t="shared" si="2"/>
        <v>#DIV/0!</v>
      </c>
      <c r="AT19">
        <f t="shared" si="3"/>
        <v>115.88330684811238</v>
      </c>
      <c r="AU19">
        <f t="shared" si="4"/>
        <v>0</v>
      </c>
      <c r="AV19">
        <f t="shared" si="5"/>
        <v>0</v>
      </c>
      <c r="AW19">
        <f t="shared" si="6"/>
        <v>11274.960491659351</v>
      </c>
      <c r="AX19">
        <f t="shared" si="7"/>
        <v>12114.284899034241</v>
      </c>
      <c r="AY19">
        <f t="shared" si="8"/>
        <v>42.711150131694467</v>
      </c>
      <c r="BC19" s="72"/>
    </row>
    <row r="20" spans="1:75" x14ac:dyDescent="0.25">
      <c r="A20" s="1" t="s">
        <v>48</v>
      </c>
      <c r="B20" s="1" t="s">
        <v>148</v>
      </c>
      <c r="C20" s="44" t="s">
        <v>112</v>
      </c>
      <c r="D20" s="35">
        <f t="shared" si="0"/>
        <v>347</v>
      </c>
      <c r="E20" s="38">
        <v>82</v>
      </c>
      <c r="F20" s="38">
        <v>174</v>
      </c>
      <c r="G20" s="38">
        <v>5683287</v>
      </c>
      <c r="H20" s="38"/>
      <c r="I20" s="38">
        <v>36200</v>
      </c>
      <c r="J20" s="38">
        <v>29790</v>
      </c>
      <c r="K20" s="38">
        <v>25338</v>
      </c>
      <c r="L20" s="38">
        <v>22796</v>
      </c>
      <c r="M20" s="38">
        <v>10534</v>
      </c>
      <c r="N20" s="38">
        <v>296750</v>
      </c>
      <c r="O20" s="38">
        <v>1439</v>
      </c>
      <c r="P20" s="38">
        <v>36</v>
      </c>
      <c r="Q20" s="38">
        <v>49</v>
      </c>
      <c r="R20" s="38"/>
      <c r="S20" s="38"/>
      <c r="T20" s="38">
        <v>402192</v>
      </c>
      <c r="U20" s="38">
        <v>1415696</v>
      </c>
      <c r="V20" s="38"/>
      <c r="W20" s="1">
        <v>347000</v>
      </c>
      <c r="X20" s="38">
        <v>728</v>
      </c>
      <c r="Y20" s="38">
        <v>395</v>
      </c>
      <c r="Z20" s="38">
        <v>1123</v>
      </c>
      <c r="AA20" s="38">
        <v>3659885</v>
      </c>
      <c r="AB20" s="38">
        <v>13151753</v>
      </c>
      <c r="AC20" s="38">
        <v>628888</v>
      </c>
      <c r="AD20" s="38">
        <v>114432</v>
      </c>
      <c r="AE20" s="38">
        <v>0</v>
      </c>
      <c r="AF20" s="38">
        <v>856134</v>
      </c>
      <c r="AG20" s="38">
        <v>3560052</v>
      </c>
      <c r="AH20" s="35">
        <v>21971144</v>
      </c>
      <c r="AI20" s="38">
        <v>12328160</v>
      </c>
      <c r="AJ20" s="38">
        <v>9476766</v>
      </c>
      <c r="AK20" s="38">
        <v>166218</v>
      </c>
      <c r="AL20" s="38">
        <v>21971144</v>
      </c>
      <c r="AM20" s="38"/>
      <c r="AN20" s="38"/>
      <c r="AO20" s="38"/>
      <c r="AP20" s="38"/>
      <c r="AQ20" s="38"/>
      <c r="AR20" s="1">
        <f t="shared" si="1"/>
        <v>298189</v>
      </c>
      <c r="AS20" t="e">
        <f t="shared" si="2"/>
        <v>#DIV/0!</v>
      </c>
      <c r="AT20">
        <f t="shared" si="3"/>
        <v>63.317417867435161</v>
      </c>
      <c r="AU20">
        <f t="shared" si="4"/>
        <v>1159.0547550432277</v>
      </c>
      <c r="AV20">
        <f t="shared" si="5"/>
        <v>0</v>
      </c>
      <c r="AW20">
        <f t="shared" si="6"/>
        <v>16378.34870317003</v>
      </c>
      <c r="AX20">
        <f t="shared" si="7"/>
        <v>16737.593659942362</v>
      </c>
      <c r="AY20">
        <f t="shared" si="8"/>
        <v>65.694524495677229</v>
      </c>
      <c r="AZ20" s="72"/>
      <c r="BC20" s="72"/>
    </row>
    <row r="21" spans="1:75" x14ac:dyDescent="0.25">
      <c r="A21" s="1" t="s">
        <v>49</v>
      </c>
      <c r="B21" s="1" t="s">
        <v>149</v>
      </c>
      <c r="C21" s="44" t="s">
        <v>113</v>
      </c>
      <c r="D21" s="35">
        <f t="shared" si="0"/>
        <v>8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1">
        <v>8000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5"/>
      <c r="AI21" s="38"/>
      <c r="AJ21" s="38"/>
      <c r="AK21" s="38"/>
      <c r="AL21" s="38"/>
      <c r="AM21" s="38"/>
      <c r="AN21" s="38"/>
      <c r="AO21" s="38"/>
      <c r="AP21" s="38"/>
      <c r="AQ21" s="38"/>
      <c r="AR21" s="1">
        <f t="shared" si="1"/>
        <v>0</v>
      </c>
      <c r="AS21" t="e">
        <f t="shared" si="2"/>
        <v>#DIV/0!</v>
      </c>
      <c r="AT21">
        <f t="shared" si="3"/>
        <v>0</v>
      </c>
      <c r="AU21">
        <f t="shared" si="4"/>
        <v>0</v>
      </c>
      <c r="AV21">
        <f t="shared" si="5"/>
        <v>0</v>
      </c>
      <c r="AW21">
        <f t="shared" si="6"/>
        <v>0</v>
      </c>
      <c r="AX21">
        <f t="shared" si="7"/>
        <v>0</v>
      </c>
      <c r="AY21">
        <f t="shared" si="8"/>
        <v>0</v>
      </c>
      <c r="BC21" s="72"/>
    </row>
    <row r="22" spans="1:75" x14ac:dyDescent="0.25">
      <c r="A22" s="1" t="s">
        <v>50</v>
      </c>
      <c r="B22" s="1" t="s">
        <v>148</v>
      </c>
      <c r="C22" s="44" t="s">
        <v>114</v>
      </c>
      <c r="D22" s="35">
        <f t="shared" si="0"/>
        <v>1852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1">
        <v>1852000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5"/>
      <c r="AI22" s="38"/>
      <c r="AJ22" s="38"/>
      <c r="AK22" s="38"/>
      <c r="AL22" s="38"/>
      <c r="AM22" s="38"/>
      <c r="AN22" s="38"/>
      <c r="AO22" s="38"/>
      <c r="AP22" s="38"/>
      <c r="AQ22" s="38"/>
      <c r="AR22" s="1">
        <f t="shared" si="1"/>
        <v>0</v>
      </c>
      <c r="AS22" t="e">
        <f t="shared" si="2"/>
        <v>#DIV/0!</v>
      </c>
      <c r="AT22">
        <f t="shared" si="3"/>
        <v>0</v>
      </c>
      <c r="AU22">
        <f t="shared" si="4"/>
        <v>0</v>
      </c>
      <c r="AV22">
        <f t="shared" si="5"/>
        <v>0</v>
      </c>
      <c r="AW22">
        <f t="shared" si="6"/>
        <v>0</v>
      </c>
      <c r="AX22">
        <f t="shared" si="7"/>
        <v>0</v>
      </c>
      <c r="AY22">
        <f t="shared" si="8"/>
        <v>0</v>
      </c>
      <c r="BC22" s="72"/>
      <c r="BN22" s="72"/>
      <c r="BR22" s="72"/>
    </row>
    <row r="23" spans="1:75" x14ac:dyDescent="0.25">
      <c r="A23" s="1" t="s">
        <v>51</v>
      </c>
      <c r="B23" s="1" t="s">
        <v>149</v>
      </c>
      <c r="C23" s="44" t="s">
        <v>115</v>
      </c>
      <c r="D23" s="35">
        <f t="shared" si="0"/>
        <v>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1">
        <v>1000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5"/>
      <c r="AI23" s="38"/>
      <c r="AJ23" s="38"/>
      <c r="AK23" s="38"/>
      <c r="AL23" s="38"/>
      <c r="AM23" s="38"/>
      <c r="AN23" s="38"/>
      <c r="AO23" s="38"/>
      <c r="AP23" s="38"/>
      <c r="AQ23" s="38"/>
      <c r="AR23" s="1">
        <f t="shared" si="1"/>
        <v>0</v>
      </c>
      <c r="AS23" t="e">
        <f t="shared" si="2"/>
        <v>#DIV/0!</v>
      </c>
      <c r="AT23">
        <f t="shared" si="3"/>
        <v>0</v>
      </c>
      <c r="AU23">
        <f t="shared" si="4"/>
        <v>0</v>
      </c>
      <c r="AV23">
        <f t="shared" si="5"/>
        <v>0</v>
      </c>
      <c r="AW23">
        <f t="shared" si="6"/>
        <v>0</v>
      </c>
      <c r="AX23">
        <f t="shared" si="7"/>
        <v>0</v>
      </c>
      <c r="AY23">
        <f t="shared" si="8"/>
        <v>0</v>
      </c>
      <c r="BC23" s="72"/>
    </row>
    <row r="24" spans="1:75" x14ac:dyDescent="0.25">
      <c r="A24" s="1" t="s">
        <v>52</v>
      </c>
      <c r="B24" s="1" t="s">
        <v>148</v>
      </c>
      <c r="C24" s="44" t="s">
        <v>116</v>
      </c>
      <c r="D24" s="35">
        <f t="shared" si="0"/>
        <v>2.9990000000000001</v>
      </c>
      <c r="E24" s="38">
        <v>7</v>
      </c>
      <c r="F24" s="38">
        <v>5</v>
      </c>
      <c r="G24" s="38">
        <v>321020</v>
      </c>
      <c r="H24" s="38">
        <v>1650</v>
      </c>
      <c r="I24" s="38">
        <v>844</v>
      </c>
      <c r="J24" s="38">
        <v>10</v>
      </c>
      <c r="K24" s="38">
        <v>5</v>
      </c>
      <c r="L24" s="38">
        <v>1631</v>
      </c>
      <c r="M24" s="38">
        <v>86</v>
      </c>
      <c r="N24" s="38">
        <v>3800</v>
      </c>
      <c r="O24" s="38">
        <v>120</v>
      </c>
      <c r="P24" s="38">
        <v>78</v>
      </c>
      <c r="Q24" s="38">
        <v>49</v>
      </c>
      <c r="R24" s="38">
        <v>28</v>
      </c>
      <c r="S24" s="38">
        <v>23</v>
      </c>
      <c r="T24" s="38">
        <v>13837</v>
      </c>
      <c r="U24" s="38"/>
      <c r="V24" s="38"/>
      <c r="W24" s="1">
        <v>2999</v>
      </c>
      <c r="X24" s="38">
        <v>5</v>
      </c>
      <c r="Y24" s="38">
        <v>5</v>
      </c>
      <c r="Z24" s="38">
        <v>9</v>
      </c>
      <c r="AA24" s="38">
        <v>257427</v>
      </c>
      <c r="AB24" s="38">
        <v>205448</v>
      </c>
      <c r="AC24" s="38">
        <v>13389</v>
      </c>
      <c r="AD24" s="38">
        <v>164</v>
      </c>
      <c r="AE24" s="38">
        <v>1546</v>
      </c>
      <c r="AF24" s="38">
        <v>487</v>
      </c>
      <c r="AG24" s="38">
        <v>69331</v>
      </c>
      <c r="AH24" s="35">
        <v>547792</v>
      </c>
      <c r="AI24" s="38">
        <v>240933</v>
      </c>
      <c r="AJ24" s="38">
        <v>0</v>
      </c>
      <c r="AK24" s="38">
        <v>29629</v>
      </c>
      <c r="AL24" s="38">
        <v>270562</v>
      </c>
      <c r="AM24" s="38"/>
      <c r="AN24" s="38"/>
      <c r="AO24" s="38"/>
      <c r="AP24" s="38"/>
      <c r="AQ24" s="38"/>
      <c r="AR24" s="1">
        <f t="shared" si="1"/>
        <v>3920</v>
      </c>
      <c r="AS24" t="e">
        <f t="shared" si="2"/>
        <v>#DIV/0!</v>
      </c>
      <c r="AT24">
        <f t="shared" si="3"/>
        <v>182.65821940646882</v>
      </c>
      <c r="AU24">
        <f t="shared" si="4"/>
        <v>4613.8712904301428</v>
      </c>
      <c r="AV24">
        <f t="shared" si="5"/>
        <v>0</v>
      </c>
      <c r="AW24">
        <f t="shared" si="6"/>
        <v>107042.34744914972</v>
      </c>
      <c r="AX24">
        <f t="shared" si="7"/>
        <v>108451.48382794265</v>
      </c>
      <c r="AY24">
        <f t="shared" si="8"/>
        <v>543.84794931643876</v>
      </c>
      <c r="BC24" s="72"/>
      <c r="BG24" s="72"/>
      <c r="BH24" s="72"/>
      <c r="BJ24" s="72"/>
      <c r="BK24" s="72"/>
      <c r="BL24" s="72"/>
      <c r="BM24" s="72"/>
      <c r="BN24" s="72"/>
      <c r="BO24" s="72"/>
      <c r="BQ24" s="72"/>
      <c r="BR24" s="72"/>
      <c r="BS24" s="72"/>
      <c r="BW24" s="72"/>
    </row>
    <row r="25" spans="1:75" x14ac:dyDescent="0.25">
      <c r="A25" s="1" t="s">
        <v>53</v>
      </c>
      <c r="B25" s="1" t="s">
        <v>148</v>
      </c>
      <c r="C25" s="44" t="s">
        <v>117</v>
      </c>
      <c r="D25" s="35">
        <f t="shared" si="0"/>
        <v>540</v>
      </c>
      <c r="E25" s="38">
        <v>23</v>
      </c>
      <c r="F25" s="38">
        <v>139</v>
      </c>
      <c r="G25" s="38">
        <v>24825096</v>
      </c>
      <c r="H25" s="38">
        <v>148011</v>
      </c>
      <c r="I25" s="38">
        <v>151734</v>
      </c>
      <c r="J25" s="38"/>
      <c r="K25" s="38">
        <v>5704333</v>
      </c>
      <c r="L25" s="38"/>
      <c r="M25" s="38"/>
      <c r="N25" s="38"/>
      <c r="O25" s="38"/>
      <c r="P25" s="38"/>
      <c r="Q25" s="38"/>
      <c r="R25" s="38"/>
      <c r="S25" s="38"/>
      <c r="T25" s="38"/>
      <c r="U25" s="38">
        <v>4082889</v>
      </c>
      <c r="V25" s="38"/>
      <c r="W25" s="1">
        <v>540000</v>
      </c>
      <c r="X25" s="38">
        <v>868</v>
      </c>
      <c r="Y25" s="38">
        <v>1002</v>
      </c>
      <c r="Z25" s="38">
        <v>1870</v>
      </c>
      <c r="AA25" s="38"/>
      <c r="AB25" s="38"/>
      <c r="AC25" s="38"/>
      <c r="AD25" s="38"/>
      <c r="AE25" s="38"/>
      <c r="AF25" s="38"/>
      <c r="AG25" s="38"/>
      <c r="AH25" s="35"/>
      <c r="AI25" s="38"/>
      <c r="AJ25" s="38"/>
      <c r="AK25" s="38"/>
      <c r="AL25" s="38"/>
      <c r="AM25" s="38"/>
      <c r="AN25" s="38"/>
      <c r="AO25" s="38"/>
      <c r="AP25" s="38"/>
      <c r="AQ25" s="38"/>
      <c r="AR25" s="1">
        <f t="shared" si="1"/>
        <v>0</v>
      </c>
      <c r="AS25" t="e">
        <f t="shared" si="2"/>
        <v>#DIV/0!</v>
      </c>
      <c r="AT25">
        <f t="shared" si="3"/>
        <v>0</v>
      </c>
      <c r="AU25">
        <f t="shared" si="4"/>
        <v>0</v>
      </c>
      <c r="AV25">
        <f t="shared" si="5"/>
        <v>0</v>
      </c>
      <c r="AW25">
        <f t="shared" si="6"/>
        <v>45972.4</v>
      </c>
      <c r="AX25">
        <f t="shared" si="7"/>
        <v>57091.062962962962</v>
      </c>
      <c r="AY25">
        <f t="shared" si="8"/>
        <v>0</v>
      </c>
      <c r="BC25" s="72"/>
    </row>
    <row r="26" spans="1:75" x14ac:dyDescent="0.25">
      <c r="A26" s="1" t="s">
        <v>54</v>
      </c>
      <c r="B26" s="1" t="s">
        <v>149</v>
      </c>
      <c r="C26" s="44" t="s">
        <v>118</v>
      </c>
      <c r="D26" s="35">
        <f t="shared" si="0"/>
        <v>194</v>
      </c>
      <c r="E26" s="38">
        <v>79</v>
      </c>
      <c r="F26" s="38">
        <v>217</v>
      </c>
      <c r="G26" s="38">
        <v>12147560</v>
      </c>
      <c r="H26" s="38">
        <v>76728</v>
      </c>
      <c r="I26" s="38"/>
      <c r="J26" s="38">
        <v>46115</v>
      </c>
      <c r="K26" s="38">
        <v>481751</v>
      </c>
      <c r="L26" s="38">
        <v>103062</v>
      </c>
      <c r="M26" s="38"/>
      <c r="N26" s="38">
        <v>323651</v>
      </c>
      <c r="O26" s="38">
        <v>5250</v>
      </c>
      <c r="P26" s="38">
        <v>22</v>
      </c>
      <c r="Q26" s="38"/>
      <c r="R26" s="38">
        <v>923</v>
      </c>
      <c r="S26" s="38">
        <v>412</v>
      </c>
      <c r="T26" s="38"/>
      <c r="U26" s="38">
        <v>2683402</v>
      </c>
      <c r="V26" s="38">
        <v>4573762</v>
      </c>
      <c r="W26" s="1">
        <v>194000</v>
      </c>
      <c r="X26" s="38">
        <v>608</v>
      </c>
      <c r="Y26" s="38">
        <v>330</v>
      </c>
      <c r="Z26" s="38">
        <v>933</v>
      </c>
      <c r="AA26" s="38">
        <v>29983798</v>
      </c>
      <c r="AB26" s="38">
        <v>16678103</v>
      </c>
      <c r="AC26" s="38">
        <v>0</v>
      </c>
      <c r="AD26" s="38">
        <v>0</v>
      </c>
      <c r="AE26" s="38">
        <v>0</v>
      </c>
      <c r="AF26" s="38">
        <v>0</v>
      </c>
      <c r="AG26" s="38">
        <v>6624018</v>
      </c>
      <c r="AH26" s="35">
        <v>53285919</v>
      </c>
      <c r="AI26" s="38">
        <v>51297594</v>
      </c>
      <c r="AJ26" s="38">
        <v>1988325</v>
      </c>
      <c r="AK26" s="38">
        <v>0</v>
      </c>
      <c r="AL26" s="38">
        <v>53285919</v>
      </c>
      <c r="AM26" s="38"/>
      <c r="AN26" s="38"/>
      <c r="AO26" s="38"/>
      <c r="AP26" s="38"/>
      <c r="AQ26" s="38"/>
      <c r="AR26" s="1">
        <f t="shared" si="1"/>
        <v>328901</v>
      </c>
      <c r="AS26">
        <f t="shared" si="2"/>
        <v>0.58669471651563854</v>
      </c>
      <c r="AT26">
        <f t="shared" si="3"/>
        <v>274.66968556701033</v>
      </c>
      <c r="AU26">
        <f t="shared" si="4"/>
        <v>0</v>
      </c>
      <c r="AV26">
        <f t="shared" si="5"/>
        <v>23576.092783505155</v>
      </c>
      <c r="AW26">
        <f t="shared" si="6"/>
        <v>62616.288659793812</v>
      </c>
      <c r="AX26">
        <f t="shared" si="7"/>
        <v>66264</v>
      </c>
      <c r="AY26">
        <f t="shared" si="8"/>
        <v>531.24742268041234</v>
      </c>
      <c r="BC26" s="72"/>
      <c r="BG26" s="72"/>
      <c r="BH26" s="72"/>
      <c r="BJ26" s="72"/>
      <c r="BK26" s="72"/>
      <c r="BL26" s="72"/>
      <c r="BM26" s="72"/>
      <c r="BN26" s="72"/>
      <c r="BO26" s="72"/>
      <c r="BP26" s="72"/>
      <c r="BR26" s="72"/>
    </row>
    <row r="27" spans="1:75" x14ac:dyDescent="0.25">
      <c r="A27" s="1" t="s">
        <v>55</v>
      </c>
      <c r="B27" s="1" t="s">
        <v>148</v>
      </c>
      <c r="C27" s="44" t="s">
        <v>119</v>
      </c>
      <c r="D27" s="35">
        <f t="shared" si="0"/>
        <v>325</v>
      </c>
      <c r="E27" s="38">
        <v>232</v>
      </c>
      <c r="F27" s="38">
        <v>232</v>
      </c>
      <c r="G27" s="38">
        <v>8526990</v>
      </c>
      <c r="H27" s="38"/>
      <c r="I27" s="38"/>
      <c r="J27" s="38">
        <v>14029</v>
      </c>
      <c r="K27" s="38">
        <v>47174</v>
      </c>
      <c r="L27" s="38">
        <v>150733</v>
      </c>
      <c r="M27" s="38"/>
      <c r="N27" s="38">
        <v>336724</v>
      </c>
      <c r="O27" s="38">
        <v>9457</v>
      </c>
      <c r="P27" s="38"/>
      <c r="Q27" s="38"/>
      <c r="R27" s="38">
        <v>469</v>
      </c>
      <c r="S27" s="38">
        <v>148</v>
      </c>
      <c r="T27" s="38">
        <v>1025402</v>
      </c>
      <c r="U27" s="38">
        <v>1584359</v>
      </c>
      <c r="V27" s="38"/>
      <c r="W27" s="1">
        <v>325000</v>
      </c>
      <c r="X27" s="38">
        <v>760</v>
      </c>
      <c r="Y27" s="38">
        <v>442</v>
      </c>
      <c r="Z27" s="38">
        <v>1160</v>
      </c>
      <c r="AA27" s="38">
        <v>6057533</v>
      </c>
      <c r="AB27" s="38">
        <v>9189567</v>
      </c>
      <c r="AC27" s="38">
        <v>0</v>
      </c>
      <c r="AD27" s="38">
        <v>0</v>
      </c>
      <c r="AE27" s="38">
        <v>0</v>
      </c>
      <c r="AF27" s="38">
        <v>0</v>
      </c>
      <c r="AG27" s="38">
        <v>1305686</v>
      </c>
      <c r="AH27" s="35">
        <v>16552785</v>
      </c>
      <c r="AI27" s="38">
        <v>15668525</v>
      </c>
      <c r="AJ27" s="38">
        <v>465864</v>
      </c>
      <c r="AK27" s="38">
        <v>945238</v>
      </c>
      <c r="AL27" s="38">
        <v>17079627</v>
      </c>
      <c r="AM27" s="38">
        <v>10888</v>
      </c>
      <c r="AN27" s="38">
        <v>0</v>
      </c>
      <c r="AO27" s="38">
        <v>0</v>
      </c>
      <c r="AP27" s="38">
        <v>410531</v>
      </c>
      <c r="AQ27" s="38">
        <v>421418</v>
      </c>
      <c r="AR27" s="1">
        <f t="shared" si="1"/>
        <v>346181</v>
      </c>
      <c r="AS27" t="e">
        <f t="shared" si="2"/>
        <v>#DIV/0!</v>
      </c>
      <c r="AT27">
        <f t="shared" si="3"/>
        <v>50.931646153846152</v>
      </c>
      <c r="AU27">
        <f t="shared" si="4"/>
        <v>3155.083076923077</v>
      </c>
      <c r="AV27">
        <f t="shared" si="5"/>
        <v>0</v>
      </c>
      <c r="AW27">
        <f t="shared" si="6"/>
        <v>26236.892307692309</v>
      </c>
      <c r="AX27">
        <f t="shared" si="7"/>
        <v>26889.003076923076</v>
      </c>
      <c r="AY27">
        <f t="shared" si="8"/>
        <v>463.79384615384618</v>
      </c>
      <c r="BC27" s="72"/>
      <c r="BG27" s="72"/>
      <c r="BH27" s="72"/>
      <c r="BM27" s="72"/>
      <c r="BN27" s="72"/>
      <c r="BO27" s="72"/>
      <c r="BP27" s="72"/>
      <c r="BQ27" s="72"/>
      <c r="BR27" s="72"/>
      <c r="BS27" s="72"/>
      <c r="BV27" s="72"/>
      <c r="BW27" s="72"/>
    </row>
    <row r="28" spans="1:75" x14ac:dyDescent="0.25">
      <c r="A28" s="1" t="s">
        <v>56</v>
      </c>
      <c r="B28" s="1" t="s">
        <v>148</v>
      </c>
      <c r="C28" s="44" t="s">
        <v>120</v>
      </c>
      <c r="D28" s="35">
        <f t="shared" si="0"/>
        <v>1680</v>
      </c>
      <c r="E28" s="38">
        <v>625</v>
      </c>
      <c r="F28" s="38">
        <v>1063</v>
      </c>
      <c r="G28" s="38">
        <v>27023341</v>
      </c>
      <c r="H28" s="38">
        <v>317690</v>
      </c>
      <c r="I28" s="38"/>
      <c r="J28" s="38">
        <v>43420</v>
      </c>
      <c r="K28" s="38">
        <v>1462593</v>
      </c>
      <c r="L28" s="38">
        <v>826371</v>
      </c>
      <c r="M28" s="38">
        <v>66432</v>
      </c>
      <c r="N28" s="38">
        <v>1299635</v>
      </c>
      <c r="O28" s="38">
        <v>61818</v>
      </c>
      <c r="P28" s="38"/>
      <c r="Q28" s="38"/>
      <c r="R28" s="38"/>
      <c r="S28" s="38"/>
      <c r="T28" s="38">
        <v>2977391</v>
      </c>
      <c r="U28" s="38">
        <v>14034491</v>
      </c>
      <c r="V28" s="38">
        <v>47166561</v>
      </c>
      <c r="W28" s="1">
        <v>1680000</v>
      </c>
      <c r="X28" s="38">
        <v>4487</v>
      </c>
      <c r="Y28" s="38">
        <v>1528</v>
      </c>
      <c r="Z28" s="38">
        <v>6015</v>
      </c>
      <c r="AA28" s="38">
        <v>98823361</v>
      </c>
      <c r="AB28" s="38">
        <v>62079372</v>
      </c>
      <c r="AC28" s="38">
        <v>0</v>
      </c>
      <c r="AD28" s="38">
        <v>0</v>
      </c>
      <c r="AE28" s="38">
        <v>0</v>
      </c>
      <c r="AF28" s="38">
        <v>0</v>
      </c>
      <c r="AG28" s="38">
        <v>9772710</v>
      </c>
      <c r="AH28" s="35">
        <v>170675442</v>
      </c>
      <c r="AI28" s="38">
        <v>149643265</v>
      </c>
      <c r="AJ28" s="38">
        <v>7196828</v>
      </c>
      <c r="AK28" s="38">
        <v>13835349</v>
      </c>
      <c r="AL28" s="38">
        <v>170675442</v>
      </c>
      <c r="AM28" s="38"/>
      <c r="AN28" s="38"/>
      <c r="AO28" s="38"/>
      <c r="AP28" s="38"/>
      <c r="AQ28" s="38"/>
      <c r="AR28" s="1">
        <f t="shared" si="1"/>
        <v>1361453</v>
      </c>
      <c r="AS28">
        <f t="shared" si="2"/>
        <v>0.29755171253634538</v>
      </c>
      <c r="AT28">
        <f t="shared" si="3"/>
        <v>101.59252499999999</v>
      </c>
      <c r="AU28">
        <f t="shared" si="4"/>
        <v>1772.2565476190475</v>
      </c>
      <c r="AV28">
        <f t="shared" si="5"/>
        <v>28075.333928571428</v>
      </c>
      <c r="AW28">
        <f t="shared" si="6"/>
        <v>16085.322023809524</v>
      </c>
      <c r="AX28">
        <f t="shared" si="7"/>
        <v>17702.289880952379</v>
      </c>
      <c r="AY28">
        <f t="shared" si="8"/>
        <v>491.88749999999999</v>
      </c>
      <c r="BC28" s="72"/>
      <c r="BG28" s="72"/>
    </row>
    <row r="29" spans="1:75" x14ac:dyDescent="0.25">
      <c r="A29" s="1" t="s">
        <v>57</v>
      </c>
      <c r="B29" s="1" t="s">
        <v>148</v>
      </c>
      <c r="C29" s="44" t="s">
        <v>121</v>
      </c>
      <c r="D29" s="35">
        <f t="shared" si="0"/>
        <v>292</v>
      </c>
      <c r="E29" s="38">
        <v>37</v>
      </c>
      <c r="F29" s="38">
        <v>155</v>
      </c>
      <c r="G29" s="38">
        <v>23323000</v>
      </c>
      <c r="H29" s="38">
        <v>254183</v>
      </c>
      <c r="I29" s="38"/>
      <c r="J29" s="38">
        <v>69985</v>
      </c>
      <c r="K29" s="38">
        <v>2710924</v>
      </c>
      <c r="L29" s="38">
        <v>45375</v>
      </c>
      <c r="M29" s="38">
        <v>6453</v>
      </c>
      <c r="N29" s="38">
        <v>342000</v>
      </c>
      <c r="O29" s="38">
        <v>726</v>
      </c>
      <c r="P29" s="38"/>
      <c r="Q29" s="38"/>
      <c r="R29" s="38">
        <v>1743</v>
      </c>
      <c r="S29" s="38"/>
      <c r="T29" s="38">
        <v>497999</v>
      </c>
      <c r="U29" s="38">
        <v>5313555</v>
      </c>
      <c r="V29" s="38"/>
      <c r="W29" s="1">
        <v>292000</v>
      </c>
      <c r="X29" s="38">
        <v>1070</v>
      </c>
      <c r="Y29" s="38">
        <v>596</v>
      </c>
      <c r="Z29" s="38">
        <v>1666</v>
      </c>
      <c r="AA29" s="38">
        <v>57521486</v>
      </c>
      <c r="AB29" s="38">
        <v>26937356</v>
      </c>
      <c r="AC29" s="38">
        <v>0</v>
      </c>
      <c r="AD29" s="38">
        <v>0</v>
      </c>
      <c r="AE29" s="38">
        <v>0</v>
      </c>
      <c r="AF29" s="38">
        <v>0</v>
      </c>
      <c r="AG29" s="38">
        <v>17835073</v>
      </c>
      <c r="AH29" s="35">
        <v>102293915</v>
      </c>
      <c r="AI29" s="38">
        <v>89545934</v>
      </c>
      <c r="AJ29" s="38">
        <v>2151125</v>
      </c>
      <c r="AK29" s="38">
        <v>10596856</v>
      </c>
      <c r="AL29" s="38">
        <v>102293915</v>
      </c>
      <c r="AM29" s="38"/>
      <c r="AN29" s="38"/>
      <c r="AO29" s="38"/>
      <c r="AP29" s="38"/>
      <c r="AQ29" s="38"/>
      <c r="AR29" s="1">
        <f t="shared" si="1"/>
        <v>342726</v>
      </c>
      <c r="AS29" t="e">
        <f t="shared" si="2"/>
        <v>#DIV/0!</v>
      </c>
      <c r="AT29">
        <f t="shared" si="3"/>
        <v>350.32162671232879</v>
      </c>
      <c r="AU29">
        <f t="shared" si="4"/>
        <v>1705.4760273972602</v>
      </c>
      <c r="AV29">
        <f t="shared" si="5"/>
        <v>0</v>
      </c>
      <c r="AW29">
        <f t="shared" si="6"/>
        <v>79873.287671232873</v>
      </c>
      <c r="AX29">
        <f t="shared" si="7"/>
        <v>90444.931506849316</v>
      </c>
      <c r="AY29">
        <f t="shared" si="8"/>
        <v>155.39383561643837</v>
      </c>
      <c r="AZ29" s="72"/>
      <c r="BC29" s="72"/>
      <c r="BG29" s="72"/>
      <c r="BP29" s="72"/>
      <c r="BQ29" s="72"/>
    </row>
    <row r="30" spans="1:75" x14ac:dyDescent="0.25">
      <c r="A30" s="1" t="s">
        <v>58</v>
      </c>
      <c r="B30" s="1" t="s">
        <v>149</v>
      </c>
      <c r="C30" s="44" t="s">
        <v>122</v>
      </c>
      <c r="D30" s="35">
        <f t="shared" si="0"/>
        <v>162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1">
        <v>162000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5"/>
      <c r="AI30" s="38"/>
      <c r="AJ30" s="38"/>
      <c r="AK30" s="38"/>
      <c r="AL30" s="38"/>
      <c r="AM30" s="38"/>
      <c r="AN30" s="38"/>
      <c r="AO30" s="38"/>
      <c r="AP30" s="38"/>
      <c r="AQ30" s="38"/>
      <c r="AR30" s="1">
        <f t="shared" si="1"/>
        <v>0</v>
      </c>
      <c r="AS30" t="e">
        <f t="shared" si="2"/>
        <v>#DIV/0!</v>
      </c>
      <c r="AT30">
        <f t="shared" si="3"/>
        <v>0</v>
      </c>
      <c r="AU30">
        <f t="shared" si="4"/>
        <v>0</v>
      </c>
      <c r="AV30">
        <f t="shared" si="5"/>
        <v>0</v>
      </c>
      <c r="AW30">
        <f t="shared" si="6"/>
        <v>0</v>
      </c>
      <c r="AX30">
        <f t="shared" si="7"/>
        <v>0</v>
      </c>
      <c r="AY30">
        <f t="shared" si="8"/>
        <v>0</v>
      </c>
      <c r="BC30" s="72"/>
      <c r="BG30" s="72"/>
      <c r="BH30" s="72"/>
      <c r="BJ30" s="72"/>
      <c r="BM30" s="72"/>
      <c r="BN30" s="72"/>
      <c r="BO30" s="72"/>
      <c r="BR30" s="72"/>
    </row>
    <row r="31" spans="1:75" x14ac:dyDescent="0.25">
      <c r="A31" s="1" t="s">
        <v>59</v>
      </c>
      <c r="B31" s="1" t="s">
        <v>148</v>
      </c>
      <c r="C31" s="44" t="s">
        <v>123</v>
      </c>
      <c r="D31" s="35">
        <f t="shared" si="0"/>
        <v>1910</v>
      </c>
      <c r="E31" s="38">
        <v>169</v>
      </c>
      <c r="F31" s="38">
        <v>750</v>
      </c>
      <c r="G31" s="38">
        <v>102172000</v>
      </c>
      <c r="H31" s="38">
        <v>596000</v>
      </c>
      <c r="I31" s="38"/>
      <c r="J31" s="38">
        <v>123000</v>
      </c>
      <c r="K31" s="38">
        <v>10533000</v>
      </c>
      <c r="L31" s="38">
        <v>3077000</v>
      </c>
      <c r="M31" s="38"/>
      <c r="N31" s="38">
        <v>2874000</v>
      </c>
      <c r="O31" s="38">
        <v>163000</v>
      </c>
      <c r="P31" s="38"/>
      <c r="Q31" s="38"/>
      <c r="R31" s="38">
        <v>32010</v>
      </c>
      <c r="S31" s="38">
        <v>32010</v>
      </c>
      <c r="T31" s="38">
        <v>2481000</v>
      </c>
      <c r="U31" s="38">
        <v>77900000</v>
      </c>
      <c r="V31" s="38">
        <v>120600000</v>
      </c>
      <c r="W31" s="1">
        <v>1910000</v>
      </c>
      <c r="X31" s="38">
        <v>3619</v>
      </c>
      <c r="Y31" s="38">
        <v>5791</v>
      </c>
      <c r="Z31" s="38">
        <v>9410</v>
      </c>
      <c r="AA31" s="38">
        <v>299092399</v>
      </c>
      <c r="AB31" s="38">
        <v>180900149</v>
      </c>
      <c r="AC31" s="38">
        <v>19517056</v>
      </c>
      <c r="AD31" s="38">
        <v>295701</v>
      </c>
      <c r="AE31" s="38">
        <v>2784858</v>
      </c>
      <c r="AF31" s="38">
        <v>0</v>
      </c>
      <c r="AG31" s="38">
        <v>89105813</v>
      </c>
      <c r="AH31" s="35">
        <v>591695976</v>
      </c>
      <c r="AI31" s="38">
        <v>409132638</v>
      </c>
      <c r="AJ31" s="38">
        <v>25834575</v>
      </c>
      <c r="AK31" s="38">
        <v>103053651</v>
      </c>
      <c r="AL31" s="38">
        <v>538020864</v>
      </c>
      <c r="AM31" s="38"/>
      <c r="AN31" s="38"/>
      <c r="AO31" s="38"/>
      <c r="AP31" s="38"/>
      <c r="AQ31" s="38"/>
      <c r="AR31" s="1">
        <f t="shared" si="1"/>
        <v>3037000</v>
      </c>
      <c r="AS31">
        <f t="shared" si="2"/>
        <v>0.64593698175787728</v>
      </c>
      <c r="AT31">
        <f t="shared" si="3"/>
        <v>309.78846910994764</v>
      </c>
      <c r="AU31">
        <f t="shared" si="4"/>
        <v>1298.9528795811518</v>
      </c>
      <c r="AV31">
        <f t="shared" si="5"/>
        <v>63141.3612565445</v>
      </c>
      <c r="AW31">
        <f t="shared" si="6"/>
        <v>53493.193717277485</v>
      </c>
      <c r="AX31">
        <f t="shared" si="7"/>
        <v>60995.287958115186</v>
      </c>
      <c r="AY31">
        <f t="shared" si="8"/>
        <v>1610.9947643979058</v>
      </c>
      <c r="AZ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W31" s="72"/>
    </row>
    <row r="32" spans="1:75" x14ac:dyDescent="0.25">
      <c r="A32" s="1" t="s">
        <v>60</v>
      </c>
      <c r="B32" s="1" t="s">
        <v>148</v>
      </c>
      <c r="C32" s="44" t="s">
        <v>124</v>
      </c>
      <c r="D32" s="35">
        <f t="shared" si="0"/>
        <v>2415</v>
      </c>
      <c r="E32" s="38">
        <v>242</v>
      </c>
      <c r="F32" s="38">
        <v>952</v>
      </c>
      <c r="G32" s="38">
        <v>145781090</v>
      </c>
      <c r="H32" s="38"/>
      <c r="I32" s="38">
        <v>456321</v>
      </c>
      <c r="J32" s="38">
        <v>163272</v>
      </c>
      <c r="K32" s="38">
        <v>43292567</v>
      </c>
      <c r="L32" s="38">
        <v>1591678</v>
      </c>
      <c r="M32" s="38"/>
      <c r="N32" s="38">
        <v>3487821</v>
      </c>
      <c r="O32" s="38">
        <v>73511</v>
      </c>
      <c r="P32" s="38"/>
      <c r="Q32" s="38"/>
      <c r="R32" s="38"/>
      <c r="S32" s="38"/>
      <c r="T32" s="38">
        <v>2036028</v>
      </c>
      <c r="U32" s="38">
        <v>55396873</v>
      </c>
      <c r="V32" s="38"/>
      <c r="W32" s="1">
        <v>2415000</v>
      </c>
      <c r="X32" s="38">
        <v>5501</v>
      </c>
      <c r="Y32" s="38">
        <v>3483</v>
      </c>
      <c r="Z32" s="38">
        <v>8984</v>
      </c>
      <c r="AA32" s="38">
        <v>254168203</v>
      </c>
      <c r="AB32" s="38">
        <v>181944259</v>
      </c>
      <c r="AC32" s="38">
        <v>7445788</v>
      </c>
      <c r="AD32" s="38">
        <v>0</v>
      </c>
      <c r="AE32" s="38">
        <v>5841944</v>
      </c>
      <c r="AF32" s="38">
        <v>0</v>
      </c>
      <c r="AG32" s="38">
        <v>19384343</v>
      </c>
      <c r="AH32" s="35">
        <v>468784537</v>
      </c>
      <c r="AI32" s="38">
        <v>433939804</v>
      </c>
      <c r="AJ32" s="38">
        <v>10769607</v>
      </c>
      <c r="AK32" s="38">
        <v>24075126</v>
      </c>
      <c r="AL32" s="38">
        <v>468784537</v>
      </c>
      <c r="AM32" s="38">
        <v>4203335</v>
      </c>
      <c r="AN32" s="38">
        <v>0</v>
      </c>
      <c r="AO32" s="38">
        <v>0</v>
      </c>
      <c r="AP32" s="38">
        <v>13469577</v>
      </c>
      <c r="AQ32" s="38">
        <v>17672912</v>
      </c>
      <c r="AR32" s="1">
        <f t="shared" si="1"/>
        <v>3561332</v>
      </c>
      <c r="AS32" t="e">
        <f t="shared" si="2"/>
        <v>#DIV/0!</v>
      </c>
      <c r="AT32">
        <f t="shared" si="3"/>
        <v>194.11367991718427</v>
      </c>
      <c r="AU32">
        <f t="shared" si="4"/>
        <v>843.07577639751548</v>
      </c>
      <c r="AV32">
        <f t="shared" si="5"/>
        <v>0</v>
      </c>
      <c r="AW32">
        <f t="shared" si="6"/>
        <v>60364.840579710144</v>
      </c>
      <c r="AX32">
        <f t="shared" si="7"/>
        <v>79207.009523809524</v>
      </c>
      <c r="AY32">
        <f t="shared" si="8"/>
        <v>659.07991718426501</v>
      </c>
      <c r="BC32" s="72"/>
      <c r="BD32" s="72"/>
      <c r="BE32" s="72"/>
      <c r="BF32" s="72"/>
      <c r="BG32" s="72"/>
      <c r="BH32" s="72"/>
      <c r="BM32" s="72"/>
      <c r="BN32" s="72"/>
      <c r="BW32" s="72"/>
    </row>
    <row r="33" spans="1:75" x14ac:dyDescent="0.25">
      <c r="A33" s="1" t="s">
        <v>61</v>
      </c>
      <c r="B33" s="1" t="s">
        <v>159</v>
      </c>
      <c r="C33" s="44" t="s">
        <v>125</v>
      </c>
      <c r="D33" s="35">
        <f t="shared" si="0"/>
        <v>16072.976000000001</v>
      </c>
      <c r="E33" s="38">
        <v>3533</v>
      </c>
      <c r="F33" s="38"/>
      <c r="G33" s="38">
        <v>909998739</v>
      </c>
      <c r="H33" s="38"/>
      <c r="I33" s="38">
        <v>7810572</v>
      </c>
      <c r="J33" s="38"/>
      <c r="K33" s="38">
        <v>1099654748</v>
      </c>
      <c r="L33" s="38">
        <v>93295688</v>
      </c>
      <c r="M33" s="38">
        <v>3596095</v>
      </c>
      <c r="N33" s="38">
        <v>25419128</v>
      </c>
      <c r="O33" s="38">
        <v>3215104</v>
      </c>
      <c r="P33" s="38"/>
      <c r="Q33" s="38"/>
      <c r="R33" s="38"/>
      <c r="S33" s="38">
        <v>13099</v>
      </c>
      <c r="T33" s="38"/>
      <c r="U33" s="38">
        <v>218384439</v>
      </c>
      <c r="V33" s="38">
        <v>16367837</v>
      </c>
      <c r="W33" s="1">
        <v>16072976</v>
      </c>
      <c r="X33" s="38">
        <v>31104</v>
      </c>
      <c r="Y33" s="38">
        <v>69026</v>
      </c>
      <c r="Z33" s="38">
        <v>100130</v>
      </c>
      <c r="AA33" s="38">
        <v>2170451277</v>
      </c>
      <c r="AB33" s="38">
        <v>1541680515</v>
      </c>
      <c r="AC33" s="38">
        <v>0</v>
      </c>
      <c r="AD33" s="38">
        <v>0</v>
      </c>
      <c r="AE33" s="38">
        <v>0</v>
      </c>
      <c r="AF33" s="38">
        <v>0</v>
      </c>
      <c r="AG33" s="38">
        <v>594912415</v>
      </c>
      <c r="AH33" s="35">
        <v>4307044208</v>
      </c>
      <c r="AI33" s="38">
        <v>3983549604</v>
      </c>
      <c r="AJ33" s="38">
        <v>171020826</v>
      </c>
      <c r="AK33" s="38">
        <v>307697064</v>
      </c>
      <c r="AL33" s="38">
        <v>4462267509</v>
      </c>
      <c r="AM33" s="38"/>
      <c r="AN33" s="38"/>
      <c r="AO33" s="38"/>
      <c r="AP33" s="38"/>
      <c r="AQ33" s="38"/>
      <c r="AR33" s="1">
        <f t="shared" si="1"/>
        <v>28634232</v>
      </c>
      <c r="AS33">
        <f t="shared" si="2"/>
        <v>13.342290676526165</v>
      </c>
      <c r="AT33">
        <f t="shared" si="3"/>
        <v>267.96806067526012</v>
      </c>
      <c r="AU33">
        <f t="shared" si="4"/>
        <v>0</v>
      </c>
      <c r="AV33">
        <f t="shared" si="5"/>
        <v>1018.3451403150232</v>
      </c>
      <c r="AW33">
        <f t="shared" si="6"/>
        <v>56616.692453220858</v>
      </c>
      <c r="AX33">
        <f t="shared" si="7"/>
        <v>131547.2531035945</v>
      </c>
      <c r="AY33">
        <f t="shared" si="8"/>
        <v>5804.5061474614286</v>
      </c>
      <c r="BC33" s="72"/>
    </row>
    <row r="34" spans="1:75" x14ac:dyDescent="0.25">
      <c r="A34" s="1" t="s">
        <v>62</v>
      </c>
      <c r="B34" s="1" t="s">
        <v>160</v>
      </c>
      <c r="C34" s="44" t="s">
        <v>126</v>
      </c>
      <c r="D34" s="35">
        <f t="shared" si="0"/>
        <v>1019.7809999999999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1">
        <v>1019781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5"/>
      <c r="AI34" s="38"/>
      <c r="AJ34" s="38"/>
      <c r="AK34" s="38"/>
      <c r="AL34" s="38"/>
      <c r="AM34" s="38"/>
      <c r="AN34" s="38"/>
      <c r="AO34" s="38"/>
      <c r="AP34" s="38"/>
      <c r="AQ34" s="38"/>
      <c r="AR34" s="1">
        <f t="shared" si="1"/>
        <v>0</v>
      </c>
      <c r="AS34" t="e">
        <f t="shared" si="2"/>
        <v>#DIV/0!</v>
      </c>
      <c r="AT34">
        <f t="shared" si="3"/>
        <v>0</v>
      </c>
      <c r="AU34">
        <f t="shared" si="4"/>
        <v>0</v>
      </c>
      <c r="AV34">
        <f t="shared" si="5"/>
        <v>0</v>
      </c>
      <c r="AW34">
        <f t="shared" si="6"/>
        <v>0</v>
      </c>
      <c r="AX34">
        <f t="shared" si="7"/>
        <v>0</v>
      </c>
      <c r="AY34">
        <f t="shared" si="8"/>
        <v>0</v>
      </c>
      <c r="AZ34" s="72"/>
      <c r="BC34" s="72"/>
      <c r="BG34" s="72"/>
      <c r="BH34" s="72"/>
      <c r="BI34" s="72"/>
      <c r="BJ34" s="72"/>
      <c r="BK34" s="72"/>
      <c r="BL34" s="72"/>
      <c r="BM34" s="72"/>
      <c r="BN34" s="72"/>
      <c r="BO34" s="72"/>
      <c r="BR34" s="72"/>
    </row>
    <row r="35" spans="1:75" x14ac:dyDescent="0.25">
      <c r="A35" s="1" t="s">
        <v>63</v>
      </c>
      <c r="B35" s="1" t="s">
        <v>159</v>
      </c>
      <c r="C35" s="44" t="s">
        <v>127</v>
      </c>
      <c r="D35" s="35">
        <f t="shared" si="0"/>
        <v>1063.7750000000001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1">
        <v>1063775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5"/>
      <c r="AI35" s="38"/>
      <c r="AJ35" s="38"/>
      <c r="AK35" s="38"/>
      <c r="AL35" s="38"/>
      <c r="AM35" s="38"/>
      <c r="AN35" s="38"/>
      <c r="AO35" s="38"/>
      <c r="AP35" s="38"/>
      <c r="AQ35" s="38"/>
      <c r="AR35" s="1">
        <f t="shared" si="1"/>
        <v>0</v>
      </c>
      <c r="AS35" t="e">
        <f t="shared" si="2"/>
        <v>#DIV/0!</v>
      </c>
      <c r="AT35">
        <f t="shared" si="3"/>
        <v>0</v>
      </c>
      <c r="AU35">
        <f t="shared" si="4"/>
        <v>0</v>
      </c>
      <c r="AV35">
        <f t="shared" si="5"/>
        <v>0</v>
      </c>
      <c r="AW35">
        <f t="shared" si="6"/>
        <v>0</v>
      </c>
      <c r="AX35">
        <f t="shared" si="7"/>
        <v>0</v>
      </c>
      <c r="AY35">
        <f t="shared" si="8"/>
        <v>0</v>
      </c>
      <c r="BC35" s="72"/>
    </row>
    <row r="36" spans="1:75" x14ac:dyDescent="0.25">
      <c r="A36" s="1" t="s">
        <v>64</v>
      </c>
      <c r="B36" s="1" t="s">
        <v>159</v>
      </c>
      <c r="C36" s="44" t="s">
        <v>128</v>
      </c>
      <c r="D36" s="35">
        <f t="shared" si="0"/>
        <v>3782.3130000000001</v>
      </c>
      <c r="E36" s="38">
        <v>1064</v>
      </c>
      <c r="F36" s="38">
        <v>1640</v>
      </c>
      <c r="G36" s="38">
        <v>266939000</v>
      </c>
      <c r="H36" s="38"/>
      <c r="I36" s="38"/>
      <c r="J36" s="38"/>
      <c r="K36" s="38"/>
      <c r="L36" s="38"/>
      <c r="M36" s="38"/>
      <c r="N36" s="38">
        <v>8108000</v>
      </c>
      <c r="O36" s="38"/>
      <c r="P36" s="38"/>
      <c r="Q36" s="38"/>
      <c r="R36" s="38"/>
      <c r="S36" s="38"/>
      <c r="T36" s="38"/>
      <c r="U36" s="38">
        <v>28629000</v>
      </c>
      <c r="V36" s="38"/>
      <c r="W36" s="1">
        <v>3782313</v>
      </c>
      <c r="X36" s="38">
        <v>7528</v>
      </c>
      <c r="Y36" s="38">
        <v>7219</v>
      </c>
      <c r="Z36" s="38">
        <v>14747</v>
      </c>
      <c r="AA36" s="38">
        <v>256865797</v>
      </c>
      <c r="AB36" s="38">
        <v>710178277</v>
      </c>
      <c r="AC36" s="38">
        <v>2725413</v>
      </c>
      <c r="AD36" s="38">
        <v>101174</v>
      </c>
      <c r="AE36" s="38">
        <v>952840</v>
      </c>
      <c r="AF36" s="38">
        <v>1965975</v>
      </c>
      <c r="AG36" s="38">
        <v>33737110</v>
      </c>
      <c r="AH36" s="35">
        <v>1006526585</v>
      </c>
      <c r="AI36" s="38">
        <v>930928123</v>
      </c>
      <c r="AJ36" s="38">
        <v>39966390</v>
      </c>
      <c r="AK36" s="38">
        <v>71906686</v>
      </c>
      <c r="AL36" s="38">
        <v>1042801202</v>
      </c>
      <c r="AM36" s="38"/>
      <c r="AN36" s="38"/>
      <c r="AO36" s="38"/>
      <c r="AP36" s="38"/>
      <c r="AQ36" s="38"/>
      <c r="AR36" s="1">
        <f t="shared" si="1"/>
        <v>8108000</v>
      </c>
      <c r="AS36" t="e">
        <f t="shared" si="2"/>
        <v>#DIV/0!</v>
      </c>
      <c r="AT36">
        <f t="shared" si="3"/>
        <v>266.11403789162875</v>
      </c>
      <c r="AU36">
        <f t="shared" si="4"/>
        <v>0</v>
      </c>
      <c r="AV36">
        <f t="shared" si="5"/>
        <v>0</v>
      </c>
      <c r="AW36">
        <f t="shared" si="6"/>
        <v>70575.5975245835</v>
      </c>
      <c r="AX36">
        <f t="shared" si="7"/>
        <v>70575.5975245835</v>
      </c>
      <c r="AY36">
        <f t="shared" si="8"/>
        <v>0</v>
      </c>
      <c r="AZ36" s="72"/>
      <c r="BC36" s="72"/>
      <c r="BF36" s="72"/>
      <c r="BG36" s="72"/>
      <c r="BH36" s="72"/>
      <c r="BJ36" s="72"/>
      <c r="BK36" s="72"/>
      <c r="BL36" s="72"/>
      <c r="BM36" s="72"/>
      <c r="BN36" s="72"/>
      <c r="BO36" s="72"/>
      <c r="BQ36" s="72"/>
      <c r="BR36" s="72"/>
      <c r="BS36" s="72"/>
      <c r="BW36" s="72"/>
    </row>
    <row r="37" spans="1:75" x14ac:dyDescent="0.25">
      <c r="A37" s="1" t="s">
        <v>140</v>
      </c>
      <c r="B37" s="1" t="s">
        <v>159</v>
      </c>
      <c r="C37" s="1" t="s">
        <v>143</v>
      </c>
      <c r="D37" s="35">
        <f t="shared" si="0"/>
        <v>2413.145</v>
      </c>
      <c r="W37" s="1">
        <v>2413145</v>
      </c>
      <c r="AH37" s="35"/>
      <c r="AR37" s="1">
        <f t="shared" si="1"/>
        <v>0</v>
      </c>
      <c r="AS37" t="e">
        <f t="shared" si="2"/>
        <v>#DIV/0!</v>
      </c>
      <c r="AT37">
        <f t="shared" si="3"/>
        <v>0</v>
      </c>
      <c r="AU37">
        <f t="shared" si="4"/>
        <v>0</v>
      </c>
      <c r="AV37">
        <f t="shared" si="5"/>
        <v>0</v>
      </c>
      <c r="AW37">
        <f t="shared" si="6"/>
        <v>0</v>
      </c>
      <c r="AX37">
        <f t="shared" si="7"/>
        <v>0</v>
      </c>
      <c r="AY37">
        <f t="shared" si="8"/>
        <v>0</v>
      </c>
      <c r="BC37" s="72"/>
    </row>
    <row r="38" spans="1:75" x14ac:dyDescent="0.25">
      <c r="A38" s="1" t="s">
        <v>141</v>
      </c>
      <c r="B38" s="1" t="s">
        <v>159</v>
      </c>
      <c r="C38" s="1" t="s">
        <v>144</v>
      </c>
      <c r="D38" s="35">
        <f t="shared" si="0"/>
        <v>2030.395</v>
      </c>
      <c r="E38" s="1">
        <v>2739</v>
      </c>
      <c r="F38" s="1">
        <v>910</v>
      </c>
      <c r="G38" s="1">
        <v>75032608</v>
      </c>
      <c r="I38" s="1">
        <v>150814</v>
      </c>
      <c r="V38" s="1">
        <v>241138449</v>
      </c>
      <c r="W38" s="1">
        <v>2030395</v>
      </c>
      <c r="X38" s="1">
        <v>3130</v>
      </c>
      <c r="Y38" s="1">
        <v>6616</v>
      </c>
      <c r="Z38" s="1">
        <v>13349</v>
      </c>
      <c r="AA38" s="1">
        <v>337981271</v>
      </c>
      <c r="AB38" s="1">
        <v>73056101</v>
      </c>
      <c r="AC38" s="1">
        <v>0</v>
      </c>
      <c r="AD38" s="1">
        <v>0</v>
      </c>
      <c r="AE38" s="1">
        <v>0</v>
      </c>
      <c r="AF38" s="1">
        <v>0</v>
      </c>
      <c r="AG38" s="1">
        <v>109699443</v>
      </c>
      <c r="AH38" s="35">
        <v>520736815</v>
      </c>
      <c r="AI38" s="1">
        <v>480924143</v>
      </c>
      <c r="AJ38" s="1">
        <v>11884831</v>
      </c>
      <c r="AK38" s="1">
        <v>27927841</v>
      </c>
      <c r="AL38" s="1">
        <v>520736815</v>
      </c>
      <c r="AM38" s="1">
        <v>23785033</v>
      </c>
      <c r="AN38" s="1">
        <v>35720</v>
      </c>
      <c r="AO38" s="1">
        <v>1786304</v>
      </c>
      <c r="AP38" s="1">
        <v>284300</v>
      </c>
      <c r="AQ38" s="1">
        <v>25891357</v>
      </c>
      <c r="AR38" s="1">
        <f t="shared" si="1"/>
        <v>0</v>
      </c>
      <c r="AS38">
        <f t="shared" si="2"/>
        <v>0</v>
      </c>
      <c r="AT38">
        <f t="shared" si="3"/>
        <v>256.47069412601979</v>
      </c>
      <c r="AU38">
        <f t="shared" si="4"/>
        <v>0</v>
      </c>
      <c r="AV38">
        <f t="shared" si="5"/>
        <v>118764.3039901103</v>
      </c>
      <c r="AW38">
        <f t="shared" si="6"/>
        <v>36954.685172097059</v>
      </c>
      <c r="AX38">
        <f t="shared" si="7"/>
        <v>37028.963329795435</v>
      </c>
      <c r="AY38">
        <f t="shared" si="8"/>
        <v>0</v>
      </c>
      <c r="BC38" s="72"/>
    </row>
    <row r="39" spans="1:75" x14ac:dyDescent="0.25">
      <c r="A39" s="1" t="s">
        <v>142</v>
      </c>
      <c r="B39" s="1" t="s">
        <v>159</v>
      </c>
      <c r="C39" s="1" t="s">
        <v>145</v>
      </c>
      <c r="D39" s="35">
        <f t="shared" si="0"/>
        <v>169.55699999999999</v>
      </c>
      <c r="W39" s="1">
        <v>169557</v>
      </c>
      <c r="AH39" s="35"/>
      <c r="AR39" s="1">
        <f t="shared" si="1"/>
        <v>0</v>
      </c>
      <c r="AS39" t="e">
        <f t="shared" si="2"/>
        <v>#DIV/0!</v>
      </c>
      <c r="AT39">
        <f t="shared" si="3"/>
        <v>0</v>
      </c>
      <c r="AU39">
        <f t="shared" si="4"/>
        <v>0</v>
      </c>
      <c r="AV39">
        <f t="shared" si="5"/>
        <v>0</v>
      </c>
      <c r="AW39">
        <f t="shared" si="6"/>
        <v>0</v>
      </c>
      <c r="AX39">
        <f t="shared" si="7"/>
        <v>0</v>
      </c>
      <c r="AY39">
        <f t="shared" si="8"/>
        <v>0</v>
      </c>
      <c r="BC39" s="72"/>
    </row>
    <row r="40" spans="1:75" x14ac:dyDescent="0.25">
      <c r="A40" s="1" t="s">
        <v>146</v>
      </c>
      <c r="B40" s="1" t="s">
        <v>160</v>
      </c>
      <c r="C40" s="1" t="s">
        <v>150</v>
      </c>
      <c r="D40" s="35">
        <f t="shared" si="0"/>
        <v>1482.3710000000001</v>
      </c>
      <c r="W40" s="1">
        <v>1482371</v>
      </c>
      <c r="AH40" s="35"/>
      <c r="AR40" s="1">
        <f t="shared" si="1"/>
        <v>0</v>
      </c>
      <c r="AS40" t="e">
        <f t="shared" si="2"/>
        <v>#DIV/0!</v>
      </c>
      <c r="AT40">
        <f t="shared" si="3"/>
        <v>0</v>
      </c>
      <c r="AU40">
        <f t="shared" si="4"/>
        <v>0</v>
      </c>
      <c r="AV40">
        <f t="shared" si="5"/>
        <v>0</v>
      </c>
      <c r="AW40">
        <f t="shared" si="6"/>
        <v>0</v>
      </c>
      <c r="AX40">
        <f t="shared" si="7"/>
        <v>0</v>
      </c>
      <c r="AY40">
        <f t="shared" si="8"/>
        <v>0</v>
      </c>
      <c r="BC40" s="72"/>
    </row>
    <row r="41" spans="1:75" x14ac:dyDescent="0.25">
      <c r="A41" s="1" t="s">
        <v>151</v>
      </c>
      <c r="B41" s="1" t="s">
        <v>156</v>
      </c>
      <c r="D41" s="35">
        <f t="shared" si="0"/>
        <v>2302</v>
      </c>
      <c r="E41" s="1">
        <v>889</v>
      </c>
      <c r="F41" s="1">
        <v>3558</v>
      </c>
      <c r="G41" s="1">
        <v>128550475</v>
      </c>
      <c r="H41" s="1">
        <v>1150028</v>
      </c>
      <c r="I41" s="1">
        <v>1169472</v>
      </c>
      <c r="J41" s="1">
        <v>1840904</v>
      </c>
      <c r="K41" s="1">
        <v>7028976</v>
      </c>
      <c r="L41" s="1">
        <v>800525</v>
      </c>
      <c r="M41" s="1">
        <v>67953</v>
      </c>
      <c r="N41" s="1">
        <v>4178770</v>
      </c>
      <c r="O41" s="1">
        <v>57326</v>
      </c>
      <c r="P41" s="1">
        <v>7</v>
      </c>
      <c r="Q41" s="1">
        <v>24</v>
      </c>
      <c r="R41" s="1">
        <v>5653</v>
      </c>
      <c r="S41" s="1">
        <v>2368</v>
      </c>
      <c r="T41" s="1">
        <v>2445998</v>
      </c>
      <c r="U41" s="1">
        <v>53981585</v>
      </c>
      <c r="V41" s="1">
        <v>35697764</v>
      </c>
      <c r="W41" s="1">
        <v>2302000</v>
      </c>
      <c r="X41" s="1">
        <v>11309</v>
      </c>
      <c r="Y41" s="1">
        <v>4123</v>
      </c>
      <c r="Z41" s="1">
        <v>15432</v>
      </c>
      <c r="AA41" s="1">
        <v>24454752</v>
      </c>
      <c r="AB41" s="1">
        <v>40482501</v>
      </c>
      <c r="AC41" s="1">
        <v>631802</v>
      </c>
      <c r="AD41" s="1">
        <v>1485296</v>
      </c>
      <c r="AE41" s="1">
        <v>2252617</v>
      </c>
      <c r="AF41" s="1">
        <v>4556003</v>
      </c>
      <c r="AG41" s="1">
        <v>11976923</v>
      </c>
      <c r="AH41" s="35">
        <v>85839890</v>
      </c>
      <c r="AI41" s="1">
        <v>75281051</v>
      </c>
      <c r="AJ41" s="1">
        <v>2283116</v>
      </c>
      <c r="AK41" s="1">
        <v>6992567</v>
      </c>
      <c r="AL41" s="1">
        <v>84556741</v>
      </c>
      <c r="AM41" s="1">
        <v>18161879</v>
      </c>
      <c r="AN41" s="1">
        <v>0</v>
      </c>
      <c r="AO41" s="1">
        <v>132102</v>
      </c>
      <c r="AP41" s="1">
        <v>3321626</v>
      </c>
      <c r="AQ41" s="1">
        <v>21615607</v>
      </c>
      <c r="AR41" s="1">
        <f t="shared" si="1"/>
        <v>4236096</v>
      </c>
      <c r="AS41">
        <f t="shared" si="2"/>
        <v>1.5121839283827412</v>
      </c>
      <c r="AT41">
        <f t="shared" si="3"/>
        <v>37.289265855777586</v>
      </c>
      <c r="AU41">
        <f t="shared" si="4"/>
        <v>1062.5534317984361</v>
      </c>
      <c r="AV41">
        <f t="shared" si="5"/>
        <v>15507.282363162467</v>
      </c>
      <c r="AW41">
        <f t="shared" si="6"/>
        <v>55842.95178105995</v>
      </c>
      <c r="AX41">
        <f t="shared" si="7"/>
        <v>61080.943961772369</v>
      </c>
      <c r="AY41">
        <f t="shared" si="8"/>
        <v>347.751954821894</v>
      </c>
      <c r="AZ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</row>
    <row r="42" spans="1:75" x14ac:dyDescent="0.25">
      <c r="A42" s="1" t="s">
        <v>152</v>
      </c>
      <c r="B42" s="1" t="s">
        <v>156</v>
      </c>
      <c r="D42" s="35">
        <f t="shared" si="0"/>
        <v>12614.999</v>
      </c>
      <c r="E42" s="1">
        <v>3236</v>
      </c>
      <c r="F42" s="1">
        <v>6442</v>
      </c>
      <c r="G42" s="1">
        <v>466859698</v>
      </c>
      <c r="H42" s="1">
        <v>2597026</v>
      </c>
      <c r="I42" s="1">
        <v>3592687</v>
      </c>
      <c r="J42" s="1">
        <v>1721767</v>
      </c>
      <c r="K42" s="1">
        <v>71541221</v>
      </c>
      <c r="L42" s="1">
        <v>10216118</v>
      </c>
      <c r="M42" s="1">
        <v>374900</v>
      </c>
      <c r="N42" s="1">
        <v>14993494</v>
      </c>
      <c r="O42" s="1">
        <v>645386</v>
      </c>
      <c r="P42" s="1">
        <v>565</v>
      </c>
      <c r="Q42" s="1">
        <v>800</v>
      </c>
      <c r="R42" s="1">
        <v>147466</v>
      </c>
      <c r="S42" s="1">
        <v>75105</v>
      </c>
      <c r="T42" s="1">
        <v>13212864</v>
      </c>
      <c r="U42" s="1">
        <v>201253002</v>
      </c>
      <c r="V42" s="1">
        <v>394561498</v>
      </c>
      <c r="W42" s="1">
        <v>12614999</v>
      </c>
      <c r="X42" s="1">
        <v>23102</v>
      </c>
      <c r="Y42" s="1">
        <v>19567</v>
      </c>
      <c r="Z42" s="1">
        <v>42626</v>
      </c>
      <c r="AA42" s="1">
        <v>1198984746</v>
      </c>
      <c r="AB42" s="1">
        <v>729016025</v>
      </c>
      <c r="AC42" s="1">
        <v>45642981</v>
      </c>
      <c r="AD42" s="1">
        <v>1296512</v>
      </c>
      <c r="AE42" s="1">
        <v>11079473</v>
      </c>
      <c r="AF42" s="1">
        <v>2309895</v>
      </c>
      <c r="AG42" s="1">
        <v>290625447</v>
      </c>
      <c r="AH42" s="35">
        <v>2278955075</v>
      </c>
      <c r="AI42" s="1">
        <v>1945458232</v>
      </c>
      <c r="AJ42" s="1">
        <v>89793634</v>
      </c>
      <c r="AK42" s="1">
        <v>204968777</v>
      </c>
      <c r="AL42" s="1">
        <v>2240220645</v>
      </c>
      <c r="AM42" s="1">
        <v>63829927</v>
      </c>
      <c r="AN42" s="1">
        <v>618027</v>
      </c>
      <c r="AO42" s="1">
        <v>2330594</v>
      </c>
      <c r="AP42" s="1">
        <v>20953504</v>
      </c>
      <c r="AQ42" s="1">
        <v>87732051</v>
      </c>
      <c r="AR42" s="1">
        <f t="shared" si="1"/>
        <v>15638880</v>
      </c>
      <c r="AS42">
        <f t="shared" si="2"/>
        <v>0.51006751297360498</v>
      </c>
      <c r="AT42">
        <f t="shared" si="3"/>
        <v>180.65439997260404</v>
      </c>
      <c r="AU42">
        <f t="shared" si="4"/>
        <v>1047.393186475877</v>
      </c>
      <c r="AV42">
        <f t="shared" si="5"/>
        <v>31277.172356494044</v>
      </c>
      <c r="AW42">
        <f t="shared" si="6"/>
        <v>37008.30241841478</v>
      </c>
      <c r="AX42">
        <f t="shared" si="7"/>
        <v>44146.132472939556</v>
      </c>
      <c r="AY42">
        <f t="shared" si="8"/>
        <v>809.83898611486222</v>
      </c>
      <c r="AZ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</row>
    <row r="43" spans="1:75" x14ac:dyDescent="0.25">
      <c r="A43" s="1" t="s">
        <v>153</v>
      </c>
      <c r="B43" s="1" t="s">
        <v>156</v>
      </c>
      <c r="D43" s="35">
        <f t="shared" si="0"/>
        <v>365</v>
      </c>
      <c r="E43" s="1">
        <v>237</v>
      </c>
      <c r="F43" s="1">
        <v>575</v>
      </c>
      <c r="G43" s="1">
        <v>30406655</v>
      </c>
      <c r="H43" s="1">
        <v>209379</v>
      </c>
      <c r="I43" s="1">
        <v>274629</v>
      </c>
      <c r="J43" s="1">
        <v>105592</v>
      </c>
      <c r="K43" s="1">
        <v>1305273</v>
      </c>
      <c r="L43" s="1">
        <v>306782</v>
      </c>
      <c r="M43" s="1">
        <v>23253</v>
      </c>
      <c r="N43" s="1">
        <v>877931</v>
      </c>
      <c r="O43" s="1">
        <v>17205</v>
      </c>
      <c r="P43" s="1">
        <v>22</v>
      </c>
      <c r="Q43" s="1">
        <v>29</v>
      </c>
      <c r="R43" s="1">
        <v>2886</v>
      </c>
      <c r="S43" s="1">
        <v>1146</v>
      </c>
      <c r="T43" s="1">
        <v>328798</v>
      </c>
      <c r="U43" s="1">
        <v>7947289</v>
      </c>
      <c r="V43" s="1">
        <v>10730809</v>
      </c>
      <c r="W43" s="1">
        <v>365000</v>
      </c>
      <c r="X43" s="1">
        <v>1553</v>
      </c>
      <c r="Y43" s="1">
        <v>865</v>
      </c>
      <c r="Z43" s="1">
        <v>2413</v>
      </c>
      <c r="AA43" s="1">
        <v>56412816</v>
      </c>
      <c r="AB43" s="1">
        <v>31378906</v>
      </c>
      <c r="AC43" s="1">
        <v>0</v>
      </c>
      <c r="AD43" s="1">
        <v>0</v>
      </c>
      <c r="AE43" s="1">
        <v>0</v>
      </c>
      <c r="AF43" s="1">
        <v>0</v>
      </c>
      <c r="AG43" s="1">
        <v>12462713</v>
      </c>
      <c r="AH43" s="35">
        <v>100254435</v>
      </c>
      <c r="AI43" s="1">
        <v>96513515</v>
      </c>
      <c r="AJ43" s="1">
        <v>3740921</v>
      </c>
      <c r="AK43" s="1">
        <v>0</v>
      </c>
      <c r="AL43" s="1">
        <v>100254435</v>
      </c>
      <c r="AM43" s="1">
        <v>3258172</v>
      </c>
      <c r="AN43" s="1">
        <v>33771</v>
      </c>
      <c r="AO43" s="1">
        <v>127351</v>
      </c>
      <c r="AP43" s="1">
        <v>408943</v>
      </c>
      <c r="AQ43" s="1">
        <v>3828237</v>
      </c>
      <c r="AR43" s="1">
        <f t="shared" si="1"/>
        <v>895136</v>
      </c>
      <c r="AS43">
        <f t="shared" si="2"/>
        <v>0.74060483231040641</v>
      </c>
      <c r="AT43">
        <f t="shared" si="3"/>
        <v>274.66968493150682</v>
      </c>
      <c r="AU43">
        <f t="shared" si="4"/>
        <v>900.81643835616444</v>
      </c>
      <c r="AV43">
        <f t="shared" si="5"/>
        <v>29399.476712328767</v>
      </c>
      <c r="AW43">
        <f t="shared" si="6"/>
        <v>83305.904109589042</v>
      </c>
      <c r="AX43">
        <f t="shared" si="7"/>
        <v>89401.542465753431</v>
      </c>
      <c r="AY43">
        <f t="shared" si="8"/>
        <v>840.49863013698632</v>
      </c>
      <c r="AZ43" s="72"/>
      <c r="BC43" s="72"/>
      <c r="BG43" s="72"/>
      <c r="BH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U43" s="72"/>
      <c r="BV43" s="72"/>
      <c r="BW43" s="72"/>
    </row>
    <row r="44" spans="1:75" x14ac:dyDescent="0.25">
      <c r="A44" s="1" t="s">
        <v>154</v>
      </c>
      <c r="B44" s="1" t="s">
        <v>156</v>
      </c>
      <c r="D44" s="35">
        <f t="shared" si="0"/>
        <v>25532.161</v>
      </c>
      <c r="E44" s="1">
        <v>8232</v>
      </c>
      <c r="F44" s="1">
        <v>14664</v>
      </c>
      <c r="G44" s="1">
        <v>1467437321</v>
      </c>
      <c r="H44" s="1">
        <v>9525832</v>
      </c>
      <c r="I44" s="1">
        <v>12085893</v>
      </c>
      <c r="J44" s="1">
        <v>8931152</v>
      </c>
      <c r="K44" s="1">
        <v>1419450734</v>
      </c>
      <c r="L44" s="1">
        <v>121345564</v>
      </c>
      <c r="M44" s="1">
        <v>4661148</v>
      </c>
      <c r="N44" s="1">
        <v>43188675</v>
      </c>
      <c r="O44" s="1">
        <v>4240600</v>
      </c>
      <c r="P44" s="1">
        <v>36</v>
      </c>
      <c r="Q44" s="1">
        <v>54</v>
      </c>
      <c r="R44" s="1">
        <v>150448</v>
      </c>
      <c r="S44" s="1">
        <v>35505</v>
      </c>
      <c r="T44" s="1">
        <v>13991240</v>
      </c>
      <c r="U44" s="1">
        <v>305549846</v>
      </c>
      <c r="V44" s="1">
        <v>355659287</v>
      </c>
      <c r="W44" s="1">
        <v>25532161</v>
      </c>
      <c r="X44" s="1">
        <v>48256</v>
      </c>
      <c r="Y44" s="1">
        <v>90223</v>
      </c>
      <c r="Z44" s="1">
        <v>142082</v>
      </c>
      <c r="AA44" s="1">
        <v>3095726536</v>
      </c>
      <c r="AB44" s="1">
        <v>2896312322</v>
      </c>
      <c r="AC44" s="1">
        <v>4464248</v>
      </c>
      <c r="AD44" s="1">
        <v>165724</v>
      </c>
      <c r="AE44" s="1">
        <v>1560759</v>
      </c>
      <c r="AF44" s="1">
        <v>3220282</v>
      </c>
      <c r="AG44" s="1">
        <v>805523081</v>
      </c>
      <c r="AH44" s="35">
        <v>6806972952</v>
      </c>
      <c r="AI44" s="1">
        <v>6295012011</v>
      </c>
      <c r="AJ44" s="1">
        <v>261493900</v>
      </c>
      <c r="AK44" s="1">
        <v>477019216</v>
      </c>
      <c r="AL44" s="1">
        <v>7033525149</v>
      </c>
      <c r="AM44" s="1">
        <v>235444298</v>
      </c>
      <c r="AN44" s="1">
        <v>2229566</v>
      </c>
      <c r="AO44" s="1">
        <v>10059325</v>
      </c>
      <c r="AP44" s="1">
        <v>26850335</v>
      </c>
      <c r="AQ44" s="1">
        <v>274583524</v>
      </c>
      <c r="AR44" s="1">
        <f t="shared" si="1"/>
        <v>47429275</v>
      </c>
      <c r="AS44">
        <f t="shared" si="2"/>
        <v>0.85910830159202334</v>
      </c>
      <c r="AT44">
        <f t="shared" si="3"/>
        <v>266.60387078085557</v>
      </c>
      <c r="AU44">
        <f t="shared" si="4"/>
        <v>547.98495121505778</v>
      </c>
      <c r="AV44">
        <f t="shared" si="5"/>
        <v>13929.854468644467</v>
      </c>
      <c r="AW44">
        <f t="shared" si="6"/>
        <v>57474.074403651146</v>
      </c>
      <c r="AX44">
        <f t="shared" si="7"/>
        <v>119200.15873313662</v>
      </c>
      <c r="AY44">
        <f t="shared" si="8"/>
        <v>4752.6554450287231</v>
      </c>
      <c r="AZ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</row>
    <row r="45" spans="1:75" x14ac:dyDescent="0.25">
      <c r="A45" s="1" t="s">
        <v>155</v>
      </c>
      <c r="B45" s="1" t="s">
        <v>156</v>
      </c>
      <c r="D45" s="35">
        <f t="shared" si="0"/>
        <v>2502.152</v>
      </c>
      <c r="E45" s="1">
        <v>397</v>
      </c>
      <c r="F45" s="1">
        <v>501</v>
      </c>
      <c r="G45" s="1">
        <v>39556590</v>
      </c>
      <c r="H45" s="1">
        <v>250460</v>
      </c>
      <c r="I45" s="1">
        <v>338180</v>
      </c>
      <c r="J45" s="1">
        <v>234826</v>
      </c>
      <c r="K45" s="1">
        <v>27962358</v>
      </c>
      <c r="L45" s="1">
        <v>2470429</v>
      </c>
      <c r="M45" s="1">
        <v>94457</v>
      </c>
      <c r="N45" s="1">
        <v>1199917</v>
      </c>
      <c r="O45" s="1">
        <v>94180</v>
      </c>
      <c r="P45" s="1">
        <v>22</v>
      </c>
      <c r="Q45" s="1">
        <v>29</v>
      </c>
      <c r="R45" s="1">
        <v>49038</v>
      </c>
      <c r="S45" s="1">
        <v>17499</v>
      </c>
      <c r="T45" s="1">
        <v>4560375</v>
      </c>
      <c r="U45" s="1">
        <v>92669567</v>
      </c>
      <c r="V45" s="1">
        <v>83728235</v>
      </c>
      <c r="W45" s="1">
        <v>2502152</v>
      </c>
      <c r="X45" s="1">
        <v>1514</v>
      </c>
      <c r="Y45" s="1">
        <v>2267</v>
      </c>
      <c r="Z45" s="1">
        <v>3781</v>
      </c>
      <c r="AA45" s="1">
        <v>4556539</v>
      </c>
      <c r="AB45" s="1">
        <v>7709846</v>
      </c>
      <c r="AC45" s="1">
        <v>57884</v>
      </c>
      <c r="AD45" s="1">
        <v>308531</v>
      </c>
      <c r="AE45" s="1">
        <v>423425</v>
      </c>
      <c r="AF45" s="1">
        <v>856393</v>
      </c>
      <c r="AG45" s="1">
        <v>2251538</v>
      </c>
      <c r="AH45" s="35">
        <v>16164154</v>
      </c>
      <c r="AI45" s="1">
        <v>14039863</v>
      </c>
      <c r="AJ45" s="1">
        <v>426461</v>
      </c>
      <c r="AK45" s="1">
        <v>1307024</v>
      </c>
      <c r="AL45" s="1">
        <v>15773350</v>
      </c>
      <c r="AM45" s="1">
        <v>3514963</v>
      </c>
      <c r="AN45" s="1">
        <v>0</v>
      </c>
      <c r="AO45" s="1">
        <v>0</v>
      </c>
      <c r="AP45" s="1">
        <v>650510</v>
      </c>
      <c r="AQ45" s="1">
        <v>4165473</v>
      </c>
      <c r="AR45" s="1">
        <f t="shared" si="1"/>
        <v>1294097</v>
      </c>
      <c r="AS45">
        <f t="shared" si="2"/>
        <v>1.106789925763991</v>
      </c>
      <c r="AT45">
        <f t="shared" si="3"/>
        <v>6.4601007452784645</v>
      </c>
      <c r="AU45">
        <f t="shared" si="4"/>
        <v>1822.581122170036</v>
      </c>
      <c r="AV45">
        <f t="shared" si="5"/>
        <v>33462.489489047824</v>
      </c>
      <c r="AW45">
        <f t="shared" si="6"/>
        <v>15809.027589051344</v>
      </c>
      <c r="AX45">
        <f t="shared" si="7"/>
        <v>28338.526196649924</v>
      </c>
      <c r="AY45">
        <f t="shared" si="8"/>
        <v>987.32171346904579</v>
      </c>
      <c r="AZ45" s="72"/>
      <c r="BC45" s="72"/>
      <c r="BG45" s="72"/>
      <c r="BH45" s="72"/>
      <c r="BI45" s="72"/>
      <c r="BJ45" s="72"/>
      <c r="BK45" s="72"/>
      <c r="BL45" s="72"/>
      <c r="BM45" s="72"/>
      <c r="BN45" s="72"/>
      <c r="BO45" s="72"/>
      <c r="BR45" s="72"/>
      <c r="BS45" s="72"/>
      <c r="BU45" s="72"/>
      <c r="BV45" s="72"/>
      <c r="BW45" s="72"/>
    </row>
    <row r="46" spans="1:75" x14ac:dyDescent="0.25">
      <c r="A46" s="1" t="s">
        <v>312</v>
      </c>
      <c r="B46" s="105" t="s">
        <v>156</v>
      </c>
      <c r="C46"/>
      <c r="D46" s="35">
        <f t="shared" si="0"/>
        <v>1617.2339999999999</v>
      </c>
      <c r="E46" s="1">
        <v>618</v>
      </c>
      <c r="F46" s="1">
        <v>2766</v>
      </c>
      <c r="G46" s="1">
        <v>90478910</v>
      </c>
      <c r="H46" s="1">
        <v>865888</v>
      </c>
      <c r="I46" s="1">
        <v>882769</v>
      </c>
      <c r="J46" s="1">
        <v>1409326</v>
      </c>
      <c r="K46" s="1">
        <v>6168199</v>
      </c>
      <c r="L46" s="1">
        <v>479031</v>
      </c>
      <c r="M46" s="1">
        <v>53414</v>
      </c>
      <c r="N46" s="1">
        <v>3020548</v>
      </c>
      <c r="O46" s="1">
        <v>43455</v>
      </c>
      <c r="P46" s="1">
        <v>7</v>
      </c>
      <c r="Q46" s="1">
        <v>24</v>
      </c>
      <c r="R46" s="1">
        <v>4263</v>
      </c>
      <c r="S46" s="1">
        <v>1846</v>
      </c>
      <c r="T46" s="1">
        <v>1767295</v>
      </c>
      <c r="U46" s="1">
        <v>36797270</v>
      </c>
      <c r="V46" s="1">
        <v>25217334</v>
      </c>
      <c r="W46" s="1">
        <v>1617234</v>
      </c>
      <c r="X46" s="1">
        <v>8239</v>
      </c>
      <c r="Y46" s="1">
        <v>2786</v>
      </c>
      <c r="Z46" s="1">
        <v>11025</v>
      </c>
      <c r="AA46" s="1">
        <v>20847446</v>
      </c>
      <c r="AB46" s="1">
        <v>32836386</v>
      </c>
      <c r="AC46" s="1">
        <v>584503</v>
      </c>
      <c r="AD46" s="1">
        <v>1175046</v>
      </c>
      <c r="AE46" s="1">
        <v>1824013</v>
      </c>
      <c r="AF46" s="1">
        <v>3704509</v>
      </c>
      <c r="AG46" s="1">
        <v>9793559</v>
      </c>
      <c r="AH46" s="1">
        <v>70765460</v>
      </c>
      <c r="AI46" s="1">
        <v>62499873</v>
      </c>
      <c r="AJ46" s="1">
        <v>1944817</v>
      </c>
      <c r="AK46" s="1">
        <v>5413697</v>
      </c>
      <c r="AL46" s="1">
        <v>69858393</v>
      </c>
      <c r="AM46" s="1">
        <v>14163304</v>
      </c>
      <c r="AN46" s="1">
        <v>1179</v>
      </c>
      <c r="AO46" s="1">
        <v>136548</v>
      </c>
      <c r="AP46" s="1">
        <v>2582176</v>
      </c>
      <c r="AQ46" s="1">
        <v>16883207</v>
      </c>
      <c r="AR46" s="1">
        <f t="shared" si="1"/>
        <v>3064003</v>
      </c>
      <c r="AS46">
        <f t="shared" si="2"/>
        <v>1.4592054021253793</v>
      </c>
      <c r="AT46">
        <f t="shared" si="3"/>
        <v>43.757093902304803</v>
      </c>
      <c r="AU46">
        <f t="shared" si="4"/>
        <v>1092.7886749845725</v>
      </c>
      <c r="AV46">
        <f t="shared" si="5"/>
        <v>15592.878952582001</v>
      </c>
      <c r="AW46">
        <f t="shared" si="6"/>
        <v>55946.70282717282</v>
      </c>
      <c r="AX46">
        <f t="shared" si="7"/>
        <v>62042.68337173223</v>
      </c>
      <c r="AY46">
        <f t="shared" si="8"/>
        <v>296.20388886209417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Y46"/>
  <sheetViews>
    <sheetView workbookViewId="0">
      <pane xSplit="3" ySplit="1" topLeftCell="Q9" activePane="bottomRight" state="frozen"/>
      <selection activeCell="A14" sqref="A14:B14"/>
      <selection pane="topRight" activeCell="A14" sqref="A14:B14"/>
      <selection pane="bottomLeft" activeCell="A14" sqref="A14:B14"/>
      <selection pane="bottomRight" activeCell="A14" sqref="A14:B14"/>
    </sheetView>
  </sheetViews>
  <sheetFormatPr defaultRowHeight="12.5" x14ac:dyDescent="0.25"/>
  <cols>
    <col min="1" max="38" width="9.1796875" style="1" customWidth="1"/>
    <col min="40" max="43" width="9.1796875" style="1" customWidth="1"/>
  </cols>
  <sheetData>
    <row r="1" spans="1:51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291</v>
      </c>
      <c r="V1" s="36" t="s">
        <v>81</v>
      </c>
      <c r="W1" s="36" t="s">
        <v>82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51" x14ac:dyDescent="0.25">
      <c r="A2" s="1" t="s">
        <v>32</v>
      </c>
      <c r="B2" s="1" t="s">
        <v>147</v>
      </c>
      <c r="C2" s="44" t="s">
        <v>96</v>
      </c>
      <c r="D2" s="35">
        <f>+W2/1000</f>
        <v>289</v>
      </c>
      <c r="E2" s="38">
        <v>93</v>
      </c>
      <c r="F2" s="38">
        <v>93</v>
      </c>
      <c r="G2" s="38">
        <v>8374850</v>
      </c>
      <c r="H2" s="38">
        <v>8836</v>
      </c>
      <c r="I2" s="38"/>
      <c r="J2" s="38"/>
      <c r="K2" s="38">
        <v>22548</v>
      </c>
      <c r="L2" s="38">
        <v>79414</v>
      </c>
      <c r="M2" s="38"/>
      <c r="N2" s="38">
        <v>94287</v>
      </c>
      <c r="O2" s="38">
        <v>27935</v>
      </c>
      <c r="P2" s="38"/>
      <c r="Q2" s="38"/>
      <c r="R2" s="38"/>
      <c r="S2" s="38"/>
      <c r="T2" s="38">
        <v>204905</v>
      </c>
      <c r="U2" s="38">
        <v>5015109</v>
      </c>
      <c r="V2" s="38">
        <v>2855611</v>
      </c>
      <c r="W2" s="38">
        <v>289000</v>
      </c>
      <c r="X2" s="38">
        <v>489</v>
      </c>
      <c r="Y2" s="38">
        <v>406</v>
      </c>
      <c r="Z2" s="38">
        <v>895</v>
      </c>
      <c r="AA2" s="38">
        <v>611331</v>
      </c>
      <c r="AB2" s="38">
        <v>763465</v>
      </c>
      <c r="AC2" s="38">
        <v>0</v>
      </c>
      <c r="AD2" s="38">
        <v>0</v>
      </c>
      <c r="AE2" s="38">
        <v>0</v>
      </c>
      <c r="AF2" s="38">
        <v>0</v>
      </c>
      <c r="AG2" s="38">
        <v>77417</v>
      </c>
      <c r="AH2" s="38">
        <v>1452213</v>
      </c>
      <c r="AI2" s="38">
        <v>1088345</v>
      </c>
      <c r="AJ2" s="38">
        <v>88903</v>
      </c>
      <c r="AK2" s="38">
        <v>300128</v>
      </c>
      <c r="AL2" s="38">
        <v>1477376</v>
      </c>
      <c r="AM2" s="38"/>
      <c r="AN2" s="38"/>
      <c r="AO2" s="38"/>
      <c r="AP2" s="38"/>
      <c r="AR2" s="1">
        <f>+N2+O2</f>
        <v>122222</v>
      </c>
      <c r="AS2">
        <f>+U2/V2</f>
        <v>1.7562297525818467</v>
      </c>
      <c r="AT2">
        <f>+AH2/W2</f>
        <v>5.0249584775086502</v>
      </c>
      <c r="AU2">
        <f>+T2/D2</f>
        <v>709.01384083044979</v>
      </c>
      <c r="AV2">
        <f>+V2/D2</f>
        <v>9881.0069204152242</v>
      </c>
      <c r="AW2">
        <f>+G2/D2</f>
        <v>28978.719723183392</v>
      </c>
      <c r="AX2">
        <f>SUM(G2:M2)/D2</f>
        <v>29362.103806228373</v>
      </c>
      <c r="AY2">
        <f>+L2/D2</f>
        <v>274.78892733564015</v>
      </c>
    </row>
    <row r="3" spans="1:51" x14ac:dyDescent="0.25">
      <c r="A3" s="1" t="s">
        <v>33</v>
      </c>
      <c r="B3" s="1" t="s">
        <v>147</v>
      </c>
      <c r="C3" s="44" t="s">
        <v>97</v>
      </c>
      <c r="D3" s="35">
        <f t="shared" ref="D3:D46" si="0">+W3/1000</f>
        <v>192</v>
      </c>
      <c r="E3" s="38">
        <v>64</v>
      </c>
      <c r="F3" s="38">
        <v>781</v>
      </c>
      <c r="G3" s="38">
        <v>10890110</v>
      </c>
      <c r="H3" s="38">
        <v>21937</v>
      </c>
      <c r="I3" s="38"/>
      <c r="J3" s="38">
        <v>44165</v>
      </c>
      <c r="K3" s="38">
        <v>13753</v>
      </c>
      <c r="L3" s="38">
        <v>31404</v>
      </c>
      <c r="M3" s="38"/>
      <c r="N3" s="38">
        <v>246113</v>
      </c>
      <c r="O3" s="38">
        <v>2104</v>
      </c>
      <c r="P3" s="38"/>
      <c r="Q3" s="38"/>
      <c r="R3" s="38"/>
      <c r="S3" s="38"/>
      <c r="T3" s="38">
        <v>224724</v>
      </c>
      <c r="U3" s="38">
        <v>2034158</v>
      </c>
      <c r="V3" s="38">
        <v>3502540</v>
      </c>
      <c r="W3" s="38">
        <v>192000</v>
      </c>
      <c r="X3" s="38">
        <v>319</v>
      </c>
      <c r="Y3" s="38">
        <v>289</v>
      </c>
      <c r="Z3" s="38">
        <v>608</v>
      </c>
      <c r="AA3" s="38"/>
      <c r="AB3" s="38">
        <v>3252830</v>
      </c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R3" s="1">
        <f t="shared" ref="AR3:AR46" si="1">+N3+O3</f>
        <v>248217</v>
      </c>
      <c r="AS3">
        <f t="shared" ref="AS3:AS46" si="2">+U3/V3</f>
        <v>0.58076652943292584</v>
      </c>
      <c r="AT3">
        <f t="shared" ref="AT3:AT46" si="3">+AH3/W3</f>
        <v>0</v>
      </c>
      <c r="AU3">
        <f t="shared" ref="AU3:AU46" si="4">+T3/D3</f>
        <v>1170.4375</v>
      </c>
      <c r="AV3">
        <f t="shared" ref="AV3:AV46" si="5">+V3/D3</f>
        <v>18242.395833333332</v>
      </c>
      <c r="AW3">
        <f t="shared" ref="AW3:AW46" si="6">+G3/D3</f>
        <v>56719.322916666664</v>
      </c>
      <c r="AX3">
        <f t="shared" ref="AX3:AX46" si="7">SUM(G3:M3)/D3</f>
        <v>57298.796875</v>
      </c>
      <c r="AY3">
        <f t="shared" ref="AY3:AY46" si="8">+L3/D3</f>
        <v>163.5625</v>
      </c>
    </row>
    <row r="4" spans="1:51" x14ac:dyDescent="0.25">
      <c r="A4" s="1" t="s">
        <v>34</v>
      </c>
      <c r="B4" s="1" t="s">
        <v>147</v>
      </c>
      <c r="C4" s="44" t="s">
        <v>98</v>
      </c>
      <c r="D4" s="35">
        <f t="shared" si="0"/>
        <v>48</v>
      </c>
      <c r="E4" s="38">
        <v>20</v>
      </c>
      <c r="F4" s="38">
        <v>38</v>
      </c>
      <c r="G4" s="38">
        <v>7574555</v>
      </c>
      <c r="H4" s="38">
        <v>11177</v>
      </c>
      <c r="I4" s="38">
        <v>21036</v>
      </c>
      <c r="J4" s="38">
        <v>68195</v>
      </c>
      <c r="K4" s="38">
        <v>176082</v>
      </c>
      <c r="L4" s="38">
        <v>30028</v>
      </c>
      <c r="M4" s="38">
        <v>2478</v>
      </c>
      <c r="N4" s="38">
        <v>113041</v>
      </c>
      <c r="O4" s="38">
        <v>1833</v>
      </c>
      <c r="P4" s="38">
        <v>4</v>
      </c>
      <c r="Q4" s="38">
        <v>5</v>
      </c>
      <c r="R4" s="38">
        <v>100</v>
      </c>
      <c r="S4" s="38">
        <v>80</v>
      </c>
      <c r="T4" s="38">
        <v>73625</v>
      </c>
      <c r="U4" s="38">
        <v>2125956</v>
      </c>
      <c r="V4" s="38">
        <v>1719207</v>
      </c>
      <c r="W4" s="38">
        <v>48000</v>
      </c>
      <c r="X4" s="38">
        <v>505</v>
      </c>
      <c r="Y4" s="38">
        <v>108</v>
      </c>
      <c r="Z4" s="38">
        <v>613</v>
      </c>
      <c r="AA4" s="38">
        <v>1841732</v>
      </c>
      <c r="AB4" s="38">
        <v>1481963</v>
      </c>
      <c r="AC4" s="38">
        <v>267699</v>
      </c>
      <c r="AD4" s="38">
        <v>0</v>
      </c>
      <c r="AE4" s="38">
        <v>305786</v>
      </c>
      <c r="AF4" s="38">
        <v>0</v>
      </c>
      <c r="AG4" s="38">
        <v>341095</v>
      </c>
      <c r="AH4" s="38">
        <v>4238275</v>
      </c>
      <c r="AI4" s="38">
        <v>4314084</v>
      </c>
      <c r="AJ4" s="38">
        <v>0</v>
      </c>
      <c r="AK4" s="38">
        <v>326644</v>
      </c>
      <c r="AL4" s="38">
        <v>4640728</v>
      </c>
      <c r="AM4" s="38">
        <v>251828</v>
      </c>
      <c r="AN4" s="38">
        <v>0</v>
      </c>
      <c r="AO4" s="38">
        <v>0</v>
      </c>
      <c r="AP4" s="38">
        <v>143422</v>
      </c>
      <c r="AQ4" s="1">
        <v>395250</v>
      </c>
      <c r="AR4" s="1">
        <f t="shared" si="1"/>
        <v>114874</v>
      </c>
      <c r="AS4">
        <f t="shared" si="2"/>
        <v>1.236591056225341</v>
      </c>
      <c r="AT4">
        <f t="shared" si="3"/>
        <v>88.29739583333334</v>
      </c>
      <c r="AU4">
        <f t="shared" si="4"/>
        <v>1533.8541666666667</v>
      </c>
      <c r="AV4">
        <f t="shared" si="5"/>
        <v>35816.8125</v>
      </c>
      <c r="AW4">
        <f t="shared" si="6"/>
        <v>157803.22916666666</v>
      </c>
      <c r="AX4">
        <f t="shared" si="7"/>
        <v>164240.64583333334</v>
      </c>
      <c r="AY4">
        <f t="shared" si="8"/>
        <v>625.58333333333337</v>
      </c>
    </row>
    <row r="5" spans="1:51" x14ac:dyDescent="0.25">
      <c r="A5" s="1" t="s">
        <v>35</v>
      </c>
      <c r="B5" s="1" t="s">
        <v>147</v>
      </c>
      <c r="C5" s="44" t="s">
        <v>99</v>
      </c>
      <c r="D5" s="35">
        <f t="shared" si="0"/>
        <v>214</v>
      </c>
      <c r="E5" s="38">
        <v>34</v>
      </c>
      <c r="F5" s="38">
        <v>35</v>
      </c>
      <c r="G5" s="38">
        <v>10015000</v>
      </c>
      <c r="H5" s="38">
        <v>23000</v>
      </c>
      <c r="I5" s="38"/>
      <c r="J5" s="38">
        <v>158000</v>
      </c>
      <c r="K5" s="38">
        <v>472897</v>
      </c>
      <c r="L5" s="38">
        <v>18293</v>
      </c>
      <c r="M5" s="38">
        <v>538</v>
      </c>
      <c r="N5" s="38">
        <v>394632</v>
      </c>
      <c r="O5" s="38">
        <v>5267</v>
      </c>
      <c r="P5" s="38"/>
      <c r="Q5" s="38"/>
      <c r="R5" s="38"/>
      <c r="S5" s="38"/>
      <c r="T5" s="38">
        <v>175228</v>
      </c>
      <c r="U5" s="38">
        <v>1788000</v>
      </c>
      <c r="V5" s="38">
        <v>3785722</v>
      </c>
      <c r="W5" s="38">
        <v>214000</v>
      </c>
      <c r="X5" s="38">
        <v>592</v>
      </c>
      <c r="Y5" s="38">
        <v>368</v>
      </c>
      <c r="Z5" s="38">
        <v>960</v>
      </c>
      <c r="AA5" s="38">
        <v>1944988</v>
      </c>
      <c r="AB5" s="38">
        <v>4428822</v>
      </c>
      <c r="AC5" s="38">
        <v>26931</v>
      </c>
      <c r="AD5" s="38">
        <v>101632</v>
      </c>
      <c r="AE5" s="38">
        <v>144939</v>
      </c>
      <c r="AF5" s="38">
        <v>398442</v>
      </c>
      <c r="AG5" s="38">
        <v>413298</v>
      </c>
      <c r="AH5" s="38">
        <v>7459052</v>
      </c>
      <c r="AI5" s="38">
        <v>6432979</v>
      </c>
      <c r="AJ5" s="38">
        <v>245386</v>
      </c>
      <c r="AK5" s="38">
        <v>170839</v>
      </c>
      <c r="AL5" s="38">
        <v>6849204</v>
      </c>
      <c r="AM5" s="38"/>
      <c r="AN5" s="38"/>
      <c r="AO5" s="38"/>
      <c r="AP5" s="38"/>
      <c r="AR5" s="1">
        <f t="shared" si="1"/>
        <v>399899</v>
      </c>
      <c r="AS5">
        <f t="shared" si="2"/>
        <v>0.4723009243679277</v>
      </c>
      <c r="AT5">
        <f t="shared" si="3"/>
        <v>34.85538317757009</v>
      </c>
      <c r="AU5">
        <f t="shared" si="4"/>
        <v>818.82242990654208</v>
      </c>
      <c r="AV5">
        <f t="shared" si="5"/>
        <v>17690.289719626169</v>
      </c>
      <c r="AW5">
        <f t="shared" si="6"/>
        <v>46799.06542056075</v>
      </c>
      <c r="AX5">
        <f t="shared" si="7"/>
        <v>49942.654205607476</v>
      </c>
      <c r="AY5">
        <f t="shared" si="8"/>
        <v>85.481308411214954</v>
      </c>
    </row>
    <row r="6" spans="1:51" x14ac:dyDescent="0.25">
      <c r="A6" s="1" t="s">
        <v>36</v>
      </c>
      <c r="B6" s="1" t="s">
        <v>147</v>
      </c>
      <c r="C6" s="44" t="s">
        <v>100</v>
      </c>
      <c r="D6" s="35">
        <f t="shared" si="0"/>
        <v>61</v>
      </c>
      <c r="E6" s="38">
        <v>16</v>
      </c>
      <c r="F6" s="38">
        <v>16</v>
      </c>
      <c r="G6" s="38">
        <v>6100000</v>
      </c>
      <c r="H6" s="38"/>
      <c r="I6" s="38"/>
      <c r="J6" s="38">
        <v>21773</v>
      </c>
      <c r="K6" s="38"/>
      <c r="L6" s="38">
        <v>1685</v>
      </c>
      <c r="M6" s="38"/>
      <c r="N6" s="38">
        <v>79000</v>
      </c>
      <c r="O6" s="38"/>
      <c r="P6" s="38"/>
      <c r="Q6" s="38"/>
      <c r="R6" s="38"/>
      <c r="S6" s="38"/>
      <c r="T6" s="38">
        <v>52000</v>
      </c>
      <c r="U6" s="38">
        <v>3050000</v>
      </c>
      <c r="V6" s="38">
        <v>1220000</v>
      </c>
      <c r="W6" s="38">
        <v>61000</v>
      </c>
      <c r="X6" s="38">
        <v>130</v>
      </c>
      <c r="Y6" s="38">
        <v>200</v>
      </c>
      <c r="Z6" s="38">
        <v>330</v>
      </c>
      <c r="AA6" s="38">
        <v>450596</v>
      </c>
      <c r="AB6" s="38">
        <v>281430</v>
      </c>
      <c r="AC6" s="38">
        <v>0</v>
      </c>
      <c r="AD6" s="38">
        <v>0</v>
      </c>
      <c r="AE6" s="38">
        <v>0</v>
      </c>
      <c r="AF6" s="38">
        <v>0</v>
      </c>
      <c r="AG6" s="38">
        <v>206075</v>
      </c>
      <c r="AH6" s="38">
        <v>938101</v>
      </c>
      <c r="AI6" s="38">
        <v>805911</v>
      </c>
      <c r="AJ6" s="38">
        <v>13441</v>
      </c>
      <c r="AK6" s="38">
        <v>118749</v>
      </c>
      <c r="AL6" s="38">
        <v>938101</v>
      </c>
      <c r="AM6" s="38">
        <v>244630</v>
      </c>
      <c r="AN6" s="38">
        <v>0</v>
      </c>
      <c r="AO6" s="38">
        <v>0</v>
      </c>
      <c r="AP6" s="38">
        <v>139323</v>
      </c>
      <c r="AQ6" s="1">
        <v>383953</v>
      </c>
      <c r="AR6" s="1">
        <f t="shared" si="1"/>
        <v>79000</v>
      </c>
      <c r="AS6">
        <f t="shared" si="2"/>
        <v>2.5</v>
      </c>
      <c r="AT6">
        <f t="shared" si="3"/>
        <v>15.378704918032787</v>
      </c>
      <c r="AU6">
        <f t="shared" si="4"/>
        <v>852.45901639344265</v>
      </c>
      <c r="AV6">
        <f t="shared" si="5"/>
        <v>20000</v>
      </c>
      <c r="AW6">
        <f t="shared" si="6"/>
        <v>100000</v>
      </c>
      <c r="AX6">
        <f t="shared" si="7"/>
        <v>100384.55737704918</v>
      </c>
      <c r="AY6">
        <f t="shared" si="8"/>
        <v>27.622950819672131</v>
      </c>
    </row>
    <row r="7" spans="1:51" x14ac:dyDescent="0.25">
      <c r="A7" s="1" t="s">
        <v>37</v>
      </c>
      <c r="B7" s="1" t="s">
        <v>147</v>
      </c>
      <c r="C7" s="44" t="s">
        <v>101</v>
      </c>
      <c r="D7" s="35">
        <f t="shared" si="0"/>
        <v>97</v>
      </c>
      <c r="E7" s="38">
        <v>15</v>
      </c>
      <c r="F7" s="38">
        <v>106</v>
      </c>
      <c r="G7" s="38">
        <v>12042758</v>
      </c>
      <c r="H7" s="38">
        <v>4454</v>
      </c>
      <c r="I7" s="38">
        <v>4500</v>
      </c>
      <c r="J7" s="38">
        <v>241338</v>
      </c>
      <c r="K7" s="38">
        <v>26694</v>
      </c>
      <c r="L7" s="38">
        <v>3027</v>
      </c>
      <c r="M7" s="38">
        <v>1600</v>
      </c>
      <c r="N7" s="38">
        <v>219660</v>
      </c>
      <c r="O7" s="38">
        <v>639</v>
      </c>
      <c r="P7" s="38">
        <v>4</v>
      </c>
      <c r="Q7" s="38">
        <v>4</v>
      </c>
      <c r="R7" s="38">
        <v>145</v>
      </c>
      <c r="S7" s="38">
        <v>145</v>
      </c>
      <c r="T7" s="38">
        <v>90457</v>
      </c>
      <c r="U7" s="38">
        <v>6813352</v>
      </c>
      <c r="V7" s="38">
        <v>3467868</v>
      </c>
      <c r="W7" s="38">
        <v>97000</v>
      </c>
      <c r="X7" s="38">
        <v>572</v>
      </c>
      <c r="Y7" s="38">
        <v>93</v>
      </c>
      <c r="Z7" s="38">
        <v>665</v>
      </c>
      <c r="AA7" s="38">
        <v>1196195</v>
      </c>
      <c r="AB7" s="38">
        <v>441626</v>
      </c>
      <c r="AC7" s="38">
        <v>0</v>
      </c>
      <c r="AD7" s="38">
        <v>0</v>
      </c>
      <c r="AE7" s="38">
        <v>0</v>
      </c>
      <c r="AF7" s="38">
        <v>0</v>
      </c>
      <c r="AG7" s="38">
        <v>411637</v>
      </c>
      <c r="AH7" s="38">
        <v>2049458</v>
      </c>
      <c r="AI7" s="38">
        <v>1617182</v>
      </c>
      <c r="AJ7" s="38">
        <v>27586</v>
      </c>
      <c r="AK7" s="38">
        <v>396188</v>
      </c>
      <c r="AL7" s="38">
        <v>2040956</v>
      </c>
      <c r="AM7" s="38"/>
      <c r="AN7" s="38"/>
      <c r="AO7" s="38"/>
      <c r="AP7" s="38"/>
      <c r="AR7" s="1">
        <f t="shared" si="1"/>
        <v>220299</v>
      </c>
      <c r="AS7">
        <f t="shared" si="2"/>
        <v>1.9647091527128484</v>
      </c>
      <c r="AT7">
        <f t="shared" si="3"/>
        <v>21.128432989690722</v>
      </c>
      <c r="AU7">
        <f t="shared" si="4"/>
        <v>932.54639175257728</v>
      </c>
      <c r="AV7">
        <f t="shared" si="5"/>
        <v>35751.216494845357</v>
      </c>
      <c r="AW7">
        <f t="shared" si="6"/>
        <v>124152.14432989691</v>
      </c>
      <c r="AX7">
        <f t="shared" si="7"/>
        <v>127055.37113402062</v>
      </c>
      <c r="AY7">
        <f t="shared" si="8"/>
        <v>31.206185567010309</v>
      </c>
    </row>
    <row r="8" spans="1:51" x14ac:dyDescent="0.25">
      <c r="A8" s="1" t="s">
        <v>38</v>
      </c>
      <c r="B8" s="1" t="s">
        <v>147</v>
      </c>
      <c r="C8" s="44" t="s">
        <v>102</v>
      </c>
      <c r="D8" s="35">
        <f t="shared" si="0"/>
        <v>796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>
        <v>796000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R8" s="1">
        <f t="shared" si="1"/>
        <v>0</v>
      </c>
      <c r="AS8" t="e">
        <f t="shared" si="2"/>
        <v>#DIV/0!</v>
      </c>
      <c r="AT8">
        <f t="shared" si="3"/>
        <v>0</v>
      </c>
      <c r="AU8">
        <f t="shared" si="4"/>
        <v>0</v>
      </c>
      <c r="AV8">
        <f t="shared" si="5"/>
        <v>0</v>
      </c>
      <c r="AW8">
        <f t="shared" si="6"/>
        <v>0</v>
      </c>
      <c r="AX8">
        <f t="shared" si="7"/>
        <v>0</v>
      </c>
      <c r="AY8">
        <f t="shared" si="8"/>
        <v>0</v>
      </c>
    </row>
    <row r="9" spans="1:51" x14ac:dyDescent="0.25">
      <c r="A9" s="1" t="s">
        <v>39</v>
      </c>
      <c r="B9" s="1" t="s">
        <v>147</v>
      </c>
      <c r="C9" s="44" t="s">
        <v>103</v>
      </c>
      <c r="D9" s="35">
        <f t="shared" si="0"/>
        <v>438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>
        <v>438000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R9" s="1">
        <f t="shared" si="1"/>
        <v>0</v>
      </c>
      <c r="AS9" t="e">
        <f t="shared" si="2"/>
        <v>#DIV/0!</v>
      </c>
      <c r="AT9">
        <f t="shared" si="3"/>
        <v>0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7"/>
        <v>0</v>
      </c>
      <c r="AY9">
        <f t="shared" si="8"/>
        <v>0</v>
      </c>
    </row>
    <row r="10" spans="1:51" x14ac:dyDescent="0.25">
      <c r="A10" s="1" t="s">
        <v>40</v>
      </c>
      <c r="B10" s="1" t="s">
        <v>147</v>
      </c>
      <c r="C10" s="44" t="s">
        <v>104</v>
      </c>
      <c r="D10" s="35">
        <f t="shared" si="0"/>
        <v>112</v>
      </c>
      <c r="E10" s="38">
        <v>42</v>
      </c>
      <c r="F10" s="38">
        <v>569</v>
      </c>
      <c r="G10" s="38">
        <v>4613211</v>
      </c>
      <c r="H10" s="38">
        <v>8646</v>
      </c>
      <c r="I10" s="38">
        <v>10864</v>
      </c>
      <c r="J10" s="38"/>
      <c r="K10" s="38"/>
      <c r="L10" s="38"/>
      <c r="M10" s="38">
        <v>824</v>
      </c>
      <c r="N10" s="38">
        <v>94955</v>
      </c>
      <c r="O10" s="38">
        <v>356</v>
      </c>
      <c r="P10" s="38"/>
      <c r="Q10" s="38"/>
      <c r="R10" s="38">
        <v>191</v>
      </c>
      <c r="S10" s="38">
        <v>58</v>
      </c>
      <c r="T10" s="38">
        <v>143811</v>
      </c>
      <c r="U10" s="38">
        <v>2497920</v>
      </c>
      <c r="V10" s="38">
        <v>620442</v>
      </c>
      <c r="W10" s="38">
        <v>112000</v>
      </c>
      <c r="X10" s="38">
        <v>425</v>
      </c>
      <c r="Y10" s="38">
        <v>68</v>
      </c>
      <c r="Z10" s="38">
        <v>493</v>
      </c>
      <c r="AA10" s="38">
        <v>768209</v>
      </c>
      <c r="AB10" s="38">
        <v>1008318</v>
      </c>
      <c r="AC10" s="38">
        <v>66024</v>
      </c>
      <c r="AD10" s="38">
        <v>127657</v>
      </c>
      <c r="AE10" s="38">
        <v>49548</v>
      </c>
      <c r="AF10" s="38">
        <v>976828</v>
      </c>
      <c r="AG10" s="38">
        <v>96509</v>
      </c>
      <c r="AH10" s="38">
        <v>3093093</v>
      </c>
      <c r="AI10" s="38">
        <v>2680016</v>
      </c>
      <c r="AJ10" s="38">
        <v>26232</v>
      </c>
      <c r="AK10" s="38">
        <v>296673</v>
      </c>
      <c r="AL10" s="38">
        <v>3002922</v>
      </c>
      <c r="AM10" s="38">
        <v>207389</v>
      </c>
      <c r="AN10" s="38">
        <v>0</v>
      </c>
      <c r="AO10" s="38">
        <v>128139</v>
      </c>
      <c r="AP10" s="38">
        <v>0</v>
      </c>
      <c r="AQ10" s="1">
        <v>335528</v>
      </c>
      <c r="AR10" s="1">
        <f t="shared" si="1"/>
        <v>95311</v>
      </c>
      <c r="AS10">
        <f t="shared" si="2"/>
        <v>4.026033053855155</v>
      </c>
      <c r="AT10">
        <f t="shared" si="3"/>
        <v>27.616901785714287</v>
      </c>
      <c r="AU10">
        <f t="shared" si="4"/>
        <v>1284.0267857142858</v>
      </c>
      <c r="AV10">
        <f t="shared" si="5"/>
        <v>5539.6607142857147</v>
      </c>
      <c r="AW10">
        <f t="shared" si="6"/>
        <v>41189.383928571428</v>
      </c>
      <c r="AX10">
        <f t="shared" si="7"/>
        <v>41370.9375</v>
      </c>
      <c r="AY10">
        <f t="shared" si="8"/>
        <v>0</v>
      </c>
    </row>
    <row r="11" spans="1:51" x14ac:dyDescent="0.25">
      <c r="A11" s="1" t="s">
        <v>41</v>
      </c>
      <c r="B11" s="1" t="s">
        <v>147</v>
      </c>
      <c r="C11" s="44" t="s">
        <v>105</v>
      </c>
      <c r="D11" s="35">
        <f t="shared" si="0"/>
        <v>55</v>
      </c>
      <c r="E11" s="38">
        <v>71</v>
      </c>
      <c r="F11" s="38">
        <v>71</v>
      </c>
      <c r="G11" s="38">
        <v>3286162</v>
      </c>
      <c r="H11" s="38">
        <v>14439</v>
      </c>
      <c r="I11" s="38">
        <v>12075</v>
      </c>
      <c r="J11" s="38"/>
      <c r="K11" s="38"/>
      <c r="L11" s="38"/>
      <c r="M11" s="38"/>
      <c r="N11" s="38">
        <v>109504</v>
      </c>
      <c r="O11" s="38">
        <v>13687</v>
      </c>
      <c r="P11" s="38"/>
      <c r="Q11" s="38">
        <v>44</v>
      </c>
      <c r="R11" s="38">
        <v>182</v>
      </c>
      <c r="S11" s="38">
        <v>173</v>
      </c>
      <c r="T11" s="38">
        <v>119970</v>
      </c>
      <c r="U11" s="38">
        <v>3565229</v>
      </c>
      <c r="V11" s="38">
        <v>1851256</v>
      </c>
      <c r="W11" s="38">
        <v>55000</v>
      </c>
      <c r="X11" s="38">
        <v>256</v>
      </c>
      <c r="Y11" s="38">
        <v>116</v>
      </c>
      <c r="Z11" s="38">
        <v>372</v>
      </c>
      <c r="AA11" s="38">
        <v>653166</v>
      </c>
      <c r="AB11" s="38">
        <v>3844481</v>
      </c>
      <c r="AC11" s="38">
        <v>11062</v>
      </c>
      <c r="AD11" s="38">
        <v>41748</v>
      </c>
      <c r="AE11" s="38">
        <v>59537</v>
      </c>
      <c r="AF11" s="38">
        <v>163668</v>
      </c>
      <c r="AG11" s="38">
        <v>4922947</v>
      </c>
      <c r="AH11" s="38">
        <v>9696609</v>
      </c>
      <c r="AI11" s="38">
        <v>8330237</v>
      </c>
      <c r="AJ11" s="38">
        <v>138936</v>
      </c>
      <c r="AK11" s="38">
        <v>1227435</v>
      </c>
      <c r="AL11" s="38">
        <v>9696609</v>
      </c>
      <c r="AM11" s="38"/>
      <c r="AN11" s="38"/>
      <c r="AO11" s="38"/>
      <c r="AP11" s="38"/>
      <c r="AR11" s="1">
        <f t="shared" si="1"/>
        <v>123191</v>
      </c>
      <c r="AS11">
        <f t="shared" si="2"/>
        <v>1.9258433193464328</v>
      </c>
      <c r="AT11">
        <f t="shared" si="3"/>
        <v>176.30198181818182</v>
      </c>
      <c r="AU11">
        <f t="shared" si="4"/>
        <v>2181.2727272727275</v>
      </c>
      <c r="AV11">
        <f t="shared" si="5"/>
        <v>33659.199999999997</v>
      </c>
      <c r="AW11">
        <f t="shared" si="6"/>
        <v>59748.4</v>
      </c>
      <c r="AX11">
        <f t="shared" si="7"/>
        <v>60230.472727272725</v>
      </c>
      <c r="AY11">
        <f t="shared" si="8"/>
        <v>0</v>
      </c>
    </row>
    <row r="12" spans="1:51" x14ac:dyDescent="0.25">
      <c r="A12" s="1" t="s">
        <v>42</v>
      </c>
      <c r="B12" s="1" t="s">
        <v>148</v>
      </c>
      <c r="C12" s="44" t="s">
        <v>106</v>
      </c>
      <c r="D12" s="35">
        <f t="shared" si="0"/>
        <v>269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>
        <v>269000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R12" s="1">
        <f t="shared" si="1"/>
        <v>0</v>
      </c>
      <c r="AS12" t="e">
        <f t="shared" si="2"/>
        <v>#DIV/0!</v>
      </c>
      <c r="AT12">
        <f t="shared" si="3"/>
        <v>0</v>
      </c>
      <c r="AU12">
        <f t="shared" si="4"/>
        <v>0</v>
      </c>
      <c r="AV12">
        <f t="shared" si="5"/>
        <v>0</v>
      </c>
      <c r="AW12">
        <f t="shared" si="6"/>
        <v>0</v>
      </c>
      <c r="AX12">
        <f t="shared" si="7"/>
        <v>0</v>
      </c>
      <c r="AY12">
        <f t="shared" si="8"/>
        <v>0</v>
      </c>
    </row>
    <row r="13" spans="1:51" x14ac:dyDescent="0.25">
      <c r="A13" s="1" t="s">
        <v>320</v>
      </c>
      <c r="B13" s="1" t="s">
        <v>320</v>
      </c>
      <c r="C13" s="44" t="s">
        <v>317</v>
      </c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R13" s="1">
        <v>0</v>
      </c>
      <c r="AS13" t="e">
        <f>+U13/V13</f>
        <v>#DIV/0!</v>
      </c>
      <c r="AT13" t="e">
        <f>+AH13/W13</f>
        <v>#DIV/0!</v>
      </c>
      <c r="AU13" t="e">
        <f>+T13/D13</f>
        <v>#DIV/0!</v>
      </c>
      <c r="AV13" t="e">
        <f>+V13/D13</f>
        <v>#DIV/0!</v>
      </c>
      <c r="AW13" t="e">
        <f>+G13/D13</f>
        <v>#DIV/0!</v>
      </c>
      <c r="AX13" t="e">
        <f>SUM(G13:M13)/D13</f>
        <v>#DIV/0!</v>
      </c>
      <c r="AY13" t="e">
        <f>+L13/D13</f>
        <v>#DIV/0!</v>
      </c>
    </row>
    <row r="14" spans="1:51" x14ac:dyDescent="0.25">
      <c r="A14" s="1" t="s">
        <v>321</v>
      </c>
      <c r="B14" s="1" t="s">
        <v>321</v>
      </c>
      <c r="C14" s="44" t="s">
        <v>318</v>
      </c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R14" s="1">
        <v>0</v>
      </c>
      <c r="AS14" t="e">
        <f>+U14/V14</f>
        <v>#DIV/0!</v>
      </c>
      <c r="AT14" t="e">
        <f>+AH14/W14</f>
        <v>#DIV/0!</v>
      </c>
      <c r="AU14" t="e">
        <f>+T14/D14</f>
        <v>#DIV/0!</v>
      </c>
      <c r="AV14" t="e">
        <f>+V14/D14</f>
        <v>#DIV/0!</v>
      </c>
      <c r="AW14" t="e">
        <f>+G14/D14</f>
        <v>#DIV/0!</v>
      </c>
      <c r="AX14" t="e">
        <f>SUM(G14:M14)/D14</f>
        <v>#DIV/0!</v>
      </c>
      <c r="AY14" t="e">
        <f>+L14/D14</f>
        <v>#DIV/0!</v>
      </c>
    </row>
    <row r="15" spans="1:51" x14ac:dyDescent="0.25">
      <c r="A15" s="1" t="s">
        <v>43</v>
      </c>
      <c r="B15" s="1" t="s">
        <v>148</v>
      </c>
      <c r="C15" s="44" t="s">
        <v>107</v>
      </c>
      <c r="D15" s="35">
        <f t="shared" si="0"/>
        <v>172</v>
      </c>
      <c r="E15" s="38">
        <v>72</v>
      </c>
      <c r="F15" s="38">
        <v>62</v>
      </c>
      <c r="G15" s="38">
        <v>12629071</v>
      </c>
      <c r="H15" s="38">
        <v>47699</v>
      </c>
      <c r="I15" s="38">
        <v>24624</v>
      </c>
      <c r="J15" s="38">
        <v>12410</v>
      </c>
      <c r="K15" s="38">
        <v>289603</v>
      </c>
      <c r="L15" s="38">
        <v>10335</v>
      </c>
      <c r="M15" s="38">
        <v>963</v>
      </c>
      <c r="N15" s="38">
        <v>411116</v>
      </c>
      <c r="O15" s="38">
        <v>105</v>
      </c>
      <c r="P15" s="38">
        <v>42</v>
      </c>
      <c r="Q15" s="38">
        <v>54</v>
      </c>
      <c r="R15" s="38">
        <v>640</v>
      </c>
      <c r="S15" s="38"/>
      <c r="T15" s="38">
        <v>105958</v>
      </c>
      <c r="U15" s="38">
        <v>743570</v>
      </c>
      <c r="V15" s="38">
        <v>5743293</v>
      </c>
      <c r="W15" s="38">
        <v>172000</v>
      </c>
      <c r="X15" s="38">
        <v>209</v>
      </c>
      <c r="Y15" s="38">
        <v>365</v>
      </c>
      <c r="Z15" s="38">
        <v>574</v>
      </c>
      <c r="AA15" s="38">
        <v>7488757</v>
      </c>
      <c r="AB15" s="38">
        <v>6125761</v>
      </c>
      <c r="AC15" s="38">
        <v>297397</v>
      </c>
      <c r="AD15" s="38">
        <v>549787</v>
      </c>
      <c r="AE15" s="38">
        <v>794959</v>
      </c>
      <c r="AF15" s="38">
        <v>0</v>
      </c>
      <c r="AG15" s="38">
        <v>252880</v>
      </c>
      <c r="AH15" s="38">
        <v>15509540</v>
      </c>
      <c r="AI15" s="38">
        <v>6307458</v>
      </c>
      <c r="AJ15" s="38">
        <v>48169</v>
      </c>
      <c r="AK15" s="38">
        <v>391161</v>
      </c>
      <c r="AL15" s="38">
        <v>6746787</v>
      </c>
      <c r="AM15" s="38">
        <v>12</v>
      </c>
      <c r="AN15" s="38">
        <v>5441</v>
      </c>
      <c r="AO15" s="38">
        <v>272091</v>
      </c>
      <c r="AP15" s="38">
        <v>7</v>
      </c>
      <c r="AQ15" s="1">
        <v>277551</v>
      </c>
      <c r="AR15" s="1">
        <f t="shared" si="1"/>
        <v>411221</v>
      </c>
      <c r="AS15">
        <f t="shared" si="2"/>
        <v>0.1294675371777132</v>
      </c>
      <c r="AT15">
        <f t="shared" si="3"/>
        <v>90.17174418604651</v>
      </c>
      <c r="AU15">
        <f t="shared" si="4"/>
        <v>616.03488372093022</v>
      </c>
      <c r="AV15">
        <f t="shared" si="5"/>
        <v>33391.238372093023</v>
      </c>
      <c r="AW15">
        <f t="shared" si="6"/>
        <v>73424.83139534884</v>
      </c>
      <c r="AX15">
        <f t="shared" si="7"/>
        <v>75666.889534883725</v>
      </c>
      <c r="AY15">
        <f t="shared" si="8"/>
        <v>60.087209302325583</v>
      </c>
    </row>
    <row r="16" spans="1:51" x14ac:dyDescent="0.25">
      <c r="A16" s="1" t="s">
        <v>44</v>
      </c>
      <c r="B16" s="1" t="s">
        <v>148</v>
      </c>
      <c r="C16" s="44" t="s">
        <v>108</v>
      </c>
      <c r="D16" s="35">
        <f t="shared" si="0"/>
        <v>180</v>
      </c>
      <c r="E16" s="38">
        <v>20</v>
      </c>
      <c r="F16" s="38">
        <v>42</v>
      </c>
      <c r="G16" s="38">
        <v>9185601</v>
      </c>
      <c r="H16" s="38"/>
      <c r="I16" s="38">
        <v>85661</v>
      </c>
      <c r="J16" s="38">
        <v>78466</v>
      </c>
      <c r="K16" s="38">
        <v>1158546</v>
      </c>
      <c r="L16" s="38">
        <v>858562</v>
      </c>
      <c r="M16" s="38">
        <v>15764</v>
      </c>
      <c r="N16" s="38">
        <v>241760</v>
      </c>
      <c r="O16" s="38">
        <v>30374</v>
      </c>
      <c r="P16" s="38"/>
      <c r="Q16" s="38"/>
      <c r="R16" s="38">
        <v>842</v>
      </c>
      <c r="S16" s="38"/>
      <c r="T16" s="38"/>
      <c r="U16" s="38">
        <v>4493802</v>
      </c>
      <c r="V16" s="38"/>
      <c r="W16" s="38">
        <v>180000</v>
      </c>
      <c r="X16" s="38">
        <v>379</v>
      </c>
      <c r="Y16" s="38">
        <v>438</v>
      </c>
      <c r="Z16" s="38">
        <v>817</v>
      </c>
      <c r="AA16" s="38">
        <v>34062299</v>
      </c>
      <c r="AB16" s="38">
        <v>13831318</v>
      </c>
      <c r="AC16" s="38">
        <v>614444</v>
      </c>
      <c r="AD16" s="38">
        <v>26713</v>
      </c>
      <c r="AE16" s="38">
        <v>251577</v>
      </c>
      <c r="AF16" s="38">
        <v>0</v>
      </c>
      <c r="AG16" s="38">
        <v>8907554</v>
      </c>
      <c r="AH16" s="38">
        <v>57693905</v>
      </c>
      <c r="AI16" s="38">
        <v>53799968</v>
      </c>
      <c r="AJ16" s="38">
        <v>1474652</v>
      </c>
      <c r="AK16" s="38">
        <v>2419285</v>
      </c>
      <c r="AL16" s="38">
        <v>57693905</v>
      </c>
      <c r="AM16" s="38">
        <v>2814516</v>
      </c>
      <c r="AN16" s="38">
        <v>0</v>
      </c>
      <c r="AO16" s="38">
        <v>0</v>
      </c>
      <c r="AP16" s="38">
        <v>0</v>
      </c>
      <c r="AQ16" s="1">
        <v>2814516</v>
      </c>
      <c r="AR16" s="1">
        <f t="shared" si="1"/>
        <v>272134</v>
      </c>
      <c r="AS16" t="e">
        <f t="shared" si="2"/>
        <v>#DIV/0!</v>
      </c>
      <c r="AT16">
        <f t="shared" si="3"/>
        <v>320.52169444444445</v>
      </c>
      <c r="AU16">
        <f t="shared" si="4"/>
        <v>0</v>
      </c>
      <c r="AV16">
        <f t="shared" si="5"/>
        <v>0</v>
      </c>
      <c r="AW16">
        <f t="shared" si="6"/>
        <v>51031.116666666669</v>
      </c>
      <c r="AX16">
        <f t="shared" si="7"/>
        <v>63236.666666666664</v>
      </c>
      <c r="AY16">
        <f t="shared" si="8"/>
        <v>4769.7888888888892</v>
      </c>
    </row>
    <row r="17" spans="1:51" x14ac:dyDescent="0.25">
      <c r="A17" s="1" t="s">
        <v>45</v>
      </c>
      <c r="B17" s="1" t="s">
        <v>148</v>
      </c>
      <c r="C17" s="44" t="s">
        <v>109</v>
      </c>
      <c r="D17" s="35">
        <f t="shared" si="0"/>
        <v>137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>
        <v>137000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R17" s="1">
        <f t="shared" si="1"/>
        <v>0</v>
      </c>
      <c r="AS17" t="e">
        <f t="shared" si="2"/>
        <v>#DIV/0!</v>
      </c>
      <c r="AT17">
        <f t="shared" si="3"/>
        <v>0</v>
      </c>
      <c r="AU17">
        <f t="shared" si="4"/>
        <v>0</v>
      </c>
      <c r="AV17">
        <f t="shared" si="5"/>
        <v>0</v>
      </c>
      <c r="AW17">
        <f t="shared" si="6"/>
        <v>0</v>
      </c>
      <c r="AX17">
        <f t="shared" si="7"/>
        <v>0</v>
      </c>
      <c r="AY17">
        <f t="shared" si="8"/>
        <v>0</v>
      </c>
    </row>
    <row r="18" spans="1:51" x14ac:dyDescent="0.25">
      <c r="A18" s="1" t="s">
        <v>46</v>
      </c>
      <c r="B18" s="1" t="s">
        <v>148</v>
      </c>
      <c r="C18" s="44" t="s">
        <v>110</v>
      </c>
      <c r="D18" s="35">
        <f t="shared" si="0"/>
        <v>224</v>
      </c>
      <c r="E18" s="38">
        <v>19</v>
      </c>
      <c r="F18" s="38">
        <v>299</v>
      </c>
      <c r="G18" s="38">
        <v>13866678</v>
      </c>
      <c r="H18" s="38">
        <v>142861</v>
      </c>
      <c r="I18" s="38">
        <v>130709</v>
      </c>
      <c r="J18" s="38">
        <v>197526</v>
      </c>
      <c r="K18" s="38">
        <v>1263719</v>
      </c>
      <c r="L18" s="38">
        <v>235334</v>
      </c>
      <c r="M18" s="38"/>
      <c r="N18" s="38">
        <v>435603</v>
      </c>
      <c r="O18" s="38">
        <v>9260</v>
      </c>
      <c r="P18" s="38">
        <v>45</v>
      </c>
      <c r="Q18" s="38"/>
      <c r="R18" s="38"/>
      <c r="S18" s="38"/>
      <c r="T18" s="38"/>
      <c r="U18" s="38">
        <v>7930527</v>
      </c>
      <c r="V18" s="38">
        <v>8826708</v>
      </c>
      <c r="W18" s="38">
        <v>224000</v>
      </c>
      <c r="X18" s="38">
        <v>976</v>
      </c>
      <c r="Y18" s="38">
        <v>128</v>
      </c>
      <c r="Z18" s="38">
        <v>1104</v>
      </c>
      <c r="AA18" s="38">
        <v>26399655</v>
      </c>
      <c r="AB18" s="38">
        <v>14258865</v>
      </c>
      <c r="AC18" s="38">
        <v>0</v>
      </c>
      <c r="AD18" s="38">
        <v>0</v>
      </c>
      <c r="AE18" s="38">
        <v>0</v>
      </c>
      <c r="AF18" s="38">
        <v>475352</v>
      </c>
      <c r="AG18" s="38">
        <v>8581666</v>
      </c>
      <c r="AH18" s="38">
        <v>49240185</v>
      </c>
      <c r="AI18" s="38">
        <v>37422576</v>
      </c>
      <c r="AJ18" s="38">
        <v>4680443</v>
      </c>
      <c r="AK18" s="38">
        <v>4087531</v>
      </c>
      <c r="AL18" s="38">
        <v>46190551</v>
      </c>
      <c r="AM18" s="38"/>
      <c r="AN18" s="38"/>
      <c r="AO18" s="38"/>
      <c r="AP18" s="38"/>
      <c r="AR18" s="1">
        <f t="shared" si="1"/>
        <v>444863</v>
      </c>
      <c r="AS18">
        <f t="shared" si="2"/>
        <v>0.89846939538500648</v>
      </c>
      <c r="AT18">
        <f t="shared" si="3"/>
        <v>219.82225446428572</v>
      </c>
      <c r="AU18">
        <f t="shared" si="4"/>
        <v>0</v>
      </c>
      <c r="AV18">
        <f t="shared" si="5"/>
        <v>39404.946428571428</v>
      </c>
      <c r="AW18">
        <f t="shared" si="6"/>
        <v>61904.8125</v>
      </c>
      <c r="AX18">
        <f t="shared" si="7"/>
        <v>70700.12053571429</v>
      </c>
      <c r="AY18">
        <f t="shared" si="8"/>
        <v>1050.5982142857142</v>
      </c>
    </row>
    <row r="19" spans="1:51" x14ac:dyDescent="0.25">
      <c r="A19" s="1" t="s">
        <v>47</v>
      </c>
      <c r="B19" s="1" t="s">
        <v>148</v>
      </c>
      <c r="C19" s="44" t="s">
        <v>111</v>
      </c>
      <c r="D19" s="35">
        <f t="shared" si="0"/>
        <v>2278</v>
      </c>
      <c r="E19" s="38">
        <v>95</v>
      </c>
      <c r="F19" s="38">
        <v>391</v>
      </c>
      <c r="G19" s="38">
        <v>25311234</v>
      </c>
      <c r="H19" s="38">
        <v>158224</v>
      </c>
      <c r="I19" s="38"/>
      <c r="J19" s="38"/>
      <c r="K19" s="38">
        <v>1732918</v>
      </c>
      <c r="L19" s="38">
        <v>61762</v>
      </c>
      <c r="M19" s="38">
        <v>35591</v>
      </c>
      <c r="N19" s="38">
        <v>1151306</v>
      </c>
      <c r="O19" s="38"/>
      <c r="P19" s="38">
        <v>32</v>
      </c>
      <c r="Q19" s="38"/>
      <c r="R19" s="38"/>
      <c r="S19" s="38"/>
      <c r="T19" s="38"/>
      <c r="U19" s="38"/>
      <c r="V19" s="38"/>
      <c r="W19" s="38">
        <v>2278000</v>
      </c>
      <c r="X19" s="38">
        <v>1774</v>
      </c>
      <c r="Y19" s="38">
        <v>2288</v>
      </c>
      <c r="Z19" s="38">
        <v>4062</v>
      </c>
      <c r="AA19" s="38">
        <v>135449600</v>
      </c>
      <c r="AB19" s="38">
        <v>53065050</v>
      </c>
      <c r="AC19" s="38">
        <v>5076786</v>
      </c>
      <c r="AD19" s="38">
        <v>0</v>
      </c>
      <c r="AE19" s="38">
        <v>0</v>
      </c>
      <c r="AF19" s="38">
        <v>0</v>
      </c>
      <c r="AG19" s="38">
        <v>58891333</v>
      </c>
      <c r="AH19" s="38">
        <v>252482769</v>
      </c>
      <c r="AI19" s="38">
        <v>240056836</v>
      </c>
      <c r="AJ19" s="38">
        <v>8150662</v>
      </c>
      <c r="AK19" s="38">
        <v>5113227</v>
      </c>
      <c r="AL19" s="38">
        <v>253320725</v>
      </c>
      <c r="AM19" s="38"/>
      <c r="AN19" s="38"/>
      <c r="AO19" s="38"/>
      <c r="AP19" s="38"/>
      <c r="AR19" s="1">
        <f t="shared" si="1"/>
        <v>1151306</v>
      </c>
      <c r="AS19" t="e">
        <f t="shared" si="2"/>
        <v>#DIV/0!</v>
      </c>
      <c r="AT19">
        <f t="shared" si="3"/>
        <v>110.83528050921861</v>
      </c>
      <c r="AU19">
        <f t="shared" si="4"/>
        <v>0</v>
      </c>
      <c r="AV19">
        <f t="shared" si="5"/>
        <v>0</v>
      </c>
      <c r="AW19">
        <f t="shared" si="6"/>
        <v>11111.165057067603</v>
      </c>
      <c r="AX19">
        <f t="shared" si="7"/>
        <v>11984.07769973661</v>
      </c>
      <c r="AY19">
        <f t="shared" si="8"/>
        <v>27.112379280070236</v>
      </c>
    </row>
    <row r="20" spans="1:51" x14ac:dyDescent="0.25">
      <c r="A20" s="1" t="s">
        <v>48</v>
      </c>
      <c r="B20" s="1" t="s">
        <v>148</v>
      </c>
      <c r="C20" s="44" t="s">
        <v>112</v>
      </c>
      <c r="D20" s="35">
        <f t="shared" si="0"/>
        <v>347</v>
      </c>
      <c r="E20" s="38">
        <v>83</v>
      </c>
      <c r="F20" s="38">
        <v>170</v>
      </c>
      <c r="G20" s="38">
        <v>5683287</v>
      </c>
      <c r="H20" s="38"/>
      <c r="I20" s="38">
        <v>36200</v>
      </c>
      <c r="J20" s="38">
        <v>29790</v>
      </c>
      <c r="K20" s="38">
        <v>25338</v>
      </c>
      <c r="L20" s="38">
        <v>22796</v>
      </c>
      <c r="M20" s="38">
        <v>7901</v>
      </c>
      <c r="N20" s="38">
        <v>296750</v>
      </c>
      <c r="O20" s="38">
        <v>1439</v>
      </c>
      <c r="P20" s="38">
        <v>36</v>
      </c>
      <c r="Q20" s="38">
        <v>49</v>
      </c>
      <c r="R20" s="38"/>
      <c r="S20" s="38"/>
      <c r="T20" s="38">
        <v>402192</v>
      </c>
      <c r="U20" s="38">
        <v>1415696</v>
      </c>
      <c r="V20" s="38"/>
      <c r="W20" s="38">
        <v>347000</v>
      </c>
      <c r="X20" s="38">
        <v>728</v>
      </c>
      <c r="Y20" s="38">
        <v>395</v>
      </c>
      <c r="Z20" s="38">
        <v>1123</v>
      </c>
      <c r="AA20" s="38">
        <v>3476891</v>
      </c>
      <c r="AB20" s="38">
        <v>12494165</v>
      </c>
      <c r="AC20" s="38">
        <v>597444</v>
      </c>
      <c r="AD20" s="38">
        <v>108710</v>
      </c>
      <c r="AE20" s="38">
        <v>0</v>
      </c>
      <c r="AF20" s="38">
        <v>813327</v>
      </c>
      <c r="AG20" s="38">
        <v>3382050</v>
      </c>
      <c r="AH20" s="38">
        <v>20872587</v>
      </c>
      <c r="AI20" s="38">
        <v>11711752</v>
      </c>
      <c r="AJ20" s="38">
        <v>9002928</v>
      </c>
      <c r="AK20" s="38">
        <v>157907</v>
      </c>
      <c r="AL20" s="38">
        <v>20872587</v>
      </c>
      <c r="AM20" s="38"/>
      <c r="AN20" s="38"/>
      <c r="AO20" s="38"/>
      <c r="AP20" s="38"/>
      <c r="AR20" s="1">
        <f t="shared" si="1"/>
        <v>298189</v>
      </c>
      <c r="AS20" t="e">
        <f t="shared" si="2"/>
        <v>#DIV/0!</v>
      </c>
      <c r="AT20">
        <f t="shared" si="3"/>
        <v>60.151547550432277</v>
      </c>
      <c r="AU20">
        <f t="shared" si="4"/>
        <v>1159.0547550432277</v>
      </c>
      <c r="AV20">
        <f t="shared" si="5"/>
        <v>0</v>
      </c>
      <c r="AW20">
        <f t="shared" si="6"/>
        <v>16378.34870317003</v>
      </c>
      <c r="AX20">
        <f t="shared" si="7"/>
        <v>16730.005763688761</v>
      </c>
      <c r="AY20">
        <f t="shared" si="8"/>
        <v>65.694524495677229</v>
      </c>
    </row>
    <row r="21" spans="1:51" x14ac:dyDescent="0.25">
      <c r="A21" s="1" t="s">
        <v>49</v>
      </c>
      <c r="B21" s="1" t="s">
        <v>149</v>
      </c>
      <c r="C21" s="44" t="s">
        <v>113</v>
      </c>
      <c r="D21" s="35">
        <f t="shared" si="0"/>
        <v>8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>
        <v>8000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R21" s="1">
        <f t="shared" si="1"/>
        <v>0</v>
      </c>
      <c r="AS21" t="e">
        <f t="shared" si="2"/>
        <v>#DIV/0!</v>
      </c>
      <c r="AT21">
        <f t="shared" si="3"/>
        <v>0</v>
      </c>
      <c r="AU21">
        <f t="shared" si="4"/>
        <v>0</v>
      </c>
      <c r="AV21">
        <f t="shared" si="5"/>
        <v>0</v>
      </c>
      <c r="AW21">
        <f t="shared" si="6"/>
        <v>0</v>
      </c>
      <c r="AX21">
        <f t="shared" si="7"/>
        <v>0</v>
      </c>
      <c r="AY21">
        <f t="shared" si="8"/>
        <v>0</v>
      </c>
    </row>
    <row r="22" spans="1:51" x14ac:dyDescent="0.25">
      <c r="A22" s="1" t="s">
        <v>50</v>
      </c>
      <c r="B22" s="1" t="s">
        <v>148</v>
      </c>
      <c r="C22" s="44" t="s">
        <v>114</v>
      </c>
      <c r="D22" s="35">
        <f t="shared" si="0"/>
        <v>1852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>
        <v>1852000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R22" s="1">
        <f t="shared" si="1"/>
        <v>0</v>
      </c>
      <c r="AS22" t="e">
        <f t="shared" si="2"/>
        <v>#DIV/0!</v>
      </c>
      <c r="AT22">
        <f t="shared" si="3"/>
        <v>0</v>
      </c>
      <c r="AU22">
        <f t="shared" si="4"/>
        <v>0</v>
      </c>
      <c r="AV22">
        <f t="shared" si="5"/>
        <v>0</v>
      </c>
      <c r="AW22">
        <f t="shared" si="6"/>
        <v>0</v>
      </c>
      <c r="AX22">
        <f t="shared" si="7"/>
        <v>0</v>
      </c>
      <c r="AY22">
        <f t="shared" si="8"/>
        <v>0</v>
      </c>
    </row>
    <row r="23" spans="1:51" x14ac:dyDescent="0.25">
      <c r="A23" s="1" t="s">
        <v>51</v>
      </c>
      <c r="B23" s="1" t="s">
        <v>149</v>
      </c>
      <c r="C23" s="44" t="s">
        <v>115</v>
      </c>
      <c r="D23" s="35">
        <f t="shared" si="0"/>
        <v>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>
        <v>1000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R23" s="1">
        <f t="shared" si="1"/>
        <v>0</v>
      </c>
      <c r="AS23" t="e">
        <f t="shared" si="2"/>
        <v>#DIV/0!</v>
      </c>
      <c r="AT23">
        <f t="shared" si="3"/>
        <v>0</v>
      </c>
      <c r="AU23">
        <f t="shared" si="4"/>
        <v>0</v>
      </c>
      <c r="AV23">
        <f t="shared" si="5"/>
        <v>0</v>
      </c>
      <c r="AW23">
        <f t="shared" si="6"/>
        <v>0</v>
      </c>
      <c r="AX23">
        <f t="shared" si="7"/>
        <v>0</v>
      </c>
      <c r="AY23">
        <f t="shared" si="8"/>
        <v>0</v>
      </c>
    </row>
    <row r="24" spans="1:51" x14ac:dyDescent="0.25">
      <c r="A24" s="1" t="s">
        <v>52</v>
      </c>
      <c r="B24" s="1" t="s">
        <v>148</v>
      </c>
      <c r="C24" s="44" t="s">
        <v>116</v>
      </c>
      <c r="D24" s="35">
        <f t="shared" si="0"/>
        <v>2.9990000000000001</v>
      </c>
      <c r="E24" s="38">
        <v>7</v>
      </c>
      <c r="F24" s="38">
        <v>5</v>
      </c>
      <c r="G24" s="38">
        <v>247030</v>
      </c>
      <c r="H24" s="38">
        <v>1650</v>
      </c>
      <c r="I24" s="38">
        <v>881</v>
      </c>
      <c r="J24" s="38">
        <v>10</v>
      </c>
      <c r="K24" s="38">
        <v>5</v>
      </c>
      <c r="L24" s="38">
        <v>847</v>
      </c>
      <c r="M24" s="38">
        <v>37</v>
      </c>
      <c r="N24" s="38">
        <v>3800</v>
      </c>
      <c r="O24" s="38">
        <v>120</v>
      </c>
      <c r="P24" s="38">
        <v>75</v>
      </c>
      <c r="Q24" s="38">
        <v>53</v>
      </c>
      <c r="R24" s="38">
        <v>23</v>
      </c>
      <c r="S24" s="38">
        <v>19</v>
      </c>
      <c r="T24" s="38">
        <v>13837</v>
      </c>
      <c r="U24" s="38"/>
      <c r="V24" s="38"/>
      <c r="W24" s="38">
        <v>2999</v>
      </c>
      <c r="X24" s="38">
        <v>5</v>
      </c>
      <c r="Y24" s="38">
        <v>5</v>
      </c>
      <c r="Z24" s="38">
        <v>9</v>
      </c>
      <c r="AA24" s="38">
        <v>243611</v>
      </c>
      <c r="AB24" s="38">
        <v>204945</v>
      </c>
      <c r="AC24" s="38">
        <v>8343</v>
      </c>
      <c r="AD24" s="38">
        <v>155</v>
      </c>
      <c r="AE24" s="38">
        <v>1463</v>
      </c>
      <c r="AF24" s="38">
        <v>0</v>
      </c>
      <c r="AG24" s="38">
        <v>67620</v>
      </c>
      <c r="AH24" s="38">
        <v>526137</v>
      </c>
      <c r="AI24" s="38">
        <v>231409</v>
      </c>
      <c r="AJ24" s="38">
        <v>0</v>
      </c>
      <c r="AK24" s="38">
        <v>28458</v>
      </c>
      <c r="AL24" s="38">
        <v>259867</v>
      </c>
      <c r="AM24" s="38"/>
      <c r="AN24" s="38"/>
      <c r="AO24" s="38"/>
      <c r="AP24" s="38"/>
      <c r="AR24" s="1">
        <f t="shared" si="1"/>
        <v>3920</v>
      </c>
      <c r="AS24" t="e">
        <f t="shared" si="2"/>
        <v>#DIV/0!</v>
      </c>
      <c r="AT24">
        <f t="shared" si="3"/>
        <v>175.43747915971991</v>
      </c>
      <c r="AU24">
        <f t="shared" si="4"/>
        <v>4613.8712904301428</v>
      </c>
      <c r="AV24">
        <f t="shared" si="5"/>
        <v>0</v>
      </c>
      <c r="AW24">
        <f t="shared" si="6"/>
        <v>82370.790263421135</v>
      </c>
      <c r="AX24">
        <f t="shared" si="7"/>
        <v>83514.504834944979</v>
      </c>
      <c r="AY24">
        <f t="shared" si="8"/>
        <v>282.42747582527505</v>
      </c>
    </row>
    <row r="25" spans="1:51" x14ac:dyDescent="0.25">
      <c r="A25" s="1" t="s">
        <v>53</v>
      </c>
      <c r="B25" s="1" t="s">
        <v>148</v>
      </c>
      <c r="C25" s="44" t="s">
        <v>117</v>
      </c>
      <c r="D25" s="35">
        <f t="shared" si="0"/>
        <v>540</v>
      </c>
      <c r="E25" s="38">
        <v>23</v>
      </c>
      <c r="F25" s="38">
        <v>142</v>
      </c>
      <c r="G25" s="38">
        <v>24283551</v>
      </c>
      <c r="H25" s="38">
        <v>149482</v>
      </c>
      <c r="I25" s="38">
        <v>147524</v>
      </c>
      <c r="J25" s="38"/>
      <c r="K25" s="38">
        <v>5593165</v>
      </c>
      <c r="L25" s="38"/>
      <c r="M25" s="38"/>
      <c r="N25" s="38"/>
      <c r="O25" s="38"/>
      <c r="P25" s="38"/>
      <c r="Q25" s="38"/>
      <c r="R25" s="38"/>
      <c r="S25" s="38"/>
      <c r="T25" s="38"/>
      <c r="U25" s="38">
        <v>4018097</v>
      </c>
      <c r="V25" s="38"/>
      <c r="W25" s="38">
        <v>540000</v>
      </c>
      <c r="X25" s="38">
        <v>868</v>
      </c>
      <c r="Y25" s="38">
        <v>1002</v>
      </c>
      <c r="Z25" s="38">
        <v>1870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R25" s="1">
        <f t="shared" si="1"/>
        <v>0</v>
      </c>
      <c r="AS25" t="e">
        <f t="shared" si="2"/>
        <v>#DIV/0!</v>
      </c>
      <c r="AT25">
        <f t="shared" si="3"/>
        <v>0</v>
      </c>
      <c r="AU25">
        <f t="shared" si="4"/>
        <v>0</v>
      </c>
      <c r="AV25">
        <f t="shared" si="5"/>
        <v>0</v>
      </c>
      <c r="AW25">
        <f t="shared" si="6"/>
        <v>44969.538888888892</v>
      </c>
      <c r="AX25">
        <f t="shared" si="7"/>
        <v>55877.262962962966</v>
      </c>
      <c r="AY25">
        <f t="shared" si="8"/>
        <v>0</v>
      </c>
    </row>
    <row r="26" spans="1:51" x14ac:dyDescent="0.25">
      <c r="A26" s="1" t="s">
        <v>54</v>
      </c>
      <c r="B26" s="1" t="s">
        <v>149</v>
      </c>
      <c r="C26" s="44" t="s">
        <v>118</v>
      </c>
      <c r="D26" s="35">
        <f t="shared" si="0"/>
        <v>194</v>
      </c>
      <c r="E26" s="38">
        <v>95</v>
      </c>
      <c r="F26" s="38">
        <v>216</v>
      </c>
      <c r="G26" s="38">
        <v>11151907</v>
      </c>
      <c r="H26" s="38">
        <v>80160</v>
      </c>
      <c r="I26" s="38"/>
      <c r="J26" s="38">
        <v>36327</v>
      </c>
      <c r="K26" s="38">
        <v>502973</v>
      </c>
      <c r="L26" s="38">
        <v>118064</v>
      </c>
      <c r="M26" s="38"/>
      <c r="N26" s="38">
        <v>338531</v>
      </c>
      <c r="O26" s="38">
        <v>5668</v>
      </c>
      <c r="P26" s="38">
        <v>22</v>
      </c>
      <c r="Q26" s="38"/>
      <c r="R26" s="38">
        <v>831</v>
      </c>
      <c r="S26" s="38">
        <v>402</v>
      </c>
      <c r="T26" s="38"/>
      <c r="U26" s="38">
        <v>2629439</v>
      </c>
      <c r="V26" s="38">
        <v>4186342</v>
      </c>
      <c r="W26" s="38">
        <v>194000</v>
      </c>
      <c r="X26" s="38">
        <v>578</v>
      </c>
      <c r="Y26" s="38">
        <v>325</v>
      </c>
      <c r="Z26" s="38">
        <v>909</v>
      </c>
      <c r="AA26" s="38">
        <v>26376025</v>
      </c>
      <c r="AB26" s="38">
        <v>16467888</v>
      </c>
      <c r="AC26" s="38">
        <v>0</v>
      </c>
      <c r="AD26" s="38">
        <v>0</v>
      </c>
      <c r="AE26" s="38">
        <v>0</v>
      </c>
      <c r="AF26" s="38">
        <v>0</v>
      </c>
      <c r="AG26" s="38">
        <v>5224862</v>
      </c>
      <c r="AH26" s="38">
        <v>48068775</v>
      </c>
      <c r="AI26" s="38">
        <v>46463506</v>
      </c>
      <c r="AJ26" s="38">
        <v>1605269</v>
      </c>
      <c r="AK26" s="38">
        <v>0</v>
      </c>
      <c r="AL26" s="38">
        <v>48068775</v>
      </c>
      <c r="AM26" s="38"/>
      <c r="AN26" s="38"/>
      <c r="AO26" s="38"/>
      <c r="AP26" s="38"/>
      <c r="AR26" s="1">
        <f t="shared" si="1"/>
        <v>344199</v>
      </c>
      <c r="AS26">
        <f t="shared" si="2"/>
        <v>0.62809942427064014</v>
      </c>
      <c r="AT26">
        <f t="shared" si="3"/>
        <v>247.77719072164948</v>
      </c>
      <c r="AU26">
        <f t="shared" si="4"/>
        <v>0</v>
      </c>
      <c r="AV26">
        <f t="shared" si="5"/>
        <v>21579.082474226805</v>
      </c>
      <c r="AW26">
        <f t="shared" si="6"/>
        <v>57484.056701030931</v>
      </c>
      <c r="AX26">
        <f t="shared" si="7"/>
        <v>61285.726804123711</v>
      </c>
      <c r="AY26">
        <f t="shared" si="8"/>
        <v>608.57731958762884</v>
      </c>
    </row>
    <row r="27" spans="1:51" x14ac:dyDescent="0.25">
      <c r="A27" s="1" t="s">
        <v>55</v>
      </c>
      <c r="B27" s="1" t="s">
        <v>148</v>
      </c>
      <c r="C27" s="44" t="s">
        <v>119</v>
      </c>
      <c r="D27" s="35">
        <f t="shared" si="0"/>
        <v>325</v>
      </c>
      <c r="E27" s="38">
        <v>231</v>
      </c>
      <c r="F27" s="38">
        <v>231</v>
      </c>
      <c r="G27" s="38">
        <v>8340979</v>
      </c>
      <c r="H27" s="38"/>
      <c r="I27" s="38"/>
      <c r="J27" s="38">
        <v>14045</v>
      </c>
      <c r="K27" s="38">
        <v>46255</v>
      </c>
      <c r="L27" s="38">
        <v>129625</v>
      </c>
      <c r="M27" s="38"/>
      <c r="N27" s="38">
        <v>339130</v>
      </c>
      <c r="O27" s="38">
        <v>8749</v>
      </c>
      <c r="P27" s="38"/>
      <c r="Q27" s="38"/>
      <c r="R27" s="38">
        <v>450</v>
      </c>
      <c r="S27" s="38">
        <v>150</v>
      </c>
      <c r="T27" s="38">
        <v>924426</v>
      </c>
      <c r="U27" s="38">
        <v>1559217</v>
      </c>
      <c r="V27" s="38"/>
      <c r="W27" s="38">
        <v>325000</v>
      </c>
      <c r="X27" s="38">
        <v>691</v>
      </c>
      <c r="Y27" s="38">
        <v>414</v>
      </c>
      <c r="Z27" s="38">
        <v>1105</v>
      </c>
      <c r="AA27" s="38">
        <v>5788612</v>
      </c>
      <c r="AB27" s="38">
        <v>8781601</v>
      </c>
      <c r="AC27" s="38">
        <v>0</v>
      </c>
      <c r="AD27" s="38">
        <v>0</v>
      </c>
      <c r="AE27" s="38">
        <v>0</v>
      </c>
      <c r="AF27" s="38">
        <v>0</v>
      </c>
      <c r="AG27" s="38">
        <v>1247721</v>
      </c>
      <c r="AH27" s="38">
        <v>15817933</v>
      </c>
      <c r="AI27" s="38">
        <v>14972929</v>
      </c>
      <c r="AJ27" s="38">
        <v>445182</v>
      </c>
      <c r="AK27" s="38">
        <v>903275</v>
      </c>
      <c r="AL27" s="38">
        <v>16321386</v>
      </c>
      <c r="AM27" s="38">
        <v>10888</v>
      </c>
      <c r="AN27" s="38">
        <v>0</v>
      </c>
      <c r="AO27" s="38">
        <v>0</v>
      </c>
      <c r="AP27" s="38">
        <v>410531</v>
      </c>
      <c r="AQ27" s="1">
        <v>421418</v>
      </c>
      <c r="AR27" s="1">
        <f t="shared" si="1"/>
        <v>347879</v>
      </c>
      <c r="AS27" t="e">
        <f t="shared" si="2"/>
        <v>#DIV/0!</v>
      </c>
      <c r="AT27">
        <f t="shared" si="3"/>
        <v>48.670563076923074</v>
      </c>
      <c r="AU27">
        <f t="shared" si="4"/>
        <v>2844.3876923076923</v>
      </c>
      <c r="AV27">
        <f t="shared" si="5"/>
        <v>0</v>
      </c>
      <c r="AW27">
        <f t="shared" si="6"/>
        <v>25664.550769230769</v>
      </c>
      <c r="AX27">
        <f t="shared" si="7"/>
        <v>26248.935384615386</v>
      </c>
      <c r="AY27">
        <f t="shared" si="8"/>
        <v>398.84615384615387</v>
      </c>
    </row>
    <row r="28" spans="1:51" x14ac:dyDescent="0.25">
      <c r="A28" s="1" t="s">
        <v>56</v>
      </c>
      <c r="B28" s="1" t="s">
        <v>148</v>
      </c>
      <c r="C28" s="44" t="s">
        <v>120</v>
      </c>
      <c r="D28" s="35">
        <f t="shared" si="0"/>
        <v>1680</v>
      </c>
      <c r="E28" s="38">
        <v>640</v>
      </c>
      <c r="F28" s="38">
        <v>1118</v>
      </c>
      <c r="G28" s="38">
        <v>24564000</v>
      </c>
      <c r="H28" s="38">
        <v>409926</v>
      </c>
      <c r="I28" s="38"/>
      <c r="J28" s="38">
        <v>45000</v>
      </c>
      <c r="K28" s="38">
        <v>1290000</v>
      </c>
      <c r="L28" s="38">
        <v>614000</v>
      </c>
      <c r="M28" s="38">
        <v>61000</v>
      </c>
      <c r="N28" s="38">
        <v>1228000</v>
      </c>
      <c r="O28" s="38">
        <v>46000</v>
      </c>
      <c r="P28" s="38"/>
      <c r="Q28" s="38"/>
      <c r="R28" s="38"/>
      <c r="S28" s="38"/>
      <c r="T28" s="38">
        <v>2149000</v>
      </c>
      <c r="U28" s="38">
        <v>13817000</v>
      </c>
      <c r="V28" s="38">
        <v>42458551</v>
      </c>
      <c r="W28" s="38">
        <v>1680000</v>
      </c>
      <c r="X28" s="38">
        <v>3100</v>
      </c>
      <c r="Y28" s="38">
        <v>1500</v>
      </c>
      <c r="Z28" s="38">
        <v>4600</v>
      </c>
      <c r="AA28" s="38">
        <v>82663819</v>
      </c>
      <c r="AB28" s="38">
        <v>49883342</v>
      </c>
      <c r="AC28" s="38">
        <v>0</v>
      </c>
      <c r="AD28" s="38">
        <v>0</v>
      </c>
      <c r="AE28" s="38">
        <v>0</v>
      </c>
      <c r="AF28" s="38">
        <v>0</v>
      </c>
      <c r="AG28" s="38">
        <v>9976665</v>
      </c>
      <c r="AH28" s="38">
        <v>142523826</v>
      </c>
      <c r="AI28" s="38">
        <v>122192757</v>
      </c>
      <c r="AJ28" s="38">
        <v>5690223</v>
      </c>
      <c r="AK28" s="38">
        <v>14640846</v>
      </c>
      <c r="AL28" s="38">
        <v>142523826</v>
      </c>
      <c r="AM28" s="38"/>
      <c r="AN28" s="38"/>
      <c r="AO28" s="38"/>
      <c r="AP28" s="38"/>
      <c r="AR28" s="1">
        <f t="shared" si="1"/>
        <v>1274000</v>
      </c>
      <c r="AS28">
        <f t="shared" si="2"/>
        <v>0.32542325808527944</v>
      </c>
      <c r="AT28">
        <f t="shared" si="3"/>
        <v>84.835610714285721</v>
      </c>
      <c r="AU28">
        <f t="shared" si="4"/>
        <v>1279.1666666666667</v>
      </c>
      <c r="AV28">
        <f t="shared" si="5"/>
        <v>25272.947023809524</v>
      </c>
      <c r="AW28">
        <f t="shared" si="6"/>
        <v>14621.428571428571</v>
      </c>
      <c r="AX28">
        <f t="shared" si="7"/>
        <v>16061.860714285714</v>
      </c>
      <c r="AY28">
        <f t="shared" si="8"/>
        <v>365.47619047619048</v>
      </c>
    </row>
    <row r="29" spans="1:51" x14ac:dyDescent="0.25">
      <c r="A29" s="1" t="s">
        <v>57</v>
      </c>
      <c r="B29" s="1" t="s">
        <v>148</v>
      </c>
      <c r="C29" s="44" t="s">
        <v>121</v>
      </c>
      <c r="D29" s="35">
        <f t="shared" si="0"/>
        <v>292</v>
      </c>
      <c r="E29" s="38">
        <v>37</v>
      </c>
      <c r="F29" s="38">
        <v>155</v>
      </c>
      <c r="G29" s="38">
        <v>23323000</v>
      </c>
      <c r="H29" s="38">
        <v>254183</v>
      </c>
      <c r="I29" s="38"/>
      <c r="J29" s="38">
        <v>69985</v>
      </c>
      <c r="K29" s="38">
        <v>2710924</v>
      </c>
      <c r="L29" s="38">
        <v>45375</v>
      </c>
      <c r="M29" s="38">
        <v>5378</v>
      </c>
      <c r="N29" s="38">
        <v>342000</v>
      </c>
      <c r="O29" s="38">
        <v>605</v>
      </c>
      <c r="P29" s="38"/>
      <c r="Q29" s="38"/>
      <c r="R29" s="38">
        <v>1453</v>
      </c>
      <c r="S29" s="38"/>
      <c r="T29" s="38">
        <v>497999</v>
      </c>
      <c r="U29" s="38">
        <v>5305107</v>
      </c>
      <c r="V29" s="38"/>
      <c r="W29" s="38">
        <v>292000</v>
      </c>
      <c r="X29" s="38">
        <v>1006</v>
      </c>
      <c r="Y29" s="38">
        <v>561</v>
      </c>
      <c r="Z29" s="38">
        <v>1567</v>
      </c>
      <c r="AA29" s="38">
        <v>54300975</v>
      </c>
      <c r="AB29" s="38">
        <v>25429188</v>
      </c>
      <c r="AC29" s="38">
        <v>0</v>
      </c>
      <c r="AD29" s="38">
        <v>0</v>
      </c>
      <c r="AE29" s="38">
        <v>0</v>
      </c>
      <c r="AF29" s="38">
        <v>0</v>
      </c>
      <c r="AG29" s="38">
        <v>16836524</v>
      </c>
      <c r="AH29" s="38">
        <v>96566687</v>
      </c>
      <c r="AI29" s="38">
        <v>84532439</v>
      </c>
      <c r="AJ29" s="38">
        <v>2030688</v>
      </c>
      <c r="AK29" s="38">
        <v>10003560</v>
      </c>
      <c r="AL29" s="38">
        <v>96566687</v>
      </c>
      <c r="AM29" s="38"/>
      <c r="AN29" s="38"/>
      <c r="AO29" s="38"/>
      <c r="AP29" s="38"/>
      <c r="AR29" s="1">
        <f t="shared" si="1"/>
        <v>342605</v>
      </c>
      <c r="AS29" t="e">
        <f t="shared" si="2"/>
        <v>#DIV/0!</v>
      </c>
      <c r="AT29">
        <f t="shared" si="3"/>
        <v>330.70783219178082</v>
      </c>
      <c r="AU29">
        <f t="shared" si="4"/>
        <v>1705.4760273972602</v>
      </c>
      <c r="AV29">
        <f t="shared" si="5"/>
        <v>0</v>
      </c>
      <c r="AW29">
        <f t="shared" si="6"/>
        <v>79873.287671232873</v>
      </c>
      <c r="AX29">
        <f t="shared" si="7"/>
        <v>90441.25</v>
      </c>
      <c r="AY29">
        <f t="shared" si="8"/>
        <v>155.39383561643837</v>
      </c>
    </row>
    <row r="30" spans="1:51" x14ac:dyDescent="0.25">
      <c r="A30" s="1" t="s">
        <v>58</v>
      </c>
      <c r="B30" s="1" t="s">
        <v>149</v>
      </c>
      <c r="C30" s="44" t="s">
        <v>122</v>
      </c>
      <c r="D30" s="35">
        <f t="shared" si="0"/>
        <v>162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>
        <v>162000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R30" s="1">
        <f t="shared" si="1"/>
        <v>0</v>
      </c>
      <c r="AS30" t="e">
        <f t="shared" si="2"/>
        <v>#DIV/0!</v>
      </c>
      <c r="AT30">
        <f t="shared" si="3"/>
        <v>0</v>
      </c>
      <c r="AU30">
        <f t="shared" si="4"/>
        <v>0</v>
      </c>
      <c r="AV30">
        <f t="shared" si="5"/>
        <v>0</v>
      </c>
      <c r="AW30">
        <f t="shared" si="6"/>
        <v>0</v>
      </c>
      <c r="AX30">
        <f t="shared" si="7"/>
        <v>0</v>
      </c>
      <c r="AY30">
        <f t="shared" si="8"/>
        <v>0</v>
      </c>
    </row>
    <row r="31" spans="1:51" x14ac:dyDescent="0.25">
      <c r="A31" s="1" t="s">
        <v>59</v>
      </c>
      <c r="B31" s="1" t="s">
        <v>148</v>
      </c>
      <c r="C31" s="44" t="s">
        <v>123</v>
      </c>
      <c r="D31" s="35">
        <f t="shared" si="0"/>
        <v>1910</v>
      </c>
      <c r="E31" s="38">
        <v>174</v>
      </c>
      <c r="F31" s="38">
        <v>770</v>
      </c>
      <c r="G31" s="38">
        <v>98869000</v>
      </c>
      <c r="H31" s="38">
        <v>565000</v>
      </c>
      <c r="I31" s="38"/>
      <c r="J31" s="38">
        <v>189000</v>
      </c>
      <c r="K31" s="38">
        <v>9894000</v>
      </c>
      <c r="L31" s="38">
        <v>2094000</v>
      </c>
      <c r="M31" s="38"/>
      <c r="N31" s="38">
        <v>2760000</v>
      </c>
      <c r="O31" s="38">
        <v>138000</v>
      </c>
      <c r="P31" s="38"/>
      <c r="Q31" s="38"/>
      <c r="R31" s="38">
        <v>28240</v>
      </c>
      <c r="S31" s="38">
        <v>28240</v>
      </c>
      <c r="T31" s="38">
        <v>2342000</v>
      </c>
      <c r="U31" s="38">
        <v>7580000</v>
      </c>
      <c r="V31" s="38">
        <v>119300000</v>
      </c>
      <c r="W31" s="38">
        <v>1910000</v>
      </c>
      <c r="X31" s="38">
        <v>3560</v>
      </c>
      <c r="Y31" s="38">
        <v>5700</v>
      </c>
      <c r="Z31" s="38">
        <v>9230</v>
      </c>
      <c r="AA31" s="38">
        <v>276392080</v>
      </c>
      <c r="AB31" s="38">
        <v>170649317</v>
      </c>
      <c r="AC31" s="38">
        <v>16395830</v>
      </c>
      <c r="AD31" s="38">
        <v>291658</v>
      </c>
      <c r="AE31" s="38">
        <v>2746781</v>
      </c>
      <c r="AF31" s="38">
        <v>0</v>
      </c>
      <c r="AG31" s="38">
        <v>89507623</v>
      </c>
      <c r="AH31" s="38">
        <v>555983289</v>
      </c>
      <c r="AI31" s="38">
        <v>398179276</v>
      </c>
      <c r="AJ31" s="38">
        <v>23115337</v>
      </c>
      <c r="AK31" s="38">
        <v>110692248</v>
      </c>
      <c r="AL31" s="38">
        <v>531986861</v>
      </c>
      <c r="AM31" s="38"/>
      <c r="AN31" s="38"/>
      <c r="AO31" s="38"/>
      <c r="AP31" s="38"/>
      <c r="AR31" s="1">
        <f t="shared" si="1"/>
        <v>2898000</v>
      </c>
      <c r="AS31">
        <f t="shared" si="2"/>
        <v>6.3537300922045264E-2</v>
      </c>
      <c r="AT31">
        <f t="shared" si="3"/>
        <v>291.09072722513088</v>
      </c>
      <c r="AU31">
        <f t="shared" si="4"/>
        <v>1226.1780104712043</v>
      </c>
      <c r="AV31">
        <f t="shared" si="5"/>
        <v>62460.732984293194</v>
      </c>
      <c r="AW31">
        <f t="shared" si="6"/>
        <v>51763.874345549739</v>
      </c>
      <c r="AX31">
        <f t="shared" si="7"/>
        <v>58435.078534031411</v>
      </c>
      <c r="AY31">
        <f t="shared" si="8"/>
        <v>1096.3350785340315</v>
      </c>
    </row>
    <row r="32" spans="1:51" x14ac:dyDescent="0.25">
      <c r="A32" s="1" t="s">
        <v>60</v>
      </c>
      <c r="B32" s="1" t="s">
        <v>148</v>
      </c>
      <c r="C32" s="44" t="s">
        <v>124</v>
      </c>
      <c r="D32" s="35">
        <f t="shared" si="0"/>
        <v>2415</v>
      </c>
      <c r="E32" s="38">
        <v>255</v>
      </c>
      <c r="F32" s="38">
        <v>1112</v>
      </c>
      <c r="G32" s="38">
        <v>145623450</v>
      </c>
      <c r="H32" s="38"/>
      <c r="I32" s="38">
        <v>462018</v>
      </c>
      <c r="J32" s="38">
        <v>153625</v>
      </c>
      <c r="K32" s="38">
        <v>42668446</v>
      </c>
      <c r="L32" s="38">
        <v>1540274</v>
      </c>
      <c r="M32" s="38"/>
      <c r="N32" s="38">
        <v>3717589</v>
      </c>
      <c r="O32" s="38">
        <v>69841</v>
      </c>
      <c r="P32" s="38"/>
      <c r="Q32" s="38"/>
      <c r="R32" s="38"/>
      <c r="S32" s="38"/>
      <c r="T32" s="38">
        <v>2096272</v>
      </c>
      <c r="U32" s="38">
        <v>58313089</v>
      </c>
      <c r="V32" s="38"/>
      <c r="W32" s="38">
        <v>2415000</v>
      </c>
      <c r="X32" s="38">
        <v>5503</v>
      </c>
      <c r="Y32" s="38">
        <v>3763</v>
      </c>
      <c r="Z32" s="38">
        <v>9266</v>
      </c>
      <c r="AA32" s="38">
        <v>240319141</v>
      </c>
      <c r="AB32" s="38">
        <v>198427180</v>
      </c>
      <c r="AC32" s="38">
        <v>0</v>
      </c>
      <c r="AD32" s="38">
        <v>0</v>
      </c>
      <c r="AE32" s="38">
        <v>0</v>
      </c>
      <c r="AF32" s="38">
        <v>0</v>
      </c>
      <c r="AG32" s="38">
        <v>27439102</v>
      </c>
      <c r="AH32" s="38">
        <v>466185423</v>
      </c>
      <c r="AI32" s="38">
        <v>431533882</v>
      </c>
      <c r="AJ32" s="38">
        <v>10709896</v>
      </c>
      <c r="AK32" s="38">
        <v>23941645</v>
      </c>
      <c r="AL32" s="38">
        <v>466185423</v>
      </c>
      <c r="AM32" s="38">
        <v>12576305</v>
      </c>
      <c r="AN32" s="38">
        <v>24219</v>
      </c>
      <c r="AO32" s="38">
        <v>1211113</v>
      </c>
      <c r="AP32" s="38">
        <v>1827360</v>
      </c>
      <c r="AQ32" s="1">
        <v>15638992</v>
      </c>
      <c r="AR32" s="1">
        <f t="shared" si="1"/>
        <v>3787430</v>
      </c>
      <c r="AS32" t="e">
        <f t="shared" si="2"/>
        <v>#DIV/0!</v>
      </c>
      <c r="AT32">
        <f t="shared" si="3"/>
        <v>193.03744223602484</v>
      </c>
      <c r="AU32">
        <f t="shared" si="4"/>
        <v>868.02153209109736</v>
      </c>
      <c r="AV32">
        <f t="shared" si="5"/>
        <v>0</v>
      </c>
      <c r="AW32">
        <f t="shared" si="6"/>
        <v>60299.565217391304</v>
      </c>
      <c r="AX32">
        <f t="shared" si="7"/>
        <v>78860.378053830224</v>
      </c>
      <c r="AY32">
        <f t="shared" si="8"/>
        <v>637.7946169772257</v>
      </c>
    </row>
    <row r="33" spans="1:51" x14ac:dyDescent="0.25">
      <c r="A33" s="1" t="s">
        <v>61</v>
      </c>
      <c r="B33" s="1" t="s">
        <v>159</v>
      </c>
      <c r="C33" s="44" t="s">
        <v>125</v>
      </c>
      <c r="D33" s="35">
        <f t="shared" si="0"/>
        <v>16072.976000000001</v>
      </c>
      <c r="E33" s="38">
        <v>3658</v>
      </c>
      <c r="F33" s="38"/>
      <c r="G33" s="38">
        <v>878906177</v>
      </c>
      <c r="H33" s="38"/>
      <c r="I33" s="38">
        <v>7543703</v>
      </c>
      <c r="J33" s="38"/>
      <c r="K33" s="38">
        <v>1062082077</v>
      </c>
      <c r="L33" s="38">
        <v>92305707</v>
      </c>
      <c r="M33" s="38">
        <v>3473225</v>
      </c>
      <c r="N33" s="38">
        <v>24550615</v>
      </c>
      <c r="O33" s="38">
        <v>3180988</v>
      </c>
      <c r="P33" s="38"/>
      <c r="Q33" s="38"/>
      <c r="R33" s="38"/>
      <c r="S33" s="38">
        <v>3460</v>
      </c>
      <c r="T33" s="38"/>
      <c r="U33" s="38">
        <v>216067113</v>
      </c>
      <c r="V33" s="38">
        <v>16194154</v>
      </c>
      <c r="W33" s="38">
        <v>16072976</v>
      </c>
      <c r="X33" s="38">
        <v>30041</v>
      </c>
      <c r="Y33" s="38">
        <v>66668</v>
      </c>
      <c r="Z33" s="38">
        <v>96709</v>
      </c>
      <c r="AA33" s="38">
        <v>2064402020</v>
      </c>
      <c r="AB33" s="38">
        <v>1466353289</v>
      </c>
      <c r="AC33" s="38">
        <v>0</v>
      </c>
      <c r="AD33" s="38">
        <v>0</v>
      </c>
      <c r="AE33" s="38">
        <v>0</v>
      </c>
      <c r="AF33" s="38">
        <v>0</v>
      </c>
      <c r="AG33" s="38">
        <v>565844718</v>
      </c>
      <c r="AH33" s="38">
        <v>4096600028</v>
      </c>
      <c r="AI33" s="38">
        <v>3486785028</v>
      </c>
      <c r="AJ33" s="38">
        <v>147121248</v>
      </c>
      <c r="AK33" s="38">
        <v>325957862</v>
      </c>
      <c r="AL33" s="38">
        <v>3959864145</v>
      </c>
      <c r="AM33" s="38"/>
      <c r="AN33" s="38"/>
      <c r="AO33" s="38"/>
      <c r="AP33" s="38"/>
      <c r="AR33" s="1">
        <f t="shared" si="1"/>
        <v>27731603</v>
      </c>
      <c r="AS33">
        <f t="shared" si="2"/>
        <v>13.342290866197764</v>
      </c>
      <c r="AT33">
        <f t="shared" si="3"/>
        <v>254.87501679838257</v>
      </c>
      <c r="AU33">
        <f t="shared" si="4"/>
        <v>0</v>
      </c>
      <c r="AV33">
        <f t="shared" si="5"/>
        <v>1007.5392385330507</v>
      </c>
      <c r="AW33">
        <f t="shared" si="6"/>
        <v>54682.230409601805</v>
      </c>
      <c r="AX33">
        <f t="shared" si="7"/>
        <v>127189.32007364411</v>
      </c>
      <c r="AY33">
        <f t="shared" si="8"/>
        <v>5742.9132601205902</v>
      </c>
    </row>
    <row r="34" spans="1:51" x14ac:dyDescent="0.25">
      <c r="A34" s="1" t="s">
        <v>62</v>
      </c>
      <c r="B34" s="1" t="s">
        <v>160</v>
      </c>
      <c r="C34" s="44" t="s">
        <v>126</v>
      </c>
      <c r="D34" s="35">
        <f t="shared" si="0"/>
        <v>1019.7809999999999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>
        <v>1019781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R34" s="1">
        <f t="shared" si="1"/>
        <v>0</v>
      </c>
      <c r="AS34" t="e">
        <f t="shared" si="2"/>
        <v>#DIV/0!</v>
      </c>
      <c r="AT34">
        <f t="shared" si="3"/>
        <v>0</v>
      </c>
      <c r="AU34">
        <f t="shared" si="4"/>
        <v>0</v>
      </c>
      <c r="AV34">
        <f t="shared" si="5"/>
        <v>0</v>
      </c>
      <c r="AW34">
        <f t="shared" si="6"/>
        <v>0</v>
      </c>
      <c r="AX34">
        <f t="shared" si="7"/>
        <v>0</v>
      </c>
      <c r="AY34">
        <f t="shared" si="8"/>
        <v>0</v>
      </c>
    </row>
    <row r="35" spans="1:51" x14ac:dyDescent="0.25">
      <c r="A35" s="1" t="s">
        <v>63</v>
      </c>
      <c r="B35" s="1" t="s">
        <v>159</v>
      </c>
      <c r="C35" s="44" t="s">
        <v>127</v>
      </c>
      <c r="D35" s="35">
        <f t="shared" si="0"/>
        <v>1063.7750000000001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>
        <v>1063775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R35" s="1">
        <f t="shared" si="1"/>
        <v>0</v>
      </c>
      <c r="AS35" t="e">
        <f t="shared" si="2"/>
        <v>#DIV/0!</v>
      </c>
      <c r="AT35">
        <f t="shared" si="3"/>
        <v>0</v>
      </c>
      <c r="AU35">
        <f t="shared" si="4"/>
        <v>0</v>
      </c>
      <c r="AV35">
        <f t="shared" si="5"/>
        <v>0</v>
      </c>
      <c r="AW35">
        <f t="shared" si="6"/>
        <v>0</v>
      </c>
      <c r="AX35">
        <f t="shared" si="7"/>
        <v>0</v>
      </c>
      <c r="AY35">
        <f t="shared" si="8"/>
        <v>0</v>
      </c>
    </row>
    <row r="36" spans="1:51" x14ac:dyDescent="0.25">
      <c r="A36" s="1" t="s">
        <v>64</v>
      </c>
      <c r="B36" s="1" t="s">
        <v>159</v>
      </c>
      <c r="C36" s="44" t="s">
        <v>128</v>
      </c>
      <c r="D36" s="35">
        <f t="shared" si="0"/>
        <v>3782.3130000000001</v>
      </c>
      <c r="E36" s="38">
        <v>1060</v>
      </c>
      <c r="F36" s="38">
        <v>1638</v>
      </c>
      <c r="G36" s="38">
        <v>262323000</v>
      </c>
      <c r="H36" s="38"/>
      <c r="I36" s="38"/>
      <c r="J36" s="38"/>
      <c r="K36" s="38"/>
      <c r="L36" s="38"/>
      <c r="M36" s="38"/>
      <c r="N36" s="38">
        <v>7596000</v>
      </c>
      <c r="O36" s="38"/>
      <c r="P36" s="38"/>
      <c r="Q36" s="38"/>
      <c r="R36" s="38"/>
      <c r="S36" s="38"/>
      <c r="T36" s="38"/>
      <c r="U36" s="38">
        <v>28082000</v>
      </c>
      <c r="V36" s="38"/>
      <c r="W36" s="38">
        <v>3782313</v>
      </c>
      <c r="X36" s="38">
        <v>7685</v>
      </c>
      <c r="Y36" s="38">
        <v>7386</v>
      </c>
      <c r="Z36" s="38">
        <v>15071</v>
      </c>
      <c r="AA36" s="38">
        <v>171066412</v>
      </c>
      <c r="AB36" s="38">
        <v>558096989</v>
      </c>
      <c r="AC36" s="38">
        <v>1815059</v>
      </c>
      <c r="AD36" s="38">
        <v>67380</v>
      </c>
      <c r="AE36" s="38">
        <v>634568</v>
      </c>
      <c r="AF36" s="38">
        <v>1309292</v>
      </c>
      <c r="AG36" s="38">
        <v>22468099</v>
      </c>
      <c r="AH36" s="38">
        <v>755457798</v>
      </c>
      <c r="AI36" s="38">
        <v>643001250</v>
      </c>
      <c r="AJ36" s="38">
        <v>27130765</v>
      </c>
      <c r="AK36" s="38">
        <v>60110191</v>
      </c>
      <c r="AL36" s="38">
        <v>730242207</v>
      </c>
      <c r="AM36" s="38"/>
      <c r="AN36" s="38"/>
      <c r="AO36" s="38"/>
      <c r="AP36" s="38"/>
      <c r="AR36" s="1">
        <f t="shared" si="1"/>
        <v>7596000</v>
      </c>
      <c r="AS36" t="e">
        <f t="shared" si="2"/>
        <v>#DIV/0!</v>
      </c>
      <c r="AT36">
        <f t="shared" si="3"/>
        <v>199.73434192252202</v>
      </c>
      <c r="AU36">
        <f t="shared" si="4"/>
        <v>0</v>
      </c>
      <c r="AV36">
        <f t="shared" si="5"/>
        <v>0</v>
      </c>
      <c r="AW36">
        <f t="shared" si="6"/>
        <v>69355.180282541391</v>
      </c>
      <c r="AX36">
        <f t="shared" si="7"/>
        <v>69355.180282541391</v>
      </c>
      <c r="AY36">
        <f t="shared" si="8"/>
        <v>0</v>
      </c>
    </row>
    <row r="37" spans="1:51" x14ac:dyDescent="0.25">
      <c r="A37" s="1" t="s">
        <v>140</v>
      </c>
      <c r="B37" s="1" t="s">
        <v>159</v>
      </c>
      <c r="C37" s="1" t="s">
        <v>143</v>
      </c>
      <c r="D37" s="35">
        <f t="shared" si="0"/>
        <v>2413.145</v>
      </c>
      <c r="W37" s="1">
        <v>2413145</v>
      </c>
      <c r="AM37" s="1"/>
      <c r="AR37" s="1">
        <f t="shared" si="1"/>
        <v>0</v>
      </c>
      <c r="AS37" t="e">
        <f t="shared" si="2"/>
        <v>#DIV/0!</v>
      </c>
      <c r="AT37">
        <f t="shared" si="3"/>
        <v>0</v>
      </c>
      <c r="AU37">
        <f t="shared" si="4"/>
        <v>0</v>
      </c>
      <c r="AV37">
        <f t="shared" si="5"/>
        <v>0</v>
      </c>
      <c r="AW37">
        <f t="shared" si="6"/>
        <v>0</v>
      </c>
      <c r="AX37">
        <f t="shared" si="7"/>
        <v>0</v>
      </c>
      <c r="AY37">
        <f t="shared" si="8"/>
        <v>0</v>
      </c>
    </row>
    <row r="38" spans="1:51" x14ac:dyDescent="0.25">
      <c r="A38" s="1" t="s">
        <v>141</v>
      </c>
      <c r="B38" s="1" t="s">
        <v>159</v>
      </c>
      <c r="C38" s="1" t="s">
        <v>144</v>
      </c>
      <c r="D38" s="35">
        <f t="shared" si="0"/>
        <v>2030.395</v>
      </c>
      <c r="E38" s="1">
        <v>2739</v>
      </c>
      <c r="F38" s="1">
        <v>910</v>
      </c>
      <c r="G38" s="1">
        <v>75032608</v>
      </c>
      <c r="I38" s="1">
        <v>150814</v>
      </c>
      <c r="V38" s="1">
        <v>241138449</v>
      </c>
      <c r="W38" s="1">
        <v>2030395</v>
      </c>
      <c r="X38" s="1">
        <v>3130</v>
      </c>
      <c r="Y38" s="1">
        <v>6616</v>
      </c>
      <c r="Z38" s="1">
        <v>13349</v>
      </c>
      <c r="AA38" s="1">
        <v>293843525</v>
      </c>
      <c r="AB38" s="1">
        <v>63515538</v>
      </c>
      <c r="AC38" s="1">
        <v>0</v>
      </c>
      <c r="AD38" s="1">
        <v>0</v>
      </c>
      <c r="AE38" s="1">
        <v>0</v>
      </c>
      <c r="AF38" s="1">
        <v>0</v>
      </c>
      <c r="AG38" s="1">
        <v>95373542</v>
      </c>
      <c r="AH38" s="1">
        <v>452732605</v>
      </c>
      <c r="AI38" s="1">
        <v>418119161</v>
      </c>
      <c r="AJ38" s="1">
        <v>10332764</v>
      </c>
      <c r="AK38" s="1">
        <v>24280680</v>
      </c>
      <c r="AL38" s="1">
        <v>452732605</v>
      </c>
      <c r="AM38" s="1">
        <v>22814306</v>
      </c>
      <c r="AN38" s="1">
        <v>34262</v>
      </c>
      <c r="AO38" s="1">
        <v>1713400</v>
      </c>
      <c r="AP38" s="1">
        <v>272698</v>
      </c>
      <c r="AQ38" s="1">
        <v>24834666</v>
      </c>
      <c r="AR38" s="1">
        <f t="shared" si="1"/>
        <v>0</v>
      </c>
      <c r="AS38">
        <f t="shared" si="2"/>
        <v>0</v>
      </c>
      <c r="AT38">
        <f t="shared" si="3"/>
        <v>222.97760041765272</v>
      </c>
      <c r="AU38">
        <f t="shared" si="4"/>
        <v>0</v>
      </c>
      <c r="AV38">
        <f t="shared" si="5"/>
        <v>118764.3039901103</v>
      </c>
      <c r="AW38">
        <f t="shared" si="6"/>
        <v>36954.685172097059</v>
      </c>
      <c r="AX38">
        <f t="shared" si="7"/>
        <v>37028.963329795435</v>
      </c>
      <c r="AY38">
        <f t="shared" si="8"/>
        <v>0</v>
      </c>
    </row>
    <row r="39" spans="1:51" x14ac:dyDescent="0.25">
      <c r="A39" s="1" t="s">
        <v>142</v>
      </c>
      <c r="B39" s="1" t="s">
        <v>159</v>
      </c>
      <c r="C39" s="1" t="s">
        <v>145</v>
      </c>
      <c r="D39" s="35">
        <f t="shared" si="0"/>
        <v>169.55699999999999</v>
      </c>
      <c r="W39" s="1">
        <v>169557</v>
      </c>
      <c r="AM39" s="1"/>
      <c r="AR39" s="1">
        <f t="shared" si="1"/>
        <v>0</v>
      </c>
      <c r="AS39" t="e">
        <f t="shared" si="2"/>
        <v>#DIV/0!</v>
      </c>
      <c r="AT39">
        <f t="shared" si="3"/>
        <v>0</v>
      </c>
      <c r="AU39">
        <f t="shared" si="4"/>
        <v>0</v>
      </c>
      <c r="AV39">
        <f t="shared" si="5"/>
        <v>0</v>
      </c>
      <c r="AW39">
        <f t="shared" si="6"/>
        <v>0</v>
      </c>
      <c r="AX39">
        <f t="shared" si="7"/>
        <v>0</v>
      </c>
      <c r="AY39">
        <f t="shared" si="8"/>
        <v>0</v>
      </c>
    </row>
    <row r="40" spans="1:51" x14ac:dyDescent="0.25">
      <c r="A40" s="1" t="s">
        <v>146</v>
      </c>
      <c r="B40" s="1" t="s">
        <v>160</v>
      </c>
      <c r="C40" s="1" t="s">
        <v>150</v>
      </c>
      <c r="D40" s="35">
        <f t="shared" si="0"/>
        <v>1472.0650000000001</v>
      </c>
      <c r="W40" s="1">
        <v>1472065</v>
      </c>
      <c r="AM40" s="1"/>
      <c r="AR40" s="1">
        <f t="shared" si="1"/>
        <v>0</v>
      </c>
      <c r="AS40" t="e">
        <f t="shared" si="2"/>
        <v>#DIV/0!</v>
      </c>
      <c r="AT40">
        <f t="shared" si="3"/>
        <v>0</v>
      </c>
      <c r="AU40">
        <f t="shared" si="4"/>
        <v>0</v>
      </c>
      <c r="AV40">
        <f t="shared" si="5"/>
        <v>0</v>
      </c>
      <c r="AW40">
        <f t="shared" si="6"/>
        <v>0</v>
      </c>
      <c r="AX40">
        <f t="shared" si="7"/>
        <v>0</v>
      </c>
      <c r="AY40">
        <f t="shared" si="8"/>
        <v>0</v>
      </c>
    </row>
    <row r="41" spans="1:51" x14ac:dyDescent="0.25">
      <c r="A41" s="1" t="s">
        <v>151</v>
      </c>
      <c r="B41" s="1" t="s">
        <v>156</v>
      </c>
      <c r="D41" s="35">
        <f t="shared" si="0"/>
        <v>2302</v>
      </c>
      <c r="E41" s="1">
        <v>828</v>
      </c>
      <c r="F41" s="1">
        <v>2941</v>
      </c>
      <c r="G41" s="1">
        <v>126491439</v>
      </c>
      <c r="H41" s="1">
        <v>1147291</v>
      </c>
      <c r="I41" s="1">
        <v>1169350</v>
      </c>
      <c r="J41" s="1">
        <v>1307734</v>
      </c>
      <c r="K41" s="1">
        <v>3884077</v>
      </c>
      <c r="L41" s="1">
        <v>675738</v>
      </c>
      <c r="M41" s="1">
        <v>52668</v>
      </c>
      <c r="N41" s="1">
        <v>4215307</v>
      </c>
      <c r="O41" s="1">
        <v>81117</v>
      </c>
      <c r="P41" s="1">
        <v>7</v>
      </c>
      <c r="Q41" s="1">
        <v>25</v>
      </c>
      <c r="R41" s="1">
        <v>5415</v>
      </c>
      <c r="S41" s="1">
        <v>2197</v>
      </c>
      <c r="T41" s="1">
        <v>2305369</v>
      </c>
      <c r="U41" s="1">
        <v>50718857</v>
      </c>
      <c r="V41" s="1">
        <v>35230950</v>
      </c>
      <c r="W41" s="1">
        <v>2302000</v>
      </c>
      <c r="X41" s="1">
        <v>10893</v>
      </c>
      <c r="Y41" s="1">
        <v>4299</v>
      </c>
      <c r="Z41" s="1">
        <v>15192</v>
      </c>
      <c r="AA41" s="1">
        <v>19782295</v>
      </c>
      <c r="AB41" s="1">
        <v>33193035</v>
      </c>
      <c r="AC41" s="1">
        <v>541041</v>
      </c>
      <c r="AD41" s="1">
        <v>910041</v>
      </c>
      <c r="AE41" s="1">
        <v>1471099</v>
      </c>
      <c r="AF41" s="1">
        <v>4044104</v>
      </c>
      <c r="AG41" s="1">
        <v>16805028</v>
      </c>
      <c r="AH41" s="1">
        <v>76746642</v>
      </c>
      <c r="AI41" s="1">
        <v>67115517</v>
      </c>
      <c r="AJ41" s="1">
        <v>1435466</v>
      </c>
      <c r="AK41" s="1">
        <v>7560985</v>
      </c>
      <c r="AL41" s="1">
        <v>76111974</v>
      </c>
      <c r="AM41" s="1">
        <v>7197019</v>
      </c>
      <c r="AN41" s="1">
        <v>0</v>
      </c>
      <c r="AO41" s="1">
        <v>128139</v>
      </c>
      <c r="AP41" s="1">
        <v>3980765</v>
      </c>
      <c r="AQ41" s="1">
        <v>11305923</v>
      </c>
      <c r="AR41" s="1">
        <f t="shared" si="1"/>
        <v>4296424</v>
      </c>
      <c r="AS41">
        <f t="shared" si="2"/>
        <v>1.4396108251409627</v>
      </c>
      <c r="AT41">
        <f t="shared" si="3"/>
        <v>33.33911468288445</v>
      </c>
      <c r="AU41">
        <f t="shared" si="4"/>
        <v>1001.4635099913119</v>
      </c>
      <c r="AV41">
        <f t="shared" si="5"/>
        <v>15304.496090356211</v>
      </c>
      <c r="AW41">
        <f t="shared" si="6"/>
        <v>54948.496524761074</v>
      </c>
      <c r="AX41">
        <f t="shared" si="7"/>
        <v>58526.627715030409</v>
      </c>
      <c r="AY41">
        <f t="shared" si="8"/>
        <v>293.54387489139879</v>
      </c>
    </row>
    <row r="42" spans="1:51" x14ac:dyDescent="0.25">
      <c r="A42" s="1" t="s">
        <v>152</v>
      </c>
      <c r="B42" s="1" t="s">
        <v>156</v>
      </c>
      <c r="D42" s="35">
        <f t="shared" si="0"/>
        <v>12623.999</v>
      </c>
      <c r="E42" s="1">
        <v>3222</v>
      </c>
      <c r="F42" s="1">
        <v>6610</v>
      </c>
      <c r="G42" s="1">
        <v>456896271</v>
      </c>
      <c r="H42" s="1">
        <v>2607349</v>
      </c>
      <c r="I42" s="1">
        <v>3456628</v>
      </c>
      <c r="J42" s="1">
        <v>1748911</v>
      </c>
      <c r="K42" s="1">
        <v>70347326</v>
      </c>
      <c r="L42" s="1">
        <v>8798156</v>
      </c>
      <c r="M42" s="1">
        <v>335900</v>
      </c>
      <c r="N42" s="1">
        <v>15109695</v>
      </c>
      <c r="O42" s="1">
        <v>595970</v>
      </c>
      <c r="P42" s="1">
        <v>559</v>
      </c>
      <c r="Q42" s="1">
        <v>804</v>
      </c>
      <c r="R42" s="1">
        <v>140990</v>
      </c>
      <c r="S42" s="1">
        <v>69870</v>
      </c>
      <c r="T42" s="1">
        <v>11978897</v>
      </c>
      <c r="U42" s="1">
        <v>129609159</v>
      </c>
      <c r="V42" s="1">
        <v>383335811</v>
      </c>
      <c r="W42" s="1">
        <v>12623999</v>
      </c>
      <c r="X42" s="1">
        <v>21306</v>
      </c>
      <c r="Y42" s="1">
        <v>19432</v>
      </c>
      <c r="Z42" s="1">
        <v>40707</v>
      </c>
      <c r="AA42" s="1">
        <v>1106072823</v>
      </c>
      <c r="AB42" s="1">
        <v>710451516</v>
      </c>
      <c r="AC42" s="1">
        <v>30415479</v>
      </c>
      <c r="AD42" s="1">
        <v>1252244</v>
      </c>
      <c r="AE42" s="1">
        <v>5051921</v>
      </c>
      <c r="AF42" s="1">
        <v>813327</v>
      </c>
      <c r="AG42" s="1">
        <v>293436566</v>
      </c>
      <c r="AH42" s="1">
        <v>2147493871</v>
      </c>
      <c r="AI42" s="1">
        <v>1772893425</v>
      </c>
      <c r="AJ42" s="1">
        <v>78624680</v>
      </c>
      <c r="AK42" s="1">
        <v>206567694</v>
      </c>
      <c r="AL42" s="1">
        <v>2058085799</v>
      </c>
      <c r="AM42" s="1">
        <v>56962882</v>
      </c>
      <c r="AN42" s="1">
        <v>109757</v>
      </c>
      <c r="AO42" s="1">
        <v>5488470</v>
      </c>
      <c r="AP42" s="1">
        <v>8311033</v>
      </c>
      <c r="AQ42" s="1">
        <v>70872136</v>
      </c>
      <c r="AR42" s="1">
        <f t="shared" si="1"/>
        <v>15705665</v>
      </c>
      <c r="AS42">
        <f t="shared" si="2"/>
        <v>0.33810866420721647</v>
      </c>
      <c r="AT42">
        <f t="shared" si="3"/>
        <v>170.11201212864481</v>
      </c>
      <c r="AU42">
        <f t="shared" si="4"/>
        <v>948.89876021061161</v>
      </c>
      <c r="AV42">
        <f t="shared" si="5"/>
        <v>30365.640158875172</v>
      </c>
      <c r="AW42">
        <f t="shared" si="6"/>
        <v>36192.673256707327</v>
      </c>
      <c r="AX42">
        <f t="shared" si="7"/>
        <v>43107.619146674522</v>
      </c>
      <c r="AY42">
        <f t="shared" si="8"/>
        <v>696.93890184877239</v>
      </c>
    </row>
    <row r="43" spans="1:51" x14ac:dyDescent="0.25">
      <c r="A43" s="1" t="s">
        <v>153</v>
      </c>
      <c r="B43" s="1" t="s">
        <v>156</v>
      </c>
      <c r="D43" s="35">
        <f t="shared" si="0"/>
        <v>365</v>
      </c>
      <c r="E43" s="1">
        <v>252</v>
      </c>
      <c r="F43" s="1">
        <v>576</v>
      </c>
      <c r="G43" s="1">
        <v>29513106</v>
      </c>
      <c r="H43" s="1">
        <v>213551</v>
      </c>
      <c r="I43" s="1">
        <v>276097</v>
      </c>
      <c r="J43" s="1">
        <v>96137</v>
      </c>
      <c r="K43" s="1">
        <v>1331100</v>
      </c>
      <c r="L43" s="1">
        <v>312453</v>
      </c>
      <c r="M43" s="1">
        <v>24523</v>
      </c>
      <c r="N43" s="1">
        <v>895911</v>
      </c>
      <c r="O43" s="1">
        <v>17075</v>
      </c>
      <c r="P43" s="1">
        <v>22</v>
      </c>
      <c r="Q43" s="1">
        <v>31</v>
      </c>
      <c r="R43" s="1">
        <v>2704</v>
      </c>
      <c r="S43" s="1">
        <v>1103</v>
      </c>
      <c r="T43" s="1">
        <v>316308</v>
      </c>
      <c r="U43" s="1">
        <v>7652215</v>
      </c>
      <c r="V43" s="1">
        <v>10061366</v>
      </c>
      <c r="W43" s="1">
        <v>365000</v>
      </c>
      <c r="X43" s="1">
        <v>1528</v>
      </c>
      <c r="Y43" s="1">
        <v>863</v>
      </c>
      <c r="Z43" s="1">
        <v>2397</v>
      </c>
      <c r="AA43" s="1">
        <v>49824055</v>
      </c>
      <c r="AB43" s="1">
        <v>31107681</v>
      </c>
      <c r="AC43" s="1">
        <v>0</v>
      </c>
      <c r="AD43" s="1">
        <v>0</v>
      </c>
      <c r="AE43" s="1">
        <v>0</v>
      </c>
      <c r="AF43" s="1">
        <v>0</v>
      </c>
      <c r="AG43" s="1">
        <v>9869713</v>
      </c>
      <c r="AH43" s="1">
        <v>90801448</v>
      </c>
      <c r="AI43" s="1">
        <v>87769111</v>
      </c>
      <c r="AJ43" s="1">
        <v>3032337</v>
      </c>
      <c r="AK43" s="1">
        <v>0</v>
      </c>
      <c r="AL43" s="1">
        <v>90801448</v>
      </c>
      <c r="AM43" s="1">
        <v>2530295</v>
      </c>
      <c r="AN43" s="1">
        <v>4873</v>
      </c>
      <c r="AO43" s="1">
        <v>243671</v>
      </c>
      <c r="AP43" s="1">
        <v>367655</v>
      </c>
      <c r="AQ43" s="1">
        <v>3146494</v>
      </c>
      <c r="AR43" s="1">
        <f t="shared" si="1"/>
        <v>912986</v>
      </c>
      <c r="AS43">
        <f t="shared" si="2"/>
        <v>0.76055428258946156</v>
      </c>
      <c r="AT43">
        <f t="shared" si="3"/>
        <v>248.77109041095889</v>
      </c>
      <c r="AU43">
        <f t="shared" si="4"/>
        <v>866.59726027397255</v>
      </c>
      <c r="AV43">
        <f t="shared" si="5"/>
        <v>27565.386301369865</v>
      </c>
      <c r="AW43">
        <f t="shared" si="6"/>
        <v>80857.824657534249</v>
      </c>
      <c r="AX43">
        <f t="shared" si="7"/>
        <v>87032.786301369866</v>
      </c>
      <c r="AY43">
        <f t="shared" si="8"/>
        <v>856.03561643835621</v>
      </c>
    </row>
    <row r="44" spans="1:51" x14ac:dyDescent="0.25">
      <c r="A44" s="1" t="s">
        <v>154</v>
      </c>
      <c r="B44" s="1" t="s">
        <v>156</v>
      </c>
      <c r="D44" s="35">
        <f t="shared" si="0"/>
        <v>25532.161</v>
      </c>
      <c r="E44" s="1">
        <v>8355</v>
      </c>
      <c r="F44" s="1">
        <v>14286</v>
      </c>
      <c r="G44" s="1">
        <v>1427438544</v>
      </c>
      <c r="H44" s="1">
        <v>9220092</v>
      </c>
      <c r="I44" s="1">
        <v>11730676</v>
      </c>
      <c r="J44" s="1">
        <v>8671109</v>
      </c>
      <c r="K44" s="1">
        <v>1377409700</v>
      </c>
      <c r="L44" s="1">
        <v>120253013</v>
      </c>
      <c r="M44" s="1">
        <v>4519118</v>
      </c>
      <c r="N44" s="1">
        <v>41334841</v>
      </c>
      <c r="O44" s="1">
        <v>4203040</v>
      </c>
      <c r="P44" s="1">
        <v>36</v>
      </c>
      <c r="Q44" s="1">
        <v>54</v>
      </c>
      <c r="R44" s="1">
        <v>149591</v>
      </c>
      <c r="S44" s="1">
        <v>24671</v>
      </c>
      <c r="T44" s="1">
        <v>13791141</v>
      </c>
      <c r="U44" s="1">
        <v>301923876</v>
      </c>
      <c r="V44" s="1">
        <v>355705795</v>
      </c>
      <c r="W44" s="1">
        <v>25532161</v>
      </c>
      <c r="X44" s="1">
        <v>47400</v>
      </c>
      <c r="Y44" s="1">
        <v>88055</v>
      </c>
      <c r="Z44" s="1">
        <v>139058</v>
      </c>
      <c r="AA44" s="1">
        <v>2796861970</v>
      </c>
      <c r="AB44" s="1">
        <v>2556554102</v>
      </c>
      <c r="AC44" s="1">
        <v>2973081</v>
      </c>
      <c r="AD44" s="1">
        <v>110369</v>
      </c>
      <c r="AE44" s="1">
        <v>1039427</v>
      </c>
      <c r="AF44" s="1">
        <v>2144630</v>
      </c>
      <c r="AG44" s="1">
        <v>741440296</v>
      </c>
      <c r="AH44" s="1">
        <v>6101123874</v>
      </c>
      <c r="AI44" s="1">
        <v>5225697634</v>
      </c>
      <c r="AJ44" s="1">
        <v>213183509</v>
      </c>
      <c r="AK44" s="1">
        <v>473711314</v>
      </c>
      <c r="AL44" s="1">
        <v>5912592465</v>
      </c>
      <c r="AM44" s="1">
        <v>174273615</v>
      </c>
      <c r="AN44" s="1">
        <v>325937</v>
      </c>
      <c r="AO44" s="1">
        <v>16299110</v>
      </c>
      <c r="AP44" s="1">
        <v>22279951</v>
      </c>
      <c r="AQ44" s="1">
        <v>213178613</v>
      </c>
      <c r="AR44" s="1">
        <f t="shared" si="1"/>
        <v>45537881</v>
      </c>
      <c r="AS44">
        <f t="shared" si="2"/>
        <v>0.84880224118923897</v>
      </c>
      <c r="AT44">
        <f t="shared" si="3"/>
        <v>238.95838170533236</v>
      </c>
      <c r="AU44">
        <f t="shared" si="4"/>
        <v>540.14781592517761</v>
      </c>
      <c r="AV44">
        <f t="shared" si="5"/>
        <v>13931.676014419618</v>
      </c>
      <c r="AW44">
        <f t="shared" si="6"/>
        <v>55907.470738571639</v>
      </c>
      <c r="AX44">
        <f t="shared" si="7"/>
        <v>115902.53766612234</v>
      </c>
      <c r="AY44">
        <f t="shared" si="8"/>
        <v>4709.8642766665935</v>
      </c>
    </row>
    <row r="45" spans="1:51" x14ac:dyDescent="0.25">
      <c r="A45" s="1" t="s">
        <v>155</v>
      </c>
      <c r="B45" s="1" t="s">
        <v>156</v>
      </c>
      <c r="D45" s="35">
        <f t="shared" si="0"/>
        <v>2491.846</v>
      </c>
      <c r="E45" s="1">
        <v>403</v>
      </c>
      <c r="F45" s="1">
        <v>481</v>
      </c>
      <c r="G45" s="1">
        <v>38041917</v>
      </c>
      <c r="H45" s="1">
        <v>240131</v>
      </c>
      <c r="I45" s="1">
        <v>324232</v>
      </c>
      <c r="J45" s="1">
        <v>225834</v>
      </c>
      <c r="K45" s="1">
        <v>27097172</v>
      </c>
      <c r="L45" s="1">
        <v>2437096</v>
      </c>
      <c r="M45" s="1">
        <v>90840</v>
      </c>
      <c r="N45" s="1">
        <v>1153970</v>
      </c>
      <c r="O45" s="1">
        <v>92910</v>
      </c>
      <c r="P45" s="1">
        <v>22</v>
      </c>
      <c r="Q45" s="1">
        <v>31</v>
      </c>
      <c r="R45" s="1">
        <v>48377</v>
      </c>
      <c r="S45" s="1">
        <v>17263</v>
      </c>
      <c r="T45" s="1">
        <v>4459895</v>
      </c>
      <c r="U45" s="1">
        <v>91419176</v>
      </c>
      <c r="V45" s="1">
        <v>82598490</v>
      </c>
      <c r="W45" s="1">
        <v>2491846</v>
      </c>
      <c r="X45" s="1">
        <v>1456</v>
      </c>
      <c r="Y45" s="1">
        <v>2180</v>
      </c>
      <c r="Z45" s="1">
        <v>3636</v>
      </c>
      <c r="AA45" s="1">
        <v>3523362</v>
      </c>
      <c r="AB45" s="1">
        <v>5848165</v>
      </c>
      <c r="AC45" s="1">
        <v>48439</v>
      </c>
      <c r="AD45" s="1">
        <v>182804</v>
      </c>
      <c r="AE45" s="1">
        <v>260699</v>
      </c>
      <c r="AF45" s="1">
        <v>716675</v>
      </c>
      <c r="AG45" s="1">
        <v>2956919</v>
      </c>
      <c r="AH45" s="1">
        <v>13537068</v>
      </c>
      <c r="AI45" s="1">
        <v>11831365</v>
      </c>
      <c r="AJ45" s="1">
        <v>253039</v>
      </c>
      <c r="AK45" s="1">
        <v>1335713</v>
      </c>
      <c r="AL45" s="1">
        <v>13420117</v>
      </c>
      <c r="AM45" s="1">
        <v>1287103</v>
      </c>
      <c r="AN45" s="1">
        <v>0</v>
      </c>
      <c r="AO45" s="1">
        <v>0</v>
      </c>
      <c r="AP45" s="1">
        <v>733036</v>
      </c>
      <c r="AQ45" s="1">
        <v>2020139</v>
      </c>
      <c r="AR45" s="1">
        <f t="shared" si="1"/>
        <v>1246880</v>
      </c>
      <c r="AS45">
        <f t="shared" si="2"/>
        <v>1.1067899183144874</v>
      </c>
      <c r="AT45">
        <f t="shared" si="3"/>
        <v>5.4325459920075314</v>
      </c>
      <c r="AU45">
        <f t="shared" si="4"/>
        <v>1789.7955973202197</v>
      </c>
      <c r="AV45">
        <f t="shared" si="5"/>
        <v>33147.509918349686</v>
      </c>
      <c r="AW45">
        <f t="shared" si="6"/>
        <v>15266.560212790037</v>
      </c>
      <c r="AX45">
        <f t="shared" si="7"/>
        <v>27472.49308344095</v>
      </c>
      <c r="AY45">
        <f t="shared" si="8"/>
        <v>978.02833722469211</v>
      </c>
    </row>
    <row r="46" spans="1:51" x14ac:dyDescent="0.25">
      <c r="A46" s="1" t="s">
        <v>312</v>
      </c>
      <c r="B46" s="105" t="s">
        <v>156</v>
      </c>
      <c r="C46"/>
      <c r="D46" s="35">
        <f t="shared" si="0"/>
        <v>1617.7139999999999</v>
      </c>
      <c r="E46" s="1">
        <v>552</v>
      </c>
      <c r="F46" s="1">
        <v>2155</v>
      </c>
      <c r="G46" s="1">
        <v>88748523</v>
      </c>
      <c r="H46" s="1">
        <v>867001</v>
      </c>
      <c r="I46" s="1">
        <v>884621</v>
      </c>
      <c r="J46" s="1">
        <v>880305</v>
      </c>
      <c r="K46" s="1">
        <v>3030140</v>
      </c>
      <c r="L46" s="1">
        <v>350307</v>
      </c>
      <c r="M46" s="1">
        <v>38038</v>
      </c>
      <c r="N46" s="1">
        <v>3133775</v>
      </c>
      <c r="O46" s="1">
        <v>40573</v>
      </c>
      <c r="P46" s="1">
        <v>7</v>
      </c>
      <c r="Q46" s="1">
        <v>25</v>
      </c>
      <c r="R46" s="1">
        <v>4000</v>
      </c>
      <c r="S46" s="1">
        <v>1663</v>
      </c>
      <c r="T46" s="1">
        <v>1611350</v>
      </c>
      <c r="U46" s="1">
        <v>33776742</v>
      </c>
      <c r="V46" s="1">
        <v>24705800</v>
      </c>
      <c r="W46" s="1">
        <v>1617714</v>
      </c>
      <c r="X46" s="1">
        <v>7830</v>
      </c>
      <c r="Y46" s="1">
        <v>2936</v>
      </c>
      <c r="Z46" s="1">
        <v>10766</v>
      </c>
      <c r="AA46" s="1">
        <v>17057547</v>
      </c>
      <c r="AB46" s="1">
        <v>27442888</v>
      </c>
      <c r="AC46" s="1">
        <v>499882</v>
      </c>
      <c r="AD46" s="1">
        <v>715743</v>
      </c>
      <c r="AE46" s="1">
        <v>1191194</v>
      </c>
      <c r="AF46" s="1">
        <v>3289406</v>
      </c>
      <c r="AG46" s="1">
        <v>13818127</v>
      </c>
      <c r="AH46" s="1">
        <v>64014787</v>
      </c>
      <c r="AI46" s="1">
        <v>56020373</v>
      </c>
      <c r="AJ46" s="1">
        <v>1349036</v>
      </c>
      <c r="AK46" s="1">
        <v>6111107</v>
      </c>
      <c r="AL46" s="1">
        <v>63480522</v>
      </c>
      <c r="AM46">
        <v>5756136</v>
      </c>
      <c r="AN46" s="1">
        <v>159</v>
      </c>
      <c r="AO46" s="1">
        <v>136087</v>
      </c>
      <c r="AP46" s="1">
        <v>3132479</v>
      </c>
      <c r="AQ46" s="1">
        <v>9024861</v>
      </c>
      <c r="AR46" s="1">
        <f t="shared" si="1"/>
        <v>3174348</v>
      </c>
      <c r="AS46">
        <f t="shared" si="2"/>
        <v>1.3671584000518098</v>
      </c>
      <c r="AT46">
        <f t="shared" si="3"/>
        <v>39.571139892465538</v>
      </c>
      <c r="AU46">
        <f t="shared" si="4"/>
        <v>996.0660537029413</v>
      </c>
      <c r="AV46">
        <f t="shared" si="5"/>
        <v>15272.044378672621</v>
      </c>
      <c r="AW46">
        <f t="shared" si="6"/>
        <v>54860.453083796026</v>
      </c>
      <c r="AX46">
        <f t="shared" si="7"/>
        <v>58600.553002570297</v>
      </c>
      <c r="AY46">
        <f t="shared" si="8"/>
        <v>216.54445717846295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T46"/>
  <sheetViews>
    <sheetView workbookViewId="0">
      <pane xSplit="3" ySplit="1" topLeftCell="Q14" activePane="bottomRight" state="frozen"/>
      <selection activeCell="A14" sqref="A14:B14"/>
      <selection pane="topRight" activeCell="A14" sqref="A14:B14"/>
      <selection pane="bottomLeft" activeCell="A14" sqref="A14:B14"/>
      <selection pane="bottomRight" activeCell="A14" sqref="A14:B14"/>
    </sheetView>
  </sheetViews>
  <sheetFormatPr defaultColWidth="9.1796875" defaultRowHeight="12.5" x14ac:dyDescent="0.25"/>
  <cols>
    <col min="1" max="43" width="9.1796875" style="1"/>
    <col min="44" max="213" width="8.7265625" customWidth="1"/>
    <col min="214" max="16384" width="9.1796875" style="1"/>
  </cols>
  <sheetData>
    <row r="1" spans="1:228" s="36" customFormat="1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291</v>
      </c>
      <c r="V1" s="36" t="s">
        <v>81</v>
      </c>
      <c r="W1" s="36" t="s">
        <v>82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228" ht="13" x14ac:dyDescent="0.3">
      <c r="A2" s="1" t="s">
        <v>32</v>
      </c>
      <c r="B2" s="1" t="s">
        <v>147</v>
      </c>
      <c r="C2" s="44" t="s">
        <v>96</v>
      </c>
      <c r="D2" s="35">
        <f>+W2/1000</f>
        <v>289</v>
      </c>
      <c r="E2" s="38">
        <v>92</v>
      </c>
      <c r="F2" s="38">
        <v>92</v>
      </c>
      <c r="G2" s="38">
        <v>8269272</v>
      </c>
      <c r="H2" s="38">
        <v>10078</v>
      </c>
      <c r="I2" s="38"/>
      <c r="J2" s="38"/>
      <c r="K2" s="38">
        <v>15715</v>
      </c>
      <c r="L2" s="38">
        <v>43546</v>
      </c>
      <c r="M2" s="38"/>
      <c r="N2" s="38">
        <v>103396</v>
      </c>
      <c r="O2" s="38">
        <v>495</v>
      </c>
      <c r="P2" s="38"/>
      <c r="Q2" s="38"/>
      <c r="R2" s="38"/>
      <c r="S2" s="38"/>
      <c r="T2" s="38">
        <v>191258</v>
      </c>
      <c r="U2" s="38">
        <v>5282430</v>
      </c>
      <c r="V2" s="38">
        <v>2607227</v>
      </c>
      <c r="W2" s="38">
        <v>289000</v>
      </c>
      <c r="X2" s="38">
        <v>498</v>
      </c>
      <c r="Y2" s="38">
        <v>397</v>
      </c>
      <c r="Z2" s="38">
        <v>895</v>
      </c>
      <c r="AA2" s="38">
        <v>469825</v>
      </c>
      <c r="AB2" s="38">
        <v>288543</v>
      </c>
      <c r="AC2" s="38">
        <v>0</v>
      </c>
      <c r="AD2" s="38">
        <v>0</v>
      </c>
      <c r="AE2" s="38">
        <v>0</v>
      </c>
      <c r="AF2" s="38">
        <v>0</v>
      </c>
      <c r="AG2" s="38">
        <v>232453</v>
      </c>
      <c r="AH2" s="38">
        <v>990821</v>
      </c>
      <c r="AI2" s="38">
        <v>600365</v>
      </c>
      <c r="AJ2" s="38">
        <v>347262</v>
      </c>
      <c r="AK2" s="38">
        <v>140132</v>
      </c>
      <c r="AL2" s="38">
        <v>1087759</v>
      </c>
      <c r="AM2" s="38"/>
      <c r="AN2" s="38"/>
      <c r="AO2" s="38"/>
      <c r="AP2" s="38"/>
      <c r="AQ2" s="38"/>
      <c r="AR2" s="1">
        <f>+N2+O2</f>
        <v>103891</v>
      </c>
      <c r="AS2">
        <f>+U2/V2</f>
        <v>2.0260721448496812</v>
      </c>
      <c r="AT2">
        <f>+AH2/W2</f>
        <v>3.4284463667820071</v>
      </c>
      <c r="AU2">
        <f>+T2/D2</f>
        <v>661.79238754325263</v>
      </c>
      <c r="AV2">
        <f>+V2/D2</f>
        <v>9021.5467128027685</v>
      </c>
      <c r="AW2">
        <f>+G2/D2</f>
        <v>28613.397923875433</v>
      </c>
      <c r="AX2">
        <f>SUM(G2:M2)/D2</f>
        <v>28853.325259515572</v>
      </c>
      <c r="AY2">
        <f>+L2/D2</f>
        <v>150.67820069204151</v>
      </c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</row>
    <row r="3" spans="1:228" ht="13" x14ac:dyDescent="0.3">
      <c r="A3" s="1" t="s">
        <v>33</v>
      </c>
      <c r="B3" s="1" t="s">
        <v>147</v>
      </c>
      <c r="C3" s="44" t="s">
        <v>97</v>
      </c>
      <c r="D3" s="35">
        <f t="shared" ref="D3:D46" si="0">+W3/1000</f>
        <v>192</v>
      </c>
      <c r="E3" s="38">
        <v>65</v>
      </c>
      <c r="F3" s="38">
        <v>800</v>
      </c>
      <c r="G3" s="38">
        <v>10414000</v>
      </c>
      <c r="H3" s="38">
        <v>21000</v>
      </c>
      <c r="I3" s="38"/>
      <c r="J3" s="38">
        <v>33000</v>
      </c>
      <c r="K3" s="38">
        <v>17000</v>
      </c>
      <c r="L3" s="38">
        <v>41000</v>
      </c>
      <c r="M3" s="38"/>
      <c r="N3" s="38">
        <v>215000</v>
      </c>
      <c r="O3" s="38">
        <v>2000</v>
      </c>
      <c r="P3" s="38"/>
      <c r="Q3" s="38"/>
      <c r="R3" s="38"/>
      <c r="S3" s="38"/>
      <c r="T3" s="38">
        <v>234000</v>
      </c>
      <c r="U3" s="38">
        <v>2119000</v>
      </c>
      <c r="V3" s="38">
        <v>3330748</v>
      </c>
      <c r="W3" s="38">
        <v>192000</v>
      </c>
      <c r="X3" s="38">
        <v>330</v>
      </c>
      <c r="Y3" s="38">
        <v>280</v>
      </c>
      <c r="Z3" s="38">
        <v>610</v>
      </c>
      <c r="AA3" s="38"/>
      <c r="AB3" s="38">
        <v>2523069</v>
      </c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1">
        <f t="shared" ref="AR3:AR46" si="1">+N3+O3</f>
        <v>217000</v>
      </c>
      <c r="AS3">
        <f t="shared" ref="AS3:AS46" si="2">+U3/V3</f>
        <v>0.63619343162556874</v>
      </c>
      <c r="AT3">
        <f t="shared" ref="AT3:AT46" si="3">+AH3/W3</f>
        <v>0</v>
      </c>
      <c r="AU3">
        <f t="shared" ref="AU3:AU46" si="4">+T3/D3</f>
        <v>1218.75</v>
      </c>
      <c r="AV3">
        <f t="shared" ref="AV3:AV46" si="5">+V3/D3</f>
        <v>17347.645833333332</v>
      </c>
      <c r="AW3">
        <f t="shared" ref="AW3:AW46" si="6">+G3/D3</f>
        <v>54239.583333333336</v>
      </c>
      <c r="AX3">
        <f t="shared" ref="AX3:AX46" si="7">SUM(G3:M3)/D3</f>
        <v>54822.916666666664</v>
      </c>
      <c r="AY3">
        <f t="shared" ref="AY3:AY46" si="8">+L3/D3</f>
        <v>213.54166666666666</v>
      </c>
      <c r="HF3" s="37"/>
      <c r="HG3" s="37"/>
      <c r="HH3" s="37"/>
      <c r="HI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</row>
    <row r="4" spans="1:228" ht="13" x14ac:dyDescent="0.3">
      <c r="A4" s="1" t="s">
        <v>34</v>
      </c>
      <c r="B4" s="1" t="s">
        <v>147</v>
      </c>
      <c r="C4" s="44" t="s">
        <v>98</v>
      </c>
      <c r="D4" s="35">
        <f t="shared" si="0"/>
        <v>48</v>
      </c>
      <c r="E4" s="38">
        <v>17</v>
      </c>
      <c r="F4" s="38">
        <v>34</v>
      </c>
      <c r="G4" s="38">
        <v>7539047</v>
      </c>
      <c r="H4" s="38">
        <v>12548</v>
      </c>
      <c r="I4" s="38">
        <v>20050</v>
      </c>
      <c r="J4" s="38">
        <v>67381</v>
      </c>
      <c r="K4" s="38">
        <v>373416</v>
      </c>
      <c r="L4" s="38">
        <v>27465</v>
      </c>
      <c r="M4" s="38">
        <v>1881</v>
      </c>
      <c r="N4" s="38">
        <v>110097</v>
      </c>
      <c r="O4" s="38">
        <v>2281</v>
      </c>
      <c r="P4" s="38">
        <v>5</v>
      </c>
      <c r="Q4" s="38">
        <v>5</v>
      </c>
      <c r="R4" s="38">
        <v>100</v>
      </c>
      <c r="S4" s="38">
        <v>80</v>
      </c>
      <c r="T4" s="38">
        <v>75289</v>
      </c>
      <c r="U4" s="38">
        <v>2316291</v>
      </c>
      <c r="V4" s="38">
        <v>1653611</v>
      </c>
      <c r="W4" s="38">
        <v>48000</v>
      </c>
      <c r="X4" s="38">
        <v>537</v>
      </c>
      <c r="Y4" s="38">
        <v>112</v>
      </c>
      <c r="Z4" s="38">
        <v>649</v>
      </c>
      <c r="AA4" s="38">
        <v>1551612</v>
      </c>
      <c r="AB4" s="38">
        <v>1494468</v>
      </c>
      <c r="AC4" s="38">
        <v>251406</v>
      </c>
      <c r="AD4" s="38">
        <v>0</v>
      </c>
      <c r="AE4" s="38">
        <v>300842</v>
      </c>
      <c r="AF4" s="38">
        <v>0</v>
      </c>
      <c r="AG4" s="38">
        <v>191475</v>
      </c>
      <c r="AH4" s="38">
        <v>3789804</v>
      </c>
      <c r="AI4" s="38">
        <v>4178516</v>
      </c>
      <c r="AJ4" s="38">
        <v>0</v>
      </c>
      <c r="AK4" s="38">
        <v>167015</v>
      </c>
      <c r="AL4" s="38">
        <v>4345531</v>
      </c>
      <c r="AM4" s="38">
        <v>327294</v>
      </c>
      <c r="AN4" s="38">
        <v>0</v>
      </c>
      <c r="AO4" s="38">
        <v>0</v>
      </c>
      <c r="AP4" s="38">
        <v>208797</v>
      </c>
      <c r="AQ4" s="38">
        <v>536090</v>
      </c>
      <c r="AR4" s="1">
        <f t="shared" si="1"/>
        <v>112378</v>
      </c>
      <c r="AS4">
        <f t="shared" si="2"/>
        <v>1.4007472132200378</v>
      </c>
      <c r="AT4">
        <f t="shared" si="3"/>
        <v>78.954250000000002</v>
      </c>
      <c r="AU4">
        <f t="shared" si="4"/>
        <v>1568.5208333333333</v>
      </c>
      <c r="AV4">
        <f t="shared" si="5"/>
        <v>34450.229166666664</v>
      </c>
      <c r="AW4">
        <f t="shared" si="6"/>
        <v>157063.47916666666</v>
      </c>
      <c r="AX4">
        <f t="shared" si="7"/>
        <v>167537.25</v>
      </c>
      <c r="AY4">
        <f t="shared" si="8"/>
        <v>572.1875</v>
      </c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</row>
    <row r="5" spans="1:228" ht="13" x14ac:dyDescent="0.3">
      <c r="A5" s="1" t="s">
        <v>35</v>
      </c>
      <c r="B5" s="1" t="s">
        <v>147</v>
      </c>
      <c r="C5" s="44" t="s">
        <v>99</v>
      </c>
      <c r="D5" s="35">
        <f t="shared" si="0"/>
        <v>214</v>
      </c>
      <c r="E5" s="38">
        <v>34</v>
      </c>
      <c r="F5" s="38">
        <v>35</v>
      </c>
      <c r="G5" s="38">
        <v>10015000</v>
      </c>
      <c r="H5" s="38">
        <v>23000</v>
      </c>
      <c r="I5" s="38"/>
      <c r="J5" s="38">
        <v>158000</v>
      </c>
      <c r="K5" s="38">
        <v>472897</v>
      </c>
      <c r="L5" s="38">
        <v>18293</v>
      </c>
      <c r="M5" s="38">
        <v>520</v>
      </c>
      <c r="N5" s="38">
        <v>377709</v>
      </c>
      <c r="O5" s="38">
        <v>6076</v>
      </c>
      <c r="P5" s="38"/>
      <c r="Q5" s="38"/>
      <c r="R5" s="38"/>
      <c r="S5" s="38"/>
      <c r="T5" s="38">
        <v>175228</v>
      </c>
      <c r="U5" s="38">
        <v>1788000</v>
      </c>
      <c r="V5" s="38">
        <v>3785722</v>
      </c>
      <c r="W5" s="38">
        <v>214000</v>
      </c>
      <c r="X5" s="38">
        <v>592</v>
      </c>
      <c r="Y5" s="38">
        <v>368</v>
      </c>
      <c r="Z5" s="38">
        <v>960</v>
      </c>
      <c r="AA5" s="38">
        <v>1508810</v>
      </c>
      <c r="AB5" s="38">
        <v>3552710</v>
      </c>
      <c r="AC5" s="38">
        <v>24643</v>
      </c>
      <c r="AD5" s="38">
        <v>89054</v>
      </c>
      <c r="AE5" s="38">
        <v>140526</v>
      </c>
      <c r="AF5" s="38">
        <v>364590</v>
      </c>
      <c r="AG5" s="38">
        <v>374225</v>
      </c>
      <c r="AH5" s="38">
        <v>6054558</v>
      </c>
      <c r="AI5" s="38">
        <v>5221689</v>
      </c>
      <c r="AJ5" s="38">
        <v>199181</v>
      </c>
      <c r="AK5" s="38">
        <v>138671</v>
      </c>
      <c r="AL5" s="38">
        <v>5559541</v>
      </c>
      <c r="AM5" s="38"/>
      <c r="AN5" s="38"/>
      <c r="AO5" s="38"/>
      <c r="AP5" s="38"/>
      <c r="AQ5" s="38"/>
      <c r="AR5" s="1">
        <f t="shared" si="1"/>
        <v>383785</v>
      </c>
      <c r="AS5">
        <f t="shared" si="2"/>
        <v>0.4723009243679277</v>
      </c>
      <c r="AT5">
        <f t="shared" si="3"/>
        <v>28.292327102803739</v>
      </c>
      <c r="AU5">
        <f t="shared" si="4"/>
        <v>818.82242990654208</v>
      </c>
      <c r="AV5">
        <f t="shared" si="5"/>
        <v>17690.289719626169</v>
      </c>
      <c r="AW5">
        <f t="shared" si="6"/>
        <v>46799.06542056075</v>
      </c>
      <c r="AX5">
        <f t="shared" si="7"/>
        <v>49942.570093457944</v>
      </c>
      <c r="AY5">
        <f t="shared" si="8"/>
        <v>85.481308411214954</v>
      </c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</row>
    <row r="6" spans="1:228" ht="13" x14ac:dyDescent="0.3">
      <c r="A6" s="1" t="s">
        <v>36</v>
      </c>
      <c r="B6" s="1" t="s">
        <v>147</v>
      </c>
      <c r="C6" s="44" t="s">
        <v>100</v>
      </c>
      <c r="D6" s="35">
        <f t="shared" si="0"/>
        <v>61</v>
      </c>
      <c r="E6" s="38">
        <v>16</v>
      </c>
      <c r="F6" s="38">
        <v>16</v>
      </c>
      <c r="G6" s="38">
        <v>5919515</v>
      </c>
      <c r="H6" s="38"/>
      <c r="I6" s="38"/>
      <c r="J6" s="38">
        <v>21773</v>
      </c>
      <c r="K6" s="38"/>
      <c r="L6" s="38">
        <v>1517</v>
      </c>
      <c r="M6" s="38"/>
      <c r="N6" s="38">
        <v>76773</v>
      </c>
      <c r="O6" s="38"/>
      <c r="P6" s="38"/>
      <c r="Q6" s="38"/>
      <c r="R6" s="38"/>
      <c r="S6" s="38"/>
      <c r="T6" s="38">
        <v>51618</v>
      </c>
      <c r="U6" s="38">
        <v>3002512</v>
      </c>
      <c r="V6" s="38">
        <v>1118979</v>
      </c>
      <c r="W6" s="38">
        <v>61000</v>
      </c>
      <c r="X6" s="38">
        <v>134</v>
      </c>
      <c r="Y6" s="38">
        <v>193</v>
      </c>
      <c r="Z6" s="38">
        <v>327</v>
      </c>
      <c r="AA6" s="38">
        <v>472674</v>
      </c>
      <c r="AB6" s="38">
        <v>266164</v>
      </c>
      <c r="AC6" s="38">
        <v>0</v>
      </c>
      <c r="AD6" s="38">
        <v>0</v>
      </c>
      <c r="AE6" s="38">
        <v>0</v>
      </c>
      <c r="AF6" s="38">
        <v>0</v>
      </c>
      <c r="AG6" s="38">
        <v>164388</v>
      </c>
      <c r="AH6" s="38">
        <v>903226</v>
      </c>
      <c r="AI6" s="38">
        <v>778636</v>
      </c>
      <c r="AJ6" s="38">
        <v>48160</v>
      </c>
      <c r="AK6" s="38">
        <v>76430</v>
      </c>
      <c r="AL6" s="38">
        <v>903226</v>
      </c>
      <c r="AM6" s="38">
        <v>317940</v>
      </c>
      <c r="AN6" s="38">
        <v>0</v>
      </c>
      <c r="AO6" s="38">
        <v>0</v>
      </c>
      <c r="AP6" s="38">
        <v>202829</v>
      </c>
      <c r="AQ6" s="38">
        <v>520768</v>
      </c>
      <c r="AR6" s="1">
        <f t="shared" si="1"/>
        <v>76773</v>
      </c>
      <c r="AS6">
        <f t="shared" si="2"/>
        <v>2.683260365029192</v>
      </c>
      <c r="AT6">
        <f t="shared" si="3"/>
        <v>14.806983606557377</v>
      </c>
      <c r="AU6">
        <f t="shared" si="4"/>
        <v>846.19672131147536</v>
      </c>
      <c r="AV6">
        <f t="shared" si="5"/>
        <v>18343.918032786885</v>
      </c>
      <c r="AW6">
        <f t="shared" si="6"/>
        <v>97041.229508196717</v>
      </c>
      <c r="AX6">
        <f t="shared" si="7"/>
        <v>97423.032786885247</v>
      </c>
      <c r="AY6">
        <f t="shared" si="8"/>
        <v>24.868852459016395</v>
      </c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</row>
    <row r="7" spans="1:228" ht="13" x14ac:dyDescent="0.3">
      <c r="A7" s="1" t="s">
        <v>37</v>
      </c>
      <c r="B7" s="1" t="s">
        <v>147</v>
      </c>
      <c r="C7" s="44" t="s">
        <v>101</v>
      </c>
      <c r="D7" s="35">
        <f t="shared" si="0"/>
        <v>97</v>
      </c>
      <c r="E7" s="38">
        <v>15</v>
      </c>
      <c r="F7" s="38">
        <v>83</v>
      </c>
      <c r="G7" s="38">
        <v>12035215</v>
      </c>
      <c r="H7" s="38">
        <v>3751</v>
      </c>
      <c r="I7" s="38">
        <v>3800</v>
      </c>
      <c r="J7" s="38">
        <v>235571</v>
      </c>
      <c r="K7" s="38">
        <v>25422</v>
      </c>
      <c r="L7" s="38">
        <v>2388</v>
      </c>
      <c r="M7" s="38">
        <v>1456</v>
      </c>
      <c r="N7" s="38">
        <v>153930</v>
      </c>
      <c r="O7" s="38">
        <v>128</v>
      </c>
      <c r="P7" s="38">
        <v>4</v>
      </c>
      <c r="Q7" s="38">
        <v>3</v>
      </c>
      <c r="R7" s="38">
        <v>134</v>
      </c>
      <c r="S7" s="38">
        <v>134</v>
      </c>
      <c r="T7" s="38">
        <v>85914</v>
      </c>
      <c r="U7" s="38">
        <v>5774470</v>
      </c>
      <c r="V7" s="38">
        <v>2965782</v>
      </c>
      <c r="W7" s="38">
        <v>97000</v>
      </c>
      <c r="X7" s="38">
        <v>552</v>
      </c>
      <c r="Y7" s="38">
        <v>90</v>
      </c>
      <c r="Z7" s="38">
        <v>642</v>
      </c>
      <c r="AA7" s="38">
        <v>725846</v>
      </c>
      <c r="AB7" s="38">
        <v>453640</v>
      </c>
      <c r="AC7" s="38">
        <v>0</v>
      </c>
      <c r="AD7" s="38">
        <v>0</v>
      </c>
      <c r="AE7" s="38">
        <v>0</v>
      </c>
      <c r="AF7" s="38">
        <v>0</v>
      </c>
      <c r="AG7" s="38">
        <v>22027</v>
      </c>
      <c r="AH7" s="38">
        <v>1201513</v>
      </c>
      <c r="AI7" s="38">
        <v>967621</v>
      </c>
      <c r="AJ7" s="38">
        <v>35919</v>
      </c>
      <c r="AK7" s="38">
        <v>194903</v>
      </c>
      <c r="AL7" s="38">
        <v>1198443</v>
      </c>
      <c r="AM7" s="38"/>
      <c r="AN7" s="38"/>
      <c r="AO7" s="38"/>
      <c r="AP7" s="38"/>
      <c r="AQ7" s="38"/>
      <c r="AR7" s="1">
        <f t="shared" si="1"/>
        <v>154058</v>
      </c>
      <c r="AS7">
        <f t="shared" si="2"/>
        <v>1.9470311708682566</v>
      </c>
      <c r="AT7">
        <f t="shared" si="3"/>
        <v>12.386731958762887</v>
      </c>
      <c r="AU7">
        <f t="shared" si="4"/>
        <v>885.71134020618558</v>
      </c>
      <c r="AV7">
        <f t="shared" si="5"/>
        <v>30575.072164948455</v>
      </c>
      <c r="AW7">
        <f t="shared" si="6"/>
        <v>124074.38144329897</v>
      </c>
      <c r="AX7">
        <f t="shared" si="7"/>
        <v>126882.50515463918</v>
      </c>
      <c r="AY7">
        <f t="shared" si="8"/>
        <v>24.618556701030929</v>
      </c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</row>
    <row r="8" spans="1:228" ht="13" x14ac:dyDescent="0.3">
      <c r="A8" s="1" t="s">
        <v>38</v>
      </c>
      <c r="B8" s="1" t="s">
        <v>147</v>
      </c>
      <c r="C8" s="44" t="s">
        <v>102</v>
      </c>
      <c r="D8" s="35">
        <f t="shared" si="0"/>
        <v>796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>
        <v>796000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1">
        <f t="shared" si="1"/>
        <v>0</v>
      </c>
      <c r="AS8" t="e">
        <f t="shared" si="2"/>
        <v>#DIV/0!</v>
      </c>
      <c r="AT8">
        <f t="shared" si="3"/>
        <v>0</v>
      </c>
      <c r="AU8">
        <f t="shared" si="4"/>
        <v>0</v>
      </c>
      <c r="AV8">
        <f t="shared" si="5"/>
        <v>0</v>
      </c>
      <c r="AW8">
        <f t="shared" si="6"/>
        <v>0</v>
      </c>
      <c r="AX8">
        <f t="shared" si="7"/>
        <v>0</v>
      </c>
      <c r="AY8">
        <f t="shared" si="8"/>
        <v>0</v>
      </c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</row>
    <row r="9" spans="1:228" ht="13" x14ac:dyDescent="0.3">
      <c r="A9" s="1" t="s">
        <v>39</v>
      </c>
      <c r="B9" s="1" t="s">
        <v>147</v>
      </c>
      <c r="C9" s="44" t="s">
        <v>103</v>
      </c>
      <c r="D9" s="35">
        <f t="shared" si="0"/>
        <v>438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>
        <v>438000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1">
        <f t="shared" si="1"/>
        <v>0</v>
      </c>
      <c r="AS9" t="e">
        <f t="shared" si="2"/>
        <v>#DIV/0!</v>
      </c>
      <c r="AT9">
        <f t="shared" si="3"/>
        <v>0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7"/>
        <v>0</v>
      </c>
      <c r="AY9">
        <f t="shared" si="8"/>
        <v>0</v>
      </c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</row>
    <row r="10" spans="1:228" ht="13" x14ac:dyDescent="0.3">
      <c r="A10" s="1" t="s">
        <v>40</v>
      </c>
      <c r="B10" s="1" t="s">
        <v>147</v>
      </c>
      <c r="C10" s="44" t="s">
        <v>104</v>
      </c>
      <c r="D10" s="35">
        <f t="shared" si="0"/>
        <v>112</v>
      </c>
      <c r="E10" s="38">
        <v>41</v>
      </c>
      <c r="F10" s="38">
        <v>524</v>
      </c>
      <c r="G10" s="38">
        <v>4646428</v>
      </c>
      <c r="H10" s="38">
        <v>8464</v>
      </c>
      <c r="I10" s="38">
        <v>13008</v>
      </c>
      <c r="J10" s="38"/>
      <c r="K10" s="38"/>
      <c r="L10" s="38"/>
      <c r="M10" s="38">
        <v>742</v>
      </c>
      <c r="N10" s="38">
        <v>90558</v>
      </c>
      <c r="O10" s="38">
        <v>320</v>
      </c>
      <c r="P10" s="38"/>
      <c r="Q10" s="38"/>
      <c r="R10" s="38">
        <v>191</v>
      </c>
      <c r="S10" s="38">
        <v>58</v>
      </c>
      <c r="T10" s="38">
        <v>132731</v>
      </c>
      <c r="U10" s="38">
        <v>2502927</v>
      </c>
      <c r="V10" s="38">
        <v>620442</v>
      </c>
      <c r="W10" s="38">
        <v>112000</v>
      </c>
      <c r="X10" s="38">
        <v>515</v>
      </c>
      <c r="Y10" s="38">
        <v>42</v>
      </c>
      <c r="Z10" s="38">
        <v>557</v>
      </c>
      <c r="AA10" s="38">
        <v>673295</v>
      </c>
      <c r="AB10" s="38">
        <v>836165</v>
      </c>
      <c r="AC10" s="38">
        <v>60750</v>
      </c>
      <c r="AD10" s="38">
        <v>117460</v>
      </c>
      <c r="AE10" s="38">
        <v>45590</v>
      </c>
      <c r="AF10" s="38">
        <v>898804</v>
      </c>
      <c r="AG10" s="38">
        <v>88800</v>
      </c>
      <c r="AH10" s="38">
        <v>2720864</v>
      </c>
      <c r="AI10" s="38">
        <v>2355463</v>
      </c>
      <c r="AJ10" s="38">
        <v>25335</v>
      </c>
      <c r="AK10" s="38">
        <v>260746</v>
      </c>
      <c r="AL10" s="38">
        <v>2641544</v>
      </c>
      <c r="AM10" s="38">
        <v>201167</v>
      </c>
      <c r="AN10" s="38">
        <v>0</v>
      </c>
      <c r="AO10" s="38">
        <v>124295</v>
      </c>
      <c r="AP10" s="38">
        <v>0</v>
      </c>
      <c r="AQ10" s="38">
        <v>325462</v>
      </c>
      <c r="AR10" s="1">
        <f t="shared" si="1"/>
        <v>90878</v>
      </c>
      <c r="AS10">
        <f t="shared" si="2"/>
        <v>4.0341031071397486</v>
      </c>
      <c r="AT10">
        <f t="shared" si="3"/>
        <v>24.293428571428571</v>
      </c>
      <c r="AU10">
        <f t="shared" si="4"/>
        <v>1185.0982142857142</v>
      </c>
      <c r="AV10">
        <f t="shared" si="5"/>
        <v>5539.6607142857147</v>
      </c>
      <c r="AW10">
        <f t="shared" si="6"/>
        <v>41485.964285714283</v>
      </c>
      <c r="AX10">
        <f t="shared" si="7"/>
        <v>41684.303571428572</v>
      </c>
      <c r="AY10">
        <f t="shared" si="8"/>
        <v>0</v>
      </c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</row>
    <row r="11" spans="1:228" ht="13" x14ac:dyDescent="0.3">
      <c r="A11" s="1" t="s">
        <v>41</v>
      </c>
      <c r="B11" s="1" t="s">
        <v>147</v>
      </c>
      <c r="C11" s="44" t="s">
        <v>105</v>
      </c>
      <c r="D11" s="35">
        <f t="shared" si="0"/>
        <v>55</v>
      </c>
      <c r="E11" s="38">
        <v>68</v>
      </c>
      <c r="F11" s="38">
        <v>68</v>
      </c>
      <c r="G11" s="38">
        <v>3147517</v>
      </c>
      <c r="H11" s="38">
        <v>14920</v>
      </c>
      <c r="I11" s="38">
        <v>12075</v>
      </c>
      <c r="J11" s="38"/>
      <c r="K11" s="38"/>
      <c r="L11" s="38"/>
      <c r="M11" s="38"/>
      <c r="N11" s="38">
        <v>97769</v>
      </c>
      <c r="O11" s="38">
        <v>18949</v>
      </c>
      <c r="P11" s="38"/>
      <c r="Q11" s="38">
        <v>44</v>
      </c>
      <c r="R11" s="38">
        <v>152</v>
      </c>
      <c r="S11" s="38">
        <v>144</v>
      </c>
      <c r="T11" s="38">
        <v>126464</v>
      </c>
      <c r="U11" s="38">
        <v>3123226</v>
      </c>
      <c r="V11" s="38">
        <v>1623843</v>
      </c>
      <c r="W11" s="38">
        <v>55000</v>
      </c>
      <c r="X11" s="38">
        <v>293</v>
      </c>
      <c r="Y11" s="38">
        <v>51</v>
      </c>
      <c r="Z11" s="38">
        <v>344</v>
      </c>
      <c r="AA11" s="38">
        <v>467641</v>
      </c>
      <c r="AB11" s="38">
        <v>4012420</v>
      </c>
      <c r="AC11" s="38">
        <v>10162</v>
      </c>
      <c r="AD11" s="38">
        <v>36725</v>
      </c>
      <c r="AE11" s="38">
        <v>57952</v>
      </c>
      <c r="AF11" s="38">
        <v>150354</v>
      </c>
      <c r="AG11" s="38">
        <v>5384933</v>
      </c>
      <c r="AH11" s="38">
        <v>10120187</v>
      </c>
      <c r="AI11" s="38">
        <v>9811711</v>
      </c>
      <c r="AJ11" s="38">
        <v>606872</v>
      </c>
      <c r="AK11" s="38">
        <v>963111</v>
      </c>
      <c r="AL11" s="38">
        <v>11381695</v>
      </c>
      <c r="AM11" s="38"/>
      <c r="AN11" s="38"/>
      <c r="AO11" s="38"/>
      <c r="AP11" s="38"/>
      <c r="AQ11" s="38"/>
      <c r="AR11" s="1">
        <f t="shared" si="1"/>
        <v>116718</v>
      </c>
      <c r="AS11">
        <f t="shared" si="2"/>
        <v>1.9233546592866428</v>
      </c>
      <c r="AT11">
        <f t="shared" si="3"/>
        <v>184.0034</v>
      </c>
      <c r="AU11">
        <f t="shared" si="4"/>
        <v>2299.3454545454547</v>
      </c>
      <c r="AV11">
        <f t="shared" si="5"/>
        <v>29524.418181818182</v>
      </c>
      <c r="AW11">
        <f t="shared" si="6"/>
        <v>57227.581818181818</v>
      </c>
      <c r="AX11">
        <f t="shared" si="7"/>
        <v>57718.400000000001</v>
      </c>
      <c r="AY11">
        <f t="shared" si="8"/>
        <v>0</v>
      </c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</row>
    <row r="12" spans="1:228" ht="13" x14ac:dyDescent="0.3">
      <c r="A12" s="1" t="s">
        <v>42</v>
      </c>
      <c r="B12" s="1" t="s">
        <v>148</v>
      </c>
      <c r="C12" s="44" t="s">
        <v>106</v>
      </c>
      <c r="D12" s="35">
        <f t="shared" si="0"/>
        <v>268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>
        <v>268000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1">
        <f t="shared" si="1"/>
        <v>0</v>
      </c>
      <c r="AS12" t="e">
        <f t="shared" si="2"/>
        <v>#DIV/0!</v>
      </c>
      <c r="AT12">
        <f t="shared" si="3"/>
        <v>0</v>
      </c>
      <c r="AU12">
        <f t="shared" si="4"/>
        <v>0</v>
      </c>
      <c r="AV12">
        <f t="shared" si="5"/>
        <v>0</v>
      </c>
      <c r="AW12">
        <f t="shared" si="6"/>
        <v>0</v>
      </c>
      <c r="AX12">
        <f t="shared" si="7"/>
        <v>0</v>
      </c>
      <c r="AY12">
        <f t="shared" si="8"/>
        <v>0</v>
      </c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</row>
    <row r="13" spans="1:228" ht="13" x14ac:dyDescent="0.3">
      <c r="A13" s="1" t="s">
        <v>320</v>
      </c>
      <c r="B13" s="1" t="s">
        <v>320</v>
      </c>
      <c r="C13" s="44" t="s">
        <v>317</v>
      </c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1">
        <v>0</v>
      </c>
      <c r="AS13" t="e">
        <f>+U13/V13</f>
        <v>#DIV/0!</v>
      </c>
      <c r="AT13" t="e">
        <f>+AH13/W13</f>
        <v>#DIV/0!</v>
      </c>
      <c r="AU13" t="e">
        <f>+T13/D13</f>
        <v>#DIV/0!</v>
      </c>
      <c r="AV13" t="e">
        <f>+V13/D13</f>
        <v>#DIV/0!</v>
      </c>
      <c r="AW13" t="e">
        <f>+G13/D13</f>
        <v>#DIV/0!</v>
      </c>
      <c r="AX13" t="e">
        <f>SUM(G13:M13)/D13</f>
        <v>#DIV/0!</v>
      </c>
      <c r="AY13" t="e">
        <f>+L13/D13</f>
        <v>#DIV/0!</v>
      </c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</row>
    <row r="14" spans="1:228" ht="13" x14ac:dyDescent="0.3">
      <c r="A14" s="1" t="s">
        <v>321</v>
      </c>
      <c r="B14" s="1" t="s">
        <v>321</v>
      </c>
      <c r="C14" s="44" t="s">
        <v>318</v>
      </c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1">
        <v>0</v>
      </c>
      <c r="AS14" t="e">
        <f>+U14/V14</f>
        <v>#DIV/0!</v>
      </c>
      <c r="AT14" t="e">
        <f>+AH14/W14</f>
        <v>#DIV/0!</v>
      </c>
      <c r="AU14" t="e">
        <f>+T14/D14</f>
        <v>#DIV/0!</v>
      </c>
      <c r="AV14" t="e">
        <f>+V14/D14</f>
        <v>#DIV/0!</v>
      </c>
      <c r="AW14" t="e">
        <f>+G14/D14</f>
        <v>#DIV/0!</v>
      </c>
      <c r="AX14" t="e">
        <f>SUM(G14:M14)/D14</f>
        <v>#DIV/0!</v>
      </c>
      <c r="AY14" t="e">
        <f>+L14/D14</f>
        <v>#DIV/0!</v>
      </c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</row>
    <row r="15" spans="1:228" ht="13" x14ac:dyDescent="0.3">
      <c r="A15" s="1" t="s">
        <v>43</v>
      </c>
      <c r="B15" s="1" t="s">
        <v>148</v>
      </c>
      <c r="C15" s="44" t="s">
        <v>107</v>
      </c>
      <c r="D15" s="35">
        <f t="shared" si="0"/>
        <v>172</v>
      </c>
      <c r="E15" s="38">
        <v>16</v>
      </c>
      <c r="F15" s="38">
        <v>61</v>
      </c>
      <c r="G15" s="38">
        <v>18301000</v>
      </c>
      <c r="H15" s="38">
        <v>67000</v>
      </c>
      <c r="I15" s="38">
        <v>34588</v>
      </c>
      <c r="J15" s="38">
        <v>20000</v>
      </c>
      <c r="K15" s="38">
        <v>311000</v>
      </c>
      <c r="L15" s="38">
        <v>11000</v>
      </c>
      <c r="M15" s="38">
        <v>860</v>
      </c>
      <c r="N15" s="38">
        <v>393000</v>
      </c>
      <c r="O15" s="38">
        <v>699</v>
      </c>
      <c r="P15" s="38">
        <v>42</v>
      </c>
      <c r="Q15" s="38">
        <v>54</v>
      </c>
      <c r="R15" s="38">
        <v>640</v>
      </c>
      <c r="S15" s="38"/>
      <c r="T15" s="38">
        <v>139000</v>
      </c>
      <c r="U15" s="38">
        <v>743570</v>
      </c>
      <c r="V15" s="38">
        <v>5743293</v>
      </c>
      <c r="W15" s="38">
        <v>172000</v>
      </c>
      <c r="X15" s="38">
        <v>206</v>
      </c>
      <c r="Y15" s="38">
        <v>359</v>
      </c>
      <c r="Z15" s="38">
        <v>565</v>
      </c>
      <c r="AA15" s="38">
        <v>6118202</v>
      </c>
      <c r="AB15" s="38">
        <v>5004654</v>
      </c>
      <c r="AC15" s="38">
        <v>242969</v>
      </c>
      <c r="AD15" s="38">
        <v>449168</v>
      </c>
      <c r="AE15" s="38">
        <v>649470</v>
      </c>
      <c r="AF15" s="38">
        <v>0</v>
      </c>
      <c r="AG15" s="38">
        <v>206599</v>
      </c>
      <c r="AH15" s="38">
        <v>12671060</v>
      </c>
      <c r="AI15" s="38">
        <v>5153098</v>
      </c>
      <c r="AJ15" s="38">
        <v>39353</v>
      </c>
      <c r="AK15" s="38">
        <v>319573</v>
      </c>
      <c r="AL15" s="38">
        <v>5512023</v>
      </c>
      <c r="AM15" s="38">
        <v>12</v>
      </c>
      <c r="AN15" s="38">
        <v>5441</v>
      </c>
      <c r="AO15" s="38">
        <v>272091</v>
      </c>
      <c r="AP15" s="38">
        <v>7</v>
      </c>
      <c r="AQ15" s="38">
        <v>277551</v>
      </c>
      <c r="AR15" s="1">
        <f t="shared" si="1"/>
        <v>393699</v>
      </c>
      <c r="AS15">
        <f t="shared" si="2"/>
        <v>0.1294675371777132</v>
      </c>
      <c r="AT15">
        <f t="shared" si="3"/>
        <v>73.668953488372097</v>
      </c>
      <c r="AU15">
        <f t="shared" si="4"/>
        <v>808.1395348837209</v>
      </c>
      <c r="AV15">
        <f t="shared" si="5"/>
        <v>33391.238372093023</v>
      </c>
      <c r="AW15">
        <f t="shared" si="6"/>
        <v>106401.16279069768</v>
      </c>
      <c r="AX15">
        <f t="shared" si="7"/>
        <v>108985.16279069768</v>
      </c>
      <c r="AY15">
        <f t="shared" si="8"/>
        <v>63.953488372093027</v>
      </c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</row>
    <row r="16" spans="1:228" ht="13" x14ac:dyDescent="0.3">
      <c r="A16" s="1" t="s">
        <v>44</v>
      </c>
      <c r="B16" s="1" t="s">
        <v>148</v>
      </c>
      <c r="C16" s="44" t="s">
        <v>108</v>
      </c>
      <c r="D16" s="35">
        <f t="shared" si="0"/>
        <v>180</v>
      </c>
      <c r="E16" s="38">
        <v>20</v>
      </c>
      <c r="F16" s="38">
        <v>45</v>
      </c>
      <c r="G16" s="38">
        <v>9364000</v>
      </c>
      <c r="H16" s="38"/>
      <c r="I16" s="38">
        <v>81412</v>
      </c>
      <c r="J16" s="38">
        <v>74000</v>
      </c>
      <c r="K16" s="38">
        <v>1116466</v>
      </c>
      <c r="L16" s="38">
        <v>827289</v>
      </c>
      <c r="M16" s="38">
        <v>6947</v>
      </c>
      <c r="N16" s="38">
        <v>233649</v>
      </c>
      <c r="O16" s="38">
        <v>18303</v>
      </c>
      <c r="P16" s="38"/>
      <c r="Q16" s="38"/>
      <c r="R16" s="38">
        <v>842</v>
      </c>
      <c r="S16" s="38"/>
      <c r="T16" s="38"/>
      <c r="U16" s="38">
        <v>4065248</v>
      </c>
      <c r="V16" s="38"/>
      <c r="W16" s="38">
        <v>180000</v>
      </c>
      <c r="X16" s="38">
        <v>363</v>
      </c>
      <c r="Y16" s="38">
        <v>407</v>
      </c>
      <c r="Z16" s="38">
        <v>770</v>
      </c>
      <c r="AA16" s="38">
        <v>32290632</v>
      </c>
      <c r="AB16" s="38">
        <v>14644737</v>
      </c>
      <c r="AC16" s="38">
        <v>670866</v>
      </c>
      <c r="AD16" s="38">
        <v>23072</v>
      </c>
      <c r="AE16" s="38">
        <v>217292</v>
      </c>
      <c r="AF16" s="38">
        <v>0</v>
      </c>
      <c r="AG16" s="38">
        <v>7693641</v>
      </c>
      <c r="AH16" s="38">
        <v>55540241</v>
      </c>
      <c r="AI16" s="38">
        <v>53749701</v>
      </c>
      <c r="AJ16" s="38">
        <v>969947</v>
      </c>
      <c r="AK16" s="38">
        <v>1591276</v>
      </c>
      <c r="AL16" s="38">
        <v>56310925</v>
      </c>
      <c r="AM16" s="38">
        <v>2566435</v>
      </c>
      <c r="AN16" s="38">
        <v>0</v>
      </c>
      <c r="AO16" s="38">
        <v>0</v>
      </c>
      <c r="AP16" s="38">
        <v>0</v>
      </c>
      <c r="AQ16" s="38">
        <v>2566435</v>
      </c>
      <c r="AR16" s="1">
        <f t="shared" si="1"/>
        <v>251952</v>
      </c>
      <c r="AS16" t="e">
        <f t="shared" si="2"/>
        <v>#DIV/0!</v>
      </c>
      <c r="AT16">
        <f t="shared" si="3"/>
        <v>308.55689444444442</v>
      </c>
      <c r="AU16">
        <f t="shared" si="4"/>
        <v>0</v>
      </c>
      <c r="AV16">
        <f t="shared" si="5"/>
        <v>0</v>
      </c>
      <c r="AW16">
        <f t="shared" si="6"/>
        <v>52022.222222222219</v>
      </c>
      <c r="AX16">
        <f t="shared" si="7"/>
        <v>63722.855555555558</v>
      </c>
      <c r="AY16">
        <f t="shared" si="8"/>
        <v>4596.05</v>
      </c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</row>
    <row r="17" spans="1:228" ht="13" x14ac:dyDescent="0.3">
      <c r="A17" s="1" t="s">
        <v>45</v>
      </c>
      <c r="B17" s="1" t="s">
        <v>148</v>
      </c>
      <c r="C17" s="44" t="s">
        <v>109</v>
      </c>
      <c r="D17" s="35">
        <f t="shared" si="0"/>
        <v>137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>
        <v>137000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1">
        <f t="shared" si="1"/>
        <v>0</v>
      </c>
      <c r="AS17" t="e">
        <f t="shared" si="2"/>
        <v>#DIV/0!</v>
      </c>
      <c r="AT17">
        <f t="shared" si="3"/>
        <v>0</v>
      </c>
      <c r="AU17">
        <f t="shared" si="4"/>
        <v>0</v>
      </c>
      <c r="AV17">
        <f t="shared" si="5"/>
        <v>0</v>
      </c>
      <c r="AW17">
        <f t="shared" si="6"/>
        <v>0</v>
      </c>
      <c r="AX17">
        <f t="shared" si="7"/>
        <v>0</v>
      </c>
      <c r="AY17">
        <f t="shared" si="8"/>
        <v>0</v>
      </c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</row>
    <row r="18" spans="1:228" ht="13" x14ac:dyDescent="0.3">
      <c r="A18" s="1" t="s">
        <v>46</v>
      </c>
      <c r="B18" s="1" t="s">
        <v>148</v>
      </c>
      <c r="C18" s="44" t="s">
        <v>110</v>
      </c>
      <c r="D18" s="35">
        <f t="shared" si="0"/>
        <v>224</v>
      </c>
      <c r="E18" s="38">
        <v>19</v>
      </c>
      <c r="F18" s="38">
        <v>304</v>
      </c>
      <c r="G18" s="38">
        <v>13833439</v>
      </c>
      <c r="H18" s="38">
        <v>110566</v>
      </c>
      <c r="I18" s="38">
        <v>128399</v>
      </c>
      <c r="J18" s="38">
        <v>196975</v>
      </c>
      <c r="K18" s="38">
        <v>1249403</v>
      </c>
      <c r="L18" s="38">
        <v>226588</v>
      </c>
      <c r="M18" s="38"/>
      <c r="N18" s="38">
        <v>443029</v>
      </c>
      <c r="O18" s="38">
        <v>10567</v>
      </c>
      <c r="P18" s="38">
        <v>45</v>
      </c>
      <c r="Q18" s="38"/>
      <c r="R18" s="38"/>
      <c r="S18" s="38"/>
      <c r="T18" s="38"/>
      <c r="U18" s="38">
        <v>7137194</v>
      </c>
      <c r="V18" s="38">
        <v>8958827</v>
      </c>
      <c r="W18" s="38">
        <v>224000</v>
      </c>
      <c r="X18" s="38">
        <v>927</v>
      </c>
      <c r="Y18" s="38">
        <v>136</v>
      </c>
      <c r="Z18" s="38">
        <v>1063</v>
      </c>
      <c r="AA18" s="38">
        <v>25168281</v>
      </c>
      <c r="AB18" s="38">
        <v>15057273</v>
      </c>
      <c r="AC18" s="38">
        <v>0</v>
      </c>
      <c r="AD18" s="38">
        <v>0</v>
      </c>
      <c r="AE18" s="38">
        <v>0</v>
      </c>
      <c r="AF18" s="38">
        <v>507326</v>
      </c>
      <c r="AG18" s="38">
        <v>6675719</v>
      </c>
      <c r="AH18" s="38">
        <v>47408598</v>
      </c>
      <c r="AI18" s="38">
        <v>37506298</v>
      </c>
      <c r="AJ18" s="38">
        <v>4680443</v>
      </c>
      <c r="AK18" s="38">
        <v>4087531</v>
      </c>
      <c r="AL18" s="38">
        <v>46190551</v>
      </c>
      <c r="AM18" s="38"/>
      <c r="AN18" s="38"/>
      <c r="AO18" s="38"/>
      <c r="AP18" s="38"/>
      <c r="AQ18" s="38"/>
      <c r="AR18" s="1">
        <f t="shared" si="1"/>
        <v>453596</v>
      </c>
      <c r="AS18">
        <f t="shared" si="2"/>
        <v>0.79666612604529585</v>
      </c>
      <c r="AT18">
        <f t="shared" si="3"/>
        <v>211.64552678571428</v>
      </c>
      <c r="AU18">
        <f t="shared" si="4"/>
        <v>0</v>
      </c>
      <c r="AV18">
        <f t="shared" si="5"/>
        <v>39994.763392857145</v>
      </c>
      <c r="AW18">
        <f t="shared" si="6"/>
        <v>61756.424107142855</v>
      </c>
      <c r="AX18">
        <f t="shared" si="7"/>
        <v>70291.830357142855</v>
      </c>
      <c r="AY18">
        <f t="shared" si="8"/>
        <v>1011.5535714285714</v>
      </c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</row>
    <row r="19" spans="1:228" ht="13" x14ac:dyDescent="0.3">
      <c r="A19" s="1" t="s">
        <v>47</v>
      </c>
      <c r="B19" s="1" t="s">
        <v>148</v>
      </c>
      <c r="C19" s="44" t="s">
        <v>111</v>
      </c>
      <c r="D19" s="35">
        <f t="shared" si="0"/>
        <v>2266</v>
      </c>
      <c r="E19" s="38">
        <v>95</v>
      </c>
      <c r="F19" s="38">
        <v>333</v>
      </c>
      <c r="G19" s="38">
        <v>24289889</v>
      </c>
      <c r="H19" s="38">
        <v>148148</v>
      </c>
      <c r="I19" s="38"/>
      <c r="J19" s="38"/>
      <c r="K19" s="38">
        <v>2817834</v>
      </c>
      <c r="L19" s="38">
        <v>71668</v>
      </c>
      <c r="M19" s="38">
        <v>29988</v>
      </c>
      <c r="N19" s="38">
        <v>1040621</v>
      </c>
      <c r="O19" s="38"/>
      <c r="P19" s="38">
        <v>36</v>
      </c>
      <c r="Q19" s="38"/>
      <c r="R19" s="38"/>
      <c r="S19" s="38"/>
      <c r="T19" s="38"/>
      <c r="U19" s="38"/>
      <c r="V19" s="38"/>
      <c r="W19" s="38">
        <v>2266000</v>
      </c>
      <c r="X19" s="38">
        <v>1620</v>
      </c>
      <c r="Y19" s="38">
        <v>2264</v>
      </c>
      <c r="Z19" s="38">
        <v>3884</v>
      </c>
      <c r="AA19" s="38">
        <v>126698303</v>
      </c>
      <c r="AB19" s="38">
        <v>57043738</v>
      </c>
      <c r="AC19" s="38">
        <v>0</v>
      </c>
      <c r="AD19" s="38">
        <v>0</v>
      </c>
      <c r="AE19" s="38">
        <v>0</v>
      </c>
      <c r="AF19" s="38">
        <v>0</v>
      </c>
      <c r="AG19" s="38">
        <v>51622195</v>
      </c>
      <c r="AH19" s="38">
        <v>235364236</v>
      </c>
      <c r="AI19" s="38">
        <v>221473448</v>
      </c>
      <c r="AJ19" s="38">
        <v>7538024</v>
      </c>
      <c r="AK19" s="38">
        <v>7826327</v>
      </c>
      <c r="AL19" s="38">
        <v>236837798</v>
      </c>
      <c r="AM19" s="38"/>
      <c r="AN19" s="38"/>
      <c r="AO19" s="38"/>
      <c r="AP19" s="38"/>
      <c r="AQ19" s="38"/>
      <c r="AR19" s="1">
        <f t="shared" si="1"/>
        <v>1040621</v>
      </c>
      <c r="AS19" t="e">
        <f t="shared" si="2"/>
        <v>#DIV/0!</v>
      </c>
      <c r="AT19">
        <f t="shared" si="3"/>
        <v>103.86771226831421</v>
      </c>
      <c r="AU19">
        <f t="shared" si="4"/>
        <v>0</v>
      </c>
      <c r="AV19">
        <f t="shared" si="5"/>
        <v>0</v>
      </c>
      <c r="AW19">
        <f t="shared" si="6"/>
        <v>10719.280229479258</v>
      </c>
      <c r="AX19">
        <f t="shared" si="7"/>
        <v>12073.048102383054</v>
      </c>
      <c r="AY19">
        <f t="shared" si="8"/>
        <v>31.627537511032656</v>
      </c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</row>
    <row r="20" spans="1:228" ht="13" x14ac:dyDescent="0.3">
      <c r="A20" s="1" t="s">
        <v>48</v>
      </c>
      <c r="B20" s="1" t="s">
        <v>148</v>
      </c>
      <c r="C20" s="44" t="s">
        <v>112</v>
      </c>
      <c r="D20" s="35">
        <f t="shared" si="0"/>
        <v>346</v>
      </c>
      <c r="E20" s="38">
        <v>81</v>
      </c>
      <c r="F20" s="38">
        <v>167</v>
      </c>
      <c r="G20" s="38">
        <v>5683287</v>
      </c>
      <c r="H20" s="38"/>
      <c r="I20" s="38">
        <v>36200</v>
      </c>
      <c r="J20" s="38">
        <v>29790</v>
      </c>
      <c r="K20" s="38">
        <v>25338</v>
      </c>
      <c r="L20" s="38">
        <v>22796</v>
      </c>
      <c r="M20" s="38">
        <v>5926</v>
      </c>
      <c r="N20" s="38">
        <v>296750</v>
      </c>
      <c r="O20" s="38">
        <v>1439</v>
      </c>
      <c r="P20" s="38">
        <v>36</v>
      </c>
      <c r="Q20" s="38">
        <v>49</v>
      </c>
      <c r="R20" s="38"/>
      <c r="S20" s="38"/>
      <c r="T20" s="38">
        <v>402192</v>
      </c>
      <c r="U20" s="38">
        <v>1415696</v>
      </c>
      <c r="V20" s="38"/>
      <c r="W20" s="38">
        <v>346000</v>
      </c>
      <c r="X20" s="38">
        <v>728</v>
      </c>
      <c r="Y20" s="38">
        <v>395</v>
      </c>
      <c r="Z20" s="38">
        <v>1123</v>
      </c>
      <c r="AA20" s="38">
        <v>3303046</v>
      </c>
      <c r="AB20" s="38">
        <v>11869457</v>
      </c>
      <c r="AC20" s="38">
        <v>567572</v>
      </c>
      <c r="AD20" s="38">
        <v>103275</v>
      </c>
      <c r="AE20" s="38">
        <v>0</v>
      </c>
      <c r="AF20" s="38">
        <v>772661</v>
      </c>
      <c r="AG20" s="38">
        <v>3212947</v>
      </c>
      <c r="AH20" s="38">
        <v>19828958</v>
      </c>
      <c r="AI20" s="38">
        <v>11126164</v>
      </c>
      <c r="AJ20" s="38">
        <v>8552782</v>
      </c>
      <c r="AK20" s="38">
        <v>150012</v>
      </c>
      <c r="AL20" s="38">
        <v>19828958</v>
      </c>
      <c r="AM20" s="38"/>
      <c r="AN20" s="38"/>
      <c r="AO20" s="38"/>
      <c r="AP20" s="38"/>
      <c r="AQ20" s="38"/>
      <c r="AR20" s="1">
        <f t="shared" si="1"/>
        <v>298189</v>
      </c>
      <c r="AS20" t="e">
        <f t="shared" si="2"/>
        <v>#DIV/0!</v>
      </c>
      <c r="AT20">
        <f t="shared" si="3"/>
        <v>57.309127167630059</v>
      </c>
      <c r="AU20">
        <f t="shared" si="4"/>
        <v>1162.4046242774566</v>
      </c>
      <c r="AV20">
        <f t="shared" si="5"/>
        <v>0</v>
      </c>
      <c r="AW20">
        <f t="shared" si="6"/>
        <v>16425.684971098264</v>
      </c>
      <c r="AX20">
        <f t="shared" si="7"/>
        <v>16772.65028901734</v>
      </c>
      <c r="AY20">
        <f t="shared" si="8"/>
        <v>65.884393063583815</v>
      </c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</row>
    <row r="21" spans="1:228" ht="13" x14ac:dyDescent="0.3">
      <c r="A21" s="1" t="s">
        <v>49</v>
      </c>
      <c r="B21" s="1" t="s">
        <v>149</v>
      </c>
      <c r="C21" s="44" t="s">
        <v>113</v>
      </c>
      <c r="D21" s="35">
        <f t="shared" si="0"/>
        <v>8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>
        <v>8000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1">
        <f t="shared" si="1"/>
        <v>0</v>
      </c>
      <c r="AS21" t="e">
        <f t="shared" si="2"/>
        <v>#DIV/0!</v>
      </c>
      <c r="AT21">
        <f t="shared" si="3"/>
        <v>0</v>
      </c>
      <c r="AU21">
        <f t="shared" si="4"/>
        <v>0</v>
      </c>
      <c r="AV21">
        <f t="shared" si="5"/>
        <v>0</v>
      </c>
      <c r="AW21">
        <f t="shared" si="6"/>
        <v>0</v>
      </c>
      <c r="AX21">
        <f t="shared" si="7"/>
        <v>0</v>
      </c>
      <c r="AY21">
        <f t="shared" si="8"/>
        <v>0</v>
      </c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</row>
    <row r="22" spans="1:228" ht="13" x14ac:dyDescent="0.3">
      <c r="A22" s="1" t="s">
        <v>50</v>
      </c>
      <c r="B22" s="1" t="s">
        <v>148</v>
      </c>
      <c r="C22" s="44" t="s">
        <v>114</v>
      </c>
      <c r="D22" s="35">
        <f t="shared" si="0"/>
        <v>1852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>
        <v>1852000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1">
        <f t="shared" si="1"/>
        <v>0</v>
      </c>
      <c r="AS22" t="e">
        <f t="shared" si="2"/>
        <v>#DIV/0!</v>
      </c>
      <c r="AT22">
        <f t="shared" si="3"/>
        <v>0</v>
      </c>
      <c r="AU22">
        <f t="shared" si="4"/>
        <v>0</v>
      </c>
      <c r="AV22">
        <f t="shared" si="5"/>
        <v>0</v>
      </c>
      <c r="AW22">
        <f t="shared" si="6"/>
        <v>0</v>
      </c>
      <c r="AX22">
        <f t="shared" si="7"/>
        <v>0</v>
      </c>
      <c r="AY22">
        <f t="shared" si="8"/>
        <v>0</v>
      </c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</row>
    <row r="23" spans="1:228" ht="13" x14ac:dyDescent="0.3">
      <c r="A23" s="1" t="s">
        <v>51</v>
      </c>
      <c r="B23" s="1" t="s">
        <v>149</v>
      </c>
      <c r="C23" s="44" t="s">
        <v>115</v>
      </c>
      <c r="D23" s="35">
        <f t="shared" si="0"/>
        <v>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>
        <v>1000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1">
        <f t="shared" si="1"/>
        <v>0</v>
      </c>
      <c r="AS23" t="e">
        <f t="shared" si="2"/>
        <v>#DIV/0!</v>
      </c>
      <c r="AT23">
        <f t="shared" si="3"/>
        <v>0</v>
      </c>
      <c r="AU23">
        <f t="shared" si="4"/>
        <v>0</v>
      </c>
      <c r="AV23">
        <f t="shared" si="5"/>
        <v>0</v>
      </c>
      <c r="AW23">
        <f t="shared" si="6"/>
        <v>0</v>
      </c>
      <c r="AX23">
        <f t="shared" si="7"/>
        <v>0</v>
      </c>
      <c r="AY23">
        <f t="shared" si="8"/>
        <v>0</v>
      </c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</row>
    <row r="24" spans="1:228" ht="13" x14ac:dyDescent="0.3">
      <c r="A24" s="1" t="s">
        <v>52</v>
      </c>
      <c r="B24" s="1" t="s">
        <v>148</v>
      </c>
      <c r="C24" s="44" t="s">
        <v>116</v>
      </c>
      <c r="D24" s="35">
        <f t="shared" si="0"/>
        <v>2.9790000000000001</v>
      </c>
      <c r="E24" s="38">
        <v>7</v>
      </c>
      <c r="F24" s="38">
        <v>5</v>
      </c>
      <c r="G24" s="38">
        <v>247030</v>
      </c>
      <c r="H24" s="38">
        <v>1650</v>
      </c>
      <c r="I24" s="38">
        <v>881</v>
      </c>
      <c r="J24" s="38">
        <v>10</v>
      </c>
      <c r="K24" s="38">
        <v>5</v>
      </c>
      <c r="L24" s="38">
        <v>847</v>
      </c>
      <c r="M24" s="38">
        <v>37</v>
      </c>
      <c r="N24" s="38">
        <v>3800</v>
      </c>
      <c r="O24" s="38">
        <v>120</v>
      </c>
      <c r="P24" s="38">
        <v>75</v>
      </c>
      <c r="Q24" s="38">
        <v>53</v>
      </c>
      <c r="R24" s="38">
        <v>18</v>
      </c>
      <c r="S24" s="38">
        <v>14</v>
      </c>
      <c r="T24" s="38">
        <v>13837</v>
      </c>
      <c r="U24" s="38"/>
      <c r="V24" s="38"/>
      <c r="W24" s="38">
        <v>2979</v>
      </c>
      <c r="X24" s="38">
        <v>4</v>
      </c>
      <c r="Y24" s="38">
        <v>4</v>
      </c>
      <c r="Z24" s="38">
        <v>8</v>
      </c>
      <c r="AA24" s="38">
        <v>183601</v>
      </c>
      <c r="AB24" s="38">
        <v>187723</v>
      </c>
      <c r="AC24" s="38">
        <v>4486</v>
      </c>
      <c r="AD24" s="38">
        <v>91</v>
      </c>
      <c r="AE24" s="38">
        <v>3128</v>
      </c>
      <c r="AF24" s="38">
        <v>202</v>
      </c>
      <c r="AG24" s="38">
        <v>43750</v>
      </c>
      <c r="AH24" s="38">
        <v>422981</v>
      </c>
      <c r="AI24" s="38">
        <v>216242</v>
      </c>
      <c r="AJ24" s="38">
        <v>0</v>
      </c>
      <c r="AK24" s="38">
        <v>13322</v>
      </c>
      <c r="AL24" s="38">
        <v>229564</v>
      </c>
      <c r="AM24" s="38"/>
      <c r="AN24" s="38"/>
      <c r="AO24" s="38"/>
      <c r="AP24" s="38"/>
      <c r="AQ24" s="38"/>
      <c r="AR24" s="1">
        <f t="shared" si="1"/>
        <v>3920</v>
      </c>
      <c r="AS24" t="e">
        <f t="shared" si="2"/>
        <v>#DIV/0!</v>
      </c>
      <c r="AT24">
        <f t="shared" si="3"/>
        <v>141.98757972473985</v>
      </c>
      <c r="AU24">
        <f t="shared" si="4"/>
        <v>4644.8472641826111</v>
      </c>
      <c r="AV24">
        <f t="shared" si="5"/>
        <v>0</v>
      </c>
      <c r="AW24">
        <f t="shared" si="6"/>
        <v>82923.799932863374</v>
      </c>
      <c r="AX24">
        <f t="shared" si="7"/>
        <v>84075.1930177912</v>
      </c>
      <c r="AY24">
        <f t="shared" si="8"/>
        <v>284.3235985229943</v>
      </c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</row>
    <row r="25" spans="1:228" ht="13" x14ac:dyDescent="0.3">
      <c r="A25" s="1" t="s">
        <v>53</v>
      </c>
      <c r="B25" s="1" t="s">
        <v>148</v>
      </c>
      <c r="C25" s="44" t="s">
        <v>117</v>
      </c>
      <c r="D25" s="35">
        <f t="shared" si="0"/>
        <v>540</v>
      </c>
      <c r="E25" s="38">
        <v>23</v>
      </c>
      <c r="F25" s="38">
        <v>140</v>
      </c>
      <c r="G25" s="38">
        <v>24043000</v>
      </c>
      <c r="H25" s="38">
        <v>147200</v>
      </c>
      <c r="I25" s="38">
        <v>148300</v>
      </c>
      <c r="J25" s="38"/>
      <c r="K25" s="38">
        <v>4675000</v>
      </c>
      <c r="L25" s="38"/>
      <c r="M25" s="38"/>
      <c r="N25" s="38"/>
      <c r="O25" s="38"/>
      <c r="P25" s="38"/>
      <c r="Q25" s="38"/>
      <c r="R25" s="38"/>
      <c r="S25" s="38"/>
      <c r="T25" s="38"/>
      <c r="U25" s="38">
        <v>3926000</v>
      </c>
      <c r="V25" s="38"/>
      <c r="W25" s="38">
        <v>540000</v>
      </c>
      <c r="X25" s="38">
        <v>904</v>
      </c>
      <c r="Y25" s="38">
        <v>943</v>
      </c>
      <c r="Z25" s="38">
        <v>1847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1">
        <f t="shared" si="1"/>
        <v>0</v>
      </c>
      <c r="AS25" t="e">
        <f t="shared" si="2"/>
        <v>#DIV/0!</v>
      </c>
      <c r="AT25">
        <f t="shared" si="3"/>
        <v>0</v>
      </c>
      <c r="AU25">
        <f t="shared" si="4"/>
        <v>0</v>
      </c>
      <c r="AV25">
        <f t="shared" si="5"/>
        <v>0</v>
      </c>
      <c r="AW25">
        <f t="shared" si="6"/>
        <v>44524.074074074073</v>
      </c>
      <c r="AX25">
        <f t="shared" si="7"/>
        <v>53728.703703703701</v>
      </c>
      <c r="AY25">
        <f t="shared" si="8"/>
        <v>0</v>
      </c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</row>
    <row r="26" spans="1:228" ht="13" x14ac:dyDescent="0.3">
      <c r="A26" s="1" t="s">
        <v>54</v>
      </c>
      <c r="B26" s="1" t="s">
        <v>149</v>
      </c>
      <c r="C26" s="44" t="s">
        <v>118</v>
      </c>
      <c r="D26" s="35">
        <f t="shared" si="0"/>
        <v>193</v>
      </c>
      <c r="E26" s="38">
        <v>95</v>
      </c>
      <c r="F26" s="38">
        <v>215</v>
      </c>
      <c r="G26" s="38">
        <v>10725257</v>
      </c>
      <c r="H26" s="38">
        <v>86934</v>
      </c>
      <c r="I26" s="38"/>
      <c r="J26" s="38">
        <v>35289</v>
      </c>
      <c r="K26" s="38">
        <v>480471</v>
      </c>
      <c r="L26" s="38">
        <v>114723</v>
      </c>
      <c r="M26" s="38"/>
      <c r="N26" s="38">
        <v>335158</v>
      </c>
      <c r="O26" s="38">
        <v>12540</v>
      </c>
      <c r="P26" s="38">
        <v>22</v>
      </c>
      <c r="Q26" s="38"/>
      <c r="R26" s="38">
        <v>748</v>
      </c>
      <c r="S26" s="38">
        <v>330</v>
      </c>
      <c r="T26" s="38"/>
      <c r="U26" s="38">
        <v>2609463</v>
      </c>
      <c r="V26" s="38">
        <v>4836784</v>
      </c>
      <c r="W26" s="38">
        <v>193000</v>
      </c>
      <c r="X26" s="38">
        <v>582</v>
      </c>
      <c r="Y26" s="38">
        <v>331</v>
      </c>
      <c r="Z26" s="38">
        <v>885</v>
      </c>
      <c r="AA26" s="38">
        <v>25891021</v>
      </c>
      <c r="AB26" s="38">
        <v>17028512</v>
      </c>
      <c r="AC26" s="38">
        <v>0</v>
      </c>
      <c r="AD26" s="38">
        <v>0</v>
      </c>
      <c r="AE26" s="38">
        <v>0</v>
      </c>
      <c r="AF26" s="38">
        <v>0</v>
      </c>
      <c r="AG26" s="38">
        <v>6314312</v>
      </c>
      <c r="AH26" s="38">
        <v>49233845</v>
      </c>
      <c r="AI26" s="38">
        <v>47505864</v>
      </c>
      <c r="AJ26" s="38">
        <v>1727981</v>
      </c>
      <c r="AK26" s="38">
        <v>0</v>
      </c>
      <c r="AL26" s="38">
        <v>49233845</v>
      </c>
      <c r="AM26" s="38"/>
      <c r="AN26" s="38"/>
      <c r="AO26" s="38"/>
      <c r="AP26" s="38"/>
      <c r="AQ26" s="38"/>
      <c r="AR26" s="1">
        <f t="shared" si="1"/>
        <v>347698</v>
      </c>
      <c r="AS26">
        <f t="shared" si="2"/>
        <v>0.53950372809701652</v>
      </c>
      <c r="AT26">
        <f t="shared" si="3"/>
        <v>255.09764248704664</v>
      </c>
      <c r="AU26">
        <f t="shared" si="4"/>
        <v>0</v>
      </c>
      <c r="AV26">
        <f t="shared" si="5"/>
        <v>25061.056994818653</v>
      </c>
      <c r="AW26">
        <f t="shared" si="6"/>
        <v>55571.279792746114</v>
      </c>
      <c r="AX26">
        <f t="shared" si="7"/>
        <v>59288.466321243526</v>
      </c>
      <c r="AY26">
        <f t="shared" si="8"/>
        <v>594.41968911917104</v>
      </c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</row>
    <row r="27" spans="1:228" ht="13" x14ac:dyDescent="0.3">
      <c r="A27" s="1" t="s">
        <v>55</v>
      </c>
      <c r="B27" s="1" t="s">
        <v>148</v>
      </c>
      <c r="C27" s="44" t="s">
        <v>119</v>
      </c>
      <c r="D27" s="35">
        <f t="shared" si="0"/>
        <v>325</v>
      </c>
      <c r="E27" s="38">
        <v>225</v>
      </c>
      <c r="F27" s="38">
        <v>225</v>
      </c>
      <c r="G27" s="38">
        <v>8127193</v>
      </c>
      <c r="H27" s="38"/>
      <c r="I27" s="38"/>
      <c r="J27" s="38">
        <v>14398</v>
      </c>
      <c r="K27" s="38">
        <v>43002</v>
      </c>
      <c r="L27" s="38">
        <v>187780</v>
      </c>
      <c r="M27" s="38"/>
      <c r="N27" s="38">
        <v>487992</v>
      </c>
      <c r="O27" s="38">
        <v>10019</v>
      </c>
      <c r="P27" s="38"/>
      <c r="Q27" s="38"/>
      <c r="R27" s="38">
        <v>414</v>
      </c>
      <c r="S27" s="38">
        <v>143</v>
      </c>
      <c r="T27" s="38">
        <v>841500</v>
      </c>
      <c r="U27" s="38">
        <v>1244504</v>
      </c>
      <c r="V27" s="38"/>
      <c r="W27" s="38">
        <v>325000</v>
      </c>
      <c r="X27" s="38">
        <v>591</v>
      </c>
      <c r="Y27" s="38">
        <v>437</v>
      </c>
      <c r="Z27" s="38">
        <v>1028</v>
      </c>
      <c r="AA27" s="38">
        <v>4835741</v>
      </c>
      <c r="AB27" s="38">
        <v>8093822</v>
      </c>
      <c r="AC27" s="38">
        <v>0</v>
      </c>
      <c r="AD27" s="38">
        <v>0</v>
      </c>
      <c r="AE27" s="38">
        <v>0</v>
      </c>
      <c r="AF27" s="38">
        <v>0</v>
      </c>
      <c r="AG27" s="38">
        <v>1197629</v>
      </c>
      <c r="AH27" s="38">
        <v>14127192</v>
      </c>
      <c r="AI27" s="38">
        <v>13599479</v>
      </c>
      <c r="AJ27" s="38">
        <v>548530</v>
      </c>
      <c r="AK27" s="38">
        <v>606741</v>
      </c>
      <c r="AL27" s="38">
        <v>14754750</v>
      </c>
      <c r="AM27" s="38">
        <v>0</v>
      </c>
      <c r="AN27" s="38">
        <v>0</v>
      </c>
      <c r="AO27" s="38">
        <v>0</v>
      </c>
      <c r="AP27" s="38">
        <v>553022</v>
      </c>
      <c r="AQ27" s="38">
        <v>553022</v>
      </c>
      <c r="AR27" s="1">
        <f t="shared" si="1"/>
        <v>498011</v>
      </c>
      <c r="AS27" t="e">
        <f t="shared" si="2"/>
        <v>#DIV/0!</v>
      </c>
      <c r="AT27">
        <f t="shared" si="3"/>
        <v>43.468283076923079</v>
      </c>
      <c r="AU27">
        <f t="shared" si="4"/>
        <v>2589.2307692307691</v>
      </c>
      <c r="AV27">
        <f t="shared" si="5"/>
        <v>0</v>
      </c>
      <c r="AW27">
        <f t="shared" si="6"/>
        <v>25006.747692307694</v>
      </c>
      <c r="AX27">
        <f t="shared" si="7"/>
        <v>25761.147692307692</v>
      </c>
      <c r="AY27">
        <f t="shared" si="8"/>
        <v>577.78461538461534</v>
      </c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</row>
    <row r="28" spans="1:228" ht="13" x14ac:dyDescent="0.3">
      <c r="A28" s="1" t="s">
        <v>56</v>
      </c>
      <c r="B28" s="1" t="s">
        <v>148</v>
      </c>
      <c r="C28" s="44" t="s">
        <v>120</v>
      </c>
      <c r="D28" s="35">
        <f t="shared" si="0"/>
        <v>1680</v>
      </c>
      <c r="E28" s="38">
        <v>640</v>
      </c>
      <c r="F28" s="38">
        <v>1118</v>
      </c>
      <c r="G28" s="38">
        <v>24564000</v>
      </c>
      <c r="H28" s="38">
        <v>400441</v>
      </c>
      <c r="I28" s="38"/>
      <c r="J28" s="38">
        <v>45000</v>
      </c>
      <c r="K28" s="38">
        <v>1290000</v>
      </c>
      <c r="L28" s="38">
        <v>614000</v>
      </c>
      <c r="M28" s="38">
        <v>61000</v>
      </c>
      <c r="N28" s="38">
        <v>1228000</v>
      </c>
      <c r="O28" s="38">
        <v>46000</v>
      </c>
      <c r="P28" s="38"/>
      <c r="Q28" s="38"/>
      <c r="R28" s="38"/>
      <c r="S28" s="38"/>
      <c r="T28" s="38">
        <v>2149000</v>
      </c>
      <c r="U28" s="38">
        <v>13817000</v>
      </c>
      <c r="V28" s="38">
        <v>42457793</v>
      </c>
      <c r="W28" s="38">
        <v>1680000</v>
      </c>
      <c r="X28" s="38">
        <v>3100</v>
      </c>
      <c r="Y28" s="38">
        <v>1500</v>
      </c>
      <c r="Z28" s="38">
        <v>4600</v>
      </c>
      <c r="AA28" s="38">
        <v>82663819</v>
      </c>
      <c r="AB28" s="38">
        <v>49883342</v>
      </c>
      <c r="AC28" s="38">
        <v>0</v>
      </c>
      <c r="AD28" s="38">
        <v>0</v>
      </c>
      <c r="AE28" s="38">
        <v>0</v>
      </c>
      <c r="AF28" s="38">
        <v>0</v>
      </c>
      <c r="AG28" s="38">
        <v>9976665</v>
      </c>
      <c r="AH28" s="38">
        <v>142523826</v>
      </c>
      <c r="AI28" s="38">
        <v>122194236</v>
      </c>
      <c r="AJ28" s="38">
        <v>5024139</v>
      </c>
      <c r="AK28" s="38">
        <v>15305451</v>
      </c>
      <c r="AL28" s="38">
        <v>142523826</v>
      </c>
      <c r="AM28" s="38"/>
      <c r="AN28" s="38"/>
      <c r="AO28" s="38"/>
      <c r="AP28" s="38"/>
      <c r="AQ28" s="38"/>
      <c r="AR28" s="1">
        <f t="shared" si="1"/>
        <v>1274000</v>
      </c>
      <c r="AS28">
        <f t="shared" si="2"/>
        <v>0.32542906787453602</v>
      </c>
      <c r="AT28">
        <f t="shared" si="3"/>
        <v>84.835610714285721</v>
      </c>
      <c r="AU28">
        <f t="shared" si="4"/>
        <v>1279.1666666666667</v>
      </c>
      <c r="AV28">
        <f t="shared" si="5"/>
        <v>25272.495833333334</v>
      </c>
      <c r="AW28">
        <f t="shared" si="6"/>
        <v>14621.428571428571</v>
      </c>
      <c r="AX28">
        <f t="shared" si="7"/>
        <v>16056.214880952381</v>
      </c>
      <c r="AY28">
        <f t="shared" si="8"/>
        <v>365.47619047619048</v>
      </c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</row>
    <row r="29" spans="1:228" ht="13" x14ac:dyDescent="0.3">
      <c r="A29" s="1" t="s">
        <v>57</v>
      </c>
      <c r="B29" s="1" t="s">
        <v>148</v>
      </c>
      <c r="C29" s="44" t="s">
        <v>121</v>
      </c>
      <c r="D29" s="35">
        <f t="shared" si="0"/>
        <v>292</v>
      </c>
      <c r="E29" s="38">
        <v>37</v>
      </c>
      <c r="F29" s="38">
        <v>155</v>
      </c>
      <c r="G29" s="38">
        <v>23323000</v>
      </c>
      <c r="H29" s="38">
        <v>254183</v>
      </c>
      <c r="I29" s="38"/>
      <c r="J29" s="38">
        <v>69985</v>
      </c>
      <c r="K29" s="38">
        <v>2710924</v>
      </c>
      <c r="L29" s="38">
        <v>45375</v>
      </c>
      <c r="M29" s="38">
        <v>4482</v>
      </c>
      <c r="N29" s="38">
        <v>342000</v>
      </c>
      <c r="O29" s="38">
        <v>504</v>
      </c>
      <c r="P29" s="38"/>
      <c r="Q29" s="38"/>
      <c r="R29" s="38">
        <v>1211</v>
      </c>
      <c r="S29" s="38"/>
      <c r="T29" s="38">
        <v>497999</v>
      </c>
      <c r="U29" s="38">
        <v>5270509</v>
      </c>
      <c r="V29" s="38"/>
      <c r="W29" s="38">
        <v>292000</v>
      </c>
      <c r="X29" s="38">
        <v>939</v>
      </c>
      <c r="Y29" s="38">
        <v>529</v>
      </c>
      <c r="Z29" s="38">
        <v>1468</v>
      </c>
      <c r="AA29" s="38">
        <v>46338666</v>
      </c>
      <c r="AB29" s="38">
        <v>21700433</v>
      </c>
      <c r="AC29" s="38">
        <v>0</v>
      </c>
      <c r="AD29" s="38">
        <v>0</v>
      </c>
      <c r="AE29" s="38">
        <v>0</v>
      </c>
      <c r="AF29" s="38">
        <v>0</v>
      </c>
      <c r="AG29" s="38">
        <v>14367736</v>
      </c>
      <c r="AH29" s="38">
        <v>82406835</v>
      </c>
      <c r="AI29" s="38">
        <v>72137204</v>
      </c>
      <c r="AJ29" s="38">
        <v>1732922</v>
      </c>
      <c r="AK29" s="38">
        <v>8536709</v>
      </c>
      <c r="AL29" s="38">
        <v>82406835</v>
      </c>
      <c r="AM29" s="38"/>
      <c r="AN29" s="38"/>
      <c r="AO29" s="38"/>
      <c r="AP29" s="38"/>
      <c r="AQ29" s="38"/>
      <c r="AR29" s="1">
        <f t="shared" si="1"/>
        <v>342504</v>
      </c>
      <c r="AS29" t="e">
        <f t="shared" si="2"/>
        <v>#DIV/0!</v>
      </c>
      <c r="AT29">
        <f t="shared" si="3"/>
        <v>282.21518835616439</v>
      </c>
      <c r="AU29">
        <f t="shared" si="4"/>
        <v>1705.4760273972602</v>
      </c>
      <c r="AV29">
        <f t="shared" si="5"/>
        <v>0</v>
      </c>
      <c r="AW29">
        <f t="shared" si="6"/>
        <v>79873.287671232873</v>
      </c>
      <c r="AX29">
        <f t="shared" si="7"/>
        <v>90438.181506849316</v>
      </c>
      <c r="AY29">
        <f t="shared" si="8"/>
        <v>155.39383561643837</v>
      </c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</row>
    <row r="30" spans="1:228" ht="13" x14ac:dyDescent="0.3">
      <c r="A30" s="1" t="s">
        <v>58</v>
      </c>
      <c r="B30" s="1" t="s">
        <v>149</v>
      </c>
      <c r="C30" s="44" t="s">
        <v>122</v>
      </c>
      <c r="D30" s="35">
        <f t="shared" si="0"/>
        <v>162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>
        <v>162000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1">
        <f t="shared" si="1"/>
        <v>0</v>
      </c>
      <c r="AS30" t="e">
        <f t="shared" si="2"/>
        <v>#DIV/0!</v>
      </c>
      <c r="AT30">
        <f t="shared" si="3"/>
        <v>0</v>
      </c>
      <c r="AU30">
        <f t="shared" si="4"/>
        <v>0</v>
      </c>
      <c r="AV30">
        <f t="shared" si="5"/>
        <v>0</v>
      </c>
      <c r="AW30">
        <f t="shared" si="6"/>
        <v>0</v>
      </c>
      <c r="AX30">
        <f t="shared" si="7"/>
        <v>0</v>
      </c>
      <c r="AY30">
        <f t="shared" si="8"/>
        <v>0</v>
      </c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</row>
    <row r="31" spans="1:228" ht="13" x14ac:dyDescent="0.3">
      <c r="A31" s="1" t="s">
        <v>59</v>
      </c>
      <c r="B31" s="1" t="s">
        <v>148</v>
      </c>
      <c r="C31" s="44" t="s">
        <v>123</v>
      </c>
      <c r="D31" s="35">
        <f t="shared" si="0"/>
        <v>1910</v>
      </c>
      <c r="E31" s="38">
        <v>177</v>
      </c>
      <c r="F31" s="38">
        <v>760</v>
      </c>
      <c r="G31" s="38">
        <v>90526000</v>
      </c>
      <c r="H31" s="38">
        <v>556000</v>
      </c>
      <c r="I31" s="38"/>
      <c r="J31" s="38">
        <v>90000</v>
      </c>
      <c r="K31" s="38">
        <v>8471000</v>
      </c>
      <c r="L31" s="38">
        <v>6230000</v>
      </c>
      <c r="M31" s="38"/>
      <c r="N31" s="38">
        <v>2648000</v>
      </c>
      <c r="O31" s="38">
        <v>136866</v>
      </c>
      <c r="P31" s="38"/>
      <c r="Q31" s="38"/>
      <c r="R31" s="38">
        <v>22980</v>
      </c>
      <c r="S31" s="38">
        <v>22980</v>
      </c>
      <c r="T31" s="38">
        <v>2321000</v>
      </c>
      <c r="U31" s="38">
        <v>72500000</v>
      </c>
      <c r="V31" s="38">
        <v>113900000</v>
      </c>
      <c r="W31" s="38">
        <v>1910000</v>
      </c>
      <c r="X31" s="38">
        <v>3435</v>
      </c>
      <c r="Y31" s="38">
        <v>5455</v>
      </c>
      <c r="Z31" s="38">
        <v>8890</v>
      </c>
      <c r="AA31" s="38">
        <v>257041704</v>
      </c>
      <c r="AB31" s="38">
        <v>160948081</v>
      </c>
      <c r="AC31" s="38">
        <v>13184056</v>
      </c>
      <c r="AD31" s="38">
        <v>256178</v>
      </c>
      <c r="AE31" s="38">
        <v>2412629</v>
      </c>
      <c r="AF31" s="38">
        <v>0</v>
      </c>
      <c r="AG31" s="38">
        <v>81595658</v>
      </c>
      <c r="AH31" s="38">
        <v>515438305</v>
      </c>
      <c r="AI31" s="38">
        <v>365705018</v>
      </c>
      <c r="AJ31" s="38">
        <v>12701000</v>
      </c>
      <c r="AK31" s="38">
        <v>78043750</v>
      </c>
      <c r="AL31" s="38">
        <v>456449768</v>
      </c>
      <c r="AM31" s="38"/>
      <c r="AN31" s="38"/>
      <c r="AO31" s="38"/>
      <c r="AP31" s="38"/>
      <c r="AQ31" s="38"/>
      <c r="AR31" s="1">
        <f t="shared" si="1"/>
        <v>2784866</v>
      </c>
      <c r="AS31">
        <f t="shared" si="2"/>
        <v>0.63652326602282705</v>
      </c>
      <c r="AT31">
        <f t="shared" si="3"/>
        <v>269.86298691099478</v>
      </c>
      <c r="AU31">
        <f t="shared" si="4"/>
        <v>1215.1832460732985</v>
      </c>
      <c r="AV31">
        <f t="shared" si="5"/>
        <v>59633.507853403142</v>
      </c>
      <c r="AW31">
        <f t="shared" si="6"/>
        <v>47395.811518324605</v>
      </c>
      <c r="AX31">
        <f t="shared" si="7"/>
        <v>55430.890052356022</v>
      </c>
      <c r="AY31">
        <f t="shared" si="8"/>
        <v>3261.780104712042</v>
      </c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</row>
    <row r="32" spans="1:228" ht="13" x14ac:dyDescent="0.3">
      <c r="A32" s="1" t="s">
        <v>60</v>
      </c>
      <c r="B32" s="1" t="s">
        <v>148</v>
      </c>
      <c r="C32" s="44" t="s">
        <v>124</v>
      </c>
      <c r="D32" s="35">
        <f t="shared" si="0"/>
        <v>2415</v>
      </c>
      <c r="E32" s="38">
        <v>255</v>
      </c>
      <c r="F32" s="38">
        <v>1166</v>
      </c>
      <c r="G32" s="38">
        <v>143123027</v>
      </c>
      <c r="H32" s="38"/>
      <c r="I32" s="38">
        <v>475875</v>
      </c>
      <c r="J32" s="38">
        <v>155266</v>
      </c>
      <c r="K32" s="38">
        <v>31393465</v>
      </c>
      <c r="L32" s="38">
        <v>1538792</v>
      </c>
      <c r="M32" s="38"/>
      <c r="N32" s="38">
        <v>3747592</v>
      </c>
      <c r="O32" s="38">
        <v>53427</v>
      </c>
      <c r="P32" s="38"/>
      <c r="Q32" s="38"/>
      <c r="R32" s="38"/>
      <c r="S32" s="38"/>
      <c r="T32" s="38">
        <v>2101009</v>
      </c>
      <c r="U32" s="38">
        <v>57764752</v>
      </c>
      <c r="V32" s="38"/>
      <c r="W32" s="38">
        <v>2415000</v>
      </c>
      <c r="X32" s="38">
        <v>5586</v>
      </c>
      <c r="Y32" s="38">
        <v>3662</v>
      </c>
      <c r="Z32" s="38">
        <v>9248</v>
      </c>
      <c r="AA32" s="38">
        <v>237878656</v>
      </c>
      <c r="AB32" s="38">
        <v>191301030</v>
      </c>
      <c r="AC32" s="38">
        <v>0</v>
      </c>
      <c r="AD32" s="38">
        <v>0</v>
      </c>
      <c r="AE32" s="38">
        <v>0</v>
      </c>
      <c r="AF32" s="38">
        <v>0</v>
      </c>
      <c r="AG32" s="38">
        <v>26968221</v>
      </c>
      <c r="AH32" s="38">
        <v>456147907</v>
      </c>
      <c r="AI32" s="38">
        <v>422242454</v>
      </c>
      <c r="AJ32" s="38">
        <v>10479299</v>
      </c>
      <c r="AK32" s="38">
        <v>23426154</v>
      </c>
      <c r="AL32" s="38">
        <v>456147907</v>
      </c>
      <c r="AM32" s="38">
        <v>11915831</v>
      </c>
      <c r="AN32" s="38">
        <v>25262</v>
      </c>
      <c r="AO32" s="38">
        <v>1263299</v>
      </c>
      <c r="AP32" s="38">
        <v>2567674</v>
      </c>
      <c r="AQ32" s="38">
        <v>15772067</v>
      </c>
      <c r="AR32" s="1">
        <f t="shared" si="1"/>
        <v>3801019</v>
      </c>
      <c r="AS32" t="e">
        <f t="shared" si="2"/>
        <v>#DIV/0!</v>
      </c>
      <c r="AT32">
        <f t="shared" si="3"/>
        <v>188.8811209109731</v>
      </c>
      <c r="AU32">
        <f t="shared" si="4"/>
        <v>869.98302277432708</v>
      </c>
      <c r="AV32">
        <f t="shared" si="5"/>
        <v>0</v>
      </c>
      <c r="AW32">
        <f t="shared" si="6"/>
        <v>59264.193374741204</v>
      </c>
      <c r="AX32">
        <f t="shared" si="7"/>
        <v>73162.08074534162</v>
      </c>
      <c r="AY32">
        <f t="shared" si="8"/>
        <v>637.18095238095236</v>
      </c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</row>
    <row r="33" spans="1:228" ht="13" x14ac:dyDescent="0.3">
      <c r="A33" s="1" t="s">
        <v>61</v>
      </c>
      <c r="B33" s="1" t="s">
        <v>159</v>
      </c>
      <c r="C33" s="44" t="s">
        <v>125</v>
      </c>
      <c r="D33" s="35">
        <f t="shared" si="0"/>
        <v>16072.976000000001</v>
      </c>
      <c r="E33" s="38">
        <v>3533</v>
      </c>
      <c r="F33" s="38"/>
      <c r="G33" s="38">
        <v>842811692</v>
      </c>
      <c r="H33" s="38"/>
      <c r="I33" s="38">
        <v>6626232</v>
      </c>
      <c r="J33" s="38"/>
      <c r="K33" s="38">
        <v>621642543</v>
      </c>
      <c r="L33" s="38">
        <v>52713984</v>
      </c>
      <c r="M33" s="38">
        <v>2227866</v>
      </c>
      <c r="N33" s="38">
        <v>20426862</v>
      </c>
      <c r="O33" s="38">
        <v>1969547</v>
      </c>
      <c r="P33" s="38"/>
      <c r="Q33" s="38"/>
      <c r="R33" s="38"/>
      <c r="S33" s="38">
        <v>3108</v>
      </c>
      <c r="T33" s="38"/>
      <c r="U33" s="38">
        <v>223400252</v>
      </c>
      <c r="V33" s="38">
        <v>16324851</v>
      </c>
      <c r="W33" s="38">
        <v>16072976</v>
      </c>
      <c r="X33" s="38">
        <v>28655</v>
      </c>
      <c r="Y33" s="38">
        <v>67490</v>
      </c>
      <c r="Z33" s="38">
        <v>96145</v>
      </c>
      <c r="AA33" s="38">
        <v>1754054448</v>
      </c>
      <c r="AB33" s="38">
        <v>1224375073</v>
      </c>
      <c r="AC33" s="38">
        <v>0</v>
      </c>
      <c r="AD33" s="38">
        <v>0</v>
      </c>
      <c r="AE33" s="38">
        <v>0</v>
      </c>
      <c r="AF33" s="38">
        <v>0</v>
      </c>
      <c r="AG33" s="38">
        <v>534686830</v>
      </c>
      <c r="AH33" s="38">
        <v>3513116351</v>
      </c>
      <c r="AI33" s="38">
        <v>2885525787</v>
      </c>
      <c r="AJ33" s="38">
        <v>112764838</v>
      </c>
      <c r="AK33" s="38">
        <v>273853302</v>
      </c>
      <c r="AL33" s="38">
        <v>3272143927</v>
      </c>
      <c r="AM33" s="38"/>
      <c r="AN33" s="38"/>
      <c r="AO33" s="38"/>
      <c r="AP33" s="38"/>
      <c r="AQ33" s="38"/>
      <c r="AR33" s="1">
        <f t="shared" si="1"/>
        <v>22396409</v>
      </c>
      <c r="AS33">
        <f t="shared" si="2"/>
        <v>13.68467326286776</v>
      </c>
      <c r="AT33">
        <f t="shared" si="3"/>
        <v>218.57286111794107</v>
      </c>
      <c r="AU33">
        <f t="shared" si="4"/>
        <v>0</v>
      </c>
      <c r="AV33">
        <f t="shared" si="5"/>
        <v>1015.6707133762907</v>
      </c>
      <c r="AW33">
        <f t="shared" si="6"/>
        <v>52436.56756533451</v>
      </c>
      <c r="AX33">
        <f t="shared" si="7"/>
        <v>94943.3581559507</v>
      </c>
      <c r="AY33">
        <f t="shared" si="8"/>
        <v>3279.6654459012443</v>
      </c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</row>
    <row r="34" spans="1:228" ht="13" x14ac:dyDescent="0.3">
      <c r="A34" s="1" t="s">
        <v>62</v>
      </c>
      <c r="B34" s="1" t="s">
        <v>160</v>
      </c>
      <c r="C34" s="44" t="s">
        <v>126</v>
      </c>
      <c r="D34" s="35">
        <f t="shared" si="0"/>
        <v>1019.7809999999999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>
        <v>1019781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1">
        <f t="shared" si="1"/>
        <v>0</v>
      </c>
      <c r="AS34" t="e">
        <f t="shared" si="2"/>
        <v>#DIV/0!</v>
      </c>
      <c r="AT34">
        <f t="shared" si="3"/>
        <v>0</v>
      </c>
      <c r="AU34">
        <f t="shared" si="4"/>
        <v>0</v>
      </c>
      <c r="AV34">
        <f t="shared" si="5"/>
        <v>0</v>
      </c>
      <c r="AW34">
        <f t="shared" si="6"/>
        <v>0</v>
      </c>
      <c r="AX34">
        <f t="shared" si="7"/>
        <v>0</v>
      </c>
      <c r="AY34">
        <f t="shared" si="8"/>
        <v>0</v>
      </c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</row>
    <row r="35" spans="1:228" ht="13" x14ac:dyDescent="0.3">
      <c r="A35" s="1" t="s">
        <v>63</v>
      </c>
      <c r="B35" s="1" t="s">
        <v>159</v>
      </c>
      <c r="C35" s="44" t="s">
        <v>127</v>
      </c>
      <c r="D35" s="35">
        <f t="shared" si="0"/>
        <v>1063.7750000000001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>
        <v>1063775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1">
        <f t="shared" si="1"/>
        <v>0</v>
      </c>
      <c r="AS35" t="e">
        <f t="shared" si="2"/>
        <v>#DIV/0!</v>
      </c>
      <c r="AT35">
        <f t="shared" si="3"/>
        <v>0</v>
      </c>
      <c r="AU35">
        <f t="shared" si="4"/>
        <v>0</v>
      </c>
      <c r="AV35">
        <f t="shared" si="5"/>
        <v>0</v>
      </c>
      <c r="AW35">
        <f t="shared" si="6"/>
        <v>0</v>
      </c>
      <c r="AX35">
        <f t="shared" si="7"/>
        <v>0</v>
      </c>
      <c r="AY35">
        <f t="shared" si="8"/>
        <v>0</v>
      </c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</row>
    <row r="36" spans="1:228" ht="13" x14ac:dyDescent="0.3">
      <c r="A36" s="1" t="s">
        <v>64</v>
      </c>
      <c r="B36" s="1" t="s">
        <v>159</v>
      </c>
      <c r="C36" s="44" t="s">
        <v>128</v>
      </c>
      <c r="D36" s="35">
        <f t="shared" si="0"/>
        <v>3782.3130000000001</v>
      </c>
      <c r="E36" s="38">
        <v>1055</v>
      </c>
      <c r="F36" s="38">
        <v>1638</v>
      </c>
      <c r="G36" s="38">
        <v>255312000</v>
      </c>
      <c r="H36" s="38"/>
      <c r="I36" s="38"/>
      <c r="J36" s="38"/>
      <c r="K36" s="38"/>
      <c r="L36" s="38"/>
      <c r="M36" s="38"/>
      <c r="N36" s="38">
        <v>8105000</v>
      </c>
      <c r="O36" s="38"/>
      <c r="P36" s="38"/>
      <c r="Q36" s="38"/>
      <c r="R36" s="38"/>
      <c r="S36" s="38"/>
      <c r="T36" s="38"/>
      <c r="U36" s="38">
        <v>27495000</v>
      </c>
      <c r="V36" s="38"/>
      <c r="W36" s="38">
        <v>3782313</v>
      </c>
      <c r="X36" s="38">
        <v>7775</v>
      </c>
      <c r="Y36" s="38">
        <v>7330</v>
      </c>
      <c r="Z36" s="38">
        <v>15105</v>
      </c>
      <c r="AA36" s="38">
        <v>394563885</v>
      </c>
      <c r="AB36" s="38">
        <v>575846079</v>
      </c>
      <c r="AC36" s="38">
        <v>4186425</v>
      </c>
      <c r="AD36" s="38">
        <v>155411</v>
      </c>
      <c r="AE36" s="38">
        <v>1463629</v>
      </c>
      <c r="AF36" s="38">
        <v>3019875</v>
      </c>
      <c r="AG36" s="38">
        <v>51822567</v>
      </c>
      <c r="AH36" s="38">
        <v>1031057871</v>
      </c>
      <c r="AI36" s="38">
        <v>846867504</v>
      </c>
      <c r="AJ36" s="38">
        <v>33095139</v>
      </c>
      <c r="AK36" s="38">
        <v>80372688</v>
      </c>
      <c r="AL36" s="38">
        <v>960335330</v>
      </c>
      <c r="AM36" s="38"/>
      <c r="AN36" s="38"/>
      <c r="AO36" s="38"/>
      <c r="AP36" s="38"/>
      <c r="AQ36" s="38"/>
      <c r="AR36" s="1">
        <f t="shared" si="1"/>
        <v>8105000</v>
      </c>
      <c r="AS36" t="e">
        <f t="shared" si="2"/>
        <v>#DIV/0!</v>
      </c>
      <c r="AT36">
        <f t="shared" si="3"/>
        <v>272.59982740719767</v>
      </c>
      <c r="AU36">
        <f t="shared" si="4"/>
        <v>0</v>
      </c>
      <c r="AV36">
        <f t="shared" si="5"/>
        <v>0</v>
      </c>
      <c r="AW36">
        <f t="shared" si="6"/>
        <v>67501.552621372161</v>
      </c>
      <c r="AX36">
        <f t="shared" si="7"/>
        <v>67501.552621372161</v>
      </c>
      <c r="AY36">
        <f t="shared" si="8"/>
        <v>0</v>
      </c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</row>
    <row r="37" spans="1:228" x14ac:dyDescent="0.25">
      <c r="A37" s="1" t="s">
        <v>140</v>
      </c>
      <c r="B37" s="1" t="s">
        <v>159</v>
      </c>
      <c r="C37" s="1" t="s">
        <v>143</v>
      </c>
      <c r="D37" s="35">
        <f t="shared" si="0"/>
        <v>2413.145</v>
      </c>
      <c r="E37" s="38"/>
      <c r="W37" s="1">
        <v>2413145</v>
      </c>
      <c r="AR37" s="1">
        <f t="shared" si="1"/>
        <v>0</v>
      </c>
      <c r="AS37" t="e">
        <f t="shared" si="2"/>
        <v>#DIV/0!</v>
      </c>
      <c r="AT37">
        <f t="shared" si="3"/>
        <v>0</v>
      </c>
      <c r="AU37">
        <f t="shared" si="4"/>
        <v>0</v>
      </c>
      <c r="AV37">
        <f t="shared" si="5"/>
        <v>0</v>
      </c>
      <c r="AW37">
        <f t="shared" si="6"/>
        <v>0</v>
      </c>
      <c r="AX37">
        <f t="shared" si="7"/>
        <v>0</v>
      </c>
      <c r="AY37">
        <f t="shared" si="8"/>
        <v>0</v>
      </c>
    </row>
    <row r="38" spans="1:228" x14ac:dyDescent="0.25">
      <c r="A38" s="1" t="s">
        <v>141</v>
      </c>
      <c r="B38" s="1" t="s">
        <v>159</v>
      </c>
      <c r="C38" s="1" t="s">
        <v>144</v>
      </c>
      <c r="D38" s="35">
        <f t="shared" si="0"/>
        <v>2030.395</v>
      </c>
      <c r="E38" s="38">
        <v>2739</v>
      </c>
      <c r="F38" s="1">
        <v>910</v>
      </c>
      <c r="G38" s="1">
        <v>75032608</v>
      </c>
      <c r="I38" s="1">
        <v>150814</v>
      </c>
      <c r="V38" s="1">
        <v>241138449</v>
      </c>
      <c r="W38" s="1">
        <v>2030395</v>
      </c>
      <c r="X38" s="1">
        <v>3130</v>
      </c>
      <c r="Y38" s="1">
        <v>6616</v>
      </c>
      <c r="Z38" s="1">
        <v>13349</v>
      </c>
      <c r="AA38" s="1">
        <v>313061342</v>
      </c>
      <c r="AB38" s="1">
        <v>67699552</v>
      </c>
      <c r="AC38" s="1">
        <v>0</v>
      </c>
      <c r="AD38" s="1">
        <v>0</v>
      </c>
      <c r="AE38" s="1">
        <v>0</v>
      </c>
      <c r="AF38" s="1">
        <v>0</v>
      </c>
      <c r="AG38" s="1">
        <v>101581118</v>
      </c>
      <c r="AH38" s="1">
        <v>482342012</v>
      </c>
      <c r="AI38" s="1">
        <v>445464796</v>
      </c>
      <c r="AJ38" s="1">
        <v>11008543</v>
      </c>
      <c r="AK38" s="1">
        <v>25868673</v>
      </c>
      <c r="AL38" s="1">
        <v>482342012</v>
      </c>
      <c r="AM38" s="1">
        <v>21883197</v>
      </c>
      <c r="AN38" s="1">
        <v>32864</v>
      </c>
      <c r="AO38" s="1">
        <v>1643472</v>
      </c>
      <c r="AP38" s="1">
        <v>261568</v>
      </c>
      <c r="AQ38" s="1">
        <v>23821101</v>
      </c>
      <c r="AR38" s="1">
        <f t="shared" si="1"/>
        <v>0</v>
      </c>
      <c r="AS38">
        <f t="shared" si="2"/>
        <v>0</v>
      </c>
      <c r="AT38">
        <f t="shared" si="3"/>
        <v>237.56067760214145</v>
      </c>
      <c r="AU38">
        <f t="shared" si="4"/>
        <v>0</v>
      </c>
      <c r="AV38">
        <f t="shared" si="5"/>
        <v>118764.3039901103</v>
      </c>
      <c r="AW38">
        <f t="shared" si="6"/>
        <v>36954.685172097059</v>
      </c>
      <c r="AX38">
        <f t="shared" si="7"/>
        <v>37028.963329795435</v>
      </c>
      <c r="AY38">
        <f t="shared" si="8"/>
        <v>0</v>
      </c>
    </row>
    <row r="39" spans="1:228" x14ac:dyDescent="0.25">
      <c r="A39" s="1" t="s">
        <v>142</v>
      </c>
      <c r="B39" s="1" t="s">
        <v>159</v>
      </c>
      <c r="C39" s="1" t="s">
        <v>145</v>
      </c>
      <c r="D39" s="35">
        <f t="shared" si="0"/>
        <v>169.55699999999999</v>
      </c>
      <c r="E39" s="38"/>
      <c r="W39" s="1">
        <v>169557</v>
      </c>
      <c r="AR39" s="1">
        <f t="shared" si="1"/>
        <v>0</v>
      </c>
      <c r="AS39" t="e">
        <f t="shared" si="2"/>
        <v>#DIV/0!</v>
      </c>
      <c r="AT39">
        <f t="shared" si="3"/>
        <v>0</v>
      </c>
      <c r="AU39">
        <f t="shared" si="4"/>
        <v>0</v>
      </c>
      <c r="AV39">
        <f t="shared" si="5"/>
        <v>0</v>
      </c>
      <c r="AW39">
        <f t="shared" si="6"/>
        <v>0</v>
      </c>
      <c r="AX39">
        <f t="shared" si="7"/>
        <v>0</v>
      </c>
      <c r="AY39">
        <f t="shared" si="8"/>
        <v>0</v>
      </c>
    </row>
    <row r="40" spans="1:228" x14ac:dyDescent="0.25">
      <c r="A40" s="1" t="s">
        <v>146</v>
      </c>
      <c r="B40" s="1" t="s">
        <v>160</v>
      </c>
      <c r="C40" s="1" t="s">
        <v>150</v>
      </c>
      <c r="D40" s="35">
        <f t="shared" si="0"/>
        <v>1454.825</v>
      </c>
      <c r="E40" s="38"/>
      <c r="W40" s="1">
        <v>1454825</v>
      </c>
      <c r="AR40" s="1">
        <f t="shared" si="1"/>
        <v>0</v>
      </c>
      <c r="AS40" t="e">
        <f t="shared" si="2"/>
        <v>#DIV/0!</v>
      </c>
      <c r="AT40">
        <f t="shared" si="3"/>
        <v>0</v>
      </c>
      <c r="AU40">
        <f t="shared" si="4"/>
        <v>0</v>
      </c>
      <c r="AV40">
        <f t="shared" si="5"/>
        <v>0</v>
      </c>
      <c r="AW40">
        <f t="shared" si="6"/>
        <v>0</v>
      </c>
      <c r="AX40">
        <f t="shared" si="7"/>
        <v>0</v>
      </c>
      <c r="AY40">
        <f t="shared" si="8"/>
        <v>0</v>
      </c>
    </row>
    <row r="41" spans="1:228" x14ac:dyDescent="0.25">
      <c r="A41" s="1" t="s">
        <v>151</v>
      </c>
      <c r="B41" s="1" t="s">
        <v>156</v>
      </c>
      <c r="D41" s="35">
        <f t="shared" si="0"/>
        <v>2302</v>
      </c>
      <c r="E41" s="38">
        <v>819</v>
      </c>
      <c r="F41" s="1">
        <v>2866</v>
      </c>
      <c r="G41" s="1">
        <v>125322044</v>
      </c>
      <c r="H41" s="1">
        <v>1148665</v>
      </c>
      <c r="I41" s="1">
        <v>1169809</v>
      </c>
      <c r="J41" s="1">
        <v>1280275</v>
      </c>
      <c r="K41" s="1">
        <v>4155692</v>
      </c>
      <c r="L41" s="1">
        <v>643013</v>
      </c>
      <c r="M41" s="1">
        <v>50640</v>
      </c>
      <c r="N41" s="1">
        <v>4045561</v>
      </c>
      <c r="O41" s="1">
        <v>61834</v>
      </c>
      <c r="P41" s="1">
        <v>7</v>
      </c>
      <c r="Q41" s="1">
        <v>25</v>
      </c>
      <c r="R41" s="1">
        <v>5360</v>
      </c>
      <c r="S41" s="1">
        <v>2152</v>
      </c>
      <c r="T41" s="1">
        <v>2292157</v>
      </c>
      <c r="U41" s="1">
        <v>49335492</v>
      </c>
      <c r="V41" s="1">
        <v>33487510</v>
      </c>
      <c r="W41" s="1">
        <v>2302000</v>
      </c>
      <c r="X41" s="1">
        <v>11089</v>
      </c>
      <c r="Y41" s="1">
        <v>4148</v>
      </c>
      <c r="Z41" s="1">
        <v>15237</v>
      </c>
      <c r="AA41" s="1">
        <v>15520339</v>
      </c>
      <c r="AB41" s="1">
        <v>28964183</v>
      </c>
      <c r="AC41" s="1">
        <v>502512</v>
      </c>
      <c r="AD41" s="1">
        <v>805366</v>
      </c>
      <c r="AE41" s="1">
        <v>1431944</v>
      </c>
      <c r="AF41" s="1">
        <v>3715124</v>
      </c>
      <c r="AG41" s="1">
        <v>17335157</v>
      </c>
      <c r="AH41" s="1">
        <v>68274624</v>
      </c>
      <c r="AI41" s="1">
        <v>62791488</v>
      </c>
      <c r="AJ41" s="1">
        <v>3271297</v>
      </c>
      <c r="AK41" s="1">
        <v>5198554</v>
      </c>
      <c r="AL41" s="1">
        <v>71261341</v>
      </c>
      <c r="AM41" s="1">
        <v>9571890</v>
      </c>
      <c r="AN41" s="1">
        <v>0</v>
      </c>
      <c r="AO41" s="1">
        <v>124295</v>
      </c>
      <c r="AP41" s="1">
        <v>5978017</v>
      </c>
      <c r="AQ41" s="1">
        <v>15674195</v>
      </c>
      <c r="AR41" s="1">
        <f t="shared" si="1"/>
        <v>4107395</v>
      </c>
      <c r="AS41">
        <f t="shared" si="2"/>
        <v>1.4732505343036852</v>
      </c>
      <c r="AT41">
        <f t="shared" si="3"/>
        <v>29.658828844483057</v>
      </c>
      <c r="AU41">
        <f t="shared" si="4"/>
        <v>995.72415291051254</v>
      </c>
      <c r="AV41">
        <f t="shared" si="5"/>
        <v>14547.137271937445</v>
      </c>
      <c r="AW41">
        <f t="shared" si="6"/>
        <v>54440.50564726325</v>
      </c>
      <c r="AX41">
        <f t="shared" si="7"/>
        <v>58110.39878366638</v>
      </c>
      <c r="AY41">
        <f t="shared" si="8"/>
        <v>279.32797567332756</v>
      </c>
    </row>
    <row r="42" spans="1:228" x14ac:dyDescent="0.25">
      <c r="A42" s="1" t="s">
        <v>152</v>
      </c>
      <c r="B42" s="1" t="s">
        <v>156</v>
      </c>
      <c r="D42" s="35">
        <f t="shared" si="0"/>
        <v>12609.978999999999</v>
      </c>
      <c r="E42" s="38">
        <v>3174</v>
      </c>
      <c r="F42" s="1">
        <v>6515</v>
      </c>
      <c r="G42" s="1">
        <v>450853255</v>
      </c>
      <c r="H42" s="1">
        <v>2582166</v>
      </c>
      <c r="I42" s="1">
        <v>3456232</v>
      </c>
      <c r="J42" s="1">
        <v>1607764</v>
      </c>
      <c r="K42" s="1">
        <v>57387957</v>
      </c>
      <c r="L42" s="1">
        <v>12824112</v>
      </c>
      <c r="M42" s="1">
        <v>267608</v>
      </c>
      <c r="N42" s="1">
        <v>15034063</v>
      </c>
      <c r="O42" s="1">
        <v>545847</v>
      </c>
      <c r="P42" s="1">
        <v>562</v>
      </c>
      <c r="Q42" s="1">
        <v>804</v>
      </c>
      <c r="R42" s="1">
        <v>114559</v>
      </c>
      <c r="S42" s="1">
        <v>56806</v>
      </c>
      <c r="T42" s="1">
        <v>11864485</v>
      </c>
      <c r="U42" s="1">
        <v>193208923</v>
      </c>
      <c r="V42" s="1">
        <v>379773799</v>
      </c>
      <c r="W42" s="1">
        <v>12609979</v>
      </c>
      <c r="X42" s="1">
        <v>20898</v>
      </c>
      <c r="Y42" s="1">
        <v>18746</v>
      </c>
      <c r="Z42" s="1">
        <v>39644</v>
      </c>
      <c r="AA42" s="1">
        <v>1029967919</v>
      </c>
      <c r="AB42" s="1">
        <v>674081036</v>
      </c>
      <c r="AC42" s="1">
        <v>18171259</v>
      </c>
      <c r="AD42" s="1">
        <v>1038368</v>
      </c>
      <c r="AE42" s="1">
        <v>11557200</v>
      </c>
      <c r="AF42" s="1">
        <v>1434909</v>
      </c>
      <c r="AG42" s="1">
        <v>255895187</v>
      </c>
      <c r="AH42" s="1">
        <v>1992145874</v>
      </c>
      <c r="AI42" s="1">
        <v>1625272334</v>
      </c>
      <c r="AJ42" s="1">
        <v>61085647</v>
      </c>
      <c r="AK42" s="1">
        <v>168093649</v>
      </c>
      <c r="AL42" s="1">
        <v>1854451627</v>
      </c>
      <c r="AM42" s="1">
        <v>45663094</v>
      </c>
      <c r="AN42" s="1">
        <v>96810</v>
      </c>
      <c r="AO42" s="1">
        <v>4841133</v>
      </c>
      <c r="AP42" s="1">
        <v>9839681</v>
      </c>
      <c r="AQ42" s="1">
        <v>60440719</v>
      </c>
      <c r="AR42" s="1">
        <f t="shared" si="1"/>
        <v>15579910</v>
      </c>
      <c r="AS42">
        <f t="shared" si="2"/>
        <v>0.50874737411782323</v>
      </c>
      <c r="AT42">
        <f t="shared" si="3"/>
        <v>157.98169640092183</v>
      </c>
      <c r="AU42">
        <f t="shared" si="4"/>
        <v>940.8806311255554</v>
      </c>
      <c r="AV42">
        <f t="shared" si="5"/>
        <v>30116.925571406584</v>
      </c>
      <c r="AW42">
        <f t="shared" si="6"/>
        <v>35753.688011692961</v>
      </c>
      <c r="AX42">
        <f t="shared" si="7"/>
        <v>41949.244641882433</v>
      </c>
      <c r="AY42">
        <f t="shared" si="8"/>
        <v>1016.9812336721576</v>
      </c>
    </row>
    <row r="43" spans="1:228" x14ac:dyDescent="0.25">
      <c r="A43" s="1" t="s">
        <v>153</v>
      </c>
      <c r="B43" s="1" t="s">
        <v>156</v>
      </c>
      <c r="D43" s="35">
        <f t="shared" si="0"/>
        <v>364</v>
      </c>
      <c r="E43" s="38">
        <v>253</v>
      </c>
      <c r="F43" s="1">
        <v>576</v>
      </c>
      <c r="G43" s="1">
        <v>28419766</v>
      </c>
      <c r="H43" s="1">
        <v>231095</v>
      </c>
      <c r="I43" s="1">
        <v>303073</v>
      </c>
      <c r="J43" s="1">
        <v>93508</v>
      </c>
      <c r="K43" s="1">
        <v>1273152</v>
      </c>
      <c r="L43" s="1">
        <v>303993</v>
      </c>
      <c r="M43" s="1">
        <v>20134</v>
      </c>
      <c r="N43" s="1">
        <v>888100</v>
      </c>
      <c r="O43" s="1">
        <v>23228</v>
      </c>
      <c r="P43" s="1">
        <v>22</v>
      </c>
      <c r="Q43" s="1">
        <v>31</v>
      </c>
      <c r="R43" s="1">
        <v>2285</v>
      </c>
      <c r="S43" s="1">
        <v>906</v>
      </c>
      <c r="T43" s="1">
        <v>311962</v>
      </c>
      <c r="U43" s="1">
        <v>7573982</v>
      </c>
      <c r="V43" s="1">
        <v>10689400</v>
      </c>
      <c r="W43" s="1">
        <v>364000</v>
      </c>
      <c r="X43" s="1">
        <v>1543</v>
      </c>
      <c r="Y43" s="1">
        <v>834</v>
      </c>
      <c r="Z43" s="1">
        <v>2349</v>
      </c>
      <c r="AA43" s="1">
        <v>47804842</v>
      </c>
      <c r="AB43" s="1">
        <v>31441222</v>
      </c>
      <c r="AC43" s="1">
        <v>0</v>
      </c>
      <c r="AD43" s="1">
        <v>0</v>
      </c>
      <c r="AE43" s="1">
        <v>0</v>
      </c>
      <c r="AF43" s="1">
        <v>0</v>
      </c>
      <c r="AG43" s="1">
        <v>11658663</v>
      </c>
      <c r="AH43" s="1">
        <v>90904726</v>
      </c>
      <c r="AI43" s="1">
        <v>87714205</v>
      </c>
      <c r="AJ43" s="1">
        <v>3190521</v>
      </c>
      <c r="AK43" s="1">
        <v>0</v>
      </c>
      <c r="AL43" s="1">
        <v>90904726</v>
      </c>
      <c r="AM43" s="1">
        <v>2377785</v>
      </c>
      <c r="AN43" s="1">
        <v>5042</v>
      </c>
      <c r="AO43" s="1">
        <v>252090</v>
      </c>
      <c r="AP43" s="1">
        <v>512373</v>
      </c>
      <c r="AQ43" s="1">
        <v>3147290</v>
      </c>
      <c r="AR43" s="1">
        <f t="shared" si="1"/>
        <v>911328</v>
      </c>
      <c r="AS43">
        <f t="shared" si="2"/>
        <v>0.70855071379123247</v>
      </c>
      <c r="AT43">
        <f t="shared" si="3"/>
        <v>249.73825824175825</v>
      </c>
      <c r="AU43">
        <f t="shared" si="4"/>
        <v>857.03846153846155</v>
      </c>
      <c r="AV43">
        <f t="shared" si="5"/>
        <v>29366.483516483517</v>
      </c>
      <c r="AW43">
        <f t="shared" si="6"/>
        <v>78076.280219780223</v>
      </c>
      <c r="AX43">
        <f t="shared" si="7"/>
        <v>84188.793956043955</v>
      </c>
      <c r="AY43">
        <f t="shared" si="8"/>
        <v>835.14560439560444</v>
      </c>
    </row>
    <row r="44" spans="1:228" x14ac:dyDescent="0.25">
      <c r="A44" s="1" t="s">
        <v>154</v>
      </c>
      <c r="B44" s="1" t="s">
        <v>156</v>
      </c>
      <c r="D44" s="35">
        <f t="shared" si="0"/>
        <v>25532.161</v>
      </c>
      <c r="E44" s="38">
        <v>8216</v>
      </c>
      <c r="F44" s="1">
        <v>14108</v>
      </c>
      <c r="G44" s="1">
        <v>1378509392</v>
      </c>
      <c r="H44" s="1">
        <v>8914828</v>
      </c>
      <c r="I44" s="1">
        <v>10523412</v>
      </c>
      <c r="J44" s="1">
        <v>7978434</v>
      </c>
      <c r="K44" s="1">
        <v>811120585</v>
      </c>
      <c r="L44" s="1">
        <v>70142766</v>
      </c>
      <c r="M44" s="1">
        <v>2914426</v>
      </c>
      <c r="N44" s="1">
        <v>37429613</v>
      </c>
      <c r="O44" s="1">
        <v>2643704</v>
      </c>
      <c r="P44" s="1">
        <v>36</v>
      </c>
      <c r="Q44" s="1">
        <v>54</v>
      </c>
      <c r="R44" s="1">
        <v>121521</v>
      </c>
      <c r="S44" s="1">
        <v>20454</v>
      </c>
      <c r="T44" s="1">
        <v>13643146</v>
      </c>
      <c r="U44" s="1">
        <v>309198810</v>
      </c>
      <c r="V44" s="1">
        <v>355546138</v>
      </c>
      <c r="W44" s="1">
        <v>25532161</v>
      </c>
      <c r="X44" s="1">
        <v>46127</v>
      </c>
      <c r="Y44" s="1">
        <v>88762</v>
      </c>
      <c r="Z44" s="1">
        <v>138492</v>
      </c>
      <c r="AA44" s="1">
        <v>2848008824</v>
      </c>
      <c r="AB44" s="1">
        <v>2329265267</v>
      </c>
      <c r="AC44" s="1">
        <v>6857397</v>
      </c>
      <c r="AD44" s="1">
        <v>254564</v>
      </c>
      <c r="AE44" s="1">
        <v>2397436</v>
      </c>
      <c r="AF44" s="1">
        <v>4946579</v>
      </c>
      <c r="AG44" s="1">
        <v>762181983</v>
      </c>
      <c r="AH44" s="1">
        <v>5953912049</v>
      </c>
      <c r="AI44" s="1">
        <v>4939581944</v>
      </c>
      <c r="AJ44" s="1">
        <v>186636290</v>
      </c>
      <c r="AK44" s="1">
        <v>452386721</v>
      </c>
      <c r="AL44" s="1">
        <v>5578604952</v>
      </c>
      <c r="AM44" s="1">
        <v>158494448</v>
      </c>
      <c r="AN44" s="1">
        <v>322485</v>
      </c>
      <c r="AO44" s="1">
        <v>16126798</v>
      </c>
      <c r="AP44" s="1">
        <v>29699153</v>
      </c>
      <c r="AQ44" s="1">
        <v>204642884</v>
      </c>
      <c r="AR44" s="1">
        <f t="shared" si="1"/>
        <v>40073317</v>
      </c>
      <c r="AS44">
        <f t="shared" si="2"/>
        <v>0.86964468729512678</v>
      </c>
      <c r="AT44">
        <f t="shared" si="3"/>
        <v>233.19264080310319</v>
      </c>
      <c r="AU44">
        <f t="shared" si="4"/>
        <v>534.35140096445423</v>
      </c>
      <c r="AV44">
        <f t="shared" si="5"/>
        <v>13925.422842194987</v>
      </c>
      <c r="AW44">
        <f t="shared" si="6"/>
        <v>53991.097424146748</v>
      </c>
      <c r="AX44">
        <f t="shared" si="7"/>
        <v>89694.869267039321</v>
      </c>
      <c r="AY44">
        <f t="shared" si="8"/>
        <v>2747.2318539742873</v>
      </c>
    </row>
    <row r="45" spans="1:228" x14ac:dyDescent="0.25">
      <c r="A45" s="1" t="s">
        <v>155</v>
      </c>
      <c r="B45" s="1" t="s">
        <v>156</v>
      </c>
      <c r="D45" s="35">
        <f t="shared" si="0"/>
        <v>2474.6060000000002</v>
      </c>
      <c r="E45" s="38">
        <v>379</v>
      </c>
      <c r="F45" s="1">
        <v>459</v>
      </c>
      <c r="G45" s="1">
        <v>35788554</v>
      </c>
      <c r="H45" s="1">
        <v>226703</v>
      </c>
      <c r="I45" s="1">
        <v>291229</v>
      </c>
      <c r="J45" s="1">
        <v>202891</v>
      </c>
      <c r="K45" s="1">
        <v>15859148</v>
      </c>
      <c r="L45" s="1">
        <v>1541690</v>
      </c>
      <c r="M45" s="1">
        <v>57921</v>
      </c>
      <c r="N45" s="1">
        <v>1036658</v>
      </c>
      <c r="O45" s="1">
        <v>60922</v>
      </c>
      <c r="P45" s="1">
        <v>22</v>
      </c>
      <c r="Q45" s="1">
        <v>31</v>
      </c>
      <c r="R45" s="1">
        <v>39197</v>
      </c>
      <c r="S45" s="1">
        <v>13987</v>
      </c>
      <c r="T45" s="1">
        <v>4400751</v>
      </c>
      <c r="U45" s="1">
        <v>90501370</v>
      </c>
      <c r="V45" s="1">
        <v>81769239</v>
      </c>
      <c r="W45" s="1">
        <v>2474606</v>
      </c>
      <c r="X45" s="1">
        <v>1388</v>
      </c>
      <c r="Y45" s="1">
        <v>2077</v>
      </c>
      <c r="Z45" s="1">
        <v>3465</v>
      </c>
      <c r="AA45" s="1">
        <v>2605073</v>
      </c>
      <c r="AB45" s="1">
        <v>4846581</v>
      </c>
      <c r="AC45" s="1">
        <v>41988</v>
      </c>
      <c r="AD45" s="1">
        <v>151740</v>
      </c>
      <c r="AE45" s="1">
        <v>239445</v>
      </c>
      <c r="AF45" s="1">
        <v>621228</v>
      </c>
      <c r="AG45" s="1">
        <v>2936077</v>
      </c>
      <c r="AH45" s="1">
        <v>11442131</v>
      </c>
      <c r="AI45" s="1">
        <v>10530423</v>
      </c>
      <c r="AJ45" s="1">
        <v>544045</v>
      </c>
      <c r="AK45" s="1">
        <v>882344</v>
      </c>
      <c r="AL45" s="1">
        <v>11956814</v>
      </c>
      <c r="AM45" s="1">
        <v>1643915</v>
      </c>
      <c r="AN45" s="1">
        <v>0</v>
      </c>
      <c r="AO45" s="1">
        <v>0</v>
      </c>
      <c r="AP45" s="1">
        <v>1048728</v>
      </c>
      <c r="AQ45" s="1">
        <v>2692643</v>
      </c>
      <c r="AR45" s="1">
        <f t="shared" si="1"/>
        <v>1097580</v>
      </c>
      <c r="AS45">
        <f t="shared" si="2"/>
        <v>1.1067899262215219</v>
      </c>
      <c r="AT45">
        <f t="shared" si="3"/>
        <v>4.6238193069927087</v>
      </c>
      <c r="AU45">
        <f t="shared" si="4"/>
        <v>1778.3643133492765</v>
      </c>
      <c r="AV45">
        <f t="shared" si="5"/>
        <v>33043.336595805551</v>
      </c>
      <c r="AW45">
        <f t="shared" si="6"/>
        <v>14462.324103311799</v>
      </c>
      <c r="AX45">
        <f t="shared" si="7"/>
        <v>21808.779256172496</v>
      </c>
      <c r="AY45">
        <f t="shared" si="8"/>
        <v>623.00422774372964</v>
      </c>
    </row>
    <row r="46" spans="1:228" x14ac:dyDescent="0.25">
      <c r="A46" s="1" t="s">
        <v>312</v>
      </c>
      <c r="B46" s="105" t="s">
        <v>156</v>
      </c>
      <c r="C46"/>
      <c r="D46" s="35">
        <f t="shared" si="0"/>
        <v>1613.8530000000001</v>
      </c>
      <c r="E46" s="1">
        <v>545</v>
      </c>
      <c r="F46" s="1">
        <v>2096</v>
      </c>
      <c r="G46" s="1">
        <v>87876842</v>
      </c>
      <c r="H46" s="1">
        <v>865898</v>
      </c>
      <c r="I46" s="1">
        <v>883685</v>
      </c>
      <c r="J46" s="1">
        <v>862415</v>
      </c>
      <c r="K46" s="1">
        <v>3233799</v>
      </c>
      <c r="L46" s="1">
        <v>356898</v>
      </c>
      <c r="M46" s="1">
        <v>36354</v>
      </c>
      <c r="N46" s="1">
        <v>2998120</v>
      </c>
      <c r="O46" s="1">
        <v>46566</v>
      </c>
      <c r="P46" s="1">
        <v>7</v>
      </c>
      <c r="Q46" s="1">
        <v>25</v>
      </c>
      <c r="R46" s="1">
        <v>3866</v>
      </c>
      <c r="S46" s="1">
        <v>1589</v>
      </c>
      <c r="T46" s="1">
        <v>1605727</v>
      </c>
      <c r="U46" s="1">
        <v>32495905</v>
      </c>
      <c r="V46" s="1">
        <v>23544336</v>
      </c>
      <c r="W46" s="1">
        <v>1613853</v>
      </c>
      <c r="X46" s="1">
        <v>7975</v>
      </c>
      <c r="Y46" s="1">
        <v>2827</v>
      </c>
      <c r="Z46" s="1">
        <v>10802</v>
      </c>
      <c r="AA46" s="1">
        <v>13586911</v>
      </c>
      <c r="AB46" s="1">
        <v>24315182</v>
      </c>
      <c r="AC46" s="1">
        <v>464114</v>
      </c>
      <c r="AD46" s="1">
        <v>634413</v>
      </c>
      <c r="AE46" s="1">
        <v>1159489</v>
      </c>
      <c r="AF46" s="1">
        <v>3021020</v>
      </c>
      <c r="AG46" s="1">
        <v>13999611</v>
      </c>
      <c r="AH46" s="1">
        <v>57180740</v>
      </c>
      <c r="AI46" s="1">
        <v>52628341</v>
      </c>
      <c r="AJ46" s="1">
        <v>2537598</v>
      </c>
      <c r="AK46" s="1">
        <v>4318939</v>
      </c>
      <c r="AL46" s="1">
        <v>59484880</v>
      </c>
      <c r="AM46" s="1">
        <v>7622666</v>
      </c>
      <c r="AN46" s="1">
        <v>150</v>
      </c>
      <c r="AO46" s="1">
        <v>131810</v>
      </c>
      <c r="AP46" s="1">
        <v>4713713</v>
      </c>
      <c r="AQ46" s="1">
        <v>12468332</v>
      </c>
      <c r="AR46" s="1">
        <f t="shared" si="1"/>
        <v>3044686</v>
      </c>
      <c r="AS46">
        <f t="shared" si="2"/>
        <v>1.380200528908524</v>
      </c>
      <c r="AT46">
        <f t="shared" si="3"/>
        <v>35.431194786637938</v>
      </c>
      <c r="AU46">
        <f t="shared" si="4"/>
        <v>994.9648450013724</v>
      </c>
      <c r="AV46">
        <f t="shared" si="5"/>
        <v>14588.897501817079</v>
      </c>
      <c r="AW46">
        <f t="shared" si="6"/>
        <v>54451.577683965021</v>
      </c>
      <c r="AX46">
        <f t="shared" si="7"/>
        <v>58317.511570136805</v>
      </c>
      <c r="AY46">
        <f t="shared" si="8"/>
        <v>221.14653565101653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Y46"/>
  <sheetViews>
    <sheetView topLeftCell="B1" workbookViewId="0">
      <selection activeCell="A14" sqref="A14:B14"/>
    </sheetView>
  </sheetViews>
  <sheetFormatPr defaultRowHeight="12.5" x14ac:dyDescent="0.25"/>
  <sheetData>
    <row r="1" spans="1:51" ht="137.5" x14ac:dyDescent="0.25">
      <c r="A1" s="36" t="s">
        <v>3</v>
      </c>
      <c r="B1" s="36" t="s">
        <v>0</v>
      </c>
      <c r="C1" s="36" t="s">
        <v>27</v>
      </c>
      <c r="D1" s="36" t="s">
        <v>292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291</v>
      </c>
      <c r="V1" s="36" t="s">
        <v>81</v>
      </c>
      <c r="W1" s="36" t="s">
        <v>293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51" x14ac:dyDescent="0.25">
      <c r="A2" s="1" t="s">
        <v>32</v>
      </c>
      <c r="B2" s="104" t="s">
        <v>147</v>
      </c>
      <c r="C2" s="44" t="s">
        <v>96</v>
      </c>
      <c r="D2" s="38">
        <f>+W2/1000</f>
        <v>289</v>
      </c>
      <c r="E2" s="38">
        <v>84</v>
      </c>
      <c r="F2" s="38">
        <v>84</v>
      </c>
      <c r="G2" s="38">
        <v>8501798</v>
      </c>
      <c r="H2" s="38">
        <v>8198</v>
      </c>
      <c r="I2" s="38">
        <v>12444</v>
      </c>
      <c r="J2" s="38">
        <v>107543</v>
      </c>
      <c r="K2" s="38">
        <v>23792</v>
      </c>
      <c r="L2" s="38">
        <v>84101</v>
      </c>
      <c r="M2" s="38">
        <v>1358</v>
      </c>
      <c r="N2" s="38">
        <v>101846</v>
      </c>
      <c r="O2" s="38">
        <v>3634</v>
      </c>
      <c r="P2" s="38">
        <v>7</v>
      </c>
      <c r="Q2" s="38">
        <v>24</v>
      </c>
      <c r="R2" s="38">
        <v>398</v>
      </c>
      <c r="S2" s="38">
        <v>199</v>
      </c>
      <c r="T2" s="38">
        <v>200848</v>
      </c>
      <c r="U2" s="38">
        <v>5002065</v>
      </c>
      <c r="V2" s="38">
        <v>2813081</v>
      </c>
      <c r="W2" s="38">
        <v>289000</v>
      </c>
      <c r="X2" s="38">
        <v>496</v>
      </c>
      <c r="Y2" s="38">
        <v>312</v>
      </c>
      <c r="Z2" s="38">
        <v>808</v>
      </c>
      <c r="AA2" s="38">
        <v>951033</v>
      </c>
      <c r="AB2" s="38">
        <v>1319389</v>
      </c>
      <c r="AC2" s="38">
        <v>0</v>
      </c>
      <c r="AD2" s="38">
        <v>0</v>
      </c>
      <c r="AE2" s="38">
        <v>0</v>
      </c>
      <c r="AF2" s="38">
        <v>0</v>
      </c>
      <c r="AG2" s="38">
        <v>89817</v>
      </c>
      <c r="AH2" s="38">
        <v>2360239</v>
      </c>
      <c r="AI2" s="38">
        <v>1386130</v>
      </c>
      <c r="AJ2" s="38">
        <v>141230</v>
      </c>
      <c r="AK2" s="38">
        <v>832879</v>
      </c>
      <c r="AL2" s="38">
        <v>2360239</v>
      </c>
      <c r="AM2" s="38">
        <v>387269</v>
      </c>
      <c r="AN2" s="38">
        <v>0</v>
      </c>
      <c r="AO2" s="38">
        <v>19792</v>
      </c>
      <c r="AP2" s="38">
        <v>4648</v>
      </c>
      <c r="AQ2">
        <v>411709</v>
      </c>
      <c r="AR2" s="1">
        <f>+N2+O2</f>
        <v>105480</v>
      </c>
      <c r="AS2">
        <f>+U2/V2</f>
        <v>1.7781446748245073</v>
      </c>
      <c r="AT2">
        <f>+AH2/W2</f>
        <v>8.1669169550173013</v>
      </c>
      <c r="AU2">
        <f>+T2/D2</f>
        <v>694.97577854671283</v>
      </c>
      <c r="AV2">
        <f>+V2/D2</f>
        <v>9733.8442906574401</v>
      </c>
      <c r="AW2">
        <f>+G2/D2</f>
        <v>29417.986159169552</v>
      </c>
      <c r="AX2">
        <f>SUM(G2:M2)/D2</f>
        <v>30239.564013840831</v>
      </c>
      <c r="AY2">
        <f>+L2/D2</f>
        <v>291.0069204152249</v>
      </c>
    </row>
    <row r="3" spans="1:51" x14ac:dyDescent="0.25">
      <c r="A3" s="1" t="s">
        <v>33</v>
      </c>
      <c r="B3" s="104" t="s">
        <v>147</v>
      </c>
      <c r="C3" s="44" t="s">
        <v>97</v>
      </c>
      <c r="D3" s="38">
        <f t="shared" ref="D3:D46" si="0">+W3/1000</f>
        <v>192</v>
      </c>
      <c r="E3" s="38">
        <v>80</v>
      </c>
      <c r="F3" s="38">
        <v>1081</v>
      </c>
      <c r="G3" s="38">
        <v>10704109</v>
      </c>
      <c r="H3" s="38">
        <v>21703</v>
      </c>
      <c r="I3" s="38">
        <v>18612</v>
      </c>
      <c r="J3" s="38">
        <v>43062</v>
      </c>
      <c r="K3" s="38">
        <v>13753</v>
      </c>
      <c r="L3" s="38">
        <v>38158</v>
      </c>
      <c r="M3" s="38">
        <v>30757</v>
      </c>
      <c r="N3" s="38">
        <v>266549</v>
      </c>
      <c r="O3" s="38">
        <v>2556</v>
      </c>
      <c r="P3" s="38">
        <v>7</v>
      </c>
      <c r="Q3" s="38">
        <v>24</v>
      </c>
      <c r="R3" s="38">
        <v>645</v>
      </c>
      <c r="S3" s="38">
        <v>232</v>
      </c>
      <c r="T3" s="38">
        <v>276163</v>
      </c>
      <c r="U3" s="38">
        <v>2178474</v>
      </c>
      <c r="V3" s="38">
        <v>4255805</v>
      </c>
      <c r="W3" s="38">
        <v>192000</v>
      </c>
      <c r="X3" s="38">
        <v>395</v>
      </c>
      <c r="Y3" s="38">
        <v>372</v>
      </c>
      <c r="Z3" s="38">
        <v>767</v>
      </c>
      <c r="AA3" s="38">
        <v>2673385</v>
      </c>
      <c r="AB3" s="38">
        <v>4761705</v>
      </c>
      <c r="AC3" s="38">
        <v>27514</v>
      </c>
      <c r="AD3" s="38">
        <v>149445</v>
      </c>
      <c r="AE3" s="38">
        <v>91067</v>
      </c>
      <c r="AF3" s="38">
        <v>407063</v>
      </c>
      <c r="AG3" s="38">
        <v>125270</v>
      </c>
      <c r="AH3" s="38">
        <v>8235449</v>
      </c>
      <c r="AI3" s="38">
        <v>6281402</v>
      </c>
      <c r="AJ3" s="38">
        <v>192879</v>
      </c>
      <c r="AK3" s="38">
        <v>1761168</v>
      </c>
      <c r="AL3" s="38">
        <v>8235449</v>
      </c>
      <c r="AM3" s="38">
        <v>1254459</v>
      </c>
      <c r="AN3" s="38">
        <v>0</v>
      </c>
      <c r="AO3" s="38">
        <v>64109</v>
      </c>
      <c r="AP3" s="38">
        <v>15058</v>
      </c>
      <c r="AQ3">
        <v>1333626</v>
      </c>
      <c r="AR3" s="1">
        <f t="shared" ref="AR3:AR45" si="1">+N3+O3</f>
        <v>269105</v>
      </c>
      <c r="AS3">
        <f t="shared" ref="AS3:AS45" si="2">+U3/V3</f>
        <v>0.51188294576466731</v>
      </c>
      <c r="AT3">
        <f t="shared" ref="AT3:AT45" si="3">+AH3/W3</f>
        <v>42.892963541666667</v>
      </c>
      <c r="AU3">
        <f t="shared" ref="AU3:AU45" si="4">+T3/D3</f>
        <v>1438.3489583333333</v>
      </c>
      <c r="AV3">
        <f t="shared" ref="AV3:AV45" si="5">+V3/D3</f>
        <v>22165.651041666668</v>
      </c>
      <c r="AW3">
        <f t="shared" ref="AW3:AW45" si="6">+G3/D3</f>
        <v>55750.567708333336</v>
      </c>
      <c r="AX3">
        <f t="shared" ref="AX3:AX45" si="7">SUM(G3:M3)/D3</f>
        <v>56615.385416666664</v>
      </c>
      <c r="AY3">
        <f t="shared" ref="AY3:AY45" si="8">+L3/D3</f>
        <v>198.73958333333334</v>
      </c>
    </row>
    <row r="4" spans="1:51" x14ac:dyDescent="0.25">
      <c r="A4" s="1" t="s">
        <v>34</v>
      </c>
      <c r="B4" s="104" t="s">
        <v>147</v>
      </c>
      <c r="C4" s="44" t="s">
        <v>98</v>
      </c>
      <c r="D4" s="38">
        <f t="shared" si="0"/>
        <v>48</v>
      </c>
      <c r="E4" s="38">
        <v>23</v>
      </c>
      <c r="F4" s="38">
        <v>37</v>
      </c>
      <c r="G4" s="38">
        <v>7399469</v>
      </c>
      <c r="H4" s="38">
        <v>11565</v>
      </c>
      <c r="I4" s="38">
        <v>20099</v>
      </c>
      <c r="J4" s="38">
        <v>72773</v>
      </c>
      <c r="K4" s="38">
        <v>28166</v>
      </c>
      <c r="L4" s="38">
        <v>38818</v>
      </c>
      <c r="M4" s="38">
        <v>3712</v>
      </c>
      <c r="N4" s="38">
        <v>110337</v>
      </c>
      <c r="O4" s="38">
        <v>2304</v>
      </c>
      <c r="P4" s="38">
        <v>5</v>
      </c>
      <c r="Q4" s="38">
        <v>20</v>
      </c>
      <c r="R4" s="38">
        <v>271</v>
      </c>
      <c r="S4" s="38">
        <v>261</v>
      </c>
      <c r="T4" s="38">
        <v>84571</v>
      </c>
      <c r="U4" s="38">
        <v>1905991</v>
      </c>
      <c r="V4" s="38">
        <v>1550796</v>
      </c>
      <c r="W4" s="38">
        <v>48000</v>
      </c>
      <c r="X4" s="38">
        <v>527</v>
      </c>
      <c r="Y4" s="38">
        <v>51</v>
      </c>
      <c r="Z4" s="38">
        <v>578</v>
      </c>
      <c r="AA4" s="38">
        <v>2398155</v>
      </c>
      <c r="AB4" s="38">
        <v>1379407</v>
      </c>
      <c r="AC4" s="38">
        <v>302797</v>
      </c>
      <c r="AD4" s="38">
        <v>114234</v>
      </c>
      <c r="AE4" s="38">
        <v>236763</v>
      </c>
      <c r="AF4" s="38">
        <v>0</v>
      </c>
      <c r="AG4" s="38">
        <v>375264</v>
      </c>
      <c r="AH4" s="38">
        <v>4806620</v>
      </c>
      <c r="AI4" s="38">
        <v>4806620</v>
      </c>
      <c r="AJ4" s="38">
        <v>0</v>
      </c>
      <c r="AK4" s="38">
        <v>0</v>
      </c>
      <c r="AL4" s="38">
        <v>4806620</v>
      </c>
      <c r="AM4" s="38">
        <v>0</v>
      </c>
      <c r="AN4" s="38">
        <v>0</v>
      </c>
      <c r="AO4" s="38">
        <v>15664</v>
      </c>
      <c r="AP4" s="38">
        <v>80035</v>
      </c>
      <c r="AQ4">
        <v>95699</v>
      </c>
      <c r="AR4" s="1">
        <f t="shared" si="1"/>
        <v>112641</v>
      </c>
      <c r="AS4">
        <f t="shared" si="2"/>
        <v>1.2290404411669877</v>
      </c>
      <c r="AT4">
        <f t="shared" si="3"/>
        <v>100.13791666666667</v>
      </c>
      <c r="AU4">
        <f t="shared" si="4"/>
        <v>1761.8958333333333</v>
      </c>
      <c r="AV4">
        <f t="shared" si="5"/>
        <v>32308.25</v>
      </c>
      <c r="AW4">
        <f t="shared" si="6"/>
        <v>154155.60416666666</v>
      </c>
      <c r="AX4">
        <f t="shared" si="7"/>
        <v>157804.20833333334</v>
      </c>
      <c r="AY4">
        <f t="shared" si="8"/>
        <v>808.70833333333337</v>
      </c>
    </row>
    <row r="5" spans="1:51" x14ac:dyDescent="0.25">
      <c r="A5" s="1" t="s">
        <v>35</v>
      </c>
      <c r="B5" s="104" t="s">
        <v>147</v>
      </c>
      <c r="C5" s="44" t="s">
        <v>99</v>
      </c>
      <c r="D5" s="38">
        <f t="shared" si="0"/>
        <v>214</v>
      </c>
      <c r="E5" s="38">
        <v>141</v>
      </c>
      <c r="F5" s="38">
        <v>401</v>
      </c>
      <c r="G5" s="38">
        <v>16366142</v>
      </c>
      <c r="H5" s="38">
        <v>26078</v>
      </c>
      <c r="I5" s="38">
        <v>32892</v>
      </c>
      <c r="J5" s="38">
        <v>796077</v>
      </c>
      <c r="K5" s="38">
        <v>5418049</v>
      </c>
      <c r="L5" s="38">
        <v>117905</v>
      </c>
      <c r="M5" s="38">
        <v>22354</v>
      </c>
      <c r="N5" s="38">
        <v>374994</v>
      </c>
      <c r="O5" s="38">
        <v>6380</v>
      </c>
      <c r="P5" s="38">
        <v>7</v>
      </c>
      <c r="Q5" s="38">
        <v>24</v>
      </c>
      <c r="R5" s="38">
        <v>506</v>
      </c>
      <c r="S5" s="38">
        <v>181</v>
      </c>
      <c r="T5" s="38">
        <v>284873</v>
      </c>
      <c r="U5" s="38">
        <v>4014677</v>
      </c>
      <c r="V5" s="38">
        <v>3788043</v>
      </c>
      <c r="W5" s="38">
        <v>214000</v>
      </c>
      <c r="X5" s="38">
        <v>1016</v>
      </c>
      <c r="Y5" s="38">
        <v>385</v>
      </c>
      <c r="Z5" s="38">
        <v>1401</v>
      </c>
      <c r="AA5" s="38">
        <v>4490076</v>
      </c>
      <c r="AB5" s="38">
        <v>8336805</v>
      </c>
      <c r="AC5" s="38">
        <v>40116</v>
      </c>
      <c r="AD5" s="38">
        <v>217899</v>
      </c>
      <c r="AE5" s="38">
        <v>132781</v>
      </c>
      <c r="AF5" s="38">
        <v>593518</v>
      </c>
      <c r="AG5" s="38">
        <v>632260</v>
      </c>
      <c r="AH5" s="38">
        <v>14443455</v>
      </c>
      <c r="AI5" s="38">
        <v>13565728</v>
      </c>
      <c r="AJ5" s="38">
        <v>517464</v>
      </c>
      <c r="AK5" s="38">
        <v>360263</v>
      </c>
      <c r="AL5" s="38">
        <v>14443455</v>
      </c>
      <c r="AM5" s="38">
        <v>1854027</v>
      </c>
      <c r="AN5" s="38">
        <v>0</v>
      </c>
      <c r="AO5" s="38">
        <v>94751</v>
      </c>
      <c r="AP5" s="38">
        <v>22253</v>
      </c>
      <c r="AQ5">
        <v>1971031</v>
      </c>
      <c r="AR5" s="1">
        <f t="shared" si="1"/>
        <v>381374</v>
      </c>
      <c r="AS5">
        <f t="shared" si="2"/>
        <v>1.0598287823026296</v>
      </c>
      <c r="AT5">
        <f t="shared" si="3"/>
        <v>67.492780373831778</v>
      </c>
      <c r="AU5">
        <f t="shared" si="4"/>
        <v>1331.1822429906542</v>
      </c>
      <c r="AV5">
        <f t="shared" si="5"/>
        <v>17701.135514018693</v>
      </c>
      <c r="AW5">
        <f t="shared" si="6"/>
        <v>76477.299065420564</v>
      </c>
      <c r="AX5">
        <f t="shared" si="7"/>
        <v>106446.2476635514</v>
      </c>
      <c r="AY5">
        <f t="shared" si="8"/>
        <v>550.95794392523362</v>
      </c>
    </row>
    <row r="6" spans="1:51" x14ac:dyDescent="0.25">
      <c r="A6" s="1" t="s">
        <v>36</v>
      </c>
      <c r="B6" s="104" t="s">
        <v>147</v>
      </c>
      <c r="C6" s="44" t="s">
        <v>100</v>
      </c>
      <c r="D6" s="38">
        <f t="shared" si="0"/>
        <v>61</v>
      </c>
      <c r="E6" s="38">
        <v>31</v>
      </c>
      <c r="F6" s="38">
        <v>31</v>
      </c>
      <c r="G6" s="38">
        <v>5631479</v>
      </c>
      <c r="H6" s="38">
        <v>5848</v>
      </c>
      <c r="I6" s="38">
        <v>5937</v>
      </c>
      <c r="J6" s="38">
        <v>25362</v>
      </c>
      <c r="K6" s="38">
        <v>139070</v>
      </c>
      <c r="L6" s="38">
        <v>4085</v>
      </c>
      <c r="M6" s="38">
        <v>487</v>
      </c>
      <c r="N6" s="38">
        <v>134553</v>
      </c>
      <c r="O6" s="38">
        <v>1179</v>
      </c>
      <c r="P6" s="38">
        <v>7</v>
      </c>
      <c r="Q6" s="38">
        <v>24</v>
      </c>
      <c r="R6" s="38">
        <v>113</v>
      </c>
      <c r="S6" s="38">
        <v>38</v>
      </c>
      <c r="T6" s="38">
        <v>94467</v>
      </c>
      <c r="U6" s="38">
        <v>4209082</v>
      </c>
      <c r="V6" s="38">
        <v>1976819</v>
      </c>
      <c r="W6" s="38">
        <v>61000</v>
      </c>
      <c r="X6" s="38">
        <v>378</v>
      </c>
      <c r="Y6" s="38">
        <v>27</v>
      </c>
      <c r="Z6" s="38">
        <v>405</v>
      </c>
      <c r="AA6" s="38">
        <v>1106524</v>
      </c>
      <c r="AB6" s="38">
        <v>1023219</v>
      </c>
      <c r="AC6" s="38">
        <v>0</v>
      </c>
      <c r="AD6" s="38">
        <v>0</v>
      </c>
      <c r="AE6" s="38">
        <v>0</v>
      </c>
      <c r="AF6" s="38">
        <v>0</v>
      </c>
      <c r="AG6" s="38">
        <v>252124</v>
      </c>
      <c r="AH6" s="38">
        <v>2381867</v>
      </c>
      <c r="AI6" s="38">
        <v>1283798</v>
      </c>
      <c r="AJ6" s="38">
        <v>0</v>
      </c>
      <c r="AK6" s="38">
        <v>954612</v>
      </c>
      <c r="AL6" s="38">
        <v>2238410</v>
      </c>
      <c r="AM6" s="38">
        <v>506776</v>
      </c>
      <c r="AN6" s="38">
        <v>0</v>
      </c>
      <c r="AO6" s="38">
        <v>25899</v>
      </c>
      <c r="AP6" s="38">
        <v>6083</v>
      </c>
      <c r="AQ6">
        <v>538758</v>
      </c>
      <c r="AR6" s="1">
        <f t="shared" si="1"/>
        <v>135732</v>
      </c>
      <c r="AS6">
        <f t="shared" si="2"/>
        <v>2.1292197211783175</v>
      </c>
      <c r="AT6">
        <f t="shared" si="3"/>
        <v>39.046999999999997</v>
      </c>
      <c r="AU6">
        <f t="shared" si="4"/>
        <v>1548.639344262295</v>
      </c>
      <c r="AV6">
        <f t="shared" si="5"/>
        <v>32406.868852459018</v>
      </c>
      <c r="AW6">
        <f t="shared" si="6"/>
        <v>92319.327868852459</v>
      </c>
      <c r="AX6">
        <f t="shared" si="7"/>
        <v>95283.081967213118</v>
      </c>
      <c r="AY6">
        <f t="shared" si="8"/>
        <v>66.967213114754102</v>
      </c>
    </row>
    <row r="7" spans="1:51" x14ac:dyDescent="0.25">
      <c r="A7" s="1" t="s">
        <v>37</v>
      </c>
      <c r="B7" s="104" t="s">
        <v>147</v>
      </c>
      <c r="C7" s="44" t="s">
        <v>101</v>
      </c>
      <c r="D7" s="38">
        <f t="shared" si="0"/>
        <v>97</v>
      </c>
      <c r="E7" s="38">
        <v>15</v>
      </c>
      <c r="F7" s="38">
        <v>106</v>
      </c>
      <c r="G7" s="38">
        <v>10977183</v>
      </c>
      <c r="H7" s="38">
        <v>4000</v>
      </c>
      <c r="I7" s="38">
        <v>5000</v>
      </c>
      <c r="J7" s="38">
        <v>248300</v>
      </c>
      <c r="K7" s="38">
        <v>26764</v>
      </c>
      <c r="L7" s="38">
        <v>37250</v>
      </c>
      <c r="M7" s="38">
        <v>3625</v>
      </c>
      <c r="N7" s="38">
        <v>174036</v>
      </c>
      <c r="O7" s="38">
        <v>852</v>
      </c>
      <c r="P7" s="38">
        <v>4</v>
      </c>
      <c r="Q7" s="38">
        <v>3</v>
      </c>
      <c r="R7" s="38">
        <v>298</v>
      </c>
      <c r="S7" s="38">
        <v>298</v>
      </c>
      <c r="T7" s="38">
        <v>118445</v>
      </c>
      <c r="U7" s="38">
        <v>8134682</v>
      </c>
      <c r="V7" s="38">
        <v>4520707</v>
      </c>
      <c r="W7" s="38">
        <v>97000</v>
      </c>
      <c r="X7" s="38">
        <v>594</v>
      </c>
      <c r="Y7" s="38">
        <v>92</v>
      </c>
      <c r="Z7" s="38">
        <v>686</v>
      </c>
      <c r="AA7" s="38">
        <v>1856644</v>
      </c>
      <c r="AB7" s="38">
        <v>787172</v>
      </c>
      <c r="AC7" s="38">
        <v>0</v>
      </c>
      <c r="AD7" s="38">
        <v>94213</v>
      </c>
      <c r="AE7" s="38">
        <v>0</v>
      </c>
      <c r="AF7" s="38">
        <v>0</v>
      </c>
      <c r="AG7" s="38">
        <v>344466</v>
      </c>
      <c r="AH7" s="38">
        <v>3082495</v>
      </c>
      <c r="AI7" s="38">
        <v>2440386</v>
      </c>
      <c r="AJ7" s="38">
        <v>324443</v>
      </c>
      <c r="AK7" s="38">
        <v>293871</v>
      </c>
      <c r="AL7" s="38">
        <v>3058700</v>
      </c>
      <c r="AM7" s="38">
        <v>440651</v>
      </c>
      <c r="AN7" s="38">
        <v>0</v>
      </c>
      <c r="AO7" s="38">
        <v>22520</v>
      </c>
      <c r="AP7" s="38">
        <v>5289</v>
      </c>
      <c r="AQ7">
        <v>468460</v>
      </c>
      <c r="AR7" s="1">
        <f t="shared" si="1"/>
        <v>174888</v>
      </c>
      <c r="AS7">
        <f t="shared" si="2"/>
        <v>1.7994269480415341</v>
      </c>
      <c r="AT7">
        <f t="shared" si="3"/>
        <v>31.778298969072164</v>
      </c>
      <c r="AU7">
        <f t="shared" si="4"/>
        <v>1221.0824742268042</v>
      </c>
      <c r="AV7">
        <f t="shared" si="5"/>
        <v>46605.226804123711</v>
      </c>
      <c r="AW7">
        <f t="shared" si="6"/>
        <v>113166.8350515464</v>
      </c>
      <c r="AX7">
        <f t="shared" si="7"/>
        <v>116516.72164948453</v>
      </c>
      <c r="AY7">
        <f t="shared" si="8"/>
        <v>384.02061855670104</v>
      </c>
    </row>
    <row r="8" spans="1:51" x14ac:dyDescent="0.25">
      <c r="A8" s="1" t="s">
        <v>38</v>
      </c>
      <c r="B8" s="104" t="s">
        <v>147</v>
      </c>
      <c r="C8" s="44" t="s">
        <v>102</v>
      </c>
      <c r="D8" s="38">
        <f t="shared" si="0"/>
        <v>796</v>
      </c>
      <c r="E8" s="38">
        <v>272</v>
      </c>
      <c r="F8" s="38">
        <v>507</v>
      </c>
      <c r="G8" s="38">
        <v>33263503</v>
      </c>
      <c r="H8" s="38">
        <v>761757</v>
      </c>
      <c r="I8" s="38">
        <v>761988</v>
      </c>
      <c r="J8" s="38">
        <v>272749</v>
      </c>
      <c r="K8" s="38">
        <v>1656530</v>
      </c>
      <c r="L8" s="38">
        <v>162765</v>
      </c>
      <c r="M8" s="38">
        <v>9223</v>
      </c>
      <c r="N8" s="38">
        <v>1828594</v>
      </c>
      <c r="O8" s="38">
        <v>14397</v>
      </c>
      <c r="P8" s="38">
        <v>13</v>
      </c>
      <c r="Q8" s="38">
        <v>45</v>
      </c>
      <c r="R8" s="38">
        <v>1881</v>
      </c>
      <c r="S8" s="38">
        <v>671</v>
      </c>
      <c r="T8" s="38">
        <v>668208</v>
      </c>
      <c r="U8" s="38">
        <v>11593575</v>
      </c>
      <c r="V8" s="38">
        <v>7497180</v>
      </c>
      <c r="W8" s="38">
        <v>796000</v>
      </c>
      <c r="X8" s="38">
        <v>4910</v>
      </c>
      <c r="Y8" s="38">
        <v>1639</v>
      </c>
      <c r="Z8" s="38">
        <v>6549</v>
      </c>
      <c r="AA8" s="38">
        <v>11210209</v>
      </c>
      <c r="AB8" s="38">
        <v>15806310</v>
      </c>
      <c r="AC8" s="38">
        <v>115372</v>
      </c>
      <c r="AD8" s="38">
        <v>626663</v>
      </c>
      <c r="AE8" s="38">
        <v>381871</v>
      </c>
      <c r="AF8" s="38">
        <v>1706924</v>
      </c>
      <c r="AG8" s="38">
        <v>4917790</v>
      </c>
      <c r="AH8" s="38">
        <v>34765139</v>
      </c>
      <c r="AI8" s="38">
        <v>26516321</v>
      </c>
      <c r="AJ8" s="38">
        <v>814219</v>
      </c>
      <c r="AK8" s="38">
        <v>7434599</v>
      </c>
      <c r="AL8" s="38">
        <v>34765139</v>
      </c>
      <c r="AM8" s="38">
        <v>5190222</v>
      </c>
      <c r="AN8" s="38">
        <v>0</v>
      </c>
      <c r="AO8" s="38">
        <v>265247</v>
      </c>
      <c r="AP8" s="38">
        <v>62300</v>
      </c>
      <c r="AQ8">
        <v>5517769</v>
      </c>
      <c r="AR8" s="1">
        <f t="shared" si="1"/>
        <v>1842991</v>
      </c>
      <c r="AS8">
        <f t="shared" si="2"/>
        <v>1.5463914431826367</v>
      </c>
      <c r="AT8">
        <f t="shared" si="3"/>
        <v>43.674797738693471</v>
      </c>
      <c r="AU8">
        <f t="shared" si="4"/>
        <v>839.4572864321608</v>
      </c>
      <c r="AV8">
        <f t="shared" si="5"/>
        <v>9418.5678391959791</v>
      </c>
      <c r="AW8">
        <f t="shared" si="6"/>
        <v>41788.320351758797</v>
      </c>
      <c r="AX8">
        <f t="shared" si="7"/>
        <v>46342.355527638189</v>
      </c>
      <c r="AY8">
        <f t="shared" si="8"/>
        <v>204.4786432160804</v>
      </c>
    </row>
    <row r="9" spans="1:51" x14ac:dyDescent="0.25">
      <c r="A9" s="1" t="s">
        <v>39</v>
      </c>
      <c r="B9" s="104" t="s">
        <v>147</v>
      </c>
      <c r="C9" s="44" t="s">
        <v>103</v>
      </c>
      <c r="D9" s="38">
        <f t="shared" si="0"/>
        <v>438</v>
      </c>
      <c r="E9" s="38">
        <v>199</v>
      </c>
      <c r="F9" s="38">
        <v>721</v>
      </c>
      <c r="G9" s="38">
        <v>30068856</v>
      </c>
      <c r="H9" s="38">
        <v>281659</v>
      </c>
      <c r="I9" s="38">
        <v>286013</v>
      </c>
      <c r="J9" s="38">
        <v>323105</v>
      </c>
      <c r="K9" s="38">
        <v>856117</v>
      </c>
      <c r="L9" s="38">
        <v>257986</v>
      </c>
      <c r="M9" s="38">
        <v>14591</v>
      </c>
      <c r="N9" s="38">
        <v>1021094</v>
      </c>
      <c r="O9" s="38">
        <v>13527</v>
      </c>
      <c r="P9" s="38">
        <v>7</v>
      </c>
      <c r="Q9" s="38">
        <v>24</v>
      </c>
      <c r="R9" s="38">
        <v>1309</v>
      </c>
      <c r="S9" s="38">
        <v>436</v>
      </c>
      <c r="T9" s="38">
        <v>548092</v>
      </c>
      <c r="U9" s="38">
        <v>12140209</v>
      </c>
      <c r="V9" s="38">
        <v>8643473</v>
      </c>
      <c r="W9" s="38">
        <v>438000</v>
      </c>
      <c r="X9" s="38">
        <v>2656</v>
      </c>
      <c r="Y9" s="38">
        <v>999</v>
      </c>
      <c r="Z9" s="38">
        <v>3655</v>
      </c>
      <c r="AA9" s="38">
        <v>6382567</v>
      </c>
      <c r="AB9" s="38">
        <v>8999371</v>
      </c>
      <c r="AC9" s="38">
        <v>65688</v>
      </c>
      <c r="AD9" s="38">
        <v>356793</v>
      </c>
      <c r="AE9" s="38">
        <v>217419</v>
      </c>
      <c r="AF9" s="38">
        <v>971843</v>
      </c>
      <c r="AG9" s="38">
        <v>2799958</v>
      </c>
      <c r="AH9" s="38">
        <v>19793639</v>
      </c>
      <c r="AI9" s="38">
        <v>15097149</v>
      </c>
      <c r="AJ9" s="38">
        <v>463578</v>
      </c>
      <c r="AK9" s="38">
        <v>4232912</v>
      </c>
      <c r="AL9" s="38">
        <v>19793639</v>
      </c>
      <c r="AM9" s="38">
        <v>2855926</v>
      </c>
      <c r="AN9" s="38">
        <v>0</v>
      </c>
      <c r="AO9" s="38">
        <v>145952</v>
      </c>
      <c r="AP9" s="38">
        <v>34281</v>
      </c>
      <c r="AQ9">
        <v>3036159</v>
      </c>
      <c r="AR9" s="1">
        <f t="shared" si="1"/>
        <v>1034621</v>
      </c>
      <c r="AS9">
        <f t="shared" si="2"/>
        <v>1.4045521979417301</v>
      </c>
      <c r="AT9">
        <f t="shared" si="3"/>
        <v>45.190956621004567</v>
      </c>
      <c r="AU9">
        <f t="shared" si="4"/>
        <v>1251.3515981735161</v>
      </c>
      <c r="AV9">
        <f t="shared" si="5"/>
        <v>19733.956621004567</v>
      </c>
      <c r="AW9">
        <f t="shared" si="6"/>
        <v>68650.356164383556</v>
      </c>
      <c r="AX9">
        <f t="shared" si="7"/>
        <v>73261.020547945212</v>
      </c>
      <c r="AY9">
        <f t="shared" si="8"/>
        <v>589.0091324200913</v>
      </c>
    </row>
    <row r="10" spans="1:51" x14ac:dyDescent="0.25">
      <c r="A10" s="1" t="s">
        <v>40</v>
      </c>
      <c r="B10" s="104" t="s">
        <v>147</v>
      </c>
      <c r="C10" s="44" t="s">
        <v>104</v>
      </c>
      <c r="D10" s="38">
        <f t="shared" si="0"/>
        <v>112</v>
      </c>
      <c r="E10" s="38">
        <v>35</v>
      </c>
      <c r="F10" s="38">
        <v>568</v>
      </c>
      <c r="G10" s="38">
        <v>4670126</v>
      </c>
      <c r="H10" s="38">
        <v>7534</v>
      </c>
      <c r="I10" s="38">
        <v>9231</v>
      </c>
      <c r="J10" s="38">
        <v>67849</v>
      </c>
      <c r="K10" s="38">
        <v>137847</v>
      </c>
      <c r="L10" s="38">
        <v>73725</v>
      </c>
      <c r="M10" s="38">
        <v>1130</v>
      </c>
      <c r="N10" s="38">
        <v>98198</v>
      </c>
      <c r="O10" s="38">
        <v>568</v>
      </c>
      <c r="P10" s="38">
        <v>7</v>
      </c>
      <c r="Q10" s="38">
        <v>24</v>
      </c>
      <c r="R10" s="38">
        <v>1094</v>
      </c>
      <c r="S10" s="38">
        <v>896</v>
      </c>
      <c r="T10" s="38">
        <v>142344</v>
      </c>
      <c r="U10" s="38">
        <v>2706702</v>
      </c>
      <c r="V10" s="38">
        <v>1045163</v>
      </c>
      <c r="W10" s="38">
        <v>112000</v>
      </c>
      <c r="X10" s="38">
        <v>254</v>
      </c>
      <c r="Y10" s="38">
        <v>244</v>
      </c>
      <c r="Z10" s="38">
        <v>498</v>
      </c>
      <c r="AA10" s="38">
        <v>1189740</v>
      </c>
      <c r="AB10" s="38">
        <v>960166</v>
      </c>
      <c r="AC10" s="38">
        <v>0</v>
      </c>
      <c r="AD10" s="38">
        <v>0</v>
      </c>
      <c r="AE10" s="38">
        <v>89466</v>
      </c>
      <c r="AF10" s="38">
        <v>0</v>
      </c>
      <c r="AG10" s="38">
        <v>385251</v>
      </c>
      <c r="AH10" s="38">
        <v>2624623</v>
      </c>
      <c r="AI10" s="38">
        <v>2496700</v>
      </c>
      <c r="AJ10" s="38">
        <v>34423</v>
      </c>
      <c r="AK10" s="38">
        <v>0</v>
      </c>
      <c r="AL10" s="38">
        <v>2531123</v>
      </c>
      <c r="AM10" s="38">
        <v>227232</v>
      </c>
      <c r="AN10" s="38">
        <v>0</v>
      </c>
      <c r="AO10" s="38">
        <v>140400</v>
      </c>
      <c r="AP10" s="38">
        <v>0</v>
      </c>
      <c r="AQ10">
        <v>367632</v>
      </c>
      <c r="AR10" s="1">
        <f t="shared" si="1"/>
        <v>98766</v>
      </c>
      <c r="AS10">
        <f t="shared" si="2"/>
        <v>2.5897415044351932</v>
      </c>
      <c r="AT10">
        <f t="shared" si="3"/>
        <v>23.434133928571427</v>
      </c>
      <c r="AU10">
        <f t="shared" si="4"/>
        <v>1270.9285714285713</v>
      </c>
      <c r="AV10">
        <f t="shared" si="5"/>
        <v>9331.8125</v>
      </c>
      <c r="AW10">
        <f t="shared" si="6"/>
        <v>41697.553571428572</v>
      </c>
      <c r="AX10">
        <f t="shared" si="7"/>
        <v>44352.160714285717</v>
      </c>
      <c r="AY10">
        <f t="shared" si="8"/>
        <v>658.25892857142856</v>
      </c>
    </row>
    <row r="11" spans="1:51" x14ac:dyDescent="0.25">
      <c r="A11" s="1" t="s">
        <v>41</v>
      </c>
      <c r="B11" s="104" t="s">
        <v>147</v>
      </c>
      <c r="C11" s="44" t="s">
        <v>105</v>
      </c>
      <c r="D11" s="38">
        <f t="shared" si="0"/>
        <v>55</v>
      </c>
      <c r="E11" s="38">
        <v>54</v>
      </c>
      <c r="F11" s="38">
        <v>79</v>
      </c>
      <c r="G11" s="38">
        <v>4151409</v>
      </c>
      <c r="H11" s="38">
        <v>14489</v>
      </c>
      <c r="I11" s="38">
        <v>16234</v>
      </c>
      <c r="J11" s="38">
        <v>3406</v>
      </c>
      <c r="K11" s="38">
        <v>411780</v>
      </c>
      <c r="L11" s="38">
        <v>38047</v>
      </c>
      <c r="M11" s="38">
        <v>1394</v>
      </c>
      <c r="N11" s="38">
        <v>118375</v>
      </c>
      <c r="O11" s="38">
        <v>12372</v>
      </c>
      <c r="P11" s="38">
        <v>7</v>
      </c>
      <c r="Q11" s="38">
        <v>44</v>
      </c>
      <c r="R11" s="38">
        <v>314</v>
      </c>
      <c r="S11" s="38">
        <v>299</v>
      </c>
      <c r="T11" s="38">
        <v>135425</v>
      </c>
      <c r="U11" s="38">
        <v>3263696</v>
      </c>
      <c r="V11" s="38">
        <v>1512745</v>
      </c>
      <c r="W11" s="38">
        <v>55000</v>
      </c>
      <c r="X11" s="38">
        <v>263</v>
      </c>
      <c r="Y11" s="38">
        <v>93</v>
      </c>
      <c r="Z11" s="38">
        <v>356</v>
      </c>
      <c r="AA11" s="38">
        <v>1005555</v>
      </c>
      <c r="AB11" s="38">
        <v>4009447</v>
      </c>
      <c r="AC11" s="38">
        <v>14203</v>
      </c>
      <c r="AD11" s="38">
        <v>77143</v>
      </c>
      <c r="AE11" s="38">
        <v>47009</v>
      </c>
      <c r="AF11" s="38">
        <v>210125</v>
      </c>
      <c r="AG11" s="38">
        <v>3811444</v>
      </c>
      <c r="AH11" s="38">
        <v>9174926</v>
      </c>
      <c r="AI11" s="38">
        <v>5917186</v>
      </c>
      <c r="AJ11" s="38">
        <v>172832</v>
      </c>
      <c r="AK11" s="38">
        <v>3084908</v>
      </c>
      <c r="AL11" s="38">
        <v>9174926</v>
      </c>
      <c r="AM11" s="38">
        <v>1402690</v>
      </c>
      <c r="AN11" s="38">
        <v>0</v>
      </c>
      <c r="AO11" s="38">
        <v>71684</v>
      </c>
      <c r="AP11" s="38">
        <v>16838</v>
      </c>
      <c r="AQ11">
        <v>1491212</v>
      </c>
      <c r="AR11" s="1">
        <f t="shared" si="1"/>
        <v>130747</v>
      </c>
      <c r="AS11">
        <f t="shared" si="2"/>
        <v>2.1574660633484162</v>
      </c>
      <c r="AT11">
        <f t="shared" si="3"/>
        <v>166.81683636363636</v>
      </c>
      <c r="AU11">
        <f t="shared" si="4"/>
        <v>2462.2727272727275</v>
      </c>
      <c r="AV11">
        <f t="shared" si="5"/>
        <v>27504.454545454544</v>
      </c>
      <c r="AW11">
        <f t="shared" si="6"/>
        <v>75480.163636363635</v>
      </c>
      <c r="AX11">
        <f t="shared" si="7"/>
        <v>84304.709090909091</v>
      </c>
      <c r="AY11">
        <f t="shared" si="8"/>
        <v>691.76363636363635</v>
      </c>
    </row>
    <row r="12" spans="1:51" x14ac:dyDescent="0.25">
      <c r="A12" s="1" t="s">
        <v>42</v>
      </c>
      <c r="B12" s="104" t="s">
        <v>148</v>
      </c>
      <c r="C12" s="44" t="s">
        <v>106</v>
      </c>
      <c r="D12" s="38">
        <f t="shared" si="0"/>
        <v>269</v>
      </c>
      <c r="E12" s="38">
        <v>20</v>
      </c>
      <c r="F12" s="38">
        <v>39</v>
      </c>
      <c r="G12" s="38">
        <v>17573390</v>
      </c>
      <c r="H12" s="38">
        <v>13954</v>
      </c>
      <c r="I12" s="38">
        <v>61565</v>
      </c>
      <c r="J12" s="38">
        <v>46584</v>
      </c>
      <c r="K12" s="38">
        <v>1452195</v>
      </c>
      <c r="L12" s="38">
        <v>279258</v>
      </c>
      <c r="M12" s="38">
        <v>1802</v>
      </c>
      <c r="N12" s="38">
        <v>456661</v>
      </c>
      <c r="O12" s="38">
        <v>15371</v>
      </c>
      <c r="P12" s="38">
        <v>36</v>
      </c>
      <c r="Q12" s="38">
        <v>54</v>
      </c>
      <c r="R12" s="38">
        <v>2985</v>
      </c>
      <c r="S12" s="38">
        <v>1023</v>
      </c>
      <c r="T12" s="38">
        <v>233649</v>
      </c>
      <c r="U12" s="38">
        <v>3650183</v>
      </c>
      <c r="V12" s="38">
        <v>5513310</v>
      </c>
      <c r="W12" s="38">
        <v>269000</v>
      </c>
      <c r="X12" s="38">
        <v>552</v>
      </c>
      <c r="Y12" s="38">
        <v>389</v>
      </c>
      <c r="Z12" s="38">
        <v>941</v>
      </c>
      <c r="AA12" s="38">
        <v>29650270</v>
      </c>
      <c r="AB12" s="38">
        <v>17934796</v>
      </c>
      <c r="AC12" s="38">
        <v>1429166</v>
      </c>
      <c r="AD12" s="38">
        <v>29573</v>
      </c>
      <c r="AE12" s="38">
        <v>124115</v>
      </c>
      <c r="AF12" s="38">
        <v>605343</v>
      </c>
      <c r="AG12" s="38">
        <v>6984315</v>
      </c>
      <c r="AH12" s="38">
        <v>56757578</v>
      </c>
      <c r="AI12" s="38">
        <v>49684386</v>
      </c>
      <c r="AJ12" s="38">
        <v>2332970</v>
      </c>
      <c r="AK12" s="38">
        <v>4740222</v>
      </c>
      <c r="AL12" s="38">
        <v>56757578</v>
      </c>
      <c r="AM12" s="38">
        <v>1793944</v>
      </c>
      <c r="AN12" s="38">
        <v>27926</v>
      </c>
      <c r="AO12" s="38">
        <v>105311</v>
      </c>
      <c r="AP12" s="38">
        <v>338168</v>
      </c>
      <c r="AQ12">
        <v>2265349</v>
      </c>
      <c r="AR12" s="1">
        <f t="shared" si="1"/>
        <v>472032</v>
      </c>
      <c r="AS12">
        <f t="shared" si="2"/>
        <v>0.66206743317535199</v>
      </c>
      <c r="AT12">
        <f t="shared" si="3"/>
        <v>210.99471375464685</v>
      </c>
      <c r="AU12">
        <f t="shared" si="4"/>
        <v>868.58364312267656</v>
      </c>
      <c r="AV12">
        <f t="shared" si="5"/>
        <v>20495.576208178438</v>
      </c>
      <c r="AW12">
        <f t="shared" si="6"/>
        <v>65328.587360594793</v>
      </c>
      <c r="AX12">
        <f t="shared" si="7"/>
        <v>72225.828996282522</v>
      </c>
      <c r="AY12">
        <f t="shared" si="8"/>
        <v>1038.1338289962825</v>
      </c>
    </row>
    <row r="13" spans="1:51" x14ac:dyDescent="0.25">
      <c r="A13" s="1" t="s">
        <v>320</v>
      </c>
      <c r="B13" s="1" t="s">
        <v>320</v>
      </c>
      <c r="C13" s="44" t="s">
        <v>317</v>
      </c>
      <c r="D13" s="38">
        <v>58.777000000000001</v>
      </c>
      <c r="E13" s="38">
        <v>41</v>
      </c>
      <c r="F13" s="38">
        <v>317</v>
      </c>
      <c r="G13" s="38">
        <v>9925746</v>
      </c>
      <c r="H13" s="38">
        <v>42654</v>
      </c>
      <c r="I13" s="38">
        <v>14074</v>
      </c>
      <c r="J13" s="38">
        <v>115</v>
      </c>
      <c r="K13" s="38">
        <v>1000</v>
      </c>
      <c r="L13" s="38">
        <v>9068</v>
      </c>
      <c r="M13" s="38">
        <v>2028</v>
      </c>
      <c r="N13" s="38">
        <v>179054</v>
      </c>
      <c r="O13" s="38">
        <v>210</v>
      </c>
      <c r="P13" s="38">
        <v>48</v>
      </c>
      <c r="Q13" s="38">
        <v>60</v>
      </c>
      <c r="R13" s="38">
        <v>354</v>
      </c>
      <c r="S13" s="38"/>
      <c r="T13" s="38">
        <v>106123</v>
      </c>
      <c r="U13" s="38">
        <v>666128</v>
      </c>
      <c r="V13" s="38">
        <v>1071148</v>
      </c>
      <c r="W13" s="38">
        <v>58777</v>
      </c>
      <c r="X13" s="38">
        <v>116</v>
      </c>
      <c r="Y13" s="38">
        <v>191</v>
      </c>
      <c r="Z13" s="38">
        <v>307</v>
      </c>
      <c r="AA13" s="38">
        <v>8375210</v>
      </c>
      <c r="AB13" s="38">
        <v>5472894</v>
      </c>
      <c r="AC13" s="38">
        <v>1948575</v>
      </c>
      <c r="AD13" s="38">
        <v>375538</v>
      </c>
      <c r="AE13" s="38">
        <v>112271</v>
      </c>
      <c r="AF13" s="38">
        <v>13758</v>
      </c>
      <c r="AG13" s="38">
        <v>361682</v>
      </c>
      <c r="AH13" s="38">
        <v>16659928</v>
      </c>
      <c r="AI13" s="38">
        <v>5971614</v>
      </c>
      <c r="AJ13" s="38">
        <v>98259</v>
      </c>
      <c r="AK13" s="38">
        <v>98414</v>
      </c>
      <c r="AL13" s="38">
        <v>6108793</v>
      </c>
      <c r="AM13" s="38">
        <v>0</v>
      </c>
      <c r="AN13" s="38">
        <v>0</v>
      </c>
      <c r="AO13" s="38">
        <v>88939</v>
      </c>
      <c r="AP13" s="38">
        <v>0</v>
      </c>
      <c r="AQ13">
        <v>88939</v>
      </c>
      <c r="AR13" s="1">
        <v>179264</v>
      </c>
      <c r="AS13">
        <f>+U13/V13</f>
        <v>0.62188231691605644</v>
      </c>
      <c r="AT13">
        <f>+AH13/W13</f>
        <v>283.44297939670281</v>
      </c>
      <c r="AU13">
        <f>+T13/D13</f>
        <v>1805.5191656600371</v>
      </c>
      <c r="AV13">
        <f>+V13/D13</f>
        <v>18223.931129523451</v>
      </c>
      <c r="AW13">
        <f>+G13/D13</f>
        <v>168871.25916600029</v>
      </c>
      <c r="AX13">
        <f>SUM(G13:M13)/D13</f>
        <v>170044.14992258875</v>
      </c>
      <c r="AY13">
        <f>+L13/D13</f>
        <v>154.27803392483455</v>
      </c>
    </row>
    <row r="14" spans="1:51" x14ac:dyDescent="0.25">
      <c r="A14" s="1" t="s">
        <v>321</v>
      </c>
      <c r="B14" s="1" t="s">
        <v>321</v>
      </c>
      <c r="C14" s="44" t="s">
        <v>318</v>
      </c>
      <c r="D14" s="38">
        <v>74.457999999999998</v>
      </c>
      <c r="E14" s="38"/>
      <c r="F14" s="38"/>
      <c r="G14" s="38">
        <v>9057965</v>
      </c>
      <c r="H14" s="38">
        <v>29979</v>
      </c>
      <c r="I14" s="38">
        <v>20837</v>
      </c>
      <c r="J14" s="38">
        <v>1135</v>
      </c>
      <c r="K14" s="38">
        <v>279897</v>
      </c>
      <c r="L14" s="38">
        <v>11873</v>
      </c>
      <c r="M14" s="38">
        <v>1193</v>
      </c>
      <c r="N14" s="38">
        <v>128821</v>
      </c>
      <c r="O14" s="38">
        <v>1511</v>
      </c>
      <c r="P14" s="38">
        <v>46</v>
      </c>
      <c r="Q14" s="38">
        <v>56</v>
      </c>
      <c r="R14" s="38">
        <v>423</v>
      </c>
      <c r="S14" s="38"/>
      <c r="T14" s="38">
        <v>63788</v>
      </c>
      <c r="U14" s="38">
        <v>460619</v>
      </c>
      <c r="V14" s="38">
        <v>3062634</v>
      </c>
      <c r="W14" s="38">
        <v>74458</v>
      </c>
      <c r="X14" s="38">
        <v>124</v>
      </c>
      <c r="Y14" s="38">
        <v>179</v>
      </c>
      <c r="Z14" s="38">
        <v>301</v>
      </c>
      <c r="AA14" s="38">
        <v>7062183</v>
      </c>
      <c r="AB14" s="38">
        <v>7195308</v>
      </c>
      <c r="AC14" s="38">
        <v>771134</v>
      </c>
      <c r="AD14" s="38">
        <v>279846</v>
      </c>
      <c r="AE14" s="38">
        <v>772490</v>
      </c>
      <c r="AF14" s="38">
        <v>0</v>
      </c>
      <c r="AG14" s="38">
        <v>346279</v>
      </c>
      <c r="AH14" s="38">
        <v>16427240</v>
      </c>
      <c r="AI14" s="38">
        <v>6715288</v>
      </c>
      <c r="AJ14" s="38">
        <v>394456</v>
      </c>
      <c r="AK14" s="38">
        <v>439313</v>
      </c>
      <c r="AL14" s="38">
        <v>7207068</v>
      </c>
      <c r="AM14" s="38">
        <v>0</v>
      </c>
      <c r="AN14" s="38">
        <v>68369</v>
      </c>
      <c r="AO14" s="38">
        <v>48691</v>
      </c>
      <c r="AP14" s="38">
        <v>0</v>
      </c>
      <c r="AQ14">
        <v>117060</v>
      </c>
      <c r="AR14" s="1">
        <v>130332</v>
      </c>
      <c r="AS14">
        <f>+U14/V14</f>
        <v>0.15039962333076692</v>
      </c>
      <c r="AT14">
        <f>+AH14/W14</f>
        <v>220.62424454054636</v>
      </c>
      <c r="AU14">
        <f>+T14/D14</f>
        <v>856.69773563619765</v>
      </c>
      <c r="AV14">
        <f>+V14/D14</f>
        <v>41132.369926670071</v>
      </c>
      <c r="AW14">
        <f>+G14/D14</f>
        <v>121652.00515726987</v>
      </c>
      <c r="AX14">
        <f>SUM(G14:M14)/D14</f>
        <v>126284.33479276908</v>
      </c>
      <c r="AY14">
        <f>+L14/D14</f>
        <v>159.45902387923394</v>
      </c>
    </row>
    <row r="15" spans="1:51" x14ac:dyDescent="0.25">
      <c r="A15" s="1" t="s">
        <v>43</v>
      </c>
      <c r="B15" s="104" t="s">
        <v>148</v>
      </c>
      <c r="C15" s="44" t="s">
        <v>107</v>
      </c>
      <c r="D15" s="38">
        <f t="shared" si="0"/>
        <v>133.23500000000001</v>
      </c>
      <c r="E15" s="38">
        <v>72</v>
      </c>
      <c r="F15" s="38">
        <v>47</v>
      </c>
      <c r="G15" s="38">
        <v>18983711</v>
      </c>
      <c r="H15" s="38">
        <v>72633</v>
      </c>
      <c r="I15" s="38">
        <v>34911</v>
      </c>
      <c r="J15" s="38">
        <v>1250</v>
      </c>
      <c r="K15" s="38">
        <v>280897</v>
      </c>
      <c r="L15" s="38">
        <v>20941</v>
      </c>
      <c r="M15" s="38">
        <v>3221</v>
      </c>
      <c r="N15" s="38">
        <v>307875</v>
      </c>
      <c r="O15" s="38">
        <v>1721</v>
      </c>
      <c r="P15" s="38">
        <v>46</v>
      </c>
      <c r="Q15" s="38">
        <v>56</v>
      </c>
      <c r="R15" s="38">
        <v>777</v>
      </c>
      <c r="S15" s="38">
        <v>215</v>
      </c>
      <c r="T15" s="38">
        <v>169911</v>
      </c>
      <c r="U15" s="38">
        <v>1126747</v>
      </c>
      <c r="V15" s="38">
        <v>4133782</v>
      </c>
      <c r="W15" s="38">
        <v>133235</v>
      </c>
      <c r="X15" s="38">
        <v>240</v>
      </c>
      <c r="Y15" s="38">
        <v>369</v>
      </c>
      <c r="Z15" s="38">
        <v>609</v>
      </c>
      <c r="AA15" s="38">
        <v>15437393</v>
      </c>
      <c r="AB15" s="38">
        <v>12668202</v>
      </c>
      <c r="AC15" s="38">
        <v>2719709</v>
      </c>
      <c r="AD15" s="38">
        <v>655384</v>
      </c>
      <c r="AE15" s="38">
        <v>884761</v>
      </c>
      <c r="AF15" s="38">
        <v>13758</v>
      </c>
      <c r="AG15" s="38">
        <v>707961</v>
      </c>
      <c r="AH15" s="38">
        <v>33087168</v>
      </c>
      <c r="AI15" s="38">
        <v>26002762</v>
      </c>
      <c r="AJ15" s="38">
        <v>492716</v>
      </c>
      <c r="AK15" s="38">
        <v>537726</v>
      </c>
      <c r="AL15" s="38">
        <v>27033204</v>
      </c>
      <c r="AM15" s="38">
        <v>68369</v>
      </c>
      <c r="AN15" s="38">
        <v>137630</v>
      </c>
      <c r="AO15" s="38">
        <v>0</v>
      </c>
      <c r="AP15" s="38">
        <v>0</v>
      </c>
      <c r="AQ15">
        <v>205999</v>
      </c>
      <c r="AR15" s="1">
        <f t="shared" si="1"/>
        <v>309596</v>
      </c>
      <c r="AS15">
        <f t="shared" si="2"/>
        <v>0.27257049355771545</v>
      </c>
      <c r="AT15">
        <f t="shared" si="3"/>
        <v>248.33690846999662</v>
      </c>
      <c r="AU15">
        <f t="shared" si="4"/>
        <v>1275.2730138477125</v>
      </c>
      <c r="AV15">
        <f t="shared" si="5"/>
        <v>31026.246857057078</v>
      </c>
      <c r="AW15">
        <f t="shared" si="6"/>
        <v>142482.913648816</v>
      </c>
      <c r="AX15">
        <f t="shared" si="7"/>
        <v>145589.10196269749</v>
      </c>
      <c r="AY15">
        <f t="shared" si="8"/>
        <v>157.17341539385296</v>
      </c>
    </row>
    <row r="16" spans="1:51" x14ac:dyDescent="0.25">
      <c r="A16" s="1" t="s">
        <v>44</v>
      </c>
      <c r="B16" s="104" t="s">
        <v>148</v>
      </c>
      <c r="C16" s="44" t="s">
        <v>108</v>
      </c>
      <c r="D16" s="38">
        <f t="shared" si="0"/>
        <v>180</v>
      </c>
      <c r="E16" s="38">
        <v>19</v>
      </c>
      <c r="F16" s="38">
        <v>40</v>
      </c>
      <c r="G16" s="38">
        <v>10698685</v>
      </c>
      <c r="H16" s="38">
        <v>74100</v>
      </c>
      <c r="I16" s="38">
        <v>94344</v>
      </c>
      <c r="J16" s="38">
        <v>95140</v>
      </c>
      <c r="K16" s="38">
        <v>1220634</v>
      </c>
      <c r="L16" s="38">
        <v>883224</v>
      </c>
      <c r="M16" s="38">
        <v>36856</v>
      </c>
      <c r="N16" s="38">
        <v>255661</v>
      </c>
      <c r="O16" s="38">
        <v>28595</v>
      </c>
      <c r="P16" s="38">
        <v>20</v>
      </c>
      <c r="Q16" s="38">
        <v>54</v>
      </c>
      <c r="R16" s="38">
        <v>932</v>
      </c>
      <c r="S16" s="38">
        <v>296</v>
      </c>
      <c r="T16" s="38">
        <v>156651</v>
      </c>
      <c r="U16" s="38">
        <v>5085626</v>
      </c>
      <c r="V16" s="38">
        <v>5110253</v>
      </c>
      <c r="W16" s="38">
        <v>180000</v>
      </c>
      <c r="X16" s="38">
        <v>427</v>
      </c>
      <c r="Y16" s="38">
        <v>472</v>
      </c>
      <c r="Z16" s="38">
        <v>899</v>
      </c>
      <c r="AA16" s="38">
        <v>38129876</v>
      </c>
      <c r="AB16" s="38">
        <v>19659084</v>
      </c>
      <c r="AC16" s="38">
        <v>0</v>
      </c>
      <c r="AD16" s="38">
        <v>0</v>
      </c>
      <c r="AE16" s="38">
        <v>0</v>
      </c>
      <c r="AF16" s="38">
        <v>550806</v>
      </c>
      <c r="AG16" s="38">
        <v>10882096</v>
      </c>
      <c r="AH16" s="38">
        <v>69221863</v>
      </c>
      <c r="AI16" s="38">
        <v>69221863</v>
      </c>
      <c r="AJ16" s="38">
        <v>0</v>
      </c>
      <c r="AK16" s="38">
        <v>0</v>
      </c>
      <c r="AL16" s="38">
        <v>69221863</v>
      </c>
      <c r="AM16" s="38">
        <v>2680041</v>
      </c>
      <c r="AN16" s="38">
        <v>0</v>
      </c>
      <c r="AO16" s="38">
        <v>0</v>
      </c>
      <c r="AP16" s="38">
        <v>0</v>
      </c>
      <c r="AQ16">
        <v>2680041</v>
      </c>
      <c r="AR16" s="1">
        <f t="shared" si="1"/>
        <v>284256</v>
      </c>
      <c r="AS16">
        <f t="shared" si="2"/>
        <v>0.99518086482215262</v>
      </c>
      <c r="AT16">
        <f t="shared" si="3"/>
        <v>384.56590555555556</v>
      </c>
      <c r="AU16">
        <f t="shared" si="4"/>
        <v>870.2833333333333</v>
      </c>
      <c r="AV16">
        <f t="shared" si="5"/>
        <v>28390.294444444444</v>
      </c>
      <c r="AW16">
        <f t="shared" si="6"/>
        <v>59437.138888888891</v>
      </c>
      <c r="AX16">
        <f t="shared" si="7"/>
        <v>72794.350000000006</v>
      </c>
      <c r="AY16">
        <f t="shared" si="8"/>
        <v>4906.8</v>
      </c>
    </row>
    <row r="17" spans="1:51" x14ac:dyDescent="0.25">
      <c r="A17" s="1" t="s">
        <v>45</v>
      </c>
      <c r="B17" s="104" t="s">
        <v>148</v>
      </c>
      <c r="C17" s="44" t="s">
        <v>109</v>
      </c>
      <c r="D17" s="38">
        <f t="shared" si="0"/>
        <v>137</v>
      </c>
      <c r="E17" s="38">
        <v>46</v>
      </c>
      <c r="F17" s="38">
        <v>74</v>
      </c>
      <c r="G17" s="38">
        <v>8504000</v>
      </c>
      <c r="H17" s="38">
        <v>61000</v>
      </c>
      <c r="I17" s="38">
        <v>85214</v>
      </c>
      <c r="J17" s="38">
        <v>23745</v>
      </c>
      <c r="K17" s="38">
        <v>740212</v>
      </c>
      <c r="L17" s="38">
        <v>196016</v>
      </c>
      <c r="M17" s="38">
        <v>3600</v>
      </c>
      <c r="N17" s="38">
        <v>261000</v>
      </c>
      <c r="O17" s="38">
        <v>8375</v>
      </c>
      <c r="P17" s="38">
        <v>36</v>
      </c>
      <c r="Q17" s="38">
        <v>54</v>
      </c>
      <c r="R17" s="38">
        <v>1627</v>
      </c>
      <c r="S17" s="38">
        <v>542</v>
      </c>
      <c r="T17" s="38">
        <v>118894</v>
      </c>
      <c r="U17" s="38">
        <v>3265858</v>
      </c>
      <c r="V17" s="38">
        <v>4152796</v>
      </c>
      <c r="W17" s="38">
        <v>137000</v>
      </c>
      <c r="X17" s="38">
        <v>250</v>
      </c>
      <c r="Y17" s="38">
        <v>500</v>
      </c>
      <c r="Z17" s="38">
        <v>750</v>
      </c>
      <c r="AA17" s="38">
        <v>15063180</v>
      </c>
      <c r="AB17" s="38">
        <v>9111386</v>
      </c>
      <c r="AC17" s="38">
        <v>726057</v>
      </c>
      <c r="AD17" s="38">
        <v>15024</v>
      </c>
      <c r="AE17" s="38">
        <v>63053</v>
      </c>
      <c r="AF17" s="38">
        <v>307531</v>
      </c>
      <c r="AG17" s="38">
        <v>3548231</v>
      </c>
      <c r="AH17" s="38">
        <v>28834462</v>
      </c>
      <c r="AI17" s="38">
        <v>25241078</v>
      </c>
      <c r="AJ17" s="38">
        <v>1185214</v>
      </c>
      <c r="AK17" s="38">
        <v>2408170</v>
      </c>
      <c r="AL17" s="38">
        <v>28834462</v>
      </c>
      <c r="AM17" s="38">
        <v>913644</v>
      </c>
      <c r="AN17" s="38">
        <v>14223</v>
      </c>
      <c r="AO17" s="38">
        <v>53634</v>
      </c>
      <c r="AP17" s="38">
        <v>172227</v>
      </c>
      <c r="AQ17">
        <v>1153728</v>
      </c>
      <c r="AR17" s="1">
        <f t="shared" si="1"/>
        <v>269375</v>
      </c>
      <c r="AS17">
        <f t="shared" si="2"/>
        <v>0.786423893685122</v>
      </c>
      <c r="AT17">
        <f t="shared" si="3"/>
        <v>210.47052554744525</v>
      </c>
      <c r="AU17">
        <f t="shared" si="4"/>
        <v>867.83941605839414</v>
      </c>
      <c r="AV17">
        <f t="shared" si="5"/>
        <v>30312.379562043796</v>
      </c>
      <c r="AW17">
        <f t="shared" si="6"/>
        <v>62072.992700729927</v>
      </c>
      <c r="AX17">
        <f t="shared" si="7"/>
        <v>70173.62773722627</v>
      </c>
      <c r="AY17">
        <f t="shared" si="8"/>
        <v>1430.7737226277372</v>
      </c>
    </row>
    <row r="18" spans="1:51" x14ac:dyDescent="0.25">
      <c r="A18" s="1" t="s">
        <v>46</v>
      </c>
      <c r="B18" s="104" t="s">
        <v>148</v>
      </c>
      <c r="C18" s="44" t="s">
        <v>110</v>
      </c>
      <c r="D18" s="38">
        <f t="shared" si="0"/>
        <v>224</v>
      </c>
      <c r="E18" s="38">
        <v>48</v>
      </c>
      <c r="F18" s="38">
        <v>457</v>
      </c>
      <c r="G18" s="38">
        <v>15572434</v>
      </c>
      <c r="H18" s="38">
        <v>237807</v>
      </c>
      <c r="I18" s="38">
        <v>382625</v>
      </c>
      <c r="J18" s="38">
        <v>262463</v>
      </c>
      <c r="K18" s="38">
        <v>1251223</v>
      </c>
      <c r="L18" s="38">
        <v>325048</v>
      </c>
      <c r="M18" s="38">
        <v>32569</v>
      </c>
      <c r="N18" s="38">
        <v>610881</v>
      </c>
      <c r="O18" s="38">
        <v>15112</v>
      </c>
      <c r="P18" s="38">
        <v>45</v>
      </c>
      <c r="Q18" s="38">
        <v>54</v>
      </c>
      <c r="R18" s="38">
        <v>3396</v>
      </c>
      <c r="S18" s="38">
        <v>2426</v>
      </c>
      <c r="T18" s="38">
        <v>265729</v>
      </c>
      <c r="U18" s="38">
        <v>13617288</v>
      </c>
      <c r="V18" s="38">
        <v>16882610</v>
      </c>
      <c r="W18" s="38">
        <v>224000</v>
      </c>
      <c r="X18" s="38">
        <v>1310</v>
      </c>
      <c r="Y18" s="38">
        <v>138</v>
      </c>
      <c r="Z18" s="38">
        <v>1448</v>
      </c>
      <c r="AA18" s="38">
        <v>39607466</v>
      </c>
      <c r="AB18" s="38">
        <v>22543220</v>
      </c>
      <c r="AC18" s="38">
        <v>0</v>
      </c>
      <c r="AD18" s="38">
        <v>0</v>
      </c>
      <c r="AE18" s="38">
        <v>0</v>
      </c>
      <c r="AF18" s="38">
        <v>3528953</v>
      </c>
      <c r="AG18" s="38">
        <v>10987011</v>
      </c>
      <c r="AH18" s="38">
        <v>76666650</v>
      </c>
      <c r="AI18" s="38">
        <v>62922332</v>
      </c>
      <c r="AJ18" s="38">
        <v>5513940</v>
      </c>
      <c r="AK18" s="38">
        <v>4788563</v>
      </c>
      <c r="AL18" s="38">
        <v>73224835</v>
      </c>
      <c r="AM18" s="38">
        <v>2333094</v>
      </c>
      <c r="AN18" s="38">
        <v>36319</v>
      </c>
      <c r="AO18" s="38">
        <v>136960</v>
      </c>
      <c r="AP18" s="38">
        <v>439802</v>
      </c>
      <c r="AQ18">
        <v>2946175</v>
      </c>
      <c r="AR18" s="1">
        <f t="shared" si="1"/>
        <v>625993</v>
      </c>
      <c r="AS18">
        <f t="shared" si="2"/>
        <v>0.80658665929024009</v>
      </c>
      <c r="AT18">
        <f t="shared" si="3"/>
        <v>342.26183035714286</v>
      </c>
      <c r="AU18">
        <f t="shared" si="4"/>
        <v>1186.2901785714287</v>
      </c>
      <c r="AV18">
        <f t="shared" si="5"/>
        <v>75368.794642857145</v>
      </c>
      <c r="AW18">
        <f t="shared" si="6"/>
        <v>69519.794642857145</v>
      </c>
      <c r="AX18">
        <f t="shared" si="7"/>
        <v>80643.611607142855</v>
      </c>
      <c r="AY18">
        <f t="shared" si="8"/>
        <v>1451.1071428571429</v>
      </c>
    </row>
    <row r="19" spans="1:51" x14ac:dyDescent="0.25">
      <c r="A19" s="1" t="s">
        <v>47</v>
      </c>
      <c r="B19" s="104" t="s">
        <v>148</v>
      </c>
      <c r="C19" s="44" t="s">
        <v>111</v>
      </c>
      <c r="D19" s="38">
        <f t="shared" si="0"/>
        <v>2278</v>
      </c>
      <c r="E19" s="38">
        <v>95</v>
      </c>
      <c r="F19" s="38">
        <v>396</v>
      </c>
      <c r="G19" s="38">
        <v>25684360</v>
      </c>
      <c r="H19" s="38">
        <v>152995</v>
      </c>
      <c r="I19" s="38">
        <v>214826</v>
      </c>
      <c r="J19" s="38">
        <v>359579</v>
      </c>
      <c r="K19" s="38">
        <v>1384057</v>
      </c>
      <c r="L19" s="38">
        <v>97296</v>
      </c>
      <c r="M19" s="38">
        <v>44108</v>
      </c>
      <c r="N19" s="38">
        <v>1008519</v>
      </c>
      <c r="O19" s="38">
        <v>125955</v>
      </c>
      <c r="P19" s="38">
        <v>35</v>
      </c>
      <c r="Q19" s="38">
        <v>54</v>
      </c>
      <c r="R19" s="38">
        <v>24456</v>
      </c>
      <c r="S19" s="38">
        <v>9010</v>
      </c>
      <c r="T19" s="38">
        <v>1344536</v>
      </c>
      <c r="U19" s="38">
        <v>13048777</v>
      </c>
      <c r="V19" s="38">
        <v>52900392</v>
      </c>
      <c r="W19" s="38">
        <v>2278000</v>
      </c>
      <c r="X19" s="38">
        <v>1812</v>
      </c>
      <c r="Y19" s="38">
        <v>2552</v>
      </c>
      <c r="Z19" s="38">
        <v>4364</v>
      </c>
      <c r="AA19" s="38">
        <v>167287948</v>
      </c>
      <c r="AB19" s="38">
        <v>60509187</v>
      </c>
      <c r="AC19" s="38">
        <v>5924182</v>
      </c>
      <c r="AD19" s="38">
        <v>0</v>
      </c>
      <c r="AE19" s="38">
        <v>0</v>
      </c>
      <c r="AF19" s="38">
        <v>0</v>
      </c>
      <c r="AG19" s="38">
        <v>68159578</v>
      </c>
      <c r="AH19" s="38">
        <v>301880895</v>
      </c>
      <c r="AI19" s="38">
        <v>285222928</v>
      </c>
      <c r="AJ19" s="38">
        <v>8495252</v>
      </c>
      <c r="AK19" s="38">
        <v>8162715</v>
      </c>
      <c r="AL19" s="38">
        <v>301880895</v>
      </c>
      <c r="AM19" s="38">
        <v>9837452</v>
      </c>
      <c r="AN19" s="38">
        <v>153140</v>
      </c>
      <c r="AO19" s="38">
        <v>577490</v>
      </c>
      <c r="AP19" s="38">
        <v>1854417</v>
      </c>
      <c r="AQ19">
        <v>12422499</v>
      </c>
      <c r="AR19" s="1">
        <f t="shared" si="1"/>
        <v>1134474</v>
      </c>
      <c r="AS19">
        <f t="shared" si="2"/>
        <v>0.24666692450974653</v>
      </c>
      <c r="AT19">
        <f t="shared" si="3"/>
        <v>132.52014705882354</v>
      </c>
      <c r="AU19">
        <f t="shared" si="4"/>
        <v>590.22651448639158</v>
      </c>
      <c r="AV19">
        <f t="shared" si="5"/>
        <v>23222.296751536436</v>
      </c>
      <c r="AW19">
        <f t="shared" si="6"/>
        <v>11274.960491659351</v>
      </c>
      <c r="AX19">
        <f t="shared" si="7"/>
        <v>12263.924934152765</v>
      </c>
      <c r="AY19">
        <f t="shared" si="8"/>
        <v>42.711150131694467</v>
      </c>
    </row>
    <row r="20" spans="1:51" x14ac:dyDescent="0.25">
      <c r="A20" s="1" t="s">
        <v>48</v>
      </c>
      <c r="B20" s="104" t="s">
        <v>148</v>
      </c>
      <c r="C20" s="44" t="s">
        <v>112</v>
      </c>
      <c r="D20" s="38">
        <f t="shared" si="0"/>
        <v>347</v>
      </c>
      <c r="E20" s="38">
        <v>82</v>
      </c>
      <c r="F20" s="38">
        <v>180</v>
      </c>
      <c r="G20" s="38">
        <v>5683287</v>
      </c>
      <c r="H20" s="38">
        <v>61430</v>
      </c>
      <c r="I20" s="38">
        <v>36200</v>
      </c>
      <c r="J20" s="38">
        <v>29790</v>
      </c>
      <c r="K20" s="38">
        <v>25338</v>
      </c>
      <c r="L20" s="38">
        <v>22796</v>
      </c>
      <c r="M20" s="38">
        <v>18726</v>
      </c>
      <c r="N20" s="38">
        <v>296750</v>
      </c>
      <c r="O20" s="38">
        <v>1439</v>
      </c>
      <c r="P20" s="38">
        <v>95</v>
      </c>
      <c r="Q20" s="38">
        <v>49</v>
      </c>
      <c r="R20" s="38">
        <v>1660</v>
      </c>
      <c r="S20" s="38">
        <v>553</v>
      </c>
      <c r="T20" s="38">
        <v>402192</v>
      </c>
      <c r="U20" s="38">
        <v>1415696</v>
      </c>
      <c r="V20" s="38">
        <v>4235852</v>
      </c>
      <c r="W20" s="38">
        <v>347000</v>
      </c>
      <c r="X20" s="38">
        <v>728</v>
      </c>
      <c r="Y20" s="38">
        <v>395</v>
      </c>
      <c r="Z20" s="38">
        <v>1123</v>
      </c>
      <c r="AA20" s="38">
        <v>4055275</v>
      </c>
      <c r="AB20" s="38">
        <v>14572579</v>
      </c>
      <c r="AC20" s="38">
        <v>696828</v>
      </c>
      <c r="AD20" s="38">
        <v>126795</v>
      </c>
      <c r="AE20" s="38">
        <v>0</v>
      </c>
      <c r="AF20" s="38">
        <v>948625</v>
      </c>
      <c r="AG20" s="38">
        <v>3944656</v>
      </c>
      <c r="AH20" s="38">
        <v>24344758</v>
      </c>
      <c r="AI20" s="38">
        <v>13660012</v>
      </c>
      <c r="AJ20" s="38">
        <v>10500572</v>
      </c>
      <c r="AK20" s="38">
        <v>184174</v>
      </c>
      <c r="AL20" s="38">
        <v>24344758</v>
      </c>
      <c r="AM20" s="38">
        <v>867962</v>
      </c>
      <c r="AN20" s="38">
        <v>13511</v>
      </c>
      <c r="AO20" s="38">
        <v>50952</v>
      </c>
      <c r="AP20" s="38">
        <v>163616</v>
      </c>
      <c r="AQ20">
        <v>1096041</v>
      </c>
      <c r="AR20" s="1">
        <f t="shared" si="1"/>
        <v>298189</v>
      </c>
      <c r="AS20">
        <f t="shared" si="2"/>
        <v>0.33421753167957707</v>
      </c>
      <c r="AT20">
        <f t="shared" si="3"/>
        <v>70.157804034582128</v>
      </c>
      <c r="AU20">
        <f t="shared" si="4"/>
        <v>1159.0547550432277</v>
      </c>
      <c r="AV20">
        <f t="shared" si="5"/>
        <v>12207.066282420748</v>
      </c>
      <c r="AW20">
        <f t="shared" si="6"/>
        <v>16378.34870317003</v>
      </c>
      <c r="AX20">
        <f t="shared" si="7"/>
        <v>16938.233429394812</v>
      </c>
      <c r="AY20">
        <f t="shared" si="8"/>
        <v>65.694524495677229</v>
      </c>
    </row>
    <row r="21" spans="1:51" x14ac:dyDescent="0.25">
      <c r="A21" s="1" t="s">
        <v>49</v>
      </c>
      <c r="B21" s="104" t="s">
        <v>149</v>
      </c>
      <c r="C21" s="44" t="s">
        <v>113</v>
      </c>
      <c r="D21" s="38">
        <f t="shared" si="0"/>
        <v>8</v>
      </c>
      <c r="E21" s="38">
        <v>6</v>
      </c>
      <c r="F21" s="38">
        <v>13</v>
      </c>
      <c r="G21" s="38">
        <v>671662</v>
      </c>
      <c r="H21" s="38">
        <v>4969</v>
      </c>
      <c r="I21" s="38">
        <v>6079</v>
      </c>
      <c r="J21" s="38">
        <v>2187</v>
      </c>
      <c r="K21" s="38">
        <v>30293</v>
      </c>
      <c r="L21" s="38">
        <v>7207</v>
      </c>
      <c r="M21" s="38">
        <v>573</v>
      </c>
      <c r="N21" s="38">
        <v>20390</v>
      </c>
      <c r="O21" s="38">
        <v>422</v>
      </c>
      <c r="P21" s="38">
        <v>22</v>
      </c>
      <c r="Q21" s="38">
        <v>30</v>
      </c>
      <c r="R21" s="38">
        <v>70</v>
      </c>
      <c r="S21" s="38">
        <v>25</v>
      </c>
      <c r="T21" s="38">
        <v>7324</v>
      </c>
      <c r="U21" s="38">
        <v>186235</v>
      </c>
      <c r="V21" s="38">
        <v>217837</v>
      </c>
      <c r="W21" s="38">
        <v>8000</v>
      </c>
      <c r="X21" s="38">
        <v>35</v>
      </c>
      <c r="Y21" s="38">
        <v>19</v>
      </c>
      <c r="Z21" s="38">
        <v>54</v>
      </c>
      <c r="AA21" s="38">
        <v>1484979</v>
      </c>
      <c r="AB21" s="38">
        <v>766395</v>
      </c>
      <c r="AC21" s="38">
        <v>0</v>
      </c>
      <c r="AD21" s="38">
        <v>0</v>
      </c>
      <c r="AE21" s="38">
        <v>0</v>
      </c>
      <c r="AF21" s="38">
        <v>0</v>
      </c>
      <c r="AG21" s="38">
        <v>460796</v>
      </c>
      <c r="AH21" s="38">
        <v>2712170</v>
      </c>
      <c r="AI21" s="38">
        <v>2583684</v>
      </c>
      <c r="AJ21" s="38">
        <v>128486</v>
      </c>
      <c r="AK21" s="38">
        <v>0</v>
      </c>
      <c r="AL21" s="38">
        <v>2712170</v>
      </c>
      <c r="AM21" s="38">
        <v>86178</v>
      </c>
      <c r="AN21" s="38">
        <v>1342</v>
      </c>
      <c r="AO21" s="38">
        <v>5058</v>
      </c>
      <c r="AP21" s="38">
        <v>16245</v>
      </c>
      <c r="AQ21">
        <v>108823</v>
      </c>
      <c r="AR21" s="1">
        <f t="shared" si="1"/>
        <v>20812</v>
      </c>
      <c r="AS21">
        <f t="shared" si="2"/>
        <v>0.85492822615074571</v>
      </c>
      <c r="AT21">
        <f t="shared" si="3"/>
        <v>339.02125000000001</v>
      </c>
      <c r="AU21">
        <f t="shared" si="4"/>
        <v>915.5</v>
      </c>
      <c r="AV21">
        <f t="shared" si="5"/>
        <v>27229.625</v>
      </c>
      <c r="AW21">
        <f t="shared" si="6"/>
        <v>83957.75</v>
      </c>
      <c r="AX21">
        <f t="shared" si="7"/>
        <v>90371.25</v>
      </c>
      <c r="AY21">
        <f t="shared" si="8"/>
        <v>900.875</v>
      </c>
    </row>
    <row r="22" spans="1:51" x14ac:dyDescent="0.25">
      <c r="A22" s="1" t="s">
        <v>50</v>
      </c>
      <c r="B22" s="104" t="s">
        <v>148</v>
      </c>
      <c r="C22" s="44" t="s">
        <v>114</v>
      </c>
      <c r="D22" s="38">
        <f t="shared" si="0"/>
        <v>1852</v>
      </c>
      <c r="E22" s="38">
        <v>1514</v>
      </c>
      <c r="F22" s="38">
        <v>2020</v>
      </c>
      <c r="G22" s="38">
        <v>39280920</v>
      </c>
      <c r="H22" s="38">
        <v>243411</v>
      </c>
      <c r="I22" s="38">
        <v>316853</v>
      </c>
      <c r="J22" s="38">
        <v>430260</v>
      </c>
      <c r="K22" s="38">
        <v>1496820</v>
      </c>
      <c r="L22" s="38">
        <v>2141553</v>
      </c>
      <c r="M22" s="38">
        <v>37371</v>
      </c>
      <c r="N22" s="38">
        <v>2805780</v>
      </c>
      <c r="O22" s="38">
        <v>117879</v>
      </c>
      <c r="P22" s="38">
        <v>36</v>
      </c>
      <c r="Q22" s="38">
        <v>54</v>
      </c>
      <c r="R22" s="38">
        <v>22888</v>
      </c>
      <c r="S22" s="38">
        <v>8023</v>
      </c>
      <c r="T22" s="38">
        <v>1035944</v>
      </c>
      <c r="U22" s="38">
        <v>5648382</v>
      </c>
      <c r="V22" s="38">
        <v>19316000</v>
      </c>
      <c r="W22" s="38">
        <v>1852000</v>
      </c>
      <c r="X22" s="38">
        <v>1723</v>
      </c>
      <c r="Y22" s="38">
        <v>2004</v>
      </c>
      <c r="Z22" s="38">
        <v>6532</v>
      </c>
      <c r="AA22" s="38">
        <v>203627804</v>
      </c>
      <c r="AB22" s="38">
        <v>123169979</v>
      </c>
      <c r="AC22" s="38">
        <v>9815021</v>
      </c>
      <c r="AD22" s="38">
        <v>203095</v>
      </c>
      <c r="AE22" s="38">
        <v>852375</v>
      </c>
      <c r="AF22" s="38">
        <v>4157287</v>
      </c>
      <c r="AG22" s="38">
        <v>47965860</v>
      </c>
      <c r="AH22" s="38">
        <v>389791421</v>
      </c>
      <c r="AI22" s="38">
        <v>341215177</v>
      </c>
      <c r="AJ22" s="38">
        <v>16022031</v>
      </c>
      <c r="AK22" s="38">
        <v>32554213</v>
      </c>
      <c r="AL22" s="38">
        <v>389791421</v>
      </c>
      <c r="AM22" s="38">
        <v>12350868</v>
      </c>
      <c r="AN22" s="38">
        <v>192267</v>
      </c>
      <c r="AO22" s="38">
        <v>725036</v>
      </c>
      <c r="AP22" s="38">
        <v>2328210</v>
      </c>
      <c r="AQ22">
        <v>15596381</v>
      </c>
      <c r="AR22" s="1">
        <f t="shared" si="1"/>
        <v>2923659</v>
      </c>
      <c r="AS22">
        <f t="shared" si="2"/>
        <v>0.29241985918409608</v>
      </c>
      <c r="AT22">
        <f t="shared" si="3"/>
        <v>210.47052969762419</v>
      </c>
      <c r="AU22">
        <f t="shared" si="4"/>
        <v>559.36501079913603</v>
      </c>
      <c r="AV22">
        <f t="shared" si="5"/>
        <v>10429.805615550757</v>
      </c>
      <c r="AW22">
        <f t="shared" si="6"/>
        <v>21210</v>
      </c>
      <c r="AX22">
        <f t="shared" si="7"/>
        <v>23729.583153347732</v>
      </c>
      <c r="AY22">
        <f t="shared" si="8"/>
        <v>1156.3461123110151</v>
      </c>
    </row>
    <row r="23" spans="1:51" x14ac:dyDescent="0.25">
      <c r="A23" s="1" t="s">
        <v>51</v>
      </c>
      <c r="B23" s="104" t="s">
        <v>149</v>
      </c>
      <c r="C23" s="44" t="s">
        <v>115</v>
      </c>
      <c r="D23" s="38">
        <f t="shared" si="0"/>
        <v>1</v>
      </c>
      <c r="E23" s="38">
        <v>1</v>
      </c>
      <c r="F23" s="38">
        <v>2</v>
      </c>
      <c r="G23" s="38">
        <v>76657</v>
      </c>
      <c r="H23" s="38">
        <v>765</v>
      </c>
      <c r="I23" s="38">
        <v>935</v>
      </c>
      <c r="J23" s="38">
        <v>249</v>
      </c>
      <c r="K23" s="38">
        <v>3458</v>
      </c>
      <c r="L23" s="38">
        <v>870</v>
      </c>
      <c r="M23" s="38">
        <v>88</v>
      </c>
      <c r="N23" s="38">
        <v>2327</v>
      </c>
      <c r="O23" s="38">
        <v>52</v>
      </c>
      <c r="P23" s="38">
        <v>22</v>
      </c>
      <c r="Q23" s="38">
        <v>30</v>
      </c>
      <c r="R23" s="38">
        <v>7</v>
      </c>
      <c r="S23" s="38">
        <v>2</v>
      </c>
      <c r="T23" s="38">
        <v>883</v>
      </c>
      <c r="U23" s="38">
        <v>22447</v>
      </c>
      <c r="V23" s="38">
        <v>26257</v>
      </c>
      <c r="W23" s="38">
        <v>1000</v>
      </c>
      <c r="X23" s="38">
        <v>3</v>
      </c>
      <c r="Y23" s="38">
        <v>2</v>
      </c>
      <c r="Z23" s="38">
        <v>5</v>
      </c>
      <c r="AA23" s="38">
        <v>185623</v>
      </c>
      <c r="AB23" s="38">
        <v>95800</v>
      </c>
      <c r="AC23" s="38">
        <v>0</v>
      </c>
      <c r="AD23" s="38">
        <v>0</v>
      </c>
      <c r="AE23" s="38">
        <v>0</v>
      </c>
      <c r="AF23" s="38">
        <v>0</v>
      </c>
      <c r="AG23" s="38">
        <v>57598</v>
      </c>
      <c r="AH23" s="38">
        <v>339021</v>
      </c>
      <c r="AI23" s="38">
        <v>322961</v>
      </c>
      <c r="AJ23" s="38">
        <v>16061</v>
      </c>
      <c r="AK23" s="38">
        <v>-1</v>
      </c>
      <c r="AL23" s="38">
        <v>339021</v>
      </c>
      <c r="AM23" s="38">
        <v>10772</v>
      </c>
      <c r="AN23" s="38">
        <v>168</v>
      </c>
      <c r="AO23" s="38">
        <v>633</v>
      </c>
      <c r="AP23" s="38">
        <v>2030</v>
      </c>
      <c r="AQ23">
        <v>13603</v>
      </c>
      <c r="AR23" s="1">
        <f t="shared" si="1"/>
        <v>2379</v>
      </c>
      <c r="AS23">
        <f t="shared" si="2"/>
        <v>0.85489583730052943</v>
      </c>
      <c r="AT23">
        <f t="shared" si="3"/>
        <v>339.02100000000002</v>
      </c>
      <c r="AU23">
        <f t="shared" si="4"/>
        <v>883</v>
      </c>
      <c r="AV23">
        <f t="shared" si="5"/>
        <v>26257</v>
      </c>
      <c r="AW23">
        <f t="shared" si="6"/>
        <v>76657</v>
      </c>
      <c r="AX23">
        <f t="shared" si="7"/>
        <v>83022</v>
      </c>
      <c r="AY23">
        <f t="shared" si="8"/>
        <v>870</v>
      </c>
    </row>
    <row r="24" spans="1:51" x14ac:dyDescent="0.25">
      <c r="A24" s="1" t="s">
        <v>52</v>
      </c>
      <c r="B24" s="104" t="s">
        <v>148</v>
      </c>
      <c r="C24" s="44" t="s">
        <v>116</v>
      </c>
      <c r="D24" s="38">
        <f t="shared" si="0"/>
        <v>2.9990000000000001</v>
      </c>
      <c r="E24" s="38">
        <v>6</v>
      </c>
      <c r="F24" s="38">
        <v>6</v>
      </c>
      <c r="G24" s="38">
        <v>469000</v>
      </c>
      <c r="H24" s="38">
        <v>1650</v>
      </c>
      <c r="I24" s="38">
        <v>770</v>
      </c>
      <c r="J24" s="38">
        <v>10</v>
      </c>
      <c r="K24" s="38">
        <v>5</v>
      </c>
      <c r="L24" s="38">
        <v>3200</v>
      </c>
      <c r="M24" s="38">
        <v>184</v>
      </c>
      <c r="N24" s="38">
        <v>3800</v>
      </c>
      <c r="O24" s="38">
        <v>120</v>
      </c>
      <c r="P24" s="38">
        <v>83</v>
      </c>
      <c r="Q24" s="38">
        <v>41</v>
      </c>
      <c r="R24" s="38">
        <v>38</v>
      </c>
      <c r="S24" s="38">
        <v>30</v>
      </c>
      <c r="T24" s="38">
        <v>13837</v>
      </c>
      <c r="U24" s="38">
        <v>248939</v>
      </c>
      <c r="V24" s="38">
        <v>481389</v>
      </c>
      <c r="W24" s="38">
        <v>2999</v>
      </c>
      <c r="X24" s="38">
        <v>5</v>
      </c>
      <c r="Y24" s="38">
        <v>5</v>
      </c>
      <c r="Z24" s="38">
        <v>9</v>
      </c>
      <c r="AA24" s="38">
        <v>303856</v>
      </c>
      <c r="AB24" s="38">
        <v>233335</v>
      </c>
      <c r="AC24" s="38">
        <v>17967</v>
      </c>
      <c r="AD24" s="38">
        <v>151</v>
      </c>
      <c r="AE24" s="38">
        <v>1425</v>
      </c>
      <c r="AF24" s="38">
        <v>8928</v>
      </c>
      <c r="AG24" s="38">
        <v>67651</v>
      </c>
      <c r="AH24" s="38">
        <v>633313</v>
      </c>
      <c r="AI24" s="38">
        <v>563959</v>
      </c>
      <c r="AJ24" s="38">
        <v>0</v>
      </c>
      <c r="AK24" s="38">
        <v>69354</v>
      </c>
      <c r="AL24" s="38">
        <v>633313</v>
      </c>
      <c r="AM24" s="38">
        <v>9906</v>
      </c>
      <c r="AN24" s="38">
        <v>154</v>
      </c>
      <c r="AO24" s="38">
        <v>581</v>
      </c>
      <c r="AP24" s="38">
        <v>1868</v>
      </c>
      <c r="AQ24">
        <v>12509</v>
      </c>
      <c r="AR24" s="1">
        <f t="shared" si="1"/>
        <v>3920</v>
      </c>
      <c r="AS24">
        <f t="shared" si="2"/>
        <v>0.51712648190964061</v>
      </c>
      <c r="AT24">
        <f t="shared" si="3"/>
        <v>211.17472490830278</v>
      </c>
      <c r="AU24">
        <f t="shared" si="4"/>
        <v>4613.8712904301428</v>
      </c>
      <c r="AV24">
        <f t="shared" si="5"/>
        <v>160516.50550183395</v>
      </c>
      <c r="AW24">
        <f t="shared" si="6"/>
        <v>156385.46182060687</v>
      </c>
      <c r="AX24">
        <f t="shared" si="7"/>
        <v>158325.77525841945</v>
      </c>
      <c r="AY24">
        <f t="shared" si="8"/>
        <v>1067.02234078026</v>
      </c>
    </row>
    <row r="25" spans="1:51" x14ac:dyDescent="0.25">
      <c r="A25" s="1" t="s">
        <v>53</v>
      </c>
      <c r="B25" s="104" t="s">
        <v>148</v>
      </c>
      <c r="C25" s="44" t="s">
        <v>117</v>
      </c>
      <c r="D25" s="38">
        <f t="shared" si="0"/>
        <v>540</v>
      </c>
      <c r="E25" s="38">
        <v>23</v>
      </c>
      <c r="F25" s="38">
        <v>138</v>
      </c>
      <c r="G25" s="38">
        <v>25084875</v>
      </c>
      <c r="H25" s="38">
        <v>152742</v>
      </c>
      <c r="I25" s="38">
        <v>161182</v>
      </c>
      <c r="J25" s="38">
        <v>103146</v>
      </c>
      <c r="K25" s="38">
        <v>5797711</v>
      </c>
      <c r="L25" s="38">
        <v>662326</v>
      </c>
      <c r="M25" s="38">
        <v>7736</v>
      </c>
      <c r="N25" s="38">
        <v>686980</v>
      </c>
      <c r="O25" s="38">
        <v>36457</v>
      </c>
      <c r="P25" s="38">
        <v>36</v>
      </c>
      <c r="Q25" s="38">
        <v>54</v>
      </c>
      <c r="R25" s="38">
        <v>7079</v>
      </c>
      <c r="S25" s="38">
        <v>2655</v>
      </c>
      <c r="T25" s="38">
        <v>554154</v>
      </c>
      <c r="U25" s="38">
        <v>4162863</v>
      </c>
      <c r="V25" s="38">
        <v>18077577</v>
      </c>
      <c r="W25" s="38">
        <v>540000</v>
      </c>
      <c r="X25" s="38">
        <v>868</v>
      </c>
      <c r="Y25" s="38">
        <v>1002</v>
      </c>
      <c r="Z25" s="38">
        <v>1870</v>
      </c>
      <c r="AA25" s="38">
        <v>59373118</v>
      </c>
      <c r="AB25" s="38">
        <v>35913493</v>
      </c>
      <c r="AC25" s="38">
        <v>2861832</v>
      </c>
      <c r="AD25" s="38">
        <v>59218</v>
      </c>
      <c r="AE25" s="38">
        <v>248533</v>
      </c>
      <c r="AF25" s="38">
        <v>1212168</v>
      </c>
      <c r="AG25" s="38">
        <v>13985724</v>
      </c>
      <c r="AH25" s="38">
        <v>113654086</v>
      </c>
      <c r="AI25" s="38">
        <v>99490386</v>
      </c>
      <c r="AJ25" s="38">
        <v>4671651</v>
      </c>
      <c r="AK25" s="38">
        <v>9492049</v>
      </c>
      <c r="AL25" s="38">
        <v>113654086</v>
      </c>
      <c r="AM25" s="38">
        <v>3601224</v>
      </c>
      <c r="AN25" s="38">
        <v>56061</v>
      </c>
      <c r="AO25" s="38">
        <v>211403</v>
      </c>
      <c r="AP25" s="38">
        <v>678852</v>
      </c>
      <c r="AQ25">
        <v>4547540</v>
      </c>
      <c r="AR25" s="1">
        <f t="shared" si="1"/>
        <v>723437</v>
      </c>
      <c r="AS25">
        <f t="shared" si="2"/>
        <v>0.23027770812426909</v>
      </c>
      <c r="AT25">
        <f t="shared" si="3"/>
        <v>210.47052962962962</v>
      </c>
      <c r="AU25">
        <f t="shared" si="4"/>
        <v>1026.2111111111112</v>
      </c>
      <c r="AV25">
        <f t="shared" si="5"/>
        <v>33476.994444444441</v>
      </c>
      <c r="AW25">
        <f t="shared" si="6"/>
        <v>46453.472222222219</v>
      </c>
      <c r="AX25">
        <f t="shared" si="7"/>
        <v>59203.181481481479</v>
      </c>
      <c r="AY25">
        <f t="shared" si="8"/>
        <v>1226.5296296296297</v>
      </c>
    </row>
    <row r="26" spans="1:51" x14ac:dyDescent="0.25">
      <c r="A26" s="1" t="s">
        <v>54</v>
      </c>
      <c r="B26" s="104" t="s">
        <v>149</v>
      </c>
      <c r="C26" s="44" t="s">
        <v>118</v>
      </c>
      <c r="D26" s="38">
        <f t="shared" si="0"/>
        <v>194</v>
      </c>
      <c r="E26" s="38">
        <v>85</v>
      </c>
      <c r="F26" s="38">
        <v>186</v>
      </c>
      <c r="G26" s="38">
        <v>12847148</v>
      </c>
      <c r="H26" s="38">
        <v>86079</v>
      </c>
      <c r="I26" s="38">
        <v>129643</v>
      </c>
      <c r="J26" s="38">
        <v>49356</v>
      </c>
      <c r="K26" s="38">
        <v>442477</v>
      </c>
      <c r="L26" s="38">
        <v>115851</v>
      </c>
      <c r="M26" s="38">
        <v>8422</v>
      </c>
      <c r="N26" s="38">
        <v>291236</v>
      </c>
      <c r="O26" s="38">
        <v>5151</v>
      </c>
      <c r="P26" s="38">
        <v>21</v>
      </c>
      <c r="Q26" s="38">
        <v>32</v>
      </c>
      <c r="R26" s="38">
        <v>1140</v>
      </c>
      <c r="S26" s="38">
        <v>424</v>
      </c>
      <c r="T26" s="38">
        <v>125315</v>
      </c>
      <c r="U26" s="38">
        <v>2688468</v>
      </c>
      <c r="V26" s="38">
        <v>5376936</v>
      </c>
      <c r="W26" s="38">
        <v>194000</v>
      </c>
      <c r="X26" s="38">
        <v>619</v>
      </c>
      <c r="Y26" s="38">
        <v>346</v>
      </c>
      <c r="Z26" s="38">
        <v>964</v>
      </c>
      <c r="AA26" s="38">
        <v>38591900</v>
      </c>
      <c r="AB26" s="38">
        <v>21176919</v>
      </c>
      <c r="AC26" s="38">
        <v>0</v>
      </c>
      <c r="AD26" s="38">
        <v>0</v>
      </c>
      <c r="AE26" s="38">
        <v>0</v>
      </c>
      <c r="AF26" s="38">
        <v>0</v>
      </c>
      <c r="AG26" s="38">
        <v>17201698</v>
      </c>
      <c r="AH26" s="38">
        <v>76970517</v>
      </c>
      <c r="AI26" s="38">
        <v>62407529</v>
      </c>
      <c r="AJ26" s="38">
        <v>8521543</v>
      </c>
      <c r="AK26" s="38">
        <v>0</v>
      </c>
      <c r="AL26" s="38">
        <v>70929072</v>
      </c>
      <c r="AM26" s="38">
        <v>2089824</v>
      </c>
      <c r="AN26" s="38">
        <v>32532</v>
      </c>
      <c r="AO26" s="38">
        <v>122679</v>
      </c>
      <c r="AP26" s="38">
        <v>393946</v>
      </c>
      <c r="AQ26">
        <v>2638981</v>
      </c>
      <c r="AR26" s="1">
        <f t="shared" si="1"/>
        <v>296387</v>
      </c>
      <c r="AS26">
        <f t="shared" si="2"/>
        <v>0.5</v>
      </c>
      <c r="AT26">
        <f t="shared" si="3"/>
        <v>396.75524226804123</v>
      </c>
      <c r="AU26">
        <f t="shared" si="4"/>
        <v>645.95360824742272</v>
      </c>
      <c r="AV26">
        <f t="shared" si="5"/>
        <v>27716.164948453606</v>
      </c>
      <c r="AW26">
        <f t="shared" si="6"/>
        <v>66222.412371134022</v>
      </c>
      <c r="AX26">
        <f t="shared" si="7"/>
        <v>70510.18556701031</v>
      </c>
      <c r="AY26">
        <f t="shared" si="8"/>
        <v>597.17010309278351</v>
      </c>
    </row>
    <row r="27" spans="1:51" x14ac:dyDescent="0.25">
      <c r="A27" s="1" t="s">
        <v>55</v>
      </c>
      <c r="B27" s="104" t="s">
        <v>148</v>
      </c>
      <c r="C27" s="44" t="s">
        <v>119</v>
      </c>
      <c r="D27" s="38">
        <f t="shared" si="0"/>
        <v>325</v>
      </c>
      <c r="E27" s="38">
        <v>230</v>
      </c>
      <c r="F27" s="38">
        <v>230</v>
      </c>
      <c r="G27" s="38">
        <v>8616219</v>
      </c>
      <c r="H27" s="38">
        <v>99940</v>
      </c>
      <c r="I27" s="38">
        <v>154155</v>
      </c>
      <c r="J27" s="38">
        <v>14149</v>
      </c>
      <c r="K27" s="38">
        <v>47946</v>
      </c>
      <c r="L27" s="38">
        <v>144852</v>
      </c>
      <c r="M27" s="38">
        <v>12895</v>
      </c>
      <c r="N27" s="38">
        <v>333379</v>
      </c>
      <c r="O27" s="38">
        <v>9748</v>
      </c>
      <c r="P27" s="38">
        <v>36</v>
      </c>
      <c r="Q27" s="38">
        <v>54</v>
      </c>
      <c r="R27" s="38">
        <v>484</v>
      </c>
      <c r="S27" s="38">
        <v>146</v>
      </c>
      <c r="T27" s="38">
        <v>1106067</v>
      </c>
      <c r="U27" s="38">
        <v>1615393</v>
      </c>
      <c r="V27" s="38">
        <v>10534730</v>
      </c>
      <c r="W27" s="38">
        <v>325000</v>
      </c>
      <c r="X27" s="38">
        <v>829</v>
      </c>
      <c r="Y27" s="38">
        <v>470</v>
      </c>
      <c r="Z27" s="38">
        <v>1215</v>
      </c>
      <c r="AA27" s="38">
        <v>7048520</v>
      </c>
      <c r="AB27" s="38">
        <v>10692942</v>
      </c>
      <c r="AC27" s="38">
        <v>0</v>
      </c>
      <c r="AD27" s="38">
        <v>0</v>
      </c>
      <c r="AE27" s="38">
        <v>0</v>
      </c>
      <c r="AF27" s="38">
        <v>0</v>
      </c>
      <c r="AG27" s="38">
        <v>1519291</v>
      </c>
      <c r="AH27" s="38">
        <v>19260753</v>
      </c>
      <c r="AI27" s="38">
        <v>17669449</v>
      </c>
      <c r="AJ27" s="38">
        <v>525356</v>
      </c>
      <c r="AK27" s="38">
        <v>1065948</v>
      </c>
      <c r="AL27" s="38">
        <v>19260753</v>
      </c>
      <c r="AM27" s="38">
        <v>12126</v>
      </c>
      <c r="AN27" s="38">
        <v>0</v>
      </c>
      <c r="AO27" s="38">
        <v>0</v>
      </c>
      <c r="AP27" s="38">
        <v>457209</v>
      </c>
      <c r="AQ27">
        <v>469335</v>
      </c>
      <c r="AR27" s="1">
        <f t="shared" si="1"/>
        <v>343127</v>
      </c>
      <c r="AS27">
        <f t="shared" si="2"/>
        <v>0.15333976286055742</v>
      </c>
      <c r="AT27">
        <f t="shared" si="3"/>
        <v>59.263855384615383</v>
      </c>
      <c r="AU27">
        <f t="shared" si="4"/>
        <v>3403.2830769230768</v>
      </c>
      <c r="AV27">
        <f t="shared" si="5"/>
        <v>32414.553846153845</v>
      </c>
      <c r="AW27">
        <f t="shared" si="6"/>
        <v>26511.443076923078</v>
      </c>
      <c r="AX27">
        <f t="shared" si="7"/>
        <v>27969.710769230769</v>
      </c>
      <c r="AY27">
        <f t="shared" si="8"/>
        <v>445.69846153846152</v>
      </c>
    </row>
    <row r="28" spans="1:51" x14ac:dyDescent="0.25">
      <c r="A28" s="1" t="s">
        <v>56</v>
      </c>
      <c r="B28" s="104" t="s">
        <v>148</v>
      </c>
      <c r="C28" s="44" t="s">
        <v>120</v>
      </c>
      <c r="D28" s="38">
        <f t="shared" si="0"/>
        <v>1680</v>
      </c>
      <c r="E28" s="38">
        <v>610</v>
      </c>
      <c r="F28" s="38">
        <v>1007</v>
      </c>
      <c r="G28" s="38">
        <v>29482682</v>
      </c>
      <c r="H28" s="38">
        <v>234938</v>
      </c>
      <c r="I28" s="38">
        <v>632303</v>
      </c>
      <c r="J28" s="38">
        <v>41839</v>
      </c>
      <c r="K28" s="38">
        <v>1635186</v>
      </c>
      <c r="L28" s="38">
        <v>1038741</v>
      </c>
      <c r="M28" s="38">
        <v>71863</v>
      </c>
      <c r="N28" s="38">
        <v>1371270</v>
      </c>
      <c r="O28" s="38">
        <v>77635</v>
      </c>
      <c r="P28" s="38">
        <v>36</v>
      </c>
      <c r="Q28" s="38">
        <v>54</v>
      </c>
      <c r="R28" s="38">
        <v>17051</v>
      </c>
      <c r="S28" s="38">
        <v>6282</v>
      </c>
      <c r="T28" s="38">
        <v>3805781</v>
      </c>
      <c r="U28" s="38">
        <v>14251982</v>
      </c>
      <c r="V28" s="38">
        <v>51875328</v>
      </c>
      <c r="W28" s="38">
        <v>1680000</v>
      </c>
      <c r="X28" s="38">
        <v>5874</v>
      </c>
      <c r="Y28" s="38">
        <v>1556</v>
      </c>
      <c r="Z28" s="38">
        <v>7430</v>
      </c>
      <c r="AA28" s="38">
        <v>122788945</v>
      </c>
      <c r="AB28" s="38">
        <v>79317863</v>
      </c>
      <c r="AC28" s="38">
        <v>0</v>
      </c>
      <c r="AD28" s="38">
        <v>0</v>
      </c>
      <c r="AE28" s="38">
        <v>0</v>
      </c>
      <c r="AF28" s="38">
        <v>0</v>
      </c>
      <c r="AG28" s="38">
        <v>10218365</v>
      </c>
      <c r="AH28" s="38">
        <v>212325173</v>
      </c>
      <c r="AI28" s="38">
        <v>181396888</v>
      </c>
      <c r="AJ28" s="38">
        <v>9628756</v>
      </c>
      <c r="AK28" s="38">
        <v>21299529</v>
      </c>
      <c r="AL28" s="38">
        <v>212325173</v>
      </c>
      <c r="AM28" s="38">
        <v>6755195</v>
      </c>
      <c r="AN28" s="38">
        <v>105158</v>
      </c>
      <c r="AO28" s="38">
        <v>396552</v>
      </c>
      <c r="AP28" s="38">
        <v>1273393</v>
      </c>
      <c r="AQ28">
        <v>8530298</v>
      </c>
      <c r="AR28" s="1">
        <f t="shared" si="1"/>
        <v>1448905</v>
      </c>
      <c r="AS28">
        <f t="shared" si="2"/>
        <v>0.27473526528834669</v>
      </c>
      <c r="AT28">
        <f t="shared" si="3"/>
        <v>126.38403154761905</v>
      </c>
      <c r="AU28">
        <f t="shared" si="4"/>
        <v>2265.3458333333333</v>
      </c>
      <c r="AV28">
        <f t="shared" si="5"/>
        <v>30878.17142857143</v>
      </c>
      <c r="AW28">
        <f t="shared" si="6"/>
        <v>17549.215476190475</v>
      </c>
      <c r="AX28">
        <f t="shared" si="7"/>
        <v>19724.733333333334</v>
      </c>
      <c r="AY28">
        <f t="shared" si="8"/>
        <v>618.29821428571427</v>
      </c>
    </row>
    <row r="29" spans="1:51" x14ac:dyDescent="0.25">
      <c r="A29" s="1" t="s">
        <v>57</v>
      </c>
      <c r="B29" s="104" t="s">
        <v>148</v>
      </c>
      <c r="C29" s="44" t="s">
        <v>121</v>
      </c>
      <c r="D29" s="38">
        <f t="shared" si="0"/>
        <v>292</v>
      </c>
      <c r="E29" s="38">
        <v>37</v>
      </c>
      <c r="F29" s="38">
        <v>155</v>
      </c>
      <c r="G29" s="38">
        <v>23323000</v>
      </c>
      <c r="H29" s="38">
        <v>254183</v>
      </c>
      <c r="I29" s="38">
        <v>213316</v>
      </c>
      <c r="J29" s="38">
        <v>69985</v>
      </c>
      <c r="K29" s="38">
        <v>2710924</v>
      </c>
      <c r="L29" s="38">
        <v>45375</v>
      </c>
      <c r="M29" s="38">
        <v>9291</v>
      </c>
      <c r="N29" s="38">
        <v>342000</v>
      </c>
      <c r="O29" s="38">
        <v>1045</v>
      </c>
      <c r="P29" s="38">
        <v>22</v>
      </c>
      <c r="Q29" s="38">
        <v>54</v>
      </c>
      <c r="R29" s="38">
        <v>2510</v>
      </c>
      <c r="S29" s="38">
        <v>2328</v>
      </c>
      <c r="T29" s="38">
        <v>497999</v>
      </c>
      <c r="U29" s="38">
        <v>6899208</v>
      </c>
      <c r="V29" s="38">
        <v>8408494</v>
      </c>
      <c r="W29" s="38">
        <v>292000</v>
      </c>
      <c r="X29" s="38">
        <v>1111</v>
      </c>
      <c r="Y29" s="38">
        <v>622</v>
      </c>
      <c r="Z29" s="38">
        <v>1733</v>
      </c>
      <c r="AA29" s="38">
        <v>66313682</v>
      </c>
      <c r="AB29" s="38">
        <v>31054748</v>
      </c>
      <c r="AC29" s="38">
        <v>0</v>
      </c>
      <c r="AD29" s="38">
        <v>0</v>
      </c>
      <c r="AE29" s="38">
        <v>0</v>
      </c>
      <c r="AF29" s="38">
        <v>0</v>
      </c>
      <c r="AG29" s="38">
        <v>20561175</v>
      </c>
      <c r="AH29" s="38">
        <v>117929605</v>
      </c>
      <c r="AI29" s="38">
        <v>103233087</v>
      </c>
      <c r="AJ29" s="38">
        <v>2479925</v>
      </c>
      <c r="AK29" s="38">
        <v>12216593</v>
      </c>
      <c r="AL29" s="38">
        <v>117929605</v>
      </c>
      <c r="AM29" s="38">
        <v>1947329</v>
      </c>
      <c r="AN29" s="38">
        <v>30314</v>
      </c>
      <c r="AO29" s="38">
        <v>114315</v>
      </c>
      <c r="AP29" s="38">
        <v>367082</v>
      </c>
      <c r="AQ29">
        <v>2459040</v>
      </c>
      <c r="AR29" s="1">
        <f t="shared" si="1"/>
        <v>343045</v>
      </c>
      <c r="AS29">
        <f t="shared" si="2"/>
        <v>0.82050459927782549</v>
      </c>
      <c r="AT29">
        <f t="shared" si="3"/>
        <v>403.86851027397262</v>
      </c>
      <c r="AU29">
        <f t="shared" si="4"/>
        <v>1705.4760273972602</v>
      </c>
      <c r="AV29">
        <f t="shared" si="5"/>
        <v>28796.212328767124</v>
      </c>
      <c r="AW29">
        <f t="shared" si="6"/>
        <v>79873.287671232873</v>
      </c>
      <c r="AX29">
        <f t="shared" si="7"/>
        <v>91185.184931506854</v>
      </c>
      <c r="AY29">
        <f t="shared" si="8"/>
        <v>155.39383561643837</v>
      </c>
    </row>
    <row r="30" spans="1:51" x14ac:dyDescent="0.25">
      <c r="A30" s="1" t="s">
        <v>58</v>
      </c>
      <c r="B30" s="104" t="s">
        <v>149</v>
      </c>
      <c r="C30" s="44" t="s">
        <v>122</v>
      </c>
      <c r="D30" s="38">
        <f t="shared" si="0"/>
        <v>162</v>
      </c>
      <c r="E30" s="38">
        <v>151</v>
      </c>
      <c r="F30" s="38">
        <v>345</v>
      </c>
      <c r="G30" s="38">
        <v>17612880</v>
      </c>
      <c r="H30" s="38">
        <v>127657</v>
      </c>
      <c r="I30" s="38">
        <v>156191</v>
      </c>
      <c r="J30" s="38">
        <v>57374</v>
      </c>
      <c r="K30" s="38">
        <v>794376</v>
      </c>
      <c r="L30" s="38">
        <v>195845</v>
      </c>
      <c r="M30" s="38">
        <v>14678</v>
      </c>
      <c r="N30" s="38">
        <v>534663</v>
      </c>
      <c r="O30" s="38">
        <v>11493</v>
      </c>
      <c r="P30" s="38">
        <v>22</v>
      </c>
      <c r="Q30" s="38">
        <v>30</v>
      </c>
      <c r="R30" s="38">
        <v>1888</v>
      </c>
      <c r="S30" s="38">
        <v>708</v>
      </c>
      <c r="T30" s="38">
        <v>199025</v>
      </c>
      <c r="U30" s="38">
        <v>5060410</v>
      </c>
      <c r="V30" s="38">
        <v>5919042</v>
      </c>
      <c r="W30" s="38">
        <v>162000</v>
      </c>
      <c r="X30" s="38">
        <v>912</v>
      </c>
      <c r="Y30" s="38">
        <v>517</v>
      </c>
      <c r="Z30" s="38">
        <v>1429</v>
      </c>
      <c r="AA30" s="38">
        <v>30070810</v>
      </c>
      <c r="AB30" s="38">
        <v>15519502</v>
      </c>
      <c r="AC30" s="38">
        <v>0</v>
      </c>
      <c r="AD30" s="38">
        <v>0</v>
      </c>
      <c r="AE30" s="38">
        <v>0</v>
      </c>
      <c r="AF30" s="38">
        <v>0</v>
      </c>
      <c r="AG30" s="38">
        <v>9331123</v>
      </c>
      <c r="AH30" s="38">
        <v>54921435</v>
      </c>
      <c r="AI30" s="38">
        <v>52319588</v>
      </c>
      <c r="AJ30" s="38">
        <v>2601848</v>
      </c>
      <c r="AK30" s="38">
        <v>-1</v>
      </c>
      <c r="AL30" s="38">
        <v>54921435</v>
      </c>
      <c r="AM30" s="38">
        <v>1745112</v>
      </c>
      <c r="AN30" s="38">
        <v>27167</v>
      </c>
      <c r="AO30" s="38">
        <v>102444</v>
      </c>
      <c r="AP30" s="38">
        <v>328962</v>
      </c>
      <c r="AQ30">
        <v>2203685</v>
      </c>
      <c r="AR30" s="1">
        <f t="shared" si="1"/>
        <v>546156</v>
      </c>
      <c r="AS30">
        <f t="shared" si="2"/>
        <v>0.85493733614324752</v>
      </c>
      <c r="AT30">
        <f t="shared" si="3"/>
        <v>339.02120370370369</v>
      </c>
      <c r="AU30">
        <f t="shared" si="4"/>
        <v>1228.5493827160494</v>
      </c>
      <c r="AV30">
        <f t="shared" si="5"/>
        <v>36537.296296296299</v>
      </c>
      <c r="AW30">
        <f t="shared" si="6"/>
        <v>108721.48148148147</v>
      </c>
      <c r="AX30">
        <f t="shared" si="7"/>
        <v>117030.87037037036</v>
      </c>
      <c r="AY30">
        <f t="shared" si="8"/>
        <v>1208.9197530864199</v>
      </c>
    </row>
    <row r="31" spans="1:51" x14ac:dyDescent="0.25">
      <c r="A31" s="1" t="s">
        <v>59</v>
      </c>
      <c r="B31" s="104" t="s">
        <v>148</v>
      </c>
      <c r="C31" s="44" t="s">
        <v>123</v>
      </c>
      <c r="D31" s="38">
        <f t="shared" si="0"/>
        <v>1910</v>
      </c>
      <c r="E31" s="38">
        <v>166</v>
      </c>
      <c r="F31" s="38">
        <v>790</v>
      </c>
      <c r="G31" s="38">
        <v>104563000</v>
      </c>
      <c r="H31" s="38">
        <v>839000</v>
      </c>
      <c r="I31" s="38">
        <v>1073993</v>
      </c>
      <c r="J31" s="38">
        <v>107000</v>
      </c>
      <c r="K31" s="38">
        <v>10641000</v>
      </c>
      <c r="L31" s="38">
        <v>2405000</v>
      </c>
      <c r="M31" s="38">
        <v>72935</v>
      </c>
      <c r="N31" s="38">
        <v>2831000</v>
      </c>
      <c r="O31" s="38">
        <v>157000</v>
      </c>
      <c r="P31" s="38">
        <v>36</v>
      </c>
      <c r="Q31" s="38">
        <v>54</v>
      </c>
      <c r="R31" s="38">
        <v>35670</v>
      </c>
      <c r="S31" s="38">
        <v>35670</v>
      </c>
      <c r="T31" s="38">
        <v>2449000</v>
      </c>
      <c r="U31" s="38">
        <v>79300000</v>
      </c>
      <c r="V31" s="38">
        <v>119300000</v>
      </c>
      <c r="W31" s="38">
        <v>1910000</v>
      </c>
      <c r="X31" s="38">
        <v>3629</v>
      </c>
      <c r="Y31" s="38">
        <v>6191</v>
      </c>
      <c r="Z31" s="38">
        <v>9820</v>
      </c>
      <c r="AA31" s="38">
        <v>349430033</v>
      </c>
      <c r="AB31" s="38">
        <v>221228019</v>
      </c>
      <c r="AC31" s="38">
        <v>24467620</v>
      </c>
      <c r="AD31" s="38">
        <v>264739</v>
      </c>
      <c r="AE31" s="38">
        <v>2493264</v>
      </c>
      <c r="AF31" s="38">
        <v>0</v>
      </c>
      <c r="AG31" s="38">
        <v>91189805</v>
      </c>
      <c r="AH31" s="38">
        <v>689073480</v>
      </c>
      <c r="AI31" s="38">
        <v>482267515</v>
      </c>
      <c r="AJ31" s="38">
        <v>32964520</v>
      </c>
      <c r="AK31" s="38">
        <v>108013536</v>
      </c>
      <c r="AL31" s="38">
        <v>623245571</v>
      </c>
      <c r="AM31" s="38">
        <v>23780331</v>
      </c>
      <c r="AN31" s="38">
        <v>370189</v>
      </c>
      <c r="AO31" s="38">
        <v>1395983</v>
      </c>
      <c r="AP31" s="38">
        <v>4482731</v>
      </c>
      <c r="AQ31">
        <v>30029234</v>
      </c>
      <c r="AR31" s="1">
        <f t="shared" si="1"/>
        <v>2988000</v>
      </c>
      <c r="AS31">
        <f t="shared" si="2"/>
        <v>0.66471081307627833</v>
      </c>
      <c r="AT31">
        <f t="shared" si="3"/>
        <v>360.77145549738219</v>
      </c>
      <c r="AU31">
        <f t="shared" si="4"/>
        <v>1282.1989528795812</v>
      </c>
      <c r="AV31">
        <f t="shared" si="5"/>
        <v>62460.732984293194</v>
      </c>
      <c r="AW31">
        <f t="shared" si="6"/>
        <v>54745.02617801047</v>
      </c>
      <c r="AX31">
        <f t="shared" si="7"/>
        <v>62671.1664921466</v>
      </c>
      <c r="AY31">
        <f t="shared" si="8"/>
        <v>1259.1623036649214</v>
      </c>
    </row>
    <row r="32" spans="1:51" x14ac:dyDescent="0.25">
      <c r="A32" s="1" t="s">
        <v>60</v>
      </c>
      <c r="B32" s="104" t="s">
        <v>148</v>
      </c>
      <c r="C32" s="44" t="s">
        <v>124</v>
      </c>
      <c r="D32" s="38">
        <f t="shared" si="0"/>
        <v>2415</v>
      </c>
      <c r="E32" s="38">
        <v>241</v>
      </c>
      <c r="F32" s="38">
        <v>845</v>
      </c>
      <c r="G32" s="38">
        <v>154369463</v>
      </c>
      <c r="H32" s="38">
        <v>411815</v>
      </c>
      <c r="I32" s="38">
        <v>519536</v>
      </c>
      <c r="J32" s="38">
        <v>178925</v>
      </c>
      <c r="K32" s="38">
        <v>49986069</v>
      </c>
      <c r="L32" s="38">
        <v>1722099</v>
      </c>
      <c r="M32" s="38">
        <v>70548</v>
      </c>
      <c r="N32" s="38">
        <v>3232266</v>
      </c>
      <c r="O32" s="38">
        <v>61183</v>
      </c>
      <c r="P32" s="38">
        <v>36</v>
      </c>
      <c r="Q32" s="38">
        <v>54</v>
      </c>
      <c r="R32" s="38">
        <v>32716</v>
      </c>
      <c r="S32" s="38">
        <v>11263</v>
      </c>
      <c r="T32" s="38">
        <v>2228181</v>
      </c>
      <c r="U32" s="38">
        <v>57583739</v>
      </c>
      <c r="V32" s="38">
        <v>83547840</v>
      </c>
      <c r="W32" s="38">
        <v>2415000</v>
      </c>
      <c r="X32" s="38">
        <v>5231</v>
      </c>
      <c r="Y32" s="38">
        <v>3638</v>
      </c>
      <c r="Z32" s="38">
        <v>8869</v>
      </c>
      <c r="AA32" s="38">
        <v>240640929</v>
      </c>
      <c r="AB32" s="38">
        <v>200462916</v>
      </c>
      <c r="AC32" s="38">
        <v>18827653</v>
      </c>
      <c r="AD32" s="38">
        <v>0</v>
      </c>
      <c r="AE32" s="38">
        <v>4629073</v>
      </c>
      <c r="AF32" s="38">
        <v>0</v>
      </c>
      <c r="AG32" s="38">
        <v>26773402</v>
      </c>
      <c r="AH32" s="38">
        <v>491333973</v>
      </c>
      <c r="AI32" s="38">
        <v>454813141</v>
      </c>
      <c r="AJ32" s="38">
        <v>11287646</v>
      </c>
      <c r="AK32" s="38">
        <v>25233186</v>
      </c>
      <c r="AL32" s="38">
        <v>491333973</v>
      </c>
      <c r="AM32" s="38">
        <v>15760576</v>
      </c>
      <c r="AN32" s="38">
        <v>0</v>
      </c>
      <c r="AO32" s="38">
        <v>0</v>
      </c>
      <c r="AP32" s="38">
        <v>13353451</v>
      </c>
      <c r="AQ32">
        <v>29114027</v>
      </c>
      <c r="AR32" s="1">
        <f t="shared" si="1"/>
        <v>3293449</v>
      </c>
      <c r="AS32">
        <f t="shared" si="2"/>
        <v>0.68923073295491544</v>
      </c>
      <c r="AT32">
        <f t="shared" si="3"/>
        <v>203.45092049689441</v>
      </c>
      <c r="AU32">
        <f t="shared" si="4"/>
        <v>922.64223602484469</v>
      </c>
      <c r="AV32">
        <f t="shared" si="5"/>
        <v>34595.378881987577</v>
      </c>
      <c r="AW32">
        <f t="shared" si="6"/>
        <v>63921.102691511391</v>
      </c>
      <c r="AX32">
        <f t="shared" si="7"/>
        <v>85821.306418219465</v>
      </c>
      <c r="AY32">
        <f t="shared" si="8"/>
        <v>713.08447204968945</v>
      </c>
    </row>
    <row r="33" spans="1:51" x14ac:dyDescent="0.25">
      <c r="A33" s="1" t="s">
        <v>61</v>
      </c>
      <c r="B33" s="104" t="s">
        <v>159</v>
      </c>
      <c r="C33" s="44" t="s">
        <v>125</v>
      </c>
      <c r="D33" s="38">
        <f t="shared" si="0"/>
        <v>16072.976000000001</v>
      </c>
      <c r="E33" s="38">
        <v>3575</v>
      </c>
      <c r="F33" s="38">
        <v>10148</v>
      </c>
      <c r="G33" s="38">
        <v>878906177</v>
      </c>
      <c r="H33" s="38">
        <v>5717285</v>
      </c>
      <c r="I33" s="38">
        <v>7543703</v>
      </c>
      <c r="J33" s="38">
        <v>5217566</v>
      </c>
      <c r="K33" s="38">
        <v>1062082077</v>
      </c>
      <c r="L33" s="38">
        <v>94285669</v>
      </c>
      <c r="M33" s="38">
        <v>3473225</v>
      </c>
      <c r="N33" s="38">
        <v>24550615</v>
      </c>
      <c r="O33" s="38">
        <v>3249220</v>
      </c>
      <c r="P33" s="38">
        <v>36</v>
      </c>
      <c r="Q33" s="38">
        <v>54</v>
      </c>
      <c r="R33" s="38">
        <v>82736</v>
      </c>
      <c r="S33" s="38">
        <v>28803</v>
      </c>
      <c r="T33" s="38">
        <v>7641610</v>
      </c>
      <c r="U33" s="38">
        <v>220701765</v>
      </c>
      <c r="V33" s="38">
        <v>16541520</v>
      </c>
      <c r="W33" s="38">
        <v>16072976</v>
      </c>
      <c r="X33" s="38">
        <v>30041</v>
      </c>
      <c r="Y33" s="38">
        <v>66668</v>
      </c>
      <c r="Z33" s="38">
        <v>96709</v>
      </c>
      <c r="AA33" s="38">
        <v>2534637034</v>
      </c>
      <c r="AB33" s="38">
        <v>1800363164</v>
      </c>
      <c r="AC33" s="38">
        <v>0</v>
      </c>
      <c r="AD33" s="38">
        <v>0</v>
      </c>
      <c r="AE33" s="38">
        <v>0</v>
      </c>
      <c r="AF33" s="38">
        <v>0</v>
      </c>
      <c r="AG33" s="38">
        <v>694734341</v>
      </c>
      <c r="AH33" s="38">
        <v>5029734539</v>
      </c>
      <c r="AI33" s="38">
        <v>4388151679</v>
      </c>
      <c r="AJ33" s="38">
        <v>204458423</v>
      </c>
      <c r="AK33" s="38">
        <v>437124437</v>
      </c>
      <c r="AL33" s="38">
        <v>5029734539</v>
      </c>
      <c r="AM33" s="38">
        <v>159490587</v>
      </c>
      <c r="AN33" s="38">
        <v>2482795</v>
      </c>
      <c r="AO33" s="38">
        <v>9362619</v>
      </c>
      <c r="AP33" s="38">
        <v>30064902</v>
      </c>
      <c r="AQ33">
        <v>201400903</v>
      </c>
      <c r="AR33" s="1">
        <f t="shared" si="1"/>
        <v>27799835</v>
      </c>
      <c r="AS33">
        <f t="shared" si="2"/>
        <v>13.342290490837602</v>
      </c>
      <c r="AT33">
        <f t="shared" si="3"/>
        <v>312.93112980446188</v>
      </c>
      <c r="AU33">
        <f t="shared" si="4"/>
        <v>475.43217883234564</v>
      </c>
      <c r="AV33">
        <f t="shared" si="5"/>
        <v>1029.1510420969955</v>
      </c>
      <c r="AW33">
        <f t="shared" si="6"/>
        <v>54682.230409601805</v>
      </c>
      <c r="AX33">
        <f t="shared" si="7"/>
        <v>127992.83107247842</v>
      </c>
      <c r="AY33">
        <f t="shared" si="8"/>
        <v>5866.0990348022669</v>
      </c>
    </row>
    <row r="34" spans="1:51" x14ac:dyDescent="0.25">
      <c r="A34" s="1" t="s">
        <v>62</v>
      </c>
      <c r="B34" s="104" t="s">
        <v>160</v>
      </c>
      <c r="C34" s="44" t="s">
        <v>126</v>
      </c>
      <c r="D34" s="38">
        <f t="shared" si="0"/>
        <v>1019.7809999999999</v>
      </c>
      <c r="E34" s="38">
        <v>164</v>
      </c>
      <c r="F34" s="38">
        <v>201</v>
      </c>
      <c r="G34" s="38">
        <v>15884663</v>
      </c>
      <c r="H34" s="38">
        <v>103330</v>
      </c>
      <c r="I34" s="38">
        <v>139519</v>
      </c>
      <c r="J34" s="38">
        <v>94299</v>
      </c>
      <c r="K34" s="38">
        <v>11098696</v>
      </c>
      <c r="L34" s="38">
        <v>1016810</v>
      </c>
      <c r="M34" s="38">
        <v>37931</v>
      </c>
      <c r="N34" s="38">
        <v>481848</v>
      </c>
      <c r="O34" s="38">
        <v>38764</v>
      </c>
      <c r="P34" s="38">
        <v>22</v>
      </c>
      <c r="Q34" s="38">
        <v>30</v>
      </c>
      <c r="R34" s="38">
        <v>20184</v>
      </c>
      <c r="S34" s="38">
        <v>7203</v>
      </c>
      <c r="T34" s="38">
        <v>1864187</v>
      </c>
      <c r="U34" s="38">
        <v>38142111</v>
      </c>
      <c r="V34" s="38">
        <v>34461925</v>
      </c>
      <c r="W34" s="38">
        <v>1019781</v>
      </c>
      <c r="X34" s="38">
        <v>608</v>
      </c>
      <c r="Y34" s="38">
        <v>910</v>
      </c>
      <c r="Z34" s="38">
        <v>1518</v>
      </c>
      <c r="AA34" s="38">
        <v>2938235</v>
      </c>
      <c r="AB34" s="38">
        <v>4142888</v>
      </c>
      <c r="AC34" s="38">
        <v>30239</v>
      </c>
      <c r="AD34" s="38">
        <v>164251</v>
      </c>
      <c r="AE34" s="38">
        <v>100089</v>
      </c>
      <c r="AF34" s="38">
        <v>447391</v>
      </c>
      <c r="AG34" s="38">
        <v>1288970</v>
      </c>
      <c r="AH34" s="38">
        <v>9112063</v>
      </c>
      <c r="AI34" s="38">
        <v>6950020</v>
      </c>
      <c r="AJ34" s="38">
        <v>213410</v>
      </c>
      <c r="AK34" s="38">
        <v>1948633</v>
      </c>
      <c r="AL34" s="38">
        <v>9112063</v>
      </c>
      <c r="AM34" s="38">
        <v>1386857</v>
      </c>
      <c r="AN34" s="38">
        <v>0</v>
      </c>
      <c r="AO34" s="38">
        <v>70875</v>
      </c>
      <c r="AP34" s="38">
        <v>16648</v>
      </c>
      <c r="AQ34">
        <v>1474380</v>
      </c>
      <c r="AR34" s="1">
        <f t="shared" si="1"/>
        <v>520612</v>
      </c>
      <c r="AS34">
        <f t="shared" si="2"/>
        <v>1.1067899137961679</v>
      </c>
      <c r="AT34">
        <f t="shared" si="3"/>
        <v>8.9353135624217348</v>
      </c>
      <c r="AU34">
        <f t="shared" si="4"/>
        <v>1828.0268018329427</v>
      </c>
      <c r="AV34">
        <f t="shared" si="5"/>
        <v>33793.456634316586</v>
      </c>
      <c r="AW34">
        <f t="shared" si="6"/>
        <v>15576.543395101498</v>
      </c>
      <c r="AX34">
        <f t="shared" si="7"/>
        <v>27824.844746077837</v>
      </c>
      <c r="AY34">
        <f t="shared" si="8"/>
        <v>997.08662938415216</v>
      </c>
    </row>
    <row r="35" spans="1:51" x14ac:dyDescent="0.25">
      <c r="A35" s="1" t="s">
        <v>63</v>
      </c>
      <c r="B35" s="104" t="s">
        <v>159</v>
      </c>
      <c r="C35" s="44" t="s">
        <v>127</v>
      </c>
      <c r="D35" s="38">
        <f t="shared" si="0"/>
        <v>1063.7750000000001</v>
      </c>
      <c r="E35" s="38">
        <v>181</v>
      </c>
      <c r="F35" s="38">
        <v>444</v>
      </c>
      <c r="G35" s="38">
        <v>35088509</v>
      </c>
      <c r="H35" s="38">
        <v>228251</v>
      </c>
      <c r="I35" s="38">
        <v>308190</v>
      </c>
      <c r="J35" s="38">
        <v>208301</v>
      </c>
      <c r="K35" s="38">
        <v>24516522</v>
      </c>
      <c r="L35" s="38">
        <v>2271047</v>
      </c>
      <c r="M35" s="38">
        <v>83788</v>
      </c>
      <c r="N35" s="38">
        <v>1064381</v>
      </c>
      <c r="O35" s="38">
        <v>86580</v>
      </c>
      <c r="P35" s="38">
        <v>36</v>
      </c>
      <c r="Q35" s="38">
        <v>54</v>
      </c>
      <c r="R35" s="38">
        <v>5795</v>
      </c>
      <c r="S35" s="38">
        <v>2068</v>
      </c>
      <c r="T35" s="38">
        <v>535213</v>
      </c>
      <c r="U35" s="38">
        <v>10950706</v>
      </c>
      <c r="V35" s="38">
        <v>9894114</v>
      </c>
      <c r="W35" s="38">
        <v>1063775</v>
      </c>
      <c r="X35" s="38">
        <v>1343</v>
      </c>
      <c r="Y35" s="38">
        <v>2012</v>
      </c>
      <c r="Z35" s="38">
        <v>3355</v>
      </c>
      <c r="AA35" s="38">
        <v>167752600</v>
      </c>
      <c r="AB35" s="38">
        <v>119155366</v>
      </c>
      <c r="AC35" s="38">
        <v>0</v>
      </c>
      <c r="AD35" s="38">
        <v>0</v>
      </c>
      <c r="AE35" s="38">
        <v>0</v>
      </c>
      <c r="AF35" s="38">
        <v>0</v>
      </c>
      <c r="AG35" s="38">
        <v>45980347</v>
      </c>
      <c r="AH35" s="38">
        <v>332888313</v>
      </c>
      <c r="AI35" s="38">
        <v>290425747</v>
      </c>
      <c r="AJ35" s="38">
        <v>13531891</v>
      </c>
      <c r="AK35" s="38">
        <v>28930675</v>
      </c>
      <c r="AL35" s="38">
        <v>332888313</v>
      </c>
      <c r="AM35" s="38">
        <v>10555736</v>
      </c>
      <c r="AN35" s="38">
        <v>164322</v>
      </c>
      <c r="AO35" s="38">
        <v>619656</v>
      </c>
      <c r="AP35" s="38">
        <v>1989818</v>
      </c>
      <c r="AQ35">
        <v>13329532</v>
      </c>
      <c r="AR35" s="1">
        <f t="shared" si="1"/>
        <v>1150961</v>
      </c>
      <c r="AS35">
        <f t="shared" si="2"/>
        <v>1.1067899561294725</v>
      </c>
      <c r="AT35">
        <f t="shared" si="3"/>
        <v>312.93113017320394</v>
      </c>
      <c r="AU35">
        <f t="shared" si="4"/>
        <v>503.12613099574622</v>
      </c>
      <c r="AV35">
        <f t="shared" si="5"/>
        <v>9300.9461587271744</v>
      </c>
      <c r="AW35">
        <f t="shared" si="6"/>
        <v>32984.897182204884</v>
      </c>
      <c r="AX35">
        <f t="shared" si="7"/>
        <v>58945.367206411123</v>
      </c>
      <c r="AY35">
        <f t="shared" si="8"/>
        <v>2134.894127047543</v>
      </c>
    </row>
    <row r="36" spans="1:51" x14ac:dyDescent="0.25">
      <c r="A36" s="1" t="s">
        <v>64</v>
      </c>
      <c r="B36" s="104" t="s">
        <v>159</v>
      </c>
      <c r="C36" s="44" t="s">
        <v>128</v>
      </c>
      <c r="D36" s="38">
        <f t="shared" si="0"/>
        <v>3782.3130000000001</v>
      </c>
      <c r="E36" s="38">
        <v>1064</v>
      </c>
      <c r="F36" s="38">
        <v>1651</v>
      </c>
      <c r="G36" s="38">
        <v>280726000</v>
      </c>
      <c r="H36" s="38">
        <v>1742791</v>
      </c>
      <c r="I36" s="38">
        <v>2353161</v>
      </c>
      <c r="J36" s="38">
        <v>1590463</v>
      </c>
      <c r="K36" s="38">
        <v>90887827</v>
      </c>
      <c r="L36" s="38">
        <v>8278609</v>
      </c>
      <c r="M36" s="38">
        <v>310617</v>
      </c>
      <c r="N36" s="38">
        <v>7637000</v>
      </c>
      <c r="O36" s="38">
        <v>315608</v>
      </c>
      <c r="P36" s="38">
        <v>36</v>
      </c>
      <c r="Q36" s="38">
        <v>54</v>
      </c>
      <c r="R36" s="38">
        <v>31557</v>
      </c>
      <c r="S36" s="38">
        <v>11262</v>
      </c>
      <c r="T36" s="38">
        <v>2914715</v>
      </c>
      <c r="U36" s="38">
        <v>28374000</v>
      </c>
      <c r="V36" s="38">
        <v>53882295</v>
      </c>
      <c r="W36" s="38">
        <v>3782313</v>
      </c>
      <c r="X36" s="38">
        <v>7508</v>
      </c>
      <c r="Y36" s="38">
        <v>6902</v>
      </c>
      <c r="Z36" s="38">
        <v>14410</v>
      </c>
      <c r="AA36" s="38">
        <v>217143840</v>
      </c>
      <c r="AB36" s="38">
        <v>685720182</v>
      </c>
      <c r="AC36" s="38">
        <v>2303953</v>
      </c>
      <c r="AD36" s="38">
        <v>85529</v>
      </c>
      <c r="AE36" s="38">
        <v>805492</v>
      </c>
      <c r="AF36" s="38">
        <v>1661955</v>
      </c>
      <c r="AG36" s="38">
        <v>28519971</v>
      </c>
      <c r="AH36" s="38">
        <v>936240922</v>
      </c>
      <c r="AI36" s="38">
        <v>835799770</v>
      </c>
      <c r="AJ36" s="38">
        <v>35882362</v>
      </c>
      <c r="AK36" s="38">
        <v>64558790</v>
      </c>
      <c r="AL36" s="38">
        <v>936240922</v>
      </c>
      <c r="AM36" s="38">
        <v>37271852</v>
      </c>
      <c r="AN36" s="38">
        <v>580212</v>
      </c>
      <c r="AO36" s="38">
        <v>2187979</v>
      </c>
      <c r="AP36" s="38">
        <v>7025961</v>
      </c>
      <c r="AQ36">
        <v>47066004</v>
      </c>
      <c r="AR36" s="1">
        <f t="shared" si="1"/>
        <v>7952608</v>
      </c>
      <c r="AS36">
        <f t="shared" si="2"/>
        <v>0.52659226931592285</v>
      </c>
      <c r="AT36">
        <f t="shared" si="3"/>
        <v>247.53131800567536</v>
      </c>
      <c r="AU36">
        <f t="shared" si="4"/>
        <v>770.61708007771961</v>
      </c>
      <c r="AV36">
        <f t="shared" si="5"/>
        <v>14245.858288301364</v>
      </c>
      <c r="AW36">
        <f t="shared" si="6"/>
        <v>74220.721553187162</v>
      </c>
      <c r="AX36">
        <f t="shared" si="7"/>
        <v>102024.73142756826</v>
      </c>
      <c r="AY36">
        <f t="shared" si="8"/>
        <v>2188.7688829560111</v>
      </c>
    </row>
    <row r="37" spans="1:51" x14ac:dyDescent="0.25">
      <c r="A37" s="1" t="s">
        <v>140</v>
      </c>
      <c r="B37" s="104" t="s">
        <v>159</v>
      </c>
      <c r="C37" s="1" t="s">
        <v>143</v>
      </c>
      <c r="D37" s="38">
        <f t="shared" si="0"/>
        <v>2413.145</v>
      </c>
      <c r="E37" s="1">
        <v>676</v>
      </c>
      <c r="F37" s="1">
        <v>1050</v>
      </c>
      <c r="G37" s="1">
        <v>170932232</v>
      </c>
      <c r="H37" s="1">
        <v>1111914</v>
      </c>
      <c r="I37" s="1">
        <v>1501335</v>
      </c>
      <c r="J37" s="1">
        <v>1014728</v>
      </c>
      <c r="K37" s="1">
        <v>57987138</v>
      </c>
      <c r="L37" s="1">
        <v>5281817</v>
      </c>
      <c r="M37" s="1">
        <v>198176</v>
      </c>
      <c r="N37" s="1">
        <v>5191892</v>
      </c>
      <c r="O37" s="1">
        <v>201360</v>
      </c>
      <c r="P37" s="1">
        <v>36</v>
      </c>
      <c r="Q37" s="1">
        <v>54</v>
      </c>
      <c r="R37" s="1">
        <v>20134</v>
      </c>
      <c r="S37" s="1">
        <v>7185</v>
      </c>
      <c r="T37" s="1">
        <v>1859611</v>
      </c>
      <c r="U37" s="1">
        <v>18299262</v>
      </c>
      <c r="V37" s="1">
        <v>34377322</v>
      </c>
      <c r="W37" s="1">
        <v>2413145</v>
      </c>
      <c r="X37" s="1">
        <v>4821</v>
      </c>
      <c r="Y37" s="1">
        <v>4622</v>
      </c>
      <c r="Z37" s="31">
        <v>9443</v>
      </c>
      <c r="AA37" s="1">
        <v>195146717</v>
      </c>
      <c r="AB37" s="1">
        <v>539538391</v>
      </c>
      <c r="AC37" s="1">
        <v>2070557</v>
      </c>
      <c r="AD37" s="1">
        <v>76865</v>
      </c>
      <c r="AE37" s="1">
        <v>723894</v>
      </c>
      <c r="AF37" s="1">
        <v>1493595</v>
      </c>
      <c r="AG37" s="1">
        <v>25630840</v>
      </c>
      <c r="AH37" s="1">
        <v>764680859</v>
      </c>
      <c r="AI37" s="1">
        <v>667139701</v>
      </c>
      <c r="AJ37" s="1">
        <v>31084234</v>
      </c>
      <c r="AK37" s="1">
        <v>66456924</v>
      </c>
      <c r="AL37" s="1">
        <v>764680859</v>
      </c>
      <c r="AM37" s="1">
        <v>23779731</v>
      </c>
      <c r="AN37" s="1">
        <v>370180</v>
      </c>
      <c r="AO37" s="1">
        <v>1395948</v>
      </c>
      <c r="AP37" s="1">
        <v>4482617</v>
      </c>
      <c r="AQ37">
        <v>30028476</v>
      </c>
      <c r="AR37" s="1">
        <f t="shared" si="1"/>
        <v>5393252</v>
      </c>
      <c r="AS37">
        <f t="shared" si="2"/>
        <v>0.53230621047212456</v>
      </c>
      <c r="AT37">
        <f t="shared" si="3"/>
        <v>316.88143853767593</v>
      </c>
      <c r="AU37">
        <f t="shared" si="4"/>
        <v>770.61718214197651</v>
      </c>
      <c r="AV37">
        <f t="shared" si="5"/>
        <v>14245.858412983886</v>
      </c>
      <c r="AW37">
        <f t="shared" si="6"/>
        <v>70833.800704060472</v>
      </c>
      <c r="AX37">
        <f t="shared" si="7"/>
        <v>98637.810823634718</v>
      </c>
      <c r="AY37">
        <f t="shared" si="8"/>
        <v>2188.7690130514329</v>
      </c>
    </row>
    <row r="38" spans="1:51" x14ac:dyDescent="0.25">
      <c r="A38" s="1" t="s">
        <v>141</v>
      </c>
      <c r="B38" s="104" t="s">
        <v>159</v>
      </c>
      <c r="C38" s="1" t="s">
        <v>144</v>
      </c>
      <c r="D38" s="38">
        <f t="shared" si="0"/>
        <v>2030.395</v>
      </c>
      <c r="E38" s="1">
        <v>2739</v>
      </c>
      <c r="F38" s="1">
        <v>910</v>
      </c>
      <c r="G38" s="1">
        <v>75032608</v>
      </c>
      <c r="H38" s="1">
        <v>704438</v>
      </c>
      <c r="I38" s="1">
        <v>150814</v>
      </c>
      <c r="J38" s="1">
        <v>642867</v>
      </c>
      <c r="K38" s="1">
        <v>128742278</v>
      </c>
      <c r="L38" s="1">
        <v>11440224</v>
      </c>
      <c r="M38" s="1">
        <v>421442</v>
      </c>
      <c r="N38" s="1">
        <v>3034914</v>
      </c>
      <c r="O38" s="1">
        <v>395232</v>
      </c>
      <c r="P38" s="1">
        <v>36</v>
      </c>
      <c r="Q38" s="1">
        <v>54</v>
      </c>
      <c r="R38" s="1">
        <v>10489</v>
      </c>
      <c r="S38" s="1">
        <v>3658</v>
      </c>
      <c r="T38" s="1">
        <v>968806</v>
      </c>
      <c r="U38" s="1">
        <v>27446627</v>
      </c>
      <c r="V38" s="1">
        <v>241138449</v>
      </c>
      <c r="W38" s="1">
        <v>2030395</v>
      </c>
      <c r="X38" s="1">
        <v>3130</v>
      </c>
      <c r="Y38" s="1">
        <v>6616</v>
      </c>
      <c r="Z38" s="31">
        <v>13349</v>
      </c>
      <c r="AA38" s="1">
        <v>402701509</v>
      </c>
      <c r="AB38" s="1">
        <v>87045658</v>
      </c>
      <c r="AC38" s="1">
        <v>0</v>
      </c>
      <c r="AD38" s="1">
        <v>0</v>
      </c>
      <c r="AE38" s="1">
        <v>0</v>
      </c>
      <c r="AF38" s="1">
        <v>0</v>
      </c>
      <c r="AG38" s="1">
        <v>130705857</v>
      </c>
      <c r="AH38" s="1">
        <v>620453024</v>
      </c>
      <c r="AI38" s="1">
        <v>573016599</v>
      </c>
      <c r="AJ38" s="1">
        <v>14160664</v>
      </c>
      <c r="AK38" s="1">
        <v>33275761</v>
      </c>
      <c r="AL38" s="1">
        <v>620453024</v>
      </c>
      <c r="AM38" s="1">
        <v>25852154</v>
      </c>
      <c r="AN38" s="1">
        <v>38825</v>
      </c>
      <c r="AO38" s="1">
        <v>1941548</v>
      </c>
      <c r="AP38" s="1">
        <v>309008</v>
      </c>
      <c r="AQ38">
        <v>28141535</v>
      </c>
      <c r="AR38" s="1">
        <f t="shared" si="1"/>
        <v>3430146</v>
      </c>
      <c r="AS38">
        <f t="shared" si="2"/>
        <v>0.11382103150211437</v>
      </c>
      <c r="AT38">
        <f t="shared" si="3"/>
        <v>305.58242312456446</v>
      </c>
      <c r="AU38">
        <f t="shared" si="4"/>
        <v>477.15149022727104</v>
      </c>
      <c r="AV38">
        <f t="shared" si="5"/>
        <v>118764.3039901103</v>
      </c>
      <c r="AW38">
        <f t="shared" si="6"/>
        <v>36954.685172097059</v>
      </c>
      <c r="AX38">
        <f t="shared" si="7"/>
        <v>106942.08319070919</v>
      </c>
      <c r="AY38">
        <f t="shared" si="8"/>
        <v>5634.4819604067188</v>
      </c>
    </row>
    <row r="39" spans="1:51" x14ac:dyDescent="0.25">
      <c r="A39" s="1" t="s">
        <v>142</v>
      </c>
      <c r="B39" s="104" t="s">
        <v>159</v>
      </c>
      <c r="C39" s="1" t="s">
        <v>145</v>
      </c>
      <c r="D39" s="38">
        <f t="shared" si="0"/>
        <v>169.55699999999999</v>
      </c>
      <c r="E39" s="1">
        <v>37</v>
      </c>
      <c r="F39" s="1">
        <v>105</v>
      </c>
      <c r="G39" s="1">
        <v>9043383</v>
      </c>
      <c r="H39" s="1">
        <v>58827</v>
      </c>
      <c r="I39" s="1">
        <v>77689</v>
      </c>
      <c r="J39" s="1">
        <v>53685</v>
      </c>
      <c r="K39" s="1">
        <v>10751186</v>
      </c>
      <c r="L39" s="1">
        <v>955366</v>
      </c>
      <c r="M39" s="1">
        <v>35194</v>
      </c>
      <c r="N39" s="1">
        <v>253444</v>
      </c>
      <c r="O39" s="1">
        <v>33006</v>
      </c>
      <c r="P39" s="1">
        <v>36</v>
      </c>
      <c r="Q39" s="1">
        <v>54</v>
      </c>
      <c r="R39" s="1">
        <v>876</v>
      </c>
      <c r="S39" s="1">
        <v>305</v>
      </c>
      <c r="T39" s="1">
        <v>80904</v>
      </c>
      <c r="U39" s="1">
        <v>2292050</v>
      </c>
      <c r="V39" s="1">
        <v>261563</v>
      </c>
      <c r="W39" s="1">
        <v>169557</v>
      </c>
      <c r="X39" s="1">
        <v>311</v>
      </c>
      <c r="Y39" s="1">
        <v>680</v>
      </c>
      <c r="Z39" s="31">
        <v>991</v>
      </c>
      <c r="AA39" s="1">
        <v>26738387</v>
      </c>
      <c r="AB39" s="1">
        <v>18992387</v>
      </c>
      <c r="AC39" s="1">
        <v>0</v>
      </c>
      <c r="AD39" s="1">
        <v>0</v>
      </c>
      <c r="AE39" s="1">
        <v>0</v>
      </c>
      <c r="AF39" s="1">
        <v>0</v>
      </c>
      <c r="AG39" s="1">
        <v>7328890</v>
      </c>
      <c r="AH39" s="1">
        <v>53059664</v>
      </c>
      <c r="AI39" s="1">
        <v>46291479</v>
      </c>
      <c r="AJ39" s="1">
        <v>2156873</v>
      </c>
      <c r="AK39" s="1">
        <v>4611312</v>
      </c>
      <c r="AL39" s="1">
        <v>53059664</v>
      </c>
      <c r="AM39" s="1">
        <v>1682497</v>
      </c>
      <c r="AN39" s="1">
        <v>26191</v>
      </c>
      <c r="AO39" s="1">
        <v>98768</v>
      </c>
      <c r="AP39" s="1">
        <v>317162</v>
      </c>
      <c r="AQ39">
        <v>2124618</v>
      </c>
      <c r="AR39" s="1">
        <f t="shared" si="1"/>
        <v>286450</v>
      </c>
      <c r="AS39">
        <f t="shared" si="2"/>
        <v>8.7628984221774484</v>
      </c>
      <c r="AT39">
        <f t="shared" si="3"/>
        <v>312.93113230359114</v>
      </c>
      <c r="AU39">
        <f t="shared" si="4"/>
        <v>477.14927723420448</v>
      </c>
      <c r="AV39">
        <f t="shared" si="5"/>
        <v>1542.6257836597724</v>
      </c>
      <c r="AW39">
        <f t="shared" si="6"/>
        <v>53335.356251879901</v>
      </c>
      <c r="AX39">
        <f t="shared" si="7"/>
        <v>123706.65911758288</v>
      </c>
      <c r="AY39">
        <f t="shared" si="8"/>
        <v>5634.482799294633</v>
      </c>
    </row>
    <row r="40" spans="1:51" x14ac:dyDescent="0.25">
      <c r="A40" s="1" t="s">
        <v>146</v>
      </c>
      <c r="B40" s="104" t="s">
        <v>160</v>
      </c>
      <c r="C40" s="1" t="s">
        <v>150</v>
      </c>
      <c r="D40" s="38">
        <f t="shared" si="0"/>
        <v>1492.1759999999999</v>
      </c>
      <c r="E40" s="1">
        <v>240</v>
      </c>
      <c r="F40" s="1">
        <v>294</v>
      </c>
      <c r="G40" s="1">
        <v>23242938</v>
      </c>
      <c r="H40" s="1">
        <v>151196</v>
      </c>
      <c r="I40" s="1">
        <v>204149</v>
      </c>
      <c r="J40" s="1">
        <v>137981</v>
      </c>
      <c r="K40" s="1">
        <v>16239961</v>
      </c>
      <c r="L40" s="1">
        <v>1487828</v>
      </c>
      <c r="M40" s="1">
        <v>55502</v>
      </c>
      <c r="N40" s="1">
        <v>705055</v>
      </c>
      <c r="O40" s="1">
        <v>56721</v>
      </c>
      <c r="P40" s="1">
        <v>22</v>
      </c>
      <c r="Q40" s="1">
        <v>30</v>
      </c>
      <c r="R40" s="1">
        <v>29534</v>
      </c>
      <c r="S40" s="1">
        <v>10540</v>
      </c>
      <c r="T40" s="1">
        <v>2727737</v>
      </c>
      <c r="U40" s="1">
        <v>55810735</v>
      </c>
      <c r="V40" s="1">
        <v>50425771</v>
      </c>
      <c r="W40" s="1">
        <v>1492176</v>
      </c>
      <c r="X40" s="1">
        <v>890</v>
      </c>
      <c r="Y40" s="1">
        <v>1332</v>
      </c>
      <c r="Z40" s="31">
        <v>2222</v>
      </c>
      <c r="AA40" s="1">
        <v>3680066</v>
      </c>
      <c r="AB40" s="1">
        <v>5188865</v>
      </c>
      <c r="AC40" s="1">
        <v>37873</v>
      </c>
      <c r="AD40" s="1">
        <v>205720</v>
      </c>
      <c r="AE40" s="1">
        <v>125359</v>
      </c>
      <c r="AF40" s="1">
        <v>560346</v>
      </c>
      <c r="AG40" s="1">
        <v>1614405</v>
      </c>
      <c r="AH40" s="1">
        <v>11412634</v>
      </c>
      <c r="AI40" s="1">
        <v>8704729</v>
      </c>
      <c r="AJ40" s="1">
        <v>267290</v>
      </c>
      <c r="AK40" s="1">
        <v>2440615</v>
      </c>
      <c r="AL40" s="1">
        <v>11412634</v>
      </c>
      <c r="AM40" s="1">
        <v>1737004</v>
      </c>
      <c r="AN40" s="1">
        <v>0</v>
      </c>
      <c r="AO40" s="1">
        <v>88770</v>
      </c>
      <c r="AP40" s="1">
        <v>20850</v>
      </c>
      <c r="AQ40">
        <v>1846624</v>
      </c>
      <c r="AR40" s="1">
        <f t="shared" si="1"/>
        <v>761776</v>
      </c>
      <c r="AS40">
        <f t="shared" si="2"/>
        <v>1.1067899189880508</v>
      </c>
      <c r="AT40">
        <f t="shared" si="3"/>
        <v>7.6483162844061292</v>
      </c>
      <c r="AU40">
        <f t="shared" si="4"/>
        <v>1828.0263186112095</v>
      </c>
      <c r="AV40">
        <f t="shared" si="5"/>
        <v>33793.447287719413</v>
      </c>
      <c r="AW40">
        <f t="shared" si="6"/>
        <v>15576.539228616464</v>
      </c>
      <c r="AX40">
        <f t="shared" si="7"/>
        <v>27824.8376867072</v>
      </c>
      <c r="AY40">
        <f t="shared" si="8"/>
        <v>997.08613461146683</v>
      </c>
    </row>
    <row r="41" spans="1:51" x14ac:dyDescent="0.25">
      <c r="A41" s="1" t="s">
        <v>151</v>
      </c>
      <c r="B41" s="104" t="s">
        <v>156</v>
      </c>
      <c r="C41" s="1"/>
      <c r="D41" s="38">
        <f t="shared" si="0"/>
        <v>2302</v>
      </c>
      <c r="E41" s="1">
        <v>934</v>
      </c>
      <c r="F41" s="1">
        <v>3615</v>
      </c>
      <c r="G41" s="1">
        <v>131734074</v>
      </c>
      <c r="H41" s="1">
        <v>1142831</v>
      </c>
      <c r="I41" s="1">
        <v>1168450</v>
      </c>
      <c r="J41" s="1">
        <v>1960226</v>
      </c>
      <c r="K41" s="1">
        <v>8711868</v>
      </c>
      <c r="L41" s="1">
        <v>852840</v>
      </c>
      <c r="M41" s="1">
        <v>88631</v>
      </c>
      <c r="N41" s="1">
        <v>4228576</v>
      </c>
      <c r="O41" s="1">
        <v>57769</v>
      </c>
      <c r="P41" s="35">
        <v>7</v>
      </c>
      <c r="Q41" s="35">
        <v>26</v>
      </c>
      <c r="R41" s="1">
        <v>6829</v>
      </c>
      <c r="S41" s="1">
        <v>3511</v>
      </c>
      <c r="T41" s="1">
        <v>2553436</v>
      </c>
      <c r="U41" s="1">
        <v>55149153</v>
      </c>
      <c r="V41" s="1">
        <v>37603812</v>
      </c>
      <c r="W41" s="1">
        <v>2302000</v>
      </c>
      <c r="X41" s="1">
        <v>11489</v>
      </c>
      <c r="Y41" s="1">
        <v>4214</v>
      </c>
      <c r="Z41" s="31">
        <v>15703</v>
      </c>
      <c r="AA41" s="1">
        <v>33263888</v>
      </c>
      <c r="AB41" s="1">
        <v>47382991</v>
      </c>
      <c r="AC41" s="1">
        <v>565690</v>
      </c>
      <c r="AD41" s="1">
        <v>1636390</v>
      </c>
      <c r="AE41" s="1">
        <v>1196376</v>
      </c>
      <c r="AF41" s="1">
        <v>3889473</v>
      </c>
      <c r="AG41" s="1">
        <v>13733644</v>
      </c>
      <c r="AH41" s="1">
        <v>101668452</v>
      </c>
      <c r="AI41" s="1">
        <v>79791420</v>
      </c>
      <c r="AJ41" s="1">
        <v>2661068</v>
      </c>
      <c r="AK41" s="1">
        <v>18955212</v>
      </c>
      <c r="AL41" s="1">
        <v>101407700</v>
      </c>
      <c r="AM41" s="1">
        <v>14119252</v>
      </c>
      <c r="AN41" s="1">
        <v>0</v>
      </c>
      <c r="AO41" s="1">
        <v>866018</v>
      </c>
      <c r="AP41" s="1">
        <v>246785</v>
      </c>
      <c r="AQ41" s="1">
        <v>15232055</v>
      </c>
      <c r="AR41" s="1">
        <f t="shared" si="1"/>
        <v>4286345</v>
      </c>
      <c r="AS41">
        <f t="shared" si="2"/>
        <v>1.4665841058879883</v>
      </c>
      <c r="AT41">
        <f t="shared" si="3"/>
        <v>44.165270199826239</v>
      </c>
      <c r="AU41">
        <f t="shared" si="4"/>
        <v>1109.2250217202434</v>
      </c>
      <c r="AV41">
        <f t="shared" si="5"/>
        <v>16335.278887923545</v>
      </c>
      <c r="AW41">
        <f t="shared" si="6"/>
        <v>57225.922675933973</v>
      </c>
      <c r="AX41">
        <f t="shared" si="7"/>
        <v>63274.943527367504</v>
      </c>
      <c r="AY41">
        <f t="shared" si="8"/>
        <v>370.47784535186793</v>
      </c>
    </row>
    <row r="42" spans="1:51" x14ac:dyDescent="0.25">
      <c r="A42" s="1" t="s">
        <v>152</v>
      </c>
      <c r="B42" s="104" t="s">
        <v>156</v>
      </c>
      <c r="C42" s="1"/>
      <c r="D42" s="38">
        <f t="shared" si="0"/>
        <v>12585.234</v>
      </c>
      <c r="E42" s="1">
        <v>3208</v>
      </c>
      <c r="F42" s="1">
        <v>6424</v>
      </c>
      <c r="G42" s="1">
        <v>487754400</v>
      </c>
      <c r="H42" s="1">
        <v>2911598</v>
      </c>
      <c r="I42" s="1">
        <v>3865860</v>
      </c>
      <c r="J42" s="1">
        <v>1766522</v>
      </c>
      <c r="K42" s="1">
        <v>78693509</v>
      </c>
      <c r="L42" s="1">
        <v>9969449</v>
      </c>
      <c r="M42" s="1">
        <v>423705</v>
      </c>
      <c r="N42" s="1">
        <v>14813673</v>
      </c>
      <c r="O42" s="1">
        <v>660572</v>
      </c>
      <c r="P42" s="35">
        <v>38</v>
      </c>
      <c r="Q42" s="35">
        <v>48</v>
      </c>
      <c r="R42" s="1">
        <v>154269</v>
      </c>
      <c r="S42" s="1">
        <v>80462</v>
      </c>
      <c r="T42" s="1">
        <v>14382525</v>
      </c>
      <c r="U42" s="1">
        <v>210580745</v>
      </c>
      <c r="V42" s="1">
        <v>403657987</v>
      </c>
      <c r="W42" s="1">
        <v>12585234</v>
      </c>
      <c r="X42" s="1">
        <v>24539</v>
      </c>
      <c r="Y42" s="1">
        <v>20301</v>
      </c>
      <c r="Z42" s="31">
        <v>47560</v>
      </c>
      <c r="AA42" s="1">
        <v>1354514691</v>
      </c>
      <c r="AB42" s="1">
        <v>864718452</v>
      </c>
      <c r="AC42" s="1">
        <v>67486035</v>
      </c>
      <c r="AD42" s="1">
        <v>1353979</v>
      </c>
      <c r="AE42" s="1">
        <v>9296599</v>
      </c>
      <c r="AF42" s="1">
        <v>29096808</v>
      </c>
      <c r="AG42" s="1">
        <v>318420990</v>
      </c>
      <c r="AH42" s="1">
        <v>2644887555</v>
      </c>
      <c r="AI42" s="1">
        <v>2231179957</v>
      </c>
      <c r="AJ42" s="1">
        <v>106286030</v>
      </c>
      <c r="AK42" s="1">
        <v>235802452</v>
      </c>
      <c r="AL42" s="1">
        <v>2573268439</v>
      </c>
      <c r="AM42" s="1">
        <v>82712061</v>
      </c>
      <c r="AN42" s="1">
        <v>1136892</v>
      </c>
      <c r="AO42" s="1">
        <v>3768217</v>
      </c>
      <c r="AP42" s="1">
        <v>25911026</v>
      </c>
      <c r="AQ42" s="1">
        <v>113528196</v>
      </c>
      <c r="AR42" s="1">
        <f t="shared" si="1"/>
        <v>15474245</v>
      </c>
      <c r="AS42">
        <f t="shared" si="2"/>
        <v>0.52168110574261972</v>
      </c>
      <c r="AT42">
        <f t="shared" si="3"/>
        <v>210.15799587039859</v>
      </c>
      <c r="AU42">
        <f t="shared" si="4"/>
        <v>1142.8095019925731</v>
      </c>
      <c r="AV42">
        <f t="shared" si="5"/>
        <v>32073.935772668192</v>
      </c>
      <c r="AW42">
        <f t="shared" si="6"/>
        <v>38756.085107356761</v>
      </c>
      <c r="AX42">
        <f t="shared" si="7"/>
        <v>46513.639952979815</v>
      </c>
      <c r="AY42">
        <f t="shared" si="8"/>
        <v>792.15444067229896</v>
      </c>
    </row>
    <row r="43" spans="1:51" x14ac:dyDescent="0.25">
      <c r="A43" s="1" t="s">
        <v>153</v>
      </c>
      <c r="B43" s="104" t="s">
        <v>156</v>
      </c>
      <c r="C43" s="1"/>
      <c r="D43" s="38">
        <f t="shared" si="0"/>
        <v>365</v>
      </c>
      <c r="E43" s="1">
        <v>243</v>
      </c>
      <c r="F43" s="1">
        <v>546</v>
      </c>
      <c r="G43" s="1">
        <v>31208347</v>
      </c>
      <c r="H43" s="1">
        <v>219470</v>
      </c>
      <c r="I43" s="1">
        <v>292848</v>
      </c>
      <c r="J43" s="1">
        <v>109166</v>
      </c>
      <c r="K43" s="1">
        <v>1270604</v>
      </c>
      <c r="L43" s="1">
        <v>319773</v>
      </c>
      <c r="M43" s="1">
        <v>23761</v>
      </c>
      <c r="N43" s="1">
        <v>848616</v>
      </c>
      <c r="O43" s="1">
        <v>17118</v>
      </c>
      <c r="P43" s="35">
        <v>22</v>
      </c>
      <c r="Q43" s="35">
        <v>31</v>
      </c>
      <c r="R43" s="1">
        <v>3105</v>
      </c>
      <c r="S43" s="1">
        <v>1159</v>
      </c>
      <c r="T43" s="1">
        <v>332547</v>
      </c>
      <c r="U43" s="1">
        <v>7957560</v>
      </c>
      <c r="V43" s="1">
        <v>11540072</v>
      </c>
      <c r="W43" s="1">
        <v>365000</v>
      </c>
      <c r="X43" s="1">
        <v>1569</v>
      </c>
      <c r="Y43" s="1">
        <v>884</v>
      </c>
      <c r="Z43" s="31">
        <v>2452</v>
      </c>
      <c r="AA43" s="1">
        <v>70333312</v>
      </c>
      <c r="AB43" s="1">
        <v>37558616</v>
      </c>
      <c r="AC43" s="1">
        <v>0</v>
      </c>
      <c r="AD43" s="1">
        <v>0</v>
      </c>
      <c r="AE43" s="1">
        <v>0</v>
      </c>
      <c r="AF43" s="1">
        <v>0</v>
      </c>
      <c r="AG43" s="1">
        <v>27051215</v>
      </c>
      <c r="AH43" s="1">
        <v>134943143</v>
      </c>
      <c r="AI43" s="1">
        <v>117633762</v>
      </c>
      <c r="AJ43" s="1">
        <v>11267938</v>
      </c>
      <c r="AK43" s="1">
        <v>-2</v>
      </c>
      <c r="AL43" s="1">
        <v>128901698</v>
      </c>
      <c r="AM43" s="1">
        <v>3931886</v>
      </c>
      <c r="AN43" s="1">
        <v>61209</v>
      </c>
      <c r="AO43" s="1">
        <v>230814</v>
      </c>
      <c r="AP43" s="1">
        <v>741183</v>
      </c>
      <c r="AQ43" s="1">
        <v>4965092</v>
      </c>
      <c r="AR43" s="1">
        <f t="shared" si="1"/>
        <v>865734</v>
      </c>
      <c r="AS43">
        <f t="shared" si="2"/>
        <v>0.68955895595798711</v>
      </c>
      <c r="AT43">
        <f t="shared" si="3"/>
        <v>369.70724109589042</v>
      </c>
      <c r="AU43">
        <f t="shared" si="4"/>
        <v>911.08767123287669</v>
      </c>
      <c r="AV43">
        <f t="shared" si="5"/>
        <v>31616.635616438358</v>
      </c>
      <c r="AW43">
        <f t="shared" si="6"/>
        <v>85502.320547945201</v>
      </c>
      <c r="AX43">
        <f t="shared" si="7"/>
        <v>91627.312328767119</v>
      </c>
      <c r="AY43">
        <f t="shared" si="8"/>
        <v>876.09041095890416</v>
      </c>
    </row>
    <row r="44" spans="1:51" x14ac:dyDescent="0.25">
      <c r="A44" s="1" t="s">
        <v>154</v>
      </c>
      <c r="B44" s="104" t="s">
        <v>156</v>
      </c>
      <c r="C44" s="1"/>
      <c r="D44" s="38">
        <f t="shared" si="0"/>
        <v>25532.161</v>
      </c>
      <c r="E44" s="1">
        <v>8272</v>
      </c>
      <c r="F44" s="1">
        <v>14308</v>
      </c>
      <c r="G44" s="1">
        <v>1449728909</v>
      </c>
      <c r="H44" s="1">
        <v>9563506</v>
      </c>
      <c r="I44" s="1">
        <v>11934892</v>
      </c>
      <c r="J44" s="1">
        <v>8727610</v>
      </c>
      <c r="K44" s="1">
        <v>1374967028</v>
      </c>
      <c r="L44" s="1">
        <v>122512732</v>
      </c>
      <c r="M44" s="1">
        <v>4522442</v>
      </c>
      <c r="N44" s="1">
        <v>41732246</v>
      </c>
      <c r="O44" s="1">
        <v>4281006</v>
      </c>
      <c r="P44" s="35">
        <v>36</v>
      </c>
      <c r="Q44" s="35">
        <v>54</v>
      </c>
      <c r="R44" s="1">
        <v>151587</v>
      </c>
      <c r="S44" s="1">
        <v>53281</v>
      </c>
      <c r="T44" s="1">
        <v>14000859</v>
      </c>
      <c r="U44" s="1">
        <v>308064410</v>
      </c>
      <c r="V44" s="1">
        <v>356095263</v>
      </c>
      <c r="W44" s="1">
        <v>25532161</v>
      </c>
      <c r="X44" s="1">
        <v>47154</v>
      </c>
      <c r="Y44" s="1">
        <v>87500</v>
      </c>
      <c r="Z44" s="31">
        <v>138257</v>
      </c>
      <c r="AA44" s="1">
        <v>3544120087</v>
      </c>
      <c r="AB44" s="1">
        <v>3250815148</v>
      </c>
      <c r="AC44" s="1">
        <v>4374510</v>
      </c>
      <c r="AD44" s="1">
        <v>162394</v>
      </c>
      <c r="AE44" s="1">
        <v>1529386</v>
      </c>
      <c r="AF44" s="1">
        <v>3155550</v>
      </c>
      <c r="AG44" s="1">
        <v>932900246</v>
      </c>
      <c r="AH44" s="1">
        <v>7737057321</v>
      </c>
      <c r="AI44" s="1">
        <v>6800824975</v>
      </c>
      <c r="AJ44" s="1">
        <v>301274447</v>
      </c>
      <c r="AK44" s="1">
        <v>634957899</v>
      </c>
      <c r="AL44" s="1">
        <v>7737057321</v>
      </c>
      <c r="AM44" s="1">
        <v>258632557</v>
      </c>
      <c r="AN44" s="1">
        <v>3662525</v>
      </c>
      <c r="AO44" s="1">
        <v>15606518</v>
      </c>
      <c r="AP44" s="1">
        <v>44189468</v>
      </c>
      <c r="AQ44" s="1">
        <v>322091068</v>
      </c>
      <c r="AR44" s="1">
        <f t="shared" si="1"/>
        <v>46013252</v>
      </c>
      <c r="AS44">
        <f t="shared" si="2"/>
        <v>0.8651179670424316</v>
      </c>
      <c r="AT44">
        <f t="shared" si="3"/>
        <v>303.03182409824223</v>
      </c>
      <c r="AU44">
        <f t="shared" si="4"/>
        <v>548.36169175025964</v>
      </c>
      <c r="AV44">
        <f t="shared" si="5"/>
        <v>13946.930030716945</v>
      </c>
      <c r="AW44">
        <f t="shared" si="6"/>
        <v>56780.50161911481</v>
      </c>
      <c r="AX44">
        <f t="shared" si="7"/>
        <v>116792.19471473644</v>
      </c>
      <c r="AY44">
        <f t="shared" si="8"/>
        <v>4798.3690843873337</v>
      </c>
    </row>
    <row r="45" spans="1:51" x14ac:dyDescent="0.25">
      <c r="A45" s="1" t="s">
        <v>155</v>
      </c>
      <c r="B45" s="104" t="s">
        <v>156</v>
      </c>
      <c r="C45" s="1"/>
      <c r="D45" s="38">
        <f t="shared" si="0"/>
        <v>2511.9569999999999</v>
      </c>
      <c r="E45" s="1">
        <v>404</v>
      </c>
      <c r="F45" s="1">
        <v>495</v>
      </c>
      <c r="G45" s="1">
        <v>39127601</v>
      </c>
      <c r="H45" s="1">
        <v>254526</v>
      </c>
      <c r="I45" s="1">
        <v>343668</v>
      </c>
      <c r="J45" s="1">
        <v>232280</v>
      </c>
      <c r="K45" s="1">
        <v>27338657</v>
      </c>
      <c r="L45" s="1">
        <v>2504638</v>
      </c>
      <c r="M45" s="1">
        <v>93433</v>
      </c>
      <c r="N45" s="1">
        <v>1186903</v>
      </c>
      <c r="O45" s="1">
        <v>95485</v>
      </c>
      <c r="P45" s="35">
        <v>22</v>
      </c>
      <c r="Q45" s="35">
        <v>30</v>
      </c>
      <c r="R45" s="1">
        <v>49718</v>
      </c>
      <c r="S45" s="1">
        <v>17743</v>
      </c>
      <c r="T45" s="1">
        <v>4591924</v>
      </c>
      <c r="U45" s="1">
        <v>93952846</v>
      </c>
      <c r="V45" s="1">
        <v>84887696</v>
      </c>
      <c r="W45" s="1">
        <v>2511957</v>
      </c>
      <c r="X45" s="1">
        <v>1498</v>
      </c>
      <c r="Y45" s="1">
        <v>2242</v>
      </c>
      <c r="Z45" s="31">
        <v>3740</v>
      </c>
      <c r="AA45" s="1">
        <v>6618301</v>
      </c>
      <c r="AB45" s="1">
        <v>9331753</v>
      </c>
      <c r="AC45" s="1">
        <v>68112</v>
      </c>
      <c r="AD45" s="1">
        <v>369971</v>
      </c>
      <c r="AE45" s="1">
        <v>225448</v>
      </c>
      <c r="AF45" s="1">
        <v>1007737</v>
      </c>
      <c r="AG45" s="1">
        <v>2903375</v>
      </c>
      <c r="AH45" s="1">
        <v>20524697</v>
      </c>
      <c r="AI45" s="1">
        <v>15654749</v>
      </c>
      <c r="AJ45" s="1">
        <v>480700</v>
      </c>
      <c r="AK45" s="1">
        <v>4389248</v>
      </c>
      <c r="AL45" s="1">
        <v>20524697</v>
      </c>
      <c r="AM45" s="1">
        <v>3123861</v>
      </c>
      <c r="AN45" s="1">
        <v>0</v>
      </c>
      <c r="AO45" s="1">
        <v>159645</v>
      </c>
      <c r="AP45" s="1">
        <v>37498</v>
      </c>
      <c r="AQ45" s="1">
        <v>3321004</v>
      </c>
      <c r="AR45" s="1">
        <f t="shared" si="1"/>
        <v>1282388</v>
      </c>
      <c r="AS45">
        <f t="shared" si="2"/>
        <v>1.1067899168802979</v>
      </c>
      <c r="AT45">
        <f t="shared" si="3"/>
        <v>8.1707995001506788</v>
      </c>
      <c r="AU45">
        <f t="shared" si="4"/>
        <v>1828.026514785086</v>
      </c>
      <c r="AV45">
        <f t="shared" si="5"/>
        <v>33793.451082164225</v>
      </c>
      <c r="AW45">
        <f t="shared" si="6"/>
        <v>15576.540920087407</v>
      </c>
      <c r="AX45">
        <f t="shared" si="7"/>
        <v>27824.840552605001</v>
      </c>
      <c r="AY45">
        <f t="shared" si="8"/>
        <v>997.08633547469174</v>
      </c>
    </row>
    <row r="46" spans="1:51" x14ac:dyDescent="0.25">
      <c r="A46" s="1" t="s">
        <v>312</v>
      </c>
      <c r="B46" s="105" t="s">
        <v>156</v>
      </c>
      <c r="D46" s="38">
        <f t="shared" si="0"/>
        <v>1616.63</v>
      </c>
      <c r="E46">
        <v>667</v>
      </c>
      <c r="F46">
        <v>2835</v>
      </c>
      <c r="G46">
        <v>93938357</v>
      </c>
      <c r="H46">
        <v>859989</v>
      </c>
      <c r="I46">
        <v>884554</v>
      </c>
      <c r="J46">
        <v>1531096</v>
      </c>
      <c r="K46">
        <v>7862199</v>
      </c>
      <c r="L46">
        <v>532106</v>
      </c>
      <c r="M46">
        <v>74514</v>
      </c>
      <c r="N46">
        <v>3141060</v>
      </c>
      <c r="O46">
        <v>42180</v>
      </c>
      <c r="P46">
        <v>7</v>
      </c>
      <c r="Q46">
        <v>26</v>
      </c>
      <c r="R46">
        <v>5462</v>
      </c>
      <c r="S46">
        <v>3000</v>
      </c>
      <c r="T46">
        <v>1898554</v>
      </c>
      <c r="U46">
        <v>38312786</v>
      </c>
      <c r="V46">
        <v>27326879</v>
      </c>
      <c r="W46">
        <v>1616630</v>
      </c>
      <c r="X46">
        <v>8467</v>
      </c>
      <c r="Y46">
        <v>2946</v>
      </c>
      <c r="Z46">
        <v>11413</v>
      </c>
      <c r="AA46">
        <v>28300167</v>
      </c>
      <c r="AB46">
        <v>38915339</v>
      </c>
      <c r="AC46">
        <v>512335</v>
      </c>
      <c r="AD46">
        <v>1281841</v>
      </c>
      <c r="AE46">
        <v>978957</v>
      </c>
      <c r="AF46">
        <v>2934421</v>
      </c>
      <c r="AG46">
        <v>11121444</v>
      </c>
      <c r="AH46">
        <v>84044504</v>
      </c>
      <c r="AI46">
        <v>67073361</v>
      </c>
      <c r="AJ46">
        <v>2421845</v>
      </c>
      <c r="AK46">
        <v>14288546</v>
      </c>
      <c r="AL46">
        <v>83783752</v>
      </c>
      <c r="AM46">
        <v>11011200</v>
      </c>
      <c r="AN46">
        <v>2101</v>
      </c>
      <c r="AO46">
        <v>708194</v>
      </c>
      <c r="AP46">
        <v>241384</v>
      </c>
      <c r="AQ46">
        <v>11962879</v>
      </c>
      <c r="AR46" s="1">
        <f>+N46+O46</f>
        <v>3183240</v>
      </c>
      <c r="AS46">
        <f>+U46/V46</f>
        <v>1.4020183570908336</v>
      </c>
      <c r="AT46">
        <f>+AH46/W46</f>
        <v>51.987470231283595</v>
      </c>
      <c r="AU46">
        <f>+T46/D46</f>
        <v>1174.3899346170738</v>
      </c>
      <c r="AV46">
        <f>+V46/D46</f>
        <v>16903.607504500102</v>
      </c>
      <c r="AW46">
        <f>+G46/D46</f>
        <v>58107.518108658129</v>
      </c>
      <c r="AX46">
        <f>SUM(G46:M46)/D46</f>
        <v>65372.296072694429</v>
      </c>
      <c r="AY46">
        <f>+L46/D46</f>
        <v>329.14519710756326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Y158"/>
  <sheetViews>
    <sheetView workbookViewId="0">
      <pane xSplit="3" ySplit="1" topLeftCell="D16" activePane="bottomRight" state="frozen"/>
      <selection activeCell="A14" sqref="A14:B14"/>
      <selection pane="topRight" activeCell="A14" sqref="A14:B14"/>
      <selection pane="bottomLeft" activeCell="A14" sqref="A14:B14"/>
      <selection pane="bottomRight" activeCell="A14" sqref="A14:B14"/>
    </sheetView>
  </sheetViews>
  <sheetFormatPr defaultRowHeight="12.5" x14ac:dyDescent="0.25"/>
  <sheetData>
    <row r="1" spans="1:51" ht="137.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291</v>
      </c>
      <c r="V1" s="36" t="s">
        <v>81</v>
      </c>
      <c r="W1" s="36" t="s">
        <v>82</v>
      </c>
      <c r="X1" s="36" t="s">
        <v>83</v>
      </c>
      <c r="Y1" s="36" t="s">
        <v>84</v>
      </c>
      <c r="Z1" s="36" t="s">
        <v>85</v>
      </c>
      <c r="AA1" s="36" t="s">
        <v>130</v>
      </c>
      <c r="AB1" s="36" t="s">
        <v>131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86</v>
      </c>
      <c r="AJ1" s="36" t="s">
        <v>87</v>
      </c>
      <c r="AK1" s="36" t="s">
        <v>88</v>
      </c>
      <c r="AL1" s="36" t="s">
        <v>89</v>
      </c>
      <c r="AM1" s="36" t="s">
        <v>90</v>
      </c>
      <c r="AN1" s="36" t="s">
        <v>91</v>
      </c>
      <c r="AO1" s="36" t="s">
        <v>92</v>
      </c>
      <c r="AP1" s="36" t="s">
        <v>93</v>
      </c>
      <c r="AQ1" s="36" t="s">
        <v>94</v>
      </c>
      <c r="AR1" s="36" t="s">
        <v>294</v>
      </c>
      <c r="AS1" s="36" t="s">
        <v>295</v>
      </c>
      <c r="AT1" s="36" t="s">
        <v>296</v>
      </c>
      <c r="AU1" s="36" t="s">
        <v>297</v>
      </c>
      <c r="AV1" s="36" t="s">
        <v>298</v>
      </c>
      <c r="AW1" s="36" t="s">
        <v>299</v>
      </c>
      <c r="AX1" s="36" t="s">
        <v>300</v>
      </c>
      <c r="AY1" s="36" t="s">
        <v>301</v>
      </c>
    </row>
    <row r="2" spans="1:51" x14ac:dyDescent="0.25">
      <c r="A2" s="1" t="s">
        <v>32</v>
      </c>
      <c r="B2" s="1" t="s">
        <v>147</v>
      </c>
      <c r="C2" s="44" t="s">
        <v>96</v>
      </c>
      <c r="D2" s="35">
        <v>0</v>
      </c>
      <c r="E2" s="38">
        <v>1</v>
      </c>
      <c r="F2" s="38">
        <v>1</v>
      </c>
      <c r="G2" s="38">
        <v>1</v>
      </c>
      <c r="H2" s="38">
        <v>1</v>
      </c>
      <c r="I2" s="38">
        <v>2</v>
      </c>
      <c r="J2" s="38">
        <v>2</v>
      </c>
      <c r="K2" s="38">
        <v>1</v>
      </c>
      <c r="L2" s="38">
        <v>1</v>
      </c>
      <c r="M2" s="38">
        <v>2</v>
      </c>
      <c r="N2" s="38">
        <v>1</v>
      </c>
      <c r="O2" s="38">
        <v>1</v>
      </c>
      <c r="P2" s="38">
        <v>2</v>
      </c>
      <c r="Q2" s="38">
        <v>2</v>
      </c>
      <c r="R2" s="38">
        <v>2</v>
      </c>
      <c r="S2" s="38">
        <v>2</v>
      </c>
      <c r="T2" s="38">
        <v>1</v>
      </c>
      <c r="U2" s="38">
        <v>1</v>
      </c>
      <c r="V2" s="38">
        <v>1</v>
      </c>
      <c r="W2" s="38">
        <v>0</v>
      </c>
      <c r="X2" s="38">
        <v>1</v>
      </c>
      <c r="Y2" s="38">
        <v>1</v>
      </c>
      <c r="Z2" s="38">
        <v>1</v>
      </c>
      <c r="AA2" s="38">
        <v>1</v>
      </c>
      <c r="AB2" s="38">
        <v>1</v>
      </c>
      <c r="AC2" s="38">
        <v>1</v>
      </c>
      <c r="AD2" s="38">
        <v>1</v>
      </c>
      <c r="AE2" s="38">
        <v>1</v>
      </c>
      <c r="AF2" s="38">
        <v>1</v>
      </c>
      <c r="AG2" s="38">
        <v>1</v>
      </c>
      <c r="AH2" s="38">
        <v>1</v>
      </c>
      <c r="AI2" s="38">
        <v>1</v>
      </c>
      <c r="AJ2" s="38">
        <v>1</v>
      </c>
      <c r="AK2" s="38">
        <v>1</v>
      </c>
      <c r="AL2" s="38">
        <v>1</v>
      </c>
      <c r="AM2" s="38">
        <v>2</v>
      </c>
      <c r="AN2" s="38">
        <v>2</v>
      </c>
      <c r="AO2" s="38">
        <v>2</v>
      </c>
      <c r="AP2" s="38">
        <v>2</v>
      </c>
      <c r="AQ2" s="38">
        <v>2</v>
      </c>
      <c r="AR2" s="1">
        <f>MAX(N2,O2)</f>
        <v>1</v>
      </c>
      <c r="AS2" s="1">
        <f>MAX(U2,V2)</f>
        <v>1</v>
      </c>
      <c r="AT2" s="1">
        <f>MAX(AH2,W2)</f>
        <v>1</v>
      </c>
      <c r="AU2" s="1">
        <f>MAX(T2,D2)</f>
        <v>1</v>
      </c>
      <c r="AV2" s="1">
        <f>MAX(V2,D2)</f>
        <v>1</v>
      </c>
      <c r="AW2" s="1">
        <f>MAX(G2,D2)</f>
        <v>1</v>
      </c>
      <c r="AX2" s="1">
        <f>MAX(G2:M2)</f>
        <v>2</v>
      </c>
      <c r="AY2" s="1">
        <f>+L2</f>
        <v>1</v>
      </c>
    </row>
    <row r="3" spans="1:51" x14ac:dyDescent="0.25">
      <c r="A3" s="1" t="s">
        <v>33</v>
      </c>
      <c r="B3" s="1" t="s">
        <v>147</v>
      </c>
      <c r="C3" s="44" t="s">
        <v>97</v>
      </c>
      <c r="D3" s="35">
        <v>0</v>
      </c>
      <c r="E3" s="38">
        <v>0</v>
      </c>
      <c r="F3" s="38">
        <v>0</v>
      </c>
      <c r="G3" s="38">
        <v>0</v>
      </c>
      <c r="H3" s="38">
        <v>0</v>
      </c>
      <c r="I3" s="38">
        <v>2</v>
      </c>
      <c r="J3" s="38">
        <v>1</v>
      </c>
      <c r="K3" s="38">
        <v>1</v>
      </c>
      <c r="L3" s="38">
        <v>1</v>
      </c>
      <c r="M3" s="38">
        <v>2</v>
      </c>
      <c r="N3" s="38">
        <v>0</v>
      </c>
      <c r="O3" s="38">
        <v>1</v>
      </c>
      <c r="P3" s="38">
        <v>2</v>
      </c>
      <c r="Q3" s="38">
        <v>2</v>
      </c>
      <c r="R3" s="38">
        <v>2</v>
      </c>
      <c r="S3" s="38">
        <v>2</v>
      </c>
      <c r="T3" s="38">
        <v>0</v>
      </c>
      <c r="U3" s="38">
        <v>0</v>
      </c>
      <c r="V3" s="38">
        <v>1</v>
      </c>
      <c r="W3" s="38">
        <v>0</v>
      </c>
      <c r="X3" s="38">
        <v>0</v>
      </c>
      <c r="Y3" s="38">
        <v>0</v>
      </c>
      <c r="Z3" s="38">
        <v>0</v>
      </c>
      <c r="AA3" s="38">
        <v>2</v>
      </c>
      <c r="AB3" s="38">
        <v>0</v>
      </c>
      <c r="AC3" s="38">
        <v>2</v>
      </c>
      <c r="AD3" s="38">
        <v>2</v>
      </c>
      <c r="AE3" s="38">
        <v>2</v>
      </c>
      <c r="AF3" s="38">
        <v>2</v>
      </c>
      <c r="AG3" s="38">
        <v>2</v>
      </c>
      <c r="AH3" s="38">
        <v>2</v>
      </c>
      <c r="AI3" s="38">
        <v>2</v>
      </c>
      <c r="AJ3" s="38">
        <v>2</v>
      </c>
      <c r="AK3" s="38">
        <v>2</v>
      </c>
      <c r="AL3" s="38">
        <v>2</v>
      </c>
      <c r="AM3" s="38">
        <v>2</v>
      </c>
      <c r="AN3" s="38">
        <v>2</v>
      </c>
      <c r="AO3" s="38">
        <v>2</v>
      </c>
      <c r="AP3" s="38">
        <v>2</v>
      </c>
      <c r="AQ3" s="38">
        <v>2</v>
      </c>
      <c r="AR3" s="1">
        <f t="shared" ref="AR3:AR40" si="0">MAX(N3,O3)</f>
        <v>1</v>
      </c>
      <c r="AS3" s="1">
        <f t="shared" ref="AS3:AS45" si="1">MAX(U3,V3)</f>
        <v>1</v>
      </c>
      <c r="AT3" s="1">
        <f t="shared" ref="AT3:AT45" si="2">MAX(AH3,W3)</f>
        <v>2</v>
      </c>
      <c r="AU3" s="1">
        <f t="shared" ref="AU3:AU45" si="3">MAX(T3,D3)</f>
        <v>0</v>
      </c>
      <c r="AV3" s="1">
        <f t="shared" ref="AV3:AV45" si="4">MAX(V3,D3)</f>
        <v>1</v>
      </c>
      <c r="AW3" s="1">
        <f t="shared" ref="AW3:AW45" si="5">MAX(G3,D3)</f>
        <v>0</v>
      </c>
      <c r="AX3" s="1">
        <f t="shared" ref="AX3:AX45" si="6">MAX(G3:M3)</f>
        <v>2</v>
      </c>
      <c r="AY3" s="1">
        <f t="shared" ref="AY3:AY45" si="7">+L3</f>
        <v>1</v>
      </c>
    </row>
    <row r="4" spans="1:51" x14ac:dyDescent="0.25">
      <c r="A4" s="1" t="s">
        <v>34</v>
      </c>
      <c r="B4" s="1" t="s">
        <v>147</v>
      </c>
      <c r="C4" s="44" t="s">
        <v>98</v>
      </c>
      <c r="D4" s="35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1</v>
      </c>
      <c r="AR4" s="1">
        <f t="shared" si="0"/>
        <v>0</v>
      </c>
      <c r="AS4" s="1">
        <f t="shared" si="1"/>
        <v>0</v>
      </c>
      <c r="AT4" s="1">
        <f t="shared" si="2"/>
        <v>0</v>
      </c>
      <c r="AU4" s="1">
        <f t="shared" si="3"/>
        <v>0</v>
      </c>
      <c r="AV4" s="1">
        <f t="shared" si="4"/>
        <v>0</v>
      </c>
      <c r="AW4" s="1">
        <f t="shared" si="5"/>
        <v>0</v>
      </c>
      <c r="AX4" s="1">
        <f t="shared" si="6"/>
        <v>0</v>
      </c>
      <c r="AY4" s="1">
        <f t="shared" si="7"/>
        <v>0</v>
      </c>
    </row>
    <row r="5" spans="1:51" x14ac:dyDescent="0.25">
      <c r="A5" s="1" t="s">
        <v>35</v>
      </c>
      <c r="B5" s="1" t="s">
        <v>147</v>
      </c>
      <c r="C5" s="44" t="s">
        <v>99</v>
      </c>
      <c r="D5" s="35">
        <v>0</v>
      </c>
      <c r="E5" s="38">
        <v>1</v>
      </c>
      <c r="F5" s="38">
        <v>1</v>
      </c>
      <c r="G5" s="38">
        <v>1</v>
      </c>
      <c r="H5" s="38">
        <v>1</v>
      </c>
      <c r="I5" s="38">
        <v>2</v>
      </c>
      <c r="J5" s="38">
        <v>1</v>
      </c>
      <c r="K5" s="38">
        <v>1</v>
      </c>
      <c r="L5" s="38">
        <v>1</v>
      </c>
      <c r="M5" s="38">
        <v>1</v>
      </c>
      <c r="N5" s="38">
        <v>1</v>
      </c>
      <c r="O5" s="38">
        <v>1</v>
      </c>
      <c r="P5" s="38">
        <v>2</v>
      </c>
      <c r="Q5" s="38">
        <v>2</v>
      </c>
      <c r="R5" s="38">
        <v>2</v>
      </c>
      <c r="S5" s="38">
        <v>2</v>
      </c>
      <c r="T5" s="38">
        <v>1</v>
      </c>
      <c r="U5" s="38">
        <v>1</v>
      </c>
      <c r="V5" s="38">
        <v>1</v>
      </c>
      <c r="W5" s="38">
        <v>0</v>
      </c>
      <c r="X5" s="38">
        <v>1</v>
      </c>
      <c r="Y5" s="38">
        <v>1</v>
      </c>
      <c r="Z5" s="38">
        <v>1</v>
      </c>
      <c r="AA5" s="38">
        <v>1</v>
      </c>
      <c r="AB5" s="38">
        <v>1</v>
      </c>
      <c r="AC5" s="38">
        <v>1</v>
      </c>
      <c r="AD5" s="38">
        <v>1</v>
      </c>
      <c r="AE5" s="38">
        <v>1</v>
      </c>
      <c r="AF5" s="38">
        <v>1</v>
      </c>
      <c r="AG5" s="38">
        <v>1</v>
      </c>
      <c r="AH5" s="38">
        <v>1</v>
      </c>
      <c r="AI5" s="38">
        <v>1</v>
      </c>
      <c r="AJ5" s="38">
        <v>1</v>
      </c>
      <c r="AK5" s="38">
        <v>1</v>
      </c>
      <c r="AL5" s="38">
        <v>1</v>
      </c>
      <c r="AM5" s="38">
        <v>2</v>
      </c>
      <c r="AN5" s="38">
        <v>2</v>
      </c>
      <c r="AO5" s="38">
        <v>2</v>
      </c>
      <c r="AP5" s="38">
        <v>2</v>
      </c>
      <c r="AQ5" s="38">
        <v>2</v>
      </c>
      <c r="AR5" s="1">
        <f t="shared" si="0"/>
        <v>1</v>
      </c>
      <c r="AS5" s="1">
        <f t="shared" si="1"/>
        <v>1</v>
      </c>
      <c r="AT5" s="1">
        <f t="shared" si="2"/>
        <v>1</v>
      </c>
      <c r="AU5" s="1">
        <f t="shared" si="3"/>
        <v>1</v>
      </c>
      <c r="AV5" s="1">
        <f t="shared" si="4"/>
        <v>1</v>
      </c>
      <c r="AW5" s="1">
        <f t="shared" si="5"/>
        <v>1</v>
      </c>
      <c r="AX5" s="1">
        <f t="shared" si="6"/>
        <v>2</v>
      </c>
      <c r="AY5" s="1">
        <f t="shared" si="7"/>
        <v>1</v>
      </c>
    </row>
    <row r="6" spans="1:51" x14ac:dyDescent="0.25">
      <c r="A6" s="1" t="s">
        <v>36</v>
      </c>
      <c r="B6" s="1" t="s">
        <v>147</v>
      </c>
      <c r="C6" s="44" t="s">
        <v>100</v>
      </c>
      <c r="D6" s="35">
        <v>0</v>
      </c>
      <c r="E6" s="38">
        <v>0</v>
      </c>
      <c r="F6" s="38">
        <v>0</v>
      </c>
      <c r="G6" s="38">
        <v>0</v>
      </c>
      <c r="H6" s="38">
        <v>2</v>
      </c>
      <c r="I6" s="38">
        <v>2</v>
      </c>
      <c r="J6" s="38">
        <v>0</v>
      </c>
      <c r="K6" s="38">
        <v>2</v>
      </c>
      <c r="L6" s="38">
        <v>0</v>
      </c>
      <c r="M6" s="38">
        <v>2</v>
      </c>
      <c r="N6" s="38">
        <v>1</v>
      </c>
      <c r="O6" s="38">
        <v>2</v>
      </c>
      <c r="P6" s="38">
        <v>2</v>
      </c>
      <c r="Q6" s="38">
        <v>2</v>
      </c>
      <c r="R6" s="38">
        <v>2</v>
      </c>
      <c r="S6" s="38">
        <v>2</v>
      </c>
      <c r="T6" s="38">
        <v>0</v>
      </c>
      <c r="U6" s="38">
        <v>1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1</v>
      </c>
      <c r="AN6" s="38">
        <v>1</v>
      </c>
      <c r="AO6" s="38">
        <v>1</v>
      </c>
      <c r="AP6" s="38">
        <v>1</v>
      </c>
      <c r="AQ6" s="38">
        <v>1</v>
      </c>
      <c r="AR6" s="1">
        <f t="shared" si="0"/>
        <v>2</v>
      </c>
      <c r="AS6" s="1">
        <f t="shared" si="1"/>
        <v>1</v>
      </c>
      <c r="AT6" s="1">
        <f t="shared" si="2"/>
        <v>0</v>
      </c>
      <c r="AU6" s="1">
        <f t="shared" si="3"/>
        <v>0</v>
      </c>
      <c r="AV6" s="1">
        <f t="shared" si="4"/>
        <v>0</v>
      </c>
      <c r="AW6" s="1">
        <f t="shared" si="5"/>
        <v>0</v>
      </c>
      <c r="AX6" s="1">
        <f t="shared" si="6"/>
        <v>2</v>
      </c>
      <c r="AY6" s="1">
        <f t="shared" si="7"/>
        <v>0</v>
      </c>
    </row>
    <row r="7" spans="1:51" x14ac:dyDescent="0.25">
      <c r="A7" s="1" t="s">
        <v>37</v>
      </c>
      <c r="B7" s="1" t="s">
        <v>147</v>
      </c>
      <c r="C7" s="44" t="s">
        <v>101</v>
      </c>
      <c r="D7" s="35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2</v>
      </c>
      <c r="AN7" s="38">
        <v>2</v>
      </c>
      <c r="AO7" s="38">
        <v>2</v>
      </c>
      <c r="AP7" s="38">
        <v>2</v>
      </c>
      <c r="AQ7" s="38">
        <v>2</v>
      </c>
      <c r="AR7" s="1">
        <f t="shared" si="0"/>
        <v>0</v>
      </c>
      <c r="AS7" s="1">
        <f t="shared" si="1"/>
        <v>0</v>
      </c>
      <c r="AT7" s="1">
        <f t="shared" si="2"/>
        <v>0</v>
      </c>
      <c r="AU7" s="1">
        <f t="shared" si="3"/>
        <v>0</v>
      </c>
      <c r="AV7" s="1">
        <f t="shared" si="4"/>
        <v>0</v>
      </c>
      <c r="AW7" s="1">
        <f t="shared" si="5"/>
        <v>0</v>
      </c>
      <c r="AX7" s="1">
        <f t="shared" si="6"/>
        <v>0</v>
      </c>
      <c r="AY7" s="1">
        <f t="shared" si="7"/>
        <v>0</v>
      </c>
    </row>
    <row r="8" spans="1:51" x14ac:dyDescent="0.25">
      <c r="A8" s="1" t="s">
        <v>38</v>
      </c>
      <c r="B8" s="1" t="s">
        <v>147</v>
      </c>
      <c r="C8" s="44" t="s">
        <v>102</v>
      </c>
      <c r="D8" s="35">
        <v>0</v>
      </c>
      <c r="E8" s="38">
        <v>2</v>
      </c>
      <c r="F8" s="38">
        <v>2</v>
      </c>
      <c r="G8" s="38">
        <v>2</v>
      </c>
      <c r="H8" s="38">
        <v>2</v>
      </c>
      <c r="I8" s="38">
        <v>2</v>
      </c>
      <c r="J8" s="38">
        <v>2</v>
      </c>
      <c r="K8" s="38">
        <v>2</v>
      </c>
      <c r="L8" s="38">
        <v>2</v>
      </c>
      <c r="M8" s="38">
        <v>2</v>
      </c>
      <c r="N8" s="38">
        <v>2</v>
      </c>
      <c r="O8" s="38">
        <v>2</v>
      </c>
      <c r="P8" s="38">
        <v>2</v>
      </c>
      <c r="Q8" s="38">
        <v>2</v>
      </c>
      <c r="R8" s="38">
        <v>2</v>
      </c>
      <c r="S8" s="38">
        <v>2</v>
      </c>
      <c r="T8" s="38">
        <v>2</v>
      </c>
      <c r="U8" s="38">
        <v>2</v>
      </c>
      <c r="V8" s="38">
        <v>2</v>
      </c>
      <c r="W8" s="38">
        <v>0</v>
      </c>
      <c r="X8" s="38">
        <v>2</v>
      </c>
      <c r="Y8" s="38">
        <v>2</v>
      </c>
      <c r="Z8" s="38">
        <v>2</v>
      </c>
      <c r="AA8" s="38">
        <v>2</v>
      </c>
      <c r="AB8" s="38">
        <v>2</v>
      </c>
      <c r="AC8" s="38">
        <v>2</v>
      </c>
      <c r="AD8" s="38">
        <v>2</v>
      </c>
      <c r="AE8" s="38">
        <v>2</v>
      </c>
      <c r="AF8" s="38">
        <v>2</v>
      </c>
      <c r="AG8" s="38">
        <v>2</v>
      </c>
      <c r="AH8" s="38">
        <v>2</v>
      </c>
      <c r="AI8" s="38">
        <v>2</v>
      </c>
      <c r="AJ8" s="38">
        <v>2</v>
      </c>
      <c r="AK8" s="38">
        <v>2</v>
      </c>
      <c r="AL8" s="38">
        <v>2</v>
      </c>
      <c r="AM8" s="38">
        <v>2</v>
      </c>
      <c r="AN8" s="38">
        <v>2</v>
      </c>
      <c r="AO8" s="38">
        <v>2</v>
      </c>
      <c r="AP8" s="38">
        <v>2</v>
      </c>
      <c r="AQ8" s="38">
        <v>2</v>
      </c>
      <c r="AR8" s="1">
        <f t="shared" si="0"/>
        <v>2</v>
      </c>
      <c r="AS8" s="1">
        <f t="shared" si="1"/>
        <v>2</v>
      </c>
      <c r="AT8" s="1">
        <f t="shared" si="2"/>
        <v>2</v>
      </c>
      <c r="AU8" s="1">
        <f t="shared" si="3"/>
        <v>2</v>
      </c>
      <c r="AV8" s="1">
        <f t="shared" si="4"/>
        <v>2</v>
      </c>
      <c r="AW8" s="1">
        <f t="shared" si="5"/>
        <v>2</v>
      </c>
      <c r="AX8" s="1">
        <f t="shared" si="6"/>
        <v>2</v>
      </c>
      <c r="AY8" s="1">
        <f t="shared" si="7"/>
        <v>2</v>
      </c>
    </row>
    <row r="9" spans="1:51" x14ac:dyDescent="0.25">
      <c r="A9" s="1" t="s">
        <v>39</v>
      </c>
      <c r="B9" s="1" t="s">
        <v>147</v>
      </c>
      <c r="C9" s="44" t="s">
        <v>103</v>
      </c>
      <c r="D9" s="35">
        <v>0</v>
      </c>
      <c r="E9" s="38">
        <v>2</v>
      </c>
      <c r="F9" s="38">
        <v>2</v>
      </c>
      <c r="G9" s="38">
        <v>2</v>
      </c>
      <c r="H9" s="38">
        <v>2</v>
      </c>
      <c r="I9" s="38">
        <v>2</v>
      </c>
      <c r="J9" s="38">
        <v>2</v>
      </c>
      <c r="K9" s="38">
        <v>2</v>
      </c>
      <c r="L9" s="38">
        <v>2</v>
      </c>
      <c r="M9" s="38">
        <v>2</v>
      </c>
      <c r="N9" s="38">
        <v>2</v>
      </c>
      <c r="O9" s="38">
        <v>2</v>
      </c>
      <c r="P9" s="38">
        <v>2</v>
      </c>
      <c r="Q9" s="38">
        <v>2</v>
      </c>
      <c r="R9" s="38">
        <v>2</v>
      </c>
      <c r="S9" s="38">
        <v>2</v>
      </c>
      <c r="T9" s="38">
        <v>2</v>
      </c>
      <c r="U9" s="38">
        <v>2</v>
      </c>
      <c r="V9" s="38">
        <v>2</v>
      </c>
      <c r="W9" s="38">
        <v>0</v>
      </c>
      <c r="X9" s="38">
        <v>2</v>
      </c>
      <c r="Y9" s="38">
        <v>2</v>
      </c>
      <c r="Z9" s="38">
        <v>2</v>
      </c>
      <c r="AA9" s="38">
        <v>2</v>
      </c>
      <c r="AB9" s="38">
        <v>2</v>
      </c>
      <c r="AC9" s="38">
        <v>2</v>
      </c>
      <c r="AD9" s="38">
        <v>2</v>
      </c>
      <c r="AE9" s="38">
        <v>2</v>
      </c>
      <c r="AF9" s="38">
        <v>2</v>
      </c>
      <c r="AG9" s="38">
        <v>2</v>
      </c>
      <c r="AH9" s="38">
        <v>2</v>
      </c>
      <c r="AI9" s="38">
        <v>2</v>
      </c>
      <c r="AJ9" s="38">
        <v>2</v>
      </c>
      <c r="AK9" s="38">
        <v>2</v>
      </c>
      <c r="AL9" s="38">
        <v>2</v>
      </c>
      <c r="AM9" s="38">
        <v>2</v>
      </c>
      <c r="AN9" s="38">
        <v>2</v>
      </c>
      <c r="AO9" s="38">
        <v>2</v>
      </c>
      <c r="AP9" s="38">
        <v>2</v>
      </c>
      <c r="AQ9" s="38">
        <v>2</v>
      </c>
      <c r="AR9" s="1">
        <f t="shared" si="0"/>
        <v>2</v>
      </c>
      <c r="AS9" s="1">
        <f t="shared" si="1"/>
        <v>2</v>
      </c>
      <c r="AT9" s="1">
        <f t="shared" si="2"/>
        <v>2</v>
      </c>
      <c r="AU9" s="1">
        <f t="shared" si="3"/>
        <v>2</v>
      </c>
      <c r="AV9" s="1">
        <f t="shared" si="4"/>
        <v>2</v>
      </c>
      <c r="AW9" s="1">
        <f t="shared" si="5"/>
        <v>2</v>
      </c>
      <c r="AX9" s="1">
        <f t="shared" si="6"/>
        <v>2</v>
      </c>
      <c r="AY9" s="1">
        <f t="shared" si="7"/>
        <v>2</v>
      </c>
    </row>
    <row r="10" spans="1:51" x14ac:dyDescent="0.25">
      <c r="A10" s="1" t="s">
        <v>40</v>
      </c>
      <c r="B10" s="1" t="s">
        <v>147</v>
      </c>
      <c r="C10" s="44" t="s">
        <v>104</v>
      </c>
      <c r="D10" s="35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2</v>
      </c>
      <c r="K10" s="38">
        <v>2</v>
      </c>
      <c r="L10" s="38">
        <v>2</v>
      </c>
      <c r="M10" s="38">
        <v>0</v>
      </c>
      <c r="N10" s="38">
        <v>0</v>
      </c>
      <c r="O10" s="38">
        <v>0</v>
      </c>
      <c r="P10" s="38">
        <v>2</v>
      </c>
      <c r="Q10" s="38">
        <v>2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1">
        <f t="shared" si="0"/>
        <v>0</v>
      </c>
      <c r="AS10" s="1">
        <f t="shared" si="1"/>
        <v>0</v>
      </c>
      <c r="AT10" s="1">
        <f t="shared" si="2"/>
        <v>0</v>
      </c>
      <c r="AU10" s="1">
        <f t="shared" si="3"/>
        <v>0</v>
      </c>
      <c r="AV10" s="1">
        <f t="shared" si="4"/>
        <v>0</v>
      </c>
      <c r="AW10" s="1">
        <f t="shared" si="5"/>
        <v>0</v>
      </c>
      <c r="AX10" s="1">
        <f t="shared" si="6"/>
        <v>2</v>
      </c>
      <c r="AY10" s="1">
        <f t="shared" si="7"/>
        <v>2</v>
      </c>
    </row>
    <row r="11" spans="1:51" x14ac:dyDescent="0.25">
      <c r="A11" s="1" t="s">
        <v>41</v>
      </c>
      <c r="B11" s="1" t="s">
        <v>147</v>
      </c>
      <c r="C11" s="44" t="s">
        <v>105</v>
      </c>
      <c r="D11" s="35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2</v>
      </c>
      <c r="K11" s="38">
        <v>2</v>
      </c>
      <c r="L11" s="38">
        <v>2</v>
      </c>
      <c r="M11" s="38">
        <v>2</v>
      </c>
      <c r="N11" s="38">
        <v>0</v>
      </c>
      <c r="O11" s="38">
        <v>1</v>
      </c>
      <c r="P11" s="38">
        <v>2</v>
      </c>
      <c r="Q11" s="38">
        <v>1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1</v>
      </c>
      <c r="AB11" s="38">
        <v>0</v>
      </c>
      <c r="AC11" s="38">
        <v>1</v>
      </c>
      <c r="AD11" s="38">
        <v>1</v>
      </c>
      <c r="AE11" s="38">
        <v>1</v>
      </c>
      <c r="AF11" s="38">
        <v>1</v>
      </c>
      <c r="AG11" s="38">
        <v>1</v>
      </c>
      <c r="AH11" s="38">
        <v>0</v>
      </c>
      <c r="AI11" s="38">
        <v>1</v>
      </c>
      <c r="AJ11" s="38">
        <v>1</v>
      </c>
      <c r="AK11" s="38">
        <v>1</v>
      </c>
      <c r="AL11" s="38">
        <v>0</v>
      </c>
      <c r="AM11" s="38">
        <v>2</v>
      </c>
      <c r="AN11" s="38">
        <v>2</v>
      </c>
      <c r="AO11" s="38">
        <v>2</v>
      </c>
      <c r="AP11" s="38">
        <v>2</v>
      </c>
      <c r="AQ11" s="38">
        <v>2</v>
      </c>
      <c r="AR11" s="1">
        <f t="shared" si="0"/>
        <v>1</v>
      </c>
      <c r="AS11" s="1">
        <f t="shared" si="1"/>
        <v>0</v>
      </c>
      <c r="AT11" s="1">
        <f t="shared" si="2"/>
        <v>0</v>
      </c>
      <c r="AU11" s="1">
        <f t="shared" si="3"/>
        <v>0</v>
      </c>
      <c r="AV11" s="1">
        <f t="shared" si="4"/>
        <v>0</v>
      </c>
      <c r="AW11" s="1">
        <f t="shared" si="5"/>
        <v>0</v>
      </c>
      <c r="AX11" s="1">
        <f t="shared" si="6"/>
        <v>2</v>
      </c>
      <c r="AY11" s="1">
        <f t="shared" si="7"/>
        <v>2</v>
      </c>
    </row>
    <row r="12" spans="1:51" x14ac:dyDescent="0.25">
      <c r="A12" s="1" t="s">
        <v>42</v>
      </c>
      <c r="B12" s="1" t="s">
        <v>148</v>
      </c>
      <c r="C12" s="44" t="s">
        <v>106</v>
      </c>
      <c r="D12" s="35">
        <v>0</v>
      </c>
      <c r="E12" s="38">
        <v>2</v>
      </c>
      <c r="F12" s="38">
        <v>2</v>
      </c>
      <c r="G12" s="38">
        <v>2</v>
      </c>
      <c r="H12" s="38">
        <v>2</v>
      </c>
      <c r="I12" s="38">
        <v>2</v>
      </c>
      <c r="J12" s="38">
        <v>2</v>
      </c>
      <c r="K12" s="38">
        <v>2</v>
      </c>
      <c r="L12" s="38">
        <v>2</v>
      </c>
      <c r="M12" s="38">
        <v>2</v>
      </c>
      <c r="N12" s="38">
        <v>2</v>
      </c>
      <c r="O12" s="38">
        <v>2</v>
      </c>
      <c r="P12" s="38">
        <v>2</v>
      </c>
      <c r="Q12" s="38">
        <v>2</v>
      </c>
      <c r="R12" s="38">
        <v>2</v>
      </c>
      <c r="S12" s="38">
        <v>2</v>
      </c>
      <c r="T12" s="38">
        <v>2</v>
      </c>
      <c r="U12" s="38">
        <v>2</v>
      </c>
      <c r="V12" s="38">
        <v>2</v>
      </c>
      <c r="W12" s="38">
        <v>0</v>
      </c>
      <c r="X12" s="38">
        <v>2</v>
      </c>
      <c r="Y12" s="38">
        <v>2</v>
      </c>
      <c r="Z12" s="38">
        <v>2</v>
      </c>
      <c r="AA12" s="38">
        <v>2</v>
      </c>
      <c r="AB12" s="38">
        <v>2</v>
      </c>
      <c r="AC12" s="38">
        <v>2</v>
      </c>
      <c r="AD12" s="38">
        <v>2</v>
      </c>
      <c r="AE12" s="38">
        <v>2</v>
      </c>
      <c r="AF12" s="38">
        <v>2</v>
      </c>
      <c r="AG12" s="38">
        <v>2</v>
      </c>
      <c r="AH12" s="38">
        <v>2</v>
      </c>
      <c r="AI12" s="38">
        <v>2</v>
      </c>
      <c r="AJ12" s="38">
        <v>2</v>
      </c>
      <c r="AK12" s="38">
        <v>2</v>
      </c>
      <c r="AL12" s="38">
        <v>2</v>
      </c>
      <c r="AM12" s="38">
        <v>2</v>
      </c>
      <c r="AN12" s="38">
        <v>2</v>
      </c>
      <c r="AO12" s="38">
        <v>2</v>
      </c>
      <c r="AP12" s="38">
        <v>2</v>
      </c>
      <c r="AQ12" s="38">
        <v>2</v>
      </c>
      <c r="AR12" s="1">
        <f t="shared" si="0"/>
        <v>2</v>
      </c>
      <c r="AS12" s="1">
        <f t="shared" si="1"/>
        <v>2</v>
      </c>
      <c r="AT12" s="1">
        <f t="shared" si="2"/>
        <v>2</v>
      </c>
      <c r="AU12" s="1">
        <f t="shared" si="3"/>
        <v>2</v>
      </c>
      <c r="AV12" s="1">
        <f t="shared" si="4"/>
        <v>2</v>
      </c>
      <c r="AW12" s="1">
        <f t="shared" si="5"/>
        <v>2</v>
      </c>
      <c r="AX12" s="1">
        <f t="shared" si="6"/>
        <v>2</v>
      </c>
      <c r="AY12" s="1">
        <f t="shared" si="7"/>
        <v>2</v>
      </c>
    </row>
    <row r="13" spans="1:51" x14ac:dyDescent="0.25">
      <c r="A13" s="1" t="s">
        <v>319</v>
      </c>
      <c r="B13" s="1" t="s">
        <v>319</v>
      </c>
      <c r="C13" s="44"/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1"/>
      <c r="AS13" s="1">
        <f>MAX(U13,V13)</f>
        <v>0</v>
      </c>
      <c r="AT13" s="1">
        <f>MAX(AH13,W13)</f>
        <v>0</v>
      </c>
      <c r="AU13" s="1">
        <f>MAX(T13,D13)</f>
        <v>0</v>
      </c>
      <c r="AV13" s="1">
        <f>MAX(V13,D13)</f>
        <v>0</v>
      </c>
      <c r="AW13" s="1">
        <f>MAX(G13,D13)</f>
        <v>0</v>
      </c>
      <c r="AX13" s="1">
        <f>MAX(G13:M13)</f>
        <v>0</v>
      </c>
      <c r="AY13" s="1">
        <f>+L13</f>
        <v>0</v>
      </c>
    </row>
    <row r="14" spans="1:51" x14ac:dyDescent="0.25">
      <c r="A14" s="1" t="s">
        <v>321</v>
      </c>
      <c r="B14" s="1" t="s">
        <v>321</v>
      </c>
      <c r="C14" s="44"/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1"/>
      <c r="AS14" s="1">
        <f>MAX(U14,V14)</f>
        <v>0</v>
      </c>
      <c r="AT14" s="1">
        <f>MAX(AH14,W14)</f>
        <v>0</v>
      </c>
      <c r="AU14" s="1">
        <f>MAX(T14,D14)</f>
        <v>0</v>
      </c>
      <c r="AV14" s="1">
        <f>MAX(V14,D14)</f>
        <v>0</v>
      </c>
      <c r="AW14" s="1">
        <f>MAX(G14,D14)</f>
        <v>0</v>
      </c>
      <c r="AX14" s="1">
        <f>MAX(G14:M14)</f>
        <v>0</v>
      </c>
      <c r="AY14" s="1">
        <f>+L14</f>
        <v>0</v>
      </c>
    </row>
    <row r="15" spans="1:51" x14ac:dyDescent="0.25">
      <c r="A15" s="1" t="s">
        <v>43</v>
      </c>
      <c r="B15" s="1" t="s">
        <v>148</v>
      </c>
      <c r="C15" s="44" t="s">
        <v>107</v>
      </c>
      <c r="D15" s="35">
        <v>0</v>
      </c>
      <c r="E15" s="38">
        <v>1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2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8">
        <v>0</v>
      </c>
      <c r="AJ15" s="38">
        <v>0</v>
      </c>
      <c r="AK15" s="38">
        <v>0</v>
      </c>
      <c r="AL15" s="38">
        <v>0</v>
      </c>
      <c r="AM15" s="38">
        <v>0</v>
      </c>
      <c r="AN15" s="38">
        <v>0</v>
      </c>
      <c r="AO15" s="38">
        <v>0</v>
      </c>
      <c r="AP15" s="38">
        <v>0</v>
      </c>
      <c r="AQ15" s="38">
        <v>0</v>
      </c>
      <c r="AR15" s="1">
        <f t="shared" si="0"/>
        <v>0</v>
      </c>
      <c r="AS15" s="1">
        <f t="shared" si="1"/>
        <v>0</v>
      </c>
      <c r="AT15" s="1">
        <f t="shared" si="2"/>
        <v>0</v>
      </c>
      <c r="AU15" s="1">
        <f t="shared" si="3"/>
        <v>0</v>
      </c>
      <c r="AV15" s="1">
        <f t="shared" si="4"/>
        <v>0</v>
      </c>
      <c r="AW15" s="1">
        <f t="shared" si="5"/>
        <v>0</v>
      </c>
      <c r="AX15" s="1">
        <f t="shared" si="6"/>
        <v>0</v>
      </c>
      <c r="AY15" s="1">
        <f t="shared" si="7"/>
        <v>0</v>
      </c>
    </row>
    <row r="16" spans="1:51" x14ac:dyDescent="0.25">
      <c r="A16" s="1" t="s">
        <v>44</v>
      </c>
      <c r="B16" s="1" t="s">
        <v>148</v>
      </c>
      <c r="C16" s="44" t="s">
        <v>108</v>
      </c>
      <c r="D16" s="35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2</v>
      </c>
      <c r="R16" s="38">
        <v>0</v>
      </c>
      <c r="S16" s="38">
        <v>2</v>
      </c>
      <c r="T16" s="38">
        <v>2</v>
      </c>
      <c r="U16" s="38">
        <v>0</v>
      </c>
      <c r="V16" s="38">
        <v>2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1</v>
      </c>
      <c r="AD16" s="38">
        <v>1</v>
      </c>
      <c r="AE16" s="38">
        <v>1</v>
      </c>
      <c r="AF16" s="38">
        <v>0</v>
      </c>
      <c r="AG16" s="38">
        <v>0</v>
      </c>
      <c r="AH16" s="38">
        <v>0</v>
      </c>
      <c r="AI16" s="38">
        <v>0</v>
      </c>
      <c r="AJ16" s="38">
        <v>1</v>
      </c>
      <c r="AK16" s="38">
        <v>1</v>
      </c>
      <c r="AL16" s="38">
        <v>0</v>
      </c>
      <c r="AM16" s="38">
        <v>1</v>
      </c>
      <c r="AN16" s="38">
        <v>1</v>
      </c>
      <c r="AO16" s="38">
        <v>1</v>
      </c>
      <c r="AP16" s="38">
        <v>1</v>
      </c>
      <c r="AQ16" s="38">
        <v>0</v>
      </c>
      <c r="AR16" s="1">
        <f t="shared" si="0"/>
        <v>0</v>
      </c>
      <c r="AS16" s="1">
        <f t="shared" si="1"/>
        <v>2</v>
      </c>
      <c r="AT16" s="1">
        <f t="shared" si="2"/>
        <v>0</v>
      </c>
      <c r="AU16" s="1">
        <f t="shared" si="3"/>
        <v>2</v>
      </c>
      <c r="AV16" s="1">
        <f t="shared" si="4"/>
        <v>2</v>
      </c>
      <c r="AW16" s="1">
        <f t="shared" si="5"/>
        <v>0</v>
      </c>
      <c r="AX16" s="1">
        <f t="shared" si="6"/>
        <v>0</v>
      </c>
      <c r="AY16" s="1">
        <f t="shared" si="7"/>
        <v>0</v>
      </c>
    </row>
    <row r="17" spans="1:51" x14ac:dyDescent="0.25">
      <c r="A17" s="1" t="s">
        <v>45</v>
      </c>
      <c r="B17" s="1" t="s">
        <v>148</v>
      </c>
      <c r="C17" s="44" t="s">
        <v>109</v>
      </c>
      <c r="D17" s="35">
        <v>0</v>
      </c>
      <c r="E17" s="38">
        <v>2</v>
      </c>
      <c r="F17" s="38">
        <v>2</v>
      </c>
      <c r="G17" s="38">
        <v>2</v>
      </c>
      <c r="H17" s="38">
        <v>2</v>
      </c>
      <c r="I17" s="38">
        <v>2</v>
      </c>
      <c r="J17" s="38">
        <v>2</v>
      </c>
      <c r="K17" s="38">
        <v>2</v>
      </c>
      <c r="L17" s="38">
        <v>2</v>
      </c>
      <c r="M17" s="38">
        <v>2</v>
      </c>
      <c r="N17" s="38">
        <v>2</v>
      </c>
      <c r="O17" s="38">
        <v>2</v>
      </c>
      <c r="P17" s="38">
        <v>2</v>
      </c>
      <c r="Q17" s="38">
        <v>2</v>
      </c>
      <c r="R17" s="38">
        <v>2</v>
      </c>
      <c r="S17" s="38">
        <v>2</v>
      </c>
      <c r="T17" s="38">
        <v>2</v>
      </c>
      <c r="U17" s="38">
        <v>2</v>
      </c>
      <c r="V17" s="38">
        <v>2</v>
      </c>
      <c r="W17" s="38">
        <v>0</v>
      </c>
      <c r="X17" s="38">
        <v>2</v>
      </c>
      <c r="Y17" s="38">
        <v>2</v>
      </c>
      <c r="Z17" s="38">
        <v>2</v>
      </c>
      <c r="AA17" s="38">
        <v>2</v>
      </c>
      <c r="AB17" s="38">
        <v>2</v>
      </c>
      <c r="AC17" s="38">
        <v>2</v>
      </c>
      <c r="AD17" s="38">
        <v>2</v>
      </c>
      <c r="AE17" s="38">
        <v>2</v>
      </c>
      <c r="AF17" s="38">
        <v>2</v>
      </c>
      <c r="AG17" s="38">
        <v>2</v>
      </c>
      <c r="AH17" s="38">
        <v>2</v>
      </c>
      <c r="AI17" s="38">
        <v>2</v>
      </c>
      <c r="AJ17" s="38">
        <v>2</v>
      </c>
      <c r="AK17" s="38">
        <v>2</v>
      </c>
      <c r="AL17" s="38">
        <v>2</v>
      </c>
      <c r="AM17" s="38">
        <v>2</v>
      </c>
      <c r="AN17" s="38">
        <v>2</v>
      </c>
      <c r="AO17" s="38">
        <v>2</v>
      </c>
      <c r="AP17" s="38">
        <v>2</v>
      </c>
      <c r="AQ17" s="38">
        <v>2</v>
      </c>
      <c r="AR17" s="1">
        <f t="shared" si="0"/>
        <v>2</v>
      </c>
      <c r="AS17" s="1">
        <f t="shared" si="1"/>
        <v>2</v>
      </c>
      <c r="AT17" s="1">
        <f t="shared" si="2"/>
        <v>2</v>
      </c>
      <c r="AU17" s="1">
        <f t="shared" si="3"/>
        <v>2</v>
      </c>
      <c r="AV17" s="1">
        <f t="shared" si="4"/>
        <v>2</v>
      </c>
      <c r="AW17" s="1">
        <f t="shared" si="5"/>
        <v>2</v>
      </c>
      <c r="AX17" s="1">
        <f t="shared" si="6"/>
        <v>2</v>
      </c>
      <c r="AY17" s="1">
        <f t="shared" si="7"/>
        <v>2</v>
      </c>
    </row>
    <row r="18" spans="1:51" x14ac:dyDescent="0.25">
      <c r="A18" s="1" t="s">
        <v>46</v>
      </c>
      <c r="B18" s="1" t="s">
        <v>148</v>
      </c>
      <c r="C18" s="44" t="s">
        <v>110</v>
      </c>
      <c r="D18" s="35">
        <v>0</v>
      </c>
      <c r="E18" s="38">
        <v>0</v>
      </c>
      <c r="F18" s="38">
        <v>1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2</v>
      </c>
      <c r="N18" s="38">
        <v>0</v>
      </c>
      <c r="O18" s="38">
        <v>0</v>
      </c>
      <c r="P18" s="38">
        <v>1</v>
      </c>
      <c r="Q18" s="38">
        <v>2</v>
      </c>
      <c r="R18" s="38">
        <v>2</v>
      </c>
      <c r="S18" s="38">
        <v>2</v>
      </c>
      <c r="T18" s="38">
        <v>2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8">
        <v>1</v>
      </c>
      <c r="AD18" s="38">
        <v>1</v>
      </c>
      <c r="AE18" s="38">
        <v>1</v>
      </c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38">
        <v>0</v>
      </c>
      <c r="AM18" s="38">
        <v>2</v>
      </c>
      <c r="AN18" s="38">
        <v>2</v>
      </c>
      <c r="AO18" s="38">
        <v>2</v>
      </c>
      <c r="AP18" s="38">
        <v>2</v>
      </c>
      <c r="AQ18" s="38">
        <v>2</v>
      </c>
      <c r="AR18" s="1">
        <f t="shared" si="0"/>
        <v>0</v>
      </c>
      <c r="AS18" s="1">
        <f t="shared" si="1"/>
        <v>0</v>
      </c>
      <c r="AT18" s="1">
        <f t="shared" si="2"/>
        <v>0</v>
      </c>
      <c r="AU18" s="1">
        <f t="shared" si="3"/>
        <v>2</v>
      </c>
      <c r="AV18" s="1">
        <f t="shared" si="4"/>
        <v>0</v>
      </c>
      <c r="AW18" s="1">
        <f t="shared" si="5"/>
        <v>0</v>
      </c>
      <c r="AX18" s="1">
        <f t="shared" si="6"/>
        <v>2</v>
      </c>
      <c r="AY18" s="1">
        <f t="shared" si="7"/>
        <v>0</v>
      </c>
    </row>
    <row r="19" spans="1:51" x14ac:dyDescent="0.25">
      <c r="A19" s="1" t="s">
        <v>47</v>
      </c>
      <c r="B19" s="1" t="s">
        <v>148</v>
      </c>
      <c r="C19" s="44" t="s">
        <v>111</v>
      </c>
      <c r="D19" s="35">
        <v>0</v>
      </c>
      <c r="E19" s="38">
        <v>1</v>
      </c>
      <c r="F19" s="38">
        <v>1</v>
      </c>
      <c r="G19" s="38">
        <v>1</v>
      </c>
      <c r="H19" s="38">
        <v>1</v>
      </c>
      <c r="I19" s="38">
        <v>2</v>
      </c>
      <c r="J19" s="38">
        <v>2</v>
      </c>
      <c r="K19" s="38">
        <v>1</v>
      </c>
      <c r="L19" s="38">
        <v>1</v>
      </c>
      <c r="M19" s="38">
        <v>1</v>
      </c>
      <c r="N19" s="38">
        <v>1</v>
      </c>
      <c r="O19" s="38">
        <v>2</v>
      </c>
      <c r="P19" s="38">
        <v>1</v>
      </c>
      <c r="Q19" s="38">
        <v>2</v>
      </c>
      <c r="R19" s="38">
        <v>2</v>
      </c>
      <c r="S19" s="38">
        <v>2</v>
      </c>
      <c r="T19" s="38">
        <v>2</v>
      </c>
      <c r="U19" s="38">
        <v>2</v>
      </c>
      <c r="V19" s="38">
        <v>2</v>
      </c>
      <c r="W19" s="38">
        <v>0</v>
      </c>
      <c r="X19" s="38">
        <v>1</v>
      </c>
      <c r="Y19" s="38">
        <v>1</v>
      </c>
      <c r="Z19" s="38">
        <v>1</v>
      </c>
      <c r="AA19" s="38">
        <v>1</v>
      </c>
      <c r="AB19" s="38">
        <v>1</v>
      </c>
      <c r="AC19" s="38">
        <v>1</v>
      </c>
      <c r="AD19" s="38">
        <v>1</v>
      </c>
      <c r="AE19" s="38">
        <v>1</v>
      </c>
      <c r="AF19" s="38">
        <v>1</v>
      </c>
      <c r="AG19" s="38">
        <v>1</v>
      </c>
      <c r="AH19" s="38">
        <v>1</v>
      </c>
      <c r="AI19" s="38">
        <v>1</v>
      </c>
      <c r="AJ19" s="38">
        <v>1</v>
      </c>
      <c r="AK19" s="38">
        <v>1</v>
      </c>
      <c r="AL19" s="38">
        <v>1</v>
      </c>
      <c r="AM19" s="38">
        <v>2</v>
      </c>
      <c r="AN19" s="38">
        <v>2</v>
      </c>
      <c r="AO19" s="38">
        <v>2</v>
      </c>
      <c r="AP19" s="38">
        <v>2</v>
      </c>
      <c r="AQ19" s="38">
        <v>2</v>
      </c>
      <c r="AR19" s="1">
        <f t="shared" si="0"/>
        <v>2</v>
      </c>
      <c r="AS19" s="1">
        <f t="shared" si="1"/>
        <v>2</v>
      </c>
      <c r="AT19" s="1">
        <f t="shared" si="2"/>
        <v>1</v>
      </c>
      <c r="AU19" s="1">
        <f t="shared" si="3"/>
        <v>2</v>
      </c>
      <c r="AV19" s="1">
        <f t="shared" si="4"/>
        <v>2</v>
      </c>
      <c r="AW19" s="1">
        <f t="shared" si="5"/>
        <v>1</v>
      </c>
      <c r="AX19" s="1">
        <f t="shared" si="6"/>
        <v>2</v>
      </c>
      <c r="AY19" s="1">
        <f t="shared" si="7"/>
        <v>1</v>
      </c>
    </row>
    <row r="20" spans="1:51" x14ac:dyDescent="0.25">
      <c r="A20" s="1" t="s">
        <v>48</v>
      </c>
      <c r="B20" s="1" t="s">
        <v>148</v>
      </c>
      <c r="C20" s="44" t="s">
        <v>112</v>
      </c>
      <c r="D20" s="35">
        <v>0</v>
      </c>
      <c r="E20" s="38">
        <v>1</v>
      </c>
      <c r="F20" s="38">
        <v>0</v>
      </c>
      <c r="G20" s="38">
        <v>0</v>
      </c>
      <c r="H20" s="38">
        <v>2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2</v>
      </c>
      <c r="S20" s="38">
        <v>2</v>
      </c>
      <c r="T20" s="38">
        <v>0</v>
      </c>
      <c r="U20" s="38">
        <v>0</v>
      </c>
      <c r="V20" s="38">
        <v>2</v>
      </c>
      <c r="W20" s="38">
        <v>0</v>
      </c>
      <c r="X20" s="38">
        <v>0</v>
      </c>
      <c r="Y20" s="38">
        <v>0</v>
      </c>
      <c r="Z20" s="38">
        <v>0</v>
      </c>
      <c r="AA20" s="38">
        <v>1</v>
      </c>
      <c r="AB20" s="38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8">
        <v>0</v>
      </c>
      <c r="AJ20" s="38">
        <v>0</v>
      </c>
      <c r="AK20" s="38">
        <v>0</v>
      </c>
      <c r="AL20" s="38">
        <v>0</v>
      </c>
      <c r="AM20" s="38">
        <v>2</v>
      </c>
      <c r="AN20" s="38">
        <v>2</v>
      </c>
      <c r="AO20" s="38">
        <v>2</v>
      </c>
      <c r="AP20" s="38">
        <v>2</v>
      </c>
      <c r="AQ20" s="38">
        <v>2</v>
      </c>
      <c r="AR20" s="1">
        <f t="shared" si="0"/>
        <v>0</v>
      </c>
      <c r="AS20" s="1">
        <f t="shared" si="1"/>
        <v>2</v>
      </c>
      <c r="AT20" s="1">
        <f t="shared" si="2"/>
        <v>0</v>
      </c>
      <c r="AU20" s="1">
        <f t="shared" si="3"/>
        <v>0</v>
      </c>
      <c r="AV20" s="1">
        <f t="shared" si="4"/>
        <v>2</v>
      </c>
      <c r="AW20" s="1">
        <f t="shared" si="5"/>
        <v>0</v>
      </c>
      <c r="AX20" s="1">
        <f t="shared" si="6"/>
        <v>2</v>
      </c>
      <c r="AY20" s="1">
        <f t="shared" si="7"/>
        <v>0</v>
      </c>
    </row>
    <row r="21" spans="1:51" x14ac:dyDescent="0.25">
      <c r="A21" s="1" t="s">
        <v>49</v>
      </c>
      <c r="B21" s="1" t="s">
        <v>149</v>
      </c>
      <c r="C21" s="44" t="s">
        <v>113</v>
      </c>
      <c r="D21" s="35">
        <v>0</v>
      </c>
      <c r="E21" s="38">
        <v>2</v>
      </c>
      <c r="F21" s="38">
        <v>2</v>
      </c>
      <c r="G21" s="38">
        <v>2</v>
      </c>
      <c r="H21" s="38">
        <v>2</v>
      </c>
      <c r="I21" s="38">
        <v>2</v>
      </c>
      <c r="J21" s="38">
        <v>2</v>
      </c>
      <c r="K21" s="38">
        <v>2</v>
      </c>
      <c r="L21" s="38">
        <v>2</v>
      </c>
      <c r="M21" s="38">
        <v>2</v>
      </c>
      <c r="N21" s="38">
        <v>2</v>
      </c>
      <c r="O21" s="38">
        <v>2</v>
      </c>
      <c r="P21" s="38">
        <v>2</v>
      </c>
      <c r="Q21" s="38">
        <v>2</v>
      </c>
      <c r="R21" s="38">
        <v>2</v>
      </c>
      <c r="S21" s="38">
        <v>2</v>
      </c>
      <c r="T21" s="38">
        <v>2</v>
      </c>
      <c r="U21" s="38">
        <v>2</v>
      </c>
      <c r="V21" s="38">
        <v>2</v>
      </c>
      <c r="W21" s="38">
        <v>0</v>
      </c>
      <c r="X21" s="38">
        <v>2</v>
      </c>
      <c r="Y21" s="38">
        <v>2</v>
      </c>
      <c r="Z21" s="38">
        <v>2</v>
      </c>
      <c r="AA21" s="38">
        <v>2</v>
      </c>
      <c r="AB21" s="38">
        <v>2</v>
      </c>
      <c r="AC21" s="38">
        <v>2</v>
      </c>
      <c r="AD21" s="38">
        <v>2</v>
      </c>
      <c r="AE21" s="38">
        <v>2</v>
      </c>
      <c r="AF21" s="38">
        <v>2</v>
      </c>
      <c r="AG21" s="38">
        <v>2</v>
      </c>
      <c r="AH21" s="38">
        <v>2</v>
      </c>
      <c r="AI21" s="38">
        <v>2</v>
      </c>
      <c r="AJ21" s="38">
        <v>2</v>
      </c>
      <c r="AK21" s="38">
        <v>2</v>
      </c>
      <c r="AL21" s="38">
        <v>2</v>
      </c>
      <c r="AM21" s="38">
        <v>2</v>
      </c>
      <c r="AN21" s="38">
        <v>2</v>
      </c>
      <c r="AO21" s="38">
        <v>2</v>
      </c>
      <c r="AP21" s="38">
        <v>2</v>
      </c>
      <c r="AQ21" s="38">
        <v>2</v>
      </c>
      <c r="AR21" s="1">
        <f t="shared" si="0"/>
        <v>2</v>
      </c>
      <c r="AS21" s="1">
        <f t="shared" si="1"/>
        <v>2</v>
      </c>
      <c r="AT21" s="1">
        <f t="shared" si="2"/>
        <v>2</v>
      </c>
      <c r="AU21" s="1">
        <f t="shared" si="3"/>
        <v>2</v>
      </c>
      <c r="AV21" s="1">
        <f t="shared" si="4"/>
        <v>2</v>
      </c>
      <c r="AW21" s="1">
        <f t="shared" si="5"/>
        <v>2</v>
      </c>
      <c r="AX21" s="1">
        <f t="shared" si="6"/>
        <v>2</v>
      </c>
      <c r="AY21" s="1">
        <f t="shared" si="7"/>
        <v>2</v>
      </c>
    </row>
    <row r="22" spans="1:51" x14ac:dyDescent="0.25">
      <c r="A22" s="1" t="s">
        <v>50</v>
      </c>
      <c r="B22" s="1" t="s">
        <v>148</v>
      </c>
      <c r="C22" s="44" t="s">
        <v>114</v>
      </c>
      <c r="D22" s="35">
        <v>0</v>
      </c>
      <c r="E22" s="38">
        <v>2</v>
      </c>
      <c r="F22" s="38">
        <v>2</v>
      </c>
      <c r="G22" s="38">
        <v>2</v>
      </c>
      <c r="H22" s="38">
        <v>2</v>
      </c>
      <c r="I22" s="38">
        <v>2</v>
      </c>
      <c r="J22" s="38">
        <v>2</v>
      </c>
      <c r="K22" s="38">
        <v>2</v>
      </c>
      <c r="L22" s="38">
        <v>2</v>
      </c>
      <c r="M22" s="38">
        <v>2</v>
      </c>
      <c r="N22" s="38">
        <v>2</v>
      </c>
      <c r="O22" s="38">
        <v>2</v>
      </c>
      <c r="P22" s="38">
        <v>2</v>
      </c>
      <c r="Q22" s="38">
        <v>2</v>
      </c>
      <c r="R22" s="38">
        <v>2</v>
      </c>
      <c r="S22" s="38">
        <v>2</v>
      </c>
      <c r="T22" s="38">
        <v>2</v>
      </c>
      <c r="U22" s="38">
        <v>2</v>
      </c>
      <c r="V22" s="38">
        <v>2</v>
      </c>
      <c r="W22" s="38">
        <v>0</v>
      </c>
      <c r="X22" s="38">
        <v>2</v>
      </c>
      <c r="Y22" s="38">
        <v>2</v>
      </c>
      <c r="Z22" s="38">
        <v>2</v>
      </c>
      <c r="AA22" s="38">
        <v>2</v>
      </c>
      <c r="AB22" s="38">
        <v>2</v>
      </c>
      <c r="AC22" s="38">
        <v>2</v>
      </c>
      <c r="AD22" s="38">
        <v>2</v>
      </c>
      <c r="AE22" s="38">
        <v>2</v>
      </c>
      <c r="AF22" s="38">
        <v>2</v>
      </c>
      <c r="AG22" s="38">
        <v>2</v>
      </c>
      <c r="AH22" s="38">
        <v>2</v>
      </c>
      <c r="AI22" s="38">
        <v>2</v>
      </c>
      <c r="AJ22" s="38">
        <v>2</v>
      </c>
      <c r="AK22" s="38">
        <v>2</v>
      </c>
      <c r="AL22" s="38">
        <v>2</v>
      </c>
      <c r="AM22" s="38">
        <v>2</v>
      </c>
      <c r="AN22" s="38">
        <v>2</v>
      </c>
      <c r="AO22" s="38">
        <v>2</v>
      </c>
      <c r="AP22" s="38">
        <v>2</v>
      </c>
      <c r="AQ22" s="38">
        <v>2</v>
      </c>
      <c r="AR22" s="1">
        <f t="shared" si="0"/>
        <v>2</v>
      </c>
      <c r="AS22" s="1">
        <f t="shared" si="1"/>
        <v>2</v>
      </c>
      <c r="AT22" s="1">
        <f t="shared" si="2"/>
        <v>2</v>
      </c>
      <c r="AU22" s="1">
        <f t="shared" si="3"/>
        <v>2</v>
      </c>
      <c r="AV22" s="1">
        <f t="shared" si="4"/>
        <v>2</v>
      </c>
      <c r="AW22" s="1">
        <f t="shared" si="5"/>
        <v>2</v>
      </c>
      <c r="AX22" s="1">
        <f t="shared" si="6"/>
        <v>2</v>
      </c>
      <c r="AY22" s="1">
        <f t="shared" si="7"/>
        <v>2</v>
      </c>
    </row>
    <row r="23" spans="1:51" x14ac:dyDescent="0.25">
      <c r="A23" s="1" t="s">
        <v>51</v>
      </c>
      <c r="B23" s="1" t="s">
        <v>149</v>
      </c>
      <c r="C23" s="44" t="s">
        <v>115</v>
      </c>
      <c r="D23" s="35">
        <v>0</v>
      </c>
      <c r="E23" s="38">
        <v>2</v>
      </c>
      <c r="F23" s="38">
        <v>2</v>
      </c>
      <c r="G23" s="38">
        <v>2</v>
      </c>
      <c r="H23" s="38">
        <v>2</v>
      </c>
      <c r="I23" s="38">
        <v>2</v>
      </c>
      <c r="J23" s="38">
        <v>2</v>
      </c>
      <c r="K23" s="38">
        <v>2</v>
      </c>
      <c r="L23" s="38">
        <v>2</v>
      </c>
      <c r="M23" s="38">
        <v>2</v>
      </c>
      <c r="N23" s="38">
        <v>2</v>
      </c>
      <c r="O23" s="38">
        <v>2</v>
      </c>
      <c r="P23" s="38">
        <v>2</v>
      </c>
      <c r="Q23" s="38">
        <v>2</v>
      </c>
      <c r="R23" s="38">
        <v>2</v>
      </c>
      <c r="S23" s="38">
        <v>2</v>
      </c>
      <c r="T23" s="38">
        <v>2</v>
      </c>
      <c r="U23" s="38">
        <v>2</v>
      </c>
      <c r="V23" s="38">
        <v>2</v>
      </c>
      <c r="W23" s="38">
        <v>0</v>
      </c>
      <c r="X23" s="38">
        <v>2</v>
      </c>
      <c r="Y23" s="38">
        <v>2</v>
      </c>
      <c r="Z23" s="38">
        <v>2</v>
      </c>
      <c r="AA23" s="38">
        <v>2</v>
      </c>
      <c r="AB23" s="38">
        <v>2</v>
      </c>
      <c r="AC23" s="38">
        <v>2</v>
      </c>
      <c r="AD23" s="38">
        <v>2</v>
      </c>
      <c r="AE23" s="38">
        <v>2</v>
      </c>
      <c r="AF23" s="38">
        <v>2</v>
      </c>
      <c r="AG23" s="38">
        <v>2</v>
      </c>
      <c r="AH23" s="38">
        <v>2</v>
      </c>
      <c r="AI23" s="38">
        <v>2</v>
      </c>
      <c r="AJ23" s="38">
        <v>2</v>
      </c>
      <c r="AK23" s="38">
        <v>2</v>
      </c>
      <c r="AL23" s="38">
        <v>2</v>
      </c>
      <c r="AM23" s="38">
        <v>2</v>
      </c>
      <c r="AN23" s="38">
        <v>2</v>
      </c>
      <c r="AO23" s="38">
        <v>2</v>
      </c>
      <c r="AP23" s="38">
        <v>2</v>
      </c>
      <c r="AQ23" s="38">
        <v>2</v>
      </c>
      <c r="AR23" s="1">
        <f t="shared" si="0"/>
        <v>2</v>
      </c>
      <c r="AS23" s="1">
        <f t="shared" si="1"/>
        <v>2</v>
      </c>
      <c r="AT23" s="1">
        <f t="shared" si="2"/>
        <v>2</v>
      </c>
      <c r="AU23" s="1">
        <f t="shared" si="3"/>
        <v>2</v>
      </c>
      <c r="AV23" s="1">
        <f t="shared" si="4"/>
        <v>2</v>
      </c>
      <c r="AW23" s="1">
        <f t="shared" si="5"/>
        <v>2</v>
      </c>
      <c r="AX23" s="1">
        <f t="shared" si="6"/>
        <v>2</v>
      </c>
      <c r="AY23" s="1">
        <f t="shared" si="7"/>
        <v>2</v>
      </c>
    </row>
    <row r="24" spans="1:51" x14ac:dyDescent="0.25">
      <c r="A24" s="1" t="s">
        <v>52</v>
      </c>
      <c r="B24" s="1" t="s">
        <v>148</v>
      </c>
      <c r="C24" s="44" t="s">
        <v>116</v>
      </c>
      <c r="D24" s="35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1</v>
      </c>
      <c r="K24" s="38">
        <v>1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1</v>
      </c>
      <c r="U24" s="38">
        <v>2</v>
      </c>
      <c r="V24" s="38">
        <v>2</v>
      </c>
      <c r="W24" s="38">
        <v>0</v>
      </c>
      <c r="X24" s="38">
        <v>1</v>
      </c>
      <c r="Y24" s="38">
        <v>1</v>
      </c>
      <c r="Z24" s="38">
        <v>1</v>
      </c>
      <c r="AA24" s="38">
        <v>1</v>
      </c>
      <c r="AB24" s="38">
        <v>1</v>
      </c>
      <c r="AC24" s="38">
        <v>1</v>
      </c>
      <c r="AD24" s="38">
        <v>1</v>
      </c>
      <c r="AE24" s="38">
        <v>1</v>
      </c>
      <c r="AF24" s="38">
        <v>1</v>
      </c>
      <c r="AG24" s="38">
        <v>1</v>
      </c>
      <c r="AH24" s="38">
        <v>1</v>
      </c>
      <c r="AI24" s="38">
        <v>1</v>
      </c>
      <c r="AJ24" s="38">
        <v>1</v>
      </c>
      <c r="AK24" s="38">
        <v>1</v>
      </c>
      <c r="AL24" s="38">
        <v>1</v>
      </c>
      <c r="AM24" s="38">
        <v>2</v>
      </c>
      <c r="AN24" s="38">
        <v>2</v>
      </c>
      <c r="AO24" s="38">
        <v>2</v>
      </c>
      <c r="AP24" s="38">
        <v>2</v>
      </c>
      <c r="AQ24" s="38">
        <v>2</v>
      </c>
      <c r="AR24" s="1">
        <f t="shared" si="0"/>
        <v>0</v>
      </c>
      <c r="AS24" s="1">
        <f t="shared" si="1"/>
        <v>2</v>
      </c>
      <c r="AT24" s="1">
        <f t="shared" si="2"/>
        <v>1</v>
      </c>
      <c r="AU24" s="1">
        <f t="shared" si="3"/>
        <v>1</v>
      </c>
      <c r="AV24" s="1">
        <f t="shared" si="4"/>
        <v>2</v>
      </c>
      <c r="AW24" s="1">
        <f t="shared" si="5"/>
        <v>0</v>
      </c>
      <c r="AX24" s="1">
        <f t="shared" si="6"/>
        <v>1</v>
      </c>
      <c r="AY24" s="1">
        <f t="shared" si="7"/>
        <v>0</v>
      </c>
    </row>
    <row r="25" spans="1:51" x14ac:dyDescent="0.25">
      <c r="A25" s="1" t="s">
        <v>53</v>
      </c>
      <c r="B25" s="1" t="s">
        <v>148</v>
      </c>
      <c r="C25" s="44" t="s">
        <v>117</v>
      </c>
      <c r="D25" s="35">
        <v>0</v>
      </c>
      <c r="E25" s="38">
        <v>1</v>
      </c>
      <c r="F25" s="38">
        <v>1</v>
      </c>
      <c r="G25" s="38">
        <v>1</v>
      </c>
      <c r="H25" s="38">
        <v>1</v>
      </c>
      <c r="I25" s="38">
        <v>1</v>
      </c>
      <c r="J25" s="38">
        <v>2</v>
      </c>
      <c r="K25" s="38">
        <v>1</v>
      </c>
      <c r="L25" s="38">
        <v>2</v>
      </c>
      <c r="M25" s="38">
        <v>2</v>
      </c>
      <c r="N25" s="38">
        <v>2</v>
      </c>
      <c r="O25" s="38">
        <v>2</v>
      </c>
      <c r="P25" s="38">
        <v>2</v>
      </c>
      <c r="Q25" s="38">
        <v>2</v>
      </c>
      <c r="R25" s="38">
        <v>2</v>
      </c>
      <c r="S25" s="38">
        <v>2</v>
      </c>
      <c r="T25" s="38">
        <v>2</v>
      </c>
      <c r="U25" s="38">
        <v>1</v>
      </c>
      <c r="V25" s="38">
        <v>2</v>
      </c>
      <c r="W25" s="38">
        <v>0</v>
      </c>
      <c r="X25" s="38">
        <v>1</v>
      </c>
      <c r="Y25" s="38">
        <v>1</v>
      </c>
      <c r="Z25" s="38">
        <v>1</v>
      </c>
      <c r="AA25" s="38">
        <v>2</v>
      </c>
      <c r="AB25" s="38">
        <v>2</v>
      </c>
      <c r="AC25" s="38">
        <v>2</v>
      </c>
      <c r="AD25" s="38">
        <v>2</v>
      </c>
      <c r="AE25" s="38">
        <v>2</v>
      </c>
      <c r="AF25" s="38">
        <v>2</v>
      </c>
      <c r="AG25" s="38">
        <v>2</v>
      </c>
      <c r="AH25" s="38">
        <v>2</v>
      </c>
      <c r="AI25" s="38">
        <v>2</v>
      </c>
      <c r="AJ25" s="38">
        <v>2</v>
      </c>
      <c r="AK25" s="38">
        <v>2</v>
      </c>
      <c r="AL25" s="38">
        <v>2</v>
      </c>
      <c r="AM25" s="38">
        <v>2</v>
      </c>
      <c r="AN25" s="38">
        <v>2</v>
      </c>
      <c r="AO25" s="38">
        <v>2</v>
      </c>
      <c r="AP25" s="38">
        <v>2</v>
      </c>
      <c r="AQ25" s="38">
        <v>2</v>
      </c>
      <c r="AR25" s="1">
        <f t="shared" si="0"/>
        <v>2</v>
      </c>
      <c r="AS25" s="1">
        <f t="shared" si="1"/>
        <v>2</v>
      </c>
      <c r="AT25" s="1">
        <f t="shared" si="2"/>
        <v>2</v>
      </c>
      <c r="AU25" s="1">
        <f t="shared" si="3"/>
        <v>2</v>
      </c>
      <c r="AV25" s="1">
        <f t="shared" si="4"/>
        <v>2</v>
      </c>
      <c r="AW25" s="1">
        <f t="shared" si="5"/>
        <v>1</v>
      </c>
      <c r="AX25" s="1">
        <f t="shared" si="6"/>
        <v>2</v>
      </c>
      <c r="AY25" s="1">
        <f t="shared" si="7"/>
        <v>2</v>
      </c>
    </row>
    <row r="26" spans="1:51" x14ac:dyDescent="0.25">
      <c r="A26" s="1" t="s">
        <v>54</v>
      </c>
      <c r="B26" s="1" t="s">
        <v>149</v>
      </c>
      <c r="C26" s="44" t="s">
        <v>118</v>
      </c>
      <c r="D26" s="35">
        <v>0</v>
      </c>
      <c r="E26" s="38">
        <v>0</v>
      </c>
      <c r="F26" s="38">
        <v>0</v>
      </c>
      <c r="G26" s="38">
        <v>0</v>
      </c>
      <c r="H26" s="38">
        <v>0</v>
      </c>
      <c r="I26" s="38">
        <v>2</v>
      </c>
      <c r="J26" s="38">
        <v>0</v>
      </c>
      <c r="K26" s="38">
        <v>0</v>
      </c>
      <c r="L26" s="38">
        <v>0</v>
      </c>
      <c r="M26" s="38">
        <v>2</v>
      </c>
      <c r="N26" s="38">
        <v>0</v>
      </c>
      <c r="O26" s="38">
        <v>0</v>
      </c>
      <c r="P26" s="38">
        <v>0</v>
      </c>
      <c r="Q26" s="38">
        <v>2</v>
      </c>
      <c r="R26" s="38">
        <v>0</v>
      </c>
      <c r="S26" s="38">
        <v>1</v>
      </c>
      <c r="T26" s="38">
        <v>2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38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38">
        <v>0</v>
      </c>
      <c r="AJ26" s="38">
        <v>0</v>
      </c>
      <c r="AK26" s="38">
        <v>0</v>
      </c>
      <c r="AL26" s="38">
        <v>0</v>
      </c>
      <c r="AM26" s="38">
        <v>2</v>
      </c>
      <c r="AN26" s="38">
        <v>2</v>
      </c>
      <c r="AO26" s="38">
        <v>2</v>
      </c>
      <c r="AP26" s="38">
        <v>2</v>
      </c>
      <c r="AQ26" s="38">
        <v>2</v>
      </c>
      <c r="AR26" s="1">
        <f t="shared" si="0"/>
        <v>0</v>
      </c>
      <c r="AS26" s="1">
        <f t="shared" si="1"/>
        <v>0</v>
      </c>
      <c r="AT26" s="1">
        <f t="shared" si="2"/>
        <v>0</v>
      </c>
      <c r="AU26" s="1">
        <f t="shared" si="3"/>
        <v>2</v>
      </c>
      <c r="AV26" s="1">
        <f t="shared" si="4"/>
        <v>0</v>
      </c>
      <c r="AW26" s="1">
        <f t="shared" si="5"/>
        <v>0</v>
      </c>
      <c r="AX26" s="1">
        <f t="shared" si="6"/>
        <v>2</v>
      </c>
      <c r="AY26" s="1">
        <f t="shared" si="7"/>
        <v>0</v>
      </c>
    </row>
    <row r="27" spans="1:51" x14ac:dyDescent="0.25">
      <c r="A27" s="1" t="s">
        <v>55</v>
      </c>
      <c r="B27" s="1" t="s">
        <v>148</v>
      </c>
      <c r="C27" s="44" t="s">
        <v>119</v>
      </c>
      <c r="D27" s="35">
        <v>0</v>
      </c>
      <c r="E27" s="38">
        <v>1</v>
      </c>
      <c r="F27" s="38">
        <v>1</v>
      </c>
      <c r="G27" s="38">
        <v>1</v>
      </c>
      <c r="H27" s="38">
        <v>2</v>
      </c>
      <c r="I27" s="38">
        <v>2</v>
      </c>
      <c r="J27" s="38">
        <v>1</v>
      </c>
      <c r="K27" s="38">
        <v>1</v>
      </c>
      <c r="L27" s="38">
        <v>1</v>
      </c>
      <c r="M27" s="38">
        <v>2</v>
      </c>
      <c r="N27" s="38">
        <v>1</v>
      </c>
      <c r="O27" s="38">
        <v>1</v>
      </c>
      <c r="P27" s="38">
        <v>2</v>
      </c>
      <c r="Q27" s="38">
        <v>2</v>
      </c>
      <c r="R27" s="38">
        <v>1</v>
      </c>
      <c r="S27" s="38">
        <v>1</v>
      </c>
      <c r="T27" s="38">
        <v>1</v>
      </c>
      <c r="U27" s="38">
        <v>1</v>
      </c>
      <c r="V27" s="38">
        <v>2</v>
      </c>
      <c r="W27" s="38">
        <v>0</v>
      </c>
      <c r="X27" s="38">
        <v>1</v>
      </c>
      <c r="Y27" s="38">
        <v>1</v>
      </c>
      <c r="Z27" s="38">
        <v>1</v>
      </c>
      <c r="AA27" s="38">
        <v>1</v>
      </c>
      <c r="AB27" s="38">
        <v>1</v>
      </c>
      <c r="AC27" s="38">
        <v>1</v>
      </c>
      <c r="AD27" s="38">
        <v>1</v>
      </c>
      <c r="AE27" s="38">
        <v>1</v>
      </c>
      <c r="AF27" s="38">
        <v>1</v>
      </c>
      <c r="AG27" s="38">
        <v>1</v>
      </c>
      <c r="AH27" s="38">
        <v>1</v>
      </c>
      <c r="AI27" s="38">
        <v>1</v>
      </c>
      <c r="AJ27" s="38">
        <v>1</v>
      </c>
      <c r="AK27" s="38">
        <v>1</v>
      </c>
      <c r="AL27" s="38">
        <v>1</v>
      </c>
      <c r="AM27" s="38">
        <v>1</v>
      </c>
      <c r="AN27" s="38">
        <v>1</v>
      </c>
      <c r="AO27" s="38">
        <v>1</v>
      </c>
      <c r="AP27" s="38">
        <v>1</v>
      </c>
      <c r="AQ27" s="38">
        <v>1</v>
      </c>
      <c r="AR27" s="1">
        <f t="shared" si="0"/>
        <v>1</v>
      </c>
      <c r="AS27" s="1">
        <f t="shared" si="1"/>
        <v>2</v>
      </c>
      <c r="AT27" s="1">
        <f t="shared" si="2"/>
        <v>1</v>
      </c>
      <c r="AU27" s="1">
        <f t="shared" si="3"/>
        <v>1</v>
      </c>
      <c r="AV27" s="1">
        <f t="shared" si="4"/>
        <v>2</v>
      </c>
      <c r="AW27" s="1">
        <f t="shared" si="5"/>
        <v>1</v>
      </c>
      <c r="AX27" s="1">
        <f t="shared" si="6"/>
        <v>2</v>
      </c>
      <c r="AY27" s="1">
        <f t="shared" si="7"/>
        <v>1</v>
      </c>
    </row>
    <row r="28" spans="1:51" x14ac:dyDescent="0.25">
      <c r="A28" s="1" t="s">
        <v>56</v>
      </c>
      <c r="B28" s="1" t="s">
        <v>148</v>
      </c>
      <c r="C28" s="44" t="s">
        <v>120</v>
      </c>
      <c r="D28" s="35">
        <v>0</v>
      </c>
      <c r="E28" s="38">
        <v>1</v>
      </c>
      <c r="F28" s="38">
        <v>1</v>
      </c>
      <c r="G28" s="38">
        <v>1</v>
      </c>
      <c r="H28" s="38">
        <v>1</v>
      </c>
      <c r="I28" s="38">
        <v>2</v>
      </c>
      <c r="J28" s="38">
        <v>1</v>
      </c>
      <c r="K28" s="38">
        <v>1</v>
      </c>
      <c r="L28" s="38">
        <v>1</v>
      </c>
      <c r="M28" s="38">
        <v>1</v>
      </c>
      <c r="N28" s="38">
        <v>1</v>
      </c>
      <c r="O28" s="38">
        <v>1</v>
      </c>
      <c r="P28" s="38">
        <v>2</v>
      </c>
      <c r="Q28" s="38">
        <v>2</v>
      </c>
      <c r="R28" s="38">
        <v>2</v>
      </c>
      <c r="S28" s="38">
        <v>2</v>
      </c>
      <c r="T28" s="38">
        <v>1</v>
      </c>
      <c r="U28" s="38">
        <v>1</v>
      </c>
      <c r="V28" s="38">
        <v>1</v>
      </c>
      <c r="W28" s="38">
        <v>0</v>
      </c>
      <c r="X28" s="38">
        <v>1</v>
      </c>
      <c r="Y28" s="38">
        <v>1</v>
      </c>
      <c r="Z28" s="38">
        <v>1</v>
      </c>
      <c r="AA28" s="38">
        <v>1</v>
      </c>
      <c r="AB28" s="38">
        <v>1</v>
      </c>
      <c r="AC28" s="38">
        <v>1</v>
      </c>
      <c r="AD28" s="38">
        <v>1</v>
      </c>
      <c r="AE28" s="38">
        <v>1</v>
      </c>
      <c r="AF28" s="38">
        <v>1</v>
      </c>
      <c r="AG28" s="38">
        <v>1</v>
      </c>
      <c r="AH28" s="38">
        <v>1</v>
      </c>
      <c r="AI28" s="38">
        <v>1</v>
      </c>
      <c r="AJ28" s="38">
        <v>1</v>
      </c>
      <c r="AK28" s="38">
        <v>1</v>
      </c>
      <c r="AL28" s="38">
        <v>1</v>
      </c>
      <c r="AM28" s="38">
        <v>2</v>
      </c>
      <c r="AN28" s="38">
        <v>2</v>
      </c>
      <c r="AO28" s="38">
        <v>2</v>
      </c>
      <c r="AP28" s="38">
        <v>2</v>
      </c>
      <c r="AQ28" s="38">
        <v>2</v>
      </c>
      <c r="AR28" s="1">
        <f t="shared" si="0"/>
        <v>1</v>
      </c>
      <c r="AS28" s="1">
        <f t="shared" si="1"/>
        <v>1</v>
      </c>
      <c r="AT28" s="1">
        <f t="shared" si="2"/>
        <v>1</v>
      </c>
      <c r="AU28" s="1">
        <f t="shared" si="3"/>
        <v>1</v>
      </c>
      <c r="AV28" s="1">
        <f t="shared" si="4"/>
        <v>1</v>
      </c>
      <c r="AW28" s="1">
        <f t="shared" si="5"/>
        <v>1</v>
      </c>
      <c r="AX28" s="1">
        <f t="shared" si="6"/>
        <v>2</v>
      </c>
      <c r="AY28" s="1">
        <f t="shared" si="7"/>
        <v>1</v>
      </c>
    </row>
    <row r="29" spans="1:51" x14ac:dyDescent="0.25">
      <c r="A29" s="1" t="s">
        <v>57</v>
      </c>
      <c r="B29" s="1" t="s">
        <v>148</v>
      </c>
      <c r="C29" s="44" t="s">
        <v>121</v>
      </c>
      <c r="D29" s="35">
        <v>0</v>
      </c>
      <c r="E29" s="38">
        <v>0</v>
      </c>
      <c r="F29" s="38">
        <v>0</v>
      </c>
      <c r="G29" s="38">
        <v>0</v>
      </c>
      <c r="H29" s="38">
        <v>0</v>
      </c>
      <c r="I29" s="38">
        <v>2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2</v>
      </c>
      <c r="Q29" s="38">
        <v>2</v>
      </c>
      <c r="R29" s="38">
        <v>0</v>
      </c>
      <c r="S29" s="38">
        <v>2</v>
      </c>
      <c r="T29" s="38">
        <v>0</v>
      </c>
      <c r="U29" s="38">
        <v>0</v>
      </c>
      <c r="V29" s="38">
        <v>2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1</v>
      </c>
      <c r="AJ29" s="38">
        <v>1</v>
      </c>
      <c r="AK29" s="38">
        <v>1</v>
      </c>
      <c r="AL29" s="38">
        <v>0</v>
      </c>
      <c r="AM29" s="38">
        <v>2</v>
      </c>
      <c r="AN29" s="38">
        <v>2</v>
      </c>
      <c r="AO29" s="38">
        <v>2</v>
      </c>
      <c r="AP29" s="38">
        <v>2</v>
      </c>
      <c r="AQ29" s="38">
        <v>2</v>
      </c>
      <c r="AR29" s="1">
        <f t="shared" si="0"/>
        <v>0</v>
      </c>
      <c r="AS29" s="1">
        <f t="shared" si="1"/>
        <v>2</v>
      </c>
      <c r="AT29" s="1">
        <f t="shared" si="2"/>
        <v>0</v>
      </c>
      <c r="AU29" s="1">
        <f t="shared" si="3"/>
        <v>0</v>
      </c>
      <c r="AV29" s="1">
        <f t="shared" si="4"/>
        <v>2</v>
      </c>
      <c r="AW29" s="1">
        <f t="shared" si="5"/>
        <v>0</v>
      </c>
      <c r="AX29" s="1">
        <f t="shared" si="6"/>
        <v>2</v>
      </c>
      <c r="AY29" s="1">
        <f t="shared" si="7"/>
        <v>0</v>
      </c>
    </row>
    <row r="30" spans="1:51" x14ac:dyDescent="0.25">
      <c r="A30" s="1" t="s">
        <v>58</v>
      </c>
      <c r="B30" s="1" t="s">
        <v>149</v>
      </c>
      <c r="C30" s="44" t="s">
        <v>122</v>
      </c>
      <c r="D30" s="35">
        <v>0</v>
      </c>
      <c r="E30" s="38">
        <v>2</v>
      </c>
      <c r="F30" s="38">
        <v>2</v>
      </c>
      <c r="G30" s="38">
        <v>2</v>
      </c>
      <c r="H30" s="38">
        <v>2</v>
      </c>
      <c r="I30" s="38">
        <v>2</v>
      </c>
      <c r="J30" s="38">
        <v>2</v>
      </c>
      <c r="K30" s="38">
        <v>2</v>
      </c>
      <c r="L30" s="38">
        <v>2</v>
      </c>
      <c r="M30" s="38">
        <v>2</v>
      </c>
      <c r="N30" s="38">
        <v>2</v>
      </c>
      <c r="O30" s="38">
        <v>2</v>
      </c>
      <c r="P30" s="38">
        <v>2</v>
      </c>
      <c r="Q30" s="38">
        <v>2</v>
      </c>
      <c r="R30" s="38">
        <v>2</v>
      </c>
      <c r="S30" s="38">
        <v>2</v>
      </c>
      <c r="T30" s="38">
        <v>2</v>
      </c>
      <c r="U30" s="38">
        <v>2</v>
      </c>
      <c r="V30" s="38">
        <v>2</v>
      </c>
      <c r="W30" s="38">
        <v>0</v>
      </c>
      <c r="X30" s="38">
        <v>2</v>
      </c>
      <c r="Y30" s="38">
        <v>2</v>
      </c>
      <c r="Z30" s="38">
        <v>2</v>
      </c>
      <c r="AA30" s="38">
        <v>2</v>
      </c>
      <c r="AB30" s="38">
        <v>2</v>
      </c>
      <c r="AC30" s="38">
        <v>2</v>
      </c>
      <c r="AD30" s="38">
        <v>2</v>
      </c>
      <c r="AE30" s="38">
        <v>2</v>
      </c>
      <c r="AF30" s="38">
        <v>2</v>
      </c>
      <c r="AG30" s="38">
        <v>2</v>
      </c>
      <c r="AH30" s="38">
        <v>2</v>
      </c>
      <c r="AI30" s="38">
        <v>2</v>
      </c>
      <c r="AJ30" s="38">
        <v>2</v>
      </c>
      <c r="AK30" s="38">
        <v>2</v>
      </c>
      <c r="AL30" s="38">
        <v>2</v>
      </c>
      <c r="AM30" s="38">
        <v>2</v>
      </c>
      <c r="AN30" s="38">
        <v>2</v>
      </c>
      <c r="AO30" s="38">
        <v>2</v>
      </c>
      <c r="AP30" s="38">
        <v>2</v>
      </c>
      <c r="AQ30" s="38">
        <v>2</v>
      </c>
      <c r="AR30" s="1">
        <f t="shared" si="0"/>
        <v>2</v>
      </c>
      <c r="AS30" s="1">
        <f t="shared" si="1"/>
        <v>2</v>
      </c>
      <c r="AT30" s="1">
        <f t="shared" si="2"/>
        <v>2</v>
      </c>
      <c r="AU30" s="1">
        <f t="shared" si="3"/>
        <v>2</v>
      </c>
      <c r="AV30" s="1">
        <f t="shared" si="4"/>
        <v>2</v>
      </c>
      <c r="AW30" s="1">
        <f t="shared" si="5"/>
        <v>2</v>
      </c>
      <c r="AX30" s="1">
        <f t="shared" si="6"/>
        <v>2</v>
      </c>
      <c r="AY30" s="1">
        <f t="shared" si="7"/>
        <v>2</v>
      </c>
    </row>
    <row r="31" spans="1:51" x14ac:dyDescent="0.25">
      <c r="A31" s="1" t="s">
        <v>59</v>
      </c>
      <c r="B31" s="1" t="s">
        <v>148</v>
      </c>
      <c r="C31" s="44" t="s">
        <v>123</v>
      </c>
      <c r="D31" s="35">
        <v>0</v>
      </c>
      <c r="E31" s="38">
        <v>0</v>
      </c>
      <c r="F31" s="38">
        <v>0</v>
      </c>
      <c r="G31" s="38">
        <v>0</v>
      </c>
      <c r="H31" s="38">
        <v>0</v>
      </c>
      <c r="I31" s="38">
        <v>2</v>
      </c>
      <c r="J31" s="38">
        <v>0</v>
      </c>
      <c r="K31" s="38">
        <v>1</v>
      </c>
      <c r="L31" s="38">
        <v>1</v>
      </c>
      <c r="M31" s="38">
        <v>2</v>
      </c>
      <c r="N31" s="38">
        <v>1</v>
      </c>
      <c r="O31" s="38">
        <v>1</v>
      </c>
      <c r="P31" s="38">
        <v>2</v>
      </c>
      <c r="Q31" s="38">
        <v>2</v>
      </c>
      <c r="R31" s="38">
        <v>0</v>
      </c>
      <c r="S31" s="38">
        <v>0</v>
      </c>
      <c r="T31" s="38">
        <v>1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0</v>
      </c>
      <c r="AI31" s="38">
        <v>0</v>
      </c>
      <c r="AJ31" s="38">
        <v>0</v>
      </c>
      <c r="AK31" s="38">
        <v>0</v>
      </c>
      <c r="AL31" s="38">
        <v>0</v>
      </c>
      <c r="AM31" s="38">
        <v>2</v>
      </c>
      <c r="AN31" s="38">
        <v>2</v>
      </c>
      <c r="AO31" s="38">
        <v>2</v>
      </c>
      <c r="AP31" s="38">
        <v>2</v>
      </c>
      <c r="AQ31" s="38">
        <v>2</v>
      </c>
      <c r="AR31" s="1">
        <f t="shared" si="0"/>
        <v>1</v>
      </c>
      <c r="AS31" s="1">
        <f t="shared" si="1"/>
        <v>0</v>
      </c>
      <c r="AT31" s="1">
        <f t="shared" si="2"/>
        <v>0</v>
      </c>
      <c r="AU31" s="1">
        <f t="shared" si="3"/>
        <v>1</v>
      </c>
      <c r="AV31" s="1">
        <f t="shared" si="4"/>
        <v>0</v>
      </c>
      <c r="AW31" s="1">
        <f t="shared" si="5"/>
        <v>0</v>
      </c>
      <c r="AX31" s="1">
        <f t="shared" si="6"/>
        <v>2</v>
      </c>
      <c r="AY31" s="1">
        <f t="shared" si="7"/>
        <v>1</v>
      </c>
    </row>
    <row r="32" spans="1:51" x14ac:dyDescent="0.25">
      <c r="A32" s="1" t="s">
        <v>60</v>
      </c>
      <c r="B32" s="1" t="s">
        <v>148</v>
      </c>
      <c r="C32" s="44" t="s">
        <v>124</v>
      </c>
      <c r="D32" s="35">
        <v>0</v>
      </c>
      <c r="E32" s="38">
        <v>0</v>
      </c>
      <c r="F32" s="38">
        <v>0</v>
      </c>
      <c r="G32" s="38">
        <v>0</v>
      </c>
      <c r="H32" s="38">
        <v>2</v>
      </c>
      <c r="I32" s="38">
        <v>0</v>
      </c>
      <c r="J32" s="38">
        <v>0</v>
      </c>
      <c r="K32" s="38">
        <v>0</v>
      </c>
      <c r="L32" s="38">
        <v>0</v>
      </c>
      <c r="M32" s="38">
        <v>2</v>
      </c>
      <c r="N32" s="38">
        <v>0</v>
      </c>
      <c r="O32" s="38">
        <v>0</v>
      </c>
      <c r="P32" s="38">
        <v>2</v>
      </c>
      <c r="Q32" s="38">
        <v>2</v>
      </c>
      <c r="R32" s="38">
        <v>2</v>
      </c>
      <c r="S32" s="38">
        <v>2</v>
      </c>
      <c r="T32" s="38">
        <v>0</v>
      </c>
      <c r="U32" s="38">
        <v>0</v>
      </c>
      <c r="V32" s="38">
        <v>2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</v>
      </c>
      <c r="AI32" s="38">
        <v>1</v>
      </c>
      <c r="AJ32" s="38">
        <v>1</v>
      </c>
      <c r="AK32" s="38">
        <v>1</v>
      </c>
      <c r="AL32" s="38">
        <v>0</v>
      </c>
      <c r="AM32" s="38">
        <v>0</v>
      </c>
      <c r="AN32" s="38">
        <v>0</v>
      </c>
      <c r="AO32" s="38">
        <v>0</v>
      </c>
      <c r="AP32" s="38">
        <v>0</v>
      </c>
      <c r="AQ32" s="38">
        <v>1</v>
      </c>
      <c r="AR32" s="1">
        <f t="shared" si="0"/>
        <v>0</v>
      </c>
      <c r="AS32" s="1">
        <f t="shared" si="1"/>
        <v>2</v>
      </c>
      <c r="AT32" s="1">
        <f t="shared" si="2"/>
        <v>0</v>
      </c>
      <c r="AU32" s="1">
        <f t="shared" si="3"/>
        <v>0</v>
      </c>
      <c r="AV32" s="1">
        <f t="shared" si="4"/>
        <v>2</v>
      </c>
      <c r="AW32" s="1">
        <f t="shared" si="5"/>
        <v>0</v>
      </c>
      <c r="AX32" s="1">
        <f t="shared" si="6"/>
        <v>2</v>
      </c>
      <c r="AY32" s="1">
        <f t="shared" si="7"/>
        <v>0</v>
      </c>
    </row>
    <row r="33" spans="1:51" x14ac:dyDescent="0.25">
      <c r="A33" s="1" t="s">
        <v>61</v>
      </c>
      <c r="B33" s="1" t="s">
        <v>159</v>
      </c>
      <c r="C33" s="44" t="s">
        <v>125</v>
      </c>
      <c r="D33" s="35">
        <v>0</v>
      </c>
      <c r="E33" s="38">
        <v>1</v>
      </c>
      <c r="F33" s="38">
        <v>2</v>
      </c>
      <c r="G33" s="38">
        <v>1</v>
      </c>
      <c r="H33" s="38">
        <v>2</v>
      </c>
      <c r="I33" s="38">
        <v>1</v>
      </c>
      <c r="J33" s="38">
        <v>2</v>
      </c>
      <c r="K33" s="38">
        <v>1</v>
      </c>
      <c r="L33" s="38">
        <v>1</v>
      </c>
      <c r="M33" s="38">
        <v>1</v>
      </c>
      <c r="N33" s="38">
        <v>1</v>
      </c>
      <c r="O33" s="38">
        <v>1</v>
      </c>
      <c r="P33" s="38">
        <v>2</v>
      </c>
      <c r="Q33" s="38">
        <v>2</v>
      </c>
      <c r="R33" s="38">
        <v>2</v>
      </c>
      <c r="S33" s="38">
        <v>1</v>
      </c>
      <c r="T33" s="38">
        <v>2</v>
      </c>
      <c r="U33" s="38">
        <v>1</v>
      </c>
      <c r="V33" s="38">
        <v>1</v>
      </c>
      <c r="W33" s="38">
        <v>0</v>
      </c>
      <c r="X33" s="38">
        <v>1</v>
      </c>
      <c r="Y33" s="38">
        <v>1</v>
      </c>
      <c r="Z33" s="38">
        <v>1</v>
      </c>
      <c r="AA33" s="38">
        <v>1</v>
      </c>
      <c r="AB33" s="38">
        <v>1</v>
      </c>
      <c r="AC33" s="38">
        <v>1</v>
      </c>
      <c r="AD33" s="38">
        <v>1</v>
      </c>
      <c r="AE33" s="38">
        <v>1</v>
      </c>
      <c r="AF33" s="38">
        <v>1</v>
      </c>
      <c r="AG33" s="38">
        <v>1</v>
      </c>
      <c r="AH33" s="38">
        <v>1</v>
      </c>
      <c r="AI33" s="38">
        <v>1</v>
      </c>
      <c r="AJ33" s="38">
        <v>1</v>
      </c>
      <c r="AK33" s="38">
        <v>1</v>
      </c>
      <c r="AL33" s="38">
        <v>1</v>
      </c>
      <c r="AM33" s="38">
        <v>2</v>
      </c>
      <c r="AN33" s="38">
        <v>2</v>
      </c>
      <c r="AO33" s="38">
        <v>2</v>
      </c>
      <c r="AP33" s="38">
        <v>2</v>
      </c>
      <c r="AQ33" s="38">
        <v>2</v>
      </c>
      <c r="AR33" s="1">
        <f t="shared" si="0"/>
        <v>1</v>
      </c>
      <c r="AS33" s="1">
        <f t="shared" si="1"/>
        <v>1</v>
      </c>
      <c r="AT33" s="1">
        <f t="shared" si="2"/>
        <v>1</v>
      </c>
      <c r="AU33" s="1">
        <f t="shared" si="3"/>
        <v>2</v>
      </c>
      <c r="AV33" s="1">
        <f t="shared" si="4"/>
        <v>1</v>
      </c>
      <c r="AW33" s="1">
        <f t="shared" si="5"/>
        <v>1</v>
      </c>
      <c r="AX33" s="1">
        <f t="shared" si="6"/>
        <v>2</v>
      </c>
      <c r="AY33" s="1">
        <f t="shared" si="7"/>
        <v>1</v>
      </c>
    </row>
    <row r="34" spans="1:51" x14ac:dyDescent="0.25">
      <c r="A34" s="1" t="s">
        <v>62</v>
      </c>
      <c r="B34" s="1" t="s">
        <v>160</v>
      </c>
      <c r="C34" s="44" t="s">
        <v>126</v>
      </c>
      <c r="D34" s="35">
        <v>0</v>
      </c>
      <c r="E34" s="38">
        <v>2</v>
      </c>
      <c r="F34" s="38">
        <v>2</v>
      </c>
      <c r="G34" s="38">
        <v>2</v>
      </c>
      <c r="H34" s="38">
        <v>2</v>
      </c>
      <c r="I34" s="38">
        <v>2</v>
      </c>
      <c r="J34" s="38">
        <v>2</v>
      </c>
      <c r="K34" s="38">
        <v>2</v>
      </c>
      <c r="L34" s="38">
        <v>2</v>
      </c>
      <c r="M34" s="38">
        <v>2</v>
      </c>
      <c r="N34" s="38">
        <v>2</v>
      </c>
      <c r="O34" s="38">
        <v>2</v>
      </c>
      <c r="P34" s="38">
        <v>2</v>
      </c>
      <c r="Q34" s="38">
        <v>2</v>
      </c>
      <c r="R34" s="38">
        <v>2</v>
      </c>
      <c r="S34" s="38">
        <v>2</v>
      </c>
      <c r="T34" s="38">
        <v>2</v>
      </c>
      <c r="U34" s="38">
        <v>2</v>
      </c>
      <c r="V34" s="38">
        <v>2</v>
      </c>
      <c r="W34" s="38">
        <v>0</v>
      </c>
      <c r="X34" s="38">
        <v>2</v>
      </c>
      <c r="Y34" s="38">
        <v>2</v>
      </c>
      <c r="Z34" s="38">
        <v>2</v>
      </c>
      <c r="AA34" s="38">
        <v>2</v>
      </c>
      <c r="AB34" s="38">
        <v>2</v>
      </c>
      <c r="AC34" s="38">
        <v>2</v>
      </c>
      <c r="AD34" s="38">
        <v>2</v>
      </c>
      <c r="AE34" s="38">
        <v>2</v>
      </c>
      <c r="AF34" s="38">
        <v>2</v>
      </c>
      <c r="AG34" s="38">
        <v>2</v>
      </c>
      <c r="AH34" s="38">
        <v>2</v>
      </c>
      <c r="AI34" s="38">
        <v>2</v>
      </c>
      <c r="AJ34" s="38">
        <v>2</v>
      </c>
      <c r="AK34" s="38">
        <v>2</v>
      </c>
      <c r="AL34" s="38">
        <v>2</v>
      </c>
      <c r="AM34" s="38">
        <v>2</v>
      </c>
      <c r="AN34" s="38">
        <v>2</v>
      </c>
      <c r="AO34" s="38">
        <v>2</v>
      </c>
      <c r="AP34" s="38">
        <v>2</v>
      </c>
      <c r="AQ34" s="38">
        <v>2</v>
      </c>
      <c r="AR34" s="1">
        <f t="shared" si="0"/>
        <v>2</v>
      </c>
      <c r="AS34" s="1">
        <f t="shared" si="1"/>
        <v>2</v>
      </c>
      <c r="AT34" s="1">
        <f t="shared" si="2"/>
        <v>2</v>
      </c>
      <c r="AU34" s="1">
        <f t="shared" si="3"/>
        <v>2</v>
      </c>
      <c r="AV34" s="1">
        <f t="shared" si="4"/>
        <v>2</v>
      </c>
      <c r="AW34" s="1">
        <f t="shared" si="5"/>
        <v>2</v>
      </c>
      <c r="AX34" s="1">
        <f t="shared" si="6"/>
        <v>2</v>
      </c>
      <c r="AY34" s="1">
        <f t="shared" si="7"/>
        <v>2</v>
      </c>
    </row>
    <row r="35" spans="1:51" x14ac:dyDescent="0.25">
      <c r="A35" s="1" t="s">
        <v>63</v>
      </c>
      <c r="B35" s="1" t="s">
        <v>159</v>
      </c>
      <c r="C35" s="44" t="s">
        <v>127</v>
      </c>
      <c r="D35" s="35">
        <v>0</v>
      </c>
      <c r="E35" s="38">
        <v>2</v>
      </c>
      <c r="F35" s="38">
        <v>2</v>
      </c>
      <c r="G35" s="38">
        <v>2</v>
      </c>
      <c r="H35" s="38">
        <v>2</v>
      </c>
      <c r="I35" s="38">
        <v>2</v>
      </c>
      <c r="J35" s="38">
        <v>2</v>
      </c>
      <c r="K35" s="38">
        <v>2</v>
      </c>
      <c r="L35" s="38">
        <v>2</v>
      </c>
      <c r="M35" s="38">
        <v>2</v>
      </c>
      <c r="N35" s="38">
        <v>2</v>
      </c>
      <c r="O35" s="38">
        <v>2</v>
      </c>
      <c r="P35" s="38">
        <v>2</v>
      </c>
      <c r="Q35" s="38">
        <v>2</v>
      </c>
      <c r="R35" s="38">
        <v>2</v>
      </c>
      <c r="S35" s="38">
        <v>2</v>
      </c>
      <c r="T35" s="38">
        <v>2</v>
      </c>
      <c r="U35" s="38">
        <v>2</v>
      </c>
      <c r="V35" s="38">
        <v>2</v>
      </c>
      <c r="W35" s="38">
        <v>0</v>
      </c>
      <c r="X35" s="38">
        <v>2</v>
      </c>
      <c r="Y35" s="38">
        <v>2</v>
      </c>
      <c r="Z35" s="38">
        <v>2</v>
      </c>
      <c r="AA35" s="38">
        <v>2</v>
      </c>
      <c r="AB35" s="38">
        <v>2</v>
      </c>
      <c r="AC35" s="38">
        <v>2</v>
      </c>
      <c r="AD35" s="38">
        <v>2</v>
      </c>
      <c r="AE35" s="38">
        <v>2</v>
      </c>
      <c r="AF35" s="38">
        <v>2</v>
      </c>
      <c r="AG35" s="38">
        <v>2</v>
      </c>
      <c r="AH35" s="38">
        <v>2</v>
      </c>
      <c r="AI35" s="38">
        <v>2</v>
      </c>
      <c r="AJ35" s="38">
        <v>2</v>
      </c>
      <c r="AK35" s="38">
        <v>2</v>
      </c>
      <c r="AL35" s="38">
        <v>2</v>
      </c>
      <c r="AM35" s="38">
        <v>2</v>
      </c>
      <c r="AN35" s="38">
        <v>2</v>
      </c>
      <c r="AO35" s="38">
        <v>2</v>
      </c>
      <c r="AP35" s="38">
        <v>2</v>
      </c>
      <c r="AQ35" s="38">
        <v>2</v>
      </c>
      <c r="AR35" s="1">
        <f t="shared" si="0"/>
        <v>2</v>
      </c>
      <c r="AS35" s="1">
        <f t="shared" si="1"/>
        <v>2</v>
      </c>
      <c r="AT35" s="1">
        <f t="shared" si="2"/>
        <v>2</v>
      </c>
      <c r="AU35" s="1">
        <f t="shared" si="3"/>
        <v>2</v>
      </c>
      <c r="AV35" s="1">
        <f t="shared" si="4"/>
        <v>2</v>
      </c>
      <c r="AW35" s="1">
        <f t="shared" si="5"/>
        <v>2</v>
      </c>
      <c r="AX35" s="1">
        <f t="shared" si="6"/>
        <v>2</v>
      </c>
      <c r="AY35" s="1">
        <f t="shared" si="7"/>
        <v>2</v>
      </c>
    </row>
    <row r="36" spans="1:51" x14ac:dyDescent="0.25">
      <c r="A36" s="1" t="s">
        <v>64</v>
      </c>
      <c r="B36" s="1" t="s">
        <v>159</v>
      </c>
      <c r="C36" s="44" t="s">
        <v>128</v>
      </c>
      <c r="D36" s="35">
        <v>0</v>
      </c>
      <c r="E36" s="38">
        <v>0</v>
      </c>
      <c r="F36" s="38">
        <v>0</v>
      </c>
      <c r="G36" s="38">
        <v>0</v>
      </c>
      <c r="H36" s="38">
        <v>2</v>
      </c>
      <c r="I36" s="38">
        <v>2</v>
      </c>
      <c r="J36" s="38">
        <v>2</v>
      </c>
      <c r="K36" s="38">
        <v>2</v>
      </c>
      <c r="L36" s="38">
        <v>2</v>
      </c>
      <c r="M36" s="38">
        <v>2</v>
      </c>
      <c r="N36" s="38">
        <v>0</v>
      </c>
      <c r="O36" s="38">
        <v>2</v>
      </c>
      <c r="P36" s="38">
        <v>2</v>
      </c>
      <c r="Q36" s="38">
        <v>2</v>
      </c>
      <c r="R36" s="38">
        <v>2</v>
      </c>
      <c r="S36" s="38">
        <v>2</v>
      </c>
      <c r="T36" s="38">
        <v>2</v>
      </c>
      <c r="U36" s="38">
        <v>0</v>
      </c>
      <c r="V36" s="38">
        <v>2</v>
      </c>
      <c r="W36" s="38">
        <v>0</v>
      </c>
      <c r="X36" s="38">
        <v>0</v>
      </c>
      <c r="Y36" s="38">
        <v>0</v>
      </c>
      <c r="Z36" s="38">
        <v>0</v>
      </c>
      <c r="AA36" s="38">
        <v>1</v>
      </c>
      <c r="AB36" s="38">
        <v>0</v>
      </c>
      <c r="AC36" s="38">
        <v>1</v>
      </c>
      <c r="AD36" s="38">
        <v>1</v>
      </c>
      <c r="AE36" s="38">
        <v>1</v>
      </c>
      <c r="AF36" s="38">
        <v>1</v>
      </c>
      <c r="AG36" s="38">
        <v>1</v>
      </c>
      <c r="AH36" s="38">
        <v>0</v>
      </c>
      <c r="AI36" s="38">
        <v>1</v>
      </c>
      <c r="AJ36" s="38">
        <v>1</v>
      </c>
      <c r="AK36" s="38">
        <v>1</v>
      </c>
      <c r="AL36" s="38">
        <v>1</v>
      </c>
      <c r="AM36" s="38">
        <v>2</v>
      </c>
      <c r="AN36" s="38">
        <v>2</v>
      </c>
      <c r="AO36" s="38">
        <v>2</v>
      </c>
      <c r="AP36" s="38">
        <v>2</v>
      </c>
      <c r="AQ36" s="38">
        <v>2</v>
      </c>
      <c r="AR36" s="1">
        <f t="shared" si="0"/>
        <v>2</v>
      </c>
      <c r="AS36" s="1">
        <f t="shared" si="1"/>
        <v>2</v>
      </c>
      <c r="AT36" s="1">
        <f t="shared" si="2"/>
        <v>0</v>
      </c>
      <c r="AU36" s="1">
        <f t="shared" si="3"/>
        <v>2</v>
      </c>
      <c r="AV36" s="1">
        <f t="shared" si="4"/>
        <v>2</v>
      </c>
      <c r="AW36" s="1">
        <f t="shared" si="5"/>
        <v>0</v>
      </c>
      <c r="AX36" s="1">
        <f t="shared" si="6"/>
        <v>2</v>
      </c>
      <c r="AY36" s="1">
        <f t="shared" si="7"/>
        <v>2</v>
      </c>
    </row>
    <row r="37" spans="1:51" x14ac:dyDescent="0.25">
      <c r="A37" s="1" t="s">
        <v>140</v>
      </c>
      <c r="B37" s="1" t="s">
        <v>159</v>
      </c>
      <c r="C37" s="1" t="s">
        <v>143</v>
      </c>
      <c r="D37" s="35">
        <v>0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38">
        <v>0</v>
      </c>
      <c r="X37" s="1">
        <v>2</v>
      </c>
      <c r="Y37" s="1">
        <v>2</v>
      </c>
      <c r="Z37" s="1">
        <v>2</v>
      </c>
      <c r="AA37" s="1">
        <v>2</v>
      </c>
      <c r="AB37" s="31">
        <v>2</v>
      </c>
      <c r="AC37" s="1">
        <v>2</v>
      </c>
      <c r="AD37" s="1">
        <v>2</v>
      </c>
      <c r="AE37" s="1">
        <v>2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  <c r="AN37" s="1">
        <v>2</v>
      </c>
      <c r="AO37" s="1">
        <v>2</v>
      </c>
      <c r="AP37" s="1">
        <v>2</v>
      </c>
      <c r="AQ37" s="1">
        <v>2</v>
      </c>
      <c r="AR37" s="1">
        <f t="shared" si="0"/>
        <v>2</v>
      </c>
      <c r="AS37" s="1">
        <f t="shared" si="1"/>
        <v>2</v>
      </c>
      <c r="AT37" s="1">
        <f t="shared" si="2"/>
        <v>2</v>
      </c>
      <c r="AU37" s="1">
        <f t="shared" si="3"/>
        <v>2</v>
      </c>
      <c r="AV37" s="1">
        <f t="shared" si="4"/>
        <v>2</v>
      </c>
      <c r="AW37" s="1">
        <f t="shared" si="5"/>
        <v>2</v>
      </c>
      <c r="AX37" s="1">
        <f t="shared" si="6"/>
        <v>2</v>
      </c>
      <c r="AY37" s="1">
        <f t="shared" si="7"/>
        <v>2</v>
      </c>
    </row>
    <row r="38" spans="1:51" x14ac:dyDescent="0.25">
      <c r="A38" s="1" t="s">
        <v>141</v>
      </c>
      <c r="B38" s="1" t="s">
        <v>159</v>
      </c>
      <c r="C38" s="1" t="s">
        <v>144</v>
      </c>
      <c r="D38" s="35">
        <v>0</v>
      </c>
      <c r="E38" s="1">
        <v>1</v>
      </c>
      <c r="F38" s="1">
        <v>1</v>
      </c>
      <c r="G38" s="1">
        <v>1</v>
      </c>
      <c r="H38" s="1">
        <v>2</v>
      </c>
      <c r="I38" s="1">
        <v>1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1</v>
      </c>
      <c r="W38" s="38">
        <v>0</v>
      </c>
      <c r="X38" s="1">
        <v>1</v>
      </c>
      <c r="Y38" s="1">
        <v>1</v>
      </c>
      <c r="Z38" s="1">
        <v>1</v>
      </c>
      <c r="AA38" s="1">
        <v>1</v>
      </c>
      <c r="AB38" s="3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f t="shared" si="0"/>
        <v>2</v>
      </c>
      <c r="AS38" s="1">
        <f t="shared" si="1"/>
        <v>2</v>
      </c>
      <c r="AT38" s="1">
        <f t="shared" si="2"/>
        <v>1</v>
      </c>
      <c r="AU38" s="1">
        <f t="shared" si="3"/>
        <v>2</v>
      </c>
      <c r="AV38" s="1">
        <f t="shared" si="4"/>
        <v>1</v>
      </c>
      <c r="AW38" s="1">
        <f t="shared" si="5"/>
        <v>1</v>
      </c>
      <c r="AX38" s="1">
        <f t="shared" si="6"/>
        <v>2</v>
      </c>
      <c r="AY38" s="1">
        <f t="shared" si="7"/>
        <v>2</v>
      </c>
    </row>
    <row r="39" spans="1:51" x14ac:dyDescent="0.25">
      <c r="A39" s="1" t="s">
        <v>142</v>
      </c>
      <c r="B39" s="1" t="s">
        <v>159</v>
      </c>
      <c r="C39" s="1" t="s">
        <v>145</v>
      </c>
      <c r="D39" s="35">
        <v>0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38">
        <v>0</v>
      </c>
      <c r="X39" s="1">
        <v>2</v>
      </c>
      <c r="Y39" s="1">
        <v>2</v>
      </c>
      <c r="Z39" s="1">
        <v>2</v>
      </c>
      <c r="AA39" s="1">
        <v>2</v>
      </c>
      <c r="AB39" s="31">
        <v>2</v>
      </c>
      <c r="AC39" s="1">
        <v>2</v>
      </c>
      <c r="AD39" s="1">
        <v>2</v>
      </c>
      <c r="AE39" s="1">
        <v>2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  <c r="AN39" s="1">
        <v>2</v>
      </c>
      <c r="AO39" s="1">
        <v>2</v>
      </c>
      <c r="AP39" s="1">
        <v>2</v>
      </c>
      <c r="AQ39" s="1">
        <v>2</v>
      </c>
      <c r="AR39" s="1">
        <f t="shared" si="0"/>
        <v>2</v>
      </c>
      <c r="AS39" s="1">
        <f t="shared" si="1"/>
        <v>2</v>
      </c>
      <c r="AT39" s="1">
        <f t="shared" si="2"/>
        <v>2</v>
      </c>
      <c r="AU39" s="1">
        <f t="shared" si="3"/>
        <v>2</v>
      </c>
      <c r="AV39" s="1">
        <f t="shared" si="4"/>
        <v>2</v>
      </c>
      <c r="AW39" s="1">
        <f t="shared" si="5"/>
        <v>2</v>
      </c>
      <c r="AX39" s="1">
        <f t="shared" si="6"/>
        <v>2</v>
      </c>
      <c r="AY39" s="1">
        <f t="shared" si="7"/>
        <v>2</v>
      </c>
    </row>
    <row r="40" spans="1:51" x14ac:dyDescent="0.25">
      <c r="A40" s="1" t="s">
        <v>146</v>
      </c>
      <c r="B40" s="1" t="s">
        <v>160</v>
      </c>
      <c r="C40" s="1" t="s">
        <v>150</v>
      </c>
      <c r="D40" s="35">
        <v>0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38">
        <v>0</v>
      </c>
      <c r="X40" s="1">
        <v>2</v>
      </c>
      <c r="Y40" s="1">
        <v>2</v>
      </c>
      <c r="Z40" s="1">
        <v>2</v>
      </c>
      <c r="AA40" s="1">
        <v>2</v>
      </c>
      <c r="AB40" s="31">
        <v>2</v>
      </c>
      <c r="AC40" s="1">
        <v>2</v>
      </c>
      <c r="AD40" s="1">
        <v>2</v>
      </c>
      <c r="AE40" s="1">
        <v>2</v>
      </c>
      <c r="AF40" s="1">
        <v>2</v>
      </c>
      <c r="AG40" s="1">
        <v>2</v>
      </c>
      <c r="AH40" s="1">
        <v>2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  <c r="AN40" s="1">
        <v>2</v>
      </c>
      <c r="AO40" s="1">
        <v>2</v>
      </c>
      <c r="AP40" s="1">
        <v>2</v>
      </c>
      <c r="AQ40" s="1">
        <v>2</v>
      </c>
      <c r="AR40" s="1">
        <f t="shared" si="0"/>
        <v>2</v>
      </c>
      <c r="AS40" s="1">
        <f t="shared" si="1"/>
        <v>2</v>
      </c>
      <c r="AT40" s="1">
        <f t="shared" si="2"/>
        <v>2</v>
      </c>
      <c r="AU40" s="1">
        <f t="shared" si="3"/>
        <v>2</v>
      </c>
      <c r="AV40" s="1">
        <f t="shared" si="4"/>
        <v>2</v>
      </c>
      <c r="AW40" s="1">
        <f t="shared" si="5"/>
        <v>2</v>
      </c>
      <c r="AX40" s="1">
        <f t="shared" si="6"/>
        <v>2</v>
      </c>
      <c r="AY40" s="1">
        <f t="shared" si="7"/>
        <v>2</v>
      </c>
    </row>
    <row r="41" spans="1:51" x14ac:dyDescent="0.25">
      <c r="A41" s="1" t="s">
        <v>151</v>
      </c>
      <c r="B41" s="1" t="s">
        <v>156</v>
      </c>
      <c r="C41" s="1"/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8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1">
        <v>0</v>
      </c>
      <c r="AS41" s="1">
        <f t="shared" si="1"/>
        <v>0</v>
      </c>
      <c r="AT41" s="1">
        <f t="shared" si="2"/>
        <v>0</v>
      </c>
      <c r="AU41" s="1">
        <f t="shared" si="3"/>
        <v>0</v>
      </c>
      <c r="AV41" s="1">
        <f t="shared" si="4"/>
        <v>0</v>
      </c>
      <c r="AW41" s="1">
        <f t="shared" si="5"/>
        <v>0</v>
      </c>
      <c r="AX41" s="1">
        <f t="shared" si="6"/>
        <v>0</v>
      </c>
      <c r="AY41" s="1">
        <f t="shared" si="7"/>
        <v>0</v>
      </c>
    </row>
    <row r="42" spans="1:51" x14ac:dyDescent="0.25">
      <c r="A42" s="1" t="s">
        <v>152</v>
      </c>
      <c r="B42" s="1" t="s">
        <v>156</v>
      </c>
      <c r="C42" s="1"/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8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v>0</v>
      </c>
      <c r="AK42" s="35">
        <v>0</v>
      </c>
      <c r="AL42" s="35">
        <v>0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1">
        <v>0</v>
      </c>
      <c r="AS42" s="1">
        <f t="shared" si="1"/>
        <v>0</v>
      </c>
      <c r="AT42" s="1">
        <f t="shared" si="2"/>
        <v>0</v>
      </c>
      <c r="AU42" s="1">
        <f t="shared" si="3"/>
        <v>0</v>
      </c>
      <c r="AV42" s="1">
        <f t="shared" si="4"/>
        <v>0</v>
      </c>
      <c r="AW42" s="1">
        <f t="shared" si="5"/>
        <v>0</v>
      </c>
      <c r="AX42" s="1">
        <f t="shared" si="6"/>
        <v>0</v>
      </c>
      <c r="AY42" s="1">
        <f t="shared" si="7"/>
        <v>0</v>
      </c>
    </row>
    <row r="43" spans="1:51" x14ac:dyDescent="0.25">
      <c r="A43" s="1" t="s">
        <v>153</v>
      </c>
      <c r="B43" s="1" t="s">
        <v>156</v>
      </c>
      <c r="C43" s="1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8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  <c r="AQ43" s="35">
        <v>0</v>
      </c>
      <c r="AR43" s="1">
        <v>0</v>
      </c>
      <c r="AS43" s="1">
        <f t="shared" si="1"/>
        <v>0</v>
      </c>
      <c r="AT43" s="1">
        <f t="shared" si="2"/>
        <v>0</v>
      </c>
      <c r="AU43" s="1">
        <f t="shared" si="3"/>
        <v>0</v>
      </c>
      <c r="AV43" s="1">
        <f t="shared" si="4"/>
        <v>0</v>
      </c>
      <c r="AW43" s="1">
        <f t="shared" si="5"/>
        <v>0</v>
      </c>
      <c r="AX43" s="1">
        <f t="shared" si="6"/>
        <v>0</v>
      </c>
      <c r="AY43" s="1">
        <f t="shared" si="7"/>
        <v>0</v>
      </c>
    </row>
    <row r="44" spans="1:51" x14ac:dyDescent="0.25">
      <c r="A44" s="1" t="s">
        <v>154</v>
      </c>
      <c r="B44" s="1" t="s">
        <v>156</v>
      </c>
      <c r="C44" s="1"/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8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35">
        <v>0</v>
      </c>
      <c r="AN44" s="35">
        <v>0</v>
      </c>
      <c r="AO44" s="35">
        <v>0</v>
      </c>
      <c r="AP44" s="35">
        <v>0</v>
      </c>
      <c r="AQ44" s="35">
        <v>0</v>
      </c>
      <c r="AR44" s="1">
        <v>0</v>
      </c>
      <c r="AS44" s="1">
        <f t="shared" si="1"/>
        <v>0</v>
      </c>
      <c r="AT44" s="1">
        <f t="shared" si="2"/>
        <v>0</v>
      </c>
      <c r="AU44" s="1">
        <f t="shared" si="3"/>
        <v>0</v>
      </c>
      <c r="AV44" s="1">
        <f t="shared" si="4"/>
        <v>0</v>
      </c>
      <c r="AW44" s="1">
        <f t="shared" si="5"/>
        <v>0</v>
      </c>
      <c r="AX44" s="1">
        <f t="shared" si="6"/>
        <v>0</v>
      </c>
      <c r="AY44" s="1">
        <f t="shared" si="7"/>
        <v>0</v>
      </c>
    </row>
    <row r="45" spans="1:51" x14ac:dyDescent="0.25">
      <c r="A45" s="1" t="s">
        <v>155</v>
      </c>
      <c r="B45" s="1" t="s">
        <v>156</v>
      </c>
      <c r="C45" s="1"/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  <c r="AQ45" s="35">
        <v>0</v>
      </c>
      <c r="AR45" s="1">
        <v>0</v>
      </c>
      <c r="AS45" s="1">
        <f t="shared" si="1"/>
        <v>0</v>
      </c>
      <c r="AT45" s="1">
        <f t="shared" si="2"/>
        <v>0</v>
      </c>
      <c r="AU45" s="1">
        <f t="shared" si="3"/>
        <v>0</v>
      </c>
      <c r="AV45" s="1">
        <f t="shared" si="4"/>
        <v>0</v>
      </c>
      <c r="AW45" s="1">
        <f t="shared" si="5"/>
        <v>0</v>
      </c>
      <c r="AX45" s="1">
        <f t="shared" si="6"/>
        <v>0</v>
      </c>
      <c r="AY45" s="1">
        <f t="shared" si="7"/>
        <v>0</v>
      </c>
    </row>
    <row r="47" spans="1:51" x14ac:dyDescent="0.25"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2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2</v>
      </c>
      <c r="AO47">
        <v>2</v>
      </c>
      <c r="AP47">
        <v>2</v>
      </c>
      <c r="AQ47">
        <v>2</v>
      </c>
    </row>
    <row r="48" spans="1:51" x14ac:dyDescent="0.25"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2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2</v>
      </c>
      <c r="AB48">
        <v>0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</row>
    <row r="49" spans="5:43" x14ac:dyDescent="0.25"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5:43" x14ac:dyDescent="0.25"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2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2</v>
      </c>
      <c r="AO50">
        <v>2</v>
      </c>
      <c r="AP50">
        <v>2</v>
      </c>
      <c r="AQ50">
        <v>2</v>
      </c>
    </row>
    <row r="51" spans="5:43" x14ac:dyDescent="0.25"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2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</row>
    <row r="52" spans="5:43" x14ac:dyDescent="0.25"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2</v>
      </c>
      <c r="AO52">
        <v>2</v>
      </c>
      <c r="AP52">
        <v>2</v>
      </c>
      <c r="AQ52">
        <v>2</v>
      </c>
    </row>
    <row r="53" spans="5:43" x14ac:dyDescent="0.25"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2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</row>
    <row r="54" spans="5:43" x14ac:dyDescent="0.25"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</row>
    <row r="55" spans="5:43" x14ac:dyDescent="0.25"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2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2</v>
      </c>
      <c r="AO55">
        <v>2</v>
      </c>
      <c r="AP55">
        <v>2</v>
      </c>
      <c r="AQ55">
        <v>2</v>
      </c>
    </row>
    <row r="56" spans="5:43" x14ac:dyDescent="0.25"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1</v>
      </c>
      <c r="S56">
        <v>2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2</v>
      </c>
      <c r="AN56">
        <v>2</v>
      </c>
      <c r="AO56">
        <v>2</v>
      </c>
      <c r="AP56">
        <v>2</v>
      </c>
      <c r="AQ56">
        <v>2</v>
      </c>
    </row>
    <row r="57" spans="5:43" x14ac:dyDescent="0.25"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</row>
    <row r="58" spans="5:43" x14ac:dyDescent="0.25"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</row>
    <row r="59" spans="5:43" x14ac:dyDescent="0.25"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2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5:43" x14ac:dyDescent="0.25"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2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</row>
    <row r="61" spans="5:43" x14ac:dyDescent="0.25"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1</v>
      </c>
      <c r="R61">
        <v>1</v>
      </c>
      <c r="S61">
        <v>2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2</v>
      </c>
      <c r="AO61">
        <v>2</v>
      </c>
      <c r="AP61">
        <v>2</v>
      </c>
      <c r="AQ61">
        <v>2</v>
      </c>
    </row>
    <row r="62" spans="5:43" x14ac:dyDescent="0.25"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2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2</v>
      </c>
    </row>
    <row r="63" spans="5:43" x14ac:dyDescent="0.25"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2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</row>
    <row r="64" spans="5:43" x14ac:dyDescent="0.25"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</row>
    <row r="65" spans="5:43" x14ac:dyDescent="0.25"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</row>
    <row r="66" spans="5:43" x14ac:dyDescent="0.25"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</row>
    <row r="67" spans="5:43" x14ac:dyDescent="0.25"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2</v>
      </c>
      <c r="AB67">
        <v>1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1</v>
      </c>
      <c r="AJ67">
        <v>1</v>
      </c>
      <c r="AK67">
        <v>1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</row>
    <row r="68" spans="5:43" x14ac:dyDescent="0.25"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</row>
    <row r="69" spans="5:43" x14ac:dyDescent="0.25"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2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2</v>
      </c>
      <c r="AO69">
        <v>2</v>
      </c>
      <c r="AP69">
        <v>2</v>
      </c>
      <c r="AQ69">
        <v>2</v>
      </c>
    </row>
    <row r="70" spans="5:43" x14ac:dyDescent="0.25"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</row>
    <row r="71" spans="5:43" x14ac:dyDescent="0.25"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2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2</v>
      </c>
      <c r="AN71">
        <v>2</v>
      </c>
      <c r="AO71">
        <v>2</v>
      </c>
      <c r="AP71">
        <v>2</v>
      </c>
      <c r="AQ71">
        <v>2</v>
      </c>
    </row>
    <row r="72" spans="5:43" x14ac:dyDescent="0.25"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2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</row>
    <row r="73" spans="5:43" x14ac:dyDescent="0.25"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</row>
    <row r="74" spans="5:43" x14ac:dyDescent="0.25"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  <c r="S74">
        <v>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2</v>
      </c>
      <c r="AO74">
        <v>2</v>
      </c>
      <c r="AP74">
        <v>2</v>
      </c>
      <c r="AQ74">
        <v>2</v>
      </c>
    </row>
    <row r="75" spans="5:43" x14ac:dyDescent="0.25"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1</v>
      </c>
      <c r="S75">
        <v>2</v>
      </c>
      <c r="T75">
        <v>0</v>
      </c>
      <c r="U75">
        <v>0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0</v>
      </c>
    </row>
    <row r="76" spans="5:43" x14ac:dyDescent="0.25"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2</v>
      </c>
      <c r="AN76">
        <v>2</v>
      </c>
      <c r="AO76">
        <v>2</v>
      </c>
      <c r="AP76">
        <v>2</v>
      </c>
      <c r="AQ76">
        <v>2</v>
      </c>
    </row>
    <row r="77" spans="5:43" x14ac:dyDescent="0.25"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</row>
    <row r="78" spans="5:43" x14ac:dyDescent="0.25"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</row>
    <row r="79" spans="5:43" x14ac:dyDescent="0.25"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</row>
    <row r="80" spans="5:43" x14ac:dyDescent="0.25"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</row>
    <row r="81" spans="1:43" x14ac:dyDescent="0.25"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</row>
    <row r="82" spans="1:43" x14ac:dyDescent="0.25"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</row>
    <row r="83" spans="1:43" x14ac:dyDescent="0.25"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</row>
    <row r="84" spans="1:43" x14ac:dyDescent="0.25"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90" spans="1:43" x14ac:dyDescent="0.25">
      <c r="A90" s="1" t="s">
        <v>32</v>
      </c>
      <c r="B90" s="1" t="s">
        <v>147</v>
      </c>
      <c r="C90" s="44" t="s">
        <v>96</v>
      </c>
      <c r="E90" s="1">
        <f>+E2-E47</f>
        <v>1</v>
      </c>
      <c r="F90" s="1">
        <f t="shared" ref="F90:AQ90" si="8">+F2-F47</f>
        <v>1</v>
      </c>
      <c r="G90" s="1">
        <f t="shared" si="8"/>
        <v>1</v>
      </c>
      <c r="H90" s="1">
        <f t="shared" si="8"/>
        <v>1</v>
      </c>
      <c r="I90" s="1">
        <f t="shared" si="8"/>
        <v>1</v>
      </c>
      <c r="J90" s="1">
        <f t="shared" si="8"/>
        <v>1</v>
      </c>
      <c r="K90" s="1">
        <f t="shared" si="8"/>
        <v>1</v>
      </c>
      <c r="L90" s="1">
        <f t="shared" si="8"/>
        <v>1</v>
      </c>
      <c r="M90" s="1">
        <f t="shared" si="8"/>
        <v>1</v>
      </c>
      <c r="N90" s="1">
        <f t="shared" si="8"/>
        <v>1</v>
      </c>
      <c r="O90" s="1">
        <f t="shared" si="8"/>
        <v>1</v>
      </c>
      <c r="P90" s="1">
        <f t="shared" si="8"/>
        <v>1</v>
      </c>
      <c r="Q90" s="1">
        <f t="shared" si="8"/>
        <v>1</v>
      </c>
      <c r="R90" s="1">
        <f t="shared" si="8"/>
        <v>1</v>
      </c>
      <c r="S90" s="1">
        <f t="shared" si="8"/>
        <v>0</v>
      </c>
      <c r="T90" s="1">
        <f t="shared" si="8"/>
        <v>1</v>
      </c>
      <c r="U90" s="1">
        <f t="shared" si="8"/>
        <v>1</v>
      </c>
      <c r="V90" s="1">
        <f t="shared" si="8"/>
        <v>1</v>
      </c>
      <c r="W90" s="1">
        <f t="shared" si="8"/>
        <v>-1</v>
      </c>
      <c r="X90" s="1">
        <f t="shared" si="8"/>
        <v>1</v>
      </c>
      <c r="Y90" s="1">
        <f t="shared" si="8"/>
        <v>0</v>
      </c>
      <c r="Z90" s="1">
        <f t="shared" si="8"/>
        <v>0</v>
      </c>
      <c r="AA90" s="1">
        <f t="shared" si="8"/>
        <v>1</v>
      </c>
      <c r="AB90" s="1">
        <f t="shared" si="8"/>
        <v>1</v>
      </c>
      <c r="AC90" s="1">
        <f t="shared" si="8"/>
        <v>1</v>
      </c>
      <c r="AD90" s="1">
        <f t="shared" si="8"/>
        <v>1</v>
      </c>
      <c r="AE90" s="1">
        <f t="shared" si="8"/>
        <v>1</v>
      </c>
      <c r="AF90" s="1">
        <f t="shared" si="8"/>
        <v>1</v>
      </c>
      <c r="AG90" s="1">
        <f t="shared" si="8"/>
        <v>1</v>
      </c>
      <c r="AH90" s="1">
        <f t="shared" si="8"/>
        <v>1</v>
      </c>
      <c r="AI90" s="1">
        <f t="shared" si="8"/>
        <v>1</v>
      </c>
      <c r="AJ90" s="1">
        <f t="shared" si="8"/>
        <v>1</v>
      </c>
      <c r="AK90" s="1">
        <f t="shared" si="8"/>
        <v>1</v>
      </c>
      <c r="AL90" s="1">
        <f t="shared" si="8"/>
        <v>1</v>
      </c>
      <c r="AM90" s="1">
        <f t="shared" si="8"/>
        <v>0</v>
      </c>
      <c r="AN90" s="1">
        <f t="shared" si="8"/>
        <v>0</v>
      </c>
      <c r="AO90" s="1">
        <f t="shared" si="8"/>
        <v>0</v>
      </c>
      <c r="AP90" s="1">
        <f t="shared" si="8"/>
        <v>0</v>
      </c>
      <c r="AQ90" s="1">
        <f t="shared" si="8"/>
        <v>0</v>
      </c>
    </row>
    <row r="91" spans="1:43" x14ac:dyDescent="0.25">
      <c r="A91" s="1" t="s">
        <v>33</v>
      </c>
      <c r="B91" s="1" t="s">
        <v>147</v>
      </c>
      <c r="C91" s="44" t="s">
        <v>97</v>
      </c>
      <c r="E91" s="1">
        <f t="shared" ref="E91:AQ91" si="9">+E3-E48</f>
        <v>0</v>
      </c>
      <c r="F91" s="1">
        <f t="shared" si="9"/>
        <v>0</v>
      </c>
      <c r="G91" s="1">
        <f t="shared" si="9"/>
        <v>0</v>
      </c>
      <c r="H91" s="1">
        <f t="shared" si="9"/>
        <v>0</v>
      </c>
      <c r="I91" s="1">
        <f t="shared" si="9"/>
        <v>1</v>
      </c>
      <c r="J91" s="1">
        <f t="shared" si="9"/>
        <v>0</v>
      </c>
      <c r="K91" s="1">
        <f t="shared" si="9"/>
        <v>0</v>
      </c>
      <c r="L91" s="1">
        <f t="shared" si="9"/>
        <v>0</v>
      </c>
      <c r="M91" s="1">
        <f t="shared" si="9"/>
        <v>1</v>
      </c>
      <c r="N91" s="1">
        <f t="shared" si="9"/>
        <v>0</v>
      </c>
      <c r="O91" s="1">
        <f t="shared" si="9"/>
        <v>0</v>
      </c>
      <c r="P91" s="1">
        <f t="shared" si="9"/>
        <v>1</v>
      </c>
      <c r="Q91" s="1">
        <f t="shared" si="9"/>
        <v>1</v>
      </c>
      <c r="R91" s="1">
        <f t="shared" si="9"/>
        <v>1</v>
      </c>
      <c r="S91" s="1">
        <f t="shared" si="9"/>
        <v>0</v>
      </c>
      <c r="T91" s="1">
        <f t="shared" si="9"/>
        <v>0</v>
      </c>
      <c r="U91" s="1">
        <f t="shared" si="9"/>
        <v>0</v>
      </c>
      <c r="V91" s="1">
        <f t="shared" si="9"/>
        <v>0</v>
      </c>
      <c r="W91" s="1">
        <f t="shared" si="9"/>
        <v>-1</v>
      </c>
      <c r="X91" s="1">
        <f t="shared" si="9"/>
        <v>0</v>
      </c>
      <c r="Y91" s="1">
        <f t="shared" si="9"/>
        <v>0</v>
      </c>
      <c r="Z91" s="1">
        <f t="shared" si="9"/>
        <v>0</v>
      </c>
      <c r="AA91" s="1">
        <f t="shared" si="9"/>
        <v>0</v>
      </c>
      <c r="AB91" s="1">
        <f t="shared" si="9"/>
        <v>0</v>
      </c>
      <c r="AC91" s="1">
        <f t="shared" si="9"/>
        <v>0</v>
      </c>
      <c r="AD91" s="1">
        <f t="shared" si="9"/>
        <v>0</v>
      </c>
      <c r="AE91" s="1">
        <f t="shared" si="9"/>
        <v>0</v>
      </c>
      <c r="AF91" s="1">
        <f t="shared" si="9"/>
        <v>0</v>
      </c>
      <c r="AG91" s="1">
        <f t="shared" si="9"/>
        <v>0</v>
      </c>
      <c r="AH91" s="1">
        <f t="shared" si="9"/>
        <v>0</v>
      </c>
      <c r="AI91" s="1">
        <f t="shared" si="9"/>
        <v>0</v>
      </c>
      <c r="AJ91" s="1">
        <f t="shared" si="9"/>
        <v>0</v>
      </c>
      <c r="AK91" s="1">
        <f t="shared" si="9"/>
        <v>0</v>
      </c>
      <c r="AL91" s="1">
        <f t="shared" si="9"/>
        <v>0</v>
      </c>
      <c r="AM91" s="1">
        <f t="shared" si="9"/>
        <v>0</v>
      </c>
      <c r="AN91" s="1">
        <f t="shared" si="9"/>
        <v>0</v>
      </c>
      <c r="AO91" s="1">
        <f t="shared" si="9"/>
        <v>0</v>
      </c>
      <c r="AP91" s="1">
        <f t="shared" si="9"/>
        <v>0</v>
      </c>
      <c r="AQ91" s="1">
        <f t="shared" si="9"/>
        <v>0</v>
      </c>
    </row>
    <row r="92" spans="1:43" x14ac:dyDescent="0.25">
      <c r="A92" s="1" t="s">
        <v>34</v>
      </c>
      <c r="B92" s="1" t="s">
        <v>147</v>
      </c>
      <c r="C92" s="44" t="s">
        <v>98</v>
      </c>
      <c r="E92" s="1">
        <f t="shared" ref="E92:AQ92" si="10">+E4-E49</f>
        <v>0</v>
      </c>
      <c r="F92" s="1">
        <f t="shared" si="10"/>
        <v>0</v>
      </c>
      <c r="G92" s="1">
        <f t="shared" si="10"/>
        <v>0</v>
      </c>
      <c r="H92" s="1">
        <f t="shared" si="10"/>
        <v>0</v>
      </c>
      <c r="I92" s="1">
        <f t="shared" si="10"/>
        <v>0</v>
      </c>
      <c r="J92" s="1">
        <f t="shared" si="10"/>
        <v>0</v>
      </c>
      <c r="K92" s="1">
        <f t="shared" si="10"/>
        <v>0</v>
      </c>
      <c r="L92" s="1">
        <f t="shared" si="10"/>
        <v>0</v>
      </c>
      <c r="M92" s="1">
        <f t="shared" si="10"/>
        <v>0</v>
      </c>
      <c r="N92" s="1">
        <f t="shared" si="10"/>
        <v>0</v>
      </c>
      <c r="O92" s="1">
        <f t="shared" si="10"/>
        <v>0</v>
      </c>
      <c r="P92" s="1">
        <f t="shared" si="10"/>
        <v>0</v>
      </c>
      <c r="Q92" s="1">
        <f t="shared" si="10"/>
        <v>0</v>
      </c>
      <c r="R92" s="1">
        <f t="shared" si="10"/>
        <v>0</v>
      </c>
      <c r="S92" s="1">
        <f t="shared" si="10"/>
        <v>0</v>
      </c>
      <c r="T92" s="1">
        <f t="shared" si="10"/>
        <v>0</v>
      </c>
      <c r="U92" s="1">
        <f t="shared" si="10"/>
        <v>0</v>
      </c>
      <c r="V92" s="1">
        <f t="shared" si="10"/>
        <v>0</v>
      </c>
      <c r="W92" s="1">
        <f t="shared" si="10"/>
        <v>-1</v>
      </c>
      <c r="X92" s="1">
        <f t="shared" si="10"/>
        <v>0</v>
      </c>
      <c r="Y92" s="1">
        <f t="shared" si="10"/>
        <v>0</v>
      </c>
      <c r="Z92" s="1">
        <f t="shared" si="10"/>
        <v>0</v>
      </c>
      <c r="AA92" s="1">
        <f t="shared" si="10"/>
        <v>0</v>
      </c>
      <c r="AB92" s="1">
        <f t="shared" si="10"/>
        <v>0</v>
      </c>
      <c r="AC92" s="1">
        <f t="shared" si="10"/>
        <v>0</v>
      </c>
      <c r="AD92" s="1">
        <f t="shared" si="10"/>
        <v>0</v>
      </c>
      <c r="AE92" s="1">
        <f t="shared" si="10"/>
        <v>0</v>
      </c>
      <c r="AF92" s="1">
        <f t="shared" si="10"/>
        <v>0</v>
      </c>
      <c r="AG92" s="1">
        <f t="shared" si="10"/>
        <v>0</v>
      </c>
      <c r="AH92" s="1">
        <f t="shared" si="10"/>
        <v>0</v>
      </c>
      <c r="AI92" s="1">
        <f t="shared" si="10"/>
        <v>0</v>
      </c>
      <c r="AJ92" s="1">
        <f t="shared" si="10"/>
        <v>0</v>
      </c>
      <c r="AK92" s="1">
        <f t="shared" si="10"/>
        <v>0</v>
      </c>
      <c r="AL92" s="1">
        <f t="shared" si="10"/>
        <v>0</v>
      </c>
      <c r="AM92" s="1">
        <f t="shared" si="10"/>
        <v>0</v>
      </c>
      <c r="AN92" s="1">
        <f t="shared" si="10"/>
        <v>0</v>
      </c>
      <c r="AO92" s="1">
        <f t="shared" si="10"/>
        <v>0</v>
      </c>
      <c r="AP92" s="1">
        <f t="shared" si="10"/>
        <v>0</v>
      </c>
      <c r="AQ92" s="1">
        <f t="shared" si="10"/>
        <v>1</v>
      </c>
    </row>
    <row r="93" spans="1:43" x14ac:dyDescent="0.25">
      <c r="A93" s="1" t="s">
        <v>35</v>
      </c>
      <c r="B93" s="1" t="s">
        <v>147</v>
      </c>
      <c r="C93" s="44" t="s">
        <v>99</v>
      </c>
      <c r="E93" s="1">
        <f t="shared" ref="E93:AQ93" si="11">+E5-E50</f>
        <v>1</v>
      </c>
      <c r="F93" s="1">
        <f t="shared" si="11"/>
        <v>1</v>
      </c>
      <c r="G93" s="1">
        <f t="shared" si="11"/>
        <v>1</v>
      </c>
      <c r="H93" s="1">
        <f t="shared" si="11"/>
        <v>1</v>
      </c>
      <c r="I93" s="1">
        <f t="shared" si="11"/>
        <v>1</v>
      </c>
      <c r="J93" s="1">
        <f t="shared" si="11"/>
        <v>0</v>
      </c>
      <c r="K93" s="1">
        <f t="shared" si="11"/>
        <v>0</v>
      </c>
      <c r="L93" s="1">
        <f t="shared" si="11"/>
        <v>1</v>
      </c>
      <c r="M93" s="1">
        <f t="shared" si="11"/>
        <v>1</v>
      </c>
      <c r="N93" s="1">
        <f t="shared" si="11"/>
        <v>0</v>
      </c>
      <c r="O93" s="1">
        <f t="shared" si="11"/>
        <v>0</v>
      </c>
      <c r="P93" s="1">
        <f t="shared" si="11"/>
        <v>1</v>
      </c>
      <c r="Q93" s="1">
        <f t="shared" si="11"/>
        <v>1</v>
      </c>
      <c r="R93" s="1">
        <f t="shared" si="11"/>
        <v>1</v>
      </c>
      <c r="S93" s="1">
        <f t="shared" si="11"/>
        <v>0</v>
      </c>
      <c r="T93" s="1">
        <f t="shared" si="11"/>
        <v>1</v>
      </c>
      <c r="U93" s="1">
        <f t="shared" si="11"/>
        <v>1</v>
      </c>
      <c r="V93" s="1">
        <f t="shared" si="11"/>
        <v>1</v>
      </c>
      <c r="W93" s="1">
        <f t="shared" si="11"/>
        <v>-1</v>
      </c>
      <c r="X93" s="1">
        <f t="shared" si="11"/>
        <v>1</v>
      </c>
      <c r="Y93" s="1">
        <f t="shared" si="11"/>
        <v>1</v>
      </c>
      <c r="Z93" s="1">
        <f t="shared" si="11"/>
        <v>1</v>
      </c>
      <c r="AA93" s="1">
        <f t="shared" si="11"/>
        <v>1</v>
      </c>
      <c r="AB93" s="1">
        <f t="shared" si="11"/>
        <v>1</v>
      </c>
      <c r="AC93" s="1">
        <f t="shared" si="11"/>
        <v>0</v>
      </c>
      <c r="AD93" s="1">
        <f t="shared" si="11"/>
        <v>0</v>
      </c>
      <c r="AE93" s="1">
        <f t="shared" si="11"/>
        <v>0</v>
      </c>
      <c r="AF93" s="1">
        <f t="shared" si="11"/>
        <v>0</v>
      </c>
      <c r="AG93" s="1">
        <f t="shared" si="11"/>
        <v>0</v>
      </c>
      <c r="AH93" s="1">
        <f t="shared" si="11"/>
        <v>0</v>
      </c>
      <c r="AI93" s="1">
        <f t="shared" si="11"/>
        <v>1</v>
      </c>
      <c r="AJ93" s="1">
        <f t="shared" si="11"/>
        <v>1</v>
      </c>
      <c r="AK93" s="1">
        <f t="shared" si="11"/>
        <v>1</v>
      </c>
      <c r="AL93" s="1">
        <f t="shared" si="11"/>
        <v>1</v>
      </c>
      <c r="AM93" s="1">
        <f t="shared" si="11"/>
        <v>0</v>
      </c>
      <c r="AN93" s="1">
        <f t="shared" si="11"/>
        <v>0</v>
      </c>
      <c r="AO93" s="1">
        <f t="shared" si="11"/>
        <v>0</v>
      </c>
      <c r="AP93" s="1">
        <f t="shared" si="11"/>
        <v>0</v>
      </c>
      <c r="AQ93" s="1">
        <f t="shared" si="11"/>
        <v>0</v>
      </c>
    </row>
    <row r="94" spans="1:43" x14ac:dyDescent="0.25">
      <c r="A94" s="1" t="s">
        <v>36</v>
      </c>
      <c r="B94" s="1" t="s">
        <v>147</v>
      </c>
      <c r="C94" s="44" t="s">
        <v>100</v>
      </c>
      <c r="E94" s="1">
        <f t="shared" ref="E94:AQ94" si="12">+E6-E51</f>
        <v>0</v>
      </c>
      <c r="F94" s="1">
        <f t="shared" si="12"/>
        <v>0</v>
      </c>
      <c r="G94" s="1">
        <f t="shared" si="12"/>
        <v>0</v>
      </c>
      <c r="H94" s="1">
        <f t="shared" si="12"/>
        <v>1</v>
      </c>
      <c r="I94" s="1">
        <f t="shared" si="12"/>
        <v>1</v>
      </c>
      <c r="J94" s="1">
        <f t="shared" si="12"/>
        <v>-1</v>
      </c>
      <c r="K94" s="1">
        <f t="shared" si="12"/>
        <v>1</v>
      </c>
      <c r="L94" s="1">
        <f t="shared" si="12"/>
        <v>-1</v>
      </c>
      <c r="M94" s="1">
        <f t="shared" si="12"/>
        <v>1</v>
      </c>
      <c r="N94" s="1">
        <f t="shared" si="12"/>
        <v>1</v>
      </c>
      <c r="O94" s="1">
        <f t="shared" si="12"/>
        <v>1</v>
      </c>
      <c r="P94" s="1">
        <f t="shared" si="12"/>
        <v>1</v>
      </c>
      <c r="Q94" s="1">
        <f t="shared" si="12"/>
        <v>1</v>
      </c>
      <c r="R94" s="1">
        <f t="shared" si="12"/>
        <v>1</v>
      </c>
      <c r="S94" s="1">
        <f t="shared" si="12"/>
        <v>0</v>
      </c>
      <c r="T94" s="1">
        <f t="shared" si="12"/>
        <v>0</v>
      </c>
      <c r="U94" s="1">
        <f t="shared" si="12"/>
        <v>1</v>
      </c>
      <c r="V94" s="1">
        <f t="shared" si="12"/>
        <v>-1</v>
      </c>
      <c r="W94" s="1">
        <f t="shared" si="12"/>
        <v>-1</v>
      </c>
      <c r="X94" s="1">
        <f t="shared" si="12"/>
        <v>0</v>
      </c>
      <c r="Y94" s="1">
        <f t="shared" si="12"/>
        <v>0</v>
      </c>
      <c r="Z94" s="1">
        <f t="shared" si="12"/>
        <v>0</v>
      </c>
      <c r="AA94" s="1">
        <f t="shared" si="12"/>
        <v>0</v>
      </c>
      <c r="AB94" s="1">
        <f t="shared" si="12"/>
        <v>0</v>
      </c>
      <c r="AC94" s="1">
        <f t="shared" si="12"/>
        <v>0</v>
      </c>
      <c r="AD94" s="1">
        <f t="shared" si="12"/>
        <v>0</v>
      </c>
      <c r="AE94" s="1">
        <f t="shared" si="12"/>
        <v>0</v>
      </c>
      <c r="AF94" s="1">
        <f t="shared" si="12"/>
        <v>0</v>
      </c>
      <c r="AG94" s="1">
        <f t="shared" si="12"/>
        <v>-1</v>
      </c>
      <c r="AH94" s="1">
        <f t="shared" si="12"/>
        <v>-1</v>
      </c>
      <c r="AI94" s="1">
        <f t="shared" si="12"/>
        <v>-1</v>
      </c>
      <c r="AJ94" s="1">
        <f t="shared" si="12"/>
        <v>-1</v>
      </c>
      <c r="AK94" s="1">
        <f t="shared" si="12"/>
        <v>-1</v>
      </c>
      <c r="AL94" s="1">
        <f t="shared" si="12"/>
        <v>-1</v>
      </c>
      <c r="AM94" s="1">
        <f t="shared" si="12"/>
        <v>0</v>
      </c>
      <c r="AN94" s="1">
        <f t="shared" si="12"/>
        <v>0</v>
      </c>
      <c r="AO94" s="1">
        <f t="shared" si="12"/>
        <v>0</v>
      </c>
      <c r="AP94" s="1">
        <f t="shared" si="12"/>
        <v>0</v>
      </c>
      <c r="AQ94" s="1">
        <f t="shared" si="12"/>
        <v>0</v>
      </c>
    </row>
    <row r="95" spans="1:43" x14ac:dyDescent="0.25">
      <c r="A95" s="1" t="s">
        <v>37</v>
      </c>
      <c r="B95" s="1" t="s">
        <v>147</v>
      </c>
      <c r="C95" s="44" t="s">
        <v>101</v>
      </c>
      <c r="E95" s="1">
        <f t="shared" ref="E95:AQ95" si="13">+E7-E52</f>
        <v>0</v>
      </c>
      <c r="F95" s="1">
        <f t="shared" si="13"/>
        <v>0</v>
      </c>
      <c r="G95" s="1">
        <f t="shared" si="13"/>
        <v>0</v>
      </c>
      <c r="H95" s="1">
        <f t="shared" si="13"/>
        <v>0</v>
      </c>
      <c r="I95" s="1">
        <f t="shared" si="13"/>
        <v>0</v>
      </c>
      <c r="J95" s="1">
        <f t="shared" si="13"/>
        <v>0</v>
      </c>
      <c r="K95" s="1">
        <f t="shared" si="13"/>
        <v>0</v>
      </c>
      <c r="L95" s="1">
        <f t="shared" si="13"/>
        <v>0</v>
      </c>
      <c r="M95" s="1">
        <f t="shared" si="13"/>
        <v>0</v>
      </c>
      <c r="N95" s="1">
        <f t="shared" si="13"/>
        <v>0</v>
      </c>
      <c r="O95" s="1">
        <f t="shared" si="13"/>
        <v>0</v>
      </c>
      <c r="P95" s="1">
        <f t="shared" si="13"/>
        <v>0</v>
      </c>
      <c r="Q95" s="1">
        <f t="shared" si="13"/>
        <v>0</v>
      </c>
      <c r="R95" s="1">
        <f t="shared" si="13"/>
        <v>-1</v>
      </c>
      <c r="S95" s="1">
        <f t="shared" si="13"/>
        <v>-2</v>
      </c>
      <c r="T95" s="1">
        <f t="shared" si="13"/>
        <v>0</v>
      </c>
      <c r="U95" s="1">
        <f t="shared" si="13"/>
        <v>0</v>
      </c>
      <c r="V95" s="1">
        <f t="shared" si="13"/>
        <v>0</v>
      </c>
      <c r="W95" s="1">
        <f t="shared" si="13"/>
        <v>-1</v>
      </c>
      <c r="X95" s="1">
        <f t="shared" si="13"/>
        <v>0</v>
      </c>
      <c r="Y95" s="1">
        <f t="shared" si="13"/>
        <v>0</v>
      </c>
      <c r="Z95" s="1">
        <f t="shared" si="13"/>
        <v>0</v>
      </c>
      <c r="AA95" s="1">
        <f t="shared" si="13"/>
        <v>0</v>
      </c>
      <c r="AB95" s="1">
        <f t="shared" si="13"/>
        <v>0</v>
      </c>
      <c r="AC95" s="1">
        <f t="shared" si="13"/>
        <v>0</v>
      </c>
      <c r="AD95" s="1">
        <f t="shared" si="13"/>
        <v>0</v>
      </c>
      <c r="AE95" s="1">
        <f t="shared" si="13"/>
        <v>0</v>
      </c>
      <c r="AF95" s="1">
        <f t="shared" si="13"/>
        <v>0</v>
      </c>
      <c r="AG95" s="1">
        <f t="shared" si="13"/>
        <v>0</v>
      </c>
      <c r="AH95" s="1">
        <f t="shared" si="13"/>
        <v>0</v>
      </c>
      <c r="AI95" s="1">
        <f t="shared" si="13"/>
        <v>0</v>
      </c>
      <c r="AJ95" s="1">
        <f t="shared" si="13"/>
        <v>0</v>
      </c>
      <c r="AK95" s="1">
        <f t="shared" si="13"/>
        <v>0</v>
      </c>
      <c r="AL95" s="1">
        <f t="shared" si="13"/>
        <v>0</v>
      </c>
      <c r="AM95" s="1">
        <f t="shared" si="13"/>
        <v>0</v>
      </c>
      <c r="AN95" s="1">
        <f t="shared" si="13"/>
        <v>0</v>
      </c>
      <c r="AO95" s="1">
        <f t="shared" si="13"/>
        <v>0</v>
      </c>
      <c r="AP95" s="1">
        <f t="shared" si="13"/>
        <v>0</v>
      </c>
      <c r="AQ95" s="1">
        <f t="shared" si="13"/>
        <v>0</v>
      </c>
    </row>
    <row r="96" spans="1:43" x14ac:dyDescent="0.25">
      <c r="A96" s="1" t="s">
        <v>38</v>
      </c>
      <c r="B96" s="1" t="s">
        <v>147</v>
      </c>
      <c r="C96" s="44" t="s">
        <v>102</v>
      </c>
      <c r="E96" s="1">
        <f t="shared" ref="E96:AQ96" si="14">+E8-E53</f>
        <v>1</v>
      </c>
      <c r="F96" s="1">
        <f t="shared" si="14"/>
        <v>1</v>
      </c>
      <c r="G96" s="1">
        <f t="shared" si="14"/>
        <v>1</v>
      </c>
      <c r="H96" s="1">
        <f t="shared" si="14"/>
        <v>1</v>
      </c>
      <c r="I96" s="1">
        <f t="shared" si="14"/>
        <v>1</v>
      </c>
      <c r="J96" s="1">
        <f t="shared" si="14"/>
        <v>1</v>
      </c>
      <c r="K96" s="1">
        <f t="shared" si="14"/>
        <v>1</v>
      </c>
      <c r="L96" s="1">
        <f t="shared" si="14"/>
        <v>1</v>
      </c>
      <c r="M96" s="1">
        <f t="shared" si="14"/>
        <v>1</v>
      </c>
      <c r="N96" s="1">
        <f t="shared" si="14"/>
        <v>1</v>
      </c>
      <c r="O96" s="1">
        <f t="shared" si="14"/>
        <v>1</v>
      </c>
      <c r="P96" s="1">
        <f t="shared" si="14"/>
        <v>1</v>
      </c>
      <c r="Q96" s="1">
        <f t="shared" si="14"/>
        <v>1</v>
      </c>
      <c r="R96" s="1">
        <f t="shared" si="14"/>
        <v>1</v>
      </c>
      <c r="S96" s="1">
        <f t="shared" si="14"/>
        <v>0</v>
      </c>
      <c r="T96" s="1">
        <f t="shared" si="14"/>
        <v>1</v>
      </c>
      <c r="U96" s="1">
        <f t="shared" si="14"/>
        <v>1</v>
      </c>
      <c r="V96" s="1">
        <f t="shared" si="14"/>
        <v>1</v>
      </c>
      <c r="W96" s="1">
        <f t="shared" si="14"/>
        <v>-1</v>
      </c>
      <c r="X96" s="1">
        <f t="shared" si="14"/>
        <v>1</v>
      </c>
      <c r="Y96" s="1">
        <f t="shared" si="14"/>
        <v>1</v>
      </c>
      <c r="Z96" s="1">
        <f t="shared" si="14"/>
        <v>1</v>
      </c>
      <c r="AA96" s="1">
        <f t="shared" si="14"/>
        <v>1</v>
      </c>
      <c r="AB96" s="1">
        <f t="shared" si="14"/>
        <v>1</v>
      </c>
      <c r="AC96" s="1">
        <f t="shared" si="14"/>
        <v>1</v>
      </c>
      <c r="AD96" s="1">
        <f t="shared" si="14"/>
        <v>1</v>
      </c>
      <c r="AE96" s="1">
        <f t="shared" si="14"/>
        <v>1</v>
      </c>
      <c r="AF96" s="1">
        <f t="shared" si="14"/>
        <v>1</v>
      </c>
      <c r="AG96" s="1">
        <f t="shared" si="14"/>
        <v>1</v>
      </c>
      <c r="AH96" s="1">
        <f t="shared" si="14"/>
        <v>1</v>
      </c>
      <c r="AI96" s="1">
        <f t="shared" si="14"/>
        <v>1</v>
      </c>
      <c r="AJ96" s="1">
        <f t="shared" si="14"/>
        <v>1</v>
      </c>
      <c r="AK96" s="1">
        <f t="shared" si="14"/>
        <v>1</v>
      </c>
      <c r="AL96" s="1">
        <f t="shared" si="14"/>
        <v>1</v>
      </c>
      <c r="AM96" s="1">
        <f t="shared" si="14"/>
        <v>1</v>
      </c>
      <c r="AN96" s="1">
        <f t="shared" si="14"/>
        <v>1</v>
      </c>
      <c r="AO96" s="1">
        <f t="shared" si="14"/>
        <v>1</v>
      </c>
      <c r="AP96" s="1">
        <f t="shared" si="14"/>
        <v>1</v>
      </c>
      <c r="AQ96" s="1">
        <f t="shared" si="14"/>
        <v>1</v>
      </c>
    </row>
    <row r="97" spans="1:43" x14ac:dyDescent="0.25">
      <c r="A97" s="1" t="s">
        <v>39</v>
      </c>
      <c r="B97" s="1" t="s">
        <v>147</v>
      </c>
      <c r="C97" s="44" t="s">
        <v>103</v>
      </c>
      <c r="E97" s="1">
        <f t="shared" ref="E97:AQ97" si="15">+E9-E54</f>
        <v>0</v>
      </c>
      <c r="F97" s="1">
        <f t="shared" si="15"/>
        <v>0</v>
      </c>
      <c r="G97" s="1">
        <f t="shared" si="15"/>
        <v>0</v>
      </c>
      <c r="H97" s="1">
        <f t="shared" si="15"/>
        <v>0</v>
      </c>
      <c r="I97" s="1">
        <f t="shared" si="15"/>
        <v>0</v>
      </c>
      <c r="J97" s="1">
        <f t="shared" si="15"/>
        <v>0</v>
      </c>
      <c r="K97" s="1">
        <f t="shared" si="15"/>
        <v>0</v>
      </c>
      <c r="L97" s="1">
        <f t="shared" si="15"/>
        <v>0</v>
      </c>
      <c r="M97" s="1">
        <f t="shared" si="15"/>
        <v>0</v>
      </c>
      <c r="N97" s="1">
        <f t="shared" si="15"/>
        <v>0</v>
      </c>
      <c r="O97" s="1">
        <f t="shared" si="15"/>
        <v>0</v>
      </c>
      <c r="P97" s="1">
        <f t="shared" si="15"/>
        <v>0</v>
      </c>
      <c r="Q97" s="1">
        <f t="shared" si="15"/>
        <v>0</v>
      </c>
      <c r="R97" s="1">
        <f t="shared" si="15"/>
        <v>0</v>
      </c>
      <c r="S97" s="1">
        <f t="shared" si="15"/>
        <v>0</v>
      </c>
      <c r="T97" s="1">
        <f t="shared" si="15"/>
        <v>0</v>
      </c>
      <c r="U97" s="1">
        <f t="shared" si="15"/>
        <v>0</v>
      </c>
      <c r="V97" s="1">
        <f t="shared" si="15"/>
        <v>0</v>
      </c>
      <c r="W97" s="1">
        <f t="shared" si="15"/>
        <v>-2</v>
      </c>
      <c r="X97" s="1">
        <f t="shared" si="15"/>
        <v>0</v>
      </c>
      <c r="Y97" s="1">
        <f t="shared" si="15"/>
        <v>0</v>
      </c>
      <c r="Z97" s="1">
        <f t="shared" si="15"/>
        <v>0</v>
      </c>
      <c r="AA97" s="1">
        <f t="shared" si="15"/>
        <v>0</v>
      </c>
      <c r="AB97" s="1">
        <f t="shared" si="15"/>
        <v>0</v>
      </c>
      <c r="AC97" s="1">
        <f t="shared" si="15"/>
        <v>0</v>
      </c>
      <c r="AD97" s="1">
        <f t="shared" si="15"/>
        <v>0</v>
      </c>
      <c r="AE97" s="1">
        <f t="shared" si="15"/>
        <v>0</v>
      </c>
      <c r="AF97" s="1">
        <f t="shared" si="15"/>
        <v>0</v>
      </c>
      <c r="AG97" s="1">
        <f t="shared" si="15"/>
        <v>0</v>
      </c>
      <c r="AH97" s="1">
        <f t="shared" si="15"/>
        <v>0</v>
      </c>
      <c r="AI97" s="1">
        <f t="shared" si="15"/>
        <v>0</v>
      </c>
      <c r="AJ97" s="1">
        <f t="shared" si="15"/>
        <v>0</v>
      </c>
      <c r="AK97" s="1">
        <f t="shared" si="15"/>
        <v>0</v>
      </c>
      <c r="AL97" s="1">
        <f t="shared" si="15"/>
        <v>0</v>
      </c>
      <c r="AM97" s="1">
        <f t="shared" si="15"/>
        <v>0</v>
      </c>
      <c r="AN97" s="1">
        <f t="shared" si="15"/>
        <v>0</v>
      </c>
      <c r="AO97" s="1">
        <f t="shared" si="15"/>
        <v>0</v>
      </c>
      <c r="AP97" s="1">
        <f t="shared" si="15"/>
        <v>0</v>
      </c>
      <c r="AQ97" s="1">
        <f t="shared" si="15"/>
        <v>0</v>
      </c>
    </row>
    <row r="98" spans="1:43" x14ac:dyDescent="0.25">
      <c r="A98" s="1" t="s">
        <v>40</v>
      </c>
      <c r="B98" s="1" t="s">
        <v>147</v>
      </c>
      <c r="C98" s="44" t="s">
        <v>104</v>
      </c>
      <c r="E98" s="1">
        <f t="shared" ref="E98:AQ98" si="16">+E10-E55</f>
        <v>0</v>
      </c>
      <c r="F98" s="1">
        <f t="shared" si="16"/>
        <v>0</v>
      </c>
      <c r="G98" s="1">
        <f t="shared" si="16"/>
        <v>0</v>
      </c>
      <c r="H98" s="1">
        <f t="shared" si="16"/>
        <v>0</v>
      </c>
      <c r="I98" s="1">
        <f t="shared" si="16"/>
        <v>0</v>
      </c>
      <c r="J98" s="1">
        <f t="shared" si="16"/>
        <v>1</v>
      </c>
      <c r="K98" s="1">
        <f t="shared" si="16"/>
        <v>1</v>
      </c>
      <c r="L98" s="1">
        <f t="shared" si="16"/>
        <v>1</v>
      </c>
      <c r="M98" s="1">
        <f t="shared" si="16"/>
        <v>-1</v>
      </c>
      <c r="N98" s="1">
        <f t="shared" si="16"/>
        <v>0</v>
      </c>
      <c r="O98" s="1">
        <f t="shared" si="16"/>
        <v>0</v>
      </c>
      <c r="P98" s="1">
        <f t="shared" si="16"/>
        <v>1</v>
      </c>
      <c r="Q98" s="1">
        <f t="shared" si="16"/>
        <v>1</v>
      </c>
      <c r="R98" s="1">
        <f t="shared" si="16"/>
        <v>0</v>
      </c>
      <c r="S98" s="1">
        <f t="shared" si="16"/>
        <v>-2</v>
      </c>
      <c r="T98" s="1">
        <f t="shared" si="16"/>
        <v>0</v>
      </c>
      <c r="U98" s="1">
        <f t="shared" si="16"/>
        <v>0</v>
      </c>
      <c r="V98" s="1">
        <f t="shared" si="16"/>
        <v>0</v>
      </c>
      <c r="W98" s="1">
        <f t="shared" si="16"/>
        <v>-1</v>
      </c>
      <c r="X98" s="1">
        <f t="shared" si="16"/>
        <v>0</v>
      </c>
      <c r="Y98" s="1">
        <f t="shared" si="16"/>
        <v>0</v>
      </c>
      <c r="Z98" s="1">
        <f t="shared" si="16"/>
        <v>0</v>
      </c>
      <c r="AA98" s="1">
        <f t="shared" si="16"/>
        <v>0</v>
      </c>
      <c r="AB98" s="1">
        <f t="shared" si="16"/>
        <v>0</v>
      </c>
      <c r="AC98" s="1">
        <f t="shared" si="16"/>
        <v>0</v>
      </c>
      <c r="AD98" s="1">
        <f t="shared" si="16"/>
        <v>0</v>
      </c>
      <c r="AE98" s="1">
        <f t="shared" si="16"/>
        <v>0</v>
      </c>
      <c r="AF98" s="1">
        <f t="shared" si="16"/>
        <v>0</v>
      </c>
      <c r="AG98" s="1">
        <f t="shared" si="16"/>
        <v>0</v>
      </c>
      <c r="AH98" s="1">
        <f t="shared" si="16"/>
        <v>0</v>
      </c>
      <c r="AI98" s="1">
        <f t="shared" si="16"/>
        <v>0</v>
      </c>
      <c r="AJ98" s="1">
        <f t="shared" si="16"/>
        <v>0</v>
      </c>
      <c r="AK98" s="1">
        <f t="shared" si="16"/>
        <v>0</v>
      </c>
      <c r="AL98" s="1">
        <f t="shared" si="16"/>
        <v>0</v>
      </c>
      <c r="AM98" s="1">
        <f t="shared" si="16"/>
        <v>-2</v>
      </c>
      <c r="AN98" s="1">
        <f t="shared" si="16"/>
        <v>-2</v>
      </c>
      <c r="AO98" s="1">
        <f t="shared" si="16"/>
        <v>-2</v>
      </c>
      <c r="AP98" s="1">
        <f t="shared" si="16"/>
        <v>-2</v>
      </c>
      <c r="AQ98" s="1">
        <f t="shared" si="16"/>
        <v>-2</v>
      </c>
    </row>
    <row r="99" spans="1:43" x14ac:dyDescent="0.25">
      <c r="A99" s="1" t="s">
        <v>41</v>
      </c>
      <c r="B99" s="1" t="s">
        <v>147</v>
      </c>
      <c r="C99" s="44" t="s">
        <v>105</v>
      </c>
      <c r="E99" s="1">
        <f t="shared" ref="E99:AQ99" si="17">+E11-E56</f>
        <v>0</v>
      </c>
      <c r="F99" s="1">
        <f t="shared" si="17"/>
        <v>0</v>
      </c>
      <c r="G99" s="1">
        <f t="shared" si="17"/>
        <v>0</v>
      </c>
      <c r="H99" s="1">
        <f t="shared" si="17"/>
        <v>0</v>
      </c>
      <c r="I99" s="1">
        <f t="shared" si="17"/>
        <v>-1</v>
      </c>
      <c r="J99" s="1">
        <f t="shared" si="17"/>
        <v>1</v>
      </c>
      <c r="K99" s="1">
        <f t="shared" si="17"/>
        <v>1</v>
      </c>
      <c r="L99" s="1">
        <f t="shared" si="17"/>
        <v>1</v>
      </c>
      <c r="M99" s="1">
        <f t="shared" si="17"/>
        <v>1</v>
      </c>
      <c r="N99" s="1">
        <f t="shared" si="17"/>
        <v>0</v>
      </c>
      <c r="O99" s="1">
        <f t="shared" si="17"/>
        <v>1</v>
      </c>
      <c r="P99" s="1">
        <f t="shared" si="17"/>
        <v>1</v>
      </c>
      <c r="Q99" s="1">
        <f t="shared" si="17"/>
        <v>0</v>
      </c>
      <c r="R99" s="1">
        <f t="shared" si="17"/>
        <v>-1</v>
      </c>
      <c r="S99" s="1">
        <f t="shared" si="17"/>
        <v>-2</v>
      </c>
      <c r="T99" s="1">
        <f t="shared" si="17"/>
        <v>0</v>
      </c>
      <c r="U99" s="1">
        <f t="shared" si="17"/>
        <v>0</v>
      </c>
      <c r="V99" s="1">
        <f t="shared" si="17"/>
        <v>0</v>
      </c>
      <c r="W99" s="1">
        <f t="shared" si="17"/>
        <v>-1</v>
      </c>
      <c r="X99" s="1">
        <f t="shared" si="17"/>
        <v>0</v>
      </c>
      <c r="Y99" s="1">
        <f t="shared" si="17"/>
        <v>0</v>
      </c>
      <c r="Z99" s="1">
        <f t="shared" si="17"/>
        <v>0</v>
      </c>
      <c r="AA99" s="1">
        <f t="shared" si="17"/>
        <v>0</v>
      </c>
      <c r="AB99" s="1">
        <f t="shared" si="17"/>
        <v>0</v>
      </c>
      <c r="AC99" s="1">
        <f t="shared" si="17"/>
        <v>0</v>
      </c>
      <c r="AD99" s="1">
        <f t="shared" si="17"/>
        <v>0</v>
      </c>
      <c r="AE99" s="1">
        <f t="shared" si="17"/>
        <v>0</v>
      </c>
      <c r="AF99" s="1">
        <f t="shared" si="17"/>
        <v>0</v>
      </c>
      <c r="AG99" s="1">
        <f t="shared" si="17"/>
        <v>0</v>
      </c>
      <c r="AH99" s="1">
        <f t="shared" si="17"/>
        <v>-1</v>
      </c>
      <c r="AI99" s="1">
        <f t="shared" si="17"/>
        <v>0</v>
      </c>
      <c r="AJ99" s="1">
        <f t="shared" si="17"/>
        <v>0</v>
      </c>
      <c r="AK99" s="1">
        <f t="shared" si="17"/>
        <v>0</v>
      </c>
      <c r="AL99" s="1">
        <f t="shared" si="17"/>
        <v>0</v>
      </c>
      <c r="AM99" s="1">
        <f t="shared" si="17"/>
        <v>0</v>
      </c>
      <c r="AN99" s="1">
        <f t="shared" si="17"/>
        <v>0</v>
      </c>
      <c r="AO99" s="1">
        <f t="shared" si="17"/>
        <v>0</v>
      </c>
      <c r="AP99" s="1">
        <f t="shared" si="17"/>
        <v>0</v>
      </c>
      <c r="AQ99" s="1">
        <f t="shared" si="17"/>
        <v>0</v>
      </c>
    </row>
    <row r="100" spans="1:43" x14ac:dyDescent="0.25">
      <c r="A100" s="1" t="s">
        <v>42</v>
      </c>
      <c r="B100" s="1" t="s">
        <v>148</v>
      </c>
      <c r="C100" s="44" t="s">
        <v>106</v>
      </c>
      <c r="E100" s="1">
        <f t="shared" ref="E100:AQ100" si="18">+E12-E57</f>
        <v>1</v>
      </c>
      <c r="F100" s="1">
        <f t="shared" si="18"/>
        <v>1</v>
      </c>
      <c r="G100" s="1">
        <f t="shared" si="18"/>
        <v>1</v>
      </c>
      <c r="H100" s="1">
        <f t="shared" si="18"/>
        <v>1</v>
      </c>
      <c r="I100" s="1">
        <f t="shared" si="18"/>
        <v>1</v>
      </c>
      <c r="J100" s="1">
        <f t="shared" si="18"/>
        <v>1</v>
      </c>
      <c r="K100" s="1">
        <f t="shared" si="18"/>
        <v>1</v>
      </c>
      <c r="L100" s="1">
        <f t="shared" si="18"/>
        <v>1</v>
      </c>
      <c r="M100" s="1">
        <f t="shared" si="18"/>
        <v>1</v>
      </c>
      <c r="N100" s="1">
        <f t="shared" si="18"/>
        <v>1</v>
      </c>
      <c r="O100" s="1">
        <f t="shared" si="18"/>
        <v>1</v>
      </c>
      <c r="P100" s="1">
        <f t="shared" si="18"/>
        <v>1</v>
      </c>
      <c r="Q100" s="1">
        <f t="shared" si="18"/>
        <v>1</v>
      </c>
      <c r="R100" s="1">
        <f t="shared" si="18"/>
        <v>1</v>
      </c>
      <c r="S100" s="1">
        <f t="shared" si="18"/>
        <v>0</v>
      </c>
      <c r="T100" s="1">
        <f t="shared" si="18"/>
        <v>1</v>
      </c>
      <c r="U100" s="1">
        <f t="shared" si="18"/>
        <v>1</v>
      </c>
      <c r="V100" s="1">
        <f t="shared" si="18"/>
        <v>1</v>
      </c>
      <c r="W100" s="1">
        <f t="shared" si="18"/>
        <v>-1</v>
      </c>
      <c r="X100" s="1">
        <f t="shared" si="18"/>
        <v>1</v>
      </c>
      <c r="Y100" s="1">
        <f t="shared" si="18"/>
        <v>1</v>
      </c>
      <c r="Z100" s="1">
        <f t="shared" si="18"/>
        <v>1</v>
      </c>
      <c r="AA100" s="1">
        <f t="shared" si="18"/>
        <v>0</v>
      </c>
      <c r="AB100" s="1">
        <f t="shared" si="18"/>
        <v>0</v>
      </c>
      <c r="AC100" s="1">
        <f t="shared" si="18"/>
        <v>0</v>
      </c>
      <c r="AD100" s="1">
        <f t="shared" si="18"/>
        <v>0</v>
      </c>
      <c r="AE100" s="1">
        <f t="shared" si="18"/>
        <v>0</v>
      </c>
      <c r="AF100" s="1">
        <f t="shared" si="18"/>
        <v>0</v>
      </c>
      <c r="AG100" s="1">
        <f t="shared" si="18"/>
        <v>0</v>
      </c>
      <c r="AH100" s="1">
        <f t="shared" si="18"/>
        <v>0</v>
      </c>
      <c r="AI100" s="1">
        <f t="shared" si="18"/>
        <v>0</v>
      </c>
      <c r="AJ100" s="1">
        <f t="shared" si="18"/>
        <v>0</v>
      </c>
      <c r="AK100" s="1">
        <f t="shared" si="18"/>
        <v>0</v>
      </c>
      <c r="AL100" s="1">
        <f t="shared" si="18"/>
        <v>0</v>
      </c>
      <c r="AM100" s="1">
        <f t="shared" si="18"/>
        <v>0</v>
      </c>
      <c r="AN100" s="1">
        <f t="shared" si="18"/>
        <v>0</v>
      </c>
      <c r="AO100" s="1">
        <f t="shared" si="18"/>
        <v>0</v>
      </c>
      <c r="AP100" s="1">
        <f t="shared" si="18"/>
        <v>0</v>
      </c>
      <c r="AQ100" s="1">
        <f t="shared" si="18"/>
        <v>0</v>
      </c>
    </row>
    <row r="101" spans="1:43" x14ac:dyDescent="0.25">
      <c r="A101" s="1" t="s">
        <v>43</v>
      </c>
      <c r="B101" s="1" t="s">
        <v>148</v>
      </c>
      <c r="C101" s="44" t="s">
        <v>107</v>
      </c>
      <c r="E101" s="1">
        <f t="shared" ref="E101:AQ101" si="19">+E15-E58</f>
        <v>0</v>
      </c>
      <c r="F101" s="1">
        <f t="shared" si="19"/>
        <v>-1</v>
      </c>
      <c r="G101" s="1">
        <f t="shared" si="19"/>
        <v>-1</v>
      </c>
      <c r="H101" s="1">
        <f t="shared" si="19"/>
        <v>-1</v>
      </c>
      <c r="I101" s="1">
        <f t="shared" si="19"/>
        <v>-1</v>
      </c>
      <c r="J101" s="1">
        <f t="shared" si="19"/>
        <v>-1</v>
      </c>
      <c r="K101" s="1">
        <f t="shared" si="19"/>
        <v>-1</v>
      </c>
      <c r="L101" s="1">
        <f t="shared" si="19"/>
        <v>-1</v>
      </c>
      <c r="M101" s="1">
        <f t="shared" si="19"/>
        <v>-1</v>
      </c>
      <c r="N101" s="1">
        <f t="shared" si="19"/>
        <v>-1</v>
      </c>
      <c r="O101" s="1">
        <f t="shared" si="19"/>
        <v>-1</v>
      </c>
      <c r="P101" s="1">
        <f t="shared" si="19"/>
        <v>-1</v>
      </c>
      <c r="Q101" s="1">
        <f t="shared" si="19"/>
        <v>-1</v>
      </c>
      <c r="R101" s="1">
        <f t="shared" si="19"/>
        <v>-1</v>
      </c>
      <c r="S101" s="1">
        <f t="shared" si="19"/>
        <v>0</v>
      </c>
      <c r="T101" s="1">
        <f t="shared" si="19"/>
        <v>-1</v>
      </c>
      <c r="U101" s="1">
        <f t="shared" si="19"/>
        <v>-1</v>
      </c>
      <c r="V101" s="1">
        <f t="shared" si="19"/>
        <v>-1</v>
      </c>
      <c r="W101" s="1">
        <f t="shared" si="19"/>
        <v>-1</v>
      </c>
      <c r="X101" s="1">
        <f t="shared" si="19"/>
        <v>-1</v>
      </c>
      <c r="Y101" s="1">
        <f t="shared" si="19"/>
        <v>-1</v>
      </c>
      <c r="Z101" s="1">
        <f t="shared" si="19"/>
        <v>-1</v>
      </c>
      <c r="AA101" s="1">
        <f t="shared" si="19"/>
        <v>-1</v>
      </c>
      <c r="AB101" s="1">
        <f t="shared" si="19"/>
        <v>-1</v>
      </c>
      <c r="AC101" s="1">
        <f t="shared" si="19"/>
        <v>-1</v>
      </c>
      <c r="AD101" s="1">
        <f t="shared" si="19"/>
        <v>-1</v>
      </c>
      <c r="AE101" s="1">
        <f t="shared" si="19"/>
        <v>-1</v>
      </c>
      <c r="AF101" s="1">
        <f t="shared" si="19"/>
        <v>-1</v>
      </c>
      <c r="AG101" s="1">
        <f t="shared" si="19"/>
        <v>-1</v>
      </c>
      <c r="AH101" s="1">
        <f t="shared" si="19"/>
        <v>-1</v>
      </c>
      <c r="AI101" s="1">
        <f t="shared" si="19"/>
        <v>-1</v>
      </c>
      <c r="AJ101" s="1">
        <f t="shared" si="19"/>
        <v>-1</v>
      </c>
      <c r="AK101" s="1">
        <f t="shared" si="19"/>
        <v>-1</v>
      </c>
      <c r="AL101" s="1">
        <f t="shared" si="19"/>
        <v>-1</v>
      </c>
      <c r="AM101" s="1">
        <f t="shared" si="19"/>
        <v>-1</v>
      </c>
      <c r="AN101" s="1">
        <f t="shared" si="19"/>
        <v>-1</v>
      </c>
      <c r="AO101" s="1">
        <f t="shared" si="19"/>
        <v>-1</v>
      </c>
      <c r="AP101" s="1">
        <f t="shared" si="19"/>
        <v>-1</v>
      </c>
      <c r="AQ101" s="1">
        <f t="shared" si="19"/>
        <v>-1</v>
      </c>
    </row>
    <row r="102" spans="1:43" x14ac:dyDescent="0.25">
      <c r="A102" s="1" t="s">
        <v>44</v>
      </c>
      <c r="B102" s="1" t="s">
        <v>148</v>
      </c>
      <c r="C102" s="44" t="s">
        <v>108</v>
      </c>
      <c r="E102" s="1">
        <f t="shared" ref="E102:AQ102" si="20">+E16-E59</f>
        <v>0</v>
      </c>
      <c r="F102" s="1">
        <f t="shared" si="20"/>
        <v>0</v>
      </c>
      <c r="G102" s="1">
        <f t="shared" si="20"/>
        <v>0</v>
      </c>
      <c r="H102" s="1">
        <f t="shared" si="20"/>
        <v>-1</v>
      </c>
      <c r="I102" s="1">
        <f t="shared" si="20"/>
        <v>0</v>
      </c>
      <c r="J102" s="1">
        <f t="shared" si="20"/>
        <v>0</v>
      </c>
      <c r="K102" s="1">
        <f t="shared" si="20"/>
        <v>0</v>
      </c>
      <c r="L102" s="1">
        <f t="shared" si="20"/>
        <v>0</v>
      </c>
      <c r="M102" s="1">
        <f t="shared" si="20"/>
        <v>0</v>
      </c>
      <c r="N102" s="1">
        <f t="shared" si="20"/>
        <v>0</v>
      </c>
      <c r="O102" s="1">
        <f t="shared" si="20"/>
        <v>0</v>
      </c>
      <c r="P102" s="1">
        <f t="shared" si="20"/>
        <v>-1</v>
      </c>
      <c r="Q102" s="1">
        <f t="shared" si="20"/>
        <v>1</v>
      </c>
      <c r="R102" s="1">
        <f t="shared" si="20"/>
        <v>0</v>
      </c>
      <c r="S102" s="1">
        <f t="shared" si="20"/>
        <v>0</v>
      </c>
      <c r="T102" s="1">
        <f t="shared" si="20"/>
        <v>1</v>
      </c>
      <c r="U102" s="1">
        <f t="shared" si="20"/>
        <v>0</v>
      </c>
      <c r="V102" s="1">
        <f t="shared" si="20"/>
        <v>1</v>
      </c>
      <c r="W102" s="1">
        <f t="shared" si="20"/>
        <v>-1</v>
      </c>
      <c r="X102" s="1">
        <f t="shared" si="20"/>
        <v>0</v>
      </c>
      <c r="Y102" s="1">
        <f t="shared" si="20"/>
        <v>0</v>
      </c>
      <c r="Z102" s="1">
        <f t="shared" si="20"/>
        <v>0</v>
      </c>
      <c r="AA102" s="1">
        <f t="shared" si="20"/>
        <v>0</v>
      </c>
      <c r="AB102" s="1">
        <f t="shared" si="20"/>
        <v>0</v>
      </c>
      <c r="AC102" s="1">
        <f t="shared" si="20"/>
        <v>1</v>
      </c>
      <c r="AD102" s="1">
        <f t="shared" si="20"/>
        <v>1</v>
      </c>
      <c r="AE102" s="1">
        <f t="shared" si="20"/>
        <v>1</v>
      </c>
      <c r="AF102" s="1">
        <f t="shared" si="20"/>
        <v>0</v>
      </c>
      <c r="AG102" s="1">
        <f t="shared" si="20"/>
        <v>0</v>
      </c>
      <c r="AH102" s="1">
        <f t="shared" si="20"/>
        <v>0</v>
      </c>
      <c r="AI102" s="1">
        <f t="shared" si="20"/>
        <v>0</v>
      </c>
      <c r="AJ102" s="1">
        <f t="shared" si="20"/>
        <v>1</v>
      </c>
      <c r="AK102" s="1">
        <f t="shared" si="20"/>
        <v>1</v>
      </c>
      <c r="AL102" s="1">
        <f t="shared" si="20"/>
        <v>0</v>
      </c>
      <c r="AM102" s="1">
        <f t="shared" si="20"/>
        <v>1</v>
      </c>
      <c r="AN102" s="1">
        <f t="shared" si="20"/>
        <v>1</v>
      </c>
      <c r="AO102" s="1">
        <f t="shared" si="20"/>
        <v>1</v>
      </c>
      <c r="AP102" s="1">
        <f t="shared" si="20"/>
        <v>1</v>
      </c>
      <c r="AQ102" s="1">
        <f t="shared" si="20"/>
        <v>0</v>
      </c>
    </row>
    <row r="103" spans="1:43" x14ac:dyDescent="0.25">
      <c r="A103" s="1" t="s">
        <v>45</v>
      </c>
      <c r="B103" s="1" t="s">
        <v>148</v>
      </c>
      <c r="C103" s="44" t="s">
        <v>109</v>
      </c>
      <c r="E103" s="1">
        <f t="shared" ref="E103:AQ103" si="21">+E17-E60</f>
        <v>1</v>
      </c>
      <c r="F103" s="1">
        <f t="shared" si="21"/>
        <v>1</v>
      </c>
      <c r="G103" s="1">
        <f t="shared" si="21"/>
        <v>1</v>
      </c>
      <c r="H103" s="1">
        <f t="shared" si="21"/>
        <v>1</v>
      </c>
      <c r="I103" s="1">
        <f t="shared" si="21"/>
        <v>1</v>
      </c>
      <c r="J103" s="1">
        <f t="shared" si="21"/>
        <v>1</v>
      </c>
      <c r="K103" s="1">
        <f t="shared" si="21"/>
        <v>1</v>
      </c>
      <c r="L103" s="1">
        <f t="shared" si="21"/>
        <v>1</v>
      </c>
      <c r="M103" s="1">
        <f t="shared" si="21"/>
        <v>1</v>
      </c>
      <c r="N103" s="1">
        <f t="shared" si="21"/>
        <v>1</v>
      </c>
      <c r="O103" s="1">
        <f t="shared" si="21"/>
        <v>1</v>
      </c>
      <c r="P103" s="1">
        <f t="shared" si="21"/>
        <v>1</v>
      </c>
      <c r="Q103" s="1">
        <f t="shared" si="21"/>
        <v>1</v>
      </c>
      <c r="R103" s="1">
        <f t="shared" si="21"/>
        <v>1</v>
      </c>
      <c r="S103" s="1">
        <f t="shared" si="21"/>
        <v>0</v>
      </c>
      <c r="T103" s="1">
        <f t="shared" si="21"/>
        <v>1</v>
      </c>
      <c r="U103" s="1">
        <f t="shared" si="21"/>
        <v>1</v>
      </c>
      <c r="V103" s="1">
        <f t="shared" si="21"/>
        <v>1</v>
      </c>
      <c r="W103" s="1">
        <f t="shared" si="21"/>
        <v>-1</v>
      </c>
      <c r="X103" s="1">
        <f t="shared" si="21"/>
        <v>1</v>
      </c>
      <c r="Y103" s="1">
        <f t="shared" si="21"/>
        <v>1</v>
      </c>
      <c r="Z103" s="1">
        <f t="shared" si="21"/>
        <v>1</v>
      </c>
      <c r="AA103" s="1">
        <f t="shared" si="21"/>
        <v>1</v>
      </c>
      <c r="AB103" s="1">
        <f t="shared" si="21"/>
        <v>1</v>
      </c>
      <c r="AC103" s="1">
        <f t="shared" si="21"/>
        <v>1</v>
      </c>
      <c r="AD103" s="1">
        <f t="shared" si="21"/>
        <v>1</v>
      </c>
      <c r="AE103" s="1">
        <f t="shared" si="21"/>
        <v>1</v>
      </c>
      <c r="AF103" s="1">
        <f t="shared" si="21"/>
        <v>1</v>
      </c>
      <c r="AG103" s="1">
        <f t="shared" si="21"/>
        <v>1</v>
      </c>
      <c r="AH103" s="1">
        <f t="shared" si="21"/>
        <v>1</v>
      </c>
      <c r="AI103" s="1">
        <f t="shared" si="21"/>
        <v>1</v>
      </c>
      <c r="AJ103" s="1">
        <f t="shared" si="21"/>
        <v>1</v>
      </c>
      <c r="AK103" s="1">
        <f t="shared" si="21"/>
        <v>1</v>
      </c>
      <c r="AL103" s="1">
        <f t="shared" si="21"/>
        <v>1</v>
      </c>
      <c r="AM103" s="1">
        <f t="shared" si="21"/>
        <v>0</v>
      </c>
      <c r="AN103" s="1">
        <f t="shared" si="21"/>
        <v>0</v>
      </c>
      <c r="AO103" s="1">
        <f t="shared" si="21"/>
        <v>0</v>
      </c>
      <c r="AP103" s="1">
        <f t="shared" si="21"/>
        <v>0</v>
      </c>
      <c r="AQ103" s="1">
        <f t="shared" si="21"/>
        <v>0</v>
      </c>
    </row>
    <row r="104" spans="1:43" x14ac:dyDescent="0.25">
      <c r="A104" s="1" t="s">
        <v>46</v>
      </c>
      <c r="B104" s="1" t="s">
        <v>148</v>
      </c>
      <c r="C104" s="44" t="s">
        <v>110</v>
      </c>
      <c r="E104" s="1">
        <f t="shared" ref="E104:AQ104" si="22">+E18-E61</f>
        <v>0</v>
      </c>
      <c r="F104" s="1">
        <f t="shared" si="22"/>
        <v>1</v>
      </c>
      <c r="G104" s="1">
        <f t="shared" si="22"/>
        <v>0</v>
      </c>
      <c r="H104" s="1">
        <f t="shared" si="22"/>
        <v>0</v>
      </c>
      <c r="I104" s="1">
        <f t="shared" si="22"/>
        <v>-1</v>
      </c>
      <c r="J104" s="1">
        <f t="shared" si="22"/>
        <v>0</v>
      </c>
      <c r="K104" s="1">
        <f t="shared" si="22"/>
        <v>0</v>
      </c>
      <c r="L104" s="1">
        <f t="shared" si="22"/>
        <v>0</v>
      </c>
      <c r="M104" s="1">
        <f t="shared" si="22"/>
        <v>1</v>
      </c>
      <c r="N104" s="1">
        <f t="shared" si="22"/>
        <v>0</v>
      </c>
      <c r="O104" s="1">
        <f t="shared" si="22"/>
        <v>0</v>
      </c>
      <c r="P104" s="1">
        <f t="shared" si="22"/>
        <v>0</v>
      </c>
      <c r="Q104" s="1">
        <f t="shared" si="22"/>
        <v>1</v>
      </c>
      <c r="R104" s="1">
        <f t="shared" si="22"/>
        <v>1</v>
      </c>
      <c r="S104" s="1">
        <f t="shared" si="22"/>
        <v>0</v>
      </c>
      <c r="T104" s="1">
        <f t="shared" si="22"/>
        <v>1</v>
      </c>
      <c r="U104" s="1">
        <f t="shared" si="22"/>
        <v>0</v>
      </c>
      <c r="V104" s="1">
        <f t="shared" si="22"/>
        <v>0</v>
      </c>
      <c r="W104" s="1">
        <f t="shared" si="22"/>
        <v>-1</v>
      </c>
      <c r="X104" s="1">
        <f t="shared" si="22"/>
        <v>0</v>
      </c>
      <c r="Y104" s="1">
        <f t="shared" si="22"/>
        <v>0</v>
      </c>
      <c r="Z104" s="1">
        <f t="shared" si="22"/>
        <v>0</v>
      </c>
      <c r="AA104" s="1">
        <f t="shared" si="22"/>
        <v>0</v>
      </c>
      <c r="AB104" s="1">
        <f t="shared" si="22"/>
        <v>0</v>
      </c>
      <c r="AC104" s="1">
        <f t="shared" si="22"/>
        <v>1</v>
      </c>
      <c r="AD104" s="1">
        <f t="shared" si="22"/>
        <v>1</v>
      </c>
      <c r="AE104" s="1">
        <f t="shared" si="22"/>
        <v>1</v>
      </c>
      <c r="AF104" s="1">
        <f t="shared" si="22"/>
        <v>0</v>
      </c>
      <c r="AG104" s="1">
        <f t="shared" si="22"/>
        <v>0</v>
      </c>
      <c r="AH104" s="1">
        <f t="shared" si="22"/>
        <v>0</v>
      </c>
      <c r="AI104" s="1">
        <f t="shared" si="22"/>
        <v>0</v>
      </c>
      <c r="AJ104" s="1">
        <f t="shared" si="22"/>
        <v>0</v>
      </c>
      <c r="AK104" s="1">
        <f t="shared" si="22"/>
        <v>0</v>
      </c>
      <c r="AL104" s="1">
        <f t="shared" si="22"/>
        <v>0</v>
      </c>
      <c r="AM104" s="1">
        <f t="shared" si="22"/>
        <v>0</v>
      </c>
      <c r="AN104" s="1">
        <f t="shared" si="22"/>
        <v>0</v>
      </c>
      <c r="AO104" s="1">
        <f t="shared" si="22"/>
        <v>0</v>
      </c>
      <c r="AP104" s="1">
        <f t="shared" si="22"/>
        <v>0</v>
      </c>
      <c r="AQ104" s="1">
        <f t="shared" si="22"/>
        <v>0</v>
      </c>
    </row>
    <row r="105" spans="1:43" x14ac:dyDescent="0.25">
      <c r="A105" s="1" t="s">
        <v>47</v>
      </c>
      <c r="B105" s="1" t="s">
        <v>148</v>
      </c>
      <c r="C105" s="44" t="s">
        <v>111</v>
      </c>
      <c r="E105" s="1">
        <f t="shared" ref="E105:AQ105" si="23">+E19-E62</f>
        <v>0</v>
      </c>
      <c r="F105" s="1">
        <f t="shared" si="23"/>
        <v>0</v>
      </c>
      <c r="G105" s="1">
        <f t="shared" si="23"/>
        <v>0</v>
      </c>
      <c r="H105" s="1">
        <f t="shared" si="23"/>
        <v>0</v>
      </c>
      <c r="I105" s="1">
        <f t="shared" si="23"/>
        <v>1</v>
      </c>
      <c r="J105" s="1">
        <f t="shared" si="23"/>
        <v>1</v>
      </c>
      <c r="K105" s="1">
        <f t="shared" si="23"/>
        <v>0</v>
      </c>
      <c r="L105" s="1">
        <f t="shared" si="23"/>
        <v>0</v>
      </c>
      <c r="M105" s="1">
        <f t="shared" si="23"/>
        <v>0</v>
      </c>
      <c r="N105" s="1">
        <f t="shared" si="23"/>
        <v>0</v>
      </c>
      <c r="O105" s="1">
        <f t="shared" si="23"/>
        <v>1</v>
      </c>
      <c r="P105" s="1">
        <f t="shared" si="23"/>
        <v>0</v>
      </c>
      <c r="Q105" s="1">
        <f t="shared" si="23"/>
        <v>1</v>
      </c>
      <c r="R105" s="1">
        <f t="shared" si="23"/>
        <v>1</v>
      </c>
      <c r="S105" s="1">
        <f t="shared" si="23"/>
        <v>0</v>
      </c>
      <c r="T105" s="1">
        <f t="shared" si="23"/>
        <v>1</v>
      </c>
      <c r="U105" s="1">
        <f t="shared" si="23"/>
        <v>1</v>
      </c>
      <c r="V105" s="1">
        <f t="shared" si="23"/>
        <v>1</v>
      </c>
      <c r="W105" s="1">
        <f t="shared" si="23"/>
        <v>-1</v>
      </c>
      <c r="X105" s="1">
        <f t="shared" si="23"/>
        <v>0</v>
      </c>
      <c r="Y105" s="1">
        <f t="shared" si="23"/>
        <v>0</v>
      </c>
      <c r="Z105" s="1">
        <f t="shared" si="23"/>
        <v>0</v>
      </c>
      <c r="AA105" s="1">
        <f t="shared" si="23"/>
        <v>0</v>
      </c>
      <c r="AB105" s="1">
        <f t="shared" si="23"/>
        <v>0</v>
      </c>
      <c r="AC105" s="1">
        <f t="shared" si="23"/>
        <v>0</v>
      </c>
      <c r="AD105" s="1">
        <f t="shared" si="23"/>
        <v>0</v>
      </c>
      <c r="AE105" s="1">
        <f t="shared" si="23"/>
        <v>0</v>
      </c>
      <c r="AF105" s="1">
        <f t="shared" si="23"/>
        <v>0</v>
      </c>
      <c r="AG105" s="1">
        <f t="shared" si="23"/>
        <v>0</v>
      </c>
      <c r="AH105" s="1">
        <f t="shared" si="23"/>
        <v>0</v>
      </c>
      <c r="AI105" s="1">
        <f t="shared" si="23"/>
        <v>0</v>
      </c>
      <c r="AJ105" s="1">
        <f t="shared" si="23"/>
        <v>0</v>
      </c>
      <c r="AK105" s="1">
        <f t="shared" si="23"/>
        <v>0</v>
      </c>
      <c r="AL105" s="1">
        <f t="shared" si="23"/>
        <v>0</v>
      </c>
      <c r="AM105" s="1">
        <f t="shared" si="23"/>
        <v>0</v>
      </c>
      <c r="AN105" s="1">
        <f t="shared" si="23"/>
        <v>0</v>
      </c>
      <c r="AO105" s="1">
        <f t="shared" si="23"/>
        <v>0</v>
      </c>
      <c r="AP105" s="1">
        <f t="shared" si="23"/>
        <v>0</v>
      </c>
      <c r="AQ105" s="1">
        <f t="shared" si="23"/>
        <v>0</v>
      </c>
    </row>
    <row r="106" spans="1:43" x14ac:dyDescent="0.25">
      <c r="A106" s="1" t="s">
        <v>48</v>
      </c>
      <c r="B106" s="1" t="s">
        <v>148</v>
      </c>
      <c r="C106" s="44" t="s">
        <v>112</v>
      </c>
      <c r="E106" s="1">
        <f t="shared" ref="E106:AQ106" si="24">+E20-E63</f>
        <v>-1</v>
      </c>
      <c r="F106" s="1">
        <f t="shared" si="24"/>
        <v>-2</v>
      </c>
      <c r="G106" s="1">
        <f t="shared" si="24"/>
        <v>-2</v>
      </c>
      <c r="H106" s="1">
        <f t="shared" si="24"/>
        <v>0</v>
      </c>
      <c r="I106" s="1">
        <f t="shared" si="24"/>
        <v>-2</v>
      </c>
      <c r="J106" s="1">
        <f t="shared" si="24"/>
        <v>-2</v>
      </c>
      <c r="K106" s="1">
        <f t="shared" si="24"/>
        <v>-2</v>
      </c>
      <c r="L106" s="1">
        <f t="shared" si="24"/>
        <v>-2</v>
      </c>
      <c r="M106" s="1">
        <f t="shared" si="24"/>
        <v>-2</v>
      </c>
      <c r="N106" s="1">
        <f t="shared" si="24"/>
        <v>-2</v>
      </c>
      <c r="O106" s="1">
        <f t="shared" si="24"/>
        <v>-2</v>
      </c>
      <c r="P106" s="1">
        <f t="shared" si="24"/>
        <v>-2</v>
      </c>
      <c r="Q106" s="1">
        <f t="shared" si="24"/>
        <v>-2</v>
      </c>
      <c r="R106" s="1">
        <f t="shared" si="24"/>
        <v>0</v>
      </c>
      <c r="S106" s="1">
        <f t="shared" si="24"/>
        <v>0</v>
      </c>
      <c r="T106" s="1">
        <f t="shared" si="24"/>
        <v>-2</v>
      </c>
      <c r="U106" s="1">
        <f t="shared" si="24"/>
        <v>-2</v>
      </c>
      <c r="V106" s="1">
        <f t="shared" si="24"/>
        <v>0</v>
      </c>
      <c r="W106" s="1">
        <f t="shared" si="24"/>
        <v>-2</v>
      </c>
      <c r="X106" s="1">
        <f t="shared" si="24"/>
        <v>-2</v>
      </c>
      <c r="Y106" s="1">
        <f t="shared" si="24"/>
        <v>-2</v>
      </c>
      <c r="Z106" s="1">
        <f t="shared" si="24"/>
        <v>-2</v>
      </c>
      <c r="AA106" s="1">
        <f t="shared" si="24"/>
        <v>-1</v>
      </c>
      <c r="AB106" s="1">
        <f t="shared" si="24"/>
        <v>0</v>
      </c>
      <c r="AC106" s="1">
        <f t="shared" si="24"/>
        <v>0</v>
      </c>
      <c r="AD106" s="1">
        <f t="shared" si="24"/>
        <v>0</v>
      </c>
      <c r="AE106" s="1">
        <f t="shared" si="24"/>
        <v>0</v>
      </c>
      <c r="AF106" s="1">
        <f t="shared" si="24"/>
        <v>-2</v>
      </c>
      <c r="AG106" s="1">
        <f t="shared" si="24"/>
        <v>-2</v>
      </c>
      <c r="AH106" s="1">
        <f t="shared" si="24"/>
        <v>-1</v>
      </c>
      <c r="AI106" s="1">
        <f t="shared" si="24"/>
        <v>-1</v>
      </c>
      <c r="AJ106" s="1">
        <f t="shared" si="24"/>
        <v>-1</v>
      </c>
      <c r="AK106" s="1">
        <f t="shared" si="24"/>
        <v>-1</v>
      </c>
      <c r="AL106" s="1">
        <f t="shared" si="24"/>
        <v>-1</v>
      </c>
      <c r="AM106" s="1">
        <f t="shared" si="24"/>
        <v>0</v>
      </c>
      <c r="AN106" s="1">
        <f t="shared" si="24"/>
        <v>0</v>
      </c>
      <c r="AO106" s="1">
        <f t="shared" si="24"/>
        <v>0</v>
      </c>
      <c r="AP106" s="1">
        <f t="shared" si="24"/>
        <v>0</v>
      </c>
      <c r="AQ106" s="1">
        <f t="shared" si="24"/>
        <v>0</v>
      </c>
    </row>
    <row r="107" spans="1:43" x14ac:dyDescent="0.25">
      <c r="A107" s="1" t="s">
        <v>49</v>
      </c>
      <c r="B107" s="1" t="s">
        <v>149</v>
      </c>
      <c r="C107" s="44" t="s">
        <v>113</v>
      </c>
      <c r="E107" s="1">
        <f t="shared" ref="E107:AQ107" si="25">+E21-E64</f>
        <v>0</v>
      </c>
      <c r="F107" s="1">
        <f t="shared" si="25"/>
        <v>0</v>
      </c>
      <c r="G107" s="1">
        <f t="shared" si="25"/>
        <v>0</v>
      </c>
      <c r="H107" s="1">
        <f t="shared" si="25"/>
        <v>0</v>
      </c>
      <c r="I107" s="1">
        <f t="shared" si="25"/>
        <v>0</v>
      </c>
      <c r="J107" s="1">
        <f t="shared" si="25"/>
        <v>0</v>
      </c>
      <c r="K107" s="1">
        <f t="shared" si="25"/>
        <v>0</v>
      </c>
      <c r="L107" s="1">
        <f t="shared" si="25"/>
        <v>0</v>
      </c>
      <c r="M107" s="1">
        <f t="shared" si="25"/>
        <v>0</v>
      </c>
      <c r="N107" s="1">
        <f t="shared" si="25"/>
        <v>0</v>
      </c>
      <c r="O107" s="1">
        <f t="shared" si="25"/>
        <v>0</v>
      </c>
      <c r="P107" s="1">
        <f t="shared" si="25"/>
        <v>0</v>
      </c>
      <c r="Q107" s="1">
        <f t="shared" si="25"/>
        <v>0</v>
      </c>
      <c r="R107" s="1">
        <f t="shared" si="25"/>
        <v>0</v>
      </c>
      <c r="S107" s="1">
        <f t="shared" si="25"/>
        <v>0</v>
      </c>
      <c r="T107" s="1">
        <f t="shared" si="25"/>
        <v>0</v>
      </c>
      <c r="U107" s="1">
        <f t="shared" si="25"/>
        <v>0</v>
      </c>
      <c r="V107" s="1">
        <f t="shared" si="25"/>
        <v>0</v>
      </c>
      <c r="W107" s="1">
        <f t="shared" si="25"/>
        <v>-2</v>
      </c>
      <c r="X107" s="1">
        <f t="shared" si="25"/>
        <v>0</v>
      </c>
      <c r="Y107" s="1">
        <f t="shared" si="25"/>
        <v>0</v>
      </c>
      <c r="Z107" s="1">
        <f t="shared" si="25"/>
        <v>0</v>
      </c>
      <c r="AA107" s="1">
        <f t="shared" si="25"/>
        <v>0</v>
      </c>
      <c r="AB107" s="1">
        <f t="shared" si="25"/>
        <v>0</v>
      </c>
      <c r="AC107" s="1">
        <f t="shared" si="25"/>
        <v>0</v>
      </c>
      <c r="AD107" s="1">
        <f t="shared" si="25"/>
        <v>0</v>
      </c>
      <c r="AE107" s="1">
        <f t="shared" si="25"/>
        <v>0</v>
      </c>
      <c r="AF107" s="1">
        <f t="shared" si="25"/>
        <v>0</v>
      </c>
      <c r="AG107" s="1">
        <f t="shared" si="25"/>
        <v>0</v>
      </c>
      <c r="AH107" s="1">
        <f t="shared" si="25"/>
        <v>0</v>
      </c>
      <c r="AI107" s="1">
        <f t="shared" si="25"/>
        <v>0</v>
      </c>
      <c r="AJ107" s="1">
        <f t="shared" si="25"/>
        <v>0</v>
      </c>
      <c r="AK107" s="1">
        <f t="shared" si="25"/>
        <v>0</v>
      </c>
      <c r="AL107" s="1">
        <f t="shared" si="25"/>
        <v>0</v>
      </c>
      <c r="AM107" s="1">
        <f t="shared" si="25"/>
        <v>0</v>
      </c>
      <c r="AN107" s="1">
        <f t="shared" si="25"/>
        <v>0</v>
      </c>
      <c r="AO107" s="1">
        <f t="shared" si="25"/>
        <v>0</v>
      </c>
      <c r="AP107" s="1">
        <f t="shared" si="25"/>
        <v>0</v>
      </c>
      <c r="AQ107" s="1">
        <f t="shared" si="25"/>
        <v>0</v>
      </c>
    </row>
    <row r="108" spans="1:43" x14ac:dyDescent="0.25">
      <c r="A108" s="1" t="s">
        <v>50</v>
      </c>
      <c r="B108" s="1" t="s">
        <v>148</v>
      </c>
      <c r="C108" s="44" t="s">
        <v>114</v>
      </c>
      <c r="E108" s="1">
        <f t="shared" ref="E108:AQ108" si="26">+E22-E65</f>
        <v>1</v>
      </c>
      <c r="F108" s="1">
        <f t="shared" si="26"/>
        <v>1</v>
      </c>
      <c r="G108" s="1">
        <f t="shared" si="26"/>
        <v>1</v>
      </c>
      <c r="H108" s="1">
        <f t="shared" si="26"/>
        <v>1</v>
      </c>
      <c r="I108" s="1">
        <f t="shared" si="26"/>
        <v>1</v>
      </c>
      <c r="J108" s="1">
        <f t="shared" si="26"/>
        <v>1</v>
      </c>
      <c r="K108" s="1">
        <f t="shared" si="26"/>
        <v>1</v>
      </c>
      <c r="L108" s="1">
        <f t="shared" si="26"/>
        <v>1</v>
      </c>
      <c r="M108" s="1">
        <f t="shared" si="26"/>
        <v>1</v>
      </c>
      <c r="N108" s="1">
        <f t="shared" si="26"/>
        <v>1</v>
      </c>
      <c r="O108" s="1">
        <f t="shared" si="26"/>
        <v>1</v>
      </c>
      <c r="P108" s="1">
        <f t="shared" si="26"/>
        <v>1</v>
      </c>
      <c r="Q108" s="1">
        <f t="shared" si="26"/>
        <v>1</v>
      </c>
      <c r="R108" s="1">
        <f t="shared" si="26"/>
        <v>1</v>
      </c>
      <c r="S108" s="1">
        <f t="shared" si="26"/>
        <v>0</v>
      </c>
      <c r="T108" s="1">
        <f t="shared" si="26"/>
        <v>1</v>
      </c>
      <c r="U108" s="1">
        <f t="shared" si="26"/>
        <v>1</v>
      </c>
      <c r="V108" s="1">
        <f t="shared" si="26"/>
        <v>1</v>
      </c>
      <c r="W108" s="1">
        <f t="shared" si="26"/>
        <v>-1</v>
      </c>
      <c r="X108" s="1">
        <f t="shared" si="26"/>
        <v>1</v>
      </c>
      <c r="Y108" s="1">
        <f t="shared" si="26"/>
        <v>1</v>
      </c>
      <c r="Z108" s="1">
        <f t="shared" si="26"/>
        <v>1</v>
      </c>
      <c r="AA108" s="1">
        <f t="shared" si="26"/>
        <v>0</v>
      </c>
      <c r="AB108" s="1">
        <f t="shared" si="26"/>
        <v>0</v>
      </c>
      <c r="AC108" s="1">
        <f t="shared" si="26"/>
        <v>0</v>
      </c>
      <c r="AD108" s="1">
        <f t="shared" si="26"/>
        <v>0</v>
      </c>
      <c r="AE108" s="1">
        <f t="shared" si="26"/>
        <v>0</v>
      </c>
      <c r="AF108" s="1">
        <f t="shared" si="26"/>
        <v>0</v>
      </c>
      <c r="AG108" s="1">
        <f t="shared" si="26"/>
        <v>0</v>
      </c>
      <c r="AH108" s="1">
        <f t="shared" si="26"/>
        <v>0</v>
      </c>
      <c r="AI108" s="1">
        <f t="shared" si="26"/>
        <v>0</v>
      </c>
      <c r="AJ108" s="1">
        <f t="shared" si="26"/>
        <v>0</v>
      </c>
      <c r="AK108" s="1">
        <f t="shared" si="26"/>
        <v>0</v>
      </c>
      <c r="AL108" s="1">
        <f t="shared" si="26"/>
        <v>0</v>
      </c>
      <c r="AM108" s="1">
        <f t="shared" si="26"/>
        <v>0</v>
      </c>
      <c r="AN108" s="1">
        <f t="shared" si="26"/>
        <v>0</v>
      </c>
      <c r="AO108" s="1">
        <f t="shared" si="26"/>
        <v>0</v>
      </c>
      <c r="AP108" s="1">
        <f t="shared" si="26"/>
        <v>0</v>
      </c>
      <c r="AQ108" s="1">
        <f t="shared" si="26"/>
        <v>0</v>
      </c>
    </row>
    <row r="109" spans="1:43" x14ac:dyDescent="0.25">
      <c r="A109" s="1" t="s">
        <v>51</v>
      </c>
      <c r="B109" s="1" t="s">
        <v>149</v>
      </c>
      <c r="C109" s="44" t="s">
        <v>115</v>
      </c>
      <c r="E109" s="1">
        <f t="shared" ref="E109:AQ109" si="27">+E23-E66</f>
        <v>0</v>
      </c>
      <c r="F109" s="1">
        <f t="shared" si="27"/>
        <v>0</v>
      </c>
      <c r="G109" s="1">
        <f t="shared" si="27"/>
        <v>0</v>
      </c>
      <c r="H109" s="1">
        <f t="shared" si="27"/>
        <v>0</v>
      </c>
      <c r="I109" s="1">
        <f t="shared" si="27"/>
        <v>0</v>
      </c>
      <c r="J109" s="1">
        <f t="shared" si="27"/>
        <v>0</v>
      </c>
      <c r="K109" s="1">
        <f t="shared" si="27"/>
        <v>0</v>
      </c>
      <c r="L109" s="1">
        <f t="shared" si="27"/>
        <v>0</v>
      </c>
      <c r="M109" s="1">
        <f t="shared" si="27"/>
        <v>0</v>
      </c>
      <c r="N109" s="1">
        <f t="shared" si="27"/>
        <v>0</v>
      </c>
      <c r="O109" s="1">
        <f t="shared" si="27"/>
        <v>0</v>
      </c>
      <c r="P109" s="1">
        <f t="shared" si="27"/>
        <v>0</v>
      </c>
      <c r="Q109" s="1">
        <f t="shared" si="27"/>
        <v>0</v>
      </c>
      <c r="R109" s="1">
        <f t="shared" si="27"/>
        <v>0</v>
      </c>
      <c r="S109" s="1">
        <f t="shared" si="27"/>
        <v>0</v>
      </c>
      <c r="T109" s="1">
        <f t="shared" si="27"/>
        <v>0</v>
      </c>
      <c r="U109" s="1">
        <f t="shared" si="27"/>
        <v>0</v>
      </c>
      <c r="V109" s="1">
        <f t="shared" si="27"/>
        <v>0</v>
      </c>
      <c r="W109" s="1">
        <f t="shared" si="27"/>
        <v>-2</v>
      </c>
      <c r="X109" s="1">
        <f t="shared" si="27"/>
        <v>0</v>
      </c>
      <c r="Y109" s="1">
        <f t="shared" si="27"/>
        <v>0</v>
      </c>
      <c r="Z109" s="1">
        <f t="shared" si="27"/>
        <v>0</v>
      </c>
      <c r="AA109" s="1">
        <f t="shared" si="27"/>
        <v>0</v>
      </c>
      <c r="AB109" s="1">
        <f t="shared" si="27"/>
        <v>0</v>
      </c>
      <c r="AC109" s="1">
        <f t="shared" si="27"/>
        <v>0</v>
      </c>
      <c r="AD109" s="1">
        <f t="shared" si="27"/>
        <v>0</v>
      </c>
      <c r="AE109" s="1">
        <f t="shared" si="27"/>
        <v>0</v>
      </c>
      <c r="AF109" s="1">
        <f t="shared" si="27"/>
        <v>0</v>
      </c>
      <c r="AG109" s="1">
        <f t="shared" si="27"/>
        <v>0</v>
      </c>
      <c r="AH109" s="1">
        <f t="shared" si="27"/>
        <v>0</v>
      </c>
      <c r="AI109" s="1">
        <f t="shared" si="27"/>
        <v>0</v>
      </c>
      <c r="AJ109" s="1">
        <f t="shared" si="27"/>
        <v>0</v>
      </c>
      <c r="AK109" s="1">
        <f t="shared" si="27"/>
        <v>0</v>
      </c>
      <c r="AL109" s="1">
        <f t="shared" si="27"/>
        <v>0</v>
      </c>
      <c r="AM109" s="1">
        <f t="shared" si="27"/>
        <v>0</v>
      </c>
      <c r="AN109" s="1">
        <f t="shared" si="27"/>
        <v>0</v>
      </c>
      <c r="AO109" s="1">
        <f t="shared" si="27"/>
        <v>0</v>
      </c>
      <c r="AP109" s="1">
        <f t="shared" si="27"/>
        <v>0</v>
      </c>
      <c r="AQ109" s="1">
        <f t="shared" si="27"/>
        <v>0</v>
      </c>
    </row>
    <row r="110" spans="1:43" x14ac:dyDescent="0.25">
      <c r="A110" s="1" t="s">
        <v>52</v>
      </c>
      <c r="B110" s="1" t="s">
        <v>148</v>
      </c>
      <c r="C110" s="44" t="s">
        <v>116</v>
      </c>
      <c r="E110" s="1">
        <f t="shared" ref="E110:AQ110" si="28">+E24-E67</f>
        <v>-1</v>
      </c>
      <c r="F110" s="1">
        <f t="shared" si="28"/>
        <v>-1</v>
      </c>
      <c r="G110" s="1">
        <f t="shared" si="28"/>
        <v>-1</v>
      </c>
      <c r="H110" s="1">
        <f t="shared" si="28"/>
        <v>-1</v>
      </c>
      <c r="I110" s="1">
        <f t="shared" si="28"/>
        <v>-1</v>
      </c>
      <c r="J110" s="1">
        <f t="shared" si="28"/>
        <v>0</v>
      </c>
      <c r="K110" s="1">
        <f t="shared" si="28"/>
        <v>0</v>
      </c>
      <c r="L110" s="1">
        <f t="shared" si="28"/>
        <v>-1</v>
      </c>
      <c r="M110" s="1">
        <f t="shared" si="28"/>
        <v>-1</v>
      </c>
      <c r="N110" s="1">
        <f t="shared" si="28"/>
        <v>-1</v>
      </c>
      <c r="O110" s="1">
        <f t="shared" si="28"/>
        <v>-1</v>
      </c>
      <c r="P110" s="1">
        <f t="shared" si="28"/>
        <v>-1</v>
      </c>
      <c r="Q110" s="1">
        <f t="shared" si="28"/>
        <v>-1</v>
      </c>
      <c r="R110" s="1">
        <f t="shared" si="28"/>
        <v>-1</v>
      </c>
      <c r="S110" s="1">
        <f t="shared" si="28"/>
        <v>-2</v>
      </c>
      <c r="T110" s="1">
        <f t="shared" si="28"/>
        <v>0</v>
      </c>
      <c r="U110" s="1">
        <f t="shared" si="28"/>
        <v>1</v>
      </c>
      <c r="V110" s="1">
        <f t="shared" si="28"/>
        <v>1</v>
      </c>
      <c r="W110" s="1">
        <f t="shared" si="28"/>
        <v>-1</v>
      </c>
      <c r="X110" s="1">
        <f t="shared" si="28"/>
        <v>0</v>
      </c>
      <c r="Y110" s="1">
        <f t="shared" si="28"/>
        <v>0</v>
      </c>
      <c r="Z110" s="1">
        <f t="shared" si="28"/>
        <v>0</v>
      </c>
      <c r="AA110" s="1">
        <f t="shared" si="28"/>
        <v>-1</v>
      </c>
      <c r="AB110" s="1">
        <f t="shared" si="28"/>
        <v>0</v>
      </c>
      <c r="AC110" s="1">
        <f t="shared" si="28"/>
        <v>-1</v>
      </c>
      <c r="AD110" s="1">
        <f t="shared" si="28"/>
        <v>-1</v>
      </c>
      <c r="AE110" s="1">
        <f t="shared" si="28"/>
        <v>-1</v>
      </c>
      <c r="AF110" s="1">
        <f t="shared" si="28"/>
        <v>-1</v>
      </c>
      <c r="AG110" s="1">
        <f t="shared" si="28"/>
        <v>-1</v>
      </c>
      <c r="AH110" s="1">
        <f t="shared" si="28"/>
        <v>-1</v>
      </c>
      <c r="AI110" s="1">
        <f t="shared" si="28"/>
        <v>0</v>
      </c>
      <c r="AJ110" s="1">
        <f t="shared" si="28"/>
        <v>0</v>
      </c>
      <c r="AK110" s="1">
        <f t="shared" si="28"/>
        <v>0</v>
      </c>
      <c r="AL110" s="1">
        <f t="shared" si="28"/>
        <v>0</v>
      </c>
      <c r="AM110" s="1">
        <f t="shared" si="28"/>
        <v>0</v>
      </c>
      <c r="AN110" s="1">
        <f t="shared" si="28"/>
        <v>0</v>
      </c>
      <c r="AO110" s="1">
        <f t="shared" si="28"/>
        <v>0</v>
      </c>
      <c r="AP110" s="1">
        <f t="shared" si="28"/>
        <v>0</v>
      </c>
      <c r="AQ110" s="1">
        <f t="shared" si="28"/>
        <v>0</v>
      </c>
    </row>
    <row r="111" spans="1:43" x14ac:dyDescent="0.25">
      <c r="A111" s="1" t="s">
        <v>53</v>
      </c>
      <c r="B111" s="1" t="s">
        <v>148</v>
      </c>
      <c r="C111" s="44" t="s">
        <v>117</v>
      </c>
      <c r="E111" s="1">
        <f t="shared" ref="E111:AQ111" si="29">+E25-E68</f>
        <v>0</v>
      </c>
      <c r="F111" s="1">
        <f t="shared" si="29"/>
        <v>0</v>
      </c>
      <c r="G111" s="1">
        <f t="shared" si="29"/>
        <v>0</v>
      </c>
      <c r="H111" s="1">
        <f t="shared" si="29"/>
        <v>0</v>
      </c>
      <c r="I111" s="1">
        <f t="shared" si="29"/>
        <v>0</v>
      </c>
      <c r="J111" s="1">
        <f t="shared" si="29"/>
        <v>1</v>
      </c>
      <c r="K111" s="1">
        <f t="shared" si="29"/>
        <v>0</v>
      </c>
      <c r="L111" s="1">
        <f t="shared" si="29"/>
        <v>1</v>
      </c>
      <c r="M111" s="1">
        <f t="shared" si="29"/>
        <v>1</v>
      </c>
      <c r="N111" s="1">
        <f t="shared" si="29"/>
        <v>1</v>
      </c>
      <c r="O111" s="1">
        <f t="shared" si="29"/>
        <v>1</v>
      </c>
      <c r="P111" s="1">
        <f t="shared" si="29"/>
        <v>1</v>
      </c>
      <c r="Q111" s="1">
        <f t="shared" si="29"/>
        <v>1</v>
      </c>
      <c r="R111" s="1">
        <f t="shared" si="29"/>
        <v>1</v>
      </c>
      <c r="S111" s="1">
        <f t="shared" si="29"/>
        <v>0</v>
      </c>
      <c r="T111" s="1">
        <f t="shared" si="29"/>
        <v>1</v>
      </c>
      <c r="U111" s="1">
        <f t="shared" si="29"/>
        <v>0</v>
      </c>
      <c r="V111" s="1">
        <f t="shared" si="29"/>
        <v>1</v>
      </c>
      <c r="W111" s="1">
        <f t="shared" si="29"/>
        <v>-1</v>
      </c>
      <c r="X111" s="1">
        <f t="shared" si="29"/>
        <v>0</v>
      </c>
      <c r="Y111" s="1">
        <f t="shared" si="29"/>
        <v>0</v>
      </c>
      <c r="Z111" s="1">
        <f t="shared" si="29"/>
        <v>0</v>
      </c>
      <c r="AA111" s="1">
        <f t="shared" si="29"/>
        <v>0</v>
      </c>
      <c r="AB111" s="1">
        <f t="shared" si="29"/>
        <v>0</v>
      </c>
      <c r="AC111" s="1">
        <f t="shared" si="29"/>
        <v>0</v>
      </c>
      <c r="AD111" s="1">
        <f t="shared" si="29"/>
        <v>0</v>
      </c>
      <c r="AE111" s="1">
        <f t="shared" si="29"/>
        <v>0</v>
      </c>
      <c r="AF111" s="1">
        <f t="shared" si="29"/>
        <v>0</v>
      </c>
      <c r="AG111" s="1">
        <f t="shared" si="29"/>
        <v>0</v>
      </c>
      <c r="AH111" s="1">
        <f t="shared" si="29"/>
        <v>0</v>
      </c>
      <c r="AI111" s="1">
        <f t="shared" si="29"/>
        <v>0</v>
      </c>
      <c r="AJ111" s="1">
        <f t="shared" si="29"/>
        <v>0</v>
      </c>
      <c r="AK111" s="1">
        <f t="shared" si="29"/>
        <v>0</v>
      </c>
      <c r="AL111" s="1">
        <f t="shared" si="29"/>
        <v>0</v>
      </c>
      <c r="AM111" s="1">
        <f t="shared" si="29"/>
        <v>0</v>
      </c>
      <c r="AN111" s="1">
        <f t="shared" si="29"/>
        <v>0</v>
      </c>
      <c r="AO111" s="1">
        <f t="shared" si="29"/>
        <v>0</v>
      </c>
      <c r="AP111" s="1">
        <f t="shared" si="29"/>
        <v>0</v>
      </c>
      <c r="AQ111" s="1">
        <f t="shared" si="29"/>
        <v>0</v>
      </c>
    </row>
    <row r="112" spans="1:43" x14ac:dyDescent="0.25">
      <c r="A112" s="1" t="s">
        <v>54</v>
      </c>
      <c r="B112" s="1" t="s">
        <v>149</v>
      </c>
      <c r="C112" s="44" t="s">
        <v>118</v>
      </c>
      <c r="E112" s="1">
        <f t="shared" ref="E112:AQ112" si="30">+E26-E69</f>
        <v>0</v>
      </c>
      <c r="F112" s="1">
        <f t="shared" si="30"/>
        <v>0</v>
      </c>
      <c r="G112" s="1">
        <f t="shared" si="30"/>
        <v>0</v>
      </c>
      <c r="H112" s="1">
        <f t="shared" si="30"/>
        <v>0</v>
      </c>
      <c r="I112" s="1">
        <f t="shared" si="30"/>
        <v>1</v>
      </c>
      <c r="J112" s="1">
        <f t="shared" si="30"/>
        <v>0</v>
      </c>
      <c r="K112" s="1">
        <f t="shared" si="30"/>
        <v>0</v>
      </c>
      <c r="L112" s="1">
        <f t="shared" si="30"/>
        <v>0</v>
      </c>
      <c r="M112" s="1">
        <f t="shared" si="30"/>
        <v>1</v>
      </c>
      <c r="N112" s="1">
        <f t="shared" si="30"/>
        <v>0</v>
      </c>
      <c r="O112" s="1">
        <f t="shared" si="30"/>
        <v>-1</v>
      </c>
      <c r="P112" s="1">
        <f t="shared" si="30"/>
        <v>-1</v>
      </c>
      <c r="Q112" s="1">
        <f t="shared" si="30"/>
        <v>1</v>
      </c>
      <c r="R112" s="1">
        <f t="shared" si="30"/>
        <v>-1</v>
      </c>
      <c r="S112" s="1">
        <f t="shared" si="30"/>
        <v>-1</v>
      </c>
      <c r="T112" s="1">
        <f t="shared" si="30"/>
        <v>1</v>
      </c>
      <c r="U112" s="1">
        <f t="shared" si="30"/>
        <v>0</v>
      </c>
      <c r="V112" s="1">
        <f t="shared" si="30"/>
        <v>-1</v>
      </c>
      <c r="W112" s="1">
        <f t="shared" si="30"/>
        <v>-1</v>
      </c>
      <c r="X112" s="1">
        <f t="shared" si="30"/>
        <v>0</v>
      </c>
      <c r="Y112" s="1">
        <f t="shared" si="30"/>
        <v>0</v>
      </c>
      <c r="Z112" s="1">
        <f t="shared" si="30"/>
        <v>0</v>
      </c>
      <c r="AA112" s="1">
        <f t="shared" si="30"/>
        <v>0</v>
      </c>
      <c r="AB112" s="1">
        <f t="shared" si="30"/>
        <v>0</v>
      </c>
      <c r="AC112" s="1">
        <f t="shared" si="30"/>
        <v>0</v>
      </c>
      <c r="AD112" s="1">
        <f t="shared" si="30"/>
        <v>0</v>
      </c>
      <c r="AE112" s="1">
        <f t="shared" si="30"/>
        <v>0</v>
      </c>
      <c r="AF112" s="1">
        <f t="shared" si="30"/>
        <v>0</v>
      </c>
      <c r="AG112" s="1">
        <f t="shared" si="30"/>
        <v>0</v>
      </c>
      <c r="AH112" s="1">
        <f t="shared" si="30"/>
        <v>0</v>
      </c>
      <c r="AI112" s="1">
        <f t="shared" si="30"/>
        <v>0</v>
      </c>
      <c r="AJ112" s="1">
        <f t="shared" si="30"/>
        <v>0</v>
      </c>
      <c r="AK112" s="1">
        <f t="shared" si="30"/>
        <v>0</v>
      </c>
      <c r="AL112" s="1">
        <f t="shared" si="30"/>
        <v>0</v>
      </c>
      <c r="AM112" s="1">
        <f t="shared" si="30"/>
        <v>0</v>
      </c>
      <c r="AN112" s="1">
        <f t="shared" si="30"/>
        <v>0</v>
      </c>
      <c r="AO112" s="1">
        <f t="shared" si="30"/>
        <v>0</v>
      </c>
      <c r="AP112" s="1">
        <f t="shared" si="30"/>
        <v>0</v>
      </c>
      <c r="AQ112" s="1">
        <f t="shared" si="30"/>
        <v>0</v>
      </c>
    </row>
    <row r="113" spans="1:43" x14ac:dyDescent="0.25">
      <c r="A113" s="1" t="s">
        <v>55</v>
      </c>
      <c r="B113" s="1" t="s">
        <v>148</v>
      </c>
      <c r="C113" s="44" t="s">
        <v>119</v>
      </c>
      <c r="E113" s="1">
        <f t="shared" ref="E113:AQ113" si="31">+E27-E70</f>
        <v>0</v>
      </c>
      <c r="F113" s="1">
        <f t="shared" si="31"/>
        <v>0</v>
      </c>
      <c r="G113" s="1">
        <f t="shared" si="31"/>
        <v>0</v>
      </c>
      <c r="H113" s="1">
        <f t="shared" si="31"/>
        <v>1</v>
      </c>
      <c r="I113" s="1">
        <f t="shared" si="31"/>
        <v>1</v>
      </c>
      <c r="J113" s="1">
        <f t="shared" si="31"/>
        <v>0</v>
      </c>
      <c r="K113" s="1">
        <f t="shared" si="31"/>
        <v>0</v>
      </c>
      <c r="L113" s="1">
        <f t="shared" si="31"/>
        <v>0</v>
      </c>
      <c r="M113" s="1">
        <f t="shared" si="31"/>
        <v>1</v>
      </c>
      <c r="N113" s="1">
        <f t="shared" si="31"/>
        <v>0</v>
      </c>
      <c r="O113" s="1">
        <f t="shared" si="31"/>
        <v>0</v>
      </c>
      <c r="P113" s="1">
        <f t="shared" si="31"/>
        <v>1</v>
      </c>
      <c r="Q113" s="1">
        <f t="shared" si="31"/>
        <v>1</v>
      </c>
      <c r="R113" s="1">
        <f t="shared" si="31"/>
        <v>0</v>
      </c>
      <c r="S113" s="1">
        <f t="shared" si="31"/>
        <v>-1</v>
      </c>
      <c r="T113" s="1">
        <f t="shared" si="31"/>
        <v>0</v>
      </c>
      <c r="U113" s="1">
        <f t="shared" si="31"/>
        <v>0</v>
      </c>
      <c r="V113" s="1">
        <f t="shared" si="31"/>
        <v>1</v>
      </c>
      <c r="W113" s="1">
        <f t="shared" si="31"/>
        <v>-1</v>
      </c>
      <c r="X113" s="1">
        <f t="shared" si="31"/>
        <v>0</v>
      </c>
      <c r="Y113" s="1">
        <f t="shared" si="31"/>
        <v>0</v>
      </c>
      <c r="Z113" s="1">
        <f t="shared" si="31"/>
        <v>0</v>
      </c>
      <c r="AA113" s="1">
        <f t="shared" si="31"/>
        <v>0</v>
      </c>
      <c r="AB113" s="1">
        <f t="shared" si="31"/>
        <v>0</v>
      </c>
      <c r="AC113" s="1">
        <f t="shared" si="31"/>
        <v>0</v>
      </c>
      <c r="AD113" s="1">
        <f t="shared" si="31"/>
        <v>0</v>
      </c>
      <c r="AE113" s="1">
        <f t="shared" si="31"/>
        <v>0</v>
      </c>
      <c r="AF113" s="1">
        <f t="shared" si="31"/>
        <v>0</v>
      </c>
      <c r="AG113" s="1">
        <f t="shared" si="31"/>
        <v>0</v>
      </c>
      <c r="AH113" s="1">
        <f t="shared" si="31"/>
        <v>0</v>
      </c>
      <c r="AI113" s="1">
        <f t="shared" si="31"/>
        <v>0</v>
      </c>
      <c r="AJ113" s="1">
        <f t="shared" si="31"/>
        <v>0</v>
      </c>
      <c r="AK113" s="1">
        <f t="shared" si="31"/>
        <v>0</v>
      </c>
      <c r="AL113" s="1">
        <f t="shared" si="31"/>
        <v>0</v>
      </c>
      <c r="AM113" s="1">
        <f t="shared" si="31"/>
        <v>0</v>
      </c>
      <c r="AN113" s="1">
        <f t="shared" si="31"/>
        <v>0</v>
      </c>
      <c r="AO113" s="1">
        <f t="shared" si="31"/>
        <v>0</v>
      </c>
      <c r="AP113" s="1">
        <f t="shared" si="31"/>
        <v>0</v>
      </c>
      <c r="AQ113" s="1">
        <f t="shared" si="31"/>
        <v>0</v>
      </c>
    </row>
    <row r="114" spans="1:43" x14ac:dyDescent="0.25">
      <c r="A114" s="1" t="s">
        <v>56</v>
      </c>
      <c r="B114" s="1" t="s">
        <v>148</v>
      </c>
      <c r="C114" s="44" t="s">
        <v>120</v>
      </c>
      <c r="E114" s="1">
        <f t="shared" ref="E114:AQ114" si="32">+E28-E71</f>
        <v>1</v>
      </c>
      <c r="F114" s="1">
        <f t="shared" si="32"/>
        <v>1</v>
      </c>
      <c r="G114" s="1">
        <f t="shared" si="32"/>
        <v>1</v>
      </c>
      <c r="H114" s="1">
        <f t="shared" si="32"/>
        <v>1</v>
      </c>
      <c r="I114" s="1">
        <f t="shared" si="32"/>
        <v>1</v>
      </c>
      <c r="J114" s="1">
        <f t="shared" si="32"/>
        <v>1</v>
      </c>
      <c r="K114" s="1">
        <f t="shared" si="32"/>
        <v>1</v>
      </c>
      <c r="L114" s="1">
        <f t="shared" si="32"/>
        <v>1</v>
      </c>
      <c r="M114" s="1">
        <f t="shared" si="32"/>
        <v>1</v>
      </c>
      <c r="N114" s="1">
        <f t="shared" si="32"/>
        <v>1</v>
      </c>
      <c r="O114" s="1">
        <f t="shared" si="32"/>
        <v>1</v>
      </c>
      <c r="P114" s="1">
        <f t="shared" si="32"/>
        <v>1</v>
      </c>
      <c r="Q114" s="1">
        <f t="shared" si="32"/>
        <v>1</v>
      </c>
      <c r="R114" s="1">
        <f t="shared" si="32"/>
        <v>1</v>
      </c>
      <c r="S114" s="1">
        <f t="shared" si="32"/>
        <v>0</v>
      </c>
      <c r="T114" s="1">
        <f t="shared" si="32"/>
        <v>1</v>
      </c>
      <c r="U114" s="1">
        <f t="shared" si="32"/>
        <v>1</v>
      </c>
      <c r="V114" s="1">
        <f t="shared" si="32"/>
        <v>1</v>
      </c>
      <c r="W114" s="1">
        <f t="shared" si="32"/>
        <v>-1</v>
      </c>
      <c r="X114" s="1">
        <f t="shared" si="32"/>
        <v>1</v>
      </c>
      <c r="Y114" s="1">
        <f t="shared" si="32"/>
        <v>1</v>
      </c>
      <c r="Z114" s="1">
        <f t="shared" si="32"/>
        <v>1</v>
      </c>
      <c r="AA114" s="1">
        <f t="shared" si="32"/>
        <v>1</v>
      </c>
      <c r="AB114" s="1">
        <f t="shared" si="32"/>
        <v>1</v>
      </c>
      <c r="AC114" s="1">
        <f t="shared" si="32"/>
        <v>1</v>
      </c>
      <c r="AD114" s="1">
        <f t="shared" si="32"/>
        <v>1</v>
      </c>
      <c r="AE114" s="1">
        <f t="shared" si="32"/>
        <v>1</v>
      </c>
      <c r="AF114" s="1">
        <f t="shared" si="32"/>
        <v>1</v>
      </c>
      <c r="AG114" s="1">
        <f t="shared" si="32"/>
        <v>1</v>
      </c>
      <c r="AH114" s="1">
        <f t="shared" si="32"/>
        <v>1</v>
      </c>
      <c r="AI114" s="1">
        <f t="shared" si="32"/>
        <v>0</v>
      </c>
      <c r="AJ114" s="1">
        <f t="shared" si="32"/>
        <v>0</v>
      </c>
      <c r="AK114" s="1">
        <f t="shared" si="32"/>
        <v>0</v>
      </c>
      <c r="AL114" s="1">
        <f t="shared" si="32"/>
        <v>1</v>
      </c>
      <c r="AM114" s="1">
        <f t="shared" si="32"/>
        <v>0</v>
      </c>
      <c r="AN114" s="1">
        <f t="shared" si="32"/>
        <v>0</v>
      </c>
      <c r="AO114" s="1">
        <f t="shared" si="32"/>
        <v>0</v>
      </c>
      <c r="AP114" s="1">
        <f t="shared" si="32"/>
        <v>0</v>
      </c>
      <c r="AQ114" s="1">
        <f t="shared" si="32"/>
        <v>0</v>
      </c>
    </row>
    <row r="115" spans="1:43" x14ac:dyDescent="0.25">
      <c r="A115" s="1" t="s">
        <v>57</v>
      </c>
      <c r="B115" s="1" t="s">
        <v>148</v>
      </c>
      <c r="C115" s="44" t="s">
        <v>121</v>
      </c>
      <c r="E115" s="1">
        <f t="shared" ref="E115:AQ115" si="33">+E29-E72</f>
        <v>-1</v>
      </c>
      <c r="F115" s="1">
        <f t="shared" si="33"/>
        <v>-1</v>
      </c>
      <c r="G115" s="1">
        <f t="shared" si="33"/>
        <v>-1</v>
      </c>
      <c r="H115" s="1">
        <f t="shared" si="33"/>
        <v>-1</v>
      </c>
      <c r="I115" s="1">
        <f t="shared" si="33"/>
        <v>1</v>
      </c>
      <c r="J115" s="1">
        <f t="shared" si="33"/>
        <v>-1</v>
      </c>
      <c r="K115" s="1">
        <f t="shared" si="33"/>
        <v>-1</v>
      </c>
      <c r="L115" s="1">
        <f t="shared" si="33"/>
        <v>-1</v>
      </c>
      <c r="M115" s="1">
        <f t="shared" si="33"/>
        <v>-1</v>
      </c>
      <c r="N115" s="1">
        <f t="shared" si="33"/>
        <v>-1</v>
      </c>
      <c r="O115" s="1">
        <f t="shared" si="33"/>
        <v>-1</v>
      </c>
      <c r="P115" s="1">
        <f t="shared" si="33"/>
        <v>1</v>
      </c>
      <c r="Q115" s="1">
        <f t="shared" si="33"/>
        <v>1</v>
      </c>
      <c r="R115" s="1">
        <f t="shared" si="33"/>
        <v>-1</v>
      </c>
      <c r="S115" s="1">
        <f t="shared" si="33"/>
        <v>0</v>
      </c>
      <c r="T115" s="1">
        <f t="shared" si="33"/>
        <v>-1</v>
      </c>
      <c r="U115" s="1">
        <f t="shared" si="33"/>
        <v>-1</v>
      </c>
      <c r="V115" s="1">
        <f t="shared" si="33"/>
        <v>1</v>
      </c>
      <c r="W115" s="1">
        <f t="shared" si="33"/>
        <v>-1</v>
      </c>
      <c r="X115" s="1">
        <f t="shared" si="33"/>
        <v>-1</v>
      </c>
      <c r="Y115" s="1">
        <f t="shared" si="33"/>
        <v>-1</v>
      </c>
      <c r="Z115" s="1">
        <f t="shared" si="33"/>
        <v>-1</v>
      </c>
      <c r="AA115" s="1">
        <f t="shared" si="33"/>
        <v>-1</v>
      </c>
      <c r="AB115" s="1">
        <f t="shared" si="33"/>
        <v>-1</v>
      </c>
      <c r="AC115" s="1">
        <f t="shared" si="33"/>
        <v>-1</v>
      </c>
      <c r="AD115" s="1">
        <f t="shared" si="33"/>
        <v>-1</v>
      </c>
      <c r="AE115" s="1">
        <f t="shared" si="33"/>
        <v>-1</v>
      </c>
      <c r="AF115" s="1">
        <f t="shared" si="33"/>
        <v>-1</v>
      </c>
      <c r="AG115" s="1">
        <f t="shared" si="33"/>
        <v>-1</v>
      </c>
      <c r="AH115" s="1">
        <f t="shared" si="33"/>
        <v>-1</v>
      </c>
      <c r="AI115" s="1">
        <f t="shared" si="33"/>
        <v>0</v>
      </c>
      <c r="AJ115" s="1">
        <f t="shared" si="33"/>
        <v>0</v>
      </c>
      <c r="AK115" s="1">
        <f t="shared" si="33"/>
        <v>0</v>
      </c>
      <c r="AL115" s="1">
        <f t="shared" si="33"/>
        <v>-1</v>
      </c>
      <c r="AM115" s="1">
        <f t="shared" si="33"/>
        <v>0</v>
      </c>
      <c r="AN115" s="1">
        <f t="shared" si="33"/>
        <v>0</v>
      </c>
      <c r="AO115" s="1">
        <f t="shared" si="33"/>
        <v>0</v>
      </c>
      <c r="AP115" s="1">
        <f t="shared" si="33"/>
        <v>0</v>
      </c>
      <c r="AQ115" s="1">
        <f t="shared" si="33"/>
        <v>0</v>
      </c>
    </row>
    <row r="116" spans="1:43" x14ac:dyDescent="0.25">
      <c r="A116" s="1" t="s">
        <v>58</v>
      </c>
      <c r="B116" s="1" t="s">
        <v>149</v>
      </c>
      <c r="C116" s="44" t="s">
        <v>122</v>
      </c>
      <c r="E116" s="1">
        <f t="shared" ref="E116:AQ116" si="34">+E30-E73</f>
        <v>0</v>
      </c>
      <c r="F116" s="1">
        <f t="shared" si="34"/>
        <v>0</v>
      </c>
      <c r="G116" s="1">
        <f t="shared" si="34"/>
        <v>0</v>
      </c>
      <c r="H116" s="1">
        <f t="shared" si="34"/>
        <v>0</v>
      </c>
      <c r="I116" s="1">
        <f t="shared" si="34"/>
        <v>0</v>
      </c>
      <c r="J116" s="1">
        <f t="shared" si="34"/>
        <v>0</v>
      </c>
      <c r="K116" s="1">
        <f t="shared" si="34"/>
        <v>0</v>
      </c>
      <c r="L116" s="1">
        <f t="shared" si="34"/>
        <v>0</v>
      </c>
      <c r="M116" s="1">
        <f t="shared" si="34"/>
        <v>0</v>
      </c>
      <c r="N116" s="1">
        <f t="shared" si="34"/>
        <v>0</v>
      </c>
      <c r="O116" s="1">
        <f t="shared" si="34"/>
        <v>0</v>
      </c>
      <c r="P116" s="1">
        <f t="shared" si="34"/>
        <v>0</v>
      </c>
      <c r="Q116" s="1">
        <f t="shared" si="34"/>
        <v>0</v>
      </c>
      <c r="R116" s="1">
        <f t="shared" si="34"/>
        <v>0</v>
      </c>
      <c r="S116" s="1">
        <f t="shared" si="34"/>
        <v>0</v>
      </c>
      <c r="T116" s="1">
        <f t="shared" si="34"/>
        <v>0</v>
      </c>
      <c r="U116" s="1">
        <f t="shared" si="34"/>
        <v>0</v>
      </c>
      <c r="V116" s="1">
        <f t="shared" si="34"/>
        <v>0</v>
      </c>
      <c r="W116" s="1">
        <f t="shared" si="34"/>
        <v>-2</v>
      </c>
      <c r="X116" s="1">
        <f t="shared" si="34"/>
        <v>0</v>
      </c>
      <c r="Y116" s="1">
        <f t="shared" si="34"/>
        <v>0</v>
      </c>
      <c r="Z116" s="1">
        <f t="shared" si="34"/>
        <v>0</v>
      </c>
      <c r="AA116" s="1">
        <f t="shared" si="34"/>
        <v>0</v>
      </c>
      <c r="AB116" s="1">
        <f t="shared" si="34"/>
        <v>0</v>
      </c>
      <c r="AC116" s="1">
        <f t="shared" si="34"/>
        <v>0</v>
      </c>
      <c r="AD116" s="1">
        <f t="shared" si="34"/>
        <v>0</v>
      </c>
      <c r="AE116" s="1">
        <f t="shared" si="34"/>
        <v>0</v>
      </c>
      <c r="AF116" s="1">
        <f t="shared" si="34"/>
        <v>0</v>
      </c>
      <c r="AG116" s="1">
        <f t="shared" si="34"/>
        <v>0</v>
      </c>
      <c r="AH116" s="1">
        <f t="shared" si="34"/>
        <v>0</v>
      </c>
      <c r="AI116" s="1">
        <f t="shared" si="34"/>
        <v>0</v>
      </c>
      <c r="AJ116" s="1">
        <f t="shared" si="34"/>
        <v>0</v>
      </c>
      <c r="AK116" s="1">
        <f t="shared" si="34"/>
        <v>0</v>
      </c>
      <c r="AL116" s="1">
        <f t="shared" si="34"/>
        <v>0</v>
      </c>
      <c r="AM116" s="1">
        <f t="shared" si="34"/>
        <v>0</v>
      </c>
      <c r="AN116" s="1">
        <f t="shared" si="34"/>
        <v>0</v>
      </c>
      <c r="AO116" s="1">
        <f t="shared" si="34"/>
        <v>0</v>
      </c>
      <c r="AP116" s="1">
        <f t="shared" si="34"/>
        <v>0</v>
      </c>
      <c r="AQ116" s="1">
        <f t="shared" si="34"/>
        <v>0</v>
      </c>
    </row>
    <row r="117" spans="1:43" x14ac:dyDescent="0.25">
      <c r="A117" s="1" t="s">
        <v>59</v>
      </c>
      <c r="B117" s="1" t="s">
        <v>148</v>
      </c>
      <c r="C117" s="44" t="s">
        <v>123</v>
      </c>
      <c r="E117" s="1">
        <f t="shared" ref="E117:AQ117" si="35">+E31-E74</f>
        <v>0</v>
      </c>
      <c r="F117" s="1">
        <f t="shared" si="35"/>
        <v>0</v>
      </c>
      <c r="G117" s="1">
        <f t="shared" si="35"/>
        <v>0</v>
      </c>
      <c r="H117" s="1">
        <f t="shared" si="35"/>
        <v>0</v>
      </c>
      <c r="I117" s="1">
        <f t="shared" si="35"/>
        <v>1</v>
      </c>
      <c r="J117" s="1">
        <f t="shared" si="35"/>
        <v>0</v>
      </c>
      <c r="K117" s="1">
        <f t="shared" si="35"/>
        <v>1</v>
      </c>
      <c r="L117" s="1">
        <f t="shared" si="35"/>
        <v>1</v>
      </c>
      <c r="M117" s="1">
        <f t="shared" si="35"/>
        <v>1</v>
      </c>
      <c r="N117" s="1">
        <f t="shared" si="35"/>
        <v>1</v>
      </c>
      <c r="O117" s="1">
        <f t="shared" si="35"/>
        <v>1</v>
      </c>
      <c r="P117" s="1">
        <f t="shared" si="35"/>
        <v>1</v>
      </c>
      <c r="Q117" s="1">
        <f t="shared" si="35"/>
        <v>1</v>
      </c>
      <c r="R117" s="1">
        <f t="shared" si="35"/>
        <v>0</v>
      </c>
      <c r="S117" s="1">
        <f t="shared" si="35"/>
        <v>-2</v>
      </c>
      <c r="T117" s="1">
        <f t="shared" si="35"/>
        <v>1</v>
      </c>
      <c r="U117" s="1">
        <f t="shared" si="35"/>
        <v>0</v>
      </c>
      <c r="V117" s="1">
        <f t="shared" si="35"/>
        <v>0</v>
      </c>
      <c r="W117" s="1">
        <f t="shared" si="35"/>
        <v>-1</v>
      </c>
      <c r="X117" s="1">
        <f t="shared" si="35"/>
        <v>0</v>
      </c>
      <c r="Y117" s="1">
        <f t="shared" si="35"/>
        <v>0</v>
      </c>
      <c r="Z117" s="1">
        <f t="shared" si="35"/>
        <v>0</v>
      </c>
      <c r="AA117" s="1">
        <f t="shared" si="35"/>
        <v>0</v>
      </c>
      <c r="AB117" s="1">
        <f t="shared" si="35"/>
        <v>0</v>
      </c>
      <c r="AC117" s="1">
        <f t="shared" si="35"/>
        <v>0</v>
      </c>
      <c r="AD117" s="1">
        <f t="shared" si="35"/>
        <v>0</v>
      </c>
      <c r="AE117" s="1">
        <f t="shared" si="35"/>
        <v>0</v>
      </c>
      <c r="AF117" s="1">
        <f t="shared" si="35"/>
        <v>0</v>
      </c>
      <c r="AG117" s="1">
        <f t="shared" si="35"/>
        <v>0</v>
      </c>
      <c r="AH117" s="1">
        <f t="shared" si="35"/>
        <v>0</v>
      </c>
      <c r="AI117" s="1">
        <f t="shared" si="35"/>
        <v>0</v>
      </c>
      <c r="AJ117" s="1">
        <f t="shared" si="35"/>
        <v>0</v>
      </c>
      <c r="AK117" s="1">
        <f t="shared" si="35"/>
        <v>0</v>
      </c>
      <c r="AL117" s="1">
        <f t="shared" si="35"/>
        <v>0</v>
      </c>
      <c r="AM117" s="1">
        <f t="shared" si="35"/>
        <v>0</v>
      </c>
      <c r="AN117" s="1">
        <f t="shared" si="35"/>
        <v>0</v>
      </c>
      <c r="AO117" s="1">
        <f t="shared" si="35"/>
        <v>0</v>
      </c>
      <c r="AP117" s="1">
        <f t="shared" si="35"/>
        <v>0</v>
      </c>
      <c r="AQ117" s="1">
        <f t="shared" si="35"/>
        <v>0</v>
      </c>
    </row>
    <row r="118" spans="1:43" x14ac:dyDescent="0.25">
      <c r="A118" s="1" t="s">
        <v>60</v>
      </c>
      <c r="B118" s="1" t="s">
        <v>148</v>
      </c>
      <c r="C118" s="44" t="s">
        <v>124</v>
      </c>
      <c r="E118" s="1">
        <f t="shared" ref="E118:AQ118" si="36">+E32-E75</f>
        <v>0</v>
      </c>
      <c r="F118" s="1">
        <f t="shared" si="36"/>
        <v>0</v>
      </c>
      <c r="G118" s="1">
        <f t="shared" si="36"/>
        <v>0</v>
      </c>
      <c r="H118" s="1">
        <f t="shared" si="36"/>
        <v>1</v>
      </c>
      <c r="I118" s="1">
        <f t="shared" si="36"/>
        <v>0</v>
      </c>
      <c r="J118" s="1">
        <f t="shared" si="36"/>
        <v>0</v>
      </c>
      <c r="K118" s="1">
        <f t="shared" si="36"/>
        <v>0</v>
      </c>
      <c r="L118" s="1">
        <f t="shared" si="36"/>
        <v>0</v>
      </c>
      <c r="M118" s="1">
        <f t="shared" si="36"/>
        <v>2</v>
      </c>
      <c r="N118" s="1">
        <f t="shared" si="36"/>
        <v>0</v>
      </c>
      <c r="O118" s="1">
        <f t="shared" si="36"/>
        <v>0</v>
      </c>
      <c r="P118" s="1">
        <f t="shared" si="36"/>
        <v>1</v>
      </c>
      <c r="Q118" s="1">
        <f t="shared" si="36"/>
        <v>1</v>
      </c>
      <c r="R118" s="1">
        <f t="shared" si="36"/>
        <v>1</v>
      </c>
      <c r="S118" s="1">
        <f t="shared" si="36"/>
        <v>0</v>
      </c>
      <c r="T118" s="1">
        <f t="shared" si="36"/>
        <v>0</v>
      </c>
      <c r="U118" s="1">
        <f t="shared" si="36"/>
        <v>0</v>
      </c>
      <c r="V118" s="1">
        <f t="shared" si="36"/>
        <v>1</v>
      </c>
      <c r="W118" s="1">
        <f t="shared" si="36"/>
        <v>-1</v>
      </c>
      <c r="X118" s="1">
        <f t="shared" si="36"/>
        <v>-1</v>
      </c>
      <c r="Y118" s="1">
        <f t="shared" si="36"/>
        <v>-1</v>
      </c>
      <c r="Z118" s="1">
        <f t="shared" si="36"/>
        <v>0</v>
      </c>
      <c r="AA118" s="1">
        <f t="shared" si="36"/>
        <v>0</v>
      </c>
      <c r="AB118" s="1">
        <f t="shared" si="36"/>
        <v>0</v>
      </c>
      <c r="AC118" s="1">
        <f t="shared" si="36"/>
        <v>0</v>
      </c>
      <c r="AD118" s="1">
        <f t="shared" si="36"/>
        <v>0</v>
      </c>
      <c r="AE118" s="1">
        <f t="shared" si="36"/>
        <v>0</v>
      </c>
      <c r="AF118" s="1">
        <f t="shared" si="36"/>
        <v>0</v>
      </c>
      <c r="AG118" s="1">
        <f t="shared" si="36"/>
        <v>0</v>
      </c>
      <c r="AH118" s="1">
        <f t="shared" si="36"/>
        <v>0</v>
      </c>
      <c r="AI118" s="1">
        <f t="shared" si="36"/>
        <v>0</v>
      </c>
      <c r="AJ118" s="1">
        <f t="shared" si="36"/>
        <v>0</v>
      </c>
      <c r="AK118" s="1">
        <f t="shared" si="36"/>
        <v>0</v>
      </c>
      <c r="AL118" s="1">
        <f t="shared" si="36"/>
        <v>-1</v>
      </c>
      <c r="AM118" s="1">
        <f t="shared" si="36"/>
        <v>-1</v>
      </c>
      <c r="AN118" s="1">
        <f t="shared" si="36"/>
        <v>-1</v>
      </c>
      <c r="AO118" s="1">
        <f t="shared" si="36"/>
        <v>-1</v>
      </c>
      <c r="AP118" s="1">
        <f t="shared" si="36"/>
        <v>-1</v>
      </c>
      <c r="AQ118" s="1">
        <f t="shared" si="36"/>
        <v>1</v>
      </c>
    </row>
    <row r="119" spans="1:43" x14ac:dyDescent="0.25">
      <c r="A119" s="1" t="s">
        <v>61</v>
      </c>
      <c r="B119" s="1" t="s">
        <v>159</v>
      </c>
      <c r="C119" s="44" t="s">
        <v>125</v>
      </c>
      <c r="E119" s="1">
        <f t="shared" ref="E119:AQ119" si="37">+E33-E76</f>
        <v>0</v>
      </c>
      <c r="F119" s="1">
        <f t="shared" si="37"/>
        <v>1</v>
      </c>
      <c r="G119" s="1">
        <f t="shared" si="37"/>
        <v>0</v>
      </c>
      <c r="H119" s="1">
        <f t="shared" si="37"/>
        <v>1</v>
      </c>
      <c r="I119" s="1">
        <f t="shared" si="37"/>
        <v>0</v>
      </c>
      <c r="J119" s="1">
        <f t="shared" si="37"/>
        <v>1</v>
      </c>
      <c r="K119" s="1">
        <f t="shared" si="37"/>
        <v>0</v>
      </c>
      <c r="L119" s="1">
        <f t="shared" si="37"/>
        <v>0</v>
      </c>
      <c r="M119" s="1">
        <f t="shared" si="37"/>
        <v>0</v>
      </c>
      <c r="N119" s="1">
        <f t="shared" si="37"/>
        <v>0</v>
      </c>
      <c r="O119" s="1">
        <f t="shared" si="37"/>
        <v>0</v>
      </c>
      <c r="P119" s="1">
        <f t="shared" si="37"/>
        <v>1</v>
      </c>
      <c r="Q119" s="1">
        <f t="shared" si="37"/>
        <v>1</v>
      </c>
      <c r="R119" s="1">
        <f t="shared" si="37"/>
        <v>1</v>
      </c>
      <c r="S119" s="1">
        <f t="shared" si="37"/>
        <v>0</v>
      </c>
      <c r="T119" s="1">
        <f t="shared" si="37"/>
        <v>1</v>
      </c>
      <c r="U119" s="1">
        <f t="shared" si="37"/>
        <v>0</v>
      </c>
      <c r="V119" s="1">
        <f t="shared" si="37"/>
        <v>0</v>
      </c>
      <c r="W119" s="1">
        <f t="shared" si="37"/>
        <v>-1</v>
      </c>
      <c r="X119" s="1">
        <f t="shared" si="37"/>
        <v>0</v>
      </c>
      <c r="Y119" s="1">
        <f t="shared" si="37"/>
        <v>0</v>
      </c>
      <c r="Z119" s="1">
        <f t="shared" si="37"/>
        <v>0</v>
      </c>
      <c r="AA119" s="1">
        <f t="shared" si="37"/>
        <v>0</v>
      </c>
      <c r="AB119" s="1">
        <f t="shared" si="37"/>
        <v>0</v>
      </c>
      <c r="AC119" s="1">
        <f t="shared" si="37"/>
        <v>0</v>
      </c>
      <c r="AD119" s="1">
        <f t="shared" si="37"/>
        <v>0</v>
      </c>
      <c r="AE119" s="1">
        <f t="shared" si="37"/>
        <v>0</v>
      </c>
      <c r="AF119" s="1">
        <f t="shared" si="37"/>
        <v>0</v>
      </c>
      <c r="AG119" s="1">
        <f t="shared" si="37"/>
        <v>0</v>
      </c>
      <c r="AH119" s="1">
        <f t="shared" si="37"/>
        <v>0</v>
      </c>
      <c r="AI119" s="1">
        <f t="shared" si="37"/>
        <v>0</v>
      </c>
      <c r="AJ119" s="1">
        <f t="shared" si="37"/>
        <v>0</v>
      </c>
      <c r="AK119" s="1">
        <f t="shared" si="37"/>
        <v>0</v>
      </c>
      <c r="AL119" s="1">
        <f t="shared" si="37"/>
        <v>0</v>
      </c>
      <c r="AM119" s="1">
        <f t="shared" si="37"/>
        <v>0</v>
      </c>
      <c r="AN119" s="1">
        <f t="shared" si="37"/>
        <v>0</v>
      </c>
      <c r="AO119" s="1">
        <f t="shared" si="37"/>
        <v>0</v>
      </c>
      <c r="AP119" s="1">
        <f t="shared" si="37"/>
        <v>0</v>
      </c>
      <c r="AQ119" s="1">
        <f t="shared" si="37"/>
        <v>0</v>
      </c>
    </row>
    <row r="120" spans="1:43" x14ac:dyDescent="0.25">
      <c r="A120" s="1" t="s">
        <v>62</v>
      </c>
      <c r="B120" s="1" t="s">
        <v>160</v>
      </c>
      <c r="C120" s="44" t="s">
        <v>126</v>
      </c>
      <c r="E120" s="1">
        <f t="shared" ref="E120:AQ120" si="38">+E34-E77</f>
        <v>0</v>
      </c>
      <c r="F120" s="1">
        <f t="shared" si="38"/>
        <v>0</v>
      </c>
      <c r="G120" s="1">
        <f t="shared" si="38"/>
        <v>0</v>
      </c>
      <c r="H120" s="1">
        <f t="shared" si="38"/>
        <v>0</v>
      </c>
      <c r="I120" s="1">
        <f t="shared" si="38"/>
        <v>0</v>
      </c>
      <c r="J120" s="1">
        <f t="shared" si="38"/>
        <v>0</v>
      </c>
      <c r="K120" s="1">
        <f t="shared" si="38"/>
        <v>0</v>
      </c>
      <c r="L120" s="1">
        <f t="shared" si="38"/>
        <v>0</v>
      </c>
      <c r="M120" s="1">
        <f t="shared" si="38"/>
        <v>0</v>
      </c>
      <c r="N120" s="1">
        <f t="shared" si="38"/>
        <v>0</v>
      </c>
      <c r="O120" s="1">
        <f t="shared" si="38"/>
        <v>0</v>
      </c>
      <c r="P120" s="1">
        <f t="shared" si="38"/>
        <v>0</v>
      </c>
      <c r="Q120" s="1">
        <f t="shared" si="38"/>
        <v>0</v>
      </c>
      <c r="R120" s="1">
        <f t="shared" si="38"/>
        <v>0</v>
      </c>
      <c r="S120" s="1">
        <f t="shared" si="38"/>
        <v>0</v>
      </c>
      <c r="T120" s="1">
        <f t="shared" si="38"/>
        <v>0</v>
      </c>
      <c r="U120" s="1">
        <f t="shared" si="38"/>
        <v>0</v>
      </c>
      <c r="V120" s="1">
        <f t="shared" si="38"/>
        <v>0</v>
      </c>
      <c r="W120" s="1">
        <f t="shared" si="38"/>
        <v>-2</v>
      </c>
      <c r="X120" s="1">
        <f t="shared" si="38"/>
        <v>0</v>
      </c>
      <c r="Y120" s="1">
        <f t="shared" si="38"/>
        <v>0</v>
      </c>
      <c r="Z120" s="1">
        <f t="shared" si="38"/>
        <v>0</v>
      </c>
      <c r="AA120" s="1">
        <f t="shared" si="38"/>
        <v>0</v>
      </c>
      <c r="AB120" s="1">
        <f t="shared" si="38"/>
        <v>0</v>
      </c>
      <c r="AC120" s="1">
        <f t="shared" si="38"/>
        <v>0</v>
      </c>
      <c r="AD120" s="1">
        <f t="shared" si="38"/>
        <v>0</v>
      </c>
      <c r="AE120" s="1">
        <f t="shared" si="38"/>
        <v>0</v>
      </c>
      <c r="AF120" s="1">
        <f t="shared" si="38"/>
        <v>0</v>
      </c>
      <c r="AG120" s="1">
        <f t="shared" si="38"/>
        <v>0</v>
      </c>
      <c r="AH120" s="1">
        <f t="shared" si="38"/>
        <v>0</v>
      </c>
      <c r="AI120" s="1">
        <f t="shared" si="38"/>
        <v>0</v>
      </c>
      <c r="AJ120" s="1">
        <f t="shared" si="38"/>
        <v>0</v>
      </c>
      <c r="AK120" s="1">
        <f t="shared" si="38"/>
        <v>0</v>
      </c>
      <c r="AL120" s="1">
        <f t="shared" si="38"/>
        <v>0</v>
      </c>
      <c r="AM120" s="1">
        <f t="shared" si="38"/>
        <v>0</v>
      </c>
      <c r="AN120" s="1">
        <f t="shared" si="38"/>
        <v>0</v>
      </c>
      <c r="AO120" s="1">
        <f t="shared" si="38"/>
        <v>0</v>
      </c>
      <c r="AP120" s="1">
        <f t="shared" si="38"/>
        <v>0</v>
      </c>
      <c r="AQ120" s="1">
        <f t="shared" si="38"/>
        <v>0</v>
      </c>
    </row>
    <row r="121" spans="1:43" x14ac:dyDescent="0.25">
      <c r="A121" s="1" t="s">
        <v>63</v>
      </c>
      <c r="B121" s="1" t="s">
        <v>159</v>
      </c>
      <c r="C121" s="44" t="s">
        <v>127</v>
      </c>
      <c r="E121" s="1">
        <f t="shared" ref="E121:AQ121" si="39">+E35-E78</f>
        <v>0</v>
      </c>
      <c r="F121" s="1">
        <f t="shared" si="39"/>
        <v>0</v>
      </c>
      <c r="G121" s="1">
        <f t="shared" si="39"/>
        <v>0</v>
      </c>
      <c r="H121" s="1">
        <f t="shared" si="39"/>
        <v>0</v>
      </c>
      <c r="I121" s="1">
        <f t="shared" si="39"/>
        <v>0</v>
      </c>
      <c r="J121" s="1">
        <f t="shared" si="39"/>
        <v>0</v>
      </c>
      <c r="K121" s="1">
        <f t="shared" si="39"/>
        <v>0</v>
      </c>
      <c r="L121" s="1">
        <f t="shared" si="39"/>
        <v>0</v>
      </c>
      <c r="M121" s="1">
        <f t="shared" si="39"/>
        <v>0</v>
      </c>
      <c r="N121" s="1">
        <f t="shared" si="39"/>
        <v>0</v>
      </c>
      <c r="O121" s="1">
        <f t="shared" si="39"/>
        <v>0</v>
      </c>
      <c r="P121" s="1">
        <f t="shared" si="39"/>
        <v>0</v>
      </c>
      <c r="Q121" s="1">
        <f t="shared" si="39"/>
        <v>0</v>
      </c>
      <c r="R121" s="1">
        <f t="shared" si="39"/>
        <v>0</v>
      </c>
      <c r="S121" s="1">
        <f t="shared" si="39"/>
        <v>0</v>
      </c>
      <c r="T121" s="1">
        <f t="shared" si="39"/>
        <v>0</v>
      </c>
      <c r="U121" s="1">
        <f t="shared" si="39"/>
        <v>0</v>
      </c>
      <c r="V121" s="1">
        <f t="shared" si="39"/>
        <v>0</v>
      </c>
      <c r="W121" s="1">
        <f t="shared" si="39"/>
        <v>-2</v>
      </c>
      <c r="X121" s="1">
        <f t="shared" si="39"/>
        <v>0</v>
      </c>
      <c r="Y121" s="1">
        <f t="shared" si="39"/>
        <v>0</v>
      </c>
      <c r="Z121" s="1">
        <f t="shared" si="39"/>
        <v>0</v>
      </c>
      <c r="AA121" s="1">
        <f t="shared" si="39"/>
        <v>0</v>
      </c>
      <c r="AB121" s="1">
        <f t="shared" si="39"/>
        <v>0</v>
      </c>
      <c r="AC121" s="1">
        <f t="shared" si="39"/>
        <v>0</v>
      </c>
      <c r="AD121" s="1">
        <f t="shared" si="39"/>
        <v>0</v>
      </c>
      <c r="AE121" s="1">
        <f t="shared" si="39"/>
        <v>0</v>
      </c>
      <c r="AF121" s="1">
        <f t="shared" si="39"/>
        <v>0</v>
      </c>
      <c r="AG121" s="1">
        <f t="shared" si="39"/>
        <v>0</v>
      </c>
      <c r="AH121" s="1">
        <f t="shared" si="39"/>
        <v>0</v>
      </c>
      <c r="AI121" s="1">
        <f t="shared" si="39"/>
        <v>0</v>
      </c>
      <c r="AJ121" s="1">
        <f t="shared" si="39"/>
        <v>0</v>
      </c>
      <c r="AK121" s="1">
        <f t="shared" si="39"/>
        <v>0</v>
      </c>
      <c r="AL121" s="1">
        <f t="shared" si="39"/>
        <v>0</v>
      </c>
      <c r="AM121" s="1">
        <f t="shared" si="39"/>
        <v>0</v>
      </c>
      <c r="AN121" s="1">
        <f t="shared" si="39"/>
        <v>0</v>
      </c>
      <c r="AO121" s="1">
        <f t="shared" si="39"/>
        <v>0</v>
      </c>
      <c r="AP121" s="1">
        <f t="shared" si="39"/>
        <v>0</v>
      </c>
      <c r="AQ121" s="1">
        <f t="shared" si="39"/>
        <v>0</v>
      </c>
    </row>
    <row r="122" spans="1:43" x14ac:dyDescent="0.25">
      <c r="A122" s="1" t="s">
        <v>64</v>
      </c>
      <c r="B122" s="1" t="s">
        <v>159</v>
      </c>
      <c r="C122" s="44" t="s">
        <v>128</v>
      </c>
      <c r="E122" s="1">
        <f t="shared" ref="E122:AQ122" si="40">+E36-E79</f>
        <v>-1</v>
      </c>
      <c r="F122" s="1">
        <f t="shared" si="40"/>
        <v>-1</v>
      </c>
      <c r="G122" s="1">
        <f t="shared" si="40"/>
        <v>-1</v>
      </c>
      <c r="H122" s="1">
        <f t="shared" si="40"/>
        <v>1</v>
      </c>
      <c r="I122" s="1">
        <f t="shared" si="40"/>
        <v>1</v>
      </c>
      <c r="J122" s="1">
        <f t="shared" si="40"/>
        <v>1</v>
      </c>
      <c r="K122" s="1">
        <f t="shared" si="40"/>
        <v>1</v>
      </c>
      <c r="L122" s="1">
        <f t="shared" si="40"/>
        <v>1</v>
      </c>
      <c r="M122" s="1">
        <f t="shared" si="40"/>
        <v>1</v>
      </c>
      <c r="N122" s="1">
        <f t="shared" si="40"/>
        <v>-1</v>
      </c>
      <c r="O122" s="1">
        <f t="shared" si="40"/>
        <v>1</v>
      </c>
      <c r="P122" s="1">
        <f t="shared" si="40"/>
        <v>1</v>
      </c>
      <c r="Q122" s="1">
        <f t="shared" si="40"/>
        <v>1</v>
      </c>
      <c r="R122" s="1">
        <f t="shared" si="40"/>
        <v>1</v>
      </c>
      <c r="S122" s="1">
        <f t="shared" si="40"/>
        <v>1</v>
      </c>
      <c r="T122" s="1">
        <f t="shared" si="40"/>
        <v>1</v>
      </c>
      <c r="U122" s="1">
        <f t="shared" si="40"/>
        <v>-1</v>
      </c>
      <c r="V122" s="1">
        <f t="shared" si="40"/>
        <v>1</v>
      </c>
      <c r="W122" s="1">
        <f t="shared" si="40"/>
        <v>-1</v>
      </c>
      <c r="X122" s="1">
        <f t="shared" si="40"/>
        <v>-1</v>
      </c>
      <c r="Y122" s="1">
        <f t="shared" si="40"/>
        <v>-1</v>
      </c>
      <c r="Z122" s="1">
        <f t="shared" si="40"/>
        <v>-1</v>
      </c>
      <c r="AA122" s="1">
        <f t="shared" si="40"/>
        <v>0</v>
      </c>
      <c r="AB122" s="1">
        <f t="shared" si="40"/>
        <v>-1</v>
      </c>
      <c r="AC122" s="1">
        <f t="shared" si="40"/>
        <v>0</v>
      </c>
      <c r="AD122" s="1">
        <f t="shared" si="40"/>
        <v>0</v>
      </c>
      <c r="AE122" s="1">
        <f t="shared" si="40"/>
        <v>0</v>
      </c>
      <c r="AF122" s="1">
        <f t="shared" si="40"/>
        <v>0</v>
      </c>
      <c r="AG122" s="1">
        <f t="shared" si="40"/>
        <v>0</v>
      </c>
      <c r="AH122" s="1">
        <f t="shared" si="40"/>
        <v>-1</v>
      </c>
      <c r="AI122" s="1">
        <f t="shared" si="40"/>
        <v>0</v>
      </c>
      <c r="AJ122" s="1">
        <f t="shared" si="40"/>
        <v>0</v>
      </c>
      <c r="AK122" s="1">
        <f t="shared" si="40"/>
        <v>0</v>
      </c>
      <c r="AL122" s="1">
        <f t="shared" si="40"/>
        <v>0</v>
      </c>
      <c r="AM122" s="1">
        <f t="shared" si="40"/>
        <v>0</v>
      </c>
      <c r="AN122" s="1">
        <f t="shared" si="40"/>
        <v>0</v>
      </c>
      <c r="AO122" s="1">
        <f t="shared" si="40"/>
        <v>0</v>
      </c>
      <c r="AP122" s="1">
        <f t="shared" si="40"/>
        <v>0</v>
      </c>
      <c r="AQ122" s="1">
        <f t="shared" si="40"/>
        <v>0</v>
      </c>
    </row>
    <row r="123" spans="1:43" x14ac:dyDescent="0.25">
      <c r="A123" s="1" t="s">
        <v>140</v>
      </c>
      <c r="B123" s="1" t="s">
        <v>159</v>
      </c>
      <c r="C123" s="1" t="s">
        <v>143</v>
      </c>
      <c r="E123" s="1">
        <f t="shared" ref="E123:AQ123" si="41">+E37-E80</f>
        <v>0</v>
      </c>
      <c r="F123" s="1">
        <f t="shared" si="41"/>
        <v>0</v>
      </c>
      <c r="G123" s="1">
        <f t="shared" si="41"/>
        <v>0</v>
      </c>
      <c r="H123" s="1">
        <f t="shared" si="41"/>
        <v>0</v>
      </c>
      <c r="I123" s="1">
        <f t="shared" si="41"/>
        <v>0</v>
      </c>
      <c r="J123" s="1">
        <f t="shared" si="41"/>
        <v>0</v>
      </c>
      <c r="K123" s="1">
        <f t="shared" si="41"/>
        <v>0</v>
      </c>
      <c r="L123" s="1">
        <f t="shared" si="41"/>
        <v>0</v>
      </c>
      <c r="M123" s="1">
        <f t="shared" si="41"/>
        <v>0</v>
      </c>
      <c r="N123" s="1">
        <f t="shared" si="41"/>
        <v>0</v>
      </c>
      <c r="O123" s="1">
        <f t="shared" si="41"/>
        <v>0</v>
      </c>
      <c r="P123" s="1">
        <f t="shared" si="41"/>
        <v>0</v>
      </c>
      <c r="Q123" s="1">
        <f t="shared" si="41"/>
        <v>0</v>
      </c>
      <c r="R123" s="1">
        <f t="shared" si="41"/>
        <v>0</v>
      </c>
      <c r="S123" s="1">
        <f t="shared" si="41"/>
        <v>0</v>
      </c>
      <c r="T123" s="1">
        <f t="shared" si="41"/>
        <v>0</v>
      </c>
      <c r="U123" s="1">
        <f t="shared" si="41"/>
        <v>0</v>
      </c>
      <c r="V123" s="1">
        <f t="shared" si="41"/>
        <v>0</v>
      </c>
      <c r="W123" s="1">
        <f t="shared" si="41"/>
        <v>-2</v>
      </c>
      <c r="X123" s="1">
        <f t="shared" si="41"/>
        <v>0</v>
      </c>
      <c r="Y123" s="1">
        <f t="shared" si="41"/>
        <v>0</v>
      </c>
      <c r="Z123" s="1">
        <f t="shared" si="41"/>
        <v>0</v>
      </c>
      <c r="AA123" s="1">
        <f t="shared" si="41"/>
        <v>0</v>
      </c>
      <c r="AB123" s="1">
        <f t="shared" si="41"/>
        <v>0</v>
      </c>
      <c r="AC123" s="1">
        <f t="shared" si="41"/>
        <v>0</v>
      </c>
      <c r="AD123" s="1">
        <f t="shared" si="41"/>
        <v>0</v>
      </c>
      <c r="AE123" s="1">
        <f t="shared" si="41"/>
        <v>0</v>
      </c>
      <c r="AF123" s="1">
        <f t="shared" si="41"/>
        <v>0</v>
      </c>
      <c r="AG123" s="1">
        <f t="shared" si="41"/>
        <v>0</v>
      </c>
      <c r="AH123" s="1">
        <f t="shared" si="41"/>
        <v>0</v>
      </c>
      <c r="AI123" s="1">
        <f t="shared" si="41"/>
        <v>0</v>
      </c>
      <c r="AJ123" s="1">
        <f t="shared" si="41"/>
        <v>0</v>
      </c>
      <c r="AK123" s="1">
        <f t="shared" si="41"/>
        <v>0</v>
      </c>
      <c r="AL123" s="1">
        <f t="shared" si="41"/>
        <v>0</v>
      </c>
      <c r="AM123" s="1">
        <f t="shared" si="41"/>
        <v>0</v>
      </c>
      <c r="AN123" s="1">
        <f t="shared" si="41"/>
        <v>0</v>
      </c>
      <c r="AO123" s="1">
        <f t="shared" si="41"/>
        <v>0</v>
      </c>
      <c r="AP123" s="1">
        <f t="shared" si="41"/>
        <v>0</v>
      </c>
      <c r="AQ123" s="1">
        <f t="shared" si="41"/>
        <v>0</v>
      </c>
    </row>
    <row r="124" spans="1:43" x14ac:dyDescent="0.25">
      <c r="A124" s="1" t="s">
        <v>141</v>
      </c>
      <c r="B124" s="1" t="s">
        <v>159</v>
      </c>
      <c r="C124" s="1" t="s">
        <v>144</v>
      </c>
      <c r="E124" s="1">
        <f t="shared" ref="E124:AQ124" si="42">+E38-E81</f>
        <v>-1</v>
      </c>
      <c r="F124" s="1">
        <f t="shared" si="42"/>
        <v>-1</v>
      </c>
      <c r="G124" s="1">
        <f t="shared" si="42"/>
        <v>-1</v>
      </c>
      <c r="H124" s="1">
        <f t="shared" si="42"/>
        <v>0</v>
      </c>
      <c r="I124" s="1">
        <f t="shared" si="42"/>
        <v>-1</v>
      </c>
      <c r="J124" s="1">
        <f t="shared" si="42"/>
        <v>0</v>
      </c>
      <c r="K124" s="1">
        <f t="shared" si="42"/>
        <v>0</v>
      </c>
      <c r="L124" s="1">
        <f t="shared" si="42"/>
        <v>0</v>
      </c>
      <c r="M124" s="1">
        <f t="shared" si="42"/>
        <v>0</v>
      </c>
      <c r="N124" s="1">
        <f t="shared" si="42"/>
        <v>0</v>
      </c>
      <c r="O124" s="1">
        <f t="shared" si="42"/>
        <v>0</v>
      </c>
      <c r="P124" s="1">
        <f t="shared" si="42"/>
        <v>0</v>
      </c>
      <c r="Q124" s="1">
        <f t="shared" si="42"/>
        <v>0</v>
      </c>
      <c r="R124" s="1">
        <f t="shared" si="42"/>
        <v>0</v>
      </c>
      <c r="S124" s="1">
        <f t="shared" si="42"/>
        <v>0</v>
      </c>
      <c r="T124" s="1">
        <f t="shared" si="42"/>
        <v>0</v>
      </c>
      <c r="U124" s="1">
        <f t="shared" si="42"/>
        <v>0</v>
      </c>
      <c r="V124" s="1">
        <f t="shared" si="42"/>
        <v>-1</v>
      </c>
      <c r="W124" s="1">
        <f t="shared" si="42"/>
        <v>-2</v>
      </c>
      <c r="X124" s="1">
        <f t="shared" si="42"/>
        <v>-1</v>
      </c>
      <c r="Y124" s="1">
        <f t="shared" si="42"/>
        <v>-1</v>
      </c>
      <c r="Z124" s="1">
        <f t="shared" si="42"/>
        <v>-1</v>
      </c>
      <c r="AA124" s="1">
        <f t="shared" si="42"/>
        <v>-1</v>
      </c>
      <c r="AB124" s="1">
        <f t="shared" si="42"/>
        <v>-1</v>
      </c>
      <c r="AC124" s="1">
        <f t="shared" si="42"/>
        <v>-1</v>
      </c>
      <c r="AD124" s="1">
        <f t="shared" si="42"/>
        <v>-1</v>
      </c>
      <c r="AE124" s="1">
        <f t="shared" si="42"/>
        <v>-1</v>
      </c>
      <c r="AF124" s="1">
        <f t="shared" si="42"/>
        <v>-1</v>
      </c>
      <c r="AG124" s="1">
        <f t="shared" si="42"/>
        <v>-1</v>
      </c>
      <c r="AH124" s="1">
        <f t="shared" si="42"/>
        <v>-1</v>
      </c>
      <c r="AI124" s="1">
        <f t="shared" si="42"/>
        <v>-1</v>
      </c>
      <c r="AJ124" s="1">
        <f t="shared" si="42"/>
        <v>-1</v>
      </c>
      <c r="AK124" s="1">
        <f t="shared" si="42"/>
        <v>-1</v>
      </c>
      <c r="AL124" s="1">
        <f t="shared" si="42"/>
        <v>-1</v>
      </c>
      <c r="AM124" s="1">
        <f t="shared" si="42"/>
        <v>-1</v>
      </c>
      <c r="AN124" s="1">
        <f t="shared" si="42"/>
        <v>-1</v>
      </c>
      <c r="AO124" s="1">
        <f t="shared" si="42"/>
        <v>-1</v>
      </c>
      <c r="AP124" s="1">
        <f t="shared" si="42"/>
        <v>-1</v>
      </c>
      <c r="AQ124" s="1">
        <f t="shared" si="42"/>
        <v>-1</v>
      </c>
    </row>
    <row r="125" spans="1:43" x14ac:dyDescent="0.25">
      <c r="A125" s="1" t="s">
        <v>142</v>
      </c>
      <c r="B125" s="1" t="s">
        <v>159</v>
      </c>
      <c r="C125" s="1" t="s">
        <v>145</v>
      </c>
      <c r="E125" s="1">
        <f t="shared" ref="E125:AQ125" si="43">+E39-E82</f>
        <v>0</v>
      </c>
      <c r="F125" s="1">
        <f t="shared" si="43"/>
        <v>0</v>
      </c>
      <c r="G125" s="1">
        <f t="shared" si="43"/>
        <v>0</v>
      </c>
      <c r="H125" s="1">
        <f t="shared" si="43"/>
        <v>0</v>
      </c>
      <c r="I125" s="1">
        <f t="shared" si="43"/>
        <v>0</v>
      </c>
      <c r="J125" s="1">
        <f t="shared" si="43"/>
        <v>0</v>
      </c>
      <c r="K125" s="1">
        <f t="shared" si="43"/>
        <v>0</v>
      </c>
      <c r="L125" s="1">
        <f t="shared" si="43"/>
        <v>0</v>
      </c>
      <c r="M125" s="1">
        <f t="shared" si="43"/>
        <v>0</v>
      </c>
      <c r="N125" s="1">
        <f t="shared" si="43"/>
        <v>0</v>
      </c>
      <c r="O125" s="1">
        <f t="shared" si="43"/>
        <v>0</v>
      </c>
      <c r="P125" s="1">
        <f t="shared" si="43"/>
        <v>0</v>
      </c>
      <c r="Q125" s="1">
        <f t="shared" si="43"/>
        <v>0</v>
      </c>
      <c r="R125" s="1">
        <f t="shared" si="43"/>
        <v>0</v>
      </c>
      <c r="S125" s="1">
        <f t="shared" si="43"/>
        <v>0</v>
      </c>
      <c r="T125" s="1">
        <f t="shared" si="43"/>
        <v>0</v>
      </c>
      <c r="U125" s="1">
        <f t="shared" si="43"/>
        <v>0</v>
      </c>
      <c r="V125" s="1">
        <f t="shared" si="43"/>
        <v>0</v>
      </c>
      <c r="W125" s="1">
        <f t="shared" si="43"/>
        <v>-2</v>
      </c>
      <c r="X125" s="1">
        <f t="shared" si="43"/>
        <v>0</v>
      </c>
      <c r="Y125" s="1">
        <f t="shared" si="43"/>
        <v>0</v>
      </c>
      <c r="Z125" s="1">
        <f t="shared" si="43"/>
        <v>0</v>
      </c>
      <c r="AA125" s="1">
        <f t="shared" si="43"/>
        <v>0</v>
      </c>
      <c r="AB125" s="1">
        <f t="shared" si="43"/>
        <v>0</v>
      </c>
      <c r="AC125" s="1">
        <f t="shared" si="43"/>
        <v>0</v>
      </c>
      <c r="AD125" s="1">
        <f t="shared" si="43"/>
        <v>0</v>
      </c>
      <c r="AE125" s="1">
        <f t="shared" si="43"/>
        <v>0</v>
      </c>
      <c r="AF125" s="1">
        <f t="shared" si="43"/>
        <v>0</v>
      </c>
      <c r="AG125" s="1">
        <f t="shared" si="43"/>
        <v>0</v>
      </c>
      <c r="AH125" s="1">
        <f t="shared" si="43"/>
        <v>0</v>
      </c>
      <c r="AI125" s="1">
        <f t="shared" si="43"/>
        <v>0</v>
      </c>
      <c r="AJ125" s="1">
        <f t="shared" si="43"/>
        <v>0</v>
      </c>
      <c r="AK125" s="1">
        <f t="shared" si="43"/>
        <v>0</v>
      </c>
      <c r="AL125" s="1">
        <f t="shared" si="43"/>
        <v>0</v>
      </c>
      <c r="AM125" s="1">
        <f t="shared" si="43"/>
        <v>0</v>
      </c>
      <c r="AN125" s="1">
        <f t="shared" si="43"/>
        <v>0</v>
      </c>
      <c r="AO125" s="1">
        <f t="shared" si="43"/>
        <v>0</v>
      </c>
      <c r="AP125" s="1">
        <f t="shared" si="43"/>
        <v>0</v>
      </c>
      <c r="AQ125" s="1">
        <f t="shared" si="43"/>
        <v>0</v>
      </c>
    </row>
    <row r="126" spans="1:43" x14ac:dyDescent="0.25">
      <c r="A126" s="1" t="s">
        <v>146</v>
      </c>
      <c r="B126" s="1" t="s">
        <v>160</v>
      </c>
      <c r="C126" s="1" t="s">
        <v>150</v>
      </c>
      <c r="E126" s="1">
        <f t="shared" ref="E126:AQ126" si="44">+E40-E83</f>
        <v>0</v>
      </c>
      <c r="F126" s="1">
        <f t="shared" si="44"/>
        <v>0</v>
      </c>
      <c r="G126" s="1">
        <f t="shared" si="44"/>
        <v>0</v>
      </c>
      <c r="H126" s="1">
        <f t="shared" si="44"/>
        <v>0</v>
      </c>
      <c r="I126" s="1">
        <f t="shared" si="44"/>
        <v>0</v>
      </c>
      <c r="J126" s="1">
        <f t="shared" si="44"/>
        <v>0</v>
      </c>
      <c r="K126" s="1">
        <f t="shared" si="44"/>
        <v>0</v>
      </c>
      <c r="L126" s="1">
        <f t="shared" si="44"/>
        <v>0</v>
      </c>
      <c r="M126" s="1">
        <f t="shared" si="44"/>
        <v>0</v>
      </c>
      <c r="N126" s="1">
        <f t="shared" si="44"/>
        <v>0</v>
      </c>
      <c r="O126" s="1">
        <f t="shared" si="44"/>
        <v>0</v>
      </c>
      <c r="P126" s="1">
        <f t="shared" si="44"/>
        <v>0</v>
      </c>
      <c r="Q126" s="1">
        <f t="shared" si="44"/>
        <v>0</v>
      </c>
      <c r="R126" s="1">
        <f t="shared" si="44"/>
        <v>0</v>
      </c>
      <c r="S126" s="1">
        <f t="shared" si="44"/>
        <v>0</v>
      </c>
      <c r="T126" s="1">
        <f t="shared" si="44"/>
        <v>0</v>
      </c>
      <c r="U126" s="1">
        <f t="shared" si="44"/>
        <v>0</v>
      </c>
      <c r="V126" s="1">
        <f t="shared" si="44"/>
        <v>0</v>
      </c>
      <c r="W126" s="1">
        <f t="shared" si="44"/>
        <v>-2</v>
      </c>
      <c r="X126" s="1">
        <f t="shared" si="44"/>
        <v>0</v>
      </c>
      <c r="Y126" s="1">
        <f t="shared" si="44"/>
        <v>0</v>
      </c>
      <c r="Z126" s="1">
        <f t="shared" si="44"/>
        <v>0</v>
      </c>
      <c r="AA126" s="1">
        <f t="shared" si="44"/>
        <v>0</v>
      </c>
      <c r="AB126" s="1">
        <f t="shared" si="44"/>
        <v>0</v>
      </c>
      <c r="AC126" s="1">
        <f t="shared" si="44"/>
        <v>0</v>
      </c>
      <c r="AD126" s="1">
        <f t="shared" si="44"/>
        <v>0</v>
      </c>
      <c r="AE126" s="1">
        <f t="shared" si="44"/>
        <v>0</v>
      </c>
      <c r="AF126" s="1">
        <f t="shared" si="44"/>
        <v>0</v>
      </c>
      <c r="AG126" s="1">
        <f t="shared" si="44"/>
        <v>0</v>
      </c>
      <c r="AH126" s="1">
        <f t="shared" si="44"/>
        <v>0</v>
      </c>
      <c r="AI126" s="1">
        <f t="shared" si="44"/>
        <v>0</v>
      </c>
      <c r="AJ126" s="1">
        <f t="shared" si="44"/>
        <v>0</v>
      </c>
      <c r="AK126" s="1">
        <f t="shared" si="44"/>
        <v>0</v>
      </c>
      <c r="AL126" s="1">
        <f t="shared" si="44"/>
        <v>0</v>
      </c>
      <c r="AM126" s="1">
        <f t="shared" si="44"/>
        <v>0</v>
      </c>
      <c r="AN126" s="1">
        <f t="shared" si="44"/>
        <v>0</v>
      </c>
      <c r="AO126" s="1">
        <f t="shared" si="44"/>
        <v>0</v>
      </c>
      <c r="AP126" s="1">
        <f t="shared" si="44"/>
        <v>0</v>
      </c>
      <c r="AQ126" s="1">
        <f t="shared" si="44"/>
        <v>0</v>
      </c>
    </row>
    <row r="127" spans="1:43" x14ac:dyDescent="0.25">
      <c r="A127" s="1" t="s">
        <v>151</v>
      </c>
      <c r="B127" s="1" t="s">
        <v>156</v>
      </c>
      <c r="C127" s="1"/>
      <c r="E127" s="1">
        <f t="shared" ref="E127:AQ127" si="45">+E41-E84</f>
        <v>0</v>
      </c>
      <c r="F127" s="1">
        <f t="shared" si="45"/>
        <v>0</v>
      </c>
      <c r="G127" s="1">
        <f t="shared" si="45"/>
        <v>0</v>
      </c>
      <c r="H127" s="1">
        <f t="shared" si="45"/>
        <v>0</v>
      </c>
      <c r="I127" s="1">
        <f t="shared" si="45"/>
        <v>0</v>
      </c>
      <c r="J127" s="1">
        <f t="shared" si="45"/>
        <v>0</v>
      </c>
      <c r="K127" s="1">
        <f t="shared" si="45"/>
        <v>0</v>
      </c>
      <c r="L127" s="1">
        <f t="shared" si="45"/>
        <v>0</v>
      </c>
      <c r="M127" s="1">
        <f t="shared" si="45"/>
        <v>0</v>
      </c>
      <c r="N127" s="1">
        <f t="shared" si="45"/>
        <v>0</v>
      </c>
      <c r="O127" s="1">
        <f t="shared" si="45"/>
        <v>0</v>
      </c>
      <c r="P127" s="1">
        <f t="shared" si="45"/>
        <v>0</v>
      </c>
      <c r="Q127" s="1">
        <f t="shared" si="45"/>
        <v>0</v>
      </c>
      <c r="R127" s="1">
        <f t="shared" si="45"/>
        <v>0</v>
      </c>
      <c r="S127" s="1">
        <f t="shared" si="45"/>
        <v>0</v>
      </c>
      <c r="T127" s="1">
        <f t="shared" si="45"/>
        <v>0</v>
      </c>
      <c r="U127" s="1">
        <f t="shared" si="45"/>
        <v>0</v>
      </c>
      <c r="V127" s="1">
        <f t="shared" si="45"/>
        <v>0</v>
      </c>
      <c r="W127" s="1">
        <f t="shared" si="45"/>
        <v>0</v>
      </c>
      <c r="X127" s="1">
        <f t="shared" si="45"/>
        <v>0</v>
      </c>
      <c r="Y127" s="1">
        <f t="shared" si="45"/>
        <v>0</v>
      </c>
      <c r="Z127" s="1">
        <f t="shared" si="45"/>
        <v>0</v>
      </c>
      <c r="AA127" s="1">
        <f t="shared" si="45"/>
        <v>0</v>
      </c>
      <c r="AB127" s="1">
        <f t="shared" si="45"/>
        <v>0</v>
      </c>
      <c r="AC127" s="1">
        <f t="shared" si="45"/>
        <v>0</v>
      </c>
      <c r="AD127" s="1">
        <f t="shared" si="45"/>
        <v>0</v>
      </c>
      <c r="AE127" s="1">
        <f t="shared" si="45"/>
        <v>0</v>
      </c>
      <c r="AF127" s="1">
        <f t="shared" si="45"/>
        <v>0</v>
      </c>
      <c r="AG127" s="1">
        <f t="shared" si="45"/>
        <v>0</v>
      </c>
      <c r="AH127" s="1">
        <f t="shared" si="45"/>
        <v>0</v>
      </c>
      <c r="AI127" s="1">
        <f t="shared" si="45"/>
        <v>0</v>
      </c>
      <c r="AJ127" s="1">
        <f t="shared" si="45"/>
        <v>0</v>
      </c>
      <c r="AK127" s="1">
        <f t="shared" si="45"/>
        <v>0</v>
      </c>
      <c r="AL127" s="1">
        <f t="shared" si="45"/>
        <v>0</v>
      </c>
      <c r="AM127" s="1">
        <f t="shared" si="45"/>
        <v>0</v>
      </c>
      <c r="AN127" s="1">
        <f t="shared" si="45"/>
        <v>0</v>
      </c>
      <c r="AO127" s="1">
        <f t="shared" si="45"/>
        <v>0</v>
      </c>
      <c r="AP127" s="1">
        <f t="shared" si="45"/>
        <v>0</v>
      </c>
      <c r="AQ127" s="1">
        <f t="shared" si="45"/>
        <v>0</v>
      </c>
    </row>
    <row r="128" spans="1:43" x14ac:dyDescent="0.25">
      <c r="A128" s="1" t="s">
        <v>152</v>
      </c>
      <c r="B128" s="1" t="s">
        <v>156</v>
      </c>
      <c r="C128" s="1"/>
      <c r="E128" s="1">
        <f t="shared" ref="E128:AQ128" si="46">+E42-E85</f>
        <v>0</v>
      </c>
      <c r="F128" s="1">
        <f t="shared" si="46"/>
        <v>0</v>
      </c>
      <c r="G128" s="1">
        <f t="shared" si="46"/>
        <v>0</v>
      </c>
      <c r="H128" s="1">
        <f t="shared" si="46"/>
        <v>0</v>
      </c>
      <c r="I128" s="1">
        <f t="shared" si="46"/>
        <v>0</v>
      </c>
      <c r="J128" s="1">
        <f t="shared" si="46"/>
        <v>0</v>
      </c>
      <c r="K128" s="1">
        <f t="shared" si="46"/>
        <v>0</v>
      </c>
      <c r="L128" s="1">
        <f t="shared" si="46"/>
        <v>0</v>
      </c>
      <c r="M128" s="1">
        <f t="shared" si="46"/>
        <v>0</v>
      </c>
      <c r="N128" s="1">
        <f t="shared" si="46"/>
        <v>0</v>
      </c>
      <c r="O128" s="1">
        <f t="shared" si="46"/>
        <v>0</v>
      </c>
      <c r="P128" s="1">
        <f t="shared" si="46"/>
        <v>0</v>
      </c>
      <c r="Q128" s="1">
        <f t="shared" si="46"/>
        <v>0</v>
      </c>
      <c r="R128" s="1">
        <f t="shared" si="46"/>
        <v>0</v>
      </c>
      <c r="S128" s="1">
        <f t="shared" si="46"/>
        <v>0</v>
      </c>
      <c r="T128" s="1">
        <f t="shared" si="46"/>
        <v>0</v>
      </c>
      <c r="U128" s="1">
        <f t="shared" si="46"/>
        <v>0</v>
      </c>
      <c r="V128" s="1">
        <f t="shared" si="46"/>
        <v>0</v>
      </c>
      <c r="W128" s="1">
        <f t="shared" si="46"/>
        <v>0</v>
      </c>
      <c r="X128" s="1">
        <f t="shared" si="46"/>
        <v>0</v>
      </c>
      <c r="Y128" s="1">
        <f t="shared" si="46"/>
        <v>0</v>
      </c>
      <c r="Z128" s="1">
        <f t="shared" si="46"/>
        <v>0</v>
      </c>
      <c r="AA128" s="1">
        <f t="shared" si="46"/>
        <v>0</v>
      </c>
      <c r="AB128" s="1">
        <f t="shared" si="46"/>
        <v>0</v>
      </c>
      <c r="AC128" s="1">
        <f t="shared" si="46"/>
        <v>0</v>
      </c>
      <c r="AD128" s="1">
        <f t="shared" si="46"/>
        <v>0</v>
      </c>
      <c r="AE128" s="1">
        <f t="shared" si="46"/>
        <v>0</v>
      </c>
      <c r="AF128" s="1">
        <f t="shared" si="46"/>
        <v>0</v>
      </c>
      <c r="AG128" s="1">
        <f t="shared" si="46"/>
        <v>0</v>
      </c>
      <c r="AH128" s="1">
        <f t="shared" si="46"/>
        <v>0</v>
      </c>
      <c r="AI128" s="1">
        <f t="shared" si="46"/>
        <v>0</v>
      </c>
      <c r="AJ128" s="1">
        <f t="shared" si="46"/>
        <v>0</v>
      </c>
      <c r="AK128" s="1">
        <f t="shared" si="46"/>
        <v>0</v>
      </c>
      <c r="AL128" s="1">
        <f t="shared" si="46"/>
        <v>0</v>
      </c>
      <c r="AM128" s="1">
        <f t="shared" si="46"/>
        <v>0</v>
      </c>
      <c r="AN128" s="1">
        <f t="shared" si="46"/>
        <v>0</v>
      </c>
      <c r="AO128" s="1">
        <f t="shared" si="46"/>
        <v>0</v>
      </c>
      <c r="AP128" s="1">
        <f t="shared" si="46"/>
        <v>0</v>
      </c>
      <c r="AQ128" s="1">
        <f t="shared" si="46"/>
        <v>0</v>
      </c>
    </row>
    <row r="129" spans="1:43" x14ac:dyDescent="0.25">
      <c r="A129" s="1" t="s">
        <v>153</v>
      </c>
      <c r="B129" s="1" t="s">
        <v>156</v>
      </c>
      <c r="C129" s="1"/>
      <c r="E129" s="1">
        <f t="shared" ref="E129:AQ129" si="47">+E43-E86</f>
        <v>0</v>
      </c>
      <c r="F129" s="1">
        <f t="shared" si="47"/>
        <v>0</v>
      </c>
      <c r="G129" s="1">
        <f t="shared" si="47"/>
        <v>0</v>
      </c>
      <c r="H129" s="1">
        <f t="shared" si="47"/>
        <v>0</v>
      </c>
      <c r="I129" s="1">
        <f t="shared" si="47"/>
        <v>0</v>
      </c>
      <c r="J129" s="1">
        <f t="shared" si="47"/>
        <v>0</v>
      </c>
      <c r="K129" s="1">
        <f t="shared" si="47"/>
        <v>0</v>
      </c>
      <c r="L129" s="1">
        <f t="shared" si="47"/>
        <v>0</v>
      </c>
      <c r="M129" s="1">
        <f t="shared" si="47"/>
        <v>0</v>
      </c>
      <c r="N129" s="1">
        <f t="shared" si="47"/>
        <v>0</v>
      </c>
      <c r="O129" s="1">
        <f t="shared" si="47"/>
        <v>0</v>
      </c>
      <c r="P129" s="1">
        <f t="shared" si="47"/>
        <v>0</v>
      </c>
      <c r="Q129" s="1">
        <f t="shared" si="47"/>
        <v>0</v>
      </c>
      <c r="R129" s="1">
        <f t="shared" si="47"/>
        <v>0</v>
      </c>
      <c r="S129" s="1">
        <f t="shared" si="47"/>
        <v>0</v>
      </c>
      <c r="T129" s="1">
        <f t="shared" si="47"/>
        <v>0</v>
      </c>
      <c r="U129" s="1">
        <f t="shared" si="47"/>
        <v>0</v>
      </c>
      <c r="V129" s="1">
        <f t="shared" si="47"/>
        <v>0</v>
      </c>
      <c r="W129" s="1">
        <f t="shared" si="47"/>
        <v>0</v>
      </c>
      <c r="X129" s="1">
        <f t="shared" si="47"/>
        <v>0</v>
      </c>
      <c r="Y129" s="1">
        <f t="shared" si="47"/>
        <v>0</v>
      </c>
      <c r="Z129" s="1">
        <f t="shared" si="47"/>
        <v>0</v>
      </c>
      <c r="AA129" s="1">
        <f t="shared" si="47"/>
        <v>0</v>
      </c>
      <c r="AB129" s="1">
        <f t="shared" si="47"/>
        <v>0</v>
      </c>
      <c r="AC129" s="1">
        <f t="shared" si="47"/>
        <v>0</v>
      </c>
      <c r="AD129" s="1">
        <f t="shared" si="47"/>
        <v>0</v>
      </c>
      <c r="AE129" s="1">
        <f t="shared" si="47"/>
        <v>0</v>
      </c>
      <c r="AF129" s="1">
        <f t="shared" si="47"/>
        <v>0</v>
      </c>
      <c r="AG129" s="1">
        <f t="shared" si="47"/>
        <v>0</v>
      </c>
      <c r="AH129" s="1">
        <f t="shared" si="47"/>
        <v>0</v>
      </c>
      <c r="AI129" s="1">
        <f t="shared" si="47"/>
        <v>0</v>
      </c>
      <c r="AJ129" s="1">
        <f t="shared" si="47"/>
        <v>0</v>
      </c>
      <c r="AK129" s="1">
        <f t="shared" si="47"/>
        <v>0</v>
      </c>
      <c r="AL129" s="1">
        <f t="shared" si="47"/>
        <v>0</v>
      </c>
      <c r="AM129" s="1">
        <f t="shared" si="47"/>
        <v>0</v>
      </c>
      <c r="AN129" s="1">
        <f t="shared" si="47"/>
        <v>0</v>
      </c>
      <c r="AO129" s="1">
        <f t="shared" si="47"/>
        <v>0</v>
      </c>
      <c r="AP129" s="1">
        <f t="shared" si="47"/>
        <v>0</v>
      </c>
      <c r="AQ129" s="1">
        <f t="shared" si="47"/>
        <v>0</v>
      </c>
    </row>
    <row r="130" spans="1:43" x14ac:dyDescent="0.25">
      <c r="A130" s="1" t="s">
        <v>154</v>
      </c>
      <c r="B130" s="1" t="s">
        <v>156</v>
      </c>
      <c r="C130" s="1"/>
      <c r="E130" s="1">
        <f t="shared" ref="E130:AQ130" si="48">+E44-E87</f>
        <v>0</v>
      </c>
      <c r="F130" s="1">
        <f t="shared" si="48"/>
        <v>0</v>
      </c>
      <c r="G130" s="1">
        <f t="shared" si="48"/>
        <v>0</v>
      </c>
      <c r="H130" s="1">
        <f t="shared" si="48"/>
        <v>0</v>
      </c>
      <c r="I130" s="1">
        <f t="shared" si="48"/>
        <v>0</v>
      </c>
      <c r="J130" s="1">
        <f t="shared" si="48"/>
        <v>0</v>
      </c>
      <c r="K130" s="1">
        <f t="shared" si="48"/>
        <v>0</v>
      </c>
      <c r="L130" s="1">
        <f t="shared" si="48"/>
        <v>0</v>
      </c>
      <c r="M130" s="1">
        <f t="shared" si="48"/>
        <v>0</v>
      </c>
      <c r="N130" s="1">
        <f t="shared" si="48"/>
        <v>0</v>
      </c>
      <c r="O130" s="1">
        <f t="shared" si="48"/>
        <v>0</v>
      </c>
      <c r="P130" s="1">
        <f t="shared" si="48"/>
        <v>0</v>
      </c>
      <c r="Q130" s="1">
        <f t="shared" si="48"/>
        <v>0</v>
      </c>
      <c r="R130" s="1">
        <f t="shared" si="48"/>
        <v>0</v>
      </c>
      <c r="S130" s="1">
        <f t="shared" si="48"/>
        <v>0</v>
      </c>
      <c r="T130" s="1">
        <f t="shared" si="48"/>
        <v>0</v>
      </c>
      <c r="U130" s="1">
        <f t="shared" si="48"/>
        <v>0</v>
      </c>
      <c r="V130" s="1">
        <f t="shared" si="48"/>
        <v>0</v>
      </c>
      <c r="W130" s="1">
        <f t="shared" si="48"/>
        <v>0</v>
      </c>
      <c r="X130" s="1">
        <f t="shared" si="48"/>
        <v>0</v>
      </c>
      <c r="Y130" s="1">
        <f t="shared" si="48"/>
        <v>0</v>
      </c>
      <c r="Z130" s="1">
        <f t="shared" si="48"/>
        <v>0</v>
      </c>
      <c r="AA130" s="1">
        <f t="shared" si="48"/>
        <v>0</v>
      </c>
      <c r="AB130" s="1">
        <f t="shared" si="48"/>
        <v>0</v>
      </c>
      <c r="AC130" s="1">
        <f t="shared" si="48"/>
        <v>0</v>
      </c>
      <c r="AD130" s="1">
        <f t="shared" si="48"/>
        <v>0</v>
      </c>
      <c r="AE130" s="1">
        <f t="shared" si="48"/>
        <v>0</v>
      </c>
      <c r="AF130" s="1">
        <f t="shared" si="48"/>
        <v>0</v>
      </c>
      <c r="AG130" s="1">
        <f t="shared" si="48"/>
        <v>0</v>
      </c>
      <c r="AH130" s="1">
        <f t="shared" si="48"/>
        <v>0</v>
      </c>
      <c r="AI130" s="1">
        <f t="shared" si="48"/>
        <v>0</v>
      </c>
      <c r="AJ130" s="1">
        <f t="shared" si="48"/>
        <v>0</v>
      </c>
      <c r="AK130" s="1">
        <f t="shared" si="48"/>
        <v>0</v>
      </c>
      <c r="AL130" s="1">
        <f t="shared" si="48"/>
        <v>0</v>
      </c>
      <c r="AM130" s="1">
        <f t="shared" si="48"/>
        <v>0</v>
      </c>
      <c r="AN130" s="1">
        <f t="shared" si="48"/>
        <v>0</v>
      </c>
      <c r="AO130" s="1">
        <f t="shared" si="48"/>
        <v>0</v>
      </c>
      <c r="AP130" s="1">
        <f t="shared" si="48"/>
        <v>0</v>
      </c>
      <c r="AQ130" s="1">
        <f t="shared" si="48"/>
        <v>0</v>
      </c>
    </row>
    <row r="131" spans="1:43" x14ac:dyDescent="0.25">
      <c r="A131" s="1" t="s">
        <v>155</v>
      </c>
      <c r="B131" s="1" t="s">
        <v>156</v>
      </c>
      <c r="C131" s="1"/>
      <c r="E131" s="1">
        <f t="shared" ref="E131:AQ131" si="49">+E45-E88</f>
        <v>0</v>
      </c>
      <c r="F131" s="1">
        <f t="shared" si="49"/>
        <v>0</v>
      </c>
      <c r="G131" s="1">
        <f t="shared" si="49"/>
        <v>0</v>
      </c>
      <c r="H131" s="1">
        <f t="shared" si="49"/>
        <v>0</v>
      </c>
      <c r="I131" s="1">
        <f t="shared" si="49"/>
        <v>0</v>
      </c>
      <c r="J131" s="1">
        <f t="shared" si="49"/>
        <v>0</v>
      </c>
      <c r="K131" s="1">
        <f t="shared" si="49"/>
        <v>0</v>
      </c>
      <c r="L131" s="1">
        <f t="shared" si="49"/>
        <v>0</v>
      </c>
      <c r="M131" s="1">
        <f t="shared" si="49"/>
        <v>0</v>
      </c>
      <c r="N131" s="1">
        <f t="shared" si="49"/>
        <v>0</v>
      </c>
      <c r="O131" s="1">
        <f t="shared" si="49"/>
        <v>0</v>
      </c>
      <c r="P131" s="1">
        <f t="shared" si="49"/>
        <v>0</v>
      </c>
      <c r="Q131" s="1">
        <f t="shared" si="49"/>
        <v>0</v>
      </c>
      <c r="R131" s="1">
        <f t="shared" si="49"/>
        <v>0</v>
      </c>
      <c r="S131" s="1">
        <f t="shared" si="49"/>
        <v>0</v>
      </c>
      <c r="T131" s="1">
        <f t="shared" si="49"/>
        <v>0</v>
      </c>
      <c r="U131" s="1">
        <f t="shared" si="49"/>
        <v>0</v>
      </c>
      <c r="V131" s="1">
        <f t="shared" si="49"/>
        <v>0</v>
      </c>
      <c r="W131" s="1">
        <f t="shared" si="49"/>
        <v>0</v>
      </c>
      <c r="X131" s="1">
        <f t="shared" si="49"/>
        <v>0</v>
      </c>
      <c r="Y131" s="1">
        <f t="shared" si="49"/>
        <v>0</v>
      </c>
      <c r="Z131" s="1">
        <f t="shared" si="49"/>
        <v>0</v>
      </c>
      <c r="AA131" s="1">
        <f t="shared" si="49"/>
        <v>0</v>
      </c>
      <c r="AB131" s="1">
        <f t="shared" si="49"/>
        <v>0</v>
      </c>
      <c r="AC131" s="1">
        <f t="shared" si="49"/>
        <v>0</v>
      </c>
      <c r="AD131" s="1">
        <f t="shared" si="49"/>
        <v>0</v>
      </c>
      <c r="AE131" s="1">
        <f t="shared" si="49"/>
        <v>0</v>
      </c>
      <c r="AF131" s="1">
        <f t="shared" si="49"/>
        <v>0</v>
      </c>
      <c r="AG131" s="1">
        <f t="shared" si="49"/>
        <v>0</v>
      </c>
      <c r="AH131" s="1">
        <f t="shared" si="49"/>
        <v>0</v>
      </c>
      <c r="AI131" s="1">
        <f t="shared" si="49"/>
        <v>0</v>
      </c>
      <c r="AJ131" s="1">
        <f t="shared" si="49"/>
        <v>0</v>
      </c>
      <c r="AK131" s="1">
        <f t="shared" si="49"/>
        <v>0</v>
      </c>
      <c r="AL131" s="1">
        <f t="shared" si="49"/>
        <v>0</v>
      </c>
      <c r="AM131" s="1">
        <f t="shared" si="49"/>
        <v>0</v>
      </c>
      <c r="AN131" s="1">
        <f t="shared" si="49"/>
        <v>0</v>
      </c>
      <c r="AO131" s="1">
        <f t="shared" si="49"/>
        <v>0</v>
      </c>
      <c r="AP131" s="1">
        <f t="shared" si="49"/>
        <v>0</v>
      </c>
      <c r="AQ131" s="1">
        <f t="shared" si="49"/>
        <v>0</v>
      </c>
    </row>
    <row r="132" spans="1:43" x14ac:dyDescent="0.25">
      <c r="E132" s="1">
        <f t="shared" ref="E132:AQ132" si="50">+E46-E89</f>
        <v>0</v>
      </c>
      <c r="F132" s="1">
        <f t="shared" si="50"/>
        <v>0</v>
      </c>
      <c r="G132" s="1">
        <f t="shared" si="50"/>
        <v>0</v>
      </c>
      <c r="H132" s="1">
        <f t="shared" si="50"/>
        <v>0</v>
      </c>
      <c r="I132" s="1">
        <f t="shared" si="50"/>
        <v>0</v>
      </c>
      <c r="J132" s="1">
        <f t="shared" si="50"/>
        <v>0</v>
      </c>
      <c r="K132" s="1">
        <f t="shared" si="50"/>
        <v>0</v>
      </c>
      <c r="L132" s="1">
        <f t="shared" si="50"/>
        <v>0</v>
      </c>
      <c r="M132" s="1">
        <f t="shared" si="50"/>
        <v>0</v>
      </c>
      <c r="N132" s="1">
        <f t="shared" si="50"/>
        <v>0</v>
      </c>
      <c r="O132" s="1">
        <f t="shared" si="50"/>
        <v>0</v>
      </c>
      <c r="P132" s="1">
        <f t="shared" si="50"/>
        <v>0</v>
      </c>
      <c r="Q132" s="1">
        <f t="shared" si="50"/>
        <v>0</v>
      </c>
      <c r="R132" s="1">
        <f t="shared" si="50"/>
        <v>0</v>
      </c>
      <c r="S132" s="1">
        <f t="shared" si="50"/>
        <v>0</v>
      </c>
      <c r="T132" s="1">
        <f t="shared" si="50"/>
        <v>0</v>
      </c>
      <c r="U132" s="1">
        <f t="shared" si="50"/>
        <v>0</v>
      </c>
      <c r="V132" s="1">
        <f t="shared" si="50"/>
        <v>0</v>
      </c>
      <c r="W132" s="1">
        <f t="shared" si="50"/>
        <v>0</v>
      </c>
      <c r="X132" s="1">
        <f t="shared" si="50"/>
        <v>0</v>
      </c>
      <c r="Y132" s="1">
        <f t="shared" si="50"/>
        <v>0</v>
      </c>
      <c r="Z132" s="1">
        <f t="shared" si="50"/>
        <v>0</v>
      </c>
      <c r="AA132" s="1">
        <f t="shared" si="50"/>
        <v>0</v>
      </c>
      <c r="AB132" s="1">
        <f t="shared" si="50"/>
        <v>0</v>
      </c>
      <c r="AC132" s="1">
        <f t="shared" si="50"/>
        <v>0</v>
      </c>
      <c r="AD132" s="1">
        <f t="shared" si="50"/>
        <v>0</v>
      </c>
      <c r="AE132" s="1">
        <f t="shared" si="50"/>
        <v>0</v>
      </c>
      <c r="AF132" s="1">
        <f t="shared" si="50"/>
        <v>0</v>
      </c>
      <c r="AG132" s="1">
        <f t="shared" si="50"/>
        <v>0</v>
      </c>
      <c r="AH132" s="1">
        <f t="shared" si="50"/>
        <v>0</v>
      </c>
      <c r="AI132" s="1">
        <f t="shared" si="50"/>
        <v>0</v>
      </c>
      <c r="AJ132" s="1">
        <f t="shared" si="50"/>
        <v>0</v>
      </c>
      <c r="AK132" s="1">
        <f t="shared" si="50"/>
        <v>0</v>
      </c>
      <c r="AL132" s="1">
        <f t="shared" si="50"/>
        <v>0</v>
      </c>
      <c r="AM132" s="1">
        <f t="shared" si="50"/>
        <v>0</v>
      </c>
      <c r="AN132" s="1">
        <f t="shared" si="50"/>
        <v>0</v>
      </c>
      <c r="AO132" s="1">
        <f t="shared" si="50"/>
        <v>0</v>
      </c>
      <c r="AP132" s="1">
        <f t="shared" si="50"/>
        <v>0</v>
      </c>
      <c r="AQ132" s="1">
        <f t="shared" si="50"/>
        <v>0</v>
      </c>
    </row>
    <row r="133" spans="1:43" x14ac:dyDescent="0.25">
      <c r="E133" s="1">
        <f t="shared" ref="E133:AQ133" si="51">+E47-E90</f>
        <v>-1</v>
      </c>
      <c r="F133" s="1">
        <f t="shared" si="51"/>
        <v>-1</v>
      </c>
      <c r="G133" s="1">
        <f t="shared" si="51"/>
        <v>-1</v>
      </c>
      <c r="H133" s="1">
        <f t="shared" si="51"/>
        <v>-1</v>
      </c>
      <c r="I133" s="1">
        <f t="shared" si="51"/>
        <v>0</v>
      </c>
      <c r="J133" s="1">
        <f t="shared" si="51"/>
        <v>0</v>
      </c>
      <c r="K133" s="1">
        <f t="shared" si="51"/>
        <v>-1</v>
      </c>
      <c r="L133" s="1">
        <f t="shared" si="51"/>
        <v>-1</v>
      </c>
      <c r="M133" s="1">
        <f t="shared" si="51"/>
        <v>0</v>
      </c>
      <c r="N133" s="1">
        <f t="shared" si="51"/>
        <v>-1</v>
      </c>
      <c r="O133" s="1">
        <f t="shared" si="51"/>
        <v>-1</v>
      </c>
      <c r="P133" s="1">
        <f t="shared" si="51"/>
        <v>0</v>
      </c>
      <c r="Q133" s="1">
        <f t="shared" si="51"/>
        <v>0</v>
      </c>
      <c r="R133" s="1">
        <f t="shared" si="51"/>
        <v>0</v>
      </c>
      <c r="S133" s="1">
        <f t="shared" si="51"/>
        <v>2</v>
      </c>
      <c r="T133" s="1">
        <f t="shared" si="51"/>
        <v>-1</v>
      </c>
      <c r="U133" s="1">
        <f t="shared" si="51"/>
        <v>-1</v>
      </c>
      <c r="V133" s="1">
        <f t="shared" si="51"/>
        <v>-1</v>
      </c>
      <c r="W133" s="1">
        <f t="shared" si="51"/>
        <v>2</v>
      </c>
      <c r="X133" s="1">
        <f t="shared" si="51"/>
        <v>-1</v>
      </c>
      <c r="Y133" s="1">
        <f t="shared" si="51"/>
        <v>1</v>
      </c>
      <c r="Z133" s="1">
        <f t="shared" si="51"/>
        <v>1</v>
      </c>
      <c r="AA133" s="1">
        <f t="shared" si="51"/>
        <v>-1</v>
      </c>
      <c r="AB133" s="1">
        <f t="shared" si="51"/>
        <v>-1</v>
      </c>
      <c r="AC133" s="1">
        <f t="shared" si="51"/>
        <v>-1</v>
      </c>
      <c r="AD133" s="1">
        <f t="shared" si="51"/>
        <v>-1</v>
      </c>
      <c r="AE133" s="1">
        <f t="shared" si="51"/>
        <v>-1</v>
      </c>
      <c r="AF133" s="1">
        <f t="shared" si="51"/>
        <v>-1</v>
      </c>
      <c r="AG133" s="1">
        <f t="shared" si="51"/>
        <v>-1</v>
      </c>
      <c r="AH133" s="1">
        <f t="shared" si="51"/>
        <v>-1</v>
      </c>
      <c r="AI133" s="1">
        <f t="shared" si="51"/>
        <v>-1</v>
      </c>
      <c r="AJ133" s="1">
        <f t="shared" si="51"/>
        <v>-1</v>
      </c>
      <c r="AK133" s="1">
        <f t="shared" si="51"/>
        <v>-1</v>
      </c>
      <c r="AL133" s="1">
        <f t="shared" si="51"/>
        <v>-1</v>
      </c>
      <c r="AM133" s="1">
        <f t="shared" si="51"/>
        <v>2</v>
      </c>
      <c r="AN133" s="1">
        <f t="shared" si="51"/>
        <v>2</v>
      </c>
      <c r="AO133" s="1">
        <f t="shared" si="51"/>
        <v>2</v>
      </c>
      <c r="AP133" s="1">
        <f t="shared" si="51"/>
        <v>2</v>
      </c>
      <c r="AQ133" s="1">
        <f t="shared" si="51"/>
        <v>2</v>
      </c>
    </row>
    <row r="134" spans="1:43" x14ac:dyDescent="0.25">
      <c r="E134" s="1">
        <f t="shared" ref="E134:AQ134" si="52">+E48-E91</f>
        <v>0</v>
      </c>
      <c r="F134" s="1">
        <f t="shared" si="52"/>
        <v>0</v>
      </c>
      <c r="G134" s="1">
        <f t="shared" si="52"/>
        <v>0</v>
      </c>
      <c r="H134" s="1">
        <f t="shared" si="52"/>
        <v>0</v>
      </c>
      <c r="I134" s="1">
        <f t="shared" si="52"/>
        <v>0</v>
      </c>
      <c r="J134" s="1">
        <f t="shared" si="52"/>
        <v>1</v>
      </c>
      <c r="K134" s="1">
        <f t="shared" si="52"/>
        <v>1</v>
      </c>
      <c r="L134" s="1">
        <f t="shared" si="52"/>
        <v>1</v>
      </c>
      <c r="M134" s="1">
        <f t="shared" si="52"/>
        <v>0</v>
      </c>
      <c r="N134" s="1">
        <f t="shared" si="52"/>
        <v>0</v>
      </c>
      <c r="O134" s="1">
        <f t="shared" si="52"/>
        <v>1</v>
      </c>
      <c r="P134" s="1">
        <f t="shared" si="52"/>
        <v>0</v>
      </c>
      <c r="Q134" s="1">
        <f t="shared" si="52"/>
        <v>0</v>
      </c>
      <c r="R134" s="1">
        <f t="shared" si="52"/>
        <v>0</v>
      </c>
      <c r="S134" s="1">
        <f t="shared" si="52"/>
        <v>2</v>
      </c>
      <c r="T134" s="1">
        <f t="shared" si="52"/>
        <v>0</v>
      </c>
      <c r="U134" s="1">
        <f t="shared" si="52"/>
        <v>0</v>
      </c>
      <c r="V134" s="1">
        <f t="shared" si="52"/>
        <v>1</v>
      </c>
      <c r="W134" s="1">
        <f t="shared" si="52"/>
        <v>2</v>
      </c>
      <c r="X134" s="1">
        <f t="shared" si="52"/>
        <v>0</v>
      </c>
      <c r="Y134" s="1">
        <f t="shared" si="52"/>
        <v>0</v>
      </c>
      <c r="Z134" s="1">
        <f t="shared" si="52"/>
        <v>0</v>
      </c>
      <c r="AA134" s="1">
        <f t="shared" si="52"/>
        <v>2</v>
      </c>
      <c r="AB134" s="1">
        <f t="shared" si="52"/>
        <v>0</v>
      </c>
      <c r="AC134" s="1">
        <f t="shared" si="52"/>
        <v>2</v>
      </c>
      <c r="AD134" s="1">
        <f t="shared" si="52"/>
        <v>2</v>
      </c>
      <c r="AE134" s="1">
        <f t="shared" si="52"/>
        <v>2</v>
      </c>
      <c r="AF134" s="1">
        <f t="shared" si="52"/>
        <v>2</v>
      </c>
      <c r="AG134" s="1">
        <f t="shared" si="52"/>
        <v>2</v>
      </c>
      <c r="AH134" s="1">
        <f t="shared" si="52"/>
        <v>2</v>
      </c>
      <c r="AI134" s="1">
        <f t="shared" si="52"/>
        <v>2</v>
      </c>
      <c r="AJ134" s="1">
        <f t="shared" si="52"/>
        <v>2</v>
      </c>
      <c r="AK134" s="1">
        <f t="shared" si="52"/>
        <v>2</v>
      </c>
      <c r="AL134" s="1">
        <f t="shared" si="52"/>
        <v>2</v>
      </c>
      <c r="AM134" s="1">
        <f t="shared" si="52"/>
        <v>2</v>
      </c>
      <c r="AN134" s="1">
        <f t="shared" si="52"/>
        <v>2</v>
      </c>
      <c r="AO134" s="1">
        <f t="shared" si="52"/>
        <v>2</v>
      </c>
      <c r="AP134" s="1">
        <f t="shared" si="52"/>
        <v>2</v>
      </c>
      <c r="AQ134" s="1">
        <f t="shared" si="52"/>
        <v>2</v>
      </c>
    </row>
    <row r="135" spans="1:43" x14ac:dyDescent="0.25">
      <c r="E135" s="1">
        <f t="shared" ref="E135:AQ135" si="53">+E49-E92</f>
        <v>0</v>
      </c>
      <c r="F135" s="1">
        <f t="shared" si="53"/>
        <v>0</v>
      </c>
      <c r="G135" s="1">
        <f t="shared" si="53"/>
        <v>0</v>
      </c>
      <c r="H135" s="1">
        <f t="shared" si="53"/>
        <v>0</v>
      </c>
      <c r="I135" s="1">
        <f t="shared" si="53"/>
        <v>0</v>
      </c>
      <c r="J135" s="1">
        <f t="shared" si="53"/>
        <v>0</v>
      </c>
      <c r="K135" s="1">
        <f t="shared" si="53"/>
        <v>0</v>
      </c>
      <c r="L135" s="1">
        <f t="shared" si="53"/>
        <v>0</v>
      </c>
      <c r="M135" s="1">
        <f t="shared" si="53"/>
        <v>0</v>
      </c>
      <c r="N135" s="1">
        <f t="shared" si="53"/>
        <v>0</v>
      </c>
      <c r="O135" s="1">
        <f t="shared" si="53"/>
        <v>0</v>
      </c>
      <c r="P135" s="1">
        <f t="shared" si="53"/>
        <v>0</v>
      </c>
      <c r="Q135" s="1">
        <f t="shared" si="53"/>
        <v>0</v>
      </c>
      <c r="R135" s="1">
        <f t="shared" si="53"/>
        <v>0</v>
      </c>
      <c r="S135" s="1">
        <f t="shared" si="53"/>
        <v>0</v>
      </c>
      <c r="T135" s="1">
        <f t="shared" si="53"/>
        <v>0</v>
      </c>
      <c r="U135" s="1">
        <f t="shared" si="53"/>
        <v>0</v>
      </c>
      <c r="V135" s="1">
        <f t="shared" si="53"/>
        <v>0</v>
      </c>
      <c r="W135" s="1">
        <f t="shared" si="53"/>
        <v>2</v>
      </c>
      <c r="X135" s="1">
        <f t="shared" si="53"/>
        <v>0</v>
      </c>
      <c r="Y135" s="1">
        <f t="shared" si="53"/>
        <v>0</v>
      </c>
      <c r="Z135" s="1">
        <f t="shared" si="53"/>
        <v>0</v>
      </c>
      <c r="AA135" s="1">
        <f t="shared" si="53"/>
        <v>0</v>
      </c>
      <c r="AB135" s="1">
        <f t="shared" si="53"/>
        <v>0</v>
      </c>
      <c r="AC135" s="1">
        <f t="shared" si="53"/>
        <v>0</v>
      </c>
      <c r="AD135" s="1">
        <f t="shared" si="53"/>
        <v>0</v>
      </c>
      <c r="AE135" s="1">
        <f t="shared" si="53"/>
        <v>0</v>
      </c>
      <c r="AF135" s="1">
        <f t="shared" si="53"/>
        <v>0</v>
      </c>
      <c r="AG135" s="1">
        <f t="shared" si="53"/>
        <v>0</v>
      </c>
      <c r="AH135" s="1">
        <f t="shared" si="53"/>
        <v>0</v>
      </c>
      <c r="AI135" s="1">
        <f t="shared" si="53"/>
        <v>0</v>
      </c>
      <c r="AJ135" s="1">
        <f t="shared" si="53"/>
        <v>0</v>
      </c>
      <c r="AK135" s="1">
        <f t="shared" si="53"/>
        <v>0</v>
      </c>
      <c r="AL135" s="1">
        <f t="shared" si="53"/>
        <v>0</v>
      </c>
      <c r="AM135" s="1">
        <f t="shared" si="53"/>
        <v>0</v>
      </c>
      <c r="AN135" s="1">
        <f t="shared" si="53"/>
        <v>0</v>
      </c>
      <c r="AO135" s="1">
        <f t="shared" si="53"/>
        <v>0</v>
      </c>
      <c r="AP135" s="1">
        <f t="shared" si="53"/>
        <v>0</v>
      </c>
      <c r="AQ135" s="1">
        <f t="shared" si="53"/>
        <v>-1</v>
      </c>
    </row>
    <row r="136" spans="1:43" x14ac:dyDescent="0.25">
      <c r="E136" s="1">
        <f t="shared" ref="E136:AQ136" si="54">+E50-E93</f>
        <v>-1</v>
      </c>
      <c r="F136" s="1">
        <f t="shared" si="54"/>
        <v>-1</v>
      </c>
      <c r="G136" s="1">
        <f t="shared" si="54"/>
        <v>-1</v>
      </c>
      <c r="H136" s="1">
        <f t="shared" si="54"/>
        <v>-1</v>
      </c>
      <c r="I136" s="1">
        <f t="shared" si="54"/>
        <v>0</v>
      </c>
      <c r="J136" s="1">
        <f t="shared" si="54"/>
        <v>1</v>
      </c>
      <c r="K136" s="1">
        <f t="shared" si="54"/>
        <v>1</v>
      </c>
      <c r="L136" s="1">
        <f t="shared" si="54"/>
        <v>-1</v>
      </c>
      <c r="M136" s="1">
        <f t="shared" si="54"/>
        <v>-1</v>
      </c>
      <c r="N136" s="1">
        <f t="shared" si="54"/>
        <v>1</v>
      </c>
      <c r="O136" s="1">
        <f t="shared" si="54"/>
        <v>1</v>
      </c>
      <c r="P136" s="1">
        <f t="shared" si="54"/>
        <v>0</v>
      </c>
      <c r="Q136" s="1">
        <f t="shared" si="54"/>
        <v>0</v>
      </c>
      <c r="R136" s="1">
        <f t="shared" si="54"/>
        <v>0</v>
      </c>
      <c r="S136" s="1">
        <f t="shared" si="54"/>
        <v>2</v>
      </c>
      <c r="T136" s="1">
        <f t="shared" si="54"/>
        <v>-1</v>
      </c>
      <c r="U136" s="1">
        <f t="shared" si="54"/>
        <v>-1</v>
      </c>
      <c r="V136" s="1">
        <f t="shared" si="54"/>
        <v>-1</v>
      </c>
      <c r="W136" s="1">
        <f t="shared" si="54"/>
        <v>2</v>
      </c>
      <c r="X136" s="1">
        <f t="shared" si="54"/>
        <v>-1</v>
      </c>
      <c r="Y136" s="1">
        <f t="shared" si="54"/>
        <v>-1</v>
      </c>
      <c r="Z136" s="1">
        <f t="shared" si="54"/>
        <v>-1</v>
      </c>
      <c r="AA136" s="1">
        <f t="shared" si="54"/>
        <v>-1</v>
      </c>
      <c r="AB136" s="1">
        <f t="shared" si="54"/>
        <v>-1</v>
      </c>
      <c r="AC136" s="1">
        <f t="shared" si="54"/>
        <v>1</v>
      </c>
      <c r="AD136" s="1">
        <f t="shared" si="54"/>
        <v>1</v>
      </c>
      <c r="AE136" s="1">
        <f t="shared" si="54"/>
        <v>1</v>
      </c>
      <c r="AF136" s="1">
        <f t="shared" si="54"/>
        <v>1</v>
      </c>
      <c r="AG136" s="1">
        <f t="shared" si="54"/>
        <v>1</v>
      </c>
      <c r="AH136" s="1">
        <f t="shared" si="54"/>
        <v>1</v>
      </c>
      <c r="AI136" s="1">
        <f t="shared" si="54"/>
        <v>-1</v>
      </c>
      <c r="AJ136" s="1">
        <f t="shared" si="54"/>
        <v>-1</v>
      </c>
      <c r="AK136" s="1">
        <f t="shared" si="54"/>
        <v>-1</v>
      </c>
      <c r="AL136" s="1">
        <f t="shared" si="54"/>
        <v>-1</v>
      </c>
      <c r="AM136" s="1">
        <f t="shared" si="54"/>
        <v>2</v>
      </c>
      <c r="AN136" s="1">
        <f t="shared" si="54"/>
        <v>2</v>
      </c>
      <c r="AO136" s="1">
        <f t="shared" si="54"/>
        <v>2</v>
      </c>
      <c r="AP136" s="1">
        <f t="shared" si="54"/>
        <v>2</v>
      </c>
      <c r="AQ136" s="1">
        <f t="shared" si="54"/>
        <v>2</v>
      </c>
    </row>
    <row r="137" spans="1:43" x14ac:dyDescent="0.25">
      <c r="E137" s="1">
        <f t="shared" ref="E137:AQ137" si="55">+E51-E94</f>
        <v>0</v>
      </c>
      <c r="F137" s="1">
        <f t="shared" si="55"/>
        <v>0</v>
      </c>
      <c r="G137" s="1">
        <f t="shared" si="55"/>
        <v>0</v>
      </c>
      <c r="H137" s="1">
        <f t="shared" si="55"/>
        <v>0</v>
      </c>
      <c r="I137" s="1">
        <f t="shared" si="55"/>
        <v>0</v>
      </c>
      <c r="J137" s="1">
        <f t="shared" si="55"/>
        <v>2</v>
      </c>
      <c r="K137" s="1">
        <f t="shared" si="55"/>
        <v>0</v>
      </c>
      <c r="L137" s="1">
        <f t="shared" si="55"/>
        <v>2</v>
      </c>
      <c r="M137" s="1">
        <f t="shared" si="55"/>
        <v>0</v>
      </c>
      <c r="N137" s="1">
        <f t="shared" si="55"/>
        <v>-1</v>
      </c>
      <c r="O137" s="1">
        <f t="shared" si="55"/>
        <v>0</v>
      </c>
      <c r="P137" s="1">
        <f t="shared" si="55"/>
        <v>0</v>
      </c>
      <c r="Q137" s="1">
        <f t="shared" si="55"/>
        <v>0</v>
      </c>
      <c r="R137" s="1">
        <f t="shared" si="55"/>
        <v>0</v>
      </c>
      <c r="S137" s="1">
        <f t="shared" si="55"/>
        <v>2</v>
      </c>
      <c r="T137" s="1">
        <f t="shared" si="55"/>
        <v>0</v>
      </c>
      <c r="U137" s="1">
        <f t="shared" si="55"/>
        <v>-1</v>
      </c>
      <c r="V137" s="1">
        <f t="shared" si="55"/>
        <v>2</v>
      </c>
      <c r="W137" s="1">
        <f t="shared" si="55"/>
        <v>2</v>
      </c>
      <c r="X137" s="1">
        <f t="shared" si="55"/>
        <v>0</v>
      </c>
      <c r="Y137" s="1">
        <f t="shared" si="55"/>
        <v>0</v>
      </c>
      <c r="Z137" s="1">
        <f t="shared" si="55"/>
        <v>0</v>
      </c>
      <c r="AA137" s="1">
        <f t="shared" si="55"/>
        <v>0</v>
      </c>
      <c r="AB137" s="1">
        <f t="shared" si="55"/>
        <v>0</v>
      </c>
      <c r="AC137" s="1">
        <f t="shared" si="55"/>
        <v>0</v>
      </c>
      <c r="AD137" s="1">
        <f t="shared" si="55"/>
        <v>0</v>
      </c>
      <c r="AE137" s="1">
        <f t="shared" si="55"/>
        <v>0</v>
      </c>
      <c r="AF137" s="1">
        <f t="shared" si="55"/>
        <v>0</v>
      </c>
      <c r="AG137" s="1">
        <f t="shared" si="55"/>
        <v>2</v>
      </c>
      <c r="AH137" s="1">
        <f t="shared" si="55"/>
        <v>2</v>
      </c>
      <c r="AI137" s="1">
        <f t="shared" si="55"/>
        <v>2</v>
      </c>
      <c r="AJ137" s="1">
        <f t="shared" si="55"/>
        <v>2</v>
      </c>
      <c r="AK137" s="1">
        <f t="shared" si="55"/>
        <v>2</v>
      </c>
      <c r="AL137" s="1">
        <f t="shared" si="55"/>
        <v>2</v>
      </c>
      <c r="AM137" s="1">
        <f t="shared" si="55"/>
        <v>1</v>
      </c>
      <c r="AN137" s="1">
        <f t="shared" si="55"/>
        <v>1</v>
      </c>
      <c r="AO137" s="1">
        <f t="shared" si="55"/>
        <v>1</v>
      </c>
      <c r="AP137" s="1">
        <f t="shared" si="55"/>
        <v>1</v>
      </c>
      <c r="AQ137" s="1">
        <f t="shared" si="55"/>
        <v>1</v>
      </c>
    </row>
    <row r="138" spans="1:43" x14ac:dyDescent="0.25">
      <c r="E138" s="1">
        <f t="shared" ref="E138:AQ138" si="56">+E52-E95</f>
        <v>0</v>
      </c>
      <c r="F138" s="1">
        <f t="shared" si="56"/>
        <v>0</v>
      </c>
      <c r="G138" s="1">
        <f t="shared" si="56"/>
        <v>0</v>
      </c>
      <c r="H138" s="1">
        <f t="shared" si="56"/>
        <v>0</v>
      </c>
      <c r="I138" s="1">
        <f t="shared" si="56"/>
        <v>0</v>
      </c>
      <c r="J138" s="1">
        <f t="shared" si="56"/>
        <v>0</v>
      </c>
      <c r="K138" s="1">
        <f t="shared" si="56"/>
        <v>0</v>
      </c>
      <c r="L138" s="1">
        <f t="shared" si="56"/>
        <v>0</v>
      </c>
      <c r="M138" s="1">
        <f t="shared" si="56"/>
        <v>0</v>
      </c>
      <c r="N138" s="1">
        <f t="shared" si="56"/>
        <v>0</v>
      </c>
      <c r="O138" s="1">
        <f t="shared" si="56"/>
        <v>0</v>
      </c>
      <c r="P138" s="1">
        <f t="shared" si="56"/>
        <v>0</v>
      </c>
      <c r="Q138" s="1">
        <f t="shared" si="56"/>
        <v>0</v>
      </c>
      <c r="R138" s="1">
        <f t="shared" si="56"/>
        <v>2</v>
      </c>
      <c r="S138" s="1">
        <f t="shared" si="56"/>
        <v>4</v>
      </c>
      <c r="T138" s="1">
        <f t="shared" si="56"/>
        <v>0</v>
      </c>
      <c r="U138" s="1">
        <f t="shared" si="56"/>
        <v>0</v>
      </c>
      <c r="V138" s="1">
        <f t="shared" si="56"/>
        <v>0</v>
      </c>
      <c r="W138" s="1">
        <f t="shared" si="56"/>
        <v>2</v>
      </c>
      <c r="X138" s="1">
        <f t="shared" si="56"/>
        <v>0</v>
      </c>
      <c r="Y138" s="1">
        <f t="shared" si="56"/>
        <v>0</v>
      </c>
      <c r="Z138" s="1">
        <f t="shared" si="56"/>
        <v>0</v>
      </c>
      <c r="AA138" s="1">
        <f t="shared" si="56"/>
        <v>0</v>
      </c>
      <c r="AB138" s="1">
        <f t="shared" si="56"/>
        <v>0</v>
      </c>
      <c r="AC138" s="1">
        <f t="shared" si="56"/>
        <v>0</v>
      </c>
      <c r="AD138" s="1">
        <f t="shared" si="56"/>
        <v>0</v>
      </c>
      <c r="AE138" s="1">
        <f t="shared" si="56"/>
        <v>0</v>
      </c>
      <c r="AF138" s="1">
        <f t="shared" si="56"/>
        <v>0</v>
      </c>
      <c r="AG138" s="1">
        <f t="shared" si="56"/>
        <v>0</v>
      </c>
      <c r="AH138" s="1">
        <f t="shared" si="56"/>
        <v>0</v>
      </c>
      <c r="AI138" s="1">
        <f t="shared" si="56"/>
        <v>0</v>
      </c>
      <c r="AJ138" s="1">
        <f t="shared" si="56"/>
        <v>0</v>
      </c>
      <c r="AK138" s="1">
        <f t="shared" si="56"/>
        <v>0</v>
      </c>
      <c r="AL138" s="1">
        <f t="shared" si="56"/>
        <v>0</v>
      </c>
      <c r="AM138" s="1">
        <f t="shared" si="56"/>
        <v>2</v>
      </c>
      <c r="AN138" s="1">
        <f t="shared" si="56"/>
        <v>2</v>
      </c>
      <c r="AO138" s="1">
        <f t="shared" si="56"/>
        <v>2</v>
      </c>
      <c r="AP138" s="1">
        <f t="shared" si="56"/>
        <v>2</v>
      </c>
      <c r="AQ138" s="1">
        <f t="shared" si="56"/>
        <v>2</v>
      </c>
    </row>
    <row r="139" spans="1:43" x14ac:dyDescent="0.25">
      <c r="E139" s="1">
        <f t="shared" ref="E139:AQ139" si="57">+E53-E96</f>
        <v>0</v>
      </c>
      <c r="F139" s="1">
        <f t="shared" si="57"/>
        <v>0</v>
      </c>
      <c r="G139" s="1">
        <f t="shared" si="57"/>
        <v>0</v>
      </c>
      <c r="H139" s="1">
        <f t="shared" si="57"/>
        <v>0</v>
      </c>
      <c r="I139" s="1">
        <f t="shared" si="57"/>
        <v>0</v>
      </c>
      <c r="J139" s="1">
        <f t="shared" si="57"/>
        <v>0</v>
      </c>
      <c r="K139" s="1">
        <f t="shared" si="57"/>
        <v>0</v>
      </c>
      <c r="L139" s="1">
        <f t="shared" si="57"/>
        <v>0</v>
      </c>
      <c r="M139" s="1">
        <f t="shared" si="57"/>
        <v>0</v>
      </c>
      <c r="N139" s="1">
        <f t="shared" si="57"/>
        <v>0</v>
      </c>
      <c r="O139" s="1">
        <f t="shared" si="57"/>
        <v>0</v>
      </c>
      <c r="P139" s="1">
        <f t="shared" si="57"/>
        <v>0</v>
      </c>
      <c r="Q139" s="1">
        <f t="shared" si="57"/>
        <v>0</v>
      </c>
      <c r="R139" s="1">
        <f t="shared" si="57"/>
        <v>0</v>
      </c>
      <c r="S139" s="1">
        <f t="shared" si="57"/>
        <v>2</v>
      </c>
      <c r="T139" s="1">
        <f t="shared" si="57"/>
        <v>0</v>
      </c>
      <c r="U139" s="1">
        <f t="shared" si="57"/>
        <v>0</v>
      </c>
      <c r="V139" s="1">
        <f t="shared" si="57"/>
        <v>0</v>
      </c>
      <c r="W139" s="1">
        <f t="shared" si="57"/>
        <v>2</v>
      </c>
      <c r="X139" s="1">
        <f t="shared" si="57"/>
        <v>0</v>
      </c>
      <c r="Y139" s="1">
        <f t="shared" si="57"/>
        <v>0</v>
      </c>
      <c r="Z139" s="1">
        <f t="shared" si="57"/>
        <v>0</v>
      </c>
      <c r="AA139" s="1">
        <f t="shared" si="57"/>
        <v>0</v>
      </c>
      <c r="AB139" s="1">
        <f t="shared" si="57"/>
        <v>0</v>
      </c>
      <c r="AC139" s="1">
        <f t="shared" si="57"/>
        <v>0</v>
      </c>
      <c r="AD139" s="1">
        <f t="shared" si="57"/>
        <v>0</v>
      </c>
      <c r="AE139" s="1">
        <f t="shared" si="57"/>
        <v>0</v>
      </c>
      <c r="AF139" s="1">
        <f t="shared" si="57"/>
        <v>0</v>
      </c>
      <c r="AG139" s="1">
        <f t="shared" si="57"/>
        <v>0</v>
      </c>
      <c r="AH139" s="1">
        <f t="shared" si="57"/>
        <v>0</v>
      </c>
      <c r="AI139" s="1">
        <f t="shared" si="57"/>
        <v>0</v>
      </c>
      <c r="AJ139" s="1">
        <f t="shared" si="57"/>
        <v>0</v>
      </c>
      <c r="AK139" s="1">
        <f t="shared" si="57"/>
        <v>0</v>
      </c>
      <c r="AL139" s="1">
        <f t="shared" si="57"/>
        <v>0</v>
      </c>
      <c r="AM139" s="1">
        <f t="shared" si="57"/>
        <v>0</v>
      </c>
      <c r="AN139" s="1">
        <f t="shared" si="57"/>
        <v>0</v>
      </c>
      <c r="AO139" s="1">
        <f t="shared" si="57"/>
        <v>0</v>
      </c>
      <c r="AP139" s="1">
        <f t="shared" si="57"/>
        <v>0</v>
      </c>
      <c r="AQ139" s="1">
        <f t="shared" si="57"/>
        <v>0</v>
      </c>
    </row>
    <row r="140" spans="1:43" x14ac:dyDescent="0.25">
      <c r="E140" s="1">
        <f t="shared" ref="E140:AQ140" si="58">+E54-E97</f>
        <v>2</v>
      </c>
      <c r="F140" s="1">
        <f t="shared" si="58"/>
        <v>2</v>
      </c>
      <c r="G140" s="1">
        <f t="shared" si="58"/>
        <v>2</v>
      </c>
      <c r="H140" s="1">
        <f t="shared" si="58"/>
        <v>2</v>
      </c>
      <c r="I140" s="1">
        <f t="shared" si="58"/>
        <v>2</v>
      </c>
      <c r="J140" s="1">
        <f t="shared" si="58"/>
        <v>2</v>
      </c>
      <c r="K140" s="1">
        <f t="shared" si="58"/>
        <v>2</v>
      </c>
      <c r="L140" s="1">
        <f t="shared" si="58"/>
        <v>2</v>
      </c>
      <c r="M140" s="1">
        <f t="shared" si="58"/>
        <v>2</v>
      </c>
      <c r="N140" s="1">
        <f t="shared" si="58"/>
        <v>2</v>
      </c>
      <c r="O140" s="1">
        <f t="shared" si="58"/>
        <v>2</v>
      </c>
      <c r="P140" s="1">
        <f t="shared" si="58"/>
        <v>2</v>
      </c>
      <c r="Q140" s="1">
        <f t="shared" si="58"/>
        <v>2</v>
      </c>
      <c r="R140" s="1">
        <f t="shared" si="58"/>
        <v>2</v>
      </c>
      <c r="S140" s="1">
        <f t="shared" si="58"/>
        <v>2</v>
      </c>
      <c r="T140" s="1">
        <f t="shared" si="58"/>
        <v>2</v>
      </c>
      <c r="U140" s="1">
        <f t="shared" si="58"/>
        <v>2</v>
      </c>
      <c r="V140" s="1">
        <f t="shared" si="58"/>
        <v>2</v>
      </c>
      <c r="W140" s="1">
        <f t="shared" si="58"/>
        <v>4</v>
      </c>
      <c r="X140" s="1">
        <f t="shared" si="58"/>
        <v>2</v>
      </c>
      <c r="Y140" s="1">
        <f t="shared" si="58"/>
        <v>2</v>
      </c>
      <c r="Z140" s="1">
        <f t="shared" si="58"/>
        <v>2</v>
      </c>
      <c r="AA140" s="1">
        <f t="shared" si="58"/>
        <v>2</v>
      </c>
      <c r="AB140" s="1">
        <f t="shared" si="58"/>
        <v>2</v>
      </c>
      <c r="AC140" s="1">
        <f t="shared" si="58"/>
        <v>2</v>
      </c>
      <c r="AD140" s="1">
        <f t="shared" si="58"/>
        <v>2</v>
      </c>
      <c r="AE140" s="1">
        <f t="shared" si="58"/>
        <v>2</v>
      </c>
      <c r="AF140" s="1">
        <f t="shared" si="58"/>
        <v>2</v>
      </c>
      <c r="AG140" s="1">
        <f t="shared" si="58"/>
        <v>2</v>
      </c>
      <c r="AH140" s="1">
        <f t="shared" si="58"/>
        <v>2</v>
      </c>
      <c r="AI140" s="1">
        <f t="shared" si="58"/>
        <v>2</v>
      </c>
      <c r="AJ140" s="1">
        <f t="shared" si="58"/>
        <v>2</v>
      </c>
      <c r="AK140" s="1">
        <f t="shared" si="58"/>
        <v>2</v>
      </c>
      <c r="AL140" s="1">
        <f t="shared" si="58"/>
        <v>2</v>
      </c>
      <c r="AM140" s="1">
        <f t="shared" si="58"/>
        <v>2</v>
      </c>
      <c r="AN140" s="1">
        <f t="shared" si="58"/>
        <v>2</v>
      </c>
      <c r="AO140" s="1">
        <f t="shared" si="58"/>
        <v>2</v>
      </c>
      <c r="AP140" s="1">
        <f t="shared" si="58"/>
        <v>2</v>
      </c>
      <c r="AQ140" s="1">
        <f t="shared" si="58"/>
        <v>2</v>
      </c>
    </row>
    <row r="141" spans="1:43" x14ac:dyDescent="0.25">
      <c r="E141" s="1">
        <f t="shared" ref="E141:AQ141" si="59">+E55-E98</f>
        <v>0</v>
      </c>
      <c r="F141" s="1">
        <f t="shared" si="59"/>
        <v>0</v>
      </c>
      <c r="G141" s="1">
        <f t="shared" si="59"/>
        <v>0</v>
      </c>
      <c r="H141" s="1">
        <f t="shared" si="59"/>
        <v>0</v>
      </c>
      <c r="I141" s="1">
        <f t="shared" si="59"/>
        <v>0</v>
      </c>
      <c r="J141" s="1">
        <f t="shared" si="59"/>
        <v>0</v>
      </c>
      <c r="K141" s="1">
        <f t="shared" si="59"/>
        <v>0</v>
      </c>
      <c r="L141" s="1">
        <f t="shared" si="59"/>
        <v>0</v>
      </c>
      <c r="M141" s="1">
        <f t="shared" si="59"/>
        <v>2</v>
      </c>
      <c r="N141" s="1">
        <f t="shared" si="59"/>
        <v>0</v>
      </c>
      <c r="O141" s="1">
        <f t="shared" si="59"/>
        <v>0</v>
      </c>
      <c r="P141" s="1">
        <f t="shared" si="59"/>
        <v>0</v>
      </c>
      <c r="Q141" s="1">
        <f t="shared" si="59"/>
        <v>0</v>
      </c>
      <c r="R141" s="1">
        <f t="shared" si="59"/>
        <v>0</v>
      </c>
      <c r="S141" s="1">
        <f t="shared" si="59"/>
        <v>4</v>
      </c>
      <c r="T141" s="1">
        <f t="shared" si="59"/>
        <v>0</v>
      </c>
      <c r="U141" s="1">
        <f t="shared" si="59"/>
        <v>0</v>
      </c>
      <c r="V141" s="1">
        <f t="shared" si="59"/>
        <v>0</v>
      </c>
      <c r="W141" s="1">
        <f t="shared" si="59"/>
        <v>2</v>
      </c>
      <c r="X141" s="1">
        <f t="shared" si="59"/>
        <v>0</v>
      </c>
      <c r="Y141" s="1">
        <f t="shared" si="59"/>
        <v>0</v>
      </c>
      <c r="Z141" s="1">
        <f t="shared" si="59"/>
        <v>0</v>
      </c>
      <c r="AA141" s="1">
        <f t="shared" si="59"/>
        <v>0</v>
      </c>
      <c r="AB141" s="1">
        <f t="shared" si="59"/>
        <v>0</v>
      </c>
      <c r="AC141" s="1">
        <f t="shared" si="59"/>
        <v>0</v>
      </c>
      <c r="AD141" s="1">
        <f t="shared" si="59"/>
        <v>0</v>
      </c>
      <c r="AE141" s="1">
        <f t="shared" si="59"/>
        <v>0</v>
      </c>
      <c r="AF141" s="1">
        <f t="shared" si="59"/>
        <v>0</v>
      </c>
      <c r="AG141" s="1">
        <f t="shared" si="59"/>
        <v>0</v>
      </c>
      <c r="AH141" s="1">
        <f t="shared" si="59"/>
        <v>0</v>
      </c>
      <c r="AI141" s="1">
        <f t="shared" si="59"/>
        <v>0</v>
      </c>
      <c r="AJ141" s="1">
        <f t="shared" si="59"/>
        <v>0</v>
      </c>
      <c r="AK141" s="1">
        <f t="shared" si="59"/>
        <v>0</v>
      </c>
      <c r="AL141" s="1">
        <f t="shared" si="59"/>
        <v>0</v>
      </c>
      <c r="AM141" s="1">
        <f t="shared" si="59"/>
        <v>4</v>
      </c>
      <c r="AN141" s="1">
        <f t="shared" si="59"/>
        <v>4</v>
      </c>
      <c r="AO141" s="1">
        <f t="shared" si="59"/>
        <v>4</v>
      </c>
      <c r="AP141" s="1">
        <f t="shared" si="59"/>
        <v>4</v>
      </c>
      <c r="AQ141" s="1">
        <f t="shared" si="59"/>
        <v>4</v>
      </c>
    </row>
    <row r="142" spans="1:43" x14ac:dyDescent="0.25">
      <c r="E142" s="1">
        <f t="shared" ref="E142:AQ142" si="60">+E56-E99</f>
        <v>0</v>
      </c>
      <c r="F142" s="1">
        <f t="shared" si="60"/>
        <v>0</v>
      </c>
      <c r="G142" s="1">
        <f t="shared" si="60"/>
        <v>0</v>
      </c>
      <c r="H142" s="1">
        <f t="shared" si="60"/>
        <v>0</v>
      </c>
      <c r="I142" s="1">
        <f t="shared" si="60"/>
        <v>2</v>
      </c>
      <c r="J142" s="1">
        <f t="shared" si="60"/>
        <v>0</v>
      </c>
      <c r="K142" s="1">
        <f t="shared" si="60"/>
        <v>0</v>
      </c>
      <c r="L142" s="1">
        <f t="shared" si="60"/>
        <v>0</v>
      </c>
      <c r="M142" s="1">
        <f t="shared" si="60"/>
        <v>0</v>
      </c>
      <c r="N142" s="1">
        <f t="shared" si="60"/>
        <v>0</v>
      </c>
      <c r="O142" s="1">
        <f t="shared" si="60"/>
        <v>-1</v>
      </c>
      <c r="P142" s="1">
        <f t="shared" si="60"/>
        <v>0</v>
      </c>
      <c r="Q142" s="1">
        <f t="shared" si="60"/>
        <v>1</v>
      </c>
      <c r="R142" s="1">
        <f t="shared" si="60"/>
        <v>2</v>
      </c>
      <c r="S142" s="1">
        <f t="shared" si="60"/>
        <v>4</v>
      </c>
      <c r="T142" s="1">
        <f t="shared" si="60"/>
        <v>0</v>
      </c>
      <c r="U142" s="1">
        <f t="shared" si="60"/>
        <v>0</v>
      </c>
      <c r="V142" s="1">
        <f t="shared" si="60"/>
        <v>0</v>
      </c>
      <c r="W142" s="1">
        <f t="shared" si="60"/>
        <v>2</v>
      </c>
      <c r="X142" s="1">
        <f t="shared" si="60"/>
        <v>0</v>
      </c>
      <c r="Y142" s="1">
        <f t="shared" si="60"/>
        <v>0</v>
      </c>
      <c r="Z142" s="1">
        <f t="shared" si="60"/>
        <v>0</v>
      </c>
      <c r="AA142" s="1">
        <f t="shared" si="60"/>
        <v>1</v>
      </c>
      <c r="AB142" s="1">
        <f t="shared" si="60"/>
        <v>0</v>
      </c>
      <c r="AC142" s="1">
        <f t="shared" si="60"/>
        <v>1</v>
      </c>
      <c r="AD142" s="1">
        <f t="shared" si="60"/>
        <v>1</v>
      </c>
      <c r="AE142" s="1">
        <f t="shared" si="60"/>
        <v>1</v>
      </c>
      <c r="AF142" s="1">
        <f t="shared" si="60"/>
        <v>1</v>
      </c>
      <c r="AG142" s="1">
        <f t="shared" si="60"/>
        <v>1</v>
      </c>
      <c r="AH142" s="1">
        <f t="shared" si="60"/>
        <v>2</v>
      </c>
      <c r="AI142" s="1">
        <f t="shared" si="60"/>
        <v>1</v>
      </c>
      <c r="AJ142" s="1">
        <f t="shared" si="60"/>
        <v>1</v>
      </c>
      <c r="AK142" s="1">
        <f t="shared" si="60"/>
        <v>1</v>
      </c>
      <c r="AL142" s="1">
        <f t="shared" si="60"/>
        <v>0</v>
      </c>
      <c r="AM142" s="1">
        <f t="shared" si="60"/>
        <v>2</v>
      </c>
      <c r="AN142" s="1">
        <f t="shared" si="60"/>
        <v>2</v>
      </c>
      <c r="AO142" s="1">
        <f t="shared" si="60"/>
        <v>2</v>
      </c>
      <c r="AP142" s="1">
        <f t="shared" si="60"/>
        <v>2</v>
      </c>
      <c r="AQ142" s="1">
        <f t="shared" si="60"/>
        <v>2</v>
      </c>
    </row>
    <row r="143" spans="1:43" x14ac:dyDescent="0.25">
      <c r="E143" s="1">
        <f t="shared" ref="E143:AQ143" si="61">+E57-E100</f>
        <v>0</v>
      </c>
      <c r="F143" s="1">
        <f t="shared" si="61"/>
        <v>0</v>
      </c>
      <c r="G143" s="1">
        <f t="shared" si="61"/>
        <v>0</v>
      </c>
      <c r="H143" s="1">
        <f t="shared" si="61"/>
        <v>0</v>
      </c>
      <c r="I143" s="1">
        <f t="shared" si="61"/>
        <v>0</v>
      </c>
      <c r="J143" s="1">
        <f t="shared" si="61"/>
        <v>0</v>
      </c>
      <c r="K143" s="1">
        <f t="shared" si="61"/>
        <v>0</v>
      </c>
      <c r="L143" s="1">
        <f t="shared" si="61"/>
        <v>0</v>
      </c>
      <c r="M143" s="1">
        <f t="shared" si="61"/>
        <v>0</v>
      </c>
      <c r="N143" s="1">
        <f t="shared" si="61"/>
        <v>0</v>
      </c>
      <c r="O143" s="1">
        <f t="shared" si="61"/>
        <v>0</v>
      </c>
      <c r="P143" s="1">
        <f t="shared" si="61"/>
        <v>0</v>
      </c>
      <c r="Q143" s="1">
        <f t="shared" si="61"/>
        <v>0</v>
      </c>
      <c r="R143" s="1">
        <f t="shared" si="61"/>
        <v>0</v>
      </c>
      <c r="S143" s="1">
        <f t="shared" si="61"/>
        <v>2</v>
      </c>
      <c r="T143" s="1">
        <f t="shared" si="61"/>
        <v>0</v>
      </c>
      <c r="U143" s="1">
        <f t="shared" si="61"/>
        <v>0</v>
      </c>
      <c r="V143" s="1">
        <f t="shared" si="61"/>
        <v>0</v>
      </c>
      <c r="W143" s="1">
        <f t="shared" si="61"/>
        <v>2</v>
      </c>
      <c r="X143" s="1">
        <f t="shared" si="61"/>
        <v>0</v>
      </c>
      <c r="Y143" s="1">
        <f t="shared" si="61"/>
        <v>0</v>
      </c>
      <c r="Z143" s="1">
        <f t="shared" si="61"/>
        <v>0</v>
      </c>
      <c r="AA143" s="1">
        <f t="shared" si="61"/>
        <v>2</v>
      </c>
      <c r="AB143" s="1">
        <f t="shared" si="61"/>
        <v>2</v>
      </c>
      <c r="AC143" s="1">
        <f t="shared" si="61"/>
        <v>2</v>
      </c>
      <c r="AD143" s="1">
        <f t="shared" si="61"/>
        <v>2</v>
      </c>
      <c r="AE143" s="1">
        <f t="shared" si="61"/>
        <v>2</v>
      </c>
      <c r="AF143" s="1">
        <f t="shared" si="61"/>
        <v>2</v>
      </c>
      <c r="AG143" s="1">
        <f t="shared" si="61"/>
        <v>2</v>
      </c>
      <c r="AH143" s="1">
        <f t="shared" si="61"/>
        <v>2</v>
      </c>
      <c r="AI143" s="1">
        <f t="shared" si="61"/>
        <v>2</v>
      </c>
      <c r="AJ143" s="1">
        <f t="shared" si="61"/>
        <v>2</v>
      </c>
      <c r="AK143" s="1">
        <f t="shared" si="61"/>
        <v>2</v>
      </c>
      <c r="AL143" s="1">
        <f t="shared" si="61"/>
        <v>2</v>
      </c>
      <c r="AM143" s="1">
        <f t="shared" si="61"/>
        <v>2</v>
      </c>
      <c r="AN143" s="1">
        <f t="shared" si="61"/>
        <v>2</v>
      </c>
      <c r="AO143" s="1">
        <f t="shared" si="61"/>
        <v>2</v>
      </c>
      <c r="AP143" s="1">
        <f t="shared" si="61"/>
        <v>2</v>
      </c>
      <c r="AQ143" s="1">
        <f t="shared" si="61"/>
        <v>2</v>
      </c>
    </row>
    <row r="144" spans="1:43" x14ac:dyDescent="0.25">
      <c r="E144" s="1">
        <f t="shared" ref="E144:AQ144" si="62">+E58-E101</f>
        <v>1</v>
      </c>
      <c r="F144" s="1">
        <f t="shared" si="62"/>
        <v>2</v>
      </c>
      <c r="G144" s="1">
        <f t="shared" si="62"/>
        <v>2</v>
      </c>
      <c r="H144" s="1">
        <f t="shared" si="62"/>
        <v>2</v>
      </c>
      <c r="I144" s="1">
        <f t="shared" si="62"/>
        <v>2</v>
      </c>
      <c r="J144" s="1">
        <f t="shared" si="62"/>
        <v>2</v>
      </c>
      <c r="K144" s="1">
        <f t="shared" si="62"/>
        <v>2</v>
      </c>
      <c r="L144" s="1">
        <f t="shared" si="62"/>
        <v>2</v>
      </c>
      <c r="M144" s="1">
        <f t="shared" si="62"/>
        <v>2</v>
      </c>
      <c r="N144" s="1">
        <f t="shared" si="62"/>
        <v>2</v>
      </c>
      <c r="O144" s="1">
        <f t="shared" si="62"/>
        <v>2</v>
      </c>
      <c r="P144" s="1">
        <f t="shared" si="62"/>
        <v>2</v>
      </c>
      <c r="Q144" s="1">
        <f t="shared" si="62"/>
        <v>2</v>
      </c>
      <c r="R144" s="1">
        <f t="shared" si="62"/>
        <v>2</v>
      </c>
      <c r="S144" s="1">
        <f t="shared" si="62"/>
        <v>2</v>
      </c>
      <c r="T144" s="1">
        <f t="shared" si="62"/>
        <v>2</v>
      </c>
      <c r="U144" s="1">
        <f t="shared" si="62"/>
        <v>2</v>
      </c>
      <c r="V144" s="1">
        <f t="shared" si="62"/>
        <v>2</v>
      </c>
      <c r="W144" s="1">
        <f t="shared" si="62"/>
        <v>2</v>
      </c>
      <c r="X144" s="1">
        <f t="shared" si="62"/>
        <v>2</v>
      </c>
      <c r="Y144" s="1">
        <f t="shared" si="62"/>
        <v>2</v>
      </c>
      <c r="Z144" s="1">
        <f t="shared" si="62"/>
        <v>2</v>
      </c>
      <c r="AA144" s="1">
        <f t="shared" si="62"/>
        <v>2</v>
      </c>
      <c r="AB144" s="1">
        <f t="shared" si="62"/>
        <v>2</v>
      </c>
      <c r="AC144" s="1">
        <f t="shared" si="62"/>
        <v>2</v>
      </c>
      <c r="AD144" s="1">
        <f t="shared" si="62"/>
        <v>2</v>
      </c>
      <c r="AE144" s="1">
        <f t="shared" si="62"/>
        <v>2</v>
      </c>
      <c r="AF144" s="1">
        <f t="shared" si="62"/>
        <v>2</v>
      </c>
      <c r="AG144" s="1">
        <f t="shared" si="62"/>
        <v>2</v>
      </c>
      <c r="AH144" s="1">
        <f t="shared" si="62"/>
        <v>2</v>
      </c>
      <c r="AI144" s="1">
        <f t="shared" si="62"/>
        <v>2</v>
      </c>
      <c r="AJ144" s="1">
        <f t="shared" si="62"/>
        <v>2</v>
      </c>
      <c r="AK144" s="1">
        <f t="shared" si="62"/>
        <v>2</v>
      </c>
      <c r="AL144" s="1">
        <f t="shared" si="62"/>
        <v>2</v>
      </c>
      <c r="AM144" s="1">
        <f t="shared" si="62"/>
        <v>2</v>
      </c>
      <c r="AN144" s="1">
        <f t="shared" si="62"/>
        <v>2</v>
      </c>
      <c r="AO144" s="1">
        <f t="shared" si="62"/>
        <v>2</v>
      </c>
      <c r="AP144" s="1">
        <f t="shared" si="62"/>
        <v>2</v>
      </c>
      <c r="AQ144" s="1">
        <f t="shared" si="62"/>
        <v>2</v>
      </c>
    </row>
    <row r="145" spans="5:43" x14ac:dyDescent="0.25">
      <c r="E145" s="1">
        <f t="shared" ref="E145:AQ145" si="63">+E59-E102</f>
        <v>0</v>
      </c>
      <c r="F145" s="1">
        <f t="shared" si="63"/>
        <v>0</v>
      </c>
      <c r="G145" s="1">
        <f t="shared" si="63"/>
        <v>0</v>
      </c>
      <c r="H145" s="1">
        <f t="shared" si="63"/>
        <v>2</v>
      </c>
      <c r="I145" s="1">
        <f t="shared" si="63"/>
        <v>0</v>
      </c>
      <c r="J145" s="1">
        <f t="shared" si="63"/>
        <v>0</v>
      </c>
      <c r="K145" s="1">
        <f t="shared" si="63"/>
        <v>0</v>
      </c>
      <c r="L145" s="1">
        <f t="shared" si="63"/>
        <v>0</v>
      </c>
      <c r="M145" s="1">
        <f t="shared" si="63"/>
        <v>0</v>
      </c>
      <c r="N145" s="1">
        <f t="shared" si="63"/>
        <v>0</v>
      </c>
      <c r="O145" s="1">
        <f t="shared" si="63"/>
        <v>0</v>
      </c>
      <c r="P145" s="1">
        <f t="shared" si="63"/>
        <v>2</v>
      </c>
      <c r="Q145" s="1">
        <f t="shared" si="63"/>
        <v>0</v>
      </c>
      <c r="R145" s="1">
        <f t="shared" si="63"/>
        <v>0</v>
      </c>
      <c r="S145" s="1">
        <f t="shared" si="63"/>
        <v>2</v>
      </c>
      <c r="T145" s="1">
        <f t="shared" si="63"/>
        <v>0</v>
      </c>
      <c r="U145" s="1">
        <f t="shared" si="63"/>
        <v>0</v>
      </c>
      <c r="V145" s="1">
        <f t="shared" si="63"/>
        <v>0</v>
      </c>
      <c r="W145" s="1">
        <f t="shared" si="63"/>
        <v>2</v>
      </c>
      <c r="X145" s="1">
        <f t="shared" si="63"/>
        <v>0</v>
      </c>
      <c r="Y145" s="1">
        <f t="shared" si="63"/>
        <v>0</v>
      </c>
      <c r="Z145" s="1">
        <f t="shared" si="63"/>
        <v>0</v>
      </c>
      <c r="AA145" s="1">
        <f t="shared" si="63"/>
        <v>0</v>
      </c>
      <c r="AB145" s="1">
        <f t="shared" si="63"/>
        <v>0</v>
      </c>
      <c r="AC145" s="1">
        <f t="shared" si="63"/>
        <v>-1</v>
      </c>
      <c r="AD145" s="1">
        <f t="shared" si="63"/>
        <v>-1</v>
      </c>
      <c r="AE145" s="1">
        <f t="shared" si="63"/>
        <v>-1</v>
      </c>
      <c r="AF145" s="1">
        <f t="shared" si="63"/>
        <v>0</v>
      </c>
      <c r="AG145" s="1">
        <f t="shared" si="63"/>
        <v>0</v>
      </c>
      <c r="AH145" s="1">
        <f t="shared" si="63"/>
        <v>0</v>
      </c>
      <c r="AI145" s="1">
        <f t="shared" si="63"/>
        <v>0</v>
      </c>
      <c r="AJ145" s="1">
        <f t="shared" si="63"/>
        <v>-1</v>
      </c>
      <c r="AK145" s="1">
        <f t="shared" si="63"/>
        <v>-1</v>
      </c>
      <c r="AL145" s="1">
        <f t="shared" si="63"/>
        <v>0</v>
      </c>
      <c r="AM145" s="1">
        <f t="shared" si="63"/>
        <v>-1</v>
      </c>
      <c r="AN145" s="1">
        <f t="shared" si="63"/>
        <v>-1</v>
      </c>
      <c r="AO145" s="1">
        <f t="shared" si="63"/>
        <v>-1</v>
      </c>
      <c r="AP145" s="1">
        <f t="shared" si="63"/>
        <v>-1</v>
      </c>
      <c r="AQ145" s="1">
        <f t="shared" si="63"/>
        <v>0</v>
      </c>
    </row>
    <row r="146" spans="5:43" x14ac:dyDescent="0.25">
      <c r="E146" s="1">
        <f t="shared" ref="E146:AQ146" si="64">+E60-E103</f>
        <v>0</v>
      </c>
      <c r="F146" s="1">
        <f t="shared" si="64"/>
        <v>0</v>
      </c>
      <c r="G146" s="1">
        <f t="shared" si="64"/>
        <v>0</v>
      </c>
      <c r="H146" s="1">
        <f t="shared" si="64"/>
        <v>0</v>
      </c>
      <c r="I146" s="1">
        <f t="shared" si="64"/>
        <v>0</v>
      </c>
      <c r="J146" s="1">
        <f t="shared" si="64"/>
        <v>0</v>
      </c>
      <c r="K146" s="1">
        <f t="shared" si="64"/>
        <v>0</v>
      </c>
      <c r="L146" s="1">
        <f t="shared" si="64"/>
        <v>0</v>
      </c>
      <c r="M146" s="1">
        <f t="shared" si="64"/>
        <v>0</v>
      </c>
      <c r="N146" s="1">
        <f t="shared" si="64"/>
        <v>0</v>
      </c>
      <c r="O146" s="1">
        <f t="shared" si="64"/>
        <v>0</v>
      </c>
      <c r="P146" s="1">
        <f t="shared" si="64"/>
        <v>0</v>
      </c>
      <c r="Q146" s="1">
        <f t="shared" si="64"/>
        <v>0</v>
      </c>
      <c r="R146" s="1">
        <f t="shared" si="64"/>
        <v>0</v>
      </c>
      <c r="S146" s="1">
        <f t="shared" si="64"/>
        <v>2</v>
      </c>
      <c r="T146" s="1">
        <f t="shared" si="64"/>
        <v>0</v>
      </c>
      <c r="U146" s="1">
        <f t="shared" si="64"/>
        <v>0</v>
      </c>
      <c r="V146" s="1">
        <f t="shared" si="64"/>
        <v>0</v>
      </c>
      <c r="W146" s="1">
        <f t="shared" si="64"/>
        <v>2</v>
      </c>
      <c r="X146" s="1">
        <f t="shared" si="64"/>
        <v>0</v>
      </c>
      <c r="Y146" s="1">
        <f t="shared" si="64"/>
        <v>0</v>
      </c>
      <c r="Z146" s="1">
        <f t="shared" si="64"/>
        <v>0</v>
      </c>
      <c r="AA146" s="1">
        <f t="shared" si="64"/>
        <v>0</v>
      </c>
      <c r="AB146" s="1">
        <f t="shared" si="64"/>
        <v>0</v>
      </c>
      <c r="AC146" s="1">
        <f t="shared" si="64"/>
        <v>0</v>
      </c>
      <c r="AD146" s="1">
        <f t="shared" si="64"/>
        <v>0</v>
      </c>
      <c r="AE146" s="1">
        <f t="shared" si="64"/>
        <v>0</v>
      </c>
      <c r="AF146" s="1">
        <f t="shared" si="64"/>
        <v>0</v>
      </c>
      <c r="AG146" s="1">
        <f t="shared" si="64"/>
        <v>0</v>
      </c>
      <c r="AH146" s="1">
        <f t="shared" si="64"/>
        <v>0</v>
      </c>
      <c r="AI146" s="1">
        <f t="shared" si="64"/>
        <v>0</v>
      </c>
      <c r="AJ146" s="1">
        <f t="shared" si="64"/>
        <v>0</v>
      </c>
      <c r="AK146" s="1">
        <f t="shared" si="64"/>
        <v>0</v>
      </c>
      <c r="AL146" s="1">
        <f t="shared" si="64"/>
        <v>0</v>
      </c>
      <c r="AM146" s="1">
        <f t="shared" si="64"/>
        <v>2</v>
      </c>
      <c r="AN146" s="1">
        <f t="shared" si="64"/>
        <v>2</v>
      </c>
      <c r="AO146" s="1">
        <f t="shared" si="64"/>
        <v>2</v>
      </c>
      <c r="AP146" s="1">
        <f t="shared" si="64"/>
        <v>2</v>
      </c>
      <c r="AQ146" s="1">
        <f t="shared" si="64"/>
        <v>2</v>
      </c>
    </row>
    <row r="147" spans="5:43" x14ac:dyDescent="0.25">
      <c r="E147" s="1">
        <f t="shared" ref="E147:AQ147" si="65">+E61-E104</f>
        <v>0</v>
      </c>
      <c r="F147" s="1">
        <f t="shared" si="65"/>
        <v>-1</v>
      </c>
      <c r="G147" s="1">
        <f t="shared" si="65"/>
        <v>0</v>
      </c>
      <c r="H147" s="1">
        <f t="shared" si="65"/>
        <v>0</v>
      </c>
      <c r="I147" s="1">
        <f t="shared" si="65"/>
        <v>2</v>
      </c>
      <c r="J147" s="1">
        <f t="shared" si="65"/>
        <v>0</v>
      </c>
      <c r="K147" s="1">
        <f t="shared" si="65"/>
        <v>0</v>
      </c>
      <c r="L147" s="1">
        <f t="shared" si="65"/>
        <v>0</v>
      </c>
      <c r="M147" s="1">
        <f t="shared" si="65"/>
        <v>0</v>
      </c>
      <c r="N147" s="1">
        <f t="shared" si="65"/>
        <v>0</v>
      </c>
      <c r="O147" s="1">
        <f t="shared" si="65"/>
        <v>0</v>
      </c>
      <c r="P147" s="1">
        <f t="shared" si="65"/>
        <v>1</v>
      </c>
      <c r="Q147" s="1">
        <f t="shared" si="65"/>
        <v>0</v>
      </c>
      <c r="R147" s="1">
        <f t="shared" si="65"/>
        <v>0</v>
      </c>
      <c r="S147" s="1">
        <f t="shared" si="65"/>
        <v>2</v>
      </c>
      <c r="T147" s="1">
        <f t="shared" si="65"/>
        <v>0</v>
      </c>
      <c r="U147" s="1">
        <f t="shared" si="65"/>
        <v>0</v>
      </c>
      <c r="V147" s="1">
        <f t="shared" si="65"/>
        <v>0</v>
      </c>
      <c r="W147" s="1">
        <f t="shared" si="65"/>
        <v>2</v>
      </c>
      <c r="X147" s="1">
        <f t="shared" si="65"/>
        <v>0</v>
      </c>
      <c r="Y147" s="1">
        <f t="shared" si="65"/>
        <v>0</v>
      </c>
      <c r="Z147" s="1">
        <f t="shared" si="65"/>
        <v>0</v>
      </c>
      <c r="AA147" s="1">
        <f t="shared" si="65"/>
        <v>0</v>
      </c>
      <c r="AB147" s="1">
        <f t="shared" si="65"/>
        <v>0</v>
      </c>
      <c r="AC147" s="1">
        <f t="shared" si="65"/>
        <v>-1</v>
      </c>
      <c r="AD147" s="1">
        <f t="shared" si="65"/>
        <v>-1</v>
      </c>
      <c r="AE147" s="1">
        <f t="shared" si="65"/>
        <v>-1</v>
      </c>
      <c r="AF147" s="1">
        <f t="shared" si="65"/>
        <v>0</v>
      </c>
      <c r="AG147" s="1">
        <f t="shared" si="65"/>
        <v>0</v>
      </c>
      <c r="AH147" s="1">
        <f t="shared" si="65"/>
        <v>0</v>
      </c>
      <c r="AI147" s="1">
        <f t="shared" si="65"/>
        <v>0</v>
      </c>
      <c r="AJ147" s="1">
        <f t="shared" si="65"/>
        <v>0</v>
      </c>
      <c r="AK147" s="1">
        <f t="shared" si="65"/>
        <v>0</v>
      </c>
      <c r="AL147" s="1">
        <f t="shared" si="65"/>
        <v>0</v>
      </c>
      <c r="AM147" s="1">
        <f t="shared" si="65"/>
        <v>2</v>
      </c>
      <c r="AN147" s="1">
        <f t="shared" si="65"/>
        <v>2</v>
      </c>
      <c r="AO147" s="1">
        <f t="shared" si="65"/>
        <v>2</v>
      </c>
      <c r="AP147" s="1">
        <f t="shared" si="65"/>
        <v>2</v>
      </c>
      <c r="AQ147" s="1">
        <f t="shared" si="65"/>
        <v>2</v>
      </c>
    </row>
    <row r="148" spans="5:43" x14ac:dyDescent="0.25">
      <c r="E148" s="1">
        <f t="shared" ref="E148:AQ148" si="66">+E62-E105</f>
        <v>1</v>
      </c>
      <c r="F148" s="1">
        <f t="shared" si="66"/>
        <v>1</v>
      </c>
      <c r="G148" s="1">
        <f t="shared" si="66"/>
        <v>1</v>
      </c>
      <c r="H148" s="1">
        <f t="shared" si="66"/>
        <v>1</v>
      </c>
      <c r="I148" s="1">
        <f t="shared" si="66"/>
        <v>0</v>
      </c>
      <c r="J148" s="1">
        <f t="shared" si="66"/>
        <v>0</v>
      </c>
      <c r="K148" s="1">
        <f t="shared" si="66"/>
        <v>1</v>
      </c>
      <c r="L148" s="1">
        <f t="shared" si="66"/>
        <v>1</v>
      </c>
      <c r="M148" s="1">
        <f t="shared" si="66"/>
        <v>1</v>
      </c>
      <c r="N148" s="1">
        <f t="shared" si="66"/>
        <v>1</v>
      </c>
      <c r="O148" s="1">
        <f t="shared" si="66"/>
        <v>0</v>
      </c>
      <c r="P148" s="1">
        <f t="shared" si="66"/>
        <v>1</v>
      </c>
      <c r="Q148" s="1">
        <f t="shared" si="66"/>
        <v>0</v>
      </c>
      <c r="R148" s="1">
        <f t="shared" si="66"/>
        <v>0</v>
      </c>
      <c r="S148" s="1">
        <f t="shared" si="66"/>
        <v>2</v>
      </c>
      <c r="T148" s="1">
        <f t="shared" si="66"/>
        <v>0</v>
      </c>
      <c r="U148" s="1">
        <f t="shared" si="66"/>
        <v>0</v>
      </c>
      <c r="V148" s="1">
        <f t="shared" si="66"/>
        <v>0</v>
      </c>
      <c r="W148" s="1">
        <f t="shared" si="66"/>
        <v>2</v>
      </c>
      <c r="X148" s="1">
        <f t="shared" si="66"/>
        <v>1</v>
      </c>
      <c r="Y148" s="1">
        <f t="shared" si="66"/>
        <v>1</v>
      </c>
      <c r="Z148" s="1">
        <f t="shared" si="66"/>
        <v>1</v>
      </c>
      <c r="AA148" s="1">
        <f t="shared" si="66"/>
        <v>1</v>
      </c>
      <c r="AB148" s="1">
        <f t="shared" si="66"/>
        <v>1</v>
      </c>
      <c r="AC148" s="1">
        <f t="shared" si="66"/>
        <v>1</v>
      </c>
      <c r="AD148" s="1">
        <f t="shared" si="66"/>
        <v>1</v>
      </c>
      <c r="AE148" s="1">
        <f t="shared" si="66"/>
        <v>1</v>
      </c>
      <c r="AF148" s="1">
        <f t="shared" si="66"/>
        <v>1</v>
      </c>
      <c r="AG148" s="1">
        <f t="shared" si="66"/>
        <v>1</v>
      </c>
      <c r="AH148" s="1">
        <f t="shared" si="66"/>
        <v>1</v>
      </c>
      <c r="AI148" s="1">
        <f t="shared" si="66"/>
        <v>1</v>
      </c>
      <c r="AJ148" s="1">
        <f t="shared" si="66"/>
        <v>1</v>
      </c>
      <c r="AK148" s="1">
        <f t="shared" si="66"/>
        <v>1</v>
      </c>
      <c r="AL148" s="1">
        <f t="shared" si="66"/>
        <v>1</v>
      </c>
      <c r="AM148" s="1">
        <f t="shared" si="66"/>
        <v>2</v>
      </c>
      <c r="AN148" s="1">
        <f t="shared" si="66"/>
        <v>2</v>
      </c>
      <c r="AO148" s="1">
        <f t="shared" si="66"/>
        <v>2</v>
      </c>
      <c r="AP148" s="1">
        <f t="shared" si="66"/>
        <v>2</v>
      </c>
      <c r="AQ148" s="1">
        <f t="shared" si="66"/>
        <v>2</v>
      </c>
    </row>
    <row r="149" spans="5:43" x14ac:dyDescent="0.25">
      <c r="E149" s="1">
        <f t="shared" ref="E149:AQ149" si="67">+E63-E106</f>
        <v>3</v>
      </c>
      <c r="F149" s="1">
        <f t="shared" si="67"/>
        <v>4</v>
      </c>
      <c r="G149" s="1">
        <f t="shared" si="67"/>
        <v>4</v>
      </c>
      <c r="H149" s="1">
        <f t="shared" si="67"/>
        <v>2</v>
      </c>
      <c r="I149" s="1">
        <f t="shared" si="67"/>
        <v>4</v>
      </c>
      <c r="J149" s="1">
        <f t="shared" si="67"/>
        <v>4</v>
      </c>
      <c r="K149" s="1">
        <f t="shared" si="67"/>
        <v>4</v>
      </c>
      <c r="L149" s="1">
        <f t="shared" si="67"/>
        <v>4</v>
      </c>
      <c r="M149" s="1">
        <f t="shared" si="67"/>
        <v>4</v>
      </c>
      <c r="N149" s="1">
        <f t="shared" si="67"/>
        <v>4</v>
      </c>
      <c r="O149" s="1">
        <f t="shared" si="67"/>
        <v>4</v>
      </c>
      <c r="P149" s="1">
        <f t="shared" si="67"/>
        <v>4</v>
      </c>
      <c r="Q149" s="1">
        <f t="shared" si="67"/>
        <v>4</v>
      </c>
      <c r="R149" s="1">
        <f t="shared" si="67"/>
        <v>2</v>
      </c>
      <c r="S149" s="1">
        <f t="shared" si="67"/>
        <v>2</v>
      </c>
      <c r="T149" s="1">
        <f t="shared" si="67"/>
        <v>4</v>
      </c>
      <c r="U149" s="1">
        <f t="shared" si="67"/>
        <v>4</v>
      </c>
      <c r="V149" s="1">
        <f t="shared" si="67"/>
        <v>2</v>
      </c>
      <c r="W149" s="1">
        <f t="shared" si="67"/>
        <v>4</v>
      </c>
      <c r="X149" s="1">
        <f t="shared" si="67"/>
        <v>4</v>
      </c>
      <c r="Y149" s="1">
        <f t="shared" si="67"/>
        <v>4</v>
      </c>
      <c r="Z149" s="1">
        <f t="shared" si="67"/>
        <v>4</v>
      </c>
      <c r="AA149" s="1">
        <f t="shared" si="67"/>
        <v>3</v>
      </c>
      <c r="AB149" s="1">
        <f t="shared" si="67"/>
        <v>0</v>
      </c>
      <c r="AC149" s="1">
        <f t="shared" si="67"/>
        <v>0</v>
      </c>
      <c r="AD149" s="1">
        <f t="shared" si="67"/>
        <v>0</v>
      </c>
      <c r="AE149" s="1">
        <f t="shared" si="67"/>
        <v>0</v>
      </c>
      <c r="AF149" s="1">
        <f t="shared" si="67"/>
        <v>4</v>
      </c>
      <c r="AG149" s="1">
        <f t="shared" si="67"/>
        <v>4</v>
      </c>
      <c r="AH149" s="1">
        <f t="shared" si="67"/>
        <v>2</v>
      </c>
      <c r="AI149" s="1">
        <f t="shared" si="67"/>
        <v>2</v>
      </c>
      <c r="AJ149" s="1">
        <f t="shared" si="67"/>
        <v>2</v>
      </c>
      <c r="AK149" s="1">
        <f t="shared" si="67"/>
        <v>2</v>
      </c>
      <c r="AL149" s="1">
        <f t="shared" si="67"/>
        <v>2</v>
      </c>
      <c r="AM149" s="1">
        <f t="shared" si="67"/>
        <v>2</v>
      </c>
      <c r="AN149" s="1">
        <f t="shared" si="67"/>
        <v>2</v>
      </c>
      <c r="AO149" s="1">
        <f t="shared" si="67"/>
        <v>2</v>
      </c>
      <c r="AP149" s="1">
        <f t="shared" si="67"/>
        <v>2</v>
      </c>
      <c r="AQ149" s="1">
        <f t="shared" si="67"/>
        <v>2</v>
      </c>
    </row>
    <row r="150" spans="5:43" x14ac:dyDescent="0.25">
      <c r="E150" s="1">
        <f t="shared" ref="E150:AQ150" si="68">+E64-E107</f>
        <v>2</v>
      </c>
      <c r="F150" s="1">
        <f t="shared" si="68"/>
        <v>2</v>
      </c>
      <c r="G150" s="1">
        <f t="shared" si="68"/>
        <v>2</v>
      </c>
      <c r="H150" s="1">
        <f t="shared" si="68"/>
        <v>2</v>
      </c>
      <c r="I150" s="1">
        <f t="shared" si="68"/>
        <v>2</v>
      </c>
      <c r="J150" s="1">
        <f t="shared" si="68"/>
        <v>2</v>
      </c>
      <c r="K150" s="1">
        <f t="shared" si="68"/>
        <v>2</v>
      </c>
      <c r="L150" s="1">
        <f t="shared" si="68"/>
        <v>2</v>
      </c>
      <c r="M150" s="1">
        <f t="shared" si="68"/>
        <v>2</v>
      </c>
      <c r="N150" s="1">
        <f t="shared" si="68"/>
        <v>2</v>
      </c>
      <c r="O150" s="1">
        <f t="shared" si="68"/>
        <v>2</v>
      </c>
      <c r="P150" s="1">
        <f t="shared" si="68"/>
        <v>2</v>
      </c>
      <c r="Q150" s="1">
        <f t="shared" si="68"/>
        <v>2</v>
      </c>
      <c r="R150" s="1">
        <f t="shared" si="68"/>
        <v>2</v>
      </c>
      <c r="S150" s="1">
        <f t="shared" si="68"/>
        <v>2</v>
      </c>
      <c r="T150" s="1">
        <f t="shared" si="68"/>
        <v>2</v>
      </c>
      <c r="U150" s="1">
        <f t="shared" si="68"/>
        <v>2</v>
      </c>
      <c r="V150" s="1">
        <f t="shared" si="68"/>
        <v>2</v>
      </c>
      <c r="W150" s="1">
        <f t="shared" si="68"/>
        <v>4</v>
      </c>
      <c r="X150" s="1">
        <f t="shared" si="68"/>
        <v>2</v>
      </c>
      <c r="Y150" s="1">
        <f t="shared" si="68"/>
        <v>2</v>
      </c>
      <c r="Z150" s="1">
        <f t="shared" si="68"/>
        <v>2</v>
      </c>
      <c r="AA150" s="1">
        <f t="shared" si="68"/>
        <v>2</v>
      </c>
      <c r="AB150" s="1">
        <f t="shared" si="68"/>
        <v>2</v>
      </c>
      <c r="AC150" s="1">
        <f t="shared" si="68"/>
        <v>2</v>
      </c>
      <c r="AD150" s="1">
        <f t="shared" si="68"/>
        <v>2</v>
      </c>
      <c r="AE150" s="1">
        <f t="shared" si="68"/>
        <v>2</v>
      </c>
      <c r="AF150" s="1">
        <f t="shared" si="68"/>
        <v>2</v>
      </c>
      <c r="AG150" s="1">
        <f t="shared" si="68"/>
        <v>2</v>
      </c>
      <c r="AH150" s="1">
        <f t="shared" si="68"/>
        <v>2</v>
      </c>
      <c r="AI150" s="1">
        <f t="shared" si="68"/>
        <v>2</v>
      </c>
      <c r="AJ150" s="1">
        <f t="shared" si="68"/>
        <v>2</v>
      </c>
      <c r="AK150" s="1">
        <f t="shared" si="68"/>
        <v>2</v>
      </c>
      <c r="AL150" s="1">
        <f t="shared" si="68"/>
        <v>2</v>
      </c>
      <c r="AM150" s="1">
        <f t="shared" si="68"/>
        <v>2</v>
      </c>
      <c r="AN150" s="1">
        <f t="shared" si="68"/>
        <v>2</v>
      </c>
      <c r="AO150" s="1">
        <f t="shared" si="68"/>
        <v>2</v>
      </c>
      <c r="AP150" s="1">
        <f t="shared" si="68"/>
        <v>2</v>
      </c>
      <c r="AQ150" s="1">
        <f t="shared" si="68"/>
        <v>2</v>
      </c>
    </row>
    <row r="151" spans="5:43" x14ac:dyDescent="0.25">
      <c r="E151" s="1">
        <f t="shared" ref="E151:AQ151" si="69">+E65-E108</f>
        <v>0</v>
      </c>
      <c r="F151" s="1">
        <f t="shared" si="69"/>
        <v>0</v>
      </c>
      <c r="G151" s="1">
        <f t="shared" si="69"/>
        <v>0</v>
      </c>
      <c r="H151" s="1">
        <f t="shared" si="69"/>
        <v>0</v>
      </c>
      <c r="I151" s="1">
        <f t="shared" si="69"/>
        <v>0</v>
      </c>
      <c r="J151" s="1">
        <f t="shared" si="69"/>
        <v>0</v>
      </c>
      <c r="K151" s="1">
        <f t="shared" si="69"/>
        <v>0</v>
      </c>
      <c r="L151" s="1">
        <f t="shared" si="69"/>
        <v>0</v>
      </c>
      <c r="M151" s="1">
        <f t="shared" si="69"/>
        <v>0</v>
      </c>
      <c r="N151" s="1">
        <f t="shared" si="69"/>
        <v>0</v>
      </c>
      <c r="O151" s="1">
        <f t="shared" si="69"/>
        <v>0</v>
      </c>
      <c r="P151" s="1">
        <f t="shared" si="69"/>
        <v>0</v>
      </c>
      <c r="Q151" s="1">
        <f t="shared" si="69"/>
        <v>0</v>
      </c>
      <c r="R151" s="1">
        <f t="shared" si="69"/>
        <v>0</v>
      </c>
      <c r="S151" s="1">
        <f t="shared" si="69"/>
        <v>2</v>
      </c>
      <c r="T151" s="1">
        <f t="shared" si="69"/>
        <v>0</v>
      </c>
      <c r="U151" s="1">
        <f t="shared" si="69"/>
        <v>0</v>
      </c>
      <c r="V151" s="1">
        <f t="shared" si="69"/>
        <v>0</v>
      </c>
      <c r="W151" s="1">
        <f t="shared" si="69"/>
        <v>2</v>
      </c>
      <c r="X151" s="1">
        <f t="shared" si="69"/>
        <v>0</v>
      </c>
      <c r="Y151" s="1">
        <f t="shared" si="69"/>
        <v>0</v>
      </c>
      <c r="Z151" s="1">
        <f t="shared" si="69"/>
        <v>0</v>
      </c>
      <c r="AA151" s="1">
        <f t="shared" si="69"/>
        <v>2</v>
      </c>
      <c r="AB151" s="1">
        <f t="shared" si="69"/>
        <v>2</v>
      </c>
      <c r="AC151" s="1">
        <f t="shared" si="69"/>
        <v>2</v>
      </c>
      <c r="AD151" s="1">
        <f t="shared" si="69"/>
        <v>2</v>
      </c>
      <c r="AE151" s="1">
        <f t="shared" si="69"/>
        <v>2</v>
      </c>
      <c r="AF151" s="1">
        <f t="shared" si="69"/>
        <v>2</v>
      </c>
      <c r="AG151" s="1">
        <f t="shared" si="69"/>
        <v>2</v>
      </c>
      <c r="AH151" s="1">
        <f t="shared" si="69"/>
        <v>2</v>
      </c>
      <c r="AI151" s="1">
        <f t="shared" si="69"/>
        <v>2</v>
      </c>
      <c r="AJ151" s="1">
        <f t="shared" si="69"/>
        <v>2</v>
      </c>
      <c r="AK151" s="1">
        <f t="shared" si="69"/>
        <v>2</v>
      </c>
      <c r="AL151" s="1">
        <f t="shared" si="69"/>
        <v>2</v>
      </c>
      <c r="AM151" s="1">
        <f t="shared" si="69"/>
        <v>2</v>
      </c>
      <c r="AN151" s="1">
        <f t="shared" si="69"/>
        <v>2</v>
      </c>
      <c r="AO151" s="1">
        <f t="shared" si="69"/>
        <v>2</v>
      </c>
      <c r="AP151" s="1">
        <f t="shared" si="69"/>
        <v>2</v>
      </c>
      <c r="AQ151" s="1">
        <f t="shared" si="69"/>
        <v>2</v>
      </c>
    </row>
    <row r="152" spans="5:43" x14ac:dyDescent="0.25">
      <c r="E152" s="1">
        <f t="shared" ref="E152:AQ152" si="70">+E66-E109</f>
        <v>2</v>
      </c>
      <c r="F152" s="1">
        <f t="shared" si="70"/>
        <v>2</v>
      </c>
      <c r="G152" s="1">
        <f t="shared" si="70"/>
        <v>2</v>
      </c>
      <c r="H152" s="1">
        <f t="shared" si="70"/>
        <v>2</v>
      </c>
      <c r="I152" s="1">
        <f t="shared" si="70"/>
        <v>2</v>
      </c>
      <c r="J152" s="1">
        <f t="shared" si="70"/>
        <v>2</v>
      </c>
      <c r="K152" s="1">
        <f t="shared" si="70"/>
        <v>2</v>
      </c>
      <c r="L152" s="1">
        <f t="shared" si="70"/>
        <v>2</v>
      </c>
      <c r="M152" s="1">
        <f t="shared" si="70"/>
        <v>2</v>
      </c>
      <c r="N152" s="1">
        <f t="shared" si="70"/>
        <v>2</v>
      </c>
      <c r="O152" s="1">
        <f t="shared" si="70"/>
        <v>2</v>
      </c>
      <c r="P152" s="1">
        <f t="shared" si="70"/>
        <v>2</v>
      </c>
      <c r="Q152" s="1">
        <f t="shared" si="70"/>
        <v>2</v>
      </c>
      <c r="R152" s="1">
        <f t="shared" si="70"/>
        <v>2</v>
      </c>
      <c r="S152" s="1">
        <f t="shared" si="70"/>
        <v>2</v>
      </c>
      <c r="T152" s="1">
        <f t="shared" si="70"/>
        <v>2</v>
      </c>
      <c r="U152" s="1">
        <f t="shared" si="70"/>
        <v>2</v>
      </c>
      <c r="V152" s="1">
        <f t="shared" si="70"/>
        <v>2</v>
      </c>
      <c r="W152" s="1">
        <f t="shared" si="70"/>
        <v>4</v>
      </c>
      <c r="X152" s="1">
        <f t="shared" si="70"/>
        <v>2</v>
      </c>
      <c r="Y152" s="1">
        <f t="shared" si="70"/>
        <v>2</v>
      </c>
      <c r="Z152" s="1">
        <f t="shared" si="70"/>
        <v>2</v>
      </c>
      <c r="AA152" s="1">
        <f t="shared" si="70"/>
        <v>2</v>
      </c>
      <c r="AB152" s="1">
        <f t="shared" si="70"/>
        <v>2</v>
      </c>
      <c r="AC152" s="1">
        <f t="shared" si="70"/>
        <v>2</v>
      </c>
      <c r="AD152" s="1">
        <f t="shared" si="70"/>
        <v>2</v>
      </c>
      <c r="AE152" s="1">
        <f t="shared" si="70"/>
        <v>2</v>
      </c>
      <c r="AF152" s="1">
        <f t="shared" si="70"/>
        <v>2</v>
      </c>
      <c r="AG152" s="1">
        <f t="shared" si="70"/>
        <v>2</v>
      </c>
      <c r="AH152" s="1">
        <f t="shared" si="70"/>
        <v>2</v>
      </c>
      <c r="AI152" s="1">
        <f t="shared" si="70"/>
        <v>2</v>
      </c>
      <c r="AJ152" s="1">
        <f t="shared" si="70"/>
        <v>2</v>
      </c>
      <c r="AK152" s="1">
        <f t="shared" si="70"/>
        <v>2</v>
      </c>
      <c r="AL152" s="1">
        <f t="shared" si="70"/>
        <v>2</v>
      </c>
      <c r="AM152" s="1">
        <f t="shared" si="70"/>
        <v>2</v>
      </c>
      <c r="AN152" s="1">
        <f t="shared" si="70"/>
        <v>2</v>
      </c>
      <c r="AO152" s="1">
        <f t="shared" si="70"/>
        <v>2</v>
      </c>
      <c r="AP152" s="1">
        <f t="shared" si="70"/>
        <v>2</v>
      </c>
      <c r="AQ152" s="1">
        <f t="shared" si="70"/>
        <v>2</v>
      </c>
    </row>
    <row r="153" spans="5:43" x14ac:dyDescent="0.25">
      <c r="E153" s="1">
        <f t="shared" ref="E153:AQ153" si="71">+E67-E110</f>
        <v>2</v>
      </c>
      <c r="F153" s="1">
        <f t="shared" si="71"/>
        <v>2</v>
      </c>
      <c r="G153" s="1">
        <f t="shared" si="71"/>
        <v>2</v>
      </c>
      <c r="H153" s="1">
        <f t="shared" si="71"/>
        <v>2</v>
      </c>
      <c r="I153" s="1">
        <f t="shared" si="71"/>
        <v>2</v>
      </c>
      <c r="J153" s="1">
        <f t="shared" si="71"/>
        <v>1</v>
      </c>
      <c r="K153" s="1">
        <f t="shared" si="71"/>
        <v>1</v>
      </c>
      <c r="L153" s="1">
        <f t="shared" si="71"/>
        <v>2</v>
      </c>
      <c r="M153" s="1">
        <f t="shared" si="71"/>
        <v>2</v>
      </c>
      <c r="N153" s="1">
        <f t="shared" si="71"/>
        <v>2</v>
      </c>
      <c r="O153" s="1">
        <f t="shared" si="71"/>
        <v>2</v>
      </c>
      <c r="P153" s="1">
        <f t="shared" si="71"/>
        <v>2</v>
      </c>
      <c r="Q153" s="1">
        <f t="shared" si="71"/>
        <v>2</v>
      </c>
      <c r="R153" s="1">
        <f t="shared" si="71"/>
        <v>2</v>
      </c>
      <c r="S153" s="1">
        <f t="shared" si="71"/>
        <v>4</v>
      </c>
      <c r="T153" s="1">
        <f t="shared" si="71"/>
        <v>1</v>
      </c>
      <c r="U153" s="1">
        <f t="shared" si="71"/>
        <v>0</v>
      </c>
      <c r="V153" s="1">
        <f t="shared" si="71"/>
        <v>0</v>
      </c>
      <c r="W153" s="1">
        <f t="shared" si="71"/>
        <v>2</v>
      </c>
      <c r="X153" s="1">
        <f t="shared" si="71"/>
        <v>1</v>
      </c>
      <c r="Y153" s="1">
        <f t="shared" si="71"/>
        <v>1</v>
      </c>
      <c r="Z153" s="1">
        <f t="shared" si="71"/>
        <v>1</v>
      </c>
      <c r="AA153" s="1">
        <f t="shared" si="71"/>
        <v>3</v>
      </c>
      <c r="AB153" s="1">
        <f t="shared" si="71"/>
        <v>1</v>
      </c>
      <c r="AC153" s="1">
        <f t="shared" si="71"/>
        <v>3</v>
      </c>
      <c r="AD153" s="1">
        <f t="shared" si="71"/>
        <v>3</v>
      </c>
      <c r="AE153" s="1">
        <f t="shared" si="71"/>
        <v>3</v>
      </c>
      <c r="AF153" s="1">
        <f t="shared" si="71"/>
        <v>3</v>
      </c>
      <c r="AG153" s="1">
        <f t="shared" si="71"/>
        <v>3</v>
      </c>
      <c r="AH153" s="1">
        <f t="shared" si="71"/>
        <v>3</v>
      </c>
      <c r="AI153" s="1">
        <f t="shared" si="71"/>
        <v>1</v>
      </c>
      <c r="AJ153" s="1">
        <f t="shared" si="71"/>
        <v>1</v>
      </c>
      <c r="AK153" s="1">
        <f t="shared" si="71"/>
        <v>1</v>
      </c>
      <c r="AL153" s="1">
        <f t="shared" si="71"/>
        <v>1</v>
      </c>
      <c r="AM153" s="1">
        <f t="shared" si="71"/>
        <v>2</v>
      </c>
      <c r="AN153" s="1">
        <f t="shared" si="71"/>
        <v>2</v>
      </c>
      <c r="AO153" s="1">
        <f t="shared" si="71"/>
        <v>2</v>
      </c>
      <c r="AP153" s="1">
        <f t="shared" si="71"/>
        <v>2</v>
      </c>
      <c r="AQ153" s="1">
        <f t="shared" si="71"/>
        <v>2</v>
      </c>
    </row>
    <row r="154" spans="5:43" x14ac:dyDescent="0.25">
      <c r="E154" s="1">
        <f t="shared" ref="E154:AQ154" si="72">+E68-E111</f>
        <v>1</v>
      </c>
      <c r="F154" s="1">
        <f t="shared" si="72"/>
        <v>1</v>
      </c>
      <c r="G154" s="1">
        <f t="shared" si="72"/>
        <v>1</v>
      </c>
      <c r="H154" s="1">
        <f t="shared" si="72"/>
        <v>1</v>
      </c>
      <c r="I154" s="1">
        <f t="shared" si="72"/>
        <v>1</v>
      </c>
      <c r="J154" s="1">
        <f t="shared" si="72"/>
        <v>0</v>
      </c>
      <c r="K154" s="1">
        <f t="shared" si="72"/>
        <v>1</v>
      </c>
      <c r="L154" s="1">
        <f t="shared" si="72"/>
        <v>0</v>
      </c>
      <c r="M154" s="1">
        <f t="shared" si="72"/>
        <v>0</v>
      </c>
      <c r="N154" s="1">
        <f t="shared" si="72"/>
        <v>0</v>
      </c>
      <c r="O154" s="1">
        <f t="shared" si="72"/>
        <v>0</v>
      </c>
      <c r="P154" s="1">
        <f t="shared" si="72"/>
        <v>0</v>
      </c>
      <c r="Q154" s="1">
        <f t="shared" si="72"/>
        <v>0</v>
      </c>
      <c r="R154" s="1">
        <f t="shared" si="72"/>
        <v>0</v>
      </c>
      <c r="S154" s="1">
        <f t="shared" si="72"/>
        <v>2</v>
      </c>
      <c r="T154" s="1">
        <f t="shared" si="72"/>
        <v>0</v>
      </c>
      <c r="U154" s="1">
        <f t="shared" si="72"/>
        <v>1</v>
      </c>
      <c r="V154" s="1">
        <f t="shared" si="72"/>
        <v>0</v>
      </c>
      <c r="W154" s="1">
        <f t="shared" si="72"/>
        <v>2</v>
      </c>
      <c r="X154" s="1">
        <f t="shared" si="72"/>
        <v>1</v>
      </c>
      <c r="Y154" s="1">
        <f t="shared" si="72"/>
        <v>1</v>
      </c>
      <c r="Z154" s="1">
        <f t="shared" si="72"/>
        <v>1</v>
      </c>
      <c r="AA154" s="1">
        <f t="shared" si="72"/>
        <v>2</v>
      </c>
      <c r="AB154" s="1">
        <f t="shared" si="72"/>
        <v>2</v>
      </c>
      <c r="AC154" s="1">
        <f t="shared" si="72"/>
        <v>2</v>
      </c>
      <c r="AD154" s="1">
        <f t="shared" si="72"/>
        <v>2</v>
      </c>
      <c r="AE154" s="1">
        <f t="shared" si="72"/>
        <v>2</v>
      </c>
      <c r="AF154" s="1">
        <f t="shared" si="72"/>
        <v>2</v>
      </c>
      <c r="AG154" s="1">
        <f t="shared" si="72"/>
        <v>2</v>
      </c>
      <c r="AH154" s="1">
        <f t="shared" si="72"/>
        <v>2</v>
      </c>
      <c r="AI154" s="1">
        <f t="shared" si="72"/>
        <v>2</v>
      </c>
      <c r="AJ154" s="1">
        <f t="shared" si="72"/>
        <v>2</v>
      </c>
      <c r="AK154" s="1">
        <f t="shared" si="72"/>
        <v>2</v>
      </c>
      <c r="AL154" s="1">
        <f t="shared" si="72"/>
        <v>2</v>
      </c>
      <c r="AM154" s="1">
        <f t="shared" si="72"/>
        <v>2</v>
      </c>
      <c r="AN154" s="1">
        <f t="shared" si="72"/>
        <v>2</v>
      </c>
      <c r="AO154" s="1">
        <f t="shared" si="72"/>
        <v>2</v>
      </c>
      <c r="AP154" s="1">
        <f t="shared" si="72"/>
        <v>2</v>
      </c>
      <c r="AQ154" s="1">
        <f t="shared" si="72"/>
        <v>2</v>
      </c>
    </row>
    <row r="155" spans="5:43" x14ac:dyDescent="0.25">
      <c r="E155" s="1">
        <f t="shared" ref="E155:AQ155" si="73">+E69-E112</f>
        <v>0</v>
      </c>
      <c r="F155" s="1">
        <f t="shared" si="73"/>
        <v>0</v>
      </c>
      <c r="G155" s="1">
        <f t="shared" si="73"/>
        <v>0</v>
      </c>
      <c r="H155" s="1">
        <f t="shared" si="73"/>
        <v>0</v>
      </c>
      <c r="I155" s="1">
        <f t="shared" si="73"/>
        <v>0</v>
      </c>
      <c r="J155" s="1">
        <f t="shared" si="73"/>
        <v>0</v>
      </c>
      <c r="K155" s="1">
        <f t="shared" si="73"/>
        <v>0</v>
      </c>
      <c r="L155" s="1">
        <f t="shared" si="73"/>
        <v>0</v>
      </c>
      <c r="M155" s="1">
        <f t="shared" si="73"/>
        <v>0</v>
      </c>
      <c r="N155" s="1">
        <f t="shared" si="73"/>
        <v>0</v>
      </c>
      <c r="O155" s="1">
        <f t="shared" si="73"/>
        <v>2</v>
      </c>
      <c r="P155" s="1">
        <f t="shared" si="73"/>
        <v>2</v>
      </c>
      <c r="Q155" s="1">
        <f t="shared" si="73"/>
        <v>0</v>
      </c>
      <c r="R155" s="1">
        <f t="shared" si="73"/>
        <v>2</v>
      </c>
      <c r="S155" s="1">
        <f t="shared" si="73"/>
        <v>3</v>
      </c>
      <c r="T155" s="1">
        <f t="shared" si="73"/>
        <v>0</v>
      </c>
      <c r="U155" s="1">
        <f t="shared" si="73"/>
        <v>0</v>
      </c>
      <c r="V155" s="1">
        <f t="shared" si="73"/>
        <v>2</v>
      </c>
      <c r="W155" s="1">
        <f t="shared" si="73"/>
        <v>2</v>
      </c>
      <c r="X155" s="1">
        <f t="shared" si="73"/>
        <v>0</v>
      </c>
      <c r="Y155" s="1">
        <f t="shared" si="73"/>
        <v>0</v>
      </c>
      <c r="Z155" s="1">
        <f t="shared" si="73"/>
        <v>0</v>
      </c>
      <c r="AA155" s="1">
        <f t="shared" si="73"/>
        <v>0</v>
      </c>
      <c r="AB155" s="1">
        <f t="shared" si="73"/>
        <v>0</v>
      </c>
      <c r="AC155" s="1">
        <f t="shared" si="73"/>
        <v>0</v>
      </c>
      <c r="AD155" s="1">
        <f t="shared" si="73"/>
        <v>0</v>
      </c>
      <c r="AE155" s="1">
        <f t="shared" si="73"/>
        <v>0</v>
      </c>
      <c r="AF155" s="1">
        <f t="shared" si="73"/>
        <v>0</v>
      </c>
      <c r="AG155" s="1">
        <f t="shared" si="73"/>
        <v>0</v>
      </c>
      <c r="AH155" s="1">
        <f t="shared" si="73"/>
        <v>0</v>
      </c>
      <c r="AI155" s="1">
        <f t="shared" si="73"/>
        <v>0</v>
      </c>
      <c r="AJ155" s="1">
        <f t="shared" si="73"/>
        <v>0</v>
      </c>
      <c r="AK155" s="1">
        <f t="shared" si="73"/>
        <v>0</v>
      </c>
      <c r="AL155" s="1">
        <f t="shared" si="73"/>
        <v>0</v>
      </c>
      <c r="AM155" s="1">
        <f t="shared" si="73"/>
        <v>2</v>
      </c>
      <c r="AN155" s="1">
        <f t="shared" si="73"/>
        <v>2</v>
      </c>
      <c r="AO155" s="1">
        <f t="shared" si="73"/>
        <v>2</v>
      </c>
      <c r="AP155" s="1">
        <f t="shared" si="73"/>
        <v>2</v>
      </c>
      <c r="AQ155" s="1">
        <f t="shared" si="73"/>
        <v>2</v>
      </c>
    </row>
    <row r="156" spans="5:43" x14ac:dyDescent="0.25">
      <c r="E156" s="1">
        <f t="shared" ref="E156:AQ156" si="74">+E70-E113</f>
        <v>1</v>
      </c>
      <c r="F156" s="1">
        <f t="shared" si="74"/>
        <v>1</v>
      </c>
      <c r="G156" s="1">
        <f t="shared" si="74"/>
        <v>1</v>
      </c>
      <c r="H156" s="1">
        <f t="shared" si="74"/>
        <v>0</v>
      </c>
      <c r="I156" s="1">
        <f t="shared" si="74"/>
        <v>0</v>
      </c>
      <c r="J156" s="1">
        <f t="shared" si="74"/>
        <v>1</v>
      </c>
      <c r="K156" s="1">
        <f t="shared" si="74"/>
        <v>1</v>
      </c>
      <c r="L156" s="1">
        <f t="shared" si="74"/>
        <v>1</v>
      </c>
      <c r="M156" s="1">
        <f t="shared" si="74"/>
        <v>0</v>
      </c>
      <c r="N156" s="1">
        <f t="shared" si="74"/>
        <v>1</v>
      </c>
      <c r="O156" s="1">
        <f t="shared" si="74"/>
        <v>1</v>
      </c>
      <c r="P156" s="1">
        <f t="shared" si="74"/>
        <v>0</v>
      </c>
      <c r="Q156" s="1">
        <f t="shared" si="74"/>
        <v>0</v>
      </c>
      <c r="R156" s="1">
        <f t="shared" si="74"/>
        <v>1</v>
      </c>
      <c r="S156" s="1">
        <f t="shared" si="74"/>
        <v>3</v>
      </c>
      <c r="T156" s="1">
        <f t="shared" si="74"/>
        <v>1</v>
      </c>
      <c r="U156" s="1">
        <f t="shared" si="74"/>
        <v>1</v>
      </c>
      <c r="V156" s="1">
        <f t="shared" si="74"/>
        <v>0</v>
      </c>
      <c r="W156" s="1">
        <f t="shared" si="74"/>
        <v>2</v>
      </c>
      <c r="X156" s="1">
        <f t="shared" si="74"/>
        <v>1</v>
      </c>
      <c r="Y156" s="1">
        <f t="shared" si="74"/>
        <v>1</v>
      </c>
      <c r="Z156" s="1">
        <f t="shared" si="74"/>
        <v>1</v>
      </c>
      <c r="AA156" s="1">
        <f t="shared" si="74"/>
        <v>1</v>
      </c>
      <c r="AB156" s="1">
        <f t="shared" si="74"/>
        <v>1</v>
      </c>
      <c r="AC156" s="1">
        <f t="shared" si="74"/>
        <v>1</v>
      </c>
      <c r="AD156" s="1">
        <f t="shared" si="74"/>
        <v>1</v>
      </c>
      <c r="AE156" s="1">
        <f t="shared" si="74"/>
        <v>1</v>
      </c>
      <c r="AF156" s="1">
        <f t="shared" si="74"/>
        <v>1</v>
      </c>
      <c r="AG156" s="1">
        <f t="shared" si="74"/>
        <v>1</v>
      </c>
      <c r="AH156" s="1">
        <f t="shared" si="74"/>
        <v>1</v>
      </c>
      <c r="AI156" s="1">
        <f t="shared" si="74"/>
        <v>1</v>
      </c>
      <c r="AJ156" s="1">
        <f t="shared" si="74"/>
        <v>1</v>
      </c>
      <c r="AK156" s="1">
        <f t="shared" si="74"/>
        <v>1</v>
      </c>
      <c r="AL156" s="1">
        <f t="shared" si="74"/>
        <v>1</v>
      </c>
      <c r="AM156" s="1">
        <f t="shared" si="74"/>
        <v>1</v>
      </c>
      <c r="AN156" s="1">
        <f t="shared" si="74"/>
        <v>1</v>
      </c>
      <c r="AO156" s="1">
        <f t="shared" si="74"/>
        <v>1</v>
      </c>
      <c r="AP156" s="1">
        <f t="shared" si="74"/>
        <v>1</v>
      </c>
      <c r="AQ156" s="1">
        <f t="shared" si="74"/>
        <v>1</v>
      </c>
    </row>
    <row r="157" spans="5:43" x14ac:dyDescent="0.25">
      <c r="E157" s="1">
        <f t="shared" ref="E157:AQ157" si="75">+E71-E114</f>
        <v>-1</v>
      </c>
      <c r="F157" s="1">
        <f t="shared" si="75"/>
        <v>-1</v>
      </c>
      <c r="G157" s="1">
        <f t="shared" si="75"/>
        <v>-1</v>
      </c>
      <c r="H157" s="1">
        <f t="shared" si="75"/>
        <v>-1</v>
      </c>
      <c r="I157" s="1">
        <f t="shared" si="75"/>
        <v>0</v>
      </c>
      <c r="J157" s="1">
        <f t="shared" si="75"/>
        <v>-1</v>
      </c>
      <c r="K157" s="1">
        <f t="shared" si="75"/>
        <v>-1</v>
      </c>
      <c r="L157" s="1">
        <f t="shared" si="75"/>
        <v>-1</v>
      </c>
      <c r="M157" s="1">
        <f t="shared" si="75"/>
        <v>-1</v>
      </c>
      <c r="N157" s="1">
        <f t="shared" si="75"/>
        <v>-1</v>
      </c>
      <c r="O157" s="1">
        <f t="shared" si="75"/>
        <v>-1</v>
      </c>
      <c r="P157" s="1">
        <f t="shared" si="75"/>
        <v>0</v>
      </c>
      <c r="Q157" s="1">
        <f t="shared" si="75"/>
        <v>0</v>
      </c>
      <c r="R157" s="1">
        <f t="shared" si="75"/>
        <v>0</v>
      </c>
      <c r="S157" s="1">
        <f t="shared" si="75"/>
        <v>2</v>
      </c>
      <c r="T157" s="1">
        <f t="shared" si="75"/>
        <v>-1</v>
      </c>
      <c r="U157" s="1">
        <f t="shared" si="75"/>
        <v>-1</v>
      </c>
      <c r="V157" s="1">
        <f t="shared" si="75"/>
        <v>-1</v>
      </c>
      <c r="W157" s="1">
        <f t="shared" si="75"/>
        <v>2</v>
      </c>
      <c r="X157" s="1">
        <f t="shared" si="75"/>
        <v>-1</v>
      </c>
      <c r="Y157" s="1">
        <f t="shared" si="75"/>
        <v>-1</v>
      </c>
      <c r="Z157" s="1">
        <f t="shared" si="75"/>
        <v>-1</v>
      </c>
      <c r="AA157" s="1">
        <f t="shared" si="75"/>
        <v>-1</v>
      </c>
      <c r="AB157" s="1">
        <f t="shared" si="75"/>
        <v>-1</v>
      </c>
      <c r="AC157" s="1">
        <f t="shared" si="75"/>
        <v>-1</v>
      </c>
      <c r="AD157" s="1">
        <f t="shared" si="75"/>
        <v>-1</v>
      </c>
      <c r="AE157" s="1">
        <f t="shared" si="75"/>
        <v>-1</v>
      </c>
      <c r="AF157" s="1">
        <f t="shared" si="75"/>
        <v>-1</v>
      </c>
      <c r="AG157" s="1">
        <f t="shared" si="75"/>
        <v>-1</v>
      </c>
      <c r="AH157" s="1">
        <f t="shared" si="75"/>
        <v>-1</v>
      </c>
      <c r="AI157" s="1">
        <f t="shared" si="75"/>
        <v>1</v>
      </c>
      <c r="AJ157" s="1">
        <f t="shared" si="75"/>
        <v>1</v>
      </c>
      <c r="AK157" s="1">
        <f t="shared" si="75"/>
        <v>1</v>
      </c>
      <c r="AL157" s="1">
        <f t="shared" si="75"/>
        <v>-1</v>
      </c>
      <c r="AM157" s="1">
        <f t="shared" si="75"/>
        <v>2</v>
      </c>
      <c r="AN157" s="1">
        <f t="shared" si="75"/>
        <v>2</v>
      </c>
      <c r="AO157" s="1">
        <f t="shared" si="75"/>
        <v>2</v>
      </c>
      <c r="AP157" s="1">
        <f t="shared" si="75"/>
        <v>2</v>
      </c>
      <c r="AQ157" s="1">
        <f t="shared" si="75"/>
        <v>2</v>
      </c>
    </row>
    <row r="158" spans="5:43" x14ac:dyDescent="0.25">
      <c r="E158" s="1">
        <f t="shared" ref="E158:AQ158" si="76">+E72-E115</f>
        <v>2</v>
      </c>
      <c r="F158" s="1">
        <f t="shared" si="76"/>
        <v>2</v>
      </c>
      <c r="G158" s="1">
        <f t="shared" si="76"/>
        <v>2</v>
      </c>
      <c r="H158" s="1">
        <f t="shared" si="76"/>
        <v>2</v>
      </c>
      <c r="I158" s="1">
        <f t="shared" si="76"/>
        <v>0</v>
      </c>
      <c r="J158" s="1">
        <f t="shared" si="76"/>
        <v>2</v>
      </c>
      <c r="K158" s="1">
        <f t="shared" si="76"/>
        <v>2</v>
      </c>
      <c r="L158" s="1">
        <f t="shared" si="76"/>
        <v>2</v>
      </c>
      <c r="M158" s="1">
        <f t="shared" si="76"/>
        <v>2</v>
      </c>
      <c r="N158" s="1">
        <f t="shared" si="76"/>
        <v>2</v>
      </c>
      <c r="O158" s="1">
        <f t="shared" si="76"/>
        <v>2</v>
      </c>
      <c r="P158" s="1">
        <f t="shared" si="76"/>
        <v>0</v>
      </c>
      <c r="Q158" s="1">
        <f t="shared" si="76"/>
        <v>0</v>
      </c>
      <c r="R158" s="1">
        <f t="shared" si="76"/>
        <v>2</v>
      </c>
      <c r="S158" s="1">
        <f t="shared" si="76"/>
        <v>2</v>
      </c>
      <c r="T158" s="1">
        <f t="shared" si="76"/>
        <v>2</v>
      </c>
      <c r="U158" s="1">
        <f t="shared" si="76"/>
        <v>2</v>
      </c>
      <c r="V158" s="1">
        <f t="shared" si="76"/>
        <v>0</v>
      </c>
      <c r="W158" s="1">
        <f t="shared" si="76"/>
        <v>2</v>
      </c>
      <c r="X158" s="1">
        <f t="shared" si="76"/>
        <v>2</v>
      </c>
      <c r="Y158" s="1">
        <f t="shared" si="76"/>
        <v>2</v>
      </c>
      <c r="Z158" s="1">
        <f t="shared" si="76"/>
        <v>2</v>
      </c>
      <c r="AA158" s="1">
        <f t="shared" si="76"/>
        <v>2</v>
      </c>
      <c r="AB158" s="1">
        <f t="shared" si="76"/>
        <v>2</v>
      </c>
      <c r="AC158" s="1">
        <f t="shared" si="76"/>
        <v>2</v>
      </c>
      <c r="AD158" s="1">
        <f t="shared" si="76"/>
        <v>2</v>
      </c>
      <c r="AE158" s="1">
        <f t="shared" si="76"/>
        <v>2</v>
      </c>
      <c r="AF158" s="1">
        <f t="shared" si="76"/>
        <v>2</v>
      </c>
      <c r="AG158" s="1">
        <f t="shared" si="76"/>
        <v>2</v>
      </c>
      <c r="AH158" s="1">
        <f t="shared" si="76"/>
        <v>2</v>
      </c>
      <c r="AI158" s="1">
        <f t="shared" si="76"/>
        <v>1</v>
      </c>
      <c r="AJ158" s="1">
        <f t="shared" si="76"/>
        <v>1</v>
      </c>
      <c r="AK158" s="1">
        <f t="shared" si="76"/>
        <v>1</v>
      </c>
      <c r="AL158" s="1">
        <f t="shared" si="76"/>
        <v>2</v>
      </c>
      <c r="AM158" s="1">
        <f t="shared" si="76"/>
        <v>2</v>
      </c>
      <c r="AN158" s="1">
        <f t="shared" si="76"/>
        <v>2</v>
      </c>
      <c r="AO158" s="1">
        <f t="shared" si="76"/>
        <v>2</v>
      </c>
      <c r="AP158" s="1">
        <f t="shared" si="76"/>
        <v>2</v>
      </c>
      <c r="AQ158" s="1">
        <f t="shared" si="76"/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O101"/>
  <sheetViews>
    <sheetView showZeros="0" workbookViewId="0">
      <selection activeCell="D29" sqref="D29"/>
    </sheetView>
  </sheetViews>
  <sheetFormatPr defaultRowHeight="12.5" x14ac:dyDescent="0.25"/>
  <cols>
    <col min="1" max="1" width="8.54296875" customWidth="1"/>
    <col min="2" max="2" width="18.1796875" customWidth="1"/>
    <col min="3" max="3" width="28" customWidth="1"/>
    <col min="4" max="4" width="45.7265625" bestFit="1" customWidth="1"/>
    <col min="5" max="5" width="23.81640625" customWidth="1"/>
  </cols>
  <sheetData>
    <row r="1" spans="1:15" s="82" customFormat="1" ht="71.25" customHeight="1" x14ac:dyDescent="0.3">
      <c r="A1" s="86" t="s">
        <v>162</v>
      </c>
      <c r="B1" s="86" t="s">
        <v>163</v>
      </c>
      <c r="C1" s="92" t="str">
        <f ca="1">+Selection!D1</f>
        <v>Recurrent Expenditure (Euros) - Staff / Library Staff FTE - Total Staff</v>
      </c>
      <c r="D1" s="86" t="s">
        <v>170</v>
      </c>
    </row>
    <row r="2" spans="1:15" ht="13" x14ac:dyDescent="0.3">
      <c r="A2" s="96">
        <v>1</v>
      </c>
      <c r="B2" s="1" t="str">
        <f ca="1">IF(ISERR(Selection!D2),"",IF(ISNA(Selection!D2),"",Selection!F2))</f>
        <v>Denmark</v>
      </c>
      <c r="C2" s="83">
        <f ca="1">IF(ISERR(Selection!D2),"",IF(ISNA(Selection!D2),"",Selection!D2))</f>
        <v>42413.65517241379</v>
      </c>
      <c r="D2" s="87" t="str">
        <f ca="1">IF(C2="","",IF(Menus!$K$10="2001 Grossed",VLOOKUP(MAX(Selection!M2:N2),$N$2:$O$4,2),""))</f>
        <v>Returned Data for year 2001</v>
      </c>
      <c r="E2" s="84" t="s">
        <v>166</v>
      </c>
      <c r="G2" s="84"/>
      <c r="N2">
        <v>0</v>
      </c>
      <c r="O2" t="s">
        <v>303</v>
      </c>
    </row>
    <row r="3" spans="1:15" ht="13" x14ac:dyDescent="0.3">
      <c r="A3" s="96">
        <f>1+A2</f>
        <v>2</v>
      </c>
      <c r="B3" s="1" t="str">
        <f ca="1">IF(ISERR(Selection!D3),"",IF(ISNA(Selection!D3),"",Selection!F3))</f>
        <v>Norway</v>
      </c>
      <c r="C3" s="83">
        <f ca="1">IF(ISERR(Selection!D3),"",IF(ISNA(Selection!D3),"",Selection!D3))</f>
        <v>40033.091286307055</v>
      </c>
      <c r="D3" s="87" t="str">
        <f ca="1">IF(C3="","",IF(Menus!$K$10="2001 Grossed",VLOOKUP(MAX(Selection!M3:N3),$N$2:$O$4,2),""))</f>
        <v>Returned Data for year 2001</v>
      </c>
      <c r="E3" s="4" t="s">
        <v>167</v>
      </c>
      <c r="G3" s="4"/>
      <c r="N3">
        <v>1</v>
      </c>
      <c r="O3" t="s">
        <v>164</v>
      </c>
    </row>
    <row r="4" spans="1:15" ht="13" x14ac:dyDescent="0.3">
      <c r="A4" s="96">
        <f t="shared" ref="A4:A67" si="0">1+A3</f>
        <v>3</v>
      </c>
      <c r="B4" s="1" t="str">
        <f ca="1">IF(ISERR(Selection!D4),"",IF(ISNA(Selection!D4),"",Selection!F4))</f>
        <v>France</v>
      </c>
      <c r="C4" s="83">
        <f ca="1">IF(ISERR(Selection!D4),"",IF(ISNA(Selection!D4),"",Selection!D4))</f>
        <v>38333.626947754354</v>
      </c>
      <c r="D4" s="87" t="str">
        <f ca="1">IF(C4="","",IF(Menus!$K$10="2001 Grossed",VLOOKUP(MAX(Selection!M4:N4),$N$2:$O$4,2),""))</f>
        <v>Apportioned or estimated from previous years returns</v>
      </c>
      <c r="E4" s="4" t="s">
        <v>168</v>
      </c>
      <c r="N4">
        <v>2</v>
      </c>
      <c r="O4" t="s">
        <v>165</v>
      </c>
    </row>
    <row r="5" spans="1:15" ht="13" x14ac:dyDescent="0.3">
      <c r="A5" s="96">
        <f t="shared" si="0"/>
        <v>4</v>
      </c>
      <c r="B5" s="1" t="str">
        <f ca="1">IF(ISERR(Selection!D5),"",IF(ISNA(Selection!D5),"",Selection!F5))</f>
        <v>Sweden</v>
      </c>
      <c r="C5" s="83">
        <f ca="1">IF(ISERR(Selection!D5),"",IF(ISNA(Selection!D5),"",Selection!D5))</f>
        <v>38265.252163877667</v>
      </c>
      <c r="D5" s="87" t="str">
        <f ca="1">IF(C5="","",IF(Menus!$K$10="2001 Grossed",VLOOKUP(MAX(Selection!M5:N5),$N$2:$O$4,2),""))</f>
        <v>Returned Data for year 2001</v>
      </c>
      <c r="E5" s="4" t="s">
        <v>169</v>
      </c>
    </row>
    <row r="6" spans="1:15" x14ac:dyDescent="0.25">
      <c r="A6" s="96">
        <f t="shared" si="0"/>
        <v>5</v>
      </c>
      <c r="B6" s="1" t="str">
        <f ca="1">IF(ISERR(Selection!D6),"",IF(ISNA(Selection!D6),"",Selection!F6))</f>
        <v>Liechtenstein</v>
      </c>
      <c r="C6" s="83">
        <f ca="1">IF(ISERR(Selection!D6),"",IF(ISNA(Selection!D6),"",Selection!D6))</f>
        <v>37124.6</v>
      </c>
      <c r="D6" s="87" t="str">
        <f ca="1">IF(C6="","",IF(Menus!$K$10="2001 Grossed",VLOOKUP(MAX(Selection!M6:N6),$N$2:$O$4,2),""))</f>
        <v>Grossed on regional averages</v>
      </c>
      <c r="E6" s="85"/>
    </row>
    <row r="7" spans="1:15" x14ac:dyDescent="0.25">
      <c r="A7" s="96">
        <f t="shared" si="0"/>
        <v>6</v>
      </c>
      <c r="B7" s="1" t="str">
        <f ca="1">IF(ISERR(Selection!D7),"",IF(ISNA(Selection!D7),"",Selection!F7))</f>
        <v>UK</v>
      </c>
      <c r="C7" s="83">
        <f ca="1">IF(ISERR(Selection!D7),"",IF(ISNA(Selection!D7),"",Selection!D7))</f>
        <v>35583.506415478616</v>
      </c>
      <c r="D7" s="87" t="str">
        <f ca="1">IF(C7="","",IF(Menus!$K$10="2001 Grossed",VLOOKUP(MAX(Selection!M7:N7),$N$2:$O$4,2),""))</f>
        <v>Returned Data for year 2001</v>
      </c>
    </row>
    <row r="8" spans="1:15" x14ac:dyDescent="0.25">
      <c r="A8" s="96">
        <f t="shared" si="0"/>
        <v>7</v>
      </c>
      <c r="B8" s="1" t="str">
        <f ca="1">IF(ISERR(Selection!D8),"",IF(ISNA(Selection!D8),"",Selection!F8))</f>
        <v>Luxembourg</v>
      </c>
      <c r="C8" s="83">
        <f ca="1">IF(ISERR(Selection!D8),"",IF(ISNA(Selection!D8),"",Selection!D8))</f>
        <v>33761.777777777781</v>
      </c>
      <c r="D8" s="87" t="str">
        <f ca="1">IF(C8="","",IF(Menus!$K$10="2001 Grossed",VLOOKUP(MAX(Selection!M8:N8),$N$2:$O$4,2),""))</f>
        <v>Apportioned or estimated from previous years returns</v>
      </c>
    </row>
    <row r="9" spans="1:15" x14ac:dyDescent="0.25">
      <c r="A9" s="96">
        <f t="shared" si="0"/>
        <v>8</v>
      </c>
      <c r="B9" s="1" t="str">
        <f ca="1">IF(ISERR(Selection!D9),"",IF(ISNA(Selection!D9),"",Selection!F9))</f>
        <v>Netherlands</v>
      </c>
      <c r="C9" s="83">
        <f ca="1">IF(ISERR(Selection!D9),"",IF(ISNA(Selection!D9),"",Selection!D9))</f>
        <v>31750.330481283421</v>
      </c>
      <c r="D9" s="87" t="str">
        <f ca="1">IF(C9="","",IF(Menus!$K$10="2001 Grossed",VLOOKUP(MAX(Selection!M9:N9),$N$2:$O$4,2),""))</f>
        <v>Grossed on regional averages</v>
      </c>
    </row>
    <row r="10" spans="1:15" x14ac:dyDescent="0.25">
      <c r="A10" s="96">
        <f t="shared" si="0"/>
        <v>9</v>
      </c>
      <c r="B10" s="1" t="str">
        <f ca="1">IF(ISERR(Selection!D10),"",IF(ISNA(Selection!D10),"",Selection!F10))</f>
        <v>Austria</v>
      </c>
      <c r="C10" s="83">
        <f ca="1">IF(ISERR(Selection!D10),"",IF(ISNA(Selection!D10),"",Selection!D10))</f>
        <v>31509.319872476088</v>
      </c>
      <c r="D10" s="87" t="str">
        <f ca="1">IF(C10="","",IF(Menus!$K$10="2001 Grossed",VLOOKUP(MAX(Selection!M10:N10),$N$2:$O$4,2),""))</f>
        <v>Grossed on regional averages</v>
      </c>
    </row>
    <row r="11" spans="1:15" x14ac:dyDescent="0.25">
      <c r="A11" s="96">
        <f t="shared" si="0"/>
        <v>10</v>
      </c>
      <c r="B11" s="1" t="str">
        <f ca="1">IF(ISERR(Selection!D11),"",IF(ISNA(Selection!D11),"",Selection!F11))</f>
        <v>Italy</v>
      </c>
      <c r="C11" s="83">
        <f ca="1">IF(ISERR(Selection!D11),"",IF(ISNA(Selection!D11),"",Selection!D11))</f>
        <v>31173.883037354561</v>
      </c>
      <c r="D11" s="87" t="str">
        <f ca="1">IF(C11="","",IF(Menus!$K$10="2001 Grossed",VLOOKUP(MAX(Selection!M11:N11),$N$2:$O$4,2),""))</f>
        <v>Grossed on regional averages</v>
      </c>
    </row>
    <row r="12" spans="1:15" x14ac:dyDescent="0.25">
      <c r="A12" s="96">
        <f t="shared" si="0"/>
        <v>11</v>
      </c>
      <c r="B12" s="1" t="str">
        <f ca="1">IF(ISERR(Selection!D12),"",IF(ISNA(Selection!D12),"",Selection!F12))</f>
        <v>Iceland</v>
      </c>
      <c r="C12" s="83">
        <f ca="1">IF(ISERR(Selection!D12),"",IF(ISNA(Selection!D12),"",Selection!D12))</f>
        <v>27499.611111111109</v>
      </c>
      <c r="D12" s="87" t="str">
        <f ca="1">IF(C12="","",IF(Menus!$K$10="2001 Grossed",VLOOKUP(MAX(Selection!M12:N12),$N$2:$O$4,2),""))</f>
        <v>Grossed on regional averages</v>
      </c>
    </row>
    <row r="13" spans="1:15" x14ac:dyDescent="0.25">
      <c r="A13" s="96">
        <f t="shared" si="0"/>
        <v>12</v>
      </c>
      <c r="B13" s="1" t="str">
        <f ca="1">IF(ISERR(Selection!D13),"",IF(ISNA(Selection!D13),"",Selection!F13))</f>
        <v>Finland</v>
      </c>
      <c r="C13" s="83">
        <f ca="1">IF(ISERR(Selection!D13),"",IF(ISNA(Selection!D13),"",Selection!D13))</f>
        <v>27353.222375690606</v>
      </c>
      <c r="D13" s="87" t="str">
        <f ca="1">IF(C13="","",IF(Menus!$K$10="2001 Grossed",VLOOKUP(MAX(Selection!M13:N13),$N$2:$O$4,2),""))</f>
        <v>Returned Data for year 2001</v>
      </c>
    </row>
    <row r="14" spans="1:15" x14ac:dyDescent="0.25">
      <c r="A14" s="96">
        <f t="shared" si="0"/>
        <v>13</v>
      </c>
      <c r="B14" s="1" t="str">
        <f ca="1">IF(ISERR(Selection!D14),"",IF(ISNA(Selection!D14),"",Selection!F14))</f>
        <v>België Nederlandstalige Universiteiten</v>
      </c>
      <c r="C14" s="83">
        <f ca="1">IF(ISERR(Selection!D14),"",IF(ISNA(Selection!D14),"",Selection!D14))</f>
        <v>27280.814332247555</v>
      </c>
      <c r="D14" s="87" t="str">
        <f ca="1">IF(C14="","",IF(Menus!$K$10="2001 Grossed",VLOOKUP(MAX(Selection!M14:N14),$N$2:$O$4,2),""))</f>
        <v>Returned Data for year 2001</v>
      </c>
    </row>
    <row r="15" spans="1:15" x14ac:dyDescent="0.25">
      <c r="A15" s="96">
        <f t="shared" si="0"/>
        <v>14</v>
      </c>
      <c r="B15" s="1" t="str">
        <f ca="1">IF(ISERR(Selection!D15),"",IF(ISNA(Selection!D15),"",Selection!F15))</f>
        <v>Germany</v>
      </c>
      <c r="C15" s="83">
        <f ca="1">IF(ISERR(Selection!D15),"",IF(ISNA(Selection!D15),"",Selection!D15))</f>
        <v>27132.814184237232</v>
      </c>
      <c r="D15" s="87" t="str">
        <f ca="1">IF(C15="","",IF(Menus!$K$10="2001 Grossed",VLOOKUP(MAX(Selection!M15:N15),$N$2:$O$4,2),""))</f>
        <v>Returned Data for year 2001</v>
      </c>
    </row>
    <row r="16" spans="1:15" x14ac:dyDescent="0.25">
      <c r="A16" s="96">
        <f t="shared" si="0"/>
        <v>15</v>
      </c>
      <c r="B16" s="1" t="str">
        <f ca="1">IF(ISERR(Selection!D16),"",IF(ISNA(Selection!D16),"",Selection!F16))</f>
        <v>Belgium</v>
      </c>
      <c r="C16" s="83">
        <f ca="1">IF(ISERR(Selection!D16),"",IF(ISNA(Selection!D16),"",Selection!D16))</f>
        <v>25348.756978653531</v>
      </c>
      <c r="D16" s="87" t="str">
        <f ca="1">IF(C16="","",IF(Menus!$K$10="2001 Grossed",VLOOKUP(MAX(Selection!M16:N16),$N$2:$O$4,2),""))</f>
        <v>Returned Data for year 2001</v>
      </c>
    </row>
    <row r="17" spans="1:5" x14ac:dyDescent="0.25">
      <c r="A17" s="96">
        <f t="shared" si="0"/>
        <v>16</v>
      </c>
      <c r="B17" s="1" t="str">
        <f ca="1">IF(ISERR(Selection!D17),"",IF(ISNA(Selection!D17),"",Selection!F17))</f>
        <v xml:space="preserve">Belgique universités francophones </v>
      </c>
      <c r="C17" s="83">
        <f ca="1">IF(ISERR(Selection!D17),"",IF(ISNA(Selection!D17),"",Selection!D17))</f>
        <v>23462.401993355481</v>
      </c>
      <c r="D17" s="87" t="str">
        <f ca="1">IF(C17="","",IF(Menus!$K$10="2001 Grossed",VLOOKUP(MAX(Selection!M17:N17),$N$2:$O$4,2),""))</f>
        <v>Returned Data for year 2001</v>
      </c>
    </row>
    <row r="18" spans="1:5" x14ac:dyDescent="0.25">
      <c r="A18" s="96">
        <f t="shared" si="0"/>
        <v>17</v>
      </c>
      <c r="B18" s="1" t="str">
        <f ca="1">IF(ISERR(Selection!D18),"",IF(ISNA(Selection!D18),"",Selection!F18))</f>
        <v>Switzerland</v>
      </c>
      <c r="C18" s="83">
        <f ca="1">IF(ISERR(Selection!D18),"",IF(ISNA(Selection!D18),"",Selection!D18))</f>
        <v>21043.254023792862</v>
      </c>
      <c r="D18" s="87" t="str">
        <f ca="1">IF(C18="","",IF(Menus!$K$10="2001 Grossed",VLOOKUP(MAX(Selection!M18:N18),$N$2:$O$4,2),""))</f>
        <v>Grossed on regional averages</v>
      </c>
    </row>
    <row r="19" spans="1:5" x14ac:dyDescent="0.25">
      <c r="A19" s="96">
        <f t="shared" si="0"/>
        <v>18</v>
      </c>
      <c r="B19" s="1" t="str">
        <f ca="1">IF(ISERR(Selection!D19),"",IF(ISNA(Selection!D19),"",Selection!F19))</f>
        <v>Eire</v>
      </c>
      <c r="C19" s="83">
        <f ca="1">IF(ISERR(Selection!D19),"",IF(ISNA(Selection!D19),"",Selection!D19))</f>
        <v>20084.240000000002</v>
      </c>
      <c r="D19" s="87" t="str">
        <f ca="1">IF(C19="","",IF(Menus!$K$10="2001 Grossed",VLOOKUP(MAX(Selection!M19:N19),$N$2:$O$4,2),""))</f>
        <v>Grossed on regional averages</v>
      </c>
    </row>
    <row r="20" spans="1:5" x14ac:dyDescent="0.25">
      <c r="A20" s="96">
        <f t="shared" si="0"/>
        <v>19</v>
      </c>
      <c r="B20" s="1" t="str">
        <f ca="1">IF(ISERR(Selection!D20),"",IF(ISNA(Selection!D20),"",Selection!F20))</f>
        <v>Spain</v>
      </c>
      <c r="C20" s="83">
        <f ca="1">IF(ISERR(Selection!D20),"",IF(ISNA(Selection!D20),"",Selection!D20))</f>
        <v>16526.102960969045</v>
      </c>
      <c r="D20" s="87" t="str">
        <f ca="1">IF(C20="","",IF(Menus!$K$10="2001 Grossed",VLOOKUP(MAX(Selection!M20:N20),$N$2:$O$4,2),""))</f>
        <v>Apportioned or estimated from previous years returns</v>
      </c>
    </row>
    <row r="21" spans="1:5" x14ac:dyDescent="0.25">
      <c r="A21" s="96">
        <f t="shared" si="0"/>
        <v>20</v>
      </c>
      <c r="B21" s="1" t="str">
        <f ca="1">IF(ISERR(Selection!D21),"",IF(ISNA(Selection!D21),"",Selection!F21))</f>
        <v>Portugal</v>
      </c>
      <c r="C21" s="83">
        <f ca="1">IF(ISERR(Selection!D21),"",IF(ISNA(Selection!D21),"",Selection!D21))</f>
        <v>5801.2510288065841</v>
      </c>
      <c r="D21" s="87" t="str">
        <f ca="1">IF(C21="","",IF(Menus!$K$10="2001 Grossed",VLOOKUP(MAX(Selection!M21:N21),$N$2:$O$4,2),""))</f>
        <v>Apportioned or estimated from previous years returns</v>
      </c>
    </row>
    <row r="22" spans="1:5" x14ac:dyDescent="0.25">
      <c r="A22" s="96">
        <f t="shared" si="0"/>
        <v>21</v>
      </c>
      <c r="B22" s="1" t="str">
        <f ca="1">IF(ISERR(Selection!D22),"",IF(ISNA(Selection!D22),"",Selection!F22))</f>
        <v>Greece</v>
      </c>
      <c r="C22" s="83">
        <f ca="1">IF(ISERR(Selection!D22),"",IF(ISNA(Selection!D22),"",Selection!D22))</f>
        <v>3611.1086375779164</v>
      </c>
      <c r="D22" s="87" t="str">
        <f ca="1">IF(C22="","",IF(Menus!$K$10="2001 Grossed",VLOOKUP(MAX(Selection!M22:N22),$N$2:$O$4,2),""))</f>
        <v>Apportioned or estimated from previous years returns</v>
      </c>
    </row>
    <row r="23" spans="1:5" x14ac:dyDescent="0.25">
      <c r="A23" s="96">
        <f t="shared" si="0"/>
        <v>22</v>
      </c>
      <c r="B23" s="1" t="str">
        <f ca="1">IF(ISERR(Selection!D23),"",IF(ISNA(Selection!D23),"",Selection!F23))</f>
        <v/>
      </c>
      <c r="C23" s="83" t="str">
        <f ca="1">IF(ISERR(Selection!D23),"",IF(ISNA(Selection!D23),"",Selection!D23))</f>
        <v/>
      </c>
      <c r="D23" s="87" t="str">
        <f ca="1">IF(C23="","",IF(Menus!$K$10="2001 Grossed",VLOOKUP(MAX(Selection!M23:N23),$N$2:$O$4,2),""))</f>
        <v/>
      </c>
    </row>
    <row r="24" spans="1:5" x14ac:dyDescent="0.25">
      <c r="A24" s="96">
        <f t="shared" si="0"/>
        <v>23</v>
      </c>
      <c r="B24" s="1" t="str">
        <f ca="1">IF(ISERR(Selection!D24),"",IF(ISNA(Selection!D24),"",Selection!F24))</f>
        <v/>
      </c>
      <c r="C24" s="83" t="str">
        <f ca="1">IF(ISERR(Selection!D24),"",IF(ISNA(Selection!D24),"",Selection!D24))</f>
        <v/>
      </c>
      <c r="D24" s="87" t="str">
        <f ca="1">IF(C24="","",IF(Menus!$K$10="2001 Grossed",VLOOKUP(MAX(Selection!M24:N24),$N$2:$O$4,2),""))</f>
        <v/>
      </c>
    </row>
    <row r="25" spans="1:5" x14ac:dyDescent="0.25">
      <c r="A25" s="96">
        <f t="shared" si="0"/>
        <v>24</v>
      </c>
      <c r="B25" s="1" t="str">
        <f ca="1">IF(ISERR(Selection!D25),"",IF(ISNA(Selection!D25),"",Selection!F25))</f>
        <v/>
      </c>
      <c r="C25" s="83" t="str">
        <f ca="1">IF(ISERR(Selection!D25),"",IF(ISNA(Selection!D25),"",Selection!D25))</f>
        <v/>
      </c>
      <c r="D25" s="87" t="str">
        <f ca="1">IF(C25="","",IF(Menus!$K$10="2001 Grossed",VLOOKUP(MAX(Selection!M25:N25),$N$2:$O$4,2),""))</f>
        <v/>
      </c>
    </row>
    <row r="26" spans="1:5" x14ac:dyDescent="0.25">
      <c r="A26" s="96">
        <f t="shared" si="0"/>
        <v>25</v>
      </c>
      <c r="B26" s="1" t="str">
        <f ca="1">IF(ISERR(Selection!D26),"",IF(ISNA(Selection!D26),"",Selection!F26))</f>
        <v/>
      </c>
      <c r="C26" s="83" t="str">
        <f ca="1">IF(ISERR(Selection!D26),"",IF(ISNA(Selection!D26),"",Selection!D26))</f>
        <v/>
      </c>
      <c r="D26" s="87" t="str">
        <f ca="1">IF(C26="","",IF(Menus!$K$10="2001 Grossed",VLOOKUP(MAX(Selection!M26:N26),$N$2:$O$4,2),""))</f>
        <v/>
      </c>
    </row>
    <row r="27" spans="1:5" x14ac:dyDescent="0.25">
      <c r="A27" s="96">
        <f t="shared" si="0"/>
        <v>26</v>
      </c>
      <c r="B27" s="1" t="str">
        <f ca="1">IF(ISERR(Selection!D27),"",IF(ISNA(Selection!D27),"",Selection!F27))</f>
        <v/>
      </c>
      <c r="C27" s="83" t="str">
        <f ca="1">IF(ISERR(Selection!D27),"",IF(ISNA(Selection!D27),"",Selection!D27))</f>
        <v/>
      </c>
      <c r="D27" s="87" t="str">
        <f ca="1">IF(C27="","",IF(Menus!$K$10="2001 Grossed",VLOOKUP(MAX(Selection!M27:N27),$N$2:$O$4,2),""))</f>
        <v/>
      </c>
    </row>
    <row r="28" spans="1:5" x14ac:dyDescent="0.25">
      <c r="A28" s="96">
        <f t="shared" si="0"/>
        <v>27</v>
      </c>
      <c r="B28" s="1" t="str">
        <f ca="1">IF(ISERR(Selection!D28),"",IF(ISNA(Selection!D28),"",Selection!F28))</f>
        <v/>
      </c>
      <c r="C28" s="83" t="str">
        <f ca="1">IF(ISERR(Selection!D28),"",IF(ISNA(Selection!D28),"",Selection!D28))</f>
        <v/>
      </c>
      <c r="D28" s="87" t="str">
        <f ca="1">IF(C28="","",IF(Menus!$K$10="2001 Grossed",VLOOKUP(MAX(Selection!M28:N28),$N$2:$O$4,2),""))</f>
        <v/>
      </c>
    </row>
    <row r="29" spans="1:5" x14ac:dyDescent="0.25">
      <c r="A29" s="96">
        <f t="shared" si="0"/>
        <v>28</v>
      </c>
      <c r="B29" s="1" t="str">
        <f ca="1">IF(ISERR(Selection!D29),"",IF(ISNA(Selection!D29),"",Selection!F29))</f>
        <v/>
      </c>
      <c r="C29" s="83" t="str">
        <f ca="1">IF(ISERR(Selection!D29),"",IF(ISNA(Selection!D29),"",Selection!D29))</f>
        <v/>
      </c>
      <c r="D29" s="87" t="str">
        <f ca="1">IF(C29="","",IF(Menus!$K$10="2001 Grossed",VLOOKUP(MAX(Selection!M29:N29),$N$2:$O$4,2),""))</f>
        <v/>
      </c>
    </row>
    <row r="30" spans="1:5" x14ac:dyDescent="0.25">
      <c r="A30" s="96">
        <f t="shared" si="0"/>
        <v>29</v>
      </c>
      <c r="B30" s="1" t="str">
        <f ca="1">IF(ISERR(Selection!D30),"",IF(ISNA(Selection!D30),"",Selection!F30))</f>
        <v/>
      </c>
      <c r="C30" s="83" t="str">
        <f ca="1">IF(ISERR(Selection!D30),"",IF(ISNA(Selection!D30),"",Selection!D30))</f>
        <v/>
      </c>
      <c r="D30" s="87" t="str">
        <f ca="1">IF(C30="","",IF(Menus!$K$10="2001 Grossed",VLOOKUP(MAX(Selection!M30:N30),$N$2:$O$4,2),""))</f>
        <v/>
      </c>
      <c r="E30" s="83"/>
    </row>
    <row r="31" spans="1:5" x14ac:dyDescent="0.25">
      <c r="A31" s="96">
        <f t="shared" si="0"/>
        <v>30</v>
      </c>
      <c r="B31" s="1" t="str">
        <f ca="1">IF(ISERR(Selection!D31),"",IF(ISNA(Selection!D31),"",Selection!F31))</f>
        <v/>
      </c>
      <c r="C31" s="83" t="str">
        <f ca="1">IF(ISERR(Selection!D31),"",IF(ISNA(Selection!D31),"",Selection!D31))</f>
        <v/>
      </c>
      <c r="D31" s="87" t="str">
        <f ca="1">IF(C31="","",IF(Menus!$K$10="2001 Grossed",VLOOKUP(MAX(Selection!M31:N31),$N$2:$O$4,2),""))</f>
        <v/>
      </c>
    </row>
    <row r="32" spans="1:5" x14ac:dyDescent="0.25">
      <c r="A32" s="96">
        <f t="shared" si="0"/>
        <v>31</v>
      </c>
      <c r="B32" s="1" t="str">
        <f ca="1">IF(ISERR(Selection!D32),"",IF(ISNA(Selection!D32),"",Selection!F32))</f>
        <v/>
      </c>
      <c r="C32" s="83" t="str">
        <f ca="1">IF(ISERR(Selection!D32),"",IF(ISNA(Selection!D32),"",Selection!D32))</f>
        <v/>
      </c>
      <c r="D32" s="87" t="str">
        <f ca="1">IF(C32="","",IF(Menus!$K$10="2001 Grossed",VLOOKUP(MAX(Selection!M32:N32),$N$2:$O$4,2),""))</f>
        <v/>
      </c>
    </row>
    <row r="33" spans="1:4" x14ac:dyDescent="0.25">
      <c r="A33" s="96">
        <f t="shared" si="0"/>
        <v>32</v>
      </c>
      <c r="B33" s="1" t="str">
        <f ca="1">IF(ISERR(Selection!D33),"",IF(ISNA(Selection!D33),"",Selection!F33))</f>
        <v/>
      </c>
      <c r="C33" s="83" t="str">
        <f ca="1">IF(ISERR(Selection!D33),"",IF(ISNA(Selection!D33),"",Selection!D33))</f>
        <v/>
      </c>
      <c r="D33" s="87" t="str">
        <f ca="1">IF(C33="","",IF(Menus!$K$10="2001 Grossed",VLOOKUP(MAX(Selection!M33:N33),$N$2:$O$4,2),""))</f>
        <v/>
      </c>
    </row>
    <row r="34" spans="1:4" x14ac:dyDescent="0.25">
      <c r="A34" s="96">
        <f t="shared" si="0"/>
        <v>33</v>
      </c>
      <c r="B34" s="1" t="str">
        <f ca="1">IF(ISERR(Selection!D34),"",IF(ISNA(Selection!D34),"",Selection!F34))</f>
        <v/>
      </c>
      <c r="C34" s="83" t="str">
        <f ca="1">IF(ISERR(Selection!D34),"",IF(ISNA(Selection!D34),"",Selection!D34))</f>
        <v/>
      </c>
      <c r="D34" s="87" t="str">
        <f ca="1">IF(C34="","",IF(Menus!$K$10="2001 Grossed",VLOOKUP(MAX(Selection!M34:N34),$N$2:$O$4,2),""))</f>
        <v/>
      </c>
    </row>
    <row r="35" spans="1:4" x14ac:dyDescent="0.25">
      <c r="A35" s="96">
        <f t="shared" si="0"/>
        <v>34</v>
      </c>
      <c r="B35" s="1" t="str">
        <f ca="1">IF(ISERR(Selection!D35),"",IF(ISNA(Selection!D35),"",Selection!F35))</f>
        <v/>
      </c>
      <c r="C35" s="83" t="str">
        <f ca="1">IF(ISERR(Selection!D35),"",IF(ISNA(Selection!D35),"",Selection!D35))</f>
        <v/>
      </c>
      <c r="D35" s="87" t="str">
        <f ca="1">IF(C35="","",IF(Menus!$K$10="2001 Grossed",VLOOKUP(MAX(Selection!M35:N35),$N$2:$O$4,2),""))</f>
        <v/>
      </c>
    </row>
    <row r="36" spans="1:4" x14ac:dyDescent="0.25">
      <c r="A36" s="96">
        <f t="shared" si="0"/>
        <v>35</v>
      </c>
      <c r="B36" s="1" t="str">
        <f ca="1">IF(ISERR(Selection!D36),"",IF(ISNA(Selection!D36),"",Selection!F36))</f>
        <v/>
      </c>
      <c r="C36" s="83" t="str">
        <f ca="1">IF(ISERR(Selection!D36),"",IF(ISNA(Selection!D36),"",Selection!D36))</f>
        <v/>
      </c>
      <c r="D36" s="87" t="str">
        <f ca="1">IF(C36="","",IF(Menus!$K$10="2001 Grossed",VLOOKUP(MAX(Selection!M36:N36),$N$2:$O$4,2),""))</f>
        <v/>
      </c>
    </row>
    <row r="37" spans="1:4" x14ac:dyDescent="0.25">
      <c r="A37" s="96">
        <f t="shared" si="0"/>
        <v>36</v>
      </c>
      <c r="B37" s="1" t="str">
        <f ca="1">IF(ISERR(Selection!D37),"",IF(ISNA(Selection!D37),"",Selection!F37))</f>
        <v/>
      </c>
      <c r="C37" s="83" t="str">
        <f ca="1">IF(ISERR(Selection!D37),"",IF(ISNA(Selection!D37),"",Selection!D37))</f>
        <v/>
      </c>
      <c r="D37" s="87" t="str">
        <f ca="1">IF(C37="","",IF(Menus!$K$10="2001 Grossed",VLOOKUP(MAX(Selection!M37:N37),$N$2:$O$4,2),""))</f>
        <v/>
      </c>
    </row>
    <row r="38" spans="1:4" x14ac:dyDescent="0.25">
      <c r="A38" s="96">
        <f t="shared" si="0"/>
        <v>37</v>
      </c>
      <c r="B38" s="1" t="str">
        <f ca="1">IF(ISERR(Selection!D38),"",IF(ISNA(Selection!D38),"",Selection!F38))</f>
        <v/>
      </c>
      <c r="C38" s="83" t="str">
        <f ca="1">IF(ISERR(Selection!D38),"",IF(ISNA(Selection!D38),"",Selection!D38))</f>
        <v/>
      </c>
      <c r="D38" s="87" t="str">
        <f ca="1">IF(C38="","",IF(Menus!$K$10="2001 Grossed",VLOOKUP(MAX(Selection!M38:N38),$N$2:$O$4,2),""))</f>
        <v/>
      </c>
    </row>
    <row r="39" spans="1:4" x14ac:dyDescent="0.25">
      <c r="A39" s="96">
        <f t="shared" si="0"/>
        <v>38</v>
      </c>
      <c r="B39" s="1" t="str">
        <f ca="1">IF(ISERR(Selection!D39),"",IF(ISNA(Selection!D39),"",Selection!F39))</f>
        <v/>
      </c>
      <c r="C39" s="83" t="str">
        <f ca="1">IF(ISERR(Selection!D39),"",IF(ISNA(Selection!D39),"",Selection!D39))</f>
        <v/>
      </c>
      <c r="D39" s="87" t="str">
        <f ca="1">IF(C39="","",IF(Menus!$K$10="2001 Grossed",VLOOKUP(MAX(Selection!M39:N39),$N$2:$O$4,2),""))</f>
        <v/>
      </c>
    </row>
    <row r="40" spans="1:4" x14ac:dyDescent="0.25">
      <c r="A40" s="96">
        <f t="shared" si="0"/>
        <v>39</v>
      </c>
      <c r="B40" s="1" t="str">
        <f ca="1">IF(ISERR(Selection!D40),"",IF(ISNA(Selection!D40),"",Selection!F40))</f>
        <v/>
      </c>
      <c r="C40" s="83" t="str">
        <f ca="1">IF(ISERR(Selection!D40),"",IF(ISNA(Selection!D40),"",Selection!D40))</f>
        <v/>
      </c>
      <c r="D40" s="87" t="str">
        <f ca="1">IF(C40="","",IF(Menus!$K$10="2001 Grossed",VLOOKUP(MAX(Selection!M40:N40),$N$2:$O$4,2),""))</f>
        <v/>
      </c>
    </row>
    <row r="41" spans="1:4" x14ac:dyDescent="0.25">
      <c r="A41" s="96">
        <f t="shared" si="0"/>
        <v>40</v>
      </c>
      <c r="B41" s="1" t="str">
        <f ca="1">IF(ISERR(Selection!D41),"",IF(ISNA(Selection!D41),"",Selection!F41))</f>
        <v/>
      </c>
      <c r="C41" s="83" t="str">
        <f ca="1">IF(ISERR(Selection!D41),"",IF(ISNA(Selection!D41),"",Selection!D41))</f>
        <v/>
      </c>
      <c r="D41" s="87" t="str">
        <f ca="1">IF(C41="","",IF(Menus!$K$10="2001 Grossed",VLOOKUP(MAX(Selection!M41:N41),$N$2:$O$4,2),""))</f>
        <v/>
      </c>
    </row>
    <row r="42" spans="1:4" x14ac:dyDescent="0.25">
      <c r="A42" s="96">
        <f t="shared" si="0"/>
        <v>41</v>
      </c>
      <c r="B42" s="1" t="str">
        <f ca="1">IF(ISERR(Selection!D42),"",IF(ISNA(Selection!D42),"",Selection!F42))</f>
        <v/>
      </c>
      <c r="C42" s="83" t="str">
        <f ca="1">IF(ISERR(Selection!D42),"",IF(ISNA(Selection!D42),"",Selection!D42))</f>
        <v/>
      </c>
      <c r="D42" s="87" t="str">
        <f ca="1">IF(C42="","",IF(Menus!$K$10="2001 Grossed",VLOOKUP(MAX(Selection!M42:N42),$N$2:$O$4,2),""))</f>
        <v/>
      </c>
    </row>
    <row r="43" spans="1:4" x14ac:dyDescent="0.25">
      <c r="A43" s="96">
        <f t="shared" si="0"/>
        <v>42</v>
      </c>
      <c r="B43" s="1" t="str">
        <f ca="1">IF(ISERR(Selection!D43),"",IF(ISNA(Selection!D43),"",Selection!F43))</f>
        <v/>
      </c>
      <c r="C43" s="83" t="str">
        <f ca="1">IF(ISERR(Selection!D43),"",IF(ISNA(Selection!D43),"",Selection!D43))</f>
        <v/>
      </c>
      <c r="D43" s="87" t="str">
        <f ca="1">IF(C43="","",IF(Menus!$K$10="2001 Grossed",VLOOKUP(MAX(Selection!M43:N43),$N$2:$O$4,2),""))</f>
        <v/>
      </c>
    </row>
    <row r="44" spans="1:4" x14ac:dyDescent="0.25">
      <c r="A44" s="96">
        <f t="shared" si="0"/>
        <v>43</v>
      </c>
      <c r="B44" s="1" t="str">
        <f ca="1">IF(ISERR(Selection!D44),"",IF(ISNA(Selection!D44),"",Selection!F44))</f>
        <v/>
      </c>
      <c r="C44" s="83" t="str">
        <f ca="1">IF(ISERR(Selection!D44),"",IF(ISNA(Selection!D44),"",Selection!D44))</f>
        <v/>
      </c>
      <c r="D44" s="87" t="str">
        <f ca="1">IF(C44="","",IF(Menus!$K$10="2001 Grossed",VLOOKUP(MAX(Selection!M44:N44),$N$2:$O$4,2),""))</f>
        <v/>
      </c>
    </row>
    <row r="45" spans="1:4" x14ac:dyDescent="0.25">
      <c r="A45" s="96">
        <f t="shared" si="0"/>
        <v>44</v>
      </c>
      <c r="B45" s="1" t="str">
        <f ca="1">IF(ISERR(Selection!D45),"",IF(ISNA(Selection!D45),"",Selection!F45))</f>
        <v/>
      </c>
      <c r="C45" s="83" t="str">
        <f ca="1">IF(ISERR(Selection!D45),"",IF(ISNA(Selection!D45),"",Selection!D45))</f>
        <v/>
      </c>
      <c r="D45" s="87" t="str">
        <f ca="1">IF(C45="","",IF(Menus!$K$10="2001 Grossed",VLOOKUP(MAX(Selection!M45:N45),$N$2:$O$4,2),""))</f>
        <v/>
      </c>
    </row>
    <row r="46" spans="1:4" x14ac:dyDescent="0.25">
      <c r="A46" s="96">
        <f t="shared" si="0"/>
        <v>45</v>
      </c>
      <c r="B46" s="1" t="str">
        <f ca="1">IF(ISERR(Selection!D46),"",IF(ISNA(Selection!D46),"",Selection!F46))</f>
        <v/>
      </c>
      <c r="C46" s="83" t="str">
        <f ca="1">IF(ISERR(Selection!D46),"",IF(ISNA(Selection!D46),"",Selection!D46))</f>
        <v/>
      </c>
      <c r="D46" s="87" t="str">
        <f ca="1">IF(C46="","",IF(Menus!$K$10="2001 Grossed",VLOOKUP(MAX(Selection!M46:N46),$N$2:$O$4,2),""))</f>
        <v/>
      </c>
    </row>
    <row r="47" spans="1:4" x14ac:dyDescent="0.25">
      <c r="A47" s="96">
        <f t="shared" si="0"/>
        <v>46</v>
      </c>
      <c r="B47" s="1" t="str">
        <f ca="1">IF(ISERR(Selection!D47),"",IF(ISNA(Selection!D47),"",Selection!F47))</f>
        <v/>
      </c>
      <c r="C47" s="83" t="str">
        <f ca="1">IF(ISERR(Selection!D47),"",IF(ISNA(Selection!D47),"",Selection!D47))</f>
        <v/>
      </c>
      <c r="D47" s="87" t="str">
        <f ca="1">IF(C47="","",IF(Menus!$K$10="2001 Grossed",VLOOKUP(MAX(Selection!M47:N47),$N$2:$O$4,2),""))</f>
        <v/>
      </c>
    </row>
    <row r="48" spans="1:4" x14ac:dyDescent="0.25">
      <c r="A48" s="96">
        <f t="shared" si="0"/>
        <v>47</v>
      </c>
      <c r="B48" s="1" t="str">
        <f ca="1">IF(ISERR(Selection!D48),"",IF(ISNA(Selection!D48),"",Selection!F48))</f>
        <v/>
      </c>
      <c r="C48" s="83" t="str">
        <f ca="1">IF(ISERR(Selection!D48),"",IF(ISNA(Selection!D48),"",Selection!D48))</f>
        <v/>
      </c>
      <c r="D48" s="87" t="str">
        <f ca="1">IF(C48="","",IF(Menus!$K$10="2001 Grossed",VLOOKUP(MAX(Selection!M48:N48),$N$2:$O$4,2),""))</f>
        <v/>
      </c>
    </row>
    <row r="49" spans="1:4" x14ac:dyDescent="0.25">
      <c r="A49" s="96">
        <f t="shared" si="0"/>
        <v>48</v>
      </c>
      <c r="B49" s="1" t="str">
        <f ca="1">IF(ISERR(Selection!D49),"",IF(ISNA(Selection!D49),"",Selection!F49))</f>
        <v/>
      </c>
      <c r="C49" s="83" t="str">
        <f ca="1">IF(ISERR(Selection!D49),"",IF(ISNA(Selection!D49),"",Selection!D49))</f>
        <v/>
      </c>
      <c r="D49" s="87" t="str">
        <f ca="1">IF(C49="","",IF(Menus!$K$10="2001 Grossed",VLOOKUP(MAX(Selection!M49:N49),$N$2:$O$4,2),""))</f>
        <v/>
      </c>
    </row>
    <row r="50" spans="1:4" x14ac:dyDescent="0.25">
      <c r="A50" s="96">
        <f t="shared" si="0"/>
        <v>49</v>
      </c>
      <c r="B50" s="1" t="str">
        <f ca="1">IF(ISERR(Selection!D50),"",IF(ISNA(Selection!D50),"",Selection!F50))</f>
        <v/>
      </c>
      <c r="C50" s="83" t="str">
        <f ca="1">IF(ISERR(Selection!D50),"",IF(ISNA(Selection!D50),"",Selection!D50))</f>
        <v/>
      </c>
      <c r="D50" s="87" t="str">
        <f ca="1">IF(C50="","",IF(Menus!$K$10="2001 Grossed",VLOOKUP(MAX(Selection!M50:N50),$N$2:$O$4,2),""))</f>
        <v/>
      </c>
    </row>
    <row r="51" spans="1:4" x14ac:dyDescent="0.25">
      <c r="A51" s="96">
        <f t="shared" si="0"/>
        <v>50</v>
      </c>
      <c r="B51" s="1" t="str">
        <f ca="1">IF(ISERR(Selection!D51),"",IF(ISNA(Selection!D51),"",Selection!F51))</f>
        <v/>
      </c>
      <c r="C51" s="83" t="str">
        <f ca="1">IF(ISERR(Selection!D51),"",IF(ISNA(Selection!D51),"",Selection!D51))</f>
        <v/>
      </c>
      <c r="D51" s="87" t="str">
        <f ca="1">IF(C51="","",IF(Menus!$K$10="2001 Grossed",VLOOKUP(MAX(Selection!M51:N51),$N$2:$O$4,2),""))</f>
        <v/>
      </c>
    </row>
    <row r="52" spans="1:4" x14ac:dyDescent="0.25">
      <c r="A52" s="96">
        <f t="shared" si="0"/>
        <v>51</v>
      </c>
      <c r="B52" s="1" t="str">
        <f ca="1">IF(ISERR(Selection!D52),"",IF(ISNA(Selection!D52),"",Selection!F52))</f>
        <v/>
      </c>
      <c r="C52" s="83" t="str">
        <f ca="1">IF(ISERR(Selection!D52),"",IF(ISNA(Selection!D52),"",Selection!D52))</f>
        <v/>
      </c>
      <c r="D52" s="87" t="str">
        <f ca="1">IF(C52="","",IF(Menus!$K$10="2001 Grossed",VLOOKUP(MAX(Selection!M52:N52),$N$2:$O$4,2),""))</f>
        <v/>
      </c>
    </row>
    <row r="53" spans="1:4" x14ac:dyDescent="0.25">
      <c r="A53" s="96">
        <f t="shared" si="0"/>
        <v>52</v>
      </c>
      <c r="B53" s="1" t="str">
        <f ca="1">IF(ISERR(Selection!D53),"",IF(ISNA(Selection!D53),"",Selection!F53))</f>
        <v/>
      </c>
      <c r="C53" s="83" t="str">
        <f ca="1">IF(ISERR(Selection!D53),"",IF(ISNA(Selection!D53),"",Selection!D53))</f>
        <v/>
      </c>
      <c r="D53" s="87" t="str">
        <f ca="1">IF(C53="","",IF(Menus!$K$10="2001 Grossed",VLOOKUP(MAX(Selection!M53:N53),$N$2:$O$4,2),""))</f>
        <v/>
      </c>
    </row>
    <row r="54" spans="1:4" x14ac:dyDescent="0.25">
      <c r="A54" s="96">
        <f t="shared" si="0"/>
        <v>53</v>
      </c>
      <c r="B54" s="1" t="str">
        <f ca="1">IF(ISERR(Selection!D54),"",IF(ISNA(Selection!D54),"",Selection!F54))</f>
        <v/>
      </c>
      <c r="C54" s="83" t="str">
        <f ca="1">IF(ISERR(Selection!D54),"",IF(ISNA(Selection!D54),"",Selection!D54))</f>
        <v/>
      </c>
      <c r="D54" s="87" t="str">
        <f ca="1">IF(C54="","",IF(Menus!$K$10="2001 Grossed",VLOOKUP(MAX(Selection!M54:N54),$N$2:$O$4,2),""))</f>
        <v/>
      </c>
    </row>
    <row r="55" spans="1:4" x14ac:dyDescent="0.25">
      <c r="A55" s="96">
        <f t="shared" si="0"/>
        <v>54</v>
      </c>
      <c r="B55" s="1" t="str">
        <f ca="1">IF(ISERR(Selection!D55),"",IF(ISNA(Selection!D55),"",Selection!F55))</f>
        <v/>
      </c>
      <c r="C55" s="83" t="str">
        <f ca="1">IF(ISERR(Selection!D55),"",IF(ISNA(Selection!D55),"",Selection!D55))</f>
        <v/>
      </c>
      <c r="D55" s="87" t="str">
        <f ca="1">IF(C55="","",IF(Menus!$K$10="2001 Grossed",VLOOKUP(MAX(Selection!M55:N55),$N$2:$O$4,2),""))</f>
        <v/>
      </c>
    </row>
    <row r="56" spans="1:4" x14ac:dyDescent="0.25">
      <c r="A56" s="96">
        <f t="shared" si="0"/>
        <v>55</v>
      </c>
      <c r="B56" s="1" t="str">
        <f ca="1">IF(ISERR(Selection!D56),"",IF(ISNA(Selection!D56),"",Selection!F56))</f>
        <v/>
      </c>
      <c r="C56" s="83" t="str">
        <f ca="1">IF(ISERR(Selection!D56),"",IF(ISNA(Selection!D56),"",Selection!D56))</f>
        <v/>
      </c>
      <c r="D56" s="87" t="str">
        <f ca="1">IF(C56="","",IF(Menus!$K$10="2001 Grossed",VLOOKUP(MAX(Selection!M56:N56),$N$2:$O$4,2),""))</f>
        <v/>
      </c>
    </row>
    <row r="57" spans="1:4" x14ac:dyDescent="0.25">
      <c r="A57" s="96">
        <f t="shared" si="0"/>
        <v>56</v>
      </c>
      <c r="B57" s="1" t="str">
        <f ca="1">IF(ISERR(Selection!D57),"",IF(ISNA(Selection!D57),"",Selection!F57))</f>
        <v/>
      </c>
      <c r="C57" s="83" t="str">
        <f ca="1">IF(ISERR(Selection!D57),"",IF(ISNA(Selection!D57),"",Selection!D57))</f>
        <v/>
      </c>
      <c r="D57" s="87" t="str">
        <f ca="1">IF(C57="","",IF(Menus!$K$10="2001 Grossed",VLOOKUP(MAX(Selection!M57:N57),$N$2:$O$4,2),""))</f>
        <v/>
      </c>
    </row>
    <row r="58" spans="1:4" x14ac:dyDescent="0.25">
      <c r="A58" s="96">
        <f t="shared" si="0"/>
        <v>57</v>
      </c>
      <c r="B58" s="1" t="str">
        <f ca="1">IF(ISERR(Selection!D58),"",IF(ISNA(Selection!D58),"",Selection!F58))</f>
        <v/>
      </c>
      <c r="C58" s="83" t="str">
        <f ca="1">IF(ISERR(Selection!D58),"",IF(ISNA(Selection!D58),"",Selection!D58))</f>
        <v/>
      </c>
      <c r="D58" s="87" t="str">
        <f ca="1">IF(C58="","",IF(Menus!$K$10="2001 Grossed",VLOOKUP(MAX(Selection!M58:N58),$N$2:$O$4,2),""))</f>
        <v/>
      </c>
    </row>
    <row r="59" spans="1:4" x14ac:dyDescent="0.25">
      <c r="A59" s="96">
        <f t="shared" si="0"/>
        <v>58</v>
      </c>
      <c r="B59" s="1" t="str">
        <f ca="1">IF(ISERR(Selection!D59),"",IF(ISNA(Selection!D59),"",Selection!F59))</f>
        <v/>
      </c>
      <c r="C59" s="83" t="str">
        <f ca="1">IF(ISERR(Selection!D59),"",IF(ISNA(Selection!D59),"",Selection!D59))</f>
        <v/>
      </c>
      <c r="D59" s="87" t="str">
        <f ca="1">IF(C59="","",IF(Menus!$K$10="2001 Grossed",VLOOKUP(MAX(Selection!M59:N59),$N$2:$O$4,2),""))</f>
        <v/>
      </c>
    </row>
    <row r="60" spans="1:4" x14ac:dyDescent="0.25">
      <c r="A60" s="96">
        <f t="shared" si="0"/>
        <v>59</v>
      </c>
      <c r="B60" s="1" t="str">
        <f ca="1">IF(ISERR(Selection!D60),"",IF(ISNA(Selection!D60),"",Selection!F60))</f>
        <v/>
      </c>
      <c r="C60" s="83" t="str">
        <f ca="1">IF(ISERR(Selection!D60),"",IF(ISNA(Selection!D60),"",Selection!D60))</f>
        <v/>
      </c>
      <c r="D60" s="87" t="str">
        <f ca="1">IF(C60="","",IF(Menus!$K$10="2001 Grossed",VLOOKUP(MAX(Selection!M60:N60),$N$2:$O$4,2),""))</f>
        <v/>
      </c>
    </row>
    <row r="61" spans="1:4" x14ac:dyDescent="0.25">
      <c r="A61" s="96">
        <f t="shared" si="0"/>
        <v>60</v>
      </c>
      <c r="B61" s="1" t="str">
        <f ca="1">IF(ISERR(Selection!D61),"",IF(ISNA(Selection!D61),"",Selection!F61))</f>
        <v/>
      </c>
      <c r="C61" s="83" t="str">
        <f ca="1">IF(ISERR(Selection!D61),"",IF(ISNA(Selection!D61),"",Selection!D61))</f>
        <v/>
      </c>
      <c r="D61" s="87" t="str">
        <f ca="1">IF(C61="","",IF(Menus!$K$10="2001 Grossed",VLOOKUP(MAX(Selection!M61:N61),$N$2:$O$4,2),""))</f>
        <v/>
      </c>
    </row>
    <row r="62" spans="1:4" x14ac:dyDescent="0.25">
      <c r="A62" s="96">
        <f t="shared" si="0"/>
        <v>61</v>
      </c>
      <c r="B62" s="1" t="str">
        <f ca="1">IF(ISERR(Selection!D62),"",IF(ISNA(Selection!D62),"",Selection!F62))</f>
        <v/>
      </c>
      <c r="C62" s="83" t="str">
        <f ca="1">IF(ISERR(Selection!D62),"",IF(ISNA(Selection!D62),"",Selection!D62))</f>
        <v/>
      </c>
      <c r="D62" s="87" t="str">
        <f ca="1">IF(C62="","",IF(Menus!$K$10="2001 Grossed",VLOOKUP(MAX(Selection!M62:N62),$N$2:$O$4,2),""))</f>
        <v/>
      </c>
    </row>
    <row r="63" spans="1:4" x14ac:dyDescent="0.25">
      <c r="A63" s="96">
        <f t="shared" si="0"/>
        <v>62</v>
      </c>
      <c r="B63" s="1" t="str">
        <f ca="1">IF(ISERR(Selection!D63),"",IF(ISNA(Selection!D63),"",Selection!F63))</f>
        <v/>
      </c>
      <c r="C63" s="83" t="str">
        <f ca="1">IF(ISERR(Selection!D63),"",IF(ISNA(Selection!D63),"",Selection!D63))</f>
        <v/>
      </c>
      <c r="D63" s="87" t="str">
        <f ca="1">IF(C63="","",IF(Menus!$K$10="2001 Grossed",VLOOKUP(MAX(Selection!M63:N63),$N$2:$O$4,2),""))</f>
        <v/>
      </c>
    </row>
    <row r="64" spans="1:4" x14ac:dyDescent="0.25">
      <c r="A64" s="96">
        <f t="shared" si="0"/>
        <v>63</v>
      </c>
      <c r="B64" s="1" t="str">
        <f ca="1">IF(ISERR(Selection!D64),"",IF(ISNA(Selection!D64),"",Selection!F64))</f>
        <v/>
      </c>
      <c r="C64" s="83" t="str">
        <f ca="1">IF(ISERR(Selection!D64),"",IF(ISNA(Selection!D64),"",Selection!D64))</f>
        <v/>
      </c>
      <c r="D64" s="87" t="str">
        <f ca="1">IF(C64="","",IF(Menus!$K$10="2001 Grossed",VLOOKUP(MAX(Selection!M64:N64),$N$2:$O$4,2),""))</f>
        <v/>
      </c>
    </row>
    <row r="65" spans="1:4" x14ac:dyDescent="0.25">
      <c r="A65" s="96">
        <f t="shared" si="0"/>
        <v>64</v>
      </c>
      <c r="B65" s="1" t="str">
        <f ca="1">IF(ISERR(Selection!D65),"",IF(ISNA(Selection!D65),"",Selection!F65))</f>
        <v/>
      </c>
      <c r="C65" s="83" t="str">
        <f ca="1">IF(ISERR(Selection!D65),"",IF(ISNA(Selection!D65),"",Selection!D65))</f>
        <v/>
      </c>
      <c r="D65" s="87" t="str">
        <f ca="1">IF(C65="","",IF(Menus!$K$10="2001 Grossed",VLOOKUP(MAX(Selection!M65:N65),$N$2:$O$4,2),""))</f>
        <v/>
      </c>
    </row>
    <row r="66" spans="1:4" x14ac:dyDescent="0.25">
      <c r="A66" s="96">
        <f t="shared" si="0"/>
        <v>65</v>
      </c>
      <c r="B66" s="1" t="str">
        <f ca="1">IF(ISERR(Selection!D66),"",IF(ISNA(Selection!D66),"",Selection!F66))</f>
        <v/>
      </c>
      <c r="C66" s="83" t="str">
        <f ca="1">IF(ISERR(Selection!D66),"",IF(ISNA(Selection!D66),"",Selection!D66))</f>
        <v/>
      </c>
      <c r="D66" s="87" t="str">
        <f ca="1">IF(C66="","",IF(Menus!$K$10="2001 Grossed",VLOOKUP(MAX(Selection!M66:N66),$N$2:$O$4,2),""))</f>
        <v/>
      </c>
    </row>
    <row r="67" spans="1:4" x14ac:dyDescent="0.25">
      <c r="A67" s="96">
        <f t="shared" si="0"/>
        <v>66</v>
      </c>
      <c r="B67" s="1" t="str">
        <f ca="1">IF(ISERR(Selection!D67),"",IF(ISNA(Selection!D67),"",Selection!F67))</f>
        <v/>
      </c>
      <c r="C67" s="83" t="str">
        <f ca="1">IF(ISERR(Selection!D67),"",IF(ISNA(Selection!D67),"",Selection!D67))</f>
        <v/>
      </c>
      <c r="D67" s="87" t="str">
        <f ca="1">IF(C67="","",IF(Menus!$K$10="2001 Grossed",VLOOKUP(MAX(Selection!M67:N67),$N$2:$O$4,2),""))</f>
        <v/>
      </c>
    </row>
    <row r="68" spans="1:4" x14ac:dyDescent="0.25">
      <c r="A68" s="96">
        <f t="shared" ref="A68:A101" si="1">1+A67</f>
        <v>67</v>
      </c>
      <c r="B68" s="1" t="str">
        <f ca="1">IF(ISERR(Selection!D68),"",IF(ISNA(Selection!D68),"",Selection!F68))</f>
        <v/>
      </c>
      <c r="C68" s="83" t="str">
        <f ca="1">IF(ISERR(Selection!D68),"",IF(ISNA(Selection!D68),"",Selection!D68))</f>
        <v/>
      </c>
      <c r="D68" s="87" t="str">
        <f ca="1">IF(C68="","",IF(Menus!$K$10="2001 Grossed",VLOOKUP(MAX(Selection!M68:N68),$N$2:$O$4,2),""))</f>
        <v/>
      </c>
    </row>
    <row r="69" spans="1:4" x14ac:dyDescent="0.25">
      <c r="A69" s="96">
        <f t="shared" si="1"/>
        <v>68</v>
      </c>
      <c r="B69" s="1" t="str">
        <f ca="1">IF(ISERR(Selection!D69),"",IF(ISNA(Selection!D69),"",Selection!F69))</f>
        <v/>
      </c>
      <c r="C69" s="83" t="str">
        <f ca="1">IF(ISERR(Selection!D69),"",IF(ISNA(Selection!D69),"",Selection!D69))</f>
        <v/>
      </c>
      <c r="D69" s="87" t="str">
        <f ca="1">IF(C69="","",IF(Menus!$K$10="2001 Grossed",VLOOKUP(MAX(Selection!M69:N69),$N$2:$O$4,2),""))</f>
        <v/>
      </c>
    </row>
    <row r="70" spans="1:4" x14ac:dyDescent="0.25">
      <c r="A70" s="96">
        <f t="shared" si="1"/>
        <v>69</v>
      </c>
      <c r="B70" s="1" t="str">
        <f ca="1">IF(ISERR(Selection!D70),"",IF(ISNA(Selection!D70),"",Selection!F70))</f>
        <v/>
      </c>
      <c r="C70" s="83" t="str">
        <f ca="1">IF(ISERR(Selection!D70),"",IF(ISNA(Selection!D70),"",Selection!D70))</f>
        <v/>
      </c>
      <c r="D70" s="87" t="str">
        <f ca="1">IF(C70="","",IF(Menus!$K$10="2001 Grossed",VLOOKUP(MAX(Selection!M70:N70),$N$2:$O$4,2),""))</f>
        <v/>
      </c>
    </row>
    <row r="71" spans="1:4" x14ac:dyDescent="0.25">
      <c r="A71" s="96">
        <f t="shared" si="1"/>
        <v>70</v>
      </c>
      <c r="B71" s="1" t="str">
        <f ca="1">IF(ISERR(Selection!D71),"",IF(ISNA(Selection!D71),"",Selection!F71))</f>
        <v/>
      </c>
      <c r="C71" s="83" t="str">
        <f ca="1">IF(ISERR(Selection!D71),"",IF(ISNA(Selection!D71),"",Selection!D71))</f>
        <v/>
      </c>
      <c r="D71" s="87" t="str">
        <f ca="1">IF(C71="","",IF(Menus!$K$10="2001 Grossed",VLOOKUP(MAX(Selection!M71:N71),$N$2:$O$4,2),""))</f>
        <v/>
      </c>
    </row>
    <row r="72" spans="1:4" x14ac:dyDescent="0.25">
      <c r="A72" s="96">
        <f t="shared" si="1"/>
        <v>71</v>
      </c>
      <c r="B72" s="1" t="str">
        <f ca="1">IF(ISERR(Selection!D72),"",IF(ISNA(Selection!D72),"",Selection!F72))</f>
        <v/>
      </c>
      <c r="C72" s="83" t="str">
        <f ca="1">IF(ISERR(Selection!D72),"",IF(ISNA(Selection!D72),"",Selection!D72))</f>
        <v/>
      </c>
      <c r="D72" s="87" t="str">
        <f ca="1">IF(C72="","",IF(Menus!$K$10="2001 Grossed",VLOOKUP(MAX(Selection!M72:N72),$N$2:$O$4,2),""))</f>
        <v/>
      </c>
    </row>
    <row r="73" spans="1:4" x14ac:dyDescent="0.25">
      <c r="A73" s="96">
        <f t="shared" si="1"/>
        <v>72</v>
      </c>
      <c r="B73" s="1" t="str">
        <f ca="1">IF(ISERR(Selection!D73),"",IF(ISNA(Selection!D73),"",Selection!F73))</f>
        <v/>
      </c>
      <c r="C73" s="83" t="str">
        <f ca="1">IF(ISERR(Selection!D73),"",IF(ISNA(Selection!D73),"",Selection!D73))</f>
        <v/>
      </c>
      <c r="D73" s="87" t="str">
        <f ca="1">IF(C73="","",IF(Menus!$K$10="2001 Grossed",VLOOKUP(MAX(Selection!M73:N73),$N$2:$O$4,2),""))</f>
        <v/>
      </c>
    </row>
    <row r="74" spans="1:4" x14ac:dyDescent="0.25">
      <c r="A74" s="96">
        <f t="shared" si="1"/>
        <v>73</v>
      </c>
      <c r="B74" s="1" t="str">
        <f ca="1">IF(ISERR(Selection!D74),"",IF(ISNA(Selection!D74),"",Selection!F74))</f>
        <v/>
      </c>
      <c r="C74" s="83" t="str">
        <f ca="1">IF(ISERR(Selection!D74),"",IF(ISNA(Selection!D74),"",Selection!D74))</f>
        <v/>
      </c>
      <c r="D74" s="87" t="str">
        <f ca="1">IF(C74="","",IF(Menus!$K$10="2001 Grossed",VLOOKUP(MAX(Selection!M74:N74),$N$2:$O$4,2),""))</f>
        <v/>
      </c>
    </row>
    <row r="75" spans="1:4" x14ac:dyDescent="0.25">
      <c r="A75" s="96">
        <f t="shared" si="1"/>
        <v>74</v>
      </c>
      <c r="B75" s="1" t="str">
        <f ca="1">IF(ISERR(Selection!D75),"",IF(ISNA(Selection!D75),"",Selection!F75))</f>
        <v/>
      </c>
      <c r="C75" s="83" t="str">
        <f ca="1">IF(ISERR(Selection!D75),"",IF(ISNA(Selection!D75),"",Selection!D75))</f>
        <v/>
      </c>
      <c r="D75" s="87" t="str">
        <f ca="1">IF(C75="","",IF(Menus!$K$10="2001 Grossed",VLOOKUP(MAX(Selection!M75:N75),$N$2:$O$4,2),""))</f>
        <v/>
      </c>
    </row>
    <row r="76" spans="1:4" x14ac:dyDescent="0.25">
      <c r="A76" s="96">
        <f t="shared" si="1"/>
        <v>75</v>
      </c>
      <c r="B76" s="1" t="str">
        <f ca="1">IF(ISERR(Selection!D76),"",IF(ISNA(Selection!D76),"",Selection!F76))</f>
        <v/>
      </c>
      <c r="C76" s="83" t="str">
        <f ca="1">IF(ISERR(Selection!D76),"",IF(ISNA(Selection!D76),"",Selection!D76))</f>
        <v/>
      </c>
      <c r="D76" s="87" t="str">
        <f ca="1">IF(C76="","",IF(Menus!$K$10="2001 Grossed",VLOOKUP(MAX(Selection!M76:N76),$N$2:$O$4,2),""))</f>
        <v/>
      </c>
    </row>
    <row r="77" spans="1:4" x14ac:dyDescent="0.25">
      <c r="A77" s="96">
        <f t="shared" si="1"/>
        <v>76</v>
      </c>
      <c r="B77" s="1" t="str">
        <f ca="1">IF(ISERR(Selection!D77),"",IF(ISNA(Selection!D77),"",Selection!F77))</f>
        <v/>
      </c>
      <c r="C77" s="83" t="str">
        <f ca="1">IF(ISERR(Selection!D77),"",IF(ISNA(Selection!D77),"",Selection!D77))</f>
        <v/>
      </c>
      <c r="D77" s="87" t="str">
        <f ca="1">IF(C77="","",IF(Menus!$K$10="2001 Grossed",VLOOKUP(MAX(Selection!M77:N77),$N$2:$O$4,2),""))</f>
        <v/>
      </c>
    </row>
    <row r="78" spans="1:4" x14ac:dyDescent="0.25">
      <c r="A78" s="96">
        <f t="shared" si="1"/>
        <v>77</v>
      </c>
      <c r="B78" s="1" t="str">
        <f ca="1">IF(ISERR(Selection!D78),"",IF(ISNA(Selection!D78),"",Selection!F78))</f>
        <v/>
      </c>
      <c r="C78" s="83" t="str">
        <f ca="1">IF(ISERR(Selection!D78),"",IF(ISNA(Selection!D78),"",Selection!D78))</f>
        <v/>
      </c>
      <c r="D78" s="87" t="str">
        <f ca="1">IF(C78="","",IF(Menus!$K$10="2001 Grossed",VLOOKUP(MAX(Selection!M78:N78),$N$2:$O$4,2),""))</f>
        <v/>
      </c>
    </row>
    <row r="79" spans="1:4" x14ac:dyDescent="0.25">
      <c r="A79" s="96">
        <f t="shared" si="1"/>
        <v>78</v>
      </c>
      <c r="B79" s="1" t="str">
        <f ca="1">IF(ISERR(Selection!D79),"",IF(ISNA(Selection!D79),"",Selection!F79))</f>
        <v/>
      </c>
      <c r="C79" s="83" t="str">
        <f ca="1">IF(ISERR(Selection!D79),"",IF(ISNA(Selection!D79),"",Selection!D79))</f>
        <v/>
      </c>
      <c r="D79" s="87" t="str">
        <f ca="1">IF(C79="","",IF(Menus!$K$10="2001 Grossed",VLOOKUP(MAX(Selection!M79:N79),$N$2:$O$4,2),""))</f>
        <v/>
      </c>
    </row>
    <row r="80" spans="1:4" x14ac:dyDescent="0.25">
      <c r="A80" s="96">
        <f t="shared" si="1"/>
        <v>79</v>
      </c>
      <c r="B80" s="1" t="str">
        <f ca="1">IF(ISERR(Selection!D80),"",IF(ISNA(Selection!D80),"",Selection!F80))</f>
        <v/>
      </c>
      <c r="C80" s="83" t="str">
        <f ca="1">IF(ISERR(Selection!D80),"",IF(ISNA(Selection!D80),"",Selection!D80))</f>
        <v/>
      </c>
      <c r="D80" s="87" t="str">
        <f ca="1">IF(C80="","",IF(Menus!$K$10="2001 Grossed",VLOOKUP(MAX(Selection!M80:N80),$N$2:$O$4,2),""))</f>
        <v/>
      </c>
    </row>
    <row r="81" spans="1:4" x14ac:dyDescent="0.25">
      <c r="A81" s="96">
        <f t="shared" si="1"/>
        <v>80</v>
      </c>
      <c r="B81" s="1" t="str">
        <f ca="1">IF(ISERR(Selection!D81),"",IF(ISNA(Selection!D81),"",Selection!F81))</f>
        <v/>
      </c>
      <c r="C81" s="83" t="str">
        <f ca="1">IF(ISERR(Selection!D81),"",IF(ISNA(Selection!D81),"",Selection!D81))</f>
        <v/>
      </c>
      <c r="D81" s="87" t="str">
        <f ca="1">IF(C81="","",IF(Menus!$K$10="2001 Grossed",VLOOKUP(MAX(Selection!M81:N81),$N$2:$O$4,2),""))</f>
        <v/>
      </c>
    </row>
    <row r="82" spans="1:4" x14ac:dyDescent="0.25">
      <c r="A82" s="96">
        <f t="shared" si="1"/>
        <v>81</v>
      </c>
      <c r="B82" s="1" t="str">
        <f ca="1">IF(ISERR(Selection!D82),"",IF(ISNA(Selection!D82),"",Selection!F82))</f>
        <v/>
      </c>
      <c r="C82" s="83" t="str">
        <f ca="1">IF(ISERR(Selection!D82),"",IF(ISNA(Selection!D82),"",Selection!D82))</f>
        <v/>
      </c>
      <c r="D82" s="87" t="str">
        <f ca="1">IF(C82="","",IF(Menus!$K$10="2001 Grossed",VLOOKUP(MAX(Selection!M82:N82),$N$2:$O$4,2),""))</f>
        <v/>
      </c>
    </row>
    <row r="83" spans="1:4" x14ac:dyDescent="0.25">
      <c r="A83" s="96">
        <f t="shared" si="1"/>
        <v>82</v>
      </c>
      <c r="B83" s="1" t="str">
        <f ca="1">IF(ISERR(Selection!D83),"",IF(ISNA(Selection!D83),"",Selection!F83))</f>
        <v/>
      </c>
      <c r="C83" s="83" t="str">
        <f ca="1">IF(ISERR(Selection!D83),"",IF(ISNA(Selection!D83),"",Selection!D83))</f>
        <v/>
      </c>
      <c r="D83" s="87" t="str">
        <f ca="1">IF(C83="","",IF(Menus!$K$10="2001 Grossed",VLOOKUP(MAX(Selection!M83:N83),$N$2:$O$4,2),""))</f>
        <v/>
      </c>
    </row>
    <row r="84" spans="1:4" x14ac:dyDescent="0.25">
      <c r="A84" s="96">
        <f t="shared" si="1"/>
        <v>83</v>
      </c>
      <c r="B84" s="1" t="str">
        <f ca="1">IF(ISERR(Selection!D84),"",IF(ISNA(Selection!D84),"",Selection!F84))</f>
        <v/>
      </c>
      <c r="C84" s="83" t="str">
        <f ca="1">IF(ISERR(Selection!D84),"",IF(ISNA(Selection!D84),"",Selection!D84))</f>
        <v/>
      </c>
      <c r="D84" s="87" t="str">
        <f ca="1">IF(C84="","",IF(Menus!$K$10="2001 Grossed",VLOOKUP(MAX(Selection!M84:N84),$N$2:$O$4,2),""))</f>
        <v/>
      </c>
    </row>
    <row r="85" spans="1:4" x14ac:dyDescent="0.25">
      <c r="A85" s="96">
        <f t="shared" si="1"/>
        <v>84</v>
      </c>
      <c r="B85" s="1" t="str">
        <f ca="1">IF(ISERR(Selection!D85),"",IF(ISNA(Selection!D85),"",Selection!F85))</f>
        <v/>
      </c>
      <c r="C85" s="83" t="str">
        <f ca="1">IF(ISERR(Selection!D85),"",IF(ISNA(Selection!D85),"",Selection!D85))</f>
        <v/>
      </c>
      <c r="D85" s="87" t="str">
        <f ca="1">IF(C85="","",IF(Menus!$K$10="2001 Grossed",VLOOKUP(MAX(Selection!M85:N85),$N$2:$O$4,2),""))</f>
        <v/>
      </c>
    </row>
    <row r="86" spans="1:4" x14ac:dyDescent="0.25">
      <c r="A86" s="96">
        <f t="shared" si="1"/>
        <v>85</v>
      </c>
      <c r="B86" s="1" t="str">
        <f ca="1">IF(ISERR(Selection!D86),"",IF(ISNA(Selection!D86),"",Selection!F86))</f>
        <v/>
      </c>
      <c r="C86" s="83" t="str">
        <f ca="1">IF(ISERR(Selection!D86),"",IF(ISNA(Selection!D86),"",Selection!D86))</f>
        <v/>
      </c>
      <c r="D86" s="87" t="str">
        <f ca="1">IF(C86="","",IF(Menus!$K$10="2001 Grossed",VLOOKUP(MAX(Selection!M86:N86),$N$2:$O$4,2),""))</f>
        <v/>
      </c>
    </row>
    <row r="87" spans="1:4" x14ac:dyDescent="0.25">
      <c r="A87" s="96">
        <f t="shared" si="1"/>
        <v>86</v>
      </c>
      <c r="B87" s="1" t="str">
        <f ca="1">IF(ISERR(Selection!D87),"",IF(ISNA(Selection!D87),"",Selection!F87))</f>
        <v/>
      </c>
      <c r="C87" s="83" t="str">
        <f ca="1">IF(ISERR(Selection!D87),"",IF(ISNA(Selection!D87),"",Selection!D87))</f>
        <v/>
      </c>
      <c r="D87" s="87" t="str">
        <f ca="1">IF(C87="","",IF(Menus!$K$10="2001 Grossed",VLOOKUP(MAX(Selection!M87:N87),$N$2:$O$4,2),""))</f>
        <v/>
      </c>
    </row>
    <row r="88" spans="1:4" x14ac:dyDescent="0.25">
      <c r="A88" s="96">
        <f t="shared" si="1"/>
        <v>87</v>
      </c>
      <c r="B88" s="1" t="str">
        <f ca="1">IF(ISERR(Selection!D88),"",IF(ISNA(Selection!D88),"",Selection!F88))</f>
        <v/>
      </c>
      <c r="C88" s="83" t="str">
        <f ca="1">IF(ISERR(Selection!D88),"",IF(ISNA(Selection!D88),"",Selection!D88))</f>
        <v/>
      </c>
      <c r="D88" s="87" t="str">
        <f ca="1">IF(C88="","",IF(Menus!$K$10="2001 Grossed",VLOOKUP(MAX(Selection!M88:N88),$N$2:$O$4,2),""))</f>
        <v/>
      </c>
    </row>
    <row r="89" spans="1:4" x14ac:dyDescent="0.25">
      <c r="A89" s="96">
        <f t="shared" si="1"/>
        <v>88</v>
      </c>
      <c r="B89" s="1" t="str">
        <f ca="1">IF(ISERR(Selection!D89),"",IF(ISNA(Selection!D89),"",Selection!F89))</f>
        <v/>
      </c>
      <c r="C89" s="83" t="str">
        <f ca="1">IF(ISERR(Selection!D89),"",IF(ISNA(Selection!D89),"",Selection!D89))</f>
        <v/>
      </c>
      <c r="D89" s="87" t="str">
        <f ca="1">IF(C89="","",IF(Menus!$K$10="2001 Grossed",VLOOKUP(MAX(Selection!M89:N89),$N$2:$O$4,2),""))</f>
        <v/>
      </c>
    </row>
    <row r="90" spans="1:4" x14ac:dyDescent="0.25">
      <c r="A90" s="96">
        <f t="shared" si="1"/>
        <v>89</v>
      </c>
      <c r="B90" s="1" t="str">
        <f ca="1">IF(ISERR(Selection!D90),"",IF(ISNA(Selection!D90),"",Selection!F90))</f>
        <v/>
      </c>
      <c r="C90" s="83" t="str">
        <f ca="1">IF(ISERR(Selection!D90),"",IF(ISNA(Selection!D90),"",Selection!D90))</f>
        <v/>
      </c>
      <c r="D90" s="87" t="str">
        <f ca="1">IF(C90="","",IF(Menus!$K$10="2001 Grossed",VLOOKUP(MAX(Selection!M90:N90),$N$2:$O$4,2),""))</f>
        <v/>
      </c>
    </row>
    <row r="91" spans="1:4" x14ac:dyDescent="0.25">
      <c r="A91" s="96">
        <f t="shared" si="1"/>
        <v>90</v>
      </c>
      <c r="B91" s="1" t="str">
        <f ca="1">IF(ISERR(Selection!D91),"",IF(ISNA(Selection!D91),"",Selection!F91))</f>
        <v/>
      </c>
      <c r="C91" s="83" t="str">
        <f ca="1">IF(ISERR(Selection!D91),"",IF(ISNA(Selection!D91),"",Selection!D91))</f>
        <v/>
      </c>
      <c r="D91" s="87" t="str">
        <f ca="1">IF(C91="","",IF(Menus!$K$10="2001 Grossed",VLOOKUP(MAX(Selection!M91:N91),$N$2:$O$4,2),""))</f>
        <v/>
      </c>
    </row>
    <row r="92" spans="1:4" x14ac:dyDescent="0.25">
      <c r="A92" s="96">
        <f t="shared" si="1"/>
        <v>91</v>
      </c>
      <c r="B92" s="1" t="str">
        <f ca="1">IF(ISERR(Selection!D92),"",IF(ISNA(Selection!D92),"",Selection!F92))</f>
        <v/>
      </c>
      <c r="C92" s="83" t="str">
        <f ca="1">IF(ISERR(Selection!D92),"",IF(ISNA(Selection!D92),"",Selection!D92))</f>
        <v/>
      </c>
      <c r="D92" s="87" t="str">
        <f ca="1">IF(C92="","",IF(Menus!$K$10="2001 Grossed",VLOOKUP(MAX(Selection!M92:N92),$N$2:$O$4,2),""))</f>
        <v/>
      </c>
    </row>
    <row r="93" spans="1:4" x14ac:dyDescent="0.25">
      <c r="A93" s="96">
        <f t="shared" si="1"/>
        <v>92</v>
      </c>
      <c r="B93" s="1" t="str">
        <f ca="1">IF(ISERR(Selection!D93),"",IF(ISNA(Selection!D93),"",Selection!F93))</f>
        <v/>
      </c>
      <c r="C93" s="83" t="str">
        <f ca="1">IF(ISERR(Selection!D93),"",IF(ISNA(Selection!D93),"",Selection!D93))</f>
        <v/>
      </c>
      <c r="D93" s="87" t="str">
        <f ca="1">IF(C93="","",IF(Menus!$K$10="2001 Grossed",VLOOKUP(MAX(Selection!M93:N93),$N$2:$O$4,2),""))</f>
        <v/>
      </c>
    </row>
    <row r="94" spans="1:4" x14ac:dyDescent="0.25">
      <c r="A94" s="96">
        <f t="shared" si="1"/>
        <v>93</v>
      </c>
      <c r="B94" s="1" t="str">
        <f ca="1">IF(ISERR(Selection!D94),"",IF(ISNA(Selection!D94),"",Selection!F94))</f>
        <v/>
      </c>
      <c r="C94" s="83" t="str">
        <f ca="1">IF(ISERR(Selection!D94),"",IF(ISNA(Selection!D94),"",Selection!D94))</f>
        <v/>
      </c>
      <c r="D94" s="87" t="str">
        <f ca="1">IF(C94="","",IF(Menus!$K$10="2001 Grossed",VLOOKUP(MAX(Selection!M94:N94),$N$2:$O$4,2),""))</f>
        <v/>
      </c>
    </row>
    <row r="95" spans="1:4" x14ac:dyDescent="0.25">
      <c r="A95" s="96">
        <f t="shared" si="1"/>
        <v>94</v>
      </c>
      <c r="B95" s="1" t="str">
        <f ca="1">IF(ISERR(Selection!D95),"",IF(ISNA(Selection!D95),"",Selection!F95))</f>
        <v/>
      </c>
      <c r="C95" s="83" t="str">
        <f ca="1">IF(ISERR(Selection!D95),"",IF(ISNA(Selection!D95),"",Selection!D95))</f>
        <v/>
      </c>
      <c r="D95" s="87" t="str">
        <f ca="1">IF(C95="","",IF(Menus!$K$10="2001 Grossed",VLOOKUP(MAX(Selection!M95:N95),$N$2:$O$4,2),""))</f>
        <v/>
      </c>
    </row>
    <row r="96" spans="1:4" x14ac:dyDescent="0.25">
      <c r="A96" s="96">
        <f t="shared" si="1"/>
        <v>95</v>
      </c>
      <c r="B96" s="1" t="str">
        <f ca="1">IF(ISERR(Selection!D96),"",IF(ISNA(Selection!D96),"",Selection!F96))</f>
        <v/>
      </c>
      <c r="C96" s="83" t="str">
        <f ca="1">IF(ISERR(Selection!D96),"",IF(ISNA(Selection!D96),"",Selection!D96))</f>
        <v/>
      </c>
      <c r="D96" s="87" t="str">
        <f ca="1">IF(C96="","",IF(Menus!$K$10="2001 Grossed",VLOOKUP(MAX(Selection!M96:N96),$N$2:$O$4,2),""))</f>
        <v/>
      </c>
    </row>
    <row r="97" spans="1:4" x14ac:dyDescent="0.25">
      <c r="A97" s="96">
        <f t="shared" si="1"/>
        <v>96</v>
      </c>
      <c r="B97" s="1" t="str">
        <f ca="1">IF(ISERR(Selection!D97),"",IF(ISNA(Selection!D97),"",Selection!F97))</f>
        <v/>
      </c>
      <c r="C97" s="83" t="str">
        <f ca="1">IF(ISERR(Selection!D97),"",IF(ISNA(Selection!D97),"",Selection!D97))</f>
        <v/>
      </c>
      <c r="D97" s="87" t="str">
        <f ca="1">IF(C97="","",IF(Menus!$K$10="2001 Grossed",VLOOKUP(MAX(Selection!M97:N97),$N$2:$O$4,2),""))</f>
        <v/>
      </c>
    </row>
    <row r="98" spans="1:4" x14ac:dyDescent="0.25">
      <c r="A98" s="96">
        <f t="shared" si="1"/>
        <v>97</v>
      </c>
      <c r="B98" s="1" t="str">
        <f ca="1">IF(ISERR(Selection!D98),"",IF(ISNA(Selection!D98),"",Selection!F98))</f>
        <v/>
      </c>
      <c r="C98" s="83" t="str">
        <f ca="1">IF(ISERR(Selection!D98),"",IF(ISNA(Selection!D98),"",Selection!D98))</f>
        <v/>
      </c>
      <c r="D98" s="87" t="str">
        <f ca="1">IF(C98="","",IF(Menus!$K$10="2001 Grossed",VLOOKUP(MAX(Selection!M98:N98),$N$2:$O$4,2),""))</f>
        <v/>
      </c>
    </row>
    <row r="99" spans="1:4" x14ac:dyDescent="0.25">
      <c r="A99" s="96">
        <f t="shared" si="1"/>
        <v>98</v>
      </c>
      <c r="B99" s="1" t="str">
        <f ca="1">IF(ISERR(Selection!D99),"",IF(ISNA(Selection!D99),"",Selection!F99))</f>
        <v/>
      </c>
      <c r="C99" s="83" t="str">
        <f ca="1">IF(ISERR(Selection!D99),"",IF(ISNA(Selection!D99),"",Selection!D99))</f>
        <v/>
      </c>
      <c r="D99" s="87" t="str">
        <f ca="1">IF(C99="","",IF(Menus!$K$10="2001 Grossed",VLOOKUP(MAX(Selection!M99:N99),$N$2:$O$4,2),""))</f>
        <v/>
      </c>
    </row>
    <row r="100" spans="1:4" x14ac:dyDescent="0.25">
      <c r="A100" s="96">
        <f t="shared" si="1"/>
        <v>99</v>
      </c>
      <c r="B100" s="1" t="str">
        <f ca="1">IF(ISERR(Selection!D100),"",IF(ISNA(Selection!D100),"",Selection!F100))</f>
        <v/>
      </c>
      <c r="C100" s="83" t="str">
        <f ca="1">IF(ISERR(Selection!D100),"",IF(ISNA(Selection!D100),"",Selection!D100))</f>
        <v/>
      </c>
      <c r="D100" s="87" t="str">
        <f ca="1">IF(C100="","",IF(Menus!$K$10="2001 Grossed",VLOOKUP(MAX(Selection!M100:N100),$N$2:$O$4,2),""))</f>
        <v/>
      </c>
    </row>
    <row r="101" spans="1:4" x14ac:dyDescent="0.25">
      <c r="A101" s="96">
        <f t="shared" si="1"/>
        <v>100</v>
      </c>
      <c r="B101" s="1" t="str">
        <f ca="1">IF(ISERR(Selection!D101),"",IF(ISNA(Selection!D101),"",Selection!F101))</f>
        <v/>
      </c>
      <c r="C101" s="83" t="str">
        <f ca="1">IF(ISERR(Selection!D101),"",IF(ISNA(Selection!D101),"",Selection!D101))</f>
        <v/>
      </c>
      <c r="D101" s="87" t="str">
        <f ca="1">IF(C101="","",IF(Menus!$K$10="2001 Grossed",VLOOKUP(MAX(Selection!M101:N101),$N$2:$O$4,2),""))</f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9953" r:id="rId4" name="Button 1">
              <controlPr defaultSize="0" print="0" autoFill="0" autoPict="0" macro="[0]!ShowDialogBox">
                <anchor moveWithCells="1" sizeWithCells="1">
                  <from>
                    <xdr:col>4</xdr:col>
                    <xdr:colOff>247650</xdr:colOff>
                    <xdr:row>0</xdr:row>
                    <xdr:rowOff>114300</xdr:rowOff>
                  </from>
                  <to>
                    <xdr:col>4</xdr:col>
                    <xdr:colOff>1435100</xdr:colOff>
                    <xdr:row>0</xdr:row>
                    <xdr:rowOff>774700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501"/>
  <sheetViews>
    <sheetView workbookViewId="0">
      <selection activeCell="A2" sqref="A2:IV501"/>
    </sheetView>
  </sheetViews>
  <sheetFormatPr defaultColWidth="11.7265625" defaultRowHeight="12.5" x14ac:dyDescent="0.25"/>
  <cols>
    <col min="1" max="1" width="8.7265625" customWidth="1"/>
    <col min="2" max="2" width="14.54296875" customWidth="1"/>
    <col min="3" max="3" width="12.54296875" customWidth="1"/>
    <col min="4" max="4" width="17" customWidth="1"/>
    <col min="5" max="5" width="16.453125" customWidth="1"/>
    <col min="6" max="6" width="35.7265625" customWidth="1"/>
    <col min="7" max="11" width="8.7265625" customWidth="1"/>
  </cols>
  <sheetData>
    <row r="1" spans="1:17" s="9" customFormat="1" ht="95.25" customHeight="1" thickBot="1" x14ac:dyDescent="0.3">
      <c r="A1" s="9" t="s">
        <v>24</v>
      </c>
      <c r="B1" s="9" t="s">
        <v>20</v>
      </c>
      <c r="C1" s="9" t="s">
        <v>21</v>
      </c>
      <c r="D1" s="79" t="str">
        <f ca="1">IF(Menus!$J$9,OFFSET(INDIRECT(ADDRESS(1,3,3,1,Menus!$K$10)),0,Menus!J$3)&amp;" / "&amp;OFFSET(INDIRECT(ADDRESS(1,3,3,1,Menus!$K$10)),0,Menus!J$4),OFFSET(INDIRECT(ADDRESS(1,3,3,1,Menus!$K$10)),0,Menus!J$3))</f>
        <v>Recurrent Expenditure (Euros) - Staff / Library Staff FTE - Total Staff</v>
      </c>
      <c r="E1" s="81" t="str">
        <f ca="1">OFFSET(INDIRECT(ADDRESS(1,3,3,1,Menus!$K$10)),0,Menus!J$4)</f>
        <v>Library Staff FTE - Total Staff</v>
      </c>
      <c r="F1" s="80" t="s">
        <v>3</v>
      </c>
      <c r="G1" s="8" t="str">
        <f>IF(Menus!$K$5=0,"(blank)",Menus!$K$5)</f>
        <v>EFTA</v>
      </c>
      <c r="H1" s="8" t="str">
        <f>IF(Menus!$K$6=0,"(blank)",Menus!$K$6)</f>
        <v>EU</v>
      </c>
      <c r="I1" s="8" t="str">
        <f>IF(Menus!$K$7=0,"(blank)",Menus!$K$7)</f>
        <v>België Nederlandstalige Universiteiten</v>
      </c>
      <c r="J1" s="8" t="str">
        <f ca="1">IF(Menus!$K$8=0,"(blank)",Menus!$K$8)</f>
        <v>België Nederlandstalige Universiteiten</v>
      </c>
      <c r="K1" s="9">
        <f ca="1">SUM(K2:K501)</f>
        <v>20</v>
      </c>
      <c r="M1" s="9" t="s">
        <v>172</v>
      </c>
      <c r="N1" s="9" t="s">
        <v>173</v>
      </c>
    </row>
    <row r="2" spans="1:17" x14ac:dyDescent="0.25">
      <c r="A2">
        <v>16</v>
      </c>
      <c r="B2" s="2">
        <f ca="1">OFFSET(INDIRECT(ADDRESS($A2,3,3,1,Menus!$K$10)),0,Menus!$J$4)</f>
        <v>899</v>
      </c>
      <c r="C2" s="2">
        <f ca="1">OFFSET(INDIRECT(ADDRESS($A2,3,3,1,Menus!$K$10)),0,Menus!$J$3)</f>
        <v>38129876</v>
      </c>
      <c r="D2" s="73">
        <f ca="1">IF(Menus!$J$9,C2/B2,C2)</f>
        <v>42413.65517241379</v>
      </c>
      <c r="E2" s="74">
        <f t="shared" ref="E2:E33" ca="1" si="0">IF($K2=1,VALUE(B2),#N/A)</f>
        <v>899</v>
      </c>
      <c r="F2" s="75" t="str">
        <f ca="1">INDIRECT(ADDRESS($A2,1,3,1,Menus!$K$10))</f>
        <v>Denmark</v>
      </c>
      <c r="G2" s="2" t="e">
        <f ca="1">IF(INDIRECT(ADDRESS($A2,2,3,1,Menus!$K$10))=G$1,$D2,#N/A)</f>
        <v>#N/A</v>
      </c>
      <c r="H2" s="2">
        <f ca="1">IF(INDIRECT(ADDRESS($A2,2,3,1,Menus!$K$10))=H$1,$D2,#N/A)</f>
        <v>42413.65517241379</v>
      </c>
      <c r="I2" s="2" t="e">
        <f ca="1">IF(INDIRECT(ADDRESS($A2,2,3,1,Menus!$K$10))=I$1,$D2,#N/A)</f>
        <v>#N/A</v>
      </c>
      <c r="J2" s="2" t="e">
        <f ca="1">IF(INDIRECT(ADDRESS($A2,1,3,1,Menus!$K$10))=T(J$1),$D2,#N/A)</f>
        <v>#N/A</v>
      </c>
      <c r="K2" s="10">
        <f t="shared" ref="K2:K65" ca="1" si="1">IF(OR(ISNUMBER($G2),ISNUMBER($H2),ISNUMBER($I2),ISNUMBER($J2)),1,0)</f>
        <v>1</v>
      </c>
      <c r="L2" s="2"/>
      <c r="M2" s="85">
        <f ca="1">OFFSET(INDIRECT(ADDRESS($A2,3,3,1,"Gross")),0,Menus!$J$4)</f>
        <v>0</v>
      </c>
      <c r="N2" s="85">
        <f ca="1">OFFSET(INDIRECT(ADDRESS($A2,3,3,1,"Gross")),0,Menus!$J$3)</f>
        <v>0</v>
      </c>
      <c r="P2">
        <v>1</v>
      </c>
      <c r="Q2" t="s">
        <v>164</v>
      </c>
    </row>
    <row r="3" spans="1:17" x14ac:dyDescent="0.25">
      <c r="A3">
        <v>26</v>
      </c>
      <c r="B3" s="2">
        <f ca="1">OFFSET(INDIRECT(ADDRESS($A3,3,3,1,Menus!$K$10)),0,Menus!$J$4)</f>
        <v>964</v>
      </c>
      <c r="C3" s="2">
        <f ca="1">OFFSET(INDIRECT(ADDRESS($A3,3,3,1,Menus!$K$10)),0,Menus!$J$3)</f>
        <v>38591900</v>
      </c>
      <c r="D3" s="73">
        <f ca="1">IF(Menus!$J$9,C3/B3,C3)</f>
        <v>40033.091286307055</v>
      </c>
      <c r="E3" s="74">
        <f t="shared" ca="1" si="0"/>
        <v>964</v>
      </c>
      <c r="F3" s="75" t="str">
        <f ca="1">INDIRECT(ADDRESS($A3,1,3,1,Menus!$K$10))</f>
        <v>Norway</v>
      </c>
      <c r="G3" s="2">
        <f ca="1">IF(INDIRECT(ADDRESS($A3,2,3,1,Menus!$K$10))=G$1,$D3,#N/A)</f>
        <v>40033.091286307055</v>
      </c>
      <c r="H3" s="2" t="e">
        <f ca="1">IF(INDIRECT(ADDRESS($A3,2,3,1,Menus!$K$10))=H$1,$D3,#N/A)</f>
        <v>#N/A</v>
      </c>
      <c r="I3" s="2" t="e">
        <f ca="1">IF(INDIRECT(ADDRESS($A3,2,3,1,Menus!$K$10))=I$1,$D3,#N/A)</f>
        <v>#N/A</v>
      </c>
      <c r="J3" s="2" t="e">
        <f ca="1">IF(INDIRECT(ADDRESS($A3,1,3,1,Menus!$K$10))=T(J$1),$D3,#N/A)</f>
        <v>#N/A</v>
      </c>
      <c r="K3" s="10">
        <f t="shared" ca="1" si="1"/>
        <v>1</v>
      </c>
      <c r="L3" s="2"/>
      <c r="M3" s="85">
        <f ca="1">OFFSET(INDIRECT(ADDRESS($A3,3,3,1,"Gross")),0,Menus!$J$4)</f>
        <v>0</v>
      </c>
      <c r="N3" s="85">
        <f ca="1">OFFSET(INDIRECT(ADDRESS($A3,3,3,1,"Gross")),0,Menus!$J$3)</f>
        <v>0</v>
      </c>
    </row>
    <row r="4" spans="1:17" x14ac:dyDescent="0.25">
      <c r="A4">
        <v>19</v>
      </c>
      <c r="B4" s="2">
        <f ca="1">OFFSET(INDIRECT(ADDRESS($A4,3,3,1,Menus!$K$10)),0,Menus!$J$4)</f>
        <v>4364</v>
      </c>
      <c r="C4" s="2">
        <f ca="1">OFFSET(INDIRECT(ADDRESS($A4,3,3,1,Menus!$K$10)),0,Menus!$J$3)</f>
        <v>167287948</v>
      </c>
      <c r="D4" s="73">
        <f ca="1">IF(Menus!$J$9,C4/B4,C4)</f>
        <v>38333.626947754354</v>
      </c>
      <c r="E4" s="74">
        <f t="shared" ca="1" si="0"/>
        <v>4364</v>
      </c>
      <c r="F4" s="75" t="str">
        <f ca="1">INDIRECT(ADDRESS($A4,1,3,1,Menus!$K$10))</f>
        <v>France</v>
      </c>
      <c r="G4" s="2" t="e">
        <f ca="1">IF(INDIRECT(ADDRESS($A4,2,3,1,Menus!$K$10))=G$1,$D4,#N/A)</f>
        <v>#N/A</v>
      </c>
      <c r="H4" s="2">
        <f ca="1">IF(INDIRECT(ADDRESS($A4,2,3,1,Menus!$K$10))=H$1,$D4,#N/A)</f>
        <v>38333.626947754354</v>
      </c>
      <c r="I4" s="2" t="e">
        <f ca="1">IF(INDIRECT(ADDRESS($A4,2,3,1,Menus!$K$10))=I$1,$D4,#N/A)</f>
        <v>#N/A</v>
      </c>
      <c r="J4" s="2" t="e">
        <f ca="1">IF(INDIRECT(ADDRESS($A4,1,3,1,Menus!$K$10))=T(J$1),$D4,#N/A)</f>
        <v>#N/A</v>
      </c>
      <c r="K4" s="10">
        <f t="shared" ca="1" si="1"/>
        <v>1</v>
      </c>
      <c r="L4" s="2"/>
      <c r="M4" s="85">
        <f ca="1">OFFSET(INDIRECT(ADDRESS($A4,3,3,1,"Gross")),0,Menus!$J$4)</f>
        <v>1</v>
      </c>
      <c r="N4" s="85">
        <f ca="1">OFFSET(INDIRECT(ADDRESS($A4,3,3,1,"Gross")),0,Menus!$J$3)</f>
        <v>1</v>
      </c>
    </row>
    <row r="5" spans="1:17" x14ac:dyDescent="0.25">
      <c r="A5">
        <v>29</v>
      </c>
      <c r="B5" s="2">
        <f ca="1">OFFSET(INDIRECT(ADDRESS($A5,3,3,1,Menus!$K$10)),0,Menus!$J$4)</f>
        <v>1733</v>
      </c>
      <c r="C5" s="2">
        <f ca="1">OFFSET(INDIRECT(ADDRESS($A5,3,3,1,Menus!$K$10)),0,Menus!$J$3)</f>
        <v>66313682</v>
      </c>
      <c r="D5" s="73">
        <f ca="1">IF(Menus!$J$9,C5/B5,C5)</f>
        <v>38265.252163877667</v>
      </c>
      <c r="E5" s="74">
        <f t="shared" ca="1" si="0"/>
        <v>1733</v>
      </c>
      <c r="F5" s="75" t="str">
        <f ca="1">INDIRECT(ADDRESS($A5,1,3,1,Menus!$K$10))</f>
        <v>Sweden</v>
      </c>
      <c r="G5" s="2" t="e">
        <f ca="1">IF(INDIRECT(ADDRESS($A5,2,3,1,Menus!$K$10))=G$1,$D5,#N/A)</f>
        <v>#N/A</v>
      </c>
      <c r="H5" s="2">
        <f ca="1">IF(INDIRECT(ADDRESS($A5,2,3,1,Menus!$K$10))=H$1,$D5,#N/A)</f>
        <v>38265.252163877667</v>
      </c>
      <c r="I5" s="2" t="e">
        <f ca="1">IF(INDIRECT(ADDRESS($A5,2,3,1,Menus!$K$10))=I$1,$D5,#N/A)</f>
        <v>#N/A</v>
      </c>
      <c r="J5" s="2" t="e">
        <f ca="1">IF(INDIRECT(ADDRESS($A5,1,3,1,Menus!$K$10))=T(J$1),$D5,#N/A)</f>
        <v>#N/A</v>
      </c>
      <c r="K5" s="10">
        <f t="shared" ca="1" si="1"/>
        <v>1</v>
      </c>
      <c r="L5" s="2"/>
      <c r="M5" s="85">
        <f ca="1">OFFSET(INDIRECT(ADDRESS($A5,3,3,1,"Gross")),0,Menus!$J$4)</f>
        <v>0</v>
      </c>
      <c r="N5" s="85">
        <f ca="1">OFFSET(INDIRECT(ADDRESS($A5,3,3,1,"Gross")),0,Menus!$J$3)</f>
        <v>0</v>
      </c>
    </row>
    <row r="6" spans="1:17" x14ac:dyDescent="0.25">
      <c r="A6">
        <v>23</v>
      </c>
      <c r="B6" s="2">
        <f ca="1">OFFSET(INDIRECT(ADDRESS($A6,3,3,1,Menus!$K$10)),0,Menus!$J$4)</f>
        <v>5</v>
      </c>
      <c r="C6" s="2">
        <f ca="1">OFFSET(INDIRECT(ADDRESS($A6,3,3,1,Menus!$K$10)),0,Menus!$J$3)</f>
        <v>185623</v>
      </c>
      <c r="D6" s="73">
        <f ca="1">IF(Menus!$J$9,C6/B6,C6)</f>
        <v>37124.6</v>
      </c>
      <c r="E6" s="74">
        <f t="shared" ca="1" si="0"/>
        <v>5</v>
      </c>
      <c r="F6" s="75" t="str">
        <f ca="1">INDIRECT(ADDRESS($A6,1,3,1,Menus!$K$10))</f>
        <v>Liechtenstein</v>
      </c>
      <c r="G6" s="2">
        <f ca="1">IF(INDIRECT(ADDRESS($A6,2,3,1,Menus!$K$10))=G$1,$D6,#N/A)</f>
        <v>37124.6</v>
      </c>
      <c r="H6" s="2" t="e">
        <f ca="1">IF(INDIRECT(ADDRESS($A6,2,3,1,Menus!$K$10))=H$1,$D6,#N/A)</f>
        <v>#N/A</v>
      </c>
      <c r="I6" s="2" t="e">
        <f ca="1">IF(INDIRECT(ADDRESS($A6,2,3,1,Menus!$K$10))=I$1,$D6,#N/A)</f>
        <v>#N/A</v>
      </c>
      <c r="J6" s="2" t="e">
        <f ca="1">IF(INDIRECT(ADDRESS($A6,1,3,1,Menus!$K$10))=T(J$1),$D6,#N/A)</f>
        <v>#N/A</v>
      </c>
      <c r="K6" s="10">
        <f t="shared" ca="1" si="1"/>
        <v>1</v>
      </c>
      <c r="L6" s="2"/>
      <c r="M6" s="85">
        <f ca="1">OFFSET(INDIRECT(ADDRESS($A6,3,3,1,"Gross")),0,Menus!$J$4)</f>
        <v>2</v>
      </c>
      <c r="N6" s="85">
        <f ca="1">OFFSET(INDIRECT(ADDRESS($A6,3,3,1,"Gross")),0,Menus!$J$3)</f>
        <v>2</v>
      </c>
    </row>
    <row r="7" spans="1:17" x14ac:dyDescent="0.25">
      <c r="A7">
        <v>31</v>
      </c>
      <c r="B7" s="2">
        <f ca="1">OFFSET(INDIRECT(ADDRESS($A7,3,3,1,Menus!$K$10)),0,Menus!$J$4)</f>
        <v>9820</v>
      </c>
      <c r="C7" s="2">
        <f ca="1">OFFSET(INDIRECT(ADDRESS($A7,3,3,1,Menus!$K$10)),0,Menus!$J$3)</f>
        <v>349430033</v>
      </c>
      <c r="D7" s="73">
        <f ca="1">IF(Menus!$J$9,C7/B7,C7)</f>
        <v>35583.506415478616</v>
      </c>
      <c r="E7" s="74">
        <f t="shared" ca="1" si="0"/>
        <v>9820</v>
      </c>
      <c r="F7" s="75" t="str">
        <f ca="1">INDIRECT(ADDRESS($A7,1,3,1,Menus!$K$10))</f>
        <v>UK</v>
      </c>
      <c r="G7" s="2" t="e">
        <f ca="1">IF(INDIRECT(ADDRESS($A7,2,3,1,Menus!$K$10))=G$1,$D7,#N/A)</f>
        <v>#N/A</v>
      </c>
      <c r="H7" s="2">
        <f ca="1">IF(INDIRECT(ADDRESS($A7,2,3,1,Menus!$K$10))=H$1,$D7,#N/A)</f>
        <v>35583.506415478616</v>
      </c>
      <c r="I7" s="2" t="e">
        <f ca="1">IF(INDIRECT(ADDRESS($A7,2,3,1,Menus!$K$10))=I$1,$D7,#N/A)</f>
        <v>#N/A</v>
      </c>
      <c r="J7" s="2" t="e">
        <f ca="1">IF(INDIRECT(ADDRESS($A7,1,3,1,Menus!$K$10))=T(J$1),$D7,#N/A)</f>
        <v>#N/A</v>
      </c>
      <c r="K7" s="10">
        <f t="shared" ca="1" si="1"/>
        <v>1</v>
      </c>
      <c r="L7" s="2"/>
      <c r="M7" s="85">
        <f ca="1">OFFSET(INDIRECT(ADDRESS($A7,3,3,1,"Gross")),0,Menus!$J$4)</f>
        <v>0</v>
      </c>
      <c r="N7" s="85">
        <f ca="1">OFFSET(INDIRECT(ADDRESS($A7,3,3,1,"Gross")),0,Menus!$J$3)</f>
        <v>0</v>
      </c>
    </row>
    <row r="8" spans="1:17" x14ac:dyDescent="0.25">
      <c r="A8">
        <v>24</v>
      </c>
      <c r="B8" s="2">
        <f ca="1">OFFSET(INDIRECT(ADDRESS($A8,3,3,1,Menus!$K$10)),0,Menus!$J$4)</f>
        <v>9</v>
      </c>
      <c r="C8" s="2">
        <f ca="1">OFFSET(INDIRECT(ADDRESS($A8,3,3,1,Menus!$K$10)),0,Menus!$J$3)</f>
        <v>303856</v>
      </c>
      <c r="D8" s="73">
        <f ca="1">IF(Menus!$J$9,C8/B8,C8)</f>
        <v>33761.777777777781</v>
      </c>
      <c r="E8" s="74">
        <f t="shared" ca="1" si="0"/>
        <v>9</v>
      </c>
      <c r="F8" s="75" t="str">
        <f ca="1">INDIRECT(ADDRESS($A8,1,3,1,Menus!$K$10))</f>
        <v>Luxembourg</v>
      </c>
      <c r="G8" s="2" t="e">
        <f ca="1">IF(INDIRECT(ADDRESS($A8,2,3,1,Menus!$K$10))=G$1,$D8,#N/A)</f>
        <v>#N/A</v>
      </c>
      <c r="H8" s="2">
        <f ca="1">IF(INDIRECT(ADDRESS($A8,2,3,1,Menus!$K$10))=H$1,$D8,#N/A)</f>
        <v>33761.777777777781</v>
      </c>
      <c r="I8" s="2" t="e">
        <f ca="1">IF(INDIRECT(ADDRESS($A8,2,3,1,Menus!$K$10))=I$1,$D8,#N/A)</f>
        <v>#N/A</v>
      </c>
      <c r="J8" s="2" t="e">
        <f ca="1">IF(INDIRECT(ADDRESS($A8,1,3,1,Menus!$K$10))=T(J$1),$D8,#N/A)</f>
        <v>#N/A</v>
      </c>
      <c r="K8" s="10">
        <f t="shared" ca="1" si="1"/>
        <v>1</v>
      </c>
      <c r="L8" s="2"/>
      <c r="M8" s="85">
        <f ca="1">OFFSET(INDIRECT(ADDRESS($A8,3,3,1,"Gross")),0,Menus!$J$4)</f>
        <v>1</v>
      </c>
      <c r="N8" s="85">
        <f ca="1">OFFSET(INDIRECT(ADDRESS($A8,3,3,1,"Gross")),0,Menus!$J$3)</f>
        <v>1</v>
      </c>
    </row>
    <row r="9" spans="1:17" x14ac:dyDescent="0.25">
      <c r="A9">
        <v>25</v>
      </c>
      <c r="B9" s="2">
        <f ca="1">OFFSET(INDIRECT(ADDRESS($A9,3,3,1,Menus!$K$10)),0,Menus!$J$4)</f>
        <v>1870</v>
      </c>
      <c r="C9" s="2">
        <f ca="1">OFFSET(INDIRECT(ADDRESS($A9,3,3,1,Menus!$K$10)),0,Menus!$J$3)</f>
        <v>59373118</v>
      </c>
      <c r="D9" s="73">
        <f ca="1">IF(Menus!$J$9,C9/B9,C9)</f>
        <v>31750.330481283421</v>
      </c>
      <c r="E9" s="74">
        <f t="shared" ca="1" si="0"/>
        <v>1870</v>
      </c>
      <c r="F9" s="75" t="str">
        <f ca="1">INDIRECT(ADDRESS($A9,1,3,1,Menus!$K$10))</f>
        <v>Netherlands</v>
      </c>
      <c r="G9" s="2" t="e">
        <f ca="1">IF(INDIRECT(ADDRESS($A9,2,3,1,Menus!$K$10))=G$1,$D9,#N/A)</f>
        <v>#N/A</v>
      </c>
      <c r="H9" s="2">
        <f ca="1">IF(INDIRECT(ADDRESS($A9,2,3,1,Menus!$K$10))=H$1,$D9,#N/A)</f>
        <v>31750.330481283421</v>
      </c>
      <c r="I9" s="2" t="e">
        <f ca="1">IF(INDIRECT(ADDRESS($A9,2,3,1,Menus!$K$10))=I$1,$D9,#N/A)</f>
        <v>#N/A</v>
      </c>
      <c r="J9" s="2" t="e">
        <f ca="1">IF(INDIRECT(ADDRESS($A9,1,3,1,Menus!$K$10))=T(J$1),$D9,#N/A)</f>
        <v>#N/A</v>
      </c>
      <c r="K9" s="10">
        <f t="shared" ca="1" si="1"/>
        <v>1</v>
      </c>
      <c r="L9" s="2"/>
      <c r="M9" s="85">
        <f ca="1">OFFSET(INDIRECT(ADDRESS($A9,3,3,1,"Gross")),0,Menus!$J$4)</f>
        <v>1</v>
      </c>
      <c r="N9" s="85">
        <f ca="1">OFFSET(INDIRECT(ADDRESS($A9,3,3,1,"Gross")),0,Menus!$J$3)</f>
        <v>2</v>
      </c>
    </row>
    <row r="10" spans="1:17" x14ac:dyDescent="0.25">
      <c r="A10">
        <v>12</v>
      </c>
      <c r="B10" s="2">
        <f ca="1">OFFSET(INDIRECT(ADDRESS($A10,3,3,1,Menus!$K$10)),0,Menus!$J$4)</f>
        <v>941</v>
      </c>
      <c r="C10" s="2">
        <f ca="1">OFFSET(INDIRECT(ADDRESS($A10,3,3,1,Menus!$K$10)),0,Menus!$J$3)</f>
        <v>29650270</v>
      </c>
      <c r="D10" s="73">
        <f ca="1">IF(Menus!$J$9,C10/B10,C10)</f>
        <v>31509.319872476088</v>
      </c>
      <c r="E10" s="74">
        <f t="shared" ca="1" si="0"/>
        <v>941</v>
      </c>
      <c r="F10" s="75" t="str">
        <f ca="1">INDIRECT(ADDRESS($A10,1,3,1,Menus!$K$10))</f>
        <v>Austria</v>
      </c>
      <c r="G10" s="2" t="e">
        <f ca="1">IF(INDIRECT(ADDRESS($A10,2,3,1,Menus!$K$10))=G$1,$D10,#N/A)</f>
        <v>#N/A</v>
      </c>
      <c r="H10" s="2">
        <f ca="1">IF(INDIRECT(ADDRESS($A10,2,3,1,Menus!$K$10))=H$1,$D10,#N/A)</f>
        <v>31509.319872476088</v>
      </c>
      <c r="I10" s="2" t="e">
        <f ca="1">IF(INDIRECT(ADDRESS($A10,2,3,1,Menus!$K$10))=I$1,$D10,#N/A)</f>
        <v>#N/A</v>
      </c>
      <c r="J10" s="2" t="e">
        <f ca="1">IF(INDIRECT(ADDRESS($A10,1,3,1,Menus!$K$10))=T(J$1),$D10,#N/A)</f>
        <v>#N/A</v>
      </c>
      <c r="K10" s="10">
        <f t="shared" ca="1" si="1"/>
        <v>1</v>
      </c>
      <c r="L10" s="2"/>
      <c r="M10" s="85">
        <f ca="1">OFFSET(INDIRECT(ADDRESS($A10,3,3,1,"Gross")),0,Menus!$J$4)</f>
        <v>2</v>
      </c>
      <c r="N10" s="85">
        <f ca="1">OFFSET(INDIRECT(ADDRESS($A10,3,3,1,"Gross")),0,Menus!$J$3)</f>
        <v>2</v>
      </c>
    </row>
    <row r="11" spans="1:17" x14ac:dyDescent="0.25">
      <c r="A11">
        <v>22</v>
      </c>
      <c r="B11" s="2">
        <f ca="1">OFFSET(INDIRECT(ADDRESS($A11,3,3,1,Menus!$K$10)),0,Menus!$J$4)</f>
        <v>6532</v>
      </c>
      <c r="C11" s="2">
        <f ca="1">OFFSET(INDIRECT(ADDRESS($A11,3,3,1,Menus!$K$10)),0,Menus!$J$3)</f>
        <v>203627804</v>
      </c>
      <c r="D11" s="73">
        <f ca="1">IF(Menus!$J$9,C11/B11,C11)</f>
        <v>31173.883037354561</v>
      </c>
      <c r="E11" s="74">
        <f t="shared" ca="1" si="0"/>
        <v>6532</v>
      </c>
      <c r="F11" s="75" t="str">
        <f ca="1">INDIRECT(ADDRESS($A11,1,3,1,Menus!$K$10))</f>
        <v>Italy</v>
      </c>
      <c r="G11" s="2" t="e">
        <f ca="1">IF(INDIRECT(ADDRESS($A11,2,3,1,Menus!$K$10))=G$1,$D11,#N/A)</f>
        <v>#N/A</v>
      </c>
      <c r="H11" s="2">
        <f ca="1">IF(INDIRECT(ADDRESS($A11,2,3,1,Menus!$K$10))=H$1,$D11,#N/A)</f>
        <v>31173.883037354561</v>
      </c>
      <c r="I11" s="2" t="e">
        <f ca="1">IF(INDIRECT(ADDRESS($A11,2,3,1,Menus!$K$10))=I$1,$D11,#N/A)</f>
        <v>#N/A</v>
      </c>
      <c r="J11" s="2" t="e">
        <f ca="1">IF(INDIRECT(ADDRESS($A11,1,3,1,Menus!$K$10))=T(J$1),$D11,#N/A)</f>
        <v>#N/A</v>
      </c>
      <c r="K11" s="10">
        <f t="shared" ca="1" si="1"/>
        <v>1</v>
      </c>
      <c r="L11" s="2"/>
      <c r="M11" s="85">
        <f ca="1">OFFSET(INDIRECT(ADDRESS($A11,3,3,1,"Gross")),0,Menus!$J$4)</f>
        <v>2</v>
      </c>
      <c r="N11" s="85">
        <f ca="1">OFFSET(INDIRECT(ADDRESS($A11,3,3,1,"Gross")),0,Menus!$J$3)</f>
        <v>2</v>
      </c>
    </row>
    <row r="12" spans="1:17" x14ac:dyDescent="0.25">
      <c r="A12">
        <v>21</v>
      </c>
      <c r="B12" s="2">
        <f ca="1">OFFSET(INDIRECT(ADDRESS($A12,3,3,1,Menus!$K$10)),0,Menus!$J$4)</f>
        <v>54</v>
      </c>
      <c r="C12" s="2">
        <f ca="1">OFFSET(INDIRECT(ADDRESS($A12,3,3,1,Menus!$K$10)),0,Menus!$J$3)</f>
        <v>1484979</v>
      </c>
      <c r="D12" s="73">
        <f ca="1">IF(Menus!$J$9,C12/B12,C12)</f>
        <v>27499.611111111109</v>
      </c>
      <c r="E12" s="74">
        <f t="shared" ca="1" si="0"/>
        <v>54</v>
      </c>
      <c r="F12" s="75" t="str">
        <f ca="1">INDIRECT(ADDRESS($A12,1,3,1,Menus!$K$10))</f>
        <v>Iceland</v>
      </c>
      <c r="G12" s="2">
        <f ca="1">IF(INDIRECT(ADDRESS($A12,2,3,1,Menus!$K$10))=G$1,$D12,#N/A)</f>
        <v>27499.611111111109</v>
      </c>
      <c r="H12" s="2" t="e">
        <f ca="1">IF(INDIRECT(ADDRESS($A12,2,3,1,Menus!$K$10))=H$1,$D12,#N/A)</f>
        <v>#N/A</v>
      </c>
      <c r="I12" s="2" t="e">
        <f ca="1">IF(INDIRECT(ADDRESS($A12,2,3,1,Menus!$K$10))=I$1,$D12,#N/A)</f>
        <v>#N/A</v>
      </c>
      <c r="J12" s="2" t="e">
        <f ca="1">IF(INDIRECT(ADDRESS($A12,1,3,1,Menus!$K$10))=T(J$1),$D12,#N/A)</f>
        <v>#N/A</v>
      </c>
      <c r="K12" s="10">
        <f t="shared" ca="1" si="1"/>
        <v>1</v>
      </c>
      <c r="L12" s="2"/>
      <c r="M12" s="85">
        <f ca="1">OFFSET(INDIRECT(ADDRESS($A12,3,3,1,"Gross")),0,Menus!$J$4)</f>
        <v>2</v>
      </c>
      <c r="N12" s="85">
        <f ca="1">OFFSET(INDIRECT(ADDRESS($A12,3,3,1,"Gross")),0,Menus!$J$3)</f>
        <v>2</v>
      </c>
    </row>
    <row r="13" spans="1:17" x14ac:dyDescent="0.25">
      <c r="A13">
        <v>18</v>
      </c>
      <c r="B13" s="2">
        <f ca="1">OFFSET(INDIRECT(ADDRESS($A13,3,3,1,Menus!$K$10)),0,Menus!$J$4)</f>
        <v>1448</v>
      </c>
      <c r="C13" s="2">
        <f ca="1">OFFSET(INDIRECT(ADDRESS($A13,3,3,1,Menus!$K$10)),0,Menus!$J$3)</f>
        <v>39607466</v>
      </c>
      <c r="D13" s="73">
        <f ca="1">IF(Menus!$J$9,C13/B13,C13)</f>
        <v>27353.222375690606</v>
      </c>
      <c r="E13" s="74">
        <f t="shared" ca="1" si="0"/>
        <v>1448</v>
      </c>
      <c r="F13" s="75" t="str">
        <f ca="1">INDIRECT(ADDRESS($A13,1,3,1,Menus!$K$10))</f>
        <v>Finland</v>
      </c>
      <c r="G13" s="2" t="e">
        <f ca="1">IF(INDIRECT(ADDRESS($A13,2,3,1,Menus!$K$10))=G$1,$D13,#N/A)</f>
        <v>#N/A</v>
      </c>
      <c r="H13" s="2">
        <f ca="1">IF(INDIRECT(ADDRESS($A13,2,3,1,Menus!$K$10))=H$1,$D13,#N/A)</f>
        <v>27353.222375690606</v>
      </c>
      <c r="I13" s="2" t="e">
        <f ca="1">IF(INDIRECT(ADDRESS($A13,2,3,1,Menus!$K$10))=I$1,$D13,#N/A)</f>
        <v>#N/A</v>
      </c>
      <c r="J13" s="2" t="e">
        <f ca="1">IF(INDIRECT(ADDRESS($A13,1,3,1,Menus!$K$10))=T(J$1),$D13,#N/A)</f>
        <v>#N/A</v>
      </c>
      <c r="K13" s="10">
        <f t="shared" ca="1" si="1"/>
        <v>1</v>
      </c>
      <c r="L13" s="2"/>
      <c r="M13" s="85">
        <f ca="1">OFFSET(INDIRECT(ADDRESS($A13,3,3,1,"Gross")),0,Menus!$J$4)</f>
        <v>0</v>
      </c>
      <c r="N13" s="85">
        <f ca="1">OFFSET(INDIRECT(ADDRESS($A13,3,3,1,"Gross")),0,Menus!$J$3)</f>
        <v>0</v>
      </c>
    </row>
    <row r="14" spans="1:17" x14ac:dyDescent="0.25">
      <c r="A14">
        <v>13</v>
      </c>
      <c r="B14" s="2">
        <f ca="1">OFFSET(INDIRECT(ADDRESS($A14,3,3,1,Menus!$K$10)),0,Menus!$J$4)</f>
        <v>307</v>
      </c>
      <c r="C14" s="2">
        <f ca="1">OFFSET(INDIRECT(ADDRESS($A14,3,3,1,Menus!$K$10)),0,Menus!$J$3)</f>
        <v>8375210</v>
      </c>
      <c r="D14" s="73">
        <f ca="1">IF(Menus!$J$9,C14/B14,C14)</f>
        <v>27280.814332247555</v>
      </c>
      <c r="E14" s="74">
        <f t="shared" ca="1" si="0"/>
        <v>307</v>
      </c>
      <c r="F14" s="75" t="str">
        <f ca="1">INDIRECT(ADDRESS($A14,1,3,1,Menus!$K$10))</f>
        <v>België Nederlandstalige Universiteiten</v>
      </c>
      <c r="G14" s="2" t="e">
        <f ca="1">IF(INDIRECT(ADDRESS($A14,2,3,1,Menus!$K$10))=G$1,$D14,#N/A)</f>
        <v>#N/A</v>
      </c>
      <c r="H14" s="2" t="e">
        <f ca="1">IF(INDIRECT(ADDRESS($A14,2,3,1,Menus!$K$10))=H$1,$D14,#N/A)</f>
        <v>#N/A</v>
      </c>
      <c r="I14" s="2">
        <f ca="1">IF(INDIRECT(ADDRESS($A14,2,3,1,Menus!$K$10))=I$1,$D14,#N/A)</f>
        <v>27280.814332247555</v>
      </c>
      <c r="J14" s="2">
        <f ca="1">IF(INDIRECT(ADDRESS($A14,1,3,1,Menus!$K$10))=T(J$1),$D14,#N/A)</f>
        <v>27280.814332247555</v>
      </c>
      <c r="K14" s="10">
        <f t="shared" ca="1" si="1"/>
        <v>1</v>
      </c>
      <c r="L14" s="2"/>
      <c r="M14" s="85">
        <f ca="1">OFFSET(INDIRECT(ADDRESS($A14,3,3,1,"Gross")),0,Menus!$J$4)</f>
        <v>0</v>
      </c>
      <c r="N14" s="85">
        <f ca="1">OFFSET(INDIRECT(ADDRESS($A14,3,3,1,"Gross")),0,Menus!$J$3)</f>
        <v>0</v>
      </c>
    </row>
    <row r="15" spans="1:17" x14ac:dyDescent="0.25">
      <c r="A15">
        <v>32</v>
      </c>
      <c r="B15" s="2">
        <f ca="1">OFFSET(INDIRECT(ADDRESS($A15,3,3,1,Menus!$K$10)),0,Menus!$J$4)</f>
        <v>8869</v>
      </c>
      <c r="C15" s="2">
        <f ca="1">OFFSET(INDIRECT(ADDRESS($A15,3,3,1,Menus!$K$10)),0,Menus!$J$3)</f>
        <v>240640929</v>
      </c>
      <c r="D15" s="73">
        <f ca="1">IF(Menus!$J$9,C15/B15,C15)</f>
        <v>27132.814184237232</v>
      </c>
      <c r="E15" s="74">
        <f t="shared" ca="1" si="0"/>
        <v>8869</v>
      </c>
      <c r="F15" s="75" t="str">
        <f ca="1">INDIRECT(ADDRESS($A15,1,3,1,Menus!$K$10))</f>
        <v>Germany</v>
      </c>
      <c r="G15" s="2" t="e">
        <f ca="1">IF(INDIRECT(ADDRESS($A15,2,3,1,Menus!$K$10))=G$1,$D15,#N/A)</f>
        <v>#N/A</v>
      </c>
      <c r="H15" s="2">
        <f ca="1">IF(INDIRECT(ADDRESS($A15,2,3,1,Menus!$K$10))=H$1,$D15,#N/A)</f>
        <v>27132.814184237232</v>
      </c>
      <c r="I15" s="2" t="e">
        <f ca="1">IF(INDIRECT(ADDRESS($A15,2,3,1,Menus!$K$10))=I$1,$D15,#N/A)</f>
        <v>#N/A</v>
      </c>
      <c r="J15" s="2" t="e">
        <f ca="1">IF(INDIRECT(ADDRESS($A15,1,3,1,Menus!$K$10))=T(J$1),$D15,#N/A)</f>
        <v>#N/A</v>
      </c>
      <c r="K15" s="10">
        <f t="shared" ca="1" si="1"/>
        <v>1</v>
      </c>
      <c r="L15" s="2"/>
      <c r="M15" s="85">
        <f ca="1">OFFSET(INDIRECT(ADDRESS($A15,3,3,1,"Gross")),0,Menus!$J$4)</f>
        <v>0</v>
      </c>
      <c r="N15" s="85">
        <f ca="1">OFFSET(INDIRECT(ADDRESS($A15,3,3,1,"Gross")),0,Menus!$J$3)</f>
        <v>0</v>
      </c>
    </row>
    <row r="16" spans="1:17" x14ac:dyDescent="0.25">
      <c r="A16">
        <v>15</v>
      </c>
      <c r="B16" s="2">
        <f ca="1">OFFSET(INDIRECT(ADDRESS($A16,3,3,1,Menus!$K$10)),0,Menus!$J$4)</f>
        <v>609</v>
      </c>
      <c r="C16" s="2">
        <f ca="1">OFFSET(INDIRECT(ADDRESS($A16,3,3,1,Menus!$K$10)),0,Menus!$J$3)</f>
        <v>15437393</v>
      </c>
      <c r="D16" s="73">
        <f ca="1">IF(Menus!$J$9,C16/B16,C16)</f>
        <v>25348.756978653531</v>
      </c>
      <c r="E16" s="74">
        <f t="shared" ca="1" si="0"/>
        <v>609</v>
      </c>
      <c r="F16" s="75" t="str">
        <f ca="1">INDIRECT(ADDRESS($A16,1,3,1,Menus!$K$10))</f>
        <v>Belgium</v>
      </c>
      <c r="G16" s="2" t="e">
        <f ca="1">IF(INDIRECT(ADDRESS($A16,2,3,1,Menus!$K$10))=G$1,$D16,#N/A)</f>
        <v>#N/A</v>
      </c>
      <c r="H16" s="2">
        <f ca="1">IF(INDIRECT(ADDRESS($A16,2,3,1,Menus!$K$10))=H$1,$D16,#N/A)</f>
        <v>25348.756978653531</v>
      </c>
      <c r="I16" s="2" t="e">
        <f ca="1">IF(INDIRECT(ADDRESS($A16,2,3,1,Menus!$K$10))=I$1,$D16,#N/A)</f>
        <v>#N/A</v>
      </c>
      <c r="J16" s="2" t="e">
        <f ca="1">IF(INDIRECT(ADDRESS($A16,1,3,1,Menus!$K$10))=T(J$1),$D16,#N/A)</f>
        <v>#N/A</v>
      </c>
      <c r="K16" s="10">
        <f t="shared" ca="1" si="1"/>
        <v>1</v>
      </c>
      <c r="L16" s="2"/>
      <c r="M16" s="85">
        <f ca="1">OFFSET(INDIRECT(ADDRESS($A16,3,3,1,"Gross")),0,Menus!$J$4)</f>
        <v>0</v>
      </c>
      <c r="N16" s="85">
        <f ca="1">OFFSET(INDIRECT(ADDRESS($A16,3,3,1,"Gross")),0,Menus!$J$3)</f>
        <v>0</v>
      </c>
    </row>
    <row r="17" spans="1:17" x14ac:dyDescent="0.25">
      <c r="A17">
        <v>14</v>
      </c>
      <c r="B17" s="85">
        <f ca="1">OFFSET(INDIRECT(ADDRESS($A17,3,3,1,Menus!$K$10)),0,Menus!$J$4)</f>
        <v>301</v>
      </c>
      <c r="C17" s="85">
        <f ca="1">OFFSET(INDIRECT(ADDRESS($A17,3,3,1,Menus!$K$10)),0,Menus!$J$3)</f>
        <v>7062183</v>
      </c>
      <c r="D17" s="73">
        <f ca="1">IF(Menus!$J$9,C17/B17,C17)</f>
        <v>23462.401993355481</v>
      </c>
      <c r="E17" s="74" t="e">
        <f t="shared" ca="1" si="0"/>
        <v>#N/A</v>
      </c>
      <c r="F17" s="75" t="str">
        <f ca="1">INDIRECT(ADDRESS($A17,1,3,1,Menus!$K$10))</f>
        <v xml:space="preserve">Belgique universités francophones </v>
      </c>
      <c r="G17" s="2" t="e">
        <f ca="1">IF(INDIRECT(ADDRESS($A17,2,3,1,Menus!$K$10))=G$1,$D17,#N/A)</f>
        <v>#N/A</v>
      </c>
      <c r="H17" s="2" t="e">
        <f ca="1">IF(INDIRECT(ADDRESS($A17,2,3,1,Menus!$K$10))=H$1,$D17,#N/A)</f>
        <v>#N/A</v>
      </c>
      <c r="I17" s="2" t="e">
        <f ca="1">IF(INDIRECT(ADDRESS($A17,2,3,1,Menus!$K$10))=I$1,$D17,#N/A)</f>
        <v>#N/A</v>
      </c>
      <c r="J17" s="2" t="e">
        <f ca="1">IF(INDIRECT(ADDRESS($A17,1,3,1,Menus!$K$10))=T(J$1),$D17,#N/A)</f>
        <v>#N/A</v>
      </c>
      <c r="K17" s="10">
        <f t="shared" ca="1" si="1"/>
        <v>0</v>
      </c>
      <c r="L17" s="2"/>
      <c r="M17" s="85">
        <f ca="1">OFFSET(INDIRECT(ADDRESS($A17,3,3,1,"Gross")),0,Menus!$J$4)</f>
        <v>0</v>
      </c>
      <c r="N17" s="85">
        <f ca="1">OFFSET(INDIRECT(ADDRESS($A17,3,3,1,"Gross")),0,Menus!$J$3)</f>
        <v>0</v>
      </c>
      <c r="P17">
        <v>0</v>
      </c>
      <c r="Q17" t="s">
        <v>171</v>
      </c>
    </row>
    <row r="18" spans="1:17" x14ac:dyDescent="0.25">
      <c r="A18">
        <v>30</v>
      </c>
      <c r="B18" s="2">
        <f ca="1">OFFSET(INDIRECT(ADDRESS($A18,3,3,1,Menus!$K$10)),0,Menus!$J$4)</f>
        <v>1429</v>
      </c>
      <c r="C18" s="2">
        <f ca="1">OFFSET(INDIRECT(ADDRESS($A18,3,3,1,Menus!$K$10)),0,Menus!$J$3)</f>
        <v>30070810</v>
      </c>
      <c r="D18" s="73">
        <f ca="1">IF(Menus!$J$9,C18/B18,C18)</f>
        <v>21043.254023792862</v>
      </c>
      <c r="E18" s="74">
        <f t="shared" ca="1" si="0"/>
        <v>1429</v>
      </c>
      <c r="F18" s="75" t="str">
        <f ca="1">INDIRECT(ADDRESS($A18,1,3,1,Menus!$K$10))</f>
        <v>Switzerland</v>
      </c>
      <c r="G18" s="2">
        <f ca="1">IF(INDIRECT(ADDRESS($A18,2,3,1,Menus!$K$10))=G$1,$D18,#N/A)</f>
        <v>21043.254023792862</v>
      </c>
      <c r="H18" s="2" t="e">
        <f ca="1">IF(INDIRECT(ADDRESS($A18,2,3,1,Menus!$K$10))=H$1,$D18,#N/A)</f>
        <v>#N/A</v>
      </c>
      <c r="I18" s="2" t="e">
        <f ca="1">IF(INDIRECT(ADDRESS($A18,2,3,1,Menus!$K$10))=I$1,$D18,#N/A)</f>
        <v>#N/A</v>
      </c>
      <c r="J18" s="2" t="e">
        <f ca="1">IF(INDIRECT(ADDRESS($A18,1,3,1,Menus!$K$10))=T(J$1),$D18,#N/A)</f>
        <v>#N/A</v>
      </c>
      <c r="K18" s="10">
        <f t="shared" ca="1" si="1"/>
        <v>1</v>
      </c>
      <c r="L18" s="2"/>
      <c r="M18" s="85">
        <f ca="1">OFFSET(INDIRECT(ADDRESS($A18,3,3,1,"Gross")),0,Menus!$J$4)</f>
        <v>2</v>
      </c>
      <c r="N18" s="85">
        <f ca="1">OFFSET(INDIRECT(ADDRESS($A18,3,3,1,"Gross")),0,Menus!$J$3)</f>
        <v>2</v>
      </c>
    </row>
    <row r="19" spans="1:17" x14ac:dyDescent="0.25">
      <c r="A19">
        <v>17</v>
      </c>
      <c r="B19" s="2">
        <f ca="1">OFFSET(INDIRECT(ADDRESS($A19,3,3,1,Menus!$K$10)),0,Menus!$J$4)</f>
        <v>750</v>
      </c>
      <c r="C19" s="2">
        <f ca="1">OFFSET(INDIRECT(ADDRESS($A19,3,3,1,Menus!$K$10)),0,Menus!$J$3)</f>
        <v>15063180</v>
      </c>
      <c r="D19" s="73">
        <f ca="1">IF(Menus!$J$9,C19/B19,C19)</f>
        <v>20084.240000000002</v>
      </c>
      <c r="E19" s="74">
        <f t="shared" ca="1" si="0"/>
        <v>750</v>
      </c>
      <c r="F19" s="75" t="str">
        <f ca="1">INDIRECT(ADDRESS($A19,1,3,1,Menus!$K$10))</f>
        <v>Eire</v>
      </c>
      <c r="G19" s="2" t="e">
        <f ca="1">IF(INDIRECT(ADDRESS($A19,2,3,1,Menus!$K$10))=G$1,$D19,#N/A)</f>
        <v>#N/A</v>
      </c>
      <c r="H19" s="2">
        <f ca="1">IF(INDIRECT(ADDRESS($A19,2,3,1,Menus!$K$10))=H$1,$D19,#N/A)</f>
        <v>20084.240000000002</v>
      </c>
      <c r="I19" s="2" t="e">
        <f ca="1">IF(INDIRECT(ADDRESS($A19,2,3,1,Menus!$K$10))=I$1,$D19,#N/A)</f>
        <v>#N/A</v>
      </c>
      <c r="J19" s="2" t="e">
        <f ca="1">IF(INDIRECT(ADDRESS($A19,1,3,1,Menus!$K$10))=T(J$1),$D19,#N/A)</f>
        <v>#N/A</v>
      </c>
      <c r="K19" s="10">
        <f t="shared" ca="1" si="1"/>
        <v>1</v>
      </c>
      <c r="L19" s="2"/>
      <c r="M19" s="85">
        <f ca="1">OFFSET(INDIRECT(ADDRESS($A19,3,3,1,"Gross")),0,Menus!$J$4)</f>
        <v>2</v>
      </c>
      <c r="N19" s="85">
        <f ca="1">OFFSET(INDIRECT(ADDRESS($A19,3,3,1,"Gross")),0,Menus!$J$3)</f>
        <v>2</v>
      </c>
    </row>
    <row r="20" spans="1:17" x14ac:dyDescent="0.25">
      <c r="A20">
        <v>28</v>
      </c>
      <c r="B20" s="2">
        <f ca="1">OFFSET(INDIRECT(ADDRESS($A20,3,3,1,Menus!$K$10)),0,Menus!$J$4)</f>
        <v>7430</v>
      </c>
      <c r="C20" s="2">
        <f ca="1">OFFSET(INDIRECT(ADDRESS($A20,3,3,1,Menus!$K$10)),0,Menus!$J$3)</f>
        <v>122788945</v>
      </c>
      <c r="D20" s="73">
        <f ca="1">IF(Menus!$J$9,C20/B20,C20)</f>
        <v>16526.102960969045</v>
      </c>
      <c r="E20" s="74">
        <f t="shared" ca="1" si="0"/>
        <v>7430</v>
      </c>
      <c r="F20" s="75" t="str">
        <f ca="1">INDIRECT(ADDRESS($A20,1,3,1,Menus!$K$10))</f>
        <v>Spain</v>
      </c>
      <c r="G20" s="2" t="e">
        <f ca="1">IF(INDIRECT(ADDRESS($A20,2,3,1,Menus!$K$10))=G$1,$D20,#N/A)</f>
        <v>#N/A</v>
      </c>
      <c r="H20" s="2">
        <f ca="1">IF(INDIRECT(ADDRESS($A20,2,3,1,Menus!$K$10))=H$1,$D20,#N/A)</f>
        <v>16526.102960969045</v>
      </c>
      <c r="I20" s="2" t="e">
        <f ca="1">IF(INDIRECT(ADDRESS($A20,2,3,1,Menus!$K$10))=I$1,$D20,#N/A)</f>
        <v>#N/A</v>
      </c>
      <c r="J20" s="2" t="e">
        <f ca="1">IF(INDIRECT(ADDRESS($A20,1,3,1,Menus!$K$10))=T(J$1),$D20,#N/A)</f>
        <v>#N/A</v>
      </c>
      <c r="K20" s="10">
        <f t="shared" ca="1" si="1"/>
        <v>1</v>
      </c>
      <c r="L20" s="2"/>
      <c r="M20" s="85">
        <f ca="1">OFFSET(INDIRECT(ADDRESS($A20,3,3,1,"Gross")),0,Menus!$J$4)</f>
        <v>1</v>
      </c>
      <c r="N20" s="85">
        <f ca="1">OFFSET(INDIRECT(ADDRESS($A20,3,3,1,"Gross")),0,Menus!$J$3)</f>
        <v>1</v>
      </c>
    </row>
    <row r="21" spans="1:17" x14ac:dyDescent="0.25">
      <c r="A21">
        <v>27</v>
      </c>
      <c r="B21" s="2">
        <f ca="1">OFFSET(INDIRECT(ADDRESS($A21,3,3,1,Menus!$K$10)),0,Menus!$J$4)</f>
        <v>1215</v>
      </c>
      <c r="C21" s="2">
        <f ca="1">OFFSET(INDIRECT(ADDRESS($A21,3,3,1,Menus!$K$10)),0,Menus!$J$3)</f>
        <v>7048520</v>
      </c>
      <c r="D21" s="73">
        <f ca="1">IF(Menus!$J$9,C21/B21,C21)</f>
        <v>5801.2510288065841</v>
      </c>
      <c r="E21" s="74">
        <f t="shared" ca="1" si="0"/>
        <v>1215</v>
      </c>
      <c r="F21" s="75" t="str">
        <f ca="1">INDIRECT(ADDRESS($A21,1,3,1,Menus!$K$10))</f>
        <v>Portugal</v>
      </c>
      <c r="G21" s="2" t="e">
        <f ca="1">IF(INDIRECT(ADDRESS($A21,2,3,1,Menus!$K$10))=G$1,$D21,#N/A)</f>
        <v>#N/A</v>
      </c>
      <c r="H21" s="2">
        <f ca="1">IF(INDIRECT(ADDRESS($A21,2,3,1,Menus!$K$10))=H$1,$D21,#N/A)</f>
        <v>5801.2510288065841</v>
      </c>
      <c r="I21" s="2" t="e">
        <f ca="1">IF(INDIRECT(ADDRESS($A21,2,3,1,Menus!$K$10))=I$1,$D21,#N/A)</f>
        <v>#N/A</v>
      </c>
      <c r="J21" s="2" t="e">
        <f ca="1">IF(INDIRECT(ADDRESS($A21,1,3,1,Menus!$K$10))=T(J$1),$D21,#N/A)</f>
        <v>#N/A</v>
      </c>
      <c r="K21" s="10">
        <f t="shared" ca="1" si="1"/>
        <v>1</v>
      </c>
      <c r="L21" s="2"/>
      <c r="M21" s="85">
        <f ca="1">OFFSET(INDIRECT(ADDRESS($A21,3,3,1,"Gross")),0,Menus!$J$4)</f>
        <v>1</v>
      </c>
      <c r="N21" s="85">
        <f ca="1">OFFSET(INDIRECT(ADDRESS($A21,3,3,1,"Gross")),0,Menus!$J$3)</f>
        <v>1</v>
      </c>
      <c r="P21">
        <v>2</v>
      </c>
      <c r="Q21" t="s">
        <v>165</v>
      </c>
    </row>
    <row r="22" spans="1:17" x14ac:dyDescent="0.25">
      <c r="A22">
        <v>20</v>
      </c>
      <c r="B22" s="2">
        <f ca="1">OFFSET(INDIRECT(ADDRESS($A22,3,3,1,Menus!$K$10)),0,Menus!$J$4)</f>
        <v>1123</v>
      </c>
      <c r="C22" s="2">
        <f ca="1">OFFSET(INDIRECT(ADDRESS($A22,3,3,1,Menus!$K$10)),0,Menus!$J$3)</f>
        <v>4055275</v>
      </c>
      <c r="D22" s="73">
        <f ca="1">IF(Menus!$J$9,C22/B22,C22)</f>
        <v>3611.1086375779164</v>
      </c>
      <c r="E22" s="74">
        <f t="shared" ca="1" si="0"/>
        <v>1123</v>
      </c>
      <c r="F22" s="75" t="str">
        <f ca="1">INDIRECT(ADDRESS($A22,1,3,1,Menus!$K$10))</f>
        <v>Greece</v>
      </c>
      <c r="G22" s="2" t="e">
        <f ca="1">IF(INDIRECT(ADDRESS($A22,2,3,1,Menus!$K$10))=G$1,$D22,#N/A)</f>
        <v>#N/A</v>
      </c>
      <c r="H22" s="2">
        <f ca="1">IF(INDIRECT(ADDRESS($A22,2,3,1,Menus!$K$10))=H$1,$D22,#N/A)</f>
        <v>3611.1086375779164</v>
      </c>
      <c r="I22" s="2" t="e">
        <f ca="1">IF(INDIRECT(ADDRESS($A22,2,3,1,Menus!$K$10))=I$1,$D22,#N/A)</f>
        <v>#N/A</v>
      </c>
      <c r="J22" s="2" t="e">
        <f ca="1">IF(INDIRECT(ADDRESS($A22,1,3,1,Menus!$K$10))=T(J$1),$D22,#N/A)</f>
        <v>#N/A</v>
      </c>
      <c r="K22" s="10">
        <f t="shared" ca="1" si="1"/>
        <v>1</v>
      </c>
      <c r="L22" s="2"/>
      <c r="M22" s="85">
        <f ca="1">OFFSET(INDIRECT(ADDRESS($A22,3,3,1,"Gross")),0,Menus!$J$4)</f>
        <v>0</v>
      </c>
      <c r="N22" s="85">
        <f ca="1">OFFSET(INDIRECT(ADDRESS($A22,3,3,1,"Gross")),0,Menus!$J$3)</f>
        <v>1</v>
      </c>
    </row>
    <row r="23" spans="1:17" x14ac:dyDescent="0.25">
      <c r="A23">
        <v>176</v>
      </c>
      <c r="B23" s="2">
        <f ca="1">OFFSET(INDIRECT(ADDRESS($A23,3,3,1,Menus!$K$10)),0,Menus!$J$4)</f>
        <v>0</v>
      </c>
      <c r="C23" s="2">
        <f ca="1">OFFSET(INDIRECT(ADDRESS($A23,3,3,1,Menus!$K$10)),0,Menus!$J$3)</f>
        <v>0</v>
      </c>
      <c r="D23" s="73" t="e">
        <f ca="1">IF(Menus!$J$9,C23/B23,C23)</f>
        <v>#DIV/0!</v>
      </c>
      <c r="E23" s="74" t="e">
        <f t="shared" ca="1" si="0"/>
        <v>#N/A</v>
      </c>
      <c r="F23" s="75">
        <f ca="1">INDIRECT(ADDRESS($A23,1,3,1,Menus!$K$10))</f>
        <v>0</v>
      </c>
      <c r="G23" s="2" t="e">
        <f ca="1">IF(INDIRECT(ADDRESS($A23,2,3,1,Menus!$K$10))=G$1,$D23,#N/A)</f>
        <v>#N/A</v>
      </c>
      <c r="H23" s="2" t="e">
        <f ca="1">IF(INDIRECT(ADDRESS($A23,2,3,1,Menus!$K$10))=H$1,$D23,#N/A)</f>
        <v>#N/A</v>
      </c>
      <c r="I23" s="2" t="e">
        <f ca="1">IF(INDIRECT(ADDRESS($A23,2,3,1,Menus!$K$10))=I$1,$D23,#N/A)</f>
        <v>#N/A</v>
      </c>
      <c r="J23" s="2" t="e">
        <f ca="1">IF(INDIRECT(ADDRESS($A23,1,3,1,Menus!$K$10))=T(J$1),$D23,#N/A)</f>
        <v>#N/A</v>
      </c>
      <c r="K23" s="10">
        <f t="shared" ca="1" si="1"/>
        <v>0</v>
      </c>
      <c r="L23" s="2"/>
      <c r="M23" s="85">
        <f ca="1">OFFSET(INDIRECT(ADDRESS($A23,3,3,1,"Gross")),0,Menus!$J$4)</f>
        <v>0</v>
      </c>
      <c r="N23" s="85">
        <f ca="1">OFFSET(INDIRECT(ADDRESS($A23,3,3,1,"Gross")),0,Menus!$J$3)</f>
        <v>0</v>
      </c>
    </row>
    <row r="24" spans="1:17" x14ac:dyDescent="0.25">
      <c r="A24">
        <v>129</v>
      </c>
      <c r="B24" s="2">
        <f ca="1">OFFSET(INDIRECT(ADDRESS($A24,3,3,1,Menus!$K$10)),0,Menus!$J$4)</f>
        <v>0</v>
      </c>
      <c r="C24" s="2">
        <f ca="1">OFFSET(INDIRECT(ADDRESS($A24,3,3,1,Menus!$K$10)),0,Menus!$J$3)</f>
        <v>0</v>
      </c>
      <c r="D24" s="73" t="e">
        <f ca="1">IF(Menus!$J$9,C24/B24,C24)</f>
        <v>#DIV/0!</v>
      </c>
      <c r="E24" s="74" t="e">
        <f t="shared" ca="1" si="0"/>
        <v>#N/A</v>
      </c>
      <c r="F24" s="75">
        <f ca="1">INDIRECT(ADDRESS($A24,1,3,1,Menus!$K$10))</f>
        <v>0</v>
      </c>
      <c r="G24" s="2" t="e">
        <f ca="1">IF(INDIRECT(ADDRESS($A24,2,3,1,Menus!$K$10))=G$1,$D24,#N/A)</f>
        <v>#N/A</v>
      </c>
      <c r="H24" s="2" t="e">
        <f ca="1">IF(INDIRECT(ADDRESS($A24,2,3,1,Menus!$K$10))=H$1,$D24,#N/A)</f>
        <v>#N/A</v>
      </c>
      <c r="I24" s="2" t="e">
        <f ca="1">IF(INDIRECT(ADDRESS($A24,2,3,1,Menus!$K$10))=I$1,$D24,#N/A)</f>
        <v>#N/A</v>
      </c>
      <c r="J24" s="2" t="e">
        <f ca="1">IF(INDIRECT(ADDRESS($A24,1,3,1,Menus!$K$10))=T(J$1),$D24,#N/A)</f>
        <v>#N/A</v>
      </c>
      <c r="K24" s="10">
        <f t="shared" ca="1" si="1"/>
        <v>0</v>
      </c>
      <c r="L24" s="2"/>
      <c r="M24" s="85">
        <f ca="1">OFFSET(INDIRECT(ADDRESS($A24,3,3,1,"Gross")),0,Menus!$J$4)</f>
        <v>0</v>
      </c>
      <c r="N24" s="85">
        <f ca="1">OFFSET(INDIRECT(ADDRESS($A24,3,3,1,"Gross")),0,Menus!$J$3)</f>
        <v>0</v>
      </c>
    </row>
    <row r="25" spans="1:17" x14ac:dyDescent="0.25">
      <c r="A25">
        <v>125</v>
      </c>
      <c r="B25" s="2">
        <f ca="1">OFFSET(INDIRECT(ADDRESS($A25,3,3,1,Menus!$K$10)),0,Menus!$J$4)</f>
        <v>0</v>
      </c>
      <c r="C25" s="2">
        <f ca="1">OFFSET(INDIRECT(ADDRESS($A25,3,3,1,Menus!$K$10)),0,Menus!$J$3)</f>
        <v>0</v>
      </c>
      <c r="D25" s="73" t="e">
        <f ca="1">IF(Menus!$J$9,C25/B25,C25)</f>
        <v>#DIV/0!</v>
      </c>
      <c r="E25" s="74" t="e">
        <f t="shared" ca="1" si="0"/>
        <v>#N/A</v>
      </c>
      <c r="F25" s="75">
        <f ca="1">INDIRECT(ADDRESS($A25,1,3,1,Menus!$K$10))</f>
        <v>0</v>
      </c>
      <c r="G25" s="2" t="e">
        <f ca="1">IF(INDIRECT(ADDRESS($A25,2,3,1,Menus!$K$10))=G$1,$D25,#N/A)</f>
        <v>#N/A</v>
      </c>
      <c r="H25" s="2" t="e">
        <f ca="1">IF(INDIRECT(ADDRESS($A25,2,3,1,Menus!$K$10))=H$1,$D25,#N/A)</f>
        <v>#N/A</v>
      </c>
      <c r="I25" s="2" t="e">
        <f ca="1">IF(INDIRECT(ADDRESS($A25,2,3,1,Menus!$K$10))=I$1,$D25,#N/A)</f>
        <v>#N/A</v>
      </c>
      <c r="J25" s="2" t="e">
        <f ca="1">IF(INDIRECT(ADDRESS($A25,1,3,1,Menus!$K$10))=T(J$1),$D25,#N/A)</f>
        <v>#N/A</v>
      </c>
      <c r="K25" s="10">
        <f t="shared" ca="1" si="1"/>
        <v>0</v>
      </c>
      <c r="L25" s="2"/>
      <c r="M25" s="85">
        <f ca="1">OFFSET(INDIRECT(ADDRESS($A25,3,3,1,"Gross")),0,Menus!$J$4)</f>
        <v>0</v>
      </c>
      <c r="N25" s="85">
        <f ca="1">OFFSET(INDIRECT(ADDRESS($A25,3,3,1,"Gross")),0,Menus!$J$3)</f>
        <v>0</v>
      </c>
    </row>
    <row r="26" spans="1:17" x14ac:dyDescent="0.25">
      <c r="A26">
        <v>47</v>
      </c>
      <c r="B26" s="2">
        <f ca="1">OFFSET(INDIRECT(ADDRESS($A26,3,3,1,Menus!$K$10)),0,Menus!$J$4)</f>
        <v>0</v>
      </c>
      <c r="C26" s="2">
        <f ca="1">OFFSET(INDIRECT(ADDRESS($A26,3,3,1,Menus!$K$10)),0,Menus!$J$3)</f>
        <v>0</v>
      </c>
      <c r="D26" s="73" t="e">
        <f ca="1">IF(Menus!$J$9,C26/B26,C26)</f>
        <v>#DIV/0!</v>
      </c>
      <c r="E26" s="74" t="e">
        <f t="shared" ca="1" si="0"/>
        <v>#N/A</v>
      </c>
      <c r="F26" s="75">
        <f ca="1">INDIRECT(ADDRESS($A26,1,3,1,Menus!$K$10))</f>
        <v>0</v>
      </c>
      <c r="G26" s="2" t="e">
        <f ca="1">IF(INDIRECT(ADDRESS($A26,2,3,1,Menus!$K$10))=G$1,$D26,#N/A)</f>
        <v>#N/A</v>
      </c>
      <c r="H26" s="2" t="e">
        <f ca="1">IF(INDIRECT(ADDRESS($A26,2,3,1,Menus!$K$10))=H$1,$D26,#N/A)</f>
        <v>#N/A</v>
      </c>
      <c r="I26" s="2" t="e">
        <f ca="1">IF(INDIRECT(ADDRESS($A26,2,3,1,Menus!$K$10))=I$1,$D26,#N/A)</f>
        <v>#N/A</v>
      </c>
      <c r="J26" s="2" t="e">
        <f ca="1">IF(INDIRECT(ADDRESS($A26,1,3,1,Menus!$K$10))=T(J$1),$D26,#N/A)</f>
        <v>#N/A</v>
      </c>
      <c r="K26" s="10">
        <f t="shared" ca="1" si="1"/>
        <v>0</v>
      </c>
      <c r="L26" s="2"/>
      <c r="M26" s="85">
        <f ca="1">OFFSET(INDIRECT(ADDRESS($A26,3,3,1,"Gross")),0,Menus!$J$4)</f>
        <v>1</v>
      </c>
      <c r="N26" s="85">
        <f ca="1">OFFSET(INDIRECT(ADDRESS($A26,3,3,1,"Gross")),0,Menus!$J$3)</f>
        <v>0</v>
      </c>
    </row>
    <row r="27" spans="1:17" x14ac:dyDescent="0.25">
      <c r="A27">
        <v>187</v>
      </c>
      <c r="B27" s="2">
        <f ca="1">OFFSET(INDIRECT(ADDRESS($A27,3,3,1,Menus!$K$10)),0,Menus!$J$4)</f>
        <v>0</v>
      </c>
      <c r="C27" s="2">
        <f ca="1">OFFSET(INDIRECT(ADDRESS($A27,3,3,1,Menus!$K$10)),0,Menus!$J$3)</f>
        <v>0</v>
      </c>
      <c r="D27" s="73" t="e">
        <f ca="1">IF(Menus!$J$9,C27/B27,C27)</f>
        <v>#DIV/0!</v>
      </c>
      <c r="E27" s="74" t="e">
        <f t="shared" ca="1" si="0"/>
        <v>#N/A</v>
      </c>
      <c r="F27" s="75">
        <f ca="1">INDIRECT(ADDRESS($A27,1,3,1,Menus!$K$10))</f>
        <v>0</v>
      </c>
      <c r="G27" s="2" t="e">
        <f ca="1">IF(INDIRECT(ADDRESS($A27,2,3,1,Menus!$K$10))=G$1,$D27,#N/A)</f>
        <v>#N/A</v>
      </c>
      <c r="H27" s="2" t="e">
        <f ca="1">IF(INDIRECT(ADDRESS($A27,2,3,1,Menus!$K$10))=H$1,$D27,#N/A)</f>
        <v>#N/A</v>
      </c>
      <c r="I27" s="2" t="e">
        <f ca="1">IF(INDIRECT(ADDRESS($A27,2,3,1,Menus!$K$10))=I$1,$D27,#N/A)</f>
        <v>#N/A</v>
      </c>
      <c r="J27" s="2" t="e">
        <f ca="1">IF(INDIRECT(ADDRESS($A27,1,3,1,Menus!$K$10))=T(J$1),$D27,#N/A)</f>
        <v>#N/A</v>
      </c>
      <c r="K27" s="10">
        <f t="shared" ca="1" si="1"/>
        <v>0</v>
      </c>
      <c r="L27" s="2"/>
      <c r="M27" s="85">
        <f ca="1">OFFSET(INDIRECT(ADDRESS($A27,3,3,1,"Gross")),0,Menus!$J$4)</f>
        <v>0</v>
      </c>
      <c r="N27" s="85">
        <f ca="1">OFFSET(INDIRECT(ADDRESS($A27,3,3,1,"Gross")),0,Menus!$J$3)</f>
        <v>0</v>
      </c>
    </row>
    <row r="28" spans="1:17" x14ac:dyDescent="0.25">
      <c r="A28">
        <v>122</v>
      </c>
      <c r="B28" s="2">
        <f ca="1">OFFSET(INDIRECT(ADDRESS($A28,3,3,1,Menus!$K$10)),0,Menus!$J$4)</f>
        <v>0</v>
      </c>
      <c r="C28" s="2">
        <f ca="1">OFFSET(INDIRECT(ADDRESS($A28,3,3,1,Menus!$K$10)),0,Menus!$J$3)</f>
        <v>0</v>
      </c>
      <c r="D28" s="73" t="e">
        <f ca="1">IF(Menus!$J$9,C28/B28,C28)</f>
        <v>#DIV/0!</v>
      </c>
      <c r="E28" s="74" t="e">
        <f t="shared" ca="1" si="0"/>
        <v>#N/A</v>
      </c>
      <c r="F28" s="75">
        <f ca="1">INDIRECT(ADDRESS($A28,1,3,1,Menus!$K$10))</f>
        <v>0</v>
      </c>
      <c r="G28" s="2" t="e">
        <f ca="1">IF(INDIRECT(ADDRESS($A28,2,3,1,Menus!$K$10))=G$1,$D28,#N/A)</f>
        <v>#N/A</v>
      </c>
      <c r="H28" s="2" t="e">
        <f ca="1">IF(INDIRECT(ADDRESS($A28,2,3,1,Menus!$K$10))=H$1,$D28,#N/A)</f>
        <v>#N/A</v>
      </c>
      <c r="I28" s="2" t="e">
        <f ca="1">IF(INDIRECT(ADDRESS($A28,2,3,1,Menus!$K$10))=I$1,$D28,#N/A)</f>
        <v>#N/A</v>
      </c>
      <c r="J28" s="2" t="e">
        <f ca="1">IF(INDIRECT(ADDRESS($A28,1,3,1,Menus!$K$10))=T(J$1),$D28,#N/A)</f>
        <v>#N/A</v>
      </c>
      <c r="K28" s="10">
        <f t="shared" ca="1" si="1"/>
        <v>0</v>
      </c>
      <c r="L28" s="2"/>
      <c r="M28" s="85">
        <f ca="1">OFFSET(INDIRECT(ADDRESS($A28,3,3,1,"Gross")),0,Menus!$J$4)</f>
        <v>-1</v>
      </c>
      <c r="N28" s="85">
        <f ca="1">OFFSET(INDIRECT(ADDRESS($A28,3,3,1,"Gross")),0,Menus!$J$3)</f>
        <v>0</v>
      </c>
    </row>
    <row r="29" spans="1:17" x14ac:dyDescent="0.25">
      <c r="A29">
        <v>86</v>
      </c>
      <c r="B29" s="2">
        <f ca="1">OFFSET(INDIRECT(ADDRESS($A29,3,3,1,Menus!$K$10)),0,Menus!$J$4)</f>
        <v>0</v>
      </c>
      <c r="C29" s="2">
        <f ca="1">OFFSET(INDIRECT(ADDRESS($A29,3,3,1,Menus!$K$10)),0,Menus!$J$3)</f>
        <v>0</v>
      </c>
      <c r="D29" s="73" t="e">
        <f ca="1">IF(Menus!$J$9,C29/B29,C29)</f>
        <v>#DIV/0!</v>
      </c>
      <c r="E29" s="74" t="e">
        <f t="shared" ca="1" si="0"/>
        <v>#N/A</v>
      </c>
      <c r="F29" s="75">
        <f ca="1">INDIRECT(ADDRESS($A29,1,3,1,Menus!$K$10))</f>
        <v>0</v>
      </c>
      <c r="G29" s="2" t="e">
        <f ca="1">IF(INDIRECT(ADDRESS($A29,2,3,1,Menus!$K$10))=G$1,$D29,#N/A)</f>
        <v>#N/A</v>
      </c>
      <c r="H29" s="2" t="e">
        <f ca="1">IF(INDIRECT(ADDRESS($A29,2,3,1,Menus!$K$10))=H$1,$D29,#N/A)</f>
        <v>#N/A</v>
      </c>
      <c r="I29" s="2" t="e">
        <f ca="1">IF(INDIRECT(ADDRESS($A29,2,3,1,Menus!$K$10))=I$1,$D29,#N/A)</f>
        <v>#N/A</v>
      </c>
      <c r="J29" s="2" t="e">
        <f ca="1">IF(INDIRECT(ADDRESS($A29,1,3,1,Menus!$K$10))=T(J$1),$D29,#N/A)</f>
        <v>#N/A</v>
      </c>
      <c r="K29" s="10">
        <f t="shared" ca="1" si="1"/>
        <v>0</v>
      </c>
      <c r="L29" s="2"/>
      <c r="M29" s="85">
        <f ca="1">OFFSET(INDIRECT(ADDRESS($A29,3,3,1,"Gross")),0,Menus!$J$4)</f>
        <v>0</v>
      </c>
      <c r="N29" s="85">
        <f ca="1">OFFSET(INDIRECT(ADDRESS($A29,3,3,1,"Gross")),0,Menus!$J$3)</f>
        <v>0</v>
      </c>
    </row>
    <row r="30" spans="1:17" x14ac:dyDescent="0.25">
      <c r="A30">
        <v>167</v>
      </c>
      <c r="B30" s="2">
        <f ca="1">OFFSET(INDIRECT(ADDRESS($A30,3,3,1,Menus!$K$10)),0,Menus!$J$4)</f>
        <v>0</v>
      </c>
      <c r="C30" s="2">
        <f ca="1">OFFSET(INDIRECT(ADDRESS($A30,3,3,1,Menus!$K$10)),0,Menus!$J$3)</f>
        <v>0</v>
      </c>
      <c r="D30" s="73" t="e">
        <f ca="1">IF(Menus!$J$9,C30/B30,C30)</f>
        <v>#DIV/0!</v>
      </c>
      <c r="E30" s="74" t="e">
        <f t="shared" ca="1" si="0"/>
        <v>#N/A</v>
      </c>
      <c r="F30" s="75">
        <f ca="1">INDIRECT(ADDRESS($A30,1,3,1,Menus!$K$10))</f>
        <v>0</v>
      </c>
      <c r="G30" s="2" t="e">
        <f ca="1">IF(INDIRECT(ADDRESS($A30,2,3,1,Menus!$K$10))=G$1,$D30,#N/A)</f>
        <v>#N/A</v>
      </c>
      <c r="H30" s="2" t="e">
        <f ca="1">IF(INDIRECT(ADDRESS($A30,2,3,1,Menus!$K$10))=H$1,$D30,#N/A)</f>
        <v>#N/A</v>
      </c>
      <c r="I30" s="2" t="e">
        <f ca="1">IF(INDIRECT(ADDRESS($A30,2,3,1,Menus!$K$10))=I$1,$D30,#N/A)</f>
        <v>#N/A</v>
      </c>
      <c r="J30" s="2" t="e">
        <f ca="1">IF(INDIRECT(ADDRESS($A30,1,3,1,Menus!$K$10))=T(J$1),$D30,#N/A)</f>
        <v>#N/A</v>
      </c>
      <c r="K30" s="10">
        <f t="shared" ca="1" si="1"/>
        <v>0</v>
      </c>
      <c r="L30" s="2"/>
      <c r="M30" s="85">
        <f ca="1">OFFSET(INDIRECT(ADDRESS($A30,3,3,1,"Gross")),0,Menus!$J$4)</f>
        <v>0</v>
      </c>
      <c r="N30" s="85">
        <f ca="1">OFFSET(INDIRECT(ADDRESS($A30,3,3,1,"Gross")),0,Menus!$J$3)</f>
        <v>0</v>
      </c>
    </row>
    <row r="31" spans="1:17" x14ac:dyDescent="0.25">
      <c r="A31">
        <v>113</v>
      </c>
      <c r="B31" s="2">
        <f ca="1">OFFSET(INDIRECT(ADDRESS($A31,3,3,1,Menus!$K$10)),0,Menus!$J$4)</f>
        <v>0</v>
      </c>
      <c r="C31" s="2">
        <f ca="1">OFFSET(INDIRECT(ADDRESS($A31,3,3,1,Menus!$K$10)),0,Menus!$J$3)</f>
        <v>0</v>
      </c>
      <c r="D31" s="73" t="e">
        <f ca="1">IF(Menus!$J$9,C31/B31,C31)</f>
        <v>#DIV/0!</v>
      </c>
      <c r="E31" s="74" t="e">
        <f t="shared" ca="1" si="0"/>
        <v>#N/A</v>
      </c>
      <c r="F31" s="75">
        <f ca="1">INDIRECT(ADDRESS($A31,1,3,1,Menus!$K$10))</f>
        <v>0</v>
      </c>
      <c r="G31" s="2" t="e">
        <f ca="1">IF(INDIRECT(ADDRESS($A31,2,3,1,Menus!$K$10))=G$1,$D31,#N/A)</f>
        <v>#N/A</v>
      </c>
      <c r="H31" s="2" t="e">
        <f ca="1">IF(INDIRECT(ADDRESS($A31,2,3,1,Menus!$K$10))=H$1,$D31,#N/A)</f>
        <v>#N/A</v>
      </c>
      <c r="I31" s="2" t="e">
        <f ca="1">IF(INDIRECT(ADDRESS($A31,2,3,1,Menus!$K$10))=I$1,$D31,#N/A)</f>
        <v>#N/A</v>
      </c>
      <c r="J31" s="2" t="e">
        <f ca="1">IF(INDIRECT(ADDRESS($A31,1,3,1,Menus!$K$10))=T(J$1),$D31,#N/A)</f>
        <v>#N/A</v>
      </c>
      <c r="K31" s="10">
        <f t="shared" ca="1" si="1"/>
        <v>0</v>
      </c>
      <c r="L31" s="2"/>
      <c r="M31" s="85">
        <f ca="1">OFFSET(INDIRECT(ADDRESS($A31,3,3,1,"Gross")),0,Menus!$J$4)</f>
        <v>0</v>
      </c>
      <c r="N31" s="85">
        <f ca="1">OFFSET(INDIRECT(ADDRESS($A31,3,3,1,"Gross")),0,Menus!$J$3)</f>
        <v>0</v>
      </c>
    </row>
    <row r="32" spans="1:17" x14ac:dyDescent="0.25">
      <c r="A32">
        <v>119</v>
      </c>
      <c r="B32" s="2">
        <f ca="1">OFFSET(INDIRECT(ADDRESS($A32,3,3,1,Menus!$K$10)),0,Menus!$J$4)</f>
        <v>0</v>
      </c>
      <c r="C32" s="2">
        <f ca="1">OFFSET(INDIRECT(ADDRESS($A32,3,3,1,Menus!$K$10)),0,Menus!$J$3)</f>
        <v>0</v>
      </c>
      <c r="D32" s="73" t="e">
        <f ca="1">IF(Menus!$J$9,C32/B32,C32)</f>
        <v>#DIV/0!</v>
      </c>
      <c r="E32" s="74" t="e">
        <f t="shared" ca="1" si="0"/>
        <v>#N/A</v>
      </c>
      <c r="F32" s="75">
        <f ca="1">INDIRECT(ADDRESS($A32,1,3,1,Menus!$K$10))</f>
        <v>0</v>
      </c>
      <c r="G32" s="2" t="e">
        <f ca="1">IF(INDIRECT(ADDRESS($A32,2,3,1,Menus!$K$10))=G$1,$D32,#N/A)</f>
        <v>#N/A</v>
      </c>
      <c r="H32" s="2" t="e">
        <f ca="1">IF(INDIRECT(ADDRESS($A32,2,3,1,Menus!$K$10))=H$1,$D32,#N/A)</f>
        <v>#N/A</v>
      </c>
      <c r="I32" s="2" t="e">
        <f ca="1">IF(INDIRECT(ADDRESS($A32,2,3,1,Menus!$K$10))=I$1,$D32,#N/A)</f>
        <v>#N/A</v>
      </c>
      <c r="J32" s="2" t="e">
        <f ca="1">IF(INDIRECT(ADDRESS($A32,1,3,1,Menus!$K$10))=T(J$1),$D32,#N/A)</f>
        <v>#N/A</v>
      </c>
      <c r="K32" s="10">
        <f t="shared" ca="1" si="1"/>
        <v>0</v>
      </c>
      <c r="L32" s="2"/>
      <c r="M32" s="85">
        <f ca="1">OFFSET(INDIRECT(ADDRESS($A32,3,3,1,"Gross")),0,Menus!$J$4)</f>
        <v>0</v>
      </c>
      <c r="N32" s="85">
        <f ca="1">OFFSET(INDIRECT(ADDRESS($A32,3,3,1,"Gross")),0,Menus!$J$3)</f>
        <v>0</v>
      </c>
    </row>
    <row r="33" spans="1:14" x14ac:dyDescent="0.25">
      <c r="A33">
        <v>91</v>
      </c>
      <c r="B33" s="2">
        <f ca="1">OFFSET(INDIRECT(ADDRESS($A33,3,3,1,Menus!$K$10)),0,Menus!$J$4)</f>
        <v>0</v>
      </c>
      <c r="C33" s="2">
        <f ca="1">OFFSET(INDIRECT(ADDRESS($A33,3,3,1,Menus!$K$10)),0,Menus!$J$3)</f>
        <v>0</v>
      </c>
      <c r="D33" s="73" t="e">
        <f ca="1">IF(Menus!$J$9,C33/B33,C33)</f>
        <v>#DIV/0!</v>
      </c>
      <c r="E33" s="74" t="e">
        <f t="shared" ca="1" si="0"/>
        <v>#N/A</v>
      </c>
      <c r="F33" s="75">
        <f ca="1">INDIRECT(ADDRESS($A33,1,3,1,Menus!$K$10))</f>
        <v>0</v>
      </c>
      <c r="G33" s="2" t="e">
        <f ca="1">IF(INDIRECT(ADDRESS($A33,2,3,1,Menus!$K$10))=G$1,$D33,#N/A)</f>
        <v>#N/A</v>
      </c>
      <c r="H33" s="2" t="e">
        <f ca="1">IF(INDIRECT(ADDRESS($A33,2,3,1,Menus!$K$10))=H$1,$D33,#N/A)</f>
        <v>#N/A</v>
      </c>
      <c r="I33" s="2" t="e">
        <f ca="1">IF(INDIRECT(ADDRESS($A33,2,3,1,Menus!$K$10))=I$1,$D33,#N/A)</f>
        <v>#N/A</v>
      </c>
      <c r="J33" s="2" t="e">
        <f ca="1">IF(INDIRECT(ADDRESS($A33,1,3,1,Menus!$K$10))=T(J$1),$D33,#N/A)</f>
        <v>#N/A</v>
      </c>
      <c r="K33" s="10">
        <f t="shared" ca="1" si="1"/>
        <v>0</v>
      </c>
      <c r="L33" s="2"/>
      <c r="M33" s="85">
        <f ca="1">OFFSET(INDIRECT(ADDRESS($A33,3,3,1,"Gross")),0,Menus!$J$4)</f>
        <v>0</v>
      </c>
      <c r="N33" s="85">
        <f ca="1">OFFSET(INDIRECT(ADDRESS($A33,3,3,1,"Gross")),0,Menus!$J$3)</f>
        <v>0</v>
      </c>
    </row>
    <row r="34" spans="1:14" x14ac:dyDescent="0.25">
      <c r="A34">
        <v>75</v>
      </c>
      <c r="B34" s="2">
        <f ca="1">OFFSET(INDIRECT(ADDRESS($A34,3,3,1,Menus!$K$10)),0,Menus!$J$4)</f>
        <v>0</v>
      </c>
      <c r="C34" s="2">
        <f ca="1">OFFSET(INDIRECT(ADDRESS($A34,3,3,1,Menus!$K$10)),0,Menus!$J$3)</f>
        <v>0</v>
      </c>
      <c r="D34" s="73" t="e">
        <f ca="1">IF(Menus!$J$9,C34/B34,C34)</f>
        <v>#DIV/0!</v>
      </c>
      <c r="E34" s="74" t="e">
        <f t="shared" ref="E34:E66" ca="1" si="2">IF($K34=1,VALUE(B34),#N/A)</f>
        <v>#N/A</v>
      </c>
      <c r="F34" s="75">
        <f ca="1">INDIRECT(ADDRESS($A34,1,3,1,Menus!$K$10))</f>
        <v>0</v>
      </c>
      <c r="G34" s="2" t="e">
        <f ca="1">IF(INDIRECT(ADDRESS($A34,2,3,1,Menus!$K$10))=G$1,$D34,#N/A)</f>
        <v>#N/A</v>
      </c>
      <c r="H34" s="2" t="e">
        <f ca="1">IF(INDIRECT(ADDRESS($A34,2,3,1,Menus!$K$10))=H$1,$D34,#N/A)</f>
        <v>#N/A</v>
      </c>
      <c r="I34" s="2" t="e">
        <f ca="1">IF(INDIRECT(ADDRESS($A34,2,3,1,Menus!$K$10))=I$1,$D34,#N/A)</f>
        <v>#N/A</v>
      </c>
      <c r="J34" s="2" t="e">
        <f ca="1">IF(INDIRECT(ADDRESS($A34,1,3,1,Menus!$K$10))=T(J$1),$D34,#N/A)</f>
        <v>#N/A</v>
      </c>
      <c r="K34" s="10">
        <f t="shared" ca="1" si="1"/>
        <v>0</v>
      </c>
      <c r="L34" s="2"/>
      <c r="M34" s="85">
        <f ca="1">OFFSET(INDIRECT(ADDRESS($A34,3,3,1,"Gross")),0,Menus!$J$4)</f>
        <v>0</v>
      </c>
      <c r="N34" s="85">
        <f ca="1">OFFSET(INDIRECT(ADDRESS($A34,3,3,1,"Gross")),0,Menus!$J$3)</f>
        <v>0</v>
      </c>
    </row>
    <row r="35" spans="1:14" x14ac:dyDescent="0.25">
      <c r="A35">
        <v>65</v>
      </c>
      <c r="B35" s="2">
        <f ca="1">OFFSET(INDIRECT(ADDRESS($A35,3,3,1,Menus!$K$10)),0,Menus!$J$4)</f>
        <v>0</v>
      </c>
      <c r="C35" s="2">
        <f ca="1">OFFSET(INDIRECT(ADDRESS($A35,3,3,1,Menus!$K$10)),0,Menus!$J$3)</f>
        <v>0</v>
      </c>
      <c r="D35" s="73" t="e">
        <f ca="1">IF(Menus!$J$9,C35/B35,C35)</f>
        <v>#DIV/0!</v>
      </c>
      <c r="E35" s="74" t="e">
        <f t="shared" ca="1" si="2"/>
        <v>#N/A</v>
      </c>
      <c r="F35" s="75">
        <f ca="1">INDIRECT(ADDRESS($A35,1,3,1,Menus!$K$10))</f>
        <v>0</v>
      </c>
      <c r="G35" s="2" t="e">
        <f ca="1">IF(INDIRECT(ADDRESS($A35,2,3,1,Menus!$K$10))=G$1,$D35,#N/A)</f>
        <v>#N/A</v>
      </c>
      <c r="H35" s="2" t="e">
        <f ca="1">IF(INDIRECT(ADDRESS($A35,2,3,1,Menus!$K$10))=H$1,$D35,#N/A)</f>
        <v>#N/A</v>
      </c>
      <c r="I35" s="2" t="e">
        <f ca="1">IF(INDIRECT(ADDRESS($A35,2,3,1,Menus!$K$10))=I$1,$D35,#N/A)</f>
        <v>#N/A</v>
      </c>
      <c r="J35" s="2" t="e">
        <f ca="1">IF(INDIRECT(ADDRESS($A35,1,3,1,Menus!$K$10))=T(J$1),$D35,#N/A)</f>
        <v>#N/A</v>
      </c>
      <c r="K35" s="10">
        <f t="shared" ca="1" si="1"/>
        <v>0</v>
      </c>
      <c r="L35" s="2"/>
      <c r="M35" s="85">
        <f ca="1">OFFSET(INDIRECT(ADDRESS($A35,3,3,1,"Gross")),0,Menus!$J$4)</f>
        <v>1</v>
      </c>
      <c r="N35" s="85">
        <f ca="1">OFFSET(INDIRECT(ADDRESS($A35,3,3,1,"Gross")),0,Menus!$J$3)</f>
        <v>2</v>
      </c>
    </row>
    <row r="36" spans="1:14" x14ac:dyDescent="0.25">
      <c r="A36">
        <v>49</v>
      </c>
      <c r="B36" s="2">
        <f ca="1">OFFSET(INDIRECT(ADDRESS($A36,3,3,1,Menus!$K$10)),0,Menus!$J$4)</f>
        <v>0</v>
      </c>
      <c r="C36" s="2">
        <f ca="1">OFFSET(INDIRECT(ADDRESS($A36,3,3,1,Menus!$K$10)),0,Menus!$J$3)</f>
        <v>0</v>
      </c>
      <c r="D36" s="73" t="e">
        <f ca="1">IF(Menus!$J$9,C36/B36,C36)</f>
        <v>#DIV/0!</v>
      </c>
      <c r="E36" s="74" t="e">
        <f t="shared" ca="1" si="2"/>
        <v>#N/A</v>
      </c>
      <c r="F36" s="75">
        <f ca="1">INDIRECT(ADDRESS($A36,1,3,1,Menus!$K$10))</f>
        <v>0</v>
      </c>
      <c r="G36" s="2" t="e">
        <f ca="1">IF(INDIRECT(ADDRESS($A36,2,3,1,Menus!$K$10))=G$1,$D36,#N/A)</f>
        <v>#N/A</v>
      </c>
      <c r="H36" s="2" t="e">
        <f ca="1">IF(INDIRECT(ADDRESS($A36,2,3,1,Menus!$K$10))=H$1,$D36,#N/A)</f>
        <v>#N/A</v>
      </c>
      <c r="I36" s="2" t="e">
        <f ca="1">IF(INDIRECT(ADDRESS($A36,2,3,1,Menus!$K$10))=I$1,$D36,#N/A)</f>
        <v>#N/A</v>
      </c>
      <c r="J36" s="2" t="e">
        <f ca="1">IF(INDIRECT(ADDRESS($A36,1,3,1,Menus!$K$10))=T(J$1),$D36,#N/A)</f>
        <v>#N/A</v>
      </c>
      <c r="K36" s="10">
        <f t="shared" ca="1" si="1"/>
        <v>0</v>
      </c>
      <c r="L36" s="2"/>
      <c r="M36" s="85">
        <f ca="1">OFFSET(INDIRECT(ADDRESS($A36,3,3,1,"Gross")),0,Menus!$J$4)</f>
        <v>0</v>
      </c>
      <c r="N36" s="85">
        <f ca="1">OFFSET(INDIRECT(ADDRESS($A36,3,3,1,"Gross")),0,Menus!$J$3)</f>
        <v>0</v>
      </c>
    </row>
    <row r="37" spans="1:14" x14ac:dyDescent="0.25">
      <c r="A37">
        <v>171</v>
      </c>
      <c r="B37" s="2">
        <f ca="1">OFFSET(INDIRECT(ADDRESS($A37,3,3,1,Menus!$K$10)),0,Menus!$J$4)</f>
        <v>0</v>
      </c>
      <c r="C37" s="2">
        <f ca="1">OFFSET(INDIRECT(ADDRESS($A37,3,3,1,Menus!$K$10)),0,Menus!$J$3)</f>
        <v>0</v>
      </c>
      <c r="D37" s="73" t="e">
        <f ca="1">IF(Menus!$J$9,C37/B37,C37)</f>
        <v>#DIV/0!</v>
      </c>
      <c r="E37" s="74" t="e">
        <f t="shared" ca="1" si="2"/>
        <v>#N/A</v>
      </c>
      <c r="F37" s="75">
        <f ca="1">INDIRECT(ADDRESS($A37,1,3,1,Menus!$K$10))</f>
        <v>0</v>
      </c>
      <c r="G37" s="2" t="e">
        <f ca="1">IF(INDIRECT(ADDRESS($A37,2,3,1,Menus!$K$10))=G$1,$D37,#N/A)</f>
        <v>#N/A</v>
      </c>
      <c r="H37" s="2" t="e">
        <f ca="1">IF(INDIRECT(ADDRESS($A37,2,3,1,Menus!$K$10))=H$1,$D37,#N/A)</f>
        <v>#N/A</v>
      </c>
      <c r="I37" s="2" t="e">
        <f ca="1">IF(INDIRECT(ADDRESS($A37,2,3,1,Menus!$K$10))=I$1,$D37,#N/A)</f>
        <v>#N/A</v>
      </c>
      <c r="J37" s="2" t="e">
        <f ca="1">IF(INDIRECT(ADDRESS($A37,1,3,1,Menus!$K$10))=T(J$1),$D37,#N/A)</f>
        <v>#N/A</v>
      </c>
      <c r="K37" s="10">
        <f t="shared" ca="1" si="1"/>
        <v>0</v>
      </c>
      <c r="L37" s="2"/>
      <c r="M37" s="85">
        <f ca="1">OFFSET(INDIRECT(ADDRESS($A37,3,3,1,"Gross")),0,Menus!$J$4)</f>
        <v>0</v>
      </c>
      <c r="N37" s="85">
        <f ca="1">OFFSET(INDIRECT(ADDRESS($A37,3,3,1,"Gross")),0,Menus!$J$3)</f>
        <v>0</v>
      </c>
    </row>
    <row r="38" spans="1:14" x14ac:dyDescent="0.25">
      <c r="A38">
        <v>138</v>
      </c>
      <c r="B38" s="2">
        <f ca="1">OFFSET(INDIRECT(ADDRESS($A38,3,3,1,Menus!$K$10)),0,Menus!$J$4)</f>
        <v>0</v>
      </c>
      <c r="C38" s="2">
        <f ca="1">OFFSET(INDIRECT(ADDRESS($A38,3,3,1,Menus!$K$10)),0,Menus!$J$3)</f>
        <v>0</v>
      </c>
      <c r="D38" s="73" t="e">
        <f ca="1">IF(Menus!$J$9,C38/B38,C38)</f>
        <v>#DIV/0!</v>
      </c>
      <c r="E38" s="74" t="e">
        <f t="shared" ca="1" si="2"/>
        <v>#N/A</v>
      </c>
      <c r="F38" s="75">
        <f ca="1">INDIRECT(ADDRESS($A38,1,3,1,Menus!$K$10))</f>
        <v>0</v>
      </c>
      <c r="G38" s="2" t="e">
        <f ca="1">IF(INDIRECT(ADDRESS($A38,2,3,1,Menus!$K$10))=G$1,$D38,#N/A)</f>
        <v>#N/A</v>
      </c>
      <c r="H38" s="2" t="e">
        <f ca="1">IF(INDIRECT(ADDRESS($A38,2,3,1,Menus!$K$10))=H$1,$D38,#N/A)</f>
        <v>#N/A</v>
      </c>
      <c r="I38" s="2" t="e">
        <f ca="1">IF(INDIRECT(ADDRESS($A38,2,3,1,Menus!$K$10))=I$1,$D38,#N/A)</f>
        <v>#N/A</v>
      </c>
      <c r="J38" s="2" t="e">
        <f ca="1">IF(INDIRECT(ADDRESS($A38,1,3,1,Menus!$K$10))=T(J$1),$D38,#N/A)</f>
        <v>#N/A</v>
      </c>
      <c r="K38" s="10">
        <f t="shared" ca="1" si="1"/>
        <v>0</v>
      </c>
      <c r="L38" s="2"/>
      <c r="M38" s="85">
        <f ca="1">OFFSET(INDIRECT(ADDRESS($A38,3,3,1,"Gross")),0,Menus!$J$4)</f>
        <v>0</v>
      </c>
      <c r="N38" s="85">
        <f ca="1">OFFSET(INDIRECT(ADDRESS($A38,3,3,1,"Gross")),0,Menus!$J$3)</f>
        <v>0</v>
      </c>
    </row>
    <row r="39" spans="1:14" x14ac:dyDescent="0.25">
      <c r="A39">
        <v>107</v>
      </c>
      <c r="B39" s="2">
        <f ca="1">OFFSET(INDIRECT(ADDRESS($A39,3,3,1,Menus!$K$10)),0,Menus!$J$4)</f>
        <v>0</v>
      </c>
      <c r="C39" s="2">
        <f ca="1">OFFSET(INDIRECT(ADDRESS($A39,3,3,1,Menus!$K$10)),0,Menus!$J$3)</f>
        <v>0</v>
      </c>
      <c r="D39" s="73" t="e">
        <f ca="1">IF(Menus!$J$9,C39/B39,C39)</f>
        <v>#DIV/0!</v>
      </c>
      <c r="E39" s="74" t="e">
        <f t="shared" ca="1" si="2"/>
        <v>#N/A</v>
      </c>
      <c r="F39" s="75">
        <f ca="1">INDIRECT(ADDRESS($A39,1,3,1,Menus!$K$10))</f>
        <v>0</v>
      </c>
      <c r="G39" s="2" t="e">
        <f ca="1">IF(INDIRECT(ADDRESS($A39,2,3,1,Menus!$K$10))=G$1,$D39,#N/A)</f>
        <v>#N/A</v>
      </c>
      <c r="H39" s="2" t="e">
        <f ca="1">IF(INDIRECT(ADDRESS($A39,2,3,1,Menus!$K$10))=H$1,$D39,#N/A)</f>
        <v>#N/A</v>
      </c>
      <c r="I39" s="2" t="e">
        <f ca="1">IF(INDIRECT(ADDRESS($A39,2,3,1,Menus!$K$10))=I$1,$D39,#N/A)</f>
        <v>#N/A</v>
      </c>
      <c r="J39" s="2" t="e">
        <f ca="1">IF(INDIRECT(ADDRESS($A39,1,3,1,Menus!$K$10))=T(J$1),$D39,#N/A)</f>
        <v>#N/A</v>
      </c>
      <c r="K39" s="10">
        <f t="shared" ca="1" si="1"/>
        <v>0</v>
      </c>
      <c r="L39" s="2"/>
      <c r="M39" s="85">
        <f ca="1">OFFSET(INDIRECT(ADDRESS($A39,3,3,1,"Gross")),0,Menus!$J$4)</f>
        <v>0</v>
      </c>
      <c r="N39" s="85">
        <f ca="1">OFFSET(INDIRECT(ADDRESS($A39,3,3,1,"Gross")),0,Menus!$J$3)</f>
        <v>0</v>
      </c>
    </row>
    <row r="40" spans="1:14" x14ac:dyDescent="0.25">
      <c r="A40">
        <v>67</v>
      </c>
      <c r="B40" s="2">
        <f ca="1">OFFSET(INDIRECT(ADDRESS($A40,3,3,1,Menus!$K$10)),0,Menus!$J$4)</f>
        <v>0</v>
      </c>
      <c r="C40" s="2">
        <f ca="1">OFFSET(INDIRECT(ADDRESS($A40,3,3,1,Menus!$K$10)),0,Menus!$J$3)</f>
        <v>0</v>
      </c>
      <c r="D40" s="73" t="e">
        <f ca="1">IF(Menus!$J$9,C40/B40,C40)</f>
        <v>#DIV/0!</v>
      </c>
      <c r="E40" s="74" t="e">
        <f t="shared" ca="1" si="2"/>
        <v>#N/A</v>
      </c>
      <c r="F40" s="75">
        <f ca="1">INDIRECT(ADDRESS($A40,1,3,1,Menus!$K$10))</f>
        <v>0</v>
      </c>
      <c r="G40" s="2" t="e">
        <f ca="1">IF(INDIRECT(ADDRESS($A40,2,3,1,Menus!$K$10))=G$1,$D40,#N/A)</f>
        <v>#N/A</v>
      </c>
      <c r="H40" s="2" t="e">
        <f ca="1">IF(INDIRECT(ADDRESS($A40,2,3,1,Menus!$K$10))=H$1,$D40,#N/A)</f>
        <v>#N/A</v>
      </c>
      <c r="I40" s="2" t="e">
        <f ca="1">IF(INDIRECT(ADDRESS($A40,2,3,1,Menus!$K$10))=I$1,$D40,#N/A)</f>
        <v>#N/A</v>
      </c>
      <c r="J40" s="2" t="e">
        <f ca="1">IF(INDIRECT(ADDRESS($A40,1,3,1,Menus!$K$10))=T(J$1),$D40,#N/A)</f>
        <v>#N/A</v>
      </c>
      <c r="K40" s="10">
        <f t="shared" ca="1" si="1"/>
        <v>0</v>
      </c>
      <c r="L40" s="2"/>
      <c r="M40" s="85">
        <f ca="1">OFFSET(INDIRECT(ADDRESS($A40,3,3,1,"Gross")),0,Menus!$J$4)</f>
        <v>1</v>
      </c>
      <c r="N40" s="85">
        <f ca="1">OFFSET(INDIRECT(ADDRESS($A40,3,3,1,"Gross")),0,Menus!$J$3)</f>
        <v>2</v>
      </c>
    </row>
    <row r="41" spans="1:14" x14ac:dyDescent="0.25">
      <c r="A41">
        <v>96</v>
      </c>
      <c r="B41" s="2">
        <f ca="1">OFFSET(INDIRECT(ADDRESS($A41,3,3,1,Menus!$K$10)),0,Menus!$J$4)</f>
        <v>0</v>
      </c>
      <c r="C41" s="2">
        <f ca="1">OFFSET(INDIRECT(ADDRESS($A41,3,3,1,Menus!$K$10)),0,Menus!$J$3)</f>
        <v>0</v>
      </c>
      <c r="D41" s="73" t="e">
        <f ca="1">IF(Menus!$J$9,C41/B41,C41)</f>
        <v>#DIV/0!</v>
      </c>
      <c r="E41" s="74" t="e">
        <f t="shared" ca="1" si="2"/>
        <v>#N/A</v>
      </c>
      <c r="F41" s="75">
        <f ca="1">INDIRECT(ADDRESS($A41,1,3,1,Menus!$K$10))</f>
        <v>0</v>
      </c>
      <c r="G41" s="2" t="e">
        <f ca="1">IF(INDIRECT(ADDRESS($A41,2,3,1,Menus!$K$10))=G$1,$D41,#N/A)</f>
        <v>#N/A</v>
      </c>
      <c r="H41" s="2" t="e">
        <f ca="1">IF(INDIRECT(ADDRESS($A41,2,3,1,Menus!$K$10))=H$1,$D41,#N/A)</f>
        <v>#N/A</v>
      </c>
      <c r="I41" s="2" t="e">
        <f ca="1">IF(INDIRECT(ADDRESS($A41,2,3,1,Menus!$K$10))=I$1,$D41,#N/A)</f>
        <v>#N/A</v>
      </c>
      <c r="J41" s="2" t="e">
        <f ca="1">IF(INDIRECT(ADDRESS($A41,1,3,1,Menus!$K$10))=T(J$1),$D41,#N/A)</f>
        <v>#N/A</v>
      </c>
      <c r="K41" s="10">
        <f t="shared" ca="1" si="1"/>
        <v>0</v>
      </c>
      <c r="L41" s="2"/>
      <c r="M41" s="85">
        <f ca="1">OFFSET(INDIRECT(ADDRESS($A41,3,3,1,"Gross")),0,Menus!$J$4)</f>
        <v>1</v>
      </c>
      <c r="N41" s="85">
        <f ca="1">OFFSET(INDIRECT(ADDRESS($A41,3,3,1,"Gross")),0,Menus!$J$3)</f>
        <v>1</v>
      </c>
    </row>
    <row r="42" spans="1:14" x14ac:dyDescent="0.25">
      <c r="A42">
        <v>186</v>
      </c>
      <c r="B42" s="2">
        <f ca="1">OFFSET(INDIRECT(ADDRESS($A42,3,3,1,Menus!$K$10)),0,Menus!$J$4)</f>
        <v>0</v>
      </c>
      <c r="C42" s="2">
        <f ca="1">OFFSET(INDIRECT(ADDRESS($A42,3,3,1,Menus!$K$10)),0,Menus!$J$3)</f>
        <v>0</v>
      </c>
      <c r="D42" s="73" t="e">
        <f ca="1">IF(Menus!$J$9,C42/B42,C42)</f>
        <v>#DIV/0!</v>
      </c>
      <c r="E42" s="74" t="e">
        <f t="shared" ca="1" si="2"/>
        <v>#N/A</v>
      </c>
      <c r="F42" s="75">
        <f ca="1">INDIRECT(ADDRESS($A42,1,3,1,Menus!$K$10))</f>
        <v>0</v>
      </c>
      <c r="G42" s="2" t="e">
        <f ca="1">IF(INDIRECT(ADDRESS($A42,2,3,1,Menus!$K$10))=G$1,$D42,#N/A)</f>
        <v>#N/A</v>
      </c>
      <c r="H42" s="2" t="e">
        <f ca="1">IF(INDIRECT(ADDRESS($A42,2,3,1,Menus!$K$10))=H$1,$D42,#N/A)</f>
        <v>#N/A</v>
      </c>
      <c r="I42" s="2" t="e">
        <f ca="1">IF(INDIRECT(ADDRESS($A42,2,3,1,Menus!$K$10))=I$1,$D42,#N/A)</f>
        <v>#N/A</v>
      </c>
      <c r="J42" s="2" t="e">
        <f ca="1">IF(INDIRECT(ADDRESS($A42,1,3,1,Menus!$K$10))=T(J$1),$D42,#N/A)</f>
        <v>#N/A</v>
      </c>
      <c r="K42" s="10">
        <f t="shared" ca="1" si="1"/>
        <v>0</v>
      </c>
      <c r="L42" s="2"/>
      <c r="M42" s="85">
        <f ca="1">OFFSET(INDIRECT(ADDRESS($A42,3,3,1,"Gross")),0,Menus!$J$4)</f>
        <v>0</v>
      </c>
      <c r="N42" s="85">
        <f ca="1">OFFSET(INDIRECT(ADDRESS($A42,3,3,1,"Gross")),0,Menus!$J$3)</f>
        <v>0</v>
      </c>
    </row>
    <row r="43" spans="1:14" x14ac:dyDescent="0.25">
      <c r="A43">
        <v>182</v>
      </c>
      <c r="B43" s="2">
        <f ca="1">OFFSET(INDIRECT(ADDRESS($A43,3,3,1,Menus!$K$10)),0,Menus!$J$4)</f>
        <v>0</v>
      </c>
      <c r="C43" s="2">
        <f ca="1">OFFSET(INDIRECT(ADDRESS($A43,3,3,1,Menus!$K$10)),0,Menus!$J$3)</f>
        <v>0</v>
      </c>
      <c r="D43" s="73" t="e">
        <f ca="1">IF(Menus!$J$9,C43/B43,C43)</f>
        <v>#DIV/0!</v>
      </c>
      <c r="E43" s="74" t="e">
        <f t="shared" ca="1" si="2"/>
        <v>#N/A</v>
      </c>
      <c r="F43" s="75">
        <f ca="1">INDIRECT(ADDRESS($A43,1,3,1,Menus!$K$10))</f>
        <v>0</v>
      </c>
      <c r="G43" s="2" t="e">
        <f ca="1">IF(INDIRECT(ADDRESS($A43,2,3,1,Menus!$K$10))=G$1,$D43,#N/A)</f>
        <v>#N/A</v>
      </c>
      <c r="H43" s="2" t="e">
        <f ca="1">IF(INDIRECT(ADDRESS($A43,2,3,1,Menus!$K$10))=H$1,$D43,#N/A)</f>
        <v>#N/A</v>
      </c>
      <c r="I43" s="2" t="e">
        <f ca="1">IF(INDIRECT(ADDRESS($A43,2,3,1,Menus!$K$10))=I$1,$D43,#N/A)</f>
        <v>#N/A</v>
      </c>
      <c r="J43" s="2" t="e">
        <f ca="1">IF(INDIRECT(ADDRESS($A43,1,3,1,Menus!$K$10))=T(J$1),$D43,#N/A)</f>
        <v>#N/A</v>
      </c>
      <c r="K43" s="10">
        <f t="shared" ca="1" si="1"/>
        <v>0</v>
      </c>
      <c r="L43" s="2"/>
      <c r="M43" s="85">
        <f ca="1">OFFSET(INDIRECT(ADDRESS($A43,3,3,1,"Gross")),0,Menus!$J$4)</f>
        <v>0</v>
      </c>
      <c r="N43" s="85">
        <f ca="1">OFFSET(INDIRECT(ADDRESS($A43,3,3,1,"Gross")),0,Menus!$J$3)</f>
        <v>0</v>
      </c>
    </row>
    <row r="44" spans="1:14" x14ac:dyDescent="0.25">
      <c r="A44">
        <v>56</v>
      </c>
      <c r="B44" s="2">
        <f ca="1">OFFSET(INDIRECT(ADDRESS($A44,3,3,1,Menus!$K$10)),0,Menus!$J$4)</f>
        <v>0</v>
      </c>
      <c r="C44" s="2">
        <f ca="1">OFFSET(INDIRECT(ADDRESS($A44,3,3,1,Menus!$K$10)),0,Menus!$J$3)</f>
        <v>0</v>
      </c>
      <c r="D44" s="73" t="e">
        <f ca="1">IF(Menus!$J$9,C44/B44,C44)</f>
        <v>#DIV/0!</v>
      </c>
      <c r="E44" s="74" t="e">
        <f t="shared" ca="1" si="2"/>
        <v>#N/A</v>
      </c>
      <c r="F44" s="75">
        <f ca="1">INDIRECT(ADDRESS($A44,1,3,1,Menus!$K$10))</f>
        <v>0</v>
      </c>
      <c r="G44" s="2" t="e">
        <f ca="1">IF(INDIRECT(ADDRESS($A44,2,3,1,Menus!$K$10))=G$1,$D44,#N/A)</f>
        <v>#N/A</v>
      </c>
      <c r="H44" s="2" t="e">
        <f ca="1">IF(INDIRECT(ADDRESS($A44,2,3,1,Menus!$K$10))=H$1,$D44,#N/A)</f>
        <v>#N/A</v>
      </c>
      <c r="I44" s="2" t="e">
        <f ca="1">IF(INDIRECT(ADDRESS($A44,2,3,1,Menus!$K$10))=I$1,$D44,#N/A)</f>
        <v>#N/A</v>
      </c>
      <c r="J44" s="2" t="e">
        <f ca="1">IF(INDIRECT(ADDRESS($A44,1,3,1,Menus!$K$10))=T(J$1),$D44,#N/A)</f>
        <v>#N/A</v>
      </c>
      <c r="K44" s="10">
        <f t="shared" ca="1" si="1"/>
        <v>0</v>
      </c>
      <c r="L44" s="2"/>
      <c r="M44" s="85">
        <f ca="1">OFFSET(INDIRECT(ADDRESS($A44,3,3,1,"Gross")),0,Menus!$J$4)</f>
        <v>0</v>
      </c>
      <c r="N44" s="85">
        <f ca="1">OFFSET(INDIRECT(ADDRESS($A44,3,3,1,"Gross")),0,Menus!$J$3)</f>
        <v>1</v>
      </c>
    </row>
    <row r="45" spans="1:14" x14ac:dyDescent="0.25">
      <c r="A45">
        <v>183</v>
      </c>
      <c r="B45" s="2">
        <f ca="1">OFFSET(INDIRECT(ADDRESS($A45,3,3,1,Menus!$K$10)),0,Menus!$J$4)</f>
        <v>0</v>
      </c>
      <c r="C45" s="2">
        <f ca="1">OFFSET(INDIRECT(ADDRESS($A45,3,3,1,Menus!$K$10)),0,Menus!$J$3)</f>
        <v>0</v>
      </c>
      <c r="D45" s="73" t="e">
        <f ca="1">IF(Menus!$J$9,C45/B45,C45)</f>
        <v>#DIV/0!</v>
      </c>
      <c r="E45" s="74" t="e">
        <f t="shared" ca="1" si="2"/>
        <v>#N/A</v>
      </c>
      <c r="F45" s="75">
        <f ca="1">INDIRECT(ADDRESS($A45,1,3,1,Menus!$K$10))</f>
        <v>0</v>
      </c>
      <c r="G45" s="2" t="e">
        <f ca="1">IF(INDIRECT(ADDRESS($A45,2,3,1,Menus!$K$10))=G$1,$D45,#N/A)</f>
        <v>#N/A</v>
      </c>
      <c r="H45" s="2" t="e">
        <f ca="1">IF(INDIRECT(ADDRESS($A45,2,3,1,Menus!$K$10))=H$1,$D45,#N/A)</f>
        <v>#N/A</v>
      </c>
      <c r="I45" s="2" t="e">
        <f ca="1">IF(INDIRECT(ADDRESS($A45,2,3,1,Menus!$K$10))=I$1,$D45,#N/A)</f>
        <v>#N/A</v>
      </c>
      <c r="J45" s="2" t="e">
        <f ca="1">IF(INDIRECT(ADDRESS($A45,1,3,1,Menus!$K$10))=T(J$1),$D45,#N/A)</f>
        <v>#N/A</v>
      </c>
      <c r="K45" s="10">
        <f t="shared" ca="1" si="1"/>
        <v>0</v>
      </c>
      <c r="L45" s="2"/>
      <c r="M45" s="85">
        <f ca="1">OFFSET(INDIRECT(ADDRESS($A45,3,3,1,"Gross")),0,Menus!$J$4)</f>
        <v>0</v>
      </c>
      <c r="N45" s="85">
        <f ca="1">OFFSET(INDIRECT(ADDRESS($A45,3,3,1,"Gross")),0,Menus!$J$3)</f>
        <v>0</v>
      </c>
    </row>
    <row r="46" spans="1:14" x14ac:dyDescent="0.25">
      <c r="A46">
        <v>99</v>
      </c>
      <c r="B46" s="2">
        <f ca="1">OFFSET(INDIRECT(ADDRESS($A46,3,3,1,Menus!$K$10)),0,Menus!$J$4)</f>
        <v>0</v>
      </c>
      <c r="C46" s="2">
        <f ca="1">OFFSET(INDIRECT(ADDRESS($A46,3,3,1,Menus!$K$10)),0,Menus!$J$3)</f>
        <v>0</v>
      </c>
      <c r="D46" s="73" t="e">
        <f ca="1">IF(Menus!$J$9,C46/B46,C46)</f>
        <v>#DIV/0!</v>
      </c>
      <c r="E46" s="74" t="e">
        <f t="shared" ca="1" si="2"/>
        <v>#N/A</v>
      </c>
      <c r="F46" s="75">
        <f ca="1">INDIRECT(ADDRESS($A46,1,3,1,Menus!$K$10))</f>
        <v>0</v>
      </c>
      <c r="G46" s="2" t="e">
        <f ca="1">IF(INDIRECT(ADDRESS($A46,2,3,1,Menus!$K$10))=G$1,$D46,#N/A)</f>
        <v>#N/A</v>
      </c>
      <c r="H46" s="2" t="e">
        <f ca="1">IF(INDIRECT(ADDRESS($A46,2,3,1,Menus!$K$10))=H$1,$D46,#N/A)</f>
        <v>#N/A</v>
      </c>
      <c r="I46" s="2" t="e">
        <f ca="1">IF(INDIRECT(ADDRESS($A46,2,3,1,Menus!$K$10))=I$1,$D46,#N/A)</f>
        <v>#N/A</v>
      </c>
      <c r="J46" s="2" t="e">
        <f ca="1">IF(INDIRECT(ADDRESS($A46,1,3,1,Menus!$K$10))=T(J$1),$D46,#N/A)</f>
        <v>#N/A</v>
      </c>
      <c r="K46" s="10">
        <f t="shared" ca="1" si="1"/>
        <v>0</v>
      </c>
      <c r="L46" s="2"/>
      <c r="M46" s="85">
        <f ca="1">OFFSET(INDIRECT(ADDRESS($A46,3,3,1,"Gross")),0,Menus!$J$4)</f>
        <v>0</v>
      </c>
      <c r="N46" s="85">
        <f ca="1">OFFSET(INDIRECT(ADDRESS($A46,3,3,1,"Gross")),0,Menus!$J$3)</f>
        <v>0</v>
      </c>
    </row>
    <row r="47" spans="1:14" x14ac:dyDescent="0.25">
      <c r="A47">
        <v>148</v>
      </c>
      <c r="B47" s="2">
        <f ca="1">OFFSET(INDIRECT(ADDRESS($A47,3,3,1,Menus!$K$10)),0,Menus!$J$4)</f>
        <v>0</v>
      </c>
      <c r="C47" s="2">
        <f ca="1">OFFSET(INDIRECT(ADDRESS($A47,3,3,1,Menus!$K$10)),0,Menus!$J$3)</f>
        <v>0</v>
      </c>
      <c r="D47" s="73" t="e">
        <f ca="1">IF(Menus!$J$9,C47/B47,C47)</f>
        <v>#DIV/0!</v>
      </c>
      <c r="E47" s="74" t="e">
        <f t="shared" ca="1" si="2"/>
        <v>#N/A</v>
      </c>
      <c r="F47" s="75">
        <f ca="1">INDIRECT(ADDRESS($A47,1,3,1,Menus!$K$10))</f>
        <v>0</v>
      </c>
      <c r="G47" s="2" t="e">
        <f ca="1">IF(INDIRECT(ADDRESS($A47,2,3,1,Menus!$K$10))=G$1,$D47,#N/A)</f>
        <v>#N/A</v>
      </c>
      <c r="H47" s="2" t="e">
        <f ca="1">IF(INDIRECT(ADDRESS($A47,2,3,1,Menus!$K$10))=H$1,$D47,#N/A)</f>
        <v>#N/A</v>
      </c>
      <c r="I47" s="2" t="e">
        <f ca="1">IF(INDIRECT(ADDRESS($A47,2,3,1,Menus!$K$10))=I$1,$D47,#N/A)</f>
        <v>#N/A</v>
      </c>
      <c r="J47" s="2" t="e">
        <f ca="1">IF(INDIRECT(ADDRESS($A47,1,3,1,Menus!$K$10))=T(J$1),$D47,#N/A)</f>
        <v>#N/A</v>
      </c>
      <c r="K47" s="10">
        <f t="shared" ca="1" si="1"/>
        <v>0</v>
      </c>
      <c r="L47" s="2"/>
      <c r="M47" s="85">
        <f ca="1">OFFSET(INDIRECT(ADDRESS($A47,3,3,1,"Gross")),0,Menus!$J$4)</f>
        <v>1</v>
      </c>
      <c r="N47" s="85">
        <f ca="1">OFFSET(INDIRECT(ADDRESS($A47,3,3,1,"Gross")),0,Menus!$J$3)</f>
        <v>1</v>
      </c>
    </row>
    <row r="48" spans="1:14" x14ac:dyDescent="0.25">
      <c r="A48">
        <v>94</v>
      </c>
      <c r="B48" s="2">
        <f ca="1">OFFSET(INDIRECT(ADDRESS($A48,3,3,1,Menus!$K$10)),0,Menus!$J$4)</f>
        <v>0</v>
      </c>
      <c r="C48" s="2">
        <f ca="1">OFFSET(INDIRECT(ADDRESS($A48,3,3,1,Menus!$K$10)),0,Menus!$J$3)</f>
        <v>0</v>
      </c>
      <c r="D48" s="73" t="e">
        <f ca="1">IF(Menus!$J$9,C48/B48,C48)</f>
        <v>#DIV/0!</v>
      </c>
      <c r="E48" s="74" t="e">
        <f t="shared" ca="1" si="2"/>
        <v>#N/A</v>
      </c>
      <c r="F48" s="75">
        <f ca="1">INDIRECT(ADDRESS($A48,1,3,1,Menus!$K$10))</f>
        <v>0</v>
      </c>
      <c r="G48" s="2" t="e">
        <f ca="1">IF(INDIRECT(ADDRESS($A48,2,3,1,Menus!$K$10))=G$1,$D48,#N/A)</f>
        <v>#N/A</v>
      </c>
      <c r="H48" s="2" t="e">
        <f ca="1">IF(INDIRECT(ADDRESS($A48,2,3,1,Menus!$K$10))=H$1,$D48,#N/A)</f>
        <v>#N/A</v>
      </c>
      <c r="I48" s="2" t="e">
        <f ca="1">IF(INDIRECT(ADDRESS($A48,2,3,1,Menus!$K$10))=I$1,$D48,#N/A)</f>
        <v>#N/A</v>
      </c>
      <c r="J48" s="2" t="e">
        <f ca="1">IF(INDIRECT(ADDRESS($A48,1,3,1,Menus!$K$10))=T(J$1),$D48,#N/A)</f>
        <v>#N/A</v>
      </c>
      <c r="K48" s="10">
        <f t="shared" ca="1" si="1"/>
        <v>0</v>
      </c>
      <c r="L48" s="2"/>
      <c r="M48" s="85">
        <f ca="1">OFFSET(INDIRECT(ADDRESS($A48,3,3,1,"Gross")),0,Menus!$J$4)</f>
        <v>0</v>
      </c>
      <c r="N48" s="85">
        <f ca="1">OFFSET(INDIRECT(ADDRESS($A48,3,3,1,"Gross")),0,Menus!$J$3)</f>
        <v>0</v>
      </c>
    </row>
    <row r="49" spans="1:14" x14ac:dyDescent="0.25">
      <c r="A49">
        <v>194</v>
      </c>
      <c r="B49" s="2">
        <f ca="1">OFFSET(INDIRECT(ADDRESS($A49,3,3,1,Menus!$K$10)),0,Menus!$J$4)</f>
        <v>0</v>
      </c>
      <c r="C49" s="2">
        <f ca="1">OFFSET(INDIRECT(ADDRESS($A49,3,3,1,Menus!$K$10)),0,Menus!$J$3)</f>
        <v>0</v>
      </c>
      <c r="D49" s="73" t="e">
        <f ca="1">IF(Menus!$J$9,C49/B49,C49)</f>
        <v>#DIV/0!</v>
      </c>
      <c r="E49" s="74" t="e">
        <f t="shared" ca="1" si="2"/>
        <v>#N/A</v>
      </c>
      <c r="F49" s="75">
        <f ca="1">INDIRECT(ADDRESS($A49,1,3,1,Menus!$K$10))</f>
        <v>0</v>
      </c>
      <c r="G49" s="2" t="e">
        <f ca="1">IF(INDIRECT(ADDRESS($A49,2,3,1,Menus!$K$10))=G$1,$D49,#N/A)</f>
        <v>#N/A</v>
      </c>
      <c r="H49" s="2" t="e">
        <f ca="1">IF(INDIRECT(ADDRESS($A49,2,3,1,Menus!$K$10))=H$1,$D49,#N/A)</f>
        <v>#N/A</v>
      </c>
      <c r="I49" s="2" t="e">
        <f ca="1">IF(INDIRECT(ADDRESS($A49,2,3,1,Menus!$K$10))=I$1,$D49,#N/A)</f>
        <v>#N/A</v>
      </c>
      <c r="J49" s="2" t="e">
        <f ca="1">IF(INDIRECT(ADDRESS($A49,1,3,1,Menus!$K$10))=T(J$1),$D49,#N/A)</f>
        <v>#N/A</v>
      </c>
      <c r="K49" s="10">
        <f t="shared" ca="1" si="1"/>
        <v>0</v>
      </c>
      <c r="L49" s="2"/>
      <c r="M49" s="85">
        <f ca="1">OFFSET(INDIRECT(ADDRESS($A49,3,3,1,"Gross")),0,Menus!$J$4)</f>
        <v>0</v>
      </c>
      <c r="N49" s="85">
        <f ca="1">OFFSET(INDIRECT(ADDRESS($A49,3,3,1,"Gross")),0,Menus!$J$3)</f>
        <v>0</v>
      </c>
    </row>
    <row r="50" spans="1:14" x14ac:dyDescent="0.25">
      <c r="A50">
        <v>136</v>
      </c>
      <c r="B50" s="2">
        <f ca="1">OFFSET(INDIRECT(ADDRESS($A50,3,3,1,Menus!$K$10)),0,Menus!$J$4)</f>
        <v>0</v>
      </c>
      <c r="C50" s="2">
        <f ca="1">OFFSET(INDIRECT(ADDRESS($A50,3,3,1,Menus!$K$10)),0,Menus!$J$3)</f>
        <v>0</v>
      </c>
      <c r="D50" s="73" t="e">
        <f ca="1">IF(Menus!$J$9,C50/B50,C50)</f>
        <v>#DIV/0!</v>
      </c>
      <c r="E50" s="74" t="e">
        <f t="shared" ca="1" si="2"/>
        <v>#N/A</v>
      </c>
      <c r="F50" s="75">
        <f ca="1">INDIRECT(ADDRESS($A50,1,3,1,Menus!$K$10))</f>
        <v>0</v>
      </c>
      <c r="G50" s="2" t="e">
        <f ca="1">IF(INDIRECT(ADDRESS($A50,2,3,1,Menus!$K$10))=G$1,$D50,#N/A)</f>
        <v>#N/A</v>
      </c>
      <c r="H50" s="2" t="e">
        <f ca="1">IF(INDIRECT(ADDRESS($A50,2,3,1,Menus!$K$10))=H$1,$D50,#N/A)</f>
        <v>#N/A</v>
      </c>
      <c r="I50" s="2" t="e">
        <f ca="1">IF(INDIRECT(ADDRESS($A50,2,3,1,Menus!$K$10))=I$1,$D50,#N/A)</f>
        <v>#N/A</v>
      </c>
      <c r="J50" s="2" t="e">
        <f ca="1">IF(INDIRECT(ADDRESS($A50,1,3,1,Menus!$K$10))=T(J$1),$D50,#N/A)</f>
        <v>#N/A</v>
      </c>
      <c r="K50" s="10">
        <f t="shared" ca="1" si="1"/>
        <v>0</v>
      </c>
      <c r="L50" s="2"/>
      <c r="M50" s="85">
        <f ca="1">OFFSET(INDIRECT(ADDRESS($A50,3,3,1,"Gross")),0,Menus!$J$4)</f>
        <v>-1</v>
      </c>
      <c r="N50" s="85">
        <f ca="1">OFFSET(INDIRECT(ADDRESS($A50,3,3,1,"Gross")),0,Menus!$J$3)</f>
        <v>-1</v>
      </c>
    </row>
    <row r="51" spans="1:14" x14ac:dyDescent="0.25">
      <c r="A51">
        <v>196</v>
      </c>
      <c r="B51" s="2">
        <f ca="1">OFFSET(INDIRECT(ADDRESS($A51,3,3,1,Menus!$K$10)),0,Menus!$J$4)</f>
        <v>0</v>
      </c>
      <c r="C51" s="2">
        <f ca="1">OFFSET(INDIRECT(ADDRESS($A51,3,3,1,Menus!$K$10)),0,Menus!$J$3)</f>
        <v>0</v>
      </c>
      <c r="D51" s="73" t="e">
        <f ca="1">IF(Menus!$J$9,C51/B51,C51)</f>
        <v>#DIV/0!</v>
      </c>
      <c r="E51" s="74" t="e">
        <f t="shared" ca="1" si="2"/>
        <v>#N/A</v>
      </c>
      <c r="F51" s="75">
        <f ca="1">INDIRECT(ADDRESS($A51,1,3,1,Menus!$K$10))</f>
        <v>0</v>
      </c>
      <c r="G51" s="2" t="e">
        <f ca="1">IF(INDIRECT(ADDRESS($A51,2,3,1,Menus!$K$10))=G$1,$D51,#N/A)</f>
        <v>#N/A</v>
      </c>
      <c r="H51" s="2" t="e">
        <f ca="1">IF(INDIRECT(ADDRESS($A51,2,3,1,Menus!$K$10))=H$1,$D51,#N/A)</f>
        <v>#N/A</v>
      </c>
      <c r="I51" s="2" t="e">
        <f ca="1">IF(INDIRECT(ADDRESS($A51,2,3,1,Menus!$K$10))=I$1,$D51,#N/A)</f>
        <v>#N/A</v>
      </c>
      <c r="J51" s="2" t="e">
        <f ca="1">IF(INDIRECT(ADDRESS($A51,1,3,1,Menus!$K$10))=T(J$1),$D51,#N/A)</f>
        <v>#N/A</v>
      </c>
      <c r="K51" s="10">
        <f t="shared" ca="1" si="1"/>
        <v>0</v>
      </c>
      <c r="L51" s="2"/>
      <c r="M51" s="85">
        <f ca="1">OFFSET(INDIRECT(ADDRESS($A51,3,3,1,"Gross")),0,Menus!$J$4)</f>
        <v>0</v>
      </c>
      <c r="N51" s="85">
        <f ca="1">OFFSET(INDIRECT(ADDRESS($A51,3,3,1,"Gross")),0,Menus!$J$3)</f>
        <v>0</v>
      </c>
    </row>
    <row r="52" spans="1:14" x14ac:dyDescent="0.25">
      <c r="A52">
        <v>179</v>
      </c>
      <c r="B52" s="2">
        <f ca="1">OFFSET(INDIRECT(ADDRESS($A52,3,3,1,Menus!$K$10)),0,Menus!$J$4)</f>
        <v>0</v>
      </c>
      <c r="C52" s="2">
        <f ca="1">OFFSET(INDIRECT(ADDRESS($A52,3,3,1,Menus!$K$10)),0,Menus!$J$3)</f>
        <v>0</v>
      </c>
      <c r="D52" s="73" t="e">
        <f ca="1">IF(Menus!$J$9,C52/B52,C52)</f>
        <v>#DIV/0!</v>
      </c>
      <c r="E52" s="74" t="e">
        <f t="shared" ca="1" si="2"/>
        <v>#N/A</v>
      </c>
      <c r="F52" s="75">
        <f ca="1">INDIRECT(ADDRESS($A52,1,3,1,Menus!$K$10))</f>
        <v>0</v>
      </c>
      <c r="G52" s="2" t="e">
        <f ca="1">IF(INDIRECT(ADDRESS($A52,2,3,1,Menus!$K$10))=G$1,$D52,#N/A)</f>
        <v>#N/A</v>
      </c>
      <c r="H52" s="2" t="e">
        <f ca="1">IF(INDIRECT(ADDRESS($A52,2,3,1,Menus!$K$10))=H$1,$D52,#N/A)</f>
        <v>#N/A</v>
      </c>
      <c r="I52" s="2" t="e">
        <f ca="1">IF(INDIRECT(ADDRESS($A52,2,3,1,Menus!$K$10))=I$1,$D52,#N/A)</f>
        <v>#N/A</v>
      </c>
      <c r="J52" s="2" t="e">
        <f ca="1">IF(INDIRECT(ADDRESS($A52,1,3,1,Menus!$K$10))=T(J$1),$D52,#N/A)</f>
        <v>#N/A</v>
      </c>
      <c r="K52" s="10">
        <f t="shared" ca="1" si="1"/>
        <v>0</v>
      </c>
      <c r="L52" s="2"/>
      <c r="M52" s="85">
        <f ca="1">OFFSET(INDIRECT(ADDRESS($A52,3,3,1,"Gross")),0,Menus!$J$4)</f>
        <v>0</v>
      </c>
      <c r="N52" s="85">
        <f ca="1">OFFSET(INDIRECT(ADDRESS($A52,3,3,1,"Gross")),0,Menus!$J$3)</f>
        <v>0</v>
      </c>
    </row>
    <row r="53" spans="1:14" x14ac:dyDescent="0.25">
      <c r="A53">
        <v>157</v>
      </c>
      <c r="B53" s="2">
        <f ca="1">OFFSET(INDIRECT(ADDRESS($A53,3,3,1,Menus!$K$10)),0,Menus!$J$4)</f>
        <v>0</v>
      </c>
      <c r="C53" s="2">
        <f ca="1">OFFSET(INDIRECT(ADDRESS($A53,3,3,1,Menus!$K$10)),0,Menus!$J$3)</f>
        <v>0</v>
      </c>
      <c r="D53" s="73" t="e">
        <f ca="1">IF(Menus!$J$9,C53/B53,C53)</f>
        <v>#DIV/0!</v>
      </c>
      <c r="E53" s="74" t="e">
        <f t="shared" ca="1" si="2"/>
        <v>#N/A</v>
      </c>
      <c r="F53" s="75">
        <f ca="1">INDIRECT(ADDRESS($A53,1,3,1,Menus!$K$10))</f>
        <v>0</v>
      </c>
      <c r="G53" s="2" t="e">
        <f ca="1">IF(INDIRECT(ADDRESS($A53,2,3,1,Menus!$K$10))=G$1,$D53,#N/A)</f>
        <v>#N/A</v>
      </c>
      <c r="H53" s="2" t="e">
        <f ca="1">IF(INDIRECT(ADDRESS($A53,2,3,1,Menus!$K$10))=H$1,$D53,#N/A)</f>
        <v>#N/A</v>
      </c>
      <c r="I53" s="2" t="e">
        <f ca="1">IF(INDIRECT(ADDRESS($A53,2,3,1,Menus!$K$10))=I$1,$D53,#N/A)</f>
        <v>#N/A</v>
      </c>
      <c r="J53" s="2" t="e">
        <f ca="1">IF(INDIRECT(ADDRESS($A53,1,3,1,Menus!$K$10))=T(J$1),$D53,#N/A)</f>
        <v>#N/A</v>
      </c>
      <c r="K53" s="10">
        <f t="shared" ca="1" si="1"/>
        <v>0</v>
      </c>
      <c r="L53" s="2"/>
      <c r="M53" s="85">
        <f ca="1">OFFSET(INDIRECT(ADDRESS($A53,3,3,1,"Gross")),0,Menus!$J$4)</f>
        <v>-1</v>
      </c>
      <c r="N53" s="85">
        <f ca="1">OFFSET(INDIRECT(ADDRESS($A53,3,3,1,"Gross")),0,Menus!$J$3)</f>
        <v>-1</v>
      </c>
    </row>
    <row r="54" spans="1:14" x14ac:dyDescent="0.25">
      <c r="A54">
        <v>159</v>
      </c>
      <c r="B54" s="2">
        <f ca="1">OFFSET(INDIRECT(ADDRESS($A54,3,3,1,Menus!$K$10)),0,Menus!$J$4)</f>
        <v>0</v>
      </c>
      <c r="C54" s="2">
        <f ca="1">OFFSET(INDIRECT(ADDRESS($A54,3,3,1,Menus!$K$10)),0,Menus!$J$3)</f>
        <v>0</v>
      </c>
      <c r="D54" s="73" t="e">
        <f ca="1">IF(Menus!$J$9,C54/B54,C54)</f>
        <v>#DIV/0!</v>
      </c>
      <c r="E54" s="74" t="e">
        <f t="shared" ca="1" si="2"/>
        <v>#N/A</v>
      </c>
      <c r="F54" s="75">
        <f ca="1">INDIRECT(ADDRESS($A54,1,3,1,Menus!$K$10))</f>
        <v>0</v>
      </c>
      <c r="G54" s="2" t="e">
        <f ca="1">IF(INDIRECT(ADDRESS($A54,2,3,1,Menus!$K$10))=G$1,$D54,#N/A)</f>
        <v>#N/A</v>
      </c>
      <c r="H54" s="2" t="e">
        <f ca="1">IF(INDIRECT(ADDRESS($A54,2,3,1,Menus!$K$10))=H$1,$D54,#N/A)</f>
        <v>#N/A</v>
      </c>
      <c r="I54" s="2" t="e">
        <f ca="1">IF(INDIRECT(ADDRESS($A54,2,3,1,Menus!$K$10))=I$1,$D54,#N/A)</f>
        <v>#N/A</v>
      </c>
      <c r="J54" s="2" t="e">
        <f ca="1">IF(INDIRECT(ADDRESS($A54,1,3,1,Menus!$K$10))=T(J$1),$D54,#N/A)</f>
        <v>#N/A</v>
      </c>
      <c r="K54" s="10">
        <f t="shared" ca="1" si="1"/>
        <v>0</v>
      </c>
      <c r="L54" s="2"/>
      <c r="M54" s="85">
        <f ca="1">OFFSET(INDIRECT(ADDRESS($A54,3,3,1,"Gross")),0,Menus!$J$4)</f>
        <v>0</v>
      </c>
      <c r="N54" s="85">
        <f ca="1">OFFSET(INDIRECT(ADDRESS($A54,3,3,1,"Gross")),0,Menus!$J$3)</f>
        <v>0</v>
      </c>
    </row>
    <row r="55" spans="1:14" x14ac:dyDescent="0.25">
      <c r="A55">
        <v>93</v>
      </c>
      <c r="B55" s="2">
        <f ca="1">OFFSET(INDIRECT(ADDRESS($A55,3,3,1,Menus!$K$10)),0,Menus!$J$4)</f>
        <v>0</v>
      </c>
      <c r="C55" s="2">
        <f ca="1">OFFSET(INDIRECT(ADDRESS($A55,3,3,1,Menus!$K$10)),0,Menus!$J$3)</f>
        <v>0</v>
      </c>
      <c r="D55" s="73" t="e">
        <f ca="1">IF(Menus!$J$9,C55/B55,C55)</f>
        <v>#DIV/0!</v>
      </c>
      <c r="E55" s="74" t="e">
        <f t="shared" ca="1" si="2"/>
        <v>#N/A</v>
      </c>
      <c r="F55" s="75">
        <f ca="1">INDIRECT(ADDRESS($A55,1,3,1,Menus!$K$10))</f>
        <v>0</v>
      </c>
      <c r="G55" s="2" t="e">
        <f ca="1">IF(INDIRECT(ADDRESS($A55,2,3,1,Menus!$K$10))=G$1,$D55,#N/A)</f>
        <v>#N/A</v>
      </c>
      <c r="H55" s="2" t="e">
        <f ca="1">IF(INDIRECT(ADDRESS($A55,2,3,1,Menus!$K$10))=H$1,$D55,#N/A)</f>
        <v>#N/A</v>
      </c>
      <c r="I55" s="2" t="e">
        <f ca="1">IF(INDIRECT(ADDRESS($A55,2,3,1,Menus!$K$10))=I$1,$D55,#N/A)</f>
        <v>#N/A</v>
      </c>
      <c r="J55" s="2" t="e">
        <f ca="1">IF(INDIRECT(ADDRESS($A55,1,3,1,Menus!$K$10))=T(J$1),$D55,#N/A)</f>
        <v>#N/A</v>
      </c>
      <c r="K55" s="10">
        <f t="shared" ca="1" si="1"/>
        <v>0</v>
      </c>
      <c r="L55" s="2"/>
      <c r="M55" s="85">
        <f ca="1">OFFSET(INDIRECT(ADDRESS($A55,3,3,1,"Gross")),0,Menus!$J$4)</f>
        <v>1</v>
      </c>
      <c r="N55" s="85">
        <f ca="1">OFFSET(INDIRECT(ADDRESS($A55,3,3,1,"Gross")),0,Menus!$J$3)</f>
        <v>1</v>
      </c>
    </row>
    <row r="56" spans="1:14" x14ac:dyDescent="0.25">
      <c r="A56">
        <v>79</v>
      </c>
      <c r="B56" s="2">
        <f ca="1">OFFSET(INDIRECT(ADDRESS($A56,3,3,1,Menus!$K$10)),0,Menus!$J$4)</f>
        <v>0</v>
      </c>
      <c r="C56" s="2">
        <f ca="1">OFFSET(INDIRECT(ADDRESS($A56,3,3,1,Menus!$K$10)),0,Menus!$J$3)</f>
        <v>0</v>
      </c>
      <c r="D56" s="73" t="e">
        <f ca="1">IF(Menus!$J$9,C56/B56,C56)</f>
        <v>#DIV/0!</v>
      </c>
      <c r="E56" s="74" t="e">
        <f t="shared" ca="1" si="2"/>
        <v>#N/A</v>
      </c>
      <c r="F56" s="75">
        <f ca="1">INDIRECT(ADDRESS($A56,1,3,1,Menus!$K$10))</f>
        <v>0</v>
      </c>
      <c r="G56" s="2" t="e">
        <f ca="1">IF(INDIRECT(ADDRESS($A56,2,3,1,Menus!$K$10))=G$1,$D56,#N/A)</f>
        <v>#N/A</v>
      </c>
      <c r="H56" s="2" t="e">
        <f ca="1">IF(INDIRECT(ADDRESS($A56,2,3,1,Menus!$K$10))=H$1,$D56,#N/A)</f>
        <v>#N/A</v>
      </c>
      <c r="I56" s="2" t="e">
        <f ca="1">IF(INDIRECT(ADDRESS($A56,2,3,1,Menus!$K$10))=I$1,$D56,#N/A)</f>
        <v>#N/A</v>
      </c>
      <c r="J56" s="2" t="e">
        <f ca="1">IF(INDIRECT(ADDRESS($A56,1,3,1,Menus!$K$10))=T(J$1),$D56,#N/A)</f>
        <v>#N/A</v>
      </c>
      <c r="K56" s="10">
        <f t="shared" ca="1" si="1"/>
        <v>0</v>
      </c>
      <c r="L56" s="2"/>
      <c r="M56" s="85">
        <f ca="1">OFFSET(INDIRECT(ADDRESS($A56,3,3,1,"Gross")),0,Menus!$J$4)</f>
        <v>1</v>
      </c>
      <c r="N56" s="85">
        <f ca="1">OFFSET(INDIRECT(ADDRESS($A56,3,3,1,"Gross")),0,Menus!$J$3)</f>
        <v>1</v>
      </c>
    </row>
    <row r="57" spans="1:14" x14ac:dyDescent="0.25">
      <c r="A57">
        <v>51</v>
      </c>
      <c r="B57" s="2">
        <f ca="1">OFFSET(INDIRECT(ADDRESS($A57,3,3,1,Menus!$K$10)),0,Menus!$J$4)</f>
        <v>0</v>
      </c>
      <c r="C57" s="2">
        <f ca="1">OFFSET(INDIRECT(ADDRESS($A57,3,3,1,Menus!$K$10)),0,Menus!$J$3)</f>
        <v>0</v>
      </c>
      <c r="D57" s="73" t="e">
        <f ca="1">IF(Menus!$J$9,C57/B57,C57)</f>
        <v>#DIV/0!</v>
      </c>
      <c r="E57" s="74" t="e">
        <f t="shared" ca="1" si="2"/>
        <v>#N/A</v>
      </c>
      <c r="F57" s="75">
        <f ca="1">INDIRECT(ADDRESS($A57,1,3,1,Menus!$K$10))</f>
        <v>0</v>
      </c>
      <c r="G57" s="2" t="e">
        <f ca="1">IF(INDIRECT(ADDRESS($A57,2,3,1,Menus!$K$10))=G$1,$D57,#N/A)</f>
        <v>#N/A</v>
      </c>
      <c r="H57" s="2" t="e">
        <f ca="1">IF(INDIRECT(ADDRESS($A57,2,3,1,Menus!$K$10))=H$1,$D57,#N/A)</f>
        <v>#N/A</v>
      </c>
      <c r="I57" s="2" t="e">
        <f ca="1">IF(INDIRECT(ADDRESS($A57,2,3,1,Menus!$K$10))=I$1,$D57,#N/A)</f>
        <v>#N/A</v>
      </c>
      <c r="J57" s="2" t="e">
        <f ca="1">IF(INDIRECT(ADDRESS($A57,1,3,1,Menus!$K$10))=T(J$1),$D57,#N/A)</f>
        <v>#N/A</v>
      </c>
      <c r="K57" s="10">
        <f t="shared" ca="1" si="1"/>
        <v>0</v>
      </c>
      <c r="L57" s="2"/>
      <c r="M57" s="85">
        <f ca="1">OFFSET(INDIRECT(ADDRESS($A57,3,3,1,"Gross")),0,Menus!$J$4)</f>
        <v>0</v>
      </c>
      <c r="N57" s="85">
        <f ca="1">OFFSET(INDIRECT(ADDRESS($A57,3,3,1,"Gross")),0,Menus!$J$3)</f>
        <v>0</v>
      </c>
    </row>
    <row r="58" spans="1:14" x14ac:dyDescent="0.25">
      <c r="A58">
        <v>53</v>
      </c>
      <c r="B58" s="2">
        <f ca="1">OFFSET(INDIRECT(ADDRESS($A58,3,3,1,Menus!$K$10)),0,Menus!$J$4)</f>
        <v>0</v>
      </c>
      <c r="C58" s="2">
        <f ca="1">OFFSET(INDIRECT(ADDRESS($A58,3,3,1,Menus!$K$10)),0,Menus!$J$3)</f>
        <v>0</v>
      </c>
      <c r="D58" s="73" t="e">
        <f ca="1">IF(Menus!$J$9,C58/B58,C58)</f>
        <v>#DIV/0!</v>
      </c>
      <c r="E58" s="74" t="e">
        <f t="shared" ca="1" si="2"/>
        <v>#N/A</v>
      </c>
      <c r="F58" s="75">
        <f ca="1">INDIRECT(ADDRESS($A58,1,3,1,Menus!$K$10))</f>
        <v>0</v>
      </c>
      <c r="G58" s="2" t="e">
        <f ca="1">IF(INDIRECT(ADDRESS($A58,2,3,1,Menus!$K$10))=G$1,$D58,#N/A)</f>
        <v>#N/A</v>
      </c>
      <c r="H58" s="2" t="e">
        <f ca="1">IF(INDIRECT(ADDRESS($A58,2,3,1,Menus!$K$10))=H$1,$D58,#N/A)</f>
        <v>#N/A</v>
      </c>
      <c r="I58" s="2" t="e">
        <f ca="1">IF(INDIRECT(ADDRESS($A58,2,3,1,Menus!$K$10))=I$1,$D58,#N/A)</f>
        <v>#N/A</v>
      </c>
      <c r="J58" s="2" t="e">
        <f ca="1">IF(INDIRECT(ADDRESS($A58,1,3,1,Menus!$K$10))=T(J$1),$D58,#N/A)</f>
        <v>#N/A</v>
      </c>
      <c r="K58" s="10">
        <f t="shared" ca="1" si="1"/>
        <v>0</v>
      </c>
      <c r="L58" s="2"/>
      <c r="M58" s="85">
        <f ca="1">OFFSET(INDIRECT(ADDRESS($A58,3,3,1,"Gross")),0,Menus!$J$4)</f>
        <v>1</v>
      </c>
      <c r="N58" s="85">
        <f ca="1">OFFSET(INDIRECT(ADDRESS($A58,3,3,1,"Gross")),0,Menus!$J$3)</f>
        <v>1</v>
      </c>
    </row>
    <row r="59" spans="1:14" x14ac:dyDescent="0.25">
      <c r="A59">
        <v>124</v>
      </c>
      <c r="B59" s="2">
        <f ca="1">OFFSET(INDIRECT(ADDRESS($A59,3,3,1,Menus!$K$10)),0,Menus!$J$4)</f>
        <v>0</v>
      </c>
      <c r="C59" s="2">
        <f ca="1">OFFSET(INDIRECT(ADDRESS($A59,3,3,1,Menus!$K$10)),0,Menus!$J$3)</f>
        <v>0</v>
      </c>
      <c r="D59" s="73" t="e">
        <f ca="1">IF(Menus!$J$9,C59/B59,C59)</f>
        <v>#DIV/0!</v>
      </c>
      <c r="E59" s="74" t="e">
        <f t="shared" ca="1" si="2"/>
        <v>#N/A</v>
      </c>
      <c r="F59" s="75">
        <f ca="1">INDIRECT(ADDRESS($A59,1,3,1,Menus!$K$10))</f>
        <v>0</v>
      </c>
      <c r="G59" s="2" t="e">
        <f ca="1">IF(INDIRECT(ADDRESS($A59,2,3,1,Menus!$K$10))=G$1,$D59,#N/A)</f>
        <v>#N/A</v>
      </c>
      <c r="H59" s="2" t="e">
        <f ca="1">IF(INDIRECT(ADDRESS($A59,2,3,1,Menus!$K$10))=H$1,$D59,#N/A)</f>
        <v>#N/A</v>
      </c>
      <c r="I59" s="2" t="e">
        <f ca="1">IF(INDIRECT(ADDRESS($A59,2,3,1,Menus!$K$10))=I$1,$D59,#N/A)</f>
        <v>#N/A</v>
      </c>
      <c r="J59" s="2" t="e">
        <f ca="1">IF(INDIRECT(ADDRESS($A59,1,3,1,Menus!$K$10))=T(J$1),$D59,#N/A)</f>
        <v>#N/A</v>
      </c>
      <c r="K59" s="10">
        <f t="shared" ca="1" si="1"/>
        <v>0</v>
      </c>
      <c r="L59" s="2"/>
      <c r="M59" s="85">
        <f ca="1">OFFSET(INDIRECT(ADDRESS($A59,3,3,1,"Gross")),0,Menus!$J$4)</f>
        <v>-1</v>
      </c>
      <c r="N59" s="85">
        <f ca="1">OFFSET(INDIRECT(ADDRESS($A59,3,3,1,"Gross")),0,Menus!$J$3)</f>
        <v>-1</v>
      </c>
    </row>
    <row r="60" spans="1:14" x14ac:dyDescent="0.25">
      <c r="A60">
        <v>126</v>
      </c>
      <c r="B60" s="2">
        <f ca="1">OFFSET(INDIRECT(ADDRESS($A60,3,3,1,Menus!$K$10)),0,Menus!$J$4)</f>
        <v>0</v>
      </c>
      <c r="C60" s="2">
        <f ca="1">OFFSET(INDIRECT(ADDRESS($A60,3,3,1,Menus!$K$10)),0,Menus!$J$3)</f>
        <v>0</v>
      </c>
      <c r="D60" s="73" t="e">
        <f ca="1">IF(Menus!$J$9,C60/B60,C60)</f>
        <v>#DIV/0!</v>
      </c>
      <c r="E60" s="74" t="e">
        <f t="shared" ca="1" si="2"/>
        <v>#N/A</v>
      </c>
      <c r="F60" s="75">
        <f ca="1">INDIRECT(ADDRESS($A60,1,3,1,Menus!$K$10))</f>
        <v>0</v>
      </c>
      <c r="G60" s="2" t="e">
        <f ca="1">IF(INDIRECT(ADDRESS($A60,2,3,1,Menus!$K$10))=G$1,$D60,#N/A)</f>
        <v>#N/A</v>
      </c>
      <c r="H60" s="2" t="e">
        <f ca="1">IF(INDIRECT(ADDRESS($A60,2,3,1,Menus!$K$10))=H$1,$D60,#N/A)</f>
        <v>#N/A</v>
      </c>
      <c r="I60" s="2" t="e">
        <f ca="1">IF(INDIRECT(ADDRESS($A60,2,3,1,Menus!$K$10))=I$1,$D60,#N/A)</f>
        <v>#N/A</v>
      </c>
      <c r="J60" s="2" t="e">
        <f ca="1">IF(INDIRECT(ADDRESS($A60,1,3,1,Menus!$K$10))=T(J$1),$D60,#N/A)</f>
        <v>#N/A</v>
      </c>
      <c r="K60" s="10">
        <f t="shared" ca="1" si="1"/>
        <v>0</v>
      </c>
      <c r="L60" s="2"/>
      <c r="M60" s="85">
        <f ca="1">OFFSET(INDIRECT(ADDRESS($A60,3,3,1,"Gross")),0,Menus!$J$4)</f>
        <v>0</v>
      </c>
      <c r="N60" s="85">
        <f ca="1">OFFSET(INDIRECT(ADDRESS($A60,3,3,1,"Gross")),0,Menus!$J$3)</f>
        <v>0</v>
      </c>
    </row>
    <row r="61" spans="1:14" x14ac:dyDescent="0.25">
      <c r="A61">
        <v>162</v>
      </c>
      <c r="B61" s="2">
        <f ca="1">OFFSET(INDIRECT(ADDRESS($A61,3,3,1,Menus!$K$10)),0,Menus!$J$4)</f>
        <v>0</v>
      </c>
      <c r="C61" s="2">
        <f ca="1">OFFSET(INDIRECT(ADDRESS($A61,3,3,1,Menus!$K$10)),0,Menus!$J$3)</f>
        <v>0</v>
      </c>
      <c r="D61" s="73" t="e">
        <f ca="1">IF(Menus!$J$9,C61/B61,C61)</f>
        <v>#DIV/0!</v>
      </c>
      <c r="E61" s="74" t="e">
        <f t="shared" ca="1" si="2"/>
        <v>#N/A</v>
      </c>
      <c r="F61" s="75">
        <f ca="1">INDIRECT(ADDRESS($A61,1,3,1,Menus!$K$10))</f>
        <v>0</v>
      </c>
      <c r="G61" s="2" t="e">
        <f ca="1">IF(INDIRECT(ADDRESS($A61,2,3,1,Menus!$K$10))=G$1,$D61,#N/A)</f>
        <v>#N/A</v>
      </c>
      <c r="H61" s="2" t="e">
        <f ca="1">IF(INDIRECT(ADDRESS($A61,2,3,1,Menus!$K$10))=H$1,$D61,#N/A)</f>
        <v>#N/A</v>
      </c>
      <c r="I61" s="2" t="e">
        <f ca="1">IF(INDIRECT(ADDRESS($A61,2,3,1,Menus!$K$10))=I$1,$D61,#N/A)</f>
        <v>#N/A</v>
      </c>
      <c r="J61" s="2" t="e">
        <f ca="1">IF(INDIRECT(ADDRESS($A61,1,3,1,Menus!$K$10))=T(J$1),$D61,#N/A)</f>
        <v>#N/A</v>
      </c>
      <c r="K61" s="10">
        <f t="shared" ca="1" si="1"/>
        <v>0</v>
      </c>
      <c r="L61" s="2"/>
      <c r="M61" s="85">
        <f ca="1">OFFSET(INDIRECT(ADDRESS($A61,3,3,1,"Gross")),0,Menus!$J$4)</f>
        <v>0</v>
      </c>
      <c r="N61" s="85">
        <f ca="1">OFFSET(INDIRECT(ADDRESS($A61,3,3,1,"Gross")),0,Menus!$J$3)</f>
        <v>0</v>
      </c>
    </row>
    <row r="62" spans="1:14" x14ac:dyDescent="0.25">
      <c r="A62">
        <v>70</v>
      </c>
      <c r="B62" s="2">
        <f ca="1">OFFSET(INDIRECT(ADDRESS($A62,3,3,1,Menus!$K$10)),0,Menus!$J$4)</f>
        <v>0</v>
      </c>
      <c r="C62" s="2">
        <f ca="1">OFFSET(INDIRECT(ADDRESS($A62,3,3,1,Menus!$K$10)),0,Menus!$J$3)</f>
        <v>0</v>
      </c>
      <c r="D62" s="73" t="e">
        <f ca="1">IF(Menus!$J$9,C62/B62,C62)</f>
        <v>#DIV/0!</v>
      </c>
      <c r="E62" s="74" t="e">
        <f t="shared" ca="1" si="2"/>
        <v>#N/A</v>
      </c>
      <c r="F62" s="75">
        <f ca="1">INDIRECT(ADDRESS($A62,1,3,1,Menus!$K$10))</f>
        <v>0</v>
      </c>
      <c r="G62" s="2" t="e">
        <f ca="1">IF(INDIRECT(ADDRESS($A62,2,3,1,Menus!$K$10))=G$1,$D62,#N/A)</f>
        <v>#N/A</v>
      </c>
      <c r="H62" s="2" t="e">
        <f ca="1">IF(INDIRECT(ADDRESS($A62,2,3,1,Menus!$K$10))=H$1,$D62,#N/A)</f>
        <v>#N/A</v>
      </c>
      <c r="I62" s="2" t="e">
        <f ca="1">IF(INDIRECT(ADDRESS($A62,2,3,1,Menus!$K$10))=I$1,$D62,#N/A)</f>
        <v>#N/A</v>
      </c>
      <c r="J62" s="2" t="e">
        <f ca="1">IF(INDIRECT(ADDRESS($A62,1,3,1,Menus!$K$10))=T(J$1),$D62,#N/A)</f>
        <v>#N/A</v>
      </c>
      <c r="K62" s="10">
        <f t="shared" ca="1" si="1"/>
        <v>0</v>
      </c>
      <c r="L62" s="2"/>
      <c r="M62" s="85">
        <f ca="1">OFFSET(INDIRECT(ADDRESS($A62,3,3,1,"Gross")),0,Menus!$J$4)</f>
        <v>1</v>
      </c>
      <c r="N62" s="85">
        <f ca="1">OFFSET(INDIRECT(ADDRESS($A62,3,3,1,"Gross")),0,Menus!$J$3)</f>
        <v>1</v>
      </c>
    </row>
    <row r="63" spans="1:14" x14ac:dyDescent="0.25">
      <c r="A63">
        <v>58</v>
      </c>
      <c r="B63" s="2">
        <f ca="1">OFFSET(INDIRECT(ADDRESS($A63,3,3,1,Menus!$K$10)),0,Menus!$J$4)</f>
        <v>0</v>
      </c>
      <c r="C63" s="2">
        <f ca="1">OFFSET(INDIRECT(ADDRESS($A63,3,3,1,Menus!$K$10)),0,Menus!$J$3)</f>
        <v>0</v>
      </c>
      <c r="D63" s="73" t="e">
        <f ca="1">IF(Menus!$J$9,C63/B63,C63)</f>
        <v>#DIV/0!</v>
      </c>
      <c r="E63" s="74" t="e">
        <f t="shared" ca="1" si="2"/>
        <v>#N/A</v>
      </c>
      <c r="F63" s="75">
        <f ca="1">INDIRECT(ADDRESS($A63,1,3,1,Menus!$K$10))</f>
        <v>0</v>
      </c>
      <c r="G63" s="2" t="e">
        <f ca="1">IF(INDIRECT(ADDRESS($A63,2,3,1,Menus!$K$10))=G$1,$D63,#N/A)</f>
        <v>#N/A</v>
      </c>
      <c r="H63" s="2" t="e">
        <f ca="1">IF(INDIRECT(ADDRESS($A63,2,3,1,Menus!$K$10))=H$1,$D63,#N/A)</f>
        <v>#N/A</v>
      </c>
      <c r="I63" s="2" t="e">
        <f ca="1">IF(INDIRECT(ADDRESS($A63,2,3,1,Menus!$K$10))=I$1,$D63,#N/A)</f>
        <v>#N/A</v>
      </c>
      <c r="J63" s="2" t="e">
        <f ca="1">IF(INDIRECT(ADDRESS($A63,1,3,1,Menus!$K$10))=T(J$1),$D63,#N/A)</f>
        <v>#N/A</v>
      </c>
      <c r="K63" s="10">
        <f t="shared" ca="1" si="1"/>
        <v>0</v>
      </c>
      <c r="L63" s="2"/>
      <c r="M63" s="85">
        <f ca="1">OFFSET(INDIRECT(ADDRESS($A63,3,3,1,"Gross")),0,Menus!$J$4)</f>
        <v>1</v>
      </c>
      <c r="N63" s="85">
        <f ca="1">OFFSET(INDIRECT(ADDRESS($A63,3,3,1,"Gross")),0,Menus!$J$3)</f>
        <v>1</v>
      </c>
    </row>
    <row r="64" spans="1:14" x14ac:dyDescent="0.25">
      <c r="A64">
        <v>130</v>
      </c>
      <c r="B64" s="2">
        <f ca="1">OFFSET(INDIRECT(ADDRESS($A64,3,3,1,Menus!$K$10)),0,Menus!$J$4)</f>
        <v>0</v>
      </c>
      <c r="C64" s="2">
        <f ca="1">OFFSET(INDIRECT(ADDRESS($A64,3,3,1,Menus!$K$10)),0,Menus!$J$3)</f>
        <v>0</v>
      </c>
      <c r="D64" s="73" t="e">
        <f ca="1">IF(Menus!$J$9,C64/B64,C64)</f>
        <v>#DIV/0!</v>
      </c>
      <c r="E64" s="74" t="e">
        <f t="shared" ca="1" si="2"/>
        <v>#N/A</v>
      </c>
      <c r="F64" s="75">
        <f ca="1">INDIRECT(ADDRESS($A64,1,3,1,Menus!$K$10))</f>
        <v>0</v>
      </c>
      <c r="G64" s="2" t="e">
        <f ca="1">IF(INDIRECT(ADDRESS($A64,2,3,1,Menus!$K$10))=G$1,$D64,#N/A)</f>
        <v>#N/A</v>
      </c>
      <c r="H64" s="2" t="e">
        <f ca="1">IF(INDIRECT(ADDRESS($A64,2,3,1,Menus!$K$10))=H$1,$D64,#N/A)</f>
        <v>#N/A</v>
      </c>
      <c r="I64" s="2" t="e">
        <f ca="1">IF(INDIRECT(ADDRESS($A64,2,3,1,Menus!$K$10))=I$1,$D64,#N/A)</f>
        <v>#N/A</v>
      </c>
      <c r="J64" s="2" t="e">
        <f ca="1">IF(INDIRECT(ADDRESS($A64,1,3,1,Menus!$K$10))=T(J$1),$D64,#N/A)</f>
        <v>#N/A</v>
      </c>
      <c r="K64" s="10">
        <f t="shared" ca="1" si="1"/>
        <v>0</v>
      </c>
      <c r="L64" s="2"/>
      <c r="M64" s="85">
        <f ca="1">OFFSET(INDIRECT(ADDRESS($A64,3,3,1,"Gross")),0,Menus!$J$4)</f>
        <v>0</v>
      </c>
      <c r="N64" s="85">
        <f ca="1">OFFSET(INDIRECT(ADDRESS($A64,3,3,1,"Gross")),0,Menus!$J$3)</f>
        <v>0</v>
      </c>
    </row>
    <row r="65" spans="1:14" x14ac:dyDescent="0.25">
      <c r="A65">
        <v>115</v>
      </c>
      <c r="B65" s="2">
        <f ca="1">OFFSET(INDIRECT(ADDRESS($A65,3,3,1,Menus!$K$10)),0,Menus!$J$4)</f>
        <v>0</v>
      </c>
      <c r="C65" s="2">
        <f ca="1">OFFSET(INDIRECT(ADDRESS($A65,3,3,1,Menus!$K$10)),0,Menus!$J$3)</f>
        <v>0</v>
      </c>
      <c r="D65" s="73" t="e">
        <f ca="1">IF(Menus!$J$9,C65/B65,C65)</f>
        <v>#DIV/0!</v>
      </c>
      <c r="E65" s="74" t="e">
        <f t="shared" ca="1" si="2"/>
        <v>#N/A</v>
      </c>
      <c r="F65" s="75">
        <f ca="1">INDIRECT(ADDRESS($A65,1,3,1,Menus!$K$10))</f>
        <v>0</v>
      </c>
      <c r="G65" s="2" t="e">
        <f ca="1">IF(INDIRECT(ADDRESS($A65,2,3,1,Menus!$K$10))=G$1,$D65,#N/A)</f>
        <v>#N/A</v>
      </c>
      <c r="H65" s="2" t="e">
        <f ca="1">IF(INDIRECT(ADDRESS($A65,2,3,1,Menus!$K$10))=H$1,$D65,#N/A)</f>
        <v>#N/A</v>
      </c>
      <c r="I65" s="2" t="e">
        <f ca="1">IF(INDIRECT(ADDRESS($A65,2,3,1,Menus!$K$10))=I$1,$D65,#N/A)</f>
        <v>#N/A</v>
      </c>
      <c r="J65" s="2" t="e">
        <f ca="1">IF(INDIRECT(ADDRESS($A65,1,3,1,Menus!$K$10))=T(J$1),$D65,#N/A)</f>
        <v>#N/A</v>
      </c>
      <c r="K65" s="10">
        <f t="shared" ca="1" si="1"/>
        <v>0</v>
      </c>
      <c r="L65" s="2"/>
      <c r="M65" s="85">
        <f ca="1">OFFSET(INDIRECT(ADDRESS($A65,3,3,1,"Gross")),0,Menus!$J$4)</f>
        <v>-1</v>
      </c>
      <c r="N65" s="85">
        <f ca="1">OFFSET(INDIRECT(ADDRESS($A65,3,3,1,"Gross")),0,Menus!$J$3)</f>
        <v>-1</v>
      </c>
    </row>
    <row r="66" spans="1:14" x14ac:dyDescent="0.25">
      <c r="A66">
        <v>73</v>
      </c>
      <c r="B66" s="2">
        <f ca="1">OFFSET(INDIRECT(ADDRESS($A66,3,3,1,Menus!$K$10)),0,Menus!$J$4)</f>
        <v>0</v>
      </c>
      <c r="C66" s="2">
        <f ca="1">OFFSET(INDIRECT(ADDRESS($A66,3,3,1,Menus!$K$10)),0,Menus!$J$3)</f>
        <v>0</v>
      </c>
      <c r="D66" s="73" t="e">
        <f ca="1">IF(Menus!$J$9,C66/B66,C66)</f>
        <v>#DIV/0!</v>
      </c>
      <c r="E66" s="74" t="e">
        <f t="shared" ca="1" si="2"/>
        <v>#N/A</v>
      </c>
      <c r="F66" s="75">
        <f ca="1">INDIRECT(ADDRESS($A66,1,3,1,Menus!$K$10))</f>
        <v>0</v>
      </c>
      <c r="G66" s="2" t="e">
        <f ca="1">IF(INDIRECT(ADDRESS($A66,2,3,1,Menus!$K$10))=G$1,$D66,#N/A)</f>
        <v>#N/A</v>
      </c>
      <c r="H66" s="2" t="e">
        <f ca="1">IF(INDIRECT(ADDRESS($A66,2,3,1,Menus!$K$10))=H$1,$D66,#N/A)</f>
        <v>#N/A</v>
      </c>
      <c r="I66" s="2" t="e">
        <f ca="1">IF(INDIRECT(ADDRESS($A66,2,3,1,Menus!$K$10))=I$1,$D66,#N/A)</f>
        <v>#N/A</v>
      </c>
      <c r="J66" s="2" t="e">
        <f ca="1">IF(INDIRECT(ADDRESS($A66,1,3,1,Menus!$K$10))=T(J$1),$D66,#N/A)</f>
        <v>#N/A</v>
      </c>
      <c r="K66" s="10">
        <f t="shared" ref="K66:K129" ca="1" si="3">IF(OR(ISNUMBER($G66),ISNUMBER($H66),ISNUMBER($I66),ISNUMBER($J66)),1,0)</f>
        <v>0</v>
      </c>
      <c r="L66" s="2"/>
      <c r="M66" s="85">
        <f ca="1">OFFSET(INDIRECT(ADDRESS($A66,3,3,1,"Gross")),0,Menus!$J$4)</f>
        <v>2</v>
      </c>
      <c r="N66" s="85">
        <f ca="1">OFFSET(INDIRECT(ADDRESS($A66,3,3,1,"Gross")),0,Menus!$J$3)</f>
        <v>2</v>
      </c>
    </row>
    <row r="67" spans="1:14" x14ac:dyDescent="0.25">
      <c r="A67">
        <v>100</v>
      </c>
      <c r="B67" s="2">
        <f ca="1">OFFSET(INDIRECT(ADDRESS($A67,3,3,1,Menus!$K$10)),0,Menus!$J$4)</f>
        <v>0</v>
      </c>
      <c r="C67" s="2">
        <f ca="1">OFFSET(INDIRECT(ADDRESS($A67,3,3,1,Menus!$K$10)),0,Menus!$J$3)</f>
        <v>0</v>
      </c>
      <c r="D67" s="73" t="e">
        <f ca="1">IF(Menus!$J$9,C67/B67,C67)</f>
        <v>#DIV/0!</v>
      </c>
      <c r="E67" s="74" t="e">
        <f t="shared" ref="E67:E130" ca="1" si="4">IF($K67=1,VALUE(B67),#N/A)</f>
        <v>#N/A</v>
      </c>
      <c r="F67" s="75">
        <f ca="1">INDIRECT(ADDRESS($A67,1,3,1,Menus!$K$10))</f>
        <v>0</v>
      </c>
      <c r="G67" s="2" t="e">
        <f ca="1">IF(INDIRECT(ADDRESS($A67,2,3,1,Menus!$K$10))=G$1,$D67,#N/A)</f>
        <v>#N/A</v>
      </c>
      <c r="H67" s="2" t="e">
        <f ca="1">IF(INDIRECT(ADDRESS($A67,2,3,1,Menus!$K$10))=H$1,$D67,#N/A)</f>
        <v>#N/A</v>
      </c>
      <c r="I67" s="2" t="e">
        <f ca="1">IF(INDIRECT(ADDRESS($A67,2,3,1,Menus!$K$10))=I$1,$D67,#N/A)</f>
        <v>#N/A</v>
      </c>
      <c r="J67" s="2" t="e">
        <f ca="1">IF(INDIRECT(ADDRESS($A67,1,3,1,Menus!$K$10))=T(J$1),$D67,#N/A)</f>
        <v>#N/A</v>
      </c>
      <c r="K67" s="10">
        <f t="shared" ca="1" si="3"/>
        <v>0</v>
      </c>
      <c r="L67" s="2"/>
      <c r="M67" s="85">
        <f ca="1">OFFSET(INDIRECT(ADDRESS($A67,3,3,1,"Gross")),0,Menus!$J$4)</f>
        <v>1</v>
      </c>
      <c r="N67" s="85">
        <f ca="1">OFFSET(INDIRECT(ADDRESS($A67,3,3,1,"Gross")),0,Menus!$J$3)</f>
        <v>0</v>
      </c>
    </row>
    <row r="68" spans="1:14" x14ac:dyDescent="0.25">
      <c r="A68">
        <v>82</v>
      </c>
      <c r="B68" s="2">
        <f ca="1">OFFSET(INDIRECT(ADDRESS($A68,3,3,1,Menus!$K$10)),0,Menus!$J$4)</f>
        <v>0</v>
      </c>
      <c r="C68" s="2">
        <f ca="1">OFFSET(INDIRECT(ADDRESS($A68,3,3,1,Menus!$K$10)),0,Menus!$J$3)</f>
        <v>0</v>
      </c>
      <c r="D68" s="73" t="e">
        <f ca="1">IF(Menus!$J$9,C68/B68,C68)</f>
        <v>#DIV/0!</v>
      </c>
      <c r="E68" s="74" t="e">
        <f t="shared" ca="1" si="4"/>
        <v>#N/A</v>
      </c>
      <c r="F68" s="75">
        <f ca="1">INDIRECT(ADDRESS($A68,1,3,1,Menus!$K$10))</f>
        <v>0</v>
      </c>
      <c r="G68" s="2" t="e">
        <f ca="1">IF(INDIRECT(ADDRESS($A68,2,3,1,Menus!$K$10))=G$1,$D68,#N/A)</f>
        <v>#N/A</v>
      </c>
      <c r="H68" s="2" t="e">
        <f ca="1">IF(INDIRECT(ADDRESS($A68,2,3,1,Menus!$K$10))=H$1,$D68,#N/A)</f>
        <v>#N/A</v>
      </c>
      <c r="I68" s="2" t="e">
        <f ca="1">IF(INDIRECT(ADDRESS($A68,2,3,1,Menus!$K$10))=I$1,$D68,#N/A)</f>
        <v>#N/A</v>
      </c>
      <c r="J68" s="2" t="e">
        <f ca="1">IF(INDIRECT(ADDRESS($A68,1,3,1,Menus!$K$10))=T(J$1),$D68,#N/A)</f>
        <v>#N/A</v>
      </c>
      <c r="K68" s="10">
        <f t="shared" ca="1" si="3"/>
        <v>0</v>
      </c>
      <c r="L68" s="2"/>
      <c r="M68" s="85">
        <f ca="1">OFFSET(INDIRECT(ADDRESS($A68,3,3,1,"Gross")),0,Menus!$J$4)</f>
        <v>2</v>
      </c>
      <c r="N68" s="85">
        <f ca="1">OFFSET(INDIRECT(ADDRESS($A68,3,3,1,"Gross")),0,Menus!$J$3)</f>
        <v>2</v>
      </c>
    </row>
    <row r="69" spans="1:14" x14ac:dyDescent="0.25">
      <c r="A69">
        <v>178</v>
      </c>
      <c r="B69" s="2">
        <f ca="1">OFFSET(INDIRECT(ADDRESS($A69,3,3,1,Menus!$K$10)),0,Menus!$J$4)</f>
        <v>0</v>
      </c>
      <c r="C69" s="2">
        <f ca="1">OFFSET(INDIRECT(ADDRESS($A69,3,3,1,Menus!$K$10)),0,Menus!$J$3)</f>
        <v>0</v>
      </c>
      <c r="D69" s="73" t="e">
        <f ca="1">IF(Menus!$J$9,C69/B69,C69)</f>
        <v>#DIV/0!</v>
      </c>
      <c r="E69" s="74" t="e">
        <f t="shared" ca="1" si="4"/>
        <v>#N/A</v>
      </c>
      <c r="F69" s="75">
        <f ca="1">INDIRECT(ADDRESS($A69,1,3,1,Menus!$K$10))</f>
        <v>0</v>
      </c>
      <c r="G69" s="2" t="e">
        <f ca="1">IF(INDIRECT(ADDRESS($A69,2,3,1,Menus!$K$10))=G$1,$D69,#N/A)</f>
        <v>#N/A</v>
      </c>
      <c r="H69" s="2" t="e">
        <f ca="1">IF(INDIRECT(ADDRESS($A69,2,3,1,Menus!$K$10))=H$1,$D69,#N/A)</f>
        <v>#N/A</v>
      </c>
      <c r="I69" s="2" t="e">
        <f ca="1">IF(INDIRECT(ADDRESS($A69,2,3,1,Menus!$K$10))=I$1,$D69,#N/A)</f>
        <v>#N/A</v>
      </c>
      <c r="J69" s="2" t="e">
        <f ca="1">IF(INDIRECT(ADDRESS($A69,1,3,1,Menus!$K$10))=T(J$1),$D69,#N/A)</f>
        <v>#N/A</v>
      </c>
      <c r="K69" s="10">
        <f t="shared" ca="1" si="3"/>
        <v>0</v>
      </c>
      <c r="L69" s="2"/>
      <c r="M69" s="85">
        <f ca="1">OFFSET(INDIRECT(ADDRESS($A69,3,3,1,"Gross")),0,Menus!$J$4)</f>
        <v>0</v>
      </c>
      <c r="N69" s="85">
        <f ca="1">OFFSET(INDIRECT(ADDRESS($A69,3,3,1,"Gross")),0,Menus!$J$3)</f>
        <v>0</v>
      </c>
    </row>
    <row r="70" spans="1:14" x14ac:dyDescent="0.25">
      <c r="A70">
        <v>117</v>
      </c>
      <c r="B70" s="2">
        <f ca="1">OFFSET(INDIRECT(ADDRESS($A70,3,3,1,Menus!$K$10)),0,Menus!$J$4)</f>
        <v>0</v>
      </c>
      <c r="C70" s="2">
        <f ca="1">OFFSET(INDIRECT(ADDRESS($A70,3,3,1,Menus!$K$10)),0,Menus!$J$3)</f>
        <v>0</v>
      </c>
      <c r="D70" s="73" t="e">
        <f ca="1">IF(Menus!$J$9,C70/B70,C70)</f>
        <v>#DIV/0!</v>
      </c>
      <c r="E70" s="74" t="e">
        <f t="shared" ca="1" si="4"/>
        <v>#N/A</v>
      </c>
      <c r="F70" s="75">
        <f ca="1">INDIRECT(ADDRESS($A70,1,3,1,Menus!$K$10))</f>
        <v>0</v>
      </c>
      <c r="G70" s="2" t="e">
        <f ca="1">IF(INDIRECT(ADDRESS($A70,2,3,1,Menus!$K$10))=G$1,$D70,#N/A)</f>
        <v>#N/A</v>
      </c>
      <c r="H70" s="2" t="e">
        <f ca="1">IF(INDIRECT(ADDRESS($A70,2,3,1,Menus!$K$10))=H$1,$D70,#N/A)</f>
        <v>#N/A</v>
      </c>
      <c r="I70" s="2" t="e">
        <f ca="1">IF(INDIRECT(ADDRESS($A70,2,3,1,Menus!$K$10))=I$1,$D70,#N/A)</f>
        <v>#N/A</v>
      </c>
      <c r="J70" s="2" t="e">
        <f ca="1">IF(INDIRECT(ADDRESS($A70,1,3,1,Menus!$K$10))=T(J$1),$D70,#N/A)</f>
        <v>#N/A</v>
      </c>
      <c r="K70" s="10">
        <f t="shared" ca="1" si="3"/>
        <v>0</v>
      </c>
      <c r="L70" s="2"/>
      <c r="M70" s="85">
        <f ca="1">OFFSET(INDIRECT(ADDRESS($A70,3,3,1,"Gross")),0,Menus!$J$4)</f>
        <v>0</v>
      </c>
      <c r="N70" s="85">
        <f ca="1">OFFSET(INDIRECT(ADDRESS($A70,3,3,1,"Gross")),0,Menus!$J$3)</f>
        <v>0</v>
      </c>
    </row>
    <row r="71" spans="1:14" x14ac:dyDescent="0.25">
      <c r="A71">
        <v>150</v>
      </c>
      <c r="B71" s="2">
        <f ca="1">OFFSET(INDIRECT(ADDRESS($A71,3,3,1,Menus!$K$10)),0,Menus!$J$4)</f>
        <v>0</v>
      </c>
      <c r="C71" s="2">
        <f ca="1">OFFSET(INDIRECT(ADDRESS($A71,3,3,1,Menus!$K$10)),0,Menus!$J$3)</f>
        <v>0</v>
      </c>
      <c r="D71" s="73" t="e">
        <f ca="1">IF(Menus!$J$9,C71/B71,C71)</f>
        <v>#DIV/0!</v>
      </c>
      <c r="E71" s="74" t="e">
        <f t="shared" ca="1" si="4"/>
        <v>#N/A</v>
      </c>
      <c r="F71" s="75">
        <f ca="1">INDIRECT(ADDRESS($A71,1,3,1,Menus!$K$10))</f>
        <v>0</v>
      </c>
      <c r="G71" s="2" t="e">
        <f ca="1">IF(INDIRECT(ADDRESS($A71,2,3,1,Menus!$K$10))=G$1,$D71,#N/A)</f>
        <v>#N/A</v>
      </c>
      <c r="H71" s="2" t="e">
        <f ca="1">IF(INDIRECT(ADDRESS($A71,2,3,1,Menus!$K$10))=H$1,$D71,#N/A)</f>
        <v>#N/A</v>
      </c>
      <c r="I71" s="2" t="e">
        <f ca="1">IF(INDIRECT(ADDRESS($A71,2,3,1,Menus!$K$10))=I$1,$D71,#N/A)</f>
        <v>#N/A</v>
      </c>
      <c r="J71" s="2" t="e">
        <f ca="1">IF(INDIRECT(ADDRESS($A71,1,3,1,Menus!$K$10))=T(J$1),$D71,#N/A)</f>
        <v>#N/A</v>
      </c>
      <c r="K71" s="10">
        <f t="shared" ca="1" si="3"/>
        <v>0</v>
      </c>
      <c r="L71" s="2"/>
      <c r="M71" s="85">
        <f ca="1">OFFSET(INDIRECT(ADDRESS($A71,3,3,1,"Gross")),0,Menus!$J$4)</f>
        <v>2</v>
      </c>
      <c r="N71" s="85">
        <f ca="1">OFFSET(INDIRECT(ADDRESS($A71,3,3,1,"Gross")),0,Menus!$J$3)</f>
        <v>2</v>
      </c>
    </row>
    <row r="72" spans="1:14" x14ac:dyDescent="0.25">
      <c r="A72">
        <v>184</v>
      </c>
      <c r="B72" s="2">
        <f ca="1">OFFSET(INDIRECT(ADDRESS($A72,3,3,1,Menus!$K$10)),0,Menus!$J$4)</f>
        <v>0</v>
      </c>
      <c r="C72" s="2">
        <f ca="1">OFFSET(INDIRECT(ADDRESS($A72,3,3,1,Menus!$K$10)),0,Menus!$J$3)</f>
        <v>0</v>
      </c>
      <c r="D72" s="73" t="e">
        <f ca="1">IF(Menus!$J$9,C72/B72,C72)</f>
        <v>#DIV/0!</v>
      </c>
      <c r="E72" s="74" t="e">
        <f t="shared" ca="1" si="4"/>
        <v>#N/A</v>
      </c>
      <c r="F72" s="75">
        <f ca="1">INDIRECT(ADDRESS($A72,1,3,1,Menus!$K$10))</f>
        <v>0</v>
      </c>
      <c r="G72" s="2" t="e">
        <f ca="1">IF(INDIRECT(ADDRESS($A72,2,3,1,Menus!$K$10))=G$1,$D72,#N/A)</f>
        <v>#N/A</v>
      </c>
      <c r="H72" s="2" t="e">
        <f ca="1">IF(INDIRECT(ADDRESS($A72,2,3,1,Menus!$K$10))=H$1,$D72,#N/A)</f>
        <v>#N/A</v>
      </c>
      <c r="I72" s="2" t="e">
        <f ca="1">IF(INDIRECT(ADDRESS($A72,2,3,1,Menus!$K$10))=I$1,$D72,#N/A)</f>
        <v>#N/A</v>
      </c>
      <c r="J72" s="2" t="e">
        <f ca="1">IF(INDIRECT(ADDRESS($A72,1,3,1,Menus!$K$10))=T(J$1),$D72,#N/A)</f>
        <v>#N/A</v>
      </c>
      <c r="K72" s="10">
        <f t="shared" ca="1" si="3"/>
        <v>0</v>
      </c>
      <c r="L72" s="2"/>
      <c r="M72" s="85">
        <f ca="1">OFFSET(INDIRECT(ADDRESS($A72,3,3,1,"Gross")),0,Menus!$J$4)</f>
        <v>0</v>
      </c>
      <c r="N72" s="85">
        <f ca="1">OFFSET(INDIRECT(ADDRESS($A72,3,3,1,"Gross")),0,Menus!$J$3)</f>
        <v>0</v>
      </c>
    </row>
    <row r="73" spans="1:14" x14ac:dyDescent="0.25">
      <c r="A73">
        <v>143</v>
      </c>
      <c r="B73" s="2">
        <f ca="1">OFFSET(INDIRECT(ADDRESS($A73,3,3,1,Menus!$K$10)),0,Menus!$J$4)</f>
        <v>0</v>
      </c>
      <c r="C73" s="2">
        <f ca="1">OFFSET(INDIRECT(ADDRESS($A73,3,3,1,Menus!$K$10)),0,Menus!$J$3)</f>
        <v>0</v>
      </c>
      <c r="D73" s="73" t="e">
        <f ca="1">IF(Menus!$J$9,C73/B73,C73)</f>
        <v>#DIV/0!</v>
      </c>
      <c r="E73" s="74" t="e">
        <f t="shared" ca="1" si="4"/>
        <v>#N/A</v>
      </c>
      <c r="F73" s="75">
        <f ca="1">INDIRECT(ADDRESS($A73,1,3,1,Menus!$K$10))</f>
        <v>0</v>
      </c>
      <c r="G73" s="2" t="e">
        <f ca="1">IF(INDIRECT(ADDRESS($A73,2,3,1,Menus!$K$10))=G$1,$D73,#N/A)</f>
        <v>#N/A</v>
      </c>
      <c r="H73" s="2" t="e">
        <f ca="1">IF(INDIRECT(ADDRESS($A73,2,3,1,Menus!$K$10))=H$1,$D73,#N/A)</f>
        <v>#N/A</v>
      </c>
      <c r="I73" s="2" t="e">
        <f ca="1">IF(INDIRECT(ADDRESS($A73,2,3,1,Menus!$K$10))=I$1,$D73,#N/A)</f>
        <v>#N/A</v>
      </c>
      <c r="J73" s="2" t="e">
        <f ca="1">IF(INDIRECT(ADDRESS($A73,1,3,1,Menus!$K$10))=T(J$1),$D73,#N/A)</f>
        <v>#N/A</v>
      </c>
      <c r="K73" s="10">
        <f t="shared" ca="1" si="3"/>
        <v>0</v>
      </c>
      <c r="L73" s="2"/>
      <c r="M73" s="85">
        <f ca="1">OFFSET(INDIRECT(ADDRESS($A73,3,3,1,"Gross")),0,Menus!$J$4)</f>
        <v>0</v>
      </c>
      <c r="N73" s="85">
        <f ca="1">OFFSET(INDIRECT(ADDRESS($A73,3,3,1,"Gross")),0,Menus!$J$3)</f>
        <v>2</v>
      </c>
    </row>
    <row r="74" spans="1:14" x14ac:dyDescent="0.25">
      <c r="A74">
        <v>105</v>
      </c>
      <c r="B74" s="2">
        <f ca="1">OFFSET(INDIRECT(ADDRESS($A74,3,3,1,Menus!$K$10)),0,Menus!$J$4)</f>
        <v>0</v>
      </c>
      <c r="C74" s="2">
        <f ca="1">OFFSET(INDIRECT(ADDRESS($A74,3,3,1,Menus!$K$10)),0,Menus!$J$3)</f>
        <v>0</v>
      </c>
      <c r="D74" s="73" t="e">
        <f ca="1">IF(Menus!$J$9,C74/B74,C74)</f>
        <v>#DIV/0!</v>
      </c>
      <c r="E74" s="74" t="e">
        <f t="shared" ca="1" si="4"/>
        <v>#N/A</v>
      </c>
      <c r="F74" s="75">
        <f ca="1">INDIRECT(ADDRESS($A74,1,3,1,Menus!$K$10))</f>
        <v>0</v>
      </c>
      <c r="G74" s="2" t="e">
        <f ca="1">IF(INDIRECT(ADDRESS($A74,2,3,1,Menus!$K$10))=G$1,$D74,#N/A)</f>
        <v>#N/A</v>
      </c>
      <c r="H74" s="2" t="e">
        <f ca="1">IF(INDIRECT(ADDRESS($A74,2,3,1,Menus!$K$10))=H$1,$D74,#N/A)</f>
        <v>#N/A</v>
      </c>
      <c r="I74" s="2" t="e">
        <f ca="1">IF(INDIRECT(ADDRESS($A74,2,3,1,Menus!$K$10))=I$1,$D74,#N/A)</f>
        <v>#N/A</v>
      </c>
      <c r="J74" s="2" t="e">
        <f ca="1">IF(INDIRECT(ADDRESS($A74,1,3,1,Menus!$K$10))=T(J$1),$D74,#N/A)</f>
        <v>#N/A</v>
      </c>
      <c r="K74" s="10">
        <f t="shared" ca="1" si="3"/>
        <v>0</v>
      </c>
      <c r="L74" s="2"/>
      <c r="M74" s="85">
        <f ca="1">OFFSET(INDIRECT(ADDRESS($A74,3,3,1,"Gross")),0,Menus!$J$4)</f>
        <v>0</v>
      </c>
      <c r="N74" s="85">
        <f ca="1">OFFSET(INDIRECT(ADDRESS($A74,3,3,1,"Gross")),0,Menus!$J$3)</f>
        <v>0</v>
      </c>
    </row>
    <row r="75" spans="1:14" x14ac:dyDescent="0.25">
      <c r="A75">
        <v>146</v>
      </c>
      <c r="B75" s="2">
        <f ca="1">OFFSET(INDIRECT(ADDRESS($A75,3,3,1,Menus!$K$10)),0,Menus!$J$4)</f>
        <v>0</v>
      </c>
      <c r="C75" s="2">
        <f ca="1">OFFSET(INDIRECT(ADDRESS($A75,3,3,1,Menus!$K$10)),0,Menus!$J$3)</f>
        <v>0</v>
      </c>
      <c r="D75" s="73" t="e">
        <f ca="1">IF(Menus!$J$9,C75/B75,C75)</f>
        <v>#DIV/0!</v>
      </c>
      <c r="E75" s="74" t="e">
        <f t="shared" ca="1" si="4"/>
        <v>#N/A</v>
      </c>
      <c r="F75" s="75">
        <f ca="1">INDIRECT(ADDRESS($A75,1,3,1,Menus!$K$10))</f>
        <v>0</v>
      </c>
      <c r="G75" s="2" t="e">
        <f ca="1">IF(INDIRECT(ADDRESS($A75,2,3,1,Menus!$K$10))=G$1,$D75,#N/A)</f>
        <v>#N/A</v>
      </c>
      <c r="H75" s="2" t="e">
        <f ca="1">IF(INDIRECT(ADDRESS($A75,2,3,1,Menus!$K$10))=H$1,$D75,#N/A)</f>
        <v>#N/A</v>
      </c>
      <c r="I75" s="2" t="e">
        <f ca="1">IF(INDIRECT(ADDRESS($A75,2,3,1,Menus!$K$10))=I$1,$D75,#N/A)</f>
        <v>#N/A</v>
      </c>
      <c r="J75" s="2" t="e">
        <f ca="1">IF(INDIRECT(ADDRESS($A75,1,3,1,Menus!$K$10))=T(J$1),$D75,#N/A)</f>
        <v>#N/A</v>
      </c>
      <c r="K75" s="10">
        <f t="shared" ca="1" si="3"/>
        <v>0</v>
      </c>
      <c r="L75" s="2"/>
      <c r="M75" s="85">
        <f ca="1">OFFSET(INDIRECT(ADDRESS($A75,3,3,1,"Gross")),0,Menus!$J$4)</f>
        <v>0</v>
      </c>
      <c r="N75" s="85">
        <f ca="1">OFFSET(INDIRECT(ADDRESS($A75,3,3,1,"Gross")),0,Menus!$J$3)</f>
        <v>0</v>
      </c>
    </row>
    <row r="76" spans="1:14" x14ac:dyDescent="0.25">
      <c r="A76">
        <v>62</v>
      </c>
      <c r="B76" s="2">
        <f ca="1">OFFSET(INDIRECT(ADDRESS($A76,3,3,1,Menus!$K$10)),0,Menus!$J$4)</f>
        <v>0</v>
      </c>
      <c r="C76" s="2">
        <f ca="1">OFFSET(INDIRECT(ADDRESS($A76,3,3,1,Menus!$K$10)),0,Menus!$J$3)</f>
        <v>0</v>
      </c>
      <c r="D76" s="73" t="e">
        <f ca="1">IF(Menus!$J$9,C76/B76,C76)</f>
        <v>#DIV/0!</v>
      </c>
      <c r="E76" s="74" t="e">
        <f t="shared" ca="1" si="4"/>
        <v>#N/A</v>
      </c>
      <c r="F76" s="75">
        <f ca="1">INDIRECT(ADDRESS($A76,1,3,1,Menus!$K$10))</f>
        <v>0</v>
      </c>
      <c r="G76" s="2" t="e">
        <f ca="1">IF(INDIRECT(ADDRESS($A76,2,3,1,Menus!$K$10))=G$1,$D76,#N/A)</f>
        <v>#N/A</v>
      </c>
      <c r="H76" s="2" t="e">
        <f ca="1">IF(INDIRECT(ADDRESS($A76,2,3,1,Menus!$K$10))=H$1,$D76,#N/A)</f>
        <v>#N/A</v>
      </c>
      <c r="I76" s="2" t="e">
        <f ca="1">IF(INDIRECT(ADDRESS($A76,2,3,1,Menus!$K$10))=I$1,$D76,#N/A)</f>
        <v>#N/A</v>
      </c>
      <c r="J76" s="2" t="e">
        <f ca="1">IF(INDIRECT(ADDRESS($A76,1,3,1,Menus!$K$10))=T(J$1),$D76,#N/A)</f>
        <v>#N/A</v>
      </c>
      <c r="K76" s="10">
        <f t="shared" ca="1" si="3"/>
        <v>0</v>
      </c>
      <c r="L76" s="2"/>
      <c r="M76" s="85">
        <f ca="1">OFFSET(INDIRECT(ADDRESS($A76,3,3,1,"Gross")),0,Menus!$J$4)</f>
        <v>1</v>
      </c>
      <c r="N76" s="85">
        <f ca="1">OFFSET(INDIRECT(ADDRESS($A76,3,3,1,"Gross")),0,Menus!$J$3)</f>
        <v>1</v>
      </c>
    </row>
    <row r="77" spans="1:14" x14ac:dyDescent="0.25">
      <c r="A77">
        <v>154</v>
      </c>
      <c r="B77" s="2">
        <f ca="1">OFFSET(INDIRECT(ADDRESS($A77,3,3,1,Menus!$K$10)),0,Menus!$J$4)</f>
        <v>0</v>
      </c>
      <c r="C77" s="2">
        <f ca="1">OFFSET(INDIRECT(ADDRESS($A77,3,3,1,Menus!$K$10)),0,Menus!$J$3)</f>
        <v>0</v>
      </c>
      <c r="D77" s="73" t="e">
        <f ca="1">IF(Menus!$J$9,C77/B77,C77)</f>
        <v>#DIV/0!</v>
      </c>
      <c r="E77" s="74" t="e">
        <f t="shared" ca="1" si="4"/>
        <v>#N/A</v>
      </c>
      <c r="F77" s="75">
        <f ca="1">INDIRECT(ADDRESS($A77,1,3,1,Menus!$K$10))</f>
        <v>0</v>
      </c>
      <c r="G77" s="2" t="e">
        <f ca="1">IF(INDIRECT(ADDRESS($A77,2,3,1,Menus!$K$10))=G$1,$D77,#N/A)</f>
        <v>#N/A</v>
      </c>
      <c r="H77" s="2" t="e">
        <f ca="1">IF(INDIRECT(ADDRESS($A77,2,3,1,Menus!$K$10))=H$1,$D77,#N/A)</f>
        <v>#N/A</v>
      </c>
      <c r="I77" s="2" t="e">
        <f ca="1">IF(INDIRECT(ADDRESS($A77,2,3,1,Menus!$K$10))=I$1,$D77,#N/A)</f>
        <v>#N/A</v>
      </c>
      <c r="J77" s="2" t="e">
        <f ca="1">IF(INDIRECT(ADDRESS($A77,1,3,1,Menus!$K$10))=T(J$1),$D77,#N/A)</f>
        <v>#N/A</v>
      </c>
      <c r="K77" s="10">
        <f t="shared" ca="1" si="3"/>
        <v>0</v>
      </c>
      <c r="L77" s="2"/>
      <c r="M77" s="85">
        <f ca="1">OFFSET(INDIRECT(ADDRESS($A77,3,3,1,"Gross")),0,Menus!$J$4)</f>
        <v>1</v>
      </c>
      <c r="N77" s="85">
        <f ca="1">OFFSET(INDIRECT(ADDRESS($A77,3,3,1,"Gross")),0,Menus!$J$3)</f>
        <v>2</v>
      </c>
    </row>
    <row r="78" spans="1:14" x14ac:dyDescent="0.25">
      <c r="A78">
        <v>88</v>
      </c>
      <c r="B78" s="2">
        <f ca="1">OFFSET(INDIRECT(ADDRESS($A78,3,3,1,Menus!$K$10)),0,Menus!$J$4)</f>
        <v>0</v>
      </c>
      <c r="C78" s="2">
        <f ca="1">OFFSET(INDIRECT(ADDRESS($A78,3,3,1,Menus!$K$10)),0,Menus!$J$3)</f>
        <v>0</v>
      </c>
      <c r="D78" s="73" t="e">
        <f ca="1">IF(Menus!$J$9,C78/B78,C78)</f>
        <v>#DIV/0!</v>
      </c>
      <c r="E78" s="74" t="e">
        <f t="shared" ca="1" si="4"/>
        <v>#N/A</v>
      </c>
      <c r="F78" s="75">
        <f ca="1">INDIRECT(ADDRESS($A78,1,3,1,Menus!$K$10))</f>
        <v>0</v>
      </c>
      <c r="G78" s="2" t="e">
        <f ca="1">IF(INDIRECT(ADDRESS($A78,2,3,1,Menus!$K$10))=G$1,$D78,#N/A)</f>
        <v>#N/A</v>
      </c>
      <c r="H78" s="2" t="e">
        <f ca="1">IF(INDIRECT(ADDRESS($A78,2,3,1,Menus!$K$10))=H$1,$D78,#N/A)</f>
        <v>#N/A</v>
      </c>
      <c r="I78" s="2" t="e">
        <f ca="1">IF(INDIRECT(ADDRESS($A78,2,3,1,Menus!$K$10))=I$1,$D78,#N/A)</f>
        <v>#N/A</v>
      </c>
      <c r="J78" s="2" t="e">
        <f ca="1">IF(INDIRECT(ADDRESS($A78,1,3,1,Menus!$K$10))=T(J$1),$D78,#N/A)</f>
        <v>#N/A</v>
      </c>
      <c r="K78" s="10">
        <f t="shared" ca="1" si="3"/>
        <v>0</v>
      </c>
      <c r="L78" s="2"/>
      <c r="M78" s="85">
        <f ca="1">OFFSET(INDIRECT(ADDRESS($A78,3,3,1,"Gross")),0,Menus!$J$4)</f>
        <v>0</v>
      </c>
      <c r="N78" s="85">
        <f ca="1">OFFSET(INDIRECT(ADDRESS($A78,3,3,1,"Gross")),0,Menus!$J$3)</f>
        <v>0</v>
      </c>
    </row>
    <row r="79" spans="1:14" x14ac:dyDescent="0.25">
      <c r="A79">
        <v>109</v>
      </c>
      <c r="B79" s="2">
        <f ca="1">OFFSET(INDIRECT(ADDRESS($A79,3,3,1,Menus!$K$10)),0,Menus!$J$4)</f>
        <v>0</v>
      </c>
      <c r="C79" s="2">
        <f ca="1">OFFSET(INDIRECT(ADDRESS($A79,3,3,1,Menus!$K$10)),0,Menus!$J$3)</f>
        <v>0</v>
      </c>
      <c r="D79" s="73" t="e">
        <f ca="1">IF(Menus!$J$9,C79/B79,C79)</f>
        <v>#DIV/0!</v>
      </c>
      <c r="E79" s="74" t="e">
        <f t="shared" ca="1" si="4"/>
        <v>#N/A</v>
      </c>
      <c r="F79" s="75">
        <f ca="1">INDIRECT(ADDRESS($A79,1,3,1,Menus!$K$10))</f>
        <v>0</v>
      </c>
      <c r="G79" s="2" t="e">
        <f ca="1">IF(INDIRECT(ADDRESS($A79,2,3,1,Menus!$K$10))=G$1,$D79,#N/A)</f>
        <v>#N/A</v>
      </c>
      <c r="H79" s="2" t="e">
        <f ca="1">IF(INDIRECT(ADDRESS($A79,2,3,1,Menus!$K$10))=H$1,$D79,#N/A)</f>
        <v>#N/A</v>
      </c>
      <c r="I79" s="2" t="e">
        <f ca="1">IF(INDIRECT(ADDRESS($A79,2,3,1,Menus!$K$10))=I$1,$D79,#N/A)</f>
        <v>#N/A</v>
      </c>
      <c r="J79" s="2" t="e">
        <f ca="1">IF(INDIRECT(ADDRESS($A79,1,3,1,Menus!$K$10))=T(J$1),$D79,#N/A)</f>
        <v>#N/A</v>
      </c>
      <c r="K79" s="10">
        <f t="shared" ca="1" si="3"/>
        <v>0</v>
      </c>
      <c r="L79" s="2"/>
      <c r="M79" s="85">
        <f ca="1">OFFSET(INDIRECT(ADDRESS($A79,3,3,1,"Gross")),0,Menus!$J$4)</f>
        <v>0</v>
      </c>
      <c r="N79" s="85">
        <f ca="1">OFFSET(INDIRECT(ADDRESS($A79,3,3,1,"Gross")),0,Menus!$J$3)</f>
        <v>0</v>
      </c>
    </row>
    <row r="80" spans="1:14" x14ac:dyDescent="0.25">
      <c r="A80">
        <v>160</v>
      </c>
      <c r="B80" s="2">
        <f ca="1">OFFSET(INDIRECT(ADDRESS($A80,3,3,1,Menus!$K$10)),0,Menus!$J$4)</f>
        <v>0</v>
      </c>
      <c r="C80" s="2">
        <f ca="1">OFFSET(INDIRECT(ADDRESS($A80,3,3,1,Menus!$K$10)),0,Menus!$J$3)</f>
        <v>0</v>
      </c>
      <c r="D80" s="73" t="e">
        <f ca="1">IF(Menus!$J$9,C80/B80,C80)</f>
        <v>#DIV/0!</v>
      </c>
      <c r="E80" s="74" t="e">
        <f t="shared" ca="1" si="4"/>
        <v>#N/A</v>
      </c>
      <c r="F80" s="75">
        <f ca="1">INDIRECT(ADDRESS($A80,1,3,1,Menus!$K$10))</f>
        <v>0</v>
      </c>
      <c r="G80" s="2" t="e">
        <f ca="1">IF(INDIRECT(ADDRESS($A80,2,3,1,Menus!$K$10))=G$1,$D80,#N/A)</f>
        <v>#N/A</v>
      </c>
      <c r="H80" s="2" t="e">
        <f ca="1">IF(INDIRECT(ADDRESS($A80,2,3,1,Menus!$K$10))=H$1,$D80,#N/A)</f>
        <v>#N/A</v>
      </c>
      <c r="I80" s="2" t="e">
        <f ca="1">IF(INDIRECT(ADDRESS($A80,2,3,1,Menus!$K$10))=I$1,$D80,#N/A)</f>
        <v>#N/A</v>
      </c>
      <c r="J80" s="2" t="e">
        <f ca="1">IF(INDIRECT(ADDRESS($A80,1,3,1,Menus!$K$10))=T(J$1),$D80,#N/A)</f>
        <v>#N/A</v>
      </c>
      <c r="K80" s="10">
        <f t="shared" ca="1" si="3"/>
        <v>0</v>
      </c>
      <c r="L80" s="2"/>
      <c r="M80" s="85">
        <f ca="1">OFFSET(INDIRECT(ADDRESS($A80,3,3,1,"Gross")),0,Menus!$J$4)</f>
        <v>0</v>
      </c>
      <c r="N80" s="85">
        <f ca="1">OFFSET(INDIRECT(ADDRESS($A80,3,3,1,"Gross")),0,Menus!$J$3)</f>
        <v>0</v>
      </c>
    </row>
    <row r="81" spans="1:14" x14ac:dyDescent="0.25">
      <c r="A81">
        <v>81</v>
      </c>
      <c r="B81" s="2">
        <f ca="1">OFFSET(INDIRECT(ADDRESS($A81,3,3,1,Menus!$K$10)),0,Menus!$J$4)</f>
        <v>0</v>
      </c>
      <c r="C81" s="2">
        <f ca="1">OFFSET(INDIRECT(ADDRESS($A81,3,3,1,Menus!$K$10)),0,Menus!$J$3)</f>
        <v>0</v>
      </c>
      <c r="D81" s="73" t="e">
        <f ca="1">IF(Menus!$J$9,C81/B81,C81)</f>
        <v>#DIV/0!</v>
      </c>
      <c r="E81" s="74" t="e">
        <f t="shared" ca="1" si="4"/>
        <v>#N/A</v>
      </c>
      <c r="F81" s="75">
        <f ca="1">INDIRECT(ADDRESS($A81,1,3,1,Menus!$K$10))</f>
        <v>0</v>
      </c>
      <c r="G81" s="2" t="e">
        <f ca="1">IF(INDIRECT(ADDRESS($A81,2,3,1,Menus!$K$10))=G$1,$D81,#N/A)</f>
        <v>#N/A</v>
      </c>
      <c r="H81" s="2" t="e">
        <f ca="1">IF(INDIRECT(ADDRESS($A81,2,3,1,Menus!$K$10))=H$1,$D81,#N/A)</f>
        <v>#N/A</v>
      </c>
      <c r="I81" s="2" t="e">
        <f ca="1">IF(INDIRECT(ADDRESS($A81,2,3,1,Menus!$K$10))=I$1,$D81,#N/A)</f>
        <v>#N/A</v>
      </c>
      <c r="J81" s="2" t="e">
        <f ca="1">IF(INDIRECT(ADDRESS($A81,1,3,1,Menus!$K$10))=T(J$1),$D81,#N/A)</f>
        <v>#N/A</v>
      </c>
      <c r="K81" s="10">
        <f t="shared" ca="1" si="3"/>
        <v>0</v>
      </c>
      <c r="L81" s="2"/>
      <c r="M81" s="85">
        <f ca="1">OFFSET(INDIRECT(ADDRESS($A81,3,3,1,"Gross")),0,Menus!$J$4)</f>
        <v>2</v>
      </c>
      <c r="N81" s="85">
        <f ca="1">OFFSET(INDIRECT(ADDRESS($A81,3,3,1,"Gross")),0,Menus!$J$3)</f>
        <v>2</v>
      </c>
    </row>
    <row r="82" spans="1:14" x14ac:dyDescent="0.25">
      <c r="A82">
        <v>112</v>
      </c>
      <c r="B82" s="2">
        <f ca="1">OFFSET(INDIRECT(ADDRESS($A82,3,3,1,Menus!$K$10)),0,Menus!$J$4)</f>
        <v>0</v>
      </c>
      <c r="C82" s="2">
        <f ca="1">OFFSET(INDIRECT(ADDRESS($A82,3,3,1,Menus!$K$10)),0,Menus!$J$3)</f>
        <v>0</v>
      </c>
      <c r="D82" s="73" t="e">
        <f ca="1">IF(Menus!$J$9,C82/B82,C82)</f>
        <v>#DIV/0!</v>
      </c>
      <c r="E82" s="74" t="e">
        <f t="shared" ca="1" si="4"/>
        <v>#N/A</v>
      </c>
      <c r="F82" s="75">
        <f ca="1">INDIRECT(ADDRESS($A82,1,3,1,Menus!$K$10))</f>
        <v>0</v>
      </c>
      <c r="G82" s="2" t="e">
        <f ca="1">IF(INDIRECT(ADDRESS($A82,2,3,1,Menus!$K$10))=G$1,$D82,#N/A)</f>
        <v>#N/A</v>
      </c>
      <c r="H82" s="2" t="e">
        <f ca="1">IF(INDIRECT(ADDRESS($A82,2,3,1,Menus!$K$10))=H$1,$D82,#N/A)</f>
        <v>#N/A</v>
      </c>
      <c r="I82" s="2" t="e">
        <f ca="1">IF(INDIRECT(ADDRESS($A82,2,3,1,Menus!$K$10))=I$1,$D82,#N/A)</f>
        <v>#N/A</v>
      </c>
      <c r="J82" s="2" t="e">
        <f ca="1">IF(INDIRECT(ADDRESS($A82,1,3,1,Menus!$K$10))=T(J$1),$D82,#N/A)</f>
        <v>#N/A</v>
      </c>
      <c r="K82" s="10">
        <f t="shared" ca="1" si="3"/>
        <v>0</v>
      </c>
      <c r="L82" s="2"/>
      <c r="M82" s="85">
        <f ca="1">OFFSET(INDIRECT(ADDRESS($A82,3,3,1,"Gross")),0,Menus!$J$4)</f>
        <v>0</v>
      </c>
      <c r="N82" s="85">
        <f ca="1">OFFSET(INDIRECT(ADDRESS($A82,3,3,1,"Gross")),0,Menus!$J$3)</f>
        <v>0</v>
      </c>
    </row>
    <row r="83" spans="1:14" x14ac:dyDescent="0.25">
      <c r="A83">
        <v>68</v>
      </c>
      <c r="B83" s="2">
        <f ca="1">OFFSET(INDIRECT(ADDRESS($A83,3,3,1,Menus!$K$10)),0,Menus!$J$4)</f>
        <v>0</v>
      </c>
      <c r="C83" s="2">
        <f ca="1">OFFSET(INDIRECT(ADDRESS($A83,3,3,1,Menus!$K$10)),0,Menus!$J$3)</f>
        <v>0</v>
      </c>
      <c r="D83" s="73" t="e">
        <f ca="1">IF(Menus!$J$9,C83/B83,C83)</f>
        <v>#DIV/0!</v>
      </c>
      <c r="E83" s="74" t="e">
        <f t="shared" ca="1" si="4"/>
        <v>#N/A</v>
      </c>
      <c r="F83" s="75">
        <f ca="1">INDIRECT(ADDRESS($A83,1,3,1,Menus!$K$10))</f>
        <v>0</v>
      </c>
      <c r="G83" s="2" t="e">
        <f ca="1">IF(INDIRECT(ADDRESS($A83,2,3,1,Menus!$K$10))=G$1,$D83,#N/A)</f>
        <v>#N/A</v>
      </c>
      <c r="H83" s="2" t="e">
        <f ca="1">IF(INDIRECT(ADDRESS($A83,2,3,1,Menus!$K$10))=H$1,$D83,#N/A)</f>
        <v>#N/A</v>
      </c>
      <c r="I83" s="2" t="e">
        <f ca="1">IF(INDIRECT(ADDRESS($A83,2,3,1,Menus!$K$10))=I$1,$D83,#N/A)</f>
        <v>#N/A</v>
      </c>
      <c r="J83" s="2" t="e">
        <f ca="1">IF(INDIRECT(ADDRESS($A83,1,3,1,Menus!$K$10))=T(J$1),$D83,#N/A)</f>
        <v>#N/A</v>
      </c>
      <c r="K83" s="10">
        <f t="shared" ca="1" si="3"/>
        <v>0</v>
      </c>
      <c r="L83" s="2"/>
      <c r="M83" s="85">
        <f ca="1">OFFSET(INDIRECT(ADDRESS($A83,3,3,1,"Gross")),0,Menus!$J$4)</f>
        <v>1</v>
      </c>
      <c r="N83" s="85">
        <f ca="1">OFFSET(INDIRECT(ADDRESS($A83,3,3,1,"Gross")),0,Menus!$J$3)</f>
        <v>2</v>
      </c>
    </row>
    <row r="84" spans="1:14" x14ac:dyDescent="0.25">
      <c r="A84">
        <v>190</v>
      </c>
      <c r="B84" s="2">
        <f ca="1">OFFSET(INDIRECT(ADDRESS($A84,3,3,1,Menus!$K$10)),0,Menus!$J$4)</f>
        <v>0</v>
      </c>
      <c r="C84" s="2">
        <f ca="1">OFFSET(INDIRECT(ADDRESS($A84,3,3,1,Menus!$K$10)),0,Menus!$J$3)</f>
        <v>0</v>
      </c>
      <c r="D84" s="73" t="e">
        <f ca="1">IF(Menus!$J$9,C84/B84,C84)</f>
        <v>#DIV/0!</v>
      </c>
      <c r="E84" s="74" t="e">
        <f t="shared" ca="1" si="4"/>
        <v>#N/A</v>
      </c>
      <c r="F84" s="75">
        <f ca="1">INDIRECT(ADDRESS($A84,1,3,1,Menus!$K$10))</f>
        <v>0</v>
      </c>
      <c r="G84" s="2" t="e">
        <f ca="1">IF(INDIRECT(ADDRESS($A84,2,3,1,Menus!$K$10))=G$1,$D84,#N/A)</f>
        <v>#N/A</v>
      </c>
      <c r="H84" s="2" t="e">
        <f ca="1">IF(INDIRECT(ADDRESS($A84,2,3,1,Menus!$K$10))=H$1,$D84,#N/A)</f>
        <v>#N/A</v>
      </c>
      <c r="I84" s="2" t="e">
        <f ca="1">IF(INDIRECT(ADDRESS($A84,2,3,1,Menus!$K$10))=I$1,$D84,#N/A)</f>
        <v>#N/A</v>
      </c>
      <c r="J84" s="2" t="e">
        <f ca="1">IF(INDIRECT(ADDRESS($A84,1,3,1,Menus!$K$10))=T(J$1),$D84,#N/A)</f>
        <v>#N/A</v>
      </c>
      <c r="K84" s="10">
        <f t="shared" ca="1" si="3"/>
        <v>0</v>
      </c>
      <c r="L84" s="2"/>
      <c r="M84" s="85">
        <f ca="1">OFFSET(INDIRECT(ADDRESS($A84,3,3,1,"Gross")),0,Menus!$J$4)</f>
        <v>0</v>
      </c>
      <c r="N84" s="85">
        <f ca="1">OFFSET(INDIRECT(ADDRESS($A84,3,3,1,"Gross")),0,Menus!$J$3)</f>
        <v>0</v>
      </c>
    </row>
    <row r="85" spans="1:14" x14ac:dyDescent="0.25">
      <c r="A85">
        <v>69</v>
      </c>
      <c r="B85" s="2">
        <f ca="1">OFFSET(INDIRECT(ADDRESS($A85,3,3,1,Menus!$K$10)),0,Menus!$J$4)</f>
        <v>0</v>
      </c>
      <c r="C85" s="2">
        <f ca="1">OFFSET(INDIRECT(ADDRESS($A85,3,3,1,Menus!$K$10)),0,Menus!$J$3)</f>
        <v>0</v>
      </c>
      <c r="D85" s="73" t="e">
        <f ca="1">IF(Menus!$J$9,C85/B85,C85)</f>
        <v>#DIV/0!</v>
      </c>
      <c r="E85" s="74" t="e">
        <f t="shared" ca="1" si="4"/>
        <v>#N/A</v>
      </c>
      <c r="F85" s="75">
        <f ca="1">INDIRECT(ADDRESS($A85,1,3,1,Menus!$K$10))</f>
        <v>0</v>
      </c>
      <c r="G85" s="2" t="e">
        <f ca="1">IF(INDIRECT(ADDRESS($A85,2,3,1,Menus!$K$10))=G$1,$D85,#N/A)</f>
        <v>#N/A</v>
      </c>
      <c r="H85" s="2" t="e">
        <f ca="1">IF(INDIRECT(ADDRESS($A85,2,3,1,Menus!$K$10))=H$1,$D85,#N/A)</f>
        <v>#N/A</v>
      </c>
      <c r="I85" s="2" t="e">
        <f ca="1">IF(INDIRECT(ADDRESS($A85,2,3,1,Menus!$K$10))=I$1,$D85,#N/A)</f>
        <v>#N/A</v>
      </c>
      <c r="J85" s="2" t="e">
        <f ca="1">IF(INDIRECT(ADDRESS($A85,1,3,1,Menus!$K$10))=T(J$1),$D85,#N/A)</f>
        <v>#N/A</v>
      </c>
      <c r="K85" s="10">
        <f t="shared" ca="1" si="3"/>
        <v>0</v>
      </c>
      <c r="L85" s="2"/>
      <c r="M85" s="85">
        <f ca="1">OFFSET(INDIRECT(ADDRESS($A85,3,3,1,"Gross")),0,Menus!$J$4)</f>
        <v>0</v>
      </c>
      <c r="N85" s="85">
        <f ca="1">OFFSET(INDIRECT(ADDRESS($A85,3,3,1,"Gross")),0,Menus!$J$3)</f>
        <v>0</v>
      </c>
    </row>
    <row r="86" spans="1:14" x14ac:dyDescent="0.25">
      <c r="A86">
        <v>134</v>
      </c>
      <c r="B86" s="2">
        <f ca="1">OFFSET(INDIRECT(ADDRESS($A86,3,3,1,Menus!$K$10)),0,Menus!$J$4)</f>
        <v>0</v>
      </c>
      <c r="C86" s="2">
        <f ca="1">OFFSET(INDIRECT(ADDRESS($A86,3,3,1,Menus!$K$10)),0,Menus!$J$3)</f>
        <v>0</v>
      </c>
      <c r="D86" s="73" t="e">
        <f ca="1">IF(Menus!$J$9,C86/B86,C86)</f>
        <v>#DIV/0!</v>
      </c>
      <c r="E86" s="74" t="e">
        <f t="shared" ca="1" si="4"/>
        <v>#N/A</v>
      </c>
      <c r="F86" s="75">
        <f ca="1">INDIRECT(ADDRESS($A86,1,3,1,Menus!$K$10))</f>
        <v>0</v>
      </c>
      <c r="G86" s="2" t="e">
        <f ca="1">IF(INDIRECT(ADDRESS($A86,2,3,1,Menus!$K$10))=G$1,$D86,#N/A)</f>
        <v>#N/A</v>
      </c>
      <c r="H86" s="2" t="e">
        <f ca="1">IF(INDIRECT(ADDRESS($A86,2,3,1,Menus!$K$10))=H$1,$D86,#N/A)</f>
        <v>#N/A</v>
      </c>
      <c r="I86" s="2" t="e">
        <f ca="1">IF(INDIRECT(ADDRESS($A86,2,3,1,Menus!$K$10))=I$1,$D86,#N/A)</f>
        <v>#N/A</v>
      </c>
      <c r="J86" s="2" t="e">
        <f ca="1">IF(INDIRECT(ADDRESS($A86,1,3,1,Menus!$K$10))=T(J$1),$D86,#N/A)</f>
        <v>#N/A</v>
      </c>
      <c r="K86" s="10">
        <f t="shared" ca="1" si="3"/>
        <v>0</v>
      </c>
      <c r="L86" s="2"/>
      <c r="M86" s="85">
        <f ca="1">OFFSET(INDIRECT(ADDRESS($A86,3,3,1,"Gross")),0,Menus!$J$4)</f>
        <v>0</v>
      </c>
      <c r="N86" s="85">
        <f ca="1">OFFSET(INDIRECT(ADDRESS($A86,3,3,1,"Gross")),0,Menus!$J$3)</f>
        <v>2</v>
      </c>
    </row>
    <row r="87" spans="1:14" x14ac:dyDescent="0.25">
      <c r="A87">
        <v>135</v>
      </c>
      <c r="B87" s="2">
        <f ca="1">OFFSET(INDIRECT(ADDRESS($A87,3,3,1,Menus!$K$10)),0,Menus!$J$4)</f>
        <v>0</v>
      </c>
      <c r="C87" s="2">
        <f ca="1">OFFSET(INDIRECT(ADDRESS($A87,3,3,1,Menus!$K$10)),0,Menus!$J$3)</f>
        <v>0</v>
      </c>
      <c r="D87" s="73" t="e">
        <f ca="1">IF(Menus!$J$9,C87/B87,C87)</f>
        <v>#DIV/0!</v>
      </c>
      <c r="E87" s="74" t="e">
        <f t="shared" ca="1" si="4"/>
        <v>#N/A</v>
      </c>
      <c r="F87" s="75">
        <f ca="1">INDIRECT(ADDRESS($A87,1,3,1,Menus!$K$10))</f>
        <v>0</v>
      </c>
      <c r="G87" s="2" t="e">
        <f ca="1">IF(INDIRECT(ADDRESS($A87,2,3,1,Menus!$K$10))=G$1,$D87,#N/A)</f>
        <v>#N/A</v>
      </c>
      <c r="H87" s="2" t="e">
        <f ca="1">IF(INDIRECT(ADDRESS($A87,2,3,1,Menus!$K$10))=H$1,$D87,#N/A)</f>
        <v>#N/A</v>
      </c>
      <c r="I87" s="2" t="e">
        <f ca="1">IF(INDIRECT(ADDRESS($A87,2,3,1,Menus!$K$10))=I$1,$D87,#N/A)</f>
        <v>#N/A</v>
      </c>
      <c r="J87" s="2" t="e">
        <f ca="1">IF(INDIRECT(ADDRESS($A87,1,3,1,Menus!$K$10))=T(J$1),$D87,#N/A)</f>
        <v>#N/A</v>
      </c>
      <c r="K87" s="10">
        <f t="shared" ca="1" si="3"/>
        <v>0</v>
      </c>
      <c r="L87" s="2"/>
      <c r="M87" s="85">
        <f ca="1">OFFSET(INDIRECT(ADDRESS($A87,3,3,1,"Gross")),0,Menus!$J$4)</f>
        <v>0</v>
      </c>
      <c r="N87" s="85">
        <f ca="1">OFFSET(INDIRECT(ADDRESS($A87,3,3,1,"Gross")),0,Menus!$J$3)</f>
        <v>0</v>
      </c>
    </row>
    <row r="88" spans="1:14" x14ac:dyDescent="0.25">
      <c r="A88">
        <v>193</v>
      </c>
      <c r="B88" s="2">
        <f ca="1">OFFSET(INDIRECT(ADDRESS($A88,3,3,1,Menus!$K$10)),0,Menus!$J$4)</f>
        <v>0</v>
      </c>
      <c r="C88" s="2">
        <f ca="1">OFFSET(INDIRECT(ADDRESS($A88,3,3,1,Menus!$K$10)),0,Menus!$J$3)</f>
        <v>0</v>
      </c>
      <c r="D88" s="73" t="e">
        <f ca="1">IF(Menus!$J$9,C88/B88,C88)</f>
        <v>#DIV/0!</v>
      </c>
      <c r="E88" s="74" t="e">
        <f t="shared" ca="1" si="4"/>
        <v>#N/A</v>
      </c>
      <c r="F88" s="75">
        <f ca="1">INDIRECT(ADDRESS($A88,1,3,1,Menus!$K$10))</f>
        <v>0</v>
      </c>
      <c r="G88" s="2" t="e">
        <f ca="1">IF(INDIRECT(ADDRESS($A88,2,3,1,Menus!$K$10))=G$1,$D88,#N/A)</f>
        <v>#N/A</v>
      </c>
      <c r="H88" s="2" t="e">
        <f ca="1">IF(INDIRECT(ADDRESS($A88,2,3,1,Menus!$K$10))=H$1,$D88,#N/A)</f>
        <v>#N/A</v>
      </c>
      <c r="I88" s="2" t="e">
        <f ca="1">IF(INDIRECT(ADDRESS($A88,2,3,1,Menus!$K$10))=I$1,$D88,#N/A)</f>
        <v>#N/A</v>
      </c>
      <c r="J88" s="2" t="e">
        <f ca="1">IF(INDIRECT(ADDRESS($A88,1,3,1,Menus!$K$10))=T(J$1),$D88,#N/A)</f>
        <v>#N/A</v>
      </c>
      <c r="K88" s="10">
        <f t="shared" ca="1" si="3"/>
        <v>0</v>
      </c>
      <c r="L88" s="2"/>
      <c r="M88" s="85">
        <f ca="1">OFFSET(INDIRECT(ADDRESS($A88,3,3,1,"Gross")),0,Menus!$J$4)</f>
        <v>0</v>
      </c>
      <c r="N88" s="85">
        <f ca="1">OFFSET(INDIRECT(ADDRESS($A88,3,3,1,"Gross")),0,Menus!$J$3)</f>
        <v>0</v>
      </c>
    </row>
    <row r="89" spans="1:14" x14ac:dyDescent="0.25">
      <c r="A89">
        <v>55</v>
      </c>
      <c r="B89" s="2">
        <f ca="1">OFFSET(INDIRECT(ADDRESS($A89,3,3,1,Menus!$K$10)),0,Menus!$J$4)</f>
        <v>0</v>
      </c>
      <c r="C89" s="2">
        <f ca="1">OFFSET(INDIRECT(ADDRESS($A89,3,3,1,Menus!$K$10)),0,Menus!$J$3)</f>
        <v>0</v>
      </c>
      <c r="D89" s="73" t="e">
        <f ca="1">IF(Menus!$J$9,C89/B89,C89)</f>
        <v>#DIV/0!</v>
      </c>
      <c r="E89" s="74" t="e">
        <f t="shared" ca="1" si="4"/>
        <v>#N/A</v>
      </c>
      <c r="F89" s="75">
        <f ca="1">INDIRECT(ADDRESS($A89,1,3,1,Menus!$K$10))</f>
        <v>0</v>
      </c>
      <c r="G89" s="2" t="e">
        <f ca="1">IF(INDIRECT(ADDRESS($A89,2,3,1,Menus!$K$10))=G$1,$D89,#N/A)</f>
        <v>#N/A</v>
      </c>
      <c r="H89" s="2" t="e">
        <f ca="1">IF(INDIRECT(ADDRESS($A89,2,3,1,Menus!$K$10))=H$1,$D89,#N/A)</f>
        <v>#N/A</v>
      </c>
      <c r="I89" s="2" t="e">
        <f ca="1">IF(INDIRECT(ADDRESS($A89,2,3,1,Menus!$K$10))=I$1,$D89,#N/A)</f>
        <v>#N/A</v>
      </c>
      <c r="J89" s="2" t="e">
        <f ca="1">IF(INDIRECT(ADDRESS($A89,1,3,1,Menus!$K$10))=T(J$1),$D89,#N/A)</f>
        <v>#N/A</v>
      </c>
      <c r="K89" s="10">
        <f t="shared" ca="1" si="3"/>
        <v>0</v>
      </c>
      <c r="L89" s="2"/>
      <c r="M89" s="85">
        <f ca="1">OFFSET(INDIRECT(ADDRESS($A89,3,3,1,"Gross")),0,Menus!$J$4)</f>
        <v>0</v>
      </c>
      <c r="N89" s="85">
        <f ca="1">OFFSET(INDIRECT(ADDRESS($A89,3,3,1,"Gross")),0,Menus!$J$3)</f>
        <v>0</v>
      </c>
    </row>
    <row r="90" spans="1:14" x14ac:dyDescent="0.25">
      <c r="A90">
        <v>188</v>
      </c>
      <c r="B90" s="2">
        <f ca="1">OFFSET(INDIRECT(ADDRESS($A90,3,3,1,Menus!$K$10)),0,Menus!$J$4)</f>
        <v>0</v>
      </c>
      <c r="C90" s="2">
        <f ca="1">OFFSET(INDIRECT(ADDRESS($A90,3,3,1,Menus!$K$10)),0,Menus!$J$3)</f>
        <v>0</v>
      </c>
      <c r="D90" s="73" t="e">
        <f ca="1">IF(Menus!$J$9,C90/B90,C90)</f>
        <v>#DIV/0!</v>
      </c>
      <c r="E90" s="74" t="e">
        <f t="shared" ca="1" si="4"/>
        <v>#N/A</v>
      </c>
      <c r="F90" s="75">
        <f ca="1">INDIRECT(ADDRESS($A90,1,3,1,Menus!$K$10))</f>
        <v>0</v>
      </c>
      <c r="G90" s="2" t="e">
        <f ca="1">IF(INDIRECT(ADDRESS($A90,2,3,1,Menus!$K$10))=G$1,$D90,#N/A)</f>
        <v>#N/A</v>
      </c>
      <c r="H90" s="2" t="e">
        <f ca="1">IF(INDIRECT(ADDRESS($A90,2,3,1,Menus!$K$10))=H$1,$D90,#N/A)</f>
        <v>#N/A</v>
      </c>
      <c r="I90" s="2" t="e">
        <f ca="1">IF(INDIRECT(ADDRESS($A90,2,3,1,Menus!$K$10))=I$1,$D90,#N/A)</f>
        <v>#N/A</v>
      </c>
      <c r="J90" s="2" t="e">
        <f ca="1">IF(INDIRECT(ADDRESS($A90,1,3,1,Menus!$K$10))=T(J$1),$D90,#N/A)</f>
        <v>#N/A</v>
      </c>
      <c r="K90" s="10">
        <f t="shared" ca="1" si="3"/>
        <v>0</v>
      </c>
      <c r="L90" s="2"/>
      <c r="M90" s="85">
        <f ca="1">OFFSET(INDIRECT(ADDRESS($A90,3,3,1,"Gross")),0,Menus!$J$4)</f>
        <v>0</v>
      </c>
      <c r="N90" s="85">
        <f ca="1">OFFSET(INDIRECT(ADDRESS($A90,3,3,1,"Gross")),0,Menus!$J$3)</f>
        <v>0</v>
      </c>
    </row>
    <row r="91" spans="1:14" x14ac:dyDescent="0.25">
      <c r="A91">
        <v>116</v>
      </c>
      <c r="B91" s="2">
        <f ca="1">OFFSET(INDIRECT(ADDRESS($A91,3,3,1,Menus!$K$10)),0,Menus!$J$4)</f>
        <v>0</v>
      </c>
      <c r="C91" s="2">
        <f ca="1">OFFSET(INDIRECT(ADDRESS($A91,3,3,1,Menus!$K$10)),0,Menus!$J$3)</f>
        <v>0</v>
      </c>
      <c r="D91" s="73" t="e">
        <f ca="1">IF(Menus!$J$9,C91/B91,C91)</f>
        <v>#DIV/0!</v>
      </c>
      <c r="E91" s="74" t="e">
        <f t="shared" ca="1" si="4"/>
        <v>#N/A</v>
      </c>
      <c r="F91" s="75">
        <f ca="1">INDIRECT(ADDRESS($A91,1,3,1,Menus!$K$10))</f>
        <v>0</v>
      </c>
      <c r="G91" s="2" t="e">
        <f ca="1">IF(INDIRECT(ADDRESS($A91,2,3,1,Menus!$K$10))=G$1,$D91,#N/A)</f>
        <v>#N/A</v>
      </c>
      <c r="H91" s="2" t="e">
        <f ca="1">IF(INDIRECT(ADDRESS($A91,2,3,1,Menus!$K$10))=H$1,$D91,#N/A)</f>
        <v>#N/A</v>
      </c>
      <c r="I91" s="2" t="e">
        <f ca="1">IF(INDIRECT(ADDRESS($A91,2,3,1,Menus!$K$10))=I$1,$D91,#N/A)</f>
        <v>#N/A</v>
      </c>
      <c r="J91" s="2" t="e">
        <f ca="1">IF(INDIRECT(ADDRESS($A91,1,3,1,Menus!$K$10))=T(J$1),$D91,#N/A)</f>
        <v>#N/A</v>
      </c>
      <c r="K91" s="10">
        <f t="shared" ca="1" si="3"/>
        <v>0</v>
      </c>
      <c r="L91" s="2"/>
      <c r="M91" s="85">
        <f ca="1">OFFSET(INDIRECT(ADDRESS($A91,3,3,1,"Gross")),0,Menus!$J$4)</f>
        <v>0</v>
      </c>
      <c r="N91" s="85">
        <f ca="1">OFFSET(INDIRECT(ADDRESS($A91,3,3,1,"Gross")),0,Menus!$J$3)</f>
        <v>0</v>
      </c>
    </row>
    <row r="92" spans="1:14" x14ac:dyDescent="0.25">
      <c r="A92">
        <v>95</v>
      </c>
      <c r="B92" s="2">
        <f ca="1">OFFSET(INDIRECT(ADDRESS($A92,3,3,1,Menus!$K$10)),0,Menus!$J$4)</f>
        <v>0</v>
      </c>
      <c r="C92" s="2">
        <f ca="1">OFFSET(INDIRECT(ADDRESS($A92,3,3,1,Menus!$K$10)),0,Menus!$J$3)</f>
        <v>0</v>
      </c>
      <c r="D92" s="73" t="e">
        <f ca="1">IF(Menus!$J$9,C92/B92,C92)</f>
        <v>#DIV/0!</v>
      </c>
      <c r="E92" s="74" t="e">
        <f t="shared" ca="1" si="4"/>
        <v>#N/A</v>
      </c>
      <c r="F92" s="75">
        <f ca="1">INDIRECT(ADDRESS($A92,1,3,1,Menus!$K$10))</f>
        <v>0</v>
      </c>
      <c r="G92" s="2" t="e">
        <f ca="1">IF(INDIRECT(ADDRESS($A92,2,3,1,Menus!$K$10))=G$1,$D92,#N/A)</f>
        <v>#N/A</v>
      </c>
      <c r="H92" s="2" t="e">
        <f ca="1">IF(INDIRECT(ADDRESS($A92,2,3,1,Menus!$K$10))=H$1,$D92,#N/A)</f>
        <v>#N/A</v>
      </c>
      <c r="I92" s="2" t="e">
        <f ca="1">IF(INDIRECT(ADDRESS($A92,2,3,1,Menus!$K$10))=I$1,$D92,#N/A)</f>
        <v>#N/A</v>
      </c>
      <c r="J92" s="2" t="e">
        <f ca="1">IF(INDIRECT(ADDRESS($A92,1,3,1,Menus!$K$10))=T(J$1),$D92,#N/A)</f>
        <v>#N/A</v>
      </c>
      <c r="K92" s="10">
        <f t="shared" ca="1" si="3"/>
        <v>0</v>
      </c>
      <c r="L92" s="2"/>
      <c r="M92" s="85">
        <f ca="1">OFFSET(INDIRECT(ADDRESS($A92,3,3,1,"Gross")),0,Menus!$J$4)</f>
        <v>0</v>
      </c>
      <c r="N92" s="85">
        <f ca="1">OFFSET(INDIRECT(ADDRESS($A92,3,3,1,"Gross")),0,Menus!$J$3)</f>
        <v>0</v>
      </c>
    </row>
    <row r="93" spans="1:14" x14ac:dyDescent="0.25">
      <c r="A93">
        <v>181</v>
      </c>
      <c r="B93" s="2">
        <f ca="1">OFFSET(INDIRECT(ADDRESS($A93,3,3,1,Menus!$K$10)),0,Menus!$J$4)</f>
        <v>0</v>
      </c>
      <c r="C93" s="2">
        <f ca="1">OFFSET(INDIRECT(ADDRESS($A93,3,3,1,Menus!$K$10)),0,Menus!$J$3)</f>
        <v>0</v>
      </c>
      <c r="D93" s="73" t="e">
        <f ca="1">IF(Menus!$J$9,C93/B93,C93)</f>
        <v>#DIV/0!</v>
      </c>
      <c r="E93" s="74" t="e">
        <f t="shared" ca="1" si="4"/>
        <v>#N/A</v>
      </c>
      <c r="F93" s="75">
        <f ca="1">INDIRECT(ADDRESS($A93,1,3,1,Menus!$K$10))</f>
        <v>0</v>
      </c>
      <c r="G93" s="2" t="e">
        <f ca="1">IF(INDIRECT(ADDRESS($A93,2,3,1,Menus!$K$10))=G$1,$D93,#N/A)</f>
        <v>#N/A</v>
      </c>
      <c r="H93" s="2" t="e">
        <f ca="1">IF(INDIRECT(ADDRESS($A93,2,3,1,Menus!$K$10))=H$1,$D93,#N/A)</f>
        <v>#N/A</v>
      </c>
      <c r="I93" s="2" t="e">
        <f ca="1">IF(INDIRECT(ADDRESS($A93,2,3,1,Menus!$K$10))=I$1,$D93,#N/A)</f>
        <v>#N/A</v>
      </c>
      <c r="J93" s="2" t="e">
        <f ca="1">IF(INDIRECT(ADDRESS($A93,1,3,1,Menus!$K$10))=T(J$1),$D93,#N/A)</f>
        <v>#N/A</v>
      </c>
      <c r="K93" s="10">
        <f t="shared" ca="1" si="3"/>
        <v>0</v>
      </c>
      <c r="L93" s="2"/>
      <c r="M93" s="85">
        <f ca="1">OFFSET(INDIRECT(ADDRESS($A93,3,3,1,"Gross")),0,Menus!$J$4)</f>
        <v>0</v>
      </c>
      <c r="N93" s="85">
        <f ca="1">OFFSET(INDIRECT(ADDRESS($A93,3,3,1,"Gross")),0,Menus!$J$3)</f>
        <v>0</v>
      </c>
    </row>
    <row r="94" spans="1:14" x14ac:dyDescent="0.25">
      <c r="A94">
        <v>161</v>
      </c>
      <c r="B94" s="2">
        <f ca="1">OFFSET(INDIRECT(ADDRESS($A94,3,3,1,Menus!$K$10)),0,Menus!$J$4)</f>
        <v>0</v>
      </c>
      <c r="C94" s="2">
        <f ca="1">OFFSET(INDIRECT(ADDRESS($A94,3,3,1,Menus!$K$10)),0,Menus!$J$3)</f>
        <v>0</v>
      </c>
      <c r="D94" s="73" t="e">
        <f ca="1">IF(Menus!$J$9,C94/B94,C94)</f>
        <v>#DIV/0!</v>
      </c>
      <c r="E94" s="74" t="e">
        <f t="shared" ca="1" si="4"/>
        <v>#N/A</v>
      </c>
      <c r="F94" s="75">
        <f ca="1">INDIRECT(ADDRESS($A94,1,3,1,Menus!$K$10))</f>
        <v>0</v>
      </c>
      <c r="G94" s="2" t="e">
        <f ca="1">IF(INDIRECT(ADDRESS($A94,2,3,1,Menus!$K$10))=G$1,$D94,#N/A)</f>
        <v>#N/A</v>
      </c>
      <c r="H94" s="2" t="e">
        <f ca="1">IF(INDIRECT(ADDRESS($A94,2,3,1,Menus!$K$10))=H$1,$D94,#N/A)</f>
        <v>#N/A</v>
      </c>
      <c r="I94" s="2" t="e">
        <f ca="1">IF(INDIRECT(ADDRESS($A94,2,3,1,Menus!$K$10))=I$1,$D94,#N/A)</f>
        <v>#N/A</v>
      </c>
      <c r="J94" s="2" t="e">
        <f ca="1">IF(INDIRECT(ADDRESS($A94,1,3,1,Menus!$K$10))=T(J$1),$D94,#N/A)</f>
        <v>#N/A</v>
      </c>
      <c r="K94" s="10">
        <f t="shared" ca="1" si="3"/>
        <v>0</v>
      </c>
      <c r="L94" s="2"/>
      <c r="M94" s="85">
        <f ca="1">OFFSET(INDIRECT(ADDRESS($A94,3,3,1,"Gross")),0,Menus!$J$4)</f>
        <v>0</v>
      </c>
      <c r="N94" s="85">
        <f ca="1">OFFSET(INDIRECT(ADDRESS($A94,3,3,1,"Gross")),0,Menus!$J$3)</f>
        <v>0</v>
      </c>
    </row>
    <row r="95" spans="1:14" x14ac:dyDescent="0.25">
      <c r="A95">
        <v>145</v>
      </c>
      <c r="B95" s="2">
        <f ca="1">OFFSET(INDIRECT(ADDRESS($A95,3,3,1,Menus!$K$10)),0,Menus!$J$4)</f>
        <v>0</v>
      </c>
      <c r="C95" s="2">
        <f ca="1">OFFSET(INDIRECT(ADDRESS($A95,3,3,1,Menus!$K$10)),0,Menus!$J$3)</f>
        <v>0</v>
      </c>
      <c r="D95" s="73" t="e">
        <f ca="1">IF(Menus!$J$9,C95/B95,C95)</f>
        <v>#DIV/0!</v>
      </c>
      <c r="E95" s="74" t="e">
        <f t="shared" ca="1" si="4"/>
        <v>#N/A</v>
      </c>
      <c r="F95" s="75">
        <f ca="1">INDIRECT(ADDRESS($A95,1,3,1,Menus!$K$10))</f>
        <v>0</v>
      </c>
      <c r="G95" s="2" t="e">
        <f ca="1">IF(INDIRECT(ADDRESS($A95,2,3,1,Menus!$K$10))=G$1,$D95,#N/A)</f>
        <v>#N/A</v>
      </c>
      <c r="H95" s="2" t="e">
        <f ca="1">IF(INDIRECT(ADDRESS($A95,2,3,1,Menus!$K$10))=H$1,$D95,#N/A)</f>
        <v>#N/A</v>
      </c>
      <c r="I95" s="2" t="e">
        <f ca="1">IF(INDIRECT(ADDRESS($A95,2,3,1,Menus!$K$10))=I$1,$D95,#N/A)</f>
        <v>#N/A</v>
      </c>
      <c r="J95" s="2" t="e">
        <f ca="1">IF(INDIRECT(ADDRESS($A95,1,3,1,Menus!$K$10))=T(J$1),$D95,#N/A)</f>
        <v>#N/A</v>
      </c>
      <c r="K95" s="10">
        <f t="shared" ca="1" si="3"/>
        <v>0</v>
      </c>
      <c r="L95" s="2"/>
      <c r="M95" s="85">
        <f ca="1">OFFSET(INDIRECT(ADDRESS($A95,3,3,1,"Gross")),0,Menus!$J$4)</f>
        <v>0</v>
      </c>
      <c r="N95" s="85">
        <f ca="1">OFFSET(INDIRECT(ADDRESS($A95,3,3,1,"Gross")),0,Menus!$J$3)</f>
        <v>0</v>
      </c>
    </row>
    <row r="96" spans="1:14" x14ac:dyDescent="0.25">
      <c r="A96">
        <v>74</v>
      </c>
      <c r="B96" s="2">
        <f ca="1">OFFSET(INDIRECT(ADDRESS($A96,3,3,1,Menus!$K$10)),0,Menus!$J$4)</f>
        <v>0</v>
      </c>
      <c r="C96" s="2">
        <f ca="1">OFFSET(INDIRECT(ADDRESS($A96,3,3,1,Menus!$K$10)),0,Menus!$J$3)</f>
        <v>0</v>
      </c>
      <c r="D96" s="73" t="e">
        <f ca="1">IF(Menus!$J$9,C96/B96,C96)</f>
        <v>#DIV/0!</v>
      </c>
      <c r="E96" s="74" t="e">
        <f t="shared" ca="1" si="4"/>
        <v>#N/A</v>
      </c>
      <c r="F96" s="75">
        <f ca="1">INDIRECT(ADDRESS($A96,1,3,1,Menus!$K$10))</f>
        <v>0</v>
      </c>
      <c r="G96" s="2" t="e">
        <f ca="1">IF(INDIRECT(ADDRESS($A96,2,3,1,Menus!$K$10))=G$1,$D96,#N/A)</f>
        <v>#N/A</v>
      </c>
      <c r="H96" s="2" t="e">
        <f ca="1">IF(INDIRECT(ADDRESS($A96,2,3,1,Menus!$K$10))=H$1,$D96,#N/A)</f>
        <v>#N/A</v>
      </c>
      <c r="I96" s="2" t="e">
        <f ca="1">IF(INDIRECT(ADDRESS($A96,2,3,1,Menus!$K$10))=I$1,$D96,#N/A)</f>
        <v>#N/A</v>
      </c>
      <c r="J96" s="2" t="e">
        <f ca="1">IF(INDIRECT(ADDRESS($A96,1,3,1,Menus!$K$10))=T(J$1),$D96,#N/A)</f>
        <v>#N/A</v>
      </c>
      <c r="K96" s="10">
        <f t="shared" ca="1" si="3"/>
        <v>0</v>
      </c>
      <c r="L96" s="2"/>
      <c r="M96" s="85">
        <f ca="1">OFFSET(INDIRECT(ADDRESS($A96,3,3,1,"Gross")),0,Menus!$J$4)</f>
        <v>0</v>
      </c>
      <c r="N96" s="85">
        <f ca="1">OFFSET(INDIRECT(ADDRESS($A96,3,3,1,"Gross")),0,Menus!$J$3)</f>
        <v>0</v>
      </c>
    </row>
    <row r="97" spans="1:14" x14ac:dyDescent="0.25">
      <c r="A97">
        <v>163</v>
      </c>
      <c r="B97" s="2">
        <f ca="1">OFFSET(INDIRECT(ADDRESS($A97,3,3,1,Menus!$K$10)),0,Menus!$J$4)</f>
        <v>0</v>
      </c>
      <c r="C97" s="2">
        <f ca="1">OFFSET(INDIRECT(ADDRESS($A97,3,3,1,Menus!$K$10)),0,Menus!$J$3)</f>
        <v>0</v>
      </c>
      <c r="D97" s="73" t="e">
        <f ca="1">IF(Menus!$J$9,C97/B97,C97)</f>
        <v>#DIV/0!</v>
      </c>
      <c r="E97" s="74" t="e">
        <f t="shared" ca="1" si="4"/>
        <v>#N/A</v>
      </c>
      <c r="F97" s="75">
        <f ca="1">INDIRECT(ADDRESS($A97,1,3,1,Menus!$K$10))</f>
        <v>0</v>
      </c>
      <c r="G97" s="2" t="e">
        <f ca="1">IF(INDIRECT(ADDRESS($A97,2,3,1,Menus!$K$10))=G$1,$D97,#N/A)</f>
        <v>#N/A</v>
      </c>
      <c r="H97" s="2" t="e">
        <f ca="1">IF(INDIRECT(ADDRESS($A97,2,3,1,Menus!$K$10))=H$1,$D97,#N/A)</f>
        <v>#N/A</v>
      </c>
      <c r="I97" s="2" t="e">
        <f ca="1">IF(INDIRECT(ADDRESS($A97,2,3,1,Menus!$K$10))=I$1,$D97,#N/A)</f>
        <v>#N/A</v>
      </c>
      <c r="J97" s="2" t="e">
        <f ca="1">IF(INDIRECT(ADDRESS($A97,1,3,1,Menus!$K$10))=T(J$1),$D97,#N/A)</f>
        <v>#N/A</v>
      </c>
      <c r="K97" s="10">
        <f t="shared" ca="1" si="3"/>
        <v>0</v>
      </c>
      <c r="L97" s="2"/>
      <c r="M97" s="85">
        <f ca="1">OFFSET(INDIRECT(ADDRESS($A97,3,3,1,"Gross")),0,Menus!$J$4)</f>
        <v>0</v>
      </c>
      <c r="N97" s="85">
        <f ca="1">OFFSET(INDIRECT(ADDRESS($A97,3,3,1,"Gross")),0,Menus!$J$3)</f>
        <v>0</v>
      </c>
    </row>
    <row r="98" spans="1:14" x14ac:dyDescent="0.25">
      <c r="A98">
        <v>164</v>
      </c>
      <c r="B98" s="2">
        <f ca="1">OFFSET(INDIRECT(ADDRESS($A98,3,3,1,Menus!$K$10)),0,Menus!$J$4)</f>
        <v>0</v>
      </c>
      <c r="C98" s="2">
        <f ca="1">OFFSET(INDIRECT(ADDRESS($A98,3,3,1,Menus!$K$10)),0,Menus!$J$3)</f>
        <v>0</v>
      </c>
      <c r="D98" s="73" t="e">
        <f ca="1">IF(Menus!$J$9,C98/B98,C98)</f>
        <v>#DIV/0!</v>
      </c>
      <c r="E98" s="74" t="e">
        <f t="shared" ca="1" si="4"/>
        <v>#N/A</v>
      </c>
      <c r="F98" s="75">
        <f ca="1">INDIRECT(ADDRESS($A98,1,3,1,Menus!$K$10))</f>
        <v>0</v>
      </c>
      <c r="G98" s="2" t="e">
        <f ca="1">IF(INDIRECT(ADDRESS($A98,2,3,1,Menus!$K$10))=G$1,$D98,#N/A)</f>
        <v>#N/A</v>
      </c>
      <c r="H98" s="2" t="e">
        <f ca="1">IF(INDIRECT(ADDRESS($A98,2,3,1,Menus!$K$10))=H$1,$D98,#N/A)</f>
        <v>#N/A</v>
      </c>
      <c r="I98" s="2" t="e">
        <f ca="1">IF(INDIRECT(ADDRESS($A98,2,3,1,Menus!$K$10))=I$1,$D98,#N/A)</f>
        <v>#N/A</v>
      </c>
      <c r="J98" s="2" t="e">
        <f ca="1">IF(INDIRECT(ADDRESS($A98,1,3,1,Menus!$K$10))=T(J$1),$D98,#N/A)</f>
        <v>#N/A</v>
      </c>
      <c r="K98" s="10">
        <f t="shared" ca="1" si="3"/>
        <v>0</v>
      </c>
      <c r="L98" s="2"/>
      <c r="M98" s="85">
        <f ca="1">OFFSET(INDIRECT(ADDRESS($A98,3,3,1,"Gross")),0,Menus!$J$4)</f>
        <v>0</v>
      </c>
      <c r="N98" s="85">
        <f ca="1">OFFSET(INDIRECT(ADDRESS($A98,3,3,1,"Gross")),0,Menus!$J$3)</f>
        <v>0</v>
      </c>
    </row>
    <row r="99" spans="1:14" x14ac:dyDescent="0.25">
      <c r="A99">
        <v>155</v>
      </c>
      <c r="B99" s="2">
        <f ca="1">OFFSET(INDIRECT(ADDRESS($A99,3,3,1,Menus!$K$10)),0,Menus!$J$4)</f>
        <v>0</v>
      </c>
      <c r="C99" s="2">
        <f ca="1">OFFSET(INDIRECT(ADDRESS($A99,3,3,1,Menus!$K$10)),0,Menus!$J$3)</f>
        <v>0</v>
      </c>
      <c r="D99" s="73" t="e">
        <f ca="1">IF(Menus!$J$9,C99/B99,C99)</f>
        <v>#DIV/0!</v>
      </c>
      <c r="E99" s="74" t="e">
        <f t="shared" ca="1" si="4"/>
        <v>#N/A</v>
      </c>
      <c r="F99" s="75">
        <f ca="1">INDIRECT(ADDRESS($A99,1,3,1,Menus!$K$10))</f>
        <v>0</v>
      </c>
      <c r="G99" s="2" t="e">
        <f ca="1">IF(INDIRECT(ADDRESS($A99,2,3,1,Menus!$K$10))=G$1,$D99,#N/A)</f>
        <v>#N/A</v>
      </c>
      <c r="H99" s="2" t="e">
        <f ca="1">IF(INDIRECT(ADDRESS($A99,2,3,1,Menus!$K$10))=H$1,$D99,#N/A)</f>
        <v>#N/A</v>
      </c>
      <c r="I99" s="2" t="e">
        <f ca="1">IF(INDIRECT(ADDRESS($A99,2,3,1,Menus!$K$10))=I$1,$D99,#N/A)</f>
        <v>#N/A</v>
      </c>
      <c r="J99" s="2" t="e">
        <f ca="1">IF(INDIRECT(ADDRESS($A99,1,3,1,Menus!$K$10))=T(J$1),$D99,#N/A)</f>
        <v>#N/A</v>
      </c>
      <c r="K99" s="10">
        <f t="shared" ca="1" si="3"/>
        <v>0</v>
      </c>
      <c r="L99" s="2"/>
      <c r="M99" s="85">
        <f ca="1">OFFSET(INDIRECT(ADDRESS($A99,3,3,1,"Gross")),0,Menus!$J$4)</f>
        <v>0</v>
      </c>
      <c r="N99" s="85">
        <f ca="1">OFFSET(INDIRECT(ADDRESS($A99,3,3,1,"Gross")),0,Menus!$J$3)</f>
        <v>0</v>
      </c>
    </row>
    <row r="100" spans="1:14" x14ac:dyDescent="0.25">
      <c r="A100">
        <v>84</v>
      </c>
      <c r="B100" s="2">
        <f ca="1">OFFSET(INDIRECT(ADDRESS($A100,3,3,1,Menus!$K$10)),0,Menus!$J$4)</f>
        <v>0</v>
      </c>
      <c r="C100" s="2">
        <f ca="1">OFFSET(INDIRECT(ADDRESS($A100,3,3,1,Menus!$K$10)),0,Menus!$J$3)</f>
        <v>0</v>
      </c>
      <c r="D100" s="73" t="e">
        <f ca="1">IF(Menus!$J$9,C100/B100,C100)</f>
        <v>#DIV/0!</v>
      </c>
      <c r="E100" s="74" t="e">
        <f t="shared" ca="1" si="4"/>
        <v>#N/A</v>
      </c>
      <c r="F100" s="75">
        <f ca="1">INDIRECT(ADDRESS($A100,1,3,1,Menus!$K$10))</f>
        <v>0</v>
      </c>
      <c r="G100" s="2" t="e">
        <f ca="1">IF(INDIRECT(ADDRESS($A100,2,3,1,Menus!$K$10))=G$1,$D100,#N/A)</f>
        <v>#N/A</v>
      </c>
      <c r="H100" s="2" t="e">
        <f ca="1">IF(INDIRECT(ADDRESS($A100,2,3,1,Menus!$K$10))=H$1,$D100,#N/A)</f>
        <v>#N/A</v>
      </c>
      <c r="I100" s="2" t="e">
        <f ca="1">IF(INDIRECT(ADDRESS($A100,2,3,1,Menus!$K$10))=I$1,$D100,#N/A)</f>
        <v>#N/A</v>
      </c>
      <c r="J100" s="2" t="e">
        <f ca="1">IF(INDIRECT(ADDRESS($A100,1,3,1,Menus!$K$10))=T(J$1),$D100,#N/A)</f>
        <v>#N/A</v>
      </c>
      <c r="K100" s="10">
        <f t="shared" ca="1" si="3"/>
        <v>0</v>
      </c>
      <c r="L100" s="2"/>
      <c r="M100" s="85">
        <f ca="1">OFFSET(INDIRECT(ADDRESS($A100,3,3,1,"Gross")),0,Menus!$J$4)</f>
        <v>0</v>
      </c>
      <c r="N100" s="85">
        <f ca="1">OFFSET(INDIRECT(ADDRESS($A100,3,3,1,"Gross")),0,Menus!$J$3)</f>
        <v>0</v>
      </c>
    </row>
    <row r="101" spans="1:14" x14ac:dyDescent="0.25">
      <c r="A101">
        <v>85</v>
      </c>
      <c r="B101" s="2">
        <f ca="1">OFFSET(INDIRECT(ADDRESS($A101,3,3,1,Menus!$K$10)),0,Menus!$J$4)</f>
        <v>0</v>
      </c>
      <c r="C101" s="2">
        <f ca="1">OFFSET(INDIRECT(ADDRESS($A101,3,3,1,Menus!$K$10)),0,Menus!$J$3)</f>
        <v>0</v>
      </c>
      <c r="D101" s="73" t="e">
        <f ca="1">IF(Menus!$J$9,C101/B101,C101)</f>
        <v>#DIV/0!</v>
      </c>
      <c r="E101" s="74" t="e">
        <f t="shared" ca="1" si="4"/>
        <v>#N/A</v>
      </c>
      <c r="F101" s="75">
        <f ca="1">INDIRECT(ADDRESS($A101,1,3,1,Menus!$K$10))</f>
        <v>0</v>
      </c>
      <c r="G101" s="2" t="e">
        <f ca="1">IF(INDIRECT(ADDRESS($A101,2,3,1,Menus!$K$10))=G$1,$D101,#N/A)</f>
        <v>#N/A</v>
      </c>
      <c r="H101" s="2" t="e">
        <f ca="1">IF(INDIRECT(ADDRESS($A101,2,3,1,Menus!$K$10))=H$1,$D101,#N/A)</f>
        <v>#N/A</v>
      </c>
      <c r="I101" s="2" t="e">
        <f ca="1">IF(INDIRECT(ADDRESS($A101,2,3,1,Menus!$K$10))=I$1,$D101,#N/A)</f>
        <v>#N/A</v>
      </c>
      <c r="J101" s="2" t="e">
        <f ca="1">IF(INDIRECT(ADDRESS($A101,1,3,1,Menus!$K$10))=T(J$1),$D101,#N/A)</f>
        <v>#N/A</v>
      </c>
      <c r="K101" s="10">
        <f t="shared" ca="1" si="3"/>
        <v>0</v>
      </c>
      <c r="L101" s="2"/>
      <c r="M101" s="85">
        <f ca="1">OFFSET(INDIRECT(ADDRESS($A101,3,3,1,"Gross")),0,Menus!$J$4)</f>
        <v>0</v>
      </c>
      <c r="N101" s="85">
        <f ca="1">OFFSET(INDIRECT(ADDRESS($A101,3,3,1,"Gross")),0,Menus!$J$3)</f>
        <v>0</v>
      </c>
    </row>
    <row r="102" spans="1:14" x14ac:dyDescent="0.25">
      <c r="A102">
        <v>63</v>
      </c>
      <c r="B102" s="2">
        <f ca="1">OFFSET(INDIRECT(ADDRESS($A102,3,3,1,Menus!$K$10)),0,Menus!$J$4)</f>
        <v>0</v>
      </c>
      <c r="C102" s="2">
        <f ca="1">OFFSET(INDIRECT(ADDRESS($A102,3,3,1,Menus!$K$10)),0,Menus!$J$3)</f>
        <v>0</v>
      </c>
      <c r="D102" s="73" t="e">
        <f ca="1">IF(Menus!$J$9,C102/B102,C102)</f>
        <v>#DIV/0!</v>
      </c>
      <c r="E102" s="74" t="e">
        <f t="shared" ca="1" si="4"/>
        <v>#N/A</v>
      </c>
      <c r="F102" s="75">
        <f ca="1">INDIRECT(ADDRESS($A102,1,3,1,Menus!$K$10))</f>
        <v>0</v>
      </c>
      <c r="G102" s="2" t="e">
        <f ca="1">IF(INDIRECT(ADDRESS($A102,2,3,1,Menus!$K$10))=G$1,$D102,#N/A)</f>
        <v>#N/A</v>
      </c>
      <c r="H102" s="2" t="e">
        <f ca="1">IF(INDIRECT(ADDRESS($A102,2,3,1,Menus!$K$10))=H$1,$D102,#N/A)</f>
        <v>#N/A</v>
      </c>
      <c r="I102" s="2" t="e">
        <f ca="1">IF(INDIRECT(ADDRESS($A102,2,3,1,Menus!$K$10))=I$1,$D102,#N/A)</f>
        <v>#N/A</v>
      </c>
      <c r="J102" s="2" t="e">
        <f ca="1">IF(INDIRECT(ADDRESS($A102,1,3,1,Menus!$K$10))=T(J$1),$D102,#N/A)</f>
        <v>#N/A</v>
      </c>
      <c r="K102" s="10">
        <f t="shared" ca="1" si="3"/>
        <v>0</v>
      </c>
      <c r="L102" s="2"/>
      <c r="M102" s="85">
        <f ca="1">OFFSET(INDIRECT(ADDRESS($A102,3,3,1,"Gross")),0,Menus!$J$4)</f>
        <v>2</v>
      </c>
      <c r="N102" s="85">
        <f ca="1">OFFSET(INDIRECT(ADDRESS($A102,3,3,1,"Gross")),0,Menus!$J$3)</f>
        <v>2</v>
      </c>
    </row>
    <row r="103" spans="1:14" x14ac:dyDescent="0.25">
      <c r="A103">
        <v>80</v>
      </c>
      <c r="B103" s="2">
        <f ca="1">OFFSET(INDIRECT(ADDRESS($A103,3,3,1,Menus!$K$10)),0,Menus!$J$4)</f>
        <v>0</v>
      </c>
      <c r="C103" s="2">
        <f ca="1">OFFSET(INDIRECT(ADDRESS($A103,3,3,1,Menus!$K$10)),0,Menus!$J$3)</f>
        <v>0</v>
      </c>
      <c r="D103" s="73" t="e">
        <f ca="1">IF(Menus!$J$9,C103/B103,C103)</f>
        <v>#DIV/0!</v>
      </c>
      <c r="E103" s="74" t="e">
        <f t="shared" ca="1" si="4"/>
        <v>#N/A</v>
      </c>
      <c r="F103" s="75">
        <f ca="1">INDIRECT(ADDRESS($A103,1,3,1,Menus!$K$10))</f>
        <v>0</v>
      </c>
      <c r="G103" s="2" t="e">
        <f ca="1">IF(INDIRECT(ADDRESS($A103,2,3,1,Menus!$K$10))=G$1,$D103,#N/A)</f>
        <v>#N/A</v>
      </c>
      <c r="H103" s="2" t="e">
        <f ca="1">IF(INDIRECT(ADDRESS($A103,2,3,1,Menus!$K$10))=H$1,$D103,#N/A)</f>
        <v>#N/A</v>
      </c>
      <c r="I103" s="2" t="e">
        <f ca="1">IF(INDIRECT(ADDRESS($A103,2,3,1,Menus!$K$10))=I$1,$D103,#N/A)</f>
        <v>#N/A</v>
      </c>
      <c r="J103" s="2" t="e">
        <f ca="1">IF(INDIRECT(ADDRESS($A103,1,3,1,Menus!$K$10))=T(J$1),$D103,#N/A)</f>
        <v>#N/A</v>
      </c>
      <c r="K103" s="10">
        <f t="shared" ca="1" si="3"/>
        <v>0</v>
      </c>
      <c r="L103" s="2"/>
      <c r="M103" s="85">
        <f ca="1">OFFSET(INDIRECT(ADDRESS($A103,3,3,1,"Gross")),0,Menus!$J$4)</f>
        <v>2</v>
      </c>
      <c r="N103" s="85">
        <f ca="1">OFFSET(INDIRECT(ADDRESS($A103,3,3,1,"Gross")),0,Menus!$J$3)</f>
        <v>2</v>
      </c>
    </row>
    <row r="104" spans="1:14" x14ac:dyDescent="0.25">
      <c r="A104">
        <v>50</v>
      </c>
      <c r="B104" s="2">
        <f ca="1">OFFSET(INDIRECT(ADDRESS($A104,3,3,1,Menus!$K$10)),0,Menus!$J$4)</f>
        <v>0</v>
      </c>
      <c r="C104" s="2">
        <f ca="1">OFFSET(INDIRECT(ADDRESS($A104,3,3,1,Menus!$K$10)),0,Menus!$J$3)</f>
        <v>0</v>
      </c>
      <c r="D104" s="73" t="e">
        <f ca="1">IF(Menus!$J$9,C104/B104,C104)</f>
        <v>#DIV/0!</v>
      </c>
      <c r="E104" s="74" t="e">
        <f t="shared" ca="1" si="4"/>
        <v>#N/A</v>
      </c>
      <c r="F104" s="75">
        <f ca="1">INDIRECT(ADDRESS($A104,1,3,1,Menus!$K$10))</f>
        <v>0</v>
      </c>
      <c r="G104" s="2" t="e">
        <f ca="1">IF(INDIRECT(ADDRESS($A104,2,3,1,Menus!$K$10))=G$1,$D104,#N/A)</f>
        <v>#N/A</v>
      </c>
      <c r="H104" s="2" t="e">
        <f ca="1">IF(INDIRECT(ADDRESS($A104,2,3,1,Menus!$K$10))=H$1,$D104,#N/A)</f>
        <v>#N/A</v>
      </c>
      <c r="I104" s="2" t="e">
        <f ca="1">IF(INDIRECT(ADDRESS($A104,2,3,1,Menus!$K$10))=I$1,$D104,#N/A)</f>
        <v>#N/A</v>
      </c>
      <c r="J104" s="2" t="e">
        <f ca="1">IF(INDIRECT(ADDRESS($A104,1,3,1,Menus!$K$10))=T(J$1),$D104,#N/A)</f>
        <v>#N/A</v>
      </c>
      <c r="K104" s="10">
        <f t="shared" ca="1" si="3"/>
        <v>0</v>
      </c>
      <c r="L104" s="2"/>
      <c r="M104" s="85">
        <f ca="1">OFFSET(INDIRECT(ADDRESS($A104,3,3,1,"Gross")),0,Menus!$J$4)</f>
        <v>0</v>
      </c>
      <c r="N104" s="85">
        <f ca="1">OFFSET(INDIRECT(ADDRESS($A104,3,3,1,"Gross")),0,Menus!$J$3)</f>
        <v>0</v>
      </c>
    </row>
    <row r="105" spans="1:14" x14ac:dyDescent="0.25">
      <c r="A105">
        <v>120</v>
      </c>
      <c r="B105" s="2">
        <f ca="1">OFFSET(INDIRECT(ADDRESS($A105,3,3,1,Menus!$K$10)),0,Menus!$J$4)</f>
        <v>0</v>
      </c>
      <c r="C105" s="2">
        <f ca="1">OFFSET(INDIRECT(ADDRESS($A105,3,3,1,Menus!$K$10)),0,Menus!$J$3)</f>
        <v>0</v>
      </c>
      <c r="D105" s="73" t="e">
        <f ca="1">IF(Menus!$J$9,C105/B105,C105)</f>
        <v>#DIV/0!</v>
      </c>
      <c r="E105" s="74" t="e">
        <f t="shared" ca="1" si="4"/>
        <v>#N/A</v>
      </c>
      <c r="F105" s="75">
        <f ca="1">INDIRECT(ADDRESS($A105,1,3,1,Menus!$K$10))</f>
        <v>0</v>
      </c>
      <c r="G105" s="2" t="e">
        <f ca="1">IF(INDIRECT(ADDRESS($A105,2,3,1,Menus!$K$10))=G$1,$D105,#N/A)</f>
        <v>#N/A</v>
      </c>
      <c r="H105" s="2" t="e">
        <f ca="1">IF(INDIRECT(ADDRESS($A105,2,3,1,Menus!$K$10))=H$1,$D105,#N/A)</f>
        <v>#N/A</v>
      </c>
      <c r="I105" s="2" t="e">
        <f ca="1">IF(INDIRECT(ADDRESS($A105,2,3,1,Menus!$K$10))=I$1,$D105,#N/A)</f>
        <v>#N/A</v>
      </c>
      <c r="J105" s="2" t="e">
        <f ca="1">IF(INDIRECT(ADDRESS($A105,1,3,1,Menus!$K$10))=T(J$1),$D105,#N/A)</f>
        <v>#N/A</v>
      </c>
      <c r="K105" s="10">
        <f t="shared" ca="1" si="3"/>
        <v>0</v>
      </c>
      <c r="L105" s="2"/>
      <c r="M105" s="85">
        <f ca="1">OFFSET(INDIRECT(ADDRESS($A105,3,3,1,"Gross")),0,Menus!$J$4)</f>
        <v>0</v>
      </c>
      <c r="N105" s="85">
        <f ca="1">OFFSET(INDIRECT(ADDRESS($A105,3,3,1,"Gross")),0,Menus!$J$3)</f>
        <v>0</v>
      </c>
    </row>
    <row r="106" spans="1:14" x14ac:dyDescent="0.25">
      <c r="A106">
        <v>149</v>
      </c>
      <c r="B106" s="2">
        <f ca="1">OFFSET(INDIRECT(ADDRESS($A106,3,3,1,Menus!$K$10)),0,Menus!$J$4)</f>
        <v>0</v>
      </c>
      <c r="C106" s="2">
        <f ca="1">OFFSET(INDIRECT(ADDRESS($A106,3,3,1,Menus!$K$10)),0,Menus!$J$3)</f>
        <v>0</v>
      </c>
      <c r="D106" s="73" t="e">
        <f ca="1">IF(Menus!$J$9,C106/B106,C106)</f>
        <v>#DIV/0!</v>
      </c>
      <c r="E106" s="74" t="e">
        <f t="shared" ca="1" si="4"/>
        <v>#N/A</v>
      </c>
      <c r="F106" s="75">
        <f ca="1">INDIRECT(ADDRESS($A106,1,3,1,Menus!$K$10))</f>
        <v>0</v>
      </c>
      <c r="G106" s="2" t="e">
        <f ca="1">IF(INDIRECT(ADDRESS($A106,2,3,1,Menus!$K$10))=G$1,$D106,#N/A)</f>
        <v>#N/A</v>
      </c>
      <c r="H106" s="2" t="e">
        <f ca="1">IF(INDIRECT(ADDRESS($A106,2,3,1,Menus!$K$10))=H$1,$D106,#N/A)</f>
        <v>#N/A</v>
      </c>
      <c r="I106" s="2" t="e">
        <f ca="1">IF(INDIRECT(ADDRESS($A106,2,3,1,Menus!$K$10))=I$1,$D106,#N/A)</f>
        <v>#N/A</v>
      </c>
      <c r="J106" s="2" t="e">
        <f ca="1">IF(INDIRECT(ADDRESS($A106,1,3,1,Menus!$K$10))=T(J$1),$D106,#N/A)</f>
        <v>#N/A</v>
      </c>
      <c r="K106" s="10">
        <f t="shared" ca="1" si="3"/>
        <v>0</v>
      </c>
      <c r="L106" s="2"/>
      <c r="M106" s="85">
        <f ca="1">OFFSET(INDIRECT(ADDRESS($A106,3,3,1,"Gross")),0,Menus!$J$4)</f>
        <v>4</v>
      </c>
      <c r="N106" s="85">
        <f ca="1">OFFSET(INDIRECT(ADDRESS($A106,3,3,1,"Gross")),0,Menus!$J$3)</f>
        <v>3</v>
      </c>
    </row>
    <row r="107" spans="1:14" x14ac:dyDescent="0.25">
      <c r="A107">
        <v>197</v>
      </c>
      <c r="B107" s="2">
        <f ca="1">OFFSET(INDIRECT(ADDRESS($A107,3,3,1,Menus!$K$10)),0,Menus!$J$4)</f>
        <v>0</v>
      </c>
      <c r="C107" s="2">
        <f ca="1">OFFSET(INDIRECT(ADDRESS($A107,3,3,1,Menus!$K$10)),0,Menus!$J$3)</f>
        <v>0</v>
      </c>
      <c r="D107" s="73" t="e">
        <f ca="1">IF(Menus!$J$9,C107/B107,C107)</f>
        <v>#DIV/0!</v>
      </c>
      <c r="E107" s="74" t="e">
        <f t="shared" ca="1" si="4"/>
        <v>#N/A</v>
      </c>
      <c r="F107" s="75">
        <f ca="1">INDIRECT(ADDRESS($A107,1,3,1,Menus!$K$10))</f>
        <v>0</v>
      </c>
      <c r="G107" s="2" t="e">
        <f ca="1">IF(INDIRECT(ADDRESS($A107,2,3,1,Menus!$K$10))=G$1,$D107,#N/A)</f>
        <v>#N/A</v>
      </c>
      <c r="H107" s="2" t="e">
        <f ca="1">IF(INDIRECT(ADDRESS($A107,2,3,1,Menus!$K$10))=H$1,$D107,#N/A)</f>
        <v>#N/A</v>
      </c>
      <c r="I107" s="2" t="e">
        <f ca="1">IF(INDIRECT(ADDRESS($A107,2,3,1,Menus!$K$10))=I$1,$D107,#N/A)</f>
        <v>#N/A</v>
      </c>
      <c r="J107" s="2" t="e">
        <f ca="1">IF(INDIRECT(ADDRESS($A107,1,3,1,Menus!$K$10))=T(J$1),$D107,#N/A)</f>
        <v>#N/A</v>
      </c>
      <c r="K107" s="10">
        <f t="shared" ca="1" si="3"/>
        <v>0</v>
      </c>
      <c r="L107" s="2"/>
      <c r="M107" s="85">
        <f ca="1">OFFSET(INDIRECT(ADDRESS($A107,3,3,1,"Gross")),0,Menus!$J$4)</f>
        <v>0</v>
      </c>
      <c r="N107" s="85">
        <f ca="1">OFFSET(INDIRECT(ADDRESS($A107,3,3,1,"Gross")),0,Menus!$J$3)</f>
        <v>0</v>
      </c>
    </row>
    <row r="108" spans="1:14" x14ac:dyDescent="0.25">
      <c r="A108">
        <v>104</v>
      </c>
      <c r="B108" s="2">
        <f ca="1">OFFSET(INDIRECT(ADDRESS($A108,3,3,1,Menus!$K$10)),0,Menus!$J$4)</f>
        <v>0</v>
      </c>
      <c r="C108" s="2">
        <f ca="1">OFFSET(INDIRECT(ADDRESS($A108,3,3,1,Menus!$K$10)),0,Menus!$J$3)</f>
        <v>0</v>
      </c>
      <c r="D108" s="73" t="e">
        <f ca="1">IF(Menus!$J$9,C108/B108,C108)</f>
        <v>#DIV/0!</v>
      </c>
      <c r="E108" s="74" t="e">
        <f t="shared" ca="1" si="4"/>
        <v>#N/A</v>
      </c>
      <c r="F108" s="75">
        <f ca="1">INDIRECT(ADDRESS($A108,1,3,1,Menus!$K$10))</f>
        <v>0</v>
      </c>
      <c r="G108" s="2" t="e">
        <f ca="1">IF(INDIRECT(ADDRESS($A108,2,3,1,Menus!$K$10))=G$1,$D108,#N/A)</f>
        <v>#N/A</v>
      </c>
      <c r="H108" s="2" t="e">
        <f ca="1">IF(INDIRECT(ADDRESS($A108,2,3,1,Menus!$K$10))=H$1,$D108,#N/A)</f>
        <v>#N/A</v>
      </c>
      <c r="I108" s="2" t="e">
        <f ca="1">IF(INDIRECT(ADDRESS($A108,2,3,1,Menus!$K$10))=I$1,$D108,#N/A)</f>
        <v>#N/A</v>
      </c>
      <c r="J108" s="2" t="e">
        <f ca="1">IF(INDIRECT(ADDRESS($A108,1,3,1,Menus!$K$10))=T(J$1),$D108,#N/A)</f>
        <v>#N/A</v>
      </c>
      <c r="K108" s="10">
        <f t="shared" ca="1" si="3"/>
        <v>0</v>
      </c>
      <c r="L108" s="2"/>
      <c r="M108" s="85">
        <f ca="1">OFFSET(INDIRECT(ADDRESS($A108,3,3,1,"Gross")),0,Menus!$J$4)</f>
        <v>0</v>
      </c>
      <c r="N108" s="85">
        <f ca="1">OFFSET(INDIRECT(ADDRESS($A108,3,3,1,"Gross")),0,Menus!$J$3)</f>
        <v>0</v>
      </c>
    </row>
    <row r="109" spans="1:14" x14ac:dyDescent="0.25">
      <c r="A109">
        <v>165</v>
      </c>
      <c r="B109" s="2">
        <f ca="1">OFFSET(INDIRECT(ADDRESS($A109,3,3,1,Menus!$K$10)),0,Menus!$J$4)</f>
        <v>0</v>
      </c>
      <c r="C109" s="2">
        <f ca="1">OFFSET(INDIRECT(ADDRESS($A109,3,3,1,Menus!$K$10)),0,Menus!$J$3)</f>
        <v>0</v>
      </c>
      <c r="D109" s="73" t="e">
        <f ca="1">IF(Menus!$J$9,C109/B109,C109)</f>
        <v>#DIV/0!</v>
      </c>
      <c r="E109" s="74" t="e">
        <f t="shared" ca="1" si="4"/>
        <v>#N/A</v>
      </c>
      <c r="F109" s="75">
        <f ca="1">INDIRECT(ADDRESS($A109,1,3,1,Menus!$K$10))</f>
        <v>0</v>
      </c>
      <c r="G109" s="2" t="e">
        <f ca="1">IF(INDIRECT(ADDRESS($A109,2,3,1,Menus!$K$10))=G$1,$D109,#N/A)</f>
        <v>#N/A</v>
      </c>
      <c r="H109" s="2" t="e">
        <f ca="1">IF(INDIRECT(ADDRESS($A109,2,3,1,Menus!$K$10))=H$1,$D109,#N/A)</f>
        <v>#N/A</v>
      </c>
      <c r="I109" s="2" t="e">
        <f ca="1">IF(INDIRECT(ADDRESS($A109,2,3,1,Menus!$K$10))=I$1,$D109,#N/A)</f>
        <v>#N/A</v>
      </c>
      <c r="J109" s="2" t="e">
        <f ca="1">IF(INDIRECT(ADDRESS($A109,1,3,1,Menus!$K$10))=T(J$1),$D109,#N/A)</f>
        <v>#N/A</v>
      </c>
      <c r="K109" s="10">
        <f t="shared" ca="1" si="3"/>
        <v>0</v>
      </c>
      <c r="L109" s="2"/>
      <c r="M109" s="85">
        <f ca="1">OFFSET(INDIRECT(ADDRESS($A109,3,3,1,"Gross")),0,Menus!$J$4)</f>
        <v>0</v>
      </c>
      <c r="N109" s="85">
        <f ca="1">OFFSET(INDIRECT(ADDRESS($A109,3,3,1,"Gross")),0,Menus!$J$3)</f>
        <v>0</v>
      </c>
    </row>
    <row r="110" spans="1:14" x14ac:dyDescent="0.25">
      <c r="A110">
        <v>189</v>
      </c>
      <c r="B110" s="2">
        <f ca="1">OFFSET(INDIRECT(ADDRESS($A110,3,3,1,Menus!$K$10)),0,Menus!$J$4)</f>
        <v>0</v>
      </c>
      <c r="C110" s="2">
        <f ca="1">OFFSET(INDIRECT(ADDRESS($A110,3,3,1,Menus!$K$10)),0,Menus!$J$3)</f>
        <v>0</v>
      </c>
      <c r="D110" s="73" t="e">
        <f ca="1">IF(Menus!$J$9,C110/B110,C110)</f>
        <v>#DIV/0!</v>
      </c>
      <c r="E110" s="74" t="e">
        <f t="shared" ca="1" si="4"/>
        <v>#N/A</v>
      </c>
      <c r="F110" s="75">
        <f ca="1">INDIRECT(ADDRESS($A110,1,3,1,Menus!$K$10))</f>
        <v>0</v>
      </c>
      <c r="G110" s="2" t="e">
        <f ca="1">IF(INDIRECT(ADDRESS($A110,2,3,1,Menus!$K$10))=G$1,$D110,#N/A)</f>
        <v>#N/A</v>
      </c>
      <c r="H110" s="2" t="e">
        <f ca="1">IF(INDIRECT(ADDRESS($A110,2,3,1,Menus!$K$10))=H$1,$D110,#N/A)</f>
        <v>#N/A</v>
      </c>
      <c r="I110" s="2" t="e">
        <f ca="1">IF(INDIRECT(ADDRESS($A110,2,3,1,Menus!$K$10))=I$1,$D110,#N/A)</f>
        <v>#N/A</v>
      </c>
      <c r="J110" s="2" t="e">
        <f ca="1">IF(INDIRECT(ADDRESS($A110,1,3,1,Menus!$K$10))=T(J$1),$D110,#N/A)</f>
        <v>#N/A</v>
      </c>
      <c r="K110" s="10">
        <f t="shared" ca="1" si="3"/>
        <v>0</v>
      </c>
      <c r="L110" s="2"/>
      <c r="M110" s="85">
        <f ca="1">OFFSET(INDIRECT(ADDRESS($A110,3,3,1,"Gross")),0,Menus!$J$4)</f>
        <v>0</v>
      </c>
      <c r="N110" s="85">
        <f ca="1">OFFSET(INDIRECT(ADDRESS($A110,3,3,1,"Gross")),0,Menus!$J$3)</f>
        <v>0</v>
      </c>
    </row>
    <row r="111" spans="1:14" x14ac:dyDescent="0.25">
      <c r="A111">
        <v>175</v>
      </c>
      <c r="B111" s="2">
        <f ca="1">OFFSET(INDIRECT(ADDRESS($A111,3,3,1,Menus!$K$10)),0,Menus!$J$4)</f>
        <v>0</v>
      </c>
      <c r="C111" s="2">
        <f ca="1">OFFSET(INDIRECT(ADDRESS($A111,3,3,1,Menus!$K$10)),0,Menus!$J$3)</f>
        <v>0</v>
      </c>
      <c r="D111" s="73" t="e">
        <f ca="1">IF(Menus!$J$9,C111/B111,C111)</f>
        <v>#DIV/0!</v>
      </c>
      <c r="E111" s="74" t="e">
        <f t="shared" ca="1" si="4"/>
        <v>#N/A</v>
      </c>
      <c r="F111" s="75">
        <f ca="1">INDIRECT(ADDRESS($A111,1,3,1,Menus!$K$10))</f>
        <v>0</v>
      </c>
      <c r="G111" s="2" t="e">
        <f ca="1">IF(INDIRECT(ADDRESS($A111,2,3,1,Menus!$K$10))=G$1,$D111,#N/A)</f>
        <v>#N/A</v>
      </c>
      <c r="H111" s="2" t="e">
        <f ca="1">IF(INDIRECT(ADDRESS($A111,2,3,1,Menus!$K$10))=H$1,$D111,#N/A)</f>
        <v>#N/A</v>
      </c>
      <c r="I111" s="2" t="e">
        <f ca="1">IF(INDIRECT(ADDRESS($A111,2,3,1,Menus!$K$10))=I$1,$D111,#N/A)</f>
        <v>#N/A</v>
      </c>
      <c r="J111" s="2" t="e">
        <f ca="1">IF(INDIRECT(ADDRESS($A111,1,3,1,Menus!$K$10))=T(J$1),$D111,#N/A)</f>
        <v>#N/A</v>
      </c>
      <c r="K111" s="10">
        <f t="shared" ca="1" si="3"/>
        <v>0</v>
      </c>
      <c r="L111" s="2"/>
      <c r="M111" s="85">
        <f ca="1">OFFSET(INDIRECT(ADDRESS($A111,3,3,1,"Gross")),0,Menus!$J$4)</f>
        <v>0</v>
      </c>
      <c r="N111" s="85">
        <f ca="1">OFFSET(INDIRECT(ADDRESS($A111,3,3,1,"Gross")),0,Menus!$J$3)</f>
        <v>0</v>
      </c>
    </row>
    <row r="112" spans="1:14" x14ac:dyDescent="0.25">
      <c r="A112">
        <v>66</v>
      </c>
      <c r="B112" s="2">
        <f ca="1">OFFSET(INDIRECT(ADDRESS($A112,3,3,1,Menus!$K$10)),0,Menus!$J$4)</f>
        <v>0</v>
      </c>
      <c r="C112" s="2">
        <f ca="1">OFFSET(INDIRECT(ADDRESS($A112,3,3,1,Menus!$K$10)),0,Menus!$J$3)</f>
        <v>0</v>
      </c>
      <c r="D112" s="73" t="e">
        <f ca="1">IF(Menus!$J$9,C112/B112,C112)</f>
        <v>#DIV/0!</v>
      </c>
      <c r="E112" s="74" t="e">
        <f t="shared" ca="1" si="4"/>
        <v>#N/A</v>
      </c>
      <c r="F112" s="75">
        <f ca="1">INDIRECT(ADDRESS($A112,1,3,1,Menus!$K$10))</f>
        <v>0</v>
      </c>
      <c r="G112" s="2" t="e">
        <f ca="1">IF(INDIRECT(ADDRESS($A112,2,3,1,Menus!$K$10))=G$1,$D112,#N/A)</f>
        <v>#N/A</v>
      </c>
      <c r="H112" s="2" t="e">
        <f ca="1">IF(INDIRECT(ADDRESS($A112,2,3,1,Menus!$K$10))=H$1,$D112,#N/A)</f>
        <v>#N/A</v>
      </c>
      <c r="I112" s="2" t="e">
        <f ca="1">IF(INDIRECT(ADDRESS($A112,2,3,1,Menus!$K$10))=I$1,$D112,#N/A)</f>
        <v>#N/A</v>
      </c>
      <c r="J112" s="2" t="e">
        <f ca="1">IF(INDIRECT(ADDRESS($A112,1,3,1,Menus!$K$10))=T(J$1),$D112,#N/A)</f>
        <v>#N/A</v>
      </c>
      <c r="K112" s="10">
        <f t="shared" ca="1" si="3"/>
        <v>0</v>
      </c>
      <c r="L112" s="2"/>
      <c r="M112" s="85">
        <f ca="1">OFFSET(INDIRECT(ADDRESS($A112,3,3,1,"Gross")),0,Menus!$J$4)</f>
        <v>2</v>
      </c>
      <c r="N112" s="85">
        <f ca="1">OFFSET(INDIRECT(ADDRESS($A112,3,3,1,"Gross")),0,Menus!$J$3)</f>
        <v>2</v>
      </c>
    </row>
    <row r="113" spans="1:14" x14ac:dyDescent="0.25">
      <c r="A113">
        <v>89</v>
      </c>
      <c r="B113" s="2">
        <f ca="1">OFFSET(INDIRECT(ADDRESS($A113,3,3,1,Menus!$K$10)),0,Menus!$J$4)</f>
        <v>0</v>
      </c>
      <c r="C113" s="2">
        <f ca="1">OFFSET(INDIRECT(ADDRESS($A113,3,3,1,Menus!$K$10)),0,Menus!$J$3)</f>
        <v>0</v>
      </c>
      <c r="D113" s="73" t="e">
        <f ca="1">IF(Menus!$J$9,C113/B113,C113)</f>
        <v>#DIV/0!</v>
      </c>
      <c r="E113" s="74" t="e">
        <f t="shared" ca="1" si="4"/>
        <v>#N/A</v>
      </c>
      <c r="F113" s="75">
        <f ca="1">INDIRECT(ADDRESS($A113,1,3,1,Menus!$K$10))</f>
        <v>0</v>
      </c>
      <c r="G113" s="2" t="e">
        <f ca="1">IF(INDIRECT(ADDRESS($A113,2,3,1,Menus!$K$10))=G$1,$D113,#N/A)</f>
        <v>#N/A</v>
      </c>
      <c r="H113" s="2" t="e">
        <f ca="1">IF(INDIRECT(ADDRESS($A113,2,3,1,Menus!$K$10))=H$1,$D113,#N/A)</f>
        <v>#N/A</v>
      </c>
      <c r="I113" s="2" t="e">
        <f ca="1">IF(INDIRECT(ADDRESS($A113,2,3,1,Menus!$K$10))=I$1,$D113,#N/A)</f>
        <v>#N/A</v>
      </c>
      <c r="J113" s="2" t="e">
        <f ca="1">IF(INDIRECT(ADDRESS($A113,1,3,1,Menus!$K$10))=T(J$1),$D113,#N/A)</f>
        <v>#N/A</v>
      </c>
      <c r="K113" s="10">
        <f t="shared" ca="1" si="3"/>
        <v>0</v>
      </c>
      <c r="L113" s="2"/>
      <c r="M113" s="85">
        <f ca="1">OFFSET(INDIRECT(ADDRESS($A113,3,3,1,"Gross")),0,Menus!$J$4)</f>
        <v>0</v>
      </c>
      <c r="N113" s="85">
        <f ca="1">OFFSET(INDIRECT(ADDRESS($A113,3,3,1,"Gross")),0,Menus!$J$3)</f>
        <v>0</v>
      </c>
    </row>
    <row r="114" spans="1:14" x14ac:dyDescent="0.25">
      <c r="A114">
        <v>92</v>
      </c>
      <c r="B114" s="2">
        <f ca="1">OFFSET(INDIRECT(ADDRESS($A114,3,3,1,Menus!$K$10)),0,Menus!$J$4)</f>
        <v>0</v>
      </c>
      <c r="C114" s="2">
        <f ca="1">OFFSET(INDIRECT(ADDRESS($A114,3,3,1,Menus!$K$10)),0,Menus!$J$3)</f>
        <v>0</v>
      </c>
      <c r="D114" s="73" t="e">
        <f ca="1">IF(Menus!$J$9,C114/B114,C114)</f>
        <v>#DIV/0!</v>
      </c>
      <c r="E114" s="74" t="e">
        <f t="shared" ca="1" si="4"/>
        <v>#N/A</v>
      </c>
      <c r="F114" s="75">
        <f ca="1">INDIRECT(ADDRESS($A114,1,3,1,Menus!$K$10))</f>
        <v>0</v>
      </c>
      <c r="G114" s="2" t="e">
        <f ca="1">IF(INDIRECT(ADDRESS($A114,2,3,1,Menus!$K$10))=G$1,$D114,#N/A)</f>
        <v>#N/A</v>
      </c>
      <c r="H114" s="2" t="e">
        <f ca="1">IF(INDIRECT(ADDRESS($A114,2,3,1,Menus!$K$10))=H$1,$D114,#N/A)</f>
        <v>#N/A</v>
      </c>
      <c r="I114" s="2" t="e">
        <f ca="1">IF(INDIRECT(ADDRESS($A114,2,3,1,Menus!$K$10))=I$1,$D114,#N/A)</f>
        <v>#N/A</v>
      </c>
      <c r="J114" s="2" t="e">
        <f ca="1">IF(INDIRECT(ADDRESS($A114,1,3,1,Menus!$K$10))=T(J$1),$D114,#N/A)</f>
        <v>#N/A</v>
      </c>
      <c r="K114" s="10">
        <f t="shared" ca="1" si="3"/>
        <v>0</v>
      </c>
      <c r="L114" s="2"/>
      <c r="M114" s="85">
        <f ca="1">OFFSET(INDIRECT(ADDRESS($A114,3,3,1,"Gross")),0,Menus!$J$4)</f>
        <v>0</v>
      </c>
      <c r="N114" s="85">
        <f ca="1">OFFSET(INDIRECT(ADDRESS($A114,3,3,1,"Gross")),0,Menus!$J$3)</f>
        <v>0</v>
      </c>
    </row>
    <row r="115" spans="1:14" x14ac:dyDescent="0.25">
      <c r="A115">
        <v>177</v>
      </c>
      <c r="B115" s="2">
        <f ca="1">OFFSET(INDIRECT(ADDRESS($A115,3,3,1,Menus!$K$10)),0,Menus!$J$4)</f>
        <v>0</v>
      </c>
      <c r="C115" s="2">
        <f ca="1">OFFSET(INDIRECT(ADDRESS($A115,3,3,1,Menus!$K$10)),0,Menus!$J$3)</f>
        <v>0</v>
      </c>
      <c r="D115" s="73" t="e">
        <f ca="1">IF(Menus!$J$9,C115/B115,C115)</f>
        <v>#DIV/0!</v>
      </c>
      <c r="E115" s="74" t="e">
        <f t="shared" ca="1" si="4"/>
        <v>#N/A</v>
      </c>
      <c r="F115" s="75">
        <f ca="1">INDIRECT(ADDRESS($A115,1,3,1,Menus!$K$10))</f>
        <v>0</v>
      </c>
      <c r="G115" s="2" t="e">
        <f ca="1">IF(INDIRECT(ADDRESS($A115,2,3,1,Menus!$K$10))=G$1,$D115,#N/A)</f>
        <v>#N/A</v>
      </c>
      <c r="H115" s="2" t="e">
        <f ca="1">IF(INDIRECT(ADDRESS($A115,2,3,1,Menus!$K$10))=H$1,$D115,#N/A)</f>
        <v>#N/A</v>
      </c>
      <c r="I115" s="2" t="e">
        <f ca="1">IF(INDIRECT(ADDRESS($A115,2,3,1,Menus!$K$10))=I$1,$D115,#N/A)</f>
        <v>#N/A</v>
      </c>
      <c r="J115" s="2" t="e">
        <f ca="1">IF(INDIRECT(ADDRESS($A115,1,3,1,Menus!$K$10))=T(J$1),$D115,#N/A)</f>
        <v>#N/A</v>
      </c>
      <c r="K115" s="10">
        <f t="shared" ca="1" si="3"/>
        <v>0</v>
      </c>
      <c r="L115" s="2"/>
      <c r="M115" s="85">
        <f ca="1">OFFSET(INDIRECT(ADDRESS($A115,3,3,1,"Gross")),0,Menus!$J$4)</f>
        <v>0</v>
      </c>
      <c r="N115" s="85">
        <f ca="1">OFFSET(INDIRECT(ADDRESS($A115,3,3,1,"Gross")),0,Menus!$J$3)</f>
        <v>0</v>
      </c>
    </row>
    <row r="116" spans="1:14" x14ac:dyDescent="0.25">
      <c r="A116">
        <v>169</v>
      </c>
      <c r="B116" s="2">
        <f ca="1">OFFSET(INDIRECT(ADDRESS($A116,3,3,1,Menus!$K$10)),0,Menus!$J$4)</f>
        <v>0</v>
      </c>
      <c r="C116" s="2">
        <f ca="1">OFFSET(INDIRECT(ADDRESS($A116,3,3,1,Menus!$K$10)),0,Menus!$J$3)</f>
        <v>0</v>
      </c>
      <c r="D116" s="73" t="e">
        <f ca="1">IF(Menus!$J$9,C116/B116,C116)</f>
        <v>#DIV/0!</v>
      </c>
      <c r="E116" s="74" t="e">
        <f t="shared" ca="1" si="4"/>
        <v>#N/A</v>
      </c>
      <c r="F116" s="75">
        <f ca="1">INDIRECT(ADDRESS($A116,1,3,1,Menus!$K$10))</f>
        <v>0</v>
      </c>
      <c r="G116" s="2" t="e">
        <f ca="1">IF(INDIRECT(ADDRESS($A116,2,3,1,Menus!$K$10))=G$1,$D116,#N/A)</f>
        <v>#N/A</v>
      </c>
      <c r="H116" s="2" t="e">
        <f ca="1">IF(INDIRECT(ADDRESS($A116,2,3,1,Menus!$K$10))=H$1,$D116,#N/A)</f>
        <v>#N/A</v>
      </c>
      <c r="I116" s="2" t="e">
        <f ca="1">IF(INDIRECT(ADDRESS($A116,2,3,1,Menus!$K$10))=I$1,$D116,#N/A)</f>
        <v>#N/A</v>
      </c>
      <c r="J116" s="2" t="e">
        <f ca="1">IF(INDIRECT(ADDRESS($A116,1,3,1,Menus!$K$10))=T(J$1),$D116,#N/A)</f>
        <v>#N/A</v>
      </c>
      <c r="K116" s="10">
        <f t="shared" ca="1" si="3"/>
        <v>0</v>
      </c>
      <c r="L116" s="2"/>
      <c r="M116" s="85">
        <f ca="1">OFFSET(INDIRECT(ADDRESS($A116,3,3,1,"Gross")),0,Menus!$J$4)</f>
        <v>0</v>
      </c>
      <c r="N116" s="85">
        <f ca="1">OFFSET(INDIRECT(ADDRESS($A116,3,3,1,"Gross")),0,Menus!$J$3)</f>
        <v>0</v>
      </c>
    </row>
    <row r="117" spans="1:14" x14ac:dyDescent="0.25">
      <c r="A117">
        <v>140</v>
      </c>
      <c r="B117" s="2">
        <f ca="1">OFFSET(INDIRECT(ADDRESS($A117,3,3,1,Menus!$K$10)),0,Menus!$J$4)</f>
        <v>0</v>
      </c>
      <c r="C117" s="2">
        <f ca="1">OFFSET(INDIRECT(ADDRESS($A117,3,3,1,Menus!$K$10)),0,Menus!$J$3)</f>
        <v>0</v>
      </c>
      <c r="D117" s="73" t="e">
        <f ca="1">IF(Menus!$J$9,C117/B117,C117)</f>
        <v>#DIV/0!</v>
      </c>
      <c r="E117" s="74" t="e">
        <f t="shared" ca="1" si="4"/>
        <v>#N/A</v>
      </c>
      <c r="F117" s="75">
        <f ca="1">INDIRECT(ADDRESS($A117,1,3,1,Menus!$K$10))</f>
        <v>0</v>
      </c>
      <c r="G117" s="2" t="e">
        <f ca="1">IF(INDIRECT(ADDRESS($A117,2,3,1,Menus!$K$10))=G$1,$D117,#N/A)</f>
        <v>#N/A</v>
      </c>
      <c r="H117" s="2" t="e">
        <f ca="1">IF(INDIRECT(ADDRESS($A117,2,3,1,Menus!$K$10))=H$1,$D117,#N/A)</f>
        <v>#N/A</v>
      </c>
      <c r="I117" s="2" t="e">
        <f ca="1">IF(INDIRECT(ADDRESS($A117,2,3,1,Menus!$K$10))=I$1,$D117,#N/A)</f>
        <v>#N/A</v>
      </c>
      <c r="J117" s="2" t="e">
        <f ca="1">IF(INDIRECT(ADDRESS($A117,1,3,1,Menus!$K$10))=T(J$1),$D117,#N/A)</f>
        <v>#N/A</v>
      </c>
      <c r="K117" s="10">
        <f t="shared" ca="1" si="3"/>
        <v>0</v>
      </c>
      <c r="L117" s="2"/>
      <c r="M117" s="85">
        <f ca="1">OFFSET(INDIRECT(ADDRESS($A117,3,3,1,"Gross")),0,Menus!$J$4)</f>
        <v>2</v>
      </c>
      <c r="N117" s="85">
        <f ca="1">OFFSET(INDIRECT(ADDRESS($A117,3,3,1,"Gross")),0,Menus!$J$3)</f>
        <v>2</v>
      </c>
    </row>
    <row r="118" spans="1:14" x14ac:dyDescent="0.25">
      <c r="A118">
        <v>166</v>
      </c>
      <c r="B118" s="2">
        <f ca="1">OFFSET(INDIRECT(ADDRESS($A118,3,3,1,Menus!$K$10)),0,Menus!$J$4)</f>
        <v>0</v>
      </c>
      <c r="C118" s="2">
        <f ca="1">OFFSET(INDIRECT(ADDRESS($A118,3,3,1,Menus!$K$10)),0,Menus!$J$3)</f>
        <v>0</v>
      </c>
      <c r="D118" s="73" t="e">
        <f ca="1">IF(Menus!$J$9,C118/B118,C118)</f>
        <v>#DIV/0!</v>
      </c>
      <c r="E118" s="74" t="e">
        <f t="shared" ca="1" si="4"/>
        <v>#N/A</v>
      </c>
      <c r="F118" s="75">
        <f ca="1">INDIRECT(ADDRESS($A118,1,3,1,Menus!$K$10))</f>
        <v>0</v>
      </c>
      <c r="G118" s="2" t="e">
        <f ca="1">IF(INDIRECT(ADDRESS($A118,2,3,1,Menus!$K$10))=G$1,$D118,#N/A)</f>
        <v>#N/A</v>
      </c>
      <c r="H118" s="2" t="e">
        <f ca="1">IF(INDIRECT(ADDRESS($A118,2,3,1,Menus!$K$10))=H$1,$D118,#N/A)</f>
        <v>#N/A</v>
      </c>
      <c r="I118" s="2" t="e">
        <f ca="1">IF(INDIRECT(ADDRESS($A118,2,3,1,Menus!$K$10))=I$1,$D118,#N/A)</f>
        <v>#N/A</v>
      </c>
      <c r="J118" s="2" t="e">
        <f ca="1">IF(INDIRECT(ADDRESS($A118,1,3,1,Menus!$K$10))=T(J$1),$D118,#N/A)</f>
        <v>#N/A</v>
      </c>
      <c r="K118" s="10">
        <f t="shared" ca="1" si="3"/>
        <v>0</v>
      </c>
      <c r="L118" s="2"/>
      <c r="M118" s="85">
        <f ca="1">OFFSET(INDIRECT(ADDRESS($A118,3,3,1,"Gross")),0,Menus!$J$4)</f>
        <v>0</v>
      </c>
      <c r="N118" s="85">
        <f ca="1">OFFSET(INDIRECT(ADDRESS($A118,3,3,1,"Gross")),0,Menus!$J$3)</f>
        <v>0</v>
      </c>
    </row>
    <row r="119" spans="1:14" x14ac:dyDescent="0.25">
      <c r="A119">
        <v>172</v>
      </c>
      <c r="B119" s="2">
        <f ca="1">OFFSET(INDIRECT(ADDRESS($A119,3,3,1,Menus!$K$10)),0,Menus!$J$4)</f>
        <v>0</v>
      </c>
      <c r="C119" s="2">
        <f ca="1">OFFSET(INDIRECT(ADDRESS($A119,3,3,1,Menus!$K$10)),0,Menus!$J$3)</f>
        <v>0</v>
      </c>
      <c r="D119" s="73" t="e">
        <f ca="1">IF(Menus!$J$9,C119/B119,C119)</f>
        <v>#DIV/0!</v>
      </c>
      <c r="E119" s="74" t="e">
        <f t="shared" ca="1" si="4"/>
        <v>#N/A</v>
      </c>
      <c r="F119" s="75">
        <f ca="1">INDIRECT(ADDRESS($A119,1,3,1,Menus!$K$10))</f>
        <v>0</v>
      </c>
      <c r="G119" s="2" t="e">
        <f ca="1">IF(INDIRECT(ADDRESS($A119,2,3,1,Menus!$K$10))=G$1,$D119,#N/A)</f>
        <v>#N/A</v>
      </c>
      <c r="H119" s="2" t="e">
        <f ca="1">IF(INDIRECT(ADDRESS($A119,2,3,1,Menus!$K$10))=H$1,$D119,#N/A)</f>
        <v>#N/A</v>
      </c>
      <c r="I119" s="2" t="e">
        <f ca="1">IF(INDIRECT(ADDRESS($A119,2,3,1,Menus!$K$10))=I$1,$D119,#N/A)</f>
        <v>#N/A</v>
      </c>
      <c r="J119" s="2" t="e">
        <f ca="1">IF(INDIRECT(ADDRESS($A119,1,3,1,Menus!$K$10))=T(J$1),$D119,#N/A)</f>
        <v>#N/A</v>
      </c>
      <c r="K119" s="10">
        <f t="shared" ca="1" si="3"/>
        <v>0</v>
      </c>
      <c r="L119" s="2"/>
      <c r="M119" s="85">
        <f ca="1">OFFSET(INDIRECT(ADDRESS($A119,3,3,1,"Gross")),0,Menus!$J$4)</f>
        <v>0</v>
      </c>
      <c r="N119" s="85">
        <f ca="1">OFFSET(INDIRECT(ADDRESS($A119,3,3,1,"Gross")),0,Menus!$J$3)</f>
        <v>0</v>
      </c>
    </row>
    <row r="120" spans="1:14" x14ac:dyDescent="0.25">
      <c r="A120">
        <v>110</v>
      </c>
      <c r="B120" s="2">
        <f ca="1">OFFSET(INDIRECT(ADDRESS($A120,3,3,1,Menus!$K$10)),0,Menus!$J$4)</f>
        <v>0</v>
      </c>
      <c r="C120" s="2">
        <f ca="1">OFFSET(INDIRECT(ADDRESS($A120,3,3,1,Menus!$K$10)),0,Menus!$J$3)</f>
        <v>0</v>
      </c>
      <c r="D120" s="73" t="e">
        <f ca="1">IF(Menus!$J$9,C120/B120,C120)</f>
        <v>#DIV/0!</v>
      </c>
      <c r="E120" s="74" t="e">
        <f t="shared" ca="1" si="4"/>
        <v>#N/A</v>
      </c>
      <c r="F120" s="75">
        <f ca="1">INDIRECT(ADDRESS($A120,1,3,1,Menus!$K$10))</f>
        <v>0</v>
      </c>
      <c r="G120" s="2" t="e">
        <f ca="1">IF(INDIRECT(ADDRESS($A120,2,3,1,Menus!$K$10))=G$1,$D120,#N/A)</f>
        <v>#N/A</v>
      </c>
      <c r="H120" s="2" t="e">
        <f ca="1">IF(INDIRECT(ADDRESS($A120,2,3,1,Menus!$K$10))=H$1,$D120,#N/A)</f>
        <v>#N/A</v>
      </c>
      <c r="I120" s="2" t="e">
        <f ca="1">IF(INDIRECT(ADDRESS($A120,2,3,1,Menus!$K$10))=I$1,$D120,#N/A)</f>
        <v>#N/A</v>
      </c>
      <c r="J120" s="2" t="e">
        <f ca="1">IF(INDIRECT(ADDRESS($A120,1,3,1,Menus!$K$10))=T(J$1),$D120,#N/A)</f>
        <v>#N/A</v>
      </c>
      <c r="K120" s="10">
        <f t="shared" ca="1" si="3"/>
        <v>0</v>
      </c>
      <c r="L120" s="2"/>
      <c r="M120" s="85">
        <f ca="1">OFFSET(INDIRECT(ADDRESS($A120,3,3,1,"Gross")),0,Menus!$J$4)</f>
        <v>0</v>
      </c>
      <c r="N120" s="85">
        <f ca="1">OFFSET(INDIRECT(ADDRESS($A120,3,3,1,"Gross")),0,Menus!$J$3)</f>
        <v>-1</v>
      </c>
    </row>
    <row r="121" spans="1:14" x14ac:dyDescent="0.25">
      <c r="A121">
        <v>139</v>
      </c>
      <c r="B121" s="2">
        <f ca="1">OFFSET(INDIRECT(ADDRESS($A121,3,3,1,Menus!$K$10)),0,Menus!$J$4)</f>
        <v>0</v>
      </c>
      <c r="C121" s="2">
        <f ca="1">OFFSET(INDIRECT(ADDRESS($A121,3,3,1,Menus!$K$10)),0,Menus!$J$3)</f>
        <v>0</v>
      </c>
      <c r="D121" s="73" t="e">
        <f ca="1">IF(Menus!$J$9,C121/B121,C121)</f>
        <v>#DIV/0!</v>
      </c>
      <c r="E121" s="74" t="e">
        <f t="shared" ca="1" si="4"/>
        <v>#N/A</v>
      </c>
      <c r="F121" s="75">
        <f ca="1">INDIRECT(ADDRESS($A121,1,3,1,Menus!$K$10))</f>
        <v>0</v>
      </c>
      <c r="G121" s="2" t="e">
        <f ca="1">IF(INDIRECT(ADDRESS($A121,2,3,1,Menus!$K$10))=G$1,$D121,#N/A)</f>
        <v>#N/A</v>
      </c>
      <c r="H121" s="2" t="e">
        <f ca="1">IF(INDIRECT(ADDRESS($A121,2,3,1,Menus!$K$10))=H$1,$D121,#N/A)</f>
        <v>#N/A</v>
      </c>
      <c r="I121" s="2" t="e">
        <f ca="1">IF(INDIRECT(ADDRESS($A121,2,3,1,Menus!$K$10))=I$1,$D121,#N/A)</f>
        <v>#N/A</v>
      </c>
      <c r="J121" s="2" t="e">
        <f ca="1">IF(INDIRECT(ADDRESS($A121,1,3,1,Menus!$K$10))=T(J$1),$D121,#N/A)</f>
        <v>#N/A</v>
      </c>
      <c r="K121" s="10">
        <f t="shared" ca="1" si="3"/>
        <v>0</v>
      </c>
      <c r="L121" s="2"/>
      <c r="M121" s="85">
        <f ca="1">OFFSET(INDIRECT(ADDRESS($A121,3,3,1,"Gross")),0,Menus!$J$4)</f>
        <v>0</v>
      </c>
      <c r="N121" s="85">
        <f ca="1">OFFSET(INDIRECT(ADDRESS($A121,3,3,1,"Gross")),0,Menus!$J$3)</f>
        <v>0</v>
      </c>
    </row>
    <row r="122" spans="1:14" x14ac:dyDescent="0.25">
      <c r="A122">
        <v>156</v>
      </c>
      <c r="B122" s="2">
        <f ca="1">OFFSET(INDIRECT(ADDRESS($A122,3,3,1,Menus!$K$10)),0,Menus!$J$4)</f>
        <v>0</v>
      </c>
      <c r="C122" s="2">
        <f ca="1">OFFSET(INDIRECT(ADDRESS($A122,3,3,1,Menus!$K$10)),0,Menus!$J$3)</f>
        <v>0</v>
      </c>
      <c r="D122" s="73" t="e">
        <f ca="1">IF(Menus!$J$9,C122/B122,C122)</f>
        <v>#DIV/0!</v>
      </c>
      <c r="E122" s="74" t="e">
        <f t="shared" ca="1" si="4"/>
        <v>#N/A</v>
      </c>
      <c r="F122" s="75">
        <f ca="1">INDIRECT(ADDRESS($A122,1,3,1,Menus!$K$10))</f>
        <v>0</v>
      </c>
      <c r="G122" s="2" t="e">
        <f ca="1">IF(INDIRECT(ADDRESS($A122,2,3,1,Menus!$K$10))=G$1,$D122,#N/A)</f>
        <v>#N/A</v>
      </c>
      <c r="H122" s="2" t="e">
        <f ca="1">IF(INDIRECT(ADDRESS($A122,2,3,1,Menus!$K$10))=H$1,$D122,#N/A)</f>
        <v>#N/A</v>
      </c>
      <c r="I122" s="2" t="e">
        <f ca="1">IF(INDIRECT(ADDRESS($A122,2,3,1,Menus!$K$10))=I$1,$D122,#N/A)</f>
        <v>#N/A</v>
      </c>
      <c r="J122" s="2" t="e">
        <f ca="1">IF(INDIRECT(ADDRESS($A122,1,3,1,Menus!$K$10))=T(J$1),$D122,#N/A)</f>
        <v>#N/A</v>
      </c>
      <c r="K122" s="10">
        <f t="shared" ca="1" si="3"/>
        <v>0</v>
      </c>
      <c r="L122" s="2"/>
      <c r="M122" s="85">
        <f ca="1">OFFSET(INDIRECT(ADDRESS($A122,3,3,1,"Gross")),0,Menus!$J$4)</f>
        <v>1</v>
      </c>
      <c r="N122" s="85">
        <f ca="1">OFFSET(INDIRECT(ADDRESS($A122,3,3,1,"Gross")),0,Menus!$J$3)</f>
        <v>1</v>
      </c>
    </row>
    <row r="123" spans="1:14" x14ac:dyDescent="0.25">
      <c r="A123">
        <v>191</v>
      </c>
      <c r="B123" s="2">
        <f ca="1">OFFSET(INDIRECT(ADDRESS($A123,3,3,1,Menus!$K$10)),0,Menus!$J$4)</f>
        <v>0</v>
      </c>
      <c r="C123" s="2">
        <f ca="1">OFFSET(INDIRECT(ADDRESS($A123,3,3,1,Menus!$K$10)),0,Menus!$J$3)</f>
        <v>0</v>
      </c>
      <c r="D123" s="73" t="e">
        <f ca="1">IF(Menus!$J$9,C123/B123,C123)</f>
        <v>#DIV/0!</v>
      </c>
      <c r="E123" s="74" t="e">
        <f t="shared" ca="1" si="4"/>
        <v>#N/A</v>
      </c>
      <c r="F123" s="75">
        <f ca="1">INDIRECT(ADDRESS($A123,1,3,1,Menus!$K$10))</f>
        <v>0</v>
      </c>
      <c r="G123" s="2" t="e">
        <f ca="1">IF(INDIRECT(ADDRESS($A123,2,3,1,Menus!$K$10))=G$1,$D123,#N/A)</f>
        <v>#N/A</v>
      </c>
      <c r="H123" s="2" t="e">
        <f ca="1">IF(INDIRECT(ADDRESS($A123,2,3,1,Menus!$K$10))=H$1,$D123,#N/A)</f>
        <v>#N/A</v>
      </c>
      <c r="I123" s="2" t="e">
        <f ca="1">IF(INDIRECT(ADDRESS($A123,2,3,1,Menus!$K$10))=I$1,$D123,#N/A)</f>
        <v>#N/A</v>
      </c>
      <c r="J123" s="2" t="e">
        <f ca="1">IF(INDIRECT(ADDRESS($A123,1,3,1,Menus!$K$10))=T(J$1),$D123,#N/A)</f>
        <v>#N/A</v>
      </c>
      <c r="K123" s="10">
        <f t="shared" ca="1" si="3"/>
        <v>0</v>
      </c>
      <c r="L123" s="2"/>
      <c r="M123" s="85">
        <f ca="1">OFFSET(INDIRECT(ADDRESS($A123,3,3,1,"Gross")),0,Menus!$J$4)</f>
        <v>0</v>
      </c>
      <c r="N123" s="85">
        <f ca="1">OFFSET(INDIRECT(ADDRESS($A123,3,3,1,"Gross")),0,Menus!$J$3)</f>
        <v>0</v>
      </c>
    </row>
    <row r="124" spans="1:14" x14ac:dyDescent="0.25">
      <c r="A124">
        <v>192</v>
      </c>
      <c r="B124" s="2">
        <f ca="1">OFFSET(INDIRECT(ADDRESS($A124,3,3,1,Menus!$K$10)),0,Menus!$J$4)</f>
        <v>0</v>
      </c>
      <c r="C124" s="2">
        <f ca="1">OFFSET(INDIRECT(ADDRESS($A124,3,3,1,Menus!$K$10)),0,Menus!$J$3)</f>
        <v>0</v>
      </c>
      <c r="D124" s="73" t="e">
        <f ca="1">IF(Menus!$J$9,C124/B124,C124)</f>
        <v>#DIV/0!</v>
      </c>
      <c r="E124" s="74" t="e">
        <f t="shared" ca="1" si="4"/>
        <v>#N/A</v>
      </c>
      <c r="F124" s="75">
        <f ca="1">INDIRECT(ADDRESS($A124,1,3,1,Menus!$K$10))</f>
        <v>0</v>
      </c>
      <c r="G124" s="2" t="e">
        <f ca="1">IF(INDIRECT(ADDRESS($A124,2,3,1,Menus!$K$10))=G$1,$D124,#N/A)</f>
        <v>#N/A</v>
      </c>
      <c r="H124" s="2" t="e">
        <f ca="1">IF(INDIRECT(ADDRESS($A124,2,3,1,Menus!$K$10))=H$1,$D124,#N/A)</f>
        <v>#N/A</v>
      </c>
      <c r="I124" s="2" t="e">
        <f ca="1">IF(INDIRECT(ADDRESS($A124,2,3,1,Menus!$K$10))=I$1,$D124,#N/A)</f>
        <v>#N/A</v>
      </c>
      <c r="J124" s="2" t="e">
        <f ca="1">IF(INDIRECT(ADDRESS($A124,1,3,1,Menus!$K$10))=T(J$1),$D124,#N/A)</f>
        <v>#N/A</v>
      </c>
      <c r="K124" s="10">
        <f t="shared" ca="1" si="3"/>
        <v>0</v>
      </c>
      <c r="L124" s="2"/>
      <c r="M124" s="85">
        <f ca="1">OFFSET(INDIRECT(ADDRESS($A124,3,3,1,"Gross")),0,Menus!$J$4)</f>
        <v>0</v>
      </c>
      <c r="N124" s="85">
        <f ca="1">OFFSET(INDIRECT(ADDRESS($A124,3,3,1,"Gross")),0,Menus!$J$3)</f>
        <v>0</v>
      </c>
    </row>
    <row r="125" spans="1:14" x14ac:dyDescent="0.25">
      <c r="A125">
        <v>137</v>
      </c>
      <c r="B125" s="2">
        <f ca="1">OFFSET(INDIRECT(ADDRESS($A125,3,3,1,Menus!$K$10)),0,Menus!$J$4)</f>
        <v>0</v>
      </c>
      <c r="C125" s="2">
        <f ca="1">OFFSET(INDIRECT(ADDRESS($A125,3,3,1,Menus!$K$10)),0,Menus!$J$3)</f>
        <v>0</v>
      </c>
      <c r="D125" s="73" t="e">
        <f ca="1">IF(Menus!$J$9,C125/B125,C125)</f>
        <v>#DIV/0!</v>
      </c>
      <c r="E125" s="74" t="e">
        <f t="shared" ca="1" si="4"/>
        <v>#N/A</v>
      </c>
      <c r="F125" s="75">
        <f ca="1">INDIRECT(ADDRESS($A125,1,3,1,Menus!$K$10))</f>
        <v>0</v>
      </c>
      <c r="G125" s="2" t="e">
        <f ca="1">IF(INDIRECT(ADDRESS($A125,2,3,1,Menus!$K$10))=G$1,$D125,#N/A)</f>
        <v>#N/A</v>
      </c>
      <c r="H125" s="2" t="e">
        <f ca="1">IF(INDIRECT(ADDRESS($A125,2,3,1,Menus!$K$10))=H$1,$D125,#N/A)</f>
        <v>#N/A</v>
      </c>
      <c r="I125" s="2" t="e">
        <f ca="1">IF(INDIRECT(ADDRESS($A125,2,3,1,Menus!$K$10))=I$1,$D125,#N/A)</f>
        <v>#N/A</v>
      </c>
      <c r="J125" s="2" t="e">
        <f ca="1">IF(INDIRECT(ADDRESS($A125,1,3,1,Menus!$K$10))=T(J$1),$D125,#N/A)</f>
        <v>#N/A</v>
      </c>
      <c r="K125" s="10">
        <f t="shared" ca="1" si="3"/>
        <v>0</v>
      </c>
      <c r="L125" s="2"/>
      <c r="M125" s="85">
        <f ca="1">OFFSET(INDIRECT(ADDRESS($A125,3,3,1,"Gross")),0,Menus!$J$4)</f>
        <v>0</v>
      </c>
      <c r="N125" s="85">
        <f ca="1">OFFSET(INDIRECT(ADDRESS($A125,3,3,1,"Gross")),0,Menus!$J$3)</f>
        <v>0</v>
      </c>
    </row>
    <row r="126" spans="1:14" x14ac:dyDescent="0.25">
      <c r="A126">
        <v>83</v>
      </c>
      <c r="B126" s="2">
        <f ca="1">OFFSET(INDIRECT(ADDRESS($A126,3,3,1,Menus!$K$10)),0,Menus!$J$4)</f>
        <v>0</v>
      </c>
      <c r="C126" s="2">
        <f ca="1">OFFSET(INDIRECT(ADDRESS($A126,3,3,1,Menus!$K$10)),0,Menus!$J$3)</f>
        <v>0</v>
      </c>
      <c r="D126" s="73" t="e">
        <f ca="1">IF(Menus!$J$9,C126/B126,C126)</f>
        <v>#DIV/0!</v>
      </c>
      <c r="E126" s="74" t="e">
        <f t="shared" ca="1" si="4"/>
        <v>#N/A</v>
      </c>
      <c r="F126" s="75">
        <f ca="1">INDIRECT(ADDRESS($A126,1,3,1,Menus!$K$10))</f>
        <v>0</v>
      </c>
      <c r="G126" s="2" t="e">
        <f ca="1">IF(INDIRECT(ADDRESS($A126,2,3,1,Menus!$K$10))=G$1,$D126,#N/A)</f>
        <v>#N/A</v>
      </c>
      <c r="H126" s="2" t="e">
        <f ca="1">IF(INDIRECT(ADDRESS($A126,2,3,1,Menus!$K$10))=H$1,$D126,#N/A)</f>
        <v>#N/A</v>
      </c>
      <c r="I126" s="2" t="e">
        <f ca="1">IF(INDIRECT(ADDRESS($A126,2,3,1,Menus!$K$10))=I$1,$D126,#N/A)</f>
        <v>#N/A</v>
      </c>
      <c r="J126" s="2" t="e">
        <f ca="1">IF(INDIRECT(ADDRESS($A126,1,3,1,Menus!$K$10))=T(J$1),$D126,#N/A)</f>
        <v>#N/A</v>
      </c>
      <c r="K126" s="10">
        <f t="shared" ca="1" si="3"/>
        <v>0</v>
      </c>
      <c r="L126" s="2"/>
      <c r="M126" s="85">
        <f ca="1">OFFSET(INDIRECT(ADDRESS($A126,3,3,1,"Gross")),0,Menus!$J$4)</f>
        <v>2</v>
      </c>
      <c r="N126" s="85">
        <f ca="1">OFFSET(INDIRECT(ADDRESS($A126,3,3,1,"Gross")),0,Menus!$J$3)</f>
        <v>2</v>
      </c>
    </row>
    <row r="127" spans="1:14" x14ac:dyDescent="0.25">
      <c r="A127">
        <v>76</v>
      </c>
      <c r="B127" s="2">
        <f ca="1">OFFSET(INDIRECT(ADDRESS($A127,3,3,1,Menus!$K$10)),0,Menus!$J$4)</f>
        <v>0</v>
      </c>
      <c r="C127" s="2">
        <f ca="1">OFFSET(INDIRECT(ADDRESS($A127,3,3,1,Menus!$K$10)),0,Menus!$J$3)</f>
        <v>0</v>
      </c>
      <c r="D127" s="73" t="e">
        <f ca="1">IF(Menus!$J$9,C127/B127,C127)</f>
        <v>#DIV/0!</v>
      </c>
      <c r="E127" s="74" t="e">
        <f t="shared" ca="1" si="4"/>
        <v>#N/A</v>
      </c>
      <c r="F127" s="75">
        <f ca="1">INDIRECT(ADDRESS($A127,1,3,1,Menus!$K$10))</f>
        <v>0</v>
      </c>
      <c r="G127" s="2" t="e">
        <f ca="1">IF(INDIRECT(ADDRESS($A127,2,3,1,Menus!$K$10))=G$1,$D127,#N/A)</f>
        <v>#N/A</v>
      </c>
      <c r="H127" s="2" t="e">
        <f ca="1">IF(INDIRECT(ADDRESS($A127,2,3,1,Menus!$K$10))=H$1,$D127,#N/A)</f>
        <v>#N/A</v>
      </c>
      <c r="I127" s="2" t="e">
        <f ca="1">IF(INDIRECT(ADDRESS($A127,2,3,1,Menus!$K$10))=I$1,$D127,#N/A)</f>
        <v>#N/A</v>
      </c>
      <c r="J127" s="2" t="e">
        <f ca="1">IF(INDIRECT(ADDRESS($A127,1,3,1,Menus!$K$10))=T(J$1),$D127,#N/A)</f>
        <v>#N/A</v>
      </c>
      <c r="K127" s="10">
        <f t="shared" ca="1" si="3"/>
        <v>0</v>
      </c>
      <c r="L127" s="2"/>
      <c r="M127" s="85">
        <f ca="1">OFFSET(INDIRECT(ADDRESS($A127,3,3,1,"Gross")),0,Menus!$J$4)</f>
        <v>1</v>
      </c>
      <c r="N127" s="85">
        <f ca="1">OFFSET(INDIRECT(ADDRESS($A127,3,3,1,"Gross")),0,Menus!$J$3)</f>
        <v>1</v>
      </c>
    </row>
    <row r="128" spans="1:14" x14ac:dyDescent="0.25">
      <c r="A128">
        <v>61</v>
      </c>
      <c r="B128" s="2">
        <f ca="1">OFFSET(INDIRECT(ADDRESS($A128,3,3,1,Menus!$K$10)),0,Menus!$J$4)</f>
        <v>0</v>
      </c>
      <c r="C128" s="2">
        <f ca="1">OFFSET(INDIRECT(ADDRESS($A128,3,3,1,Menus!$K$10)),0,Menus!$J$3)</f>
        <v>0</v>
      </c>
      <c r="D128" s="73" t="e">
        <f ca="1">IF(Menus!$J$9,C128/B128,C128)</f>
        <v>#DIV/0!</v>
      </c>
      <c r="E128" s="74" t="e">
        <f t="shared" ca="1" si="4"/>
        <v>#N/A</v>
      </c>
      <c r="F128" s="75">
        <f ca="1">INDIRECT(ADDRESS($A128,1,3,1,Menus!$K$10))</f>
        <v>0</v>
      </c>
      <c r="G128" s="2" t="e">
        <f ca="1">IF(INDIRECT(ADDRESS($A128,2,3,1,Menus!$K$10))=G$1,$D128,#N/A)</f>
        <v>#N/A</v>
      </c>
      <c r="H128" s="2" t="e">
        <f ca="1">IF(INDIRECT(ADDRESS($A128,2,3,1,Menus!$K$10))=H$1,$D128,#N/A)</f>
        <v>#N/A</v>
      </c>
      <c r="I128" s="2" t="e">
        <f ca="1">IF(INDIRECT(ADDRESS($A128,2,3,1,Menus!$K$10))=I$1,$D128,#N/A)</f>
        <v>#N/A</v>
      </c>
      <c r="J128" s="2" t="e">
        <f ca="1">IF(INDIRECT(ADDRESS($A128,1,3,1,Menus!$K$10))=T(J$1),$D128,#N/A)</f>
        <v>#N/A</v>
      </c>
      <c r="K128" s="10">
        <f t="shared" ca="1" si="3"/>
        <v>0</v>
      </c>
      <c r="L128" s="2"/>
      <c r="M128" s="85">
        <f ca="1">OFFSET(INDIRECT(ADDRESS($A128,3,3,1,"Gross")),0,Menus!$J$4)</f>
        <v>0</v>
      </c>
      <c r="N128" s="85">
        <f ca="1">OFFSET(INDIRECT(ADDRESS($A128,3,3,1,"Gross")),0,Menus!$J$3)</f>
        <v>0</v>
      </c>
    </row>
    <row r="129" spans="1:14" x14ac:dyDescent="0.25">
      <c r="A129">
        <v>152</v>
      </c>
      <c r="B129" s="2">
        <f ca="1">OFFSET(INDIRECT(ADDRESS($A129,3,3,1,Menus!$K$10)),0,Menus!$J$4)</f>
        <v>0</v>
      </c>
      <c r="C129" s="2">
        <f ca="1">OFFSET(INDIRECT(ADDRESS($A129,3,3,1,Menus!$K$10)),0,Menus!$J$3)</f>
        <v>0</v>
      </c>
      <c r="D129" s="73" t="e">
        <f ca="1">IF(Menus!$J$9,C129/B129,C129)</f>
        <v>#DIV/0!</v>
      </c>
      <c r="E129" s="74" t="e">
        <f t="shared" ca="1" si="4"/>
        <v>#N/A</v>
      </c>
      <c r="F129" s="75">
        <f ca="1">INDIRECT(ADDRESS($A129,1,3,1,Menus!$K$10))</f>
        <v>0</v>
      </c>
      <c r="G129" s="2" t="e">
        <f ca="1">IF(INDIRECT(ADDRESS($A129,2,3,1,Menus!$K$10))=G$1,$D129,#N/A)</f>
        <v>#N/A</v>
      </c>
      <c r="H129" s="2" t="e">
        <f ca="1">IF(INDIRECT(ADDRESS($A129,2,3,1,Menus!$K$10))=H$1,$D129,#N/A)</f>
        <v>#N/A</v>
      </c>
      <c r="I129" s="2" t="e">
        <f ca="1">IF(INDIRECT(ADDRESS($A129,2,3,1,Menus!$K$10))=I$1,$D129,#N/A)</f>
        <v>#N/A</v>
      </c>
      <c r="J129" s="2" t="e">
        <f ca="1">IF(INDIRECT(ADDRESS($A129,1,3,1,Menus!$K$10))=T(J$1),$D129,#N/A)</f>
        <v>#N/A</v>
      </c>
      <c r="K129" s="10">
        <f t="shared" ca="1" si="3"/>
        <v>0</v>
      </c>
      <c r="L129" s="2"/>
      <c r="M129" s="85">
        <f ca="1">OFFSET(INDIRECT(ADDRESS($A129,3,3,1,"Gross")),0,Menus!$J$4)</f>
        <v>2</v>
      </c>
      <c r="N129" s="85">
        <f ca="1">OFFSET(INDIRECT(ADDRESS($A129,3,3,1,"Gross")),0,Menus!$J$3)</f>
        <v>2</v>
      </c>
    </row>
    <row r="130" spans="1:14" x14ac:dyDescent="0.25">
      <c r="A130">
        <v>78</v>
      </c>
      <c r="B130" s="2">
        <f ca="1">OFFSET(INDIRECT(ADDRESS($A130,3,3,1,Menus!$K$10)),0,Menus!$J$4)</f>
        <v>0</v>
      </c>
      <c r="C130" s="2">
        <f ca="1">OFFSET(INDIRECT(ADDRESS($A130,3,3,1,Menus!$K$10)),0,Menus!$J$3)</f>
        <v>0</v>
      </c>
      <c r="D130" s="73" t="e">
        <f ca="1">IF(Menus!$J$9,C130/B130,C130)</f>
        <v>#DIV/0!</v>
      </c>
      <c r="E130" s="74" t="e">
        <f t="shared" ca="1" si="4"/>
        <v>#N/A</v>
      </c>
      <c r="F130" s="75">
        <f ca="1">INDIRECT(ADDRESS($A130,1,3,1,Menus!$K$10))</f>
        <v>0</v>
      </c>
      <c r="G130" s="2" t="e">
        <f ca="1">IF(INDIRECT(ADDRESS($A130,2,3,1,Menus!$K$10))=G$1,$D130,#N/A)</f>
        <v>#N/A</v>
      </c>
      <c r="H130" s="2" t="e">
        <f ca="1">IF(INDIRECT(ADDRESS($A130,2,3,1,Menus!$K$10))=H$1,$D130,#N/A)</f>
        <v>#N/A</v>
      </c>
      <c r="I130" s="2" t="e">
        <f ca="1">IF(INDIRECT(ADDRESS($A130,2,3,1,Menus!$K$10))=I$1,$D130,#N/A)</f>
        <v>#N/A</v>
      </c>
      <c r="J130" s="2" t="e">
        <f ca="1">IF(INDIRECT(ADDRESS($A130,1,3,1,Menus!$K$10))=T(J$1),$D130,#N/A)</f>
        <v>#N/A</v>
      </c>
      <c r="K130" s="10">
        <f t="shared" ref="K130:K193" ca="1" si="5">IF(OR(ISNUMBER($G130),ISNUMBER($H130),ISNUMBER($I130),ISNUMBER($J130)),1,0)</f>
        <v>0</v>
      </c>
      <c r="L130" s="2"/>
      <c r="M130" s="85">
        <f ca="1">OFFSET(INDIRECT(ADDRESS($A130,3,3,1,"Gross")),0,Menus!$J$4)</f>
        <v>2</v>
      </c>
      <c r="N130" s="85">
        <f ca="1">OFFSET(INDIRECT(ADDRESS($A130,3,3,1,"Gross")),0,Menus!$J$3)</f>
        <v>2</v>
      </c>
    </row>
    <row r="131" spans="1:14" x14ac:dyDescent="0.25">
      <c r="A131">
        <v>144</v>
      </c>
      <c r="B131" s="2">
        <f ca="1">OFFSET(INDIRECT(ADDRESS($A131,3,3,1,Menus!$K$10)),0,Menus!$J$4)</f>
        <v>0</v>
      </c>
      <c r="C131" s="2">
        <f ca="1">OFFSET(INDIRECT(ADDRESS($A131,3,3,1,Menus!$K$10)),0,Menus!$J$3)</f>
        <v>0</v>
      </c>
      <c r="D131" s="73" t="e">
        <f ca="1">IF(Menus!$J$9,C131/B131,C131)</f>
        <v>#DIV/0!</v>
      </c>
      <c r="E131" s="74" t="e">
        <f t="shared" ref="E131:E194" ca="1" si="6">IF($K131=1,VALUE(B131),#N/A)</f>
        <v>#N/A</v>
      </c>
      <c r="F131" s="75">
        <f ca="1">INDIRECT(ADDRESS($A131,1,3,1,Menus!$K$10))</f>
        <v>0</v>
      </c>
      <c r="G131" s="2" t="e">
        <f ca="1">IF(INDIRECT(ADDRESS($A131,2,3,1,Menus!$K$10))=G$1,$D131,#N/A)</f>
        <v>#N/A</v>
      </c>
      <c r="H131" s="2" t="e">
        <f ca="1">IF(INDIRECT(ADDRESS($A131,2,3,1,Menus!$K$10))=H$1,$D131,#N/A)</f>
        <v>#N/A</v>
      </c>
      <c r="I131" s="2" t="e">
        <f ca="1">IF(INDIRECT(ADDRESS($A131,2,3,1,Menus!$K$10))=I$1,$D131,#N/A)</f>
        <v>#N/A</v>
      </c>
      <c r="J131" s="2" t="e">
        <f ca="1">IF(INDIRECT(ADDRESS($A131,1,3,1,Menus!$K$10))=T(J$1),$D131,#N/A)</f>
        <v>#N/A</v>
      </c>
      <c r="K131" s="10">
        <f t="shared" ca="1" si="5"/>
        <v>0</v>
      </c>
      <c r="L131" s="2"/>
      <c r="M131" s="85">
        <f ca="1">OFFSET(INDIRECT(ADDRESS($A131,3,3,1,"Gross")),0,Menus!$J$4)</f>
        <v>2</v>
      </c>
      <c r="N131" s="85">
        <f ca="1">OFFSET(INDIRECT(ADDRESS($A131,3,3,1,"Gross")),0,Menus!$J$3)</f>
        <v>2</v>
      </c>
    </row>
    <row r="132" spans="1:14" x14ac:dyDescent="0.25">
      <c r="A132">
        <v>153</v>
      </c>
      <c r="B132" s="2">
        <f ca="1">OFFSET(INDIRECT(ADDRESS($A132,3,3,1,Menus!$K$10)),0,Menus!$J$4)</f>
        <v>0</v>
      </c>
      <c r="C132" s="2">
        <f ca="1">OFFSET(INDIRECT(ADDRESS($A132,3,3,1,Menus!$K$10)),0,Menus!$J$3)</f>
        <v>0</v>
      </c>
      <c r="D132" s="73" t="e">
        <f ca="1">IF(Menus!$J$9,C132/B132,C132)</f>
        <v>#DIV/0!</v>
      </c>
      <c r="E132" s="74" t="e">
        <f t="shared" ca="1" si="6"/>
        <v>#N/A</v>
      </c>
      <c r="F132" s="75">
        <f ca="1">INDIRECT(ADDRESS($A132,1,3,1,Menus!$K$10))</f>
        <v>0</v>
      </c>
      <c r="G132" s="2" t="e">
        <f ca="1">IF(INDIRECT(ADDRESS($A132,2,3,1,Menus!$K$10))=G$1,$D132,#N/A)</f>
        <v>#N/A</v>
      </c>
      <c r="H132" s="2" t="e">
        <f ca="1">IF(INDIRECT(ADDRESS($A132,2,3,1,Menus!$K$10))=H$1,$D132,#N/A)</f>
        <v>#N/A</v>
      </c>
      <c r="I132" s="2" t="e">
        <f ca="1">IF(INDIRECT(ADDRESS($A132,2,3,1,Menus!$K$10))=I$1,$D132,#N/A)</f>
        <v>#N/A</v>
      </c>
      <c r="J132" s="2" t="e">
        <f ca="1">IF(INDIRECT(ADDRESS($A132,1,3,1,Menus!$K$10))=T(J$1),$D132,#N/A)</f>
        <v>#N/A</v>
      </c>
      <c r="K132" s="10">
        <f t="shared" ca="1" si="5"/>
        <v>0</v>
      </c>
      <c r="L132" s="2"/>
      <c r="M132" s="85">
        <f ca="1">OFFSET(INDIRECT(ADDRESS($A132,3,3,1,"Gross")),0,Menus!$J$4)</f>
        <v>1</v>
      </c>
      <c r="N132" s="85">
        <f ca="1">OFFSET(INDIRECT(ADDRESS($A132,3,3,1,"Gross")),0,Menus!$J$3)</f>
        <v>3</v>
      </c>
    </row>
    <row r="133" spans="1:14" x14ac:dyDescent="0.25">
      <c r="A133">
        <v>147</v>
      </c>
      <c r="B133" s="2">
        <f ca="1">OFFSET(INDIRECT(ADDRESS($A133,3,3,1,Menus!$K$10)),0,Menus!$J$4)</f>
        <v>0</v>
      </c>
      <c r="C133" s="2">
        <f ca="1">OFFSET(INDIRECT(ADDRESS($A133,3,3,1,Menus!$K$10)),0,Menus!$J$3)</f>
        <v>0</v>
      </c>
      <c r="D133" s="73" t="e">
        <f ca="1">IF(Menus!$J$9,C133/B133,C133)</f>
        <v>#DIV/0!</v>
      </c>
      <c r="E133" s="74" t="e">
        <f t="shared" ca="1" si="6"/>
        <v>#N/A</v>
      </c>
      <c r="F133" s="75">
        <f ca="1">INDIRECT(ADDRESS($A133,1,3,1,Menus!$K$10))</f>
        <v>0</v>
      </c>
      <c r="G133" s="2" t="e">
        <f ca="1">IF(INDIRECT(ADDRESS($A133,2,3,1,Menus!$K$10))=G$1,$D133,#N/A)</f>
        <v>#N/A</v>
      </c>
      <c r="H133" s="2" t="e">
        <f ca="1">IF(INDIRECT(ADDRESS($A133,2,3,1,Menus!$K$10))=H$1,$D133,#N/A)</f>
        <v>#N/A</v>
      </c>
      <c r="I133" s="2" t="e">
        <f ca="1">IF(INDIRECT(ADDRESS($A133,2,3,1,Menus!$K$10))=I$1,$D133,#N/A)</f>
        <v>#N/A</v>
      </c>
      <c r="J133" s="2" t="e">
        <f ca="1">IF(INDIRECT(ADDRESS($A133,1,3,1,Menus!$K$10))=T(J$1),$D133,#N/A)</f>
        <v>#N/A</v>
      </c>
      <c r="K133" s="10">
        <f t="shared" ca="1" si="5"/>
        <v>0</v>
      </c>
      <c r="L133" s="2"/>
      <c r="M133" s="85">
        <f ca="1">OFFSET(INDIRECT(ADDRESS($A133,3,3,1,"Gross")),0,Menus!$J$4)</f>
        <v>0</v>
      </c>
      <c r="N133" s="85">
        <f ca="1">OFFSET(INDIRECT(ADDRESS($A133,3,3,1,"Gross")),0,Menus!$J$3)</f>
        <v>0</v>
      </c>
    </row>
    <row r="134" spans="1:14" x14ac:dyDescent="0.25">
      <c r="A134">
        <v>132</v>
      </c>
      <c r="B134" s="2">
        <f ca="1">OFFSET(INDIRECT(ADDRESS($A134,3,3,1,Menus!$K$10)),0,Menus!$J$4)</f>
        <v>0</v>
      </c>
      <c r="C134" s="2">
        <f ca="1">OFFSET(INDIRECT(ADDRESS($A134,3,3,1,Menus!$K$10)),0,Menus!$J$3)</f>
        <v>0</v>
      </c>
      <c r="D134" s="73" t="e">
        <f ca="1">IF(Menus!$J$9,C134/B134,C134)</f>
        <v>#DIV/0!</v>
      </c>
      <c r="E134" s="74" t="e">
        <f t="shared" ca="1" si="6"/>
        <v>#N/A</v>
      </c>
      <c r="F134" s="75">
        <f ca="1">INDIRECT(ADDRESS($A134,1,3,1,Menus!$K$10))</f>
        <v>0</v>
      </c>
      <c r="G134" s="2" t="e">
        <f ca="1">IF(INDIRECT(ADDRESS($A134,2,3,1,Menus!$K$10))=G$1,$D134,#N/A)</f>
        <v>#N/A</v>
      </c>
      <c r="H134" s="2" t="e">
        <f ca="1">IF(INDIRECT(ADDRESS($A134,2,3,1,Menus!$K$10))=H$1,$D134,#N/A)</f>
        <v>#N/A</v>
      </c>
      <c r="I134" s="2" t="e">
        <f ca="1">IF(INDIRECT(ADDRESS($A134,2,3,1,Menus!$K$10))=I$1,$D134,#N/A)</f>
        <v>#N/A</v>
      </c>
      <c r="J134" s="2" t="e">
        <f ca="1">IF(INDIRECT(ADDRESS($A134,1,3,1,Menus!$K$10))=T(J$1),$D134,#N/A)</f>
        <v>#N/A</v>
      </c>
      <c r="K134" s="10">
        <f t="shared" ca="1" si="5"/>
        <v>0</v>
      </c>
      <c r="L134" s="2"/>
      <c r="M134" s="85">
        <f ca="1">OFFSET(INDIRECT(ADDRESS($A134,3,3,1,"Gross")),0,Menus!$J$4)</f>
        <v>0</v>
      </c>
      <c r="N134" s="85">
        <f ca="1">OFFSET(INDIRECT(ADDRESS($A134,3,3,1,"Gross")),0,Menus!$J$3)</f>
        <v>0</v>
      </c>
    </row>
    <row r="135" spans="1:14" x14ac:dyDescent="0.25">
      <c r="A135">
        <v>90</v>
      </c>
      <c r="B135" s="2">
        <f ca="1">OFFSET(INDIRECT(ADDRESS($A135,3,3,1,Menus!$K$10)),0,Menus!$J$4)</f>
        <v>0</v>
      </c>
      <c r="C135" s="2">
        <f ca="1">OFFSET(INDIRECT(ADDRESS($A135,3,3,1,Menus!$K$10)),0,Menus!$J$3)</f>
        <v>0</v>
      </c>
      <c r="D135" s="73" t="e">
        <f ca="1">IF(Menus!$J$9,C135/B135,C135)</f>
        <v>#DIV/0!</v>
      </c>
      <c r="E135" s="74" t="e">
        <f t="shared" ca="1" si="6"/>
        <v>#N/A</v>
      </c>
      <c r="F135" s="75">
        <f ca="1">INDIRECT(ADDRESS($A135,1,3,1,Menus!$K$10))</f>
        <v>0</v>
      </c>
      <c r="G135" s="2" t="e">
        <f ca="1">IF(INDIRECT(ADDRESS($A135,2,3,1,Menus!$K$10))=G$1,$D135,#N/A)</f>
        <v>#N/A</v>
      </c>
      <c r="H135" s="2" t="e">
        <f ca="1">IF(INDIRECT(ADDRESS($A135,2,3,1,Menus!$K$10))=H$1,$D135,#N/A)</f>
        <v>#N/A</v>
      </c>
      <c r="I135" s="2" t="e">
        <f ca="1">IF(INDIRECT(ADDRESS($A135,2,3,1,Menus!$K$10))=I$1,$D135,#N/A)</f>
        <v>#N/A</v>
      </c>
      <c r="J135" s="2" t="e">
        <f ca="1">IF(INDIRECT(ADDRESS($A135,1,3,1,Menus!$K$10))=T(J$1),$D135,#N/A)</f>
        <v>#N/A</v>
      </c>
      <c r="K135" s="10">
        <f t="shared" ca="1" si="5"/>
        <v>0</v>
      </c>
      <c r="L135" s="2"/>
      <c r="M135" s="85">
        <f ca="1">OFFSET(INDIRECT(ADDRESS($A135,3,3,1,"Gross")),0,Menus!$J$4)</f>
        <v>0</v>
      </c>
      <c r="N135" s="85">
        <f ca="1">OFFSET(INDIRECT(ADDRESS($A135,3,3,1,"Gross")),0,Menus!$J$3)</f>
        <v>1</v>
      </c>
    </row>
    <row r="136" spans="1:14" x14ac:dyDescent="0.25">
      <c r="A136">
        <v>128</v>
      </c>
      <c r="B136" s="2">
        <f ca="1">OFFSET(INDIRECT(ADDRESS($A136,3,3,1,Menus!$K$10)),0,Menus!$J$4)</f>
        <v>0</v>
      </c>
      <c r="C136" s="2">
        <f ca="1">OFFSET(INDIRECT(ADDRESS($A136,3,3,1,Menus!$K$10)),0,Menus!$J$3)</f>
        <v>0</v>
      </c>
      <c r="D136" s="73" t="e">
        <f ca="1">IF(Menus!$J$9,C136/B136,C136)</f>
        <v>#DIV/0!</v>
      </c>
      <c r="E136" s="74" t="e">
        <f t="shared" ca="1" si="6"/>
        <v>#N/A</v>
      </c>
      <c r="F136" s="75">
        <f ca="1">INDIRECT(ADDRESS($A136,1,3,1,Menus!$K$10))</f>
        <v>0</v>
      </c>
      <c r="G136" s="2" t="e">
        <f ca="1">IF(INDIRECT(ADDRESS($A136,2,3,1,Menus!$K$10))=G$1,$D136,#N/A)</f>
        <v>#N/A</v>
      </c>
      <c r="H136" s="2" t="e">
        <f ca="1">IF(INDIRECT(ADDRESS($A136,2,3,1,Menus!$K$10))=H$1,$D136,#N/A)</f>
        <v>#N/A</v>
      </c>
      <c r="I136" s="2" t="e">
        <f ca="1">IF(INDIRECT(ADDRESS($A136,2,3,1,Menus!$K$10))=I$1,$D136,#N/A)</f>
        <v>#N/A</v>
      </c>
      <c r="J136" s="2" t="e">
        <f ca="1">IF(INDIRECT(ADDRESS($A136,1,3,1,Menus!$K$10))=T(J$1),$D136,#N/A)</f>
        <v>#N/A</v>
      </c>
      <c r="K136" s="10">
        <f t="shared" ca="1" si="5"/>
        <v>0</v>
      </c>
      <c r="L136" s="2"/>
      <c r="M136" s="85">
        <f ca="1">OFFSET(INDIRECT(ADDRESS($A136,3,3,1,"Gross")),0,Menus!$J$4)</f>
        <v>0</v>
      </c>
      <c r="N136" s="85">
        <f ca="1">OFFSET(INDIRECT(ADDRESS($A136,3,3,1,"Gross")),0,Menus!$J$3)</f>
        <v>0</v>
      </c>
    </row>
    <row r="137" spans="1:14" x14ac:dyDescent="0.25">
      <c r="A137">
        <v>57</v>
      </c>
      <c r="B137" s="2">
        <f ca="1">OFFSET(INDIRECT(ADDRESS($A137,3,3,1,Menus!$K$10)),0,Menus!$J$4)</f>
        <v>0</v>
      </c>
      <c r="C137" s="2">
        <f ca="1">OFFSET(INDIRECT(ADDRESS($A137,3,3,1,Menus!$K$10)),0,Menus!$J$3)</f>
        <v>0</v>
      </c>
      <c r="D137" s="73" t="e">
        <f ca="1">IF(Menus!$J$9,C137/B137,C137)</f>
        <v>#DIV/0!</v>
      </c>
      <c r="E137" s="74" t="e">
        <f t="shared" ca="1" si="6"/>
        <v>#N/A</v>
      </c>
      <c r="F137" s="75">
        <f ca="1">INDIRECT(ADDRESS($A137,1,3,1,Menus!$K$10))</f>
        <v>0</v>
      </c>
      <c r="G137" s="2" t="e">
        <f ca="1">IF(INDIRECT(ADDRESS($A137,2,3,1,Menus!$K$10))=G$1,$D137,#N/A)</f>
        <v>#N/A</v>
      </c>
      <c r="H137" s="2" t="e">
        <f ca="1">IF(INDIRECT(ADDRESS($A137,2,3,1,Menus!$K$10))=H$1,$D137,#N/A)</f>
        <v>#N/A</v>
      </c>
      <c r="I137" s="2" t="e">
        <f ca="1">IF(INDIRECT(ADDRESS($A137,2,3,1,Menus!$K$10))=I$1,$D137,#N/A)</f>
        <v>#N/A</v>
      </c>
      <c r="J137" s="2" t="e">
        <f ca="1">IF(INDIRECT(ADDRESS($A137,1,3,1,Menus!$K$10))=T(J$1),$D137,#N/A)</f>
        <v>#N/A</v>
      </c>
      <c r="K137" s="10">
        <f t="shared" ca="1" si="5"/>
        <v>0</v>
      </c>
      <c r="L137" s="2"/>
      <c r="M137" s="85">
        <f ca="1">OFFSET(INDIRECT(ADDRESS($A137,3,3,1,"Gross")),0,Menus!$J$4)</f>
        <v>1</v>
      </c>
      <c r="N137" s="85">
        <f ca="1">OFFSET(INDIRECT(ADDRESS($A137,3,3,1,"Gross")),0,Menus!$J$3)</f>
        <v>2</v>
      </c>
    </row>
    <row r="138" spans="1:14" x14ac:dyDescent="0.25">
      <c r="A138">
        <v>71</v>
      </c>
      <c r="B138" s="2">
        <f ca="1">OFFSET(INDIRECT(ADDRESS($A138,3,3,1,Menus!$K$10)),0,Menus!$J$4)</f>
        <v>0</v>
      </c>
      <c r="C138" s="2">
        <f ca="1">OFFSET(INDIRECT(ADDRESS($A138,3,3,1,Menus!$K$10)),0,Menus!$J$3)</f>
        <v>0</v>
      </c>
      <c r="D138" s="73" t="e">
        <f ca="1">IF(Menus!$J$9,C138/B138,C138)</f>
        <v>#DIV/0!</v>
      </c>
      <c r="E138" s="74" t="e">
        <f t="shared" ca="1" si="6"/>
        <v>#N/A</v>
      </c>
      <c r="F138" s="75">
        <f ca="1">INDIRECT(ADDRESS($A138,1,3,1,Menus!$K$10))</f>
        <v>0</v>
      </c>
      <c r="G138" s="2" t="e">
        <f ca="1">IF(INDIRECT(ADDRESS($A138,2,3,1,Menus!$K$10))=G$1,$D138,#N/A)</f>
        <v>#N/A</v>
      </c>
      <c r="H138" s="2" t="e">
        <f ca="1">IF(INDIRECT(ADDRESS($A138,2,3,1,Menus!$K$10))=H$1,$D138,#N/A)</f>
        <v>#N/A</v>
      </c>
      <c r="I138" s="2" t="e">
        <f ca="1">IF(INDIRECT(ADDRESS($A138,2,3,1,Menus!$K$10))=I$1,$D138,#N/A)</f>
        <v>#N/A</v>
      </c>
      <c r="J138" s="2" t="e">
        <f ca="1">IF(INDIRECT(ADDRESS($A138,1,3,1,Menus!$K$10))=T(J$1),$D138,#N/A)</f>
        <v>#N/A</v>
      </c>
      <c r="K138" s="10">
        <f t="shared" ca="1" si="5"/>
        <v>0</v>
      </c>
      <c r="L138" s="2"/>
      <c r="M138" s="85">
        <f ca="1">OFFSET(INDIRECT(ADDRESS($A138,3,3,1,"Gross")),0,Menus!$J$4)</f>
        <v>0</v>
      </c>
      <c r="N138" s="85">
        <f ca="1">OFFSET(INDIRECT(ADDRESS($A138,3,3,1,"Gross")),0,Menus!$J$3)</f>
        <v>0</v>
      </c>
    </row>
    <row r="139" spans="1:14" x14ac:dyDescent="0.25">
      <c r="A139">
        <v>168</v>
      </c>
      <c r="B139" s="2">
        <f ca="1">OFFSET(INDIRECT(ADDRESS($A139,3,3,1,Menus!$K$10)),0,Menus!$J$4)</f>
        <v>0</v>
      </c>
      <c r="C139" s="2">
        <f ca="1">OFFSET(INDIRECT(ADDRESS($A139,3,3,1,Menus!$K$10)),0,Menus!$J$3)</f>
        <v>0</v>
      </c>
      <c r="D139" s="73" t="e">
        <f ca="1">IF(Menus!$J$9,C139/B139,C139)</f>
        <v>#DIV/0!</v>
      </c>
      <c r="E139" s="74" t="e">
        <f t="shared" ca="1" si="6"/>
        <v>#N/A</v>
      </c>
      <c r="F139" s="75">
        <f ca="1">INDIRECT(ADDRESS($A139,1,3,1,Menus!$K$10))</f>
        <v>0</v>
      </c>
      <c r="G139" s="2" t="e">
        <f ca="1">IF(INDIRECT(ADDRESS($A139,2,3,1,Menus!$K$10))=G$1,$D139,#N/A)</f>
        <v>#N/A</v>
      </c>
      <c r="H139" s="2" t="e">
        <f ca="1">IF(INDIRECT(ADDRESS($A139,2,3,1,Menus!$K$10))=H$1,$D139,#N/A)</f>
        <v>#N/A</v>
      </c>
      <c r="I139" s="2" t="e">
        <f ca="1">IF(INDIRECT(ADDRESS($A139,2,3,1,Menus!$K$10))=I$1,$D139,#N/A)</f>
        <v>#N/A</v>
      </c>
      <c r="J139" s="2" t="e">
        <f ca="1">IF(INDIRECT(ADDRESS($A139,1,3,1,Menus!$K$10))=T(J$1),$D139,#N/A)</f>
        <v>#N/A</v>
      </c>
      <c r="K139" s="10">
        <f t="shared" ca="1" si="5"/>
        <v>0</v>
      </c>
      <c r="L139" s="2"/>
      <c r="M139" s="85">
        <f ca="1">OFFSET(INDIRECT(ADDRESS($A139,3,3,1,"Gross")),0,Menus!$J$4)</f>
        <v>0</v>
      </c>
      <c r="N139" s="85">
        <f ca="1">OFFSET(INDIRECT(ADDRESS($A139,3,3,1,"Gross")),0,Menus!$J$3)</f>
        <v>0</v>
      </c>
    </row>
    <row r="140" spans="1:14" x14ac:dyDescent="0.25">
      <c r="A140">
        <v>106</v>
      </c>
      <c r="B140" s="2">
        <f ca="1">OFFSET(INDIRECT(ADDRESS($A140,3,3,1,Menus!$K$10)),0,Menus!$J$4)</f>
        <v>0</v>
      </c>
      <c r="C140" s="2">
        <f ca="1">OFFSET(INDIRECT(ADDRESS($A140,3,3,1,Menus!$K$10)),0,Menus!$J$3)</f>
        <v>0</v>
      </c>
      <c r="D140" s="73" t="e">
        <f ca="1">IF(Menus!$J$9,C140/B140,C140)</f>
        <v>#DIV/0!</v>
      </c>
      <c r="E140" s="74" t="e">
        <f t="shared" ca="1" si="6"/>
        <v>#N/A</v>
      </c>
      <c r="F140" s="75">
        <f ca="1">INDIRECT(ADDRESS($A140,1,3,1,Menus!$K$10))</f>
        <v>0</v>
      </c>
      <c r="G140" s="2" t="e">
        <f ca="1">IF(INDIRECT(ADDRESS($A140,2,3,1,Menus!$K$10))=G$1,$D140,#N/A)</f>
        <v>#N/A</v>
      </c>
      <c r="H140" s="2" t="e">
        <f ca="1">IF(INDIRECT(ADDRESS($A140,2,3,1,Menus!$K$10))=H$1,$D140,#N/A)</f>
        <v>#N/A</v>
      </c>
      <c r="I140" s="2" t="e">
        <f ca="1">IF(INDIRECT(ADDRESS($A140,2,3,1,Menus!$K$10))=I$1,$D140,#N/A)</f>
        <v>#N/A</v>
      </c>
      <c r="J140" s="2" t="e">
        <f ca="1">IF(INDIRECT(ADDRESS($A140,1,3,1,Menus!$K$10))=T(J$1),$D140,#N/A)</f>
        <v>#N/A</v>
      </c>
      <c r="K140" s="10">
        <f t="shared" ca="1" si="5"/>
        <v>0</v>
      </c>
      <c r="L140" s="2"/>
      <c r="M140" s="85">
        <f ca="1">OFFSET(INDIRECT(ADDRESS($A140,3,3,1,"Gross")),0,Menus!$J$4)</f>
        <v>-2</v>
      </c>
      <c r="N140" s="85">
        <f ca="1">OFFSET(INDIRECT(ADDRESS($A140,3,3,1,"Gross")),0,Menus!$J$3)</f>
        <v>-1</v>
      </c>
    </row>
    <row r="141" spans="1:14" x14ac:dyDescent="0.25">
      <c r="A141">
        <v>111</v>
      </c>
      <c r="B141" s="2">
        <f ca="1">OFFSET(INDIRECT(ADDRESS($A141,3,3,1,Menus!$K$10)),0,Menus!$J$4)</f>
        <v>0</v>
      </c>
      <c r="C141" s="2">
        <f ca="1">OFFSET(INDIRECT(ADDRESS($A141,3,3,1,Menus!$K$10)),0,Menus!$J$3)</f>
        <v>0</v>
      </c>
      <c r="D141" s="73" t="e">
        <f ca="1">IF(Menus!$J$9,C141/B141,C141)</f>
        <v>#DIV/0!</v>
      </c>
      <c r="E141" s="74" t="e">
        <f t="shared" ca="1" si="6"/>
        <v>#N/A</v>
      </c>
      <c r="F141" s="75">
        <f ca="1">INDIRECT(ADDRESS($A141,1,3,1,Menus!$K$10))</f>
        <v>0</v>
      </c>
      <c r="G141" s="2" t="e">
        <f ca="1">IF(INDIRECT(ADDRESS($A141,2,3,1,Menus!$K$10))=G$1,$D141,#N/A)</f>
        <v>#N/A</v>
      </c>
      <c r="H141" s="2" t="e">
        <f ca="1">IF(INDIRECT(ADDRESS($A141,2,3,1,Menus!$K$10))=H$1,$D141,#N/A)</f>
        <v>#N/A</v>
      </c>
      <c r="I141" s="2" t="e">
        <f ca="1">IF(INDIRECT(ADDRESS($A141,2,3,1,Menus!$K$10))=I$1,$D141,#N/A)</f>
        <v>#N/A</v>
      </c>
      <c r="J141" s="2" t="e">
        <f ca="1">IF(INDIRECT(ADDRESS($A141,1,3,1,Menus!$K$10))=T(J$1),$D141,#N/A)</f>
        <v>#N/A</v>
      </c>
      <c r="K141" s="10">
        <f t="shared" ca="1" si="5"/>
        <v>0</v>
      </c>
      <c r="L141" s="2"/>
      <c r="M141" s="85">
        <f ca="1">OFFSET(INDIRECT(ADDRESS($A141,3,3,1,"Gross")),0,Menus!$J$4)</f>
        <v>0</v>
      </c>
      <c r="N141" s="85">
        <f ca="1">OFFSET(INDIRECT(ADDRESS($A141,3,3,1,"Gross")),0,Menus!$J$3)</f>
        <v>0</v>
      </c>
    </row>
    <row r="142" spans="1:14" x14ac:dyDescent="0.25">
      <c r="A142">
        <v>133</v>
      </c>
      <c r="B142" s="2">
        <f ca="1">OFFSET(INDIRECT(ADDRESS($A142,3,3,1,Menus!$K$10)),0,Menus!$J$4)</f>
        <v>0</v>
      </c>
      <c r="C142" s="2">
        <f ca="1">OFFSET(INDIRECT(ADDRESS($A142,3,3,1,Menus!$K$10)),0,Menus!$J$3)</f>
        <v>0</v>
      </c>
      <c r="D142" s="73" t="e">
        <f ca="1">IF(Menus!$J$9,C142/B142,C142)</f>
        <v>#DIV/0!</v>
      </c>
      <c r="E142" s="74" t="e">
        <f t="shared" ca="1" si="6"/>
        <v>#N/A</v>
      </c>
      <c r="F142" s="75">
        <f ca="1">INDIRECT(ADDRESS($A142,1,3,1,Menus!$K$10))</f>
        <v>0</v>
      </c>
      <c r="G142" s="2" t="e">
        <f ca="1">IF(INDIRECT(ADDRESS($A142,2,3,1,Menus!$K$10))=G$1,$D142,#N/A)</f>
        <v>#N/A</v>
      </c>
      <c r="H142" s="2" t="e">
        <f ca="1">IF(INDIRECT(ADDRESS($A142,2,3,1,Menus!$K$10))=H$1,$D142,#N/A)</f>
        <v>#N/A</v>
      </c>
      <c r="I142" s="2" t="e">
        <f ca="1">IF(INDIRECT(ADDRESS($A142,2,3,1,Menus!$K$10))=I$1,$D142,#N/A)</f>
        <v>#N/A</v>
      </c>
      <c r="J142" s="2" t="e">
        <f ca="1">IF(INDIRECT(ADDRESS($A142,1,3,1,Menus!$K$10))=T(J$1),$D142,#N/A)</f>
        <v>#N/A</v>
      </c>
      <c r="K142" s="10">
        <f t="shared" ca="1" si="5"/>
        <v>0</v>
      </c>
      <c r="L142" s="2"/>
      <c r="M142" s="85">
        <f ca="1">OFFSET(INDIRECT(ADDRESS($A142,3,3,1,"Gross")),0,Menus!$J$4)</f>
        <v>1</v>
      </c>
      <c r="N142" s="85">
        <f ca="1">OFFSET(INDIRECT(ADDRESS($A142,3,3,1,"Gross")),0,Menus!$J$3)</f>
        <v>-1</v>
      </c>
    </row>
    <row r="143" spans="1:14" x14ac:dyDescent="0.25">
      <c r="A143">
        <v>101</v>
      </c>
      <c r="B143" s="2">
        <f ca="1">OFFSET(INDIRECT(ADDRESS($A143,3,3,1,Menus!$K$10)),0,Menus!$J$4)</f>
        <v>0</v>
      </c>
      <c r="C143" s="2">
        <f ca="1">OFFSET(INDIRECT(ADDRESS($A143,3,3,1,Menus!$K$10)),0,Menus!$J$3)</f>
        <v>0</v>
      </c>
      <c r="D143" s="73" t="e">
        <f ca="1">IF(Menus!$J$9,C143/B143,C143)</f>
        <v>#DIV/0!</v>
      </c>
      <c r="E143" s="74" t="e">
        <f t="shared" ca="1" si="6"/>
        <v>#N/A</v>
      </c>
      <c r="F143" s="75">
        <f ca="1">INDIRECT(ADDRESS($A143,1,3,1,Menus!$K$10))</f>
        <v>0</v>
      </c>
      <c r="G143" s="2" t="e">
        <f ca="1">IF(INDIRECT(ADDRESS($A143,2,3,1,Menus!$K$10))=G$1,$D143,#N/A)</f>
        <v>#N/A</v>
      </c>
      <c r="H143" s="2" t="e">
        <f ca="1">IF(INDIRECT(ADDRESS($A143,2,3,1,Menus!$K$10))=H$1,$D143,#N/A)</f>
        <v>#N/A</v>
      </c>
      <c r="I143" s="2" t="e">
        <f ca="1">IF(INDIRECT(ADDRESS($A143,2,3,1,Menus!$K$10))=I$1,$D143,#N/A)</f>
        <v>#N/A</v>
      </c>
      <c r="J143" s="2" t="e">
        <f ca="1">IF(INDIRECT(ADDRESS($A143,1,3,1,Menus!$K$10))=T(J$1),$D143,#N/A)</f>
        <v>#N/A</v>
      </c>
      <c r="K143" s="10">
        <f t="shared" ca="1" si="5"/>
        <v>0</v>
      </c>
      <c r="L143" s="2"/>
      <c r="M143" s="85">
        <f ca="1">OFFSET(INDIRECT(ADDRESS($A143,3,3,1,"Gross")),0,Menus!$J$4)</f>
        <v>-1</v>
      </c>
      <c r="N143" s="85">
        <f ca="1">OFFSET(INDIRECT(ADDRESS($A143,3,3,1,"Gross")),0,Menus!$J$3)</f>
        <v>-1</v>
      </c>
    </row>
    <row r="144" spans="1:14" x14ac:dyDescent="0.25">
      <c r="A144">
        <v>102</v>
      </c>
      <c r="B144" s="2">
        <f ca="1">OFFSET(INDIRECT(ADDRESS($A144,3,3,1,Menus!$K$10)),0,Menus!$J$4)</f>
        <v>0</v>
      </c>
      <c r="C144" s="2">
        <f ca="1">OFFSET(INDIRECT(ADDRESS($A144,3,3,1,Menus!$K$10)),0,Menus!$J$3)</f>
        <v>0</v>
      </c>
      <c r="D144" s="73" t="e">
        <f ca="1">IF(Menus!$J$9,C144/B144,C144)</f>
        <v>#DIV/0!</v>
      </c>
      <c r="E144" s="74" t="e">
        <f t="shared" ca="1" si="6"/>
        <v>#N/A</v>
      </c>
      <c r="F144" s="75">
        <f ca="1">INDIRECT(ADDRESS($A144,1,3,1,Menus!$K$10))</f>
        <v>0</v>
      </c>
      <c r="G144" s="2" t="e">
        <f ca="1">IF(INDIRECT(ADDRESS($A144,2,3,1,Menus!$K$10))=G$1,$D144,#N/A)</f>
        <v>#N/A</v>
      </c>
      <c r="H144" s="2" t="e">
        <f ca="1">IF(INDIRECT(ADDRESS($A144,2,3,1,Menus!$K$10))=H$1,$D144,#N/A)</f>
        <v>#N/A</v>
      </c>
      <c r="I144" s="2" t="e">
        <f ca="1">IF(INDIRECT(ADDRESS($A144,2,3,1,Menus!$K$10))=I$1,$D144,#N/A)</f>
        <v>#N/A</v>
      </c>
      <c r="J144" s="2" t="e">
        <f ca="1">IF(INDIRECT(ADDRESS($A144,1,3,1,Menus!$K$10))=T(J$1),$D144,#N/A)</f>
        <v>#N/A</v>
      </c>
      <c r="K144" s="10">
        <f t="shared" ca="1" si="5"/>
        <v>0</v>
      </c>
      <c r="L144" s="2"/>
      <c r="M144" s="85">
        <f ca="1">OFFSET(INDIRECT(ADDRESS($A144,3,3,1,"Gross")),0,Menus!$J$4)</f>
        <v>0</v>
      </c>
      <c r="N144" s="85">
        <f ca="1">OFFSET(INDIRECT(ADDRESS($A144,3,3,1,"Gross")),0,Menus!$J$3)</f>
        <v>0</v>
      </c>
    </row>
    <row r="145" spans="1:14" x14ac:dyDescent="0.25">
      <c r="A145">
        <v>185</v>
      </c>
      <c r="B145" s="2">
        <f ca="1">OFFSET(INDIRECT(ADDRESS($A145,3,3,1,Menus!$K$10)),0,Menus!$J$4)</f>
        <v>0</v>
      </c>
      <c r="C145" s="2">
        <f ca="1">OFFSET(INDIRECT(ADDRESS($A145,3,3,1,Menus!$K$10)),0,Menus!$J$3)</f>
        <v>0</v>
      </c>
      <c r="D145" s="73" t="e">
        <f ca="1">IF(Menus!$J$9,C145/B145,C145)</f>
        <v>#DIV/0!</v>
      </c>
      <c r="E145" s="74" t="e">
        <f t="shared" ca="1" si="6"/>
        <v>#N/A</v>
      </c>
      <c r="F145" s="75">
        <f ca="1">INDIRECT(ADDRESS($A145,1,3,1,Menus!$K$10))</f>
        <v>0</v>
      </c>
      <c r="G145" s="2" t="e">
        <f ca="1">IF(INDIRECT(ADDRESS($A145,2,3,1,Menus!$K$10))=G$1,$D145,#N/A)</f>
        <v>#N/A</v>
      </c>
      <c r="H145" s="2" t="e">
        <f ca="1">IF(INDIRECT(ADDRESS($A145,2,3,1,Menus!$K$10))=H$1,$D145,#N/A)</f>
        <v>#N/A</v>
      </c>
      <c r="I145" s="2" t="e">
        <f ca="1">IF(INDIRECT(ADDRESS($A145,2,3,1,Menus!$K$10))=I$1,$D145,#N/A)</f>
        <v>#N/A</v>
      </c>
      <c r="J145" s="2" t="e">
        <f ca="1">IF(INDIRECT(ADDRESS($A145,1,3,1,Menus!$K$10))=T(J$1),$D145,#N/A)</f>
        <v>#N/A</v>
      </c>
      <c r="K145" s="10">
        <f t="shared" ca="1" si="5"/>
        <v>0</v>
      </c>
      <c r="L145" s="2"/>
      <c r="M145" s="85">
        <f ca="1">OFFSET(INDIRECT(ADDRESS($A145,3,3,1,"Gross")),0,Menus!$J$4)</f>
        <v>0</v>
      </c>
      <c r="N145" s="85">
        <f ca="1">OFFSET(INDIRECT(ADDRESS($A145,3,3,1,"Gross")),0,Menus!$J$3)</f>
        <v>0</v>
      </c>
    </row>
    <row r="146" spans="1:14" x14ac:dyDescent="0.25">
      <c r="A146">
        <v>170</v>
      </c>
      <c r="B146" s="2">
        <f ca="1">OFFSET(INDIRECT(ADDRESS($A146,3,3,1,Menus!$K$10)),0,Menus!$J$4)</f>
        <v>0</v>
      </c>
      <c r="C146" s="2">
        <f ca="1">OFFSET(INDIRECT(ADDRESS($A146,3,3,1,Menus!$K$10)),0,Menus!$J$3)</f>
        <v>0</v>
      </c>
      <c r="D146" s="73" t="e">
        <f ca="1">IF(Menus!$J$9,C146/B146,C146)</f>
        <v>#DIV/0!</v>
      </c>
      <c r="E146" s="74" t="e">
        <f t="shared" ca="1" si="6"/>
        <v>#N/A</v>
      </c>
      <c r="F146" s="75">
        <f ca="1">INDIRECT(ADDRESS($A146,1,3,1,Menus!$K$10))</f>
        <v>0</v>
      </c>
      <c r="G146" s="2" t="e">
        <f ca="1">IF(INDIRECT(ADDRESS($A146,2,3,1,Menus!$K$10))=G$1,$D146,#N/A)</f>
        <v>#N/A</v>
      </c>
      <c r="H146" s="2" t="e">
        <f ca="1">IF(INDIRECT(ADDRESS($A146,2,3,1,Menus!$K$10))=H$1,$D146,#N/A)</f>
        <v>#N/A</v>
      </c>
      <c r="I146" s="2" t="e">
        <f ca="1">IF(INDIRECT(ADDRESS($A146,2,3,1,Menus!$K$10))=I$1,$D146,#N/A)</f>
        <v>#N/A</v>
      </c>
      <c r="J146" s="2" t="e">
        <f ca="1">IF(INDIRECT(ADDRESS($A146,1,3,1,Menus!$K$10))=T(J$1),$D146,#N/A)</f>
        <v>#N/A</v>
      </c>
      <c r="K146" s="10">
        <f t="shared" ca="1" si="5"/>
        <v>0</v>
      </c>
      <c r="L146" s="2"/>
      <c r="M146" s="85">
        <f ca="1">OFFSET(INDIRECT(ADDRESS($A146,3,3,1,"Gross")),0,Menus!$J$4)</f>
        <v>0</v>
      </c>
      <c r="N146" s="85">
        <f ca="1">OFFSET(INDIRECT(ADDRESS($A146,3,3,1,"Gross")),0,Menus!$J$3)</f>
        <v>0</v>
      </c>
    </row>
    <row r="147" spans="1:14" x14ac:dyDescent="0.25">
      <c r="A147">
        <v>151</v>
      </c>
      <c r="B147" s="2">
        <f ca="1">OFFSET(INDIRECT(ADDRESS($A147,3,3,1,Menus!$K$10)),0,Menus!$J$4)</f>
        <v>0</v>
      </c>
      <c r="C147" s="2">
        <f ca="1">OFFSET(INDIRECT(ADDRESS($A147,3,3,1,Menus!$K$10)),0,Menus!$J$3)</f>
        <v>0</v>
      </c>
      <c r="D147" s="73" t="e">
        <f ca="1">IF(Menus!$J$9,C147/B147,C147)</f>
        <v>#DIV/0!</v>
      </c>
      <c r="E147" s="74" t="e">
        <f t="shared" ca="1" si="6"/>
        <v>#N/A</v>
      </c>
      <c r="F147" s="75">
        <f ca="1">INDIRECT(ADDRESS($A147,1,3,1,Menus!$K$10))</f>
        <v>0</v>
      </c>
      <c r="G147" s="2" t="e">
        <f ca="1">IF(INDIRECT(ADDRESS($A147,2,3,1,Menus!$K$10))=G$1,$D147,#N/A)</f>
        <v>#N/A</v>
      </c>
      <c r="H147" s="2" t="e">
        <f ca="1">IF(INDIRECT(ADDRESS($A147,2,3,1,Menus!$K$10))=H$1,$D147,#N/A)</f>
        <v>#N/A</v>
      </c>
      <c r="I147" s="2" t="e">
        <f ca="1">IF(INDIRECT(ADDRESS($A147,2,3,1,Menus!$K$10))=I$1,$D147,#N/A)</f>
        <v>#N/A</v>
      </c>
      <c r="J147" s="2" t="e">
        <f ca="1">IF(INDIRECT(ADDRESS($A147,1,3,1,Menus!$K$10))=T(J$1),$D147,#N/A)</f>
        <v>#N/A</v>
      </c>
      <c r="K147" s="10">
        <f t="shared" ca="1" si="5"/>
        <v>0</v>
      </c>
      <c r="L147" s="2"/>
      <c r="M147" s="85">
        <f ca="1">OFFSET(INDIRECT(ADDRESS($A147,3,3,1,"Gross")),0,Menus!$J$4)</f>
        <v>0</v>
      </c>
      <c r="N147" s="85">
        <f ca="1">OFFSET(INDIRECT(ADDRESS($A147,3,3,1,"Gross")),0,Menus!$J$3)</f>
        <v>2</v>
      </c>
    </row>
    <row r="148" spans="1:14" x14ac:dyDescent="0.25">
      <c r="A148">
        <v>174</v>
      </c>
      <c r="B148" s="2">
        <f ca="1">OFFSET(INDIRECT(ADDRESS($A148,3,3,1,Menus!$K$10)),0,Menus!$J$4)</f>
        <v>0</v>
      </c>
      <c r="C148" s="2">
        <f ca="1">OFFSET(INDIRECT(ADDRESS($A148,3,3,1,Menus!$K$10)),0,Menus!$J$3)</f>
        <v>0</v>
      </c>
      <c r="D148" s="73" t="e">
        <f ca="1">IF(Menus!$J$9,C148/B148,C148)</f>
        <v>#DIV/0!</v>
      </c>
      <c r="E148" s="74" t="e">
        <f t="shared" ca="1" si="6"/>
        <v>#N/A</v>
      </c>
      <c r="F148" s="75">
        <f ca="1">INDIRECT(ADDRESS($A148,1,3,1,Menus!$K$10))</f>
        <v>0</v>
      </c>
      <c r="G148" s="2" t="e">
        <f ca="1">IF(INDIRECT(ADDRESS($A148,2,3,1,Menus!$K$10))=G$1,$D148,#N/A)</f>
        <v>#N/A</v>
      </c>
      <c r="H148" s="2" t="e">
        <f ca="1">IF(INDIRECT(ADDRESS($A148,2,3,1,Menus!$K$10))=H$1,$D148,#N/A)</f>
        <v>#N/A</v>
      </c>
      <c r="I148" s="2" t="e">
        <f ca="1">IF(INDIRECT(ADDRESS($A148,2,3,1,Menus!$K$10))=I$1,$D148,#N/A)</f>
        <v>#N/A</v>
      </c>
      <c r="J148" s="2" t="e">
        <f ca="1">IF(INDIRECT(ADDRESS($A148,1,3,1,Menus!$K$10))=T(J$1),$D148,#N/A)</f>
        <v>#N/A</v>
      </c>
      <c r="K148" s="10">
        <f t="shared" ca="1" si="5"/>
        <v>0</v>
      </c>
      <c r="L148" s="2"/>
      <c r="M148" s="85">
        <f ca="1">OFFSET(INDIRECT(ADDRESS($A148,3,3,1,"Gross")),0,Menus!$J$4)</f>
        <v>0</v>
      </c>
      <c r="N148" s="85">
        <f ca="1">OFFSET(INDIRECT(ADDRESS($A148,3,3,1,"Gross")),0,Menus!$J$3)</f>
        <v>0</v>
      </c>
    </row>
    <row r="149" spans="1:14" x14ac:dyDescent="0.25">
      <c r="A149">
        <v>142</v>
      </c>
      <c r="B149" s="2">
        <f ca="1">OFFSET(INDIRECT(ADDRESS($A149,3,3,1,Menus!$K$10)),0,Menus!$J$4)</f>
        <v>0</v>
      </c>
      <c r="C149" s="2">
        <f ca="1">OFFSET(INDIRECT(ADDRESS($A149,3,3,1,Menus!$K$10)),0,Menus!$J$3)</f>
        <v>0</v>
      </c>
      <c r="D149" s="73" t="e">
        <f ca="1">IF(Menus!$J$9,C149/B149,C149)</f>
        <v>#DIV/0!</v>
      </c>
      <c r="E149" s="74" t="e">
        <f t="shared" ca="1" si="6"/>
        <v>#N/A</v>
      </c>
      <c r="F149" s="75">
        <f ca="1">INDIRECT(ADDRESS($A149,1,3,1,Menus!$K$10))</f>
        <v>0</v>
      </c>
      <c r="G149" s="2" t="e">
        <f ca="1">IF(INDIRECT(ADDRESS($A149,2,3,1,Menus!$K$10))=G$1,$D149,#N/A)</f>
        <v>#N/A</v>
      </c>
      <c r="H149" s="2" t="e">
        <f ca="1">IF(INDIRECT(ADDRESS($A149,2,3,1,Menus!$K$10))=H$1,$D149,#N/A)</f>
        <v>#N/A</v>
      </c>
      <c r="I149" s="2" t="e">
        <f ca="1">IF(INDIRECT(ADDRESS($A149,2,3,1,Menus!$K$10))=I$1,$D149,#N/A)</f>
        <v>#N/A</v>
      </c>
      <c r="J149" s="2" t="e">
        <f ca="1">IF(INDIRECT(ADDRESS($A149,1,3,1,Menus!$K$10))=T(J$1),$D149,#N/A)</f>
        <v>#N/A</v>
      </c>
      <c r="K149" s="10">
        <f t="shared" ca="1" si="5"/>
        <v>0</v>
      </c>
      <c r="L149" s="2"/>
      <c r="M149" s="85">
        <f ca="1">OFFSET(INDIRECT(ADDRESS($A149,3,3,1,"Gross")),0,Menus!$J$4)</f>
        <v>0</v>
      </c>
      <c r="N149" s="85">
        <f ca="1">OFFSET(INDIRECT(ADDRESS($A149,3,3,1,"Gross")),0,Menus!$J$3)</f>
        <v>1</v>
      </c>
    </row>
    <row r="150" spans="1:14" x14ac:dyDescent="0.25">
      <c r="A150">
        <v>59</v>
      </c>
      <c r="B150" s="2">
        <f ca="1">OFFSET(INDIRECT(ADDRESS($A150,3,3,1,Menus!$K$10)),0,Menus!$J$4)</f>
        <v>0</v>
      </c>
      <c r="C150" s="2">
        <f ca="1">OFFSET(INDIRECT(ADDRESS($A150,3,3,1,Menus!$K$10)),0,Menus!$J$3)</f>
        <v>0</v>
      </c>
      <c r="D150" s="73" t="e">
        <f ca="1">IF(Menus!$J$9,C150/B150,C150)</f>
        <v>#DIV/0!</v>
      </c>
      <c r="E150" s="74" t="e">
        <f t="shared" ca="1" si="6"/>
        <v>#N/A</v>
      </c>
      <c r="F150" s="75">
        <f ca="1">INDIRECT(ADDRESS($A150,1,3,1,Menus!$K$10))</f>
        <v>0</v>
      </c>
      <c r="G150" s="2" t="e">
        <f ca="1">IF(INDIRECT(ADDRESS($A150,2,3,1,Menus!$K$10))=G$1,$D150,#N/A)</f>
        <v>#N/A</v>
      </c>
      <c r="H150" s="2" t="e">
        <f ca="1">IF(INDIRECT(ADDRESS($A150,2,3,1,Menus!$K$10))=H$1,$D150,#N/A)</f>
        <v>#N/A</v>
      </c>
      <c r="I150" s="2" t="e">
        <f ca="1">IF(INDIRECT(ADDRESS($A150,2,3,1,Menus!$K$10))=I$1,$D150,#N/A)</f>
        <v>#N/A</v>
      </c>
      <c r="J150" s="2" t="e">
        <f ca="1">IF(INDIRECT(ADDRESS($A150,1,3,1,Menus!$K$10))=T(J$1),$D150,#N/A)</f>
        <v>#N/A</v>
      </c>
      <c r="K150" s="10">
        <f t="shared" ca="1" si="5"/>
        <v>0</v>
      </c>
      <c r="L150" s="2"/>
      <c r="M150" s="85">
        <f ca="1">OFFSET(INDIRECT(ADDRESS($A150,3,3,1,"Gross")),0,Menus!$J$4)</f>
        <v>0</v>
      </c>
      <c r="N150" s="85">
        <f ca="1">OFFSET(INDIRECT(ADDRESS($A150,3,3,1,"Gross")),0,Menus!$J$3)</f>
        <v>0</v>
      </c>
    </row>
    <row r="151" spans="1:14" x14ac:dyDescent="0.25">
      <c r="A151">
        <v>108</v>
      </c>
      <c r="B151" s="2">
        <f ca="1">OFFSET(INDIRECT(ADDRESS($A151,3,3,1,Menus!$K$10)),0,Menus!$J$4)</f>
        <v>0</v>
      </c>
      <c r="C151" s="2">
        <f ca="1">OFFSET(INDIRECT(ADDRESS($A151,3,3,1,Menus!$K$10)),0,Menus!$J$3)</f>
        <v>0</v>
      </c>
      <c r="D151" s="73" t="e">
        <f ca="1">IF(Menus!$J$9,C151/B151,C151)</f>
        <v>#DIV/0!</v>
      </c>
      <c r="E151" s="74" t="e">
        <f t="shared" ca="1" si="6"/>
        <v>#N/A</v>
      </c>
      <c r="F151" s="75">
        <f ca="1">INDIRECT(ADDRESS($A151,1,3,1,Menus!$K$10))</f>
        <v>0</v>
      </c>
      <c r="G151" s="2" t="e">
        <f ca="1">IF(INDIRECT(ADDRESS($A151,2,3,1,Menus!$K$10))=G$1,$D151,#N/A)</f>
        <v>#N/A</v>
      </c>
      <c r="H151" s="2" t="e">
        <f ca="1">IF(INDIRECT(ADDRESS($A151,2,3,1,Menus!$K$10))=H$1,$D151,#N/A)</f>
        <v>#N/A</v>
      </c>
      <c r="I151" s="2" t="e">
        <f ca="1">IF(INDIRECT(ADDRESS($A151,2,3,1,Menus!$K$10))=I$1,$D151,#N/A)</f>
        <v>#N/A</v>
      </c>
      <c r="J151" s="2" t="e">
        <f ca="1">IF(INDIRECT(ADDRESS($A151,1,3,1,Menus!$K$10))=T(J$1),$D151,#N/A)</f>
        <v>#N/A</v>
      </c>
      <c r="K151" s="10">
        <f t="shared" ca="1" si="5"/>
        <v>0</v>
      </c>
      <c r="L151" s="2"/>
      <c r="M151" s="85">
        <f ca="1">OFFSET(INDIRECT(ADDRESS($A151,3,3,1,"Gross")),0,Menus!$J$4)</f>
        <v>1</v>
      </c>
      <c r="N151" s="85">
        <f ca="1">OFFSET(INDIRECT(ADDRESS($A151,3,3,1,"Gross")),0,Menus!$J$3)</f>
        <v>0</v>
      </c>
    </row>
    <row r="152" spans="1:14" x14ac:dyDescent="0.25">
      <c r="A152">
        <v>173</v>
      </c>
      <c r="B152" s="2">
        <f ca="1">OFFSET(INDIRECT(ADDRESS($A152,3,3,1,Menus!$K$10)),0,Menus!$J$4)</f>
        <v>0</v>
      </c>
      <c r="C152" s="2">
        <f ca="1">OFFSET(INDIRECT(ADDRESS($A152,3,3,1,Menus!$K$10)),0,Menus!$J$3)</f>
        <v>0</v>
      </c>
      <c r="D152" s="73" t="e">
        <f ca="1">IF(Menus!$J$9,C152/B152,C152)</f>
        <v>#DIV/0!</v>
      </c>
      <c r="E152" s="74" t="e">
        <f t="shared" ca="1" si="6"/>
        <v>#N/A</v>
      </c>
      <c r="F152" s="75">
        <f ca="1">INDIRECT(ADDRESS($A152,1,3,1,Menus!$K$10))</f>
        <v>0</v>
      </c>
      <c r="G152" s="2" t="e">
        <f ca="1">IF(INDIRECT(ADDRESS($A152,2,3,1,Menus!$K$10))=G$1,$D152,#N/A)</f>
        <v>#N/A</v>
      </c>
      <c r="H152" s="2" t="e">
        <f ca="1">IF(INDIRECT(ADDRESS($A152,2,3,1,Menus!$K$10))=H$1,$D152,#N/A)</f>
        <v>#N/A</v>
      </c>
      <c r="I152" s="2" t="e">
        <f ca="1">IF(INDIRECT(ADDRESS($A152,2,3,1,Menus!$K$10))=I$1,$D152,#N/A)</f>
        <v>#N/A</v>
      </c>
      <c r="J152" s="2" t="e">
        <f ca="1">IF(INDIRECT(ADDRESS($A152,1,3,1,Menus!$K$10))=T(J$1),$D152,#N/A)</f>
        <v>#N/A</v>
      </c>
      <c r="K152" s="10">
        <f t="shared" ca="1" si="5"/>
        <v>0</v>
      </c>
      <c r="L152" s="2"/>
      <c r="M152" s="85">
        <f ca="1">OFFSET(INDIRECT(ADDRESS($A152,3,3,1,"Gross")),0,Menus!$J$4)</f>
        <v>0</v>
      </c>
      <c r="N152" s="85">
        <f ca="1">OFFSET(INDIRECT(ADDRESS($A152,3,3,1,"Gross")),0,Menus!$J$3)</f>
        <v>0</v>
      </c>
    </row>
    <row r="153" spans="1:14" x14ac:dyDescent="0.25">
      <c r="A153">
        <v>52</v>
      </c>
      <c r="B153" s="2">
        <f ca="1">OFFSET(INDIRECT(ADDRESS($A153,3,3,1,Menus!$K$10)),0,Menus!$J$4)</f>
        <v>0</v>
      </c>
      <c r="C153" s="2">
        <f ca="1">OFFSET(INDIRECT(ADDRESS($A153,3,3,1,Menus!$K$10)),0,Menus!$J$3)</f>
        <v>0</v>
      </c>
      <c r="D153" s="73" t="e">
        <f ca="1">IF(Menus!$J$9,C153/B153,C153)</f>
        <v>#DIV/0!</v>
      </c>
      <c r="E153" s="74" t="e">
        <f t="shared" ca="1" si="6"/>
        <v>#N/A</v>
      </c>
      <c r="F153" s="75">
        <f ca="1">INDIRECT(ADDRESS($A153,1,3,1,Menus!$K$10))</f>
        <v>0</v>
      </c>
      <c r="G153" s="2" t="e">
        <f ca="1">IF(INDIRECT(ADDRESS($A153,2,3,1,Menus!$K$10))=G$1,$D153,#N/A)</f>
        <v>#N/A</v>
      </c>
      <c r="H153" s="2" t="e">
        <f ca="1">IF(INDIRECT(ADDRESS($A153,2,3,1,Menus!$K$10))=H$1,$D153,#N/A)</f>
        <v>#N/A</v>
      </c>
      <c r="I153" s="2" t="e">
        <f ca="1">IF(INDIRECT(ADDRESS($A153,2,3,1,Menus!$K$10))=I$1,$D153,#N/A)</f>
        <v>#N/A</v>
      </c>
      <c r="J153" s="2" t="e">
        <f ca="1">IF(INDIRECT(ADDRESS($A153,1,3,1,Menus!$K$10))=T(J$1),$D153,#N/A)</f>
        <v>#N/A</v>
      </c>
      <c r="K153" s="10">
        <f t="shared" ca="1" si="5"/>
        <v>0</v>
      </c>
      <c r="L153" s="2"/>
      <c r="M153" s="85">
        <f ca="1">OFFSET(INDIRECT(ADDRESS($A153,3,3,1,"Gross")),0,Menus!$J$4)</f>
        <v>0</v>
      </c>
      <c r="N153" s="85">
        <f ca="1">OFFSET(INDIRECT(ADDRESS($A153,3,3,1,"Gross")),0,Menus!$J$3)</f>
        <v>0</v>
      </c>
    </row>
    <row r="154" spans="1:14" x14ac:dyDescent="0.25">
      <c r="A154">
        <v>64</v>
      </c>
      <c r="B154" s="2">
        <f ca="1">OFFSET(INDIRECT(ADDRESS($A154,3,3,1,Menus!$K$10)),0,Menus!$J$4)</f>
        <v>0</v>
      </c>
      <c r="C154" s="2">
        <f ca="1">OFFSET(INDIRECT(ADDRESS($A154,3,3,1,Menus!$K$10)),0,Menus!$J$3)</f>
        <v>0</v>
      </c>
      <c r="D154" s="73" t="e">
        <f ca="1">IF(Menus!$J$9,C154/B154,C154)</f>
        <v>#DIV/0!</v>
      </c>
      <c r="E154" s="74" t="e">
        <f t="shared" ca="1" si="6"/>
        <v>#N/A</v>
      </c>
      <c r="F154" s="75">
        <f ca="1">INDIRECT(ADDRESS($A154,1,3,1,Menus!$K$10))</f>
        <v>0</v>
      </c>
      <c r="G154" s="2" t="e">
        <f ca="1">IF(INDIRECT(ADDRESS($A154,2,3,1,Menus!$K$10))=G$1,$D154,#N/A)</f>
        <v>#N/A</v>
      </c>
      <c r="H154" s="2" t="e">
        <f ca="1">IF(INDIRECT(ADDRESS($A154,2,3,1,Menus!$K$10))=H$1,$D154,#N/A)</f>
        <v>#N/A</v>
      </c>
      <c r="I154" s="2" t="e">
        <f ca="1">IF(INDIRECT(ADDRESS($A154,2,3,1,Menus!$K$10))=I$1,$D154,#N/A)</f>
        <v>#N/A</v>
      </c>
      <c r="J154" s="2" t="e">
        <f ca="1">IF(INDIRECT(ADDRESS($A154,1,3,1,Menus!$K$10))=T(J$1),$D154,#N/A)</f>
        <v>#N/A</v>
      </c>
      <c r="K154" s="10">
        <f t="shared" ca="1" si="5"/>
        <v>0</v>
      </c>
      <c r="L154" s="2"/>
      <c r="M154" s="85">
        <f ca="1">OFFSET(INDIRECT(ADDRESS($A154,3,3,1,"Gross")),0,Menus!$J$4)</f>
        <v>2</v>
      </c>
      <c r="N154" s="85">
        <f ca="1">OFFSET(INDIRECT(ADDRESS($A154,3,3,1,"Gross")),0,Menus!$J$3)</f>
        <v>2</v>
      </c>
    </row>
    <row r="155" spans="1:14" x14ac:dyDescent="0.25">
      <c r="A155">
        <v>121</v>
      </c>
      <c r="B155" s="2">
        <f ca="1">OFFSET(INDIRECT(ADDRESS($A155,3,3,1,Menus!$K$10)),0,Menus!$J$4)</f>
        <v>0</v>
      </c>
      <c r="C155" s="2">
        <f ca="1">OFFSET(INDIRECT(ADDRESS($A155,3,3,1,Menus!$K$10)),0,Menus!$J$3)</f>
        <v>0</v>
      </c>
      <c r="D155" s="73" t="e">
        <f ca="1">IF(Menus!$J$9,C155/B155,C155)</f>
        <v>#DIV/0!</v>
      </c>
      <c r="E155" s="74" t="e">
        <f t="shared" ca="1" si="6"/>
        <v>#N/A</v>
      </c>
      <c r="F155" s="75">
        <f ca="1">INDIRECT(ADDRESS($A155,1,3,1,Menus!$K$10))</f>
        <v>0</v>
      </c>
      <c r="G155" s="2" t="e">
        <f ca="1">IF(INDIRECT(ADDRESS($A155,2,3,1,Menus!$K$10))=G$1,$D155,#N/A)</f>
        <v>#N/A</v>
      </c>
      <c r="H155" s="2" t="e">
        <f ca="1">IF(INDIRECT(ADDRESS($A155,2,3,1,Menus!$K$10))=H$1,$D155,#N/A)</f>
        <v>#N/A</v>
      </c>
      <c r="I155" s="2" t="e">
        <f ca="1">IF(INDIRECT(ADDRESS($A155,2,3,1,Menus!$K$10))=I$1,$D155,#N/A)</f>
        <v>#N/A</v>
      </c>
      <c r="J155" s="2" t="e">
        <f ca="1">IF(INDIRECT(ADDRESS($A155,1,3,1,Menus!$K$10))=T(J$1),$D155,#N/A)</f>
        <v>#N/A</v>
      </c>
      <c r="K155" s="10">
        <f t="shared" ca="1" si="5"/>
        <v>0</v>
      </c>
      <c r="L155" s="2"/>
      <c r="M155" s="85">
        <f ca="1">OFFSET(INDIRECT(ADDRESS($A155,3,3,1,"Gross")),0,Menus!$J$4)</f>
        <v>0</v>
      </c>
      <c r="N155" s="85">
        <f ca="1">OFFSET(INDIRECT(ADDRESS($A155,3,3,1,"Gross")),0,Menus!$J$3)</f>
        <v>0</v>
      </c>
    </row>
    <row r="156" spans="1:14" x14ac:dyDescent="0.25">
      <c r="A156">
        <v>141</v>
      </c>
      <c r="B156" s="2">
        <f ca="1">OFFSET(INDIRECT(ADDRESS($A156,3,3,1,Menus!$K$10)),0,Menus!$J$4)</f>
        <v>0</v>
      </c>
      <c r="C156" s="2">
        <f ca="1">OFFSET(INDIRECT(ADDRESS($A156,3,3,1,Menus!$K$10)),0,Menus!$J$3)</f>
        <v>0</v>
      </c>
      <c r="D156" s="73" t="e">
        <f ca="1">IF(Menus!$J$9,C156/B156,C156)</f>
        <v>#DIV/0!</v>
      </c>
      <c r="E156" s="74" t="e">
        <f t="shared" ca="1" si="6"/>
        <v>#N/A</v>
      </c>
      <c r="F156" s="75">
        <f ca="1">INDIRECT(ADDRESS($A156,1,3,1,Menus!$K$10))</f>
        <v>0</v>
      </c>
      <c r="G156" s="2" t="e">
        <f ca="1">IF(INDIRECT(ADDRESS($A156,2,3,1,Menus!$K$10))=G$1,$D156,#N/A)</f>
        <v>#N/A</v>
      </c>
      <c r="H156" s="2" t="e">
        <f ca="1">IF(INDIRECT(ADDRESS($A156,2,3,1,Menus!$K$10))=H$1,$D156,#N/A)</f>
        <v>#N/A</v>
      </c>
      <c r="I156" s="2" t="e">
        <f ca="1">IF(INDIRECT(ADDRESS($A156,2,3,1,Menus!$K$10))=I$1,$D156,#N/A)</f>
        <v>#N/A</v>
      </c>
      <c r="J156" s="2" t="e">
        <f ca="1">IF(INDIRECT(ADDRESS($A156,1,3,1,Menus!$K$10))=T(J$1),$D156,#N/A)</f>
        <v>#N/A</v>
      </c>
      <c r="K156" s="10">
        <f t="shared" ca="1" si="5"/>
        <v>0</v>
      </c>
      <c r="L156" s="2"/>
      <c r="M156" s="85">
        <f ca="1">OFFSET(INDIRECT(ADDRESS($A156,3,3,1,"Gross")),0,Menus!$J$4)</f>
        <v>0</v>
      </c>
      <c r="N156" s="85">
        <f ca="1">OFFSET(INDIRECT(ADDRESS($A156,3,3,1,"Gross")),0,Menus!$J$3)</f>
        <v>0</v>
      </c>
    </row>
    <row r="157" spans="1:14" x14ac:dyDescent="0.25">
      <c r="A157">
        <v>114</v>
      </c>
      <c r="B157" s="2">
        <f ca="1">OFFSET(INDIRECT(ADDRESS($A157,3,3,1,Menus!$K$10)),0,Menus!$J$4)</f>
        <v>0</v>
      </c>
      <c r="C157" s="2">
        <f ca="1">OFFSET(INDIRECT(ADDRESS($A157,3,3,1,Menus!$K$10)),0,Menus!$J$3)</f>
        <v>0</v>
      </c>
      <c r="D157" s="73" t="e">
        <f ca="1">IF(Menus!$J$9,C157/B157,C157)</f>
        <v>#DIV/0!</v>
      </c>
      <c r="E157" s="74" t="e">
        <f t="shared" ca="1" si="6"/>
        <v>#N/A</v>
      </c>
      <c r="F157" s="75">
        <f ca="1">INDIRECT(ADDRESS($A157,1,3,1,Menus!$K$10))</f>
        <v>0</v>
      </c>
      <c r="G157" s="2" t="e">
        <f ca="1">IF(INDIRECT(ADDRESS($A157,2,3,1,Menus!$K$10))=G$1,$D157,#N/A)</f>
        <v>#N/A</v>
      </c>
      <c r="H157" s="2" t="e">
        <f ca="1">IF(INDIRECT(ADDRESS($A157,2,3,1,Menus!$K$10))=H$1,$D157,#N/A)</f>
        <v>#N/A</v>
      </c>
      <c r="I157" s="2" t="e">
        <f ca="1">IF(INDIRECT(ADDRESS($A157,2,3,1,Menus!$K$10))=I$1,$D157,#N/A)</f>
        <v>#N/A</v>
      </c>
      <c r="J157" s="2" t="e">
        <f ca="1">IF(INDIRECT(ADDRESS($A157,1,3,1,Menus!$K$10))=T(J$1),$D157,#N/A)</f>
        <v>#N/A</v>
      </c>
      <c r="K157" s="10">
        <f t="shared" ca="1" si="5"/>
        <v>0</v>
      </c>
      <c r="L157" s="2"/>
      <c r="M157" s="85">
        <f ca="1">OFFSET(INDIRECT(ADDRESS($A157,3,3,1,"Gross")),0,Menus!$J$4)</f>
        <v>1</v>
      </c>
      <c r="N157" s="85">
        <f ca="1">OFFSET(INDIRECT(ADDRESS($A157,3,3,1,"Gross")),0,Menus!$J$3)</f>
        <v>1</v>
      </c>
    </row>
    <row r="158" spans="1:14" x14ac:dyDescent="0.25">
      <c r="A158">
        <v>180</v>
      </c>
      <c r="B158" s="2">
        <f ca="1">OFFSET(INDIRECT(ADDRESS($A158,3,3,1,Menus!$K$10)),0,Menus!$J$4)</f>
        <v>0</v>
      </c>
      <c r="C158" s="2">
        <f ca="1">OFFSET(INDIRECT(ADDRESS($A158,3,3,1,Menus!$K$10)),0,Menus!$J$3)</f>
        <v>0</v>
      </c>
      <c r="D158" s="73" t="e">
        <f ca="1">IF(Menus!$J$9,C158/B158,C158)</f>
        <v>#DIV/0!</v>
      </c>
      <c r="E158" s="74" t="e">
        <f t="shared" ca="1" si="6"/>
        <v>#N/A</v>
      </c>
      <c r="F158" s="75">
        <f ca="1">INDIRECT(ADDRESS($A158,1,3,1,Menus!$K$10))</f>
        <v>0</v>
      </c>
      <c r="G158" s="2" t="e">
        <f ca="1">IF(INDIRECT(ADDRESS($A158,2,3,1,Menus!$K$10))=G$1,$D158,#N/A)</f>
        <v>#N/A</v>
      </c>
      <c r="H158" s="2" t="e">
        <f ca="1">IF(INDIRECT(ADDRESS($A158,2,3,1,Menus!$K$10))=H$1,$D158,#N/A)</f>
        <v>#N/A</v>
      </c>
      <c r="I158" s="2" t="e">
        <f ca="1">IF(INDIRECT(ADDRESS($A158,2,3,1,Menus!$K$10))=I$1,$D158,#N/A)</f>
        <v>#N/A</v>
      </c>
      <c r="J158" s="2" t="e">
        <f ca="1">IF(INDIRECT(ADDRESS($A158,1,3,1,Menus!$K$10))=T(J$1),$D158,#N/A)</f>
        <v>#N/A</v>
      </c>
      <c r="K158" s="10">
        <f t="shared" ca="1" si="5"/>
        <v>0</v>
      </c>
      <c r="L158" s="2"/>
      <c r="M158" s="85">
        <f ca="1">OFFSET(INDIRECT(ADDRESS($A158,3,3,1,"Gross")),0,Menus!$J$4)</f>
        <v>0</v>
      </c>
      <c r="N158" s="85">
        <f ca="1">OFFSET(INDIRECT(ADDRESS($A158,3,3,1,"Gross")),0,Menus!$J$3)</f>
        <v>0</v>
      </c>
    </row>
    <row r="159" spans="1:14" x14ac:dyDescent="0.25">
      <c r="A159">
        <v>60</v>
      </c>
      <c r="B159" s="2">
        <f ca="1">OFFSET(INDIRECT(ADDRESS($A159,3,3,1,Menus!$K$10)),0,Menus!$J$4)</f>
        <v>0</v>
      </c>
      <c r="C159" s="2">
        <f ca="1">OFFSET(INDIRECT(ADDRESS($A159,3,3,1,Menus!$K$10)),0,Menus!$J$3)</f>
        <v>0</v>
      </c>
      <c r="D159" s="73" t="e">
        <f ca="1">IF(Menus!$J$9,C159/B159,C159)</f>
        <v>#DIV/0!</v>
      </c>
      <c r="E159" s="74" t="e">
        <f t="shared" ca="1" si="6"/>
        <v>#N/A</v>
      </c>
      <c r="F159" s="75">
        <f ca="1">INDIRECT(ADDRESS($A159,1,3,1,Menus!$K$10))</f>
        <v>0</v>
      </c>
      <c r="G159" s="2" t="e">
        <f ca="1">IF(INDIRECT(ADDRESS($A159,2,3,1,Menus!$K$10))=G$1,$D159,#N/A)</f>
        <v>#N/A</v>
      </c>
      <c r="H159" s="2" t="e">
        <f ca="1">IF(INDIRECT(ADDRESS($A159,2,3,1,Menus!$K$10))=H$1,$D159,#N/A)</f>
        <v>#N/A</v>
      </c>
      <c r="I159" s="2" t="e">
        <f ca="1">IF(INDIRECT(ADDRESS($A159,2,3,1,Menus!$K$10))=I$1,$D159,#N/A)</f>
        <v>#N/A</v>
      </c>
      <c r="J159" s="2" t="e">
        <f ca="1">IF(INDIRECT(ADDRESS($A159,1,3,1,Menus!$K$10))=T(J$1),$D159,#N/A)</f>
        <v>#N/A</v>
      </c>
      <c r="K159" s="10">
        <f t="shared" ca="1" si="5"/>
        <v>0</v>
      </c>
      <c r="L159" s="2"/>
      <c r="M159" s="85">
        <f ca="1">OFFSET(INDIRECT(ADDRESS($A159,3,3,1,"Gross")),0,Menus!$J$4)</f>
        <v>1</v>
      </c>
      <c r="N159" s="85">
        <f ca="1">OFFSET(INDIRECT(ADDRESS($A159,3,3,1,"Gross")),0,Menus!$J$3)</f>
        <v>1</v>
      </c>
    </row>
    <row r="160" spans="1:14" x14ac:dyDescent="0.25">
      <c r="A160">
        <v>72</v>
      </c>
      <c r="B160" s="2">
        <f ca="1">OFFSET(INDIRECT(ADDRESS($A160,3,3,1,Menus!$K$10)),0,Menus!$J$4)</f>
        <v>0</v>
      </c>
      <c r="C160" s="2">
        <f ca="1">OFFSET(INDIRECT(ADDRESS($A160,3,3,1,Menus!$K$10)),0,Menus!$J$3)</f>
        <v>0</v>
      </c>
      <c r="D160" s="73" t="e">
        <f ca="1">IF(Menus!$J$9,C160/B160,C160)</f>
        <v>#DIV/0!</v>
      </c>
      <c r="E160" s="74" t="e">
        <f t="shared" ca="1" si="6"/>
        <v>#N/A</v>
      </c>
      <c r="F160" s="75">
        <f ca="1">INDIRECT(ADDRESS($A160,1,3,1,Menus!$K$10))</f>
        <v>0</v>
      </c>
      <c r="G160" s="2" t="e">
        <f ca="1">IF(INDIRECT(ADDRESS($A160,2,3,1,Menus!$K$10))=G$1,$D160,#N/A)</f>
        <v>#N/A</v>
      </c>
      <c r="H160" s="2" t="e">
        <f ca="1">IF(INDIRECT(ADDRESS($A160,2,3,1,Menus!$K$10))=H$1,$D160,#N/A)</f>
        <v>#N/A</v>
      </c>
      <c r="I160" s="2" t="e">
        <f ca="1">IF(INDIRECT(ADDRESS($A160,2,3,1,Menus!$K$10))=I$1,$D160,#N/A)</f>
        <v>#N/A</v>
      </c>
      <c r="J160" s="2" t="e">
        <f ca="1">IF(INDIRECT(ADDRESS($A160,1,3,1,Menus!$K$10))=T(J$1),$D160,#N/A)</f>
        <v>#N/A</v>
      </c>
      <c r="K160" s="10">
        <f t="shared" ca="1" si="5"/>
        <v>0</v>
      </c>
      <c r="L160" s="2"/>
      <c r="M160" s="85">
        <f ca="1">OFFSET(INDIRECT(ADDRESS($A160,3,3,1,"Gross")),0,Menus!$J$4)</f>
        <v>1</v>
      </c>
      <c r="N160" s="85">
        <f ca="1">OFFSET(INDIRECT(ADDRESS($A160,3,3,1,"Gross")),0,Menus!$J$3)</f>
        <v>1</v>
      </c>
    </row>
    <row r="161" spans="1:14" x14ac:dyDescent="0.25">
      <c r="A161">
        <v>198</v>
      </c>
      <c r="B161" s="2">
        <f ca="1">OFFSET(INDIRECT(ADDRESS($A161,3,3,1,Menus!$K$10)),0,Menus!$J$4)</f>
        <v>0</v>
      </c>
      <c r="C161" s="2">
        <f ca="1">OFFSET(INDIRECT(ADDRESS($A161,3,3,1,Menus!$K$10)),0,Menus!$J$3)</f>
        <v>0</v>
      </c>
      <c r="D161" s="73" t="e">
        <f ca="1">IF(Menus!$J$9,C161/B161,C161)</f>
        <v>#DIV/0!</v>
      </c>
      <c r="E161" s="74" t="e">
        <f t="shared" ca="1" si="6"/>
        <v>#N/A</v>
      </c>
      <c r="F161" s="75">
        <f ca="1">INDIRECT(ADDRESS($A161,1,3,1,Menus!$K$10))</f>
        <v>0</v>
      </c>
      <c r="G161" s="2" t="e">
        <f ca="1">IF(INDIRECT(ADDRESS($A161,2,3,1,Menus!$K$10))=G$1,$D161,#N/A)</f>
        <v>#N/A</v>
      </c>
      <c r="H161" s="2" t="e">
        <f ca="1">IF(INDIRECT(ADDRESS($A161,2,3,1,Menus!$K$10))=H$1,$D161,#N/A)</f>
        <v>#N/A</v>
      </c>
      <c r="I161" s="2" t="e">
        <f ca="1">IF(INDIRECT(ADDRESS($A161,2,3,1,Menus!$K$10))=I$1,$D161,#N/A)</f>
        <v>#N/A</v>
      </c>
      <c r="J161" s="2" t="e">
        <f ca="1">IF(INDIRECT(ADDRESS($A161,1,3,1,Menus!$K$10))=T(J$1),$D161,#N/A)</f>
        <v>#N/A</v>
      </c>
      <c r="K161" s="10">
        <f t="shared" ca="1" si="5"/>
        <v>0</v>
      </c>
      <c r="L161" s="2"/>
      <c r="M161" s="85">
        <f ca="1">OFFSET(INDIRECT(ADDRESS($A161,3,3,1,"Gross")),0,Menus!$J$4)</f>
        <v>0</v>
      </c>
      <c r="N161" s="85">
        <f ca="1">OFFSET(INDIRECT(ADDRESS($A161,3,3,1,"Gross")),0,Menus!$J$3)</f>
        <v>0</v>
      </c>
    </row>
    <row r="162" spans="1:14" x14ac:dyDescent="0.25">
      <c r="A162">
        <v>199</v>
      </c>
      <c r="B162" s="2">
        <f ca="1">OFFSET(INDIRECT(ADDRESS($A162,3,3,1,Menus!$K$10)),0,Menus!$J$4)</f>
        <v>0</v>
      </c>
      <c r="C162" s="2">
        <f ca="1">OFFSET(INDIRECT(ADDRESS($A162,3,3,1,Menus!$K$10)),0,Menus!$J$3)</f>
        <v>0</v>
      </c>
      <c r="D162" s="73" t="e">
        <f ca="1">IF(Menus!$J$9,C162/B162,C162)</f>
        <v>#DIV/0!</v>
      </c>
      <c r="E162" s="74" t="e">
        <f t="shared" ca="1" si="6"/>
        <v>#N/A</v>
      </c>
      <c r="F162" s="75">
        <f ca="1">INDIRECT(ADDRESS($A162,1,3,1,Menus!$K$10))</f>
        <v>0</v>
      </c>
      <c r="G162" s="2" t="e">
        <f ca="1">IF(INDIRECT(ADDRESS($A162,2,3,1,Menus!$K$10))=G$1,$D162,#N/A)</f>
        <v>#N/A</v>
      </c>
      <c r="H162" s="2" t="e">
        <f ca="1">IF(INDIRECT(ADDRESS($A162,2,3,1,Menus!$K$10))=H$1,$D162,#N/A)</f>
        <v>#N/A</v>
      </c>
      <c r="I162" s="2" t="e">
        <f ca="1">IF(INDIRECT(ADDRESS($A162,2,3,1,Menus!$K$10))=I$1,$D162,#N/A)</f>
        <v>#N/A</v>
      </c>
      <c r="J162" s="2" t="e">
        <f ca="1">IF(INDIRECT(ADDRESS($A162,1,3,1,Menus!$K$10))=T(J$1),$D162,#N/A)</f>
        <v>#N/A</v>
      </c>
      <c r="K162" s="10">
        <f t="shared" ca="1" si="5"/>
        <v>0</v>
      </c>
      <c r="L162" s="2"/>
      <c r="M162" s="85">
        <f ca="1">OFFSET(INDIRECT(ADDRESS($A162,3,3,1,"Gross")),0,Menus!$J$4)</f>
        <v>0</v>
      </c>
      <c r="N162" s="85">
        <f ca="1">OFFSET(INDIRECT(ADDRESS($A162,3,3,1,"Gross")),0,Menus!$J$3)</f>
        <v>0</v>
      </c>
    </row>
    <row r="163" spans="1:14" x14ac:dyDescent="0.25">
      <c r="A163">
        <v>200</v>
      </c>
      <c r="B163" s="2">
        <f ca="1">OFFSET(INDIRECT(ADDRESS($A163,3,3,1,Menus!$K$10)),0,Menus!$J$4)</f>
        <v>0</v>
      </c>
      <c r="C163" s="2">
        <f ca="1">OFFSET(INDIRECT(ADDRESS($A163,3,3,1,Menus!$K$10)),0,Menus!$J$3)</f>
        <v>0</v>
      </c>
      <c r="D163" s="73" t="e">
        <f ca="1">IF(Menus!$J$9,C163/B163,C163)</f>
        <v>#DIV/0!</v>
      </c>
      <c r="E163" s="74" t="e">
        <f t="shared" ca="1" si="6"/>
        <v>#N/A</v>
      </c>
      <c r="F163" s="75">
        <f ca="1">INDIRECT(ADDRESS($A163,1,3,1,Menus!$K$10))</f>
        <v>0</v>
      </c>
      <c r="G163" s="2" t="e">
        <f ca="1">IF(INDIRECT(ADDRESS($A163,2,3,1,Menus!$K$10))=G$1,$D163,#N/A)</f>
        <v>#N/A</v>
      </c>
      <c r="H163" s="2" t="e">
        <f ca="1">IF(INDIRECT(ADDRESS($A163,2,3,1,Menus!$K$10))=H$1,$D163,#N/A)</f>
        <v>#N/A</v>
      </c>
      <c r="I163" s="2" t="e">
        <f ca="1">IF(INDIRECT(ADDRESS($A163,2,3,1,Menus!$K$10))=I$1,$D163,#N/A)</f>
        <v>#N/A</v>
      </c>
      <c r="J163" s="2" t="e">
        <f ca="1">IF(INDIRECT(ADDRESS($A163,1,3,1,Menus!$K$10))=T(J$1),$D163,#N/A)</f>
        <v>#N/A</v>
      </c>
      <c r="K163" s="10">
        <f t="shared" ca="1" si="5"/>
        <v>0</v>
      </c>
      <c r="L163" s="2"/>
      <c r="M163" s="85">
        <f ca="1">OFFSET(INDIRECT(ADDRESS($A163,3,3,1,"Gross")),0,Menus!$J$4)</f>
        <v>0</v>
      </c>
      <c r="N163" s="85">
        <f ca="1">OFFSET(INDIRECT(ADDRESS($A163,3,3,1,"Gross")),0,Menus!$J$3)</f>
        <v>0</v>
      </c>
    </row>
    <row r="164" spans="1:14" x14ac:dyDescent="0.25">
      <c r="A164">
        <v>201</v>
      </c>
      <c r="B164" s="2">
        <f ca="1">OFFSET(INDIRECT(ADDRESS($A164,3,3,1,Menus!$K$10)),0,Menus!$J$4)</f>
        <v>0</v>
      </c>
      <c r="C164" s="2">
        <f ca="1">OFFSET(INDIRECT(ADDRESS($A164,3,3,1,Menus!$K$10)),0,Menus!$J$3)</f>
        <v>0</v>
      </c>
      <c r="D164" s="73" t="e">
        <f ca="1">IF(Menus!$J$9,C164/B164,C164)</f>
        <v>#DIV/0!</v>
      </c>
      <c r="E164" s="74" t="e">
        <f t="shared" ca="1" si="6"/>
        <v>#N/A</v>
      </c>
      <c r="F164" s="75">
        <f ca="1">INDIRECT(ADDRESS($A164,1,3,1,Menus!$K$10))</f>
        <v>0</v>
      </c>
      <c r="G164" s="2" t="e">
        <f ca="1">IF(INDIRECT(ADDRESS($A164,2,3,1,Menus!$K$10))=G$1,$D164,#N/A)</f>
        <v>#N/A</v>
      </c>
      <c r="H164" s="2" t="e">
        <f ca="1">IF(INDIRECT(ADDRESS($A164,2,3,1,Menus!$K$10))=H$1,$D164,#N/A)</f>
        <v>#N/A</v>
      </c>
      <c r="I164" s="2" t="e">
        <f ca="1">IF(INDIRECT(ADDRESS($A164,2,3,1,Menus!$K$10))=I$1,$D164,#N/A)</f>
        <v>#N/A</v>
      </c>
      <c r="J164" s="2" t="e">
        <f ca="1">IF(INDIRECT(ADDRESS($A164,1,3,1,Menus!$K$10))=T(J$1),$D164,#N/A)</f>
        <v>#N/A</v>
      </c>
      <c r="K164" s="10">
        <f t="shared" ca="1" si="5"/>
        <v>0</v>
      </c>
      <c r="L164" s="2"/>
      <c r="M164" s="85">
        <f ca="1">OFFSET(INDIRECT(ADDRESS($A164,3,3,1,"Gross")),0,Menus!$J$4)</f>
        <v>0</v>
      </c>
      <c r="N164" s="85">
        <f ca="1">OFFSET(INDIRECT(ADDRESS($A164,3,3,1,"Gross")),0,Menus!$J$3)</f>
        <v>0</v>
      </c>
    </row>
    <row r="165" spans="1:14" x14ac:dyDescent="0.25">
      <c r="A165">
        <v>202</v>
      </c>
      <c r="B165" s="2">
        <f ca="1">OFFSET(INDIRECT(ADDRESS($A165,3,3,1,Menus!$K$10)),0,Menus!$J$4)</f>
        <v>0</v>
      </c>
      <c r="C165" s="2">
        <f ca="1">OFFSET(INDIRECT(ADDRESS($A165,3,3,1,Menus!$K$10)),0,Menus!$J$3)</f>
        <v>0</v>
      </c>
      <c r="D165" s="73" t="e">
        <f ca="1">IF(Menus!$J$9,C165/B165,C165)</f>
        <v>#DIV/0!</v>
      </c>
      <c r="E165" s="74" t="e">
        <f t="shared" ca="1" si="6"/>
        <v>#N/A</v>
      </c>
      <c r="F165" s="75">
        <f ca="1">INDIRECT(ADDRESS($A165,1,3,1,Menus!$K$10))</f>
        <v>0</v>
      </c>
      <c r="G165" s="2" t="e">
        <f ca="1">IF(INDIRECT(ADDRESS($A165,2,3,1,Menus!$K$10))=G$1,$D165,#N/A)</f>
        <v>#N/A</v>
      </c>
      <c r="H165" s="2" t="e">
        <f ca="1">IF(INDIRECT(ADDRESS($A165,2,3,1,Menus!$K$10))=H$1,$D165,#N/A)</f>
        <v>#N/A</v>
      </c>
      <c r="I165" s="2" t="e">
        <f ca="1">IF(INDIRECT(ADDRESS($A165,2,3,1,Menus!$K$10))=I$1,$D165,#N/A)</f>
        <v>#N/A</v>
      </c>
      <c r="J165" s="2" t="e">
        <f ca="1">IF(INDIRECT(ADDRESS($A165,1,3,1,Menus!$K$10))=T(J$1),$D165,#N/A)</f>
        <v>#N/A</v>
      </c>
      <c r="K165" s="10">
        <f t="shared" ca="1" si="5"/>
        <v>0</v>
      </c>
      <c r="L165" s="2"/>
      <c r="M165" s="85">
        <f ca="1">OFFSET(INDIRECT(ADDRESS($A165,3,3,1,"Gross")),0,Menus!$J$4)</f>
        <v>0</v>
      </c>
      <c r="N165" s="85">
        <f ca="1">OFFSET(INDIRECT(ADDRESS($A165,3,3,1,"Gross")),0,Menus!$J$3)</f>
        <v>0</v>
      </c>
    </row>
    <row r="166" spans="1:14" x14ac:dyDescent="0.25">
      <c r="A166">
        <v>203</v>
      </c>
      <c r="B166" s="2">
        <f ca="1">OFFSET(INDIRECT(ADDRESS($A166,3,3,1,Menus!$K$10)),0,Menus!$J$4)</f>
        <v>0</v>
      </c>
      <c r="C166" s="2">
        <f ca="1">OFFSET(INDIRECT(ADDRESS($A166,3,3,1,Menus!$K$10)),0,Menus!$J$3)</f>
        <v>0</v>
      </c>
      <c r="D166" s="73" t="e">
        <f ca="1">IF(Menus!$J$9,C166/B166,C166)</f>
        <v>#DIV/0!</v>
      </c>
      <c r="E166" s="74" t="e">
        <f t="shared" ca="1" si="6"/>
        <v>#N/A</v>
      </c>
      <c r="F166" s="75">
        <f ca="1">INDIRECT(ADDRESS($A166,1,3,1,Menus!$K$10))</f>
        <v>0</v>
      </c>
      <c r="G166" s="2" t="e">
        <f ca="1">IF(INDIRECT(ADDRESS($A166,2,3,1,Menus!$K$10))=G$1,$D166,#N/A)</f>
        <v>#N/A</v>
      </c>
      <c r="H166" s="2" t="e">
        <f ca="1">IF(INDIRECT(ADDRESS($A166,2,3,1,Menus!$K$10))=H$1,$D166,#N/A)</f>
        <v>#N/A</v>
      </c>
      <c r="I166" s="2" t="e">
        <f ca="1">IF(INDIRECT(ADDRESS($A166,2,3,1,Menus!$K$10))=I$1,$D166,#N/A)</f>
        <v>#N/A</v>
      </c>
      <c r="J166" s="2" t="e">
        <f ca="1">IF(INDIRECT(ADDRESS($A166,1,3,1,Menus!$K$10))=T(J$1),$D166,#N/A)</f>
        <v>#N/A</v>
      </c>
      <c r="K166" s="10">
        <f t="shared" ca="1" si="5"/>
        <v>0</v>
      </c>
      <c r="L166" s="2"/>
      <c r="M166" s="85">
        <f ca="1">OFFSET(INDIRECT(ADDRESS($A166,3,3,1,"Gross")),0,Menus!$J$4)</f>
        <v>0</v>
      </c>
      <c r="N166" s="85">
        <f ca="1">OFFSET(INDIRECT(ADDRESS($A166,3,3,1,"Gross")),0,Menus!$J$3)</f>
        <v>0</v>
      </c>
    </row>
    <row r="167" spans="1:14" x14ac:dyDescent="0.25">
      <c r="A167">
        <v>204</v>
      </c>
      <c r="B167" s="2">
        <f ca="1">OFFSET(INDIRECT(ADDRESS($A167,3,3,1,Menus!$K$10)),0,Menus!$J$4)</f>
        <v>0</v>
      </c>
      <c r="C167" s="2">
        <f ca="1">OFFSET(INDIRECT(ADDRESS($A167,3,3,1,Menus!$K$10)),0,Menus!$J$3)</f>
        <v>0</v>
      </c>
      <c r="D167" s="73" t="e">
        <f ca="1">IF(Menus!$J$9,C167/B167,C167)</f>
        <v>#DIV/0!</v>
      </c>
      <c r="E167" s="74" t="e">
        <f t="shared" ca="1" si="6"/>
        <v>#N/A</v>
      </c>
      <c r="F167" s="75">
        <f ca="1">INDIRECT(ADDRESS($A167,1,3,1,Menus!$K$10))</f>
        <v>0</v>
      </c>
      <c r="G167" s="2" t="e">
        <f ca="1">IF(INDIRECT(ADDRESS($A167,2,3,1,Menus!$K$10))=G$1,$D167,#N/A)</f>
        <v>#N/A</v>
      </c>
      <c r="H167" s="2" t="e">
        <f ca="1">IF(INDIRECT(ADDRESS($A167,2,3,1,Menus!$K$10))=H$1,$D167,#N/A)</f>
        <v>#N/A</v>
      </c>
      <c r="I167" s="2" t="e">
        <f ca="1">IF(INDIRECT(ADDRESS($A167,2,3,1,Menus!$K$10))=I$1,$D167,#N/A)</f>
        <v>#N/A</v>
      </c>
      <c r="J167" s="2" t="e">
        <f ca="1">IF(INDIRECT(ADDRESS($A167,1,3,1,Menus!$K$10))=T(J$1),$D167,#N/A)</f>
        <v>#N/A</v>
      </c>
      <c r="K167" s="10">
        <f t="shared" ca="1" si="5"/>
        <v>0</v>
      </c>
      <c r="L167" s="2"/>
      <c r="M167" s="85">
        <f ca="1">OFFSET(INDIRECT(ADDRESS($A167,3,3,1,"Gross")),0,Menus!$J$4)</f>
        <v>0</v>
      </c>
      <c r="N167" s="85">
        <f ca="1">OFFSET(INDIRECT(ADDRESS($A167,3,3,1,"Gross")),0,Menus!$J$3)</f>
        <v>0</v>
      </c>
    </row>
    <row r="168" spans="1:14" x14ac:dyDescent="0.25">
      <c r="A168">
        <v>205</v>
      </c>
      <c r="B168" s="2">
        <f ca="1">OFFSET(INDIRECT(ADDRESS($A168,3,3,1,Menus!$K$10)),0,Menus!$J$4)</f>
        <v>0</v>
      </c>
      <c r="C168" s="2">
        <f ca="1">OFFSET(INDIRECT(ADDRESS($A168,3,3,1,Menus!$K$10)),0,Menus!$J$3)</f>
        <v>0</v>
      </c>
      <c r="D168" s="73" t="e">
        <f ca="1">IF(Menus!$J$9,C168/B168,C168)</f>
        <v>#DIV/0!</v>
      </c>
      <c r="E168" s="74" t="e">
        <f t="shared" ca="1" si="6"/>
        <v>#N/A</v>
      </c>
      <c r="F168" s="75">
        <f ca="1">INDIRECT(ADDRESS($A168,1,3,1,Menus!$K$10))</f>
        <v>0</v>
      </c>
      <c r="G168" s="2" t="e">
        <f ca="1">IF(INDIRECT(ADDRESS($A168,2,3,1,Menus!$K$10))=G$1,$D168,#N/A)</f>
        <v>#N/A</v>
      </c>
      <c r="H168" s="2" t="e">
        <f ca="1">IF(INDIRECT(ADDRESS($A168,2,3,1,Menus!$K$10))=H$1,$D168,#N/A)</f>
        <v>#N/A</v>
      </c>
      <c r="I168" s="2" t="e">
        <f ca="1">IF(INDIRECT(ADDRESS($A168,2,3,1,Menus!$K$10))=I$1,$D168,#N/A)</f>
        <v>#N/A</v>
      </c>
      <c r="J168" s="2" t="e">
        <f ca="1">IF(INDIRECT(ADDRESS($A168,1,3,1,Menus!$K$10))=T(J$1),$D168,#N/A)</f>
        <v>#N/A</v>
      </c>
      <c r="K168" s="10">
        <f t="shared" ca="1" si="5"/>
        <v>0</v>
      </c>
      <c r="L168" s="2"/>
      <c r="M168" s="85">
        <f ca="1">OFFSET(INDIRECT(ADDRESS($A168,3,3,1,"Gross")),0,Menus!$J$4)</f>
        <v>0</v>
      </c>
      <c r="N168" s="85">
        <f ca="1">OFFSET(INDIRECT(ADDRESS($A168,3,3,1,"Gross")),0,Menus!$J$3)</f>
        <v>0</v>
      </c>
    </row>
    <row r="169" spans="1:14" x14ac:dyDescent="0.25">
      <c r="A169">
        <v>206</v>
      </c>
      <c r="B169" s="2">
        <f ca="1">OFFSET(INDIRECT(ADDRESS($A169,3,3,1,Menus!$K$10)),0,Menus!$J$4)</f>
        <v>0</v>
      </c>
      <c r="C169" s="2">
        <f ca="1">OFFSET(INDIRECT(ADDRESS($A169,3,3,1,Menus!$K$10)),0,Menus!$J$3)</f>
        <v>0</v>
      </c>
      <c r="D169" s="73" t="e">
        <f ca="1">IF(Menus!$J$9,C169/B169,C169)</f>
        <v>#DIV/0!</v>
      </c>
      <c r="E169" s="74" t="e">
        <f t="shared" ca="1" si="6"/>
        <v>#N/A</v>
      </c>
      <c r="F169" s="75">
        <f ca="1">INDIRECT(ADDRESS($A169,1,3,1,Menus!$K$10))</f>
        <v>0</v>
      </c>
      <c r="G169" s="2" t="e">
        <f ca="1">IF(INDIRECT(ADDRESS($A169,2,3,1,Menus!$K$10))=G$1,$D169,#N/A)</f>
        <v>#N/A</v>
      </c>
      <c r="H169" s="2" t="e">
        <f ca="1">IF(INDIRECT(ADDRESS($A169,2,3,1,Menus!$K$10))=H$1,$D169,#N/A)</f>
        <v>#N/A</v>
      </c>
      <c r="I169" s="2" t="e">
        <f ca="1">IF(INDIRECT(ADDRESS($A169,2,3,1,Menus!$K$10))=I$1,$D169,#N/A)</f>
        <v>#N/A</v>
      </c>
      <c r="J169" s="2" t="e">
        <f ca="1">IF(INDIRECT(ADDRESS($A169,1,3,1,Menus!$K$10))=T(J$1),$D169,#N/A)</f>
        <v>#N/A</v>
      </c>
      <c r="K169" s="10">
        <f t="shared" ca="1" si="5"/>
        <v>0</v>
      </c>
      <c r="L169" s="2"/>
      <c r="M169" s="85">
        <f ca="1">OFFSET(INDIRECT(ADDRESS($A169,3,3,1,"Gross")),0,Menus!$J$4)</f>
        <v>0</v>
      </c>
      <c r="N169" s="85">
        <f ca="1">OFFSET(INDIRECT(ADDRESS($A169,3,3,1,"Gross")),0,Menus!$J$3)</f>
        <v>0</v>
      </c>
    </row>
    <row r="170" spans="1:14" x14ac:dyDescent="0.25">
      <c r="A170">
        <v>207</v>
      </c>
      <c r="B170" s="2">
        <f ca="1">OFFSET(INDIRECT(ADDRESS($A170,3,3,1,Menus!$K$10)),0,Menus!$J$4)</f>
        <v>0</v>
      </c>
      <c r="C170" s="2">
        <f ca="1">OFFSET(INDIRECT(ADDRESS($A170,3,3,1,Menus!$K$10)),0,Menus!$J$3)</f>
        <v>0</v>
      </c>
      <c r="D170" s="73" t="e">
        <f ca="1">IF(Menus!$J$9,C170/B170,C170)</f>
        <v>#DIV/0!</v>
      </c>
      <c r="E170" s="74" t="e">
        <f t="shared" ca="1" si="6"/>
        <v>#N/A</v>
      </c>
      <c r="F170" s="75">
        <f ca="1">INDIRECT(ADDRESS($A170,1,3,1,Menus!$K$10))</f>
        <v>0</v>
      </c>
      <c r="G170" s="2" t="e">
        <f ca="1">IF(INDIRECT(ADDRESS($A170,2,3,1,Menus!$K$10))=G$1,$D170,#N/A)</f>
        <v>#N/A</v>
      </c>
      <c r="H170" s="2" t="e">
        <f ca="1">IF(INDIRECT(ADDRESS($A170,2,3,1,Menus!$K$10))=H$1,$D170,#N/A)</f>
        <v>#N/A</v>
      </c>
      <c r="I170" s="2" t="e">
        <f ca="1">IF(INDIRECT(ADDRESS($A170,2,3,1,Menus!$K$10))=I$1,$D170,#N/A)</f>
        <v>#N/A</v>
      </c>
      <c r="J170" s="2" t="e">
        <f ca="1">IF(INDIRECT(ADDRESS($A170,1,3,1,Menus!$K$10))=T(J$1),$D170,#N/A)</f>
        <v>#N/A</v>
      </c>
      <c r="K170" s="10">
        <f t="shared" ca="1" si="5"/>
        <v>0</v>
      </c>
      <c r="L170" s="2"/>
      <c r="M170" s="85">
        <f ca="1">OFFSET(INDIRECT(ADDRESS($A170,3,3,1,"Gross")),0,Menus!$J$4)</f>
        <v>0</v>
      </c>
      <c r="N170" s="85">
        <f ca="1">OFFSET(INDIRECT(ADDRESS($A170,3,3,1,"Gross")),0,Menus!$J$3)</f>
        <v>0</v>
      </c>
    </row>
    <row r="171" spans="1:14" x14ac:dyDescent="0.25">
      <c r="A171">
        <v>208</v>
      </c>
      <c r="B171" s="2">
        <f ca="1">OFFSET(INDIRECT(ADDRESS($A171,3,3,1,Menus!$K$10)),0,Menus!$J$4)</f>
        <v>0</v>
      </c>
      <c r="C171" s="2">
        <f ca="1">OFFSET(INDIRECT(ADDRESS($A171,3,3,1,Menus!$K$10)),0,Menus!$J$3)</f>
        <v>0</v>
      </c>
      <c r="D171" s="73" t="e">
        <f ca="1">IF(Menus!$J$9,C171/B171,C171)</f>
        <v>#DIV/0!</v>
      </c>
      <c r="E171" s="74" t="e">
        <f t="shared" ca="1" si="6"/>
        <v>#N/A</v>
      </c>
      <c r="F171" s="75">
        <f ca="1">INDIRECT(ADDRESS($A171,1,3,1,Menus!$K$10))</f>
        <v>0</v>
      </c>
      <c r="G171" s="2" t="e">
        <f ca="1">IF(INDIRECT(ADDRESS($A171,2,3,1,Menus!$K$10))=G$1,$D171,#N/A)</f>
        <v>#N/A</v>
      </c>
      <c r="H171" s="2" t="e">
        <f ca="1">IF(INDIRECT(ADDRESS($A171,2,3,1,Menus!$K$10))=H$1,$D171,#N/A)</f>
        <v>#N/A</v>
      </c>
      <c r="I171" s="2" t="e">
        <f ca="1">IF(INDIRECT(ADDRESS($A171,2,3,1,Menus!$K$10))=I$1,$D171,#N/A)</f>
        <v>#N/A</v>
      </c>
      <c r="J171" s="2" t="e">
        <f ca="1">IF(INDIRECT(ADDRESS($A171,1,3,1,Menus!$K$10))=T(J$1),$D171,#N/A)</f>
        <v>#N/A</v>
      </c>
      <c r="K171" s="10">
        <f t="shared" ca="1" si="5"/>
        <v>0</v>
      </c>
      <c r="L171" s="2"/>
      <c r="M171" s="85">
        <f ca="1">OFFSET(INDIRECT(ADDRESS($A171,3,3,1,"Gross")),0,Menus!$J$4)</f>
        <v>0</v>
      </c>
      <c r="N171" s="85">
        <f ca="1">OFFSET(INDIRECT(ADDRESS($A171,3,3,1,"Gross")),0,Menus!$J$3)</f>
        <v>0</v>
      </c>
    </row>
    <row r="172" spans="1:14" x14ac:dyDescent="0.25">
      <c r="A172">
        <v>209</v>
      </c>
      <c r="B172" s="2">
        <f ca="1">OFFSET(INDIRECT(ADDRESS($A172,3,3,1,Menus!$K$10)),0,Menus!$J$4)</f>
        <v>0</v>
      </c>
      <c r="C172" s="2">
        <f ca="1">OFFSET(INDIRECT(ADDRESS($A172,3,3,1,Menus!$K$10)),0,Menus!$J$3)</f>
        <v>0</v>
      </c>
      <c r="D172" s="73" t="e">
        <f ca="1">IF(Menus!$J$9,C172/B172,C172)</f>
        <v>#DIV/0!</v>
      </c>
      <c r="E172" s="74" t="e">
        <f t="shared" ca="1" si="6"/>
        <v>#N/A</v>
      </c>
      <c r="F172" s="75">
        <f ca="1">INDIRECT(ADDRESS($A172,1,3,1,Menus!$K$10))</f>
        <v>0</v>
      </c>
      <c r="G172" s="2" t="e">
        <f ca="1">IF(INDIRECT(ADDRESS($A172,2,3,1,Menus!$K$10))=G$1,$D172,#N/A)</f>
        <v>#N/A</v>
      </c>
      <c r="H172" s="2" t="e">
        <f ca="1">IF(INDIRECT(ADDRESS($A172,2,3,1,Menus!$K$10))=H$1,$D172,#N/A)</f>
        <v>#N/A</v>
      </c>
      <c r="I172" s="2" t="e">
        <f ca="1">IF(INDIRECT(ADDRESS($A172,2,3,1,Menus!$K$10))=I$1,$D172,#N/A)</f>
        <v>#N/A</v>
      </c>
      <c r="J172" s="2" t="e">
        <f ca="1">IF(INDIRECT(ADDRESS($A172,1,3,1,Menus!$K$10))=T(J$1),$D172,#N/A)</f>
        <v>#N/A</v>
      </c>
      <c r="K172" s="10">
        <f t="shared" ca="1" si="5"/>
        <v>0</v>
      </c>
      <c r="L172" s="2"/>
      <c r="M172" s="85">
        <f ca="1">OFFSET(INDIRECT(ADDRESS($A172,3,3,1,"Gross")),0,Menus!$J$4)</f>
        <v>0</v>
      </c>
      <c r="N172" s="85">
        <f ca="1">OFFSET(INDIRECT(ADDRESS($A172,3,3,1,"Gross")),0,Menus!$J$3)</f>
        <v>0</v>
      </c>
    </row>
    <row r="173" spans="1:14" x14ac:dyDescent="0.25">
      <c r="A173">
        <v>210</v>
      </c>
      <c r="B173" s="2">
        <f ca="1">OFFSET(INDIRECT(ADDRESS($A173,3,3,1,Menus!$K$10)),0,Menus!$J$4)</f>
        <v>0</v>
      </c>
      <c r="C173" s="2">
        <f ca="1">OFFSET(INDIRECT(ADDRESS($A173,3,3,1,Menus!$K$10)),0,Menus!$J$3)</f>
        <v>0</v>
      </c>
      <c r="D173" s="73" t="e">
        <f ca="1">IF(Menus!$J$9,C173/B173,C173)</f>
        <v>#DIV/0!</v>
      </c>
      <c r="E173" s="74" t="e">
        <f t="shared" ca="1" si="6"/>
        <v>#N/A</v>
      </c>
      <c r="F173" s="75">
        <f ca="1">INDIRECT(ADDRESS($A173,1,3,1,Menus!$K$10))</f>
        <v>0</v>
      </c>
      <c r="G173" s="2" t="e">
        <f ca="1">IF(INDIRECT(ADDRESS($A173,2,3,1,Menus!$K$10))=G$1,$D173,#N/A)</f>
        <v>#N/A</v>
      </c>
      <c r="H173" s="2" t="e">
        <f ca="1">IF(INDIRECT(ADDRESS($A173,2,3,1,Menus!$K$10))=H$1,$D173,#N/A)</f>
        <v>#N/A</v>
      </c>
      <c r="I173" s="2" t="e">
        <f ca="1">IF(INDIRECT(ADDRESS($A173,2,3,1,Menus!$K$10))=I$1,$D173,#N/A)</f>
        <v>#N/A</v>
      </c>
      <c r="J173" s="2" t="e">
        <f ca="1">IF(INDIRECT(ADDRESS($A173,1,3,1,Menus!$K$10))=T(J$1),$D173,#N/A)</f>
        <v>#N/A</v>
      </c>
      <c r="K173" s="10">
        <f t="shared" ca="1" si="5"/>
        <v>0</v>
      </c>
      <c r="L173" s="2"/>
      <c r="M173" s="85">
        <f ca="1">OFFSET(INDIRECT(ADDRESS($A173,3,3,1,"Gross")),0,Menus!$J$4)</f>
        <v>0</v>
      </c>
      <c r="N173" s="85">
        <f ca="1">OFFSET(INDIRECT(ADDRESS($A173,3,3,1,"Gross")),0,Menus!$J$3)</f>
        <v>0</v>
      </c>
    </row>
    <row r="174" spans="1:14" x14ac:dyDescent="0.25">
      <c r="A174">
        <v>211</v>
      </c>
      <c r="B174" s="2">
        <f ca="1">OFFSET(INDIRECT(ADDRESS($A174,3,3,1,Menus!$K$10)),0,Menus!$J$4)</f>
        <v>0</v>
      </c>
      <c r="C174" s="2">
        <f ca="1">OFFSET(INDIRECT(ADDRESS($A174,3,3,1,Menus!$K$10)),0,Menus!$J$3)</f>
        <v>0</v>
      </c>
      <c r="D174" s="73" t="e">
        <f ca="1">IF(Menus!$J$9,C174/B174,C174)</f>
        <v>#DIV/0!</v>
      </c>
      <c r="E174" s="74" t="e">
        <f t="shared" ca="1" si="6"/>
        <v>#N/A</v>
      </c>
      <c r="F174" s="75">
        <f ca="1">INDIRECT(ADDRESS($A174,1,3,1,Menus!$K$10))</f>
        <v>0</v>
      </c>
      <c r="G174" s="2" t="e">
        <f ca="1">IF(INDIRECT(ADDRESS($A174,2,3,1,Menus!$K$10))=G$1,$D174,#N/A)</f>
        <v>#N/A</v>
      </c>
      <c r="H174" s="2" t="e">
        <f ca="1">IF(INDIRECT(ADDRESS($A174,2,3,1,Menus!$K$10))=H$1,$D174,#N/A)</f>
        <v>#N/A</v>
      </c>
      <c r="I174" s="2" t="e">
        <f ca="1">IF(INDIRECT(ADDRESS($A174,2,3,1,Menus!$K$10))=I$1,$D174,#N/A)</f>
        <v>#N/A</v>
      </c>
      <c r="J174" s="2" t="e">
        <f ca="1">IF(INDIRECT(ADDRESS($A174,1,3,1,Menus!$K$10))=T(J$1),$D174,#N/A)</f>
        <v>#N/A</v>
      </c>
      <c r="K174" s="10">
        <f t="shared" ca="1" si="5"/>
        <v>0</v>
      </c>
      <c r="L174" s="2"/>
      <c r="M174" s="85">
        <f ca="1">OFFSET(INDIRECT(ADDRESS($A174,3,3,1,"Gross")),0,Menus!$J$4)</f>
        <v>0</v>
      </c>
      <c r="N174" s="85">
        <f ca="1">OFFSET(INDIRECT(ADDRESS($A174,3,3,1,"Gross")),0,Menus!$J$3)</f>
        <v>0</v>
      </c>
    </row>
    <row r="175" spans="1:14" x14ac:dyDescent="0.25">
      <c r="A175">
        <v>212</v>
      </c>
      <c r="B175" s="2">
        <f ca="1">OFFSET(INDIRECT(ADDRESS($A175,3,3,1,Menus!$K$10)),0,Menus!$J$4)</f>
        <v>0</v>
      </c>
      <c r="C175" s="2">
        <f ca="1">OFFSET(INDIRECT(ADDRESS($A175,3,3,1,Menus!$K$10)),0,Menus!$J$3)</f>
        <v>0</v>
      </c>
      <c r="D175" s="73" t="e">
        <f ca="1">IF(Menus!$J$9,C175/B175,C175)</f>
        <v>#DIV/0!</v>
      </c>
      <c r="E175" s="74" t="e">
        <f t="shared" ca="1" si="6"/>
        <v>#N/A</v>
      </c>
      <c r="F175" s="75">
        <f ca="1">INDIRECT(ADDRESS($A175,1,3,1,Menus!$K$10))</f>
        <v>0</v>
      </c>
      <c r="G175" s="2" t="e">
        <f ca="1">IF(INDIRECT(ADDRESS($A175,2,3,1,Menus!$K$10))=G$1,$D175,#N/A)</f>
        <v>#N/A</v>
      </c>
      <c r="H175" s="2" t="e">
        <f ca="1">IF(INDIRECT(ADDRESS($A175,2,3,1,Menus!$K$10))=H$1,$D175,#N/A)</f>
        <v>#N/A</v>
      </c>
      <c r="I175" s="2" t="e">
        <f ca="1">IF(INDIRECT(ADDRESS($A175,2,3,1,Menus!$K$10))=I$1,$D175,#N/A)</f>
        <v>#N/A</v>
      </c>
      <c r="J175" s="2" t="e">
        <f ca="1">IF(INDIRECT(ADDRESS($A175,1,3,1,Menus!$K$10))=T(J$1),$D175,#N/A)</f>
        <v>#N/A</v>
      </c>
      <c r="K175" s="10">
        <f t="shared" ca="1" si="5"/>
        <v>0</v>
      </c>
      <c r="L175" s="2"/>
      <c r="M175" s="85">
        <f ca="1">OFFSET(INDIRECT(ADDRESS($A175,3,3,1,"Gross")),0,Menus!$J$4)</f>
        <v>0</v>
      </c>
      <c r="N175" s="85">
        <f ca="1">OFFSET(INDIRECT(ADDRESS($A175,3,3,1,"Gross")),0,Menus!$J$3)</f>
        <v>0</v>
      </c>
    </row>
    <row r="176" spans="1:14" x14ac:dyDescent="0.25">
      <c r="A176">
        <v>213</v>
      </c>
      <c r="B176" s="2">
        <f ca="1">OFFSET(INDIRECT(ADDRESS($A176,3,3,1,Menus!$K$10)),0,Menus!$J$4)</f>
        <v>0</v>
      </c>
      <c r="C176" s="2">
        <f ca="1">OFFSET(INDIRECT(ADDRESS($A176,3,3,1,Menus!$K$10)),0,Menus!$J$3)</f>
        <v>0</v>
      </c>
      <c r="D176" s="73" t="e">
        <f ca="1">IF(Menus!$J$9,C176/B176,C176)</f>
        <v>#DIV/0!</v>
      </c>
      <c r="E176" s="74" t="e">
        <f t="shared" ca="1" si="6"/>
        <v>#N/A</v>
      </c>
      <c r="F176" s="75">
        <f ca="1">INDIRECT(ADDRESS($A176,1,3,1,Menus!$K$10))</f>
        <v>0</v>
      </c>
      <c r="G176" s="2" t="e">
        <f ca="1">IF(INDIRECT(ADDRESS($A176,2,3,1,Menus!$K$10))=G$1,$D176,#N/A)</f>
        <v>#N/A</v>
      </c>
      <c r="H176" s="2" t="e">
        <f ca="1">IF(INDIRECT(ADDRESS($A176,2,3,1,Menus!$K$10))=H$1,$D176,#N/A)</f>
        <v>#N/A</v>
      </c>
      <c r="I176" s="2" t="e">
        <f ca="1">IF(INDIRECT(ADDRESS($A176,2,3,1,Menus!$K$10))=I$1,$D176,#N/A)</f>
        <v>#N/A</v>
      </c>
      <c r="J176" s="2" t="e">
        <f ca="1">IF(INDIRECT(ADDRESS($A176,1,3,1,Menus!$K$10))=T(J$1),$D176,#N/A)</f>
        <v>#N/A</v>
      </c>
      <c r="K176" s="10">
        <f t="shared" ca="1" si="5"/>
        <v>0</v>
      </c>
      <c r="L176" s="2"/>
      <c r="M176" s="85">
        <f ca="1">OFFSET(INDIRECT(ADDRESS($A176,3,3,1,"Gross")),0,Menus!$J$4)</f>
        <v>0</v>
      </c>
      <c r="N176" s="85">
        <f ca="1">OFFSET(INDIRECT(ADDRESS($A176,3,3,1,"Gross")),0,Menus!$J$3)</f>
        <v>0</v>
      </c>
    </row>
    <row r="177" spans="1:14" x14ac:dyDescent="0.25">
      <c r="A177">
        <v>214</v>
      </c>
      <c r="B177" s="2">
        <f ca="1">OFFSET(INDIRECT(ADDRESS($A177,3,3,1,Menus!$K$10)),0,Menus!$J$4)</f>
        <v>0</v>
      </c>
      <c r="C177" s="2">
        <f ca="1">OFFSET(INDIRECT(ADDRESS($A177,3,3,1,Menus!$K$10)),0,Menus!$J$3)</f>
        <v>0</v>
      </c>
      <c r="D177" s="73" t="e">
        <f ca="1">IF(Menus!$J$9,C177/B177,C177)</f>
        <v>#DIV/0!</v>
      </c>
      <c r="E177" s="74" t="e">
        <f t="shared" ca="1" si="6"/>
        <v>#N/A</v>
      </c>
      <c r="F177" s="75">
        <f ca="1">INDIRECT(ADDRESS($A177,1,3,1,Menus!$K$10))</f>
        <v>0</v>
      </c>
      <c r="G177" s="2" t="e">
        <f ca="1">IF(INDIRECT(ADDRESS($A177,2,3,1,Menus!$K$10))=G$1,$D177,#N/A)</f>
        <v>#N/A</v>
      </c>
      <c r="H177" s="2" t="e">
        <f ca="1">IF(INDIRECT(ADDRESS($A177,2,3,1,Menus!$K$10))=H$1,$D177,#N/A)</f>
        <v>#N/A</v>
      </c>
      <c r="I177" s="2" t="e">
        <f ca="1">IF(INDIRECT(ADDRESS($A177,2,3,1,Menus!$K$10))=I$1,$D177,#N/A)</f>
        <v>#N/A</v>
      </c>
      <c r="J177" s="2" t="e">
        <f ca="1">IF(INDIRECT(ADDRESS($A177,1,3,1,Menus!$K$10))=T(J$1),$D177,#N/A)</f>
        <v>#N/A</v>
      </c>
      <c r="K177" s="10">
        <f t="shared" ca="1" si="5"/>
        <v>0</v>
      </c>
      <c r="L177" s="2"/>
      <c r="M177" s="85">
        <f ca="1">OFFSET(INDIRECT(ADDRESS($A177,3,3,1,"Gross")),0,Menus!$J$4)</f>
        <v>0</v>
      </c>
      <c r="N177" s="85">
        <f ca="1">OFFSET(INDIRECT(ADDRESS($A177,3,3,1,"Gross")),0,Menus!$J$3)</f>
        <v>0</v>
      </c>
    </row>
    <row r="178" spans="1:14" x14ac:dyDescent="0.25">
      <c r="A178">
        <v>215</v>
      </c>
      <c r="B178" s="2">
        <f ca="1">OFFSET(INDIRECT(ADDRESS($A178,3,3,1,Menus!$K$10)),0,Menus!$J$4)</f>
        <v>0</v>
      </c>
      <c r="C178" s="2">
        <f ca="1">OFFSET(INDIRECT(ADDRESS($A178,3,3,1,Menus!$K$10)),0,Menus!$J$3)</f>
        <v>0</v>
      </c>
      <c r="D178" s="73" t="e">
        <f ca="1">IF(Menus!$J$9,C178/B178,C178)</f>
        <v>#DIV/0!</v>
      </c>
      <c r="E178" s="74" t="e">
        <f t="shared" ca="1" si="6"/>
        <v>#N/A</v>
      </c>
      <c r="F178" s="75">
        <f ca="1">INDIRECT(ADDRESS($A178,1,3,1,Menus!$K$10))</f>
        <v>0</v>
      </c>
      <c r="G178" s="2" t="e">
        <f ca="1">IF(INDIRECT(ADDRESS($A178,2,3,1,Menus!$K$10))=G$1,$D178,#N/A)</f>
        <v>#N/A</v>
      </c>
      <c r="H178" s="2" t="e">
        <f ca="1">IF(INDIRECT(ADDRESS($A178,2,3,1,Menus!$K$10))=H$1,$D178,#N/A)</f>
        <v>#N/A</v>
      </c>
      <c r="I178" s="2" t="e">
        <f ca="1">IF(INDIRECT(ADDRESS($A178,2,3,1,Menus!$K$10))=I$1,$D178,#N/A)</f>
        <v>#N/A</v>
      </c>
      <c r="J178" s="2" t="e">
        <f ca="1">IF(INDIRECT(ADDRESS($A178,1,3,1,Menus!$K$10))=T(J$1),$D178,#N/A)</f>
        <v>#N/A</v>
      </c>
      <c r="K178" s="10">
        <f t="shared" ca="1" si="5"/>
        <v>0</v>
      </c>
      <c r="L178" s="2"/>
      <c r="M178" s="85">
        <f ca="1">OFFSET(INDIRECT(ADDRESS($A178,3,3,1,"Gross")),0,Menus!$J$4)</f>
        <v>0</v>
      </c>
      <c r="N178" s="85">
        <f ca="1">OFFSET(INDIRECT(ADDRESS($A178,3,3,1,"Gross")),0,Menus!$J$3)</f>
        <v>0</v>
      </c>
    </row>
    <row r="179" spans="1:14" x14ac:dyDescent="0.25">
      <c r="A179">
        <v>216</v>
      </c>
      <c r="B179" s="2">
        <f ca="1">OFFSET(INDIRECT(ADDRESS($A179,3,3,1,Menus!$K$10)),0,Menus!$J$4)</f>
        <v>0</v>
      </c>
      <c r="C179" s="2">
        <f ca="1">OFFSET(INDIRECT(ADDRESS($A179,3,3,1,Menus!$K$10)),0,Menus!$J$3)</f>
        <v>0</v>
      </c>
      <c r="D179" s="73" t="e">
        <f ca="1">IF(Menus!$J$9,C179/B179,C179)</f>
        <v>#DIV/0!</v>
      </c>
      <c r="E179" s="74" t="e">
        <f t="shared" ca="1" si="6"/>
        <v>#N/A</v>
      </c>
      <c r="F179" s="75">
        <f ca="1">INDIRECT(ADDRESS($A179,1,3,1,Menus!$K$10))</f>
        <v>0</v>
      </c>
      <c r="G179" s="2" t="e">
        <f ca="1">IF(INDIRECT(ADDRESS($A179,2,3,1,Menus!$K$10))=G$1,$D179,#N/A)</f>
        <v>#N/A</v>
      </c>
      <c r="H179" s="2" t="e">
        <f ca="1">IF(INDIRECT(ADDRESS($A179,2,3,1,Menus!$K$10))=H$1,$D179,#N/A)</f>
        <v>#N/A</v>
      </c>
      <c r="I179" s="2" t="e">
        <f ca="1">IF(INDIRECT(ADDRESS($A179,2,3,1,Menus!$K$10))=I$1,$D179,#N/A)</f>
        <v>#N/A</v>
      </c>
      <c r="J179" s="2" t="e">
        <f ca="1">IF(INDIRECT(ADDRESS($A179,1,3,1,Menus!$K$10))=T(J$1),$D179,#N/A)</f>
        <v>#N/A</v>
      </c>
      <c r="K179" s="10">
        <f t="shared" ca="1" si="5"/>
        <v>0</v>
      </c>
      <c r="L179" s="2"/>
      <c r="M179" s="85">
        <f ca="1">OFFSET(INDIRECT(ADDRESS($A179,3,3,1,"Gross")),0,Menus!$J$4)</f>
        <v>0</v>
      </c>
      <c r="N179" s="85">
        <f ca="1">OFFSET(INDIRECT(ADDRESS($A179,3,3,1,"Gross")),0,Menus!$J$3)</f>
        <v>0</v>
      </c>
    </row>
    <row r="180" spans="1:14" x14ac:dyDescent="0.25">
      <c r="A180">
        <v>217</v>
      </c>
      <c r="B180" s="2">
        <f ca="1">OFFSET(INDIRECT(ADDRESS($A180,3,3,1,Menus!$K$10)),0,Menus!$J$4)</f>
        <v>0</v>
      </c>
      <c r="C180" s="2">
        <f ca="1">OFFSET(INDIRECT(ADDRESS($A180,3,3,1,Menus!$K$10)),0,Menus!$J$3)</f>
        <v>0</v>
      </c>
      <c r="D180" s="73" t="e">
        <f ca="1">IF(Menus!$J$9,C180/B180,C180)</f>
        <v>#DIV/0!</v>
      </c>
      <c r="E180" s="74" t="e">
        <f t="shared" ca="1" si="6"/>
        <v>#N/A</v>
      </c>
      <c r="F180" s="75">
        <f ca="1">INDIRECT(ADDRESS($A180,1,3,1,Menus!$K$10))</f>
        <v>0</v>
      </c>
      <c r="G180" s="2" t="e">
        <f ca="1">IF(INDIRECT(ADDRESS($A180,2,3,1,Menus!$K$10))=G$1,$D180,#N/A)</f>
        <v>#N/A</v>
      </c>
      <c r="H180" s="2" t="e">
        <f ca="1">IF(INDIRECT(ADDRESS($A180,2,3,1,Menus!$K$10))=H$1,$D180,#N/A)</f>
        <v>#N/A</v>
      </c>
      <c r="I180" s="2" t="e">
        <f ca="1">IF(INDIRECT(ADDRESS($A180,2,3,1,Menus!$K$10))=I$1,$D180,#N/A)</f>
        <v>#N/A</v>
      </c>
      <c r="J180" s="2" t="e">
        <f ca="1">IF(INDIRECT(ADDRESS($A180,1,3,1,Menus!$K$10))=T(J$1),$D180,#N/A)</f>
        <v>#N/A</v>
      </c>
      <c r="K180" s="10">
        <f t="shared" ca="1" si="5"/>
        <v>0</v>
      </c>
      <c r="L180" s="2"/>
      <c r="M180" s="85">
        <f ca="1">OFFSET(INDIRECT(ADDRESS($A180,3,3,1,"Gross")),0,Menus!$J$4)</f>
        <v>0</v>
      </c>
      <c r="N180" s="85">
        <f ca="1">OFFSET(INDIRECT(ADDRESS($A180,3,3,1,"Gross")),0,Menus!$J$3)</f>
        <v>0</v>
      </c>
    </row>
    <row r="181" spans="1:14" x14ac:dyDescent="0.25">
      <c r="A181">
        <v>218</v>
      </c>
      <c r="B181" s="2">
        <f ca="1">OFFSET(INDIRECT(ADDRESS($A181,3,3,1,Menus!$K$10)),0,Menus!$J$4)</f>
        <v>0</v>
      </c>
      <c r="C181" s="2">
        <f ca="1">OFFSET(INDIRECT(ADDRESS($A181,3,3,1,Menus!$K$10)),0,Menus!$J$3)</f>
        <v>0</v>
      </c>
      <c r="D181" s="73" t="e">
        <f ca="1">IF(Menus!$J$9,C181/B181,C181)</f>
        <v>#DIV/0!</v>
      </c>
      <c r="E181" s="74" t="e">
        <f t="shared" ca="1" si="6"/>
        <v>#N/A</v>
      </c>
      <c r="F181" s="75">
        <f ca="1">INDIRECT(ADDRESS($A181,1,3,1,Menus!$K$10))</f>
        <v>0</v>
      </c>
      <c r="G181" s="2" t="e">
        <f ca="1">IF(INDIRECT(ADDRESS($A181,2,3,1,Menus!$K$10))=G$1,$D181,#N/A)</f>
        <v>#N/A</v>
      </c>
      <c r="H181" s="2" t="e">
        <f ca="1">IF(INDIRECT(ADDRESS($A181,2,3,1,Menus!$K$10))=H$1,$D181,#N/A)</f>
        <v>#N/A</v>
      </c>
      <c r="I181" s="2" t="e">
        <f ca="1">IF(INDIRECT(ADDRESS($A181,2,3,1,Menus!$K$10))=I$1,$D181,#N/A)</f>
        <v>#N/A</v>
      </c>
      <c r="J181" s="2" t="e">
        <f ca="1">IF(INDIRECT(ADDRESS($A181,1,3,1,Menus!$K$10))=T(J$1),$D181,#N/A)</f>
        <v>#N/A</v>
      </c>
      <c r="K181" s="10">
        <f t="shared" ca="1" si="5"/>
        <v>0</v>
      </c>
      <c r="L181" s="2"/>
      <c r="M181" s="85">
        <f ca="1">OFFSET(INDIRECT(ADDRESS($A181,3,3,1,"Gross")),0,Menus!$J$4)</f>
        <v>0</v>
      </c>
      <c r="N181" s="85">
        <f ca="1">OFFSET(INDIRECT(ADDRESS($A181,3,3,1,"Gross")),0,Menus!$J$3)</f>
        <v>0</v>
      </c>
    </row>
    <row r="182" spans="1:14" x14ac:dyDescent="0.25">
      <c r="A182">
        <v>219</v>
      </c>
      <c r="B182" s="2">
        <f ca="1">OFFSET(INDIRECT(ADDRESS($A182,3,3,1,Menus!$K$10)),0,Menus!$J$4)</f>
        <v>0</v>
      </c>
      <c r="C182" s="2">
        <f ca="1">OFFSET(INDIRECT(ADDRESS($A182,3,3,1,Menus!$K$10)),0,Menus!$J$3)</f>
        <v>0</v>
      </c>
      <c r="D182" s="73" t="e">
        <f ca="1">IF(Menus!$J$9,C182/B182,C182)</f>
        <v>#DIV/0!</v>
      </c>
      <c r="E182" s="74" t="e">
        <f t="shared" ca="1" si="6"/>
        <v>#N/A</v>
      </c>
      <c r="F182" s="75">
        <f ca="1">INDIRECT(ADDRESS($A182,1,3,1,Menus!$K$10))</f>
        <v>0</v>
      </c>
      <c r="G182" s="2" t="e">
        <f ca="1">IF(INDIRECT(ADDRESS($A182,2,3,1,Menus!$K$10))=G$1,$D182,#N/A)</f>
        <v>#N/A</v>
      </c>
      <c r="H182" s="2" t="e">
        <f ca="1">IF(INDIRECT(ADDRESS($A182,2,3,1,Menus!$K$10))=H$1,$D182,#N/A)</f>
        <v>#N/A</v>
      </c>
      <c r="I182" s="2" t="e">
        <f ca="1">IF(INDIRECT(ADDRESS($A182,2,3,1,Menus!$K$10))=I$1,$D182,#N/A)</f>
        <v>#N/A</v>
      </c>
      <c r="J182" s="2" t="e">
        <f ca="1">IF(INDIRECT(ADDRESS($A182,1,3,1,Menus!$K$10))=T(J$1),$D182,#N/A)</f>
        <v>#N/A</v>
      </c>
      <c r="K182" s="10">
        <f t="shared" ca="1" si="5"/>
        <v>0</v>
      </c>
      <c r="L182" s="2"/>
      <c r="M182" s="85">
        <f ca="1">OFFSET(INDIRECT(ADDRESS($A182,3,3,1,"Gross")),0,Menus!$J$4)</f>
        <v>0</v>
      </c>
      <c r="N182" s="85">
        <f ca="1">OFFSET(INDIRECT(ADDRESS($A182,3,3,1,"Gross")),0,Menus!$J$3)</f>
        <v>0</v>
      </c>
    </row>
    <row r="183" spans="1:14" x14ac:dyDescent="0.25">
      <c r="A183">
        <v>220</v>
      </c>
      <c r="B183" s="2">
        <f ca="1">OFFSET(INDIRECT(ADDRESS($A183,3,3,1,Menus!$K$10)),0,Menus!$J$4)</f>
        <v>0</v>
      </c>
      <c r="C183" s="2">
        <f ca="1">OFFSET(INDIRECT(ADDRESS($A183,3,3,1,Menus!$K$10)),0,Menus!$J$3)</f>
        <v>0</v>
      </c>
      <c r="D183" s="73" t="e">
        <f ca="1">IF(Menus!$J$9,C183/B183,C183)</f>
        <v>#DIV/0!</v>
      </c>
      <c r="E183" s="74" t="e">
        <f t="shared" ca="1" si="6"/>
        <v>#N/A</v>
      </c>
      <c r="F183" s="75">
        <f ca="1">INDIRECT(ADDRESS($A183,1,3,1,Menus!$K$10))</f>
        <v>0</v>
      </c>
      <c r="G183" s="2" t="e">
        <f ca="1">IF(INDIRECT(ADDRESS($A183,2,3,1,Menus!$K$10))=G$1,$D183,#N/A)</f>
        <v>#N/A</v>
      </c>
      <c r="H183" s="2" t="e">
        <f ca="1">IF(INDIRECT(ADDRESS($A183,2,3,1,Menus!$K$10))=H$1,$D183,#N/A)</f>
        <v>#N/A</v>
      </c>
      <c r="I183" s="2" t="e">
        <f ca="1">IF(INDIRECT(ADDRESS($A183,2,3,1,Menus!$K$10))=I$1,$D183,#N/A)</f>
        <v>#N/A</v>
      </c>
      <c r="J183" s="2" t="e">
        <f ca="1">IF(INDIRECT(ADDRESS($A183,1,3,1,Menus!$K$10))=T(J$1),$D183,#N/A)</f>
        <v>#N/A</v>
      </c>
      <c r="K183" s="10">
        <f t="shared" ca="1" si="5"/>
        <v>0</v>
      </c>
      <c r="L183" s="2"/>
      <c r="M183" s="85">
        <f ca="1">OFFSET(INDIRECT(ADDRESS($A183,3,3,1,"Gross")),0,Menus!$J$4)</f>
        <v>0</v>
      </c>
      <c r="N183" s="85">
        <f ca="1">OFFSET(INDIRECT(ADDRESS($A183,3,3,1,"Gross")),0,Menus!$J$3)</f>
        <v>0</v>
      </c>
    </row>
    <row r="184" spans="1:14" x14ac:dyDescent="0.25">
      <c r="A184">
        <v>221</v>
      </c>
      <c r="B184" s="2">
        <f ca="1">OFFSET(INDIRECT(ADDRESS($A184,3,3,1,Menus!$K$10)),0,Menus!$J$4)</f>
        <v>0</v>
      </c>
      <c r="C184" s="2">
        <f ca="1">OFFSET(INDIRECT(ADDRESS($A184,3,3,1,Menus!$K$10)),0,Menus!$J$3)</f>
        <v>0</v>
      </c>
      <c r="D184" s="73" t="e">
        <f ca="1">IF(Menus!$J$9,C184/B184,C184)</f>
        <v>#DIV/0!</v>
      </c>
      <c r="E184" s="74" t="e">
        <f t="shared" ca="1" si="6"/>
        <v>#N/A</v>
      </c>
      <c r="F184" s="75">
        <f ca="1">INDIRECT(ADDRESS($A184,1,3,1,Menus!$K$10))</f>
        <v>0</v>
      </c>
      <c r="G184" s="2" t="e">
        <f ca="1">IF(INDIRECT(ADDRESS($A184,2,3,1,Menus!$K$10))=G$1,$D184,#N/A)</f>
        <v>#N/A</v>
      </c>
      <c r="H184" s="2" t="e">
        <f ca="1">IF(INDIRECT(ADDRESS($A184,2,3,1,Menus!$K$10))=H$1,$D184,#N/A)</f>
        <v>#N/A</v>
      </c>
      <c r="I184" s="2" t="e">
        <f ca="1">IF(INDIRECT(ADDRESS($A184,2,3,1,Menus!$K$10))=I$1,$D184,#N/A)</f>
        <v>#N/A</v>
      </c>
      <c r="J184" s="2" t="e">
        <f ca="1">IF(INDIRECT(ADDRESS($A184,1,3,1,Menus!$K$10))=T(J$1),$D184,#N/A)</f>
        <v>#N/A</v>
      </c>
      <c r="K184" s="10">
        <f t="shared" ca="1" si="5"/>
        <v>0</v>
      </c>
      <c r="L184" s="2"/>
      <c r="M184" s="85">
        <f ca="1">OFFSET(INDIRECT(ADDRESS($A184,3,3,1,"Gross")),0,Menus!$J$4)</f>
        <v>0</v>
      </c>
      <c r="N184" s="85">
        <f ca="1">OFFSET(INDIRECT(ADDRESS($A184,3,3,1,"Gross")),0,Menus!$J$3)</f>
        <v>0</v>
      </c>
    </row>
    <row r="185" spans="1:14" x14ac:dyDescent="0.25">
      <c r="A185">
        <v>222</v>
      </c>
      <c r="B185" s="2">
        <f ca="1">OFFSET(INDIRECT(ADDRESS($A185,3,3,1,Menus!$K$10)),0,Menus!$J$4)</f>
        <v>0</v>
      </c>
      <c r="C185" s="2">
        <f ca="1">OFFSET(INDIRECT(ADDRESS($A185,3,3,1,Menus!$K$10)),0,Menus!$J$3)</f>
        <v>0</v>
      </c>
      <c r="D185" s="73" t="e">
        <f ca="1">IF(Menus!$J$9,C185/B185,C185)</f>
        <v>#DIV/0!</v>
      </c>
      <c r="E185" s="74" t="e">
        <f t="shared" ca="1" si="6"/>
        <v>#N/A</v>
      </c>
      <c r="F185" s="75">
        <f ca="1">INDIRECT(ADDRESS($A185,1,3,1,Menus!$K$10))</f>
        <v>0</v>
      </c>
      <c r="G185" s="2" t="e">
        <f ca="1">IF(INDIRECT(ADDRESS($A185,2,3,1,Menus!$K$10))=G$1,$D185,#N/A)</f>
        <v>#N/A</v>
      </c>
      <c r="H185" s="2" t="e">
        <f ca="1">IF(INDIRECT(ADDRESS($A185,2,3,1,Menus!$K$10))=H$1,$D185,#N/A)</f>
        <v>#N/A</v>
      </c>
      <c r="I185" s="2" t="e">
        <f ca="1">IF(INDIRECT(ADDRESS($A185,2,3,1,Menus!$K$10))=I$1,$D185,#N/A)</f>
        <v>#N/A</v>
      </c>
      <c r="J185" s="2" t="e">
        <f ca="1">IF(INDIRECT(ADDRESS($A185,1,3,1,Menus!$K$10))=T(J$1),$D185,#N/A)</f>
        <v>#N/A</v>
      </c>
      <c r="K185" s="10">
        <f t="shared" ca="1" si="5"/>
        <v>0</v>
      </c>
      <c r="L185" s="2"/>
      <c r="M185" s="85">
        <f ca="1">OFFSET(INDIRECT(ADDRESS($A185,3,3,1,"Gross")),0,Menus!$J$4)</f>
        <v>0</v>
      </c>
      <c r="N185" s="85">
        <f ca="1">OFFSET(INDIRECT(ADDRESS($A185,3,3,1,"Gross")),0,Menus!$J$3)</f>
        <v>0</v>
      </c>
    </row>
    <row r="186" spans="1:14" x14ac:dyDescent="0.25">
      <c r="A186">
        <v>223</v>
      </c>
      <c r="B186" s="2">
        <f ca="1">OFFSET(INDIRECT(ADDRESS($A186,3,3,1,Menus!$K$10)),0,Menus!$J$4)</f>
        <v>0</v>
      </c>
      <c r="C186" s="2">
        <f ca="1">OFFSET(INDIRECT(ADDRESS($A186,3,3,1,Menus!$K$10)),0,Menus!$J$3)</f>
        <v>0</v>
      </c>
      <c r="D186" s="73" t="e">
        <f ca="1">IF(Menus!$J$9,C186/B186,C186)</f>
        <v>#DIV/0!</v>
      </c>
      <c r="E186" s="74" t="e">
        <f t="shared" ca="1" si="6"/>
        <v>#N/A</v>
      </c>
      <c r="F186" s="75">
        <f ca="1">INDIRECT(ADDRESS($A186,1,3,1,Menus!$K$10))</f>
        <v>0</v>
      </c>
      <c r="G186" s="2" t="e">
        <f ca="1">IF(INDIRECT(ADDRESS($A186,2,3,1,Menus!$K$10))=G$1,$D186,#N/A)</f>
        <v>#N/A</v>
      </c>
      <c r="H186" s="2" t="e">
        <f ca="1">IF(INDIRECT(ADDRESS($A186,2,3,1,Menus!$K$10))=H$1,$D186,#N/A)</f>
        <v>#N/A</v>
      </c>
      <c r="I186" s="2" t="e">
        <f ca="1">IF(INDIRECT(ADDRESS($A186,2,3,1,Menus!$K$10))=I$1,$D186,#N/A)</f>
        <v>#N/A</v>
      </c>
      <c r="J186" s="2" t="e">
        <f ca="1">IF(INDIRECT(ADDRESS($A186,1,3,1,Menus!$K$10))=T(J$1),$D186,#N/A)</f>
        <v>#N/A</v>
      </c>
      <c r="K186" s="10">
        <f t="shared" ca="1" si="5"/>
        <v>0</v>
      </c>
      <c r="L186" s="2"/>
      <c r="M186" s="85">
        <f ca="1">OFFSET(INDIRECT(ADDRESS($A186,3,3,1,"Gross")),0,Menus!$J$4)</f>
        <v>0</v>
      </c>
      <c r="N186" s="85">
        <f ca="1">OFFSET(INDIRECT(ADDRESS($A186,3,3,1,"Gross")),0,Menus!$J$3)</f>
        <v>0</v>
      </c>
    </row>
    <row r="187" spans="1:14" x14ac:dyDescent="0.25">
      <c r="A187">
        <v>224</v>
      </c>
      <c r="B187" s="2">
        <f ca="1">OFFSET(INDIRECT(ADDRESS($A187,3,3,1,Menus!$K$10)),0,Menus!$J$4)</f>
        <v>0</v>
      </c>
      <c r="C187" s="2">
        <f ca="1">OFFSET(INDIRECT(ADDRESS($A187,3,3,1,Menus!$K$10)),0,Menus!$J$3)</f>
        <v>0</v>
      </c>
      <c r="D187" s="73" t="e">
        <f ca="1">IF(Menus!$J$9,C187/B187,C187)</f>
        <v>#DIV/0!</v>
      </c>
      <c r="E187" s="74" t="e">
        <f t="shared" ca="1" si="6"/>
        <v>#N/A</v>
      </c>
      <c r="F187" s="75">
        <f ca="1">INDIRECT(ADDRESS($A187,1,3,1,Menus!$K$10))</f>
        <v>0</v>
      </c>
      <c r="G187" s="2" t="e">
        <f ca="1">IF(INDIRECT(ADDRESS($A187,2,3,1,Menus!$K$10))=G$1,$D187,#N/A)</f>
        <v>#N/A</v>
      </c>
      <c r="H187" s="2" t="e">
        <f ca="1">IF(INDIRECT(ADDRESS($A187,2,3,1,Menus!$K$10))=H$1,$D187,#N/A)</f>
        <v>#N/A</v>
      </c>
      <c r="I187" s="2" t="e">
        <f ca="1">IF(INDIRECT(ADDRESS($A187,2,3,1,Menus!$K$10))=I$1,$D187,#N/A)</f>
        <v>#N/A</v>
      </c>
      <c r="J187" s="2" t="e">
        <f ca="1">IF(INDIRECT(ADDRESS($A187,1,3,1,Menus!$K$10))=T(J$1),$D187,#N/A)</f>
        <v>#N/A</v>
      </c>
      <c r="K187" s="10">
        <f t="shared" ca="1" si="5"/>
        <v>0</v>
      </c>
      <c r="L187" s="2"/>
      <c r="M187" s="85">
        <f ca="1">OFFSET(INDIRECT(ADDRESS($A187,3,3,1,"Gross")),0,Menus!$J$4)</f>
        <v>0</v>
      </c>
      <c r="N187" s="85">
        <f ca="1">OFFSET(INDIRECT(ADDRESS($A187,3,3,1,"Gross")),0,Menus!$J$3)</f>
        <v>0</v>
      </c>
    </row>
    <row r="188" spans="1:14" x14ac:dyDescent="0.25">
      <c r="A188">
        <v>225</v>
      </c>
      <c r="B188" s="2">
        <f ca="1">OFFSET(INDIRECT(ADDRESS($A188,3,3,1,Menus!$K$10)),0,Menus!$J$4)</f>
        <v>0</v>
      </c>
      <c r="C188" s="2">
        <f ca="1">OFFSET(INDIRECT(ADDRESS($A188,3,3,1,Menus!$K$10)),0,Menus!$J$3)</f>
        <v>0</v>
      </c>
      <c r="D188" s="73" t="e">
        <f ca="1">IF(Menus!$J$9,C188/B188,C188)</f>
        <v>#DIV/0!</v>
      </c>
      <c r="E188" s="74" t="e">
        <f t="shared" ca="1" si="6"/>
        <v>#N/A</v>
      </c>
      <c r="F188" s="75">
        <f ca="1">INDIRECT(ADDRESS($A188,1,3,1,Menus!$K$10))</f>
        <v>0</v>
      </c>
      <c r="G188" s="2" t="e">
        <f ca="1">IF(INDIRECT(ADDRESS($A188,2,3,1,Menus!$K$10))=G$1,$D188,#N/A)</f>
        <v>#N/A</v>
      </c>
      <c r="H188" s="2" t="e">
        <f ca="1">IF(INDIRECT(ADDRESS($A188,2,3,1,Menus!$K$10))=H$1,$D188,#N/A)</f>
        <v>#N/A</v>
      </c>
      <c r="I188" s="2" t="e">
        <f ca="1">IF(INDIRECT(ADDRESS($A188,2,3,1,Menus!$K$10))=I$1,$D188,#N/A)</f>
        <v>#N/A</v>
      </c>
      <c r="J188" s="2" t="e">
        <f ca="1">IF(INDIRECT(ADDRESS($A188,1,3,1,Menus!$K$10))=T(J$1),$D188,#N/A)</f>
        <v>#N/A</v>
      </c>
      <c r="K188" s="10">
        <f t="shared" ca="1" si="5"/>
        <v>0</v>
      </c>
      <c r="L188" s="2"/>
      <c r="M188" s="85">
        <f ca="1">OFFSET(INDIRECT(ADDRESS($A188,3,3,1,"Gross")),0,Menus!$J$4)</f>
        <v>0</v>
      </c>
      <c r="N188" s="85">
        <f ca="1">OFFSET(INDIRECT(ADDRESS($A188,3,3,1,"Gross")),0,Menus!$J$3)</f>
        <v>0</v>
      </c>
    </row>
    <row r="189" spans="1:14" x14ac:dyDescent="0.25">
      <c r="A189">
        <v>226</v>
      </c>
      <c r="B189" s="2">
        <f ca="1">OFFSET(INDIRECT(ADDRESS($A189,3,3,1,Menus!$K$10)),0,Menus!$J$4)</f>
        <v>0</v>
      </c>
      <c r="C189" s="2">
        <f ca="1">OFFSET(INDIRECT(ADDRESS($A189,3,3,1,Menus!$K$10)),0,Menus!$J$3)</f>
        <v>0</v>
      </c>
      <c r="D189" s="73" t="e">
        <f ca="1">IF(Menus!$J$9,C189/B189,C189)</f>
        <v>#DIV/0!</v>
      </c>
      <c r="E189" s="74" t="e">
        <f t="shared" ca="1" si="6"/>
        <v>#N/A</v>
      </c>
      <c r="F189" s="75">
        <f ca="1">INDIRECT(ADDRESS($A189,1,3,1,Menus!$K$10))</f>
        <v>0</v>
      </c>
      <c r="G189" s="2" t="e">
        <f ca="1">IF(INDIRECT(ADDRESS($A189,2,3,1,Menus!$K$10))=G$1,$D189,#N/A)</f>
        <v>#N/A</v>
      </c>
      <c r="H189" s="2" t="e">
        <f ca="1">IF(INDIRECT(ADDRESS($A189,2,3,1,Menus!$K$10))=H$1,$D189,#N/A)</f>
        <v>#N/A</v>
      </c>
      <c r="I189" s="2" t="e">
        <f ca="1">IF(INDIRECT(ADDRESS($A189,2,3,1,Menus!$K$10))=I$1,$D189,#N/A)</f>
        <v>#N/A</v>
      </c>
      <c r="J189" s="2" t="e">
        <f ca="1">IF(INDIRECT(ADDRESS($A189,1,3,1,Menus!$K$10))=T(J$1),$D189,#N/A)</f>
        <v>#N/A</v>
      </c>
      <c r="K189" s="10">
        <f t="shared" ca="1" si="5"/>
        <v>0</v>
      </c>
      <c r="L189" s="2"/>
      <c r="M189" s="85">
        <f ca="1">OFFSET(INDIRECT(ADDRESS($A189,3,3,1,"Gross")),0,Menus!$J$4)</f>
        <v>0</v>
      </c>
      <c r="N189" s="85">
        <f ca="1">OFFSET(INDIRECT(ADDRESS($A189,3,3,1,"Gross")),0,Menus!$J$3)</f>
        <v>0</v>
      </c>
    </row>
    <row r="190" spans="1:14" x14ac:dyDescent="0.25">
      <c r="A190">
        <v>227</v>
      </c>
      <c r="B190" s="2">
        <f ca="1">OFFSET(INDIRECT(ADDRESS($A190,3,3,1,Menus!$K$10)),0,Menus!$J$4)</f>
        <v>0</v>
      </c>
      <c r="C190" s="2">
        <f ca="1">OFFSET(INDIRECT(ADDRESS($A190,3,3,1,Menus!$K$10)),0,Menus!$J$3)</f>
        <v>0</v>
      </c>
      <c r="D190" s="73" t="e">
        <f ca="1">IF(Menus!$J$9,C190/B190,C190)</f>
        <v>#DIV/0!</v>
      </c>
      <c r="E190" s="74" t="e">
        <f t="shared" ca="1" si="6"/>
        <v>#N/A</v>
      </c>
      <c r="F190" s="75">
        <f ca="1">INDIRECT(ADDRESS($A190,1,3,1,Menus!$K$10))</f>
        <v>0</v>
      </c>
      <c r="G190" s="2" t="e">
        <f ca="1">IF(INDIRECT(ADDRESS($A190,2,3,1,Menus!$K$10))=G$1,$D190,#N/A)</f>
        <v>#N/A</v>
      </c>
      <c r="H190" s="2" t="e">
        <f ca="1">IF(INDIRECT(ADDRESS($A190,2,3,1,Menus!$K$10))=H$1,$D190,#N/A)</f>
        <v>#N/A</v>
      </c>
      <c r="I190" s="2" t="e">
        <f ca="1">IF(INDIRECT(ADDRESS($A190,2,3,1,Menus!$K$10))=I$1,$D190,#N/A)</f>
        <v>#N/A</v>
      </c>
      <c r="J190" s="2" t="e">
        <f ca="1">IF(INDIRECT(ADDRESS($A190,1,3,1,Menus!$K$10))=T(J$1),$D190,#N/A)</f>
        <v>#N/A</v>
      </c>
      <c r="K190" s="10">
        <f t="shared" ca="1" si="5"/>
        <v>0</v>
      </c>
      <c r="L190" s="2"/>
      <c r="M190" s="85">
        <f ca="1">OFFSET(INDIRECT(ADDRESS($A190,3,3,1,"Gross")),0,Menus!$J$4)</f>
        <v>0</v>
      </c>
      <c r="N190" s="85">
        <f ca="1">OFFSET(INDIRECT(ADDRESS($A190,3,3,1,"Gross")),0,Menus!$J$3)</f>
        <v>0</v>
      </c>
    </row>
    <row r="191" spans="1:14" x14ac:dyDescent="0.25">
      <c r="A191">
        <v>228</v>
      </c>
      <c r="B191" s="2">
        <f ca="1">OFFSET(INDIRECT(ADDRESS($A191,3,3,1,Menus!$K$10)),0,Menus!$J$4)</f>
        <v>0</v>
      </c>
      <c r="C191" s="2">
        <f ca="1">OFFSET(INDIRECT(ADDRESS($A191,3,3,1,Menus!$K$10)),0,Menus!$J$3)</f>
        <v>0</v>
      </c>
      <c r="D191" s="73" t="e">
        <f ca="1">IF(Menus!$J$9,C191/B191,C191)</f>
        <v>#DIV/0!</v>
      </c>
      <c r="E191" s="74" t="e">
        <f t="shared" ca="1" si="6"/>
        <v>#N/A</v>
      </c>
      <c r="F191" s="75">
        <f ca="1">INDIRECT(ADDRESS($A191,1,3,1,Menus!$K$10))</f>
        <v>0</v>
      </c>
      <c r="G191" s="2" t="e">
        <f ca="1">IF(INDIRECT(ADDRESS($A191,2,3,1,Menus!$K$10))=G$1,$D191,#N/A)</f>
        <v>#N/A</v>
      </c>
      <c r="H191" s="2" t="e">
        <f ca="1">IF(INDIRECT(ADDRESS($A191,2,3,1,Menus!$K$10))=H$1,$D191,#N/A)</f>
        <v>#N/A</v>
      </c>
      <c r="I191" s="2" t="e">
        <f ca="1">IF(INDIRECT(ADDRESS($A191,2,3,1,Menus!$K$10))=I$1,$D191,#N/A)</f>
        <v>#N/A</v>
      </c>
      <c r="J191" s="2" t="e">
        <f ca="1">IF(INDIRECT(ADDRESS($A191,1,3,1,Menus!$K$10))=T(J$1),$D191,#N/A)</f>
        <v>#N/A</v>
      </c>
      <c r="K191" s="10">
        <f t="shared" ca="1" si="5"/>
        <v>0</v>
      </c>
      <c r="L191" s="2"/>
      <c r="M191" s="85">
        <f ca="1">OFFSET(INDIRECT(ADDRESS($A191,3,3,1,"Gross")),0,Menus!$J$4)</f>
        <v>0</v>
      </c>
      <c r="N191" s="85">
        <f ca="1">OFFSET(INDIRECT(ADDRESS($A191,3,3,1,"Gross")),0,Menus!$J$3)</f>
        <v>0</v>
      </c>
    </row>
    <row r="192" spans="1:14" x14ac:dyDescent="0.25">
      <c r="A192">
        <v>229</v>
      </c>
      <c r="B192" s="2">
        <f ca="1">OFFSET(INDIRECT(ADDRESS($A192,3,3,1,Menus!$K$10)),0,Menus!$J$4)</f>
        <v>0</v>
      </c>
      <c r="C192" s="2">
        <f ca="1">OFFSET(INDIRECT(ADDRESS($A192,3,3,1,Menus!$K$10)),0,Menus!$J$3)</f>
        <v>0</v>
      </c>
      <c r="D192" s="73" t="e">
        <f ca="1">IF(Menus!$J$9,C192/B192,C192)</f>
        <v>#DIV/0!</v>
      </c>
      <c r="E192" s="74" t="e">
        <f t="shared" ca="1" si="6"/>
        <v>#N/A</v>
      </c>
      <c r="F192" s="75">
        <f ca="1">INDIRECT(ADDRESS($A192,1,3,1,Menus!$K$10))</f>
        <v>0</v>
      </c>
      <c r="G192" s="2" t="e">
        <f ca="1">IF(INDIRECT(ADDRESS($A192,2,3,1,Menus!$K$10))=G$1,$D192,#N/A)</f>
        <v>#N/A</v>
      </c>
      <c r="H192" s="2" t="e">
        <f ca="1">IF(INDIRECT(ADDRESS($A192,2,3,1,Menus!$K$10))=H$1,$D192,#N/A)</f>
        <v>#N/A</v>
      </c>
      <c r="I192" s="2" t="e">
        <f ca="1">IF(INDIRECT(ADDRESS($A192,2,3,1,Menus!$K$10))=I$1,$D192,#N/A)</f>
        <v>#N/A</v>
      </c>
      <c r="J192" s="2" t="e">
        <f ca="1">IF(INDIRECT(ADDRESS($A192,1,3,1,Menus!$K$10))=T(J$1),$D192,#N/A)</f>
        <v>#N/A</v>
      </c>
      <c r="K192" s="10">
        <f t="shared" ca="1" si="5"/>
        <v>0</v>
      </c>
      <c r="L192" s="2"/>
      <c r="M192" s="85">
        <f ca="1">OFFSET(INDIRECT(ADDRESS($A192,3,3,1,"Gross")),0,Menus!$J$4)</f>
        <v>0</v>
      </c>
      <c r="N192" s="85">
        <f ca="1">OFFSET(INDIRECT(ADDRESS($A192,3,3,1,"Gross")),0,Menus!$J$3)</f>
        <v>0</v>
      </c>
    </row>
    <row r="193" spans="1:14" x14ac:dyDescent="0.25">
      <c r="A193">
        <v>230</v>
      </c>
      <c r="B193" s="2">
        <f ca="1">OFFSET(INDIRECT(ADDRESS($A193,3,3,1,Menus!$K$10)),0,Menus!$J$4)</f>
        <v>0</v>
      </c>
      <c r="C193" s="2">
        <f ca="1">OFFSET(INDIRECT(ADDRESS($A193,3,3,1,Menus!$K$10)),0,Menus!$J$3)</f>
        <v>0</v>
      </c>
      <c r="D193" s="73" t="e">
        <f ca="1">IF(Menus!$J$9,C193/B193,C193)</f>
        <v>#DIV/0!</v>
      </c>
      <c r="E193" s="74" t="e">
        <f t="shared" ca="1" si="6"/>
        <v>#N/A</v>
      </c>
      <c r="F193" s="75">
        <f ca="1">INDIRECT(ADDRESS($A193,1,3,1,Menus!$K$10))</f>
        <v>0</v>
      </c>
      <c r="G193" s="2" t="e">
        <f ca="1">IF(INDIRECT(ADDRESS($A193,2,3,1,Menus!$K$10))=G$1,$D193,#N/A)</f>
        <v>#N/A</v>
      </c>
      <c r="H193" s="2" t="e">
        <f ca="1">IF(INDIRECT(ADDRESS($A193,2,3,1,Menus!$K$10))=H$1,$D193,#N/A)</f>
        <v>#N/A</v>
      </c>
      <c r="I193" s="2" t="e">
        <f ca="1">IF(INDIRECT(ADDRESS($A193,2,3,1,Menus!$K$10))=I$1,$D193,#N/A)</f>
        <v>#N/A</v>
      </c>
      <c r="J193" s="2" t="e">
        <f ca="1">IF(INDIRECT(ADDRESS($A193,1,3,1,Menus!$K$10))=T(J$1),$D193,#N/A)</f>
        <v>#N/A</v>
      </c>
      <c r="K193" s="10">
        <f t="shared" ca="1" si="5"/>
        <v>0</v>
      </c>
      <c r="L193" s="2"/>
      <c r="M193" s="85">
        <f ca="1">OFFSET(INDIRECT(ADDRESS($A193,3,3,1,"Gross")),0,Menus!$J$4)</f>
        <v>0</v>
      </c>
      <c r="N193" s="85">
        <f ca="1">OFFSET(INDIRECT(ADDRESS($A193,3,3,1,"Gross")),0,Menus!$J$3)</f>
        <v>0</v>
      </c>
    </row>
    <row r="194" spans="1:14" x14ac:dyDescent="0.25">
      <c r="A194">
        <v>231</v>
      </c>
      <c r="B194" s="2">
        <f ca="1">OFFSET(INDIRECT(ADDRESS($A194,3,3,1,Menus!$K$10)),0,Menus!$J$4)</f>
        <v>0</v>
      </c>
      <c r="C194" s="2">
        <f ca="1">OFFSET(INDIRECT(ADDRESS($A194,3,3,1,Menus!$K$10)),0,Menus!$J$3)</f>
        <v>0</v>
      </c>
      <c r="D194" s="73" t="e">
        <f ca="1">IF(Menus!$J$9,C194/B194,C194)</f>
        <v>#DIV/0!</v>
      </c>
      <c r="E194" s="74" t="e">
        <f t="shared" ca="1" si="6"/>
        <v>#N/A</v>
      </c>
      <c r="F194" s="75">
        <f ca="1">INDIRECT(ADDRESS($A194,1,3,1,Menus!$K$10))</f>
        <v>0</v>
      </c>
      <c r="G194" s="2" t="e">
        <f ca="1">IF(INDIRECT(ADDRESS($A194,2,3,1,Menus!$K$10))=G$1,$D194,#N/A)</f>
        <v>#N/A</v>
      </c>
      <c r="H194" s="2" t="e">
        <f ca="1">IF(INDIRECT(ADDRESS($A194,2,3,1,Menus!$K$10))=H$1,$D194,#N/A)</f>
        <v>#N/A</v>
      </c>
      <c r="I194" s="2" t="e">
        <f ca="1">IF(INDIRECT(ADDRESS($A194,2,3,1,Menus!$K$10))=I$1,$D194,#N/A)</f>
        <v>#N/A</v>
      </c>
      <c r="J194" s="2" t="e">
        <f ca="1">IF(INDIRECT(ADDRESS($A194,1,3,1,Menus!$K$10))=T(J$1),$D194,#N/A)</f>
        <v>#N/A</v>
      </c>
      <c r="K194" s="10">
        <f t="shared" ref="K194:K257" ca="1" si="7">IF(OR(ISNUMBER($G194),ISNUMBER($H194),ISNUMBER($I194),ISNUMBER($J194)),1,0)</f>
        <v>0</v>
      </c>
      <c r="L194" s="2"/>
      <c r="M194" s="85">
        <f ca="1">OFFSET(INDIRECT(ADDRESS($A194,3,3,1,"Gross")),0,Menus!$J$4)</f>
        <v>0</v>
      </c>
      <c r="N194" s="85">
        <f ca="1">OFFSET(INDIRECT(ADDRESS($A194,3,3,1,"Gross")),0,Menus!$J$3)</f>
        <v>0</v>
      </c>
    </row>
    <row r="195" spans="1:14" x14ac:dyDescent="0.25">
      <c r="A195">
        <v>232</v>
      </c>
      <c r="B195" s="2">
        <f ca="1">OFFSET(INDIRECT(ADDRESS($A195,3,3,1,Menus!$K$10)),0,Menus!$J$4)</f>
        <v>0</v>
      </c>
      <c r="C195" s="2">
        <f ca="1">OFFSET(INDIRECT(ADDRESS($A195,3,3,1,Menus!$K$10)),0,Menus!$J$3)</f>
        <v>0</v>
      </c>
      <c r="D195" s="73" t="e">
        <f ca="1">IF(Menus!$J$9,C195/B195,C195)</f>
        <v>#DIV/0!</v>
      </c>
      <c r="E195" s="74" t="e">
        <f t="shared" ref="E195:E258" ca="1" si="8">IF($K195=1,VALUE(B195),#N/A)</f>
        <v>#N/A</v>
      </c>
      <c r="F195" s="75">
        <f ca="1">INDIRECT(ADDRESS($A195,1,3,1,Menus!$K$10))</f>
        <v>0</v>
      </c>
      <c r="G195" s="2" t="e">
        <f ca="1">IF(INDIRECT(ADDRESS($A195,2,3,1,Menus!$K$10))=G$1,$D195,#N/A)</f>
        <v>#N/A</v>
      </c>
      <c r="H195" s="2" t="e">
        <f ca="1">IF(INDIRECT(ADDRESS($A195,2,3,1,Menus!$K$10))=H$1,$D195,#N/A)</f>
        <v>#N/A</v>
      </c>
      <c r="I195" s="2" t="e">
        <f ca="1">IF(INDIRECT(ADDRESS($A195,2,3,1,Menus!$K$10))=I$1,$D195,#N/A)</f>
        <v>#N/A</v>
      </c>
      <c r="J195" s="2" t="e">
        <f ca="1">IF(INDIRECT(ADDRESS($A195,1,3,1,Menus!$K$10))=T(J$1),$D195,#N/A)</f>
        <v>#N/A</v>
      </c>
      <c r="K195" s="10">
        <f t="shared" ca="1" si="7"/>
        <v>0</v>
      </c>
      <c r="L195" s="2"/>
      <c r="M195" s="85">
        <f ca="1">OFFSET(INDIRECT(ADDRESS($A195,3,3,1,"Gross")),0,Menus!$J$4)</f>
        <v>0</v>
      </c>
      <c r="N195" s="85">
        <f ca="1">OFFSET(INDIRECT(ADDRESS($A195,3,3,1,"Gross")),0,Menus!$J$3)</f>
        <v>0</v>
      </c>
    </row>
    <row r="196" spans="1:14" x14ac:dyDescent="0.25">
      <c r="A196">
        <v>233</v>
      </c>
      <c r="B196" s="2">
        <f ca="1">OFFSET(INDIRECT(ADDRESS($A196,3,3,1,Menus!$K$10)),0,Menus!$J$4)</f>
        <v>0</v>
      </c>
      <c r="C196" s="2">
        <f ca="1">OFFSET(INDIRECT(ADDRESS($A196,3,3,1,Menus!$K$10)),0,Menus!$J$3)</f>
        <v>0</v>
      </c>
      <c r="D196" s="73" t="e">
        <f ca="1">IF(Menus!$J$9,C196/B196,C196)</f>
        <v>#DIV/0!</v>
      </c>
      <c r="E196" s="74" t="e">
        <f t="shared" ca="1" si="8"/>
        <v>#N/A</v>
      </c>
      <c r="F196" s="75">
        <f ca="1">INDIRECT(ADDRESS($A196,1,3,1,Menus!$K$10))</f>
        <v>0</v>
      </c>
      <c r="G196" s="2" t="e">
        <f ca="1">IF(INDIRECT(ADDRESS($A196,2,3,1,Menus!$K$10))=G$1,$D196,#N/A)</f>
        <v>#N/A</v>
      </c>
      <c r="H196" s="2" t="e">
        <f ca="1">IF(INDIRECT(ADDRESS($A196,2,3,1,Menus!$K$10))=H$1,$D196,#N/A)</f>
        <v>#N/A</v>
      </c>
      <c r="I196" s="2" t="e">
        <f ca="1">IF(INDIRECT(ADDRESS($A196,2,3,1,Menus!$K$10))=I$1,$D196,#N/A)</f>
        <v>#N/A</v>
      </c>
      <c r="J196" s="2" t="e">
        <f ca="1">IF(INDIRECT(ADDRESS($A196,1,3,1,Menus!$K$10))=T(J$1),$D196,#N/A)</f>
        <v>#N/A</v>
      </c>
      <c r="K196" s="10">
        <f t="shared" ca="1" si="7"/>
        <v>0</v>
      </c>
      <c r="L196" s="2"/>
      <c r="M196" s="85">
        <f ca="1">OFFSET(INDIRECT(ADDRESS($A196,3,3,1,"Gross")),0,Menus!$J$4)</f>
        <v>0</v>
      </c>
      <c r="N196" s="85">
        <f ca="1">OFFSET(INDIRECT(ADDRESS($A196,3,3,1,"Gross")),0,Menus!$J$3)</f>
        <v>0</v>
      </c>
    </row>
    <row r="197" spans="1:14" x14ac:dyDescent="0.25">
      <c r="A197">
        <v>234</v>
      </c>
      <c r="B197" s="2">
        <f ca="1">OFFSET(INDIRECT(ADDRESS($A197,3,3,1,Menus!$K$10)),0,Menus!$J$4)</f>
        <v>0</v>
      </c>
      <c r="C197" s="2">
        <f ca="1">OFFSET(INDIRECT(ADDRESS($A197,3,3,1,Menus!$K$10)),0,Menus!$J$3)</f>
        <v>0</v>
      </c>
      <c r="D197" s="73" t="e">
        <f ca="1">IF(Menus!$J$9,C197/B197,C197)</f>
        <v>#DIV/0!</v>
      </c>
      <c r="E197" s="74" t="e">
        <f t="shared" ca="1" si="8"/>
        <v>#N/A</v>
      </c>
      <c r="F197" s="75">
        <f ca="1">INDIRECT(ADDRESS($A197,1,3,1,Menus!$K$10))</f>
        <v>0</v>
      </c>
      <c r="G197" s="2" t="e">
        <f ca="1">IF(INDIRECT(ADDRESS($A197,2,3,1,Menus!$K$10))=G$1,$D197,#N/A)</f>
        <v>#N/A</v>
      </c>
      <c r="H197" s="2" t="e">
        <f ca="1">IF(INDIRECT(ADDRESS($A197,2,3,1,Menus!$K$10))=H$1,$D197,#N/A)</f>
        <v>#N/A</v>
      </c>
      <c r="I197" s="2" t="e">
        <f ca="1">IF(INDIRECT(ADDRESS($A197,2,3,1,Menus!$K$10))=I$1,$D197,#N/A)</f>
        <v>#N/A</v>
      </c>
      <c r="J197" s="2" t="e">
        <f ca="1">IF(INDIRECT(ADDRESS($A197,1,3,1,Menus!$K$10))=T(J$1),$D197,#N/A)</f>
        <v>#N/A</v>
      </c>
      <c r="K197" s="10">
        <f t="shared" ca="1" si="7"/>
        <v>0</v>
      </c>
      <c r="L197" s="2"/>
      <c r="M197" s="85">
        <f ca="1">OFFSET(INDIRECT(ADDRESS($A197,3,3,1,"Gross")),0,Menus!$J$4)</f>
        <v>0</v>
      </c>
      <c r="N197" s="85">
        <f ca="1">OFFSET(INDIRECT(ADDRESS($A197,3,3,1,"Gross")),0,Menus!$J$3)</f>
        <v>0</v>
      </c>
    </row>
    <row r="198" spans="1:14" x14ac:dyDescent="0.25">
      <c r="A198">
        <v>235</v>
      </c>
      <c r="B198" s="2">
        <f ca="1">OFFSET(INDIRECT(ADDRESS($A198,3,3,1,Menus!$K$10)),0,Menus!$J$4)</f>
        <v>0</v>
      </c>
      <c r="C198" s="2">
        <f ca="1">OFFSET(INDIRECT(ADDRESS($A198,3,3,1,Menus!$K$10)),0,Menus!$J$3)</f>
        <v>0</v>
      </c>
      <c r="D198" s="73" t="e">
        <f ca="1">IF(Menus!$J$9,C198/B198,C198)</f>
        <v>#DIV/0!</v>
      </c>
      <c r="E198" s="74" t="e">
        <f t="shared" ca="1" si="8"/>
        <v>#N/A</v>
      </c>
      <c r="F198" s="75">
        <f ca="1">INDIRECT(ADDRESS($A198,1,3,1,Menus!$K$10))</f>
        <v>0</v>
      </c>
      <c r="G198" s="2" t="e">
        <f ca="1">IF(INDIRECT(ADDRESS($A198,2,3,1,Menus!$K$10))=G$1,$D198,#N/A)</f>
        <v>#N/A</v>
      </c>
      <c r="H198" s="2" t="e">
        <f ca="1">IF(INDIRECT(ADDRESS($A198,2,3,1,Menus!$K$10))=H$1,$D198,#N/A)</f>
        <v>#N/A</v>
      </c>
      <c r="I198" s="2" t="e">
        <f ca="1">IF(INDIRECT(ADDRESS($A198,2,3,1,Menus!$K$10))=I$1,$D198,#N/A)</f>
        <v>#N/A</v>
      </c>
      <c r="J198" s="2" t="e">
        <f ca="1">IF(INDIRECT(ADDRESS($A198,1,3,1,Menus!$K$10))=T(J$1),$D198,#N/A)</f>
        <v>#N/A</v>
      </c>
      <c r="K198" s="10">
        <f t="shared" ca="1" si="7"/>
        <v>0</v>
      </c>
      <c r="L198" s="2"/>
      <c r="M198" s="85">
        <f ca="1">OFFSET(INDIRECT(ADDRESS($A198,3,3,1,"Gross")),0,Menus!$J$4)</f>
        <v>0</v>
      </c>
      <c r="N198" s="85">
        <f ca="1">OFFSET(INDIRECT(ADDRESS($A198,3,3,1,"Gross")),0,Menus!$J$3)</f>
        <v>0</v>
      </c>
    </row>
    <row r="199" spans="1:14" x14ac:dyDescent="0.25">
      <c r="A199">
        <v>236</v>
      </c>
      <c r="B199" s="2">
        <f ca="1">OFFSET(INDIRECT(ADDRESS($A199,3,3,1,Menus!$K$10)),0,Menus!$J$4)</f>
        <v>0</v>
      </c>
      <c r="C199" s="2">
        <f ca="1">OFFSET(INDIRECT(ADDRESS($A199,3,3,1,Menus!$K$10)),0,Menus!$J$3)</f>
        <v>0</v>
      </c>
      <c r="D199" s="73" t="e">
        <f ca="1">IF(Menus!$J$9,C199/B199,C199)</f>
        <v>#DIV/0!</v>
      </c>
      <c r="E199" s="74" t="e">
        <f t="shared" ca="1" si="8"/>
        <v>#N/A</v>
      </c>
      <c r="F199" s="75">
        <f ca="1">INDIRECT(ADDRESS($A199,1,3,1,Menus!$K$10))</f>
        <v>0</v>
      </c>
      <c r="G199" s="2" t="e">
        <f ca="1">IF(INDIRECT(ADDRESS($A199,2,3,1,Menus!$K$10))=G$1,$D199,#N/A)</f>
        <v>#N/A</v>
      </c>
      <c r="H199" s="2" t="e">
        <f ca="1">IF(INDIRECT(ADDRESS($A199,2,3,1,Menus!$K$10))=H$1,$D199,#N/A)</f>
        <v>#N/A</v>
      </c>
      <c r="I199" s="2" t="e">
        <f ca="1">IF(INDIRECT(ADDRESS($A199,2,3,1,Menus!$K$10))=I$1,$D199,#N/A)</f>
        <v>#N/A</v>
      </c>
      <c r="J199" s="2" t="e">
        <f ca="1">IF(INDIRECT(ADDRESS($A199,1,3,1,Menus!$K$10))=T(J$1),$D199,#N/A)</f>
        <v>#N/A</v>
      </c>
      <c r="K199" s="10">
        <f t="shared" ca="1" si="7"/>
        <v>0</v>
      </c>
      <c r="L199" s="2"/>
      <c r="M199" s="85">
        <f ca="1">OFFSET(INDIRECT(ADDRESS($A199,3,3,1,"Gross")),0,Menus!$J$4)</f>
        <v>0</v>
      </c>
      <c r="N199" s="85">
        <f ca="1">OFFSET(INDIRECT(ADDRESS($A199,3,3,1,"Gross")),0,Menus!$J$3)</f>
        <v>0</v>
      </c>
    </row>
    <row r="200" spans="1:14" x14ac:dyDescent="0.25">
      <c r="A200">
        <v>237</v>
      </c>
      <c r="B200" s="2">
        <f ca="1">OFFSET(INDIRECT(ADDRESS($A200,3,3,1,Menus!$K$10)),0,Menus!$J$4)</f>
        <v>0</v>
      </c>
      <c r="C200" s="2">
        <f ca="1">OFFSET(INDIRECT(ADDRESS($A200,3,3,1,Menus!$K$10)),0,Menus!$J$3)</f>
        <v>0</v>
      </c>
      <c r="D200" s="73" t="e">
        <f ca="1">IF(Menus!$J$9,C200/B200,C200)</f>
        <v>#DIV/0!</v>
      </c>
      <c r="E200" s="74" t="e">
        <f t="shared" ca="1" si="8"/>
        <v>#N/A</v>
      </c>
      <c r="F200" s="75">
        <f ca="1">INDIRECT(ADDRESS($A200,1,3,1,Menus!$K$10))</f>
        <v>0</v>
      </c>
      <c r="G200" s="2" t="e">
        <f ca="1">IF(INDIRECT(ADDRESS($A200,2,3,1,Menus!$K$10))=G$1,$D200,#N/A)</f>
        <v>#N/A</v>
      </c>
      <c r="H200" s="2" t="e">
        <f ca="1">IF(INDIRECT(ADDRESS($A200,2,3,1,Menus!$K$10))=H$1,$D200,#N/A)</f>
        <v>#N/A</v>
      </c>
      <c r="I200" s="2" t="e">
        <f ca="1">IF(INDIRECT(ADDRESS($A200,2,3,1,Menus!$K$10))=I$1,$D200,#N/A)</f>
        <v>#N/A</v>
      </c>
      <c r="J200" s="2" t="e">
        <f ca="1">IF(INDIRECT(ADDRESS($A200,1,3,1,Menus!$K$10))=T(J$1),$D200,#N/A)</f>
        <v>#N/A</v>
      </c>
      <c r="K200" s="10">
        <f t="shared" ca="1" si="7"/>
        <v>0</v>
      </c>
      <c r="L200" s="2"/>
      <c r="M200" s="85">
        <f ca="1">OFFSET(INDIRECT(ADDRESS($A200,3,3,1,"Gross")),0,Menus!$J$4)</f>
        <v>0</v>
      </c>
      <c r="N200" s="85">
        <f ca="1">OFFSET(INDIRECT(ADDRESS($A200,3,3,1,"Gross")),0,Menus!$J$3)</f>
        <v>0</v>
      </c>
    </row>
    <row r="201" spans="1:14" x14ac:dyDescent="0.25">
      <c r="A201">
        <v>238</v>
      </c>
      <c r="B201" s="2">
        <f ca="1">OFFSET(INDIRECT(ADDRESS($A201,3,3,1,Menus!$K$10)),0,Menus!$J$4)</f>
        <v>0</v>
      </c>
      <c r="C201" s="2">
        <f ca="1">OFFSET(INDIRECT(ADDRESS($A201,3,3,1,Menus!$K$10)),0,Menus!$J$3)</f>
        <v>0</v>
      </c>
      <c r="D201" s="73" t="e">
        <f ca="1">IF(Menus!$J$9,C201/B201,C201)</f>
        <v>#DIV/0!</v>
      </c>
      <c r="E201" s="74" t="e">
        <f t="shared" ca="1" si="8"/>
        <v>#N/A</v>
      </c>
      <c r="F201" s="75">
        <f ca="1">INDIRECT(ADDRESS($A201,1,3,1,Menus!$K$10))</f>
        <v>0</v>
      </c>
      <c r="G201" s="2" t="e">
        <f ca="1">IF(INDIRECT(ADDRESS($A201,2,3,1,Menus!$K$10))=G$1,$D201,#N/A)</f>
        <v>#N/A</v>
      </c>
      <c r="H201" s="2" t="e">
        <f ca="1">IF(INDIRECT(ADDRESS($A201,2,3,1,Menus!$K$10))=H$1,$D201,#N/A)</f>
        <v>#N/A</v>
      </c>
      <c r="I201" s="2" t="e">
        <f ca="1">IF(INDIRECT(ADDRESS($A201,2,3,1,Menus!$K$10))=I$1,$D201,#N/A)</f>
        <v>#N/A</v>
      </c>
      <c r="J201" s="2" t="e">
        <f ca="1">IF(INDIRECT(ADDRESS($A201,1,3,1,Menus!$K$10))=T(J$1),$D201,#N/A)</f>
        <v>#N/A</v>
      </c>
      <c r="K201" s="10">
        <f t="shared" ca="1" si="7"/>
        <v>0</v>
      </c>
      <c r="L201" s="2"/>
      <c r="M201" s="85">
        <f ca="1">OFFSET(INDIRECT(ADDRESS($A201,3,3,1,"Gross")),0,Menus!$J$4)</f>
        <v>0</v>
      </c>
      <c r="N201" s="85">
        <f ca="1">OFFSET(INDIRECT(ADDRESS($A201,3,3,1,"Gross")),0,Menus!$J$3)</f>
        <v>0</v>
      </c>
    </row>
    <row r="202" spans="1:14" x14ac:dyDescent="0.25">
      <c r="A202">
        <v>239</v>
      </c>
      <c r="B202" s="2">
        <f ca="1">OFFSET(INDIRECT(ADDRESS($A202,3,3,1,Menus!$K$10)),0,Menus!$J$4)</f>
        <v>0</v>
      </c>
      <c r="C202" s="2">
        <f ca="1">OFFSET(INDIRECT(ADDRESS($A202,3,3,1,Menus!$K$10)),0,Menus!$J$3)</f>
        <v>0</v>
      </c>
      <c r="D202" s="73" t="e">
        <f ca="1">IF(Menus!$J$9,C202/B202,C202)</f>
        <v>#DIV/0!</v>
      </c>
      <c r="E202" s="74" t="e">
        <f t="shared" ca="1" si="8"/>
        <v>#N/A</v>
      </c>
      <c r="F202" s="75">
        <f ca="1">INDIRECT(ADDRESS($A202,1,3,1,Menus!$K$10))</f>
        <v>0</v>
      </c>
      <c r="G202" s="2" t="e">
        <f ca="1">IF(INDIRECT(ADDRESS($A202,2,3,1,Menus!$K$10))=G$1,$D202,#N/A)</f>
        <v>#N/A</v>
      </c>
      <c r="H202" s="2" t="e">
        <f ca="1">IF(INDIRECT(ADDRESS($A202,2,3,1,Menus!$K$10))=H$1,$D202,#N/A)</f>
        <v>#N/A</v>
      </c>
      <c r="I202" s="2" t="e">
        <f ca="1">IF(INDIRECT(ADDRESS($A202,2,3,1,Menus!$K$10))=I$1,$D202,#N/A)</f>
        <v>#N/A</v>
      </c>
      <c r="J202" s="2" t="e">
        <f ca="1">IF(INDIRECT(ADDRESS($A202,1,3,1,Menus!$K$10))=T(J$1),$D202,#N/A)</f>
        <v>#N/A</v>
      </c>
      <c r="K202" s="10">
        <f t="shared" ca="1" si="7"/>
        <v>0</v>
      </c>
      <c r="L202" s="2"/>
      <c r="M202" s="85">
        <f ca="1">OFFSET(INDIRECT(ADDRESS($A202,3,3,1,"Gross")),0,Menus!$J$4)</f>
        <v>0</v>
      </c>
      <c r="N202" s="85">
        <f ca="1">OFFSET(INDIRECT(ADDRESS($A202,3,3,1,"Gross")),0,Menus!$J$3)</f>
        <v>0</v>
      </c>
    </row>
    <row r="203" spans="1:14" x14ac:dyDescent="0.25">
      <c r="A203">
        <v>240</v>
      </c>
      <c r="B203" s="2">
        <f ca="1">OFFSET(INDIRECT(ADDRESS($A203,3,3,1,Menus!$K$10)),0,Menus!$J$4)</f>
        <v>0</v>
      </c>
      <c r="C203" s="2">
        <f ca="1">OFFSET(INDIRECT(ADDRESS($A203,3,3,1,Menus!$K$10)),0,Menus!$J$3)</f>
        <v>0</v>
      </c>
      <c r="D203" s="73" t="e">
        <f ca="1">IF(Menus!$J$9,C203/B203,C203)</f>
        <v>#DIV/0!</v>
      </c>
      <c r="E203" s="74" t="e">
        <f t="shared" ca="1" si="8"/>
        <v>#N/A</v>
      </c>
      <c r="F203" s="75">
        <f ca="1">INDIRECT(ADDRESS($A203,1,3,1,Menus!$K$10))</f>
        <v>0</v>
      </c>
      <c r="G203" s="2" t="e">
        <f ca="1">IF(INDIRECT(ADDRESS($A203,2,3,1,Menus!$K$10))=G$1,$D203,#N/A)</f>
        <v>#N/A</v>
      </c>
      <c r="H203" s="2" t="e">
        <f ca="1">IF(INDIRECT(ADDRESS($A203,2,3,1,Menus!$K$10))=H$1,$D203,#N/A)</f>
        <v>#N/A</v>
      </c>
      <c r="I203" s="2" t="e">
        <f ca="1">IF(INDIRECT(ADDRESS($A203,2,3,1,Menus!$K$10))=I$1,$D203,#N/A)</f>
        <v>#N/A</v>
      </c>
      <c r="J203" s="2" t="e">
        <f ca="1">IF(INDIRECT(ADDRESS($A203,1,3,1,Menus!$K$10))=T(J$1),$D203,#N/A)</f>
        <v>#N/A</v>
      </c>
      <c r="K203" s="10">
        <f t="shared" ca="1" si="7"/>
        <v>0</v>
      </c>
      <c r="L203" s="2"/>
      <c r="M203" s="85">
        <f ca="1">OFFSET(INDIRECT(ADDRESS($A203,3,3,1,"Gross")),0,Menus!$J$4)</f>
        <v>0</v>
      </c>
      <c r="N203" s="85">
        <f ca="1">OFFSET(INDIRECT(ADDRESS($A203,3,3,1,"Gross")),0,Menus!$J$3)</f>
        <v>0</v>
      </c>
    </row>
    <row r="204" spans="1:14" x14ac:dyDescent="0.25">
      <c r="A204">
        <v>241</v>
      </c>
      <c r="B204" s="2">
        <f ca="1">OFFSET(INDIRECT(ADDRESS($A204,3,3,1,Menus!$K$10)),0,Menus!$J$4)</f>
        <v>0</v>
      </c>
      <c r="C204" s="2">
        <f ca="1">OFFSET(INDIRECT(ADDRESS($A204,3,3,1,Menus!$K$10)),0,Menus!$J$3)</f>
        <v>0</v>
      </c>
      <c r="D204" s="73" t="e">
        <f ca="1">IF(Menus!$J$9,C204/B204,C204)</f>
        <v>#DIV/0!</v>
      </c>
      <c r="E204" s="74" t="e">
        <f t="shared" ca="1" si="8"/>
        <v>#N/A</v>
      </c>
      <c r="F204" s="75">
        <f ca="1">INDIRECT(ADDRESS($A204,1,3,1,Menus!$K$10))</f>
        <v>0</v>
      </c>
      <c r="G204" s="2" t="e">
        <f ca="1">IF(INDIRECT(ADDRESS($A204,2,3,1,Menus!$K$10))=G$1,$D204,#N/A)</f>
        <v>#N/A</v>
      </c>
      <c r="H204" s="2" t="e">
        <f ca="1">IF(INDIRECT(ADDRESS($A204,2,3,1,Menus!$K$10))=H$1,$D204,#N/A)</f>
        <v>#N/A</v>
      </c>
      <c r="I204" s="2" t="e">
        <f ca="1">IF(INDIRECT(ADDRESS($A204,2,3,1,Menus!$K$10))=I$1,$D204,#N/A)</f>
        <v>#N/A</v>
      </c>
      <c r="J204" s="2" t="e">
        <f ca="1">IF(INDIRECT(ADDRESS($A204,1,3,1,Menus!$K$10))=T(J$1),$D204,#N/A)</f>
        <v>#N/A</v>
      </c>
      <c r="K204" s="10">
        <f t="shared" ca="1" si="7"/>
        <v>0</v>
      </c>
      <c r="L204" s="2"/>
      <c r="M204" s="85">
        <f ca="1">OFFSET(INDIRECT(ADDRESS($A204,3,3,1,"Gross")),0,Menus!$J$4)</f>
        <v>0</v>
      </c>
      <c r="N204" s="85">
        <f ca="1">OFFSET(INDIRECT(ADDRESS($A204,3,3,1,"Gross")),0,Menus!$J$3)</f>
        <v>0</v>
      </c>
    </row>
    <row r="205" spans="1:14" x14ac:dyDescent="0.25">
      <c r="A205">
        <v>242</v>
      </c>
      <c r="B205" s="2">
        <f ca="1">OFFSET(INDIRECT(ADDRESS($A205,3,3,1,Menus!$K$10)),0,Menus!$J$4)</f>
        <v>0</v>
      </c>
      <c r="C205" s="2">
        <f ca="1">OFFSET(INDIRECT(ADDRESS($A205,3,3,1,Menus!$K$10)),0,Menus!$J$3)</f>
        <v>0</v>
      </c>
      <c r="D205" s="73" t="e">
        <f ca="1">IF(Menus!$J$9,C205/B205,C205)</f>
        <v>#DIV/0!</v>
      </c>
      <c r="E205" s="74" t="e">
        <f t="shared" ca="1" si="8"/>
        <v>#N/A</v>
      </c>
      <c r="F205" s="75">
        <f ca="1">INDIRECT(ADDRESS($A205,1,3,1,Menus!$K$10))</f>
        <v>0</v>
      </c>
      <c r="G205" s="2" t="e">
        <f ca="1">IF(INDIRECT(ADDRESS($A205,2,3,1,Menus!$K$10))=G$1,$D205,#N/A)</f>
        <v>#N/A</v>
      </c>
      <c r="H205" s="2" t="e">
        <f ca="1">IF(INDIRECT(ADDRESS($A205,2,3,1,Menus!$K$10))=H$1,$D205,#N/A)</f>
        <v>#N/A</v>
      </c>
      <c r="I205" s="2" t="e">
        <f ca="1">IF(INDIRECT(ADDRESS($A205,2,3,1,Menus!$K$10))=I$1,$D205,#N/A)</f>
        <v>#N/A</v>
      </c>
      <c r="J205" s="2" t="e">
        <f ca="1">IF(INDIRECT(ADDRESS($A205,1,3,1,Menus!$K$10))=T(J$1),$D205,#N/A)</f>
        <v>#N/A</v>
      </c>
      <c r="K205" s="10">
        <f t="shared" ca="1" si="7"/>
        <v>0</v>
      </c>
      <c r="L205" s="2"/>
      <c r="M205" s="85">
        <f ca="1">OFFSET(INDIRECT(ADDRESS($A205,3,3,1,"Gross")),0,Menus!$J$4)</f>
        <v>0</v>
      </c>
      <c r="N205" s="85">
        <f ca="1">OFFSET(INDIRECT(ADDRESS($A205,3,3,1,"Gross")),0,Menus!$J$3)</f>
        <v>0</v>
      </c>
    </row>
    <row r="206" spans="1:14" x14ac:dyDescent="0.25">
      <c r="A206">
        <v>243</v>
      </c>
      <c r="B206" s="2">
        <f ca="1">OFFSET(INDIRECT(ADDRESS($A206,3,3,1,Menus!$K$10)),0,Menus!$J$4)</f>
        <v>0</v>
      </c>
      <c r="C206" s="2">
        <f ca="1">OFFSET(INDIRECT(ADDRESS($A206,3,3,1,Menus!$K$10)),0,Menus!$J$3)</f>
        <v>0</v>
      </c>
      <c r="D206" s="73" t="e">
        <f ca="1">IF(Menus!$J$9,C206/B206,C206)</f>
        <v>#DIV/0!</v>
      </c>
      <c r="E206" s="74" t="e">
        <f t="shared" ca="1" si="8"/>
        <v>#N/A</v>
      </c>
      <c r="F206" s="75">
        <f ca="1">INDIRECT(ADDRESS($A206,1,3,1,Menus!$K$10))</f>
        <v>0</v>
      </c>
      <c r="G206" s="2" t="e">
        <f ca="1">IF(INDIRECT(ADDRESS($A206,2,3,1,Menus!$K$10))=G$1,$D206,#N/A)</f>
        <v>#N/A</v>
      </c>
      <c r="H206" s="2" t="e">
        <f ca="1">IF(INDIRECT(ADDRESS($A206,2,3,1,Menus!$K$10))=H$1,$D206,#N/A)</f>
        <v>#N/A</v>
      </c>
      <c r="I206" s="2" t="e">
        <f ca="1">IF(INDIRECT(ADDRESS($A206,2,3,1,Menus!$K$10))=I$1,$D206,#N/A)</f>
        <v>#N/A</v>
      </c>
      <c r="J206" s="2" t="e">
        <f ca="1">IF(INDIRECT(ADDRESS($A206,1,3,1,Menus!$K$10))=T(J$1),$D206,#N/A)</f>
        <v>#N/A</v>
      </c>
      <c r="K206" s="10">
        <f t="shared" ca="1" si="7"/>
        <v>0</v>
      </c>
      <c r="L206" s="2"/>
      <c r="M206" s="85">
        <f ca="1">OFFSET(INDIRECT(ADDRESS($A206,3,3,1,"Gross")),0,Menus!$J$4)</f>
        <v>0</v>
      </c>
      <c r="N206" s="85">
        <f ca="1">OFFSET(INDIRECT(ADDRESS($A206,3,3,1,"Gross")),0,Menus!$J$3)</f>
        <v>0</v>
      </c>
    </row>
    <row r="207" spans="1:14" x14ac:dyDescent="0.25">
      <c r="A207">
        <v>244</v>
      </c>
      <c r="B207" s="2">
        <f ca="1">OFFSET(INDIRECT(ADDRESS($A207,3,3,1,Menus!$K$10)),0,Menus!$J$4)</f>
        <v>0</v>
      </c>
      <c r="C207" s="2">
        <f ca="1">OFFSET(INDIRECT(ADDRESS($A207,3,3,1,Menus!$K$10)),0,Menus!$J$3)</f>
        <v>0</v>
      </c>
      <c r="D207" s="73" t="e">
        <f ca="1">IF(Menus!$J$9,C207/B207,C207)</f>
        <v>#DIV/0!</v>
      </c>
      <c r="E207" s="74" t="e">
        <f t="shared" ca="1" si="8"/>
        <v>#N/A</v>
      </c>
      <c r="F207" s="75">
        <f ca="1">INDIRECT(ADDRESS($A207,1,3,1,Menus!$K$10))</f>
        <v>0</v>
      </c>
      <c r="G207" s="2" t="e">
        <f ca="1">IF(INDIRECT(ADDRESS($A207,2,3,1,Menus!$K$10))=G$1,$D207,#N/A)</f>
        <v>#N/A</v>
      </c>
      <c r="H207" s="2" t="e">
        <f ca="1">IF(INDIRECT(ADDRESS($A207,2,3,1,Menus!$K$10))=H$1,$D207,#N/A)</f>
        <v>#N/A</v>
      </c>
      <c r="I207" s="2" t="e">
        <f ca="1">IF(INDIRECT(ADDRESS($A207,2,3,1,Menus!$K$10))=I$1,$D207,#N/A)</f>
        <v>#N/A</v>
      </c>
      <c r="J207" s="2" t="e">
        <f ca="1">IF(INDIRECT(ADDRESS($A207,1,3,1,Menus!$K$10))=T(J$1),$D207,#N/A)</f>
        <v>#N/A</v>
      </c>
      <c r="K207" s="10">
        <f t="shared" ca="1" si="7"/>
        <v>0</v>
      </c>
      <c r="L207" s="2"/>
      <c r="M207" s="85">
        <f ca="1">OFFSET(INDIRECT(ADDRESS($A207,3,3,1,"Gross")),0,Menus!$J$4)</f>
        <v>0</v>
      </c>
      <c r="N207" s="85">
        <f ca="1">OFFSET(INDIRECT(ADDRESS($A207,3,3,1,"Gross")),0,Menus!$J$3)</f>
        <v>0</v>
      </c>
    </row>
    <row r="208" spans="1:14" x14ac:dyDescent="0.25">
      <c r="A208">
        <v>245</v>
      </c>
      <c r="B208" s="2">
        <f ca="1">OFFSET(INDIRECT(ADDRESS($A208,3,3,1,Menus!$K$10)),0,Menus!$J$4)</f>
        <v>0</v>
      </c>
      <c r="C208" s="2">
        <f ca="1">OFFSET(INDIRECT(ADDRESS($A208,3,3,1,Menus!$K$10)),0,Menus!$J$3)</f>
        <v>0</v>
      </c>
      <c r="D208" s="73" t="e">
        <f ca="1">IF(Menus!$J$9,C208/B208,C208)</f>
        <v>#DIV/0!</v>
      </c>
      <c r="E208" s="74" t="e">
        <f t="shared" ca="1" si="8"/>
        <v>#N/A</v>
      </c>
      <c r="F208" s="75">
        <f ca="1">INDIRECT(ADDRESS($A208,1,3,1,Menus!$K$10))</f>
        <v>0</v>
      </c>
      <c r="G208" s="2" t="e">
        <f ca="1">IF(INDIRECT(ADDRESS($A208,2,3,1,Menus!$K$10))=G$1,$D208,#N/A)</f>
        <v>#N/A</v>
      </c>
      <c r="H208" s="2" t="e">
        <f ca="1">IF(INDIRECT(ADDRESS($A208,2,3,1,Menus!$K$10))=H$1,$D208,#N/A)</f>
        <v>#N/A</v>
      </c>
      <c r="I208" s="2" t="e">
        <f ca="1">IF(INDIRECT(ADDRESS($A208,2,3,1,Menus!$K$10))=I$1,$D208,#N/A)</f>
        <v>#N/A</v>
      </c>
      <c r="J208" s="2" t="e">
        <f ca="1">IF(INDIRECT(ADDRESS($A208,1,3,1,Menus!$K$10))=T(J$1),$D208,#N/A)</f>
        <v>#N/A</v>
      </c>
      <c r="K208" s="10">
        <f t="shared" ca="1" si="7"/>
        <v>0</v>
      </c>
      <c r="L208" s="2"/>
      <c r="M208" s="85">
        <f ca="1">OFFSET(INDIRECT(ADDRESS($A208,3,3,1,"Gross")),0,Menus!$J$4)</f>
        <v>0</v>
      </c>
      <c r="N208" s="85">
        <f ca="1">OFFSET(INDIRECT(ADDRESS($A208,3,3,1,"Gross")),0,Menus!$J$3)</f>
        <v>0</v>
      </c>
    </row>
    <row r="209" spans="1:14" x14ac:dyDescent="0.25">
      <c r="A209">
        <v>246</v>
      </c>
      <c r="B209" s="2">
        <f ca="1">OFFSET(INDIRECT(ADDRESS($A209,3,3,1,Menus!$K$10)),0,Menus!$J$4)</f>
        <v>0</v>
      </c>
      <c r="C209" s="2">
        <f ca="1">OFFSET(INDIRECT(ADDRESS($A209,3,3,1,Menus!$K$10)),0,Menus!$J$3)</f>
        <v>0</v>
      </c>
      <c r="D209" s="73" t="e">
        <f ca="1">IF(Menus!$J$9,C209/B209,C209)</f>
        <v>#DIV/0!</v>
      </c>
      <c r="E209" s="74" t="e">
        <f t="shared" ca="1" si="8"/>
        <v>#N/A</v>
      </c>
      <c r="F209" s="75">
        <f ca="1">INDIRECT(ADDRESS($A209,1,3,1,Menus!$K$10))</f>
        <v>0</v>
      </c>
      <c r="G209" s="2" t="e">
        <f ca="1">IF(INDIRECT(ADDRESS($A209,2,3,1,Menus!$K$10))=G$1,$D209,#N/A)</f>
        <v>#N/A</v>
      </c>
      <c r="H209" s="2" t="e">
        <f ca="1">IF(INDIRECT(ADDRESS($A209,2,3,1,Menus!$K$10))=H$1,$D209,#N/A)</f>
        <v>#N/A</v>
      </c>
      <c r="I209" s="2" t="e">
        <f ca="1">IF(INDIRECT(ADDRESS($A209,2,3,1,Menus!$K$10))=I$1,$D209,#N/A)</f>
        <v>#N/A</v>
      </c>
      <c r="J209" s="2" t="e">
        <f ca="1">IF(INDIRECT(ADDRESS($A209,1,3,1,Menus!$K$10))=T(J$1),$D209,#N/A)</f>
        <v>#N/A</v>
      </c>
      <c r="K209" s="10">
        <f t="shared" ca="1" si="7"/>
        <v>0</v>
      </c>
      <c r="L209" s="2"/>
      <c r="M209" s="85">
        <f ca="1">OFFSET(INDIRECT(ADDRESS($A209,3,3,1,"Gross")),0,Menus!$J$4)</f>
        <v>0</v>
      </c>
      <c r="N209" s="85">
        <f ca="1">OFFSET(INDIRECT(ADDRESS($A209,3,3,1,"Gross")),0,Menus!$J$3)</f>
        <v>0</v>
      </c>
    </row>
    <row r="210" spans="1:14" x14ac:dyDescent="0.25">
      <c r="A210">
        <v>247</v>
      </c>
      <c r="B210" s="2">
        <f ca="1">OFFSET(INDIRECT(ADDRESS($A210,3,3,1,Menus!$K$10)),0,Menus!$J$4)</f>
        <v>0</v>
      </c>
      <c r="C210" s="2">
        <f ca="1">OFFSET(INDIRECT(ADDRESS($A210,3,3,1,Menus!$K$10)),0,Menus!$J$3)</f>
        <v>0</v>
      </c>
      <c r="D210" s="73" t="e">
        <f ca="1">IF(Menus!$J$9,C210/B210,C210)</f>
        <v>#DIV/0!</v>
      </c>
      <c r="E210" s="74" t="e">
        <f t="shared" ca="1" si="8"/>
        <v>#N/A</v>
      </c>
      <c r="F210" s="75">
        <f ca="1">INDIRECT(ADDRESS($A210,1,3,1,Menus!$K$10))</f>
        <v>0</v>
      </c>
      <c r="G210" s="2" t="e">
        <f ca="1">IF(INDIRECT(ADDRESS($A210,2,3,1,Menus!$K$10))=G$1,$D210,#N/A)</f>
        <v>#N/A</v>
      </c>
      <c r="H210" s="2" t="e">
        <f ca="1">IF(INDIRECT(ADDRESS($A210,2,3,1,Menus!$K$10))=H$1,$D210,#N/A)</f>
        <v>#N/A</v>
      </c>
      <c r="I210" s="2" t="e">
        <f ca="1">IF(INDIRECT(ADDRESS($A210,2,3,1,Menus!$K$10))=I$1,$D210,#N/A)</f>
        <v>#N/A</v>
      </c>
      <c r="J210" s="2" t="e">
        <f ca="1">IF(INDIRECT(ADDRESS($A210,1,3,1,Menus!$K$10))=T(J$1),$D210,#N/A)</f>
        <v>#N/A</v>
      </c>
      <c r="K210" s="10">
        <f t="shared" ca="1" si="7"/>
        <v>0</v>
      </c>
      <c r="L210" s="2"/>
      <c r="M210" s="85">
        <f ca="1">OFFSET(INDIRECT(ADDRESS($A210,3,3,1,"Gross")),0,Menus!$J$4)</f>
        <v>0</v>
      </c>
      <c r="N210" s="85">
        <f ca="1">OFFSET(INDIRECT(ADDRESS($A210,3,3,1,"Gross")),0,Menus!$J$3)</f>
        <v>0</v>
      </c>
    </row>
    <row r="211" spans="1:14" x14ac:dyDescent="0.25">
      <c r="A211">
        <v>248</v>
      </c>
      <c r="B211" s="2">
        <f ca="1">OFFSET(INDIRECT(ADDRESS($A211,3,3,1,Menus!$K$10)),0,Menus!$J$4)</f>
        <v>0</v>
      </c>
      <c r="C211" s="2">
        <f ca="1">OFFSET(INDIRECT(ADDRESS($A211,3,3,1,Menus!$K$10)),0,Menus!$J$3)</f>
        <v>0</v>
      </c>
      <c r="D211" s="73" t="e">
        <f ca="1">IF(Menus!$J$9,C211/B211,C211)</f>
        <v>#DIV/0!</v>
      </c>
      <c r="E211" s="74" t="e">
        <f t="shared" ca="1" si="8"/>
        <v>#N/A</v>
      </c>
      <c r="F211" s="75">
        <f ca="1">INDIRECT(ADDRESS($A211,1,3,1,Menus!$K$10))</f>
        <v>0</v>
      </c>
      <c r="G211" s="2" t="e">
        <f ca="1">IF(INDIRECT(ADDRESS($A211,2,3,1,Menus!$K$10))=G$1,$D211,#N/A)</f>
        <v>#N/A</v>
      </c>
      <c r="H211" s="2" t="e">
        <f ca="1">IF(INDIRECT(ADDRESS($A211,2,3,1,Menus!$K$10))=H$1,$D211,#N/A)</f>
        <v>#N/A</v>
      </c>
      <c r="I211" s="2" t="e">
        <f ca="1">IF(INDIRECT(ADDRESS($A211,2,3,1,Menus!$K$10))=I$1,$D211,#N/A)</f>
        <v>#N/A</v>
      </c>
      <c r="J211" s="2" t="e">
        <f ca="1">IF(INDIRECT(ADDRESS($A211,1,3,1,Menus!$K$10))=T(J$1),$D211,#N/A)</f>
        <v>#N/A</v>
      </c>
      <c r="K211" s="10">
        <f t="shared" ca="1" si="7"/>
        <v>0</v>
      </c>
      <c r="L211" s="2"/>
      <c r="M211" s="85">
        <f ca="1">OFFSET(INDIRECT(ADDRESS($A211,3,3,1,"Gross")),0,Menus!$J$4)</f>
        <v>0</v>
      </c>
      <c r="N211" s="85">
        <f ca="1">OFFSET(INDIRECT(ADDRESS($A211,3,3,1,"Gross")),0,Menus!$J$3)</f>
        <v>0</v>
      </c>
    </row>
    <row r="212" spans="1:14" x14ac:dyDescent="0.25">
      <c r="A212">
        <v>249</v>
      </c>
      <c r="B212" s="2">
        <f ca="1">OFFSET(INDIRECT(ADDRESS($A212,3,3,1,Menus!$K$10)),0,Menus!$J$4)</f>
        <v>0</v>
      </c>
      <c r="C212" s="2">
        <f ca="1">OFFSET(INDIRECT(ADDRESS($A212,3,3,1,Menus!$K$10)),0,Menus!$J$3)</f>
        <v>0</v>
      </c>
      <c r="D212" s="73" t="e">
        <f ca="1">IF(Menus!$J$9,C212/B212,C212)</f>
        <v>#DIV/0!</v>
      </c>
      <c r="E212" s="74" t="e">
        <f t="shared" ca="1" si="8"/>
        <v>#N/A</v>
      </c>
      <c r="F212" s="75">
        <f ca="1">INDIRECT(ADDRESS($A212,1,3,1,Menus!$K$10))</f>
        <v>0</v>
      </c>
      <c r="G212" s="2" t="e">
        <f ca="1">IF(INDIRECT(ADDRESS($A212,2,3,1,Menus!$K$10))=G$1,$D212,#N/A)</f>
        <v>#N/A</v>
      </c>
      <c r="H212" s="2" t="e">
        <f ca="1">IF(INDIRECT(ADDRESS($A212,2,3,1,Menus!$K$10))=H$1,$D212,#N/A)</f>
        <v>#N/A</v>
      </c>
      <c r="I212" s="2" t="e">
        <f ca="1">IF(INDIRECT(ADDRESS($A212,2,3,1,Menus!$K$10))=I$1,$D212,#N/A)</f>
        <v>#N/A</v>
      </c>
      <c r="J212" s="2" t="e">
        <f ca="1">IF(INDIRECT(ADDRESS($A212,1,3,1,Menus!$K$10))=T(J$1),$D212,#N/A)</f>
        <v>#N/A</v>
      </c>
      <c r="K212" s="10">
        <f t="shared" ca="1" si="7"/>
        <v>0</v>
      </c>
      <c r="L212" s="2"/>
      <c r="M212" s="85">
        <f ca="1">OFFSET(INDIRECT(ADDRESS($A212,3,3,1,"Gross")),0,Menus!$J$4)</f>
        <v>0</v>
      </c>
      <c r="N212" s="85">
        <f ca="1">OFFSET(INDIRECT(ADDRESS($A212,3,3,1,"Gross")),0,Menus!$J$3)</f>
        <v>0</v>
      </c>
    </row>
    <row r="213" spans="1:14" x14ac:dyDescent="0.25">
      <c r="A213">
        <v>250</v>
      </c>
      <c r="B213" s="2">
        <f ca="1">OFFSET(INDIRECT(ADDRESS($A213,3,3,1,Menus!$K$10)),0,Menus!$J$4)</f>
        <v>0</v>
      </c>
      <c r="C213" s="2">
        <f ca="1">OFFSET(INDIRECT(ADDRESS($A213,3,3,1,Menus!$K$10)),0,Menus!$J$3)</f>
        <v>0</v>
      </c>
      <c r="D213" s="73" t="e">
        <f ca="1">IF(Menus!$J$9,C213/B213,C213)</f>
        <v>#DIV/0!</v>
      </c>
      <c r="E213" s="74" t="e">
        <f t="shared" ca="1" si="8"/>
        <v>#N/A</v>
      </c>
      <c r="F213" s="75">
        <f ca="1">INDIRECT(ADDRESS($A213,1,3,1,Menus!$K$10))</f>
        <v>0</v>
      </c>
      <c r="G213" s="2" t="e">
        <f ca="1">IF(INDIRECT(ADDRESS($A213,2,3,1,Menus!$K$10))=G$1,$D213,#N/A)</f>
        <v>#N/A</v>
      </c>
      <c r="H213" s="2" t="e">
        <f ca="1">IF(INDIRECT(ADDRESS($A213,2,3,1,Menus!$K$10))=H$1,$D213,#N/A)</f>
        <v>#N/A</v>
      </c>
      <c r="I213" s="2" t="e">
        <f ca="1">IF(INDIRECT(ADDRESS($A213,2,3,1,Menus!$K$10))=I$1,$D213,#N/A)</f>
        <v>#N/A</v>
      </c>
      <c r="J213" s="2" t="e">
        <f ca="1">IF(INDIRECT(ADDRESS($A213,1,3,1,Menus!$K$10))=T(J$1),$D213,#N/A)</f>
        <v>#N/A</v>
      </c>
      <c r="K213" s="10">
        <f t="shared" ca="1" si="7"/>
        <v>0</v>
      </c>
      <c r="L213" s="2"/>
      <c r="M213" s="85">
        <f ca="1">OFFSET(INDIRECT(ADDRESS($A213,3,3,1,"Gross")),0,Menus!$J$4)</f>
        <v>0</v>
      </c>
      <c r="N213" s="85">
        <f ca="1">OFFSET(INDIRECT(ADDRESS($A213,3,3,1,"Gross")),0,Menus!$J$3)</f>
        <v>0</v>
      </c>
    </row>
    <row r="214" spans="1:14" x14ac:dyDescent="0.25">
      <c r="A214">
        <v>251</v>
      </c>
      <c r="B214" s="2">
        <f ca="1">OFFSET(INDIRECT(ADDRESS($A214,3,3,1,Menus!$K$10)),0,Menus!$J$4)</f>
        <v>0</v>
      </c>
      <c r="C214" s="2">
        <f ca="1">OFFSET(INDIRECT(ADDRESS($A214,3,3,1,Menus!$K$10)),0,Menus!$J$3)</f>
        <v>0</v>
      </c>
      <c r="D214" s="73" t="e">
        <f ca="1">IF(Menus!$J$9,C214/B214,C214)</f>
        <v>#DIV/0!</v>
      </c>
      <c r="E214" s="74" t="e">
        <f t="shared" ca="1" si="8"/>
        <v>#N/A</v>
      </c>
      <c r="F214" s="75">
        <f ca="1">INDIRECT(ADDRESS($A214,1,3,1,Menus!$K$10))</f>
        <v>0</v>
      </c>
      <c r="G214" s="2" t="e">
        <f ca="1">IF(INDIRECT(ADDRESS($A214,2,3,1,Menus!$K$10))=G$1,$D214,#N/A)</f>
        <v>#N/A</v>
      </c>
      <c r="H214" s="2" t="e">
        <f ca="1">IF(INDIRECT(ADDRESS($A214,2,3,1,Menus!$K$10))=H$1,$D214,#N/A)</f>
        <v>#N/A</v>
      </c>
      <c r="I214" s="2" t="e">
        <f ca="1">IF(INDIRECT(ADDRESS($A214,2,3,1,Menus!$K$10))=I$1,$D214,#N/A)</f>
        <v>#N/A</v>
      </c>
      <c r="J214" s="2" t="e">
        <f ca="1">IF(INDIRECT(ADDRESS($A214,1,3,1,Menus!$K$10))=T(J$1),$D214,#N/A)</f>
        <v>#N/A</v>
      </c>
      <c r="K214" s="10">
        <f t="shared" ca="1" si="7"/>
        <v>0</v>
      </c>
      <c r="L214" s="2"/>
      <c r="M214" s="85">
        <f ca="1">OFFSET(INDIRECT(ADDRESS($A214,3,3,1,"Gross")),0,Menus!$J$4)</f>
        <v>0</v>
      </c>
      <c r="N214" s="85">
        <f ca="1">OFFSET(INDIRECT(ADDRESS($A214,3,3,1,"Gross")),0,Menus!$J$3)</f>
        <v>0</v>
      </c>
    </row>
    <row r="215" spans="1:14" x14ac:dyDescent="0.25">
      <c r="A215">
        <v>252</v>
      </c>
      <c r="B215" s="2">
        <f ca="1">OFFSET(INDIRECT(ADDRESS($A215,3,3,1,Menus!$K$10)),0,Menus!$J$4)</f>
        <v>0</v>
      </c>
      <c r="C215" s="2">
        <f ca="1">OFFSET(INDIRECT(ADDRESS($A215,3,3,1,Menus!$K$10)),0,Menus!$J$3)</f>
        <v>0</v>
      </c>
      <c r="D215" s="73" t="e">
        <f ca="1">IF(Menus!$J$9,C215/B215,C215)</f>
        <v>#DIV/0!</v>
      </c>
      <c r="E215" s="74" t="e">
        <f t="shared" ca="1" si="8"/>
        <v>#N/A</v>
      </c>
      <c r="F215" s="75">
        <f ca="1">INDIRECT(ADDRESS($A215,1,3,1,Menus!$K$10))</f>
        <v>0</v>
      </c>
      <c r="G215" s="2" t="e">
        <f ca="1">IF(INDIRECT(ADDRESS($A215,2,3,1,Menus!$K$10))=G$1,$D215,#N/A)</f>
        <v>#N/A</v>
      </c>
      <c r="H215" s="2" t="e">
        <f ca="1">IF(INDIRECT(ADDRESS($A215,2,3,1,Menus!$K$10))=H$1,$D215,#N/A)</f>
        <v>#N/A</v>
      </c>
      <c r="I215" s="2" t="e">
        <f ca="1">IF(INDIRECT(ADDRESS($A215,2,3,1,Menus!$K$10))=I$1,$D215,#N/A)</f>
        <v>#N/A</v>
      </c>
      <c r="J215" s="2" t="e">
        <f ca="1">IF(INDIRECT(ADDRESS($A215,1,3,1,Menus!$K$10))=T(J$1),$D215,#N/A)</f>
        <v>#N/A</v>
      </c>
      <c r="K215" s="10">
        <f t="shared" ca="1" si="7"/>
        <v>0</v>
      </c>
      <c r="L215" s="2"/>
      <c r="M215" s="85">
        <f ca="1">OFFSET(INDIRECT(ADDRESS($A215,3,3,1,"Gross")),0,Menus!$J$4)</f>
        <v>0</v>
      </c>
      <c r="N215" s="85">
        <f ca="1">OFFSET(INDIRECT(ADDRESS($A215,3,3,1,"Gross")),0,Menus!$J$3)</f>
        <v>0</v>
      </c>
    </row>
    <row r="216" spans="1:14" x14ac:dyDescent="0.25">
      <c r="A216">
        <v>253</v>
      </c>
      <c r="B216" s="2">
        <f ca="1">OFFSET(INDIRECT(ADDRESS($A216,3,3,1,Menus!$K$10)),0,Menus!$J$4)</f>
        <v>0</v>
      </c>
      <c r="C216" s="2">
        <f ca="1">OFFSET(INDIRECT(ADDRESS($A216,3,3,1,Menus!$K$10)),0,Menus!$J$3)</f>
        <v>0</v>
      </c>
      <c r="D216" s="73" t="e">
        <f ca="1">IF(Menus!$J$9,C216/B216,C216)</f>
        <v>#DIV/0!</v>
      </c>
      <c r="E216" s="74" t="e">
        <f t="shared" ca="1" si="8"/>
        <v>#N/A</v>
      </c>
      <c r="F216" s="75">
        <f ca="1">INDIRECT(ADDRESS($A216,1,3,1,Menus!$K$10))</f>
        <v>0</v>
      </c>
      <c r="G216" s="2" t="e">
        <f ca="1">IF(INDIRECT(ADDRESS($A216,2,3,1,Menus!$K$10))=G$1,$D216,#N/A)</f>
        <v>#N/A</v>
      </c>
      <c r="H216" s="2" t="e">
        <f ca="1">IF(INDIRECT(ADDRESS($A216,2,3,1,Menus!$K$10))=H$1,$D216,#N/A)</f>
        <v>#N/A</v>
      </c>
      <c r="I216" s="2" t="e">
        <f ca="1">IF(INDIRECT(ADDRESS($A216,2,3,1,Menus!$K$10))=I$1,$D216,#N/A)</f>
        <v>#N/A</v>
      </c>
      <c r="J216" s="2" t="e">
        <f ca="1">IF(INDIRECT(ADDRESS($A216,1,3,1,Menus!$K$10))=T(J$1),$D216,#N/A)</f>
        <v>#N/A</v>
      </c>
      <c r="K216" s="10">
        <f t="shared" ca="1" si="7"/>
        <v>0</v>
      </c>
      <c r="L216" s="2"/>
      <c r="M216" s="85">
        <f ca="1">OFFSET(INDIRECT(ADDRESS($A216,3,3,1,"Gross")),0,Menus!$J$4)</f>
        <v>0</v>
      </c>
      <c r="N216" s="85">
        <f ca="1">OFFSET(INDIRECT(ADDRESS($A216,3,3,1,"Gross")),0,Menus!$J$3)</f>
        <v>0</v>
      </c>
    </row>
    <row r="217" spans="1:14" x14ac:dyDescent="0.25">
      <c r="A217">
        <v>254</v>
      </c>
      <c r="B217" s="2">
        <f ca="1">OFFSET(INDIRECT(ADDRESS($A217,3,3,1,Menus!$K$10)),0,Menus!$J$4)</f>
        <v>0</v>
      </c>
      <c r="C217" s="2">
        <f ca="1">OFFSET(INDIRECT(ADDRESS($A217,3,3,1,Menus!$K$10)),0,Menus!$J$3)</f>
        <v>0</v>
      </c>
      <c r="D217" s="73" t="e">
        <f ca="1">IF(Menus!$J$9,C217/B217,C217)</f>
        <v>#DIV/0!</v>
      </c>
      <c r="E217" s="74" t="e">
        <f t="shared" ca="1" si="8"/>
        <v>#N/A</v>
      </c>
      <c r="F217" s="75">
        <f ca="1">INDIRECT(ADDRESS($A217,1,3,1,Menus!$K$10))</f>
        <v>0</v>
      </c>
      <c r="G217" s="2" t="e">
        <f ca="1">IF(INDIRECT(ADDRESS($A217,2,3,1,Menus!$K$10))=G$1,$D217,#N/A)</f>
        <v>#N/A</v>
      </c>
      <c r="H217" s="2" t="e">
        <f ca="1">IF(INDIRECT(ADDRESS($A217,2,3,1,Menus!$K$10))=H$1,$D217,#N/A)</f>
        <v>#N/A</v>
      </c>
      <c r="I217" s="2" t="e">
        <f ca="1">IF(INDIRECT(ADDRESS($A217,2,3,1,Menus!$K$10))=I$1,$D217,#N/A)</f>
        <v>#N/A</v>
      </c>
      <c r="J217" s="2" t="e">
        <f ca="1">IF(INDIRECT(ADDRESS($A217,1,3,1,Menus!$K$10))=T(J$1),$D217,#N/A)</f>
        <v>#N/A</v>
      </c>
      <c r="K217" s="10">
        <f t="shared" ca="1" si="7"/>
        <v>0</v>
      </c>
      <c r="L217" s="2"/>
      <c r="M217" s="85">
        <f ca="1">OFFSET(INDIRECT(ADDRESS($A217,3,3,1,"Gross")),0,Menus!$J$4)</f>
        <v>0</v>
      </c>
      <c r="N217" s="85">
        <f ca="1">OFFSET(INDIRECT(ADDRESS($A217,3,3,1,"Gross")),0,Menus!$J$3)</f>
        <v>0</v>
      </c>
    </row>
    <row r="218" spans="1:14" x14ac:dyDescent="0.25">
      <c r="A218">
        <v>255</v>
      </c>
      <c r="B218" s="2">
        <f ca="1">OFFSET(INDIRECT(ADDRESS($A218,3,3,1,Menus!$K$10)),0,Menus!$J$4)</f>
        <v>0</v>
      </c>
      <c r="C218" s="2">
        <f ca="1">OFFSET(INDIRECT(ADDRESS($A218,3,3,1,Menus!$K$10)),0,Menus!$J$3)</f>
        <v>0</v>
      </c>
      <c r="D218" s="73" t="e">
        <f ca="1">IF(Menus!$J$9,C218/B218,C218)</f>
        <v>#DIV/0!</v>
      </c>
      <c r="E218" s="74" t="e">
        <f t="shared" ca="1" si="8"/>
        <v>#N/A</v>
      </c>
      <c r="F218" s="75">
        <f ca="1">INDIRECT(ADDRESS($A218,1,3,1,Menus!$K$10))</f>
        <v>0</v>
      </c>
      <c r="G218" s="2" t="e">
        <f ca="1">IF(INDIRECT(ADDRESS($A218,2,3,1,Menus!$K$10))=G$1,$D218,#N/A)</f>
        <v>#N/A</v>
      </c>
      <c r="H218" s="2" t="e">
        <f ca="1">IF(INDIRECT(ADDRESS($A218,2,3,1,Menus!$K$10))=H$1,$D218,#N/A)</f>
        <v>#N/A</v>
      </c>
      <c r="I218" s="2" t="e">
        <f ca="1">IF(INDIRECT(ADDRESS($A218,2,3,1,Menus!$K$10))=I$1,$D218,#N/A)</f>
        <v>#N/A</v>
      </c>
      <c r="J218" s="2" t="e">
        <f ca="1">IF(INDIRECT(ADDRESS($A218,1,3,1,Menus!$K$10))=T(J$1),$D218,#N/A)</f>
        <v>#N/A</v>
      </c>
      <c r="K218" s="10">
        <f t="shared" ca="1" si="7"/>
        <v>0</v>
      </c>
      <c r="L218" s="2"/>
      <c r="M218" s="85">
        <f ca="1">OFFSET(INDIRECT(ADDRESS($A218,3,3,1,"Gross")),0,Menus!$J$4)</f>
        <v>0</v>
      </c>
      <c r="N218" s="85">
        <f ca="1">OFFSET(INDIRECT(ADDRESS($A218,3,3,1,"Gross")),0,Menus!$J$3)</f>
        <v>0</v>
      </c>
    </row>
    <row r="219" spans="1:14" x14ac:dyDescent="0.25">
      <c r="A219">
        <v>256</v>
      </c>
      <c r="B219" s="2">
        <f ca="1">OFFSET(INDIRECT(ADDRESS($A219,3,3,1,Menus!$K$10)),0,Menus!$J$4)</f>
        <v>0</v>
      </c>
      <c r="C219" s="2">
        <f ca="1">OFFSET(INDIRECT(ADDRESS($A219,3,3,1,Menus!$K$10)),0,Menus!$J$3)</f>
        <v>0</v>
      </c>
      <c r="D219" s="73" t="e">
        <f ca="1">IF(Menus!$J$9,C219/B219,C219)</f>
        <v>#DIV/0!</v>
      </c>
      <c r="E219" s="74" t="e">
        <f t="shared" ca="1" si="8"/>
        <v>#N/A</v>
      </c>
      <c r="F219" s="75">
        <f ca="1">INDIRECT(ADDRESS($A219,1,3,1,Menus!$K$10))</f>
        <v>0</v>
      </c>
      <c r="G219" s="2" t="e">
        <f ca="1">IF(INDIRECT(ADDRESS($A219,2,3,1,Menus!$K$10))=G$1,$D219,#N/A)</f>
        <v>#N/A</v>
      </c>
      <c r="H219" s="2" t="e">
        <f ca="1">IF(INDIRECT(ADDRESS($A219,2,3,1,Menus!$K$10))=H$1,$D219,#N/A)</f>
        <v>#N/A</v>
      </c>
      <c r="I219" s="2" t="e">
        <f ca="1">IF(INDIRECT(ADDRESS($A219,2,3,1,Menus!$K$10))=I$1,$D219,#N/A)</f>
        <v>#N/A</v>
      </c>
      <c r="J219" s="2" t="e">
        <f ca="1">IF(INDIRECT(ADDRESS($A219,1,3,1,Menus!$K$10))=T(J$1),$D219,#N/A)</f>
        <v>#N/A</v>
      </c>
      <c r="K219" s="10">
        <f t="shared" ca="1" si="7"/>
        <v>0</v>
      </c>
      <c r="L219" s="2"/>
      <c r="M219" s="85">
        <f ca="1">OFFSET(INDIRECT(ADDRESS($A219,3,3,1,"Gross")),0,Menus!$J$4)</f>
        <v>0</v>
      </c>
      <c r="N219" s="85">
        <f ca="1">OFFSET(INDIRECT(ADDRESS($A219,3,3,1,"Gross")),0,Menus!$J$3)</f>
        <v>0</v>
      </c>
    </row>
    <row r="220" spans="1:14" x14ac:dyDescent="0.25">
      <c r="A220">
        <v>257</v>
      </c>
      <c r="B220" s="2">
        <f ca="1">OFFSET(INDIRECT(ADDRESS($A220,3,3,1,Menus!$K$10)),0,Menus!$J$4)</f>
        <v>0</v>
      </c>
      <c r="C220" s="2">
        <f ca="1">OFFSET(INDIRECT(ADDRESS($A220,3,3,1,Menus!$K$10)),0,Menus!$J$3)</f>
        <v>0</v>
      </c>
      <c r="D220" s="73" t="e">
        <f ca="1">IF(Menus!$J$9,C220/B220,C220)</f>
        <v>#DIV/0!</v>
      </c>
      <c r="E220" s="74" t="e">
        <f t="shared" ca="1" si="8"/>
        <v>#N/A</v>
      </c>
      <c r="F220" s="75">
        <f ca="1">INDIRECT(ADDRESS($A220,1,3,1,Menus!$K$10))</f>
        <v>0</v>
      </c>
      <c r="G220" s="2" t="e">
        <f ca="1">IF(INDIRECT(ADDRESS($A220,2,3,1,Menus!$K$10))=G$1,$D220,#N/A)</f>
        <v>#N/A</v>
      </c>
      <c r="H220" s="2" t="e">
        <f ca="1">IF(INDIRECT(ADDRESS($A220,2,3,1,Menus!$K$10))=H$1,$D220,#N/A)</f>
        <v>#N/A</v>
      </c>
      <c r="I220" s="2" t="e">
        <f ca="1">IF(INDIRECT(ADDRESS($A220,2,3,1,Menus!$K$10))=I$1,$D220,#N/A)</f>
        <v>#N/A</v>
      </c>
      <c r="J220" s="2" t="e">
        <f ca="1">IF(INDIRECT(ADDRESS($A220,1,3,1,Menus!$K$10))=T(J$1),$D220,#N/A)</f>
        <v>#N/A</v>
      </c>
      <c r="K220" s="10">
        <f t="shared" ca="1" si="7"/>
        <v>0</v>
      </c>
      <c r="L220" s="2"/>
      <c r="M220" s="85">
        <f ca="1">OFFSET(INDIRECT(ADDRESS($A220,3,3,1,"Gross")),0,Menus!$J$4)</f>
        <v>0</v>
      </c>
      <c r="N220" s="85">
        <f ca="1">OFFSET(INDIRECT(ADDRESS($A220,3,3,1,"Gross")),0,Menus!$J$3)</f>
        <v>0</v>
      </c>
    </row>
    <row r="221" spans="1:14" x14ac:dyDescent="0.25">
      <c r="A221">
        <v>258</v>
      </c>
      <c r="B221" s="2">
        <f ca="1">OFFSET(INDIRECT(ADDRESS($A221,3,3,1,Menus!$K$10)),0,Menus!$J$4)</f>
        <v>0</v>
      </c>
      <c r="C221" s="2">
        <f ca="1">OFFSET(INDIRECT(ADDRESS($A221,3,3,1,Menus!$K$10)),0,Menus!$J$3)</f>
        <v>0</v>
      </c>
      <c r="D221" s="73" t="e">
        <f ca="1">IF(Menus!$J$9,C221/B221,C221)</f>
        <v>#DIV/0!</v>
      </c>
      <c r="E221" s="74" t="e">
        <f t="shared" ca="1" si="8"/>
        <v>#N/A</v>
      </c>
      <c r="F221" s="75">
        <f ca="1">INDIRECT(ADDRESS($A221,1,3,1,Menus!$K$10))</f>
        <v>0</v>
      </c>
      <c r="G221" s="2" t="e">
        <f ca="1">IF(INDIRECT(ADDRESS($A221,2,3,1,Menus!$K$10))=G$1,$D221,#N/A)</f>
        <v>#N/A</v>
      </c>
      <c r="H221" s="2" t="e">
        <f ca="1">IF(INDIRECT(ADDRESS($A221,2,3,1,Menus!$K$10))=H$1,$D221,#N/A)</f>
        <v>#N/A</v>
      </c>
      <c r="I221" s="2" t="e">
        <f ca="1">IF(INDIRECT(ADDRESS($A221,2,3,1,Menus!$K$10))=I$1,$D221,#N/A)</f>
        <v>#N/A</v>
      </c>
      <c r="J221" s="2" t="e">
        <f ca="1">IF(INDIRECT(ADDRESS($A221,1,3,1,Menus!$K$10))=T(J$1),$D221,#N/A)</f>
        <v>#N/A</v>
      </c>
      <c r="K221" s="10">
        <f t="shared" ca="1" si="7"/>
        <v>0</v>
      </c>
      <c r="L221" s="2"/>
      <c r="M221" s="85">
        <f ca="1">OFFSET(INDIRECT(ADDRESS($A221,3,3,1,"Gross")),0,Menus!$J$4)</f>
        <v>0</v>
      </c>
      <c r="N221" s="85">
        <f ca="1">OFFSET(INDIRECT(ADDRESS($A221,3,3,1,"Gross")),0,Menus!$J$3)</f>
        <v>0</v>
      </c>
    </row>
    <row r="222" spans="1:14" x14ac:dyDescent="0.25">
      <c r="A222">
        <v>259</v>
      </c>
      <c r="B222" s="2">
        <f ca="1">OFFSET(INDIRECT(ADDRESS($A222,3,3,1,Menus!$K$10)),0,Menus!$J$4)</f>
        <v>0</v>
      </c>
      <c r="C222" s="2">
        <f ca="1">OFFSET(INDIRECT(ADDRESS($A222,3,3,1,Menus!$K$10)),0,Menus!$J$3)</f>
        <v>0</v>
      </c>
      <c r="D222" s="73" t="e">
        <f ca="1">IF(Menus!$J$9,C222/B222,C222)</f>
        <v>#DIV/0!</v>
      </c>
      <c r="E222" s="74" t="e">
        <f t="shared" ca="1" si="8"/>
        <v>#N/A</v>
      </c>
      <c r="F222" s="75">
        <f ca="1">INDIRECT(ADDRESS($A222,1,3,1,Menus!$K$10))</f>
        <v>0</v>
      </c>
      <c r="G222" s="2" t="e">
        <f ca="1">IF(INDIRECT(ADDRESS($A222,2,3,1,Menus!$K$10))=G$1,$D222,#N/A)</f>
        <v>#N/A</v>
      </c>
      <c r="H222" s="2" t="e">
        <f ca="1">IF(INDIRECT(ADDRESS($A222,2,3,1,Menus!$K$10))=H$1,$D222,#N/A)</f>
        <v>#N/A</v>
      </c>
      <c r="I222" s="2" t="e">
        <f ca="1">IF(INDIRECT(ADDRESS($A222,2,3,1,Menus!$K$10))=I$1,$D222,#N/A)</f>
        <v>#N/A</v>
      </c>
      <c r="J222" s="2" t="e">
        <f ca="1">IF(INDIRECT(ADDRESS($A222,1,3,1,Menus!$K$10))=T(J$1),$D222,#N/A)</f>
        <v>#N/A</v>
      </c>
      <c r="K222" s="10">
        <f t="shared" ca="1" si="7"/>
        <v>0</v>
      </c>
      <c r="L222" s="2"/>
      <c r="M222" s="85">
        <f ca="1">OFFSET(INDIRECT(ADDRESS($A222,3,3,1,"Gross")),0,Menus!$J$4)</f>
        <v>0</v>
      </c>
      <c r="N222" s="85">
        <f ca="1">OFFSET(INDIRECT(ADDRESS($A222,3,3,1,"Gross")),0,Menus!$J$3)</f>
        <v>0</v>
      </c>
    </row>
    <row r="223" spans="1:14" x14ac:dyDescent="0.25">
      <c r="A223">
        <v>260</v>
      </c>
      <c r="B223" s="2">
        <f ca="1">OFFSET(INDIRECT(ADDRESS($A223,3,3,1,Menus!$K$10)),0,Menus!$J$4)</f>
        <v>0</v>
      </c>
      <c r="C223" s="2">
        <f ca="1">OFFSET(INDIRECT(ADDRESS($A223,3,3,1,Menus!$K$10)),0,Menus!$J$3)</f>
        <v>0</v>
      </c>
      <c r="D223" s="73" t="e">
        <f ca="1">IF(Menus!$J$9,C223/B223,C223)</f>
        <v>#DIV/0!</v>
      </c>
      <c r="E223" s="74" t="e">
        <f t="shared" ca="1" si="8"/>
        <v>#N/A</v>
      </c>
      <c r="F223" s="75">
        <f ca="1">INDIRECT(ADDRESS($A223,1,3,1,Menus!$K$10))</f>
        <v>0</v>
      </c>
      <c r="G223" s="2" t="e">
        <f ca="1">IF(INDIRECT(ADDRESS($A223,2,3,1,Menus!$K$10))=G$1,$D223,#N/A)</f>
        <v>#N/A</v>
      </c>
      <c r="H223" s="2" t="e">
        <f ca="1">IF(INDIRECT(ADDRESS($A223,2,3,1,Menus!$K$10))=H$1,$D223,#N/A)</f>
        <v>#N/A</v>
      </c>
      <c r="I223" s="2" t="e">
        <f ca="1">IF(INDIRECT(ADDRESS($A223,2,3,1,Menus!$K$10))=I$1,$D223,#N/A)</f>
        <v>#N/A</v>
      </c>
      <c r="J223" s="2" t="e">
        <f ca="1">IF(INDIRECT(ADDRESS($A223,1,3,1,Menus!$K$10))=T(J$1),$D223,#N/A)</f>
        <v>#N/A</v>
      </c>
      <c r="K223" s="10">
        <f t="shared" ca="1" si="7"/>
        <v>0</v>
      </c>
      <c r="L223" s="2"/>
      <c r="M223" s="85">
        <f ca="1">OFFSET(INDIRECT(ADDRESS($A223,3,3,1,"Gross")),0,Menus!$J$4)</f>
        <v>0</v>
      </c>
      <c r="N223" s="85">
        <f ca="1">OFFSET(INDIRECT(ADDRESS($A223,3,3,1,"Gross")),0,Menus!$J$3)</f>
        <v>0</v>
      </c>
    </row>
    <row r="224" spans="1:14" x14ac:dyDescent="0.25">
      <c r="A224">
        <v>261</v>
      </c>
      <c r="B224" s="2">
        <f ca="1">OFFSET(INDIRECT(ADDRESS($A224,3,3,1,Menus!$K$10)),0,Menus!$J$4)</f>
        <v>0</v>
      </c>
      <c r="C224" s="2">
        <f ca="1">OFFSET(INDIRECT(ADDRESS($A224,3,3,1,Menus!$K$10)),0,Menus!$J$3)</f>
        <v>0</v>
      </c>
      <c r="D224" s="73" t="e">
        <f ca="1">IF(Menus!$J$9,C224/B224,C224)</f>
        <v>#DIV/0!</v>
      </c>
      <c r="E224" s="74" t="e">
        <f t="shared" ca="1" si="8"/>
        <v>#N/A</v>
      </c>
      <c r="F224" s="75">
        <f ca="1">INDIRECT(ADDRESS($A224,1,3,1,Menus!$K$10))</f>
        <v>0</v>
      </c>
      <c r="G224" s="2" t="e">
        <f ca="1">IF(INDIRECT(ADDRESS($A224,2,3,1,Menus!$K$10))=G$1,$D224,#N/A)</f>
        <v>#N/A</v>
      </c>
      <c r="H224" s="2" t="e">
        <f ca="1">IF(INDIRECT(ADDRESS($A224,2,3,1,Menus!$K$10))=H$1,$D224,#N/A)</f>
        <v>#N/A</v>
      </c>
      <c r="I224" s="2" t="e">
        <f ca="1">IF(INDIRECT(ADDRESS($A224,2,3,1,Menus!$K$10))=I$1,$D224,#N/A)</f>
        <v>#N/A</v>
      </c>
      <c r="J224" s="2" t="e">
        <f ca="1">IF(INDIRECT(ADDRESS($A224,1,3,1,Menus!$K$10))=T(J$1),$D224,#N/A)</f>
        <v>#N/A</v>
      </c>
      <c r="K224" s="10">
        <f t="shared" ca="1" si="7"/>
        <v>0</v>
      </c>
      <c r="L224" s="2"/>
      <c r="M224" s="85">
        <f ca="1">OFFSET(INDIRECT(ADDRESS($A224,3,3,1,"Gross")),0,Menus!$J$4)</f>
        <v>0</v>
      </c>
      <c r="N224" s="85">
        <f ca="1">OFFSET(INDIRECT(ADDRESS($A224,3,3,1,"Gross")),0,Menus!$J$3)</f>
        <v>0</v>
      </c>
    </row>
    <row r="225" spans="1:14" x14ac:dyDescent="0.25">
      <c r="A225">
        <v>262</v>
      </c>
      <c r="B225" s="2">
        <f ca="1">OFFSET(INDIRECT(ADDRESS($A225,3,3,1,Menus!$K$10)),0,Menus!$J$4)</f>
        <v>0</v>
      </c>
      <c r="C225" s="2">
        <f ca="1">OFFSET(INDIRECT(ADDRESS($A225,3,3,1,Menus!$K$10)),0,Menus!$J$3)</f>
        <v>0</v>
      </c>
      <c r="D225" s="73" t="e">
        <f ca="1">IF(Menus!$J$9,C225/B225,C225)</f>
        <v>#DIV/0!</v>
      </c>
      <c r="E225" s="74" t="e">
        <f t="shared" ca="1" si="8"/>
        <v>#N/A</v>
      </c>
      <c r="F225" s="75">
        <f ca="1">INDIRECT(ADDRESS($A225,1,3,1,Menus!$K$10))</f>
        <v>0</v>
      </c>
      <c r="G225" s="2" t="e">
        <f ca="1">IF(INDIRECT(ADDRESS($A225,2,3,1,Menus!$K$10))=G$1,$D225,#N/A)</f>
        <v>#N/A</v>
      </c>
      <c r="H225" s="2" t="e">
        <f ca="1">IF(INDIRECT(ADDRESS($A225,2,3,1,Menus!$K$10))=H$1,$D225,#N/A)</f>
        <v>#N/A</v>
      </c>
      <c r="I225" s="2" t="e">
        <f ca="1">IF(INDIRECT(ADDRESS($A225,2,3,1,Menus!$K$10))=I$1,$D225,#N/A)</f>
        <v>#N/A</v>
      </c>
      <c r="J225" s="2" t="e">
        <f ca="1">IF(INDIRECT(ADDRESS($A225,1,3,1,Menus!$K$10))=T(J$1),$D225,#N/A)</f>
        <v>#N/A</v>
      </c>
      <c r="K225" s="10">
        <f t="shared" ca="1" si="7"/>
        <v>0</v>
      </c>
      <c r="L225" s="2"/>
      <c r="M225" s="85">
        <f ca="1">OFFSET(INDIRECT(ADDRESS($A225,3,3,1,"Gross")),0,Menus!$J$4)</f>
        <v>0</v>
      </c>
      <c r="N225" s="85">
        <f ca="1">OFFSET(INDIRECT(ADDRESS($A225,3,3,1,"Gross")),0,Menus!$J$3)</f>
        <v>0</v>
      </c>
    </row>
    <row r="226" spans="1:14" x14ac:dyDescent="0.25">
      <c r="A226">
        <v>263</v>
      </c>
      <c r="B226" s="2">
        <f ca="1">OFFSET(INDIRECT(ADDRESS($A226,3,3,1,Menus!$K$10)),0,Menus!$J$4)</f>
        <v>0</v>
      </c>
      <c r="C226" s="2">
        <f ca="1">OFFSET(INDIRECT(ADDRESS($A226,3,3,1,Menus!$K$10)),0,Menus!$J$3)</f>
        <v>0</v>
      </c>
      <c r="D226" s="73" t="e">
        <f ca="1">IF(Menus!$J$9,C226/B226,C226)</f>
        <v>#DIV/0!</v>
      </c>
      <c r="E226" s="74" t="e">
        <f t="shared" ca="1" si="8"/>
        <v>#N/A</v>
      </c>
      <c r="F226" s="75">
        <f ca="1">INDIRECT(ADDRESS($A226,1,3,1,Menus!$K$10))</f>
        <v>0</v>
      </c>
      <c r="G226" s="2" t="e">
        <f ca="1">IF(INDIRECT(ADDRESS($A226,2,3,1,Menus!$K$10))=G$1,$D226,#N/A)</f>
        <v>#N/A</v>
      </c>
      <c r="H226" s="2" t="e">
        <f ca="1">IF(INDIRECT(ADDRESS($A226,2,3,1,Menus!$K$10))=H$1,$D226,#N/A)</f>
        <v>#N/A</v>
      </c>
      <c r="I226" s="2" t="e">
        <f ca="1">IF(INDIRECT(ADDRESS($A226,2,3,1,Menus!$K$10))=I$1,$D226,#N/A)</f>
        <v>#N/A</v>
      </c>
      <c r="J226" s="2" t="e">
        <f ca="1">IF(INDIRECT(ADDRESS($A226,1,3,1,Menus!$K$10))=T(J$1),$D226,#N/A)</f>
        <v>#N/A</v>
      </c>
      <c r="K226" s="10">
        <f t="shared" ca="1" si="7"/>
        <v>0</v>
      </c>
      <c r="L226" s="2"/>
      <c r="M226" s="85">
        <f ca="1">OFFSET(INDIRECT(ADDRESS($A226,3,3,1,"Gross")),0,Menus!$J$4)</f>
        <v>0</v>
      </c>
      <c r="N226" s="85">
        <f ca="1">OFFSET(INDIRECT(ADDRESS($A226,3,3,1,"Gross")),0,Menus!$J$3)</f>
        <v>0</v>
      </c>
    </row>
    <row r="227" spans="1:14" x14ac:dyDescent="0.25">
      <c r="A227">
        <v>264</v>
      </c>
      <c r="B227" s="2">
        <f ca="1">OFFSET(INDIRECT(ADDRESS($A227,3,3,1,Menus!$K$10)),0,Menus!$J$4)</f>
        <v>0</v>
      </c>
      <c r="C227" s="2">
        <f ca="1">OFFSET(INDIRECT(ADDRESS($A227,3,3,1,Menus!$K$10)),0,Menus!$J$3)</f>
        <v>0</v>
      </c>
      <c r="D227" s="73" t="e">
        <f ca="1">IF(Menus!$J$9,C227/B227,C227)</f>
        <v>#DIV/0!</v>
      </c>
      <c r="E227" s="74" t="e">
        <f t="shared" ca="1" si="8"/>
        <v>#N/A</v>
      </c>
      <c r="F227" s="75">
        <f ca="1">INDIRECT(ADDRESS($A227,1,3,1,Menus!$K$10))</f>
        <v>0</v>
      </c>
      <c r="G227" s="2" t="e">
        <f ca="1">IF(INDIRECT(ADDRESS($A227,2,3,1,Menus!$K$10))=G$1,$D227,#N/A)</f>
        <v>#N/A</v>
      </c>
      <c r="H227" s="2" t="e">
        <f ca="1">IF(INDIRECT(ADDRESS($A227,2,3,1,Menus!$K$10))=H$1,$D227,#N/A)</f>
        <v>#N/A</v>
      </c>
      <c r="I227" s="2" t="e">
        <f ca="1">IF(INDIRECT(ADDRESS($A227,2,3,1,Menus!$K$10))=I$1,$D227,#N/A)</f>
        <v>#N/A</v>
      </c>
      <c r="J227" s="2" t="e">
        <f ca="1">IF(INDIRECT(ADDRESS($A227,1,3,1,Menus!$K$10))=T(J$1),$D227,#N/A)</f>
        <v>#N/A</v>
      </c>
      <c r="K227" s="10">
        <f t="shared" ca="1" si="7"/>
        <v>0</v>
      </c>
      <c r="L227" s="2"/>
      <c r="M227" s="85">
        <f ca="1">OFFSET(INDIRECT(ADDRESS($A227,3,3,1,"Gross")),0,Menus!$J$4)</f>
        <v>0</v>
      </c>
      <c r="N227" s="85">
        <f ca="1">OFFSET(INDIRECT(ADDRESS($A227,3,3,1,"Gross")),0,Menus!$J$3)</f>
        <v>0</v>
      </c>
    </row>
    <row r="228" spans="1:14" x14ac:dyDescent="0.25">
      <c r="A228">
        <v>265</v>
      </c>
      <c r="B228" s="2">
        <f ca="1">OFFSET(INDIRECT(ADDRESS($A228,3,3,1,Menus!$K$10)),0,Menus!$J$4)</f>
        <v>0</v>
      </c>
      <c r="C228" s="2">
        <f ca="1">OFFSET(INDIRECT(ADDRESS($A228,3,3,1,Menus!$K$10)),0,Menus!$J$3)</f>
        <v>0</v>
      </c>
      <c r="D228" s="73" t="e">
        <f ca="1">IF(Menus!$J$9,C228/B228,C228)</f>
        <v>#DIV/0!</v>
      </c>
      <c r="E228" s="74" t="e">
        <f t="shared" ca="1" si="8"/>
        <v>#N/A</v>
      </c>
      <c r="F228" s="75">
        <f ca="1">INDIRECT(ADDRESS($A228,1,3,1,Menus!$K$10))</f>
        <v>0</v>
      </c>
      <c r="G228" s="2" t="e">
        <f ca="1">IF(INDIRECT(ADDRESS($A228,2,3,1,Menus!$K$10))=G$1,$D228,#N/A)</f>
        <v>#N/A</v>
      </c>
      <c r="H228" s="2" t="e">
        <f ca="1">IF(INDIRECT(ADDRESS($A228,2,3,1,Menus!$K$10))=H$1,$D228,#N/A)</f>
        <v>#N/A</v>
      </c>
      <c r="I228" s="2" t="e">
        <f ca="1">IF(INDIRECT(ADDRESS($A228,2,3,1,Menus!$K$10))=I$1,$D228,#N/A)</f>
        <v>#N/A</v>
      </c>
      <c r="J228" s="2" t="e">
        <f ca="1">IF(INDIRECT(ADDRESS($A228,1,3,1,Menus!$K$10))=T(J$1),$D228,#N/A)</f>
        <v>#N/A</v>
      </c>
      <c r="K228" s="10">
        <f t="shared" ca="1" si="7"/>
        <v>0</v>
      </c>
      <c r="L228" s="2"/>
      <c r="M228" s="85">
        <f ca="1">OFFSET(INDIRECT(ADDRESS($A228,3,3,1,"Gross")),0,Menus!$J$4)</f>
        <v>0</v>
      </c>
      <c r="N228" s="85">
        <f ca="1">OFFSET(INDIRECT(ADDRESS($A228,3,3,1,"Gross")),0,Menus!$J$3)</f>
        <v>0</v>
      </c>
    </row>
    <row r="229" spans="1:14" x14ac:dyDescent="0.25">
      <c r="A229">
        <v>266</v>
      </c>
      <c r="B229" s="2">
        <f ca="1">OFFSET(INDIRECT(ADDRESS($A229,3,3,1,Menus!$K$10)),0,Menus!$J$4)</f>
        <v>0</v>
      </c>
      <c r="C229" s="2">
        <f ca="1">OFFSET(INDIRECT(ADDRESS($A229,3,3,1,Menus!$K$10)),0,Menus!$J$3)</f>
        <v>0</v>
      </c>
      <c r="D229" s="73" t="e">
        <f ca="1">IF(Menus!$J$9,C229/B229,C229)</f>
        <v>#DIV/0!</v>
      </c>
      <c r="E229" s="74" t="e">
        <f t="shared" ca="1" si="8"/>
        <v>#N/A</v>
      </c>
      <c r="F229" s="75">
        <f ca="1">INDIRECT(ADDRESS($A229,1,3,1,Menus!$K$10))</f>
        <v>0</v>
      </c>
      <c r="G229" s="2" t="e">
        <f ca="1">IF(INDIRECT(ADDRESS($A229,2,3,1,Menus!$K$10))=G$1,$D229,#N/A)</f>
        <v>#N/A</v>
      </c>
      <c r="H229" s="2" t="e">
        <f ca="1">IF(INDIRECT(ADDRESS($A229,2,3,1,Menus!$K$10))=H$1,$D229,#N/A)</f>
        <v>#N/A</v>
      </c>
      <c r="I229" s="2" t="e">
        <f ca="1">IF(INDIRECT(ADDRESS($A229,2,3,1,Menus!$K$10))=I$1,$D229,#N/A)</f>
        <v>#N/A</v>
      </c>
      <c r="J229" s="2" t="e">
        <f ca="1">IF(INDIRECT(ADDRESS($A229,1,3,1,Menus!$K$10))=T(J$1),$D229,#N/A)</f>
        <v>#N/A</v>
      </c>
      <c r="K229" s="10">
        <f t="shared" ca="1" si="7"/>
        <v>0</v>
      </c>
      <c r="L229" s="2"/>
      <c r="M229" s="85">
        <f ca="1">OFFSET(INDIRECT(ADDRESS($A229,3,3,1,"Gross")),0,Menus!$J$4)</f>
        <v>0</v>
      </c>
      <c r="N229" s="85">
        <f ca="1">OFFSET(INDIRECT(ADDRESS($A229,3,3,1,"Gross")),0,Menus!$J$3)</f>
        <v>0</v>
      </c>
    </row>
    <row r="230" spans="1:14" x14ac:dyDescent="0.25">
      <c r="A230">
        <v>267</v>
      </c>
      <c r="B230" s="2">
        <f ca="1">OFFSET(INDIRECT(ADDRESS($A230,3,3,1,Menus!$K$10)),0,Menus!$J$4)</f>
        <v>0</v>
      </c>
      <c r="C230" s="2">
        <f ca="1">OFFSET(INDIRECT(ADDRESS($A230,3,3,1,Menus!$K$10)),0,Menus!$J$3)</f>
        <v>0</v>
      </c>
      <c r="D230" s="73" t="e">
        <f ca="1">IF(Menus!$J$9,C230/B230,C230)</f>
        <v>#DIV/0!</v>
      </c>
      <c r="E230" s="74" t="e">
        <f t="shared" ca="1" si="8"/>
        <v>#N/A</v>
      </c>
      <c r="F230" s="75">
        <f ca="1">INDIRECT(ADDRESS($A230,1,3,1,Menus!$K$10))</f>
        <v>0</v>
      </c>
      <c r="G230" s="2" t="e">
        <f ca="1">IF(INDIRECT(ADDRESS($A230,2,3,1,Menus!$K$10))=G$1,$D230,#N/A)</f>
        <v>#N/A</v>
      </c>
      <c r="H230" s="2" t="e">
        <f ca="1">IF(INDIRECT(ADDRESS($A230,2,3,1,Menus!$K$10))=H$1,$D230,#N/A)</f>
        <v>#N/A</v>
      </c>
      <c r="I230" s="2" t="e">
        <f ca="1">IF(INDIRECT(ADDRESS($A230,2,3,1,Menus!$K$10))=I$1,$D230,#N/A)</f>
        <v>#N/A</v>
      </c>
      <c r="J230" s="2" t="e">
        <f ca="1">IF(INDIRECT(ADDRESS($A230,1,3,1,Menus!$K$10))=T(J$1),$D230,#N/A)</f>
        <v>#N/A</v>
      </c>
      <c r="K230" s="10">
        <f t="shared" ca="1" si="7"/>
        <v>0</v>
      </c>
      <c r="L230" s="2"/>
      <c r="M230" s="85">
        <f ca="1">OFFSET(INDIRECT(ADDRESS($A230,3,3,1,"Gross")),0,Menus!$J$4)</f>
        <v>0</v>
      </c>
      <c r="N230" s="85">
        <f ca="1">OFFSET(INDIRECT(ADDRESS($A230,3,3,1,"Gross")),0,Menus!$J$3)</f>
        <v>0</v>
      </c>
    </row>
    <row r="231" spans="1:14" x14ac:dyDescent="0.25">
      <c r="A231">
        <v>268</v>
      </c>
      <c r="B231" s="2">
        <f ca="1">OFFSET(INDIRECT(ADDRESS($A231,3,3,1,Menus!$K$10)),0,Menus!$J$4)</f>
        <v>0</v>
      </c>
      <c r="C231" s="2">
        <f ca="1">OFFSET(INDIRECT(ADDRESS($A231,3,3,1,Menus!$K$10)),0,Menus!$J$3)</f>
        <v>0</v>
      </c>
      <c r="D231" s="73" t="e">
        <f ca="1">IF(Menus!$J$9,C231/B231,C231)</f>
        <v>#DIV/0!</v>
      </c>
      <c r="E231" s="74" t="e">
        <f t="shared" ca="1" si="8"/>
        <v>#N/A</v>
      </c>
      <c r="F231" s="75">
        <f ca="1">INDIRECT(ADDRESS($A231,1,3,1,Menus!$K$10))</f>
        <v>0</v>
      </c>
      <c r="G231" s="2" t="e">
        <f ca="1">IF(INDIRECT(ADDRESS($A231,2,3,1,Menus!$K$10))=G$1,$D231,#N/A)</f>
        <v>#N/A</v>
      </c>
      <c r="H231" s="2" t="e">
        <f ca="1">IF(INDIRECT(ADDRESS($A231,2,3,1,Menus!$K$10))=H$1,$D231,#N/A)</f>
        <v>#N/A</v>
      </c>
      <c r="I231" s="2" t="e">
        <f ca="1">IF(INDIRECT(ADDRESS($A231,2,3,1,Menus!$K$10))=I$1,$D231,#N/A)</f>
        <v>#N/A</v>
      </c>
      <c r="J231" s="2" t="e">
        <f ca="1">IF(INDIRECT(ADDRESS($A231,1,3,1,Menus!$K$10))=T(J$1),$D231,#N/A)</f>
        <v>#N/A</v>
      </c>
      <c r="K231" s="10">
        <f t="shared" ca="1" si="7"/>
        <v>0</v>
      </c>
      <c r="L231" s="2"/>
      <c r="M231" s="85">
        <f ca="1">OFFSET(INDIRECT(ADDRESS($A231,3,3,1,"Gross")),0,Menus!$J$4)</f>
        <v>0</v>
      </c>
      <c r="N231" s="85">
        <f ca="1">OFFSET(INDIRECT(ADDRESS($A231,3,3,1,"Gross")),0,Menus!$J$3)</f>
        <v>0</v>
      </c>
    </row>
    <row r="232" spans="1:14" x14ac:dyDescent="0.25">
      <c r="A232">
        <v>269</v>
      </c>
      <c r="B232" s="2">
        <f ca="1">OFFSET(INDIRECT(ADDRESS($A232,3,3,1,Menus!$K$10)),0,Menus!$J$4)</f>
        <v>0</v>
      </c>
      <c r="C232" s="2">
        <f ca="1">OFFSET(INDIRECT(ADDRESS($A232,3,3,1,Menus!$K$10)),0,Menus!$J$3)</f>
        <v>0</v>
      </c>
      <c r="D232" s="73" t="e">
        <f ca="1">IF(Menus!$J$9,C232/B232,C232)</f>
        <v>#DIV/0!</v>
      </c>
      <c r="E232" s="74" t="e">
        <f t="shared" ca="1" si="8"/>
        <v>#N/A</v>
      </c>
      <c r="F232" s="75">
        <f ca="1">INDIRECT(ADDRESS($A232,1,3,1,Menus!$K$10))</f>
        <v>0</v>
      </c>
      <c r="G232" s="2" t="e">
        <f ca="1">IF(INDIRECT(ADDRESS($A232,2,3,1,Menus!$K$10))=G$1,$D232,#N/A)</f>
        <v>#N/A</v>
      </c>
      <c r="H232" s="2" t="e">
        <f ca="1">IF(INDIRECT(ADDRESS($A232,2,3,1,Menus!$K$10))=H$1,$D232,#N/A)</f>
        <v>#N/A</v>
      </c>
      <c r="I232" s="2" t="e">
        <f ca="1">IF(INDIRECT(ADDRESS($A232,2,3,1,Menus!$K$10))=I$1,$D232,#N/A)</f>
        <v>#N/A</v>
      </c>
      <c r="J232" s="2" t="e">
        <f ca="1">IF(INDIRECT(ADDRESS($A232,1,3,1,Menus!$K$10))=T(J$1),$D232,#N/A)</f>
        <v>#N/A</v>
      </c>
      <c r="K232" s="10">
        <f t="shared" ca="1" si="7"/>
        <v>0</v>
      </c>
      <c r="L232" s="2"/>
      <c r="M232" s="85">
        <f ca="1">OFFSET(INDIRECT(ADDRESS($A232,3,3,1,"Gross")),0,Menus!$J$4)</f>
        <v>0</v>
      </c>
      <c r="N232" s="85">
        <f ca="1">OFFSET(INDIRECT(ADDRESS($A232,3,3,1,"Gross")),0,Menus!$J$3)</f>
        <v>0</v>
      </c>
    </row>
    <row r="233" spans="1:14" x14ac:dyDescent="0.25">
      <c r="A233">
        <v>270</v>
      </c>
      <c r="B233" s="2">
        <f ca="1">OFFSET(INDIRECT(ADDRESS($A233,3,3,1,Menus!$K$10)),0,Menus!$J$4)</f>
        <v>0</v>
      </c>
      <c r="C233" s="2">
        <f ca="1">OFFSET(INDIRECT(ADDRESS($A233,3,3,1,Menus!$K$10)),0,Menus!$J$3)</f>
        <v>0</v>
      </c>
      <c r="D233" s="73" t="e">
        <f ca="1">IF(Menus!$J$9,C233/B233,C233)</f>
        <v>#DIV/0!</v>
      </c>
      <c r="E233" s="74" t="e">
        <f t="shared" ca="1" si="8"/>
        <v>#N/A</v>
      </c>
      <c r="F233" s="75">
        <f ca="1">INDIRECT(ADDRESS($A233,1,3,1,Menus!$K$10))</f>
        <v>0</v>
      </c>
      <c r="G233" s="2" t="e">
        <f ca="1">IF(INDIRECT(ADDRESS($A233,2,3,1,Menus!$K$10))=G$1,$D233,#N/A)</f>
        <v>#N/A</v>
      </c>
      <c r="H233" s="2" t="e">
        <f ca="1">IF(INDIRECT(ADDRESS($A233,2,3,1,Menus!$K$10))=H$1,$D233,#N/A)</f>
        <v>#N/A</v>
      </c>
      <c r="I233" s="2" t="e">
        <f ca="1">IF(INDIRECT(ADDRESS($A233,2,3,1,Menus!$K$10))=I$1,$D233,#N/A)</f>
        <v>#N/A</v>
      </c>
      <c r="J233" s="2" t="e">
        <f ca="1">IF(INDIRECT(ADDRESS($A233,1,3,1,Menus!$K$10))=T(J$1),$D233,#N/A)</f>
        <v>#N/A</v>
      </c>
      <c r="K233" s="10">
        <f t="shared" ca="1" si="7"/>
        <v>0</v>
      </c>
      <c r="L233" s="2"/>
      <c r="M233" s="85">
        <f ca="1">OFFSET(INDIRECT(ADDRESS($A233,3,3,1,"Gross")),0,Menus!$J$4)</f>
        <v>0</v>
      </c>
      <c r="N233" s="85">
        <f ca="1">OFFSET(INDIRECT(ADDRESS($A233,3,3,1,"Gross")),0,Menus!$J$3)</f>
        <v>0</v>
      </c>
    </row>
    <row r="234" spans="1:14" x14ac:dyDescent="0.25">
      <c r="A234">
        <v>271</v>
      </c>
      <c r="B234" s="2">
        <f ca="1">OFFSET(INDIRECT(ADDRESS($A234,3,3,1,Menus!$K$10)),0,Menus!$J$4)</f>
        <v>0</v>
      </c>
      <c r="C234" s="2">
        <f ca="1">OFFSET(INDIRECT(ADDRESS($A234,3,3,1,Menus!$K$10)),0,Menus!$J$3)</f>
        <v>0</v>
      </c>
      <c r="D234" s="73" t="e">
        <f ca="1">IF(Menus!$J$9,C234/B234,C234)</f>
        <v>#DIV/0!</v>
      </c>
      <c r="E234" s="74" t="e">
        <f t="shared" ca="1" si="8"/>
        <v>#N/A</v>
      </c>
      <c r="F234" s="75">
        <f ca="1">INDIRECT(ADDRESS($A234,1,3,1,Menus!$K$10))</f>
        <v>0</v>
      </c>
      <c r="G234" s="2" t="e">
        <f ca="1">IF(INDIRECT(ADDRESS($A234,2,3,1,Menus!$K$10))=G$1,$D234,#N/A)</f>
        <v>#N/A</v>
      </c>
      <c r="H234" s="2" t="e">
        <f ca="1">IF(INDIRECT(ADDRESS($A234,2,3,1,Menus!$K$10))=H$1,$D234,#N/A)</f>
        <v>#N/A</v>
      </c>
      <c r="I234" s="2" t="e">
        <f ca="1">IF(INDIRECT(ADDRESS($A234,2,3,1,Menus!$K$10))=I$1,$D234,#N/A)</f>
        <v>#N/A</v>
      </c>
      <c r="J234" s="2" t="e">
        <f ca="1">IF(INDIRECT(ADDRESS($A234,1,3,1,Menus!$K$10))=T(J$1),$D234,#N/A)</f>
        <v>#N/A</v>
      </c>
      <c r="K234" s="10">
        <f t="shared" ca="1" si="7"/>
        <v>0</v>
      </c>
      <c r="L234" s="2"/>
      <c r="M234" s="85">
        <f ca="1">OFFSET(INDIRECT(ADDRESS($A234,3,3,1,"Gross")),0,Menus!$J$4)</f>
        <v>0</v>
      </c>
      <c r="N234" s="85">
        <f ca="1">OFFSET(INDIRECT(ADDRESS($A234,3,3,1,"Gross")),0,Menus!$J$3)</f>
        <v>0</v>
      </c>
    </row>
    <row r="235" spans="1:14" x14ac:dyDescent="0.25">
      <c r="A235">
        <v>272</v>
      </c>
      <c r="B235" s="2">
        <f ca="1">OFFSET(INDIRECT(ADDRESS($A235,3,3,1,Menus!$K$10)),0,Menus!$J$4)</f>
        <v>0</v>
      </c>
      <c r="C235" s="2">
        <f ca="1">OFFSET(INDIRECT(ADDRESS($A235,3,3,1,Menus!$K$10)),0,Menus!$J$3)</f>
        <v>0</v>
      </c>
      <c r="D235" s="73" t="e">
        <f ca="1">IF(Menus!$J$9,C235/B235,C235)</f>
        <v>#DIV/0!</v>
      </c>
      <c r="E235" s="74" t="e">
        <f t="shared" ca="1" si="8"/>
        <v>#N/A</v>
      </c>
      <c r="F235" s="75">
        <f ca="1">INDIRECT(ADDRESS($A235,1,3,1,Menus!$K$10))</f>
        <v>0</v>
      </c>
      <c r="G235" s="2" t="e">
        <f ca="1">IF(INDIRECT(ADDRESS($A235,2,3,1,Menus!$K$10))=G$1,$D235,#N/A)</f>
        <v>#N/A</v>
      </c>
      <c r="H235" s="2" t="e">
        <f ca="1">IF(INDIRECT(ADDRESS($A235,2,3,1,Menus!$K$10))=H$1,$D235,#N/A)</f>
        <v>#N/A</v>
      </c>
      <c r="I235" s="2" t="e">
        <f ca="1">IF(INDIRECT(ADDRESS($A235,2,3,1,Menus!$K$10))=I$1,$D235,#N/A)</f>
        <v>#N/A</v>
      </c>
      <c r="J235" s="2" t="e">
        <f ca="1">IF(INDIRECT(ADDRESS($A235,1,3,1,Menus!$K$10))=T(J$1),$D235,#N/A)</f>
        <v>#N/A</v>
      </c>
      <c r="K235" s="10">
        <f t="shared" ca="1" si="7"/>
        <v>0</v>
      </c>
      <c r="L235" s="2"/>
      <c r="M235" s="85">
        <f ca="1">OFFSET(INDIRECT(ADDRESS($A235,3,3,1,"Gross")),0,Menus!$J$4)</f>
        <v>0</v>
      </c>
      <c r="N235" s="85">
        <f ca="1">OFFSET(INDIRECT(ADDRESS($A235,3,3,1,"Gross")),0,Menus!$J$3)</f>
        <v>0</v>
      </c>
    </row>
    <row r="236" spans="1:14" x14ac:dyDescent="0.25">
      <c r="A236">
        <v>273</v>
      </c>
      <c r="B236" s="2">
        <f ca="1">OFFSET(INDIRECT(ADDRESS($A236,3,3,1,Menus!$K$10)),0,Menus!$J$4)</f>
        <v>0</v>
      </c>
      <c r="C236" s="2">
        <f ca="1">OFFSET(INDIRECT(ADDRESS($A236,3,3,1,Menus!$K$10)),0,Menus!$J$3)</f>
        <v>0</v>
      </c>
      <c r="D236" s="73" t="e">
        <f ca="1">IF(Menus!$J$9,C236/B236,C236)</f>
        <v>#DIV/0!</v>
      </c>
      <c r="E236" s="74" t="e">
        <f t="shared" ca="1" si="8"/>
        <v>#N/A</v>
      </c>
      <c r="F236" s="75">
        <f ca="1">INDIRECT(ADDRESS($A236,1,3,1,Menus!$K$10))</f>
        <v>0</v>
      </c>
      <c r="G236" s="2" t="e">
        <f ca="1">IF(INDIRECT(ADDRESS($A236,2,3,1,Menus!$K$10))=G$1,$D236,#N/A)</f>
        <v>#N/A</v>
      </c>
      <c r="H236" s="2" t="e">
        <f ca="1">IF(INDIRECT(ADDRESS($A236,2,3,1,Menus!$K$10))=H$1,$D236,#N/A)</f>
        <v>#N/A</v>
      </c>
      <c r="I236" s="2" t="e">
        <f ca="1">IF(INDIRECT(ADDRESS($A236,2,3,1,Menus!$K$10))=I$1,$D236,#N/A)</f>
        <v>#N/A</v>
      </c>
      <c r="J236" s="2" t="e">
        <f ca="1">IF(INDIRECT(ADDRESS($A236,1,3,1,Menus!$K$10))=T(J$1),$D236,#N/A)</f>
        <v>#N/A</v>
      </c>
      <c r="K236" s="10">
        <f t="shared" ca="1" si="7"/>
        <v>0</v>
      </c>
      <c r="L236" s="2"/>
      <c r="M236" s="85">
        <f ca="1">OFFSET(INDIRECT(ADDRESS($A236,3,3,1,"Gross")),0,Menus!$J$4)</f>
        <v>0</v>
      </c>
      <c r="N236" s="85">
        <f ca="1">OFFSET(INDIRECT(ADDRESS($A236,3,3,1,"Gross")),0,Menus!$J$3)</f>
        <v>0</v>
      </c>
    </row>
    <row r="237" spans="1:14" x14ac:dyDescent="0.25">
      <c r="A237">
        <v>274</v>
      </c>
      <c r="B237" s="2">
        <f ca="1">OFFSET(INDIRECT(ADDRESS($A237,3,3,1,Menus!$K$10)),0,Menus!$J$4)</f>
        <v>0</v>
      </c>
      <c r="C237" s="2">
        <f ca="1">OFFSET(INDIRECT(ADDRESS($A237,3,3,1,Menus!$K$10)),0,Menus!$J$3)</f>
        <v>0</v>
      </c>
      <c r="D237" s="73" t="e">
        <f ca="1">IF(Menus!$J$9,C237/B237,C237)</f>
        <v>#DIV/0!</v>
      </c>
      <c r="E237" s="74" t="e">
        <f t="shared" ca="1" si="8"/>
        <v>#N/A</v>
      </c>
      <c r="F237" s="75">
        <f ca="1">INDIRECT(ADDRESS($A237,1,3,1,Menus!$K$10))</f>
        <v>0</v>
      </c>
      <c r="G237" s="2" t="e">
        <f ca="1">IF(INDIRECT(ADDRESS($A237,2,3,1,Menus!$K$10))=G$1,$D237,#N/A)</f>
        <v>#N/A</v>
      </c>
      <c r="H237" s="2" t="e">
        <f ca="1">IF(INDIRECT(ADDRESS($A237,2,3,1,Menus!$K$10))=H$1,$D237,#N/A)</f>
        <v>#N/A</v>
      </c>
      <c r="I237" s="2" t="e">
        <f ca="1">IF(INDIRECT(ADDRESS($A237,2,3,1,Menus!$K$10))=I$1,$D237,#N/A)</f>
        <v>#N/A</v>
      </c>
      <c r="J237" s="2" t="e">
        <f ca="1">IF(INDIRECT(ADDRESS($A237,1,3,1,Menus!$K$10))=T(J$1),$D237,#N/A)</f>
        <v>#N/A</v>
      </c>
      <c r="K237" s="10">
        <f t="shared" ca="1" si="7"/>
        <v>0</v>
      </c>
      <c r="L237" s="2"/>
      <c r="M237" s="85">
        <f ca="1">OFFSET(INDIRECT(ADDRESS($A237,3,3,1,"Gross")),0,Menus!$J$4)</f>
        <v>0</v>
      </c>
      <c r="N237" s="85">
        <f ca="1">OFFSET(INDIRECT(ADDRESS($A237,3,3,1,"Gross")),0,Menus!$J$3)</f>
        <v>0</v>
      </c>
    </row>
    <row r="238" spans="1:14" x14ac:dyDescent="0.25">
      <c r="A238">
        <v>275</v>
      </c>
      <c r="B238" s="2">
        <f ca="1">OFFSET(INDIRECT(ADDRESS($A238,3,3,1,Menus!$K$10)),0,Menus!$J$4)</f>
        <v>0</v>
      </c>
      <c r="C238" s="2">
        <f ca="1">OFFSET(INDIRECT(ADDRESS($A238,3,3,1,Menus!$K$10)),0,Menus!$J$3)</f>
        <v>0</v>
      </c>
      <c r="D238" s="73" t="e">
        <f ca="1">IF(Menus!$J$9,C238/B238,C238)</f>
        <v>#DIV/0!</v>
      </c>
      <c r="E238" s="74" t="e">
        <f t="shared" ca="1" si="8"/>
        <v>#N/A</v>
      </c>
      <c r="F238" s="75">
        <f ca="1">INDIRECT(ADDRESS($A238,1,3,1,Menus!$K$10))</f>
        <v>0</v>
      </c>
      <c r="G238" s="2" t="e">
        <f ca="1">IF(INDIRECT(ADDRESS($A238,2,3,1,Menus!$K$10))=G$1,$D238,#N/A)</f>
        <v>#N/A</v>
      </c>
      <c r="H238" s="2" t="e">
        <f ca="1">IF(INDIRECT(ADDRESS($A238,2,3,1,Menus!$K$10))=H$1,$D238,#N/A)</f>
        <v>#N/A</v>
      </c>
      <c r="I238" s="2" t="e">
        <f ca="1">IF(INDIRECT(ADDRESS($A238,2,3,1,Menus!$K$10))=I$1,$D238,#N/A)</f>
        <v>#N/A</v>
      </c>
      <c r="J238" s="2" t="e">
        <f ca="1">IF(INDIRECT(ADDRESS($A238,1,3,1,Menus!$K$10))=T(J$1),$D238,#N/A)</f>
        <v>#N/A</v>
      </c>
      <c r="K238" s="10">
        <f t="shared" ca="1" si="7"/>
        <v>0</v>
      </c>
      <c r="L238" s="2"/>
      <c r="M238" s="85">
        <f ca="1">OFFSET(INDIRECT(ADDRESS($A238,3,3,1,"Gross")),0,Menus!$J$4)</f>
        <v>0</v>
      </c>
      <c r="N238" s="85">
        <f ca="1">OFFSET(INDIRECT(ADDRESS($A238,3,3,1,"Gross")),0,Menus!$J$3)</f>
        <v>0</v>
      </c>
    </row>
    <row r="239" spans="1:14" x14ac:dyDescent="0.25">
      <c r="A239">
        <v>276</v>
      </c>
      <c r="B239" s="2">
        <f ca="1">OFFSET(INDIRECT(ADDRESS($A239,3,3,1,Menus!$K$10)),0,Menus!$J$4)</f>
        <v>0</v>
      </c>
      <c r="C239" s="2">
        <f ca="1">OFFSET(INDIRECT(ADDRESS($A239,3,3,1,Menus!$K$10)),0,Menus!$J$3)</f>
        <v>0</v>
      </c>
      <c r="D239" s="73" t="e">
        <f ca="1">IF(Menus!$J$9,C239/B239,C239)</f>
        <v>#DIV/0!</v>
      </c>
      <c r="E239" s="74" t="e">
        <f t="shared" ca="1" si="8"/>
        <v>#N/A</v>
      </c>
      <c r="F239" s="75">
        <f ca="1">INDIRECT(ADDRESS($A239,1,3,1,Menus!$K$10))</f>
        <v>0</v>
      </c>
      <c r="G239" s="2" t="e">
        <f ca="1">IF(INDIRECT(ADDRESS($A239,2,3,1,Menus!$K$10))=G$1,$D239,#N/A)</f>
        <v>#N/A</v>
      </c>
      <c r="H239" s="2" t="e">
        <f ca="1">IF(INDIRECT(ADDRESS($A239,2,3,1,Menus!$K$10))=H$1,$D239,#N/A)</f>
        <v>#N/A</v>
      </c>
      <c r="I239" s="2" t="e">
        <f ca="1">IF(INDIRECT(ADDRESS($A239,2,3,1,Menus!$K$10))=I$1,$D239,#N/A)</f>
        <v>#N/A</v>
      </c>
      <c r="J239" s="2" t="e">
        <f ca="1">IF(INDIRECT(ADDRESS($A239,1,3,1,Menus!$K$10))=T(J$1),$D239,#N/A)</f>
        <v>#N/A</v>
      </c>
      <c r="K239" s="10">
        <f t="shared" ca="1" si="7"/>
        <v>0</v>
      </c>
      <c r="L239" s="2"/>
      <c r="M239" s="85">
        <f ca="1">OFFSET(INDIRECT(ADDRESS($A239,3,3,1,"Gross")),0,Menus!$J$4)</f>
        <v>0</v>
      </c>
      <c r="N239" s="85">
        <f ca="1">OFFSET(INDIRECT(ADDRESS($A239,3,3,1,"Gross")),0,Menus!$J$3)</f>
        <v>0</v>
      </c>
    </row>
    <row r="240" spans="1:14" x14ac:dyDescent="0.25">
      <c r="A240">
        <v>277</v>
      </c>
      <c r="B240" s="2">
        <f ca="1">OFFSET(INDIRECT(ADDRESS($A240,3,3,1,Menus!$K$10)),0,Menus!$J$4)</f>
        <v>0</v>
      </c>
      <c r="C240" s="2">
        <f ca="1">OFFSET(INDIRECT(ADDRESS($A240,3,3,1,Menus!$K$10)),0,Menus!$J$3)</f>
        <v>0</v>
      </c>
      <c r="D240" s="73" t="e">
        <f ca="1">IF(Menus!$J$9,C240/B240,C240)</f>
        <v>#DIV/0!</v>
      </c>
      <c r="E240" s="74" t="e">
        <f t="shared" ca="1" si="8"/>
        <v>#N/A</v>
      </c>
      <c r="F240" s="75">
        <f ca="1">INDIRECT(ADDRESS($A240,1,3,1,Menus!$K$10))</f>
        <v>0</v>
      </c>
      <c r="G240" s="2" t="e">
        <f ca="1">IF(INDIRECT(ADDRESS($A240,2,3,1,Menus!$K$10))=G$1,$D240,#N/A)</f>
        <v>#N/A</v>
      </c>
      <c r="H240" s="2" t="e">
        <f ca="1">IF(INDIRECT(ADDRESS($A240,2,3,1,Menus!$K$10))=H$1,$D240,#N/A)</f>
        <v>#N/A</v>
      </c>
      <c r="I240" s="2" t="e">
        <f ca="1">IF(INDIRECT(ADDRESS($A240,2,3,1,Menus!$K$10))=I$1,$D240,#N/A)</f>
        <v>#N/A</v>
      </c>
      <c r="J240" s="2" t="e">
        <f ca="1">IF(INDIRECT(ADDRESS($A240,1,3,1,Menus!$K$10))=T(J$1),$D240,#N/A)</f>
        <v>#N/A</v>
      </c>
      <c r="K240" s="10">
        <f t="shared" ca="1" si="7"/>
        <v>0</v>
      </c>
      <c r="L240" s="2"/>
      <c r="M240" s="85">
        <f ca="1">OFFSET(INDIRECT(ADDRESS($A240,3,3,1,"Gross")),0,Menus!$J$4)</f>
        <v>0</v>
      </c>
      <c r="N240" s="85">
        <f ca="1">OFFSET(INDIRECT(ADDRESS($A240,3,3,1,"Gross")),0,Menus!$J$3)</f>
        <v>0</v>
      </c>
    </row>
    <row r="241" spans="1:14" x14ac:dyDescent="0.25">
      <c r="A241">
        <v>278</v>
      </c>
      <c r="B241" s="2">
        <f ca="1">OFFSET(INDIRECT(ADDRESS($A241,3,3,1,Menus!$K$10)),0,Menus!$J$4)</f>
        <v>0</v>
      </c>
      <c r="C241" s="2">
        <f ca="1">OFFSET(INDIRECT(ADDRESS($A241,3,3,1,Menus!$K$10)),0,Menus!$J$3)</f>
        <v>0</v>
      </c>
      <c r="D241" s="73" t="e">
        <f ca="1">IF(Menus!$J$9,C241/B241,C241)</f>
        <v>#DIV/0!</v>
      </c>
      <c r="E241" s="74" t="e">
        <f t="shared" ca="1" si="8"/>
        <v>#N/A</v>
      </c>
      <c r="F241" s="75">
        <f ca="1">INDIRECT(ADDRESS($A241,1,3,1,Menus!$K$10))</f>
        <v>0</v>
      </c>
      <c r="G241" s="2" t="e">
        <f ca="1">IF(INDIRECT(ADDRESS($A241,2,3,1,Menus!$K$10))=G$1,$D241,#N/A)</f>
        <v>#N/A</v>
      </c>
      <c r="H241" s="2" t="e">
        <f ca="1">IF(INDIRECT(ADDRESS($A241,2,3,1,Menus!$K$10))=H$1,$D241,#N/A)</f>
        <v>#N/A</v>
      </c>
      <c r="I241" s="2" t="e">
        <f ca="1">IF(INDIRECT(ADDRESS($A241,2,3,1,Menus!$K$10))=I$1,$D241,#N/A)</f>
        <v>#N/A</v>
      </c>
      <c r="J241" s="2" t="e">
        <f ca="1">IF(INDIRECT(ADDRESS($A241,1,3,1,Menus!$K$10))=T(J$1),$D241,#N/A)</f>
        <v>#N/A</v>
      </c>
      <c r="K241" s="10">
        <f t="shared" ca="1" si="7"/>
        <v>0</v>
      </c>
      <c r="L241" s="2"/>
      <c r="M241" s="85">
        <f ca="1">OFFSET(INDIRECT(ADDRESS($A241,3,3,1,"Gross")),0,Menus!$J$4)</f>
        <v>0</v>
      </c>
      <c r="N241" s="85">
        <f ca="1">OFFSET(INDIRECT(ADDRESS($A241,3,3,1,"Gross")),0,Menus!$J$3)</f>
        <v>0</v>
      </c>
    </row>
    <row r="242" spans="1:14" x14ac:dyDescent="0.25">
      <c r="A242">
        <v>279</v>
      </c>
      <c r="B242" s="2">
        <f ca="1">OFFSET(INDIRECT(ADDRESS($A242,3,3,1,Menus!$K$10)),0,Menus!$J$4)</f>
        <v>0</v>
      </c>
      <c r="C242" s="2">
        <f ca="1">OFFSET(INDIRECT(ADDRESS($A242,3,3,1,Menus!$K$10)),0,Menus!$J$3)</f>
        <v>0</v>
      </c>
      <c r="D242" s="73" t="e">
        <f ca="1">IF(Menus!$J$9,C242/B242,C242)</f>
        <v>#DIV/0!</v>
      </c>
      <c r="E242" s="74" t="e">
        <f t="shared" ca="1" si="8"/>
        <v>#N/A</v>
      </c>
      <c r="F242" s="75">
        <f ca="1">INDIRECT(ADDRESS($A242,1,3,1,Menus!$K$10))</f>
        <v>0</v>
      </c>
      <c r="G242" s="2" t="e">
        <f ca="1">IF(INDIRECT(ADDRESS($A242,2,3,1,Menus!$K$10))=G$1,$D242,#N/A)</f>
        <v>#N/A</v>
      </c>
      <c r="H242" s="2" t="e">
        <f ca="1">IF(INDIRECT(ADDRESS($A242,2,3,1,Menus!$K$10))=H$1,$D242,#N/A)</f>
        <v>#N/A</v>
      </c>
      <c r="I242" s="2" t="e">
        <f ca="1">IF(INDIRECT(ADDRESS($A242,2,3,1,Menus!$K$10))=I$1,$D242,#N/A)</f>
        <v>#N/A</v>
      </c>
      <c r="J242" s="2" t="e">
        <f ca="1">IF(INDIRECT(ADDRESS($A242,1,3,1,Menus!$K$10))=T(J$1),$D242,#N/A)</f>
        <v>#N/A</v>
      </c>
      <c r="K242" s="10">
        <f t="shared" ca="1" si="7"/>
        <v>0</v>
      </c>
      <c r="L242" s="2"/>
      <c r="M242" s="85">
        <f ca="1">OFFSET(INDIRECT(ADDRESS($A242,3,3,1,"Gross")),0,Menus!$J$4)</f>
        <v>0</v>
      </c>
      <c r="N242" s="85">
        <f ca="1">OFFSET(INDIRECT(ADDRESS($A242,3,3,1,"Gross")),0,Menus!$J$3)</f>
        <v>0</v>
      </c>
    </row>
    <row r="243" spans="1:14" x14ac:dyDescent="0.25">
      <c r="A243">
        <v>280</v>
      </c>
      <c r="B243" s="2">
        <f ca="1">OFFSET(INDIRECT(ADDRESS($A243,3,3,1,Menus!$K$10)),0,Menus!$J$4)</f>
        <v>0</v>
      </c>
      <c r="C243" s="2">
        <f ca="1">OFFSET(INDIRECT(ADDRESS($A243,3,3,1,Menus!$K$10)),0,Menus!$J$3)</f>
        <v>0</v>
      </c>
      <c r="D243" s="73" t="e">
        <f ca="1">IF(Menus!$J$9,C243/B243,C243)</f>
        <v>#DIV/0!</v>
      </c>
      <c r="E243" s="74" t="e">
        <f t="shared" ca="1" si="8"/>
        <v>#N/A</v>
      </c>
      <c r="F243" s="75">
        <f ca="1">INDIRECT(ADDRESS($A243,1,3,1,Menus!$K$10))</f>
        <v>0</v>
      </c>
      <c r="G243" s="2" t="e">
        <f ca="1">IF(INDIRECT(ADDRESS($A243,2,3,1,Menus!$K$10))=G$1,$D243,#N/A)</f>
        <v>#N/A</v>
      </c>
      <c r="H243" s="2" t="e">
        <f ca="1">IF(INDIRECT(ADDRESS($A243,2,3,1,Menus!$K$10))=H$1,$D243,#N/A)</f>
        <v>#N/A</v>
      </c>
      <c r="I243" s="2" t="e">
        <f ca="1">IF(INDIRECT(ADDRESS($A243,2,3,1,Menus!$K$10))=I$1,$D243,#N/A)</f>
        <v>#N/A</v>
      </c>
      <c r="J243" s="2" t="e">
        <f ca="1">IF(INDIRECT(ADDRESS($A243,1,3,1,Menus!$K$10))=T(J$1),$D243,#N/A)</f>
        <v>#N/A</v>
      </c>
      <c r="K243" s="10">
        <f t="shared" ca="1" si="7"/>
        <v>0</v>
      </c>
      <c r="L243" s="2"/>
      <c r="M243" s="85">
        <f ca="1">OFFSET(INDIRECT(ADDRESS($A243,3,3,1,"Gross")),0,Menus!$J$4)</f>
        <v>0</v>
      </c>
      <c r="N243" s="85">
        <f ca="1">OFFSET(INDIRECT(ADDRESS($A243,3,3,1,"Gross")),0,Menus!$J$3)</f>
        <v>0</v>
      </c>
    </row>
    <row r="244" spans="1:14" x14ac:dyDescent="0.25">
      <c r="A244">
        <v>281</v>
      </c>
      <c r="B244" s="2">
        <f ca="1">OFFSET(INDIRECT(ADDRESS($A244,3,3,1,Menus!$K$10)),0,Menus!$J$4)</f>
        <v>0</v>
      </c>
      <c r="C244" s="2">
        <f ca="1">OFFSET(INDIRECT(ADDRESS($A244,3,3,1,Menus!$K$10)),0,Menus!$J$3)</f>
        <v>0</v>
      </c>
      <c r="D244" s="73" t="e">
        <f ca="1">IF(Menus!$J$9,C244/B244,C244)</f>
        <v>#DIV/0!</v>
      </c>
      <c r="E244" s="74" t="e">
        <f t="shared" ca="1" si="8"/>
        <v>#N/A</v>
      </c>
      <c r="F244" s="75">
        <f ca="1">INDIRECT(ADDRESS($A244,1,3,1,Menus!$K$10))</f>
        <v>0</v>
      </c>
      <c r="G244" s="2" t="e">
        <f ca="1">IF(INDIRECT(ADDRESS($A244,2,3,1,Menus!$K$10))=G$1,$D244,#N/A)</f>
        <v>#N/A</v>
      </c>
      <c r="H244" s="2" t="e">
        <f ca="1">IF(INDIRECT(ADDRESS($A244,2,3,1,Menus!$K$10))=H$1,$D244,#N/A)</f>
        <v>#N/A</v>
      </c>
      <c r="I244" s="2" t="e">
        <f ca="1">IF(INDIRECT(ADDRESS($A244,2,3,1,Menus!$K$10))=I$1,$D244,#N/A)</f>
        <v>#N/A</v>
      </c>
      <c r="J244" s="2" t="e">
        <f ca="1">IF(INDIRECT(ADDRESS($A244,1,3,1,Menus!$K$10))=T(J$1),$D244,#N/A)</f>
        <v>#N/A</v>
      </c>
      <c r="K244" s="10">
        <f t="shared" ca="1" si="7"/>
        <v>0</v>
      </c>
      <c r="L244" s="2"/>
      <c r="M244" s="85">
        <f ca="1">OFFSET(INDIRECT(ADDRESS($A244,3,3,1,"Gross")),0,Menus!$J$4)</f>
        <v>0</v>
      </c>
      <c r="N244" s="85">
        <f ca="1">OFFSET(INDIRECT(ADDRESS($A244,3,3,1,"Gross")),0,Menus!$J$3)</f>
        <v>0</v>
      </c>
    </row>
    <row r="245" spans="1:14" x14ac:dyDescent="0.25">
      <c r="A245">
        <v>282</v>
      </c>
      <c r="B245" s="2">
        <f ca="1">OFFSET(INDIRECT(ADDRESS($A245,3,3,1,Menus!$K$10)),0,Menus!$J$4)</f>
        <v>0</v>
      </c>
      <c r="C245" s="2">
        <f ca="1">OFFSET(INDIRECT(ADDRESS($A245,3,3,1,Menus!$K$10)),0,Menus!$J$3)</f>
        <v>0</v>
      </c>
      <c r="D245" s="73" t="e">
        <f ca="1">IF(Menus!$J$9,C245/B245,C245)</f>
        <v>#DIV/0!</v>
      </c>
      <c r="E245" s="74" t="e">
        <f t="shared" ca="1" si="8"/>
        <v>#N/A</v>
      </c>
      <c r="F245" s="75">
        <f ca="1">INDIRECT(ADDRESS($A245,1,3,1,Menus!$K$10))</f>
        <v>0</v>
      </c>
      <c r="G245" s="2" t="e">
        <f ca="1">IF(INDIRECT(ADDRESS($A245,2,3,1,Menus!$K$10))=G$1,$D245,#N/A)</f>
        <v>#N/A</v>
      </c>
      <c r="H245" s="2" t="e">
        <f ca="1">IF(INDIRECT(ADDRESS($A245,2,3,1,Menus!$K$10))=H$1,$D245,#N/A)</f>
        <v>#N/A</v>
      </c>
      <c r="I245" s="2" t="e">
        <f ca="1">IF(INDIRECT(ADDRESS($A245,2,3,1,Menus!$K$10))=I$1,$D245,#N/A)</f>
        <v>#N/A</v>
      </c>
      <c r="J245" s="2" t="e">
        <f ca="1">IF(INDIRECT(ADDRESS($A245,1,3,1,Menus!$K$10))=T(J$1),$D245,#N/A)</f>
        <v>#N/A</v>
      </c>
      <c r="K245" s="10">
        <f t="shared" ca="1" si="7"/>
        <v>0</v>
      </c>
      <c r="L245" s="2"/>
      <c r="M245" s="85">
        <f ca="1">OFFSET(INDIRECT(ADDRESS($A245,3,3,1,"Gross")),0,Menus!$J$4)</f>
        <v>0</v>
      </c>
      <c r="N245" s="85">
        <f ca="1">OFFSET(INDIRECT(ADDRESS($A245,3,3,1,"Gross")),0,Menus!$J$3)</f>
        <v>0</v>
      </c>
    </row>
    <row r="246" spans="1:14" x14ac:dyDescent="0.25">
      <c r="A246">
        <v>283</v>
      </c>
      <c r="B246" s="2">
        <f ca="1">OFFSET(INDIRECT(ADDRESS($A246,3,3,1,Menus!$K$10)),0,Menus!$J$4)</f>
        <v>0</v>
      </c>
      <c r="C246" s="2">
        <f ca="1">OFFSET(INDIRECT(ADDRESS($A246,3,3,1,Menus!$K$10)),0,Menus!$J$3)</f>
        <v>0</v>
      </c>
      <c r="D246" s="73" t="e">
        <f ca="1">IF(Menus!$J$9,C246/B246,C246)</f>
        <v>#DIV/0!</v>
      </c>
      <c r="E246" s="74" t="e">
        <f t="shared" ca="1" si="8"/>
        <v>#N/A</v>
      </c>
      <c r="F246" s="75">
        <f ca="1">INDIRECT(ADDRESS($A246,1,3,1,Menus!$K$10))</f>
        <v>0</v>
      </c>
      <c r="G246" s="2" t="e">
        <f ca="1">IF(INDIRECT(ADDRESS($A246,2,3,1,Menus!$K$10))=G$1,$D246,#N/A)</f>
        <v>#N/A</v>
      </c>
      <c r="H246" s="2" t="e">
        <f ca="1">IF(INDIRECT(ADDRESS($A246,2,3,1,Menus!$K$10))=H$1,$D246,#N/A)</f>
        <v>#N/A</v>
      </c>
      <c r="I246" s="2" t="e">
        <f ca="1">IF(INDIRECT(ADDRESS($A246,2,3,1,Menus!$K$10))=I$1,$D246,#N/A)</f>
        <v>#N/A</v>
      </c>
      <c r="J246" s="2" t="e">
        <f ca="1">IF(INDIRECT(ADDRESS($A246,1,3,1,Menus!$K$10))=T(J$1),$D246,#N/A)</f>
        <v>#N/A</v>
      </c>
      <c r="K246" s="10">
        <f t="shared" ca="1" si="7"/>
        <v>0</v>
      </c>
      <c r="L246" s="2"/>
      <c r="M246" s="85">
        <f ca="1">OFFSET(INDIRECT(ADDRESS($A246,3,3,1,"Gross")),0,Menus!$J$4)</f>
        <v>0</v>
      </c>
      <c r="N246" s="85">
        <f ca="1">OFFSET(INDIRECT(ADDRESS($A246,3,3,1,"Gross")),0,Menus!$J$3)</f>
        <v>0</v>
      </c>
    </row>
    <row r="247" spans="1:14" x14ac:dyDescent="0.25">
      <c r="A247">
        <v>284</v>
      </c>
      <c r="B247" s="2">
        <f ca="1">OFFSET(INDIRECT(ADDRESS($A247,3,3,1,Menus!$K$10)),0,Menus!$J$4)</f>
        <v>0</v>
      </c>
      <c r="C247" s="2">
        <f ca="1">OFFSET(INDIRECT(ADDRESS($A247,3,3,1,Menus!$K$10)),0,Menus!$J$3)</f>
        <v>0</v>
      </c>
      <c r="D247" s="73" t="e">
        <f ca="1">IF(Menus!$J$9,C247/B247,C247)</f>
        <v>#DIV/0!</v>
      </c>
      <c r="E247" s="74" t="e">
        <f t="shared" ca="1" si="8"/>
        <v>#N/A</v>
      </c>
      <c r="F247" s="75">
        <f ca="1">INDIRECT(ADDRESS($A247,1,3,1,Menus!$K$10))</f>
        <v>0</v>
      </c>
      <c r="G247" s="2" t="e">
        <f ca="1">IF(INDIRECT(ADDRESS($A247,2,3,1,Menus!$K$10))=G$1,$D247,#N/A)</f>
        <v>#N/A</v>
      </c>
      <c r="H247" s="2" t="e">
        <f ca="1">IF(INDIRECT(ADDRESS($A247,2,3,1,Menus!$K$10))=H$1,$D247,#N/A)</f>
        <v>#N/A</v>
      </c>
      <c r="I247" s="2" t="e">
        <f ca="1">IF(INDIRECT(ADDRESS($A247,2,3,1,Menus!$K$10))=I$1,$D247,#N/A)</f>
        <v>#N/A</v>
      </c>
      <c r="J247" s="2" t="e">
        <f ca="1">IF(INDIRECT(ADDRESS($A247,1,3,1,Menus!$K$10))=T(J$1),$D247,#N/A)</f>
        <v>#N/A</v>
      </c>
      <c r="K247" s="10">
        <f t="shared" ca="1" si="7"/>
        <v>0</v>
      </c>
      <c r="L247" s="2"/>
      <c r="M247" s="85">
        <f ca="1">OFFSET(INDIRECT(ADDRESS($A247,3,3,1,"Gross")),0,Menus!$J$4)</f>
        <v>0</v>
      </c>
      <c r="N247" s="85">
        <f ca="1">OFFSET(INDIRECT(ADDRESS($A247,3,3,1,"Gross")),0,Menus!$J$3)</f>
        <v>0</v>
      </c>
    </row>
    <row r="248" spans="1:14" x14ac:dyDescent="0.25">
      <c r="A248">
        <v>285</v>
      </c>
      <c r="B248" s="2">
        <f ca="1">OFFSET(INDIRECT(ADDRESS($A248,3,3,1,Menus!$K$10)),0,Menus!$J$4)</f>
        <v>0</v>
      </c>
      <c r="C248" s="2">
        <f ca="1">OFFSET(INDIRECT(ADDRESS($A248,3,3,1,Menus!$K$10)),0,Menus!$J$3)</f>
        <v>0</v>
      </c>
      <c r="D248" s="73" t="e">
        <f ca="1">IF(Menus!$J$9,C248/B248,C248)</f>
        <v>#DIV/0!</v>
      </c>
      <c r="E248" s="74" t="e">
        <f t="shared" ca="1" si="8"/>
        <v>#N/A</v>
      </c>
      <c r="F248" s="75">
        <f ca="1">INDIRECT(ADDRESS($A248,1,3,1,Menus!$K$10))</f>
        <v>0</v>
      </c>
      <c r="G248" s="2" t="e">
        <f ca="1">IF(INDIRECT(ADDRESS($A248,2,3,1,Menus!$K$10))=G$1,$D248,#N/A)</f>
        <v>#N/A</v>
      </c>
      <c r="H248" s="2" t="e">
        <f ca="1">IF(INDIRECT(ADDRESS($A248,2,3,1,Menus!$K$10))=H$1,$D248,#N/A)</f>
        <v>#N/A</v>
      </c>
      <c r="I248" s="2" t="e">
        <f ca="1">IF(INDIRECT(ADDRESS($A248,2,3,1,Menus!$K$10))=I$1,$D248,#N/A)</f>
        <v>#N/A</v>
      </c>
      <c r="J248" s="2" t="e">
        <f ca="1">IF(INDIRECT(ADDRESS($A248,1,3,1,Menus!$K$10))=T(J$1),$D248,#N/A)</f>
        <v>#N/A</v>
      </c>
      <c r="K248" s="10">
        <f t="shared" ca="1" si="7"/>
        <v>0</v>
      </c>
      <c r="L248" s="2"/>
      <c r="M248" s="85">
        <f ca="1">OFFSET(INDIRECT(ADDRESS($A248,3,3,1,"Gross")),0,Menus!$J$4)</f>
        <v>0</v>
      </c>
      <c r="N248" s="85">
        <f ca="1">OFFSET(INDIRECT(ADDRESS($A248,3,3,1,"Gross")),0,Menus!$J$3)</f>
        <v>0</v>
      </c>
    </row>
    <row r="249" spans="1:14" x14ac:dyDescent="0.25">
      <c r="A249">
        <v>286</v>
      </c>
      <c r="B249" s="2">
        <f ca="1">OFFSET(INDIRECT(ADDRESS($A249,3,3,1,Menus!$K$10)),0,Menus!$J$4)</f>
        <v>0</v>
      </c>
      <c r="C249" s="2">
        <f ca="1">OFFSET(INDIRECT(ADDRESS($A249,3,3,1,Menus!$K$10)),0,Menus!$J$3)</f>
        <v>0</v>
      </c>
      <c r="D249" s="73" t="e">
        <f ca="1">IF(Menus!$J$9,C249/B249,C249)</f>
        <v>#DIV/0!</v>
      </c>
      <c r="E249" s="74" t="e">
        <f t="shared" ca="1" si="8"/>
        <v>#N/A</v>
      </c>
      <c r="F249" s="75">
        <f ca="1">INDIRECT(ADDRESS($A249,1,3,1,Menus!$K$10))</f>
        <v>0</v>
      </c>
      <c r="G249" s="2" t="e">
        <f ca="1">IF(INDIRECT(ADDRESS($A249,2,3,1,Menus!$K$10))=G$1,$D249,#N/A)</f>
        <v>#N/A</v>
      </c>
      <c r="H249" s="2" t="e">
        <f ca="1">IF(INDIRECT(ADDRESS($A249,2,3,1,Menus!$K$10))=H$1,$D249,#N/A)</f>
        <v>#N/A</v>
      </c>
      <c r="I249" s="2" t="e">
        <f ca="1">IF(INDIRECT(ADDRESS($A249,2,3,1,Menus!$K$10))=I$1,$D249,#N/A)</f>
        <v>#N/A</v>
      </c>
      <c r="J249" s="2" t="e">
        <f ca="1">IF(INDIRECT(ADDRESS($A249,1,3,1,Menus!$K$10))=T(J$1),$D249,#N/A)</f>
        <v>#N/A</v>
      </c>
      <c r="K249" s="10">
        <f t="shared" ca="1" si="7"/>
        <v>0</v>
      </c>
      <c r="L249" s="2"/>
      <c r="M249" s="85">
        <f ca="1">OFFSET(INDIRECT(ADDRESS($A249,3,3,1,"Gross")),0,Menus!$J$4)</f>
        <v>0</v>
      </c>
      <c r="N249" s="85">
        <f ca="1">OFFSET(INDIRECT(ADDRESS($A249,3,3,1,"Gross")),0,Menus!$J$3)</f>
        <v>0</v>
      </c>
    </row>
    <row r="250" spans="1:14" x14ac:dyDescent="0.25">
      <c r="A250">
        <v>287</v>
      </c>
      <c r="B250" s="2">
        <f ca="1">OFFSET(INDIRECT(ADDRESS($A250,3,3,1,Menus!$K$10)),0,Menus!$J$4)</f>
        <v>0</v>
      </c>
      <c r="C250" s="2">
        <f ca="1">OFFSET(INDIRECT(ADDRESS($A250,3,3,1,Menus!$K$10)),0,Menus!$J$3)</f>
        <v>0</v>
      </c>
      <c r="D250" s="73" t="e">
        <f ca="1">IF(Menus!$J$9,C250/B250,C250)</f>
        <v>#DIV/0!</v>
      </c>
      <c r="E250" s="74" t="e">
        <f t="shared" ca="1" si="8"/>
        <v>#N/A</v>
      </c>
      <c r="F250" s="75">
        <f ca="1">INDIRECT(ADDRESS($A250,1,3,1,Menus!$K$10))</f>
        <v>0</v>
      </c>
      <c r="G250" s="2" t="e">
        <f ca="1">IF(INDIRECT(ADDRESS($A250,2,3,1,Menus!$K$10))=G$1,$D250,#N/A)</f>
        <v>#N/A</v>
      </c>
      <c r="H250" s="2" t="e">
        <f ca="1">IF(INDIRECT(ADDRESS($A250,2,3,1,Menus!$K$10))=H$1,$D250,#N/A)</f>
        <v>#N/A</v>
      </c>
      <c r="I250" s="2" t="e">
        <f ca="1">IF(INDIRECT(ADDRESS($A250,2,3,1,Menus!$K$10))=I$1,$D250,#N/A)</f>
        <v>#N/A</v>
      </c>
      <c r="J250" s="2" t="e">
        <f ca="1">IF(INDIRECT(ADDRESS($A250,1,3,1,Menus!$K$10))=T(J$1),$D250,#N/A)</f>
        <v>#N/A</v>
      </c>
      <c r="K250" s="10">
        <f t="shared" ca="1" si="7"/>
        <v>0</v>
      </c>
      <c r="L250" s="2"/>
      <c r="M250" s="85">
        <f ca="1">OFFSET(INDIRECT(ADDRESS($A250,3,3,1,"Gross")),0,Menus!$J$4)</f>
        <v>0</v>
      </c>
      <c r="N250" s="85">
        <f ca="1">OFFSET(INDIRECT(ADDRESS($A250,3,3,1,"Gross")),0,Menus!$J$3)</f>
        <v>0</v>
      </c>
    </row>
    <row r="251" spans="1:14" x14ac:dyDescent="0.25">
      <c r="A251">
        <v>288</v>
      </c>
      <c r="B251" s="2">
        <f ca="1">OFFSET(INDIRECT(ADDRESS($A251,3,3,1,Menus!$K$10)),0,Menus!$J$4)</f>
        <v>0</v>
      </c>
      <c r="C251" s="2">
        <f ca="1">OFFSET(INDIRECT(ADDRESS($A251,3,3,1,Menus!$K$10)),0,Menus!$J$3)</f>
        <v>0</v>
      </c>
      <c r="D251" s="73" t="e">
        <f ca="1">IF(Menus!$J$9,C251/B251,C251)</f>
        <v>#DIV/0!</v>
      </c>
      <c r="E251" s="74" t="e">
        <f t="shared" ca="1" si="8"/>
        <v>#N/A</v>
      </c>
      <c r="F251" s="75">
        <f ca="1">INDIRECT(ADDRESS($A251,1,3,1,Menus!$K$10))</f>
        <v>0</v>
      </c>
      <c r="G251" s="2" t="e">
        <f ca="1">IF(INDIRECT(ADDRESS($A251,2,3,1,Menus!$K$10))=G$1,$D251,#N/A)</f>
        <v>#N/A</v>
      </c>
      <c r="H251" s="2" t="e">
        <f ca="1">IF(INDIRECT(ADDRESS($A251,2,3,1,Menus!$K$10))=H$1,$D251,#N/A)</f>
        <v>#N/A</v>
      </c>
      <c r="I251" s="2" t="e">
        <f ca="1">IF(INDIRECT(ADDRESS($A251,2,3,1,Menus!$K$10))=I$1,$D251,#N/A)</f>
        <v>#N/A</v>
      </c>
      <c r="J251" s="2" t="e">
        <f ca="1">IF(INDIRECT(ADDRESS($A251,1,3,1,Menus!$K$10))=T(J$1),$D251,#N/A)</f>
        <v>#N/A</v>
      </c>
      <c r="K251" s="10">
        <f t="shared" ca="1" si="7"/>
        <v>0</v>
      </c>
      <c r="L251" s="2"/>
      <c r="M251" s="85">
        <f ca="1">OFFSET(INDIRECT(ADDRESS($A251,3,3,1,"Gross")),0,Menus!$J$4)</f>
        <v>0</v>
      </c>
      <c r="N251" s="85">
        <f ca="1">OFFSET(INDIRECT(ADDRESS($A251,3,3,1,"Gross")),0,Menus!$J$3)</f>
        <v>0</v>
      </c>
    </row>
    <row r="252" spans="1:14" x14ac:dyDescent="0.25">
      <c r="A252">
        <v>289</v>
      </c>
      <c r="B252" s="2">
        <f ca="1">OFFSET(INDIRECT(ADDRESS($A252,3,3,1,Menus!$K$10)),0,Menus!$J$4)</f>
        <v>0</v>
      </c>
      <c r="C252" s="2">
        <f ca="1">OFFSET(INDIRECT(ADDRESS($A252,3,3,1,Menus!$K$10)),0,Menus!$J$3)</f>
        <v>0</v>
      </c>
      <c r="D252" s="73" t="e">
        <f ca="1">IF(Menus!$J$9,C252/B252,C252)</f>
        <v>#DIV/0!</v>
      </c>
      <c r="E252" s="74" t="e">
        <f t="shared" ca="1" si="8"/>
        <v>#N/A</v>
      </c>
      <c r="F252" s="75">
        <f ca="1">INDIRECT(ADDRESS($A252,1,3,1,Menus!$K$10))</f>
        <v>0</v>
      </c>
      <c r="G252" s="2" t="e">
        <f ca="1">IF(INDIRECT(ADDRESS($A252,2,3,1,Menus!$K$10))=G$1,$D252,#N/A)</f>
        <v>#N/A</v>
      </c>
      <c r="H252" s="2" t="e">
        <f ca="1">IF(INDIRECT(ADDRESS($A252,2,3,1,Menus!$K$10))=H$1,$D252,#N/A)</f>
        <v>#N/A</v>
      </c>
      <c r="I252" s="2" t="e">
        <f ca="1">IF(INDIRECT(ADDRESS($A252,2,3,1,Menus!$K$10))=I$1,$D252,#N/A)</f>
        <v>#N/A</v>
      </c>
      <c r="J252" s="2" t="e">
        <f ca="1">IF(INDIRECT(ADDRESS($A252,1,3,1,Menus!$K$10))=T(J$1),$D252,#N/A)</f>
        <v>#N/A</v>
      </c>
      <c r="K252" s="10">
        <f t="shared" ca="1" si="7"/>
        <v>0</v>
      </c>
      <c r="L252" s="2"/>
      <c r="M252" s="85">
        <f ca="1">OFFSET(INDIRECT(ADDRESS($A252,3,3,1,"Gross")),0,Menus!$J$4)</f>
        <v>0</v>
      </c>
      <c r="N252" s="85">
        <f ca="1">OFFSET(INDIRECT(ADDRESS($A252,3,3,1,"Gross")),0,Menus!$J$3)</f>
        <v>0</v>
      </c>
    </row>
    <row r="253" spans="1:14" x14ac:dyDescent="0.25">
      <c r="A253">
        <v>290</v>
      </c>
      <c r="B253" s="2">
        <f ca="1">OFFSET(INDIRECT(ADDRESS($A253,3,3,1,Menus!$K$10)),0,Menus!$J$4)</f>
        <v>0</v>
      </c>
      <c r="C253" s="2">
        <f ca="1">OFFSET(INDIRECT(ADDRESS($A253,3,3,1,Menus!$K$10)),0,Menus!$J$3)</f>
        <v>0</v>
      </c>
      <c r="D253" s="73" t="e">
        <f ca="1">IF(Menus!$J$9,C253/B253,C253)</f>
        <v>#DIV/0!</v>
      </c>
      <c r="E253" s="74" t="e">
        <f t="shared" ca="1" si="8"/>
        <v>#N/A</v>
      </c>
      <c r="F253" s="75">
        <f ca="1">INDIRECT(ADDRESS($A253,1,3,1,Menus!$K$10))</f>
        <v>0</v>
      </c>
      <c r="G253" s="2" t="e">
        <f ca="1">IF(INDIRECT(ADDRESS($A253,2,3,1,Menus!$K$10))=G$1,$D253,#N/A)</f>
        <v>#N/A</v>
      </c>
      <c r="H253" s="2" t="e">
        <f ca="1">IF(INDIRECT(ADDRESS($A253,2,3,1,Menus!$K$10))=H$1,$D253,#N/A)</f>
        <v>#N/A</v>
      </c>
      <c r="I253" s="2" t="e">
        <f ca="1">IF(INDIRECT(ADDRESS($A253,2,3,1,Menus!$K$10))=I$1,$D253,#N/A)</f>
        <v>#N/A</v>
      </c>
      <c r="J253" s="2" t="e">
        <f ca="1">IF(INDIRECT(ADDRESS($A253,1,3,1,Menus!$K$10))=T(J$1),$D253,#N/A)</f>
        <v>#N/A</v>
      </c>
      <c r="K253" s="10">
        <f t="shared" ca="1" si="7"/>
        <v>0</v>
      </c>
      <c r="L253" s="2"/>
      <c r="M253" s="85">
        <f ca="1">OFFSET(INDIRECT(ADDRESS($A253,3,3,1,"Gross")),0,Menus!$J$4)</f>
        <v>0</v>
      </c>
      <c r="N253" s="85">
        <f ca="1">OFFSET(INDIRECT(ADDRESS($A253,3,3,1,"Gross")),0,Menus!$J$3)</f>
        <v>0</v>
      </c>
    </row>
    <row r="254" spans="1:14" x14ac:dyDescent="0.25">
      <c r="A254">
        <v>291</v>
      </c>
      <c r="B254" s="2">
        <f ca="1">OFFSET(INDIRECT(ADDRESS($A254,3,3,1,Menus!$K$10)),0,Menus!$J$4)</f>
        <v>0</v>
      </c>
      <c r="C254" s="2">
        <f ca="1">OFFSET(INDIRECT(ADDRESS($A254,3,3,1,Menus!$K$10)),0,Menus!$J$3)</f>
        <v>0</v>
      </c>
      <c r="D254" s="73" t="e">
        <f ca="1">IF(Menus!$J$9,C254/B254,C254)</f>
        <v>#DIV/0!</v>
      </c>
      <c r="E254" s="74" t="e">
        <f t="shared" ca="1" si="8"/>
        <v>#N/A</v>
      </c>
      <c r="F254" s="75">
        <f ca="1">INDIRECT(ADDRESS($A254,1,3,1,Menus!$K$10))</f>
        <v>0</v>
      </c>
      <c r="G254" s="2" t="e">
        <f ca="1">IF(INDIRECT(ADDRESS($A254,2,3,1,Menus!$K$10))=G$1,$D254,#N/A)</f>
        <v>#N/A</v>
      </c>
      <c r="H254" s="2" t="e">
        <f ca="1">IF(INDIRECT(ADDRESS($A254,2,3,1,Menus!$K$10))=H$1,$D254,#N/A)</f>
        <v>#N/A</v>
      </c>
      <c r="I254" s="2" t="e">
        <f ca="1">IF(INDIRECT(ADDRESS($A254,2,3,1,Menus!$K$10))=I$1,$D254,#N/A)</f>
        <v>#N/A</v>
      </c>
      <c r="J254" s="2" t="e">
        <f ca="1">IF(INDIRECT(ADDRESS($A254,1,3,1,Menus!$K$10))=T(J$1),$D254,#N/A)</f>
        <v>#N/A</v>
      </c>
      <c r="K254" s="10">
        <f t="shared" ca="1" si="7"/>
        <v>0</v>
      </c>
      <c r="L254" s="2"/>
      <c r="M254" s="85">
        <f ca="1">OFFSET(INDIRECT(ADDRESS($A254,3,3,1,"Gross")),0,Menus!$J$4)</f>
        <v>0</v>
      </c>
      <c r="N254" s="85">
        <f ca="1">OFFSET(INDIRECT(ADDRESS($A254,3,3,1,"Gross")),0,Menus!$J$3)</f>
        <v>0</v>
      </c>
    </row>
    <row r="255" spans="1:14" x14ac:dyDescent="0.25">
      <c r="A255">
        <v>292</v>
      </c>
      <c r="B255" s="2">
        <f ca="1">OFFSET(INDIRECT(ADDRESS($A255,3,3,1,Menus!$K$10)),0,Menus!$J$4)</f>
        <v>0</v>
      </c>
      <c r="C255" s="2">
        <f ca="1">OFFSET(INDIRECT(ADDRESS($A255,3,3,1,Menus!$K$10)),0,Menus!$J$3)</f>
        <v>0</v>
      </c>
      <c r="D255" s="73" t="e">
        <f ca="1">IF(Menus!$J$9,C255/B255,C255)</f>
        <v>#DIV/0!</v>
      </c>
      <c r="E255" s="74" t="e">
        <f t="shared" ca="1" si="8"/>
        <v>#N/A</v>
      </c>
      <c r="F255" s="75">
        <f ca="1">INDIRECT(ADDRESS($A255,1,3,1,Menus!$K$10))</f>
        <v>0</v>
      </c>
      <c r="G255" s="2" t="e">
        <f ca="1">IF(INDIRECT(ADDRESS($A255,2,3,1,Menus!$K$10))=G$1,$D255,#N/A)</f>
        <v>#N/A</v>
      </c>
      <c r="H255" s="2" t="e">
        <f ca="1">IF(INDIRECT(ADDRESS($A255,2,3,1,Menus!$K$10))=H$1,$D255,#N/A)</f>
        <v>#N/A</v>
      </c>
      <c r="I255" s="2" t="e">
        <f ca="1">IF(INDIRECT(ADDRESS($A255,2,3,1,Menus!$K$10))=I$1,$D255,#N/A)</f>
        <v>#N/A</v>
      </c>
      <c r="J255" s="2" t="e">
        <f ca="1">IF(INDIRECT(ADDRESS($A255,1,3,1,Menus!$K$10))=T(J$1),$D255,#N/A)</f>
        <v>#N/A</v>
      </c>
      <c r="K255" s="10">
        <f t="shared" ca="1" si="7"/>
        <v>0</v>
      </c>
      <c r="L255" s="2"/>
      <c r="M255" s="85">
        <f ca="1">OFFSET(INDIRECT(ADDRESS($A255,3,3,1,"Gross")),0,Menus!$J$4)</f>
        <v>0</v>
      </c>
      <c r="N255" s="85">
        <f ca="1">OFFSET(INDIRECT(ADDRESS($A255,3,3,1,"Gross")),0,Menus!$J$3)</f>
        <v>0</v>
      </c>
    </row>
    <row r="256" spans="1:14" x14ac:dyDescent="0.25">
      <c r="A256">
        <v>293</v>
      </c>
      <c r="B256" s="2">
        <f ca="1">OFFSET(INDIRECT(ADDRESS($A256,3,3,1,Menus!$K$10)),0,Menus!$J$4)</f>
        <v>0</v>
      </c>
      <c r="C256" s="2">
        <f ca="1">OFFSET(INDIRECT(ADDRESS($A256,3,3,1,Menus!$K$10)),0,Menus!$J$3)</f>
        <v>0</v>
      </c>
      <c r="D256" s="73" t="e">
        <f ca="1">IF(Menus!$J$9,C256/B256,C256)</f>
        <v>#DIV/0!</v>
      </c>
      <c r="E256" s="74" t="e">
        <f t="shared" ca="1" si="8"/>
        <v>#N/A</v>
      </c>
      <c r="F256" s="75">
        <f ca="1">INDIRECT(ADDRESS($A256,1,3,1,Menus!$K$10))</f>
        <v>0</v>
      </c>
      <c r="G256" s="2" t="e">
        <f ca="1">IF(INDIRECT(ADDRESS($A256,2,3,1,Menus!$K$10))=G$1,$D256,#N/A)</f>
        <v>#N/A</v>
      </c>
      <c r="H256" s="2" t="e">
        <f ca="1">IF(INDIRECT(ADDRESS($A256,2,3,1,Menus!$K$10))=H$1,$D256,#N/A)</f>
        <v>#N/A</v>
      </c>
      <c r="I256" s="2" t="e">
        <f ca="1">IF(INDIRECT(ADDRESS($A256,2,3,1,Menus!$K$10))=I$1,$D256,#N/A)</f>
        <v>#N/A</v>
      </c>
      <c r="J256" s="2" t="e">
        <f ca="1">IF(INDIRECT(ADDRESS($A256,1,3,1,Menus!$K$10))=T(J$1),$D256,#N/A)</f>
        <v>#N/A</v>
      </c>
      <c r="K256" s="10">
        <f t="shared" ca="1" si="7"/>
        <v>0</v>
      </c>
      <c r="L256" s="2"/>
      <c r="M256" s="85">
        <f ca="1">OFFSET(INDIRECT(ADDRESS($A256,3,3,1,"Gross")),0,Menus!$J$4)</f>
        <v>0</v>
      </c>
      <c r="N256" s="85">
        <f ca="1">OFFSET(INDIRECT(ADDRESS($A256,3,3,1,"Gross")),0,Menus!$J$3)</f>
        <v>0</v>
      </c>
    </row>
    <row r="257" spans="1:14" x14ac:dyDescent="0.25">
      <c r="A257">
        <v>294</v>
      </c>
      <c r="B257" s="2">
        <f ca="1">OFFSET(INDIRECT(ADDRESS($A257,3,3,1,Menus!$K$10)),0,Menus!$J$4)</f>
        <v>0</v>
      </c>
      <c r="C257" s="2">
        <f ca="1">OFFSET(INDIRECT(ADDRESS($A257,3,3,1,Menus!$K$10)),0,Menus!$J$3)</f>
        <v>0</v>
      </c>
      <c r="D257" s="73" t="e">
        <f ca="1">IF(Menus!$J$9,C257/B257,C257)</f>
        <v>#DIV/0!</v>
      </c>
      <c r="E257" s="74" t="e">
        <f t="shared" ca="1" si="8"/>
        <v>#N/A</v>
      </c>
      <c r="F257" s="75">
        <f ca="1">INDIRECT(ADDRESS($A257,1,3,1,Menus!$K$10))</f>
        <v>0</v>
      </c>
      <c r="G257" s="2" t="e">
        <f ca="1">IF(INDIRECT(ADDRESS($A257,2,3,1,Menus!$K$10))=G$1,$D257,#N/A)</f>
        <v>#N/A</v>
      </c>
      <c r="H257" s="2" t="e">
        <f ca="1">IF(INDIRECT(ADDRESS($A257,2,3,1,Menus!$K$10))=H$1,$D257,#N/A)</f>
        <v>#N/A</v>
      </c>
      <c r="I257" s="2" t="e">
        <f ca="1">IF(INDIRECT(ADDRESS($A257,2,3,1,Menus!$K$10))=I$1,$D257,#N/A)</f>
        <v>#N/A</v>
      </c>
      <c r="J257" s="2" t="e">
        <f ca="1">IF(INDIRECT(ADDRESS($A257,1,3,1,Menus!$K$10))=T(J$1),$D257,#N/A)</f>
        <v>#N/A</v>
      </c>
      <c r="K257" s="10">
        <f t="shared" ca="1" si="7"/>
        <v>0</v>
      </c>
      <c r="L257" s="2"/>
      <c r="M257" s="85">
        <f ca="1">OFFSET(INDIRECT(ADDRESS($A257,3,3,1,"Gross")),0,Menus!$J$4)</f>
        <v>0</v>
      </c>
      <c r="N257" s="85">
        <f ca="1">OFFSET(INDIRECT(ADDRESS($A257,3,3,1,"Gross")),0,Menus!$J$3)</f>
        <v>0</v>
      </c>
    </row>
    <row r="258" spans="1:14" x14ac:dyDescent="0.25">
      <c r="A258">
        <v>295</v>
      </c>
      <c r="B258" s="2">
        <f ca="1">OFFSET(INDIRECT(ADDRESS($A258,3,3,1,Menus!$K$10)),0,Menus!$J$4)</f>
        <v>0</v>
      </c>
      <c r="C258" s="2">
        <f ca="1">OFFSET(INDIRECT(ADDRESS($A258,3,3,1,Menus!$K$10)),0,Menus!$J$3)</f>
        <v>0</v>
      </c>
      <c r="D258" s="73" t="e">
        <f ca="1">IF(Menus!$J$9,C258/B258,C258)</f>
        <v>#DIV/0!</v>
      </c>
      <c r="E258" s="74" t="e">
        <f t="shared" ca="1" si="8"/>
        <v>#N/A</v>
      </c>
      <c r="F258" s="75">
        <f ca="1">INDIRECT(ADDRESS($A258,1,3,1,Menus!$K$10))</f>
        <v>0</v>
      </c>
      <c r="G258" s="2" t="e">
        <f ca="1">IF(INDIRECT(ADDRESS($A258,2,3,1,Menus!$K$10))=G$1,$D258,#N/A)</f>
        <v>#N/A</v>
      </c>
      <c r="H258" s="2" t="e">
        <f ca="1">IF(INDIRECT(ADDRESS($A258,2,3,1,Menus!$K$10))=H$1,$D258,#N/A)</f>
        <v>#N/A</v>
      </c>
      <c r="I258" s="2" t="e">
        <f ca="1">IF(INDIRECT(ADDRESS($A258,2,3,1,Menus!$K$10))=I$1,$D258,#N/A)</f>
        <v>#N/A</v>
      </c>
      <c r="J258" s="2" t="e">
        <f ca="1">IF(INDIRECT(ADDRESS($A258,1,3,1,Menus!$K$10))=T(J$1),$D258,#N/A)</f>
        <v>#N/A</v>
      </c>
      <c r="K258" s="10">
        <f t="shared" ref="K258:K321" ca="1" si="9">IF(OR(ISNUMBER($G258),ISNUMBER($H258),ISNUMBER($I258),ISNUMBER($J258)),1,0)</f>
        <v>0</v>
      </c>
      <c r="L258" s="2"/>
      <c r="M258" s="85">
        <f ca="1">OFFSET(INDIRECT(ADDRESS($A258,3,3,1,"Gross")),0,Menus!$J$4)</f>
        <v>0</v>
      </c>
      <c r="N258" s="85">
        <f ca="1">OFFSET(INDIRECT(ADDRESS($A258,3,3,1,"Gross")),0,Menus!$J$3)</f>
        <v>0</v>
      </c>
    </row>
    <row r="259" spans="1:14" x14ac:dyDescent="0.25">
      <c r="A259">
        <v>296</v>
      </c>
      <c r="B259" s="2">
        <f ca="1">OFFSET(INDIRECT(ADDRESS($A259,3,3,1,Menus!$K$10)),0,Menus!$J$4)</f>
        <v>0</v>
      </c>
      <c r="C259" s="2">
        <f ca="1">OFFSET(INDIRECT(ADDRESS($A259,3,3,1,Menus!$K$10)),0,Menus!$J$3)</f>
        <v>0</v>
      </c>
      <c r="D259" s="73" t="e">
        <f ca="1">IF(Menus!$J$9,C259/B259,C259)</f>
        <v>#DIV/0!</v>
      </c>
      <c r="E259" s="74" t="e">
        <f t="shared" ref="E259:E322" ca="1" si="10">IF($K259=1,VALUE(B259),#N/A)</f>
        <v>#N/A</v>
      </c>
      <c r="F259" s="75">
        <f ca="1">INDIRECT(ADDRESS($A259,1,3,1,Menus!$K$10))</f>
        <v>0</v>
      </c>
      <c r="G259" s="2" t="e">
        <f ca="1">IF(INDIRECT(ADDRESS($A259,2,3,1,Menus!$K$10))=G$1,$D259,#N/A)</f>
        <v>#N/A</v>
      </c>
      <c r="H259" s="2" t="e">
        <f ca="1">IF(INDIRECT(ADDRESS($A259,2,3,1,Menus!$K$10))=H$1,$D259,#N/A)</f>
        <v>#N/A</v>
      </c>
      <c r="I259" s="2" t="e">
        <f ca="1">IF(INDIRECT(ADDRESS($A259,2,3,1,Menus!$K$10))=I$1,$D259,#N/A)</f>
        <v>#N/A</v>
      </c>
      <c r="J259" s="2" t="e">
        <f ca="1">IF(INDIRECT(ADDRESS($A259,1,3,1,Menus!$K$10))=T(J$1),$D259,#N/A)</f>
        <v>#N/A</v>
      </c>
      <c r="K259" s="10">
        <f t="shared" ca="1" si="9"/>
        <v>0</v>
      </c>
      <c r="L259" s="2"/>
      <c r="M259" s="85">
        <f ca="1">OFFSET(INDIRECT(ADDRESS($A259,3,3,1,"Gross")),0,Menus!$J$4)</f>
        <v>0</v>
      </c>
      <c r="N259" s="85">
        <f ca="1">OFFSET(INDIRECT(ADDRESS($A259,3,3,1,"Gross")),0,Menus!$J$3)</f>
        <v>0</v>
      </c>
    </row>
    <row r="260" spans="1:14" x14ac:dyDescent="0.25">
      <c r="A260">
        <v>297</v>
      </c>
      <c r="B260" s="2">
        <f ca="1">OFFSET(INDIRECT(ADDRESS($A260,3,3,1,Menus!$K$10)),0,Menus!$J$4)</f>
        <v>0</v>
      </c>
      <c r="C260" s="2">
        <f ca="1">OFFSET(INDIRECT(ADDRESS($A260,3,3,1,Menus!$K$10)),0,Menus!$J$3)</f>
        <v>0</v>
      </c>
      <c r="D260" s="73" t="e">
        <f ca="1">IF(Menus!$J$9,C260/B260,C260)</f>
        <v>#DIV/0!</v>
      </c>
      <c r="E260" s="74" t="e">
        <f t="shared" ca="1" si="10"/>
        <v>#N/A</v>
      </c>
      <c r="F260" s="75">
        <f ca="1">INDIRECT(ADDRESS($A260,1,3,1,Menus!$K$10))</f>
        <v>0</v>
      </c>
      <c r="G260" s="2" t="e">
        <f ca="1">IF(INDIRECT(ADDRESS($A260,2,3,1,Menus!$K$10))=G$1,$D260,#N/A)</f>
        <v>#N/A</v>
      </c>
      <c r="H260" s="2" t="e">
        <f ca="1">IF(INDIRECT(ADDRESS($A260,2,3,1,Menus!$K$10))=H$1,$D260,#N/A)</f>
        <v>#N/A</v>
      </c>
      <c r="I260" s="2" t="e">
        <f ca="1">IF(INDIRECT(ADDRESS($A260,2,3,1,Menus!$K$10))=I$1,$D260,#N/A)</f>
        <v>#N/A</v>
      </c>
      <c r="J260" s="2" t="e">
        <f ca="1">IF(INDIRECT(ADDRESS($A260,1,3,1,Menus!$K$10))=T(J$1),$D260,#N/A)</f>
        <v>#N/A</v>
      </c>
      <c r="K260" s="10">
        <f t="shared" ca="1" si="9"/>
        <v>0</v>
      </c>
      <c r="L260" s="2"/>
      <c r="M260" s="85">
        <f ca="1">OFFSET(INDIRECT(ADDRESS($A260,3,3,1,"Gross")),0,Menus!$J$4)</f>
        <v>0</v>
      </c>
      <c r="N260" s="85">
        <f ca="1">OFFSET(INDIRECT(ADDRESS($A260,3,3,1,"Gross")),0,Menus!$J$3)</f>
        <v>0</v>
      </c>
    </row>
    <row r="261" spans="1:14" x14ac:dyDescent="0.25">
      <c r="A261">
        <v>298</v>
      </c>
      <c r="B261" s="2">
        <f ca="1">OFFSET(INDIRECT(ADDRESS($A261,3,3,1,Menus!$K$10)),0,Menus!$J$4)</f>
        <v>0</v>
      </c>
      <c r="C261" s="2">
        <f ca="1">OFFSET(INDIRECT(ADDRESS($A261,3,3,1,Menus!$K$10)),0,Menus!$J$3)</f>
        <v>0</v>
      </c>
      <c r="D261" s="73" t="e">
        <f ca="1">IF(Menus!$J$9,C261/B261,C261)</f>
        <v>#DIV/0!</v>
      </c>
      <c r="E261" s="74" t="e">
        <f t="shared" ca="1" si="10"/>
        <v>#N/A</v>
      </c>
      <c r="F261" s="75">
        <f ca="1">INDIRECT(ADDRESS($A261,1,3,1,Menus!$K$10))</f>
        <v>0</v>
      </c>
      <c r="G261" s="2" t="e">
        <f ca="1">IF(INDIRECT(ADDRESS($A261,2,3,1,Menus!$K$10))=G$1,$D261,#N/A)</f>
        <v>#N/A</v>
      </c>
      <c r="H261" s="2" t="e">
        <f ca="1">IF(INDIRECT(ADDRESS($A261,2,3,1,Menus!$K$10))=H$1,$D261,#N/A)</f>
        <v>#N/A</v>
      </c>
      <c r="I261" s="2" t="e">
        <f ca="1">IF(INDIRECT(ADDRESS($A261,2,3,1,Menus!$K$10))=I$1,$D261,#N/A)</f>
        <v>#N/A</v>
      </c>
      <c r="J261" s="2" t="e">
        <f ca="1">IF(INDIRECT(ADDRESS($A261,1,3,1,Menus!$K$10))=T(J$1),$D261,#N/A)</f>
        <v>#N/A</v>
      </c>
      <c r="K261" s="10">
        <f t="shared" ca="1" si="9"/>
        <v>0</v>
      </c>
      <c r="L261" s="2"/>
      <c r="M261" s="85">
        <f ca="1">OFFSET(INDIRECT(ADDRESS($A261,3,3,1,"Gross")),0,Menus!$J$4)</f>
        <v>0</v>
      </c>
      <c r="N261" s="85">
        <f ca="1">OFFSET(INDIRECT(ADDRESS($A261,3,3,1,"Gross")),0,Menus!$J$3)</f>
        <v>0</v>
      </c>
    </row>
    <row r="262" spans="1:14" x14ac:dyDescent="0.25">
      <c r="A262">
        <v>299</v>
      </c>
      <c r="B262" s="2">
        <f ca="1">OFFSET(INDIRECT(ADDRESS($A262,3,3,1,Menus!$K$10)),0,Menus!$J$4)</f>
        <v>0</v>
      </c>
      <c r="C262" s="2">
        <f ca="1">OFFSET(INDIRECT(ADDRESS($A262,3,3,1,Menus!$K$10)),0,Menus!$J$3)</f>
        <v>0</v>
      </c>
      <c r="D262" s="73" t="e">
        <f ca="1">IF(Menus!$J$9,C262/B262,C262)</f>
        <v>#DIV/0!</v>
      </c>
      <c r="E262" s="74" t="e">
        <f t="shared" ca="1" si="10"/>
        <v>#N/A</v>
      </c>
      <c r="F262" s="75">
        <f ca="1">INDIRECT(ADDRESS($A262,1,3,1,Menus!$K$10))</f>
        <v>0</v>
      </c>
      <c r="G262" s="2" t="e">
        <f ca="1">IF(INDIRECT(ADDRESS($A262,2,3,1,Menus!$K$10))=G$1,$D262,#N/A)</f>
        <v>#N/A</v>
      </c>
      <c r="H262" s="2" t="e">
        <f ca="1">IF(INDIRECT(ADDRESS($A262,2,3,1,Menus!$K$10))=H$1,$D262,#N/A)</f>
        <v>#N/A</v>
      </c>
      <c r="I262" s="2" t="e">
        <f ca="1">IF(INDIRECT(ADDRESS($A262,2,3,1,Menus!$K$10))=I$1,$D262,#N/A)</f>
        <v>#N/A</v>
      </c>
      <c r="J262" s="2" t="e">
        <f ca="1">IF(INDIRECT(ADDRESS($A262,1,3,1,Menus!$K$10))=T(J$1),$D262,#N/A)</f>
        <v>#N/A</v>
      </c>
      <c r="K262" s="10">
        <f t="shared" ca="1" si="9"/>
        <v>0</v>
      </c>
      <c r="L262" s="2"/>
      <c r="M262" s="85">
        <f ca="1">OFFSET(INDIRECT(ADDRESS($A262,3,3,1,"Gross")),0,Menus!$J$4)</f>
        <v>0</v>
      </c>
      <c r="N262" s="85">
        <f ca="1">OFFSET(INDIRECT(ADDRESS($A262,3,3,1,"Gross")),0,Menus!$J$3)</f>
        <v>0</v>
      </c>
    </row>
    <row r="263" spans="1:14" x14ac:dyDescent="0.25">
      <c r="A263">
        <v>300</v>
      </c>
      <c r="B263" s="2">
        <f ca="1">OFFSET(INDIRECT(ADDRESS($A263,3,3,1,Menus!$K$10)),0,Menus!$J$4)</f>
        <v>0</v>
      </c>
      <c r="C263" s="2">
        <f ca="1">OFFSET(INDIRECT(ADDRESS($A263,3,3,1,Menus!$K$10)),0,Menus!$J$3)</f>
        <v>0</v>
      </c>
      <c r="D263" s="73" t="e">
        <f ca="1">IF(Menus!$J$9,C263/B263,C263)</f>
        <v>#DIV/0!</v>
      </c>
      <c r="E263" s="74" t="e">
        <f t="shared" ca="1" si="10"/>
        <v>#N/A</v>
      </c>
      <c r="F263" s="75">
        <f ca="1">INDIRECT(ADDRESS($A263,1,3,1,Menus!$K$10))</f>
        <v>0</v>
      </c>
      <c r="G263" s="2" t="e">
        <f ca="1">IF(INDIRECT(ADDRESS($A263,2,3,1,Menus!$K$10))=G$1,$D263,#N/A)</f>
        <v>#N/A</v>
      </c>
      <c r="H263" s="2" t="e">
        <f ca="1">IF(INDIRECT(ADDRESS($A263,2,3,1,Menus!$K$10))=H$1,$D263,#N/A)</f>
        <v>#N/A</v>
      </c>
      <c r="I263" s="2" t="e">
        <f ca="1">IF(INDIRECT(ADDRESS($A263,2,3,1,Menus!$K$10))=I$1,$D263,#N/A)</f>
        <v>#N/A</v>
      </c>
      <c r="J263" s="2" t="e">
        <f ca="1">IF(INDIRECT(ADDRESS($A263,1,3,1,Menus!$K$10))=T(J$1),$D263,#N/A)</f>
        <v>#N/A</v>
      </c>
      <c r="K263" s="10">
        <f t="shared" ca="1" si="9"/>
        <v>0</v>
      </c>
      <c r="L263" s="2"/>
      <c r="M263" s="85">
        <f ca="1">OFFSET(INDIRECT(ADDRESS($A263,3,3,1,"Gross")),0,Menus!$J$4)</f>
        <v>0</v>
      </c>
      <c r="N263" s="85">
        <f ca="1">OFFSET(INDIRECT(ADDRESS($A263,3,3,1,"Gross")),0,Menus!$J$3)</f>
        <v>0</v>
      </c>
    </row>
    <row r="264" spans="1:14" x14ac:dyDescent="0.25">
      <c r="A264">
        <v>301</v>
      </c>
      <c r="B264" s="2">
        <f ca="1">OFFSET(INDIRECT(ADDRESS($A264,3,3,1,Menus!$K$10)),0,Menus!$J$4)</f>
        <v>0</v>
      </c>
      <c r="C264" s="2">
        <f ca="1">OFFSET(INDIRECT(ADDRESS($A264,3,3,1,Menus!$K$10)),0,Menus!$J$3)</f>
        <v>0</v>
      </c>
      <c r="D264" s="73" t="e">
        <f ca="1">IF(Menus!$J$9,C264/B264,C264)</f>
        <v>#DIV/0!</v>
      </c>
      <c r="E264" s="74" t="e">
        <f t="shared" ca="1" si="10"/>
        <v>#N/A</v>
      </c>
      <c r="F264" s="75">
        <f ca="1">INDIRECT(ADDRESS($A264,1,3,1,Menus!$K$10))</f>
        <v>0</v>
      </c>
      <c r="G264" s="2" t="e">
        <f ca="1">IF(INDIRECT(ADDRESS($A264,2,3,1,Menus!$K$10))=G$1,$D264,#N/A)</f>
        <v>#N/A</v>
      </c>
      <c r="H264" s="2" t="e">
        <f ca="1">IF(INDIRECT(ADDRESS($A264,2,3,1,Menus!$K$10))=H$1,$D264,#N/A)</f>
        <v>#N/A</v>
      </c>
      <c r="I264" s="2" t="e">
        <f ca="1">IF(INDIRECT(ADDRESS($A264,2,3,1,Menus!$K$10))=I$1,$D264,#N/A)</f>
        <v>#N/A</v>
      </c>
      <c r="J264" s="2" t="e">
        <f ca="1">IF(INDIRECT(ADDRESS($A264,1,3,1,Menus!$K$10))=T(J$1),$D264,#N/A)</f>
        <v>#N/A</v>
      </c>
      <c r="K264" s="10">
        <f t="shared" ca="1" si="9"/>
        <v>0</v>
      </c>
      <c r="L264" s="2"/>
      <c r="M264" s="85">
        <f ca="1">OFFSET(INDIRECT(ADDRESS($A264,3,3,1,"Gross")),0,Menus!$J$4)</f>
        <v>0</v>
      </c>
      <c r="N264" s="85">
        <f ca="1">OFFSET(INDIRECT(ADDRESS($A264,3,3,1,"Gross")),0,Menus!$J$3)</f>
        <v>0</v>
      </c>
    </row>
    <row r="265" spans="1:14" x14ac:dyDescent="0.25">
      <c r="A265">
        <v>302</v>
      </c>
      <c r="B265" s="2">
        <f ca="1">OFFSET(INDIRECT(ADDRESS($A265,3,3,1,Menus!$K$10)),0,Menus!$J$4)</f>
        <v>0</v>
      </c>
      <c r="C265" s="2">
        <f ca="1">OFFSET(INDIRECT(ADDRESS($A265,3,3,1,Menus!$K$10)),0,Menus!$J$3)</f>
        <v>0</v>
      </c>
      <c r="D265" s="73" t="e">
        <f ca="1">IF(Menus!$J$9,C265/B265,C265)</f>
        <v>#DIV/0!</v>
      </c>
      <c r="E265" s="74" t="e">
        <f t="shared" ca="1" si="10"/>
        <v>#N/A</v>
      </c>
      <c r="F265" s="75">
        <f ca="1">INDIRECT(ADDRESS($A265,1,3,1,Menus!$K$10))</f>
        <v>0</v>
      </c>
      <c r="G265" s="2" t="e">
        <f ca="1">IF(INDIRECT(ADDRESS($A265,2,3,1,Menus!$K$10))=G$1,$D265,#N/A)</f>
        <v>#N/A</v>
      </c>
      <c r="H265" s="2" t="e">
        <f ca="1">IF(INDIRECT(ADDRESS($A265,2,3,1,Menus!$K$10))=H$1,$D265,#N/A)</f>
        <v>#N/A</v>
      </c>
      <c r="I265" s="2" t="e">
        <f ca="1">IF(INDIRECT(ADDRESS($A265,2,3,1,Menus!$K$10))=I$1,$D265,#N/A)</f>
        <v>#N/A</v>
      </c>
      <c r="J265" s="2" t="e">
        <f ca="1">IF(INDIRECT(ADDRESS($A265,1,3,1,Menus!$K$10))=T(J$1),$D265,#N/A)</f>
        <v>#N/A</v>
      </c>
      <c r="K265" s="10">
        <f t="shared" ca="1" si="9"/>
        <v>0</v>
      </c>
      <c r="L265" s="2"/>
      <c r="M265" s="85">
        <f ca="1">OFFSET(INDIRECT(ADDRESS($A265,3,3,1,"Gross")),0,Menus!$J$4)</f>
        <v>0</v>
      </c>
      <c r="N265" s="85">
        <f ca="1">OFFSET(INDIRECT(ADDRESS($A265,3,3,1,"Gross")),0,Menus!$J$3)</f>
        <v>0</v>
      </c>
    </row>
    <row r="266" spans="1:14" x14ac:dyDescent="0.25">
      <c r="A266">
        <v>303</v>
      </c>
      <c r="B266" s="2">
        <f ca="1">OFFSET(INDIRECT(ADDRESS($A266,3,3,1,Menus!$K$10)),0,Menus!$J$4)</f>
        <v>0</v>
      </c>
      <c r="C266" s="2">
        <f ca="1">OFFSET(INDIRECT(ADDRESS($A266,3,3,1,Menus!$K$10)),0,Menus!$J$3)</f>
        <v>0</v>
      </c>
      <c r="D266" s="73" t="e">
        <f ca="1">IF(Menus!$J$9,C266/B266,C266)</f>
        <v>#DIV/0!</v>
      </c>
      <c r="E266" s="74" t="e">
        <f t="shared" ca="1" si="10"/>
        <v>#N/A</v>
      </c>
      <c r="F266" s="75">
        <f ca="1">INDIRECT(ADDRESS($A266,1,3,1,Menus!$K$10))</f>
        <v>0</v>
      </c>
      <c r="G266" s="2" t="e">
        <f ca="1">IF(INDIRECT(ADDRESS($A266,2,3,1,Menus!$K$10))=G$1,$D266,#N/A)</f>
        <v>#N/A</v>
      </c>
      <c r="H266" s="2" t="e">
        <f ca="1">IF(INDIRECT(ADDRESS($A266,2,3,1,Menus!$K$10))=H$1,$D266,#N/A)</f>
        <v>#N/A</v>
      </c>
      <c r="I266" s="2" t="e">
        <f ca="1">IF(INDIRECT(ADDRESS($A266,2,3,1,Menus!$K$10))=I$1,$D266,#N/A)</f>
        <v>#N/A</v>
      </c>
      <c r="J266" s="2" t="e">
        <f ca="1">IF(INDIRECT(ADDRESS($A266,1,3,1,Menus!$K$10))=T(J$1),$D266,#N/A)</f>
        <v>#N/A</v>
      </c>
      <c r="K266" s="10">
        <f t="shared" ca="1" si="9"/>
        <v>0</v>
      </c>
      <c r="L266" s="2"/>
      <c r="M266" s="85">
        <f ca="1">OFFSET(INDIRECT(ADDRESS($A266,3,3,1,"Gross")),0,Menus!$J$4)</f>
        <v>0</v>
      </c>
      <c r="N266" s="85">
        <f ca="1">OFFSET(INDIRECT(ADDRESS($A266,3,3,1,"Gross")),0,Menus!$J$3)</f>
        <v>0</v>
      </c>
    </row>
    <row r="267" spans="1:14" x14ac:dyDescent="0.25">
      <c r="A267">
        <v>304</v>
      </c>
      <c r="B267" s="2">
        <f ca="1">OFFSET(INDIRECT(ADDRESS($A267,3,3,1,Menus!$K$10)),0,Menus!$J$4)</f>
        <v>0</v>
      </c>
      <c r="C267" s="2">
        <f ca="1">OFFSET(INDIRECT(ADDRESS($A267,3,3,1,Menus!$K$10)),0,Menus!$J$3)</f>
        <v>0</v>
      </c>
      <c r="D267" s="73" t="e">
        <f ca="1">IF(Menus!$J$9,C267/B267,C267)</f>
        <v>#DIV/0!</v>
      </c>
      <c r="E267" s="74" t="e">
        <f t="shared" ca="1" si="10"/>
        <v>#N/A</v>
      </c>
      <c r="F267" s="75">
        <f ca="1">INDIRECT(ADDRESS($A267,1,3,1,Menus!$K$10))</f>
        <v>0</v>
      </c>
      <c r="G267" s="2" t="e">
        <f ca="1">IF(INDIRECT(ADDRESS($A267,2,3,1,Menus!$K$10))=G$1,$D267,#N/A)</f>
        <v>#N/A</v>
      </c>
      <c r="H267" s="2" t="e">
        <f ca="1">IF(INDIRECT(ADDRESS($A267,2,3,1,Menus!$K$10))=H$1,$D267,#N/A)</f>
        <v>#N/A</v>
      </c>
      <c r="I267" s="2" t="e">
        <f ca="1">IF(INDIRECT(ADDRESS($A267,2,3,1,Menus!$K$10))=I$1,$D267,#N/A)</f>
        <v>#N/A</v>
      </c>
      <c r="J267" s="2" t="e">
        <f ca="1">IF(INDIRECT(ADDRESS($A267,1,3,1,Menus!$K$10))=T(J$1),$D267,#N/A)</f>
        <v>#N/A</v>
      </c>
      <c r="K267" s="10">
        <f t="shared" ca="1" si="9"/>
        <v>0</v>
      </c>
      <c r="L267" s="2"/>
      <c r="M267" s="85">
        <f ca="1">OFFSET(INDIRECT(ADDRESS($A267,3,3,1,"Gross")),0,Menus!$J$4)</f>
        <v>0</v>
      </c>
      <c r="N267" s="85">
        <f ca="1">OFFSET(INDIRECT(ADDRESS($A267,3,3,1,"Gross")),0,Menus!$J$3)</f>
        <v>0</v>
      </c>
    </row>
    <row r="268" spans="1:14" x14ac:dyDescent="0.25">
      <c r="A268">
        <v>305</v>
      </c>
      <c r="B268" s="2">
        <f ca="1">OFFSET(INDIRECT(ADDRESS($A268,3,3,1,Menus!$K$10)),0,Menus!$J$4)</f>
        <v>0</v>
      </c>
      <c r="C268" s="2">
        <f ca="1">OFFSET(INDIRECT(ADDRESS($A268,3,3,1,Menus!$K$10)),0,Menus!$J$3)</f>
        <v>0</v>
      </c>
      <c r="D268" s="73" t="e">
        <f ca="1">IF(Menus!$J$9,C268/B268,C268)</f>
        <v>#DIV/0!</v>
      </c>
      <c r="E268" s="74" t="e">
        <f t="shared" ca="1" si="10"/>
        <v>#N/A</v>
      </c>
      <c r="F268" s="75">
        <f ca="1">INDIRECT(ADDRESS($A268,1,3,1,Menus!$K$10))</f>
        <v>0</v>
      </c>
      <c r="G268" s="2" t="e">
        <f ca="1">IF(INDIRECT(ADDRESS($A268,2,3,1,Menus!$K$10))=G$1,$D268,#N/A)</f>
        <v>#N/A</v>
      </c>
      <c r="H268" s="2" t="e">
        <f ca="1">IF(INDIRECT(ADDRESS($A268,2,3,1,Menus!$K$10))=H$1,$D268,#N/A)</f>
        <v>#N/A</v>
      </c>
      <c r="I268" s="2" t="e">
        <f ca="1">IF(INDIRECT(ADDRESS($A268,2,3,1,Menus!$K$10))=I$1,$D268,#N/A)</f>
        <v>#N/A</v>
      </c>
      <c r="J268" s="2" t="e">
        <f ca="1">IF(INDIRECT(ADDRESS($A268,1,3,1,Menus!$K$10))=T(J$1),$D268,#N/A)</f>
        <v>#N/A</v>
      </c>
      <c r="K268" s="10">
        <f t="shared" ca="1" si="9"/>
        <v>0</v>
      </c>
      <c r="L268" s="2"/>
      <c r="M268" s="85">
        <f ca="1">OFFSET(INDIRECT(ADDRESS($A268,3,3,1,"Gross")),0,Menus!$J$4)</f>
        <v>0</v>
      </c>
      <c r="N268" s="85">
        <f ca="1">OFFSET(INDIRECT(ADDRESS($A268,3,3,1,"Gross")),0,Menus!$J$3)</f>
        <v>0</v>
      </c>
    </row>
    <row r="269" spans="1:14" x14ac:dyDescent="0.25">
      <c r="A269">
        <v>306</v>
      </c>
      <c r="B269" s="2">
        <f ca="1">OFFSET(INDIRECT(ADDRESS($A269,3,3,1,Menus!$K$10)),0,Menus!$J$4)</f>
        <v>0</v>
      </c>
      <c r="C269" s="2">
        <f ca="1">OFFSET(INDIRECT(ADDRESS($A269,3,3,1,Menus!$K$10)),0,Menus!$J$3)</f>
        <v>0</v>
      </c>
      <c r="D269" s="73" t="e">
        <f ca="1">IF(Menus!$J$9,C269/B269,C269)</f>
        <v>#DIV/0!</v>
      </c>
      <c r="E269" s="74" t="e">
        <f t="shared" ca="1" si="10"/>
        <v>#N/A</v>
      </c>
      <c r="F269" s="75">
        <f ca="1">INDIRECT(ADDRESS($A269,1,3,1,Menus!$K$10))</f>
        <v>0</v>
      </c>
      <c r="G269" s="2" t="e">
        <f ca="1">IF(INDIRECT(ADDRESS($A269,2,3,1,Menus!$K$10))=G$1,$D269,#N/A)</f>
        <v>#N/A</v>
      </c>
      <c r="H269" s="2" t="e">
        <f ca="1">IF(INDIRECT(ADDRESS($A269,2,3,1,Menus!$K$10))=H$1,$D269,#N/A)</f>
        <v>#N/A</v>
      </c>
      <c r="I269" s="2" t="e">
        <f ca="1">IF(INDIRECT(ADDRESS($A269,2,3,1,Menus!$K$10))=I$1,$D269,#N/A)</f>
        <v>#N/A</v>
      </c>
      <c r="J269" s="2" t="e">
        <f ca="1">IF(INDIRECT(ADDRESS($A269,1,3,1,Menus!$K$10))=T(J$1),$D269,#N/A)</f>
        <v>#N/A</v>
      </c>
      <c r="K269" s="10">
        <f t="shared" ca="1" si="9"/>
        <v>0</v>
      </c>
      <c r="L269" s="2"/>
      <c r="M269" s="85">
        <f ca="1">OFFSET(INDIRECT(ADDRESS($A269,3,3,1,"Gross")),0,Menus!$J$4)</f>
        <v>0</v>
      </c>
      <c r="N269" s="85">
        <f ca="1">OFFSET(INDIRECT(ADDRESS($A269,3,3,1,"Gross")),0,Menus!$J$3)</f>
        <v>0</v>
      </c>
    </row>
    <row r="270" spans="1:14" x14ac:dyDescent="0.25">
      <c r="A270">
        <v>307</v>
      </c>
      <c r="B270" s="2">
        <f ca="1">OFFSET(INDIRECT(ADDRESS($A270,3,3,1,Menus!$K$10)),0,Menus!$J$4)</f>
        <v>0</v>
      </c>
      <c r="C270" s="2">
        <f ca="1">OFFSET(INDIRECT(ADDRESS($A270,3,3,1,Menus!$K$10)),0,Menus!$J$3)</f>
        <v>0</v>
      </c>
      <c r="D270" s="73" t="e">
        <f ca="1">IF(Menus!$J$9,C270/B270,C270)</f>
        <v>#DIV/0!</v>
      </c>
      <c r="E270" s="74" t="e">
        <f t="shared" ca="1" si="10"/>
        <v>#N/A</v>
      </c>
      <c r="F270" s="75">
        <f ca="1">INDIRECT(ADDRESS($A270,1,3,1,Menus!$K$10))</f>
        <v>0</v>
      </c>
      <c r="G270" s="2" t="e">
        <f ca="1">IF(INDIRECT(ADDRESS($A270,2,3,1,Menus!$K$10))=G$1,$D270,#N/A)</f>
        <v>#N/A</v>
      </c>
      <c r="H270" s="2" t="e">
        <f ca="1">IF(INDIRECT(ADDRESS($A270,2,3,1,Menus!$K$10))=H$1,$D270,#N/A)</f>
        <v>#N/A</v>
      </c>
      <c r="I270" s="2" t="e">
        <f ca="1">IF(INDIRECT(ADDRESS($A270,2,3,1,Menus!$K$10))=I$1,$D270,#N/A)</f>
        <v>#N/A</v>
      </c>
      <c r="J270" s="2" t="e">
        <f ca="1">IF(INDIRECT(ADDRESS($A270,1,3,1,Menus!$K$10))=T(J$1),$D270,#N/A)</f>
        <v>#N/A</v>
      </c>
      <c r="K270" s="10">
        <f t="shared" ca="1" si="9"/>
        <v>0</v>
      </c>
      <c r="L270" s="2"/>
      <c r="M270" s="85">
        <f ca="1">OFFSET(INDIRECT(ADDRESS($A270,3,3,1,"Gross")),0,Menus!$J$4)</f>
        <v>0</v>
      </c>
      <c r="N270" s="85">
        <f ca="1">OFFSET(INDIRECT(ADDRESS($A270,3,3,1,"Gross")),0,Menus!$J$3)</f>
        <v>0</v>
      </c>
    </row>
    <row r="271" spans="1:14" x14ac:dyDescent="0.25">
      <c r="A271">
        <v>308</v>
      </c>
      <c r="B271" s="2">
        <f ca="1">OFFSET(INDIRECT(ADDRESS($A271,3,3,1,Menus!$K$10)),0,Menus!$J$4)</f>
        <v>0</v>
      </c>
      <c r="C271" s="2">
        <f ca="1">OFFSET(INDIRECT(ADDRESS($A271,3,3,1,Menus!$K$10)),0,Menus!$J$3)</f>
        <v>0</v>
      </c>
      <c r="D271" s="73" t="e">
        <f ca="1">IF(Menus!$J$9,C271/B271,C271)</f>
        <v>#DIV/0!</v>
      </c>
      <c r="E271" s="74" t="e">
        <f t="shared" ca="1" si="10"/>
        <v>#N/A</v>
      </c>
      <c r="F271" s="75">
        <f ca="1">INDIRECT(ADDRESS($A271,1,3,1,Menus!$K$10))</f>
        <v>0</v>
      </c>
      <c r="G271" s="2" t="e">
        <f ca="1">IF(INDIRECT(ADDRESS($A271,2,3,1,Menus!$K$10))=G$1,$D271,#N/A)</f>
        <v>#N/A</v>
      </c>
      <c r="H271" s="2" t="e">
        <f ca="1">IF(INDIRECT(ADDRESS($A271,2,3,1,Menus!$K$10))=H$1,$D271,#N/A)</f>
        <v>#N/A</v>
      </c>
      <c r="I271" s="2" t="e">
        <f ca="1">IF(INDIRECT(ADDRESS($A271,2,3,1,Menus!$K$10))=I$1,$D271,#N/A)</f>
        <v>#N/A</v>
      </c>
      <c r="J271" s="2" t="e">
        <f ca="1">IF(INDIRECT(ADDRESS($A271,1,3,1,Menus!$K$10))=T(J$1),$D271,#N/A)</f>
        <v>#N/A</v>
      </c>
      <c r="K271" s="10">
        <f t="shared" ca="1" si="9"/>
        <v>0</v>
      </c>
      <c r="L271" s="2"/>
      <c r="M271" s="85">
        <f ca="1">OFFSET(INDIRECT(ADDRESS($A271,3,3,1,"Gross")),0,Menus!$J$4)</f>
        <v>0</v>
      </c>
      <c r="N271" s="85">
        <f ca="1">OFFSET(INDIRECT(ADDRESS($A271,3,3,1,"Gross")),0,Menus!$J$3)</f>
        <v>0</v>
      </c>
    </row>
    <row r="272" spans="1:14" x14ac:dyDescent="0.25">
      <c r="A272">
        <v>309</v>
      </c>
      <c r="B272" s="2">
        <f ca="1">OFFSET(INDIRECT(ADDRESS($A272,3,3,1,Menus!$K$10)),0,Menus!$J$4)</f>
        <v>0</v>
      </c>
      <c r="C272" s="2">
        <f ca="1">OFFSET(INDIRECT(ADDRESS($A272,3,3,1,Menus!$K$10)),0,Menus!$J$3)</f>
        <v>0</v>
      </c>
      <c r="D272" s="73" t="e">
        <f ca="1">IF(Menus!$J$9,C272/B272,C272)</f>
        <v>#DIV/0!</v>
      </c>
      <c r="E272" s="74" t="e">
        <f t="shared" ca="1" si="10"/>
        <v>#N/A</v>
      </c>
      <c r="F272" s="75">
        <f ca="1">INDIRECT(ADDRESS($A272,1,3,1,Menus!$K$10))</f>
        <v>0</v>
      </c>
      <c r="G272" s="2" t="e">
        <f ca="1">IF(INDIRECT(ADDRESS($A272,2,3,1,Menus!$K$10))=G$1,$D272,#N/A)</f>
        <v>#N/A</v>
      </c>
      <c r="H272" s="2" t="e">
        <f ca="1">IF(INDIRECT(ADDRESS($A272,2,3,1,Menus!$K$10))=H$1,$D272,#N/A)</f>
        <v>#N/A</v>
      </c>
      <c r="I272" s="2" t="e">
        <f ca="1">IF(INDIRECT(ADDRESS($A272,2,3,1,Menus!$K$10))=I$1,$D272,#N/A)</f>
        <v>#N/A</v>
      </c>
      <c r="J272" s="2" t="e">
        <f ca="1">IF(INDIRECT(ADDRESS($A272,1,3,1,Menus!$K$10))=T(J$1),$D272,#N/A)</f>
        <v>#N/A</v>
      </c>
      <c r="K272" s="10">
        <f t="shared" ca="1" si="9"/>
        <v>0</v>
      </c>
      <c r="L272" s="2"/>
      <c r="M272" s="85">
        <f ca="1">OFFSET(INDIRECT(ADDRESS($A272,3,3,1,"Gross")),0,Menus!$J$4)</f>
        <v>0</v>
      </c>
      <c r="N272" s="85">
        <f ca="1">OFFSET(INDIRECT(ADDRESS($A272,3,3,1,"Gross")),0,Menus!$J$3)</f>
        <v>0</v>
      </c>
    </row>
    <row r="273" spans="1:14" x14ac:dyDescent="0.25">
      <c r="A273">
        <v>310</v>
      </c>
      <c r="B273" s="2">
        <f ca="1">OFFSET(INDIRECT(ADDRESS($A273,3,3,1,Menus!$K$10)),0,Menus!$J$4)</f>
        <v>0</v>
      </c>
      <c r="C273" s="2">
        <f ca="1">OFFSET(INDIRECT(ADDRESS($A273,3,3,1,Menus!$K$10)),0,Menus!$J$3)</f>
        <v>0</v>
      </c>
      <c r="D273" s="73" t="e">
        <f ca="1">IF(Menus!$J$9,C273/B273,C273)</f>
        <v>#DIV/0!</v>
      </c>
      <c r="E273" s="74" t="e">
        <f t="shared" ca="1" si="10"/>
        <v>#N/A</v>
      </c>
      <c r="F273" s="75">
        <f ca="1">INDIRECT(ADDRESS($A273,1,3,1,Menus!$K$10))</f>
        <v>0</v>
      </c>
      <c r="G273" s="2" t="e">
        <f ca="1">IF(INDIRECT(ADDRESS($A273,2,3,1,Menus!$K$10))=G$1,$D273,#N/A)</f>
        <v>#N/A</v>
      </c>
      <c r="H273" s="2" t="e">
        <f ca="1">IF(INDIRECT(ADDRESS($A273,2,3,1,Menus!$K$10))=H$1,$D273,#N/A)</f>
        <v>#N/A</v>
      </c>
      <c r="I273" s="2" t="e">
        <f ca="1">IF(INDIRECT(ADDRESS($A273,2,3,1,Menus!$K$10))=I$1,$D273,#N/A)</f>
        <v>#N/A</v>
      </c>
      <c r="J273" s="2" t="e">
        <f ca="1">IF(INDIRECT(ADDRESS($A273,1,3,1,Menus!$K$10))=T(J$1),$D273,#N/A)</f>
        <v>#N/A</v>
      </c>
      <c r="K273" s="10">
        <f t="shared" ca="1" si="9"/>
        <v>0</v>
      </c>
      <c r="L273" s="2"/>
      <c r="M273" s="85">
        <f ca="1">OFFSET(INDIRECT(ADDRESS($A273,3,3,1,"Gross")),0,Menus!$J$4)</f>
        <v>0</v>
      </c>
      <c r="N273" s="85">
        <f ca="1">OFFSET(INDIRECT(ADDRESS($A273,3,3,1,"Gross")),0,Menus!$J$3)</f>
        <v>0</v>
      </c>
    </row>
    <row r="274" spans="1:14" x14ac:dyDescent="0.25">
      <c r="A274">
        <v>311</v>
      </c>
      <c r="B274" s="2">
        <f ca="1">OFFSET(INDIRECT(ADDRESS($A274,3,3,1,Menus!$K$10)),0,Menus!$J$4)</f>
        <v>0</v>
      </c>
      <c r="C274" s="2">
        <f ca="1">OFFSET(INDIRECT(ADDRESS($A274,3,3,1,Menus!$K$10)),0,Menus!$J$3)</f>
        <v>0</v>
      </c>
      <c r="D274" s="73" t="e">
        <f ca="1">IF(Menus!$J$9,C274/B274,C274)</f>
        <v>#DIV/0!</v>
      </c>
      <c r="E274" s="74" t="e">
        <f t="shared" ca="1" si="10"/>
        <v>#N/A</v>
      </c>
      <c r="F274" s="75">
        <f ca="1">INDIRECT(ADDRESS($A274,1,3,1,Menus!$K$10))</f>
        <v>0</v>
      </c>
      <c r="G274" s="2" t="e">
        <f ca="1">IF(INDIRECT(ADDRESS($A274,2,3,1,Menus!$K$10))=G$1,$D274,#N/A)</f>
        <v>#N/A</v>
      </c>
      <c r="H274" s="2" t="e">
        <f ca="1">IF(INDIRECT(ADDRESS($A274,2,3,1,Menus!$K$10))=H$1,$D274,#N/A)</f>
        <v>#N/A</v>
      </c>
      <c r="I274" s="2" t="e">
        <f ca="1">IF(INDIRECT(ADDRESS($A274,2,3,1,Menus!$K$10))=I$1,$D274,#N/A)</f>
        <v>#N/A</v>
      </c>
      <c r="J274" s="2" t="e">
        <f ca="1">IF(INDIRECT(ADDRESS($A274,1,3,1,Menus!$K$10))=T(J$1),$D274,#N/A)</f>
        <v>#N/A</v>
      </c>
      <c r="K274" s="10">
        <f t="shared" ca="1" si="9"/>
        <v>0</v>
      </c>
      <c r="L274" s="2"/>
      <c r="M274" s="85">
        <f ca="1">OFFSET(INDIRECT(ADDRESS($A274,3,3,1,"Gross")),0,Menus!$J$4)</f>
        <v>0</v>
      </c>
      <c r="N274" s="85">
        <f ca="1">OFFSET(INDIRECT(ADDRESS($A274,3,3,1,"Gross")),0,Menus!$J$3)</f>
        <v>0</v>
      </c>
    </row>
    <row r="275" spans="1:14" x14ac:dyDescent="0.25">
      <c r="A275">
        <v>312</v>
      </c>
      <c r="B275" s="2">
        <f ca="1">OFFSET(INDIRECT(ADDRESS($A275,3,3,1,Menus!$K$10)),0,Menus!$J$4)</f>
        <v>0</v>
      </c>
      <c r="C275" s="2">
        <f ca="1">OFFSET(INDIRECT(ADDRESS($A275,3,3,1,Menus!$K$10)),0,Menus!$J$3)</f>
        <v>0</v>
      </c>
      <c r="D275" s="73" t="e">
        <f ca="1">IF(Menus!$J$9,C275/B275,C275)</f>
        <v>#DIV/0!</v>
      </c>
      <c r="E275" s="74" t="e">
        <f t="shared" ca="1" si="10"/>
        <v>#N/A</v>
      </c>
      <c r="F275" s="75">
        <f ca="1">INDIRECT(ADDRESS($A275,1,3,1,Menus!$K$10))</f>
        <v>0</v>
      </c>
      <c r="G275" s="2" t="e">
        <f ca="1">IF(INDIRECT(ADDRESS($A275,2,3,1,Menus!$K$10))=G$1,$D275,#N/A)</f>
        <v>#N/A</v>
      </c>
      <c r="H275" s="2" t="e">
        <f ca="1">IF(INDIRECT(ADDRESS($A275,2,3,1,Menus!$K$10))=H$1,$D275,#N/A)</f>
        <v>#N/A</v>
      </c>
      <c r="I275" s="2" t="e">
        <f ca="1">IF(INDIRECT(ADDRESS($A275,2,3,1,Menus!$K$10))=I$1,$D275,#N/A)</f>
        <v>#N/A</v>
      </c>
      <c r="J275" s="2" t="e">
        <f ca="1">IF(INDIRECT(ADDRESS($A275,1,3,1,Menus!$K$10))=T(J$1),$D275,#N/A)</f>
        <v>#N/A</v>
      </c>
      <c r="K275" s="10">
        <f t="shared" ca="1" si="9"/>
        <v>0</v>
      </c>
      <c r="L275" s="2"/>
      <c r="M275" s="85">
        <f ca="1">OFFSET(INDIRECT(ADDRESS($A275,3,3,1,"Gross")),0,Menus!$J$4)</f>
        <v>0</v>
      </c>
      <c r="N275" s="85">
        <f ca="1">OFFSET(INDIRECT(ADDRESS($A275,3,3,1,"Gross")),0,Menus!$J$3)</f>
        <v>0</v>
      </c>
    </row>
    <row r="276" spans="1:14" x14ac:dyDescent="0.25">
      <c r="A276">
        <v>313</v>
      </c>
      <c r="B276" s="2">
        <f ca="1">OFFSET(INDIRECT(ADDRESS($A276,3,3,1,Menus!$K$10)),0,Menus!$J$4)</f>
        <v>0</v>
      </c>
      <c r="C276" s="2">
        <f ca="1">OFFSET(INDIRECT(ADDRESS($A276,3,3,1,Menus!$K$10)),0,Menus!$J$3)</f>
        <v>0</v>
      </c>
      <c r="D276" s="73" t="e">
        <f ca="1">IF(Menus!$J$9,C276/B276,C276)</f>
        <v>#DIV/0!</v>
      </c>
      <c r="E276" s="74" t="e">
        <f t="shared" ca="1" si="10"/>
        <v>#N/A</v>
      </c>
      <c r="F276" s="75">
        <f ca="1">INDIRECT(ADDRESS($A276,1,3,1,Menus!$K$10))</f>
        <v>0</v>
      </c>
      <c r="G276" s="2" t="e">
        <f ca="1">IF(INDIRECT(ADDRESS($A276,2,3,1,Menus!$K$10))=G$1,$D276,#N/A)</f>
        <v>#N/A</v>
      </c>
      <c r="H276" s="2" t="e">
        <f ca="1">IF(INDIRECT(ADDRESS($A276,2,3,1,Menus!$K$10))=H$1,$D276,#N/A)</f>
        <v>#N/A</v>
      </c>
      <c r="I276" s="2" t="e">
        <f ca="1">IF(INDIRECT(ADDRESS($A276,2,3,1,Menus!$K$10))=I$1,$D276,#N/A)</f>
        <v>#N/A</v>
      </c>
      <c r="J276" s="2" t="e">
        <f ca="1">IF(INDIRECT(ADDRESS($A276,1,3,1,Menus!$K$10))=T(J$1),$D276,#N/A)</f>
        <v>#N/A</v>
      </c>
      <c r="K276" s="10">
        <f t="shared" ca="1" si="9"/>
        <v>0</v>
      </c>
      <c r="L276" s="2"/>
      <c r="M276" s="85">
        <f ca="1">OFFSET(INDIRECT(ADDRESS($A276,3,3,1,"Gross")),0,Menus!$J$4)</f>
        <v>0</v>
      </c>
      <c r="N276" s="85">
        <f ca="1">OFFSET(INDIRECT(ADDRESS($A276,3,3,1,"Gross")),0,Menus!$J$3)</f>
        <v>0</v>
      </c>
    </row>
    <row r="277" spans="1:14" x14ac:dyDescent="0.25">
      <c r="A277">
        <v>314</v>
      </c>
      <c r="B277" s="2">
        <f ca="1">OFFSET(INDIRECT(ADDRESS($A277,3,3,1,Menus!$K$10)),0,Menus!$J$4)</f>
        <v>0</v>
      </c>
      <c r="C277" s="2">
        <f ca="1">OFFSET(INDIRECT(ADDRESS($A277,3,3,1,Menus!$K$10)),0,Menus!$J$3)</f>
        <v>0</v>
      </c>
      <c r="D277" s="73" t="e">
        <f ca="1">IF(Menus!$J$9,C277/B277,C277)</f>
        <v>#DIV/0!</v>
      </c>
      <c r="E277" s="74" t="e">
        <f t="shared" ca="1" si="10"/>
        <v>#N/A</v>
      </c>
      <c r="F277" s="75">
        <f ca="1">INDIRECT(ADDRESS($A277,1,3,1,Menus!$K$10))</f>
        <v>0</v>
      </c>
      <c r="G277" s="2" t="e">
        <f ca="1">IF(INDIRECT(ADDRESS($A277,2,3,1,Menus!$K$10))=G$1,$D277,#N/A)</f>
        <v>#N/A</v>
      </c>
      <c r="H277" s="2" t="e">
        <f ca="1">IF(INDIRECT(ADDRESS($A277,2,3,1,Menus!$K$10))=H$1,$D277,#N/A)</f>
        <v>#N/A</v>
      </c>
      <c r="I277" s="2" t="e">
        <f ca="1">IF(INDIRECT(ADDRESS($A277,2,3,1,Menus!$K$10))=I$1,$D277,#N/A)</f>
        <v>#N/A</v>
      </c>
      <c r="J277" s="2" t="e">
        <f ca="1">IF(INDIRECT(ADDRESS($A277,1,3,1,Menus!$K$10))=T(J$1),$D277,#N/A)</f>
        <v>#N/A</v>
      </c>
      <c r="K277" s="10">
        <f t="shared" ca="1" si="9"/>
        <v>0</v>
      </c>
      <c r="L277" s="2"/>
      <c r="M277" s="85">
        <f ca="1">OFFSET(INDIRECT(ADDRESS($A277,3,3,1,"Gross")),0,Menus!$J$4)</f>
        <v>0</v>
      </c>
      <c r="N277" s="85">
        <f ca="1">OFFSET(INDIRECT(ADDRESS($A277,3,3,1,"Gross")),0,Menus!$J$3)</f>
        <v>0</v>
      </c>
    </row>
    <row r="278" spans="1:14" x14ac:dyDescent="0.25">
      <c r="A278">
        <v>315</v>
      </c>
      <c r="B278" s="2">
        <f ca="1">OFFSET(INDIRECT(ADDRESS($A278,3,3,1,Menus!$K$10)),0,Menus!$J$4)</f>
        <v>0</v>
      </c>
      <c r="C278" s="2">
        <f ca="1">OFFSET(INDIRECT(ADDRESS($A278,3,3,1,Menus!$K$10)),0,Menus!$J$3)</f>
        <v>0</v>
      </c>
      <c r="D278" s="73" t="e">
        <f ca="1">IF(Menus!$J$9,C278/B278,C278)</f>
        <v>#DIV/0!</v>
      </c>
      <c r="E278" s="74" t="e">
        <f t="shared" ca="1" si="10"/>
        <v>#N/A</v>
      </c>
      <c r="F278" s="75">
        <f ca="1">INDIRECT(ADDRESS($A278,1,3,1,Menus!$K$10))</f>
        <v>0</v>
      </c>
      <c r="G278" s="2" t="e">
        <f ca="1">IF(INDIRECT(ADDRESS($A278,2,3,1,Menus!$K$10))=G$1,$D278,#N/A)</f>
        <v>#N/A</v>
      </c>
      <c r="H278" s="2" t="e">
        <f ca="1">IF(INDIRECT(ADDRESS($A278,2,3,1,Menus!$K$10))=H$1,$D278,#N/A)</f>
        <v>#N/A</v>
      </c>
      <c r="I278" s="2" t="e">
        <f ca="1">IF(INDIRECT(ADDRESS($A278,2,3,1,Menus!$K$10))=I$1,$D278,#N/A)</f>
        <v>#N/A</v>
      </c>
      <c r="J278" s="2" t="e">
        <f ca="1">IF(INDIRECT(ADDRESS($A278,1,3,1,Menus!$K$10))=T(J$1),$D278,#N/A)</f>
        <v>#N/A</v>
      </c>
      <c r="K278" s="10">
        <f t="shared" ca="1" si="9"/>
        <v>0</v>
      </c>
      <c r="L278" s="2"/>
      <c r="M278" s="85">
        <f ca="1">OFFSET(INDIRECT(ADDRESS($A278,3,3,1,"Gross")),0,Menus!$J$4)</f>
        <v>0</v>
      </c>
      <c r="N278" s="85">
        <f ca="1">OFFSET(INDIRECT(ADDRESS($A278,3,3,1,"Gross")),0,Menus!$J$3)</f>
        <v>0</v>
      </c>
    </row>
    <row r="279" spans="1:14" x14ac:dyDescent="0.25">
      <c r="A279">
        <v>316</v>
      </c>
      <c r="B279" s="2">
        <f ca="1">OFFSET(INDIRECT(ADDRESS($A279,3,3,1,Menus!$K$10)),0,Menus!$J$4)</f>
        <v>0</v>
      </c>
      <c r="C279" s="2">
        <f ca="1">OFFSET(INDIRECT(ADDRESS($A279,3,3,1,Menus!$K$10)),0,Menus!$J$3)</f>
        <v>0</v>
      </c>
      <c r="D279" s="73" t="e">
        <f ca="1">IF(Menus!$J$9,C279/B279,C279)</f>
        <v>#DIV/0!</v>
      </c>
      <c r="E279" s="74" t="e">
        <f t="shared" ca="1" si="10"/>
        <v>#N/A</v>
      </c>
      <c r="F279" s="75">
        <f ca="1">INDIRECT(ADDRESS($A279,1,3,1,Menus!$K$10))</f>
        <v>0</v>
      </c>
      <c r="G279" s="2" t="e">
        <f ca="1">IF(INDIRECT(ADDRESS($A279,2,3,1,Menus!$K$10))=G$1,$D279,#N/A)</f>
        <v>#N/A</v>
      </c>
      <c r="H279" s="2" t="e">
        <f ca="1">IF(INDIRECT(ADDRESS($A279,2,3,1,Menus!$K$10))=H$1,$D279,#N/A)</f>
        <v>#N/A</v>
      </c>
      <c r="I279" s="2" t="e">
        <f ca="1">IF(INDIRECT(ADDRESS($A279,2,3,1,Menus!$K$10))=I$1,$D279,#N/A)</f>
        <v>#N/A</v>
      </c>
      <c r="J279" s="2" t="e">
        <f ca="1">IF(INDIRECT(ADDRESS($A279,1,3,1,Menus!$K$10))=T(J$1),$D279,#N/A)</f>
        <v>#N/A</v>
      </c>
      <c r="K279" s="10">
        <f t="shared" ca="1" si="9"/>
        <v>0</v>
      </c>
      <c r="L279" s="2"/>
      <c r="M279" s="85">
        <f ca="1">OFFSET(INDIRECT(ADDRESS($A279,3,3,1,"Gross")),0,Menus!$J$4)</f>
        <v>0</v>
      </c>
      <c r="N279" s="85">
        <f ca="1">OFFSET(INDIRECT(ADDRESS($A279,3,3,1,"Gross")),0,Menus!$J$3)</f>
        <v>0</v>
      </c>
    </row>
    <row r="280" spans="1:14" x14ac:dyDescent="0.25">
      <c r="A280">
        <v>317</v>
      </c>
      <c r="B280" s="2">
        <f ca="1">OFFSET(INDIRECT(ADDRESS($A280,3,3,1,Menus!$K$10)),0,Menus!$J$4)</f>
        <v>0</v>
      </c>
      <c r="C280" s="2">
        <f ca="1">OFFSET(INDIRECT(ADDRESS($A280,3,3,1,Menus!$K$10)),0,Menus!$J$3)</f>
        <v>0</v>
      </c>
      <c r="D280" s="73" t="e">
        <f ca="1">IF(Menus!$J$9,C280/B280,C280)</f>
        <v>#DIV/0!</v>
      </c>
      <c r="E280" s="74" t="e">
        <f t="shared" ca="1" si="10"/>
        <v>#N/A</v>
      </c>
      <c r="F280" s="75">
        <f ca="1">INDIRECT(ADDRESS($A280,1,3,1,Menus!$K$10))</f>
        <v>0</v>
      </c>
      <c r="G280" s="2" t="e">
        <f ca="1">IF(INDIRECT(ADDRESS($A280,2,3,1,Menus!$K$10))=G$1,$D280,#N/A)</f>
        <v>#N/A</v>
      </c>
      <c r="H280" s="2" t="e">
        <f ca="1">IF(INDIRECT(ADDRESS($A280,2,3,1,Menus!$K$10))=H$1,$D280,#N/A)</f>
        <v>#N/A</v>
      </c>
      <c r="I280" s="2" t="e">
        <f ca="1">IF(INDIRECT(ADDRESS($A280,2,3,1,Menus!$K$10))=I$1,$D280,#N/A)</f>
        <v>#N/A</v>
      </c>
      <c r="J280" s="2" t="e">
        <f ca="1">IF(INDIRECT(ADDRESS($A280,1,3,1,Menus!$K$10))=T(J$1),$D280,#N/A)</f>
        <v>#N/A</v>
      </c>
      <c r="K280" s="10">
        <f t="shared" ca="1" si="9"/>
        <v>0</v>
      </c>
      <c r="L280" s="2"/>
      <c r="M280" s="85">
        <f ca="1">OFFSET(INDIRECT(ADDRESS($A280,3,3,1,"Gross")),0,Menus!$J$4)</f>
        <v>0</v>
      </c>
      <c r="N280" s="85">
        <f ca="1">OFFSET(INDIRECT(ADDRESS($A280,3,3,1,"Gross")),0,Menus!$J$3)</f>
        <v>0</v>
      </c>
    </row>
    <row r="281" spans="1:14" x14ac:dyDescent="0.25">
      <c r="A281">
        <v>318</v>
      </c>
      <c r="B281" s="2">
        <f ca="1">OFFSET(INDIRECT(ADDRESS($A281,3,3,1,Menus!$K$10)),0,Menus!$J$4)</f>
        <v>0</v>
      </c>
      <c r="C281" s="2">
        <f ca="1">OFFSET(INDIRECT(ADDRESS($A281,3,3,1,Menus!$K$10)),0,Menus!$J$3)</f>
        <v>0</v>
      </c>
      <c r="D281" s="73" t="e">
        <f ca="1">IF(Menus!$J$9,C281/B281,C281)</f>
        <v>#DIV/0!</v>
      </c>
      <c r="E281" s="74" t="e">
        <f t="shared" ca="1" si="10"/>
        <v>#N/A</v>
      </c>
      <c r="F281" s="75">
        <f ca="1">INDIRECT(ADDRESS($A281,1,3,1,Menus!$K$10))</f>
        <v>0</v>
      </c>
      <c r="G281" s="2" t="e">
        <f ca="1">IF(INDIRECT(ADDRESS($A281,2,3,1,Menus!$K$10))=G$1,$D281,#N/A)</f>
        <v>#N/A</v>
      </c>
      <c r="H281" s="2" t="e">
        <f ca="1">IF(INDIRECT(ADDRESS($A281,2,3,1,Menus!$K$10))=H$1,$D281,#N/A)</f>
        <v>#N/A</v>
      </c>
      <c r="I281" s="2" t="e">
        <f ca="1">IF(INDIRECT(ADDRESS($A281,2,3,1,Menus!$K$10))=I$1,$D281,#N/A)</f>
        <v>#N/A</v>
      </c>
      <c r="J281" s="2" t="e">
        <f ca="1">IF(INDIRECT(ADDRESS($A281,1,3,1,Menus!$K$10))=T(J$1),$D281,#N/A)</f>
        <v>#N/A</v>
      </c>
      <c r="K281" s="10">
        <f t="shared" ca="1" si="9"/>
        <v>0</v>
      </c>
      <c r="L281" s="2"/>
      <c r="M281" s="85">
        <f ca="1">OFFSET(INDIRECT(ADDRESS($A281,3,3,1,"Gross")),0,Menus!$J$4)</f>
        <v>0</v>
      </c>
      <c r="N281" s="85">
        <f ca="1">OFFSET(INDIRECT(ADDRESS($A281,3,3,1,"Gross")),0,Menus!$J$3)</f>
        <v>0</v>
      </c>
    </row>
    <row r="282" spans="1:14" x14ac:dyDescent="0.25">
      <c r="A282">
        <v>319</v>
      </c>
      <c r="B282" s="2">
        <f ca="1">OFFSET(INDIRECT(ADDRESS($A282,3,3,1,Menus!$K$10)),0,Menus!$J$4)</f>
        <v>0</v>
      </c>
      <c r="C282" s="2">
        <f ca="1">OFFSET(INDIRECT(ADDRESS($A282,3,3,1,Menus!$K$10)),0,Menus!$J$3)</f>
        <v>0</v>
      </c>
      <c r="D282" s="73" t="e">
        <f ca="1">IF(Menus!$J$9,C282/B282,C282)</f>
        <v>#DIV/0!</v>
      </c>
      <c r="E282" s="74" t="e">
        <f t="shared" ca="1" si="10"/>
        <v>#N/A</v>
      </c>
      <c r="F282" s="75">
        <f ca="1">INDIRECT(ADDRESS($A282,1,3,1,Menus!$K$10))</f>
        <v>0</v>
      </c>
      <c r="G282" s="2" t="e">
        <f ca="1">IF(INDIRECT(ADDRESS($A282,2,3,1,Menus!$K$10))=G$1,$D282,#N/A)</f>
        <v>#N/A</v>
      </c>
      <c r="H282" s="2" t="e">
        <f ca="1">IF(INDIRECT(ADDRESS($A282,2,3,1,Menus!$K$10))=H$1,$D282,#N/A)</f>
        <v>#N/A</v>
      </c>
      <c r="I282" s="2" t="e">
        <f ca="1">IF(INDIRECT(ADDRESS($A282,2,3,1,Menus!$K$10))=I$1,$D282,#N/A)</f>
        <v>#N/A</v>
      </c>
      <c r="J282" s="2" t="e">
        <f ca="1">IF(INDIRECT(ADDRESS($A282,1,3,1,Menus!$K$10))=T(J$1),$D282,#N/A)</f>
        <v>#N/A</v>
      </c>
      <c r="K282" s="10">
        <f t="shared" ca="1" si="9"/>
        <v>0</v>
      </c>
      <c r="L282" s="2"/>
      <c r="M282" s="85">
        <f ca="1">OFFSET(INDIRECT(ADDRESS($A282,3,3,1,"Gross")),0,Menus!$J$4)</f>
        <v>0</v>
      </c>
      <c r="N282" s="85">
        <f ca="1">OFFSET(INDIRECT(ADDRESS($A282,3,3,1,"Gross")),0,Menus!$J$3)</f>
        <v>0</v>
      </c>
    </row>
    <row r="283" spans="1:14" x14ac:dyDescent="0.25">
      <c r="A283">
        <v>320</v>
      </c>
      <c r="B283" s="2">
        <f ca="1">OFFSET(INDIRECT(ADDRESS($A283,3,3,1,Menus!$K$10)),0,Menus!$J$4)</f>
        <v>0</v>
      </c>
      <c r="C283" s="2">
        <f ca="1">OFFSET(INDIRECT(ADDRESS($A283,3,3,1,Menus!$K$10)),0,Menus!$J$3)</f>
        <v>0</v>
      </c>
      <c r="D283" s="73" t="e">
        <f ca="1">IF(Menus!$J$9,C283/B283,C283)</f>
        <v>#DIV/0!</v>
      </c>
      <c r="E283" s="74" t="e">
        <f t="shared" ca="1" si="10"/>
        <v>#N/A</v>
      </c>
      <c r="F283" s="75">
        <f ca="1">INDIRECT(ADDRESS($A283,1,3,1,Menus!$K$10))</f>
        <v>0</v>
      </c>
      <c r="G283" s="2" t="e">
        <f ca="1">IF(INDIRECT(ADDRESS($A283,2,3,1,Menus!$K$10))=G$1,$D283,#N/A)</f>
        <v>#N/A</v>
      </c>
      <c r="H283" s="2" t="e">
        <f ca="1">IF(INDIRECT(ADDRESS($A283,2,3,1,Menus!$K$10))=H$1,$D283,#N/A)</f>
        <v>#N/A</v>
      </c>
      <c r="I283" s="2" t="e">
        <f ca="1">IF(INDIRECT(ADDRESS($A283,2,3,1,Menus!$K$10))=I$1,$D283,#N/A)</f>
        <v>#N/A</v>
      </c>
      <c r="J283" s="2" t="e">
        <f ca="1">IF(INDIRECT(ADDRESS($A283,1,3,1,Menus!$K$10))=T(J$1),$D283,#N/A)</f>
        <v>#N/A</v>
      </c>
      <c r="K283" s="10">
        <f t="shared" ca="1" si="9"/>
        <v>0</v>
      </c>
      <c r="L283" s="2"/>
      <c r="M283" s="85">
        <f ca="1">OFFSET(INDIRECT(ADDRESS($A283,3,3,1,"Gross")),0,Menus!$J$4)</f>
        <v>0</v>
      </c>
      <c r="N283" s="85">
        <f ca="1">OFFSET(INDIRECT(ADDRESS($A283,3,3,1,"Gross")),0,Menus!$J$3)</f>
        <v>0</v>
      </c>
    </row>
    <row r="284" spans="1:14" x14ac:dyDescent="0.25">
      <c r="A284">
        <v>321</v>
      </c>
      <c r="B284" s="2">
        <f ca="1">OFFSET(INDIRECT(ADDRESS($A284,3,3,1,Menus!$K$10)),0,Menus!$J$4)</f>
        <v>0</v>
      </c>
      <c r="C284" s="2">
        <f ca="1">OFFSET(INDIRECT(ADDRESS($A284,3,3,1,Menus!$K$10)),0,Menus!$J$3)</f>
        <v>0</v>
      </c>
      <c r="D284" s="73" t="e">
        <f ca="1">IF(Menus!$J$9,C284/B284,C284)</f>
        <v>#DIV/0!</v>
      </c>
      <c r="E284" s="74" t="e">
        <f t="shared" ca="1" si="10"/>
        <v>#N/A</v>
      </c>
      <c r="F284" s="75">
        <f ca="1">INDIRECT(ADDRESS($A284,1,3,1,Menus!$K$10))</f>
        <v>0</v>
      </c>
      <c r="G284" s="2" t="e">
        <f ca="1">IF(INDIRECT(ADDRESS($A284,2,3,1,Menus!$K$10))=G$1,$D284,#N/A)</f>
        <v>#N/A</v>
      </c>
      <c r="H284" s="2" t="e">
        <f ca="1">IF(INDIRECT(ADDRESS($A284,2,3,1,Menus!$K$10))=H$1,$D284,#N/A)</f>
        <v>#N/A</v>
      </c>
      <c r="I284" s="2" t="e">
        <f ca="1">IF(INDIRECT(ADDRESS($A284,2,3,1,Menus!$K$10))=I$1,$D284,#N/A)</f>
        <v>#N/A</v>
      </c>
      <c r="J284" s="2" t="e">
        <f ca="1">IF(INDIRECT(ADDRESS($A284,1,3,1,Menus!$K$10))=T(J$1),$D284,#N/A)</f>
        <v>#N/A</v>
      </c>
      <c r="K284" s="10">
        <f t="shared" ca="1" si="9"/>
        <v>0</v>
      </c>
      <c r="L284" s="2"/>
      <c r="M284" s="85">
        <f ca="1">OFFSET(INDIRECT(ADDRESS($A284,3,3,1,"Gross")),0,Menus!$J$4)</f>
        <v>0</v>
      </c>
      <c r="N284" s="85">
        <f ca="1">OFFSET(INDIRECT(ADDRESS($A284,3,3,1,"Gross")),0,Menus!$J$3)</f>
        <v>0</v>
      </c>
    </row>
    <row r="285" spans="1:14" x14ac:dyDescent="0.25">
      <c r="A285">
        <v>322</v>
      </c>
      <c r="B285" s="2">
        <f ca="1">OFFSET(INDIRECT(ADDRESS($A285,3,3,1,Menus!$K$10)),0,Menus!$J$4)</f>
        <v>0</v>
      </c>
      <c r="C285" s="2">
        <f ca="1">OFFSET(INDIRECT(ADDRESS($A285,3,3,1,Menus!$K$10)),0,Menus!$J$3)</f>
        <v>0</v>
      </c>
      <c r="D285" s="73" t="e">
        <f ca="1">IF(Menus!$J$9,C285/B285,C285)</f>
        <v>#DIV/0!</v>
      </c>
      <c r="E285" s="74" t="e">
        <f t="shared" ca="1" si="10"/>
        <v>#N/A</v>
      </c>
      <c r="F285" s="75">
        <f ca="1">INDIRECT(ADDRESS($A285,1,3,1,Menus!$K$10))</f>
        <v>0</v>
      </c>
      <c r="G285" s="2" t="e">
        <f ca="1">IF(INDIRECT(ADDRESS($A285,2,3,1,Menus!$K$10))=G$1,$D285,#N/A)</f>
        <v>#N/A</v>
      </c>
      <c r="H285" s="2" t="e">
        <f ca="1">IF(INDIRECT(ADDRESS($A285,2,3,1,Menus!$K$10))=H$1,$D285,#N/A)</f>
        <v>#N/A</v>
      </c>
      <c r="I285" s="2" t="e">
        <f ca="1">IF(INDIRECT(ADDRESS($A285,2,3,1,Menus!$K$10))=I$1,$D285,#N/A)</f>
        <v>#N/A</v>
      </c>
      <c r="J285" s="2" t="e">
        <f ca="1">IF(INDIRECT(ADDRESS($A285,1,3,1,Menus!$K$10))=T(J$1),$D285,#N/A)</f>
        <v>#N/A</v>
      </c>
      <c r="K285" s="10">
        <f t="shared" ca="1" si="9"/>
        <v>0</v>
      </c>
      <c r="L285" s="2"/>
      <c r="M285" s="85">
        <f ca="1">OFFSET(INDIRECT(ADDRESS($A285,3,3,1,"Gross")),0,Menus!$J$4)</f>
        <v>0</v>
      </c>
      <c r="N285" s="85">
        <f ca="1">OFFSET(INDIRECT(ADDRESS($A285,3,3,1,"Gross")),0,Menus!$J$3)</f>
        <v>0</v>
      </c>
    </row>
    <row r="286" spans="1:14" x14ac:dyDescent="0.25">
      <c r="A286">
        <v>323</v>
      </c>
      <c r="B286" s="2">
        <f ca="1">OFFSET(INDIRECT(ADDRESS($A286,3,3,1,Menus!$K$10)),0,Menus!$J$4)</f>
        <v>0</v>
      </c>
      <c r="C286" s="2">
        <f ca="1">OFFSET(INDIRECT(ADDRESS($A286,3,3,1,Menus!$K$10)),0,Menus!$J$3)</f>
        <v>0</v>
      </c>
      <c r="D286" s="73" t="e">
        <f ca="1">IF(Menus!$J$9,C286/B286,C286)</f>
        <v>#DIV/0!</v>
      </c>
      <c r="E286" s="74" t="e">
        <f t="shared" ca="1" si="10"/>
        <v>#N/A</v>
      </c>
      <c r="F286" s="75">
        <f ca="1">INDIRECT(ADDRESS($A286,1,3,1,Menus!$K$10))</f>
        <v>0</v>
      </c>
      <c r="G286" s="2" t="e">
        <f ca="1">IF(INDIRECT(ADDRESS($A286,2,3,1,Menus!$K$10))=G$1,$D286,#N/A)</f>
        <v>#N/A</v>
      </c>
      <c r="H286" s="2" t="e">
        <f ca="1">IF(INDIRECT(ADDRESS($A286,2,3,1,Menus!$K$10))=H$1,$D286,#N/A)</f>
        <v>#N/A</v>
      </c>
      <c r="I286" s="2" t="e">
        <f ca="1">IF(INDIRECT(ADDRESS($A286,2,3,1,Menus!$K$10))=I$1,$D286,#N/A)</f>
        <v>#N/A</v>
      </c>
      <c r="J286" s="2" t="e">
        <f ca="1">IF(INDIRECT(ADDRESS($A286,1,3,1,Menus!$K$10))=T(J$1),$D286,#N/A)</f>
        <v>#N/A</v>
      </c>
      <c r="K286" s="10">
        <f t="shared" ca="1" si="9"/>
        <v>0</v>
      </c>
      <c r="L286" s="2"/>
      <c r="M286" s="85">
        <f ca="1">OFFSET(INDIRECT(ADDRESS($A286,3,3,1,"Gross")),0,Menus!$J$4)</f>
        <v>0</v>
      </c>
      <c r="N286" s="85">
        <f ca="1">OFFSET(INDIRECT(ADDRESS($A286,3,3,1,"Gross")),0,Menus!$J$3)</f>
        <v>0</v>
      </c>
    </row>
    <row r="287" spans="1:14" x14ac:dyDescent="0.25">
      <c r="A287">
        <v>324</v>
      </c>
      <c r="B287" s="2">
        <f ca="1">OFFSET(INDIRECT(ADDRESS($A287,3,3,1,Menus!$K$10)),0,Menus!$J$4)</f>
        <v>0</v>
      </c>
      <c r="C287" s="2">
        <f ca="1">OFFSET(INDIRECT(ADDRESS($A287,3,3,1,Menus!$K$10)),0,Menus!$J$3)</f>
        <v>0</v>
      </c>
      <c r="D287" s="73" t="e">
        <f ca="1">IF(Menus!$J$9,C287/B287,C287)</f>
        <v>#DIV/0!</v>
      </c>
      <c r="E287" s="74" t="e">
        <f t="shared" ca="1" si="10"/>
        <v>#N/A</v>
      </c>
      <c r="F287" s="75">
        <f ca="1">INDIRECT(ADDRESS($A287,1,3,1,Menus!$K$10))</f>
        <v>0</v>
      </c>
      <c r="G287" s="2" t="e">
        <f ca="1">IF(INDIRECT(ADDRESS($A287,2,3,1,Menus!$K$10))=G$1,$D287,#N/A)</f>
        <v>#N/A</v>
      </c>
      <c r="H287" s="2" t="e">
        <f ca="1">IF(INDIRECT(ADDRESS($A287,2,3,1,Menus!$K$10))=H$1,$D287,#N/A)</f>
        <v>#N/A</v>
      </c>
      <c r="I287" s="2" t="e">
        <f ca="1">IF(INDIRECT(ADDRESS($A287,2,3,1,Menus!$K$10))=I$1,$D287,#N/A)</f>
        <v>#N/A</v>
      </c>
      <c r="J287" s="2" t="e">
        <f ca="1">IF(INDIRECT(ADDRESS($A287,1,3,1,Menus!$K$10))=T(J$1),$D287,#N/A)</f>
        <v>#N/A</v>
      </c>
      <c r="K287" s="10">
        <f t="shared" ca="1" si="9"/>
        <v>0</v>
      </c>
      <c r="L287" s="2"/>
      <c r="M287" s="85">
        <f ca="1">OFFSET(INDIRECT(ADDRESS($A287,3,3,1,"Gross")),0,Menus!$J$4)</f>
        <v>0</v>
      </c>
      <c r="N287" s="85">
        <f ca="1">OFFSET(INDIRECT(ADDRESS($A287,3,3,1,"Gross")),0,Menus!$J$3)</f>
        <v>0</v>
      </c>
    </row>
    <row r="288" spans="1:14" x14ac:dyDescent="0.25">
      <c r="A288">
        <v>325</v>
      </c>
      <c r="B288" s="2">
        <f ca="1">OFFSET(INDIRECT(ADDRESS($A288,3,3,1,Menus!$K$10)),0,Menus!$J$4)</f>
        <v>0</v>
      </c>
      <c r="C288" s="2">
        <f ca="1">OFFSET(INDIRECT(ADDRESS($A288,3,3,1,Menus!$K$10)),0,Menus!$J$3)</f>
        <v>0</v>
      </c>
      <c r="D288" s="73" t="e">
        <f ca="1">IF(Menus!$J$9,C288/B288,C288)</f>
        <v>#DIV/0!</v>
      </c>
      <c r="E288" s="74" t="e">
        <f t="shared" ca="1" si="10"/>
        <v>#N/A</v>
      </c>
      <c r="F288" s="75">
        <f ca="1">INDIRECT(ADDRESS($A288,1,3,1,Menus!$K$10))</f>
        <v>0</v>
      </c>
      <c r="G288" s="2" t="e">
        <f ca="1">IF(INDIRECT(ADDRESS($A288,2,3,1,Menus!$K$10))=G$1,$D288,#N/A)</f>
        <v>#N/A</v>
      </c>
      <c r="H288" s="2" t="e">
        <f ca="1">IF(INDIRECT(ADDRESS($A288,2,3,1,Menus!$K$10))=H$1,$D288,#N/A)</f>
        <v>#N/A</v>
      </c>
      <c r="I288" s="2" t="e">
        <f ca="1">IF(INDIRECT(ADDRESS($A288,2,3,1,Menus!$K$10))=I$1,$D288,#N/A)</f>
        <v>#N/A</v>
      </c>
      <c r="J288" s="2" t="e">
        <f ca="1">IF(INDIRECT(ADDRESS($A288,1,3,1,Menus!$K$10))=T(J$1),$D288,#N/A)</f>
        <v>#N/A</v>
      </c>
      <c r="K288" s="10">
        <f t="shared" ca="1" si="9"/>
        <v>0</v>
      </c>
      <c r="L288" s="2"/>
      <c r="M288" s="85">
        <f ca="1">OFFSET(INDIRECT(ADDRESS($A288,3,3,1,"Gross")),0,Menus!$J$4)</f>
        <v>0</v>
      </c>
      <c r="N288" s="85">
        <f ca="1">OFFSET(INDIRECT(ADDRESS($A288,3,3,1,"Gross")),0,Menus!$J$3)</f>
        <v>0</v>
      </c>
    </row>
    <row r="289" spans="1:14" x14ac:dyDescent="0.25">
      <c r="A289">
        <v>326</v>
      </c>
      <c r="B289" s="2">
        <f ca="1">OFFSET(INDIRECT(ADDRESS($A289,3,3,1,Menus!$K$10)),0,Menus!$J$4)</f>
        <v>0</v>
      </c>
      <c r="C289" s="2">
        <f ca="1">OFFSET(INDIRECT(ADDRESS($A289,3,3,1,Menus!$K$10)),0,Menus!$J$3)</f>
        <v>0</v>
      </c>
      <c r="D289" s="73" t="e">
        <f ca="1">IF(Menus!$J$9,C289/B289,C289)</f>
        <v>#DIV/0!</v>
      </c>
      <c r="E289" s="74" t="e">
        <f t="shared" ca="1" si="10"/>
        <v>#N/A</v>
      </c>
      <c r="F289" s="75">
        <f ca="1">INDIRECT(ADDRESS($A289,1,3,1,Menus!$K$10))</f>
        <v>0</v>
      </c>
      <c r="G289" s="2" t="e">
        <f ca="1">IF(INDIRECT(ADDRESS($A289,2,3,1,Menus!$K$10))=G$1,$D289,#N/A)</f>
        <v>#N/A</v>
      </c>
      <c r="H289" s="2" t="e">
        <f ca="1">IF(INDIRECT(ADDRESS($A289,2,3,1,Menus!$K$10))=H$1,$D289,#N/A)</f>
        <v>#N/A</v>
      </c>
      <c r="I289" s="2" t="e">
        <f ca="1">IF(INDIRECT(ADDRESS($A289,2,3,1,Menus!$K$10))=I$1,$D289,#N/A)</f>
        <v>#N/A</v>
      </c>
      <c r="J289" s="2" t="e">
        <f ca="1">IF(INDIRECT(ADDRESS($A289,1,3,1,Menus!$K$10))=T(J$1),$D289,#N/A)</f>
        <v>#N/A</v>
      </c>
      <c r="K289" s="10">
        <f t="shared" ca="1" si="9"/>
        <v>0</v>
      </c>
      <c r="L289" s="2"/>
      <c r="M289" s="85">
        <f ca="1">OFFSET(INDIRECT(ADDRESS($A289,3,3,1,"Gross")),0,Menus!$J$4)</f>
        <v>0</v>
      </c>
      <c r="N289" s="85">
        <f ca="1">OFFSET(INDIRECT(ADDRESS($A289,3,3,1,"Gross")),0,Menus!$J$3)</f>
        <v>0</v>
      </c>
    </row>
    <row r="290" spans="1:14" x14ac:dyDescent="0.25">
      <c r="A290">
        <v>327</v>
      </c>
      <c r="B290" s="2">
        <f ca="1">OFFSET(INDIRECT(ADDRESS($A290,3,3,1,Menus!$K$10)),0,Menus!$J$4)</f>
        <v>0</v>
      </c>
      <c r="C290" s="2">
        <f ca="1">OFFSET(INDIRECT(ADDRESS($A290,3,3,1,Menus!$K$10)),0,Menus!$J$3)</f>
        <v>0</v>
      </c>
      <c r="D290" s="73" t="e">
        <f ca="1">IF(Menus!$J$9,C290/B290,C290)</f>
        <v>#DIV/0!</v>
      </c>
      <c r="E290" s="74" t="e">
        <f t="shared" ca="1" si="10"/>
        <v>#N/A</v>
      </c>
      <c r="F290" s="75">
        <f ca="1">INDIRECT(ADDRESS($A290,1,3,1,Menus!$K$10))</f>
        <v>0</v>
      </c>
      <c r="G290" s="2" t="e">
        <f ca="1">IF(INDIRECT(ADDRESS($A290,2,3,1,Menus!$K$10))=G$1,$D290,#N/A)</f>
        <v>#N/A</v>
      </c>
      <c r="H290" s="2" t="e">
        <f ca="1">IF(INDIRECT(ADDRESS($A290,2,3,1,Menus!$K$10))=H$1,$D290,#N/A)</f>
        <v>#N/A</v>
      </c>
      <c r="I290" s="2" t="e">
        <f ca="1">IF(INDIRECT(ADDRESS($A290,2,3,1,Menus!$K$10))=I$1,$D290,#N/A)</f>
        <v>#N/A</v>
      </c>
      <c r="J290" s="2" t="e">
        <f ca="1">IF(INDIRECT(ADDRESS($A290,1,3,1,Menus!$K$10))=T(J$1),$D290,#N/A)</f>
        <v>#N/A</v>
      </c>
      <c r="K290" s="10">
        <f t="shared" ca="1" si="9"/>
        <v>0</v>
      </c>
      <c r="L290" s="2"/>
      <c r="M290" s="85">
        <f ca="1">OFFSET(INDIRECT(ADDRESS($A290,3,3,1,"Gross")),0,Menus!$J$4)</f>
        <v>0</v>
      </c>
      <c r="N290" s="85">
        <f ca="1">OFFSET(INDIRECT(ADDRESS($A290,3,3,1,"Gross")),0,Menus!$J$3)</f>
        <v>0</v>
      </c>
    </row>
    <row r="291" spans="1:14" x14ac:dyDescent="0.25">
      <c r="A291">
        <v>328</v>
      </c>
      <c r="B291" s="2">
        <f ca="1">OFFSET(INDIRECT(ADDRESS($A291,3,3,1,Menus!$K$10)),0,Menus!$J$4)</f>
        <v>0</v>
      </c>
      <c r="C291" s="2">
        <f ca="1">OFFSET(INDIRECT(ADDRESS($A291,3,3,1,Menus!$K$10)),0,Menus!$J$3)</f>
        <v>0</v>
      </c>
      <c r="D291" s="73" t="e">
        <f ca="1">IF(Menus!$J$9,C291/B291,C291)</f>
        <v>#DIV/0!</v>
      </c>
      <c r="E291" s="74" t="e">
        <f t="shared" ca="1" si="10"/>
        <v>#N/A</v>
      </c>
      <c r="F291" s="75">
        <f ca="1">INDIRECT(ADDRESS($A291,1,3,1,Menus!$K$10))</f>
        <v>0</v>
      </c>
      <c r="G291" s="2" t="e">
        <f ca="1">IF(INDIRECT(ADDRESS($A291,2,3,1,Menus!$K$10))=G$1,$D291,#N/A)</f>
        <v>#N/A</v>
      </c>
      <c r="H291" s="2" t="e">
        <f ca="1">IF(INDIRECT(ADDRESS($A291,2,3,1,Menus!$K$10))=H$1,$D291,#N/A)</f>
        <v>#N/A</v>
      </c>
      <c r="I291" s="2" t="e">
        <f ca="1">IF(INDIRECT(ADDRESS($A291,2,3,1,Menus!$K$10))=I$1,$D291,#N/A)</f>
        <v>#N/A</v>
      </c>
      <c r="J291" s="2" t="e">
        <f ca="1">IF(INDIRECT(ADDRESS($A291,1,3,1,Menus!$K$10))=T(J$1),$D291,#N/A)</f>
        <v>#N/A</v>
      </c>
      <c r="K291" s="10">
        <f t="shared" ca="1" si="9"/>
        <v>0</v>
      </c>
      <c r="L291" s="2"/>
      <c r="M291" s="85">
        <f ca="1">OFFSET(INDIRECT(ADDRESS($A291,3,3,1,"Gross")),0,Menus!$J$4)</f>
        <v>0</v>
      </c>
      <c r="N291" s="85">
        <f ca="1">OFFSET(INDIRECT(ADDRESS($A291,3,3,1,"Gross")),0,Menus!$J$3)</f>
        <v>0</v>
      </c>
    </row>
    <row r="292" spans="1:14" x14ac:dyDescent="0.25">
      <c r="A292">
        <v>329</v>
      </c>
      <c r="B292" s="2">
        <f ca="1">OFFSET(INDIRECT(ADDRESS($A292,3,3,1,Menus!$K$10)),0,Menus!$J$4)</f>
        <v>0</v>
      </c>
      <c r="C292" s="2">
        <f ca="1">OFFSET(INDIRECT(ADDRESS($A292,3,3,1,Menus!$K$10)),0,Menus!$J$3)</f>
        <v>0</v>
      </c>
      <c r="D292" s="73" t="e">
        <f ca="1">IF(Menus!$J$9,C292/B292,C292)</f>
        <v>#DIV/0!</v>
      </c>
      <c r="E292" s="74" t="e">
        <f t="shared" ca="1" si="10"/>
        <v>#N/A</v>
      </c>
      <c r="F292" s="75">
        <f ca="1">INDIRECT(ADDRESS($A292,1,3,1,Menus!$K$10))</f>
        <v>0</v>
      </c>
      <c r="G292" s="2" t="e">
        <f ca="1">IF(INDIRECT(ADDRESS($A292,2,3,1,Menus!$K$10))=G$1,$D292,#N/A)</f>
        <v>#N/A</v>
      </c>
      <c r="H292" s="2" t="e">
        <f ca="1">IF(INDIRECT(ADDRESS($A292,2,3,1,Menus!$K$10))=H$1,$D292,#N/A)</f>
        <v>#N/A</v>
      </c>
      <c r="I292" s="2" t="e">
        <f ca="1">IF(INDIRECT(ADDRESS($A292,2,3,1,Menus!$K$10))=I$1,$D292,#N/A)</f>
        <v>#N/A</v>
      </c>
      <c r="J292" s="2" t="e">
        <f ca="1">IF(INDIRECT(ADDRESS($A292,1,3,1,Menus!$K$10))=T(J$1),$D292,#N/A)</f>
        <v>#N/A</v>
      </c>
      <c r="K292" s="10">
        <f t="shared" ca="1" si="9"/>
        <v>0</v>
      </c>
      <c r="L292" s="2"/>
      <c r="M292" s="85">
        <f ca="1">OFFSET(INDIRECT(ADDRESS($A292,3,3,1,"Gross")),0,Menus!$J$4)</f>
        <v>0</v>
      </c>
      <c r="N292" s="85">
        <f ca="1">OFFSET(INDIRECT(ADDRESS($A292,3,3,1,"Gross")),0,Menus!$J$3)</f>
        <v>0</v>
      </c>
    </row>
    <row r="293" spans="1:14" x14ac:dyDescent="0.25">
      <c r="A293">
        <v>330</v>
      </c>
      <c r="B293" s="2">
        <f ca="1">OFFSET(INDIRECT(ADDRESS($A293,3,3,1,Menus!$K$10)),0,Menus!$J$4)</f>
        <v>0</v>
      </c>
      <c r="C293" s="2">
        <f ca="1">OFFSET(INDIRECT(ADDRESS($A293,3,3,1,Menus!$K$10)),0,Menus!$J$3)</f>
        <v>0</v>
      </c>
      <c r="D293" s="73" t="e">
        <f ca="1">IF(Menus!$J$9,C293/B293,C293)</f>
        <v>#DIV/0!</v>
      </c>
      <c r="E293" s="74" t="e">
        <f t="shared" ca="1" si="10"/>
        <v>#N/A</v>
      </c>
      <c r="F293" s="75">
        <f ca="1">INDIRECT(ADDRESS($A293,1,3,1,Menus!$K$10))</f>
        <v>0</v>
      </c>
      <c r="G293" s="2" t="e">
        <f ca="1">IF(INDIRECT(ADDRESS($A293,2,3,1,Menus!$K$10))=G$1,$D293,#N/A)</f>
        <v>#N/A</v>
      </c>
      <c r="H293" s="2" t="e">
        <f ca="1">IF(INDIRECT(ADDRESS($A293,2,3,1,Menus!$K$10))=H$1,$D293,#N/A)</f>
        <v>#N/A</v>
      </c>
      <c r="I293" s="2" t="e">
        <f ca="1">IF(INDIRECT(ADDRESS($A293,2,3,1,Menus!$K$10))=I$1,$D293,#N/A)</f>
        <v>#N/A</v>
      </c>
      <c r="J293" s="2" t="e">
        <f ca="1">IF(INDIRECT(ADDRESS($A293,1,3,1,Menus!$K$10))=T(J$1),$D293,#N/A)</f>
        <v>#N/A</v>
      </c>
      <c r="K293" s="10">
        <f t="shared" ca="1" si="9"/>
        <v>0</v>
      </c>
      <c r="L293" s="2"/>
      <c r="M293" s="85">
        <f ca="1">OFFSET(INDIRECT(ADDRESS($A293,3,3,1,"Gross")),0,Menus!$J$4)</f>
        <v>0</v>
      </c>
      <c r="N293" s="85">
        <f ca="1">OFFSET(INDIRECT(ADDRESS($A293,3,3,1,"Gross")),0,Menus!$J$3)</f>
        <v>0</v>
      </c>
    </row>
    <row r="294" spans="1:14" x14ac:dyDescent="0.25">
      <c r="A294">
        <v>331</v>
      </c>
      <c r="B294" s="2">
        <f ca="1">OFFSET(INDIRECT(ADDRESS($A294,3,3,1,Menus!$K$10)),0,Menus!$J$4)</f>
        <v>0</v>
      </c>
      <c r="C294" s="2">
        <f ca="1">OFFSET(INDIRECT(ADDRESS($A294,3,3,1,Menus!$K$10)),0,Menus!$J$3)</f>
        <v>0</v>
      </c>
      <c r="D294" s="73" t="e">
        <f ca="1">IF(Menus!$J$9,C294/B294,C294)</f>
        <v>#DIV/0!</v>
      </c>
      <c r="E294" s="74" t="e">
        <f t="shared" ca="1" si="10"/>
        <v>#N/A</v>
      </c>
      <c r="F294" s="75">
        <f ca="1">INDIRECT(ADDRESS($A294,1,3,1,Menus!$K$10))</f>
        <v>0</v>
      </c>
      <c r="G294" s="2" t="e">
        <f ca="1">IF(INDIRECT(ADDRESS($A294,2,3,1,Menus!$K$10))=G$1,$D294,#N/A)</f>
        <v>#N/A</v>
      </c>
      <c r="H294" s="2" t="e">
        <f ca="1">IF(INDIRECT(ADDRESS($A294,2,3,1,Menus!$K$10))=H$1,$D294,#N/A)</f>
        <v>#N/A</v>
      </c>
      <c r="I294" s="2" t="e">
        <f ca="1">IF(INDIRECT(ADDRESS($A294,2,3,1,Menus!$K$10))=I$1,$D294,#N/A)</f>
        <v>#N/A</v>
      </c>
      <c r="J294" s="2" t="e">
        <f ca="1">IF(INDIRECT(ADDRESS($A294,1,3,1,Menus!$K$10))=T(J$1),$D294,#N/A)</f>
        <v>#N/A</v>
      </c>
      <c r="K294" s="10">
        <f t="shared" ca="1" si="9"/>
        <v>0</v>
      </c>
      <c r="L294" s="2"/>
      <c r="M294" s="85">
        <f ca="1">OFFSET(INDIRECT(ADDRESS($A294,3,3,1,"Gross")),0,Menus!$J$4)</f>
        <v>0</v>
      </c>
      <c r="N294" s="85">
        <f ca="1">OFFSET(INDIRECT(ADDRESS($A294,3,3,1,"Gross")),0,Menus!$J$3)</f>
        <v>0</v>
      </c>
    </row>
    <row r="295" spans="1:14" x14ac:dyDescent="0.25">
      <c r="A295">
        <v>332</v>
      </c>
      <c r="B295" s="2">
        <f ca="1">OFFSET(INDIRECT(ADDRESS($A295,3,3,1,Menus!$K$10)),0,Menus!$J$4)</f>
        <v>0</v>
      </c>
      <c r="C295" s="2">
        <f ca="1">OFFSET(INDIRECT(ADDRESS($A295,3,3,1,Menus!$K$10)),0,Menus!$J$3)</f>
        <v>0</v>
      </c>
      <c r="D295" s="73" t="e">
        <f ca="1">IF(Menus!$J$9,C295/B295,C295)</f>
        <v>#DIV/0!</v>
      </c>
      <c r="E295" s="74" t="e">
        <f t="shared" ca="1" si="10"/>
        <v>#N/A</v>
      </c>
      <c r="F295" s="75">
        <f ca="1">INDIRECT(ADDRESS($A295,1,3,1,Menus!$K$10))</f>
        <v>0</v>
      </c>
      <c r="G295" s="2" t="e">
        <f ca="1">IF(INDIRECT(ADDRESS($A295,2,3,1,Menus!$K$10))=G$1,$D295,#N/A)</f>
        <v>#N/A</v>
      </c>
      <c r="H295" s="2" t="e">
        <f ca="1">IF(INDIRECT(ADDRESS($A295,2,3,1,Menus!$K$10))=H$1,$D295,#N/A)</f>
        <v>#N/A</v>
      </c>
      <c r="I295" s="2" t="e">
        <f ca="1">IF(INDIRECT(ADDRESS($A295,2,3,1,Menus!$K$10))=I$1,$D295,#N/A)</f>
        <v>#N/A</v>
      </c>
      <c r="J295" s="2" t="e">
        <f ca="1">IF(INDIRECT(ADDRESS($A295,1,3,1,Menus!$K$10))=T(J$1),$D295,#N/A)</f>
        <v>#N/A</v>
      </c>
      <c r="K295" s="10">
        <f t="shared" ca="1" si="9"/>
        <v>0</v>
      </c>
      <c r="L295" s="2"/>
      <c r="M295" s="85">
        <f ca="1">OFFSET(INDIRECT(ADDRESS($A295,3,3,1,"Gross")),0,Menus!$J$4)</f>
        <v>0</v>
      </c>
      <c r="N295" s="85">
        <f ca="1">OFFSET(INDIRECT(ADDRESS($A295,3,3,1,"Gross")),0,Menus!$J$3)</f>
        <v>0</v>
      </c>
    </row>
    <row r="296" spans="1:14" x14ac:dyDescent="0.25">
      <c r="A296">
        <v>333</v>
      </c>
      <c r="B296" s="2">
        <f ca="1">OFFSET(INDIRECT(ADDRESS($A296,3,3,1,Menus!$K$10)),0,Menus!$J$4)</f>
        <v>0</v>
      </c>
      <c r="C296" s="2">
        <f ca="1">OFFSET(INDIRECT(ADDRESS($A296,3,3,1,Menus!$K$10)),0,Menus!$J$3)</f>
        <v>0</v>
      </c>
      <c r="D296" s="73" t="e">
        <f ca="1">IF(Menus!$J$9,C296/B296,C296)</f>
        <v>#DIV/0!</v>
      </c>
      <c r="E296" s="74" t="e">
        <f t="shared" ca="1" si="10"/>
        <v>#N/A</v>
      </c>
      <c r="F296" s="75">
        <f ca="1">INDIRECT(ADDRESS($A296,1,3,1,Menus!$K$10))</f>
        <v>0</v>
      </c>
      <c r="G296" s="2" t="e">
        <f ca="1">IF(INDIRECT(ADDRESS($A296,2,3,1,Menus!$K$10))=G$1,$D296,#N/A)</f>
        <v>#N/A</v>
      </c>
      <c r="H296" s="2" t="e">
        <f ca="1">IF(INDIRECT(ADDRESS($A296,2,3,1,Menus!$K$10))=H$1,$D296,#N/A)</f>
        <v>#N/A</v>
      </c>
      <c r="I296" s="2" t="e">
        <f ca="1">IF(INDIRECT(ADDRESS($A296,2,3,1,Menus!$K$10))=I$1,$D296,#N/A)</f>
        <v>#N/A</v>
      </c>
      <c r="J296" s="2" t="e">
        <f ca="1">IF(INDIRECT(ADDRESS($A296,1,3,1,Menus!$K$10))=T(J$1),$D296,#N/A)</f>
        <v>#N/A</v>
      </c>
      <c r="K296" s="10">
        <f t="shared" ca="1" si="9"/>
        <v>0</v>
      </c>
      <c r="L296" s="2"/>
      <c r="M296" s="85">
        <f ca="1">OFFSET(INDIRECT(ADDRESS($A296,3,3,1,"Gross")),0,Menus!$J$4)</f>
        <v>0</v>
      </c>
      <c r="N296" s="85">
        <f ca="1">OFFSET(INDIRECT(ADDRESS($A296,3,3,1,"Gross")),0,Menus!$J$3)</f>
        <v>0</v>
      </c>
    </row>
    <row r="297" spans="1:14" x14ac:dyDescent="0.25">
      <c r="A297">
        <v>334</v>
      </c>
      <c r="B297" s="2">
        <f ca="1">OFFSET(INDIRECT(ADDRESS($A297,3,3,1,Menus!$K$10)),0,Menus!$J$4)</f>
        <v>0</v>
      </c>
      <c r="C297" s="2">
        <f ca="1">OFFSET(INDIRECT(ADDRESS($A297,3,3,1,Menus!$K$10)),0,Menus!$J$3)</f>
        <v>0</v>
      </c>
      <c r="D297" s="73" t="e">
        <f ca="1">IF(Menus!$J$9,C297/B297,C297)</f>
        <v>#DIV/0!</v>
      </c>
      <c r="E297" s="74" t="e">
        <f t="shared" ca="1" si="10"/>
        <v>#N/A</v>
      </c>
      <c r="F297" s="75">
        <f ca="1">INDIRECT(ADDRESS($A297,1,3,1,Menus!$K$10))</f>
        <v>0</v>
      </c>
      <c r="G297" s="2" t="e">
        <f ca="1">IF(INDIRECT(ADDRESS($A297,2,3,1,Menus!$K$10))=G$1,$D297,#N/A)</f>
        <v>#N/A</v>
      </c>
      <c r="H297" s="2" t="e">
        <f ca="1">IF(INDIRECT(ADDRESS($A297,2,3,1,Menus!$K$10))=H$1,$D297,#N/A)</f>
        <v>#N/A</v>
      </c>
      <c r="I297" s="2" t="e">
        <f ca="1">IF(INDIRECT(ADDRESS($A297,2,3,1,Menus!$K$10))=I$1,$D297,#N/A)</f>
        <v>#N/A</v>
      </c>
      <c r="J297" s="2" t="e">
        <f ca="1">IF(INDIRECT(ADDRESS($A297,1,3,1,Menus!$K$10))=T(J$1),$D297,#N/A)</f>
        <v>#N/A</v>
      </c>
      <c r="K297" s="10">
        <f t="shared" ca="1" si="9"/>
        <v>0</v>
      </c>
      <c r="L297" s="2"/>
      <c r="M297" s="85">
        <f ca="1">OFFSET(INDIRECT(ADDRESS($A297,3,3,1,"Gross")),0,Menus!$J$4)</f>
        <v>0</v>
      </c>
      <c r="N297" s="85">
        <f ca="1">OFFSET(INDIRECT(ADDRESS($A297,3,3,1,"Gross")),0,Menus!$J$3)</f>
        <v>0</v>
      </c>
    </row>
    <row r="298" spans="1:14" x14ac:dyDescent="0.25">
      <c r="A298">
        <v>335</v>
      </c>
      <c r="B298" s="2">
        <f ca="1">OFFSET(INDIRECT(ADDRESS($A298,3,3,1,Menus!$K$10)),0,Menus!$J$4)</f>
        <v>0</v>
      </c>
      <c r="C298" s="2">
        <f ca="1">OFFSET(INDIRECT(ADDRESS($A298,3,3,1,Menus!$K$10)),0,Menus!$J$3)</f>
        <v>0</v>
      </c>
      <c r="D298" s="73" t="e">
        <f ca="1">IF(Menus!$J$9,C298/B298,C298)</f>
        <v>#DIV/0!</v>
      </c>
      <c r="E298" s="74" t="e">
        <f t="shared" ca="1" si="10"/>
        <v>#N/A</v>
      </c>
      <c r="F298" s="75">
        <f ca="1">INDIRECT(ADDRESS($A298,1,3,1,Menus!$K$10))</f>
        <v>0</v>
      </c>
      <c r="G298" s="2" t="e">
        <f ca="1">IF(INDIRECT(ADDRESS($A298,2,3,1,Menus!$K$10))=G$1,$D298,#N/A)</f>
        <v>#N/A</v>
      </c>
      <c r="H298" s="2" t="e">
        <f ca="1">IF(INDIRECT(ADDRESS($A298,2,3,1,Menus!$K$10))=H$1,$D298,#N/A)</f>
        <v>#N/A</v>
      </c>
      <c r="I298" s="2" t="e">
        <f ca="1">IF(INDIRECT(ADDRESS($A298,2,3,1,Menus!$K$10))=I$1,$D298,#N/A)</f>
        <v>#N/A</v>
      </c>
      <c r="J298" s="2" t="e">
        <f ca="1">IF(INDIRECT(ADDRESS($A298,1,3,1,Menus!$K$10))=T(J$1),$D298,#N/A)</f>
        <v>#N/A</v>
      </c>
      <c r="K298" s="10">
        <f t="shared" ca="1" si="9"/>
        <v>0</v>
      </c>
      <c r="L298" s="2"/>
      <c r="M298" s="85">
        <f ca="1">OFFSET(INDIRECT(ADDRESS($A298,3,3,1,"Gross")),0,Menus!$J$4)</f>
        <v>0</v>
      </c>
      <c r="N298" s="85">
        <f ca="1">OFFSET(INDIRECT(ADDRESS($A298,3,3,1,"Gross")),0,Menus!$J$3)</f>
        <v>0</v>
      </c>
    </row>
    <row r="299" spans="1:14" x14ac:dyDescent="0.25">
      <c r="A299">
        <v>336</v>
      </c>
      <c r="B299" s="2">
        <f ca="1">OFFSET(INDIRECT(ADDRESS($A299,3,3,1,Menus!$K$10)),0,Menus!$J$4)</f>
        <v>0</v>
      </c>
      <c r="C299" s="2">
        <f ca="1">OFFSET(INDIRECT(ADDRESS($A299,3,3,1,Menus!$K$10)),0,Menus!$J$3)</f>
        <v>0</v>
      </c>
      <c r="D299" s="73" t="e">
        <f ca="1">IF(Menus!$J$9,C299/B299,C299)</f>
        <v>#DIV/0!</v>
      </c>
      <c r="E299" s="74" t="e">
        <f t="shared" ca="1" si="10"/>
        <v>#N/A</v>
      </c>
      <c r="F299" s="75">
        <f ca="1">INDIRECT(ADDRESS($A299,1,3,1,Menus!$K$10))</f>
        <v>0</v>
      </c>
      <c r="G299" s="2" t="e">
        <f ca="1">IF(INDIRECT(ADDRESS($A299,2,3,1,Menus!$K$10))=G$1,$D299,#N/A)</f>
        <v>#N/A</v>
      </c>
      <c r="H299" s="2" t="e">
        <f ca="1">IF(INDIRECT(ADDRESS($A299,2,3,1,Menus!$K$10))=H$1,$D299,#N/A)</f>
        <v>#N/A</v>
      </c>
      <c r="I299" s="2" t="e">
        <f ca="1">IF(INDIRECT(ADDRESS($A299,2,3,1,Menus!$K$10))=I$1,$D299,#N/A)</f>
        <v>#N/A</v>
      </c>
      <c r="J299" s="2" t="e">
        <f ca="1">IF(INDIRECT(ADDRESS($A299,1,3,1,Menus!$K$10))=T(J$1),$D299,#N/A)</f>
        <v>#N/A</v>
      </c>
      <c r="K299" s="10">
        <f t="shared" ca="1" si="9"/>
        <v>0</v>
      </c>
      <c r="L299" s="2"/>
      <c r="M299" s="85">
        <f ca="1">OFFSET(INDIRECT(ADDRESS($A299,3,3,1,"Gross")),0,Menus!$J$4)</f>
        <v>0</v>
      </c>
      <c r="N299" s="85">
        <f ca="1">OFFSET(INDIRECT(ADDRESS($A299,3,3,1,"Gross")),0,Menus!$J$3)</f>
        <v>0</v>
      </c>
    </row>
    <row r="300" spans="1:14" x14ac:dyDescent="0.25">
      <c r="A300">
        <v>337</v>
      </c>
      <c r="B300" s="2">
        <f ca="1">OFFSET(INDIRECT(ADDRESS($A300,3,3,1,Menus!$K$10)),0,Menus!$J$4)</f>
        <v>0</v>
      </c>
      <c r="C300" s="2">
        <f ca="1">OFFSET(INDIRECT(ADDRESS($A300,3,3,1,Menus!$K$10)),0,Menus!$J$3)</f>
        <v>0</v>
      </c>
      <c r="D300" s="73" t="e">
        <f ca="1">IF(Menus!$J$9,C300/B300,C300)</f>
        <v>#DIV/0!</v>
      </c>
      <c r="E300" s="74" t="e">
        <f t="shared" ca="1" si="10"/>
        <v>#N/A</v>
      </c>
      <c r="F300" s="75">
        <f ca="1">INDIRECT(ADDRESS($A300,1,3,1,Menus!$K$10))</f>
        <v>0</v>
      </c>
      <c r="G300" s="2" t="e">
        <f ca="1">IF(INDIRECT(ADDRESS($A300,2,3,1,Menus!$K$10))=G$1,$D300,#N/A)</f>
        <v>#N/A</v>
      </c>
      <c r="H300" s="2" t="e">
        <f ca="1">IF(INDIRECT(ADDRESS($A300,2,3,1,Menus!$K$10))=H$1,$D300,#N/A)</f>
        <v>#N/A</v>
      </c>
      <c r="I300" s="2" t="e">
        <f ca="1">IF(INDIRECT(ADDRESS($A300,2,3,1,Menus!$K$10))=I$1,$D300,#N/A)</f>
        <v>#N/A</v>
      </c>
      <c r="J300" s="2" t="e">
        <f ca="1">IF(INDIRECT(ADDRESS($A300,1,3,1,Menus!$K$10))=T(J$1),$D300,#N/A)</f>
        <v>#N/A</v>
      </c>
      <c r="K300" s="10">
        <f t="shared" ca="1" si="9"/>
        <v>0</v>
      </c>
      <c r="L300" s="2"/>
      <c r="M300" s="85">
        <f ca="1">OFFSET(INDIRECT(ADDRESS($A300,3,3,1,"Gross")),0,Menus!$J$4)</f>
        <v>0</v>
      </c>
      <c r="N300" s="85">
        <f ca="1">OFFSET(INDIRECT(ADDRESS($A300,3,3,1,"Gross")),0,Menus!$J$3)</f>
        <v>0</v>
      </c>
    </row>
    <row r="301" spans="1:14" x14ac:dyDescent="0.25">
      <c r="A301">
        <v>338</v>
      </c>
      <c r="B301" s="2">
        <f ca="1">OFFSET(INDIRECT(ADDRESS($A301,3,3,1,Menus!$K$10)),0,Menus!$J$4)</f>
        <v>0</v>
      </c>
      <c r="C301" s="2">
        <f ca="1">OFFSET(INDIRECT(ADDRESS($A301,3,3,1,Menus!$K$10)),0,Menus!$J$3)</f>
        <v>0</v>
      </c>
      <c r="D301" s="73" t="e">
        <f ca="1">IF(Menus!$J$9,C301/B301,C301)</f>
        <v>#DIV/0!</v>
      </c>
      <c r="E301" s="74" t="e">
        <f t="shared" ca="1" si="10"/>
        <v>#N/A</v>
      </c>
      <c r="F301" s="75">
        <f ca="1">INDIRECT(ADDRESS($A301,1,3,1,Menus!$K$10))</f>
        <v>0</v>
      </c>
      <c r="G301" s="2" t="e">
        <f ca="1">IF(INDIRECT(ADDRESS($A301,2,3,1,Menus!$K$10))=G$1,$D301,#N/A)</f>
        <v>#N/A</v>
      </c>
      <c r="H301" s="2" t="e">
        <f ca="1">IF(INDIRECT(ADDRESS($A301,2,3,1,Menus!$K$10))=H$1,$D301,#N/A)</f>
        <v>#N/A</v>
      </c>
      <c r="I301" s="2" t="e">
        <f ca="1">IF(INDIRECT(ADDRESS($A301,2,3,1,Menus!$K$10))=I$1,$D301,#N/A)</f>
        <v>#N/A</v>
      </c>
      <c r="J301" s="2" t="e">
        <f ca="1">IF(INDIRECT(ADDRESS($A301,1,3,1,Menus!$K$10))=T(J$1),$D301,#N/A)</f>
        <v>#N/A</v>
      </c>
      <c r="K301" s="10">
        <f t="shared" ca="1" si="9"/>
        <v>0</v>
      </c>
      <c r="L301" s="2"/>
      <c r="M301" s="85">
        <f ca="1">OFFSET(INDIRECT(ADDRESS($A301,3,3,1,"Gross")),0,Menus!$J$4)</f>
        <v>0</v>
      </c>
      <c r="N301" s="85">
        <f ca="1">OFFSET(INDIRECT(ADDRESS($A301,3,3,1,"Gross")),0,Menus!$J$3)</f>
        <v>0</v>
      </c>
    </row>
    <row r="302" spans="1:14" x14ac:dyDescent="0.25">
      <c r="A302">
        <v>339</v>
      </c>
      <c r="B302" s="2">
        <f ca="1">OFFSET(INDIRECT(ADDRESS($A302,3,3,1,Menus!$K$10)),0,Menus!$J$4)</f>
        <v>0</v>
      </c>
      <c r="C302" s="2">
        <f ca="1">OFFSET(INDIRECT(ADDRESS($A302,3,3,1,Menus!$K$10)),0,Menus!$J$3)</f>
        <v>0</v>
      </c>
      <c r="D302" s="73" t="e">
        <f ca="1">IF(Menus!$J$9,C302/B302,C302)</f>
        <v>#DIV/0!</v>
      </c>
      <c r="E302" s="74" t="e">
        <f t="shared" ca="1" si="10"/>
        <v>#N/A</v>
      </c>
      <c r="F302" s="75">
        <f ca="1">INDIRECT(ADDRESS($A302,1,3,1,Menus!$K$10))</f>
        <v>0</v>
      </c>
      <c r="G302" s="2" t="e">
        <f ca="1">IF(INDIRECT(ADDRESS($A302,2,3,1,Menus!$K$10))=G$1,$D302,#N/A)</f>
        <v>#N/A</v>
      </c>
      <c r="H302" s="2" t="e">
        <f ca="1">IF(INDIRECT(ADDRESS($A302,2,3,1,Menus!$K$10))=H$1,$D302,#N/A)</f>
        <v>#N/A</v>
      </c>
      <c r="I302" s="2" t="e">
        <f ca="1">IF(INDIRECT(ADDRESS($A302,2,3,1,Menus!$K$10))=I$1,$D302,#N/A)</f>
        <v>#N/A</v>
      </c>
      <c r="J302" s="2" t="e">
        <f ca="1">IF(INDIRECT(ADDRESS($A302,1,3,1,Menus!$K$10))=T(J$1),$D302,#N/A)</f>
        <v>#N/A</v>
      </c>
      <c r="K302" s="10">
        <f t="shared" ca="1" si="9"/>
        <v>0</v>
      </c>
      <c r="L302" s="2"/>
      <c r="M302" s="85">
        <f ca="1">OFFSET(INDIRECT(ADDRESS($A302,3,3,1,"Gross")),0,Menus!$J$4)</f>
        <v>0</v>
      </c>
      <c r="N302" s="85">
        <f ca="1">OFFSET(INDIRECT(ADDRESS($A302,3,3,1,"Gross")),0,Menus!$J$3)</f>
        <v>0</v>
      </c>
    </row>
    <row r="303" spans="1:14" x14ac:dyDescent="0.25">
      <c r="A303">
        <v>340</v>
      </c>
      <c r="B303" s="2">
        <f ca="1">OFFSET(INDIRECT(ADDRESS($A303,3,3,1,Menus!$K$10)),0,Menus!$J$4)</f>
        <v>0</v>
      </c>
      <c r="C303" s="2">
        <f ca="1">OFFSET(INDIRECT(ADDRESS($A303,3,3,1,Menus!$K$10)),0,Menus!$J$3)</f>
        <v>0</v>
      </c>
      <c r="D303" s="73" t="e">
        <f ca="1">IF(Menus!$J$9,C303/B303,C303)</f>
        <v>#DIV/0!</v>
      </c>
      <c r="E303" s="74" t="e">
        <f t="shared" ca="1" si="10"/>
        <v>#N/A</v>
      </c>
      <c r="F303" s="75">
        <f ca="1">INDIRECT(ADDRESS($A303,1,3,1,Menus!$K$10))</f>
        <v>0</v>
      </c>
      <c r="G303" s="2" t="e">
        <f ca="1">IF(INDIRECT(ADDRESS($A303,2,3,1,Menus!$K$10))=G$1,$D303,#N/A)</f>
        <v>#N/A</v>
      </c>
      <c r="H303" s="2" t="e">
        <f ca="1">IF(INDIRECT(ADDRESS($A303,2,3,1,Menus!$K$10))=H$1,$D303,#N/A)</f>
        <v>#N/A</v>
      </c>
      <c r="I303" s="2" t="e">
        <f ca="1">IF(INDIRECT(ADDRESS($A303,2,3,1,Menus!$K$10))=I$1,$D303,#N/A)</f>
        <v>#N/A</v>
      </c>
      <c r="J303" s="2" t="e">
        <f ca="1">IF(INDIRECT(ADDRESS($A303,1,3,1,Menus!$K$10))=T(J$1),$D303,#N/A)</f>
        <v>#N/A</v>
      </c>
      <c r="K303" s="10">
        <f t="shared" ca="1" si="9"/>
        <v>0</v>
      </c>
      <c r="L303" s="2"/>
      <c r="M303" s="85">
        <f ca="1">OFFSET(INDIRECT(ADDRESS($A303,3,3,1,"Gross")),0,Menus!$J$4)</f>
        <v>0</v>
      </c>
      <c r="N303" s="85">
        <f ca="1">OFFSET(INDIRECT(ADDRESS($A303,3,3,1,"Gross")),0,Menus!$J$3)</f>
        <v>0</v>
      </c>
    </row>
    <row r="304" spans="1:14" x14ac:dyDescent="0.25">
      <c r="A304">
        <v>341</v>
      </c>
      <c r="B304" s="2">
        <f ca="1">OFFSET(INDIRECT(ADDRESS($A304,3,3,1,Menus!$K$10)),0,Menus!$J$4)</f>
        <v>0</v>
      </c>
      <c r="C304" s="2">
        <f ca="1">OFFSET(INDIRECT(ADDRESS($A304,3,3,1,Menus!$K$10)),0,Menus!$J$3)</f>
        <v>0</v>
      </c>
      <c r="D304" s="73" t="e">
        <f ca="1">IF(Menus!$J$9,C304/B304,C304)</f>
        <v>#DIV/0!</v>
      </c>
      <c r="E304" s="74" t="e">
        <f t="shared" ca="1" si="10"/>
        <v>#N/A</v>
      </c>
      <c r="F304" s="75">
        <f ca="1">INDIRECT(ADDRESS($A304,1,3,1,Menus!$K$10))</f>
        <v>0</v>
      </c>
      <c r="G304" s="2" t="e">
        <f ca="1">IF(INDIRECT(ADDRESS($A304,2,3,1,Menus!$K$10))=G$1,$D304,#N/A)</f>
        <v>#N/A</v>
      </c>
      <c r="H304" s="2" t="e">
        <f ca="1">IF(INDIRECT(ADDRESS($A304,2,3,1,Menus!$K$10))=H$1,$D304,#N/A)</f>
        <v>#N/A</v>
      </c>
      <c r="I304" s="2" t="e">
        <f ca="1">IF(INDIRECT(ADDRESS($A304,2,3,1,Menus!$K$10))=I$1,$D304,#N/A)</f>
        <v>#N/A</v>
      </c>
      <c r="J304" s="2" t="e">
        <f ca="1">IF(INDIRECT(ADDRESS($A304,1,3,1,Menus!$K$10))=T(J$1),$D304,#N/A)</f>
        <v>#N/A</v>
      </c>
      <c r="K304" s="10">
        <f t="shared" ca="1" si="9"/>
        <v>0</v>
      </c>
      <c r="L304" s="2"/>
      <c r="M304" s="85">
        <f ca="1">OFFSET(INDIRECT(ADDRESS($A304,3,3,1,"Gross")),0,Menus!$J$4)</f>
        <v>0</v>
      </c>
      <c r="N304" s="85">
        <f ca="1">OFFSET(INDIRECT(ADDRESS($A304,3,3,1,"Gross")),0,Menus!$J$3)</f>
        <v>0</v>
      </c>
    </row>
    <row r="305" spans="1:14" x14ac:dyDescent="0.25">
      <c r="A305">
        <v>342</v>
      </c>
      <c r="B305" s="2">
        <f ca="1">OFFSET(INDIRECT(ADDRESS($A305,3,3,1,Menus!$K$10)),0,Menus!$J$4)</f>
        <v>0</v>
      </c>
      <c r="C305" s="2">
        <f ca="1">OFFSET(INDIRECT(ADDRESS($A305,3,3,1,Menus!$K$10)),0,Menus!$J$3)</f>
        <v>0</v>
      </c>
      <c r="D305" s="73" t="e">
        <f ca="1">IF(Menus!$J$9,C305/B305,C305)</f>
        <v>#DIV/0!</v>
      </c>
      <c r="E305" s="74" t="e">
        <f t="shared" ca="1" si="10"/>
        <v>#N/A</v>
      </c>
      <c r="F305" s="75">
        <f ca="1">INDIRECT(ADDRESS($A305,1,3,1,Menus!$K$10))</f>
        <v>0</v>
      </c>
      <c r="G305" s="2" t="e">
        <f ca="1">IF(INDIRECT(ADDRESS($A305,2,3,1,Menus!$K$10))=G$1,$D305,#N/A)</f>
        <v>#N/A</v>
      </c>
      <c r="H305" s="2" t="e">
        <f ca="1">IF(INDIRECT(ADDRESS($A305,2,3,1,Menus!$K$10))=H$1,$D305,#N/A)</f>
        <v>#N/A</v>
      </c>
      <c r="I305" s="2" t="e">
        <f ca="1">IF(INDIRECT(ADDRESS($A305,2,3,1,Menus!$K$10))=I$1,$D305,#N/A)</f>
        <v>#N/A</v>
      </c>
      <c r="J305" s="2" t="e">
        <f ca="1">IF(INDIRECT(ADDRESS($A305,1,3,1,Menus!$K$10))=T(J$1),$D305,#N/A)</f>
        <v>#N/A</v>
      </c>
      <c r="K305" s="10">
        <f t="shared" ca="1" si="9"/>
        <v>0</v>
      </c>
      <c r="L305" s="2"/>
      <c r="M305" s="85">
        <f ca="1">OFFSET(INDIRECT(ADDRESS($A305,3,3,1,"Gross")),0,Menus!$J$4)</f>
        <v>0</v>
      </c>
      <c r="N305" s="85">
        <f ca="1">OFFSET(INDIRECT(ADDRESS($A305,3,3,1,"Gross")),0,Menus!$J$3)</f>
        <v>0</v>
      </c>
    </row>
    <row r="306" spans="1:14" x14ac:dyDescent="0.25">
      <c r="A306">
        <v>343</v>
      </c>
      <c r="B306" s="2">
        <f ca="1">OFFSET(INDIRECT(ADDRESS($A306,3,3,1,Menus!$K$10)),0,Menus!$J$4)</f>
        <v>0</v>
      </c>
      <c r="C306" s="2">
        <f ca="1">OFFSET(INDIRECT(ADDRESS($A306,3,3,1,Menus!$K$10)),0,Menus!$J$3)</f>
        <v>0</v>
      </c>
      <c r="D306" s="73" t="e">
        <f ca="1">IF(Menus!$J$9,C306/B306,C306)</f>
        <v>#DIV/0!</v>
      </c>
      <c r="E306" s="74" t="e">
        <f t="shared" ca="1" si="10"/>
        <v>#N/A</v>
      </c>
      <c r="F306" s="75">
        <f ca="1">INDIRECT(ADDRESS($A306,1,3,1,Menus!$K$10))</f>
        <v>0</v>
      </c>
      <c r="G306" s="2" t="e">
        <f ca="1">IF(INDIRECT(ADDRESS($A306,2,3,1,Menus!$K$10))=G$1,$D306,#N/A)</f>
        <v>#N/A</v>
      </c>
      <c r="H306" s="2" t="e">
        <f ca="1">IF(INDIRECT(ADDRESS($A306,2,3,1,Menus!$K$10))=H$1,$D306,#N/A)</f>
        <v>#N/A</v>
      </c>
      <c r="I306" s="2" t="e">
        <f ca="1">IF(INDIRECT(ADDRESS($A306,2,3,1,Menus!$K$10))=I$1,$D306,#N/A)</f>
        <v>#N/A</v>
      </c>
      <c r="J306" s="2" t="e">
        <f ca="1">IF(INDIRECT(ADDRESS($A306,1,3,1,Menus!$K$10))=T(J$1),$D306,#N/A)</f>
        <v>#N/A</v>
      </c>
      <c r="K306" s="10">
        <f t="shared" ca="1" si="9"/>
        <v>0</v>
      </c>
      <c r="L306" s="2"/>
      <c r="M306" s="85">
        <f ca="1">OFFSET(INDIRECT(ADDRESS($A306,3,3,1,"Gross")),0,Menus!$J$4)</f>
        <v>0</v>
      </c>
      <c r="N306" s="85">
        <f ca="1">OFFSET(INDIRECT(ADDRESS($A306,3,3,1,"Gross")),0,Menus!$J$3)</f>
        <v>0</v>
      </c>
    </row>
    <row r="307" spans="1:14" x14ac:dyDescent="0.25">
      <c r="A307">
        <v>344</v>
      </c>
      <c r="B307" s="2">
        <f ca="1">OFFSET(INDIRECT(ADDRESS($A307,3,3,1,Menus!$K$10)),0,Menus!$J$4)</f>
        <v>0</v>
      </c>
      <c r="C307" s="2">
        <f ca="1">OFFSET(INDIRECT(ADDRESS($A307,3,3,1,Menus!$K$10)),0,Menus!$J$3)</f>
        <v>0</v>
      </c>
      <c r="D307" s="73" t="e">
        <f ca="1">IF(Menus!$J$9,C307/B307,C307)</f>
        <v>#DIV/0!</v>
      </c>
      <c r="E307" s="74" t="e">
        <f t="shared" ca="1" si="10"/>
        <v>#N/A</v>
      </c>
      <c r="F307" s="75">
        <f ca="1">INDIRECT(ADDRESS($A307,1,3,1,Menus!$K$10))</f>
        <v>0</v>
      </c>
      <c r="G307" s="2" t="e">
        <f ca="1">IF(INDIRECT(ADDRESS($A307,2,3,1,Menus!$K$10))=G$1,$D307,#N/A)</f>
        <v>#N/A</v>
      </c>
      <c r="H307" s="2" t="e">
        <f ca="1">IF(INDIRECT(ADDRESS($A307,2,3,1,Menus!$K$10))=H$1,$D307,#N/A)</f>
        <v>#N/A</v>
      </c>
      <c r="I307" s="2" t="e">
        <f ca="1">IF(INDIRECT(ADDRESS($A307,2,3,1,Menus!$K$10))=I$1,$D307,#N/A)</f>
        <v>#N/A</v>
      </c>
      <c r="J307" s="2" t="e">
        <f ca="1">IF(INDIRECT(ADDRESS($A307,1,3,1,Menus!$K$10))=T(J$1),$D307,#N/A)</f>
        <v>#N/A</v>
      </c>
      <c r="K307" s="10">
        <f t="shared" ca="1" si="9"/>
        <v>0</v>
      </c>
      <c r="L307" s="2"/>
      <c r="M307" s="85">
        <f ca="1">OFFSET(INDIRECT(ADDRESS($A307,3,3,1,"Gross")),0,Menus!$J$4)</f>
        <v>0</v>
      </c>
      <c r="N307" s="85">
        <f ca="1">OFFSET(INDIRECT(ADDRESS($A307,3,3,1,"Gross")),0,Menus!$J$3)</f>
        <v>0</v>
      </c>
    </row>
    <row r="308" spans="1:14" x14ac:dyDescent="0.25">
      <c r="A308">
        <v>345</v>
      </c>
      <c r="B308" s="2">
        <f ca="1">OFFSET(INDIRECT(ADDRESS($A308,3,3,1,Menus!$K$10)),0,Menus!$J$4)</f>
        <v>0</v>
      </c>
      <c r="C308" s="2">
        <f ca="1">OFFSET(INDIRECT(ADDRESS($A308,3,3,1,Menus!$K$10)),0,Menus!$J$3)</f>
        <v>0</v>
      </c>
      <c r="D308" s="73" t="e">
        <f ca="1">IF(Menus!$J$9,C308/B308,C308)</f>
        <v>#DIV/0!</v>
      </c>
      <c r="E308" s="74" t="e">
        <f t="shared" ca="1" si="10"/>
        <v>#N/A</v>
      </c>
      <c r="F308" s="75">
        <f ca="1">INDIRECT(ADDRESS($A308,1,3,1,Menus!$K$10))</f>
        <v>0</v>
      </c>
      <c r="G308" s="2" t="e">
        <f ca="1">IF(INDIRECT(ADDRESS($A308,2,3,1,Menus!$K$10))=G$1,$D308,#N/A)</f>
        <v>#N/A</v>
      </c>
      <c r="H308" s="2" t="e">
        <f ca="1">IF(INDIRECT(ADDRESS($A308,2,3,1,Menus!$K$10))=H$1,$D308,#N/A)</f>
        <v>#N/A</v>
      </c>
      <c r="I308" s="2" t="e">
        <f ca="1">IF(INDIRECT(ADDRESS($A308,2,3,1,Menus!$K$10))=I$1,$D308,#N/A)</f>
        <v>#N/A</v>
      </c>
      <c r="J308" s="2" t="e">
        <f ca="1">IF(INDIRECT(ADDRESS($A308,1,3,1,Menus!$K$10))=T(J$1),$D308,#N/A)</f>
        <v>#N/A</v>
      </c>
      <c r="K308" s="10">
        <f t="shared" ca="1" si="9"/>
        <v>0</v>
      </c>
      <c r="L308" s="2"/>
      <c r="M308" s="85">
        <f ca="1">OFFSET(INDIRECT(ADDRESS($A308,3,3,1,"Gross")),0,Menus!$J$4)</f>
        <v>0</v>
      </c>
      <c r="N308" s="85">
        <f ca="1">OFFSET(INDIRECT(ADDRESS($A308,3,3,1,"Gross")),0,Menus!$J$3)</f>
        <v>0</v>
      </c>
    </row>
    <row r="309" spans="1:14" x14ac:dyDescent="0.25">
      <c r="A309">
        <v>346</v>
      </c>
      <c r="B309" s="2">
        <f ca="1">OFFSET(INDIRECT(ADDRESS($A309,3,3,1,Menus!$K$10)),0,Menus!$J$4)</f>
        <v>0</v>
      </c>
      <c r="C309" s="2">
        <f ca="1">OFFSET(INDIRECT(ADDRESS($A309,3,3,1,Menus!$K$10)),0,Menus!$J$3)</f>
        <v>0</v>
      </c>
      <c r="D309" s="73" t="e">
        <f ca="1">IF(Menus!$J$9,C309/B309,C309)</f>
        <v>#DIV/0!</v>
      </c>
      <c r="E309" s="74" t="e">
        <f t="shared" ca="1" si="10"/>
        <v>#N/A</v>
      </c>
      <c r="F309" s="75">
        <f ca="1">INDIRECT(ADDRESS($A309,1,3,1,Menus!$K$10))</f>
        <v>0</v>
      </c>
      <c r="G309" s="2" t="e">
        <f ca="1">IF(INDIRECT(ADDRESS($A309,2,3,1,Menus!$K$10))=G$1,$D309,#N/A)</f>
        <v>#N/A</v>
      </c>
      <c r="H309" s="2" t="e">
        <f ca="1">IF(INDIRECT(ADDRESS($A309,2,3,1,Menus!$K$10))=H$1,$D309,#N/A)</f>
        <v>#N/A</v>
      </c>
      <c r="I309" s="2" t="e">
        <f ca="1">IF(INDIRECT(ADDRESS($A309,2,3,1,Menus!$K$10))=I$1,$D309,#N/A)</f>
        <v>#N/A</v>
      </c>
      <c r="J309" s="2" t="e">
        <f ca="1">IF(INDIRECT(ADDRESS($A309,1,3,1,Menus!$K$10))=T(J$1),$D309,#N/A)</f>
        <v>#N/A</v>
      </c>
      <c r="K309" s="10">
        <f t="shared" ca="1" si="9"/>
        <v>0</v>
      </c>
      <c r="L309" s="2"/>
      <c r="M309" s="85">
        <f ca="1">OFFSET(INDIRECT(ADDRESS($A309,3,3,1,"Gross")),0,Menus!$J$4)</f>
        <v>0</v>
      </c>
      <c r="N309" s="85">
        <f ca="1">OFFSET(INDIRECT(ADDRESS($A309,3,3,1,"Gross")),0,Menus!$J$3)</f>
        <v>0</v>
      </c>
    </row>
    <row r="310" spans="1:14" x14ac:dyDescent="0.25">
      <c r="A310">
        <v>347</v>
      </c>
      <c r="B310" s="2">
        <f ca="1">OFFSET(INDIRECT(ADDRESS($A310,3,3,1,Menus!$K$10)),0,Menus!$J$4)</f>
        <v>0</v>
      </c>
      <c r="C310" s="2">
        <f ca="1">OFFSET(INDIRECT(ADDRESS($A310,3,3,1,Menus!$K$10)),0,Menus!$J$3)</f>
        <v>0</v>
      </c>
      <c r="D310" s="73" t="e">
        <f ca="1">IF(Menus!$J$9,C310/B310,C310)</f>
        <v>#DIV/0!</v>
      </c>
      <c r="E310" s="74" t="e">
        <f t="shared" ca="1" si="10"/>
        <v>#N/A</v>
      </c>
      <c r="F310" s="75">
        <f ca="1">INDIRECT(ADDRESS($A310,1,3,1,Menus!$K$10))</f>
        <v>0</v>
      </c>
      <c r="G310" s="2" t="e">
        <f ca="1">IF(INDIRECT(ADDRESS($A310,2,3,1,Menus!$K$10))=G$1,$D310,#N/A)</f>
        <v>#N/A</v>
      </c>
      <c r="H310" s="2" t="e">
        <f ca="1">IF(INDIRECT(ADDRESS($A310,2,3,1,Menus!$K$10))=H$1,$D310,#N/A)</f>
        <v>#N/A</v>
      </c>
      <c r="I310" s="2" t="e">
        <f ca="1">IF(INDIRECT(ADDRESS($A310,2,3,1,Menus!$K$10))=I$1,$D310,#N/A)</f>
        <v>#N/A</v>
      </c>
      <c r="J310" s="2" t="e">
        <f ca="1">IF(INDIRECT(ADDRESS($A310,1,3,1,Menus!$K$10))=T(J$1),$D310,#N/A)</f>
        <v>#N/A</v>
      </c>
      <c r="K310" s="10">
        <f t="shared" ca="1" si="9"/>
        <v>0</v>
      </c>
      <c r="L310" s="2"/>
      <c r="M310" s="85">
        <f ca="1">OFFSET(INDIRECT(ADDRESS($A310,3,3,1,"Gross")),0,Menus!$J$4)</f>
        <v>0</v>
      </c>
      <c r="N310" s="85">
        <f ca="1">OFFSET(INDIRECT(ADDRESS($A310,3,3,1,"Gross")),0,Menus!$J$3)</f>
        <v>0</v>
      </c>
    </row>
    <row r="311" spans="1:14" x14ac:dyDescent="0.25">
      <c r="A311">
        <v>348</v>
      </c>
      <c r="B311" s="2">
        <f ca="1">OFFSET(INDIRECT(ADDRESS($A311,3,3,1,Menus!$K$10)),0,Menus!$J$4)</f>
        <v>0</v>
      </c>
      <c r="C311" s="2">
        <f ca="1">OFFSET(INDIRECT(ADDRESS($A311,3,3,1,Menus!$K$10)),0,Menus!$J$3)</f>
        <v>0</v>
      </c>
      <c r="D311" s="73" t="e">
        <f ca="1">IF(Menus!$J$9,C311/B311,C311)</f>
        <v>#DIV/0!</v>
      </c>
      <c r="E311" s="74" t="e">
        <f t="shared" ca="1" si="10"/>
        <v>#N/A</v>
      </c>
      <c r="F311" s="75">
        <f ca="1">INDIRECT(ADDRESS($A311,1,3,1,Menus!$K$10))</f>
        <v>0</v>
      </c>
      <c r="G311" s="2" t="e">
        <f ca="1">IF(INDIRECT(ADDRESS($A311,2,3,1,Menus!$K$10))=G$1,$D311,#N/A)</f>
        <v>#N/A</v>
      </c>
      <c r="H311" s="2" t="e">
        <f ca="1">IF(INDIRECT(ADDRESS($A311,2,3,1,Menus!$K$10))=H$1,$D311,#N/A)</f>
        <v>#N/A</v>
      </c>
      <c r="I311" s="2" t="e">
        <f ca="1">IF(INDIRECT(ADDRESS($A311,2,3,1,Menus!$K$10))=I$1,$D311,#N/A)</f>
        <v>#N/A</v>
      </c>
      <c r="J311" s="2" t="e">
        <f ca="1">IF(INDIRECT(ADDRESS($A311,1,3,1,Menus!$K$10))=T(J$1),$D311,#N/A)</f>
        <v>#N/A</v>
      </c>
      <c r="K311" s="10">
        <f t="shared" ca="1" si="9"/>
        <v>0</v>
      </c>
      <c r="L311" s="2"/>
      <c r="M311" s="85">
        <f ca="1">OFFSET(INDIRECT(ADDRESS($A311,3,3,1,"Gross")),0,Menus!$J$4)</f>
        <v>0</v>
      </c>
      <c r="N311" s="85">
        <f ca="1">OFFSET(INDIRECT(ADDRESS($A311,3,3,1,"Gross")),0,Menus!$J$3)</f>
        <v>0</v>
      </c>
    </row>
    <row r="312" spans="1:14" x14ac:dyDescent="0.25">
      <c r="A312">
        <v>349</v>
      </c>
      <c r="B312" s="2">
        <f ca="1">OFFSET(INDIRECT(ADDRESS($A312,3,3,1,Menus!$K$10)),0,Menus!$J$4)</f>
        <v>0</v>
      </c>
      <c r="C312" s="2">
        <f ca="1">OFFSET(INDIRECT(ADDRESS($A312,3,3,1,Menus!$K$10)),0,Menus!$J$3)</f>
        <v>0</v>
      </c>
      <c r="D312" s="73" t="e">
        <f ca="1">IF(Menus!$J$9,C312/B312,C312)</f>
        <v>#DIV/0!</v>
      </c>
      <c r="E312" s="74" t="e">
        <f t="shared" ca="1" si="10"/>
        <v>#N/A</v>
      </c>
      <c r="F312" s="75">
        <f ca="1">INDIRECT(ADDRESS($A312,1,3,1,Menus!$K$10))</f>
        <v>0</v>
      </c>
      <c r="G312" s="2" t="e">
        <f ca="1">IF(INDIRECT(ADDRESS($A312,2,3,1,Menus!$K$10))=G$1,$D312,#N/A)</f>
        <v>#N/A</v>
      </c>
      <c r="H312" s="2" t="e">
        <f ca="1">IF(INDIRECT(ADDRESS($A312,2,3,1,Menus!$K$10))=H$1,$D312,#N/A)</f>
        <v>#N/A</v>
      </c>
      <c r="I312" s="2" t="e">
        <f ca="1">IF(INDIRECT(ADDRESS($A312,2,3,1,Menus!$K$10))=I$1,$D312,#N/A)</f>
        <v>#N/A</v>
      </c>
      <c r="J312" s="2" t="e">
        <f ca="1">IF(INDIRECT(ADDRESS($A312,1,3,1,Menus!$K$10))=T(J$1),$D312,#N/A)</f>
        <v>#N/A</v>
      </c>
      <c r="K312" s="10">
        <f t="shared" ca="1" si="9"/>
        <v>0</v>
      </c>
      <c r="L312" s="2"/>
      <c r="M312" s="85">
        <f ca="1">OFFSET(INDIRECT(ADDRESS($A312,3,3,1,"Gross")),0,Menus!$J$4)</f>
        <v>0</v>
      </c>
      <c r="N312" s="85">
        <f ca="1">OFFSET(INDIRECT(ADDRESS($A312,3,3,1,"Gross")),0,Menus!$J$3)</f>
        <v>0</v>
      </c>
    </row>
    <row r="313" spans="1:14" x14ac:dyDescent="0.25">
      <c r="A313">
        <v>350</v>
      </c>
      <c r="B313" s="2">
        <f ca="1">OFFSET(INDIRECT(ADDRESS($A313,3,3,1,Menus!$K$10)),0,Menus!$J$4)</f>
        <v>0</v>
      </c>
      <c r="C313" s="2">
        <f ca="1">OFFSET(INDIRECT(ADDRESS($A313,3,3,1,Menus!$K$10)),0,Menus!$J$3)</f>
        <v>0</v>
      </c>
      <c r="D313" s="73" t="e">
        <f ca="1">IF(Menus!$J$9,C313/B313,C313)</f>
        <v>#DIV/0!</v>
      </c>
      <c r="E313" s="74" t="e">
        <f t="shared" ca="1" si="10"/>
        <v>#N/A</v>
      </c>
      <c r="F313" s="75">
        <f ca="1">INDIRECT(ADDRESS($A313,1,3,1,Menus!$K$10))</f>
        <v>0</v>
      </c>
      <c r="G313" s="2" t="e">
        <f ca="1">IF(INDIRECT(ADDRESS($A313,2,3,1,Menus!$K$10))=G$1,$D313,#N/A)</f>
        <v>#N/A</v>
      </c>
      <c r="H313" s="2" t="e">
        <f ca="1">IF(INDIRECT(ADDRESS($A313,2,3,1,Menus!$K$10))=H$1,$D313,#N/A)</f>
        <v>#N/A</v>
      </c>
      <c r="I313" s="2" t="e">
        <f ca="1">IF(INDIRECT(ADDRESS($A313,2,3,1,Menus!$K$10))=I$1,$D313,#N/A)</f>
        <v>#N/A</v>
      </c>
      <c r="J313" s="2" t="e">
        <f ca="1">IF(INDIRECT(ADDRESS($A313,1,3,1,Menus!$K$10))=T(J$1),$D313,#N/A)</f>
        <v>#N/A</v>
      </c>
      <c r="K313" s="10">
        <f t="shared" ca="1" si="9"/>
        <v>0</v>
      </c>
      <c r="L313" s="2"/>
      <c r="M313" s="85">
        <f ca="1">OFFSET(INDIRECT(ADDRESS($A313,3,3,1,"Gross")),0,Menus!$J$4)</f>
        <v>0</v>
      </c>
      <c r="N313" s="85">
        <f ca="1">OFFSET(INDIRECT(ADDRESS($A313,3,3,1,"Gross")),0,Menus!$J$3)</f>
        <v>0</v>
      </c>
    </row>
    <row r="314" spans="1:14" x14ac:dyDescent="0.25">
      <c r="A314">
        <v>351</v>
      </c>
      <c r="B314" s="2">
        <f ca="1">OFFSET(INDIRECT(ADDRESS($A314,3,3,1,Menus!$K$10)),0,Menus!$J$4)</f>
        <v>0</v>
      </c>
      <c r="C314" s="2">
        <f ca="1">OFFSET(INDIRECT(ADDRESS($A314,3,3,1,Menus!$K$10)),0,Menus!$J$3)</f>
        <v>0</v>
      </c>
      <c r="D314" s="73" t="e">
        <f ca="1">IF(Menus!$J$9,C314/B314,C314)</f>
        <v>#DIV/0!</v>
      </c>
      <c r="E314" s="74" t="e">
        <f t="shared" ca="1" si="10"/>
        <v>#N/A</v>
      </c>
      <c r="F314" s="75">
        <f ca="1">INDIRECT(ADDRESS($A314,1,3,1,Menus!$K$10))</f>
        <v>0</v>
      </c>
      <c r="G314" s="2" t="e">
        <f ca="1">IF(INDIRECT(ADDRESS($A314,2,3,1,Menus!$K$10))=G$1,$D314,#N/A)</f>
        <v>#N/A</v>
      </c>
      <c r="H314" s="2" t="e">
        <f ca="1">IF(INDIRECT(ADDRESS($A314,2,3,1,Menus!$K$10))=H$1,$D314,#N/A)</f>
        <v>#N/A</v>
      </c>
      <c r="I314" s="2" t="e">
        <f ca="1">IF(INDIRECT(ADDRESS($A314,2,3,1,Menus!$K$10))=I$1,$D314,#N/A)</f>
        <v>#N/A</v>
      </c>
      <c r="J314" s="2" t="e">
        <f ca="1">IF(INDIRECT(ADDRESS($A314,1,3,1,Menus!$K$10))=T(J$1),$D314,#N/A)</f>
        <v>#N/A</v>
      </c>
      <c r="K314" s="10">
        <f t="shared" ca="1" si="9"/>
        <v>0</v>
      </c>
      <c r="L314" s="2"/>
      <c r="M314" s="85">
        <f ca="1">OFFSET(INDIRECT(ADDRESS($A314,3,3,1,"Gross")),0,Menus!$J$4)</f>
        <v>0</v>
      </c>
      <c r="N314" s="85">
        <f ca="1">OFFSET(INDIRECT(ADDRESS($A314,3,3,1,"Gross")),0,Menus!$J$3)</f>
        <v>0</v>
      </c>
    </row>
    <row r="315" spans="1:14" x14ac:dyDescent="0.25">
      <c r="A315">
        <v>352</v>
      </c>
      <c r="B315" s="2">
        <f ca="1">OFFSET(INDIRECT(ADDRESS($A315,3,3,1,Menus!$K$10)),0,Menus!$J$4)</f>
        <v>0</v>
      </c>
      <c r="C315" s="2">
        <f ca="1">OFFSET(INDIRECT(ADDRESS($A315,3,3,1,Menus!$K$10)),0,Menus!$J$3)</f>
        <v>0</v>
      </c>
      <c r="D315" s="73" t="e">
        <f ca="1">IF(Menus!$J$9,C315/B315,C315)</f>
        <v>#DIV/0!</v>
      </c>
      <c r="E315" s="74" t="e">
        <f t="shared" ca="1" si="10"/>
        <v>#N/A</v>
      </c>
      <c r="F315" s="75">
        <f ca="1">INDIRECT(ADDRESS($A315,1,3,1,Menus!$K$10))</f>
        <v>0</v>
      </c>
      <c r="G315" s="2" t="e">
        <f ca="1">IF(INDIRECT(ADDRESS($A315,2,3,1,Menus!$K$10))=G$1,$D315,#N/A)</f>
        <v>#N/A</v>
      </c>
      <c r="H315" s="2" t="e">
        <f ca="1">IF(INDIRECT(ADDRESS($A315,2,3,1,Menus!$K$10))=H$1,$D315,#N/A)</f>
        <v>#N/A</v>
      </c>
      <c r="I315" s="2" t="e">
        <f ca="1">IF(INDIRECT(ADDRESS($A315,2,3,1,Menus!$K$10))=I$1,$D315,#N/A)</f>
        <v>#N/A</v>
      </c>
      <c r="J315" s="2" t="e">
        <f ca="1">IF(INDIRECT(ADDRESS($A315,1,3,1,Menus!$K$10))=T(J$1),$D315,#N/A)</f>
        <v>#N/A</v>
      </c>
      <c r="K315" s="10">
        <f t="shared" ca="1" si="9"/>
        <v>0</v>
      </c>
      <c r="L315" s="2"/>
      <c r="M315" s="85">
        <f ca="1">OFFSET(INDIRECT(ADDRESS($A315,3,3,1,"Gross")),0,Menus!$J$4)</f>
        <v>0</v>
      </c>
      <c r="N315" s="85">
        <f ca="1">OFFSET(INDIRECT(ADDRESS($A315,3,3,1,"Gross")),0,Menus!$J$3)</f>
        <v>0</v>
      </c>
    </row>
    <row r="316" spans="1:14" x14ac:dyDescent="0.25">
      <c r="A316">
        <v>353</v>
      </c>
      <c r="B316" s="2">
        <f ca="1">OFFSET(INDIRECT(ADDRESS($A316,3,3,1,Menus!$K$10)),0,Menus!$J$4)</f>
        <v>0</v>
      </c>
      <c r="C316" s="2">
        <f ca="1">OFFSET(INDIRECT(ADDRESS($A316,3,3,1,Menus!$K$10)),0,Menus!$J$3)</f>
        <v>0</v>
      </c>
      <c r="D316" s="73" t="e">
        <f ca="1">IF(Menus!$J$9,C316/B316,C316)</f>
        <v>#DIV/0!</v>
      </c>
      <c r="E316" s="74" t="e">
        <f t="shared" ca="1" si="10"/>
        <v>#N/A</v>
      </c>
      <c r="F316" s="75">
        <f ca="1">INDIRECT(ADDRESS($A316,1,3,1,Menus!$K$10))</f>
        <v>0</v>
      </c>
      <c r="G316" s="2" t="e">
        <f ca="1">IF(INDIRECT(ADDRESS($A316,2,3,1,Menus!$K$10))=G$1,$D316,#N/A)</f>
        <v>#N/A</v>
      </c>
      <c r="H316" s="2" t="e">
        <f ca="1">IF(INDIRECT(ADDRESS($A316,2,3,1,Menus!$K$10))=H$1,$D316,#N/A)</f>
        <v>#N/A</v>
      </c>
      <c r="I316" s="2" t="e">
        <f ca="1">IF(INDIRECT(ADDRESS($A316,2,3,1,Menus!$K$10))=I$1,$D316,#N/A)</f>
        <v>#N/A</v>
      </c>
      <c r="J316" s="2" t="e">
        <f ca="1">IF(INDIRECT(ADDRESS($A316,1,3,1,Menus!$K$10))=T(J$1),$D316,#N/A)</f>
        <v>#N/A</v>
      </c>
      <c r="K316" s="10">
        <f t="shared" ca="1" si="9"/>
        <v>0</v>
      </c>
      <c r="L316" s="2"/>
      <c r="M316" s="85">
        <f ca="1">OFFSET(INDIRECT(ADDRESS($A316,3,3,1,"Gross")),0,Menus!$J$4)</f>
        <v>0</v>
      </c>
      <c r="N316" s="85">
        <f ca="1">OFFSET(INDIRECT(ADDRESS($A316,3,3,1,"Gross")),0,Menus!$J$3)</f>
        <v>0</v>
      </c>
    </row>
    <row r="317" spans="1:14" x14ac:dyDescent="0.25">
      <c r="A317">
        <v>354</v>
      </c>
      <c r="B317" s="2">
        <f ca="1">OFFSET(INDIRECT(ADDRESS($A317,3,3,1,Menus!$K$10)),0,Menus!$J$4)</f>
        <v>0</v>
      </c>
      <c r="C317" s="2">
        <f ca="1">OFFSET(INDIRECT(ADDRESS($A317,3,3,1,Menus!$K$10)),0,Menus!$J$3)</f>
        <v>0</v>
      </c>
      <c r="D317" s="73" t="e">
        <f ca="1">IF(Menus!$J$9,C317/B317,C317)</f>
        <v>#DIV/0!</v>
      </c>
      <c r="E317" s="74" t="e">
        <f t="shared" ca="1" si="10"/>
        <v>#N/A</v>
      </c>
      <c r="F317" s="75">
        <f ca="1">INDIRECT(ADDRESS($A317,1,3,1,Menus!$K$10))</f>
        <v>0</v>
      </c>
      <c r="G317" s="2" t="e">
        <f ca="1">IF(INDIRECT(ADDRESS($A317,2,3,1,Menus!$K$10))=G$1,$D317,#N/A)</f>
        <v>#N/A</v>
      </c>
      <c r="H317" s="2" t="e">
        <f ca="1">IF(INDIRECT(ADDRESS($A317,2,3,1,Menus!$K$10))=H$1,$D317,#N/A)</f>
        <v>#N/A</v>
      </c>
      <c r="I317" s="2" t="e">
        <f ca="1">IF(INDIRECT(ADDRESS($A317,2,3,1,Menus!$K$10))=I$1,$D317,#N/A)</f>
        <v>#N/A</v>
      </c>
      <c r="J317" s="2" t="e">
        <f ca="1">IF(INDIRECT(ADDRESS($A317,1,3,1,Menus!$K$10))=T(J$1),$D317,#N/A)</f>
        <v>#N/A</v>
      </c>
      <c r="K317" s="10">
        <f t="shared" ca="1" si="9"/>
        <v>0</v>
      </c>
      <c r="L317" s="2"/>
      <c r="M317" s="85">
        <f ca="1">OFFSET(INDIRECT(ADDRESS($A317,3,3,1,"Gross")),0,Menus!$J$4)</f>
        <v>0</v>
      </c>
      <c r="N317" s="85">
        <f ca="1">OFFSET(INDIRECT(ADDRESS($A317,3,3,1,"Gross")),0,Menus!$J$3)</f>
        <v>0</v>
      </c>
    </row>
    <row r="318" spans="1:14" x14ac:dyDescent="0.25">
      <c r="A318">
        <v>355</v>
      </c>
      <c r="B318" s="2">
        <f ca="1">OFFSET(INDIRECT(ADDRESS($A318,3,3,1,Menus!$K$10)),0,Menus!$J$4)</f>
        <v>0</v>
      </c>
      <c r="C318" s="2">
        <f ca="1">OFFSET(INDIRECT(ADDRESS($A318,3,3,1,Menus!$K$10)),0,Menus!$J$3)</f>
        <v>0</v>
      </c>
      <c r="D318" s="73" t="e">
        <f ca="1">IF(Menus!$J$9,C318/B318,C318)</f>
        <v>#DIV/0!</v>
      </c>
      <c r="E318" s="74" t="e">
        <f t="shared" ca="1" si="10"/>
        <v>#N/A</v>
      </c>
      <c r="F318" s="75">
        <f ca="1">INDIRECT(ADDRESS($A318,1,3,1,Menus!$K$10))</f>
        <v>0</v>
      </c>
      <c r="G318" s="2" t="e">
        <f ca="1">IF(INDIRECT(ADDRESS($A318,2,3,1,Menus!$K$10))=G$1,$D318,#N/A)</f>
        <v>#N/A</v>
      </c>
      <c r="H318" s="2" t="e">
        <f ca="1">IF(INDIRECT(ADDRESS($A318,2,3,1,Menus!$K$10))=H$1,$D318,#N/A)</f>
        <v>#N/A</v>
      </c>
      <c r="I318" s="2" t="e">
        <f ca="1">IF(INDIRECT(ADDRESS($A318,2,3,1,Menus!$K$10))=I$1,$D318,#N/A)</f>
        <v>#N/A</v>
      </c>
      <c r="J318" s="2" t="e">
        <f ca="1">IF(INDIRECT(ADDRESS($A318,1,3,1,Menus!$K$10))=T(J$1),$D318,#N/A)</f>
        <v>#N/A</v>
      </c>
      <c r="K318" s="10">
        <f t="shared" ca="1" si="9"/>
        <v>0</v>
      </c>
      <c r="L318" s="2"/>
      <c r="M318" s="85">
        <f ca="1">OFFSET(INDIRECT(ADDRESS($A318,3,3,1,"Gross")),0,Menus!$J$4)</f>
        <v>0</v>
      </c>
      <c r="N318" s="85">
        <f ca="1">OFFSET(INDIRECT(ADDRESS($A318,3,3,1,"Gross")),0,Menus!$J$3)</f>
        <v>0</v>
      </c>
    </row>
    <row r="319" spans="1:14" x14ac:dyDescent="0.25">
      <c r="A319">
        <v>356</v>
      </c>
      <c r="B319" s="2">
        <f ca="1">OFFSET(INDIRECT(ADDRESS($A319,3,3,1,Menus!$K$10)),0,Menus!$J$4)</f>
        <v>0</v>
      </c>
      <c r="C319" s="2">
        <f ca="1">OFFSET(INDIRECT(ADDRESS($A319,3,3,1,Menus!$K$10)),0,Menus!$J$3)</f>
        <v>0</v>
      </c>
      <c r="D319" s="73" t="e">
        <f ca="1">IF(Menus!$J$9,C319/B319,C319)</f>
        <v>#DIV/0!</v>
      </c>
      <c r="E319" s="74" t="e">
        <f t="shared" ca="1" si="10"/>
        <v>#N/A</v>
      </c>
      <c r="F319" s="75">
        <f ca="1">INDIRECT(ADDRESS($A319,1,3,1,Menus!$K$10))</f>
        <v>0</v>
      </c>
      <c r="G319" s="2" t="e">
        <f ca="1">IF(INDIRECT(ADDRESS($A319,2,3,1,Menus!$K$10))=G$1,$D319,#N/A)</f>
        <v>#N/A</v>
      </c>
      <c r="H319" s="2" t="e">
        <f ca="1">IF(INDIRECT(ADDRESS($A319,2,3,1,Menus!$K$10))=H$1,$D319,#N/A)</f>
        <v>#N/A</v>
      </c>
      <c r="I319" s="2" t="e">
        <f ca="1">IF(INDIRECT(ADDRESS($A319,2,3,1,Menus!$K$10))=I$1,$D319,#N/A)</f>
        <v>#N/A</v>
      </c>
      <c r="J319" s="2" t="e">
        <f ca="1">IF(INDIRECT(ADDRESS($A319,1,3,1,Menus!$K$10))=T(J$1),$D319,#N/A)</f>
        <v>#N/A</v>
      </c>
      <c r="K319" s="10">
        <f t="shared" ca="1" si="9"/>
        <v>0</v>
      </c>
      <c r="L319" s="2"/>
      <c r="M319" s="85">
        <f ca="1">OFFSET(INDIRECT(ADDRESS($A319,3,3,1,"Gross")),0,Menus!$J$4)</f>
        <v>0</v>
      </c>
      <c r="N319" s="85">
        <f ca="1">OFFSET(INDIRECT(ADDRESS($A319,3,3,1,"Gross")),0,Menus!$J$3)</f>
        <v>0</v>
      </c>
    </row>
    <row r="320" spans="1:14" x14ac:dyDescent="0.25">
      <c r="A320">
        <v>357</v>
      </c>
      <c r="B320" s="2">
        <f ca="1">OFFSET(INDIRECT(ADDRESS($A320,3,3,1,Menus!$K$10)),0,Menus!$J$4)</f>
        <v>0</v>
      </c>
      <c r="C320" s="2">
        <f ca="1">OFFSET(INDIRECT(ADDRESS($A320,3,3,1,Menus!$K$10)),0,Menus!$J$3)</f>
        <v>0</v>
      </c>
      <c r="D320" s="73" t="e">
        <f ca="1">IF(Menus!$J$9,C320/B320,C320)</f>
        <v>#DIV/0!</v>
      </c>
      <c r="E320" s="74" t="e">
        <f t="shared" ca="1" si="10"/>
        <v>#N/A</v>
      </c>
      <c r="F320" s="75">
        <f ca="1">INDIRECT(ADDRESS($A320,1,3,1,Menus!$K$10))</f>
        <v>0</v>
      </c>
      <c r="G320" s="2" t="e">
        <f ca="1">IF(INDIRECT(ADDRESS($A320,2,3,1,Menus!$K$10))=G$1,$D320,#N/A)</f>
        <v>#N/A</v>
      </c>
      <c r="H320" s="2" t="e">
        <f ca="1">IF(INDIRECT(ADDRESS($A320,2,3,1,Menus!$K$10))=H$1,$D320,#N/A)</f>
        <v>#N/A</v>
      </c>
      <c r="I320" s="2" t="e">
        <f ca="1">IF(INDIRECT(ADDRESS($A320,2,3,1,Menus!$K$10))=I$1,$D320,#N/A)</f>
        <v>#N/A</v>
      </c>
      <c r="J320" s="2" t="e">
        <f ca="1">IF(INDIRECT(ADDRESS($A320,1,3,1,Menus!$K$10))=T(J$1),$D320,#N/A)</f>
        <v>#N/A</v>
      </c>
      <c r="K320" s="10">
        <f t="shared" ca="1" si="9"/>
        <v>0</v>
      </c>
      <c r="L320" s="2"/>
      <c r="M320" s="85">
        <f ca="1">OFFSET(INDIRECT(ADDRESS($A320,3,3,1,"Gross")),0,Menus!$J$4)</f>
        <v>0</v>
      </c>
      <c r="N320" s="85">
        <f ca="1">OFFSET(INDIRECT(ADDRESS($A320,3,3,1,"Gross")),0,Menus!$J$3)</f>
        <v>0</v>
      </c>
    </row>
    <row r="321" spans="1:14" x14ac:dyDescent="0.25">
      <c r="A321">
        <v>358</v>
      </c>
      <c r="B321" s="2">
        <f ca="1">OFFSET(INDIRECT(ADDRESS($A321,3,3,1,Menus!$K$10)),0,Menus!$J$4)</f>
        <v>0</v>
      </c>
      <c r="C321" s="2">
        <f ca="1">OFFSET(INDIRECT(ADDRESS($A321,3,3,1,Menus!$K$10)),0,Menus!$J$3)</f>
        <v>0</v>
      </c>
      <c r="D321" s="73" t="e">
        <f ca="1">IF(Menus!$J$9,C321/B321,C321)</f>
        <v>#DIV/0!</v>
      </c>
      <c r="E321" s="74" t="e">
        <f t="shared" ca="1" si="10"/>
        <v>#N/A</v>
      </c>
      <c r="F321" s="75">
        <f ca="1">INDIRECT(ADDRESS($A321,1,3,1,Menus!$K$10))</f>
        <v>0</v>
      </c>
      <c r="G321" s="2" t="e">
        <f ca="1">IF(INDIRECT(ADDRESS($A321,2,3,1,Menus!$K$10))=G$1,$D321,#N/A)</f>
        <v>#N/A</v>
      </c>
      <c r="H321" s="2" t="e">
        <f ca="1">IF(INDIRECT(ADDRESS($A321,2,3,1,Menus!$K$10))=H$1,$D321,#N/A)</f>
        <v>#N/A</v>
      </c>
      <c r="I321" s="2" t="e">
        <f ca="1">IF(INDIRECT(ADDRESS($A321,2,3,1,Menus!$K$10))=I$1,$D321,#N/A)</f>
        <v>#N/A</v>
      </c>
      <c r="J321" s="2" t="e">
        <f ca="1">IF(INDIRECT(ADDRESS($A321,1,3,1,Menus!$K$10))=T(J$1),$D321,#N/A)</f>
        <v>#N/A</v>
      </c>
      <c r="K321" s="10">
        <f t="shared" ca="1" si="9"/>
        <v>0</v>
      </c>
      <c r="L321" s="2"/>
      <c r="M321" s="85">
        <f ca="1">OFFSET(INDIRECT(ADDRESS($A321,3,3,1,"Gross")),0,Menus!$J$4)</f>
        <v>0</v>
      </c>
      <c r="N321" s="85">
        <f ca="1">OFFSET(INDIRECT(ADDRESS($A321,3,3,1,"Gross")),0,Menus!$J$3)</f>
        <v>0</v>
      </c>
    </row>
    <row r="322" spans="1:14" x14ac:dyDescent="0.25">
      <c r="A322">
        <v>359</v>
      </c>
      <c r="B322" s="2">
        <f ca="1">OFFSET(INDIRECT(ADDRESS($A322,3,3,1,Menus!$K$10)),0,Menus!$J$4)</f>
        <v>0</v>
      </c>
      <c r="C322" s="2">
        <f ca="1">OFFSET(INDIRECT(ADDRESS($A322,3,3,1,Menus!$K$10)),0,Menus!$J$3)</f>
        <v>0</v>
      </c>
      <c r="D322" s="73" t="e">
        <f ca="1">IF(Menus!$J$9,C322/B322,C322)</f>
        <v>#DIV/0!</v>
      </c>
      <c r="E322" s="74" t="e">
        <f t="shared" ca="1" si="10"/>
        <v>#N/A</v>
      </c>
      <c r="F322" s="75">
        <f ca="1">INDIRECT(ADDRESS($A322,1,3,1,Menus!$K$10))</f>
        <v>0</v>
      </c>
      <c r="G322" s="2" t="e">
        <f ca="1">IF(INDIRECT(ADDRESS($A322,2,3,1,Menus!$K$10))=G$1,$D322,#N/A)</f>
        <v>#N/A</v>
      </c>
      <c r="H322" s="2" t="e">
        <f ca="1">IF(INDIRECT(ADDRESS($A322,2,3,1,Menus!$K$10))=H$1,$D322,#N/A)</f>
        <v>#N/A</v>
      </c>
      <c r="I322" s="2" t="e">
        <f ca="1">IF(INDIRECT(ADDRESS($A322,2,3,1,Menus!$K$10))=I$1,$D322,#N/A)</f>
        <v>#N/A</v>
      </c>
      <c r="J322" s="2" t="e">
        <f ca="1">IF(INDIRECT(ADDRESS($A322,1,3,1,Menus!$K$10))=T(J$1),$D322,#N/A)</f>
        <v>#N/A</v>
      </c>
      <c r="K322" s="10">
        <f t="shared" ref="K322:K385" ca="1" si="11">IF(OR(ISNUMBER($G322),ISNUMBER($H322),ISNUMBER($I322),ISNUMBER($J322)),1,0)</f>
        <v>0</v>
      </c>
      <c r="L322" s="2"/>
      <c r="M322" s="85">
        <f ca="1">OFFSET(INDIRECT(ADDRESS($A322,3,3,1,"Gross")),0,Menus!$J$4)</f>
        <v>0</v>
      </c>
      <c r="N322" s="85">
        <f ca="1">OFFSET(INDIRECT(ADDRESS($A322,3,3,1,"Gross")),0,Menus!$J$3)</f>
        <v>0</v>
      </c>
    </row>
    <row r="323" spans="1:14" x14ac:dyDescent="0.25">
      <c r="A323">
        <v>360</v>
      </c>
      <c r="B323" s="2">
        <f ca="1">OFFSET(INDIRECT(ADDRESS($A323,3,3,1,Menus!$K$10)),0,Menus!$J$4)</f>
        <v>0</v>
      </c>
      <c r="C323" s="2">
        <f ca="1">OFFSET(INDIRECT(ADDRESS($A323,3,3,1,Menus!$K$10)),0,Menus!$J$3)</f>
        <v>0</v>
      </c>
      <c r="D323" s="73" t="e">
        <f ca="1">IF(Menus!$J$9,C323/B323,C323)</f>
        <v>#DIV/0!</v>
      </c>
      <c r="E323" s="74" t="e">
        <f t="shared" ref="E323:E386" ca="1" si="12">IF($K323=1,VALUE(B323),#N/A)</f>
        <v>#N/A</v>
      </c>
      <c r="F323" s="75">
        <f ca="1">INDIRECT(ADDRESS($A323,1,3,1,Menus!$K$10))</f>
        <v>0</v>
      </c>
      <c r="G323" s="2" t="e">
        <f ca="1">IF(INDIRECT(ADDRESS($A323,2,3,1,Menus!$K$10))=G$1,$D323,#N/A)</f>
        <v>#N/A</v>
      </c>
      <c r="H323" s="2" t="e">
        <f ca="1">IF(INDIRECT(ADDRESS($A323,2,3,1,Menus!$K$10))=H$1,$D323,#N/A)</f>
        <v>#N/A</v>
      </c>
      <c r="I323" s="2" t="e">
        <f ca="1">IF(INDIRECT(ADDRESS($A323,2,3,1,Menus!$K$10))=I$1,$D323,#N/A)</f>
        <v>#N/A</v>
      </c>
      <c r="J323" s="2" t="e">
        <f ca="1">IF(INDIRECT(ADDRESS($A323,1,3,1,Menus!$K$10))=T(J$1),$D323,#N/A)</f>
        <v>#N/A</v>
      </c>
      <c r="K323" s="10">
        <f t="shared" ca="1" si="11"/>
        <v>0</v>
      </c>
      <c r="L323" s="2"/>
      <c r="M323" s="85">
        <f ca="1">OFFSET(INDIRECT(ADDRESS($A323,3,3,1,"Gross")),0,Menus!$J$4)</f>
        <v>0</v>
      </c>
      <c r="N323" s="85">
        <f ca="1">OFFSET(INDIRECT(ADDRESS($A323,3,3,1,"Gross")),0,Menus!$J$3)</f>
        <v>0</v>
      </c>
    </row>
    <row r="324" spans="1:14" x14ac:dyDescent="0.25">
      <c r="A324">
        <v>361</v>
      </c>
      <c r="B324" s="2">
        <f ca="1">OFFSET(INDIRECT(ADDRESS($A324,3,3,1,Menus!$K$10)),0,Menus!$J$4)</f>
        <v>0</v>
      </c>
      <c r="C324" s="2">
        <f ca="1">OFFSET(INDIRECT(ADDRESS($A324,3,3,1,Menus!$K$10)),0,Menus!$J$3)</f>
        <v>0</v>
      </c>
      <c r="D324" s="73" t="e">
        <f ca="1">IF(Menus!$J$9,C324/B324,C324)</f>
        <v>#DIV/0!</v>
      </c>
      <c r="E324" s="74" t="e">
        <f t="shared" ca="1" si="12"/>
        <v>#N/A</v>
      </c>
      <c r="F324" s="75">
        <f ca="1">INDIRECT(ADDRESS($A324,1,3,1,Menus!$K$10))</f>
        <v>0</v>
      </c>
      <c r="G324" s="2" t="e">
        <f ca="1">IF(INDIRECT(ADDRESS($A324,2,3,1,Menus!$K$10))=G$1,$D324,#N/A)</f>
        <v>#N/A</v>
      </c>
      <c r="H324" s="2" t="e">
        <f ca="1">IF(INDIRECT(ADDRESS($A324,2,3,1,Menus!$K$10))=H$1,$D324,#N/A)</f>
        <v>#N/A</v>
      </c>
      <c r="I324" s="2" t="e">
        <f ca="1">IF(INDIRECT(ADDRESS($A324,2,3,1,Menus!$K$10))=I$1,$D324,#N/A)</f>
        <v>#N/A</v>
      </c>
      <c r="J324" s="2" t="e">
        <f ca="1">IF(INDIRECT(ADDRESS($A324,1,3,1,Menus!$K$10))=T(J$1),$D324,#N/A)</f>
        <v>#N/A</v>
      </c>
      <c r="K324" s="10">
        <f t="shared" ca="1" si="11"/>
        <v>0</v>
      </c>
      <c r="L324" s="2"/>
      <c r="M324" s="85">
        <f ca="1">OFFSET(INDIRECT(ADDRESS($A324,3,3,1,"Gross")),0,Menus!$J$4)</f>
        <v>0</v>
      </c>
      <c r="N324" s="85">
        <f ca="1">OFFSET(INDIRECT(ADDRESS($A324,3,3,1,"Gross")),0,Menus!$J$3)</f>
        <v>0</v>
      </c>
    </row>
    <row r="325" spans="1:14" x14ac:dyDescent="0.25">
      <c r="A325">
        <v>362</v>
      </c>
      <c r="B325" s="2">
        <f ca="1">OFFSET(INDIRECT(ADDRESS($A325,3,3,1,Menus!$K$10)),0,Menus!$J$4)</f>
        <v>0</v>
      </c>
      <c r="C325" s="2">
        <f ca="1">OFFSET(INDIRECT(ADDRESS($A325,3,3,1,Menus!$K$10)),0,Menus!$J$3)</f>
        <v>0</v>
      </c>
      <c r="D325" s="73" t="e">
        <f ca="1">IF(Menus!$J$9,C325/B325,C325)</f>
        <v>#DIV/0!</v>
      </c>
      <c r="E325" s="74" t="e">
        <f t="shared" ca="1" si="12"/>
        <v>#N/A</v>
      </c>
      <c r="F325" s="75">
        <f ca="1">INDIRECT(ADDRESS($A325,1,3,1,Menus!$K$10))</f>
        <v>0</v>
      </c>
      <c r="G325" s="2" t="e">
        <f ca="1">IF(INDIRECT(ADDRESS($A325,2,3,1,Menus!$K$10))=G$1,$D325,#N/A)</f>
        <v>#N/A</v>
      </c>
      <c r="H325" s="2" t="e">
        <f ca="1">IF(INDIRECT(ADDRESS($A325,2,3,1,Menus!$K$10))=H$1,$D325,#N/A)</f>
        <v>#N/A</v>
      </c>
      <c r="I325" s="2" t="e">
        <f ca="1">IF(INDIRECT(ADDRESS($A325,2,3,1,Menus!$K$10))=I$1,$D325,#N/A)</f>
        <v>#N/A</v>
      </c>
      <c r="J325" s="2" t="e">
        <f ca="1">IF(INDIRECT(ADDRESS($A325,1,3,1,Menus!$K$10))=T(J$1),$D325,#N/A)</f>
        <v>#N/A</v>
      </c>
      <c r="K325" s="10">
        <f t="shared" ca="1" si="11"/>
        <v>0</v>
      </c>
      <c r="L325" s="2"/>
      <c r="M325" s="85">
        <f ca="1">OFFSET(INDIRECT(ADDRESS($A325,3,3,1,"Gross")),0,Menus!$J$4)</f>
        <v>0</v>
      </c>
      <c r="N325" s="85">
        <f ca="1">OFFSET(INDIRECT(ADDRESS($A325,3,3,1,"Gross")),0,Menus!$J$3)</f>
        <v>0</v>
      </c>
    </row>
    <row r="326" spans="1:14" x14ac:dyDescent="0.25">
      <c r="A326">
        <v>363</v>
      </c>
      <c r="B326" s="2">
        <f ca="1">OFFSET(INDIRECT(ADDRESS($A326,3,3,1,Menus!$K$10)),0,Menus!$J$4)</f>
        <v>0</v>
      </c>
      <c r="C326" s="2">
        <f ca="1">OFFSET(INDIRECT(ADDRESS($A326,3,3,1,Menus!$K$10)),0,Menus!$J$3)</f>
        <v>0</v>
      </c>
      <c r="D326" s="73" t="e">
        <f ca="1">IF(Menus!$J$9,C326/B326,C326)</f>
        <v>#DIV/0!</v>
      </c>
      <c r="E326" s="74" t="e">
        <f t="shared" ca="1" si="12"/>
        <v>#N/A</v>
      </c>
      <c r="F326" s="75">
        <f ca="1">INDIRECT(ADDRESS($A326,1,3,1,Menus!$K$10))</f>
        <v>0</v>
      </c>
      <c r="G326" s="2" t="e">
        <f ca="1">IF(INDIRECT(ADDRESS($A326,2,3,1,Menus!$K$10))=G$1,$D326,#N/A)</f>
        <v>#N/A</v>
      </c>
      <c r="H326" s="2" t="e">
        <f ca="1">IF(INDIRECT(ADDRESS($A326,2,3,1,Menus!$K$10))=H$1,$D326,#N/A)</f>
        <v>#N/A</v>
      </c>
      <c r="I326" s="2" t="e">
        <f ca="1">IF(INDIRECT(ADDRESS($A326,2,3,1,Menus!$K$10))=I$1,$D326,#N/A)</f>
        <v>#N/A</v>
      </c>
      <c r="J326" s="2" t="e">
        <f ca="1">IF(INDIRECT(ADDRESS($A326,1,3,1,Menus!$K$10))=T(J$1),$D326,#N/A)</f>
        <v>#N/A</v>
      </c>
      <c r="K326" s="10">
        <f t="shared" ca="1" si="11"/>
        <v>0</v>
      </c>
      <c r="L326" s="2"/>
      <c r="M326" s="85">
        <f ca="1">OFFSET(INDIRECT(ADDRESS($A326,3,3,1,"Gross")),0,Menus!$J$4)</f>
        <v>0</v>
      </c>
      <c r="N326" s="85">
        <f ca="1">OFFSET(INDIRECT(ADDRESS($A326,3,3,1,"Gross")),0,Menus!$J$3)</f>
        <v>0</v>
      </c>
    </row>
    <row r="327" spans="1:14" x14ac:dyDescent="0.25">
      <c r="A327">
        <v>364</v>
      </c>
      <c r="B327" s="2">
        <f ca="1">OFFSET(INDIRECT(ADDRESS($A327,3,3,1,Menus!$K$10)),0,Menus!$J$4)</f>
        <v>0</v>
      </c>
      <c r="C327" s="2">
        <f ca="1">OFFSET(INDIRECT(ADDRESS($A327,3,3,1,Menus!$K$10)),0,Menus!$J$3)</f>
        <v>0</v>
      </c>
      <c r="D327" s="73" t="e">
        <f ca="1">IF(Menus!$J$9,C327/B327,C327)</f>
        <v>#DIV/0!</v>
      </c>
      <c r="E327" s="74" t="e">
        <f t="shared" ca="1" si="12"/>
        <v>#N/A</v>
      </c>
      <c r="F327" s="75">
        <f ca="1">INDIRECT(ADDRESS($A327,1,3,1,Menus!$K$10))</f>
        <v>0</v>
      </c>
      <c r="G327" s="2" t="e">
        <f ca="1">IF(INDIRECT(ADDRESS($A327,2,3,1,Menus!$K$10))=G$1,$D327,#N/A)</f>
        <v>#N/A</v>
      </c>
      <c r="H327" s="2" t="e">
        <f ca="1">IF(INDIRECT(ADDRESS($A327,2,3,1,Menus!$K$10))=H$1,$D327,#N/A)</f>
        <v>#N/A</v>
      </c>
      <c r="I327" s="2" t="e">
        <f ca="1">IF(INDIRECT(ADDRESS($A327,2,3,1,Menus!$K$10))=I$1,$D327,#N/A)</f>
        <v>#N/A</v>
      </c>
      <c r="J327" s="2" t="e">
        <f ca="1">IF(INDIRECT(ADDRESS($A327,1,3,1,Menus!$K$10))=T(J$1),$D327,#N/A)</f>
        <v>#N/A</v>
      </c>
      <c r="K327" s="10">
        <f t="shared" ca="1" si="11"/>
        <v>0</v>
      </c>
      <c r="L327" s="2"/>
      <c r="M327" s="85">
        <f ca="1">OFFSET(INDIRECT(ADDRESS($A327,3,3,1,"Gross")),0,Menus!$J$4)</f>
        <v>0</v>
      </c>
      <c r="N327" s="85">
        <f ca="1">OFFSET(INDIRECT(ADDRESS($A327,3,3,1,"Gross")),0,Menus!$J$3)</f>
        <v>0</v>
      </c>
    </row>
    <row r="328" spans="1:14" x14ac:dyDescent="0.25">
      <c r="A328">
        <v>365</v>
      </c>
      <c r="B328" s="2">
        <f ca="1">OFFSET(INDIRECT(ADDRESS($A328,3,3,1,Menus!$K$10)),0,Menus!$J$4)</f>
        <v>0</v>
      </c>
      <c r="C328" s="2">
        <f ca="1">OFFSET(INDIRECT(ADDRESS($A328,3,3,1,Menus!$K$10)),0,Menus!$J$3)</f>
        <v>0</v>
      </c>
      <c r="D328" s="73" t="e">
        <f ca="1">IF(Menus!$J$9,C328/B328,C328)</f>
        <v>#DIV/0!</v>
      </c>
      <c r="E328" s="74" t="e">
        <f t="shared" ca="1" si="12"/>
        <v>#N/A</v>
      </c>
      <c r="F328" s="75">
        <f ca="1">INDIRECT(ADDRESS($A328,1,3,1,Menus!$K$10))</f>
        <v>0</v>
      </c>
      <c r="G328" s="2" t="e">
        <f ca="1">IF(INDIRECT(ADDRESS($A328,2,3,1,Menus!$K$10))=G$1,$D328,#N/A)</f>
        <v>#N/A</v>
      </c>
      <c r="H328" s="2" t="e">
        <f ca="1">IF(INDIRECT(ADDRESS($A328,2,3,1,Menus!$K$10))=H$1,$D328,#N/A)</f>
        <v>#N/A</v>
      </c>
      <c r="I328" s="2" t="e">
        <f ca="1">IF(INDIRECT(ADDRESS($A328,2,3,1,Menus!$K$10))=I$1,$D328,#N/A)</f>
        <v>#N/A</v>
      </c>
      <c r="J328" s="2" t="e">
        <f ca="1">IF(INDIRECT(ADDRESS($A328,1,3,1,Menus!$K$10))=T(J$1),$D328,#N/A)</f>
        <v>#N/A</v>
      </c>
      <c r="K328" s="10">
        <f t="shared" ca="1" si="11"/>
        <v>0</v>
      </c>
      <c r="L328" s="2"/>
      <c r="M328" s="85">
        <f ca="1">OFFSET(INDIRECT(ADDRESS($A328,3,3,1,"Gross")),0,Menus!$J$4)</f>
        <v>0</v>
      </c>
      <c r="N328" s="85">
        <f ca="1">OFFSET(INDIRECT(ADDRESS($A328,3,3,1,"Gross")),0,Menus!$J$3)</f>
        <v>0</v>
      </c>
    </row>
    <row r="329" spans="1:14" x14ac:dyDescent="0.25">
      <c r="A329">
        <v>366</v>
      </c>
      <c r="B329" s="2">
        <f ca="1">OFFSET(INDIRECT(ADDRESS($A329,3,3,1,Menus!$K$10)),0,Menus!$J$4)</f>
        <v>0</v>
      </c>
      <c r="C329" s="2">
        <f ca="1">OFFSET(INDIRECT(ADDRESS($A329,3,3,1,Menus!$K$10)),0,Menus!$J$3)</f>
        <v>0</v>
      </c>
      <c r="D329" s="73" t="e">
        <f ca="1">IF(Menus!$J$9,C329/B329,C329)</f>
        <v>#DIV/0!</v>
      </c>
      <c r="E329" s="74" t="e">
        <f t="shared" ca="1" si="12"/>
        <v>#N/A</v>
      </c>
      <c r="F329" s="75">
        <f ca="1">INDIRECT(ADDRESS($A329,1,3,1,Menus!$K$10))</f>
        <v>0</v>
      </c>
      <c r="G329" s="2" t="e">
        <f ca="1">IF(INDIRECT(ADDRESS($A329,2,3,1,Menus!$K$10))=G$1,$D329,#N/A)</f>
        <v>#N/A</v>
      </c>
      <c r="H329" s="2" t="e">
        <f ca="1">IF(INDIRECT(ADDRESS($A329,2,3,1,Menus!$K$10))=H$1,$D329,#N/A)</f>
        <v>#N/A</v>
      </c>
      <c r="I329" s="2" t="e">
        <f ca="1">IF(INDIRECT(ADDRESS($A329,2,3,1,Menus!$K$10))=I$1,$D329,#N/A)</f>
        <v>#N/A</v>
      </c>
      <c r="J329" s="2" t="e">
        <f ca="1">IF(INDIRECT(ADDRESS($A329,1,3,1,Menus!$K$10))=T(J$1),$D329,#N/A)</f>
        <v>#N/A</v>
      </c>
      <c r="K329" s="10">
        <f t="shared" ca="1" si="11"/>
        <v>0</v>
      </c>
      <c r="L329" s="2"/>
      <c r="M329" s="85">
        <f ca="1">OFFSET(INDIRECT(ADDRESS($A329,3,3,1,"Gross")),0,Menus!$J$4)</f>
        <v>0</v>
      </c>
      <c r="N329" s="85">
        <f ca="1">OFFSET(INDIRECT(ADDRESS($A329,3,3,1,"Gross")),0,Menus!$J$3)</f>
        <v>0</v>
      </c>
    </row>
    <row r="330" spans="1:14" x14ac:dyDescent="0.25">
      <c r="A330">
        <v>367</v>
      </c>
      <c r="B330" s="2">
        <f ca="1">OFFSET(INDIRECT(ADDRESS($A330,3,3,1,Menus!$K$10)),0,Menus!$J$4)</f>
        <v>0</v>
      </c>
      <c r="C330" s="2">
        <f ca="1">OFFSET(INDIRECT(ADDRESS($A330,3,3,1,Menus!$K$10)),0,Menus!$J$3)</f>
        <v>0</v>
      </c>
      <c r="D330" s="73" t="e">
        <f ca="1">IF(Menus!$J$9,C330/B330,C330)</f>
        <v>#DIV/0!</v>
      </c>
      <c r="E330" s="74" t="e">
        <f t="shared" ca="1" si="12"/>
        <v>#N/A</v>
      </c>
      <c r="F330" s="75">
        <f ca="1">INDIRECT(ADDRESS($A330,1,3,1,Menus!$K$10))</f>
        <v>0</v>
      </c>
      <c r="G330" s="2" t="e">
        <f ca="1">IF(INDIRECT(ADDRESS($A330,2,3,1,Menus!$K$10))=G$1,$D330,#N/A)</f>
        <v>#N/A</v>
      </c>
      <c r="H330" s="2" t="e">
        <f ca="1">IF(INDIRECT(ADDRESS($A330,2,3,1,Menus!$K$10))=H$1,$D330,#N/A)</f>
        <v>#N/A</v>
      </c>
      <c r="I330" s="2" t="e">
        <f ca="1">IF(INDIRECT(ADDRESS($A330,2,3,1,Menus!$K$10))=I$1,$D330,#N/A)</f>
        <v>#N/A</v>
      </c>
      <c r="J330" s="2" t="e">
        <f ca="1">IF(INDIRECT(ADDRESS($A330,1,3,1,Menus!$K$10))=T(J$1),$D330,#N/A)</f>
        <v>#N/A</v>
      </c>
      <c r="K330" s="10">
        <f t="shared" ca="1" si="11"/>
        <v>0</v>
      </c>
      <c r="L330" s="2"/>
      <c r="M330" s="85">
        <f ca="1">OFFSET(INDIRECT(ADDRESS($A330,3,3,1,"Gross")),0,Menus!$J$4)</f>
        <v>0</v>
      </c>
      <c r="N330" s="85">
        <f ca="1">OFFSET(INDIRECT(ADDRESS($A330,3,3,1,"Gross")),0,Menus!$J$3)</f>
        <v>0</v>
      </c>
    </row>
    <row r="331" spans="1:14" x14ac:dyDescent="0.25">
      <c r="A331">
        <v>368</v>
      </c>
      <c r="B331" s="2">
        <f ca="1">OFFSET(INDIRECT(ADDRESS($A331,3,3,1,Menus!$K$10)),0,Menus!$J$4)</f>
        <v>0</v>
      </c>
      <c r="C331" s="2">
        <f ca="1">OFFSET(INDIRECT(ADDRESS($A331,3,3,1,Menus!$K$10)),0,Menus!$J$3)</f>
        <v>0</v>
      </c>
      <c r="D331" s="73" t="e">
        <f ca="1">IF(Menus!$J$9,C331/B331,C331)</f>
        <v>#DIV/0!</v>
      </c>
      <c r="E331" s="74" t="e">
        <f t="shared" ca="1" si="12"/>
        <v>#N/A</v>
      </c>
      <c r="F331" s="75">
        <f ca="1">INDIRECT(ADDRESS($A331,1,3,1,Menus!$K$10))</f>
        <v>0</v>
      </c>
      <c r="G331" s="2" t="e">
        <f ca="1">IF(INDIRECT(ADDRESS($A331,2,3,1,Menus!$K$10))=G$1,$D331,#N/A)</f>
        <v>#N/A</v>
      </c>
      <c r="H331" s="2" t="e">
        <f ca="1">IF(INDIRECT(ADDRESS($A331,2,3,1,Menus!$K$10))=H$1,$D331,#N/A)</f>
        <v>#N/A</v>
      </c>
      <c r="I331" s="2" t="e">
        <f ca="1">IF(INDIRECT(ADDRESS($A331,2,3,1,Menus!$K$10))=I$1,$D331,#N/A)</f>
        <v>#N/A</v>
      </c>
      <c r="J331" s="2" t="e">
        <f ca="1">IF(INDIRECT(ADDRESS($A331,1,3,1,Menus!$K$10))=T(J$1),$D331,#N/A)</f>
        <v>#N/A</v>
      </c>
      <c r="K331" s="10">
        <f t="shared" ca="1" si="11"/>
        <v>0</v>
      </c>
      <c r="L331" s="2"/>
      <c r="M331" s="85">
        <f ca="1">OFFSET(INDIRECT(ADDRESS($A331,3,3,1,"Gross")),0,Menus!$J$4)</f>
        <v>0</v>
      </c>
      <c r="N331" s="85">
        <f ca="1">OFFSET(INDIRECT(ADDRESS($A331,3,3,1,"Gross")),0,Menus!$J$3)</f>
        <v>0</v>
      </c>
    </row>
    <row r="332" spans="1:14" x14ac:dyDescent="0.25">
      <c r="A332">
        <v>369</v>
      </c>
      <c r="B332" s="2">
        <f ca="1">OFFSET(INDIRECT(ADDRESS($A332,3,3,1,Menus!$K$10)),0,Menus!$J$4)</f>
        <v>0</v>
      </c>
      <c r="C332" s="2">
        <f ca="1">OFFSET(INDIRECT(ADDRESS($A332,3,3,1,Menus!$K$10)),0,Menus!$J$3)</f>
        <v>0</v>
      </c>
      <c r="D332" s="73" t="e">
        <f ca="1">IF(Menus!$J$9,C332/B332,C332)</f>
        <v>#DIV/0!</v>
      </c>
      <c r="E332" s="74" t="e">
        <f t="shared" ca="1" si="12"/>
        <v>#N/A</v>
      </c>
      <c r="F332" s="75">
        <f ca="1">INDIRECT(ADDRESS($A332,1,3,1,Menus!$K$10))</f>
        <v>0</v>
      </c>
      <c r="G332" s="2" t="e">
        <f ca="1">IF(INDIRECT(ADDRESS($A332,2,3,1,Menus!$K$10))=G$1,$D332,#N/A)</f>
        <v>#N/A</v>
      </c>
      <c r="H332" s="2" t="e">
        <f ca="1">IF(INDIRECT(ADDRESS($A332,2,3,1,Menus!$K$10))=H$1,$D332,#N/A)</f>
        <v>#N/A</v>
      </c>
      <c r="I332" s="2" t="e">
        <f ca="1">IF(INDIRECT(ADDRESS($A332,2,3,1,Menus!$K$10))=I$1,$D332,#N/A)</f>
        <v>#N/A</v>
      </c>
      <c r="J332" s="2" t="e">
        <f ca="1">IF(INDIRECT(ADDRESS($A332,1,3,1,Menus!$K$10))=T(J$1),$D332,#N/A)</f>
        <v>#N/A</v>
      </c>
      <c r="K332" s="10">
        <f t="shared" ca="1" si="11"/>
        <v>0</v>
      </c>
      <c r="L332" s="2"/>
      <c r="M332" s="85">
        <f ca="1">OFFSET(INDIRECT(ADDRESS($A332,3,3,1,"Gross")),0,Menus!$J$4)</f>
        <v>0</v>
      </c>
      <c r="N332" s="85">
        <f ca="1">OFFSET(INDIRECT(ADDRESS($A332,3,3,1,"Gross")),0,Menus!$J$3)</f>
        <v>0</v>
      </c>
    </row>
    <row r="333" spans="1:14" x14ac:dyDescent="0.25">
      <c r="A333">
        <v>370</v>
      </c>
      <c r="B333" s="2">
        <f ca="1">OFFSET(INDIRECT(ADDRESS($A333,3,3,1,Menus!$K$10)),0,Menus!$J$4)</f>
        <v>0</v>
      </c>
      <c r="C333" s="2">
        <f ca="1">OFFSET(INDIRECT(ADDRESS($A333,3,3,1,Menus!$K$10)),0,Menus!$J$3)</f>
        <v>0</v>
      </c>
      <c r="D333" s="73" t="e">
        <f ca="1">IF(Menus!$J$9,C333/B333,C333)</f>
        <v>#DIV/0!</v>
      </c>
      <c r="E333" s="74" t="e">
        <f t="shared" ca="1" si="12"/>
        <v>#N/A</v>
      </c>
      <c r="F333" s="75">
        <f ca="1">INDIRECT(ADDRESS($A333,1,3,1,Menus!$K$10))</f>
        <v>0</v>
      </c>
      <c r="G333" s="2" t="e">
        <f ca="1">IF(INDIRECT(ADDRESS($A333,2,3,1,Menus!$K$10))=G$1,$D333,#N/A)</f>
        <v>#N/A</v>
      </c>
      <c r="H333" s="2" t="e">
        <f ca="1">IF(INDIRECT(ADDRESS($A333,2,3,1,Menus!$K$10))=H$1,$D333,#N/A)</f>
        <v>#N/A</v>
      </c>
      <c r="I333" s="2" t="e">
        <f ca="1">IF(INDIRECT(ADDRESS($A333,2,3,1,Menus!$K$10))=I$1,$D333,#N/A)</f>
        <v>#N/A</v>
      </c>
      <c r="J333" s="2" t="e">
        <f ca="1">IF(INDIRECT(ADDRESS($A333,1,3,1,Menus!$K$10))=T(J$1),$D333,#N/A)</f>
        <v>#N/A</v>
      </c>
      <c r="K333" s="10">
        <f t="shared" ca="1" si="11"/>
        <v>0</v>
      </c>
      <c r="L333" s="2"/>
      <c r="M333" s="85">
        <f ca="1">OFFSET(INDIRECT(ADDRESS($A333,3,3,1,"Gross")),0,Menus!$J$4)</f>
        <v>0</v>
      </c>
      <c r="N333" s="85">
        <f ca="1">OFFSET(INDIRECT(ADDRESS($A333,3,3,1,"Gross")),0,Menus!$J$3)</f>
        <v>0</v>
      </c>
    </row>
    <row r="334" spans="1:14" x14ac:dyDescent="0.25">
      <c r="A334">
        <v>371</v>
      </c>
      <c r="B334" s="2">
        <f ca="1">OFFSET(INDIRECT(ADDRESS($A334,3,3,1,Menus!$K$10)),0,Menus!$J$4)</f>
        <v>0</v>
      </c>
      <c r="C334" s="2">
        <f ca="1">OFFSET(INDIRECT(ADDRESS($A334,3,3,1,Menus!$K$10)),0,Menus!$J$3)</f>
        <v>0</v>
      </c>
      <c r="D334" s="73" t="e">
        <f ca="1">IF(Menus!$J$9,C334/B334,C334)</f>
        <v>#DIV/0!</v>
      </c>
      <c r="E334" s="74" t="e">
        <f t="shared" ca="1" si="12"/>
        <v>#N/A</v>
      </c>
      <c r="F334" s="75">
        <f ca="1">INDIRECT(ADDRESS($A334,1,3,1,Menus!$K$10))</f>
        <v>0</v>
      </c>
      <c r="G334" s="2" t="e">
        <f ca="1">IF(INDIRECT(ADDRESS($A334,2,3,1,Menus!$K$10))=G$1,$D334,#N/A)</f>
        <v>#N/A</v>
      </c>
      <c r="H334" s="2" t="e">
        <f ca="1">IF(INDIRECT(ADDRESS($A334,2,3,1,Menus!$K$10))=H$1,$D334,#N/A)</f>
        <v>#N/A</v>
      </c>
      <c r="I334" s="2" t="e">
        <f ca="1">IF(INDIRECT(ADDRESS($A334,2,3,1,Menus!$K$10))=I$1,$D334,#N/A)</f>
        <v>#N/A</v>
      </c>
      <c r="J334" s="2" t="e">
        <f ca="1">IF(INDIRECT(ADDRESS($A334,1,3,1,Menus!$K$10))=T(J$1),$D334,#N/A)</f>
        <v>#N/A</v>
      </c>
      <c r="K334" s="10">
        <f t="shared" ca="1" si="11"/>
        <v>0</v>
      </c>
      <c r="L334" s="2"/>
      <c r="M334" s="85">
        <f ca="1">OFFSET(INDIRECT(ADDRESS($A334,3,3,1,"Gross")),0,Menus!$J$4)</f>
        <v>0</v>
      </c>
      <c r="N334" s="85">
        <f ca="1">OFFSET(INDIRECT(ADDRESS($A334,3,3,1,"Gross")),0,Menus!$J$3)</f>
        <v>0</v>
      </c>
    </row>
    <row r="335" spans="1:14" x14ac:dyDescent="0.25">
      <c r="A335">
        <v>372</v>
      </c>
      <c r="B335" s="2">
        <f ca="1">OFFSET(INDIRECT(ADDRESS($A335,3,3,1,Menus!$K$10)),0,Menus!$J$4)</f>
        <v>0</v>
      </c>
      <c r="C335" s="2">
        <f ca="1">OFFSET(INDIRECT(ADDRESS($A335,3,3,1,Menus!$K$10)),0,Menus!$J$3)</f>
        <v>0</v>
      </c>
      <c r="D335" s="73" t="e">
        <f ca="1">IF(Menus!$J$9,C335/B335,C335)</f>
        <v>#DIV/0!</v>
      </c>
      <c r="E335" s="74" t="e">
        <f t="shared" ca="1" si="12"/>
        <v>#N/A</v>
      </c>
      <c r="F335" s="75">
        <f ca="1">INDIRECT(ADDRESS($A335,1,3,1,Menus!$K$10))</f>
        <v>0</v>
      </c>
      <c r="G335" s="2" t="e">
        <f ca="1">IF(INDIRECT(ADDRESS($A335,2,3,1,Menus!$K$10))=G$1,$D335,#N/A)</f>
        <v>#N/A</v>
      </c>
      <c r="H335" s="2" t="e">
        <f ca="1">IF(INDIRECT(ADDRESS($A335,2,3,1,Menus!$K$10))=H$1,$D335,#N/A)</f>
        <v>#N/A</v>
      </c>
      <c r="I335" s="2" t="e">
        <f ca="1">IF(INDIRECT(ADDRESS($A335,2,3,1,Menus!$K$10))=I$1,$D335,#N/A)</f>
        <v>#N/A</v>
      </c>
      <c r="J335" s="2" t="e">
        <f ca="1">IF(INDIRECT(ADDRESS($A335,1,3,1,Menus!$K$10))=T(J$1),$D335,#N/A)</f>
        <v>#N/A</v>
      </c>
      <c r="K335" s="10">
        <f t="shared" ca="1" si="11"/>
        <v>0</v>
      </c>
      <c r="L335" s="2"/>
      <c r="M335" s="85">
        <f ca="1">OFFSET(INDIRECT(ADDRESS($A335,3,3,1,"Gross")),0,Menus!$J$4)</f>
        <v>0</v>
      </c>
      <c r="N335" s="85">
        <f ca="1">OFFSET(INDIRECT(ADDRESS($A335,3,3,1,"Gross")),0,Menus!$J$3)</f>
        <v>0</v>
      </c>
    </row>
    <row r="336" spans="1:14" x14ac:dyDescent="0.25">
      <c r="A336">
        <v>373</v>
      </c>
      <c r="B336" s="2">
        <f ca="1">OFFSET(INDIRECT(ADDRESS($A336,3,3,1,Menus!$K$10)),0,Menus!$J$4)</f>
        <v>0</v>
      </c>
      <c r="C336" s="2">
        <f ca="1">OFFSET(INDIRECT(ADDRESS($A336,3,3,1,Menus!$K$10)),0,Menus!$J$3)</f>
        <v>0</v>
      </c>
      <c r="D336" s="73" t="e">
        <f ca="1">IF(Menus!$J$9,C336/B336,C336)</f>
        <v>#DIV/0!</v>
      </c>
      <c r="E336" s="74" t="e">
        <f t="shared" ca="1" si="12"/>
        <v>#N/A</v>
      </c>
      <c r="F336" s="75">
        <f ca="1">INDIRECT(ADDRESS($A336,1,3,1,Menus!$K$10))</f>
        <v>0</v>
      </c>
      <c r="G336" s="2" t="e">
        <f ca="1">IF(INDIRECT(ADDRESS($A336,2,3,1,Menus!$K$10))=G$1,$D336,#N/A)</f>
        <v>#N/A</v>
      </c>
      <c r="H336" s="2" t="e">
        <f ca="1">IF(INDIRECT(ADDRESS($A336,2,3,1,Menus!$K$10))=H$1,$D336,#N/A)</f>
        <v>#N/A</v>
      </c>
      <c r="I336" s="2" t="e">
        <f ca="1">IF(INDIRECT(ADDRESS($A336,2,3,1,Menus!$K$10))=I$1,$D336,#N/A)</f>
        <v>#N/A</v>
      </c>
      <c r="J336" s="2" t="e">
        <f ca="1">IF(INDIRECT(ADDRESS($A336,1,3,1,Menus!$K$10))=T(J$1),$D336,#N/A)</f>
        <v>#N/A</v>
      </c>
      <c r="K336" s="10">
        <f t="shared" ca="1" si="11"/>
        <v>0</v>
      </c>
      <c r="L336" s="2"/>
      <c r="M336" s="85">
        <f ca="1">OFFSET(INDIRECT(ADDRESS($A336,3,3,1,"Gross")),0,Menus!$J$4)</f>
        <v>0</v>
      </c>
      <c r="N336" s="85">
        <f ca="1">OFFSET(INDIRECT(ADDRESS($A336,3,3,1,"Gross")),0,Menus!$J$3)</f>
        <v>0</v>
      </c>
    </row>
    <row r="337" spans="1:14" x14ac:dyDescent="0.25">
      <c r="A337">
        <v>374</v>
      </c>
      <c r="B337" s="2">
        <f ca="1">OFFSET(INDIRECT(ADDRESS($A337,3,3,1,Menus!$K$10)),0,Menus!$J$4)</f>
        <v>0</v>
      </c>
      <c r="C337" s="2">
        <f ca="1">OFFSET(INDIRECT(ADDRESS($A337,3,3,1,Menus!$K$10)),0,Menus!$J$3)</f>
        <v>0</v>
      </c>
      <c r="D337" s="73" t="e">
        <f ca="1">IF(Menus!$J$9,C337/B337,C337)</f>
        <v>#DIV/0!</v>
      </c>
      <c r="E337" s="74" t="e">
        <f t="shared" ca="1" si="12"/>
        <v>#N/A</v>
      </c>
      <c r="F337" s="75">
        <f ca="1">INDIRECT(ADDRESS($A337,1,3,1,Menus!$K$10))</f>
        <v>0</v>
      </c>
      <c r="G337" s="2" t="e">
        <f ca="1">IF(INDIRECT(ADDRESS($A337,2,3,1,Menus!$K$10))=G$1,$D337,#N/A)</f>
        <v>#N/A</v>
      </c>
      <c r="H337" s="2" t="e">
        <f ca="1">IF(INDIRECT(ADDRESS($A337,2,3,1,Menus!$K$10))=H$1,$D337,#N/A)</f>
        <v>#N/A</v>
      </c>
      <c r="I337" s="2" t="e">
        <f ca="1">IF(INDIRECT(ADDRESS($A337,2,3,1,Menus!$K$10))=I$1,$D337,#N/A)</f>
        <v>#N/A</v>
      </c>
      <c r="J337" s="2" t="e">
        <f ca="1">IF(INDIRECT(ADDRESS($A337,1,3,1,Menus!$K$10))=T(J$1),$D337,#N/A)</f>
        <v>#N/A</v>
      </c>
      <c r="K337" s="10">
        <f t="shared" ca="1" si="11"/>
        <v>0</v>
      </c>
      <c r="L337" s="2"/>
      <c r="M337" s="85">
        <f ca="1">OFFSET(INDIRECT(ADDRESS($A337,3,3,1,"Gross")),0,Menus!$J$4)</f>
        <v>0</v>
      </c>
      <c r="N337" s="85">
        <f ca="1">OFFSET(INDIRECT(ADDRESS($A337,3,3,1,"Gross")),0,Menus!$J$3)</f>
        <v>0</v>
      </c>
    </row>
    <row r="338" spans="1:14" x14ac:dyDescent="0.25">
      <c r="A338">
        <v>375</v>
      </c>
      <c r="B338" s="2">
        <f ca="1">OFFSET(INDIRECT(ADDRESS($A338,3,3,1,Menus!$K$10)),0,Menus!$J$4)</f>
        <v>0</v>
      </c>
      <c r="C338" s="2">
        <f ca="1">OFFSET(INDIRECT(ADDRESS($A338,3,3,1,Menus!$K$10)),0,Menus!$J$3)</f>
        <v>0</v>
      </c>
      <c r="D338" s="73" t="e">
        <f ca="1">IF(Menus!$J$9,C338/B338,C338)</f>
        <v>#DIV/0!</v>
      </c>
      <c r="E338" s="74" t="e">
        <f t="shared" ca="1" si="12"/>
        <v>#N/A</v>
      </c>
      <c r="F338" s="75">
        <f ca="1">INDIRECT(ADDRESS($A338,1,3,1,Menus!$K$10))</f>
        <v>0</v>
      </c>
      <c r="G338" s="2" t="e">
        <f ca="1">IF(INDIRECT(ADDRESS($A338,2,3,1,Menus!$K$10))=G$1,$D338,#N/A)</f>
        <v>#N/A</v>
      </c>
      <c r="H338" s="2" t="e">
        <f ca="1">IF(INDIRECT(ADDRESS($A338,2,3,1,Menus!$K$10))=H$1,$D338,#N/A)</f>
        <v>#N/A</v>
      </c>
      <c r="I338" s="2" t="e">
        <f ca="1">IF(INDIRECT(ADDRESS($A338,2,3,1,Menus!$K$10))=I$1,$D338,#N/A)</f>
        <v>#N/A</v>
      </c>
      <c r="J338" s="2" t="e">
        <f ca="1">IF(INDIRECT(ADDRESS($A338,1,3,1,Menus!$K$10))=T(J$1),$D338,#N/A)</f>
        <v>#N/A</v>
      </c>
      <c r="K338" s="10">
        <f t="shared" ca="1" si="11"/>
        <v>0</v>
      </c>
      <c r="L338" s="2"/>
      <c r="M338" s="85">
        <f ca="1">OFFSET(INDIRECT(ADDRESS($A338,3,3,1,"Gross")),0,Menus!$J$4)</f>
        <v>0</v>
      </c>
      <c r="N338" s="85">
        <f ca="1">OFFSET(INDIRECT(ADDRESS($A338,3,3,1,"Gross")),0,Menus!$J$3)</f>
        <v>0</v>
      </c>
    </row>
    <row r="339" spans="1:14" x14ac:dyDescent="0.25">
      <c r="A339">
        <v>376</v>
      </c>
      <c r="B339" s="2">
        <f ca="1">OFFSET(INDIRECT(ADDRESS($A339,3,3,1,Menus!$K$10)),0,Menus!$J$4)</f>
        <v>0</v>
      </c>
      <c r="C339" s="2">
        <f ca="1">OFFSET(INDIRECT(ADDRESS($A339,3,3,1,Menus!$K$10)),0,Menus!$J$3)</f>
        <v>0</v>
      </c>
      <c r="D339" s="73" t="e">
        <f ca="1">IF(Menus!$J$9,C339/B339,C339)</f>
        <v>#DIV/0!</v>
      </c>
      <c r="E339" s="74" t="e">
        <f t="shared" ca="1" si="12"/>
        <v>#N/A</v>
      </c>
      <c r="F339" s="75">
        <f ca="1">INDIRECT(ADDRESS($A339,1,3,1,Menus!$K$10))</f>
        <v>0</v>
      </c>
      <c r="G339" s="2" t="e">
        <f ca="1">IF(INDIRECT(ADDRESS($A339,2,3,1,Menus!$K$10))=G$1,$D339,#N/A)</f>
        <v>#N/A</v>
      </c>
      <c r="H339" s="2" t="e">
        <f ca="1">IF(INDIRECT(ADDRESS($A339,2,3,1,Menus!$K$10))=H$1,$D339,#N/A)</f>
        <v>#N/A</v>
      </c>
      <c r="I339" s="2" t="e">
        <f ca="1">IF(INDIRECT(ADDRESS($A339,2,3,1,Menus!$K$10))=I$1,$D339,#N/A)</f>
        <v>#N/A</v>
      </c>
      <c r="J339" s="2" t="e">
        <f ca="1">IF(INDIRECT(ADDRESS($A339,1,3,1,Menus!$K$10))=T(J$1),$D339,#N/A)</f>
        <v>#N/A</v>
      </c>
      <c r="K339" s="10">
        <f t="shared" ca="1" si="11"/>
        <v>0</v>
      </c>
      <c r="L339" s="2"/>
      <c r="M339" s="85">
        <f ca="1">OFFSET(INDIRECT(ADDRESS($A339,3,3,1,"Gross")),0,Menus!$J$4)</f>
        <v>0</v>
      </c>
      <c r="N339" s="85">
        <f ca="1">OFFSET(INDIRECT(ADDRESS($A339,3,3,1,"Gross")),0,Menus!$J$3)</f>
        <v>0</v>
      </c>
    </row>
    <row r="340" spans="1:14" x14ac:dyDescent="0.25">
      <c r="A340">
        <v>377</v>
      </c>
      <c r="B340" s="2">
        <f ca="1">OFFSET(INDIRECT(ADDRESS($A340,3,3,1,Menus!$K$10)),0,Menus!$J$4)</f>
        <v>0</v>
      </c>
      <c r="C340" s="2">
        <f ca="1">OFFSET(INDIRECT(ADDRESS($A340,3,3,1,Menus!$K$10)),0,Menus!$J$3)</f>
        <v>0</v>
      </c>
      <c r="D340" s="73" t="e">
        <f ca="1">IF(Menus!$J$9,C340/B340,C340)</f>
        <v>#DIV/0!</v>
      </c>
      <c r="E340" s="74" t="e">
        <f t="shared" ca="1" si="12"/>
        <v>#N/A</v>
      </c>
      <c r="F340" s="75">
        <f ca="1">INDIRECT(ADDRESS($A340,1,3,1,Menus!$K$10))</f>
        <v>0</v>
      </c>
      <c r="G340" s="2" t="e">
        <f ca="1">IF(INDIRECT(ADDRESS($A340,2,3,1,Menus!$K$10))=G$1,$D340,#N/A)</f>
        <v>#N/A</v>
      </c>
      <c r="H340" s="2" t="e">
        <f ca="1">IF(INDIRECT(ADDRESS($A340,2,3,1,Menus!$K$10))=H$1,$D340,#N/A)</f>
        <v>#N/A</v>
      </c>
      <c r="I340" s="2" t="e">
        <f ca="1">IF(INDIRECT(ADDRESS($A340,2,3,1,Menus!$K$10))=I$1,$D340,#N/A)</f>
        <v>#N/A</v>
      </c>
      <c r="J340" s="2" t="e">
        <f ca="1">IF(INDIRECT(ADDRESS($A340,1,3,1,Menus!$K$10))=T(J$1),$D340,#N/A)</f>
        <v>#N/A</v>
      </c>
      <c r="K340" s="10">
        <f t="shared" ca="1" si="11"/>
        <v>0</v>
      </c>
      <c r="L340" s="2"/>
      <c r="M340" s="85">
        <f ca="1">OFFSET(INDIRECT(ADDRESS($A340,3,3,1,"Gross")),0,Menus!$J$4)</f>
        <v>0</v>
      </c>
      <c r="N340" s="85">
        <f ca="1">OFFSET(INDIRECT(ADDRESS($A340,3,3,1,"Gross")),0,Menus!$J$3)</f>
        <v>0</v>
      </c>
    </row>
    <row r="341" spans="1:14" x14ac:dyDescent="0.25">
      <c r="A341">
        <v>378</v>
      </c>
      <c r="B341" s="2">
        <f ca="1">OFFSET(INDIRECT(ADDRESS($A341,3,3,1,Menus!$K$10)),0,Menus!$J$4)</f>
        <v>0</v>
      </c>
      <c r="C341" s="2">
        <f ca="1">OFFSET(INDIRECT(ADDRESS($A341,3,3,1,Menus!$K$10)),0,Menus!$J$3)</f>
        <v>0</v>
      </c>
      <c r="D341" s="73" t="e">
        <f ca="1">IF(Menus!$J$9,C341/B341,C341)</f>
        <v>#DIV/0!</v>
      </c>
      <c r="E341" s="74" t="e">
        <f t="shared" ca="1" si="12"/>
        <v>#N/A</v>
      </c>
      <c r="F341" s="75">
        <f ca="1">INDIRECT(ADDRESS($A341,1,3,1,Menus!$K$10))</f>
        <v>0</v>
      </c>
      <c r="G341" s="2" t="e">
        <f ca="1">IF(INDIRECT(ADDRESS($A341,2,3,1,Menus!$K$10))=G$1,$D341,#N/A)</f>
        <v>#N/A</v>
      </c>
      <c r="H341" s="2" t="e">
        <f ca="1">IF(INDIRECT(ADDRESS($A341,2,3,1,Menus!$K$10))=H$1,$D341,#N/A)</f>
        <v>#N/A</v>
      </c>
      <c r="I341" s="2" t="e">
        <f ca="1">IF(INDIRECT(ADDRESS($A341,2,3,1,Menus!$K$10))=I$1,$D341,#N/A)</f>
        <v>#N/A</v>
      </c>
      <c r="J341" s="2" t="e">
        <f ca="1">IF(INDIRECT(ADDRESS($A341,1,3,1,Menus!$K$10))=T(J$1),$D341,#N/A)</f>
        <v>#N/A</v>
      </c>
      <c r="K341" s="10">
        <f t="shared" ca="1" si="11"/>
        <v>0</v>
      </c>
      <c r="L341" s="2"/>
      <c r="M341" s="85">
        <f ca="1">OFFSET(INDIRECT(ADDRESS($A341,3,3,1,"Gross")),0,Menus!$J$4)</f>
        <v>0</v>
      </c>
      <c r="N341" s="85">
        <f ca="1">OFFSET(INDIRECT(ADDRESS($A341,3,3,1,"Gross")),0,Menus!$J$3)</f>
        <v>0</v>
      </c>
    </row>
    <row r="342" spans="1:14" x14ac:dyDescent="0.25">
      <c r="A342">
        <v>379</v>
      </c>
      <c r="B342" s="2">
        <f ca="1">OFFSET(INDIRECT(ADDRESS($A342,3,3,1,Menus!$K$10)),0,Menus!$J$4)</f>
        <v>0</v>
      </c>
      <c r="C342" s="2">
        <f ca="1">OFFSET(INDIRECT(ADDRESS($A342,3,3,1,Menus!$K$10)),0,Menus!$J$3)</f>
        <v>0</v>
      </c>
      <c r="D342" s="73" t="e">
        <f ca="1">IF(Menus!$J$9,C342/B342,C342)</f>
        <v>#DIV/0!</v>
      </c>
      <c r="E342" s="74" t="e">
        <f t="shared" ca="1" si="12"/>
        <v>#N/A</v>
      </c>
      <c r="F342" s="75">
        <f ca="1">INDIRECT(ADDRESS($A342,1,3,1,Menus!$K$10))</f>
        <v>0</v>
      </c>
      <c r="G342" s="2" t="e">
        <f ca="1">IF(INDIRECT(ADDRESS($A342,2,3,1,Menus!$K$10))=G$1,$D342,#N/A)</f>
        <v>#N/A</v>
      </c>
      <c r="H342" s="2" t="e">
        <f ca="1">IF(INDIRECT(ADDRESS($A342,2,3,1,Menus!$K$10))=H$1,$D342,#N/A)</f>
        <v>#N/A</v>
      </c>
      <c r="I342" s="2" t="e">
        <f ca="1">IF(INDIRECT(ADDRESS($A342,2,3,1,Menus!$K$10))=I$1,$D342,#N/A)</f>
        <v>#N/A</v>
      </c>
      <c r="J342" s="2" t="e">
        <f ca="1">IF(INDIRECT(ADDRESS($A342,1,3,1,Menus!$K$10))=T(J$1),$D342,#N/A)</f>
        <v>#N/A</v>
      </c>
      <c r="K342" s="10">
        <f t="shared" ca="1" si="11"/>
        <v>0</v>
      </c>
      <c r="L342" s="2"/>
      <c r="M342" s="85">
        <f ca="1">OFFSET(INDIRECT(ADDRESS($A342,3,3,1,"Gross")),0,Menus!$J$4)</f>
        <v>0</v>
      </c>
      <c r="N342" s="85">
        <f ca="1">OFFSET(INDIRECT(ADDRESS($A342,3,3,1,"Gross")),0,Menus!$J$3)</f>
        <v>0</v>
      </c>
    </row>
    <row r="343" spans="1:14" x14ac:dyDescent="0.25">
      <c r="A343">
        <v>380</v>
      </c>
      <c r="B343" s="2">
        <f ca="1">OFFSET(INDIRECT(ADDRESS($A343,3,3,1,Menus!$K$10)),0,Menus!$J$4)</f>
        <v>0</v>
      </c>
      <c r="C343" s="2">
        <f ca="1">OFFSET(INDIRECT(ADDRESS($A343,3,3,1,Menus!$K$10)),0,Menus!$J$3)</f>
        <v>0</v>
      </c>
      <c r="D343" s="73" t="e">
        <f ca="1">IF(Menus!$J$9,C343/B343,C343)</f>
        <v>#DIV/0!</v>
      </c>
      <c r="E343" s="74" t="e">
        <f t="shared" ca="1" si="12"/>
        <v>#N/A</v>
      </c>
      <c r="F343" s="75">
        <f ca="1">INDIRECT(ADDRESS($A343,1,3,1,Menus!$K$10))</f>
        <v>0</v>
      </c>
      <c r="G343" s="2" t="e">
        <f ca="1">IF(INDIRECT(ADDRESS($A343,2,3,1,Menus!$K$10))=G$1,$D343,#N/A)</f>
        <v>#N/A</v>
      </c>
      <c r="H343" s="2" t="e">
        <f ca="1">IF(INDIRECT(ADDRESS($A343,2,3,1,Menus!$K$10))=H$1,$D343,#N/A)</f>
        <v>#N/A</v>
      </c>
      <c r="I343" s="2" t="e">
        <f ca="1">IF(INDIRECT(ADDRESS($A343,2,3,1,Menus!$K$10))=I$1,$D343,#N/A)</f>
        <v>#N/A</v>
      </c>
      <c r="J343" s="2" t="e">
        <f ca="1">IF(INDIRECT(ADDRESS($A343,1,3,1,Menus!$K$10))=T(J$1),$D343,#N/A)</f>
        <v>#N/A</v>
      </c>
      <c r="K343" s="10">
        <f t="shared" ca="1" si="11"/>
        <v>0</v>
      </c>
      <c r="L343" s="2"/>
      <c r="M343" s="85">
        <f ca="1">OFFSET(INDIRECT(ADDRESS($A343,3,3,1,"Gross")),0,Menus!$J$4)</f>
        <v>0</v>
      </c>
      <c r="N343" s="85">
        <f ca="1">OFFSET(INDIRECT(ADDRESS($A343,3,3,1,"Gross")),0,Menus!$J$3)</f>
        <v>0</v>
      </c>
    </row>
    <row r="344" spans="1:14" x14ac:dyDescent="0.25">
      <c r="A344">
        <v>381</v>
      </c>
      <c r="B344" s="2">
        <f ca="1">OFFSET(INDIRECT(ADDRESS($A344,3,3,1,Menus!$K$10)),0,Menus!$J$4)</f>
        <v>0</v>
      </c>
      <c r="C344" s="2">
        <f ca="1">OFFSET(INDIRECT(ADDRESS($A344,3,3,1,Menus!$K$10)),0,Menus!$J$3)</f>
        <v>0</v>
      </c>
      <c r="D344" s="73" t="e">
        <f ca="1">IF(Menus!$J$9,C344/B344,C344)</f>
        <v>#DIV/0!</v>
      </c>
      <c r="E344" s="74" t="e">
        <f t="shared" ca="1" si="12"/>
        <v>#N/A</v>
      </c>
      <c r="F344" s="75">
        <f ca="1">INDIRECT(ADDRESS($A344,1,3,1,Menus!$K$10))</f>
        <v>0</v>
      </c>
      <c r="G344" s="2" t="e">
        <f ca="1">IF(INDIRECT(ADDRESS($A344,2,3,1,Menus!$K$10))=G$1,$D344,#N/A)</f>
        <v>#N/A</v>
      </c>
      <c r="H344" s="2" t="e">
        <f ca="1">IF(INDIRECT(ADDRESS($A344,2,3,1,Menus!$K$10))=H$1,$D344,#N/A)</f>
        <v>#N/A</v>
      </c>
      <c r="I344" s="2" t="e">
        <f ca="1">IF(INDIRECT(ADDRESS($A344,2,3,1,Menus!$K$10))=I$1,$D344,#N/A)</f>
        <v>#N/A</v>
      </c>
      <c r="J344" s="2" t="e">
        <f ca="1">IF(INDIRECT(ADDRESS($A344,1,3,1,Menus!$K$10))=T(J$1),$D344,#N/A)</f>
        <v>#N/A</v>
      </c>
      <c r="K344" s="10">
        <f t="shared" ca="1" si="11"/>
        <v>0</v>
      </c>
      <c r="L344" s="2"/>
      <c r="M344" s="85">
        <f ca="1">OFFSET(INDIRECT(ADDRESS($A344,3,3,1,"Gross")),0,Menus!$J$4)</f>
        <v>0</v>
      </c>
      <c r="N344" s="85">
        <f ca="1">OFFSET(INDIRECT(ADDRESS($A344,3,3,1,"Gross")),0,Menus!$J$3)</f>
        <v>0</v>
      </c>
    </row>
    <row r="345" spans="1:14" x14ac:dyDescent="0.25">
      <c r="A345">
        <v>382</v>
      </c>
      <c r="B345" s="2">
        <f ca="1">OFFSET(INDIRECT(ADDRESS($A345,3,3,1,Menus!$K$10)),0,Menus!$J$4)</f>
        <v>0</v>
      </c>
      <c r="C345" s="2">
        <f ca="1">OFFSET(INDIRECT(ADDRESS($A345,3,3,1,Menus!$K$10)),0,Menus!$J$3)</f>
        <v>0</v>
      </c>
      <c r="D345" s="73" t="e">
        <f ca="1">IF(Menus!$J$9,C345/B345,C345)</f>
        <v>#DIV/0!</v>
      </c>
      <c r="E345" s="74" t="e">
        <f t="shared" ca="1" si="12"/>
        <v>#N/A</v>
      </c>
      <c r="F345" s="75">
        <f ca="1">INDIRECT(ADDRESS($A345,1,3,1,Menus!$K$10))</f>
        <v>0</v>
      </c>
      <c r="G345" s="2" t="e">
        <f ca="1">IF(INDIRECT(ADDRESS($A345,2,3,1,Menus!$K$10))=G$1,$D345,#N/A)</f>
        <v>#N/A</v>
      </c>
      <c r="H345" s="2" t="e">
        <f ca="1">IF(INDIRECT(ADDRESS($A345,2,3,1,Menus!$K$10))=H$1,$D345,#N/A)</f>
        <v>#N/A</v>
      </c>
      <c r="I345" s="2" t="e">
        <f ca="1">IF(INDIRECT(ADDRESS($A345,2,3,1,Menus!$K$10))=I$1,$D345,#N/A)</f>
        <v>#N/A</v>
      </c>
      <c r="J345" s="2" t="e">
        <f ca="1">IF(INDIRECT(ADDRESS($A345,1,3,1,Menus!$K$10))=T(J$1),$D345,#N/A)</f>
        <v>#N/A</v>
      </c>
      <c r="K345" s="10">
        <f t="shared" ca="1" si="11"/>
        <v>0</v>
      </c>
      <c r="L345" s="2"/>
      <c r="M345" s="85">
        <f ca="1">OFFSET(INDIRECT(ADDRESS($A345,3,3,1,"Gross")),0,Menus!$J$4)</f>
        <v>0</v>
      </c>
      <c r="N345" s="85">
        <f ca="1">OFFSET(INDIRECT(ADDRESS($A345,3,3,1,"Gross")),0,Menus!$J$3)</f>
        <v>0</v>
      </c>
    </row>
    <row r="346" spans="1:14" x14ac:dyDescent="0.25">
      <c r="A346">
        <v>383</v>
      </c>
      <c r="B346" s="2">
        <f ca="1">OFFSET(INDIRECT(ADDRESS($A346,3,3,1,Menus!$K$10)),0,Menus!$J$4)</f>
        <v>0</v>
      </c>
      <c r="C346" s="2">
        <f ca="1">OFFSET(INDIRECT(ADDRESS($A346,3,3,1,Menus!$K$10)),0,Menus!$J$3)</f>
        <v>0</v>
      </c>
      <c r="D346" s="73" t="e">
        <f ca="1">IF(Menus!$J$9,C346/B346,C346)</f>
        <v>#DIV/0!</v>
      </c>
      <c r="E346" s="74" t="e">
        <f t="shared" ca="1" si="12"/>
        <v>#N/A</v>
      </c>
      <c r="F346" s="75">
        <f ca="1">INDIRECT(ADDRESS($A346,1,3,1,Menus!$K$10))</f>
        <v>0</v>
      </c>
      <c r="G346" s="2" t="e">
        <f ca="1">IF(INDIRECT(ADDRESS($A346,2,3,1,Menus!$K$10))=G$1,$D346,#N/A)</f>
        <v>#N/A</v>
      </c>
      <c r="H346" s="2" t="e">
        <f ca="1">IF(INDIRECT(ADDRESS($A346,2,3,1,Menus!$K$10))=H$1,$D346,#N/A)</f>
        <v>#N/A</v>
      </c>
      <c r="I346" s="2" t="e">
        <f ca="1">IF(INDIRECT(ADDRESS($A346,2,3,1,Menus!$K$10))=I$1,$D346,#N/A)</f>
        <v>#N/A</v>
      </c>
      <c r="J346" s="2" t="e">
        <f ca="1">IF(INDIRECT(ADDRESS($A346,1,3,1,Menus!$K$10))=T(J$1),$D346,#N/A)</f>
        <v>#N/A</v>
      </c>
      <c r="K346" s="10">
        <f t="shared" ca="1" si="11"/>
        <v>0</v>
      </c>
      <c r="L346" s="2"/>
      <c r="M346" s="85">
        <f ca="1">OFFSET(INDIRECT(ADDRESS($A346,3,3,1,"Gross")),0,Menus!$J$4)</f>
        <v>0</v>
      </c>
      <c r="N346" s="85">
        <f ca="1">OFFSET(INDIRECT(ADDRESS($A346,3,3,1,"Gross")),0,Menus!$J$3)</f>
        <v>0</v>
      </c>
    </row>
    <row r="347" spans="1:14" x14ac:dyDescent="0.25">
      <c r="A347">
        <v>384</v>
      </c>
      <c r="B347" s="2">
        <f ca="1">OFFSET(INDIRECT(ADDRESS($A347,3,3,1,Menus!$K$10)),0,Menus!$J$4)</f>
        <v>0</v>
      </c>
      <c r="C347" s="2">
        <f ca="1">OFFSET(INDIRECT(ADDRESS($A347,3,3,1,Menus!$K$10)),0,Menus!$J$3)</f>
        <v>0</v>
      </c>
      <c r="D347" s="73" t="e">
        <f ca="1">IF(Menus!$J$9,C347/B347,C347)</f>
        <v>#DIV/0!</v>
      </c>
      <c r="E347" s="74" t="e">
        <f t="shared" ca="1" si="12"/>
        <v>#N/A</v>
      </c>
      <c r="F347" s="75">
        <f ca="1">INDIRECT(ADDRESS($A347,1,3,1,Menus!$K$10))</f>
        <v>0</v>
      </c>
      <c r="G347" s="2" t="e">
        <f ca="1">IF(INDIRECT(ADDRESS($A347,2,3,1,Menus!$K$10))=G$1,$D347,#N/A)</f>
        <v>#N/A</v>
      </c>
      <c r="H347" s="2" t="e">
        <f ca="1">IF(INDIRECT(ADDRESS($A347,2,3,1,Menus!$K$10))=H$1,$D347,#N/A)</f>
        <v>#N/A</v>
      </c>
      <c r="I347" s="2" t="e">
        <f ca="1">IF(INDIRECT(ADDRESS($A347,2,3,1,Menus!$K$10))=I$1,$D347,#N/A)</f>
        <v>#N/A</v>
      </c>
      <c r="J347" s="2" t="e">
        <f ca="1">IF(INDIRECT(ADDRESS($A347,1,3,1,Menus!$K$10))=T(J$1),$D347,#N/A)</f>
        <v>#N/A</v>
      </c>
      <c r="K347" s="10">
        <f t="shared" ca="1" si="11"/>
        <v>0</v>
      </c>
      <c r="L347" s="2"/>
      <c r="M347" s="85">
        <f ca="1">OFFSET(INDIRECT(ADDRESS($A347,3,3,1,"Gross")),0,Menus!$J$4)</f>
        <v>0</v>
      </c>
      <c r="N347" s="85">
        <f ca="1">OFFSET(INDIRECT(ADDRESS($A347,3,3,1,"Gross")),0,Menus!$J$3)</f>
        <v>0</v>
      </c>
    </row>
    <row r="348" spans="1:14" x14ac:dyDescent="0.25">
      <c r="A348">
        <v>385</v>
      </c>
      <c r="B348" s="2">
        <f ca="1">OFFSET(INDIRECT(ADDRESS($A348,3,3,1,Menus!$K$10)),0,Menus!$J$4)</f>
        <v>0</v>
      </c>
      <c r="C348" s="2">
        <f ca="1">OFFSET(INDIRECT(ADDRESS($A348,3,3,1,Menus!$K$10)),0,Menus!$J$3)</f>
        <v>0</v>
      </c>
      <c r="D348" s="73" t="e">
        <f ca="1">IF(Menus!$J$9,C348/B348,C348)</f>
        <v>#DIV/0!</v>
      </c>
      <c r="E348" s="74" t="e">
        <f t="shared" ca="1" si="12"/>
        <v>#N/A</v>
      </c>
      <c r="F348" s="75">
        <f ca="1">INDIRECT(ADDRESS($A348,1,3,1,Menus!$K$10))</f>
        <v>0</v>
      </c>
      <c r="G348" s="2" t="e">
        <f ca="1">IF(INDIRECT(ADDRESS($A348,2,3,1,Menus!$K$10))=G$1,$D348,#N/A)</f>
        <v>#N/A</v>
      </c>
      <c r="H348" s="2" t="e">
        <f ca="1">IF(INDIRECT(ADDRESS($A348,2,3,1,Menus!$K$10))=H$1,$D348,#N/A)</f>
        <v>#N/A</v>
      </c>
      <c r="I348" s="2" t="e">
        <f ca="1">IF(INDIRECT(ADDRESS($A348,2,3,1,Menus!$K$10))=I$1,$D348,#N/A)</f>
        <v>#N/A</v>
      </c>
      <c r="J348" s="2" t="e">
        <f ca="1">IF(INDIRECT(ADDRESS($A348,1,3,1,Menus!$K$10))=T(J$1),$D348,#N/A)</f>
        <v>#N/A</v>
      </c>
      <c r="K348" s="10">
        <f t="shared" ca="1" si="11"/>
        <v>0</v>
      </c>
      <c r="L348" s="2"/>
      <c r="M348" s="85">
        <f ca="1">OFFSET(INDIRECT(ADDRESS($A348,3,3,1,"Gross")),0,Menus!$J$4)</f>
        <v>0</v>
      </c>
      <c r="N348" s="85">
        <f ca="1">OFFSET(INDIRECT(ADDRESS($A348,3,3,1,"Gross")),0,Menus!$J$3)</f>
        <v>0</v>
      </c>
    </row>
    <row r="349" spans="1:14" x14ac:dyDescent="0.25">
      <c r="A349">
        <v>386</v>
      </c>
      <c r="B349" s="2">
        <f ca="1">OFFSET(INDIRECT(ADDRESS($A349,3,3,1,Menus!$K$10)),0,Menus!$J$4)</f>
        <v>0</v>
      </c>
      <c r="C349" s="2">
        <f ca="1">OFFSET(INDIRECT(ADDRESS($A349,3,3,1,Menus!$K$10)),0,Menus!$J$3)</f>
        <v>0</v>
      </c>
      <c r="D349" s="73" t="e">
        <f ca="1">IF(Menus!$J$9,C349/B349,C349)</f>
        <v>#DIV/0!</v>
      </c>
      <c r="E349" s="74" t="e">
        <f t="shared" ca="1" si="12"/>
        <v>#N/A</v>
      </c>
      <c r="F349" s="75">
        <f ca="1">INDIRECT(ADDRESS($A349,1,3,1,Menus!$K$10))</f>
        <v>0</v>
      </c>
      <c r="G349" s="2" t="e">
        <f ca="1">IF(INDIRECT(ADDRESS($A349,2,3,1,Menus!$K$10))=G$1,$D349,#N/A)</f>
        <v>#N/A</v>
      </c>
      <c r="H349" s="2" t="e">
        <f ca="1">IF(INDIRECT(ADDRESS($A349,2,3,1,Menus!$K$10))=H$1,$D349,#N/A)</f>
        <v>#N/A</v>
      </c>
      <c r="I349" s="2" t="e">
        <f ca="1">IF(INDIRECT(ADDRESS($A349,2,3,1,Menus!$K$10))=I$1,$D349,#N/A)</f>
        <v>#N/A</v>
      </c>
      <c r="J349" s="2" t="e">
        <f ca="1">IF(INDIRECT(ADDRESS($A349,1,3,1,Menus!$K$10))=T(J$1),$D349,#N/A)</f>
        <v>#N/A</v>
      </c>
      <c r="K349" s="10">
        <f t="shared" ca="1" si="11"/>
        <v>0</v>
      </c>
      <c r="L349" s="2"/>
      <c r="M349" s="85">
        <f ca="1">OFFSET(INDIRECT(ADDRESS($A349,3,3,1,"Gross")),0,Menus!$J$4)</f>
        <v>0</v>
      </c>
      <c r="N349" s="85">
        <f ca="1">OFFSET(INDIRECT(ADDRESS($A349,3,3,1,"Gross")),0,Menus!$J$3)</f>
        <v>0</v>
      </c>
    </row>
    <row r="350" spans="1:14" x14ac:dyDescent="0.25">
      <c r="A350">
        <v>387</v>
      </c>
      <c r="B350" s="2">
        <f ca="1">OFFSET(INDIRECT(ADDRESS($A350,3,3,1,Menus!$K$10)),0,Menus!$J$4)</f>
        <v>0</v>
      </c>
      <c r="C350" s="2">
        <f ca="1">OFFSET(INDIRECT(ADDRESS($A350,3,3,1,Menus!$K$10)),0,Menus!$J$3)</f>
        <v>0</v>
      </c>
      <c r="D350" s="73" t="e">
        <f ca="1">IF(Menus!$J$9,C350/B350,C350)</f>
        <v>#DIV/0!</v>
      </c>
      <c r="E350" s="74" t="e">
        <f t="shared" ca="1" si="12"/>
        <v>#N/A</v>
      </c>
      <c r="F350" s="75">
        <f ca="1">INDIRECT(ADDRESS($A350,1,3,1,Menus!$K$10))</f>
        <v>0</v>
      </c>
      <c r="G350" s="2" t="e">
        <f ca="1">IF(INDIRECT(ADDRESS($A350,2,3,1,Menus!$K$10))=G$1,$D350,#N/A)</f>
        <v>#N/A</v>
      </c>
      <c r="H350" s="2" t="e">
        <f ca="1">IF(INDIRECT(ADDRESS($A350,2,3,1,Menus!$K$10))=H$1,$D350,#N/A)</f>
        <v>#N/A</v>
      </c>
      <c r="I350" s="2" t="e">
        <f ca="1">IF(INDIRECT(ADDRESS($A350,2,3,1,Menus!$K$10))=I$1,$D350,#N/A)</f>
        <v>#N/A</v>
      </c>
      <c r="J350" s="2" t="e">
        <f ca="1">IF(INDIRECT(ADDRESS($A350,1,3,1,Menus!$K$10))=T(J$1),$D350,#N/A)</f>
        <v>#N/A</v>
      </c>
      <c r="K350" s="10">
        <f t="shared" ca="1" si="11"/>
        <v>0</v>
      </c>
      <c r="L350" s="2"/>
      <c r="M350" s="85">
        <f ca="1">OFFSET(INDIRECT(ADDRESS($A350,3,3,1,"Gross")),0,Menus!$J$4)</f>
        <v>0</v>
      </c>
      <c r="N350" s="85">
        <f ca="1">OFFSET(INDIRECT(ADDRESS($A350,3,3,1,"Gross")),0,Menus!$J$3)</f>
        <v>0</v>
      </c>
    </row>
    <row r="351" spans="1:14" x14ac:dyDescent="0.25">
      <c r="A351">
        <v>388</v>
      </c>
      <c r="B351" s="2">
        <f ca="1">OFFSET(INDIRECT(ADDRESS($A351,3,3,1,Menus!$K$10)),0,Menus!$J$4)</f>
        <v>0</v>
      </c>
      <c r="C351" s="2">
        <f ca="1">OFFSET(INDIRECT(ADDRESS($A351,3,3,1,Menus!$K$10)),0,Menus!$J$3)</f>
        <v>0</v>
      </c>
      <c r="D351" s="73" t="e">
        <f ca="1">IF(Menus!$J$9,C351/B351,C351)</f>
        <v>#DIV/0!</v>
      </c>
      <c r="E351" s="74" t="e">
        <f t="shared" ca="1" si="12"/>
        <v>#N/A</v>
      </c>
      <c r="F351" s="75">
        <f ca="1">INDIRECT(ADDRESS($A351,1,3,1,Menus!$K$10))</f>
        <v>0</v>
      </c>
      <c r="G351" s="2" t="e">
        <f ca="1">IF(INDIRECT(ADDRESS($A351,2,3,1,Menus!$K$10))=G$1,$D351,#N/A)</f>
        <v>#N/A</v>
      </c>
      <c r="H351" s="2" t="e">
        <f ca="1">IF(INDIRECT(ADDRESS($A351,2,3,1,Menus!$K$10))=H$1,$D351,#N/A)</f>
        <v>#N/A</v>
      </c>
      <c r="I351" s="2" t="e">
        <f ca="1">IF(INDIRECT(ADDRESS($A351,2,3,1,Menus!$K$10))=I$1,$D351,#N/A)</f>
        <v>#N/A</v>
      </c>
      <c r="J351" s="2" t="e">
        <f ca="1">IF(INDIRECT(ADDRESS($A351,1,3,1,Menus!$K$10))=T(J$1),$D351,#N/A)</f>
        <v>#N/A</v>
      </c>
      <c r="K351" s="10">
        <f t="shared" ca="1" si="11"/>
        <v>0</v>
      </c>
      <c r="L351" s="2"/>
      <c r="M351" s="85">
        <f ca="1">OFFSET(INDIRECT(ADDRESS($A351,3,3,1,"Gross")),0,Menus!$J$4)</f>
        <v>0</v>
      </c>
      <c r="N351" s="85">
        <f ca="1">OFFSET(INDIRECT(ADDRESS($A351,3,3,1,"Gross")),0,Menus!$J$3)</f>
        <v>0</v>
      </c>
    </row>
    <row r="352" spans="1:14" x14ac:dyDescent="0.25">
      <c r="A352">
        <v>389</v>
      </c>
      <c r="B352" s="2">
        <f ca="1">OFFSET(INDIRECT(ADDRESS($A352,3,3,1,Menus!$K$10)),0,Menus!$J$4)</f>
        <v>0</v>
      </c>
      <c r="C352" s="2">
        <f ca="1">OFFSET(INDIRECT(ADDRESS($A352,3,3,1,Menus!$K$10)),0,Menus!$J$3)</f>
        <v>0</v>
      </c>
      <c r="D352" s="73" t="e">
        <f ca="1">IF(Menus!$J$9,C352/B352,C352)</f>
        <v>#DIV/0!</v>
      </c>
      <c r="E352" s="74" t="e">
        <f t="shared" ca="1" si="12"/>
        <v>#N/A</v>
      </c>
      <c r="F352" s="75">
        <f ca="1">INDIRECT(ADDRESS($A352,1,3,1,Menus!$K$10))</f>
        <v>0</v>
      </c>
      <c r="G352" s="2" t="e">
        <f ca="1">IF(INDIRECT(ADDRESS($A352,2,3,1,Menus!$K$10))=G$1,$D352,#N/A)</f>
        <v>#N/A</v>
      </c>
      <c r="H352" s="2" t="e">
        <f ca="1">IF(INDIRECT(ADDRESS($A352,2,3,1,Menus!$K$10))=H$1,$D352,#N/A)</f>
        <v>#N/A</v>
      </c>
      <c r="I352" s="2" t="e">
        <f ca="1">IF(INDIRECT(ADDRESS($A352,2,3,1,Menus!$K$10))=I$1,$D352,#N/A)</f>
        <v>#N/A</v>
      </c>
      <c r="J352" s="2" t="e">
        <f ca="1">IF(INDIRECT(ADDRESS($A352,1,3,1,Menus!$K$10))=T(J$1),$D352,#N/A)</f>
        <v>#N/A</v>
      </c>
      <c r="K352" s="10">
        <f t="shared" ca="1" si="11"/>
        <v>0</v>
      </c>
      <c r="L352" s="2"/>
      <c r="M352" s="85">
        <f ca="1">OFFSET(INDIRECT(ADDRESS($A352,3,3,1,"Gross")),0,Menus!$J$4)</f>
        <v>0</v>
      </c>
      <c r="N352" s="85">
        <f ca="1">OFFSET(INDIRECT(ADDRESS($A352,3,3,1,"Gross")),0,Menus!$J$3)</f>
        <v>0</v>
      </c>
    </row>
    <row r="353" spans="1:14" x14ac:dyDescent="0.25">
      <c r="A353">
        <v>390</v>
      </c>
      <c r="B353" s="2">
        <f ca="1">OFFSET(INDIRECT(ADDRESS($A353,3,3,1,Menus!$K$10)),0,Menus!$J$4)</f>
        <v>0</v>
      </c>
      <c r="C353" s="2">
        <f ca="1">OFFSET(INDIRECT(ADDRESS($A353,3,3,1,Menus!$K$10)),0,Menus!$J$3)</f>
        <v>0</v>
      </c>
      <c r="D353" s="73" t="e">
        <f ca="1">IF(Menus!$J$9,C353/B353,C353)</f>
        <v>#DIV/0!</v>
      </c>
      <c r="E353" s="74" t="e">
        <f t="shared" ca="1" si="12"/>
        <v>#N/A</v>
      </c>
      <c r="F353" s="75">
        <f ca="1">INDIRECT(ADDRESS($A353,1,3,1,Menus!$K$10))</f>
        <v>0</v>
      </c>
      <c r="G353" s="2" t="e">
        <f ca="1">IF(INDIRECT(ADDRESS($A353,2,3,1,Menus!$K$10))=G$1,$D353,#N/A)</f>
        <v>#N/A</v>
      </c>
      <c r="H353" s="2" t="e">
        <f ca="1">IF(INDIRECT(ADDRESS($A353,2,3,1,Menus!$K$10))=H$1,$D353,#N/A)</f>
        <v>#N/A</v>
      </c>
      <c r="I353" s="2" t="e">
        <f ca="1">IF(INDIRECT(ADDRESS($A353,2,3,1,Menus!$K$10))=I$1,$D353,#N/A)</f>
        <v>#N/A</v>
      </c>
      <c r="J353" s="2" t="e">
        <f ca="1">IF(INDIRECT(ADDRESS($A353,1,3,1,Menus!$K$10))=T(J$1),$D353,#N/A)</f>
        <v>#N/A</v>
      </c>
      <c r="K353" s="10">
        <f t="shared" ca="1" si="11"/>
        <v>0</v>
      </c>
      <c r="L353" s="2"/>
      <c r="M353" s="85">
        <f ca="1">OFFSET(INDIRECT(ADDRESS($A353,3,3,1,"Gross")),0,Menus!$J$4)</f>
        <v>0</v>
      </c>
      <c r="N353" s="85">
        <f ca="1">OFFSET(INDIRECT(ADDRESS($A353,3,3,1,"Gross")),0,Menus!$J$3)</f>
        <v>0</v>
      </c>
    </row>
    <row r="354" spans="1:14" x14ac:dyDescent="0.25">
      <c r="A354">
        <v>391</v>
      </c>
      <c r="B354" s="2">
        <f ca="1">OFFSET(INDIRECT(ADDRESS($A354,3,3,1,Menus!$K$10)),0,Menus!$J$4)</f>
        <v>0</v>
      </c>
      <c r="C354" s="2">
        <f ca="1">OFFSET(INDIRECT(ADDRESS($A354,3,3,1,Menus!$K$10)),0,Menus!$J$3)</f>
        <v>0</v>
      </c>
      <c r="D354" s="73" t="e">
        <f ca="1">IF(Menus!$J$9,C354/B354,C354)</f>
        <v>#DIV/0!</v>
      </c>
      <c r="E354" s="74" t="e">
        <f t="shared" ca="1" si="12"/>
        <v>#N/A</v>
      </c>
      <c r="F354" s="75">
        <f ca="1">INDIRECT(ADDRESS($A354,1,3,1,Menus!$K$10))</f>
        <v>0</v>
      </c>
      <c r="G354" s="2" t="e">
        <f ca="1">IF(INDIRECT(ADDRESS($A354,2,3,1,Menus!$K$10))=G$1,$D354,#N/A)</f>
        <v>#N/A</v>
      </c>
      <c r="H354" s="2" t="e">
        <f ca="1">IF(INDIRECT(ADDRESS($A354,2,3,1,Menus!$K$10))=H$1,$D354,#N/A)</f>
        <v>#N/A</v>
      </c>
      <c r="I354" s="2" t="e">
        <f ca="1">IF(INDIRECT(ADDRESS($A354,2,3,1,Menus!$K$10))=I$1,$D354,#N/A)</f>
        <v>#N/A</v>
      </c>
      <c r="J354" s="2" t="e">
        <f ca="1">IF(INDIRECT(ADDRESS($A354,1,3,1,Menus!$K$10))=T(J$1),$D354,#N/A)</f>
        <v>#N/A</v>
      </c>
      <c r="K354" s="10">
        <f t="shared" ca="1" si="11"/>
        <v>0</v>
      </c>
      <c r="L354" s="2"/>
      <c r="M354" s="85">
        <f ca="1">OFFSET(INDIRECT(ADDRESS($A354,3,3,1,"Gross")),0,Menus!$J$4)</f>
        <v>0</v>
      </c>
      <c r="N354" s="85">
        <f ca="1">OFFSET(INDIRECT(ADDRESS($A354,3,3,1,"Gross")),0,Menus!$J$3)</f>
        <v>0</v>
      </c>
    </row>
    <row r="355" spans="1:14" x14ac:dyDescent="0.25">
      <c r="A355">
        <v>392</v>
      </c>
      <c r="B355" s="2">
        <f ca="1">OFFSET(INDIRECT(ADDRESS($A355,3,3,1,Menus!$K$10)),0,Menus!$J$4)</f>
        <v>0</v>
      </c>
      <c r="C355" s="2">
        <f ca="1">OFFSET(INDIRECT(ADDRESS($A355,3,3,1,Menus!$K$10)),0,Menus!$J$3)</f>
        <v>0</v>
      </c>
      <c r="D355" s="73" t="e">
        <f ca="1">IF(Menus!$J$9,C355/B355,C355)</f>
        <v>#DIV/0!</v>
      </c>
      <c r="E355" s="74" t="e">
        <f t="shared" ca="1" si="12"/>
        <v>#N/A</v>
      </c>
      <c r="F355" s="75">
        <f ca="1">INDIRECT(ADDRESS($A355,1,3,1,Menus!$K$10))</f>
        <v>0</v>
      </c>
      <c r="G355" s="2" t="e">
        <f ca="1">IF(INDIRECT(ADDRESS($A355,2,3,1,Menus!$K$10))=G$1,$D355,#N/A)</f>
        <v>#N/A</v>
      </c>
      <c r="H355" s="2" t="e">
        <f ca="1">IF(INDIRECT(ADDRESS($A355,2,3,1,Menus!$K$10))=H$1,$D355,#N/A)</f>
        <v>#N/A</v>
      </c>
      <c r="I355" s="2" t="e">
        <f ca="1">IF(INDIRECT(ADDRESS($A355,2,3,1,Menus!$K$10))=I$1,$D355,#N/A)</f>
        <v>#N/A</v>
      </c>
      <c r="J355" s="2" t="e">
        <f ca="1">IF(INDIRECT(ADDRESS($A355,1,3,1,Menus!$K$10))=T(J$1),$D355,#N/A)</f>
        <v>#N/A</v>
      </c>
      <c r="K355" s="10">
        <f t="shared" ca="1" si="11"/>
        <v>0</v>
      </c>
      <c r="L355" s="2"/>
      <c r="M355" s="85">
        <f ca="1">OFFSET(INDIRECT(ADDRESS($A355,3,3,1,"Gross")),0,Menus!$J$4)</f>
        <v>0</v>
      </c>
      <c r="N355" s="85">
        <f ca="1">OFFSET(INDIRECT(ADDRESS($A355,3,3,1,"Gross")),0,Menus!$J$3)</f>
        <v>0</v>
      </c>
    </row>
    <row r="356" spans="1:14" x14ac:dyDescent="0.25">
      <c r="A356">
        <v>393</v>
      </c>
      <c r="B356" s="2">
        <f ca="1">OFFSET(INDIRECT(ADDRESS($A356,3,3,1,Menus!$K$10)),0,Menus!$J$4)</f>
        <v>0</v>
      </c>
      <c r="C356" s="2">
        <f ca="1">OFFSET(INDIRECT(ADDRESS($A356,3,3,1,Menus!$K$10)),0,Menus!$J$3)</f>
        <v>0</v>
      </c>
      <c r="D356" s="73" t="e">
        <f ca="1">IF(Menus!$J$9,C356/B356,C356)</f>
        <v>#DIV/0!</v>
      </c>
      <c r="E356" s="74" t="e">
        <f t="shared" ca="1" si="12"/>
        <v>#N/A</v>
      </c>
      <c r="F356" s="75">
        <f ca="1">INDIRECT(ADDRESS($A356,1,3,1,Menus!$K$10))</f>
        <v>0</v>
      </c>
      <c r="G356" s="2" t="e">
        <f ca="1">IF(INDIRECT(ADDRESS($A356,2,3,1,Menus!$K$10))=G$1,$D356,#N/A)</f>
        <v>#N/A</v>
      </c>
      <c r="H356" s="2" t="e">
        <f ca="1">IF(INDIRECT(ADDRESS($A356,2,3,1,Menus!$K$10))=H$1,$D356,#N/A)</f>
        <v>#N/A</v>
      </c>
      <c r="I356" s="2" t="e">
        <f ca="1">IF(INDIRECT(ADDRESS($A356,2,3,1,Menus!$K$10))=I$1,$D356,#N/A)</f>
        <v>#N/A</v>
      </c>
      <c r="J356" s="2" t="e">
        <f ca="1">IF(INDIRECT(ADDRESS($A356,1,3,1,Menus!$K$10))=T(J$1),$D356,#N/A)</f>
        <v>#N/A</v>
      </c>
      <c r="K356" s="10">
        <f t="shared" ca="1" si="11"/>
        <v>0</v>
      </c>
      <c r="L356" s="2"/>
      <c r="M356" s="85">
        <f ca="1">OFFSET(INDIRECT(ADDRESS($A356,3,3,1,"Gross")),0,Menus!$J$4)</f>
        <v>0</v>
      </c>
      <c r="N356" s="85">
        <f ca="1">OFFSET(INDIRECT(ADDRESS($A356,3,3,1,"Gross")),0,Menus!$J$3)</f>
        <v>0</v>
      </c>
    </row>
    <row r="357" spans="1:14" x14ac:dyDescent="0.25">
      <c r="A357">
        <v>394</v>
      </c>
      <c r="B357" s="2">
        <f ca="1">OFFSET(INDIRECT(ADDRESS($A357,3,3,1,Menus!$K$10)),0,Menus!$J$4)</f>
        <v>0</v>
      </c>
      <c r="C357" s="2">
        <f ca="1">OFFSET(INDIRECT(ADDRESS($A357,3,3,1,Menus!$K$10)),0,Menus!$J$3)</f>
        <v>0</v>
      </c>
      <c r="D357" s="73" t="e">
        <f ca="1">IF(Menus!$J$9,C357/B357,C357)</f>
        <v>#DIV/0!</v>
      </c>
      <c r="E357" s="74" t="e">
        <f t="shared" ca="1" si="12"/>
        <v>#N/A</v>
      </c>
      <c r="F357" s="75">
        <f ca="1">INDIRECT(ADDRESS($A357,1,3,1,Menus!$K$10))</f>
        <v>0</v>
      </c>
      <c r="G357" s="2" t="e">
        <f ca="1">IF(INDIRECT(ADDRESS($A357,2,3,1,Menus!$K$10))=G$1,$D357,#N/A)</f>
        <v>#N/A</v>
      </c>
      <c r="H357" s="2" t="e">
        <f ca="1">IF(INDIRECT(ADDRESS($A357,2,3,1,Menus!$K$10))=H$1,$D357,#N/A)</f>
        <v>#N/A</v>
      </c>
      <c r="I357" s="2" t="e">
        <f ca="1">IF(INDIRECT(ADDRESS($A357,2,3,1,Menus!$K$10))=I$1,$D357,#N/A)</f>
        <v>#N/A</v>
      </c>
      <c r="J357" s="2" t="e">
        <f ca="1">IF(INDIRECT(ADDRESS($A357,1,3,1,Menus!$K$10))=T(J$1),$D357,#N/A)</f>
        <v>#N/A</v>
      </c>
      <c r="K357" s="10">
        <f t="shared" ca="1" si="11"/>
        <v>0</v>
      </c>
      <c r="L357" s="2"/>
      <c r="M357" s="85">
        <f ca="1">OFFSET(INDIRECT(ADDRESS($A357,3,3,1,"Gross")),0,Menus!$J$4)</f>
        <v>0</v>
      </c>
      <c r="N357" s="85">
        <f ca="1">OFFSET(INDIRECT(ADDRESS($A357,3,3,1,"Gross")),0,Menus!$J$3)</f>
        <v>0</v>
      </c>
    </row>
    <row r="358" spans="1:14" x14ac:dyDescent="0.25">
      <c r="A358">
        <v>395</v>
      </c>
      <c r="B358" s="2">
        <f ca="1">OFFSET(INDIRECT(ADDRESS($A358,3,3,1,Menus!$K$10)),0,Menus!$J$4)</f>
        <v>0</v>
      </c>
      <c r="C358" s="2">
        <f ca="1">OFFSET(INDIRECT(ADDRESS($A358,3,3,1,Menus!$K$10)),0,Menus!$J$3)</f>
        <v>0</v>
      </c>
      <c r="D358" s="73" t="e">
        <f ca="1">IF(Menus!$J$9,C358/B358,C358)</f>
        <v>#DIV/0!</v>
      </c>
      <c r="E358" s="74" t="e">
        <f t="shared" ca="1" si="12"/>
        <v>#N/A</v>
      </c>
      <c r="F358" s="75">
        <f ca="1">INDIRECT(ADDRESS($A358,1,3,1,Menus!$K$10))</f>
        <v>0</v>
      </c>
      <c r="G358" s="2" t="e">
        <f ca="1">IF(INDIRECT(ADDRESS($A358,2,3,1,Menus!$K$10))=G$1,$D358,#N/A)</f>
        <v>#N/A</v>
      </c>
      <c r="H358" s="2" t="e">
        <f ca="1">IF(INDIRECT(ADDRESS($A358,2,3,1,Menus!$K$10))=H$1,$D358,#N/A)</f>
        <v>#N/A</v>
      </c>
      <c r="I358" s="2" t="e">
        <f ca="1">IF(INDIRECT(ADDRESS($A358,2,3,1,Menus!$K$10))=I$1,$D358,#N/A)</f>
        <v>#N/A</v>
      </c>
      <c r="J358" s="2" t="e">
        <f ca="1">IF(INDIRECT(ADDRESS($A358,1,3,1,Menus!$K$10))=T(J$1),$D358,#N/A)</f>
        <v>#N/A</v>
      </c>
      <c r="K358" s="10">
        <f t="shared" ca="1" si="11"/>
        <v>0</v>
      </c>
      <c r="L358" s="2"/>
      <c r="M358" s="85">
        <f ca="1">OFFSET(INDIRECT(ADDRESS($A358,3,3,1,"Gross")),0,Menus!$J$4)</f>
        <v>0</v>
      </c>
      <c r="N358" s="85">
        <f ca="1">OFFSET(INDIRECT(ADDRESS($A358,3,3,1,"Gross")),0,Menus!$J$3)</f>
        <v>0</v>
      </c>
    </row>
    <row r="359" spans="1:14" x14ac:dyDescent="0.25">
      <c r="A359">
        <v>396</v>
      </c>
      <c r="B359" s="2">
        <f ca="1">OFFSET(INDIRECT(ADDRESS($A359,3,3,1,Menus!$K$10)),0,Menus!$J$4)</f>
        <v>0</v>
      </c>
      <c r="C359" s="2">
        <f ca="1">OFFSET(INDIRECT(ADDRESS($A359,3,3,1,Menus!$K$10)),0,Menus!$J$3)</f>
        <v>0</v>
      </c>
      <c r="D359" s="73" t="e">
        <f ca="1">IF(Menus!$J$9,C359/B359,C359)</f>
        <v>#DIV/0!</v>
      </c>
      <c r="E359" s="74" t="e">
        <f t="shared" ca="1" si="12"/>
        <v>#N/A</v>
      </c>
      <c r="F359" s="75">
        <f ca="1">INDIRECT(ADDRESS($A359,1,3,1,Menus!$K$10))</f>
        <v>0</v>
      </c>
      <c r="G359" s="2" t="e">
        <f ca="1">IF(INDIRECT(ADDRESS($A359,2,3,1,Menus!$K$10))=G$1,$D359,#N/A)</f>
        <v>#N/A</v>
      </c>
      <c r="H359" s="2" t="e">
        <f ca="1">IF(INDIRECT(ADDRESS($A359,2,3,1,Menus!$K$10))=H$1,$D359,#N/A)</f>
        <v>#N/A</v>
      </c>
      <c r="I359" s="2" t="e">
        <f ca="1">IF(INDIRECT(ADDRESS($A359,2,3,1,Menus!$K$10))=I$1,$D359,#N/A)</f>
        <v>#N/A</v>
      </c>
      <c r="J359" s="2" t="e">
        <f ca="1">IF(INDIRECT(ADDRESS($A359,1,3,1,Menus!$K$10))=T(J$1),$D359,#N/A)</f>
        <v>#N/A</v>
      </c>
      <c r="K359" s="10">
        <f t="shared" ca="1" si="11"/>
        <v>0</v>
      </c>
      <c r="L359" s="2"/>
      <c r="M359" s="85">
        <f ca="1">OFFSET(INDIRECT(ADDRESS($A359,3,3,1,"Gross")),0,Menus!$J$4)</f>
        <v>0</v>
      </c>
      <c r="N359" s="85">
        <f ca="1">OFFSET(INDIRECT(ADDRESS($A359,3,3,1,"Gross")),0,Menus!$J$3)</f>
        <v>0</v>
      </c>
    </row>
    <row r="360" spans="1:14" x14ac:dyDescent="0.25">
      <c r="A360">
        <v>397</v>
      </c>
      <c r="B360" s="2">
        <f ca="1">OFFSET(INDIRECT(ADDRESS($A360,3,3,1,Menus!$K$10)),0,Menus!$J$4)</f>
        <v>0</v>
      </c>
      <c r="C360" s="2">
        <f ca="1">OFFSET(INDIRECT(ADDRESS($A360,3,3,1,Menus!$K$10)),0,Menus!$J$3)</f>
        <v>0</v>
      </c>
      <c r="D360" s="73" t="e">
        <f ca="1">IF(Menus!$J$9,C360/B360,C360)</f>
        <v>#DIV/0!</v>
      </c>
      <c r="E360" s="74" t="e">
        <f t="shared" ca="1" si="12"/>
        <v>#N/A</v>
      </c>
      <c r="F360" s="75">
        <f ca="1">INDIRECT(ADDRESS($A360,1,3,1,Menus!$K$10))</f>
        <v>0</v>
      </c>
      <c r="G360" s="2" t="e">
        <f ca="1">IF(INDIRECT(ADDRESS($A360,2,3,1,Menus!$K$10))=G$1,$D360,#N/A)</f>
        <v>#N/A</v>
      </c>
      <c r="H360" s="2" t="e">
        <f ca="1">IF(INDIRECT(ADDRESS($A360,2,3,1,Menus!$K$10))=H$1,$D360,#N/A)</f>
        <v>#N/A</v>
      </c>
      <c r="I360" s="2" t="e">
        <f ca="1">IF(INDIRECT(ADDRESS($A360,2,3,1,Menus!$K$10))=I$1,$D360,#N/A)</f>
        <v>#N/A</v>
      </c>
      <c r="J360" s="2" t="e">
        <f ca="1">IF(INDIRECT(ADDRESS($A360,1,3,1,Menus!$K$10))=T(J$1),$D360,#N/A)</f>
        <v>#N/A</v>
      </c>
      <c r="K360" s="10">
        <f t="shared" ca="1" si="11"/>
        <v>0</v>
      </c>
      <c r="L360" s="2"/>
      <c r="M360" s="85">
        <f ca="1">OFFSET(INDIRECT(ADDRESS($A360,3,3,1,"Gross")),0,Menus!$J$4)</f>
        <v>0</v>
      </c>
      <c r="N360" s="85">
        <f ca="1">OFFSET(INDIRECT(ADDRESS($A360,3,3,1,"Gross")),0,Menus!$J$3)</f>
        <v>0</v>
      </c>
    </row>
    <row r="361" spans="1:14" x14ac:dyDescent="0.25">
      <c r="A361">
        <v>398</v>
      </c>
      <c r="B361" s="2">
        <f ca="1">OFFSET(INDIRECT(ADDRESS($A361,3,3,1,Menus!$K$10)),0,Menus!$J$4)</f>
        <v>0</v>
      </c>
      <c r="C361" s="2">
        <f ca="1">OFFSET(INDIRECT(ADDRESS($A361,3,3,1,Menus!$K$10)),0,Menus!$J$3)</f>
        <v>0</v>
      </c>
      <c r="D361" s="73" t="e">
        <f ca="1">IF(Menus!$J$9,C361/B361,C361)</f>
        <v>#DIV/0!</v>
      </c>
      <c r="E361" s="74" t="e">
        <f t="shared" ca="1" si="12"/>
        <v>#N/A</v>
      </c>
      <c r="F361" s="75">
        <f ca="1">INDIRECT(ADDRESS($A361,1,3,1,Menus!$K$10))</f>
        <v>0</v>
      </c>
      <c r="G361" s="2" t="e">
        <f ca="1">IF(INDIRECT(ADDRESS($A361,2,3,1,Menus!$K$10))=G$1,$D361,#N/A)</f>
        <v>#N/A</v>
      </c>
      <c r="H361" s="2" t="e">
        <f ca="1">IF(INDIRECT(ADDRESS($A361,2,3,1,Menus!$K$10))=H$1,$D361,#N/A)</f>
        <v>#N/A</v>
      </c>
      <c r="I361" s="2" t="e">
        <f ca="1">IF(INDIRECT(ADDRESS($A361,2,3,1,Menus!$K$10))=I$1,$D361,#N/A)</f>
        <v>#N/A</v>
      </c>
      <c r="J361" s="2" t="e">
        <f ca="1">IF(INDIRECT(ADDRESS($A361,1,3,1,Menus!$K$10))=T(J$1),$D361,#N/A)</f>
        <v>#N/A</v>
      </c>
      <c r="K361" s="10">
        <f t="shared" ca="1" si="11"/>
        <v>0</v>
      </c>
      <c r="L361" s="2"/>
      <c r="M361" s="85">
        <f ca="1">OFFSET(INDIRECT(ADDRESS($A361,3,3,1,"Gross")),0,Menus!$J$4)</f>
        <v>0</v>
      </c>
      <c r="N361" s="85">
        <f ca="1">OFFSET(INDIRECT(ADDRESS($A361,3,3,1,"Gross")),0,Menus!$J$3)</f>
        <v>0</v>
      </c>
    </row>
    <row r="362" spans="1:14" x14ac:dyDescent="0.25">
      <c r="A362">
        <v>399</v>
      </c>
      <c r="B362" s="2">
        <f ca="1">OFFSET(INDIRECT(ADDRESS($A362,3,3,1,Menus!$K$10)),0,Menus!$J$4)</f>
        <v>0</v>
      </c>
      <c r="C362" s="2">
        <f ca="1">OFFSET(INDIRECT(ADDRESS($A362,3,3,1,Menus!$K$10)),0,Menus!$J$3)</f>
        <v>0</v>
      </c>
      <c r="D362" s="73" t="e">
        <f ca="1">IF(Menus!$J$9,C362/B362,C362)</f>
        <v>#DIV/0!</v>
      </c>
      <c r="E362" s="74" t="e">
        <f t="shared" ca="1" si="12"/>
        <v>#N/A</v>
      </c>
      <c r="F362" s="75">
        <f ca="1">INDIRECT(ADDRESS($A362,1,3,1,Menus!$K$10))</f>
        <v>0</v>
      </c>
      <c r="G362" s="2" t="e">
        <f ca="1">IF(INDIRECT(ADDRESS($A362,2,3,1,Menus!$K$10))=G$1,$D362,#N/A)</f>
        <v>#N/A</v>
      </c>
      <c r="H362" s="2" t="e">
        <f ca="1">IF(INDIRECT(ADDRESS($A362,2,3,1,Menus!$K$10))=H$1,$D362,#N/A)</f>
        <v>#N/A</v>
      </c>
      <c r="I362" s="2" t="e">
        <f ca="1">IF(INDIRECT(ADDRESS($A362,2,3,1,Menus!$K$10))=I$1,$D362,#N/A)</f>
        <v>#N/A</v>
      </c>
      <c r="J362" s="2" t="e">
        <f ca="1">IF(INDIRECT(ADDRESS($A362,1,3,1,Menus!$K$10))=T(J$1),$D362,#N/A)</f>
        <v>#N/A</v>
      </c>
      <c r="K362" s="10">
        <f t="shared" ca="1" si="11"/>
        <v>0</v>
      </c>
      <c r="L362" s="2"/>
      <c r="M362" s="85">
        <f ca="1">OFFSET(INDIRECT(ADDRESS($A362,3,3,1,"Gross")),0,Menus!$J$4)</f>
        <v>0</v>
      </c>
      <c r="N362" s="85">
        <f ca="1">OFFSET(INDIRECT(ADDRESS($A362,3,3,1,"Gross")),0,Menus!$J$3)</f>
        <v>0</v>
      </c>
    </row>
    <row r="363" spans="1:14" x14ac:dyDescent="0.25">
      <c r="A363">
        <v>400</v>
      </c>
      <c r="B363" s="2">
        <f ca="1">OFFSET(INDIRECT(ADDRESS($A363,3,3,1,Menus!$K$10)),0,Menus!$J$4)</f>
        <v>0</v>
      </c>
      <c r="C363" s="2">
        <f ca="1">OFFSET(INDIRECT(ADDRESS($A363,3,3,1,Menus!$K$10)),0,Menus!$J$3)</f>
        <v>0</v>
      </c>
      <c r="D363" s="73" t="e">
        <f ca="1">IF(Menus!$J$9,C363/B363,C363)</f>
        <v>#DIV/0!</v>
      </c>
      <c r="E363" s="74" t="e">
        <f t="shared" ca="1" si="12"/>
        <v>#N/A</v>
      </c>
      <c r="F363" s="75">
        <f ca="1">INDIRECT(ADDRESS($A363,1,3,1,Menus!$K$10))</f>
        <v>0</v>
      </c>
      <c r="G363" s="2" t="e">
        <f ca="1">IF(INDIRECT(ADDRESS($A363,2,3,1,Menus!$K$10))=G$1,$D363,#N/A)</f>
        <v>#N/A</v>
      </c>
      <c r="H363" s="2" t="e">
        <f ca="1">IF(INDIRECT(ADDRESS($A363,2,3,1,Menus!$K$10))=H$1,$D363,#N/A)</f>
        <v>#N/A</v>
      </c>
      <c r="I363" s="2" t="e">
        <f ca="1">IF(INDIRECT(ADDRESS($A363,2,3,1,Menus!$K$10))=I$1,$D363,#N/A)</f>
        <v>#N/A</v>
      </c>
      <c r="J363" s="2" t="e">
        <f ca="1">IF(INDIRECT(ADDRESS($A363,1,3,1,Menus!$K$10))=T(J$1),$D363,#N/A)</f>
        <v>#N/A</v>
      </c>
      <c r="K363" s="10">
        <f t="shared" ca="1" si="11"/>
        <v>0</v>
      </c>
      <c r="L363" s="2"/>
      <c r="M363" s="85">
        <f ca="1">OFFSET(INDIRECT(ADDRESS($A363,3,3,1,"Gross")),0,Menus!$J$4)</f>
        <v>0</v>
      </c>
      <c r="N363" s="85">
        <f ca="1">OFFSET(INDIRECT(ADDRESS($A363,3,3,1,"Gross")),0,Menus!$J$3)</f>
        <v>0</v>
      </c>
    </row>
    <row r="364" spans="1:14" x14ac:dyDescent="0.25">
      <c r="A364">
        <v>401</v>
      </c>
      <c r="B364" s="2">
        <f ca="1">OFFSET(INDIRECT(ADDRESS($A364,3,3,1,Menus!$K$10)),0,Menus!$J$4)</f>
        <v>0</v>
      </c>
      <c r="C364" s="2">
        <f ca="1">OFFSET(INDIRECT(ADDRESS($A364,3,3,1,Menus!$K$10)),0,Menus!$J$3)</f>
        <v>0</v>
      </c>
      <c r="D364" s="73" t="e">
        <f ca="1">IF(Menus!$J$9,C364/B364,C364)</f>
        <v>#DIV/0!</v>
      </c>
      <c r="E364" s="74" t="e">
        <f t="shared" ca="1" si="12"/>
        <v>#N/A</v>
      </c>
      <c r="F364" s="75">
        <f ca="1">INDIRECT(ADDRESS($A364,1,3,1,Menus!$K$10))</f>
        <v>0</v>
      </c>
      <c r="G364" s="2" t="e">
        <f ca="1">IF(INDIRECT(ADDRESS($A364,2,3,1,Menus!$K$10))=G$1,$D364,#N/A)</f>
        <v>#N/A</v>
      </c>
      <c r="H364" s="2" t="e">
        <f ca="1">IF(INDIRECT(ADDRESS($A364,2,3,1,Menus!$K$10))=H$1,$D364,#N/A)</f>
        <v>#N/A</v>
      </c>
      <c r="I364" s="2" t="e">
        <f ca="1">IF(INDIRECT(ADDRESS($A364,2,3,1,Menus!$K$10))=I$1,$D364,#N/A)</f>
        <v>#N/A</v>
      </c>
      <c r="J364" s="2" t="e">
        <f ca="1">IF(INDIRECT(ADDRESS($A364,1,3,1,Menus!$K$10))=T(J$1),$D364,#N/A)</f>
        <v>#N/A</v>
      </c>
      <c r="K364" s="10">
        <f t="shared" ca="1" si="11"/>
        <v>0</v>
      </c>
      <c r="L364" s="2"/>
      <c r="M364" s="85">
        <f ca="1">OFFSET(INDIRECT(ADDRESS($A364,3,3,1,"Gross")),0,Menus!$J$4)</f>
        <v>0</v>
      </c>
      <c r="N364" s="85">
        <f ca="1">OFFSET(INDIRECT(ADDRESS($A364,3,3,1,"Gross")),0,Menus!$J$3)</f>
        <v>0</v>
      </c>
    </row>
    <row r="365" spans="1:14" x14ac:dyDescent="0.25">
      <c r="A365">
        <v>402</v>
      </c>
      <c r="B365" s="2">
        <f ca="1">OFFSET(INDIRECT(ADDRESS($A365,3,3,1,Menus!$K$10)),0,Menus!$J$4)</f>
        <v>0</v>
      </c>
      <c r="C365" s="2">
        <f ca="1">OFFSET(INDIRECT(ADDRESS($A365,3,3,1,Menus!$K$10)),0,Menus!$J$3)</f>
        <v>0</v>
      </c>
      <c r="D365" s="73" t="e">
        <f ca="1">IF(Menus!$J$9,C365/B365,C365)</f>
        <v>#DIV/0!</v>
      </c>
      <c r="E365" s="74" t="e">
        <f t="shared" ca="1" si="12"/>
        <v>#N/A</v>
      </c>
      <c r="F365" s="75">
        <f ca="1">INDIRECT(ADDRESS($A365,1,3,1,Menus!$K$10))</f>
        <v>0</v>
      </c>
      <c r="G365" s="2" t="e">
        <f ca="1">IF(INDIRECT(ADDRESS($A365,2,3,1,Menus!$K$10))=G$1,$D365,#N/A)</f>
        <v>#N/A</v>
      </c>
      <c r="H365" s="2" t="e">
        <f ca="1">IF(INDIRECT(ADDRESS($A365,2,3,1,Menus!$K$10))=H$1,$D365,#N/A)</f>
        <v>#N/A</v>
      </c>
      <c r="I365" s="2" t="e">
        <f ca="1">IF(INDIRECT(ADDRESS($A365,2,3,1,Menus!$K$10))=I$1,$D365,#N/A)</f>
        <v>#N/A</v>
      </c>
      <c r="J365" s="2" t="e">
        <f ca="1">IF(INDIRECT(ADDRESS($A365,1,3,1,Menus!$K$10))=T(J$1),$D365,#N/A)</f>
        <v>#N/A</v>
      </c>
      <c r="K365" s="10">
        <f t="shared" ca="1" si="11"/>
        <v>0</v>
      </c>
      <c r="L365" s="2"/>
      <c r="M365" s="85">
        <f ca="1">OFFSET(INDIRECT(ADDRESS($A365,3,3,1,"Gross")),0,Menus!$J$4)</f>
        <v>0</v>
      </c>
      <c r="N365" s="85">
        <f ca="1">OFFSET(INDIRECT(ADDRESS($A365,3,3,1,"Gross")),0,Menus!$J$3)</f>
        <v>0</v>
      </c>
    </row>
    <row r="366" spans="1:14" x14ac:dyDescent="0.25">
      <c r="A366">
        <v>403</v>
      </c>
      <c r="B366" s="2">
        <f ca="1">OFFSET(INDIRECT(ADDRESS($A366,3,3,1,Menus!$K$10)),0,Menus!$J$4)</f>
        <v>0</v>
      </c>
      <c r="C366" s="2">
        <f ca="1">OFFSET(INDIRECT(ADDRESS($A366,3,3,1,Menus!$K$10)),0,Menus!$J$3)</f>
        <v>0</v>
      </c>
      <c r="D366" s="73" t="e">
        <f ca="1">IF(Menus!$J$9,C366/B366,C366)</f>
        <v>#DIV/0!</v>
      </c>
      <c r="E366" s="74" t="e">
        <f t="shared" ca="1" si="12"/>
        <v>#N/A</v>
      </c>
      <c r="F366" s="75">
        <f ca="1">INDIRECT(ADDRESS($A366,1,3,1,Menus!$K$10))</f>
        <v>0</v>
      </c>
      <c r="G366" s="2" t="e">
        <f ca="1">IF(INDIRECT(ADDRESS($A366,2,3,1,Menus!$K$10))=G$1,$D366,#N/A)</f>
        <v>#N/A</v>
      </c>
      <c r="H366" s="2" t="e">
        <f ca="1">IF(INDIRECT(ADDRESS($A366,2,3,1,Menus!$K$10))=H$1,$D366,#N/A)</f>
        <v>#N/A</v>
      </c>
      <c r="I366" s="2" t="e">
        <f ca="1">IF(INDIRECT(ADDRESS($A366,2,3,1,Menus!$K$10))=I$1,$D366,#N/A)</f>
        <v>#N/A</v>
      </c>
      <c r="J366" s="2" t="e">
        <f ca="1">IF(INDIRECT(ADDRESS($A366,1,3,1,Menus!$K$10))=T(J$1),$D366,#N/A)</f>
        <v>#N/A</v>
      </c>
      <c r="K366" s="10">
        <f t="shared" ca="1" si="11"/>
        <v>0</v>
      </c>
      <c r="L366" s="2"/>
      <c r="M366" s="85">
        <f ca="1">OFFSET(INDIRECT(ADDRESS($A366,3,3,1,"Gross")),0,Menus!$J$4)</f>
        <v>0</v>
      </c>
      <c r="N366" s="85">
        <f ca="1">OFFSET(INDIRECT(ADDRESS($A366,3,3,1,"Gross")),0,Menus!$J$3)</f>
        <v>0</v>
      </c>
    </row>
    <row r="367" spans="1:14" x14ac:dyDescent="0.25">
      <c r="A367">
        <v>404</v>
      </c>
      <c r="B367" s="2">
        <f ca="1">OFFSET(INDIRECT(ADDRESS($A367,3,3,1,Menus!$K$10)),0,Menus!$J$4)</f>
        <v>0</v>
      </c>
      <c r="C367" s="2">
        <f ca="1">OFFSET(INDIRECT(ADDRESS($A367,3,3,1,Menus!$K$10)),0,Menus!$J$3)</f>
        <v>0</v>
      </c>
      <c r="D367" s="73" t="e">
        <f ca="1">IF(Menus!$J$9,C367/B367,C367)</f>
        <v>#DIV/0!</v>
      </c>
      <c r="E367" s="74" t="e">
        <f t="shared" ca="1" si="12"/>
        <v>#N/A</v>
      </c>
      <c r="F367" s="75">
        <f ca="1">INDIRECT(ADDRESS($A367,1,3,1,Menus!$K$10))</f>
        <v>0</v>
      </c>
      <c r="G367" s="2" t="e">
        <f ca="1">IF(INDIRECT(ADDRESS($A367,2,3,1,Menus!$K$10))=G$1,$D367,#N/A)</f>
        <v>#N/A</v>
      </c>
      <c r="H367" s="2" t="e">
        <f ca="1">IF(INDIRECT(ADDRESS($A367,2,3,1,Menus!$K$10))=H$1,$D367,#N/A)</f>
        <v>#N/A</v>
      </c>
      <c r="I367" s="2" t="e">
        <f ca="1">IF(INDIRECT(ADDRESS($A367,2,3,1,Menus!$K$10))=I$1,$D367,#N/A)</f>
        <v>#N/A</v>
      </c>
      <c r="J367" s="2" t="e">
        <f ca="1">IF(INDIRECT(ADDRESS($A367,1,3,1,Menus!$K$10))=T(J$1),$D367,#N/A)</f>
        <v>#N/A</v>
      </c>
      <c r="K367" s="10">
        <f t="shared" ca="1" si="11"/>
        <v>0</v>
      </c>
      <c r="L367" s="2"/>
      <c r="M367" s="85">
        <f ca="1">OFFSET(INDIRECT(ADDRESS($A367,3,3,1,"Gross")),0,Menus!$J$4)</f>
        <v>0</v>
      </c>
      <c r="N367" s="85">
        <f ca="1">OFFSET(INDIRECT(ADDRESS($A367,3,3,1,"Gross")),0,Menus!$J$3)</f>
        <v>0</v>
      </c>
    </row>
    <row r="368" spans="1:14" x14ac:dyDescent="0.25">
      <c r="A368">
        <v>405</v>
      </c>
      <c r="B368" s="2">
        <f ca="1">OFFSET(INDIRECT(ADDRESS($A368,3,3,1,Menus!$K$10)),0,Menus!$J$4)</f>
        <v>0</v>
      </c>
      <c r="C368" s="2">
        <f ca="1">OFFSET(INDIRECT(ADDRESS($A368,3,3,1,Menus!$K$10)),0,Menus!$J$3)</f>
        <v>0</v>
      </c>
      <c r="D368" s="73" t="e">
        <f ca="1">IF(Menus!$J$9,C368/B368,C368)</f>
        <v>#DIV/0!</v>
      </c>
      <c r="E368" s="74" t="e">
        <f t="shared" ca="1" si="12"/>
        <v>#N/A</v>
      </c>
      <c r="F368" s="75">
        <f ca="1">INDIRECT(ADDRESS($A368,1,3,1,Menus!$K$10))</f>
        <v>0</v>
      </c>
      <c r="G368" s="2" t="e">
        <f ca="1">IF(INDIRECT(ADDRESS($A368,2,3,1,Menus!$K$10))=G$1,$D368,#N/A)</f>
        <v>#N/A</v>
      </c>
      <c r="H368" s="2" t="e">
        <f ca="1">IF(INDIRECT(ADDRESS($A368,2,3,1,Menus!$K$10))=H$1,$D368,#N/A)</f>
        <v>#N/A</v>
      </c>
      <c r="I368" s="2" t="e">
        <f ca="1">IF(INDIRECT(ADDRESS($A368,2,3,1,Menus!$K$10))=I$1,$D368,#N/A)</f>
        <v>#N/A</v>
      </c>
      <c r="J368" s="2" t="e">
        <f ca="1">IF(INDIRECT(ADDRESS($A368,1,3,1,Menus!$K$10))=T(J$1),$D368,#N/A)</f>
        <v>#N/A</v>
      </c>
      <c r="K368" s="10">
        <f t="shared" ca="1" si="11"/>
        <v>0</v>
      </c>
      <c r="L368" s="2"/>
      <c r="M368" s="85">
        <f ca="1">OFFSET(INDIRECT(ADDRESS($A368,3,3,1,"Gross")),0,Menus!$J$4)</f>
        <v>0</v>
      </c>
      <c r="N368" s="85">
        <f ca="1">OFFSET(INDIRECT(ADDRESS($A368,3,3,1,"Gross")),0,Menus!$J$3)</f>
        <v>0</v>
      </c>
    </row>
    <row r="369" spans="1:14" x14ac:dyDescent="0.25">
      <c r="A369">
        <v>406</v>
      </c>
      <c r="B369" s="2">
        <f ca="1">OFFSET(INDIRECT(ADDRESS($A369,3,3,1,Menus!$K$10)),0,Menus!$J$4)</f>
        <v>0</v>
      </c>
      <c r="C369" s="2">
        <f ca="1">OFFSET(INDIRECT(ADDRESS($A369,3,3,1,Menus!$K$10)),0,Menus!$J$3)</f>
        <v>0</v>
      </c>
      <c r="D369" s="73" t="e">
        <f ca="1">IF(Menus!$J$9,C369/B369,C369)</f>
        <v>#DIV/0!</v>
      </c>
      <c r="E369" s="74" t="e">
        <f t="shared" ca="1" si="12"/>
        <v>#N/A</v>
      </c>
      <c r="F369" s="75">
        <f ca="1">INDIRECT(ADDRESS($A369,1,3,1,Menus!$K$10))</f>
        <v>0</v>
      </c>
      <c r="G369" s="2" t="e">
        <f ca="1">IF(INDIRECT(ADDRESS($A369,2,3,1,Menus!$K$10))=G$1,$D369,#N/A)</f>
        <v>#N/A</v>
      </c>
      <c r="H369" s="2" t="e">
        <f ca="1">IF(INDIRECT(ADDRESS($A369,2,3,1,Menus!$K$10))=H$1,$D369,#N/A)</f>
        <v>#N/A</v>
      </c>
      <c r="I369" s="2" t="e">
        <f ca="1">IF(INDIRECT(ADDRESS($A369,2,3,1,Menus!$K$10))=I$1,$D369,#N/A)</f>
        <v>#N/A</v>
      </c>
      <c r="J369" s="2" t="e">
        <f ca="1">IF(INDIRECT(ADDRESS($A369,1,3,1,Menus!$K$10))=T(J$1),$D369,#N/A)</f>
        <v>#N/A</v>
      </c>
      <c r="K369" s="10">
        <f t="shared" ca="1" si="11"/>
        <v>0</v>
      </c>
      <c r="L369" s="2"/>
      <c r="M369" s="85">
        <f ca="1">OFFSET(INDIRECT(ADDRESS($A369,3,3,1,"Gross")),0,Menus!$J$4)</f>
        <v>0</v>
      </c>
      <c r="N369" s="85">
        <f ca="1">OFFSET(INDIRECT(ADDRESS($A369,3,3,1,"Gross")),0,Menus!$J$3)</f>
        <v>0</v>
      </c>
    </row>
    <row r="370" spans="1:14" x14ac:dyDescent="0.25">
      <c r="A370">
        <v>407</v>
      </c>
      <c r="B370" s="2">
        <f ca="1">OFFSET(INDIRECT(ADDRESS($A370,3,3,1,Menus!$K$10)),0,Menus!$J$4)</f>
        <v>0</v>
      </c>
      <c r="C370" s="2">
        <f ca="1">OFFSET(INDIRECT(ADDRESS($A370,3,3,1,Menus!$K$10)),0,Menus!$J$3)</f>
        <v>0</v>
      </c>
      <c r="D370" s="73" t="e">
        <f ca="1">IF(Menus!$J$9,C370/B370,C370)</f>
        <v>#DIV/0!</v>
      </c>
      <c r="E370" s="74" t="e">
        <f t="shared" ca="1" si="12"/>
        <v>#N/A</v>
      </c>
      <c r="F370" s="75">
        <f ca="1">INDIRECT(ADDRESS($A370,1,3,1,Menus!$K$10))</f>
        <v>0</v>
      </c>
      <c r="G370" s="2" t="e">
        <f ca="1">IF(INDIRECT(ADDRESS($A370,2,3,1,Menus!$K$10))=G$1,$D370,#N/A)</f>
        <v>#N/A</v>
      </c>
      <c r="H370" s="2" t="e">
        <f ca="1">IF(INDIRECT(ADDRESS($A370,2,3,1,Menus!$K$10))=H$1,$D370,#N/A)</f>
        <v>#N/A</v>
      </c>
      <c r="I370" s="2" t="e">
        <f ca="1">IF(INDIRECT(ADDRESS($A370,2,3,1,Menus!$K$10))=I$1,$D370,#N/A)</f>
        <v>#N/A</v>
      </c>
      <c r="J370" s="2" t="e">
        <f ca="1">IF(INDIRECT(ADDRESS($A370,1,3,1,Menus!$K$10))=T(J$1),$D370,#N/A)</f>
        <v>#N/A</v>
      </c>
      <c r="K370" s="10">
        <f t="shared" ca="1" si="11"/>
        <v>0</v>
      </c>
      <c r="L370" s="2"/>
      <c r="M370" s="85">
        <f ca="1">OFFSET(INDIRECT(ADDRESS($A370,3,3,1,"Gross")),0,Menus!$J$4)</f>
        <v>0</v>
      </c>
      <c r="N370" s="85">
        <f ca="1">OFFSET(INDIRECT(ADDRESS($A370,3,3,1,"Gross")),0,Menus!$J$3)</f>
        <v>0</v>
      </c>
    </row>
    <row r="371" spans="1:14" x14ac:dyDescent="0.25">
      <c r="A371">
        <v>408</v>
      </c>
      <c r="B371" s="2">
        <f ca="1">OFFSET(INDIRECT(ADDRESS($A371,3,3,1,Menus!$K$10)),0,Menus!$J$4)</f>
        <v>0</v>
      </c>
      <c r="C371" s="2">
        <f ca="1">OFFSET(INDIRECT(ADDRESS($A371,3,3,1,Menus!$K$10)),0,Menus!$J$3)</f>
        <v>0</v>
      </c>
      <c r="D371" s="73" t="e">
        <f ca="1">IF(Menus!$J$9,C371/B371,C371)</f>
        <v>#DIV/0!</v>
      </c>
      <c r="E371" s="74" t="e">
        <f t="shared" ca="1" si="12"/>
        <v>#N/A</v>
      </c>
      <c r="F371" s="75">
        <f ca="1">INDIRECT(ADDRESS($A371,1,3,1,Menus!$K$10))</f>
        <v>0</v>
      </c>
      <c r="G371" s="2" t="e">
        <f ca="1">IF(INDIRECT(ADDRESS($A371,2,3,1,Menus!$K$10))=G$1,$D371,#N/A)</f>
        <v>#N/A</v>
      </c>
      <c r="H371" s="2" t="e">
        <f ca="1">IF(INDIRECT(ADDRESS($A371,2,3,1,Menus!$K$10))=H$1,$D371,#N/A)</f>
        <v>#N/A</v>
      </c>
      <c r="I371" s="2" t="e">
        <f ca="1">IF(INDIRECT(ADDRESS($A371,2,3,1,Menus!$K$10))=I$1,$D371,#N/A)</f>
        <v>#N/A</v>
      </c>
      <c r="J371" s="2" t="e">
        <f ca="1">IF(INDIRECT(ADDRESS($A371,1,3,1,Menus!$K$10))=T(J$1),$D371,#N/A)</f>
        <v>#N/A</v>
      </c>
      <c r="K371" s="10">
        <f t="shared" ca="1" si="11"/>
        <v>0</v>
      </c>
      <c r="L371" s="2"/>
      <c r="M371" s="85">
        <f ca="1">OFFSET(INDIRECT(ADDRESS($A371,3,3,1,"Gross")),0,Menus!$J$4)</f>
        <v>0</v>
      </c>
      <c r="N371" s="85">
        <f ca="1">OFFSET(INDIRECT(ADDRESS($A371,3,3,1,"Gross")),0,Menus!$J$3)</f>
        <v>0</v>
      </c>
    </row>
    <row r="372" spans="1:14" x14ac:dyDescent="0.25">
      <c r="A372">
        <v>409</v>
      </c>
      <c r="B372" s="2">
        <f ca="1">OFFSET(INDIRECT(ADDRESS($A372,3,3,1,Menus!$K$10)),0,Menus!$J$4)</f>
        <v>0</v>
      </c>
      <c r="C372" s="2">
        <f ca="1">OFFSET(INDIRECT(ADDRESS($A372,3,3,1,Menus!$K$10)),0,Menus!$J$3)</f>
        <v>0</v>
      </c>
      <c r="D372" s="73" t="e">
        <f ca="1">IF(Menus!$J$9,C372/B372,C372)</f>
        <v>#DIV/0!</v>
      </c>
      <c r="E372" s="74" t="e">
        <f t="shared" ca="1" si="12"/>
        <v>#N/A</v>
      </c>
      <c r="F372" s="75">
        <f ca="1">INDIRECT(ADDRESS($A372,1,3,1,Menus!$K$10))</f>
        <v>0</v>
      </c>
      <c r="G372" s="2" t="e">
        <f ca="1">IF(INDIRECT(ADDRESS($A372,2,3,1,Menus!$K$10))=G$1,$D372,#N/A)</f>
        <v>#N/A</v>
      </c>
      <c r="H372" s="2" t="e">
        <f ca="1">IF(INDIRECT(ADDRESS($A372,2,3,1,Menus!$K$10))=H$1,$D372,#N/A)</f>
        <v>#N/A</v>
      </c>
      <c r="I372" s="2" t="e">
        <f ca="1">IF(INDIRECT(ADDRESS($A372,2,3,1,Menus!$K$10))=I$1,$D372,#N/A)</f>
        <v>#N/A</v>
      </c>
      <c r="J372" s="2" t="e">
        <f ca="1">IF(INDIRECT(ADDRESS($A372,1,3,1,Menus!$K$10))=T(J$1),$D372,#N/A)</f>
        <v>#N/A</v>
      </c>
      <c r="K372" s="10">
        <f t="shared" ca="1" si="11"/>
        <v>0</v>
      </c>
      <c r="L372" s="2"/>
      <c r="M372" s="85">
        <f ca="1">OFFSET(INDIRECT(ADDRESS($A372,3,3,1,"Gross")),0,Menus!$J$4)</f>
        <v>0</v>
      </c>
      <c r="N372" s="85">
        <f ca="1">OFFSET(INDIRECT(ADDRESS($A372,3,3,1,"Gross")),0,Menus!$J$3)</f>
        <v>0</v>
      </c>
    </row>
    <row r="373" spans="1:14" x14ac:dyDescent="0.25">
      <c r="A373">
        <v>410</v>
      </c>
      <c r="B373" s="2">
        <f ca="1">OFFSET(INDIRECT(ADDRESS($A373,3,3,1,Menus!$K$10)),0,Menus!$J$4)</f>
        <v>0</v>
      </c>
      <c r="C373" s="2">
        <f ca="1">OFFSET(INDIRECT(ADDRESS($A373,3,3,1,Menus!$K$10)),0,Menus!$J$3)</f>
        <v>0</v>
      </c>
      <c r="D373" s="73" t="e">
        <f ca="1">IF(Menus!$J$9,C373/B373,C373)</f>
        <v>#DIV/0!</v>
      </c>
      <c r="E373" s="74" t="e">
        <f t="shared" ca="1" si="12"/>
        <v>#N/A</v>
      </c>
      <c r="F373" s="75">
        <f ca="1">INDIRECT(ADDRESS($A373,1,3,1,Menus!$K$10))</f>
        <v>0</v>
      </c>
      <c r="G373" s="2" t="e">
        <f ca="1">IF(INDIRECT(ADDRESS($A373,2,3,1,Menus!$K$10))=G$1,$D373,#N/A)</f>
        <v>#N/A</v>
      </c>
      <c r="H373" s="2" t="e">
        <f ca="1">IF(INDIRECT(ADDRESS($A373,2,3,1,Menus!$K$10))=H$1,$D373,#N/A)</f>
        <v>#N/A</v>
      </c>
      <c r="I373" s="2" t="e">
        <f ca="1">IF(INDIRECT(ADDRESS($A373,2,3,1,Menus!$K$10))=I$1,$D373,#N/A)</f>
        <v>#N/A</v>
      </c>
      <c r="J373" s="2" t="e">
        <f ca="1">IF(INDIRECT(ADDRESS($A373,1,3,1,Menus!$K$10))=T(J$1),$D373,#N/A)</f>
        <v>#N/A</v>
      </c>
      <c r="K373" s="10">
        <f t="shared" ca="1" si="11"/>
        <v>0</v>
      </c>
      <c r="L373" s="2"/>
      <c r="M373" s="85">
        <f ca="1">OFFSET(INDIRECT(ADDRESS($A373,3,3,1,"Gross")),0,Menus!$J$4)</f>
        <v>0</v>
      </c>
      <c r="N373" s="85">
        <f ca="1">OFFSET(INDIRECT(ADDRESS($A373,3,3,1,"Gross")),0,Menus!$J$3)</f>
        <v>0</v>
      </c>
    </row>
    <row r="374" spans="1:14" x14ac:dyDescent="0.25">
      <c r="A374">
        <v>411</v>
      </c>
      <c r="B374" s="2">
        <f ca="1">OFFSET(INDIRECT(ADDRESS($A374,3,3,1,Menus!$K$10)),0,Menus!$J$4)</f>
        <v>0</v>
      </c>
      <c r="C374" s="2">
        <f ca="1">OFFSET(INDIRECT(ADDRESS($A374,3,3,1,Menus!$K$10)),0,Menus!$J$3)</f>
        <v>0</v>
      </c>
      <c r="D374" s="73" t="e">
        <f ca="1">IF(Menus!$J$9,C374/B374,C374)</f>
        <v>#DIV/0!</v>
      </c>
      <c r="E374" s="74" t="e">
        <f t="shared" ca="1" si="12"/>
        <v>#N/A</v>
      </c>
      <c r="F374" s="75">
        <f ca="1">INDIRECT(ADDRESS($A374,1,3,1,Menus!$K$10))</f>
        <v>0</v>
      </c>
      <c r="G374" s="2" t="e">
        <f ca="1">IF(INDIRECT(ADDRESS($A374,2,3,1,Menus!$K$10))=G$1,$D374,#N/A)</f>
        <v>#N/A</v>
      </c>
      <c r="H374" s="2" t="e">
        <f ca="1">IF(INDIRECT(ADDRESS($A374,2,3,1,Menus!$K$10))=H$1,$D374,#N/A)</f>
        <v>#N/A</v>
      </c>
      <c r="I374" s="2" t="e">
        <f ca="1">IF(INDIRECT(ADDRESS($A374,2,3,1,Menus!$K$10))=I$1,$D374,#N/A)</f>
        <v>#N/A</v>
      </c>
      <c r="J374" s="2" t="e">
        <f ca="1">IF(INDIRECT(ADDRESS($A374,1,3,1,Menus!$K$10))=T(J$1),$D374,#N/A)</f>
        <v>#N/A</v>
      </c>
      <c r="K374" s="10">
        <f t="shared" ca="1" si="11"/>
        <v>0</v>
      </c>
      <c r="L374" s="2"/>
      <c r="M374" s="85">
        <f ca="1">OFFSET(INDIRECT(ADDRESS($A374,3,3,1,"Gross")),0,Menus!$J$4)</f>
        <v>0</v>
      </c>
      <c r="N374" s="85">
        <f ca="1">OFFSET(INDIRECT(ADDRESS($A374,3,3,1,"Gross")),0,Menus!$J$3)</f>
        <v>0</v>
      </c>
    </row>
    <row r="375" spans="1:14" x14ac:dyDescent="0.25">
      <c r="A375">
        <v>412</v>
      </c>
      <c r="B375" s="2">
        <f ca="1">OFFSET(INDIRECT(ADDRESS($A375,3,3,1,Menus!$K$10)),0,Menus!$J$4)</f>
        <v>0</v>
      </c>
      <c r="C375" s="2">
        <f ca="1">OFFSET(INDIRECT(ADDRESS($A375,3,3,1,Menus!$K$10)),0,Menus!$J$3)</f>
        <v>0</v>
      </c>
      <c r="D375" s="73" t="e">
        <f ca="1">IF(Menus!$J$9,C375/B375,C375)</f>
        <v>#DIV/0!</v>
      </c>
      <c r="E375" s="74" t="e">
        <f t="shared" ca="1" si="12"/>
        <v>#N/A</v>
      </c>
      <c r="F375" s="75">
        <f ca="1">INDIRECT(ADDRESS($A375,1,3,1,Menus!$K$10))</f>
        <v>0</v>
      </c>
      <c r="G375" s="2" t="e">
        <f ca="1">IF(INDIRECT(ADDRESS($A375,2,3,1,Menus!$K$10))=G$1,$D375,#N/A)</f>
        <v>#N/A</v>
      </c>
      <c r="H375" s="2" t="e">
        <f ca="1">IF(INDIRECT(ADDRESS($A375,2,3,1,Menus!$K$10))=H$1,$D375,#N/A)</f>
        <v>#N/A</v>
      </c>
      <c r="I375" s="2" t="e">
        <f ca="1">IF(INDIRECT(ADDRESS($A375,2,3,1,Menus!$K$10))=I$1,$D375,#N/A)</f>
        <v>#N/A</v>
      </c>
      <c r="J375" s="2" t="e">
        <f ca="1">IF(INDIRECT(ADDRESS($A375,1,3,1,Menus!$K$10))=T(J$1),$D375,#N/A)</f>
        <v>#N/A</v>
      </c>
      <c r="K375" s="10">
        <f t="shared" ca="1" si="11"/>
        <v>0</v>
      </c>
      <c r="L375" s="2"/>
      <c r="M375" s="85">
        <f ca="1">OFFSET(INDIRECT(ADDRESS($A375,3,3,1,"Gross")),0,Menus!$J$4)</f>
        <v>0</v>
      </c>
      <c r="N375" s="85">
        <f ca="1">OFFSET(INDIRECT(ADDRESS($A375,3,3,1,"Gross")),0,Menus!$J$3)</f>
        <v>0</v>
      </c>
    </row>
    <row r="376" spans="1:14" x14ac:dyDescent="0.25">
      <c r="A376">
        <v>413</v>
      </c>
      <c r="B376" s="2">
        <f ca="1">OFFSET(INDIRECT(ADDRESS($A376,3,3,1,Menus!$K$10)),0,Menus!$J$4)</f>
        <v>0</v>
      </c>
      <c r="C376" s="2">
        <f ca="1">OFFSET(INDIRECT(ADDRESS($A376,3,3,1,Menus!$K$10)),0,Menus!$J$3)</f>
        <v>0</v>
      </c>
      <c r="D376" s="73" t="e">
        <f ca="1">IF(Menus!$J$9,C376/B376,C376)</f>
        <v>#DIV/0!</v>
      </c>
      <c r="E376" s="74" t="e">
        <f t="shared" ca="1" si="12"/>
        <v>#N/A</v>
      </c>
      <c r="F376" s="75">
        <f ca="1">INDIRECT(ADDRESS($A376,1,3,1,Menus!$K$10))</f>
        <v>0</v>
      </c>
      <c r="G376" s="2" t="e">
        <f ca="1">IF(INDIRECT(ADDRESS($A376,2,3,1,Menus!$K$10))=G$1,$D376,#N/A)</f>
        <v>#N/A</v>
      </c>
      <c r="H376" s="2" t="e">
        <f ca="1">IF(INDIRECT(ADDRESS($A376,2,3,1,Menus!$K$10))=H$1,$D376,#N/A)</f>
        <v>#N/A</v>
      </c>
      <c r="I376" s="2" t="e">
        <f ca="1">IF(INDIRECT(ADDRESS($A376,2,3,1,Menus!$K$10))=I$1,$D376,#N/A)</f>
        <v>#N/A</v>
      </c>
      <c r="J376" s="2" t="e">
        <f ca="1">IF(INDIRECT(ADDRESS($A376,1,3,1,Menus!$K$10))=T(J$1),$D376,#N/A)</f>
        <v>#N/A</v>
      </c>
      <c r="K376" s="10">
        <f t="shared" ca="1" si="11"/>
        <v>0</v>
      </c>
      <c r="L376" s="2"/>
      <c r="M376" s="85">
        <f ca="1">OFFSET(INDIRECT(ADDRESS($A376,3,3,1,"Gross")),0,Menus!$J$4)</f>
        <v>0</v>
      </c>
      <c r="N376" s="85">
        <f ca="1">OFFSET(INDIRECT(ADDRESS($A376,3,3,1,"Gross")),0,Menus!$J$3)</f>
        <v>0</v>
      </c>
    </row>
    <row r="377" spans="1:14" x14ac:dyDescent="0.25">
      <c r="A377">
        <v>414</v>
      </c>
      <c r="B377" s="2">
        <f ca="1">OFFSET(INDIRECT(ADDRESS($A377,3,3,1,Menus!$K$10)),0,Menus!$J$4)</f>
        <v>0</v>
      </c>
      <c r="C377" s="2">
        <f ca="1">OFFSET(INDIRECT(ADDRESS($A377,3,3,1,Menus!$K$10)),0,Menus!$J$3)</f>
        <v>0</v>
      </c>
      <c r="D377" s="73" t="e">
        <f ca="1">IF(Menus!$J$9,C377/B377,C377)</f>
        <v>#DIV/0!</v>
      </c>
      <c r="E377" s="74" t="e">
        <f t="shared" ca="1" si="12"/>
        <v>#N/A</v>
      </c>
      <c r="F377" s="75">
        <f ca="1">INDIRECT(ADDRESS($A377,1,3,1,Menus!$K$10))</f>
        <v>0</v>
      </c>
      <c r="G377" s="2" t="e">
        <f ca="1">IF(INDIRECT(ADDRESS($A377,2,3,1,Menus!$K$10))=G$1,$D377,#N/A)</f>
        <v>#N/A</v>
      </c>
      <c r="H377" s="2" t="e">
        <f ca="1">IF(INDIRECT(ADDRESS($A377,2,3,1,Menus!$K$10))=H$1,$D377,#N/A)</f>
        <v>#N/A</v>
      </c>
      <c r="I377" s="2" t="e">
        <f ca="1">IF(INDIRECT(ADDRESS($A377,2,3,1,Menus!$K$10))=I$1,$D377,#N/A)</f>
        <v>#N/A</v>
      </c>
      <c r="J377" s="2" t="e">
        <f ca="1">IF(INDIRECT(ADDRESS($A377,1,3,1,Menus!$K$10))=T(J$1),$D377,#N/A)</f>
        <v>#N/A</v>
      </c>
      <c r="K377" s="10">
        <f t="shared" ca="1" si="11"/>
        <v>0</v>
      </c>
      <c r="L377" s="2"/>
      <c r="M377" s="85">
        <f ca="1">OFFSET(INDIRECT(ADDRESS($A377,3,3,1,"Gross")),0,Menus!$J$4)</f>
        <v>0</v>
      </c>
      <c r="N377" s="85">
        <f ca="1">OFFSET(INDIRECT(ADDRESS($A377,3,3,1,"Gross")),0,Menus!$J$3)</f>
        <v>0</v>
      </c>
    </row>
    <row r="378" spans="1:14" x14ac:dyDescent="0.25">
      <c r="A378">
        <v>415</v>
      </c>
      <c r="B378" s="2">
        <f ca="1">OFFSET(INDIRECT(ADDRESS($A378,3,3,1,Menus!$K$10)),0,Menus!$J$4)</f>
        <v>0</v>
      </c>
      <c r="C378" s="2">
        <f ca="1">OFFSET(INDIRECT(ADDRESS($A378,3,3,1,Menus!$K$10)),0,Menus!$J$3)</f>
        <v>0</v>
      </c>
      <c r="D378" s="73" t="e">
        <f ca="1">IF(Menus!$J$9,C378/B378,C378)</f>
        <v>#DIV/0!</v>
      </c>
      <c r="E378" s="74" t="e">
        <f t="shared" ca="1" si="12"/>
        <v>#N/A</v>
      </c>
      <c r="F378" s="75">
        <f ca="1">INDIRECT(ADDRESS($A378,1,3,1,Menus!$K$10))</f>
        <v>0</v>
      </c>
      <c r="G378" s="2" t="e">
        <f ca="1">IF(INDIRECT(ADDRESS($A378,2,3,1,Menus!$K$10))=G$1,$D378,#N/A)</f>
        <v>#N/A</v>
      </c>
      <c r="H378" s="2" t="e">
        <f ca="1">IF(INDIRECT(ADDRESS($A378,2,3,1,Menus!$K$10))=H$1,$D378,#N/A)</f>
        <v>#N/A</v>
      </c>
      <c r="I378" s="2" t="e">
        <f ca="1">IF(INDIRECT(ADDRESS($A378,2,3,1,Menus!$K$10))=I$1,$D378,#N/A)</f>
        <v>#N/A</v>
      </c>
      <c r="J378" s="2" t="e">
        <f ca="1">IF(INDIRECT(ADDRESS($A378,1,3,1,Menus!$K$10))=T(J$1),$D378,#N/A)</f>
        <v>#N/A</v>
      </c>
      <c r="K378" s="10">
        <f t="shared" ca="1" si="11"/>
        <v>0</v>
      </c>
      <c r="L378" s="2"/>
      <c r="M378" s="85">
        <f ca="1">OFFSET(INDIRECT(ADDRESS($A378,3,3,1,"Gross")),0,Menus!$J$4)</f>
        <v>0</v>
      </c>
      <c r="N378" s="85">
        <f ca="1">OFFSET(INDIRECT(ADDRESS($A378,3,3,1,"Gross")),0,Menus!$J$3)</f>
        <v>0</v>
      </c>
    </row>
    <row r="379" spans="1:14" x14ac:dyDescent="0.25">
      <c r="A379">
        <v>416</v>
      </c>
      <c r="B379" s="2">
        <f ca="1">OFFSET(INDIRECT(ADDRESS($A379,3,3,1,Menus!$K$10)),0,Menus!$J$4)</f>
        <v>0</v>
      </c>
      <c r="C379" s="2">
        <f ca="1">OFFSET(INDIRECT(ADDRESS($A379,3,3,1,Menus!$K$10)),0,Menus!$J$3)</f>
        <v>0</v>
      </c>
      <c r="D379" s="73" t="e">
        <f ca="1">IF(Menus!$J$9,C379/B379,C379)</f>
        <v>#DIV/0!</v>
      </c>
      <c r="E379" s="74" t="e">
        <f t="shared" ca="1" si="12"/>
        <v>#N/A</v>
      </c>
      <c r="F379" s="75">
        <f ca="1">INDIRECT(ADDRESS($A379,1,3,1,Menus!$K$10))</f>
        <v>0</v>
      </c>
      <c r="G379" s="2" t="e">
        <f ca="1">IF(INDIRECT(ADDRESS($A379,2,3,1,Menus!$K$10))=G$1,$D379,#N/A)</f>
        <v>#N/A</v>
      </c>
      <c r="H379" s="2" t="e">
        <f ca="1">IF(INDIRECT(ADDRESS($A379,2,3,1,Menus!$K$10))=H$1,$D379,#N/A)</f>
        <v>#N/A</v>
      </c>
      <c r="I379" s="2" t="e">
        <f ca="1">IF(INDIRECT(ADDRESS($A379,2,3,1,Menus!$K$10))=I$1,$D379,#N/A)</f>
        <v>#N/A</v>
      </c>
      <c r="J379" s="2" t="e">
        <f ca="1">IF(INDIRECT(ADDRESS($A379,1,3,1,Menus!$K$10))=T(J$1),$D379,#N/A)</f>
        <v>#N/A</v>
      </c>
      <c r="K379" s="10">
        <f t="shared" ca="1" si="11"/>
        <v>0</v>
      </c>
      <c r="L379" s="2"/>
      <c r="M379" s="85">
        <f ca="1">OFFSET(INDIRECT(ADDRESS($A379,3,3,1,"Gross")),0,Menus!$J$4)</f>
        <v>0</v>
      </c>
      <c r="N379" s="85">
        <f ca="1">OFFSET(INDIRECT(ADDRESS($A379,3,3,1,"Gross")),0,Menus!$J$3)</f>
        <v>0</v>
      </c>
    </row>
    <row r="380" spans="1:14" x14ac:dyDescent="0.25">
      <c r="A380">
        <v>417</v>
      </c>
      <c r="B380" s="2">
        <f ca="1">OFFSET(INDIRECT(ADDRESS($A380,3,3,1,Menus!$K$10)),0,Menus!$J$4)</f>
        <v>0</v>
      </c>
      <c r="C380" s="2">
        <f ca="1">OFFSET(INDIRECT(ADDRESS($A380,3,3,1,Menus!$K$10)),0,Menus!$J$3)</f>
        <v>0</v>
      </c>
      <c r="D380" s="73" t="e">
        <f ca="1">IF(Menus!$J$9,C380/B380,C380)</f>
        <v>#DIV/0!</v>
      </c>
      <c r="E380" s="74" t="e">
        <f t="shared" ca="1" si="12"/>
        <v>#N/A</v>
      </c>
      <c r="F380" s="75">
        <f ca="1">INDIRECT(ADDRESS($A380,1,3,1,Menus!$K$10))</f>
        <v>0</v>
      </c>
      <c r="G380" s="2" t="e">
        <f ca="1">IF(INDIRECT(ADDRESS($A380,2,3,1,Menus!$K$10))=G$1,$D380,#N/A)</f>
        <v>#N/A</v>
      </c>
      <c r="H380" s="2" t="e">
        <f ca="1">IF(INDIRECT(ADDRESS($A380,2,3,1,Menus!$K$10))=H$1,$D380,#N/A)</f>
        <v>#N/A</v>
      </c>
      <c r="I380" s="2" t="e">
        <f ca="1">IF(INDIRECT(ADDRESS($A380,2,3,1,Menus!$K$10))=I$1,$D380,#N/A)</f>
        <v>#N/A</v>
      </c>
      <c r="J380" s="2" t="e">
        <f ca="1">IF(INDIRECT(ADDRESS($A380,1,3,1,Menus!$K$10))=T(J$1),$D380,#N/A)</f>
        <v>#N/A</v>
      </c>
      <c r="K380" s="10">
        <f t="shared" ca="1" si="11"/>
        <v>0</v>
      </c>
      <c r="L380" s="2"/>
      <c r="M380" s="85">
        <f ca="1">OFFSET(INDIRECT(ADDRESS($A380,3,3,1,"Gross")),0,Menus!$J$4)</f>
        <v>0</v>
      </c>
      <c r="N380" s="85">
        <f ca="1">OFFSET(INDIRECT(ADDRESS($A380,3,3,1,"Gross")),0,Menus!$J$3)</f>
        <v>0</v>
      </c>
    </row>
    <row r="381" spans="1:14" x14ac:dyDescent="0.25">
      <c r="A381">
        <v>418</v>
      </c>
      <c r="B381" s="2">
        <f ca="1">OFFSET(INDIRECT(ADDRESS($A381,3,3,1,Menus!$K$10)),0,Menus!$J$4)</f>
        <v>0</v>
      </c>
      <c r="C381" s="2">
        <f ca="1">OFFSET(INDIRECT(ADDRESS($A381,3,3,1,Menus!$K$10)),0,Menus!$J$3)</f>
        <v>0</v>
      </c>
      <c r="D381" s="73" t="e">
        <f ca="1">IF(Menus!$J$9,C381/B381,C381)</f>
        <v>#DIV/0!</v>
      </c>
      <c r="E381" s="74" t="e">
        <f t="shared" ca="1" si="12"/>
        <v>#N/A</v>
      </c>
      <c r="F381" s="75">
        <f ca="1">INDIRECT(ADDRESS($A381,1,3,1,Menus!$K$10))</f>
        <v>0</v>
      </c>
      <c r="G381" s="2" t="e">
        <f ca="1">IF(INDIRECT(ADDRESS($A381,2,3,1,Menus!$K$10))=G$1,$D381,#N/A)</f>
        <v>#N/A</v>
      </c>
      <c r="H381" s="2" t="e">
        <f ca="1">IF(INDIRECT(ADDRESS($A381,2,3,1,Menus!$K$10))=H$1,$D381,#N/A)</f>
        <v>#N/A</v>
      </c>
      <c r="I381" s="2" t="e">
        <f ca="1">IF(INDIRECT(ADDRESS($A381,2,3,1,Menus!$K$10))=I$1,$D381,#N/A)</f>
        <v>#N/A</v>
      </c>
      <c r="J381" s="2" t="e">
        <f ca="1">IF(INDIRECT(ADDRESS($A381,1,3,1,Menus!$K$10))=T(J$1),$D381,#N/A)</f>
        <v>#N/A</v>
      </c>
      <c r="K381" s="10">
        <f t="shared" ca="1" si="11"/>
        <v>0</v>
      </c>
      <c r="L381" s="2"/>
      <c r="M381" s="85">
        <f ca="1">OFFSET(INDIRECT(ADDRESS($A381,3,3,1,"Gross")),0,Menus!$J$4)</f>
        <v>0</v>
      </c>
      <c r="N381" s="85">
        <f ca="1">OFFSET(INDIRECT(ADDRESS($A381,3,3,1,"Gross")),0,Menus!$J$3)</f>
        <v>0</v>
      </c>
    </row>
    <row r="382" spans="1:14" x14ac:dyDescent="0.25">
      <c r="A382">
        <v>419</v>
      </c>
      <c r="B382" s="2">
        <f ca="1">OFFSET(INDIRECT(ADDRESS($A382,3,3,1,Menus!$K$10)),0,Menus!$J$4)</f>
        <v>0</v>
      </c>
      <c r="C382" s="2">
        <f ca="1">OFFSET(INDIRECT(ADDRESS($A382,3,3,1,Menus!$K$10)),0,Menus!$J$3)</f>
        <v>0</v>
      </c>
      <c r="D382" s="73" t="e">
        <f ca="1">IF(Menus!$J$9,C382/B382,C382)</f>
        <v>#DIV/0!</v>
      </c>
      <c r="E382" s="74" t="e">
        <f t="shared" ca="1" si="12"/>
        <v>#N/A</v>
      </c>
      <c r="F382" s="75">
        <f ca="1">INDIRECT(ADDRESS($A382,1,3,1,Menus!$K$10))</f>
        <v>0</v>
      </c>
      <c r="G382" s="2" t="e">
        <f ca="1">IF(INDIRECT(ADDRESS($A382,2,3,1,Menus!$K$10))=G$1,$D382,#N/A)</f>
        <v>#N/A</v>
      </c>
      <c r="H382" s="2" t="e">
        <f ca="1">IF(INDIRECT(ADDRESS($A382,2,3,1,Menus!$K$10))=H$1,$D382,#N/A)</f>
        <v>#N/A</v>
      </c>
      <c r="I382" s="2" t="e">
        <f ca="1">IF(INDIRECT(ADDRESS($A382,2,3,1,Menus!$K$10))=I$1,$D382,#N/A)</f>
        <v>#N/A</v>
      </c>
      <c r="J382" s="2" t="e">
        <f ca="1">IF(INDIRECT(ADDRESS($A382,1,3,1,Menus!$K$10))=T(J$1),$D382,#N/A)</f>
        <v>#N/A</v>
      </c>
      <c r="K382" s="10">
        <f t="shared" ca="1" si="11"/>
        <v>0</v>
      </c>
      <c r="L382" s="2"/>
      <c r="M382" s="85">
        <f ca="1">OFFSET(INDIRECT(ADDRESS($A382,3,3,1,"Gross")),0,Menus!$J$4)</f>
        <v>0</v>
      </c>
      <c r="N382" s="85">
        <f ca="1">OFFSET(INDIRECT(ADDRESS($A382,3,3,1,"Gross")),0,Menus!$J$3)</f>
        <v>0</v>
      </c>
    </row>
    <row r="383" spans="1:14" x14ac:dyDescent="0.25">
      <c r="A383">
        <v>420</v>
      </c>
      <c r="B383" s="2">
        <f ca="1">OFFSET(INDIRECT(ADDRESS($A383,3,3,1,Menus!$K$10)),0,Menus!$J$4)</f>
        <v>0</v>
      </c>
      <c r="C383" s="2">
        <f ca="1">OFFSET(INDIRECT(ADDRESS($A383,3,3,1,Menus!$K$10)),0,Menus!$J$3)</f>
        <v>0</v>
      </c>
      <c r="D383" s="73" t="e">
        <f ca="1">IF(Menus!$J$9,C383/B383,C383)</f>
        <v>#DIV/0!</v>
      </c>
      <c r="E383" s="74" t="e">
        <f t="shared" ca="1" si="12"/>
        <v>#N/A</v>
      </c>
      <c r="F383" s="75">
        <f ca="1">INDIRECT(ADDRESS($A383,1,3,1,Menus!$K$10))</f>
        <v>0</v>
      </c>
      <c r="G383" s="2" t="e">
        <f ca="1">IF(INDIRECT(ADDRESS($A383,2,3,1,Menus!$K$10))=G$1,$D383,#N/A)</f>
        <v>#N/A</v>
      </c>
      <c r="H383" s="2" t="e">
        <f ca="1">IF(INDIRECT(ADDRESS($A383,2,3,1,Menus!$K$10))=H$1,$D383,#N/A)</f>
        <v>#N/A</v>
      </c>
      <c r="I383" s="2" t="e">
        <f ca="1">IF(INDIRECT(ADDRESS($A383,2,3,1,Menus!$K$10))=I$1,$D383,#N/A)</f>
        <v>#N/A</v>
      </c>
      <c r="J383" s="2" t="e">
        <f ca="1">IF(INDIRECT(ADDRESS($A383,1,3,1,Menus!$K$10))=T(J$1),$D383,#N/A)</f>
        <v>#N/A</v>
      </c>
      <c r="K383" s="10">
        <f t="shared" ca="1" si="11"/>
        <v>0</v>
      </c>
      <c r="L383" s="2"/>
      <c r="M383" s="85">
        <f ca="1">OFFSET(INDIRECT(ADDRESS($A383,3,3,1,"Gross")),0,Menus!$J$4)</f>
        <v>0</v>
      </c>
      <c r="N383" s="85">
        <f ca="1">OFFSET(INDIRECT(ADDRESS($A383,3,3,1,"Gross")),0,Menus!$J$3)</f>
        <v>0</v>
      </c>
    </row>
    <row r="384" spans="1:14" x14ac:dyDescent="0.25">
      <c r="A384">
        <v>421</v>
      </c>
      <c r="B384" s="2">
        <f ca="1">OFFSET(INDIRECT(ADDRESS($A384,3,3,1,Menus!$K$10)),0,Menus!$J$4)</f>
        <v>0</v>
      </c>
      <c r="C384" s="2">
        <f ca="1">OFFSET(INDIRECT(ADDRESS($A384,3,3,1,Menus!$K$10)),0,Menus!$J$3)</f>
        <v>0</v>
      </c>
      <c r="D384" s="73" t="e">
        <f ca="1">IF(Menus!$J$9,C384/B384,C384)</f>
        <v>#DIV/0!</v>
      </c>
      <c r="E384" s="74" t="e">
        <f t="shared" ca="1" si="12"/>
        <v>#N/A</v>
      </c>
      <c r="F384" s="75">
        <f ca="1">INDIRECT(ADDRESS($A384,1,3,1,Menus!$K$10))</f>
        <v>0</v>
      </c>
      <c r="G384" s="2" t="e">
        <f ca="1">IF(INDIRECT(ADDRESS($A384,2,3,1,Menus!$K$10))=G$1,$D384,#N/A)</f>
        <v>#N/A</v>
      </c>
      <c r="H384" s="2" t="e">
        <f ca="1">IF(INDIRECT(ADDRESS($A384,2,3,1,Menus!$K$10))=H$1,$D384,#N/A)</f>
        <v>#N/A</v>
      </c>
      <c r="I384" s="2" t="e">
        <f ca="1">IF(INDIRECT(ADDRESS($A384,2,3,1,Menus!$K$10))=I$1,$D384,#N/A)</f>
        <v>#N/A</v>
      </c>
      <c r="J384" s="2" t="e">
        <f ca="1">IF(INDIRECT(ADDRESS($A384,1,3,1,Menus!$K$10))=T(J$1),$D384,#N/A)</f>
        <v>#N/A</v>
      </c>
      <c r="K384" s="10">
        <f t="shared" ca="1" si="11"/>
        <v>0</v>
      </c>
      <c r="L384" s="2"/>
      <c r="M384" s="85">
        <f ca="1">OFFSET(INDIRECT(ADDRESS($A384,3,3,1,"Gross")),0,Menus!$J$4)</f>
        <v>0</v>
      </c>
      <c r="N384" s="85">
        <f ca="1">OFFSET(INDIRECT(ADDRESS($A384,3,3,1,"Gross")),0,Menus!$J$3)</f>
        <v>0</v>
      </c>
    </row>
    <row r="385" spans="1:14" x14ac:dyDescent="0.25">
      <c r="A385">
        <v>422</v>
      </c>
      <c r="B385" s="2">
        <f ca="1">OFFSET(INDIRECT(ADDRESS($A385,3,3,1,Menus!$K$10)),0,Menus!$J$4)</f>
        <v>0</v>
      </c>
      <c r="C385" s="2">
        <f ca="1">OFFSET(INDIRECT(ADDRESS($A385,3,3,1,Menus!$K$10)),0,Menus!$J$3)</f>
        <v>0</v>
      </c>
      <c r="D385" s="73" t="e">
        <f ca="1">IF(Menus!$J$9,C385/B385,C385)</f>
        <v>#DIV/0!</v>
      </c>
      <c r="E385" s="74" t="e">
        <f t="shared" ca="1" si="12"/>
        <v>#N/A</v>
      </c>
      <c r="F385" s="75">
        <f ca="1">INDIRECT(ADDRESS($A385,1,3,1,Menus!$K$10))</f>
        <v>0</v>
      </c>
      <c r="G385" s="2" t="e">
        <f ca="1">IF(INDIRECT(ADDRESS($A385,2,3,1,Menus!$K$10))=G$1,$D385,#N/A)</f>
        <v>#N/A</v>
      </c>
      <c r="H385" s="2" t="e">
        <f ca="1">IF(INDIRECT(ADDRESS($A385,2,3,1,Menus!$K$10))=H$1,$D385,#N/A)</f>
        <v>#N/A</v>
      </c>
      <c r="I385" s="2" t="e">
        <f ca="1">IF(INDIRECT(ADDRESS($A385,2,3,1,Menus!$K$10))=I$1,$D385,#N/A)</f>
        <v>#N/A</v>
      </c>
      <c r="J385" s="2" t="e">
        <f ca="1">IF(INDIRECT(ADDRESS($A385,1,3,1,Menus!$K$10))=T(J$1),$D385,#N/A)</f>
        <v>#N/A</v>
      </c>
      <c r="K385" s="10">
        <f t="shared" ca="1" si="11"/>
        <v>0</v>
      </c>
      <c r="L385" s="2"/>
      <c r="M385" s="85">
        <f ca="1">OFFSET(INDIRECT(ADDRESS($A385,3,3,1,"Gross")),0,Menus!$J$4)</f>
        <v>0</v>
      </c>
      <c r="N385" s="85">
        <f ca="1">OFFSET(INDIRECT(ADDRESS($A385,3,3,1,"Gross")),0,Menus!$J$3)</f>
        <v>0</v>
      </c>
    </row>
    <row r="386" spans="1:14" x14ac:dyDescent="0.25">
      <c r="A386">
        <v>423</v>
      </c>
      <c r="B386" s="2">
        <f ca="1">OFFSET(INDIRECT(ADDRESS($A386,3,3,1,Menus!$K$10)),0,Menus!$J$4)</f>
        <v>0</v>
      </c>
      <c r="C386" s="2">
        <f ca="1">OFFSET(INDIRECT(ADDRESS($A386,3,3,1,Menus!$K$10)),0,Menus!$J$3)</f>
        <v>0</v>
      </c>
      <c r="D386" s="73" t="e">
        <f ca="1">IF(Menus!$J$9,C386/B386,C386)</f>
        <v>#DIV/0!</v>
      </c>
      <c r="E386" s="74" t="e">
        <f t="shared" ca="1" si="12"/>
        <v>#N/A</v>
      </c>
      <c r="F386" s="75">
        <f ca="1">INDIRECT(ADDRESS($A386,1,3,1,Menus!$K$10))</f>
        <v>0</v>
      </c>
      <c r="G386" s="2" t="e">
        <f ca="1">IF(INDIRECT(ADDRESS($A386,2,3,1,Menus!$K$10))=G$1,$D386,#N/A)</f>
        <v>#N/A</v>
      </c>
      <c r="H386" s="2" t="e">
        <f ca="1">IF(INDIRECT(ADDRESS($A386,2,3,1,Menus!$K$10))=H$1,$D386,#N/A)</f>
        <v>#N/A</v>
      </c>
      <c r="I386" s="2" t="e">
        <f ca="1">IF(INDIRECT(ADDRESS($A386,2,3,1,Menus!$K$10))=I$1,$D386,#N/A)</f>
        <v>#N/A</v>
      </c>
      <c r="J386" s="2" t="e">
        <f ca="1">IF(INDIRECT(ADDRESS($A386,1,3,1,Menus!$K$10))=T(J$1),$D386,#N/A)</f>
        <v>#N/A</v>
      </c>
      <c r="K386" s="10">
        <f t="shared" ref="K386:K449" ca="1" si="13">IF(OR(ISNUMBER($G386),ISNUMBER($H386),ISNUMBER($I386),ISNUMBER($J386)),1,0)</f>
        <v>0</v>
      </c>
      <c r="L386" s="2"/>
      <c r="M386" s="85">
        <f ca="1">OFFSET(INDIRECT(ADDRESS($A386,3,3,1,"Gross")),0,Menus!$J$4)</f>
        <v>0</v>
      </c>
      <c r="N386" s="85">
        <f ca="1">OFFSET(INDIRECT(ADDRESS($A386,3,3,1,"Gross")),0,Menus!$J$3)</f>
        <v>0</v>
      </c>
    </row>
    <row r="387" spans="1:14" x14ac:dyDescent="0.25">
      <c r="A387">
        <v>424</v>
      </c>
      <c r="B387" s="2">
        <f ca="1">OFFSET(INDIRECT(ADDRESS($A387,3,3,1,Menus!$K$10)),0,Menus!$J$4)</f>
        <v>0</v>
      </c>
      <c r="C387" s="2">
        <f ca="1">OFFSET(INDIRECT(ADDRESS($A387,3,3,1,Menus!$K$10)),0,Menus!$J$3)</f>
        <v>0</v>
      </c>
      <c r="D387" s="73" t="e">
        <f ca="1">IF(Menus!$J$9,C387/B387,C387)</f>
        <v>#DIV/0!</v>
      </c>
      <c r="E387" s="74" t="e">
        <f t="shared" ref="E387:E450" ca="1" si="14">IF($K387=1,VALUE(B387),#N/A)</f>
        <v>#N/A</v>
      </c>
      <c r="F387" s="75">
        <f ca="1">INDIRECT(ADDRESS($A387,1,3,1,Menus!$K$10))</f>
        <v>0</v>
      </c>
      <c r="G387" s="2" t="e">
        <f ca="1">IF(INDIRECT(ADDRESS($A387,2,3,1,Menus!$K$10))=G$1,$D387,#N/A)</f>
        <v>#N/A</v>
      </c>
      <c r="H387" s="2" t="e">
        <f ca="1">IF(INDIRECT(ADDRESS($A387,2,3,1,Menus!$K$10))=H$1,$D387,#N/A)</f>
        <v>#N/A</v>
      </c>
      <c r="I387" s="2" t="e">
        <f ca="1">IF(INDIRECT(ADDRESS($A387,2,3,1,Menus!$K$10))=I$1,$D387,#N/A)</f>
        <v>#N/A</v>
      </c>
      <c r="J387" s="2" t="e">
        <f ca="1">IF(INDIRECT(ADDRESS($A387,1,3,1,Menus!$K$10))=T(J$1),$D387,#N/A)</f>
        <v>#N/A</v>
      </c>
      <c r="K387" s="10">
        <f t="shared" ca="1" si="13"/>
        <v>0</v>
      </c>
      <c r="L387" s="2"/>
      <c r="M387" s="85">
        <f ca="1">OFFSET(INDIRECT(ADDRESS($A387,3,3,1,"Gross")),0,Menus!$J$4)</f>
        <v>0</v>
      </c>
      <c r="N387" s="85">
        <f ca="1">OFFSET(INDIRECT(ADDRESS($A387,3,3,1,"Gross")),0,Menus!$J$3)</f>
        <v>0</v>
      </c>
    </row>
    <row r="388" spans="1:14" x14ac:dyDescent="0.25">
      <c r="A388">
        <v>425</v>
      </c>
      <c r="B388" s="2">
        <f ca="1">OFFSET(INDIRECT(ADDRESS($A388,3,3,1,Menus!$K$10)),0,Menus!$J$4)</f>
        <v>0</v>
      </c>
      <c r="C388" s="2">
        <f ca="1">OFFSET(INDIRECT(ADDRESS($A388,3,3,1,Menus!$K$10)),0,Menus!$J$3)</f>
        <v>0</v>
      </c>
      <c r="D388" s="73" t="e">
        <f ca="1">IF(Menus!$J$9,C388/B388,C388)</f>
        <v>#DIV/0!</v>
      </c>
      <c r="E388" s="74" t="e">
        <f t="shared" ca="1" si="14"/>
        <v>#N/A</v>
      </c>
      <c r="F388" s="75">
        <f ca="1">INDIRECT(ADDRESS($A388,1,3,1,Menus!$K$10))</f>
        <v>0</v>
      </c>
      <c r="G388" s="2" t="e">
        <f ca="1">IF(INDIRECT(ADDRESS($A388,2,3,1,Menus!$K$10))=G$1,$D388,#N/A)</f>
        <v>#N/A</v>
      </c>
      <c r="H388" s="2" t="e">
        <f ca="1">IF(INDIRECT(ADDRESS($A388,2,3,1,Menus!$K$10))=H$1,$D388,#N/A)</f>
        <v>#N/A</v>
      </c>
      <c r="I388" s="2" t="e">
        <f ca="1">IF(INDIRECT(ADDRESS($A388,2,3,1,Menus!$K$10))=I$1,$D388,#N/A)</f>
        <v>#N/A</v>
      </c>
      <c r="J388" s="2" t="e">
        <f ca="1">IF(INDIRECT(ADDRESS($A388,1,3,1,Menus!$K$10))=T(J$1),$D388,#N/A)</f>
        <v>#N/A</v>
      </c>
      <c r="K388" s="10">
        <f t="shared" ca="1" si="13"/>
        <v>0</v>
      </c>
      <c r="L388" s="2"/>
      <c r="M388" s="85">
        <f ca="1">OFFSET(INDIRECT(ADDRESS($A388,3,3,1,"Gross")),0,Menus!$J$4)</f>
        <v>0</v>
      </c>
      <c r="N388" s="85">
        <f ca="1">OFFSET(INDIRECT(ADDRESS($A388,3,3,1,"Gross")),0,Menus!$J$3)</f>
        <v>0</v>
      </c>
    </row>
    <row r="389" spans="1:14" x14ac:dyDescent="0.25">
      <c r="A389">
        <v>426</v>
      </c>
      <c r="B389" s="2">
        <f ca="1">OFFSET(INDIRECT(ADDRESS($A389,3,3,1,Menus!$K$10)),0,Menus!$J$4)</f>
        <v>0</v>
      </c>
      <c r="C389" s="2">
        <f ca="1">OFFSET(INDIRECT(ADDRESS($A389,3,3,1,Menus!$K$10)),0,Menus!$J$3)</f>
        <v>0</v>
      </c>
      <c r="D389" s="73" t="e">
        <f ca="1">IF(Menus!$J$9,C389/B389,C389)</f>
        <v>#DIV/0!</v>
      </c>
      <c r="E389" s="74" t="e">
        <f t="shared" ca="1" si="14"/>
        <v>#N/A</v>
      </c>
      <c r="F389" s="75">
        <f ca="1">INDIRECT(ADDRESS($A389,1,3,1,Menus!$K$10))</f>
        <v>0</v>
      </c>
      <c r="G389" s="2" t="e">
        <f ca="1">IF(INDIRECT(ADDRESS($A389,2,3,1,Menus!$K$10))=G$1,$D389,#N/A)</f>
        <v>#N/A</v>
      </c>
      <c r="H389" s="2" t="e">
        <f ca="1">IF(INDIRECT(ADDRESS($A389,2,3,1,Menus!$K$10))=H$1,$D389,#N/A)</f>
        <v>#N/A</v>
      </c>
      <c r="I389" s="2" t="e">
        <f ca="1">IF(INDIRECT(ADDRESS($A389,2,3,1,Menus!$K$10))=I$1,$D389,#N/A)</f>
        <v>#N/A</v>
      </c>
      <c r="J389" s="2" t="e">
        <f ca="1">IF(INDIRECT(ADDRESS($A389,1,3,1,Menus!$K$10))=T(J$1),$D389,#N/A)</f>
        <v>#N/A</v>
      </c>
      <c r="K389" s="10">
        <f t="shared" ca="1" si="13"/>
        <v>0</v>
      </c>
      <c r="L389" s="2"/>
      <c r="M389" s="85">
        <f ca="1">OFFSET(INDIRECT(ADDRESS($A389,3,3,1,"Gross")),0,Menus!$J$4)</f>
        <v>0</v>
      </c>
      <c r="N389" s="85">
        <f ca="1">OFFSET(INDIRECT(ADDRESS($A389,3,3,1,"Gross")),0,Menus!$J$3)</f>
        <v>0</v>
      </c>
    </row>
    <row r="390" spans="1:14" x14ac:dyDescent="0.25">
      <c r="A390">
        <v>427</v>
      </c>
      <c r="B390" s="2">
        <f ca="1">OFFSET(INDIRECT(ADDRESS($A390,3,3,1,Menus!$K$10)),0,Menus!$J$4)</f>
        <v>0</v>
      </c>
      <c r="C390" s="2">
        <f ca="1">OFFSET(INDIRECT(ADDRESS($A390,3,3,1,Menus!$K$10)),0,Menus!$J$3)</f>
        <v>0</v>
      </c>
      <c r="D390" s="73" t="e">
        <f ca="1">IF(Menus!$J$9,C390/B390,C390)</f>
        <v>#DIV/0!</v>
      </c>
      <c r="E390" s="74" t="e">
        <f t="shared" ca="1" si="14"/>
        <v>#N/A</v>
      </c>
      <c r="F390" s="75">
        <f ca="1">INDIRECT(ADDRESS($A390,1,3,1,Menus!$K$10))</f>
        <v>0</v>
      </c>
      <c r="G390" s="2" t="e">
        <f ca="1">IF(INDIRECT(ADDRESS($A390,2,3,1,Menus!$K$10))=G$1,$D390,#N/A)</f>
        <v>#N/A</v>
      </c>
      <c r="H390" s="2" t="e">
        <f ca="1">IF(INDIRECT(ADDRESS($A390,2,3,1,Menus!$K$10))=H$1,$D390,#N/A)</f>
        <v>#N/A</v>
      </c>
      <c r="I390" s="2" t="e">
        <f ca="1">IF(INDIRECT(ADDRESS($A390,2,3,1,Menus!$K$10))=I$1,$D390,#N/A)</f>
        <v>#N/A</v>
      </c>
      <c r="J390" s="2" t="e">
        <f ca="1">IF(INDIRECT(ADDRESS($A390,1,3,1,Menus!$K$10))=T(J$1),$D390,#N/A)</f>
        <v>#N/A</v>
      </c>
      <c r="K390" s="10">
        <f t="shared" ca="1" si="13"/>
        <v>0</v>
      </c>
      <c r="L390" s="2"/>
      <c r="M390" s="85">
        <f ca="1">OFFSET(INDIRECT(ADDRESS($A390,3,3,1,"Gross")),0,Menus!$J$4)</f>
        <v>0</v>
      </c>
      <c r="N390" s="85">
        <f ca="1">OFFSET(INDIRECT(ADDRESS($A390,3,3,1,"Gross")),0,Menus!$J$3)</f>
        <v>0</v>
      </c>
    </row>
    <row r="391" spans="1:14" x14ac:dyDescent="0.25">
      <c r="A391">
        <v>428</v>
      </c>
      <c r="B391" s="2">
        <f ca="1">OFFSET(INDIRECT(ADDRESS($A391,3,3,1,Menus!$K$10)),0,Menus!$J$4)</f>
        <v>0</v>
      </c>
      <c r="C391" s="2">
        <f ca="1">OFFSET(INDIRECT(ADDRESS($A391,3,3,1,Menus!$K$10)),0,Menus!$J$3)</f>
        <v>0</v>
      </c>
      <c r="D391" s="73" t="e">
        <f ca="1">IF(Menus!$J$9,C391/B391,C391)</f>
        <v>#DIV/0!</v>
      </c>
      <c r="E391" s="74" t="e">
        <f t="shared" ca="1" si="14"/>
        <v>#N/A</v>
      </c>
      <c r="F391" s="75">
        <f ca="1">INDIRECT(ADDRESS($A391,1,3,1,Menus!$K$10))</f>
        <v>0</v>
      </c>
      <c r="G391" s="2" t="e">
        <f ca="1">IF(INDIRECT(ADDRESS($A391,2,3,1,Menus!$K$10))=G$1,$D391,#N/A)</f>
        <v>#N/A</v>
      </c>
      <c r="H391" s="2" t="e">
        <f ca="1">IF(INDIRECT(ADDRESS($A391,2,3,1,Menus!$K$10))=H$1,$D391,#N/A)</f>
        <v>#N/A</v>
      </c>
      <c r="I391" s="2" t="e">
        <f ca="1">IF(INDIRECT(ADDRESS($A391,2,3,1,Menus!$K$10))=I$1,$D391,#N/A)</f>
        <v>#N/A</v>
      </c>
      <c r="J391" s="2" t="e">
        <f ca="1">IF(INDIRECT(ADDRESS($A391,1,3,1,Menus!$K$10))=T(J$1),$D391,#N/A)</f>
        <v>#N/A</v>
      </c>
      <c r="K391" s="10">
        <f t="shared" ca="1" si="13"/>
        <v>0</v>
      </c>
      <c r="L391" s="2"/>
      <c r="M391" s="85">
        <f ca="1">OFFSET(INDIRECT(ADDRESS($A391,3,3,1,"Gross")),0,Menus!$J$4)</f>
        <v>0</v>
      </c>
      <c r="N391" s="85">
        <f ca="1">OFFSET(INDIRECT(ADDRESS($A391,3,3,1,"Gross")),0,Menus!$J$3)</f>
        <v>0</v>
      </c>
    </row>
    <row r="392" spans="1:14" x14ac:dyDescent="0.25">
      <c r="A392">
        <v>429</v>
      </c>
      <c r="B392" s="2">
        <f ca="1">OFFSET(INDIRECT(ADDRESS($A392,3,3,1,Menus!$K$10)),0,Menus!$J$4)</f>
        <v>0</v>
      </c>
      <c r="C392" s="2">
        <f ca="1">OFFSET(INDIRECT(ADDRESS($A392,3,3,1,Menus!$K$10)),0,Menus!$J$3)</f>
        <v>0</v>
      </c>
      <c r="D392" s="73" t="e">
        <f ca="1">IF(Menus!$J$9,C392/B392,C392)</f>
        <v>#DIV/0!</v>
      </c>
      <c r="E392" s="74" t="e">
        <f t="shared" ca="1" si="14"/>
        <v>#N/A</v>
      </c>
      <c r="F392" s="75">
        <f ca="1">INDIRECT(ADDRESS($A392,1,3,1,Menus!$K$10))</f>
        <v>0</v>
      </c>
      <c r="G392" s="2" t="e">
        <f ca="1">IF(INDIRECT(ADDRESS($A392,2,3,1,Menus!$K$10))=G$1,$D392,#N/A)</f>
        <v>#N/A</v>
      </c>
      <c r="H392" s="2" t="e">
        <f ca="1">IF(INDIRECT(ADDRESS($A392,2,3,1,Menus!$K$10))=H$1,$D392,#N/A)</f>
        <v>#N/A</v>
      </c>
      <c r="I392" s="2" t="e">
        <f ca="1">IF(INDIRECT(ADDRESS($A392,2,3,1,Menus!$K$10))=I$1,$D392,#N/A)</f>
        <v>#N/A</v>
      </c>
      <c r="J392" s="2" t="e">
        <f ca="1">IF(INDIRECT(ADDRESS($A392,1,3,1,Menus!$K$10))=T(J$1),$D392,#N/A)</f>
        <v>#N/A</v>
      </c>
      <c r="K392" s="10">
        <f t="shared" ca="1" si="13"/>
        <v>0</v>
      </c>
      <c r="L392" s="2"/>
      <c r="M392" s="85">
        <f ca="1">OFFSET(INDIRECT(ADDRESS($A392,3,3,1,"Gross")),0,Menus!$J$4)</f>
        <v>0</v>
      </c>
      <c r="N392" s="85">
        <f ca="1">OFFSET(INDIRECT(ADDRESS($A392,3,3,1,"Gross")),0,Menus!$J$3)</f>
        <v>0</v>
      </c>
    </row>
    <row r="393" spans="1:14" x14ac:dyDescent="0.25">
      <c r="A393">
        <v>430</v>
      </c>
      <c r="B393" s="2">
        <f ca="1">OFFSET(INDIRECT(ADDRESS($A393,3,3,1,Menus!$K$10)),0,Menus!$J$4)</f>
        <v>0</v>
      </c>
      <c r="C393" s="2">
        <f ca="1">OFFSET(INDIRECT(ADDRESS($A393,3,3,1,Menus!$K$10)),0,Menus!$J$3)</f>
        <v>0</v>
      </c>
      <c r="D393" s="73" t="e">
        <f ca="1">IF(Menus!$J$9,C393/B393,C393)</f>
        <v>#DIV/0!</v>
      </c>
      <c r="E393" s="74" t="e">
        <f t="shared" ca="1" si="14"/>
        <v>#N/A</v>
      </c>
      <c r="F393" s="75">
        <f ca="1">INDIRECT(ADDRESS($A393,1,3,1,Menus!$K$10))</f>
        <v>0</v>
      </c>
      <c r="G393" s="2" t="e">
        <f ca="1">IF(INDIRECT(ADDRESS($A393,2,3,1,Menus!$K$10))=G$1,$D393,#N/A)</f>
        <v>#N/A</v>
      </c>
      <c r="H393" s="2" t="e">
        <f ca="1">IF(INDIRECT(ADDRESS($A393,2,3,1,Menus!$K$10))=H$1,$D393,#N/A)</f>
        <v>#N/A</v>
      </c>
      <c r="I393" s="2" t="e">
        <f ca="1">IF(INDIRECT(ADDRESS($A393,2,3,1,Menus!$K$10))=I$1,$D393,#N/A)</f>
        <v>#N/A</v>
      </c>
      <c r="J393" s="2" t="e">
        <f ca="1">IF(INDIRECT(ADDRESS($A393,1,3,1,Menus!$K$10))=T(J$1),$D393,#N/A)</f>
        <v>#N/A</v>
      </c>
      <c r="K393" s="10">
        <f t="shared" ca="1" si="13"/>
        <v>0</v>
      </c>
      <c r="L393" s="2"/>
      <c r="M393" s="85">
        <f ca="1">OFFSET(INDIRECT(ADDRESS($A393,3,3,1,"Gross")),0,Menus!$J$4)</f>
        <v>0</v>
      </c>
      <c r="N393" s="85">
        <f ca="1">OFFSET(INDIRECT(ADDRESS($A393,3,3,1,"Gross")),0,Menus!$J$3)</f>
        <v>0</v>
      </c>
    </row>
    <row r="394" spans="1:14" x14ac:dyDescent="0.25">
      <c r="A394">
        <v>431</v>
      </c>
      <c r="B394" s="2">
        <f ca="1">OFFSET(INDIRECT(ADDRESS($A394,3,3,1,Menus!$K$10)),0,Menus!$J$4)</f>
        <v>0</v>
      </c>
      <c r="C394" s="2">
        <f ca="1">OFFSET(INDIRECT(ADDRESS($A394,3,3,1,Menus!$K$10)),0,Menus!$J$3)</f>
        <v>0</v>
      </c>
      <c r="D394" s="73" t="e">
        <f ca="1">IF(Menus!$J$9,C394/B394,C394)</f>
        <v>#DIV/0!</v>
      </c>
      <c r="E394" s="74" t="e">
        <f t="shared" ca="1" si="14"/>
        <v>#N/A</v>
      </c>
      <c r="F394" s="75">
        <f ca="1">INDIRECT(ADDRESS($A394,1,3,1,Menus!$K$10))</f>
        <v>0</v>
      </c>
      <c r="G394" s="2" t="e">
        <f ca="1">IF(INDIRECT(ADDRESS($A394,2,3,1,Menus!$K$10))=G$1,$D394,#N/A)</f>
        <v>#N/A</v>
      </c>
      <c r="H394" s="2" t="e">
        <f ca="1">IF(INDIRECT(ADDRESS($A394,2,3,1,Menus!$K$10))=H$1,$D394,#N/A)</f>
        <v>#N/A</v>
      </c>
      <c r="I394" s="2" t="e">
        <f ca="1">IF(INDIRECT(ADDRESS($A394,2,3,1,Menus!$K$10))=I$1,$D394,#N/A)</f>
        <v>#N/A</v>
      </c>
      <c r="J394" s="2" t="e">
        <f ca="1">IF(INDIRECT(ADDRESS($A394,1,3,1,Menus!$K$10))=T(J$1),$D394,#N/A)</f>
        <v>#N/A</v>
      </c>
      <c r="K394" s="10">
        <f t="shared" ca="1" si="13"/>
        <v>0</v>
      </c>
      <c r="L394" s="2"/>
      <c r="M394" s="85">
        <f ca="1">OFFSET(INDIRECT(ADDRESS($A394,3,3,1,"Gross")),0,Menus!$J$4)</f>
        <v>0</v>
      </c>
      <c r="N394" s="85">
        <f ca="1">OFFSET(INDIRECT(ADDRESS($A394,3,3,1,"Gross")),0,Menus!$J$3)</f>
        <v>0</v>
      </c>
    </row>
    <row r="395" spans="1:14" x14ac:dyDescent="0.25">
      <c r="A395">
        <v>432</v>
      </c>
      <c r="B395" s="2">
        <f ca="1">OFFSET(INDIRECT(ADDRESS($A395,3,3,1,Menus!$K$10)),0,Menus!$J$4)</f>
        <v>0</v>
      </c>
      <c r="C395" s="2">
        <f ca="1">OFFSET(INDIRECT(ADDRESS($A395,3,3,1,Menus!$K$10)),0,Menus!$J$3)</f>
        <v>0</v>
      </c>
      <c r="D395" s="73" t="e">
        <f ca="1">IF(Menus!$J$9,C395/B395,C395)</f>
        <v>#DIV/0!</v>
      </c>
      <c r="E395" s="74" t="e">
        <f t="shared" ca="1" si="14"/>
        <v>#N/A</v>
      </c>
      <c r="F395" s="75">
        <f ca="1">INDIRECT(ADDRESS($A395,1,3,1,Menus!$K$10))</f>
        <v>0</v>
      </c>
      <c r="G395" s="2" t="e">
        <f ca="1">IF(INDIRECT(ADDRESS($A395,2,3,1,Menus!$K$10))=G$1,$D395,#N/A)</f>
        <v>#N/A</v>
      </c>
      <c r="H395" s="2" t="e">
        <f ca="1">IF(INDIRECT(ADDRESS($A395,2,3,1,Menus!$K$10))=H$1,$D395,#N/A)</f>
        <v>#N/A</v>
      </c>
      <c r="I395" s="2" t="e">
        <f ca="1">IF(INDIRECT(ADDRESS($A395,2,3,1,Menus!$K$10))=I$1,$D395,#N/A)</f>
        <v>#N/A</v>
      </c>
      <c r="J395" s="2" t="e">
        <f ca="1">IF(INDIRECT(ADDRESS($A395,1,3,1,Menus!$K$10))=T(J$1),$D395,#N/A)</f>
        <v>#N/A</v>
      </c>
      <c r="K395" s="10">
        <f t="shared" ca="1" si="13"/>
        <v>0</v>
      </c>
      <c r="L395" s="2"/>
      <c r="M395" s="85">
        <f ca="1">OFFSET(INDIRECT(ADDRESS($A395,3,3,1,"Gross")),0,Menus!$J$4)</f>
        <v>0</v>
      </c>
      <c r="N395" s="85">
        <f ca="1">OFFSET(INDIRECT(ADDRESS($A395,3,3,1,"Gross")),0,Menus!$J$3)</f>
        <v>0</v>
      </c>
    </row>
    <row r="396" spans="1:14" x14ac:dyDescent="0.25">
      <c r="A396">
        <v>433</v>
      </c>
      <c r="B396" s="2">
        <f ca="1">OFFSET(INDIRECT(ADDRESS($A396,3,3,1,Menus!$K$10)),0,Menus!$J$4)</f>
        <v>0</v>
      </c>
      <c r="C396" s="2">
        <f ca="1">OFFSET(INDIRECT(ADDRESS($A396,3,3,1,Menus!$K$10)),0,Menus!$J$3)</f>
        <v>0</v>
      </c>
      <c r="D396" s="73" t="e">
        <f ca="1">IF(Menus!$J$9,C396/B396,C396)</f>
        <v>#DIV/0!</v>
      </c>
      <c r="E396" s="74" t="e">
        <f t="shared" ca="1" si="14"/>
        <v>#N/A</v>
      </c>
      <c r="F396" s="75">
        <f ca="1">INDIRECT(ADDRESS($A396,1,3,1,Menus!$K$10))</f>
        <v>0</v>
      </c>
      <c r="G396" s="2" t="e">
        <f ca="1">IF(INDIRECT(ADDRESS($A396,2,3,1,Menus!$K$10))=G$1,$D396,#N/A)</f>
        <v>#N/A</v>
      </c>
      <c r="H396" s="2" t="e">
        <f ca="1">IF(INDIRECT(ADDRESS($A396,2,3,1,Menus!$K$10))=H$1,$D396,#N/A)</f>
        <v>#N/A</v>
      </c>
      <c r="I396" s="2" t="e">
        <f ca="1">IF(INDIRECT(ADDRESS($A396,2,3,1,Menus!$K$10))=I$1,$D396,#N/A)</f>
        <v>#N/A</v>
      </c>
      <c r="J396" s="2" t="e">
        <f ca="1">IF(INDIRECT(ADDRESS($A396,1,3,1,Menus!$K$10))=T(J$1),$D396,#N/A)</f>
        <v>#N/A</v>
      </c>
      <c r="K396" s="10">
        <f t="shared" ca="1" si="13"/>
        <v>0</v>
      </c>
      <c r="L396" s="2"/>
      <c r="M396" s="85">
        <f ca="1">OFFSET(INDIRECT(ADDRESS($A396,3,3,1,"Gross")),0,Menus!$J$4)</f>
        <v>0</v>
      </c>
      <c r="N396" s="85">
        <f ca="1">OFFSET(INDIRECT(ADDRESS($A396,3,3,1,"Gross")),0,Menus!$J$3)</f>
        <v>0</v>
      </c>
    </row>
    <row r="397" spans="1:14" x14ac:dyDescent="0.25">
      <c r="A397">
        <v>434</v>
      </c>
      <c r="B397" s="2">
        <f ca="1">OFFSET(INDIRECT(ADDRESS($A397,3,3,1,Menus!$K$10)),0,Menus!$J$4)</f>
        <v>0</v>
      </c>
      <c r="C397" s="2">
        <f ca="1">OFFSET(INDIRECT(ADDRESS($A397,3,3,1,Menus!$K$10)),0,Menus!$J$3)</f>
        <v>0</v>
      </c>
      <c r="D397" s="73" t="e">
        <f ca="1">IF(Menus!$J$9,C397/B397,C397)</f>
        <v>#DIV/0!</v>
      </c>
      <c r="E397" s="74" t="e">
        <f t="shared" ca="1" si="14"/>
        <v>#N/A</v>
      </c>
      <c r="F397" s="75">
        <f ca="1">INDIRECT(ADDRESS($A397,1,3,1,Menus!$K$10))</f>
        <v>0</v>
      </c>
      <c r="G397" s="2" t="e">
        <f ca="1">IF(INDIRECT(ADDRESS($A397,2,3,1,Menus!$K$10))=G$1,$D397,#N/A)</f>
        <v>#N/A</v>
      </c>
      <c r="H397" s="2" t="e">
        <f ca="1">IF(INDIRECT(ADDRESS($A397,2,3,1,Menus!$K$10))=H$1,$D397,#N/A)</f>
        <v>#N/A</v>
      </c>
      <c r="I397" s="2" t="e">
        <f ca="1">IF(INDIRECT(ADDRESS($A397,2,3,1,Menus!$K$10))=I$1,$D397,#N/A)</f>
        <v>#N/A</v>
      </c>
      <c r="J397" s="2" t="e">
        <f ca="1">IF(INDIRECT(ADDRESS($A397,1,3,1,Menus!$K$10))=T(J$1),$D397,#N/A)</f>
        <v>#N/A</v>
      </c>
      <c r="K397" s="10">
        <f t="shared" ca="1" si="13"/>
        <v>0</v>
      </c>
      <c r="L397" s="2"/>
      <c r="M397" s="85">
        <f ca="1">OFFSET(INDIRECT(ADDRESS($A397,3,3,1,"Gross")),0,Menus!$J$4)</f>
        <v>0</v>
      </c>
      <c r="N397" s="85">
        <f ca="1">OFFSET(INDIRECT(ADDRESS($A397,3,3,1,"Gross")),0,Menus!$J$3)</f>
        <v>0</v>
      </c>
    </row>
    <row r="398" spans="1:14" x14ac:dyDescent="0.25">
      <c r="A398">
        <v>435</v>
      </c>
      <c r="B398" s="2">
        <f ca="1">OFFSET(INDIRECT(ADDRESS($A398,3,3,1,Menus!$K$10)),0,Menus!$J$4)</f>
        <v>0</v>
      </c>
      <c r="C398" s="2">
        <f ca="1">OFFSET(INDIRECT(ADDRESS($A398,3,3,1,Menus!$K$10)),0,Menus!$J$3)</f>
        <v>0</v>
      </c>
      <c r="D398" s="73" t="e">
        <f ca="1">IF(Menus!$J$9,C398/B398,C398)</f>
        <v>#DIV/0!</v>
      </c>
      <c r="E398" s="74" t="e">
        <f t="shared" ca="1" si="14"/>
        <v>#N/A</v>
      </c>
      <c r="F398" s="75">
        <f ca="1">INDIRECT(ADDRESS($A398,1,3,1,Menus!$K$10))</f>
        <v>0</v>
      </c>
      <c r="G398" s="2" t="e">
        <f ca="1">IF(INDIRECT(ADDRESS($A398,2,3,1,Menus!$K$10))=G$1,$D398,#N/A)</f>
        <v>#N/A</v>
      </c>
      <c r="H398" s="2" t="e">
        <f ca="1">IF(INDIRECT(ADDRESS($A398,2,3,1,Menus!$K$10))=H$1,$D398,#N/A)</f>
        <v>#N/A</v>
      </c>
      <c r="I398" s="2" t="e">
        <f ca="1">IF(INDIRECT(ADDRESS($A398,2,3,1,Menus!$K$10))=I$1,$D398,#N/A)</f>
        <v>#N/A</v>
      </c>
      <c r="J398" s="2" t="e">
        <f ca="1">IF(INDIRECT(ADDRESS($A398,1,3,1,Menus!$K$10))=T(J$1),$D398,#N/A)</f>
        <v>#N/A</v>
      </c>
      <c r="K398" s="10">
        <f t="shared" ca="1" si="13"/>
        <v>0</v>
      </c>
      <c r="L398" s="2"/>
      <c r="M398" s="85">
        <f ca="1">OFFSET(INDIRECT(ADDRESS($A398,3,3,1,"Gross")),0,Menus!$J$4)</f>
        <v>0</v>
      </c>
      <c r="N398" s="85">
        <f ca="1">OFFSET(INDIRECT(ADDRESS($A398,3,3,1,"Gross")),0,Menus!$J$3)</f>
        <v>0</v>
      </c>
    </row>
    <row r="399" spans="1:14" x14ac:dyDescent="0.25">
      <c r="A399">
        <v>436</v>
      </c>
      <c r="B399" s="2">
        <f ca="1">OFFSET(INDIRECT(ADDRESS($A399,3,3,1,Menus!$K$10)),0,Menus!$J$4)</f>
        <v>0</v>
      </c>
      <c r="C399" s="2">
        <f ca="1">OFFSET(INDIRECT(ADDRESS($A399,3,3,1,Menus!$K$10)),0,Menus!$J$3)</f>
        <v>0</v>
      </c>
      <c r="D399" s="73" t="e">
        <f ca="1">IF(Menus!$J$9,C399/B399,C399)</f>
        <v>#DIV/0!</v>
      </c>
      <c r="E399" s="74" t="e">
        <f t="shared" ca="1" si="14"/>
        <v>#N/A</v>
      </c>
      <c r="F399" s="75">
        <f ca="1">INDIRECT(ADDRESS($A399,1,3,1,Menus!$K$10))</f>
        <v>0</v>
      </c>
      <c r="G399" s="2" t="e">
        <f ca="1">IF(INDIRECT(ADDRESS($A399,2,3,1,Menus!$K$10))=G$1,$D399,#N/A)</f>
        <v>#N/A</v>
      </c>
      <c r="H399" s="2" t="e">
        <f ca="1">IF(INDIRECT(ADDRESS($A399,2,3,1,Menus!$K$10))=H$1,$D399,#N/A)</f>
        <v>#N/A</v>
      </c>
      <c r="I399" s="2" t="e">
        <f ca="1">IF(INDIRECT(ADDRESS($A399,2,3,1,Menus!$K$10))=I$1,$D399,#N/A)</f>
        <v>#N/A</v>
      </c>
      <c r="J399" s="2" t="e">
        <f ca="1">IF(INDIRECT(ADDRESS($A399,1,3,1,Menus!$K$10))=T(J$1),$D399,#N/A)</f>
        <v>#N/A</v>
      </c>
      <c r="K399" s="10">
        <f t="shared" ca="1" si="13"/>
        <v>0</v>
      </c>
      <c r="L399" s="2"/>
      <c r="M399" s="85">
        <f ca="1">OFFSET(INDIRECT(ADDRESS($A399,3,3,1,"Gross")),0,Menus!$J$4)</f>
        <v>0</v>
      </c>
      <c r="N399" s="85">
        <f ca="1">OFFSET(INDIRECT(ADDRESS($A399,3,3,1,"Gross")),0,Menus!$J$3)</f>
        <v>0</v>
      </c>
    </row>
    <row r="400" spans="1:14" x14ac:dyDescent="0.25">
      <c r="A400">
        <v>437</v>
      </c>
      <c r="B400" s="2">
        <f ca="1">OFFSET(INDIRECT(ADDRESS($A400,3,3,1,Menus!$K$10)),0,Menus!$J$4)</f>
        <v>0</v>
      </c>
      <c r="C400" s="2">
        <f ca="1">OFFSET(INDIRECT(ADDRESS($A400,3,3,1,Menus!$K$10)),0,Menus!$J$3)</f>
        <v>0</v>
      </c>
      <c r="D400" s="73" t="e">
        <f ca="1">IF(Menus!$J$9,C400/B400,C400)</f>
        <v>#DIV/0!</v>
      </c>
      <c r="E400" s="74" t="e">
        <f t="shared" ca="1" si="14"/>
        <v>#N/A</v>
      </c>
      <c r="F400" s="75">
        <f ca="1">INDIRECT(ADDRESS($A400,1,3,1,Menus!$K$10))</f>
        <v>0</v>
      </c>
      <c r="G400" s="2" t="e">
        <f ca="1">IF(INDIRECT(ADDRESS($A400,2,3,1,Menus!$K$10))=G$1,$D400,#N/A)</f>
        <v>#N/A</v>
      </c>
      <c r="H400" s="2" t="e">
        <f ca="1">IF(INDIRECT(ADDRESS($A400,2,3,1,Menus!$K$10))=H$1,$D400,#N/A)</f>
        <v>#N/A</v>
      </c>
      <c r="I400" s="2" t="e">
        <f ca="1">IF(INDIRECT(ADDRESS($A400,2,3,1,Menus!$K$10))=I$1,$D400,#N/A)</f>
        <v>#N/A</v>
      </c>
      <c r="J400" s="2" t="e">
        <f ca="1">IF(INDIRECT(ADDRESS($A400,1,3,1,Menus!$K$10))=T(J$1),$D400,#N/A)</f>
        <v>#N/A</v>
      </c>
      <c r="K400" s="10">
        <f t="shared" ca="1" si="13"/>
        <v>0</v>
      </c>
      <c r="L400" s="2"/>
      <c r="M400" s="85">
        <f ca="1">OFFSET(INDIRECT(ADDRESS($A400,3,3,1,"Gross")),0,Menus!$J$4)</f>
        <v>0</v>
      </c>
      <c r="N400" s="85">
        <f ca="1">OFFSET(INDIRECT(ADDRESS($A400,3,3,1,"Gross")),0,Menus!$J$3)</f>
        <v>0</v>
      </c>
    </row>
    <row r="401" spans="1:14" x14ac:dyDescent="0.25">
      <c r="A401">
        <v>438</v>
      </c>
      <c r="B401" s="2">
        <f ca="1">OFFSET(INDIRECT(ADDRESS($A401,3,3,1,Menus!$K$10)),0,Menus!$J$4)</f>
        <v>0</v>
      </c>
      <c r="C401" s="2">
        <f ca="1">OFFSET(INDIRECT(ADDRESS($A401,3,3,1,Menus!$K$10)),0,Menus!$J$3)</f>
        <v>0</v>
      </c>
      <c r="D401" s="73" t="e">
        <f ca="1">IF(Menus!$J$9,C401/B401,C401)</f>
        <v>#DIV/0!</v>
      </c>
      <c r="E401" s="74" t="e">
        <f t="shared" ca="1" si="14"/>
        <v>#N/A</v>
      </c>
      <c r="F401" s="75">
        <f ca="1">INDIRECT(ADDRESS($A401,1,3,1,Menus!$K$10))</f>
        <v>0</v>
      </c>
      <c r="G401" s="2" t="e">
        <f ca="1">IF(INDIRECT(ADDRESS($A401,2,3,1,Menus!$K$10))=G$1,$D401,#N/A)</f>
        <v>#N/A</v>
      </c>
      <c r="H401" s="2" t="e">
        <f ca="1">IF(INDIRECT(ADDRESS($A401,2,3,1,Menus!$K$10))=H$1,$D401,#N/A)</f>
        <v>#N/A</v>
      </c>
      <c r="I401" s="2" t="e">
        <f ca="1">IF(INDIRECT(ADDRESS($A401,2,3,1,Menus!$K$10))=I$1,$D401,#N/A)</f>
        <v>#N/A</v>
      </c>
      <c r="J401" s="2" t="e">
        <f ca="1">IF(INDIRECT(ADDRESS($A401,1,3,1,Menus!$K$10))=T(J$1),$D401,#N/A)</f>
        <v>#N/A</v>
      </c>
      <c r="K401" s="10">
        <f t="shared" ca="1" si="13"/>
        <v>0</v>
      </c>
      <c r="L401" s="2"/>
      <c r="M401" s="85">
        <f ca="1">OFFSET(INDIRECT(ADDRESS($A401,3,3,1,"Gross")),0,Menus!$J$4)</f>
        <v>0</v>
      </c>
      <c r="N401" s="85">
        <f ca="1">OFFSET(INDIRECT(ADDRESS($A401,3,3,1,"Gross")),0,Menus!$J$3)</f>
        <v>0</v>
      </c>
    </row>
    <row r="402" spans="1:14" x14ac:dyDescent="0.25">
      <c r="A402">
        <v>439</v>
      </c>
      <c r="B402" s="2">
        <f ca="1">OFFSET(INDIRECT(ADDRESS($A402,3,3,1,Menus!$K$10)),0,Menus!$J$4)</f>
        <v>0</v>
      </c>
      <c r="C402" s="2">
        <f ca="1">OFFSET(INDIRECT(ADDRESS($A402,3,3,1,Menus!$K$10)),0,Menus!$J$3)</f>
        <v>0</v>
      </c>
      <c r="D402" s="73" t="e">
        <f ca="1">IF(Menus!$J$9,C402/B402,C402)</f>
        <v>#DIV/0!</v>
      </c>
      <c r="E402" s="74" t="e">
        <f t="shared" ca="1" si="14"/>
        <v>#N/A</v>
      </c>
      <c r="F402" s="75">
        <f ca="1">INDIRECT(ADDRESS($A402,1,3,1,Menus!$K$10))</f>
        <v>0</v>
      </c>
      <c r="G402" s="2" t="e">
        <f ca="1">IF(INDIRECT(ADDRESS($A402,2,3,1,Menus!$K$10))=G$1,$D402,#N/A)</f>
        <v>#N/A</v>
      </c>
      <c r="H402" s="2" t="e">
        <f ca="1">IF(INDIRECT(ADDRESS($A402,2,3,1,Menus!$K$10))=H$1,$D402,#N/A)</f>
        <v>#N/A</v>
      </c>
      <c r="I402" s="2" t="e">
        <f ca="1">IF(INDIRECT(ADDRESS($A402,2,3,1,Menus!$K$10))=I$1,$D402,#N/A)</f>
        <v>#N/A</v>
      </c>
      <c r="J402" s="2" t="e">
        <f ca="1">IF(INDIRECT(ADDRESS($A402,1,3,1,Menus!$K$10))=T(J$1),$D402,#N/A)</f>
        <v>#N/A</v>
      </c>
      <c r="K402" s="10">
        <f t="shared" ca="1" si="13"/>
        <v>0</v>
      </c>
      <c r="L402" s="2"/>
      <c r="M402" s="85">
        <f ca="1">OFFSET(INDIRECT(ADDRESS($A402,3,3,1,"Gross")),0,Menus!$J$4)</f>
        <v>0</v>
      </c>
      <c r="N402" s="85">
        <f ca="1">OFFSET(INDIRECT(ADDRESS($A402,3,3,1,"Gross")),0,Menus!$J$3)</f>
        <v>0</v>
      </c>
    </row>
    <row r="403" spans="1:14" x14ac:dyDescent="0.25">
      <c r="A403">
        <v>440</v>
      </c>
      <c r="B403" s="2">
        <f ca="1">OFFSET(INDIRECT(ADDRESS($A403,3,3,1,Menus!$K$10)),0,Menus!$J$4)</f>
        <v>0</v>
      </c>
      <c r="C403" s="2">
        <f ca="1">OFFSET(INDIRECT(ADDRESS($A403,3,3,1,Menus!$K$10)),0,Menus!$J$3)</f>
        <v>0</v>
      </c>
      <c r="D403" s="73" t="e">
        <f ca="1">IF(Menus!$J$9,C403/B403,C403)</f>
        <v>#DIV/0!</v>
      </c>
      <c r="E403" s="74" t="e">
        <f t="shared" ca="1" si="14"/>
        <v>#N/A</v>
      </c>
      <c r="F403" s="75">
        <f ca="1">INDIRECT(ADDRESS($A403,1,3,1,Menus!$K$10))</f>
        <v>0</v>
      </c>
      <c r="G403" s="2" t="e">
        <f ca="1">IF(INDIRECT(ADDRESS($A403,2,3,1,Menus!$K$10))=G$1,$D403,#N/A)</f>
        <v>#N/A</v>
      </c>
      <c r="H403" s="2" t="e">
        <f ca="1">IF(INDIRECT(ADDRESS($A403,2,3,1,Menus!$K$10))=H$1,$D403,#N/A)</f>
        <v>#N/A</v>
      </c>
      <c r="I403" s="2" t="e">
        <f ca="1">IF(INDIRECT(ADDRESS($A403,2,3,1,Menus!$K$10))=I$1,$D403,#N/A)</f>
        <v>#N/A</v>
      </c>
      <c r="J403" s="2" t="e">
        <f ca="1">IF(INDIRECT(ADDRESS($A403,1,3,1,Menus!$K$10))=T(J$1),$D403,#N/A)</f>
        <v>#N/A</v>
      </c>
      <c r="K403" s="10">
        <f t="shared" ca="1" si="13"/>
        <v>0</v>
      </c>
      <c r="L403" s="2"/>
      <c r="M403" s="85">
        <f ca="1">OFFSET(INDIRECT(ADDRESS($A403,3,3,1,"Gross")),0,Menus!$J$4)</f>
        <v>0</v>
      </c>
      <c r="N403" s="85">
        <f ca="1">OFFSET(INDIRECT(ADDRESS($A403,3,3,1,"Gross")),0,Menus!$J$3)</f>
        <v>0</v>
      </c>
    </row>
    <row r="404" spans="1:14" x14ac:dyDescent="0.25">
      <c r="A404">
        <v>441</v>
      </c>
      <c r="B404" s="2">
        <f ca="1">OFFSET(INDIRECT(ADDRESS($A404,3,3,1,Menus!$K$10)),0,Menus!$J$4)</f>
        <v>0</v>
      </c>
      <c r="C404" s="2">
        <f ca="1">OFFSET(INDIRECT(ADDRESS($A404,3,3,1,Menus!$K$10)),0,Menus!$J$3)</f>
        <v>0</v>
      </c>
      <c r="D404" s="73" t="e">
        <f ca="1">IF(Menus!$J$9,C404/B404,C404)</f>
        <v>#DIV/0!</v>
      </c>
      <c r="E404" s="74" t="e">
        <f t="shared" ca="1" si="14"/>
        <v>#N/A</v>
      </c>
      <c r="F404" s="75">
        <f ca="1">INDIRECT(ADDRESS($A404,1,3,1,Menus!$K$10))</f>
        <v>0</v>
      </c>
      <c r="G404" s="2" t="e">
        <f ca="1">IF(INDIRECT(ADDRESS($A404,2,3,1,Menus!$K$10))=G$1,$D404,#N/A)</f>
        <v>#N/A</v>
      </c>
      <c r="H404" s="2" t="e">
        <f ca="1">IF(INDIRECT(ADDRESS($A404,2,3,1,Menus!$K$10))=H$1,$D404,#N/A)</f>
        <v>#N/A</v>
      </c>
      <c r="I404" s="2" t="e">
        <f ca="1">IF(INDIRECT(ADDRESS($A404,2,3,1,Menus!$K$10))=I$1,$D404,#N/A)</f>
        <v>#N/A</v>
      </c>
      <c r="J404" s="2" t="e">
        <f ca="1">IF(INDIRECT(ADDRESS($A404,1,3,1,Menus!$K$10))=T(J$1),$D404,#N/A)</f>
        <v>#N/A</v>
      </c>
      <c r="K404" s="10">
        <f t="shared" ca="1" si="13"/>
        <v>0</v>
      </c>
      <c r="L404" s="2"/>
      <c r="M404" s="85">
        <f ca="1">OFFSET(INDIRECT(ADDRESS($A404,3,3,1,"Gross")),0,Menus!$J$4)</f>
        <v>0</v>
      </c>
      <c r="N404" s="85">
        <f ca="1">OFFSET(INDIRECT(ADDRESS($A404,3,3,1,"Gross")),0,Menus!$J$3)</f>
        <v>0</v>
      </c>
    </row>
    <row r="405" spans="1:14" x14ac:dyDescent="0.25">
      <c r="A405">
        <v>442</v>
      </c>
      <c r="B405" s="2">
        <f ca="1">OFFSET(INDIRECT(ADDRESS($A405,3,3,1,Menus!$K$10)),0,Menus!$J$4)</f>
        <v>0</v>
      </c>
      <c r="C405" s="2">
        <f ca="1">OFFSET(INDIRECT(ADDRESS($A405,3,3,1,Menus!$K$10)),0,Menus!$J$3)</f>
        <v>0</v>
      </c>
      <c r="D405" s="73" t="e">
        <f ca="1">IF(Menus!$J$9,C405/B405,C405)</f>
        <v>#DIV/0!</v>
      </c>
      <c r="E405" s="74" t="e">
        <f t="shared" ca="1" si="14"/>
        <v>#N/A</v>
      </c>
      <c r="F405" s="75">
        <f ca="1">INDIRECT(ADDRESS($A405,1,3,1,Menus!$K$10))</f>
        <v>0</v>
      </c>
      <c r="G405" s="2" t="e">
        <f ca="1">IF(INDIRECT(ADDRESS($A405,2,3,1,Menus!$K$10))=G$1,$D405,#N/A)</f>
        <v>#N/A</v>
      </c>
      <c r="H405" s="2" t="e">
        <f ca="1">IF(INDIRECT(ADDRESS($A405,2,3,1,Menus!$K$10))=H$1,$D405,#N/A)</f>
        <v>#N/A</v>
      </c>
      <c r="I405" s="2" t="e">
        <f ca="1">IF(INDIRECT(ADDRESS($A405,2,3,1,Menus!$K$10))=I$1,$D405,#N/A)</f>
        <v>#N/A</v>
      </c>
      <c r="J405" s="2" t="e">
        <f ca="1">IF(INDIRECT(ADDRESS($A405,1,3,1,Menus!$K$10))=T(J$1),$D405,#N/A)</f>
        <v>#N/A</v>
      </c>
      <c r="K405" s="10">
        <f t="shared" ca="1" si="13"/>
        <v>0</v>
      </c>
      <c r="L405" s="2"/>
      <c r="M405" s="85">
        <f ca="1">OFFSET(INDIRECT(ADDRESS($A405,3,3,1,"Gross")),0,Menus!$J$4)</f>
        <v>0</v>
      </c>
      <c r="N405" s="85">
        <f ca="1">OFFSET(INDIRECT(ADDRESS($A405,3,3,1,"Gross")),0,Menus!$J$3)</f>
        <v>0</v>
      </c>
    </row>
    <row r="406" spans="1:14" x14ac:dyDescent="0.25">
      <c r="A406">
        <v>443</v>
      </c>
      <c r="B406" s="2">
        <f ca="1">OFFSET(INDIRECT(ADDRESS($A406,3,3,1,Menus!$K$10)),0,Menus!$J$4)</f>
        <v>0</v>
      </c>
      <c r="C406" s="2">
        <f ca="1">OFFSET(INDIRECT(ADDRESS($A406,3,3,1,Menus!$K$10)),0,Menus!$J$3)</f>
        <v>0</v>
      </c>
      <c r="D406" s="73" t="e">
        <f ca="1">IF(Menus!$J$9,C406/B406,C406)</f>
        <v>#DIV/0!</v>
      </c>
      <c r="E406" s="74" t="e">
        <f t="shared" ca="1" si="14"/>
        <v>#N/A</v>
      </c>
      <c r="F406" s="75">
        <f ca="1">INDIRECT(ADDRESS($A406,1,3,1,Menus!$K$10))</f>
        <v>0</v>
      </c>
      <c r="G406" s="2" t="e">
        <f ca="1">IF(INDIRECT(ADDRESS($A406,2,3,1,Menus!$K$10))=G$1,$D406,#N/A)</f>
        <v>#N/A</v>
      </c>
      <c r="H406" s="2" t="e">
        <f ca="1">IF(INDIRECT(ADDRESS($A406,2,3,1,Menus!$K$10))=H$1,$D406,#N/A)</f>
        <v>#N/A</v>
      </c>
      <c r="I406" s="2" t="e">
        <f ca="1">IF(INDIRECT(ADDRESS($A406,2,3,1,Menus!$K$10))=I$1,$D406,#N/A)</f>
        <v>#N/A</v>
      </c>
      <c r="J406" s="2" t="e">
        <f ca="1">IF(INDIRECT(ADDRESS($A406,1,3,1,Menus!$K$10))=T(J$1),$D406,#N/A)</f>
        <v>#N/A</v>
      </c>
      <c r="K406" s="10">
        <f t="shared" ca="1" si="13"/>
        <v>0</v>
      </c>
      <c r="L406" s="2"/>
      <c r="M406" s="85">
        <f ca="1">OFFSET(INDIRECT(ADDRESS($A406,3,3,1,"Gross")),0,Menus!$J$4)</f>
        <v>0</v>
      </c>
      <c r="N406" s="85">
        <f ca="1">OFFSET(INDIRECT(ADDRESS($A406,3,3,1,"Gross")),0,Menus!$J$3)</f>
        <v>0</v>
      </c>
    </row>
    <row r="407" spans="1:14" x14ac:dyDescent="0.25">
      <c r="A407">
        <v>444</v>
      </c>
      <c r="B407" s="2">
        <f ca="1">OFFSET(INDIRECT(ADDRESS($A407,3,3,1,Menus!$K$10)),0,Menus!$J$4)</f>
        <v>0</v>
      </c>
      <c r="C407" s="2">
        <f ca="1">OFFSET(INDIRECT(ADDRESS($A407,3,3,1,Menus!$K$10)),0,Menus!$J$3)</f>
        <v>0</v>
      </c>
      <c r="D407" s="73" t="e">
        <f ca="1">IF(Menus!$J$9,C407/B407,C407)</f>
        <v>#DIV/0!</v>
      </c>
      <c r="E407" s="74" t="e">
        <f t="shared" ca="1" si="14"/>
        <v>#N/A</v>
      </c>
      <c r="F407" s="75">
        <f ca="1">INDIRECT(ADDRESS($A407,1,3,1,Menus!$K$10))</f>
        <v>0</v>
      </c>
      <c r="G407" s="2" t="e">
        <f ca="1">IF(INDIRECT(ADDRESS($A407,2,3,1,Menus!$K$10))=G$1,$D407,#N/A)</f>
        <v>#N/A</v>
      </c>
      <c r="H407" s="2" t="e">
        <f ca="1">IF(INDIRECT(ADDRESS($A407,2,3,1,Menus!$K$10))=H$1,$D407,#N/A)</f>
        <v>#N/A</v>
      </c>
      <c r="I407" s="2" t="e">
        <f ca="1">IF(INDIRECT(ADDRESS($A407,2,3,1,Menus!$K$10))=I$1,$D407,#N/A)</f>
        <v>#N/A</v>
      </c>
      <c r="J407" s="2" t="e">
        <f ca="1">IF(INDIRECT(ADDRESS($A407,1,3,1,Menus!$K$10))=T(J$1),$D407,#N/A)</f>
        <v>#N/A</v>
      </c>
      <c r="K407" s="10">
        <f t="shared" ca="1" si="13"/>
        <v>0</v>
      </c>
      <c r="L407" s="2"/>
      <c r="M407" s="85">
        <f ca="1">OFFSET(INDIRECT(ADDRESS($A407,3,3,1,"Gross")),0,Menus!$J$4)</f>
        <v>0</v>
      </c>
      <c r="N407" s="85">
        <f ca="1">OFFSET(INDIRECT(ADDRESS($A407,3,3,1,"Gross")),0,Menus!$J$3)</f>
        <v>0</v>
      </c>
    </row>
    <row r="408" spans="1:14" x14ac:dyDescent="0.25">
      <c r="A408">
        <v>445</v>
      </c>
      <c r="B408" s="2">
        <f ca="1">OFFSET(INDIRECT(ADDRESS($A408,3,3,1,Menus!$K$10)),0,Menus!$J$4)</f>
        <v>0</v>
      </c>
      <c r="C408" s="2">
        <f ca="1">OFFSET(INDIRECT(ADDRESS($A408,3,3,1,Menus!$K$10)),0,Menus!$J$3)</f>
        <v>0</v>
      </c>
      <c r="D408" s="73" t="e">
        <f ca="1">IF(Menus!$J$9,C408/B408,C408)</f>
        <v>#DIV/0!</v>
      </c>
      <c r="E408" s="74" t="e">
        <f t="shared" ca="1" si="14"/>
        <v>#N/A</v>
      </c>
      <c r="F408" s="75">
        <f ca="1">INDIRECT(ADDRESS($A408,1,3,1,Menus!$K$10))</f>
        <v>0</v>
      </c>
      <c r="G408" s="2" t="e">
        <f ca="1">IF(INDIRECT(ADDRESS($A408,2,3,1,Menus!$K$10))=G$1,$D408,#N/A)</f>
        <v>#N/A</v>
      </c>
      <c r="H408" s="2" t="e">
        <f ca="1">IF(INDIRECT(ADDRESS($A408,2,3,1,Menus!$K$10))=H$1,$D408,#N/A)</f>
        <v>#N/A</v>
      </c>
      <c r="I408" s="2" t="e">
        <f ca="1">IF(INDIRECT(ADDRESS($A408,2,3,1,Menus!$K$10))=I$1,$D408,#N/A)</f>
        <v>#N/A</v>
      </c>
      <c r="J408" s="2" t="e">
        <f ca="1">IF(INDIRECT(ADDRESS($A408,1,3,1,Menus!$K$10))=T(J$1),$D408,#N/A)</f>
        <v>#N/A</v>
      </c>
      <c r="K408" s="10">
        <f t="shared" ca="1" si="13"/>
        <v>0</v>
      </c>
      <c r="L408" s="2"/>
      <c r="M408" s="85">
        <f ca="1">OFFSET(INDIRECT(ADDRESS($A408,3,3,1,"Gross")),0,Menus!$J$4)</f>
        <v>0</v>
      </c>
      <c r="N408" s="85">
        <f ca="1">OFFSET(INDIRECT(ADDRESS($A408,3,3,1,"Gross")),0,Menus!$J$3)</f>
        <v>0</v>
      </c>
    </row>
    <row r="409" spans="1:14" x14ac:dyDescent="0.25">
      <c r="A409">
        <v>446</v>
      </c>
      <c r="B409" s="2">
        <f ca="1">OFFSET(INDIRECT(ADDRESS($A409,3,3,1,Menus!$K$10)),0,Menus!$J$4)</f>
        <v>0</v>
      </c>
      <c r="C409" s="2">
        <f ca="1">OFFSET(INDIRECT(ADDRESS($A409,3,3,1,Menus!$K$10)),0,Menus!$J$3)</f>
        <v>0</v>
      </c>
      <c r="D409" s="73" t="e">
        <f ca="1">IF(Menus!$J$9,C409/B409,C409)</f>
        <v>#DIV/0!</v>
      </c>
      <c r="E409" s="74" t="e">
        <f t="shared" ca="1" si="14"/>
        <v>#N/A</v>
      </c>
      <c r="F409" s="75">
        <f ca="1">INDIRECT(ADDRESS($A409,1,3,1,Menus!$K$10))</f>
        <v>0</v>
      </c>
      <c r="G409" s="2" t="e">
        <f ca="1">IF(INDIRECT(ADDRESS($A409,2,3,1,Menus!$K$10))=G$1,$D409,#N/A)</f>
        <v>#N/A</v>
      </c>
      <c r="H409" s="2" t="e">
        <f ca="1">IF(INDIRECT(ADDRESS($A409,2,3,1,Menus!$K$10))=H$1,$D409,#N/A)</f>
        <v>#N/A</v>
      </c>
      <c r="I409" s="2" t="e">
        <f ca="1">IF(INDIRECT(ADDRESS($A409,2,3,1,Menus!$K$10))=I$1,$D409,#N/A)</f>
        <v>#N/A</v>
      </c>
      <c r="J409" s="2" t="e">
        <f ca="1">IF(INDIRECT(ADDRESS($A409,1,3,1,Menus!$K$10))=T(J$1),$D409,#N/A)</f>
        <v>#N/A</v>
      </c>
      <c r="K409" s="10">
        <f t="shared" ca="1" si="13"/>
        <v>0</v>
      </c>
      <c r="L409" s="2"/>
      <c r="M409" s="85">
        <f ca="1">OFFSET(INDIRECT(ADDRESS($A409,3,3,1,"Gross")),0,Menus!$J$4)</f>
        <v>0</v>
      </c>
      <c r="N409" s="85">
        <f ca="1">OFFSET(INDIRECT(ADDRESS($A409,3,3,1,"Gross")),0,Menus!$J$3)</f>
        <v>0</v>
      </c>
    </row>
    <row r="410" spans="1:14" x14ac:dyDescent="0.25">
      <c r="A410">
        <v>447</v>
      </c>
      <c r="B410" s="2">
        <f ca="1">OFFSET(INDIRECT(ADDRESS($A410,3,3,1,Menus!$K$10)),0,Menus!$J$4)</f>
        <v>0</v>
      </c>
      <c r="C410" s="2">
        <f ca="1">OFFSET(INDIRECT(ADDRESS($A410,3,3,1,Menus!$K$10)),0,Menus!$J$3)</f>
        <v>0</v>
      </c>
      <c r="D410" s="73" t="e">
        <f ca="1">IF(Menus!$J$9,C410/B410,C410)</f>
        <v>#DIV/0!</v>
      </c>
      <c r="E410" s="74" t="e">
        <f t="shared" ca="1" si="14"/>
        <v>#N/A</v>
      </c>
      <c r="F410" s="75">
        <f ca="1">INDIRECT(ADDRESS($A410,1,3,1,Menus!$K$10))</f>
        <v>0</v>
      </c>
      <c r="G410" s="2" t="e">
        <f ca="1">IF(INDIRECT(ADDRESS($A410,2,3,1,Menus!$K$10))=G$1,$D410,#N/A)</f>
        <v>#N/A</v>
      </c>
      <c r="H410" s="2" t="e">
        <f ca="1">IF(INDIRECT(ADDRESS($A410,2,3,1,Menus!$K$10))=H$1,$D410,#N/A)</f>
        <v>#N/A</v>
      </c>
      <c r="I410" s="2" t="e">
        <f ca="1">IF(INDIRECT(ADDRESS($A410,2,3,1,Menus!$K$10))=I$1,$D410,#N/A)</f>
        <v>#N/A</v>
      </c>
      <c r="J410" s="2" t="e">
        <f ca="1">IF(INDIRECT(ADDRESS($A410,1,3,1,Menus!$K$10))=T(J$1),$D410,#N/A)</f>
        <v>#N/A</v>
      </c>
      <c r="K410" s="10">
        <f t="shared" ca="1" si="13"/>
        <v>0</v>
      </c>
      <c r="L410" s="2"/>
      <c r="M410" s="85">
        <f ca="1">OFFSET(INDIRECT(ADDRESS($A410,3,3,1,"Gross")),0,Menus!$J$4)</f>
        <v>0</v>
      </c>
      <c r="N410" s="85">
        <f ca="1">OFFSET(INDIRECT(ADDRESS($A410,3,3,1,"Gross")),0,Menus!$J$3)</f>
        <v>0</v>
      </c>
    </row>
    <row r="411" spans="1:14" x14ac:dyDescent="0.25">
      <c r="A411">
        <v>448</v>
      </c>
      <c r="B411" s="2">
        <f ca="1">OFFSET(INDIRECT(ADDRESS($A411,3,3,1,Menus!$K$10)),0,Menus!$J$4)</f>
        <v>0</v>
      </c>
      <c r="C411" s="2">
        <f ca="1">OFFSET(INDIRECT(ADDRESS($A411,3,3,1,Menus!$K$10)),0,Menus!$J$3)</f>
        <v>0</v>
      </c>
      <c r="D411" s="73" t="e">
        <f ca="1">IF(Menus!$J$9,C411/B411,C411)</f>
        <v>#DIV/0!</v>
      </c>
      <c r="E411" s="74" t="e">
        <f t="shared" ca="1" si="14"/>
        <v>#N/A</v>
      </c>
      <c r="F411" s="75">
        <f ca="1">INDIRECT(ADDRESS($A411,1,3,1,Menus!$K$10))</f>
        <v>0</v>
      </c>
      <c r="G411" s="2" t="e">
        <f ca="1">IF(INDIRECT(ADDRESS($A411,2,3,1,Menus!$K$10))=G$1,$D411,#N/A)</f>
        <v>#N/A</v>
      </c>
      <c r="H411" s="2" t="e">
        <f ca="1">IF(INDIRECT(ADDRESS($A411,2,3,1,Menus!$K$10))=H$1,$D411,#N/A)</f>
        <v>#N/A</v>
      </c>
      <c r="I411" s="2" t="e">
        <f ca="1">IF(INDIRECT(ADDRESS($A411,2,3,1,Menus!$K$10))=I$1,$D411,#N/A)</f>
        <v>#N/A</v>
      </c>
      <c r="J411" s="2" t="e">
        <f ca="1">IF(INDIRECT(ADDRESS($A411,1,3,1,Menus!$K$10))=T(J$1),$D411,#N/A)</f>
        <v>#N/A</v>
      </c>
      <c r="K411" s="10">
        <f t="shared" ca="1" si="13"/>
        <v>0</v>
      </c>
      <c r="L411" s="2"/>
      <c r="M411" s="85">
        <f ca="1">OFFSET(INDIRECT(ADDRESS($A411,3,3,1,"Gross")),0,Menus!$J$4)</f>
        <v>0</v>
      </c>
      <c r="N411" s="85">
        <f ca="1">OFFSET(INDIRECT(ADDRESS($A411,3,3,1,"Gross")),0,Menus!$J$3)</f>
        <v>0</v>
      </c>
    </row>
    <row r="412" spans="1:14" x14ac:dyDescent="0.25">
      <c r="A412">
        <v>449</v>
      </c>
      <c r="B412" s="2">
        <f ca="1">OFFSET(INDIRECT(ADDRESS($A412,3,3,1,Menus!$K$10)),0,Menus!$J$4)</f>
        <v>0</v>
      </c>
      <c r="C412" s="2">
        <f ca="1">OFFSET(INDIRECT(ADDRESS($A412,3,3,1,Menus!$K$10)),0,Menus!$J$3)</f>
        <v>0</v>
      </c>
      <c r="D412" s="73" t="e">
        <f ca="1">IF(Menus!$J$9,C412/B412,C412)</f>
        <v>#DIV/0!</v>
      </c>
      <c r="E412" s="74" t="e">
        <f t="shared" ca="1" si="14"/>
        <v>#N/A</v>
      </c>
      <c r="F412" s="75">
        <f ca="1">INDIRECT(ADDRESS($A412,1,3,1,Menus!$K$10))</f>
        <v>0</v>
      </c>
      <c r="G412" s="2" t="e">
        <f ca="1">IF(INDIRECT(ADDRESS($A412,2,3,1,Menus!$K$10))=G$1,$D412,#N/A)</f>
        <v>#N/A</v>
      </c>
      <c r="H412" s="2" t="e">
        <f ca="1">IF(INDIRECT(ADDRESS($A412,2,3,1,Menus!$K$10))=H$1,$D412,#N/A)</f>
        <v>#N/A</v>
      </c>
      <c r="I412" s="2" t="e">
        <f ca="1">IF(INDIRECT(ADDRESS($A412,2,3,1,Menus!$K$10))=I$1,$D412,#N/A)</f>
        <v>#N/A</v>
      </c>
      <c r="J412" s="2" t="e">
        <f ca="1">IF(INDIRECT(ADDRESS($A412,1,3,1,Menus!$K$10))=T(J$1),$D412,#N/A)</f>
        <v>#N/A</v>
      </c>
      <c r="K412" s="10">
        <f t="shared" ca="1" si="13"/>
        <v>0</v>
      </c>
      <c r="L412" s="2"/>
      <c r="M412" s="85">
        <f ca="1">OFFSET(INDIRECT(ADDRESS($A412,3,3,1,"Gross")),0,Menus!$J$4)</f>
        <v>0</v>
      </c>
      <c r="N412" s="85">
        <f ca="1">OFFSET(INDIRECT(ADDRESS($A412,3,3,1,"Gross")),0,Menus!$J$3)</f>
        <v>0</v>
      </c>
    </row>
    <row r="413" spans="1:14" x14ac:dyDescent="0.25">
      <c r="A413">
        <v>450</v>
      </c>
      <c r="B413" s="2">
        <f ca="1">OFFSET(INDIRECT(ADDRESS($A413,3,3,1,Menus!$K$10)),0,Menus!$J$4)</f>
        <v>0</v>
      </c>
      <c r="C413" s="2">
        <f ca="1">OFFSET(INDIRECT(ADDRESS($A413,3,3,1,Menus!$K$10)),0,Menus!$J$3)</f>
        <v>0</v>
      </c>
      <c r="D413" s="73" t="e">
        <f ca="1">IF(Menus!$J$9,C413/B413,C413)</f>
        <v>#DIV/0!</v>
      </c>
      <c r="E413" s="74" t="e">
        <f t="shared" ca="1" si="14"/>
        <v>#N/A</v>
      </c>
      <c r="F413" s="75">
        <f ca="1">INDIRECT(ADDRESS($A413,1,3,1,Menus!$K$10))</f>
        <v>0</v>
      </c>
      <c r="G413" s="2" t="e">
        <f ca="1">IF(INDIRECT(ADDRESS($A413,2,3,1,Menus!$K$10))=G$1,$D413,#N/A)</f>
        <v>#N/A</v>
      </c>
      <c r="H413" s="2" t="e">
        <f ca="1">IF(INDIRECT(ADDRESS($A413,2,3,1,Menus!$K$10))=H$1,$D413,#N/A)</f>
        <v>#N/A</v>
      </c>
      <c r="I413" s="2" t="e">
        <f ca="1">IF(INDIRECT(ADDRESS($A413,2,3,1,Menus!$K$10))=I$1,$D413,#N/A)</f>
        <v>#N/A</v>
      </c>
      <c r="J413" s="2" t="e">
        <f ca="1">IF(INDIRECT(ADDRESS($A413,1,3,1,Menus!$K$10))=T(J$1),$D413,#N/A)</f>
        <v>#N/A</v>
      </c>
      <c r="K413" s="10">
        <f t="shared" ca="1" si="13"/>
        <v>0</v>
      </c>
      <c r="L413" s="2"/>
      <c r="M413" s="85">
        <f ca="1">OFFSET(INDIRECT(ADDRESS($A413,3,3,1,"Gross")),0,Menus!$J$4)</f>
        <v>0</v>
      </c>
      <c r="N413" s="85">
        <f ca="1">OFFSET(INDIRECT(ADDRESS($A413,3,3,1,"Gross")),0,Menus!$J$3)</f>
        <v>0</v>
      </c>
    </row>
    <row r="414" spans="1:14" x14ac:dyDescent="0.25">
      <c r="A414">
        <v>451</v>
      </c>
      <c r="B414" s="2">
        <f ca="1">OFFSET(INDIRECT(ADDRESS($A414,3,3,1,Menus!$K$10)),0,Menus!$J$4)</f>
        <v>0</v>
      </c>
      <c r="C414" s="2">
        <f ca="1">OFFSET(INDIRECT(ADDRESS($A414,3,3,1,Menus!$K$10)),0,Menus!$J$3)</f>
        <v>0</v>
      </c>
      <c r="D414" s="73" t="e">
        <f ca="1">IF(Menus!$J$9,C414/B414,C414)</f>
        <v>#DIV/0!</v>
      </c>
      <c r="E414" s="74" t="e">
        <f t="shared" ca="1" si="14"/>
        <v>#N/A</v>
      </c>
      <c r="F414" s="75">
        <f ca="1">INDIRECT(ADDRESS($A414,1,3,1,Menus!$K$10))</f>
        <v>0</v>
      </c>
      <c r="G414" s="2" t="e">
        <f ca="1">IF(INDIRECT(ADDRESS($A414,2,3,1,Menus!$K$10))=G$1,$D414,#N/A)</f>
        <v>#N/A</v>
      </c>
      <c r="H414" s="2" t="e">
        <f ca="1">IF(INDIRECT(ADDRESS($A414,2,3,1,Menus!$K$10))=H$1,$D414,#N/A)</f>
        <v>#N/A</v>
      </c>
      <c r="I414" s="2" t="e">
        <f ca="1">IF(INDIRECT(ADDRESS($A414,2,3,1,Menus!$K$10))=I$1,$D414,#N/A)</f>
        <v>#N/A</v>
      </c>
      <c r="J414" s="2" t="e">
        <f ca="1">IF(INDIRECT(ADDRESS($A414,1,3,1,Menus!$K$10))=T(J$1),$D414,#N/A)</f>
        <v>#N/A</v>
      </c>
      <c r="K414" s="10">
        <f t="shared" ca="1" si="13"/>
        <v>0</v>
      </c>
      <c r="L414" s="2"/>
      <c r="M414" s="85">
        <f ca="1">OFFSET(INDIRECT(ADDRESS($A414,3,3,1,"Gross")),0,Menus!$J$4)</f>
        <v>0</v>
      </c>
      <c r="N414" s="85">
        <f ca="1">OFFSET(INDIRECT(ADDRESS($A414,3,3,1,"Gross")),0,Menus!$J$3)</f>
        <v>0</v>
      </c>
    </row>
    <row r="415" spans="1:14" x14ac:dyDescent="0.25">
      <c r="A415">
        <v>452</v>
      </c>
      <c r="B415" s="2">
        <f ca="1">OFFSET(INDIRECT(ADDRESS($A415,3,3,1,Menus!$K$10)),0,Menus!$J$4)</f>
        <v>0</v>
      </c>
      <c r="C415" s="2">
        <f ca="1">OFFSET(INDIRECT(ADDRESS($A415,3,3,1,Menus!$K$10)),0,Menus!$J$3)</f>
        <v>0</v>
      </c>
      <c r="D415" s="73" t="e">
        <f ca="1">IF(Menus!$J$9,C415/B415,C415)</f>
        <v>#DIV/0!</v>
      </c>
      <c r="E415" s="74" t="e">
        <f t="shared" ca="1" si="14"/>
        <v>#N/A</v>
      </c>
      <c r="F415" s="75">
        <f ca="1">INDIRECT(ADDRESS($A415,1,3,1,Menus!$K$10))</f>
        <v>0</v>
      </c>
      <c r="G415" s="2" t="e">
        <f ca="1">IF(INDIRECT(ADDRESS($A415,2,3,1,Menus!$K$10))=G$1,$D415,#N/A)</f>
        <v>#N/A</v>
      </c>
      <c r="H415" s="2" t="e">
        <f ca="1">IF(INDIRECT(ADDRESS($A415,2,3,1,Menus!$K$10))=H$1,$D415,#N/A)</f>
        <v>#N/A</v>
      </c>
      <c r="I415" s="2" t="e">
        <f ca="1">IF(INDIRECT(ADDRESS($A415,2,3,1,Menus!$K$10))=I$1,$D415,#N/A)</f>
        <v>#N/A</v>
      </c>
      <c r="J415" s="2" t="e">
        <f ca="1">IF(INDIRECT(ADDRESS($A415,1,3,1,Menus!$K$10))=T(J$1),$D415,#N/A)</f>
        <v>#N/A</v>
      </c>
      <c r="K415" s="10">
        <f t="shared" ca="1" si="13"/>
        <v>0</v>
      </c>
      <c r="L415" s="2"/>
      <c r="M415" s="85">
        <f ca="1">OFFSET(INDIRECT(ADDRESS($A415,3,3,1,"Gross")),0,Menus!$J$4)</f>
        <v>0</v>
      </c>
      <c r="N415" s="85">
        <f ca="1">OFFSET(INDIRECT(ADDRESS($A415,3,3,1,"Gross")),0,Menus!$J$3)</f>
        <v>0</v>
      </c>
    </row>
    <row r="416" spans="1:14" x14ac:dyDescent="0.25">
      <c r="A416">
        <v>453</v>
      </c>
      <c r="B416" s="2">
        <f ca="1">OFFSET(INDIRECT(ADDRESS($A416,3,3,1,Menus!$K$10)),0,Menus!$J$4)</f>
        <v>0</v>
      </c>
      <c r="C416" s="2">
        <f ca="1">OFFSET(INDIRECT(ADDRESS($A416,3,3,1,Menus!$K$10)),0,Menus!$J$3)</f>
        <v>0</v>
      </c>
      <c r="D416" s="73" t="e">
        <f ca="1">IF(Menus!$J$9,C416/B416,C416)</f>
        <v>#DIV/0!</v>
      </c>
      <c r="E416" s="74" t="e">
        <f t="shared" ca="1" si="14"/>
        <v>#N/A</v>
      </c>
      <c r="F416" s="75">
        <f ca="1">INDIRECT(ADDRESS($A416,1,3,1,Menus!$K$10))</f>
        <v>0</v>
      </c>
      <c r="G416" s="2" t="e">
        <f ca="1">IF(INDIRECT(ADDRESS($A416,2,3,1,Menus!$K$10))=G$1,$D416,#N/A)</f>
        <v>#N/A</v>
      </c>
      <c r="H416" s="2" t="e">
        <f ca="1">IF(INDIRECT(ADDRESS($A416,2,3,1,Menus!$K$10))=H$1,$D416,#N/A)</f>
        <v>#N/A</v>
      </c>
      <c r="I416" s="2" t="e">
        <f ca="1">IF(INDIRECT(ADDRESS($A416,2,3,1,Menus!$K$10))=I$1,$D416,#N/A)</f>
        <v>#N/A</v>
      </c>
      <c r="J416" s="2" t="e">
        <f ca="1">IF(INDIRECT(ADDRESS($A416,1,3,1,Menus!$K$10))=T(J$1),$D416,#N/A)</f>
        <v>#N/A</v>
      </c>
      <c r="K416" s="10">
        <f t="shared" ca="1" si="13"/>
        <v>0</v>
      </c>
      <c r="L416" s="2"/>
      <c r="M416" s="85">
        <f ca="1">OFFSET(INDIRECT(ADDRESS($A416,3,3,1,"Gross")),0,Menus!$J$4)</f>
        <v>0</v>
      </c>
      <c r="N416" s="85">
        <f ca="1">OFFSET(INDIRECT(ADDRESS($A416,3,3,1,"Gross")),0,Menus!$J$3)</f>
        <v>0</v>
      </c>
    </row>
    <row r="417" spans="1:14" x14ac:dyDescent="0.25">
      <c r="A417">
        <v>454</v>
      </c>
      <c r="B417" s="2">
        <f ca="1">OFFSET(INDIRECT(ADDRESS($A417,3,3,1,Menus!$K$10)),0,Menus!$J$4)</f>
        <v>0</v>
      </c>
      <c r="C417" s="2">
        <f ca="1">OFFSET(INDIRECT(ADDRESS($A417,3,3,1,Menus!$K$10)),0,Menus!$J$3)</f>
        <v>0</v>
      </c>
      <c r="D417" s="73" t="e">
        <f ca="1">IF(Menus!$J$9,C417/B417,C417)</f>
        <v>#DIV/0!</v>
      </c>
      <c r="E417" s="74" t="e">
        <f t="shared" ca="1" si="14"/>
        <v>#N/A</v>
      </c>
      <c r="F417" s="75">
        <f ca="1">INDIRECT(ADDRESS($A417,1,3,1,Menus!$K$10))</f>
        <v>0</v>
      </c>
      <c r="G417" s="2" t="e">
        <f ca="1">IF(INDIRECT(ADDRESS($A417,2,3,1,Menus!$K$10))=G$1,$D417,#N/A)</f>
        <v>#N/A</v>
      </c>
      <c r="H417" s="2" t="e">
        <f ca="1">IF(INDIRECT(ADDRESS($A417,2,3,1,Menus!$K$10))=H$1,$D417,#N/A)</f>
        <v>#N/A</v>
      </c>
      <c r="I417" s="2" t="e">
        <f ca="1">IF(INDIRECT(ADDRESS($A417,2,3,1,Menus!$K$10))=I$1,$D417,#N/A)</f>
        <v>#N/A</v>
      </c>
      <c r="J417" s="2" t="e">
        <f ca="1">IF(INDIRECT(ADDRESS($A417,1,3,1,Menus!$K$10))=T(J$1),$D417,#N/A)</f>
        <v>#N/A</v>
      </c>
      <c r="K417" s="10">
        <f t="shared" ca="1" si="13"/>
        <v>0</v>
      </c>
      <c r="L417" s="2"/>
      <c r="M417" s="85">
        <f ca="1">OFFSET(INDIRECT(ADDRESS($A417,3,3,1,"Gross")),0,Menus!$J$4)</f>
        <v>0</v>
      </c>
      <c r="N417" s="85">
        <f ca="1">OFFSET(INDIRECT(ADDRESS($A417,3,3,1,"Gross")),0,Menus!$J$3)</f>
        <v>0</v>
      </c>
    </row>
    <row r="418" spans="1:14" x14ac:dyDescent="0.25">
      <c r="A418">
        <v>455</v>
      </c>
      <c r="B418" s="2">
        <f ca="1">OFFSET(INDIRECT(ADDRESS($A418,3,3,1,Menus!$K$10)),0,Menus!$J$4)</f>
        <v>0</v>
      </c>
      <c r="C418" s="2">
        <f ca="1">OFFSET(INDIRECT(ADDRESS($A418,3,3,1,Menus!$K$10)),0,Menus!$J$3)</f>
        <v>0</v>
      </c>
      <c r="D418" s="73" t="e">
        <f ca="1">IF(Menus!$J$9,C418/B418,C418)</f>
        <v>#DIV/0!</v>
      </c>
      <c r="E418" s="74" t="e">
        <f t="shared" ca="1" si="14"/>
        <v>#N/A</v>
      </c>
      <c r="F418" s="75">
        <f ca="1">INDIRECT(ADDRESS($A418,1,3,1,Menus!$K$10))</f>
        <v>0</v>
      </c>
      <c r="G418" s="2" t="e">
        <f ca="1">IF(INDIRECT(ADDRESS($A418,2,3,1,Menus!$K$10))=G$1,$D418,#N/A)</f>
        <v>#N/A</v>
      </c>
      <c r="H418" s="2" t="e">
        <f ca="1">IF(INDIRECT(ADDRESS($A418,2,3,1,Menus!$K$10))=H$1,$D418,#N/A)</f>
        <v>#N/A</v>
      </c>
      <c r="I418" s="2" t="e">
        <f ca="1">IF(INDIRECT(ADDRESS($A418,2,3,1,Menus!$K$10))=I$1,$D418,#N/A)</f>
        <v>#N/A</v>
      </c>
      <c r="J418" s="2" t="e">
        <f ca="1">IF(INDIRECT(ADDRESS($A418,1,3,1,Menus!$K$10))=T(J$1),$D418,#N/A)</f>
        <v>#N/A</v>
      </c>
      <c r="K418" s="10">
        <f t="shared" ca="1" si="13"/>
        <v>0</v>
      </c>
      <c r="L418" s="2"/>
      <c r="M418" s="85">
        <f ca="1">OFFSET(INDIRECT(ADDRESS($A418,3,3,1,"Gross")),0,Menus!$J$4)</f>
        <v>0</v>
      </c>
      <c r="N418" s="85">
        <f ca="1">OFFSET(INDIRECT(ADDRESS($A418,3,3,1,"Gross")),0,Menus!$J$3)</f>
        <v>0</v>
      </c>
    </row>
    <row r="419" spans="1:14" x14ac:dyDescent="0.25">
      <c r="A419">
        <v>456</v>
      </c>
      <c r="B419" s="2">
        <f ca="1">OFFSET(INDIRECT(ADDRESS($A419,3,3,1,Menus!$K$10)),0,Menus!$J$4)</f>
        <v>0</v>
      </c>
      <c r="C419" s="2">
        <f ca="1">OFFSET(INDIRECT(ADDRESS($A419,3,3,1,Menus!$K$10)),0,Menus!$J$3)</f>
        <v>0</v>
      </c>
      <c r="D419" s="73" t="e">
        <f ca="1">IF(Menus!$J$9,C419/B419,C419)</f>
        <v>#DIV/0!</v>
      </c>
      <c r="E419" s="74" t="e">
        <f t="shared" ca="1" si="14"/>
        <v>#N/A</v>
      </c>
      <c r="F419" s="75">
        <f ca="1">INDIRECT(ADDRESS($A419,1,3,1,Menus!$K$10))</f>
        <v>0</v>
      </c>
      <c r="G419" s="2" t="e">
        <f ca="1">IF(INDIRECT(ADDRESS($A419,2,3,1,Menus!$K$10))=G$1,$D419,#N/A)</f>
        <v>#N/A</v>
      </c>
      <c r="H419" s="2" t="e">
        <f ca="1">IF(INDIRECT(ADDRESS($A419,2,3,1,Menus!$K$10))=H$1,$D419,#N/A)</f>
        <v>#N/A</v>
      </c>
      <c r="I419" s="2" t="e">
        <f ca="1">IF(INDIRECT(ADDRESS($A419,2,3,1,Menus!$K$10))=I$1,$D419,#N/A)</f>
        <v>#N/A</v>
      </c>
      <c r="J419" s="2" t="e">
        <f ca="1">IF(INDIRECT(ADDRESS($A419,1,3,1,Menus!$K$10))=T(J$1),$D419,#N/A)</f>
        <v>#N/A</v>
      </c>
      <c r="K419" s="10">
        <f t="shared" ca="1" si="13"/>
        <v>0</v>
      </c>
      <c r="L419" s="2"/>
      <c r="M419" s="85">
        <f ca="1">OFFSET(INDIRECT(ADDRESS($A419,3,3,1,"Gross")),0,Menus!$J$4)</f>
        <v>0</v>
      </c>
      <c r="N419" s="85">
        <f ca="1">OFFSET(INDIRECT(ADDRESS($A419,3,3,1,"Gross")),0,Menus!$J$3)</f>
        <v>0</v>
      </c>
    </row>
    <row r="420" spans="1:14" x14ac:dyDescent="0.25">
      <c r="A420">
        <v>457</v>
      </c>
      <c r="B420" s="2">
        <f ca="1">OFFSET(INDIRECT(ADDRESS($A420,3,3,1,Menus!$K$10)),0,Menus!$J$4)</f>
        <v>0</v>
      </c>
      <c r="C420" s="2">
        <f ca="1">OFFSET(INDIRECT(ADDRESS($A420,3,3,1,Menus!$K$10)),0,Menus!$J$3)</f>
        <v>0</v>
      </c>
      <c r="D420" s="73" t="e">
        <f ca="1">IF(Menus!$J$9,C420/B420,C420)</f>
        <v>#DIV/0!</v>
      </c>
      <c r="E420" s="74" t="e">
        <f t="shared" ca="1" si="14"/>
        <v>#N/A</v>
      </c>
      <c r="F420" s="75">
        <f ca="1">INDIRECT(ADDRESS($A420,1,3,1,Menus!$K$10))</f>
        <v>0</v>
      </c>
      <c r="G420" s="2" t="e">
        <f ca="1">IF(INDIRECT(ADDRESS($A420,2,3,1,Menus!$K$10))=G$1,$D420,#N/A)</f>
        <v>#N/A</v>
      </c>
      <c r="H420" s="2" t="e">
        <f ca="1">IF(INDIRECT(ADDRESS($A420,2,3,1,Menus!$K$10))=H$1,$D420,#N/A)</f>
        <v>#N/A</v>
      </c>
      <c r="I420" s="2" t="e">
        <f ca="1">IF(INDIRECT(ADDRESS($A420,2,3,1,Menus!$K$10))=I$1,$D420,#N/A)</f>
        <v>#N/A</v>
      </c>
      <c r="J420" s="2" t="e">
        <f ca="1">IF(INDIRECT(ADDRESS($A420,1,3,1,Menus!$K$10))=T(J$1),$D420,#N/A)</f>
        <v>#N/A</v>
      </c>
      <c r="K420" s="10">
        <f t="shared" ca="1" si="13"/>
        <v>0</v>
      </c>
      <c r="L420" s="2"/>
      <c r="M420" s="85">
        <f ca="1">OFFSET(INDIRECT(ADDRESS($A420,3,3,1,"Gross")),0,Menus!$J$4)</f>
        <v>0</v>
      </c>
      <c r="N420" s="85">
        <f ca="1">OFFSET(INDIRECT(ADDRESS($A420,3,3,1,"Gross")),0,Menus!$J$3)</f>
        <v>0</v>
      </c>
    </row>
    <row r="421" spans="1:14" x14ac:dyDescent="0.25">
      <c r="A421">
        <v>458</v>
      </c>
      <c r="B421" s="2">
        <f ca="1">OFFSET(INDIRECT(ADDRESS($A421,3,3,1,Menus!$K$10)),0,Menus!$J$4)</f>
        <v>0</v>
      </c>
      <c r="C421" s="2">
        <f ca="1">OFFSET(INDIRECT(ADDRESS($A421,3,3,1,Menus!$K$10)),0,Menus!$J$3)</f>
        <v>0</v>
      </c>
      <c r="D421" s="73" t="e">
        <f ca="1">IF(Menus!$J$9,C421/B421,C421)</f>
        <v>#DIV/0!</v>
      </c>
      <c r="E421" s="74" t="e">
        <f t="shared" ca="1" si="14"/>
        <v>#N/A</v>
      </c>
      <c r="F421" s="75">
        <f ca="1">INDIRECT(ADDRESS($A421,1,3,1,Menus!$K$10))</f>
        <v>0</v>
      </c>
      <c r="G421" s="2" t="e">
        <f ca="1">IF(INDIRECT(ADDRESS($A421,2,3,1,Menus!$K$10))=G$1,$D421,#N/A)</f>
        <v>#N/A</v>
      </c>
      <c r="H421" s="2" t="e">
        <f ca="1">IF(INDIRECT(ADDRESS($A421,2,3,1,Menus!$K$10))=H$1,$D421,#N/A)</f>
        <v>#N/A</v>
      </c>
      <c r="I421" s="2" t="e">
        <f ca="1">IF(INDIRECT(ADDRESS($A421,2,3,1,Menus!$K$10))=I$1,$D421,#N/A)</f>
        <v>#N/A</v>
      </c>
      <c r="J421" s="2" t="e">
        <f ca="1">IF(INDIRECT(ADDRESS($A421,1,3,1,Menus!$K$10))=T(J$1),$D421,#N/A)</f>
        <v>#N/A</v>
      </c>
      <c r="K421" s="10">
        <f t="shared" ca="1" si="13"/>
        <v>0</v>
      </c>
      <c r="L421" s="2"/>
      <c r="M421" s="85">
        <f ca="1">OFFSET(INDIRECT(ADDRESS($A421,3,3,1,"Gross")),0,Menus!$J$4)</f>
        <v>0</v>
      </c>
      <c r="N421" s="85">
        <f ca="1">OFFSET(INDIRECT(ADDRESS($A421,3,3,1,"Gross")),0,Menus!$J$3)</f>
        <v>0</v>
      </c>
    </row>
    <row r="422" spans="1:14" x14ac:dyDescent="0.25">
      <c r="A422">
        <v>459</v>
      </c>
      <c r="B422" s="2">
        <f ca="1">OFFSET(INDIRECT(ADDRESS($A422,3,3,1,Menus!$K$10)),0,Menus!$J$4)</f>
        <v>0</v>
      </c>
      <c r="C422" s="2">
        <f ca="1">OFFSET(INDIRECT(ADDRESS($A422,3,3,1,Menus!$K$10)),0,Menus!$J$3)</f>
        <v>0</v>
      </c>
      <c r="D422" s="73" t="e">
        <f ca="1">IF(Menus!$J$9,C422/B422,C422)</f>
        <v>#DIV/0!</v>
      </c>
      <c r="E422" s="74" t="e">
        <f t="shared" ca="1" si="14"/>
        <v>#N/A</v>
      </c>
      <c r="F422" s="75">
        <f ca="1">INDIRECT(ADDRESS($A422,1,3,1,Menus!$K$10))</f>
        <v>0</v>
      </c>
      <c r="G422" s="2" t="e">
        <f ca="1">IF(INDIRECT(ADDRESS($A422,2,3,1,Menus!$K$10))=G$1,$D422,#N/A)</f>
        <v>#N/A</v>
      </c>
      <c r="H422" s="2" t="e">
        <f ca="1">IF(INDIRECT(ADDRESS($A422,2,3,1,Menus!$K$10))=H$1,$D422,#N/A)</f>
        <v>#N/A</v>
      </c>
      <c r="I422" s="2" t="e">
        <f ca="1">IF(INDIRECT(ADDRESS($A422,2,3,1,Menus!$K$10))=I$1,$D422,#N/A)</f>
        <v>#N/A</v>
      </c>
      <c r="J422" s="2" t="e">
        <f ca="1">IF(INDIRECT(ADDRESS($A422,1,3,1,Menus!$K$10))=T(J$1),$D422,#N/A)</f>
        <v>#N/A</v>
      </c>
      <c r="K422" s="10">
        <f t="shared" ca="1" si="13"/>
        <v>0</v>
      </c>
      <c r="L422" s="2"/>
      <c r="M422" s="85">
        <f ca="1">OFFSET(INDIRECT(ADDRESS($A422,3,3,1,"Gross")),0,Menus!$J$4)</f>
        <v>0</v>
      </c>
      <c r="N422" s="85">
        <f ca="1">OFFSET(INDIRECT(ADDRESS($A422,3,3,1,"Gross")),0,Menus!$J$3)</f>
        <v>0</v>
      </c>
    </row>
    <row r="423" spans="1:14" x14ac:dyDescent="0.25">
      <c r="A423">
        <v>460</v>
      </c>
      <c r="B423" s="2">
        <f ca="1">OFFSET(INDIRECT(ADDRESS($A423,3,3,1,Menus!$K$10)),0,Menus!$J$4)</f>
        <v>0</v>
      </c>
      <c r="C423" s="2">
        <f ca="1">OFFSET(INDIRECT(ADDRESS($A423,3,3,1,Menus!$K$10)),0,Menus!$J$3)</f>
        <v>0</v>
      </c>
      <c r="D423" s="73" t="e">
        <f ca="1">IF(Menus!$J$9,C423/B423,C423)</f>
        <v>#DIV/0!</v>
      </c>
      <c r="E423" s="74" t="e">
        <f t="shared" ca="1" si="14"/>
        <v>#N/A</v>
      </c>
      <c r="F423" s="75">
        <f ca="1">INDIRECT(ADDRESS($A423,1,3,1,Menus!$K$10))</f>
        <v>0</v>
      </c>
      <c r="G423" s="2" t="e">
        <f ca="1">IF(INDIRECT(ADDRESS($A423,2,3,1,Menus!$K$10))=G$1,$D423,#N/A)</f>
        <v>#N/A</v>
      </c>
      <c r="H423" s="2" t="e">
        <f ca="1">IF(INDIRECT(ADDRESS($A423,2,3,1,Menus!$K$10))=H$1,$D423,#N/A)</f>
        <v>#N/A</v>
      </c>
      <c r="I423" s="2" t="e">
        <f ca="1">IF(INDIRECT(ADDRESS($A423,2,3,1,Menus!$K$10))=I$1,$D423,#N/A)</f>
        <v>#N/A</v>
      </c>
      <c r="J423" s="2" t="e">
        <f ca="1">IF(INDIRECT(ADDRESS($A423,1,3,1,Menus!$K$10))=T(J$1),$D423,#N/A)</f>
        <v>#N/A</v>
      </c>
      <c r="K423" s="10">
        <f t="shared" ca="1" si="13"/>
        <v>0</v>
      </c>
      <c r="L423" s="2"/>
      <c r="M423" s="85">
        <f ca="1">OFFSET(INDIRECT(ADDRESS($A423,3,3,1,"Gross")),0,Menus!$J$4)</f>
        <v>0</v>
      </c>
      <c r="N423" s="85">
        <f ca="1">OFFSET(INDIRECT(ADDRESS($A423,3,3,1,"Gross")),0,Menus!$J$3)</f>
        <v>0</v>
      </c>
    </row>
    <row r="424" spans="1:14" x14ac:dyDescent="0.25">
      <c r="A424">
        <v>461</v>
      </c>
      <c r="B424" s="2">
        <f ca="1">OFFSET(INDIRECT(ADDRESS($A424,3,3,1,Menus!$K$10)),0,Menus!$J$4)</f>
        <v>0</v>
      </c>
      <c r="C424" s="2">
        <f ca="1">OFFSET(INDIRECT(ADDRESS($A424,3,3,1,Menus!$K$10)),0,Menus!$J$3)</f>
        <v>0</v>
      </c>
      <c r="D424" s="73" t="e">
        <f ca="1">IF(Menus!$J$9,C424/B424,C424)</f>
        <v>#DIV/0!</v>
      </c>
      <c r="E424" s="74" t="e">
        <f t="shared" ca="1" si="14"/>
        <v>#N/A</v>
      </c>
      <c r="F424" s="75">
        <f ca="1">INDIRECT(ADDRESS($A424,1,3,1,Menus!$K$10))</f>
        <v>0</v>
      </c>
      <c r="G424" s="2" t="e">
        <f ca="1">IF(INDIRECT(ADDRESS($A424,2,3,1,Menus!$K$10))=G$1,$D424,#N/A)</f>
        <v>#N/A</v>
      </c>
      <c r="H424" s="2" t="e">
        <f ca="1">IF(INDIRECT(ADDRESS($A424,2,3,1,Menus!$K$10))=H$1,$D424,#N/A)</f>
        <v>#N/A</v>
      </c>
      <c r="I424" s="2" t="e">
        <f ca="1">IF(INDIRECT(ADDRESS($A424,2,3,1,Menus!$K$10))=I$1,$D424,#N/A)</f>
        <v>#N/A</v>
      </c>
      <c r="J424" s="2" t="e">
        <f ca="1">IF(INDIRECT(ADDRESS($A424,1,3,1,Menus!$K$10))=T(J$1),$D424,#N/A)</f>
        <v>#N/A</v>
      </c>
      <c r="K424" s="10">
        <f t="shared" ca="1" si="13"/>
        <v>0</v>
      </c>
      <c r="L424" s="2"/>
      <c r="M424" s="85">
        <f ca="1">OFFSET(INDIRECT(ADDRESS($A424,3,3,1,"Gross")),0,Menus!$J$4)</f>
        <v>0</v>
      </c>
      <c r="N424" s="85">
        <f ca="1">OFFSET(INDIRECT(ADDRESS($A424,3,3,1,"Gross")),0,Menus!$J$3)</f>
        <v>0</v>
      </c>
    </row>
    <row r="425" spans="1:14" x14ac:dyDescent="0.25">
      <c r="A425">
        <v>462</v>
      </c>
      <c r="B425" s="2">
        <f ca="1">OFFSET(INDIRECT(ADDRESS($A425,3,3,1,Menus!$K$10)),0,Menus!$J$4)</f>
        <v>0</v>
      </c>
      <c r="C425" s="2">
        <f ca="1">OFFSET(INDIRECT(ADDRESS($A425,3,3,1,Menus!$K$10)),0,Menus!$J$3)</f>
        <v>0</v>
      </c>
      <c r="D425" s="73" t="e">
        <f ca="1">IF(Menus!$J$9,C425/B425,C425)</f>
        <v>#DIV/0!</v>
      </c>
      <c r="E425" s="74" t="e">
        <f t="shared" ca="1" si="14"/>
        <v>#N/A</v>
      </c>
      <c r="F425" s="75">
        <f ca="1">INDIRECT(ADDRESS($A425,1,3,1,Menus!$K$10))</f>
        <v>0</v>
      </c>
      <c r="G425" s="2" t="e">
        <f ca="1">IF(INDIRECT(ADDRESS($A425,2,3,1,Menus!$K$10))=G$1,$D425,#N/A)</f>
        <v>#N/A</v>
      </c>
      <c r="H425" s="2" t="e">
        <f ca="1">IF(INDIRECT(ADDRESS($A425,2,3,1,Menus!$K$10))=H$1,$D425,#N/A)</f>
        <v>#N/A</v>
      </c>
      <c r="I425" s="2" t="e">
        <f ca="1">IF(INDIRECT(ADDRESS($A425,2,3,1,Menus!$K$10))=I$1,$D425,#N/A)</f>
        <v>#N/A</v>
      </c>
      <c r="J425" s="2" t="e">
        <f ca="1">IF(INDIRECT(ADDRESS($A425,1,3,1,Menus!$K$10))=T(J$1),$D425,#N/A)</f>
        <v>#N/A</v>
      </c>
      <c r="K425" s="10">
        <f t="shared" ca="1" si="13"/>
        <v>0</v>
      </c>
      <c r="L425" s="2"/>
      <c r="M425" s="85">
        <f ca="1">OFFSET(INDIRECT(ADDRESS($A425,3,3,1,"Gross")),0,Menus!$J$4)</f>
        <v>0</v>
      </c>
      <c r="N425" s="85">
        <f ca="1">OFFSET(INDIRECT(ADDRESS($A425,3,3,1,"Gross")),0,Menus!$J$3)</f>
        <v>0</v>
      </c>
    </row>
    <row r="426" spans="1:14" x14ac:dyDescent="0.25">
      <c r="A426">
        <v>463</v>
      </c>
      <c r="B426" s="2">
        <f ca="1">OFFSET(INDIRECT(ADDRESS($A426,3,3,1,Menus!$K$10)),0,Menus!$J$4)</f>
        <v>0</v>
      </c>
      <c r="C426" s="2">
        <f ca="1">OFFSET(INDIRECT(ADDRESS($A426,3,3,1,Menus!$K$10)),0,Menus!$J$3)</f>
        <v>0</v>
      </c>
      <c r="D426" s="73" t="e">
        <f ca="1">IF(Menus!$J$9,C426/B426,C426)</f>
        <v>#DIV/0!</v>
      </c>
      <c r="E426" s="74" t="e">
        <f t="shared" ca="1" si="14"/>
        <v>#N/A</v>
      </c>
      <c r="F426" s="75">
        <f ca="1">INDIRECT(ADDRESS($A426,1,3,1,Menus!$K$10))</f>
        <v>0</v>
      </c>
      <c r="G426" s="2" t="e">
        <f ca="1">IF(INDIRECT(ADDRESS($A426,2,3,1,Menus!$K$10))=G$1,$D426,#N/A)</f>
        <v>#N/A</v>
      </c>
      <c r="H426" s="2" t="e">
        <f ca="1">IF(INDIRECT(ADDRESS($A426,2,3,1,Menus!$K$10))=H$1,$D426,#N/A)</f>
        <v>#N/A</v>
      </c>
      <c r="I426" s="2" t="e">
        <f ca="1">IF(INDIRECT(ADDRESS($A426,2,3,1,Menus!$K$10))=I$1,$D426,#N/A)</f>
        <v>#N/A</v>
      </c>
      <c r="J426" s="2" t="e">
        <f ca="1">IF(INDIRECT(ADDRESS($A426,1,3,1,Menus!$K$10))=T(J$1),$D426,#N/A)</f>
        <v>#N/A</v>
      </c>
      <c r="K426" s="10">
        <f t="shared" ca="1" si="13"/>
        <v>0</v>
      </c>
      <c r="L426" s="2"/>
      <c r="M426" s="85">
        <f ca="1">OFFSET(INDIRECT(ADDRESS($A426,3,3,1,"Gross")),0,Menus!$J$4)</f>
        <v>0</v>
      </c>
      <c r="N426" s="85">
        <f ca="1">OFFSET(INDIRECT(ADDRESS($A426,3,3,1,"Gross")),0,Menus!$J$3)</f>
        <v>0</v>
      </c>
    </row>
    <row r="427" spans="1:14" x14ac:dyDescent="0.25">
      <c r="A427">
        <v>464</v>
      </c>
      <c r="B427" s="2">
        <f ca="1">OFFSET(INDIRECT(ADDRESS($A427,3,3,1,Menus!$K$10)),0,Menus!$J$4)</f>
        <v>0</v>
      </c>
      <c r="C427" s="2">
        <f ca="1">OFFSET(INDIRECT(ADDRESS($A427,3,3,1,Menus!$K$10)),0,Menus!$J$3)</f>
        <v>0</v>
      </c>
      <c r="D427" s="73" t="e">
        <f ca="1">IF(Menus!$J$9,C427/B427,C427)</f>
        <v>#DIV/0!</v>
      </c>
      <c r="E427" s="74" t="e">
        <f t="shared" ca="1" si="14"/>
        <v>#N/A</v>
      </c>
      <c r="F427" s="75">
        <f ca="1">INDIRECT(ADDRESS($A427,1,3,1,Menus!$K$10))</f>
        <v>0</v>
      </c>
      <c r="G427" s="2" t="e">
        <f ca="1">IF(INDIRECT(ADDRESS($A427,2,3,1,Menus!$K$10))=G$1,$D427,#N/A)</f>
        <v>#N/A</v>
      </c>
      <c r="H427" s="2" t="e">
        <f ca="1">IF(INDIRECT(ADDRESS($A427,2,3,1,Menus!$K$10))=H$1,$D427,#N/A)</f>
        <v>#N/A</v>
      </c>
      <c r="I427" s="2" t="e">
        <f ca="1">IF(INDIRECT(ADDRESS($A427,2,3,1,Menus!$K$10))=I$1,$D427,#N/A)</f>
        <v>#N/A</v>
      </c>
      <c r="J427" s="2" t="e">
        <f ca="1">IF(INDIRECT(ADDRESS($A427,1,3,1,Menus!$K$10))=T(J$1),$D427,#N/A)</f>
        <v>#N/A</v>
      </c>
      <c r="K427" s="10">
        <f t="shared" ca="1" si="13"/>
        <v>0</v>
      </c>
      <c r="L427" s="2"/>
      <c r="M427" s="85">
        <f ca="1">OFFSET(INDIRECT(ADDRESS($A427,3,3,1,"Gross")),0,Menus!$J$4)</f>
        <v>0</v>
      </c>
      <c r="N427" s="85">
        <f ca="1">OFFSET(INDIRECT(ADDRESS($A427,3,3,1,"Gross")),0,Menus!$J$3)</f>
        <v>0</v>
      </c>
    </row>
    <row r="428" spans="1:14" x14ac:dyDescent="0.25">
      <c r="A428">
        <v>465</v>
      </c>
      <c r="B428" s="2">
        <f ca="1">OFFSET(INDIRECT(ADDRESS($A428,3,3,1,Menus!$K$10)),0,Menus!$J$4)</f>
        <v>0</v>
      </c>
      <c r="C428" s="2">
        <f ca="1">OFFSET(INDIRECT(ADDRESS($A428,3,3,1,Menus!$K$10)),0,Menus!$J$3)</f>
        <v>0</v>
      </c>
      <c r="D428" s="73" t="e">
        <f ca="1">IF(Menus!$J$9,C428/B428,C428)</f>
        <v>#DIV/0!</v>
      </c>
      <c r="E428" s="74" t="e">
        <f t="shared" ca="1" si="14"/>
        <v>#N/A</v>
      </c>
      <c r="F428" s="75">
        <f ca="1">INDIRECT(ADDRESS($A428,1,3,1,Menus!$K$10))</f>
        <v>0</v>
      </c>
      <c r="G428" s="2" t="e">
        <f ca="1">IF(INDIRECT(ADDRESS($A428,2,3,1,Menus!$K$10))=G$1,$D428,#N/A)</f>
        <v>#N/A</v>
      </c>
      <c r="H428" s="2" t="e">
        <f ca="1">IF(INDIRECT(ADDRESS($A428,2,3,1,Menus!$K$10))=H$1,$D428,#N/A)</f>
        <v>#N/A</v>
      </c>
      <c r="I428" s="2" t="e">
        <f ca="1">IF(INDIRECT(ADDRESS($A428,2,3,1,Menus!$K$10))=I$1,$D428,#N/A)</f>
        <v>#N/A</v>
      </c>
      <c r="J428" s="2" t="e">
        <f ca="1">IF(INDIRECT(ADDRESS($A428,1,3,1,Menus!$K$10))=T(J$1),$D428,#N/A)</f>
        <v>#N/A</v>
      </c>
      <c r="K428" s="10">
        <f t="shared" ca="1" si="13"/>
        <v>0</v>
      </c>
      <c r="L428" s="2"/>
      <c r="M428" s="85">
        <f ca="1">OFFSET(INDIRECT(ADDRESS($A428,3,3,1,"Gross")),0,Menus!$J$4)</f>
        <v>0</v>
      </c>
      <c r="N428" s="85">
        <f ca="1">OFFSET(INDIRECT(ADDRESS($A428,3,3,1,"Gross")),0,Menus!$J$3)</f>
        <v>0</v>
      </c>
    </row>
    <row r="429" spans="1:14" x14ac:dyDescent="0.25">
      <c r="A429">
        <v>466</v>
      </c>
      <c r="B429" s="2">
        <f ca="1">OFFSET(INDIRECT(ADDRESS($A429,3,3,1,Menus!$K$10)),0,Menus!$J$4)</f>
        <v>0</v>
      </c>
      <c r="C429" s="2">
        <f ca="1">OFFSET(INDIRECT(ADDRESS($A429,3,3,1,Menus!$K$10)),0,Menus!$J$3)</f>
        <v>0</v>
      </c>
      <c r="D429" s="73" t="e">
        <f ca="1">IF(Menus!$J$9,C429/B429,C429)</f>
        <v>#DIV/0!</v>
      </c>
      <c r="E429" s="74" t="e">
        <f t="shared" ca="1" si="14"/>
        <v>#N/A</v>
      </c>
      <c r="F429" s="75">
        <f ca="1">INDIRECT(ADDRESS($A429,1,3,1,Menus!$K$10))</f>
        <v>0</v>
      </c>
      <c r="G429" s="2" t="e">
        <f ca="1">IF(INDIRECT(ADDRESS($A429,2,3,1,Menus!$K$10))=G$1,$D429,#N/A)</f>
        <v>#N/A</v>
      </c>
      <c r="H429" s="2" t="e">
        <f ca="1">IF(INDIRECT(ADDRESS($A429,2,3,1,Menus!$K$10))=H$1,$D429,#N/A)</f>
        <v>#N/A</v>
      </c>
      <c r="I429" s="2" t="e">
        <f ca="1">IF(INDIRECT(ADDRESS($A429,2,3,1,Menus!$K$10))=I$1,$D429,#N/A)</f>
        <v>#N/A</v>
      </c>
      <c r="J429" s="2" t="e">
        <f ca="1">IF(INDIRECT(ADDRESS($A429,1,3,1,Menus!$K$10))=T(J$1),$D429,#N/A)</f>
        <v>#N/A</v>
      </c>
      <c r="K429" s="10">
        <f t="shared" ca="1" si="13"/>
        <v>0</v>
      </c>
      <c r="L429" s="2"/>
      <c r="M429" s="85">
        <f ca="1">OFFSET(INDIRECT(ADDRESS($A429,3,3,1,"Gross")),0,Menus!$J$4)</f>
        <v>0</v>
      </c>
      <c r="N429" s="85">
        <f ca="1">OFFSET(INDIRECT(ADDRESS($A429,3,3,1,"Gross")),0,Menus!$J$3)</f>
        <v>0</v>
      </c>
    </row>
    <row r="430" spans="1:14" x14ac:dyDescent="0.25">
      <c r="A430">
        <v>467</v>
      </c>
      <c r="B430" s="2">
        <f ca="1">OFFSET(INDIRECT(ADDRESS($A430,3,3,1,Menus!$K$10)),0,Menus!$J$4)</f>
        <v>0</v>
      </c>
      <c r="C430" s="2">
        <f ca="1">OFFSET(INDIRECT(ADDRESS($A430,3,3,1,Menus!$K$10)),0,Menus!$J$3)</f>
        <v>0</v>
      </c>
      <c r="D430" s="73" t="e">
        <f ca="1">IF(Menus!$J$9,C430/B430,C430)</f>
        <v>#DIV/0!</v>
      </c>
      <c r="E430" s="74" t="e">
        <f t="shared" ca="1" si="14"/>
        <v>#N/A</v>
      </c>
      <c r="F430" s="75">
        <f ca="1">INDIRECT(ADDRESS($A430,1,3,1,Menus!$K$10))</f>
        <v>0</v>
      </c>
      <c r="G430" s="2" t="e">
        <f ca="1">IF(INDIRECT(ADDRESS($A430,2,3,1,Menus!$K$10))=G$1,$D430,#N/A)</f>
        <v>#N/A</v>
      </c>
      <c r="H430" s="2" t="e">
        <f ca="1">IF(INDIRECT(ADDRESS($A430,2,3,1,Menus!$K$10))=H$1,$D430,#N/A)</f>
        <v>#N/A</v>
      </c>
      <c r="I430" s="2" t="e">
        <f ca="1">IF(INDIRECT(ADDRESS($A430,2,3,1,Menus!$K$10))=I$1,$D430,#N/A)</f>
        <v>#N/A</v>
      </c>
      <c r="J430" s="2" t="e">
        <f ca="1">IF(INDIRECT(ADDRESS($A430,1,3,1,Menus!$K$10))=T(J$1),$D430,#N/A)</f>
        <v>#N/A</v>
      </c>
      <c r="K430" s="10">
        <f t="shared" ca="1" si="13"/>
        <v>0</v>
      </c>
      <c r="L430" s="2"/>
      <c r="M430" s="85">
        <f ca="1">OFFSET(INDIRECT(ADDRESS($A430,3,3,1,"Gross")),0,Menus!$J$4)</f>
        <v>0</v>
      </c>
      <c r="N430" s="85">
        <f ca="1">OFFSET(INDIRECT(ADDRESS($A430,3,3,1,"Gross")),0,Menus!$J$3)</f>
        <v>0</v>
      </c>
    </row>
    <row r="431" spans="1:14" x14ac:dyDescent="0.25">
      <c r="A431">
        <v>468</v>
      </c>
      <c r="B431" s="2">
        <f ca="1">OFFSET(INDIRECT(ADDRESS($A431,3,3,1,Menus!$K$10)),0,Menus!$J$4)</f>
        <v>0</v>
      </c>
      <c r="C431" s="2">
        <f ca="1">OFFSET(INDIRECT(ADDRESS($A431,3,3,1,Menus!$K$10)),0,Menus!$J$3)</f>
        <v>0</v>
      </c>
      <c r="D431" s="73" t="e">
        <f ca="1">IF(Menus!$J$9,C431/B431,C431)</f>
        <v>#DIV/0!</v>
      </c>
      <c r="E431" s="74" t="e">
        <f t="shared" ca="1" si="14"/>
        <v>#N/A</v>
      </c>
      <c r="F431" s="75">
        <f ca="1">INDIRECT(ADDRESS($A431,1,3,1,Menus!$K$10))</f>
        <v>0</v>
      </c>
      <c r="G431" s="2" t="e">
        <f ca="1">IF(INDIRECT(ADDRESS($A431,2,3,1,Menus!$K$10))=G$1,$D431,#N/A)</f>
        <v>#N/A</v>
      </c>
      <c r="H431" s="2" t="e">
        <f ca="1">IF(INDIRECT(ADDRESS($A431,2,3,1,Menus!$K$10))=H$1,$D431,#N/A)</f>
        <v>#N/A</v>
      </c>
      <c r="I431" s="2" t="e">
        <f ca="1">IF(INDIRECT(ADDRESS($A431,2,3,1,Menus!$K$10))=I$1,$D431,#N/A)</f>
        <v>#N/A</v>
      </c>
      <c r="J431" s="2" t="e">
        <f ca="1">IF(INDIRECT(ADDRESS($A431,1,3,1,Menus!$K$10))=T(J$1),$D431,#N/A)</f>
        <v>#N/A</v>
      </c>
      <c r="K431" s="10">
        <f t="shared" ca="1" si="13"/>
        <v>0</v>
      </c>
      <c r="L431" s="2"/>
      <c r="M431" s="85">
        <f ca="1">OFFSET(INDIRECT(ADDRESS($A431,3,3,1,"Gross")),0,Menus!$J$4)</f>
        <v>0</v>
      </c>
      <c r="N431" s="85">
        <f ca="1">OFFSET(INDIRECT(ADDRESS($A431,3,3,1,"Gross")),0,Menus!$J$3)</f>
        <v>0</v>
      </c>
    </row>
    <row r="432" spans="1:14" x14ac:dyDescent="0.25">
      <c r="A432">
        <v>469</v>
      </c>
      <c r="B432" s="2">
        <f ca="1">OFFSET(INDIRECT(ADDRESS($A432,3,3,1,Menus!$K$10)),0,Menus!$J$4)</f>
        <v>0</v>
      </c>
      <c r="C432" s="2">
        <f ca="1">OFFSET(INDIRECT(ADDRESS($A432,3,3,1,Menus!$K$10)),0,Menus!$J$3)</f>
        <v>0</v>
      </c>
      <c r="D432" s="73" t="e">
        <f ca="1">IF(Menus!$J$9,C432/B432,C432)</f>
        <v>#DIV/0!</v>
      </c>
      <c r="E432" s="74" t="e">
        <f t="shared" ca="1" si="14"/>
        <v>#N/A</v>
      </c>
      <c r="F432" s="75">
        <f ca="1">INDIRECT(ADDRESS($A432,1,3,1,Menus!$K$10))</f>
        <v>0</v>
      </c>
      <c r="G432" s="2" t="e">
        <f ca="1">IF(INDIRECT(ADDRESS($A432,2,3,1,Menus!$K$10))=G$1,$D432,#N/A)</f>
        <v>#N/A</v>
      </c>
      <c r="H432" s="2" t="e">
        <f ca="1">IF(INDIRECT(ADDRESS($A432,2,3,1,Menus!$K$10))=H$1,$D432,#N/A)</f>
        <v>#N/A</v>
      </c>
      <c r="I432" s="2" t="e">
        <f ca="1">IF(INDIRECT(ADDRESS($A432,2,3,1,Menus!$K$10))=I$1,$D432,#N/A)</f>
        <v>#N/A</v>
      </c>
      <c r="J432" s="2" t="e">
        <f ca="1">IF(INDIRECT(ADDRESS($A432,1,3,1,Menus!$K$10))=T(J$1),$D432,#N/A)</f>
        <v>#N/A</v>
      </c>
      <c r="K432" s="10">
        <f t="shared" ca="1" si="13"/>
        <v>0</v>
      </c>
      <c r="L432" s="2"/>
      <c r="M432" s="85">
        <f ca="1">OFFSET(INDIRECT(ADDRESS($A432,3,3,1,"Gross")),0,Menus!$J$4)</f>
        <v>0</v>
      </c>
      <c r="N432" s="85">
        <f ca="1">OFFSET(INDIRECT(ADDRESS($A432,3,3,1,"Gross")),0,Menus!$J$3)</f>
        <v>0</v>
      </c>
    </row>
    <row r="433" spans="1:14" x14ac:dyDescent="0.25">
      <c r="A433">
        <v>470</v>
      </c>
      <c r="B433" s="2">
        <f ca="1">OFFSET(INDIRECT(ADDRESS($A433,3,3,1,Menus!$K$10)),0,Menus!$J$4)</f>
        <v>0</v>
      </c>
      <c r="C433" s="2">
        <f ca="1">OFFSET(INDIRECT(ADDRESS($A433,3,3,1,Menus!$K$10)),0,Menus!$J$3)</f>
        <v>0</v>
      </c>
      <c r="D433" s="73" t="e">
        <f ca="1">IF(Menus!$J$9,C433/B433,C433)</f>
        <v>#DIV/0!</v>
      </c>
      <c r="E433" s="74" t="e">
        <f t="shared" ca="1" si="14"/>
        <v>#N/A</v>
      </c>
      <c r="F433" s="75">
        <f ca="1">INDIRECT(ADDRESS($A433,1,3,1,Menus!$K$10))</f>
        <v>0</v>
      </c>
      <c r="G433" s="2" t="e">
        <f ca="1">IF(INDIRECT(ADDRESS($A433,2,3,1,Menus!$K$10))=G$1,$D433,#N/A)</f>
        <v>#N/A</v>
      </c>
      <c r="H433" s="2" t="e">
        <f ca="1">IF(INDIRECT(ADDRESS($A433,2,3,1,Menus!$K$10))=H$1,$D433,#N/A)</f>
        <v>#N/A</v>
      </c>
      <c r="I433" s="2" t="e">
        <f ca="1">IF(INDIRECT(ADDRESS($A433,2,3,1,Menus!$K$10))=I$1,$D433,#N/A)</f>
        <v>#N/A</v>
      </c>
      <c r="J433" s="2" t="e">
        <f ca="1">IF(INDIRECT(ADDRESS($A433,1,3,1,Menus!$K$10))=T(J$1),$D433,#N/A)</f>
        <v>#N/A</v>
      </c>
      <c r="K433" s="10">
        <f t="shared" ca="1" si="13"/>
        <v>0</v>
      </c>
      <c r="L433" s="2"/>
      <c r="M433" s="85">
        <f ca="1">OFFSET(INDIRECT(ADDRESS($A433,3,3,1,"Gross")),0,Menus!$J$4)</f>
        <v>0</v>
      </c>
      <c r="N433" s="85">
        <f ca="1">OFFSET(INDIRECT(ADDRESS($A433,3,3,1,"Gross")),0,Menus!$J$3)</f>
        <v>0</v>
      </c>
    </row>
    <row r="434" spans="1:14" x14ac:dyDescent="0.25">
      <c r="A434">
        <v>471</v>
      </c>
      <c r="B434" s="2">
        <f ca="1">OFFSET(INDIRECT(ADDRESS($A434,3,3,1,Menus!$K$10)),0,Menus!$J$4)</f>
        <v>0</v>
      </c>
      <c r="C434" s="2">
        <f ca="1">OFFSET(INDIRECT(ADDRESS($A434,3,3,1,Menus!$K$10)),0,Menus!$J$3)</f>
        <v>0</v>
      </c>
      <c r="D434" s="73" t="e">
        <f ca="1">IF(Menus!$J$9,C434/B434,C434)</f>
        <v>#DIV/0!</v>
      </c>
      <c r="E434" s="74" t="e">
        <f t="shared" ca="1" si="14"/>
        <v>#N/A</v>
      </c>
      <c r="F434" s="75">
        <f ca="1">INDIRECT(ADDRESS($A434,1,3,1,Menus!$K$10))</f>
        <v>0</v>
      </c>
      <c r="G434" s="2" t="e">
        <f ca="1">IF(INDIRECT(ADDRESS($A434,2,3,1,Menus!$K$10))=G$1,$D434,#N/A)</f>
        <v>#N/A</v>
      </c>
      <c r="H434" s="2" t="e">
        <f ca="1">IF(INDIRECT(ADDRESS($A434,2,3,1,Menus!$K$10))=H$1,$D434,#N/A)</f>
        <v>#N/A</v>
      </c>
      <c r="I434" s="2" t="e">
        <f ca="1">IF(INDIRECT(ADDRESS($A434,2,3,1,Menus!$K$10))=I$1,$D434,#N/A)</f>
        <v>#N/A</v>
      </c>
      <c r="J434" s="2" t="e">
        <f ca="1">IF(INDIRECT(ADDRESS($A434,1,3,1,Menus!$K$10))=T(J$1),$D434,#N/A)</f>
        <v>#N/A</v>
      </c>
      <c r="K434" s="10">
        <f t="shared" ca="1" si="13"/>
        <v>0</v>
      </c>
      <c r="L434" s="2"/>
      <c r="M434" s="85">
        <f ca="1">OFFSET(INDIRECT(ADDRESS($A434,3,3,1,"Gross")),0,Menus!$J$4)</f>
        <v>0</v>
      </c>
      <c r="N434" s="85">
        <f ca="1">OFFSET(INDIRECT(ADDRESS($A434,3,3,1,"Gross")),0,Menus!$J$3)</f>
        <v>0</v>
      </c>
    </row>
    <row r="435" spans="1:14" x14ac:dyDescent="0.25">
      <c r="A435">
        <v>472</v>
      </c>
      <c r="B435" s="2">
        <f ca="1">OFFSET(INDIRECT(ADDRESS($A435,3,3,1,Menus!$K$10)),0,Menus!$J$4)</f>
        <v>0</v>
      </c>
      <c r="C435" s="2">
        <f ca="1">OFFSET(INDIRECT(ADDRESS($A435,3,3,1,Menus!$K$10)),0,Menus!$J$3)</f>
        <v>0</v>
      </c>
      <c r="D435" s="73" t="e">
        <f ca="1">IF(Menus!$J$9,C435/B435,C435)</f>
        <v>#DIV/0!</v>
      </c>
      <c r="E435" s="74" t="e">
        <f t="shared" ca="1" si="14"/>
        <v>#N/A</v>
      </c>
      <c r="F435" s="75">
        <f ca="1">INDIRECT(ADDRESS($A435,1,3,1,Menus!$K$10))</f>
        <v>0</v>
      </c>
      <c r="G435" s="2" t="e">
        <f ca="1">IF(INDIRECT(ADDRESS($A435,2,3,1,Menus!$K$10))=G$1,$D435,#N/A)</f>
        <v>#N/A</v>
      </c>
      <c r="H435" s="2" t="e">
        <f ca="1">IF(INDIRECT(ADDRESS($A435,2,3,1,Menus!$K$10))=H$1,$D435,#N/A)</f>
        <v>#N/A</v>
      </c>
      <c r="I435" s="2" t="e">
        <f ca="1">IF(INDIRECT(ADDRESS($A435,2,3,1,Menus!$K$10))=I$1,$D435,#N/A)</f>
        <v>#N/A</v>
      </c>
      <c r="J435" s="2" t="e">
        <f ca="1">IF(INDIRECT(ADDRESS($A435,1,3,1,Menus!$K$10))=T(J$1),$D435,#N/A)</f>
        <v>#N/A</v>
      </c>
      <c r="K435" s="10">
        <f t="shared" ca="1" si="13"/>
        <v>0</v>
      </c>
      <c r="L435" s="2"/>
      <c r="M435" s="85">
        <f ca="1">OFFSET(INDIRECT(ADDRESS($A435,3,3,1,"Gross")),0,Menus!$J$4)</f>
        <v>0</v>
      </c>
      <c r="N435" s="85">
        <f ca="1">OFFSET(INDIRECT(ADDRESS($A435,3,3,1,"Gross")),0,Menus!$J$3)</f>
        <v>0</v>
      </c>
    </row>
    <row r="436" spans="1:14" x14ac:dyDescent="0.25">
      <c r="A436">
        <v>473</v>
      </c>
      <c r="B436" s="2">
        <f ca="1">OFFSET(INDIRECT(ADDRESS($A436,3,3,1,Menus!$K$10)),0,Menus!$J$4)</f>
        <v>0</v>
      </c>
      <c r="C436" s="2">
        <f ca="1">OFFSET(INDIRECT(ADDRESS($A436,3,3,1,Menus!$K$10)),0,Menus!$J$3)</f>
        <v>0</v>
      </c>
      <c r="D436" s="73" t="e">
        <f ca="1">IF(Menus!$J$9,C436/B436,C436)</f>
        <v>#DIV/0!</v>
      </c>
      <c r="E436" s="74" t="e">
        <f t="shared" ca="1" si="14"/>
        <v>#N/A</v>
      </c>
      <c r="F436" s="75">
        <f ca="1">INDIRECT(ADDRESS($A436,1,3,1,Menus!$K$10))</f>
        <v>0</v>
      </c>
      <c r="G436" s="2" t="e">
        <f ca="1">IF(INDIRECT(ADDRESS($A436,2,3,1,Menus!$K$10))=G$1,$D436,#N/A)</f>
        <v>#N/A</v>
      </c>
      <c r="H436" s="2" t="e">
        <f ca="1">IF(INDIRECT(ADDRESS($A436,2,3,1,Menus!$K$10))=H$1,$D436,#N/A)</f>
        <v>#N/A</v>
      </c>
      <c r="I436" s="2" t="e">
        <f ca="1">IF(INDIRECT(ADDRESS($A436,2,3,1,Menus!$K$10))=I$1,$D436,#N/A)</f>
        <v>#N/A</v>
      </c>
      <c r="J436" s="2" t="e">
        <f ca="1">IF(INDIRECT(ADDRESS($A436,1,3,1,Menus!$K$10))=T(J$1),$D436,#N/A)</f>
        <v>#N/A</v>
      </c>
      <c r="K436" s="10">
        <f t="shared" ca="1" si="13"/>
        <v>0</v>
      </c>
      <c r="L436" s="2"/>
      <c r="M436" s="85">
        <f ca="1">OFFSET(INDIRECT(ADDRESS($A436,3,3,1,"Gross")),0,Menus!$J$4)</f>
        <v>0</v>
      </c>
      <c r="N436" s="85">
        <f ca="1">OFFSET(INDIRECT(ADDRESS($A436,3,3,1,"Gross")),0,Menus!$J$3)</f>
        <v>0</v>
      </c>
    </row>
    <row r="437" spans="1:14" x14ac:dyDescent="0.25">
      <c r="A437">
        <v>474</v>
      </c>
      <c r="B437" s="2">
        <f ca="1">OFFSET(INDIRECT(ADDRESS($A437,3,3,1,Menus!$K$10)),0,Menus!$J$4)</f>
        <v>0</v>
      </c>
      <c r="C437" s="2">
        <f ca="1">OFFSET(INDIRECT(ADDRESS($A437,3,3,1,Menus!$K$10)),0,Menus!$J$3)</f>
        <v>0</v>
      </c>
      <c r="D437" s="73" t="e">
        <f ca="1">IF(Menus!$J$9,C437/B437,C437)</f>
        <v>#DIV/0!</v>
      </c>
      <c r="E437" s="74" t="e">
        <f t="shared" ca="1" si="14"/>
        <v>#N/A</v>
      </c>
      <c r="F437" s="75">
        <f ca="1">INDIRECT(ADDRESS($A437,1,3,1,Menus!$K$10))</f>
        <v>0</v>
      </c>
      <c r="G437" s="2" t="e">
        <f ca="1">IF(INDIRECT(ADDRESS($A437,2,3,1,Menus!$K$10))=G$1,$D437,#N/A)</f>
        <v>#N/A</v>
      </c>
      <c r="H437" s="2" t="e">
        <f ca="1">IF(INDIRECT(ADDRESS($A437,2,3,1,Menus!$K$10))=H$1,$D437,#N/A)</f>
        <v>#N/A</v>
      </c>
      <c r="I437" s="2" t="e">
        <f ca="1">IF(INDIRECT(ADDRESS($A437,2,3,1,Menus!$K$10))=I$1,$D437,#N/A)</f>
        <v>#N/A</v>
      </c>
      <c r="J437" s="2" t="e">
        <f ca="1">IF(INDIRECT(ADDRESS($A437,1,3,1,Menus!$K$10))=T(J$1),$D437,#N/A)</f>
        <v>#N/A</v>
      </c>
      <c r="K437" s="10">
        <f t="shared" ca="1" si="13"/>
        <v>0</v>
      </c>
      <c r="L437" s="2"/>
      <c r="M437" s="85">
        <f ca="1">OFFSET(INDIRECT(ADDRESS($A437,3,3,1,"Gross")),0,Menus!$J$4)</f>
        <v>0</v>
      </c>
      <c r="N437" s="85">
        <f ca="1">OFFSET(INDIRECT(ADDRESS($A437,3,3,1,"Gross")),0,Menus!$J$3)</f>
        <v>0</v>
      </c>
    </row>
    <row r="438" spans="1:14" x14ac:dyDescent="0.25">
      <c r="A438">
        <v>475</v>
      </c>
      <c r="B438" s="2">
        <f ca="1">OFFSET(INDIRECT(ADDRESS($A438,3,3,1,Menus!$K$10)),0,Menus!$J$4)</f>
        <v>0</v>
      </c>
      <c r="C438" s="2">
        <f ca="1">OFFSET(INDIRECT(ADDRESS($A438,3,3,1,Menus!$K$10)),0,Menus!$J$3)</f>
        <v>0</v>
      </c>
      <c r="D438" s="73" t="e">
        <f ca="1">IF(Menus!$J$9,C438/B438,C438)</f>
        <v>#DIV/0!</v>
      </c>
      <c r="E438" s="74" t="e">
        <f t="shared" ca="1" si="14"/>
        <v>#N/A</v>
      </c>
      <c r="F438" s="75">
        <f ca="1">INDIRECT(ADDRESS($A438,1,3,1,Menus!$K$10))</f>
        <v>0</v>
      </c>
      <c r="G438" s="2" t="e">
        <f ca="1">IF(INDIRECT(ADDRESS($A438,2,3,1,Menus!$K$10))=G$1,$D438,#N/A)</f>
        <v>#N/A</v>
      </c>
      <c r="H438" s="2" t="e">
        <f ca="1">IF(INDIRECT(ADDRESS($A438,2,3,1,Menus!$K$10))=H$1,$D438,#N/A)</f>
        <v>#N/A</v>
      </c>
      <c r="I438" s="2" t="e">
        <f ca="1">IF(INDIRECT(ADDRESS($A438,2,3,1,Menus!$K$10))=I$1,$D438,#N/A)</f>
        <v>#N/A</v>
      </c>
      <c r="J438" s="2" t="e">
        <f ca="1">IF(INDIRECT(ADDRESS($A438,1,3,1,Menus!$K$10))=T(J$1),$D438,#N/A)</f>
        <v>#N/A</v>
      </c>
      <c r="K438" s="10">
        <f t="shared" ca="1" si="13"/>
        <v>0</v>
      </c>
      <c r="L438" s="2"/>
      <c r="M438" s="85">
        <f ca="1">OFFSET(INDIRECT(ADDRESS($A438,3,3,1,"Gross")),0,Menus!$J$4)</f>
        <v>0</v>
      </c>
      <c r="N438" s="85">
        <f ca="1">OFFSET(INDIRECT(ADDRESS($A438,3,3,1,"Gross")),0,Menus!$J$3)</f>
        <v>0</v>
      </c>
    </row>
    <row r="439" spans="1:14" x14ac:dyDescent="0.25">
      <c r="A439">
        <v>476</v>
      </c>
      <c r="B439" s="2">
        <f ca="1">OFFSET(INDIRECT(ADDRESS($A439,3,3,1,Menus!$K$10)),0,Menus!$J$4)</f>
        <v>0</v>
      </c>
      <c r="C439" s="2">
        <f ca="1">OFFSET(INDIRECT(ADDRESS($A439,3,3,1,Menus!$K$10)),0,Menus!$J$3)</f>
        <v>0</v>
      </c>
      <c r="D439" s="73" t="e">
        <f ca="1">IF(Menus!$J$9,C439/B439,C439)</f>
        <v>#DIV/0!</v>
      </c>
      <c r="E439" s="74" t="e">
        <f t="shared" ca="1" si="14"/>
        <v>#N/A</v>
      </c>
      <c r="F439" s="75">
        <f ca="1">INDIRECT(ADDRESS($A439,1,3,1,Menus!$K$10))</f>
        <v>0</v>
      </c>
      <c r="G439" s="2" t="e">
        <f ca="1">IF(INDIRECT(ADDRESS($A439,2,3,1,Menus!$K$10))=G$1,$D439,#N/A)</f>
        <v>#N/A</v>
      </c>
      <c r="H439" s="2" t="e">
        <f ca="1">IF(INDIRECT(ADDRESS($A439,2,3,1,Menus!$K$10))=H$1,$D439,#N/A)</f>
        <v>#N/A</v>
      </c>
      <c r="I439" s="2" t="e">
        <f ca="1">IF(INDIRECT(ADDRESS($A439,2,3,1,Menus!$K$10))=I$1,$D439,#N/A)</f>
        <v>#N/A</v>
      </c>
      <c r="J439" s="2" t="e">
        <f ca="1">IF(INDIRECT(ADDRESS($A439,1,3,1,Menus!$K$10))=T(J$1),$D439,#N/A)</f>
        <v>#N/A</v>
      </c>
      <c r="K439" s="10">
        <f t="shared" ca="1" si="13"/>
        <v>0</v>
      </c>
      <c r="L439" s="2"/>
      <c r="M439" s="85">
        <f ca="1">OFFSET(INDIRECT(ADDRESS($A439,3,3,1,"Gross")),0,Menus!$J$4)</f>
        <v>0</v>
      </c>
      <c r="N439" s="85">
        <f ca="1">OFFSET(INDIRECT(ADDRESS($A439,3,3,1,"Gross")),0,Menus!$J$3)</f>
        <v>0</v>
      </c>
    </row>
    <row r="440" spans="1:14" x14ac:dyDescent="0.25">
      <c r="A440">
        <v>477</v>
      </c>
      <c r="B440" s="2">
        <f ca="1">OFFSET(INDIRECT(ADDRESS($A440,3,3,1,Menus!$K$10)),0,Menus!$J$4)</f>
        <v>0</v>
      </c>
      <c r="C440" s="2">
        <f ca="1">OFFSET(INDIRECT(ADDRESS($A440,3,3,1,Menus!$K$10)),0,Menus!$J$3)</f>
        <v>0</v>
      </c>
      <c r="D440" s="73" t="e">
        <f ca="1">IF(Menus!$J$9,C440/B440,C440)</f>
        <v>#DIV/0!</v>
      </c>
      <c r="E440" s="74" t="e">
        <f t="shared" ca="1" si="14"/>
        <v>#N/A</v>
      </c>
      <c r="F440" s="75">
        <f ca="1">INDIRECT(ADDRESS($A440,1,3,1,Menus!$K$10))</f>
        <v>0</v>
      </c>
      <c r="G440" s="2" t="e">
        <f ca="1">IF(INDIRECT(ADDRESS($A440,2,3,1,Menus!$K$10))=G$1,$D440,#N/A)</f>
        <v>#N/A</v>
      </c>
      <c r="H440" s="2" t="e">
        <f ca="1">IF(INDIRECT(ADDRESS($A440,2,3,1,Menus!$K$10))=H$1,$D440,#N/A)</f>
        <v>#N/A</v>
      </c>
      <c r="I440" s="2" t="e">
        <f ca="1">IF(INDIRECT(ADDRESS($A440,2,3,1,Menus!$K$10))=I$1,$D440,#N/A)</f>
        <v>#N/A</v>
      </c>
      <c r="J440" s="2" t="e">
        <f ca="1">IF(INDIRECT(ADDRESS($A440,1,3,1,Menus!$K$10))=T(J$1),$D440,#N/A)</f>
        <v>#N/A</v>
      </c>
      <c r="K440" s="10">
        <f t="shared" ca="1" si="13"/>
        <v>0</v>
      </c>
      <c r="L440" s="2"/>
      <c r="M440" s="85">
        <f ca="1">OFFSET(INDIRECT(ADDRESS($A440,3,3,1,"Gross")),0,Menus!$J$4)</f>
        <v>0</v>
      </c>
      <c r="N440" s="85">
        <f ca="1">OFFSET(INDIRECT(ADDRESS($A440,3,3,1,"Gross")),0,Menus!$J$3)</f>
        <v>0</v>
      </c>
    </row>
    <row r="441" spans="1:14" x14ac:dyDescent="0.25">
      <c r="A441">
        <v>478</v>
      </c>
      <c r="B441" s="2">
        <f ca="1">OFFSET(INDIRECT(ADDRESS($A441,3,3,1,Menus!$K$10)),0,Menus!$J$4)</f>
        <v>0</v>
      </c>
      <c r="C441" s="2">
        <f ca="1">OFFSET(INDIRECT(ADDRESS($A441,3,3,1,Menus!$K$10)),0,Menus!$J$3)</f>
        <v>0</v>
      </c>
      <c r="D441" s="73" t="e">
        <f ca="1">IF(Menus!$J$9,C441/B441,C441)</f>
        <v>#DIV/0!</v>
      </c>
      <c r="E441" s="74" t="e">
        <f t="shared" ca="1" si="14"/>
        <v>#N/A</v>
      </c>
      <c r="F441" s="75">
        <f ca="1">INDIRECT(ADDRESS($A441,1,3,1,Menus!$K$10))</f>
        <v>0</v>
      </c>
      <c r="G441" s="2" t="e">
        <f ca="1">IF(INDIRECT(ADDRESS($A441,2,3,1,Menus!$K$10))=G$1,$D441,#N/A)</f>
        <v>#N/A</v>
      </c>
      <c r="H441" s="2" t="e">
        <f ca="1">IF(INDIRECT(ADDRESS($A441,2,3,1,Menus!$K$10))=H$1,$D441,#N/A)</f>
        <v>#N/A</v>
      </c>
      <c r="I441" s="2" t="e">
        <f ca="1">IF(INDIRECT(ADDRESS($A441,2,3,1,Menus!$K$10))=I$1,$D441,#N/A)</f>
        <v>#N/A</v>
      </c>
      <c r="J441" s="2" t="e">
        <f ca="1">IF(INDIRECT(ADDRESS($A441,1,3,1,Menus!$K$10))=T(J$1),$D441,#N/A)</f>
        <v>#N/A</v>
      </c>
      <c r="K441" s="10">
        <f t="shared" ca="1" si="13"/>
        <v>0</v>
      </c>
      <c r="L441" s="2"/>
      <c r="M441" s="85">
        <f ca="1">OFFSET(INDIRECT(ADDRESS($A441,3,3,1,"Gross")),0,Menus!$J$4)</f>
        <v>0</v>
      </c>
      <c r="N441" s="85">
        <f ca="1">OFFSET(INDIRECT(ADDRESS($A441,3,3,1,"Gross")),0,Menus!$J$3)</f>
        <v>0</v>
      </c>
    </row>
    <row r="442" spans="1:14" x14ac:dyDescent="0.25">
      <c r="A442">
        <v>479</v>
      </c>
      <c r="B442" s="2">
        <f ca="1">OFFSET(INDIRECT(ADDRESS($A442,3,3,1,Menus!$K$10)),0,Menus!$J$4)</f>
        <v>0</v>
      </c>
      <c r="C442" s="2">
        <f ca="1">OFFSET(INDIRECT(ADDRESS($A442,3,3,1,Menus!$K$10)),0,Menus!$J$3)</f>
        <v>0</v>
      </c>
      <c r="D442" s="73" t="e">
        <f ca="1">IF(Menus!$J$9,C442/B442,C442)</f>
        <v>#DIV/0!</v>
      </c>
      <c r="E442" s="74" t="e">
        <f t="shared" ca="1" si="14"/>
        <v>#N/A</v>
      </c>
      <c r="F442" s="75">
        <f ca="1">INDIRECT(ADDRESS($A442,1,3,1,Menus!$K$10))</f>
        <v>0</v>
      </c>
      <c r="G442" s="2" t="e">
        <f ca="1">IF(INDIRECT(ADDRESS($A442,2,3,1,Menus!$K$10))=G$1,$D442,#N/A)</f>
        <v>#N/A</v>
      </c>
      <c r="H442" s="2" t="e">
        <f ca="1">IF(INDIRECT(ADDRESS($A442,2,3,1,Menus!$K$10))=H$1,$D442,#N/A)</f>
        <v>#N/A</v>
      </c>
      <c r="I442" s="2" t="e">
        <f ca="1">IF(INDIRECT(ADDRESS($A442,2,3,1,Menus!$K$10))=I$1,$D442,#N/A)</f>
        <v>#N/A</v>
      </c>
      <c r="J442" s="2" t="e">
        <f ca="1">IF(INDIRECT(ADDRESS($A442,1,3,1,Menus!$K$10))=T(J$1),$D442,#N/A)</f>
        <v>#N/A</v>
      </c>
      <c r="K442" s="10">
        <f t="shared" ca="1" si="13"/>
        <v>0</v>
      </c>
      <c r="L442" s="2"/>
      <c r="M442" s="85">
        <f ca="1">OFFSET(INDIRECT(ADDRESS($A442,3,3,1,"Gross")),0,Menus!$J$4)</f>
        <v>0</v>
      </c>
      <c r="N442" s="85">
        <f ca="1">OFFSET(INDIRECT(ADDRESS($A442,3,3,1,"Gross")),0,Menus!$J$3)</f>
        <v>0</v>
      </c>
    </row>
    <row r="443" spans="1:14" x14ac:dyDescent="0.25">
      <c r="A443">
        <v>480</v>
      </c>
      <c r="B443" s="2">
        <f ca="1">OFFSET(INDIRECT(ADDRESS($A443,3,3,1,Menus!$K$10)),0,Menus!$J$4)</f>
        <v>0</v>
      </c>
      <c r="C443" s="2">
        <f ca="1">OFFSET(INDIRECT(ADDRESS($A443,3,3,1,Menus!$K$10)),0,Menus!$J$3)</f>
        <v>0</v>
      </c>
      <c r="D443" s="73" t="e">
        <f ca="1">IF(Menus!$J$9,C443/B443,C443)</f>
        <v>#DIV/0!</v>
      </c>
      <c r="E443" s="74" t="e">
        <f t="shared" ca="1" si="14"/>
        <v>#N/A</v>
      </c>
      <c r="F443" s="75">
        <f ca="1">INDIRECT(ADDRESS($A443,1,3,1,Menus!$K$10))</f>
        <v>0</v>
      </c>
      <c r="G443" s="2" t="e">
        <f ca="1">IF(INDIRECT(ADDRESS($A443,2,3,1,Menus!$K$10))=G$1,$D443,#N/A)</f>
        <v>#N/A</v>
      </c>
      <c r="H443" s="2" t="e">
        <f ca="1">IF(INDIRECT(ADDRESS($A443,2,3,1,Menus!$K$10))=H$1,$D443,#N/A)</f>
        <v>#N/A</v>
      </c>
      <c r="I443" s="2" t="e">
        <f ca="1">IF(INDIRECT(ADDRESS($A443,2,3,1,Menus!$K$10))=I$1,$D443,#N/A)</f>
        <v>#N/A</v>
      </c>
      <c r="J443" s="2" t="e">
        <f ca="1">IF(INDIRECT(ADDRESS($A443,1,3,1,Menus!$K$10))=T(J$1),$D443,#N/A)</f>
        <v>#N/A</v>
      </c>
      <c r="K443" s="10">
        <f t="shared" ca="1" si="13"/>
        <v>0</v>
      </c>
      <c r="L443" s="2"/>
      <c r="M443" s="85">
        <f ca="1">OFFSET(INDIRECT(ADDRESS($A443,3,3,1,"Gross")),0,Menus!$J$4)</f>
        <v>0</v>
      </c>
      <c r="N443" s="85">
        <f ca="1">OFFSET(INDIRECT(ADDRESS($A443,3,3,1,"Gross")),0,Menus!$J$3)</f>
        <v>0</v>
      </c>
    </row>
    <row r="444" spans="1:14" x14ac:dyDescent="0.25">
      <c r="A444">
        <v>481</v>
      </c>
      <c r="B444" s="2">
        <f ca="1">OFFSET(INDIRECT(ADDRESS($A444,3,3,1,Menus!$K$10)),0,Menus!$J$4)</f>
        <v>0</v>
      </c>
      <c r="C444" s="2">
        <f ca="1">OFFSET(INDIRECT(ADDRESS($A444,3,3,1,Menus!$K$10)),0,Menus!$J$3)</f>
        <v>0</v>
      </c>
      <c r="D444" s="73" t="e">
        <f ca="1">IF(Menus!$J$9,C444/B444,C444)</f>
        <v>#DIV/0!</v>
      </c>
      <c r="E444" s="74" t="e">
        <f t="shared" ca="1" si="14"/>
        <v>#N/A</v>
      </c>
      <c r="F444" s="75">
        <f ca="1">INDIRECT(ADDRESS($A444,1,3,1,Menus!$K$10))</f>
        <v>0</v>
      </c>
      <c r="G444" s="2" t="e">
        <f ca="1">IF(INDIRECT(ADDRESS($A444,2,3,1,Menus!$K$10))=G$1,$D444,#N/A)</f>
        <v>#N/A</v>
      </c>
      <c r="H444" s="2" t="e">
        <f ca="1">IF(INDIRECT(ADDRESS($A444,2,3,1,Menus!$K$10))=H$1,$D444,#N/A)</f>
        <v>#N/A</v>
      </c>
      <c r="I444" s="2" t="e">
        <f ca="1">IF(INDIRECT(ADDRESS($A444,2,3,1,Menus!$K$10))=I$1,$D444,#N/A)</f>
        <v>#N/A</v>
      </c>
      <c r="J444" s="2" t="e">
        <f ca="1">IF(INDIRECT(ADDRESS($A444,1,3,1,Menus!$K$10))=T(J$1),$D444,#N/A)</f>
        <v>#N/A</v>
      </c>
      <c r="K444" s="10">
        <f t="shared" ca="1" si="13"/>
        <v>0</v>
      </c>
      <c r="L444" s="2"/>
      <c r="M444" s="85">
        <f ca="1">OFFSET(INDIRECT(ADDRESS($A444,3,3,1,"Gross")),0,Menus!$J$4)</f>
        <v>0</v>
      </c>
      <c r="N444" s="85">
        <f ca="1">OFFSET(INDIRECT(ADDRESS($A444,3,3,1,"Gross")),0,Menus!$J$3)</f>
        <v>0</v>
      </c>
    </row>
    <row r="445" spans="1:14" x14ac:dyDescent="0.25">
      <c r="A445">
        <v>482</v>
      </c>
      <c r="B445" s="2">
        <f ca="1">OFFSET(INDIRECT(ADDRESS($A445,3,3,1,Menus!$K$10)),0,Menus!$J$4)</f>
        <v>0</v>
      </c>
      <c r="C445" s="2">
        <f ca="1">OFFSET(INDIRECT(ADDRESS($A445,3,3,1,Menus!$K$10)),0,Menus!$J$3)</f>
        <v>0</v>
      </c>
      <c r="D445" s="73" t="e">
        <f ca="1">IF(Menus!$J$9,C445/B445,C445)</f>
        <v>#DIV/0!</v>
      </c>
      <c r="E445" s="74" t="e">
        <f t="shared" ca="1" si="14"/>
        <v>#N/A</v>
      </c>
      <c r="F445" s="75">
        <f ca="1">INDIRECT(ADDRESS($A445,1,3,1,Menus!$K$10))</f>
        <v>0</v>
      </c>
      <c r="G445" s="2" t="e">
        <f ca="1">IF(INDIRECT(ADDRESS($A445,2,3,1,Menus!$K$10))=G$1,$D445,#N/A)</f>
        <v>#N/A</v>
      </c>
      <c r="H445" s="2" t="e">
        <f ca="1">IF(INDIRECT(ADDRESS($A445,2,3,1,Menus!$K$10))=H$1,$D445,#N/A)</f>
        <v>#N/A</v>
      </c>
      <c r="I445" s="2" t="e">
        <f ca="1">IF(INDIRECT(ADDRESS($A445,2,3,1,Menus!$K$10))=I$1,$D445,#N/A)</f>
        <v>#N/A</v>
      </c>
      <c r="J445" s="2" t="e">
        <f ca="1">IF(INDIRECT(ADDRESS($A445,1,3,1,Menus!$K$10))=T(J$1),$D445,#N/A)</f>
        <v>#N/A</v>
      </c>
      <c r="K445" s="10">
        <f t="shared" ca="1" si="13"/>
        <v>0</v>
      </c>
      <c r="L445" s="2"/>
      <c r="M445" s="85">
        <f ca="1">OFFSET(INDIRECT(ADDRESS($A445,3,3,1,"Gross")),0,Menus!$J$4)</f>
        <v>0</v>
      </c>
      <c r="N445" s="85">
        <f ca="1">OFFSET(INDIRECT(ADDRESS($A445,3,3,1,"Gross")),0,Menus!$J$3)</f>
        <v>0</v>
      </c>
    </row>
    <row r="446" spans="1:14" x14ac:dyDescent="0.25">
      <c r="A446">
        <v>483</v>
      </c>
      <c r="B446" s="2">
        <f ca="1">OFFSET(INDIRECT(ADDRESS($A446,3,3,1,Menus!$K$10)),0,Menus!$J$4)</f>
        <v>0</v>
      </c>
      <c r="C446" s="2">
        <f ca="1">OFFSET(INDIRECT(ADDRESS($A446,3,3,1,Menus!$K$10)),0,Menus!$J$3)</f>
        <v>0</v>
      </c>
      <c r="D446" s="73" t="e">
        <f ca="1">IF(Menus!$J$9,C446/B446,C446)</f>
        <v>#DIV/0!</v>
      </c>
      <c r="E446" s="74" t="e">
        <f t="shared" ca="1" si="14"/>
        <v>#N/A</v>
      </c>
      <c r="F446" s="75">
        <f ca="1">INDIRECT(ADDRESS($A446,1,3,1,Menus!$K$10))</f>
        <v>0</v>
      </c>
      <c r="G446" s="2" t="e">
        <f ca="1">IF(INDIRECT(ADDRESS($A446,2,3,1,Menus!$K$10))=G$1,$D446,#N/A)</f>
        <v>#N/A</v>
      </c>
      <c r="H446" s="2" t="e">
        <f ca="1">IF(INDIRECT(ADDRESS($A446,2,3,1,Menus!$K$10))=H$1,$D446,#N/A)</f>
        <v>#N/A</v>
      </c>
      <c r="I446" s="2" t="e">
        <f ca="1">IF(INDIRECT(ADDRESS($A446,2,3,1,Menus!$K$10))=I$1,$D446,#N/A)</f>
        <v>#N/A</v>
      </c>
      <c r="J446" s="2" t="e">
        <f ca="1">IF(INDIRECT(ADDRESS($A446,1,3,1,Menus!$K$10))=T(J$1),$D446,#N/A)</f>
        <v>#N/A</v>
      </c>
      <c r="K446" s="10">
        <f t="shared" ca="1" si="13"/>
        <v>0</v>
      </c>
      <c r="L446" s="2"/>
      <c r="M446" s="85">
        <f ca="1">OFFSET(INDIRECT(ADDRESS($A446,3,3,1,"Gross")),0,Menus!$J$4)</f>
        <v>0</v>
      </c>
      <c r="N446" s="85">
        <f ca="1">OFFSET(INDIRECT(ADDRESS($A446,3,3,1,"Gross")),0,Menus!$J$3)</f>
        <v>0</v>
      </c>
    </row>
    <row r="447" spans="1:14" x14ac:dyDescent="0.25">
      <c r="A447">
        <v>484</v>
      </c>
      <c r="B447" s="2">
        <f ca="1">OFFSET(INDIRECT(ADDRESS($A447,3,3,1,Menus!$K$10)),0,Menus!$J$4)</f>
        <v>0</v>
      </c>
      <c r="C447" s="2">
        <f ca="1">OFFSET(INDIRECT(ADDRESS($A447,3,3,1,Menus!$K$10)),0,Menus!$J$3)</f>
        <v>0</v>
      </c>
      <c r="D447" s="73" t="e">
        <f ca="1">IF(Menus!$J$9,C447/B447,C447)</f>
        <v>#DIV/0!</v>
      </c>
      <c r="E447" s="74" t="e">
        <f t="shared" ca="1" si="14"/>
        <v>#N/A</v>
      </c>
      <c r="F447" s="75">
        <f ca="1">INDIRECT(ADDRESS($A447,1,3,1,Menus!$K$10))</f>
        <v>0</v>
      </c>
      <c r="G447" s="2" t="e">
        <f ca="1">IF(INDIRECT(ADDRESS($A447,2,3,1,Menus!$K$10))=G$1,$D447,#N/A)</f>
        <v>#N/A</v>
      </c>
      <c r="H447" s="2" t="e">
        <f ca="1">IF(INDIRECT(ADDRESS($A447,2,3,1,Menus!$K$10))=H$1,$D447,#N/A)</f>
        <v>#N/A</v>
      </c>
      <c r="I447" s="2" t="e">
        <f ca="1">IF(INDIRECT(ADDRESS($A447,2,3,1,Menus!$K$10))=I$1,$D447,#N/A)</f>
        <v>#N/A</v>
      </c>
      <c r="J447" s="2" t="e">
        <f ca="1">IF(INDIRECT(ADDRESS($A447,1,3,1,Menus!$K$10))=T(J$1),$D447,#N/A)</f>
        <v>#N/A</v>
      </c>
      <c r="K447" s="10">
        <f t="shared" ca="1" si="13"/>
        <v>0</v>
      </c>
      <c r="L447" s="2"/>
      <c r="M447" s="85">
        <f ca="1">OFFSET(INDIRECT(ADDRESS($A447,3,3,1,"Gross")),0,Menus!$J$4)</f>
        <v>0</v>
      </c>
      <c r="N447" s="85">
        <f ca="1">OFFSET(INDIRECT(ADDRESS($A447,3,3,1,"Gross")),0,Menus!$J$3)</f>
        <v>0</v>
      </c>
    </row>
    <row r="448" spans="1:14" x14ac:dyDescent="0.25">
      <c r="A448">
        <v>485</v>
      </c>
      <c r="B448" s="2">
        <f ca="1">OFFSET(INDIRECT(ADDRESS($A448,3,3,1,Menus!$K$10)),0,Menus!$J$4)</f>
        <v>0</v>
      </c>
      <c r="C448" s="2">
        <f ca="1">OFFSET(INDIRECT(ADDRESS($A448,3,3,1,Menus!$K$10)),0,Menus!$J$3)</f>
        <v>0</v>
      </c>
      <c r="D448" s="73" t="e">
        <f ca="1">IF(Menus!$J$9,C448/B448,C448)</f>
        <v>#DIV/0!</v>
      </c>
      <c r="E448" s="74" t="e">
        <f t="shared" ca="1" si="14"/>
        <v>#N/A</v>
      </c>
      <c r="F448" s="75">
        <f ca="1">INDIRECT(ADDRESS($A448,1,3,1,Menus!$K$10))</f>
        <v>0</v>
      </c>
      <c r="G448" s="2" t="e">
        <f ca="1">IF(INDIRECT(ADDRESS($A448,2,3,1,Menus!$K$10))=G$1,$D448,#N/A)</f>
        <v>#N/A</v>
      </c>
      <c r="H448" s="2" t="e">
        <f ca="1">IF(INDIRECT(ADDRESS($A448,2,3,1,Menus!$K$10))=H$1,$D448,#N/A)</f>
        <v>#N/A</v>
      </c>
      <c r="I448" s="2" t="e">
        <f ca="1">IF(INDIRECT(ADDRESS($A448,2,3,1,Menus!$K$10))=I$1,$D448,#N/A)</f>
        <v>#N/A</v>
      </c>
      <c r="J448" s="2" t="e">
        <f ca="1">IF(INDIRECT(ADDRESS($A448,1,3,1,Menus!$K$10))=T(J$1),$D448,#N/A)</f>
        <v>#N/A</v>
      </c>
      <c r="K448" s="10">
        <f t="shared" ca="1" si="13"/>
        <v>0</v>
      </c>
      <c r="L448" s="2"/>
      <c r="M448" s="85">
        <f ca="1">OFFSET(INDIRECT(ADDRESS($A448,3,3,1,"Gross")),0,Menus!$J$4)</f>
        <v>0</v>
      </c>
      <c r="N448" s="85">
        <f ca="1">OFFSET(INDIRECT(ADDRESS($A448,3,3,1,"Gross")),0,Menus!$J$3)</f>
        <v>0</v>
      </c>
    </row>
    <row r="449" spans="1:14" x14ac:dyDescent="0.25">
      <c r="A449">
        <v>486</v>
      </c>
      <c r="B449" s="2">
        <f ca="1">OFFSET(INDIRECT(ADDRESS($A449,3,3,1,Menus!$K$10)),0,Menus!$J$4)</f>
        <v>0</v>
      </c>
      <c r="C449" s="2">
        <f ca="1">OFFSET(INDIRECT(ADDRESS($A449,3,3,1,Menus!$K$10)),0,Menus!$J$3)</f>
        <v>0</v>
      </c>
      <c r="D449" s="73" t="e">
        <f ca="1">IF(Menus!$J$9,C449/B449,C449)</f>
        <v>#DIV/0!</v>
      </c>
      <c r="E449" s="74" t="e">
        <f t="shared" ca="1" si="14"/>
        <v>#N/A</v>
      </c>
      <c r="F449" s="75">
        <f ca="1">INDIRECT(ADDRESS($A449,1,3,1,Menus!$K$10))</f>
        <v>0</v>
      </c>
      <c r="G449" s="2" t="e">
        <f ca="1">IF(INDIRECT(ADDRESS($A449,2,3,1,Menus!$K$10))=G$1,$D449,#N/A)</f>
        <v>#N/A</v>
      </c>
      <c r="H449" s="2" t="e">
        <f ca="1">IF(INDIRECT(ADDRESS($A449,2,3,1,Menus!$K$10))=H$1,$D449,#N/A)</f>
        <v>#N/A</v>
      </c>
      <c r="I449" s="2" t="e">
        <f ca="1">IF(INDIRECT(ADDRESS($A449,2,3,1,Menus!$K$10))=I$1,$D449,#N/A)</f>
        <v>#N/A</v>
      </c>
      <c r="J449" s="2" t="e">
        <f ca="1">IF(INDIRECT(ADDRESS($A449,1,3,1,Menus!$K$10))=T(J$1),$D449,#N/A)</f>
        <v>#N/A</v>
      </c>
      <c r="K449" s="10">
        <f t="shared" ca="1" si="13"/>
        <v>0</v>
      </c>
      <c r="L449" s="2"/>
      <c r="M449" s="85">
        <f ca="1">OFFSET(INDIRECT(ADDRESS($A449,3,3,1,"Gross")),0,Menus!$J$4)</f>
        <v>0</v>
      </c>
      <c r="N449" s="85">
        <f ca="1">OFFSET(INDIRECT(ADDRESS($A449,3,3,1,"Gross")),0,Menus!$J$3)</f>
        <v>0</v>
      </c>
    </row>
    <row r="450" spans="1:14" x14ac:dyDescent="0.25">
      <c r="A450">
        <v>487</v>
      </c>
      <c r="B450" s="2">
        <f ca="1">OFFSET(INDIRECT(ADDRESS($A450,3,3,1,Menus!$K$10)),0,Menus!$J$4)</f>
        <v>0</v>
      </c>
      <c r="C450" s="2">
        <f ca="1">OFFSET(INDIRECT(ADDRESS($A450,3,3,1,Menus!$K$10)),0,Menus!$J$3)</f>
        <v>0</v>
      </c>
      <c r="D450" s="73" t="e">
        <f ca="1">IF(Menus!$J$9,C450/B450,C450)</f>
        <v>#DIV/0!</v>
      </c>
      <c r="E450" s="74" t="e">
        <f t="shared" ca="1" si="14"/>
        <v>#N/A</v>
      </c>
      <c r="F450" s="75">
        <f ca="1">INDIRECT(ADDRESS($A450,1,3,1,Menus!$K$10))</f>
        <v>0</v>
      </c>
      <c r="G450" s="2" t="e">
        <f ca="1">IF(INDIRECT(ADDRESS($A450,2,3,1,Menus!$K$10))=G$1,$D450,#N/A)</f>
        <v>#N/A</v>
      </c>
      <c r="H450" s="2" t="e">
        <f ca="1">IF(INDIRECT(ADDRESS($A450,2,3,1,Menus!$K$10))=H$1,$D450,#N/A)</f>
        <v>#N/A</v>
      </c>
      <c r="I450" s="2" t="e">
        <f ca="1">IF(INDIRECT(ADDRESS($A450,2,3,1,Menus!$K$10))=I$1,$D450,#N/A)</f>
        <v>#N/A</v>
      </c>
      <c r="J450" s="2" t="e">
        <f ca="1">IF(INDIRECT(ADDRESS($A450,1,3,1,Menus!$K$10))=T(J$1),$D450,#N/A)</f>
        <v>#N/A</v>
      </c>
      <c r="K450" s="10">
        <f t="shared" ref="K450:K501" ca="1" si="15">IF(OR(ISNUMBER($G450),ISNUMBER($H450),ISNUMBER($I450),ISNUMBER($J450)),1,0)</f>
        <v>0</v>
      </c>
      <c r="L450" s="2"/>
      <c r="M450" s="85">
        <f ca="1">OFFSET(INDIRECT(ADDRESS($A450,3,3,1,"Gross")),0,Menus!$J$4)</f>
        <v>0</v>
      </c>
      <c r="N450" s="85">
        <f ca="1">OFFSET(INDIRECT(ADDRESS($A450,3,3,1,"Gross")),0,Menus!$J$3)</f>
        <v>0</v>
      </c>
    </row>
    <row r="451" spans="1:14" x14ac:dyDescent="0.25">
      <c r="A451">
        <v>488</v>
      </c>
      <c r="B451" s="2">
        <f ca="1">OFFSET(INDIRECT(ADDRESS($A451,3,3,1,Menus!$K$10)),0,Menus!$J$4)</f>
        <v>0</v>
      </c>
      <c r="C451" s="2">
        <f ca="1">OFFSET(INDIRECT(ADDRESS($A451,3,3,1,Menus!$K$10)),0,Menus!$J$3)</f>
        <v>0</v>
      </c>
      <c r="D451" s="73" t="e">
        <f ca="1">IF(Menus!$J$9,C451/B451,C451)</f>
        <v>#DIV/0!</v>
      </c>
      <c r="E451" s="74" t="e">
        <f t="shared" ref="E451:E482" ca="1" si="16">IF($K451=1,VALUE(B451),#N/A)</f>
        <v>#N/A</v>
      </c>
      <c r="F451" s="75">
        <f ca="1">INDIRECT(ADDRESS($A451,1,3,1,Menus!$K$10))</f>
        <v>0</v>
      </c>
      <c r="G451" s="2" t="e">
        <f ca="1">IF(INDIRECT(ADDRESS($A451,2,3,1,Menus!$K$10))=G$1,$D451,#N/A)</f>
        <v>#N/A</v>
      </c>
      <c r="H451" s="2" t="e">
        <f ca="1">IF(INDIRECT(ADDRESS($A451,2,3,1,Menus!$K$10))=H$1,$D451,#N/A)</f>
        <v>#N/A</v>
      </c>
      <c r="I451" s="2" t="e">
        <f ca="1">IF(INDIRECT(ADDRESS($A451,2,3,1,Menus!$K$10))=I$1,$D451,#N/A)</f>
        <v>#N/A</v>
      </c>
      <c r="J451" s="2" t="e">
        <f ca="1">IF(INDIRECT(ADDRESS($A451,1,3,1,Menus!$K$10))=T(J$1),$D451,#N/A)</f>
        <v>#N/A</v>
      </c>
      <c r="K451" s="10">
        <f t="shared" ca="1" si="15"/>
        <v>0</v>
      </c>
      <c r="L451" s="2"/>
      <c r="M451" s="85">
        <f ca="1">OFFSET(INDIRECT(ADDRESS($A451,3,3,1,"Gross")),0,Menus!$J$4)</f>
        <v>0</v>
      </c>
      <c r="N451" s="85">
        <f ca="1">OFFSET(INDIRECT(ADDRESS($A451,3,3,1,"Gross")),0,Menus!$J$3)</f>
        <v>0</v>
      </c>
    </row>
    <row r="452" spans="1:14" x14ac:dyDescent="0.25">
      <c r="A452">
        <v>489</v>
      </c>
      <c r="B452" s="2">
        <f ca="1">OFFSET(INDIRECT(ADDRESS($A452,3,3,1,Menus!$K$10)),0,Menus!$J$4)</f>
        <v>0</v>
      </c>
      <c r="C452" s="2">
        <f ca="1">OFFSET(INDIRECT(ADDRESS($A452,3,3,1,Menus!$K$10)),0,Menus!$J$3)</f>
        <v>0</v>
      </c>
      <c r="D452" s="73" t="e">
        <f ca="1">IF(Menus!$J$9,C452/B452,C452)</f>
        <v>#DIV/0!</v>
      </c>
      <c r="E452" s="74" t="e">
        <f t="shared" ca="1" si="16"/>
        <v>#N/A</v>
      </c>
      <c r="F452" s="75">
        <f ca="1">INDIRECT(ADDRESS($A452,1,3,1,Menus!$K$10))</f>
        <v>0</v>
      </c>
      <c r="G452" s="2" t="e">
        <f ca="1">IF(INDIRECT(ADDRESS($A452,2,3,1,Menus!$K$10))=G$1,$D452,#N/A)</f>
        <v>#N/A</v>
      </c>
      <c r="H452" s="2" t="e">
        <f ca="1">IF(INDIRECT(ADDRESS($A452,2,3,1,Menus!$K$10))=H$1,$D452,#N/A)</f>
        <v>#N/A</v>
      </c>
      <c r="I452" s="2" t="e">
        <f ca="1">IF(INDIRECT(ADDRESS($A452,2,3,1,Menus!$K$10))=I$1,$D452,#N/A)</f>
        <v>#N/A</v>
      </c>
      <c r="J452" s="2" t="e">
        <f ca="1">IF(INDIRECT(ADDRESS($A452,1,3,1,Menus!$K$10))=T(J$1),$D452,#N/A)</f>
        <v>#N/A</v>
      </c>
      <c r="K452" s="10">
        <f t="shared" ca="1" si="15"/>
        <v>0</v>
      </c>
      <c r="L452" s="2"/>
      <c r="M452" s="85">
        <f ca="1">OFFSET(INDIRECT(ADDRESS($A452,3,3,1,"Gross")),0,Menus!$J$4)</f>
        <v>0</v>
      </c>
      <c r="N452" s="85">
        <f ca="1">OFFSET(INDIRECT(ADDRESS($A452,3,3,1,"Gross")),0,Menus!$J$3)</f>
        <v>0</v>
      </c>
    </row>
    <row r="453" spans="1:14" x14ac:dyDescent="0.25">
      <c r="A453">
        <v>490</v>
      </c>
      <c r="B453" s="2">
        <f ca="1">OFFSET(INDIRECT(ADDRESS($A453,3,3,1,Menus!$K$10)),0,Menus!$J$4)</f>
        <v>0</v>
      </c>
      <c r="C453" s="2">
        <f ca="1">OFFSET(INDIRECT(ADDRESS($A453,3,3,1,Menus!$K$10)),0,Menus!$J$3)</f>
        <v>0</v>
      </c>
      <c r="D453" s="73" t="e">
        <f ca="1">IF(Menus!$J$9,C453/B453,C453)</f>
        <v>#DIV/0!</v>
      </c>
      <c r="E453" s="74" t="e">
        <f t="shared" ca="1" si="16"/>
        <v>#N/A</v>
      </c>
      <c r="F453" s="75">
        <f ca="1">INDIRECT(ADDRESS($A453,1,3,1,Menus!$K$10))</f>
        <v>0</v>
      </c>
      <c r="G453" s="2" t="e">
        <f ca="1">IF(INDIRECT(ADDRESS($A453,2,3,1,Menus!$K$10))=G$1,$D453,#N/A)</f>
        <v>#N/A</v>
      </c>
      <c r="H453" s="2" t="e">
        <f ca="1">IF(INDIRECT(ADDRESS($A453,2,3,1,Menus!$K$10))=H$1,$D453,#N/A)</f>
        <v>#N/A</v>
      </c>
      <c r="I453" s="2" t="e">
        <f ca="1">IF(INDIRECT(ADDRESS($A453,2,3,1,Menus!$K$10))=I$1,$D453,#N/A)</f>
        <v>#N/A</v>
      </c>
      <c r="J453" s="2" t="e">
        <f ca="1">IF(INDIRECT(ADDRESS($A453,1,3,1,Menus!$K$10))=T(J$1),$D453,#N/A)</f>
        <v>#N/A</v>
      </c>
      <c r="K453" s="10">
        <f t="shared" ca="1" si="15"/>
        <v>0</v>
      </c>
      <c r="L453" s="2"/>
      <c r="M453" s="85">
        <f ca="1">OFFSET(INDIRECT(ADDRESS($A453,3,3,1,"Gross")),0,Menus!$J$4)</f>
        <v>0</v>
      </c>
      <c r="N453" s="85">
        <f ca="1">OFFSET(INDIRECT(ADDRESS($A453,3,3,1,"Gross")),0,Menus!$J$3)</f>
        <v>0</v>
      </c>
    </row>
    <row r="454" spans="1:14" x14ac:dyDescent="0.25">
      <c r="A454">
        <v>491</v>
      </c>
      <c r="B454" s="2">
        <f ca="1">OFFSET(INDIRECT(ADDRESS($A454,3,3,1,Menus!$K$10)),0,Menus!$J$4)</f>
        <v>0</v>
      </c>
      <c r="C454" s="2">
        <f ca="1">OFFSET(INDIRECT(ADDRESS($A454,3,3,1,Menus!$K$10)),0,Menus!$J$3)</f>
        <v>0</v>
      </c>
      <c r="D454" s="73" t="e">
        <f ca="1">IF(Menus!$J$9,C454/B454,C454)</f>
        <v>#DIV/0!</v>
      </c>
      <c r="E454" s="74" t="e">
        <f t="shared" ca="1" si="16"/>
        <v>#N/A</v>
      </c>
      <c r="F454" s="75">
        <f ca="1">INDIRECT(ADDRESS($A454,1,3,1,Menus!$K$10))</f>
        <v>0</v>
      </c>
      <c r="G454" s="2" t="e">
        <f ca="1">IF(INDIRECT(ADDRESS($A454,2,3,1,Menus!$K$10))=G$1,$D454,#N/A)</f>
        <v>#N/A</v>
      </c>
      <c r="H454" s="2" t="e">
        <f ca="1">IF(INDIRECT(ADDRESS($A454,2,3,1,Menus!$K$10))=H$1,$D454,#N/A)</f>
        <v>#N/A</v>
      </c>
      <c r="I454" s="2" t="e">
        <f ca="1">IF(INDIRECT(ADDRESS($A454,2,3,1,Menus!$K$10))=I$1,$D454,#N/A)</f>
        <v>#N/A</v>
      </c>
      <c r="J454" s="2" t="e">
        <f ca="1">IF(INDIRECT(ADDRESS($A454,1,3,1,Menus!$K$10))=T(J$1),$D454,#N/A)</f>
        <v>#N/A</v>
      </c>
      <c r="K454" s="10">
        <f t="shared" ca="1" si="15"/>
        <v>0</v>
      </c>
      <c r="L454" s="2"/>
      <c r="M454" s="85">
        <f ca="1">OFFSET(INDIRECT(ADDRESS($A454,3,3,1,"Gross")),0,Menus!$J$4)</f>
        <v>0</v>
      </c>
      <c r="N454" s="85">
        <f ca="1">OFFSET(INDIRECT(ADDRESS($A454,3,3,1,"Gross")),0,Menus!$J$3)</f>
        <v>0</v>
      </c>
    </row>
    <row r="455" spans="1:14" x14ac:dyDescent="0.25">
      <c r="A455">
        <v>492</v>
      </c>
      <c r="B455" s="2">
        <f ca="1">OFFSET(INDIRECT(ADDRESS($A455,3,3,1,Menus!$K$10)),0,Menus!$J$4)</f>
        <v>0</v>
      </c>
      <c r="C455" s="2">
        <f ca="1">OFFSET(INDIRECT(ADDRESS($A455,3,3,1,Menus!$K$10)),0,Menus!$J$3)</f>
        <v>0</v>
      </c>
      <c r="D455" s="73" t="e">
        <f ca="1">IF(Menus!$J$9,C455/B455,C455)</f>
        <v>#DIV/0!</v>
      </c>
      <c r="E455" s="74" t="e">
        <f t="shared" ca="1" si="16"/>
        <v>#N/A</v>
      </c>
      <c r="F455" s="75">
        <f ca="1">INDIRECT(ADDRESS($A455,1,3,1,Menus!$K$10))</f>
        <v>0</v>
      </c>
      <c r="G455" s="2" t="e">
        <f ca="1">IF(INDIRECT(ADDRESS($A455,2,3,1,Menus!$K$10))=G$1,$D455,#N/A)</f>
        <v>#N/A</v>
      </c>
      <c r="H455" s="2" t="e">
        <f ca="1">IF(INDIRECT(ADDRESS($A455,2,3,1,Menus!$K$10))=H$1,$D455,#N/A)</f>
        <v>#N/A</v>
      </c>
      <c r="I455" s="2" t="e">
        <f ca="1">IF(INDIRECT(ADDRESS($A455,2,3,1,Menus!$K$10))=I$1,$D455,#N/A)</f>
        <v>#N/A</v>
      </c>
      <c r="J455" s="2" t="e">
        <f ca="1">IF(INDIRECT(ADDRESS($A455,1,3,1,Menus!$K$10))=T(J$1),$D455,#N/A)</f>
        <v>#N/A</v>
      </c>
      <c r="K455" s="10">
        <f t="shared" ca="1" si="15"/>
        <v>0</v>
      </c>
      <c r="L455" s="2"/>
      <c r="M455" s="85">
        <f ca="1">OFFSET(INDIRECT(ADDRESS($A455,3,3,1,"Gross")),0,Menus!$J$4)</f>
        <v>0</v>
      </c>
      <c r="N455" s="85">
        <f ca="1">OFFSET(INDIRECT(ADDRESS($A455,3,3,1,"Gross")),0,Menus!$J$3)</f>
        <v>0</v>
      </c>
    </row>
    <row r="456" spans="1:14" x14ac:dyDescent="0.25">
      <c r="A456">
        <v>493</v>
      </c>
      <c r="B456" s="2">
        <f ca="1">OFFSET(INDIRECT(ADDRESS($A456,3,3,1,Menus!$K$10)),0,Menus!$J$4)</f>
        <v>0</v>
      </c>
      <c r="C456" s="2">
        <f ca="1">OFFSET(INDIRECT(ADDRESS($A456,3,3,1,Menus!$K$10)),0,Menus!$J$3)</f>
        <v>0</v>
      </c>
      <c r="D456" s="73" t="e">
        <f ca="1">IF(Menus!$J$9,C456/B456,C456)</f>
        <v>#DIV/0!</v>
      </c>
      <c r="E456" s="74" t="e">
        <f t="shared" ca="1" si="16"/>
        <v>#N/A</v>
      </c>
      <c r="F456" s="75">
        <f ca="1">INDIRECT(ADDRESS($A456,1,3,1,Menus!$K$10))</f>
        <v>0</v>
      </c>
      <c r="G456" s="2" t="e">
        <f ca="1">IF(INDIRECT(ADDRESS($A456,2,3,1,Menus!$K$10))=G$1,$D456,#N/A)</f>
        <v>#N/A</v>
      </c>
      <c r="H456" s="2" t="e">
        <f ca="1">IF(INDIRECT(ADDRESS($A456,2,3,1,Menus!$K$10))=H$1,$D456,#N/A)</f>
        <v>#N/A</v>
      </c>
      <c r="I456" s="2" t="e">
        <f ca="1">IF(INDIRECT(ADDRESS($A456,2,3,1,Menus!$K$10))=I$1,$D456,#N/A)</f>
        <v>#N/A</v>
      </c>
      <c r="J456" s="2" t="e">
        <f ca="1">IF(INDIRECT(ADDRESS($A456,1,3,1,Menus!$K$10))=T(J$1),$D456,#N/A)</f>
        <v>#N/A</v>
      </c>
      <c r="K456" s="10">
        <f t="shared" ca="1" si="15"/>
        <v>0</v>
      </c>
      <c r="L456" s="2"/>
      <c r="M456" s="85">
        <f ca="1">OFFSET(INDIRECT(ADDRESS($A456,3,3,1,"Gross")),0,Menus!$J$4)</f>
        <v>0</v>
      </c>
      <c r="N456" s="85">
        <f ca="1">OFFSET(INDIRECT(ADDRESS($A456,3,3,1,"Gross")),0,Menus!$J$3)</f>
        <v>0</v>
      </c>
    </row>
    <row r="457" spans="1:14" x14ac:dyDescent="0.25">
      <c r="A457">
        <v>494</v>
      </c>
      <c r="B457" s="2">
        <f ca="1">OFFSET(INDIRECT(ADDRESS($A457,3,3,1,Menus!$K$10)),0,Menus!$J$4)</f>
        <v>0</v>
      </c>
      <c r="C457" s="2">
        <f ca="1">OFFSET(INDIRECT(ADDRESS($A457,3,3,1,Menus!$K$10)),0,Menus!$J$3)</f>
        <v>0</v>
      </c>
      <c r="D457" s="73" t="e">
        <f ca="1">IF(Menus!$J$9,C457/B457,C457)</f>
        <v>#DIV/0!</v>
      </c>
      <c r="E457" s="74" t="e">
        <f t="shared" ca="1" si="16"/>
        <v>#N/A</v>
      </c>
      <c r="F457" s="75">
        <f ca="1">INDIRECT(ADDRESS($A457,1,3,1,Menus!$K$10))</f>
        <v>0</v>
      </c>
      <c r="G457" s="2" t="e">
        <f ca="1">IF(INDIRECT(ADDRESS($A457,2,3,1,Menus!$K$10))=G$1,$D457,#N/A)</f>
        <v>#N/A</v>
      </c>
      <c r="H457" s="2" t="e">
        <f ca="1">IF(INDIRECT(ADDRESS($A457,2,3,1,Menus!$K$10))=H$1,$D457,#N/A)</f>
        <v>#N/A</v>
      </c>
      <c r="I457" s="2" t="e">
        <f ca="1">IF(INDIRECT(ADDRESS($A457,2,3,1,Menus!$K$10))=I$1,$D457,#N/A)</f>
        <v>#N/A</v>
      </c>
      <c r="J457" s="2" t="e">
        <f ca="1">IF(INDIRECT(ADDRESS($A457,1,3,1,Menus!$K$10))=T(J$1),$D457,#N/A)</f>
        <v>#N/A</v>
      </c>
      <c r="K457" s="10">
        <f t="shared" ca="1" si="15"/>
        <v>0</v>
      </c>
      <c r="L457" s="2"/>
      <c r="M457" s="85">
        <f ca="1">OFFSET(INDIRECT(ADDRESS($A457,3,3,1,"Gross")),0,Menus!$J$4)</f>
        <v>0</v>
      </c>
      <c r="N457" s="85">
        <f ca="1">OFFSET(INDIRECT(ADDRESS($A457,3,3,1,"Gross")),0,Menus!$J$3)</f>
        <v>0</v>
      </c>
    </row>
    <row r="458" spans="1:14" x14ac:dyDescent="0.25">
      <c r="A458">
        <v>495</v>
      </c>
      <c r="B458" s="2">
        <f ca="1">OFFSET(INDIRECT(ADDRESS($A458,3,3,1,Menus!$K$10)),0,Menus!$J$4)</f>
        <v>0</v>
      </c>
      <c r="C458" s="2">
        <f ca="1">OFFSET(INDIRECT(ADDRESS($A458,3,3,1,Menus!$K$10)),0,Menus!$J$3)</f>
        <v>0</v>
      </c>
      <c r="D458" s="73" t="e">
        <f ca="1">IF(Menus!$J$9,C458/B458,C458)</f>
        <v>#DIV/0!</v>
      </c>
      <c r="E458" s="74" t="e">
        <f t="shared" ca="1" si="16"/>
        <v>#N/A</v>
      </c>
      <c r="F458" s="75">
        <f ca="1">INDIRECT(ADDRESS($A458,1,3,1,Menus!$K$10))</f>
        <v>0</v>
      </c>
      <c r="G458" s="2" t="e">
        <f ca="1">IF(INDIRECT(ADDRESS($A458,2,3,1,Menus!$K$10))=G$1,$D458,#N/A)</f>
        <v>#N/A</v>
      </c>
      <c r="H458" s="2" t="e">
        <f ca="1">IF(INDIRECT(ADDRESS($A458,2,3,1,Menus!$K$10))=H$1,$D458,#N/A)</f>
        <v>#N/A</v>
      </c>
      <c r="I458" s="2" t="e">
        <f ca="1">IF(INDIRECT(ADDRESS($A458,2,3,1,Menus!$K$10))=I$1,$D458,#N/A)</f>
        <v>#N/A</v>
      </c>
      <c r="J458" s="2" t="e">
        <f ca="1">IF(INDIRECT(ADDRESS($A458,1,3,1,Menus!$K$10))=T(J$1),$D458,#N/A)</f>
        <v>#N/A</v>
      </c>
      <c r="K458" s="10">
        <f t="shared" ca="1" si="15"/>
        <v>0</v>
      </c>
      <c r="L458" s="2"/>
      <c r="M458" s="85">
        <f ca="1">OFFSET(INDIRECT(ADDRESS($A458,3,3,1,"Gross")),0,Menus!$J$4)</f>
        <v>0</v>
      </c>
      <c r="N458" s="85">
        <f ca="1">OFFSET(INDIRECT(ADDRESS($A458,3,3,1,"Gross")),0,Menus!$J$3)</f>
        <v>0</v>
      </c>
    </row>
    <row r="459" spans="1:14" x14ac:dyDescent="0.25">
      <c r="A459">
        <v>496</v>
      </c>
      <c r="B459" s="2">
        <f ca="1">OFFSET(INDIRECT(ADDRESS($A459,3,3,1,Menus!$K$10)),0,Menus!$J$4)</f>
        <v>0</v>
      </c>
      <c r="C459" s="2">
        <f ca="1">OFFSET(INDIRECT(ADDRESS($A459,3,3,1,Menus!$K$10)),0,Menus!$J$3)</f>
        <v>0</v>
      </c>
      <c r="D459" s="73" t="e">
        <f ca="1">IF(Menus!$J$9,C459/B459,C459)</f>
        <v>#DIV/0!</v>
      </c>
      <c r="E459" s="74" t="e">
        <f t="shared" ca="1" si="16"/>
        <v>#N/A</v>
      </c>
      <c r="F459" s="75">
        <f ca="1">INDIRECT(ADDRESS($A459,1,3,1,Menus!$K$10))</f>
        <v>0</v>
      </c>
      <c r="G459" s="2" t="e">
        <f ca="1">IF(INDIRECT(ADDRESS($A459,2,3,1,Menus!$K$10))=G$1,$D459,#N/A)</f>
        <v>#N/A</v>
      </c>
      <c r="H459" s="2" t="e">
        <f ca="1">IF(INDIRECT(ADDRESS($A459,2,3,1,Menus!$K$10))=H$1,$D459,#N/A)</f>
        <v>#N/A</v>
      </c>
      <c r="I459" s="2" t="e">
        <f ca="1">IF(INDIRECT(ADDRESS($A459,2,3,1,Menus!$K$10))=I$1,$D459,#N/A)</f>
        <v>#N/A</v>
      </c>
      <c r="J459" s="2" t="e">
        <f ca="1">IF(INDIRECT(ADDRESS($A459,1,3,1,Menus!$K$10))=T(J$1),$D459,#N/A)</f>
        <v>#N/A</v>
      </c>
      <c r="K459" s="10">
        <f t="shared" ca="1" si="15"/>
        <v>0</v>
      </c>
      <c r="L459" s="2"/>
      <c r="M459" s="85">
        <f ca="1">OFFSET(INDIRECT(ADDRESS($A459,3,3,1,"Gross")),0,Menus!$J$4)</f>
        <v>0</v>
      </c>
      <c r="N459" s="85">
        <f ca="1">OFFSET(INDIRECT(ADDRESS($A459,3,3,1,"Gross")),0,Menus!$J$3)</f>
        <v>0</v>
      </c>
    </row>
    <row r="460" spans="1:14" x14ac:dyDescent="0.25">
      <c r="A460">
        <v>497</v>
      </c>
      <c r="B460" s="2">
        <f ca="1">OFFSET(INDIRECT(ADDRESS($A460,3,3,1,Menus!$K$10)),0,Menus!$J$4)</f>
        <v>0</v>
      </c>
      <c r="C460" s="2">
        <f ca="1">OFFSET(INDIRECT(ADDRESS($A460,3,3,1,Menus!$K$10)),0,Menus!$J$3)</f>
        <v>0</v>
      </c>
      <c r="D460" s="73" t="e">
        <f ca="1">IF(Menus!$J$9,C460/B460,C460)</f>
        <v>#DIV/0!</v>
      </c>
      <c r="E460" s="74" t="e">
        <f t="shared" ca="1" si="16"/>
        <v>#N/A</v>
      </c>
      <c r="F460" s="75">
        <f ca="1">INDIRECT(ADDRESS($A460,1,3,1,Menus!$K$10))</f>
        <v>0</v>
      </c>
      <c r="G460" s="2" t="e">
        <f ca="1">IF(INDIRECT(ADDRESS($A460,2,3,1,Menus!$K$10))=G$1,$D460,#N/A)</f>
        <v>#N/A</v>
      </c>
      <c r="H460" s="2" t="e">
        <f ca="1">IF(INDIRECT(ADDRESS($A460,2,3,1,Menus!$K$10))=H$1,$D460,#N/A)</f>
        <v>#N/A</v>
      </c>
      <c r="I460" s="2" t="e">
        <f ca="1">IF(INDIRECT(ADDRESS($A460,2,3,1,Menus!$K$10))=I$1,$D460,#N/A)</f>
        <v>#N/A</v>
      </c>
      <c r="J460" s="2" t="e">
        <f ca="1">IF(INDIRECT(ADDRESS($A460,1,3,1,Menus!$K$10))=T(J$1),$D460,#N/A)</f>
        <v>#N/A</v>
      </c>
      <c r="K460" s="10">
        <f t="shared" ca="1" si="15"/>
        <v>0</v>
      </c>
      <c r="L460" s="2"/>
      <c r="M460" s="85">
        <f ca="1">OFFSET(INDIRECT(ADDRESS($A460,3,3,1,"Gross")),0,Menus!$J$4)</f>
        <v>0</v>
      </c>
      <c r="N460" s="85">
        <f ca="1">OFFSET(INDIRECT(ADDRESS($A460,3,3,1,"Gross")),0,Menus!$J$3)</f>
        <v>0</v>
      </c>
    </row>
    <row r="461" spans="1:14" x14ac:dyDescent="0.25">
      <c r="A461">
        <v>498</v>
      </c>
      <c r="B461" s="2">
        <f ca="1">OFFSET(INDIRECT(ADDRESS($A461,3,3,1,Menus!$K$10)),0,Menus!$J$4)</f>
        <v>0</v>
      </c>
      <c r="C461" s="2">
        <f ca="1">OFFSET(INDIRECT(ADDRESS($A461,3,3,1,Menus!$K$10)),0,Menus!$J$3)</f>
        <v>0</v>
      </c>
      <c r="D461" s="73" t="e">
        <f ca="1">IF(Menus!$J$9,C461/B461,C461)</f>
        <v>#DIV/0!</v>
      </c>
      <c r="E461" s="74" t="e">
        <f t="shared" ca="1" si="16"/>
        <v>#N/A</v>
      </c>
      <c r="F461" s="75">
        <f ca="1">INDIRECT(ADDRESS($A461,1,3,1,Menus!$K$10))</f>
        <v>0</v>
      </c>
      <c r="G461" s="2" t="e">
        <f ca="1">IF(INDIRECT(ADDRESS($A461,2,3,1,Menus!$K$10))=G$1,$D461,#N/A)</f>
        <v>#N/A</v>
      </c>
      <c r="H461" s="2" t="e">
        <f ca="1">IF(INDIRECT(ADDRESS($A461,2,3,1,Menus!$K$10))=H$1,$D461,#N/A)</f>
        <v>#N/A</v>
      </c>
      <c r="I461" s="2" t="e">
        <f ca="1">IF(INDIRECT(ADDRESS($A461,2,3,1,Menus!$K$10))=I$1,$D461,#N/A)</f>
        <v>#N/A</v>
      </c>
      <c r="J461" s="2" t="e">
        <f ca="1">IF(INDIRECT(ADDRESS($A461,1,3,1,Menus!$K$10))=T(J$1),$D461,#N/A)</f>
        <v>#N/A</v>
      </c>
      <c r="K461" s="10">
        <f t="shared" ca="1" si="15"/>
        <v>0</v>
      </c>
      <c r="L461" s="2"/>
      <c r="M461" s="85">
        <f ca="1">OFFSET(INDIRECT(ADDRESS($A461,3,3,1,"Gross")),0,Menus!$J$4)</f>
        <v>0</v>
      </c>
      <c r="N461" s="85">
        <f ca="1">OFFSET(INDIRECT(ADDRESS($A461,3,3,1,"Gross")),0,Menus!$J$3)</f>
        <v>0</v>
      </c>
    </row>
    <row r="462" spans="1:14" x14ac:dyDescent="0.25">
      <c r="A462">
        <v>499</v>
      </c>
      <c r="B462" s="2">
        <f ca="1">OFFSET(INDIRECT(ADDRESS($A462,3,3,1,Menus!$K$10)),0,Menus!$J$4)</f>
        <v>0</v>
      </c>
      <c r="C462" s="2">
        <f ca="1">OFFSET(INDIRECT(ADDRESS($A462,3,3,1,Menus!$K$10)),0,Menus!$J$3)</f>
        <v>0</v>
      </c>
      <c r="D462" s="73" t="e">
        <f ca="1">IF(Menus!$J$9,C462/B462,C462)</f>
        <v>#DIV/0!</v>
      </c>
      <c r="E462" s="74" t="e">
        <f t="shared" ca="1" si="16"/>
        <v>#N/A</v>
      </c>
      <c r="F462" s="75">
        <f ca="1">INDIRECT(ADDRESS($A462,1,3,1,Menus!$K$10))</f>
        <v>0</v>
      </c>
      <c r="G462" s="2" t="e">
        <f ca="1">IF(INDIRECT(ADDRESS($A462,2,3,1,Menus!$K$10))=G$1,$D462,#N/A)</f>
        <v>#N/A</v>
      </c>
      <c r="H462" s="2" t="e">
        <f ca="1">IF(INDIRECT(ADDRESS($A462,2,3,1,Menus!$K$10))=H$1,$D462,#N/A)</f>
        <v>#N/A</v>
      </c>
      <c r="I462" s="2" t="e">
        <f ca="1">IF(INDIRECT(ADDRESS($A462,2,3,1,Menus!$K$10))=I$1,$D462,#N/A)</f>
        <v>#N/A</v>
      </c>
      <c r="J462" s="2" t="e">
        <f ca="1">IF(INDIRECT(ADDRESS($A462,1,3,1,Menus!$K$10))=T(J$1),$D462,#N/A)</f>
        <v>#N/A</v>
      </c>
      <c r="K462" s="10">
        <f t="shared" ca="1" si="15"/>
        <v>0</v>
      </c>
      <c r="L462" s="2"/>
      <c r="M462" s="85">
        <f ca="1">OFFSET(INDIRECT(ADDRESS($A462,3,3,1,"Gross")),0,Menus!$J$4)</f>
        <v>0</v>
      </c>
      <c r="N462" s="85">
        <f ca="1">OFFSET(INDIRECT(ADDRESS($A462,3,3,1,"Gross")),0,Menus!$J$3)</f>
        <v>0</v>
      </c>
    </row>
    <row r="463" spans="1:14" x14ac:dyDescent="0.25">
      <c r="A463">
        <v>500</v>
      </c>
      <c r="B463" s="2">
        <f ca="1">OFFSET(INDIRECT(ADDRESS($A463,3,3,1,Menus!$K$10)),0,Menus!$J$4)</f>
        <v>0</v>
      </c>
      <c r="C463" s="2">
        <f ca="1">OFFSET(INDIRECT(ADDRESS($A463,3,3,1,Menus!$K$10)),0,Menus!$J$3)</f>
        <v>0</v>
      </c>
      <c r="D463" s="73" t="e">
        <f ca="1">IF(Menus!$J$9,C463/B463,C463)</f>
        <v>#DIV/0!</v>
      </c>
      <c r="E463" s="74" t="e">
        <f t="shared" ca="1" si="16"/>
        <v>#N/A</v>
      </c>
      <c r="F463" s="75">
        <f ca="1">INDIRECT(ADDRESS($A463,1,3,1,Menus!$K$10))</f>
        <v>0</v>
      </c>
      <c r="G463" s="2" t="e">
        <f ca="1">IF(INDIRECT(ADDRESS($A463,2,3,1,Menus!$K$10))=G$1,$D463,#N/A)</f>
        <v>#N/A</v>
      </c>
      <c r="H463" s="2" t="e">
        <f ca="1">IF(INDIRECT(ADDRESS($A463,2,3,1,Menus!$K$10))=H$1,$D463,#N/A)</f>
        <v>#N/A</v>
      </c>
      <c r="I463" s="2" t="e">
        <f ca="1">IF(INDIRECT(ADDRESS($A463,2,3,1,Menus!$K$10))=I$1,$D463,#N/A)</f>
        <v>#N/A</v>
      </c>
      <c r="J463" s="2" t="e">
        <f ca="1">IF(INDIRECT(ADDRESS($A463,1,3,1,Menus!$K$10))=T(J$1),$D463,#N/A)</f>
        <v>#N/A</v>
      </c>
      <c r="K463" s="10">
        <f t="shared" ca="1" si="15"/>
        <v>0</v>
      </c>
      <c r="L463" s="2"/>
      <c r="M463" s="85">
        <f ca="1">OFFSET(INDIRECT(ADDRESS($A463,3,3,1,"Gross")),0,Menus!$J$4)</f>
        <v>0</v>
      </c>
      <c r="N463" s="85">
        <f ca="1">OFFSET(INDIRECT(ADDRESS($A463,3,3,1,"Gross")),0,Menus!$J$3)</f>
        <v>0</v>
      </c>
    </row>
    <row r="464" spans="1:14" x14ac:dyDescent="0.25">
      <c r="A464">
        <v>501</v>
      </c>
      <c r="B464" s="2">
        <f ca="1">OFFSET(INDIRECT(ADDRESS($A464,3,3,1,Menus!$K$10)),0,Menus!$J$4)</f>
        <v>0</v>
      </c>
      <c r="C464" s="2">
        <f ca="1">OFFSET(INDIRECT(ADDRESS($A464,3,3,1,Menus!$K$10)),0,Menus!$J$3)</f>
        <v>0</v>
      </c>
      <c r="D464" s="73" t="e">
        <f ca="1">IF(Menus!$J$9,C464/B464,C464)</f>
        <v>#DIV/0!</v>
      </c>
      <c r="E464" s="74" t="e">
        <f t="shared" ca="1" si="16"/>
        <v>#N/A</v>
      </c>
      <c r="F464" s="75">
        <f ca="1">INDIRECT(ADDRESS($A464,1,3,1,Menus!$K$10))</f>
        <v>0</v>
      </c>
      <c r="G464" s="2" t="e">
        <f ca="1">IF(INDIRECT(ADDRESS($A464,2,3,1,Menus!$K$10))=G$1,$D464,#N/A)</f>
        <v>#N/A</v>
      </c>
      <c r="H464" s="2" t="e">
        <f ca="1">IF(INDIRECT(ADDRESS($A464,2,3,1,Menus!$K$10))=H$1,$D464,#N/A)</f>
        <v>#N/A</v>
      </c>
      <c r="I464" s="2" t="e">
        <f ca="1">IF(INDIRECT(ADDRESS($A464,2,3,1,Menus!$K$10))=I$1,$D464,#N/A)</f>
        <v>#N/A</v>
      </c>
      <c r="J464" s="2" t="e">
        <f ca="1">IF(INDIRECT(ADDRESS($A464,1,3,1,Menus!$K$10))=T(J$1),$D464,#N/A)</f>
        <v>#N/A</v>
      </c>
      <c r="K464" s="10">
        <f t="shared" ca="1" si="15"/>
        <v>0</v>
      </c>
      <c r="L464" s="2"/>
      <c r="M464" s="85">
        <f ca="1">OFFSET(INDIRECT(ADDRESS($A464,3,3,1,"Gross")),0,Menus!$J$4)</f>
        <v>0</v>
      </c>
      <c r="N464" s="85">
        <f ca="1">OFFSET(INDIRECT(ADDRESS($A464,3,3,1,"Gross")),0,Menus!$J$3)</f>
        <v>0</v>
      </c>
    </row>
    <row r="465" spans="1:14" x14ac:dyDescent="0.25">
      <c r="A465">
        <v>48</v>
      </c>
      <c r="B465" s="2">
        <f ca="1">OFFSET(INDIRECT(ADDRESS($A465,3,3,1,Menus!$K$10)),0,Menus!$J$4)</f>
        <v>0</v>
      </c>
      <c r="C465" s="2">
        <f ca="1">OFFSET(INDIRECT(ADDRESS($A465,3,3,1,Menus!$K$10)),0,Menus!$J$3)</f>
        <v>0</v>
      </c>
      <c r="D465" s="73" t="e">
        <f ca="1">IF(Menus!$J$9,C465/B465,C465)</f>
        <v>#DIV/0!</v>
      </c>
      <c r="E465" s="74" t="e">
        <f t="shared" ca="1" si="16"/>
        <v>#N/A</v>
      </c>
      <c r="F465" s="75">
        <f ca="1">INDIRECT(ADDRESS($A465,1,3,1,Menus!$K$10))</f>
        <v>0</v>
      </c>
      <c r="G465" s="2" t="e">
        <f ca="1">IF(INDIRECT(ADDRESS($A465,2,3,1,Menus!$K$10))=G$1,$D465,#N/A)</f>
        <v>#N/A</v>
      </c>
      <c r="H465" s="2" t="e">
        <f ca="1">IF(INDIRECT(ADDRESS($A465,2,3,1,Menus!$K$10))=H$1,$D465,#N/A)</f>
        <v>#N/A</v>
      </c>
      <c r="I465" s="2" t="e">
        <f ca="1">IF(INDIRECT(ADDRESS($A465,2,3,1,Menus!$K$10))=I$1,$D465,#N/A)</f>
        <v>#N/A</v>
      </c>
      <c r="J465" s="2" t="e">
        <f ca="1">IF(INDIRECT(ADDRESS($A465,1,3,1,Menus!$K$10))=T(J$1),$D465,#N/A)</f>
        <v>#N/A</v>
      </c>
      <c r="K465" s="10">
        <f t="shared" ca="1" si="15"/>
        <v>0</v>
      </c>
      <c r="L465" s="2"/>
      <c r="M465" s="85">
        <f ca="1">OFFSET(INDIRECT(ADDRESS($A465,3,3,1,"Gross")),0,Menus!$J$4)</f>
        <v>0</v>
      </c>
      <c r="N465" s="85">
        <f ca="1">OFFSET(INDIRECT(ADDRESS($A465,3,3,1,"Gross")),0,Menus!$J$3)</f>
        <v>2</v>
      </c>
    </row>
    <row r="466" spans="1:14" x14ac:dyDescent="0.25">
      <c r="A466">
        <v>195</v>
      </c>
      <c r="B466" s="2">
        <f ca="1">OFFSET(INDIRECT(ADDRESS($A466,3,3,1,Menus!$K$10)),0,Menus!$J$4)</f>
        <v>0</v>
      </c>
      <c r="C466" s="2">
        <f ca="1">OFFSET(INDIRECT(ADDRESS($A466,3,3,1,Menus!$K$10)),0,Menus!$J$3)</f>
        <v>0</v>
      </c>
      <c r="D466" s="73" t="e">
        <f ca="1">IF(Menus!$J$9,C466/B466,C466)</f>
        <v>#DIV/0!</v>
      </c>
      <c r="E466" s="74" t="e">
        <f t="shared" ca="1" si="16"/>
        <v>#N/A</v>
      </c>
      <c r="F466" s="75">
        <f ca="1">INDIRECT(ADDRESS($A466,1,3,1,Menus!$K$10))</f>
        <v>0</v>
      </c>
      <c r="G466" s="2" t="e">
        <f ca="1">IF(INDIRECT(ADDRESS($A466,2,3,1,Menus!$K$10))=G$1,$D466,#N/A)</f>
        <v>#N/A</v>
      </c>
      <c r="H466" s="2" t="e">
        <f ca="1">IF(INDIRECT(ADDRESS($A466,2,3,1,Menus!$K$10))=H$1,$D466,#N/A)</f>
        <v>#N/A</v>
      </c>
      <c r="I466" s="2" t="e">
        <f ca="1">IF(INDIRECT(ADDRESS($A466,2,3,1,Menus!$K$10))=I$1,$D466,#N/A)</f>
        <v>#N/A</v>
      </c>
      <c r="J466" s="2" t="e">
        <f ca="1">IF(INDIRECT(ADDRESS($A466,1,3,1,Menus!$K$10))=T(J$1),$D466,#N/A)</f>
        <v>#N/A</v>
      </c>
      <c r="K466" s="10">
        <f t="shared" ca="1" si="15"/>
        <v>0</v>
      </c>
      <c r="L466" s="2"/>
      <c r="M466" s="85">
        <f ca="1">OFFSET(INDIRECT(ADDRESS($A466,3,3,1,"Gross")),0,Menus!$J$4)</f>
        <v>0</v>
      </c>
      <c r="N466" s="85">
        <f ca="1">OFFSET(INDIRECT(ADDRESS($A466,3,3,1,"Gross")),0,Menus!$J$3)</f>
        <v>0</v>
      </c>
    </row>
    <row r="467" spans="1:14" x14ac:dyDescent="0.25">
      <c r="A467">
        <v>103</v>
      </c>
      <c r="B467" s="2">
        <f ca="1">OFFSET(INDIRECT(ADDRESS($A467,3,3,1,Menus!$K$10)),0,Menus!$J$4)</f>
        <v>0</v>
      </c>
      <c r="C467" s="2">
        <f ca="1">OFFSET(INDIRECT(ADDRESS($A467,3,3,1,Menus!$K$10)),0,Menus!$J$3)</f>
        <v>0</v>
      </c>
      <c r="D467" s="73" t="e">
        <f ca="1">IF(Menus!$J$9,C467/B467,C467)</f>
        <v>#DIV/0!</v>
      </c>
      <c r="E467" s="74" t="e">
        <f t="shared" ca="1" si="16"/>
        <v>#N/A</v>
      </c>
      <c r="F467" s="75">
        <f ca="1">INDIRECT(ADDRESS($A467,1,3,1,Menus!$K$10))</f>
        <v>0</v>
      </c>
      <c r="G467" s="2" t="e">
        <f ca="1">IF(INDIRECT(ADDRESS($A467,2,3,1,Menus!$K$10))=G$1,$D467,#N/A)</f>
        <v>#N/A</v>
      </c>
      <c r="H467" s="2" t="e">
        <f ca="1">IF(INDIRECT(ADDRESS($A467,2,3,1,Menus!$K$10))=H$1,$D467,#N/A)</f>
        <v>#N/A</v>
      </c>
      <c r="I467" s="2" t="e">
        <f ca="1">IF(INDIRECT(ADDRESS($A467,2,3,1,Menus!$K$10))=I$1,$D467,#N/A)</f>
        <v>#N/A</v>
      </c>
      <c r="J467" s="2" t="e">
        <f ca="1">IF(INDIRECT(ADDRESS($A467,1,3,1,Menus!$K$10))=T(J$1),$D467,#N/A)</f>
        <v>#N/A</v>
      </c>
      <c r="K467" s="10">
        <f t="shared" ca="1" si="15"/>
        <v>0</v>
      </c>
      <c r="L467" s="2"/>
      <c r="M467" s="85">
        <f ca="1">OFFSET(INDIRECT(ADDRESS($A467,3,3,1,"Gross")),0,Menus!$J$4)</f>
        <v>1</v>
      </c>
      <c r="N467" s="85">
        <f ca="1">OFFSET(INDIRECT(ADDRESS($A467,3,3,1,"Gross")),0,Menus!$J$3)</f>
        <v>1</v>
      </c>
    </row>
    <row r="468" spans="1:14" x14ac:dyDescent="0.25">
      <c r="A468">
        <v>158</v>
      </c>
      <c r="B468" s="2">
        <f ca="1">OFFSET(INDIRECT(ADDRESS($A468,3,3,1,Menus!$K$10)),0,Menus!$J$4)</f>
        <v>0</v>
      </c>
      <c r="C468" s="2">
        <f ca="1">OFFSET(INDIRECT(ADDRESS($A468,3,3,1,Menus!$K$10)),0,Menus!$J$3)</f>
        <v>0</v>
      </c>
      <c r="D468" s="73" t="e">
        <f ca="1">IF(Menus!$J$9,C468/B468,C468)</f>
        <v>#DIV/0!</v>
      </c>
      <c r="E468" s="74" t="e">
        <f t="shared" ca="1" si="16"/>
        <v>#N/A</v>
      </c>
      <c r="F468" s="75">
        <f ca="1">INDIRECT(ADDRESS($A468,1,3,1,Menus!$K$10))</f>
        <v>0</v>
      </c>
      <c r="G468" s="2" t="e">
        <f ca="1">IF(INDIRECT(ADDRESS($A468,2,3,1,Menus!$K$10))=G$1,$D468,#N/A)</f>
        <v>#N/A</v>
      </c>
      <c r="H468" s="2" t="e">
        <f ca="1">IF(INDIRECT(ADDRESS($A468,2,3,1,Menus!$K$10))=H$1,$D468,#N/A)</f>
        <v>#N/A</v>
      </c>
      <c r="I468" s="2" t="e">
        <f ca="1">IF(INDIRECT(ADDRESS($A468,2,3,1,Menus!$K$10))=I$1,$D468,#N/A)</f>
        <v>#N/A</v>
      </c>
      <c r="J468" s="2" t="e">
        <f ca="1">IF(INDIRECT(ADDRESS($A468,1,3,1,Menus!$K$10))=T(J$1),$D468,#N/A)</f>
        <v>#N/A</v>
      </c>
      <c r="K468" s="10">
        <f t="shared" ca="1" si="15"/>
        <v>0</v>
      </c>
      <c r="L468" s="2"/>
      <c r="M468" s="85">
        <f ca="1">OFFSET(INDIRECT(ADDRESS($A468,3,3,1,"Gross")),0,Menus!$J$4)</f>
        <v>2</v>
      </c>
      <c r="N468" s="85">
        <f ca="1">OFFSET(INDIRECT(ADDRESS($A468,3,3,1,"Gross")),0,Menus!$J$3)</f>
        <v>2</v>
      </c>
    </row>
    <row r="469" spans="1:14" x14ac:dyDescent="0.25">
      <c r="A469">
        <v>77</v>
      </c>
      <c r="B469" s="2">
        <f ca="1">OFFSET(INDIRECT(ADDRESS($A469,3,3,1,Menus!$K$10)),0,Menus!$J$4)</f>
        <v>0</v>
      </c>
      <c r="C469" s="2">
        <f ca="1">OFFSET(INDIRECT(ADDRESS($A469,3,3,1,Menus!$K$10)),0,Menus!$J$3)</f>
        <v>0</v>
      </c>
      <c r="D469" s="73" t="e">
        <f ca="1">IF(Menus!$J$9,C469/B469,C469)</f>
        <v>#DIV/0!</v>
      </c>
      <c r="E469" s="74" t="e">
        <f t="shared" ca="1" si="16"/>
        <v>#N/A</v>
      </c>
      <c r="F469" s="75">
        <f ca="1">INDIRECT(ADDRESS($A469,1,3,1,Menus!$K$10))</f>
        <v>0</v>
      </c>
      <c r="G469" s="2" t="e">
        <f ca="1">IF(INDIRECT(ADDRESS($A469,2,3,1,Menus!$K$10))=G$1,$D469,#N/A)</f>
        <v>#N/A</v>
      </c>
      <c r="H469" s="2" t="e">
        <f ca="1">IF(INDIRECT(ADDRESS($A469,2,3,1,Menus!$K$10))=H$1,$D469,#N/A)</f>
        <v>#N/A</v>
      </c>
      <c r="I469" s="2" t="e">
        <f ca="1">IF(INDIRECT(ADDRESS($A469,2,3,1,Menus!$K$10))=I$1,$D469,#N/A)</f>
        <v>#N/A</v>
      </c>
      <c r="J469" s="2" t="e">
        <f ca="1">IF(INDIRECT(ADDRESS($A469,1,3,1,Menus!$K$10))=T(J$1),$D469,#N/A)</f>
        <v>#N/A</v>
      </c>
      <c r="K469" s="10">
        <f t="shared" ca="1" si="15"/>
        <v>0</v>
      </c>
      <c r="L469" s="2"/>
      <c r="M469" s="85">
        <f ca="1">OFFSET(INDIRECT(ADDRESS($A469,3,3,1,"Gross")),0,Menus!$J$4)</f>
        <v>2</v>
      </c>
      <c r="N469" s="85">
        <f ca="1">OFFSET(INDIRECT(ADDRESS($A469,3,3,1,"Gross")),0,Menus!$J$3)</f>
        <v>2</v>
      </c>
    </row>
    <row r="470" spans="1:14" x14ac:dyDescent="0.25">
      <c r="A470">
        <v>54</v>
      </c>
      <c r="B470" s="2">
        <f ca="1">OFFSET(INDIRECT(ADDRESS($A470,3,3,1,Menus!$K$10)),0,Menus!$J$4)</f>
        <v>0</v>
      </c>
      <c r="C470" s="2">
        <f ca="1">OFFSET(INDIRECT(ADDRESS($A470,3,3,1,Menus!$K$10)),0,Menus!$J$3)</f>
        <v>0</v>
      </c>
      <c r="D470" s="73" t="e">
        <f ca="1">IF(Menus!$J$9,C470/B470,C470)</f>
        <v>#DIV/0!</v>
      </c>
      <c r="E470" s="74" t="e">
        <f t="shared" ca="1" si="16"/>
        <v>#N/A</v>
      </c>
      <c r="F470" s="75">
        <f ca="1">INDIRECT(ADDRESS($A470,1,3,1,Menus!$K$10))</f>
        <v>0</v>
      </c>
      <c r="G470" s="2" t="e">
        <f ca="1">IF(INDIRECT(ADDRESS($A470,2,3,1,Menus!$K$10))=G$1,$D470,#N/A)</f>
        <v>#N/A</v>
      </c>
      <c r="H470" s="2" t="e">
        <f ca="1">IF(INDIRECT(ADDRESS($A470,2,3,1,Menus!$K$10))=H$1,$D470,#N/A)</f>
        <v>#N/A</v>
      </c>
      <c r="I470" s="2" t="e">
        <f ca="1">IF(INDIRECT(ADDRESS($A470,2,3,1,Menus!$K$10))=I$1,$D470,#N/A)</f>
        <v>#N/A</v>
      </c>
      <c r="J470" s="2" t="e">
        <f ca="1">IF(INDIRECT(ADDRESS($A470,1,3,1,Menus!$K$10))=T(J$1),$D470,#N/A)</f>
        <v>#N/A</v>
      </c>
      <c r="K470" s="10">
        <f t="shared" ca="1" si="15"/>
        <v>0</v>
      </c>
      <c r="L470" s="2"/>
      <c r="M470" s="85">
        <f ca="1">OFFSET(INDIRECT(ADDRESS($A470,3,3,1,"Gross")),0,Menus!$J$4)</f>
        <v>2</v>
      </c>
      <c r="N470" s="85">
        <f ca="1">OFFSET(INDIRECT(ADDRESS($A470,3,3,1,"Gross")),0,Menus!$J$3)</f>
        <v>2</v>
      </c>
    </row>
    <row r="471" spans="1:14" x14ac:dyDescent="0.25">
      <c r="A471">
        <v>97</v>
      </c>
      <c r="B471" s="2">
        <f ca="1">OFFSET(INDIRECT(ADDRESS($A471,3,3,1,Menus!$K$10)),0,Menus!$J$4)</f>
        <v>0</v>
      </c>
      <c r="C471" s="2">
        <f ca="1">OFFSET(INDIRECT(ADDRESS($A471,3,3,1,Menus!$K$10)),0,Menus!$J$3)</f>
        <v>0</v>
      </c>
      <c r="D471" s="73" t="e">
        <f ca="1">IF(Menus!$J$9,C471/B471,C471)</f>
        <v>#DIV/0!</v>
      </c>
      <c r="E471" s="74" t="e">
        <f t="shared" ca="1" si="16"/>
        <v>#N/A</v>
      </c>
      <c r="F471" s="75">
        <f ca="1">INDIRECT(ADDRESS($A471,1,3,1,Menus!$K$10))</f>
        <v>0</v>
      </c>
      <c r="G471" s="2" t="e">
        <f ca="1">IF(INDIRECT(ADDRESS($A471,2,3,1,Menus!$K$10))=G$1,$D471,#N/A)</f>
        <v>#N/A</v>
      </c>
      <c r="H471" s="2" t="e">
        <f ca="1">IF(INDIRECT(ADDRESS($A471,2,3,1,Menus!$K$10))=H$1,$D471,#N/A)</f>
        <v>#N/A</v>
      </c>
      <c r="I471" s="2" t="e">
        <f ca="1">IF(INDIRECT(ADDRESS($A471,2,3,1,Menus!$K$10))=I$1,$D471,#N/A)</f>
        <v>#N/A</v>
      </c>
      <c r="J471" s="2" t="e">
        <f ca="1">IF(INDIRECT(ADDRESS($A471,1,3,1,Menus!$K$10))=T(J$1),$D471,#N/A)</f>
        <v>#N/A</v>
      </c>
      <c r="K471" s="10">
        <f t="shared" ca="1" si="15"/>
        <v>0</v>
      </c>
      <c r="L471" s="2"/>
      <c r="M471" s="85">
        <f ca="1">OFFSET(INDIRECT(ADDRESS($A471,3,3,1,"Gross")),0,Menus!$J$4)</f>
        <v>0</v>
      </c>
      <c r="N471" s="85">
        <f ca="1">OFFSET(INDIRECT(ADDRESS($A471,3,3,1,"Gross")),0,Menus!$J$3)</f>
        <v>0</v>
      </c>
    </row>
    <row r="472" spans="1:14" x14ac:dyDescent="0.25">
      <c r="A472">
        <v>87</v>
      </c>
      <c r="B472" s="2">
        <f ca="1">OFFSET(INDIRECT(ADDRESS($A472,3,3,1,Menus!$K$10)),0,Menus!$J$4)</f>
        <v>0</v>
      </c>
      <c r="C472" s="2">
        <f ca="1">OFFSET(INDIRECT(ADDRESS($A472,3,3,1,Menus!$K$10)),0,Menus!$J$3)</f>
        <v>0</v>
      </c>
      <c r="D472" s="73" t="e">
        <f ca="1">IF(Menus!$J$9,C472/B472,C472)</f>
        <v>#DIV/0!</v>
      </c>
      <c r="E472" s="74" t="e">
        <f t="shared" ca="1" si="16"/>
        <v>#N/A</v>
      </c>
      <c r="F472" s="75">
        <f ca="1">INDIRECT(ADDRESS($A472,1,3,1,Menus!$K$10))</f>
        <v>0</v>
      </c>
      <c r="G472" s="2" t="e">
        <f ca="1">IF(INDIRECT(ADDRESS($A472,2,3,1,Menus!$K$10))=G$1,$D472,#N/A)</f>
        <v>#N/A</v>
      </c>
      <c r="H472" s="2" t="e">
        <f ca="1">IF(INDIRECT(ADDRESS($A472,2,3,1,Menus!$K$10))=H$1,$D472,#N/A)</f>
        <v>#N/A</v>
      </c>
      <c r="I472" s="2" t="e">
        <f ca="1">IF(INDIRECT(ADDRESS($A472,2,3,1,Menus!$K$10))=I$1,$D472,#N/A)</f>
        <v>#N/A</v>
      </c>
      <c r="J472" s="2" t="e">
        <f ca="1">IF(INDIRECT(ADDRESS($A472,1,3,1,Menus!$K$10))=T(J$1),$D472,#N/A)</f>
        <v>#N/A</v>
      </c>
      <c r="K472" s="10">
        <f t="shared" ca="1" si="15"/>
        <v>0</v>
      </c>
      <c r="L472" s="2"/>
      <c r="M472" s="85">
        <f ca="1">OFFSET(INDIRECT(ADDRESS($A472,3,3,1,"Gross")),0,Menus!$J$4)</f>
        <v>0</v>
      </c>
      <c r="N472" s="85">
        <f ca="1">OFFSET(INDIRECT(ADDRESS($A472,3,3,1,"Gross")),0,Menus!$J$3)</f>
        <v>0</v>
      </c>
    </row>
    <row r="473" spans="1:14" x14ac:dyDescent="0.25">
      <c r="A473">
        <v>123</v>
      </c>
      <c r="B473" s="2">
        <f ca="1">OFFSET(INDIRECT(ADDRESS($A473,3,3,1,Menus!$K$10)),0,Menus!$J$4)</f>
        <v>0</v>
      </c>
      <c r="C473" s="2">
        <f ca="1">OFFSET(INDIRECT(ADDRESS($A473,3,3,1,Menus!$K$10)),0,Menus!$J$3)</f>
        <v>0</v>
      </c>
      <c r="D473" s="73" t="e">
        <f ca="1">IF(Menus!$J$9,C473/B473,C473)</f>
        <v>#DIV/0!</v>
      </c>
      <c r="E473" s="74" t="e">
        <f t="shared" ca="1" si="16"/>
        <v>#N/A</v>
      </c>
      <c r="F473" s="75">
        <f ca="1">INDIRECT(ADDRESS($A473,1,3,1,Menus!$K$10))</f>
        <v>0</v>
      </c>
      <c r="G473" s="2" t="e">
        <f ca="1">IF(INDIRECT(ADDRESS($A473,2,3,1,Menus!$K$10))=G$1,$D473,#N/A)</f>
        <v>#N/A</v>
      </c>
      <c r="H473" s="2" t="e">
        <f ca="1">IF(INDIRECT(ADDRESS($A473,2,3,1,Menus!$K$10))=H$1,$D473,#N/A)</f>
        <v>#N/A</v>
      </c>
      <c r="I473" s="2" t="e">
        <f ca="1">IF(INDIRECT(ADDRESS($A473,2,3,1,Menus!$K$10))=I$1,$D473,#N/A)</f>
        <v>#N/A</v>
      </c>
      <c r="J473" s="2" t="e">
        <f ca="1">IF(INDIRECT(ADDRESS($A473,1,3,1,Menus!$K$10))=T(J$1),$D473,#N/A)</f>
        <v>#N/A</v>
      </c>
      <c r="K473" s="10">
        <f t="shared" ca="1" si="15"/>
        <v>0</v>
      </c>
      <c r="L473" s="2"/>
      <c r="M473" s="85">
        <f ca="1">OFFSET(INDIRECT(ADDRESS($A473,3,3,1,"Gross")),0,Menus!$J$4)</f>
        <v>0</v>
      </c>
      <c r="N473" s="85">
        <f ca="1">OFFSET(INDIRECT(ADDRESS($A473,3,3,1,"Gross")),0,Menus!$J$3)</f>
        <v>0</v>
      </c>
    </row>
    <row r="474" spans="1:14" x14ac:dyDescent="0.25">
      <c r="A474">
        <v>131</v>
      </c>
      <c r="B474" s="2">
        <f ca="1">OFFSET(INDIRECT(ADDRESS($A474,3,3,1,Menus!$K$10)),0,Menus!$J$4)</f>
        <v>0</v>
      </c>
      <c r="C474" s="2">
        <f ca="1">OFFSET(INDIRECT(ADDRESS($A474,3,3,1,Menus!$K$10)),0,Menus!$J$3)</f>
        <v>0</v>
      </c>
      <c r="D474" s="73" t="e">
        <f ca="1">IF(Menus!$J$9,C474/B474,C474)</f>
        <v>#DIV/0!</v>
      </c>
      <c r="E474" s="74" t="e">
        <f t="shared" ca="1" si="16"/>
        <v>#N/A</v>
      </c>
      <c r="F474" s="75">
        <f ca="1">INDIRECT(ADDRESS($A474,1,3,1,Menus!$K$10))</f>
        <v>0</v>
      </c>
      <c r="G474" s="2" t="e">
        <f ca="1">IF(INDIRECT(ADDRESS($A474,2,3,1,Menus!$K$10))=G$1,$D474,#N/A)</f>
        <v>#N/A</v>
      </c>
      <c r="H474" s="2" t="e">
        <f ca="1">IF(INDIRECT(ADDRESS($A474,2,3,1,Menus!$K$10))=H$1,$D474,#N/A)</f>
        <v>#N/A</v>
      </c>
      <c r="I474" s="2" t="e">
        <f ca="1">IF(INDIRECT(ADDRESS($A474,2,3,1,Menus!$K$10))=I$1,$D474,#N/A)</f>
        <v>#N/A</v>
      </c>
      <c r="J474" s="2" t="e">
        <f ca="1">IF(INDIRECT(ADDRESS($A474,1,3,1,Menus!$K$10))=T(J$1),$D474,#N/A)</f>
        <v>#N/A</v>
      </c>
      <c r="K474" s="10">
        <f t="shared" ca="1" si="15"/>
        <v>0</v>
      </c>
      <c r="L474" s="2"/>
      <c r="M474" s="85">
        <f ca="1">OFFSET(INDIRECT(ADDRESS($A474,3,3,1,"Gross")),0,Menus!$J$4)</f>
        <v>0</v>
      </c>
      <c r="N474" s="85">
        <f ca="1">OFFSET(INDIRECT(ADDRESS($A474,3,3,1,"Gross")),0,Menus!$J$3)</f>
        <v>0</v>
      </c>
    </row>
    <row r="475" spans="1:14" x14ac:dyDescent="0.25">
      <c r="A475">
        <v>127</v>
      </c>
      <c r="B475" s="2">
        <f ca="1">OFFSET(INDIRECT(ADDRESS($A475,3,3,1,Menus!$K$10)),0,Menus!$J$4)</f>
        <v>0</v>
      </c>
      <c r="C475" s="2">
        <f ca="1">OFFSET(INDIRECT(ADDRESS($A475,3,3,1,Menus!$K$10)),0,Menus!$J$3)</f>
        <v>0</v>
      </c>
      <c r="D475" s="73" t="e">
        <f ca="1">IF(Menus!$J$9,C475/B475,C475)</f>
        <v>#DIV/0!</v>
      </c>
      <c r="E475" s="74" t="e">
        <f t="shared" ca="1" si="16"/>
        <v>#N/A</v>
      </c>
      <c r="F475" s="75">
        <f ca="1">INDIRECT(ADDRESS($A475,1,3,1,Menus!$K$10))</f>
        <v>0</v>
      </c>
      <c r="G475" s="2" t="e">
        <f ca="1">IF(INDIRECT(ADDRESS($A475,2,3,1,Menus!$K$10))=G$1,$D475,#N/A)</f>
        <v>#N/A</v>
      </c>
      <c r="H475" s="2" t="e">
        <f ca="1">IF(INDIRECT(ADDRESS($A475,2,3,1,Menus!$K$10))=H$1,$D475,#N/A)</f>
        <v>#N/A</v>
      </c>
      <c r="I475" s="2" t="e">
        <f ca="1">IF(INDIRECT(ADDRESS($A475,2,3,1,Menus!$K$10))=I$1,$D475,#N/A)</f>
        <v>#N/A</v>
      </c>
      <c r="J475" s="2" t="e">
        <f ca="1">IF(INDIRECT(ADDRESS($A475,1,3,1,Menus!$K$10))=T(J$1),$D475,#N/A)</f>
        <v>#N/A</v>
      </c>
      <c r="K475" s="10">
        <f t="shared" ca="1" si="15"/>
        <v>0</v>
      </c>
      <c r="L475" s="2"/>
      <c r="M475" s="85">
        <f ca="1">OFFSET(INDIRECT(ADDRESS($A475,3,3,1,"Gross")),0,Menus!$J$4)</f>
        <v>0</v>
      </c>
      <c r="N475" s="85">
        <f ca="1">OFFSET(INDIRECT(ADDRESS($A475,3,3,1,"Gross")),0,Menus!$J$3)</f>
        <v>0</v>
      </c>
    </row>
    <row r="476" spans="1:14" x14ac:dyDescent="0.25">
      <c r="A476">
        <v>98</v>
      </c>
      <c r="B476" s="2">
        <f ca="1">OFFSET(INDIRECT(ADDRESS($A476,3,3,1,Menus!$K$10)),0,Menus!$J$4)</f>
        <v>0</v>
      </c>
      <c r="C476" s="2">
        <f ca="1">OFFSET(INDIRECT(ADDRESS($A476,3,3,1,Menus!$K$10)),0,Menus!$J$3)</f>
        <v>0</v>
      </c>
      <c r="D476" s="73" t="e">
        <f ca="1">IF(Menus!$J$9,C476/B476,C476)</f>
        <v>#DIV/0!</v>
      </c>
      <c r="E476" s="74" t="e">
        <f t="shared" ca="1" si="16"/>
        <v>#N/A</v>
      </c>
      <c r="F476" s="75">
        <f ca="1">INDIRECT(ADDRESS($A476,1,3,1,Menus!$K$10))</f>
        <v>0</v>
      </c>
      <c r="G476" s="2" t="e">
        <f ca="1">IF(INDIRECT(ADDRESS($A476,2,3,1,Menus!$K$10))=G$1,$D476,#N/A)</f>
        <v>#N/A</v>
      </c>
      <c r="H476" s="2" t="e">
        <f ca="1">IF(INDIRECT(ADDRESS($A476,2,3,1,Menus!$K$10))=H$1,$D476,#N/A)</f>
        <v>#N/A</v>
      </c>
      <c r="I476" s="2" t="e">
        <f ca="1">IF(INDIRECT(ADDRESS($A476,2,3,1,Menus!$K$10))=I$1,$D476,#N/A)</f>
        <v>#N/A</v>
      </c>
      <c r="J476" s="2" t="e">
        <f ca="1">IF(INDIRECT(ADDRESS($A476,1,3,1,Menus!$K$10))=T(J$1),$D476,#N/A)</f>
        <v>#N/A</v>
      </c>
      <c r="K476" s="10">
        <f t="shared" ca="1" si="15"/>
        <v>0</v>
      </c>
      <c r="L476" s="2"/>
      <c r="M476" s="85">
        <f ca="1">OFFSET(INDIRECT(ADDRESS($A476,3,3,1,"Gross")),0,Menus!$J$4)</f>
        <v>0</v>
      </c>
      <c r="N476" s="85">
        <f ca="1">OFFSET(INDIRECT(ADDRESS($A476,3,3,1,"Gross")),0,Menus!$J$3)</f>
        <v>0</v>
      </c>
    </row>
    <row r="477" spans="1:14" x14ac:dyDescent="0.25">
      <c r="A477">
        <v>118</v>
      </c>
      <c r="B477" s="2">
        <f ca="1">OFFSET(INDIRECT(ADDRESS($A477,3,3,1,Menus!$K$10)),0,Menus!$J$4)</f>
        <v>0</v>
      </c>
      <c r="C477" s="2">
        <f ca="1">OFFSET(INDIRECT(ADDRESS($A477,3,3,1,Menus!$K$10)),0,Menus!$J$3)</f>
        <v>0</v>
      </c>
      <c r="D477" s="73" t="e">
        <f ca="1">IF(Menus!$J$9,C477/B477,C477)</f>
        <v>#DIV/0!</v>
      </c>
      <c r="E477" s="74" t="e">
        <f t="shared" ca="1" si="16"/>
        <v>#N/A</v>
      </c>
      <c r="F477" s="75">
        <f ca="1">INDIRECT(ADDRESS($A477,1,3,1,Menus!$K$10))</f>
        <v>0</v>
      </c>
      <c r="G477" s="2" t="e">
        <f ca="1">IF(INDIRECT(ADDRESS($A477,2,3,1,Menus!$K$10))=G$1,$D477,#N/A)</f>
        <v>#N/A</v>
      </c>
      <c r="H477" s="2" t="e">
        <f ca="1">IF(INDIRECT(ADDRESS($A477,2,3,1,Menus!$K$10))=H$1,$D477,#N/A)</f>
        <v>#N/A</v>
      </c>
      <c r="I477" s="2" t="e">
        <f ca="1">IF(INDIRECT(ADDRESS($A477,2,3,1,Menus!$K$10))=I$1,$D477,#N/A)</f>
        <v>#N/A</v>
      </c>
      <c r="J477" s="2" t="e">
        <f ca="1">IF(INDIRECT(ADDRESS($A477,1,3,1,Menus!$K$10))=T(J$1),$D477,#N/A)</f>
        <v>#N/A</v>
      </c>
      <c r="K477" s="10">
        <f t="shared" ca="1" si="15"/>
        <v>0</v>
      </c>
      <c r="L477" s="2"/>
      <c r="M477" s="85">
        <f ca="1">OFFSET(INDIRECT(ADDRESS($A477,3,3,1,"Gross")),0,Menus!$J$4)</f>
        <v>0</v>
      </c>
      <c r="N477" s="85">
        <f ca="1">OFFSET(INDIRECT(ADDRESS($A477,3,3,1,"Gross")),0,Menus!$J$3)</f>
        <v>0</v>
      </c>
    </row>
    <row r="478" spans="1:14" x14ac:dyDescent="0.25">
      <c r="A478">
        <v>35</v>
      </c>
      <c r="B478" s="2">
        <f ca="1">OFFSET(INDIRECT(ADDRESS($A478,3,3,1,Menus!$K$10)),0,Menus!$J$4)</f>
        <v>3355</v>
      </c>
      <c r="C478" s="2">
        <f ca="1">OFFSET(INDIRECT(ADDRESS($A478,3,3,1,Menus!$K$10)),0,Menus!$J$3)</f>
        <v>167752600</v>
      </c>
      <c r="D478" s="73">
        <f ca="1">IF(Menus!$J$9,C478/B478,C478)</f>
        <v>50000.774962742173</v>
      </c>
      <c r="E478" s="74" t="e">
        <f t="shared" ca="1" si="16"/>
        <v>#N/A</v>
      </c>
      <c r="F478" s="75" t="str">
        <f ca="1">INDIRECT(ADDRESS($A478,1,3,1,Menus!$K$10))</f>
        <v>Australia</v>
      </c>
      <c r="G478" s="2" t="e">
        <f ca="1">IF(INDIRECT(ADDRESS($A478,2,3,1,Menus!$K$10))=G$1,$D478,#N/A)</f>
        <v>#N/A</v>
      </c>
      <c r="H478" s="2" t="e">
        <f ca="1">IF(INDIRECT(ADDRESS($A478,2,3,1,Menus!$K$10))=H$1,$D478,#N/A)</f>
        <v>#N/A</v>
      </c>
      <c r="I478" s="2" t="e">
        <f ca="1">IF(INDIRECT(ADDRESS($A478,2,3,1,Menus!$K$10))=I$1,$D478,#N/A)</f>
        <v>#N/A</v>
      </c>
      <c r="J478" s="2" t="e">
        <f ca="1">IF(INDIRECT(ADDRESS($A478,1,3,1,Menus!$K$10))=T(J$1),$D478,#N/A)</f>
        <v>#N/A</v>
      </c>
      <c r="K478" s="10">
        <f t="shared" ca="1" si="15"/>
        <v>0</v>
      </c>
      <c r="L478" s="2"/>
      <c r="M478" s="85">
        <f ca="1">OFFSET(INDIRECT(ADDRESS($A478,3,3,1,"Gross")),0,Menus!$J$4)</f>
        <v>2</v>
      </c>
      <c r="N478" s="85">
        <f ca="1">OFFSET(INDIRECT(ADDRESS($A478,3,3,1,"Gross")),0,Menus!$J$3)</f>
        <v>2</v>
      </c>
    </row>
    <row r="479" spans="1:14" x14ac:dyDescent="0.25">
      <c r="A479">
        <v>38</v>
      </c>
      <c r="B479" s="2">
        <f ca="1">OFFSET(INDIRECT(ADDRESS($A479,3,3,1,Menus!$K$10)),0,Menus!$J$4)</f>
        <v>13349</v>
      </c>
      <c r="C479" s="2">
        <f ca="1">OFFSET(INDIRECT(ADDRESS($A479,3,3,1,Menus!$K$10)),0,Menus!$J$3)</f>
        <v>402701509</v>
      </c>
      <c r="D479" s="73">
        <f ca="1">IF(Menus!$J$9,C479/B479,C479)</f>
        <v>30167.166754063976</v>
      </c>
      <c r="E479" s="74" t="e">
        <f t="shared" ca="1" si="16"/>
        <v>#N/A</v>
      </c>
      <c r="F479" s="75" t="str">
        <f ca="1">INDIRECT(ADDRESS($A479,1,3,1,Menus!$K$10))</f>
        <v>Canada</v>
      </c>
      <c r="G479" s="2" t="e">
        <f ca="1">IF(INDIRECT(ADDRESS($A479,2,3,1,Menus!$K$10))=G$1,$D479,#N/A)</f>
        <v>#N/A</v>
      </c>
      <c r="H479" s="2" t="e">
        <f ca="1">IF(INDIRECT(ADDRESS($A479,2,3,1,Menus!$K$10))=H$1,$D479,#N/A)</f>
        <v>#N/A</v>
      </c>
      <c r="I479" s="2" t="e">
        <f ca="1">IF(INDIRECT(ADDRESS($A479,2,3,1,Menus!$K$10))=I$1,$D479,#N/A)</f>
        <v>#N/A</v>
      </c>
      <c r="J479" s="2" t="e">
        <f ca="1">IF(INDIRECT(ADDRESS($A479,1,3,1,Menus!$K$10))=T(J$1),$D479,#N/A)</f>
        <v>#N/A</v>
      </c>
      <c r="K479" s="10">
        <f t="shared" ca="1" si="15"/>
        <v>0</v>
      </c>
      <c r="L479" s="2"/>
      <c r="M479" s="85">
        <f ca="1">OFFSET(INDIRECT(ADDRESS($A479,3,3,1,"Gross")),0,Menus!$J$4)</f>
        <v>1</v>
      </c>
      <c r="N479" s="85">
        <f ca="1">OFFSET(INDIRECT(ADDRESS($A479,3,3,1,"Gross")),0,Menus!$J$3)</f>
        <v>1</v>
      </c>
    </row>
    <row r="480" spans="1:14" x14ac:dyDescent="0.25">
      <c r="A480">
        <v>43</v>
      </c>
      <c r="B480" s="2">
        <f ca="1">OFFSET(INDIRECT(ADDRESS($A480,3,3,1,Menus!$K$10)),0,Menus!$J$4)</f>
        <v>2452</v>
      </c>
      <c r="C480" s="2">
        <f ca="1">OFFSET(INDIRECT(ADDRESS($A480,3,3,1,Menus!$K$10)),0,Menus!$J$3)</f>
        <v>70333312</v>
      </c>
      <c r="D480" s="73">
        <f ca="1">IF(Menus!$J$9,C480/B480,C480)</f>
        <v>28684.058727569332</v>
      </c>
      <c r="E480" s="74" t="e">
        <f t="shared" ca="1" si="16"/>
        <v>#N/A</v>
      </c>
      <c r="F480" s="75" t="str">
        <f ca="1">INDIRECT(ADDRESS($A480,1,3,1,Menus!$K$10))</f>
        <v>EFTA - Total</v>
      </c>
      <c r="G480" s="2" t="e">
        <f ca="1">IF(INDIRECT(ADDRESS($A480,2,3,1,Menus!$K$10))=G$1,$D480,#N/A)</f>
        <v>#N/A</v>
      </c>
      <c r="H480" s="2" t="e">
        <f ca="1">IF(INDIRECT(ADDRESS($A480,2,3,1,Menus!$K$10))=H$1,$D480,#N/A)</f>
        <v>#N/A</v>
      </c>
      <c r="I480" s="2" t="e">
        <f ca="1">IF(INDIRECT(ADDRESS($A480,2,3,1,Menus!$K$10))=I$1,$D480,#N/A)</f>
        <v>#N/A</v>
      </c>
      <c r="J480" s="2" t="e">
        <f ca="1">IF(INDIRECT(ADDRESS($A480,1,3,1,Menus!$K$10))=T(J$1),$D480,#N/A)</f>
        <v>#N/A</v>
      </c>
      <c r="K480" s="10">
        <f t="shared" ca="1" si="15"/>
        <v>0</v>
      </c>
      <c r="L480" s="2"/>
      <c r="M480" s="85">
        <f ca="1">OFFSET(INDIRECT(ADDRESS($A480,3,3,1,"Gross")),0,Menus!$J$4)</f>
        <v>0</v>
      </c>
      <c r="N480" s="85">
        <f ca="1">OFFSET(INDIRECT(ADDRESS($A480,3,3,1,"Gross")),0,Menus!$J$3)</f>
        <v>0</v>
      </c>
    </row>
    <row r="481" spans="1:14" x14ac:dyDescent="0.25">
      <c r="A481">
        <v>42</v>
      </c>
      <c r="B481" s="2">
        <f ca="1">OFFSET(INDIRECT(ADDRESS($A481,3,3,1,Menus!$K$10)),0,Menus!$J$4)</f>
        <v>47560</v>
      </c>
      <c r="C481" s="2">
        <f ca="1">OFFSET(INDIRECT(ADDRESS($A481,3,3,1,Menus!$K$10)),0,Menus!$J$3)</f>
        <v>1354514691</v>
      </c>
      <c r="D481" s="73">
        <f ca="1">IF(Menus!$J$9,C481/B481,C481)</f>
        <v>28480.123864592093</v>
      </c>
      <c r="E481" s="74" t="e">
        <f t="shared" ca="1" si="16"/>
        <v>#N/A</v>
      </c>
      <c r="F481" s="75" t="str">
        <f ca="1">INDIRECT(ADDRESS($A481,1,3,1,Menus!$K$10))</f>
        <v>EU - Total</v>
      </c>
      <c r="G481" s="2" t="e">
        <f ca="1">IF(INDIRECT(ADDRESS($A481,2,3,1,Menus!$K$10))=G$1,$D481,#N/A)</f>
        <v>#N/A</v>
      </c>
      <c r="H481" s="2" t="e">
        <f ca="1">IF(INDIRECT(ADDRESS($A481,2,3,1,Menus!$K$10))=H$1,$D481,#N/A)</f>
        <v>#N/A</v>
      </c>
      <c r="I481" s="2" t="e">
        <f ca="1">IF(INDIRECT(ADDRESS($A481,2,3,1,Menus!$K$10))=I$1,$D481,#N/A)</f>
        <v>#N/A</v>
      </c>
      <c r="J481" s="2" t="e">
        <f ca="1">IF(INDIRECT(ADDRESS($A481,1,3,1,Menus!$K$10))=T(J$1),$D481,#N/A)</f>
        <v>#N/A</v>
      </c>
      <c r="K481" s="10">
        <f t="shared" ca="1" si="15"/>
        <v>0</v>
      </c>
      <c r="L481" s="2"/>
      <c r="M481" s="85">
        <f ca="1">OFFSET(INDIRECT(ADDRESS($A481,3,3,1,"Gross")),0,Menus!$J$4)</f>
        <v>0</v>
      </c>
      <c r="N481" s="85">
        <f ca="1">OFFSET(INDIRECT(ADDRESS($A481,3,3,1,"Gross")),0,Menus!$J$3)</f>
        <v>0</v>
      </c>
    </row>
    <row r="482" spans="1:14" x14ac:dyDescent="0.25">
      <c r="A482">
        <v>39</v>
      </c>
      <c r="B482" s="2">
        <f ca="1">OFFSET(INDIRECT(ADDRESS($A482,3,3,1,Menus!$K$10)),0,Menus!$J$4)</f>
        <v>991</v>
      </c>
      <c r="C482" s="2">
        <f ca="1">OFFSET(INDIRECT(ADDRESS($A482,3,3,1,Menus!$K$10)),0,Menus!$J$3)</f>
        <v>26738387</v>
      </c>
      <c r="D482" s="73">
        <f ca="1">IF(Menus!$J$9,C482/B482,C482)</f>
        <v>26981.217961654893</v>
      </c>
      <c r="E482" s="74" t="e">
        <f t="shared" ca="1" si="16"/>
        <v>#N/A</v>
      </c>
      <c r="F482" s="75" t="str">
        <f ca="1">INDIRECT(ADDRESS($A482,1,3,1,Menus!$K$10))</f>
        <v>New Zealand</v>
      </c>
      <c r="G482" s="2" t="e">
        <f ca="1">IF(INDIRECT(ADDRESS($A482,2,3,1,Menus!$K$10))=G$1,$D482,#N/A)</f>
        <v>#N/A</v>
      </c>
      <c r="H482" s="2" t="e">
        <f ca="1">IF(INDIRECT(ADDRESS($A482,2,3,1,Menus!$K$10))=H$1,$D482,#N/A)</f>
        <v>#N/A</v>
      </c>
      <c r="I482" s="2" t="e">
        <f ca="1">IF(INDIRECT(ADDRESS($A482,2,3,1,Menus!$K$10))=I$1,$D482,#N/A)</f>
        <v>#N/A</v>
      </c>
      <c r="J482" s="2" t="e">
        <f ca="1">IF(INDIRECT(ADDRESS($A482,1,3,1,Menus!$K$10))=T(J$1),$D482,#N/A)</f>
        <v>#N/A</v>
      </c>
      <c r="K482" s="10">
        <f t="shared" ca="1" si="15"/>
        <v>0</v>
      </c>
      <c r="L482" s="2"/>
      <c r="M482" s="85">
        <f ca="1">OFFSET(INDIRECT(ADDRESS($A482,3,3,1,"Gross")),0,Menus!$J$4)</f>
        <v>2</v>
      </c>
      <c r="N482" s="85">
        <f ca="1">OFFSET(INDIRECT(ADDRESS($A482,3,3,1,"Gross")),0,Menus!$J$3)</f>
        <v>2</v>
      </c>
    </row>
    <row r="483" spans="1:14" x14ac:dyDescent="0.25">
      <c r="A483">
        <v>33</v>
      </c>
      <c r="B483" s="2">
        <f ca="1">OFFSET(INDIRECT(ADDRESS($A483,3,3,1,Menus!$K$10)),0,Menus!$J$4)</f>
        <v>96709</v>
      </c>
      <c r="C483" s="2">
        <f ca="1">OFFSET(INDIRECT(ADDRESS($A483,3,3,1,Menus!$K$10)),0,Menus!$J$3)</f>
        <v>2534637034</v>
      </c>
      <c r="D483" s="73">
        <f ca="1">IF(Menus!$J$9,C483/B483,C483)</f>
        <v>26208.905417282775</v>
      </c>
      <c r="E483" s="74" t="e">
        <f t="shared" ref="E483:E501" ca="1" si="17">IF($K483=1,VALUE(B483),#N/A)</f>
        <v>#N/A</v>
      </c>
      <c r="F483" s="75" t="str">
        <f ca="1">INDIRECT(ADDRESS($A483,1,3,1,Menus!$K$10))</f>
        <v>USA</v>
      </c>
      <c r="G483" s="2" t="e">
        <f ca="1">IF(INDIRECT(ADDRESS($A483,2,3,1,Menus!$K$10))=G$1,$D483,#N/A)</f>
        <v>#N/A</v>
      </c>
      <c r="H483" s="2" t="e">
        <f ca="1">IF(INDIRECT(ADDRESS($A483,2,3,1,Menus!$K$10))=H$1,$D483,#N/A)</f>
        <v>#N/A</v>
      </c>
      <c r="I483" s="2" t="e">
        <f ca="1">IF(INDIRECT(ADDRESS($A483,2,3,1,Menus!$K$10))=I$1,$D483,#N/A)</f>
        <v>#N/A</v>
      </c>
      <c r="J483" s="2" t="e">
        <f ca="1">IF(INDIRECT(ADDRESS($A483,1,3,1,Menus!$K$10))=T(J$1),$D483,#N/A)</f>
        <v>#N/A</v>
      </c>
      <c r="K483" s="10">
        <f t="shared" ca="1" si="15"/>
        <v>0</v>
      </c>
      <c r="L483" s="2"/>
      <c r="M483" s="85">
        <f ca="1">OFFSET(INDIRECT(ADDRESS($A483,3,3,1,"Gross")),0,Menus!$J$4)</f>
        <v>1</v>
      </c>
      <c r="N483" s="85">
        <f ca="1">OFFSET(INDIRECT(ADDRESS($A483,3,3,1,"Gross")),0,Menus!$J$3)</f>
        <v>1</v>
      </c>
    </row>
    <row r="484" spans="1:14" x14ac:dyDescent="0.25">
      <c r="A484">
        <v>44</v>
      </c>
      <c r="B484" s="2">
        <f ca="1">OFFSET(INDIRECT(ADDRESS($A484,3,3,1,Menus!$K$10)),0,Menus!$J$4)</f>
        <v>138257</v>
      </c>
      <c r="C484" s="2">
        <f ca="1">OFFSET(INDIRECT(ADDRESS($A484,3,3,1,Menus!$K$10)),0,Menus!$J$3)</f>
        <v>3544120087</v>
      </c>
      <c r="D484" s="73">
        <f ca="1">IF(Menus!$J$9,C484/B484,C484)</f>
        <v>25634.290393976436</v>
      </c>
      <c r="E484" s="74" t="e">
        <f t="shared" ca="1" si="17"/>
        <v>#N/A</v>
      </c>
      <c r="F484" s="75" t="str">
        <f ca="1">INDIRECT(ADDRESS($A484,1,3,1,Menus!$K$10))</f>
        <v>World A - Total</v>
      </c>
      <c r="G484" s="2" t="e">
        <f ca="1">IF(INDIRECT(ADDRESS($A484,2,3,1,Menus!$K$10))=G$1,$D484,#N/A)</f>
        <v>#N/A</v>
      </c>
      <c r="H484" s="2" t="e">
        <f ca="1">IF(INDIRECT(ADDRESS($A484,2,3,1,Menus!$K$10))=H$1,$D484,#N/A)</f>
        <v>#N/A</v>
      </c>
      <c r="I484" s="2" t="e">
        <f ca="1">IF(INDIRECT(ADDRESS($A484,2,3,1,Menus!$K$10))=I$1,$D484,#N/A)</f>
        <v>#N/A</v>
      </c>
      <c r="J484" s="2" t="e">
        <f ca="1">IF(INDIRECT(ADDRESS($A484,1,3,1,Menus!$K$10))=T(J$1),$D484,#N/A)</f>
        <v>#N/A</v>
      </c>
      <c r="K484" s="10">
        <f t="shared" ca="1" si="15"/>
        <v>0</v>
      </c>
      <c r="L484" s="2"/>
      <c r="M484" s="85">
        <f ca="1">OFFSET(INDIRECT(ADDRESS($A484,3,3,1,"Gross")),0,Menus!$J$4)</f>
        <v>0</v>
      </c>
      <c r="N484" s="85">
        <f ca="1">OFFSET(INDIRECT(ADDRESS($A484,3,3,1,"Gross")),0,Menus!$J$3)</f>
        <v>0</v>
      </c>
    </row>
    <row r="485" spans="1:14" x14ac:dyDescent="0.25">
      <c r="A485">
        <v>37</v>
      </c>
      <c r="B485" s="2">
        <f ca="1">OFFSET(INDIRECT(ADDRESS($A485,3,3,1,Menus!$K$10)),0,Menus!$J$4)</f>
        <v>9443</v>
      </c>
      <c r="C485" s="2">
        <f ca="1">OFFSET(INDIRECT(ADDRESS($A485,3,3,1,Menus!$K$10)),0,Menus!$J$3)</f>
        <v>195146717</v>
      </c>
      <c r="D485" s="73">
        <f ca="1">IF(Menus!$J$9,C485/B485,C485)</f>
        <v>20665.75420946733</v>
      </c>
      <c r="E485" s="74" t="e">
        <f t="shared" ca="1" si="17"/>
        <v>#N/A</v>
      </c>
      <c r="F485" s="75" t="str">
        <f ca="1">INDIRECT(ADDRESS($A485,1,3,1,Menus!$K$10))</f>
        <v>Korea</v>
      </c>
      <c r="G485" s="2" t="e">
        <f ca="1">IF(INDIRECT(ADDRESS($A485,2,3,1,Menus!$K$10))=G$1,$D485,#N/A)</f>
        <v>#N/A</v>
      </c>
      <c r="H485" s="2" t="e">
        <f ca="1">IF(INDIRECT(ADDRESS($A485,2,3,1,Menus!$K$10))=H$1,$D485,#N/A)</f>
        <v>#N/A</v>
      </c>
      <c r="I485" s="2" t="e">
        <f ca="1">IF(INDIRECT(ADDRESS($A485,2,3,1,Menus!$K$10))=I$1,$D485,#N/A)</f>
        <v>#N/A</v>
      </c>
      <c r="J485" s="2" t="e">
        <f ca="1">IF(INDIRECT(ADDRESS($A485,1,3,1,Menus!$K$10))=T(J$1),$D485,#N/A)</f>
        <v>#N/A</v>
      </c>
      <c r="K485" s="10">
        <f t="shared" ca="1" si="15"/>
        <v>0</v>
      </c>
      <c r="L485" s="2"/>
      <c r="M485" s="85">
        <f ca="1">OFFSET(INDIRECT(ADDRESS($A485,3,3,1,"Gross")),0,Menus!$J$4)</f>
        <v>2</v>
      </c>
      <c r="N485" s="85">
        <f ca="1">OFFSET(INDIRECT(ADDRESS($A485,3,3,1,"Gross")),0,Menus!$J$3)</f>
        <v>2</v>
      </c>
    </row>
    <row r="486" spans="1:14" x14ac:dyDescent="0.25">
      <c r="A486">
        <v>36</v>
      </c>
      <c r="B486" s="2">
        <f ca="1">OFFSET(INDIRECT(ADDRESS($A486,3,3,1,Menus!$K$10)),0,Menus!$J$4)</f>
        <v>14410</v>
      </c>
      <c r="C486" s="2">
        <f ca="1">OFFSET(INDIRECT(ADDRESS($A486,3,3,1,Menus!$K$10)),0,Menus!$J$3)</f>
        <v>217143840</v>
      </c>
      <c r="D486" s="73">
        <f ca="1">IF(Menus!$J$9,C486/B486,C486)</f>
        <v>15068.968771686328</v>
      </c>
      <c r="E486" s="74" t="e">
        <f t="shared" ca="1" si="17"/>
        <v>#N/A</v>
      </c>
      <c r="F486" s="75" t="str">
        <f ca="1">INDIRECT(ADDRESS($A486,1,3,1,Menus!$K$10))</f>
        <v>Japan</v>
      </c>
      <c r="G486" s="2" t="e">
        <f ca="1">IF(INDIRECT(ADDRESS($A486,2,3,1,Menus!$K$10))=G$1,$D486,#N/A)</f>
        <v>#N/A</v>
      </c>
      <c r="H486" s="2" t="e">
        <f ca="1">IF(INDIRECT(ADDRESS($A486,2,3,1,Menus!$K$10))=H$1,$D486,#N/A)</f>
        <v>#N/A</v>
      </c>
      <c r="I486" s="2" t="e">
        <f ca="1">IF(INDIRECT(ADDRESS($A486,2,3,1,Menus!$K$10))=I$1,$D486,#N/A)</f>
        <v>#N/A</v>
      </c>
      <c r="J486" s="2" t="e">
        <f ca="1">IF(INDIRECT(ADDRESS($A486,1,3,1,Menus!$K$10))=T(J$1),$D486,#N/A)</f>
        <v>#N/A</v>
      </c>
      <c r="K486" s="10">
        <f t="shared" ca="1" si="15"/>
        <v>0</v>
      </c>
      <c r="L486" s="2"/>
      <c r="M486" s="85">
        <f ca="1">OFFSET(INDIRECT(ADDRESS($A486,3,3,1,"Gross")),0,Menus!$J$4)</f>
        <v>0</v>
      </c>
      <c r="N486" s="85">
        <f ca="1">OFFSET(INDIRECT(ADDRESS($A486,3,3,1,"Gross")),0,Menus!$J$3)</f>
        <v>1</v>
      </c>
    </row>
    <row r="487" spans="1:14" x14ac:dyDescent="0.25">
      <c r="A487">
        <v>4</v>
      </c>
      <c r="B487" s="2">
        <f ca="1">OFFSET(INDIRECT(ADDRESS($A487,3,3,1,Menus!$K$10)),0,Menus!$J$4)</f>
        <v>578</v>
      </c>
      <c r="C487" s="2">
        <f ca="1">OFFSET(INDIRECT(ADDRESS($A487,3,3,1,Menus!$K$10)),0,Menus!$J$3)</f>
        <v>2398155</v>
      </c>
      <c r="D487" s="73">
        <f ca="1">IF(Menus!$J$9,C487/B487,C487)</f>
        <v>4149.0570934256057</v>
      </c>
      <c r="E487" s="74" t="e">
        <f t="shared" ca="1" si="17"/>
        <v>#N/A</v>
      </c>
      <c r="F487" s="75" t="str">
        <f ca="1">INDIRECT(ADDRESS($A487,1,3,1,Menus!$K$10))</f>
        <v>Estonia</v>
      </c>
      <c r="G487" s="2" t="e">
        <f ca="1">IF(INDIRECT(ADDRESS($A487,2,3,1,Menus!$K$10))=G$1,$D487,#N/A)</f>
        <v>#N/A</v>
      </c>
      <c r="H487" s="2" t="e">
        <f ca="1">IF(INDIRECT(ADDRESS($A487,2,3,1,Menus!$K$10))=H$1,$D487,#N/A)</f>
        <v>#N/A</v>
      </c>
      <c r="I487" s="2" t="e">
        <f ca="1">IF(INDIRECT(ADDRESS($A487,2,3,1,Menus!$K$10))=I$1,$D487,#N/A)</f>
        <v>#N/A</v>
      </c>
      <c r="J487" s="2" t="e">
        <f ca="1">IF(INDIRECT(ADDRESS($A487,1,3,1,Menus!$K$10))=T(J$1),$D487,#N/A)</f>
        <v>#N/A</v>
      </c>
      <c r="K487" s="10">
        <f t="shared" ca="1" si="15"/>
        <v>0</v>
      </c>
      <c r="L487" s="2"/>
      <c r="M487" s="85">
        <f ca="1">OFFSET(INDIRECT(ADDRESS($A487,3,3,1,"Gross")),0,Menus!$J$4)</f>
        <v>0</v>
      </c>
      <c r="N487" s="85">
        <f ca="1">OFFSET(INDIRECT(ADDRESS($A487,3,3,1,"Gross")),0,Menus!$J$3)</f>
        <v>0</v>
      </c>
    </row>
    <row r="488" spans="1:14" x14ac:dyDescent="0.25">
      <c r="A488">
        <v>3</v>
      </c>
      <c r="B488" s="2">
        <f ca="1">OFFSET(INDIRECT(ADDRESS($A488,3,3,1,Menus!$K$10)),0,Menus!$J$4)</f>
        <v>767</v>
      </c>
      <c r="C488" s="2">
        <f ca="1">OFFSET(INDIRECT(ADDRESS($A488,3,3,1,Menus!$K$10)),0,Menus!$J$3)</f>
        <v>2673385</v>
      </c>
      <c r="D488" s="73">
        <f ca="1">IF(Menus!$J$9,C488/B488,C488)</f>
        <v>3485.5084745762711</v>
      </c>
      <c r="E488" s="74" t="e">
        <f t="shared" ca="1" si="17"/>
        <v>#N/A</v>
      </c>
      <c r="F488" s="75" t="str">
        <f ca="1">INDIRECT(ADDRESS($A488,1,3,1,Menus!$K$10))</f>
        <v>Czech Republic</v>
      </c>
      <c r="G488" s="2" t="e">
        <f ca="1">IF(INDIRECT(ADDRESS($A488,2,3,1,Menus!$K$10))=G$1,$D488,#N/A)</f>
        <v>#N/A</v>
      </c>
      <c r="H488" s="2" t="e">
        <f ca="1">IF(INDIRECT(ADDRESS($A488,2,3,1,Menus!$K$10))=H$1,$D488,#N/A)</f>
        <v>#N/A</v>
      </c>
      <c r="I488" s="2" t="e">
        <f ca="1">IF(INDIRECT(ADDRESS($A488,2,3,1,Menus!$K$10))=I$1,$D488,#N/A)</f>
        <v>#N/A</v>
      </c>
      <c r="J488" s="2" t="e">
        <f ca="1">IF(INDIRECT(ADDRESS($A488,1,3,1,Menus!$K$10))=T(J$1),$D488,#N/A)</f>
        <v>#N/A</v>
      </c>
      <c r="K488" s="10">
        <f t="shared" ca="1" si="15"/>
        <v>0</v>
      </c>
      <c r="L488" s="2"/>
      <c r="M488" s="85">
        <f ca="1">OFFSET(INDIRECT(ADDRESS($A488,3,3,1,"Gross")),0,Menus!$J$4)</f>
        <v>0</v>
      </c>
      <c r="N488" s="85">
        <f ca="1">OFFSET(INDIRECT(ADDRESS($A488,3,3,1,"Gross")),0,Menus!$J$3)</f>
        <v>2</v>
      </c>
    </row>
    <row r="489" spans="1:14" x14ac:dyDescent="0.25">
      <c r="A489">
        <v>5</v>
      </c>
      <c r="B489" s="2">
        <f ca="1">OFFSET(INDIRECT(ADDRESS($A489,3,3,1,Menus!$K$10)),0,Menus!$J$4)</f>
        <v>1401</v>
      </c>
      <c r="C489" s="2">
        <f ca="1">OFFSET(INDIRECT(ADDRESS($A489,3,3,1,Menus!$K$10)),0,Menus!$J$3)</f>
        <v>4490076</v>
      </c>
      <c r="D489" s="73">
        <f ca="1">IF(Menus!$J$9,C489/B489,C489)</f>
        <v>3204.9079229122058</v>
      </c>
      <c r="E489" s="74" t="e">
        <f t="shared" ca="1" si="17"/>
        <v>#N/A</v>
      </c>
      <c r="F489" s="75" t="str">
        <f ca="1">INDIRECT(ADDRESS($A489,1,3,1,Menus!$K$10))</f>
        <v>Hungary</v>
      </c>
      <c r="G489" s="2" t="e">
        <f ca="1">IF(INDIRECT(ADDRESS($A489,2,3,1,Menus!$K$10))=G$1,$D489,#N/A)</f>
        <v>#N/A</v>
      </c>
      <c r="H489" s="2" t="e">
        <f ca="1">IF(INDIRECT(ADDRESS($A489,2,3,1,Menus!$K$10))=H$1,$D489,#N/A)</f>
        <v>#N/A</v>
      </c>
      <c r="I489" s="2" t="e">
        <f ca="1">IF(INDIRECT(ADDRESS($A489,2,3,1,Menus!$K$10))=I$1,$D489,#N/A)</f>
        <v>#N/A</v>
      </c>
      <c r="J489" s="2" t="e">
        <f ca="1">IF(INDIRECT(ADDRESS($A489,1,3,1,Menus!$K$10))=T(J$1),$D489,#N/A)</f>
        <v>#N/A</v>
      </c>
      <c r="K489" s="10">
        <f t="shared" ca="1" si="15"/>
        <v>0</v>
      </c>
      <c r="L489" s="2"/>
      <c r="M489" s="85">
        <f ca="1">OFFSET(INDIRECT(ADDRESS($A489,3,3,1,"Gross")),0,Menus!$J$4)</f>
        <v>1</v>
      </c>
      <c r="N489" s="85">
        <f ca="1">OFFSET(INDIRECT(ADDRESS($A489,3,3,1,"Gross")),0,Menus!$J$3)</f>
        <v>1</v>
      </c>
    </row>
    <row r="490" spans="1:14" x14ac:dyDescent="0.25">
      <c r="A490">
        <v>11</v>
      </c>
      <c r="B490" s="2">
        <f ca="1">OFFSET(INDIRECT(ADDRESS($A490,3,3,1,Menus!$K$10)),0,Menus!$J$4)</f>
        <v>356</v>
      </c>
      <c r="C490" s="2">
        <f ca="1">OFFSET(INDIRECT(ADDRESS($A490,3,3,1,Menus!$K$10)),0,Menus!$J$3)</f>
        <v>1005555</v>
      </c>
      <c r="D490" s="73">
        <f ca="1">IF(Menus!$J$9,C490/B490,C490)</f>
        <v>2824.5926966292136</v>
      </c>
      <c r="E490" s="74" t="e">
        <f t="shared" ca="1" si="17"/>
        <v>#N/A</v>
      </c>
      <c r="F490" s="75" t="str">
        <f ca="1">INDIRECT(ADDRESS($A490,1,3,1,Menus!$K$10))</f>
        <v>Slovenia</v>
      </c>
      <c r="G490" s="2" t="e">
        <f ca="1">IF(INDIRECT(ADDRESS($A490,2,3,1,Menus!$K$10))=G$1,$D490,#N/A)</f>
        <v>#N/A</v>
      </c>
      <c r="H490" s="2" t="e">
        <f ca="1">IF(INDIRECT(ADDRESS($A490,2,3,1,Menus!$K$10))=H$1,$D490,#N/A)</f>
        <v>#N/A</v>
      </c>
      <c r="I490" s="2" t="e">
        <f ca="1">IF(INDIRECT(ADDRESS($A490,2,3,1,Menus!$K$10))=I$1,$D490,#N/A)</f>
        <v>#N/A</v>
      </c>
      <c r="J490" s="2" t="e">
        <f ca="1">IF(INDIRECT(ADDRESS($A490,1,3,1,Menus!$K$10))=T(J$1),$D490,#N/A)</f>
        <v>#N/A</v>
      </c>
      <c r="K490" s="10">
        <f t="shared" ca="1" si="15"/>
        <v>0</v>
      </c>
      <c r="L490" s="2"/>
      <c r="M490" s="85">
        <f ca="1">OFFSET(INDIRECT(ADDRESS($A490,3,3,1,"Gross")),0,Menus!$J$4)</f>
        <v>0</v>
      </c>
      <c r="N490" s="85">
        <f ca="1">OFFSET(INDIRECT(ADDRESS($A490,3,3,1,"Gross")),0,Menus!$J$3)</f>
        <v>1</v>
      </c>
    </row>
    <row r="491" spans="1:14" x14ac:dyDescent="0.25">
      <c r="A491">
        <v>6</v>
      </c>
      <c r="B491" s="2">
        <f ca="1">OFFSET(INDIRECT(ADDRESS($A491,3,3,1,Menus!$K$10)),0,Menus!$J$4)</f>
        <v>405</v>
      </c>
      <c r="C491" s="2">
        <f ca="1">OFFSET(INDIRECT(ADDRESS($A491,3,3,1,Menus!$K$10)),0,Menus!$J$3)</f>
        <v>1106524</v>
      </c>
      <c r="D491" s="73">
        <f ca="1">IF(Menus!$J$9,C491/B491,C491)</f>
        <v>2732.1580246913582</v>
      </c>
      <c r="E491" s="74" t="e">
        <f t="shared" ca="1" si="17"/>
        <v>#N/A</v>
      </c>
      <c r="F491" s="75" t="str">
        <f ca="1">INDIRECT(ADDRESS($A491,1,3,1,Menus!$K$10))</f>
        <v>Latvia</v>
      </c>
      <c r="G491" s="2" t="e">
        <f ca="1">IF(INDIRECT(ADDRESS($A491,2,3,1,Menus!$K$10))=G$1,$D491,#N/A)</f>
        <v>#N/A</v>
      </c>
      <c r="H491" s="2" t="e">
        <f ca="1">IF(INDIRECT(ADDRESS($A491,2,3,1,Menus!$K$10))=H$1,$D491,#N/A)</f>
        <v>#N/A</v>
      </c>
      <c r="I491" s="2" t="e">
        <f ca="1">IF(INDIRECT(ADDRESS($A491,2,3,1,Menus!$K$10))=I$1,$D491,#N/A)</f>
        <v>#N/A</v>
      </c>
      <c r="J491" s="2" t="e">
        <f ca="1">IF(INDIRECT(ADDRESS($A491,1,3,1,Menus!$K$10))=T(J$1),$D491,#N/A)</f>
        <v>#N/A</v>
      </c>
      <c r="K491" s="10">
        <f t="shared" ca="1" si="15"/>
        <v>0</v>
      </c>
      <c r="L491" s="2"/>
      <c r="M491" s="85">
        <f ca="1">OFFSET(INDIRECT(ADDRESS($A491,3,3,1,"Gross")),0,Menus!$J$4)</f>
        <v>0</v>
      </c>
      <c r="N491" s="85">
        <f ca="1">OFFSET(INDIRECT(ADDRESS($A491,3,3,1,"Gross")),0,Menus!$J$3)</f>
        <v>0</v>
      </c>
    </row>
    <row r="492" spans="1:14" x14ac:dyDescent="0.25">
      <c r="A492">
        <v>7</v>
      </c>
      <c r="B492" s="2">
        <f ca="1">OFFSET(INDIRECT(ADDRESS($A492,3,3,1,Menus!$K$10)),0,Menus!$J$4)</f>
        <v>686</v>
      </c>
      <c r="C492" s="2">
        <f ca="1">OFFSET(INDIRECT(ADDRESS($A492,3,3,1,Menus!$K$10)),0,Menus!$J$3)</f>
        <v>1856644</v>
      </c>
      <c r="D492" s="73">
        <f ca="1">IF(Menus!$J$9,C492/B492,C492)</f>
        <v>2706.4781341107873</v>
      </c>
      <c r="E492" s="74" t="e">
        <f t="shared" ca="1" si="17"/>
        <v>#N/A</v>
      </c>
      <c r="F492" s="75" t="str">
        <f ca="1">INDIRECT(ADDRESS($A492,1,3,1,Menus!$K$10))</f>
        <v>Lithuania</v>
      </c>
      <c r="G492" s="2" t="e">
        <f ca="1">IF(INDIRECT(ADDRESS($A492,2,3,1,Menus!$K$10))=G$1,$D492,#N/A)</f>
        <v>#N/A</v>
      </c>
      <c r="H492" s="2" t="e">
        <f ca="1">IF(INDIRECT(ADDRESS($A492,2,3,1,Menus!$K$10))=H$1,$D492,#N/A)</f>
        <v>#N/A</v>
      </c>
      <c r="I492" s="2" t="e">
        <f ca="1">IF(INDIRECT(ADDRESS($A492,2,3,1,Menus!$K$10))=I$1,$D492,#N/A)</f>
        <v>#N/A</v>
      </c>
      <c r="J492" s="2" t="e">
        <f ca="1">IF(INDIRECT(ADDRESS($A492,1,3,1,Menus!$K$10))=T(J$1),$D492,#N/A)</f>
        <v>#N/A</v>
      </c>
      <c r="K492" s="10">
        <f t="shared" ca="1" si="15"/>
        <v>0</v>
      </c>
      <c r="L492" s="2"/>
      <c r="M492" s="85">
        <f ca="1">OFFSET(INDIRECT(ADDRESS($A492,3,3,1,"Gross")),0,Menus!$J$4)</f>
        <v>0</v>
      </c>
      <c r="N492" s="85">
        <f ca="1">OFFSET(INDIRECT(ADDRESS($A492,3,3,1,"Gross")),0,Menus!$J$3)</f>
        <v>0</v>
      </c>
    </row>
    <row r="493" spans="1:14" x14ac:dyDescent="0.25">
      <c r="A493">
        <v>46</v>
      </c>
      <c r="B493" s="2">
        <f ca="1">OFFSET(INDIRECT(ADDRESS($A493,3,3,1,Menus!$K$10)),0,Menus!$J$4)</f>
        <v>11413</v>
      </c>
      <c r="C493" s="2">
        <f ca="1">OFFSET(INDIRECT(ADDRESS($A493,3,3,1,Menus!$K$10)),0,Menus!$J$3)</f>
        <v>28300167</v>
      </c>
      <c r="D493" s="73">
        <f ca="1">IF(Menus!$J$9,C493/B493,C493)</f>
        <v>2479.6431262595288</v>
      </c>
      <c r="E493" s="74" t="e">
        <f t="shared" ca="1" si="17"/>
        <v>#N/A</v>
      </c>
      <c r="F493" s="75" t="str">
        <f ca="1">INDIRECT(ADDRESS($A493,1,3,1,Menus!$K$10))</f>
        <v>EU Accession Countries - Totals</v>
      </c>
      <c r="G493" s="2" t="e">
        <f ca="1">IF(INDIRECT(ADDRESS($A493,2,3,1,Menus!$K$10))=G$1,$D493,#N/A)</f>
        <v>#N/A</v>
      </c>
      <c r="H493" s="2" t="e">
        <f ca="1">IF(INDIRECT(ADDRESS($A493,2,3,1,Menus!$K$10))=H$1,$D493,#N/A)</f>
        <v>#N/A</v>
      </c>
      <c r="I493" s="2" t="e">
        <f ca="1">IF(INDIRECT(ADDRESS($A493,2,3,1,Menus!$K$10))=I$1,$D493,#N/A)</f>
        <v>#N/A</v>
      </c>
      <c r="J493" s="2" t="e">
        <f ca="1">IF(INDIRECT(ADDRESS($A493,1,3,1,Menus!$K$10))=T(J$1),$D493,#N/A)</f>
        <v>#N/A</v>
      </c>
      <c r="K493" s="10">
        <f t="shared" ca="1" si="15"/>
        <v>0</v>
      </c>
      <c r="L493" s="2"/>
      <c r="M493" s="85">
        <f ca="1">OFFSET(INDIRECT(ADDRESS($A493,3,3,1,"Gross")),0,Menus!$J$4)</f>
        <v>0</v>
      </c>
      <c r="N493" s="85">
        <f ca="1">OFFSET(INDIRECT(ADDRESS($A493,3,3,1,"Gross")),0,Menus!$J$3)</f>
        <v>0</v>
      </c>
    </row>
    <row r="494" spans="1:14" x14ac:dyDescent="0.25">
      <c r="A494">
        <v>10</v>
      </c>
      <c r="B494" s="2">
        <f ca="1">OFFSET(INDIRECT(ADDRESS($A494,3,3,1,Menus!$K$10)),0,Menus!$J$4)</f>
        <v>498</v>
      </c>
      <c r="C494" s="2">
        <f ca="1">OFFSET(INDIRECT(ADDRESS($A494,3,3,1,Menus!$K$10)),0,Menus!$J$3)</f>
        <v>1189740</v>
      </c>
      <c r="D494" s="73">
        <f ca="1">IF(Menus!$J$9,C494/B494,C494)</f>
        <v>2389.0361445783133</v>
      </c>
      <c r="E494" s="74" t="e">
        <f t="shared" ca="1" si="17"/>
        <v>#N/A</v>
      </c>
      <c r="F494" s="75" t="str">
        <f ca="1">INDIRECT(ADDRESS($A494,1,3,1,Menus!$K$10))</f>
        <v>Slovak Rep</v>
      </c>
      <c r="G494" s="2" t="e">
        <f ca="1">IF(INDIRECT(ADDRESS($A494,2,3,1,Menus!$K$10))=G$1,$D494,#N/A)</f>
        <v>#N/A</v>
      </c>
      <c r="H494" s="2" t="e">
        <f ca="1">IF(INDIRECT(ADDRESS($A494,2,3,1,Menus!$K$10))=H$1,$D494,#N/A)</f>
        <v>#N/A</v>
      </c>
      <c r="I494" s="2" t="e">
        <f ca="1">IF(INDIRECT(ADDRESS($A494,2,3,1,Menus!$K$10))=I$1,$D494,#N/A)</f>
        <v>#N/A</v>
      </c>
      <c r="J494" s="2" t="e">
        <f ca="1">IF(INDIRECT(ADDRESS($A494,1,3,1,Menus!$K$10))=T(J$1),$D494,#N/A)</f>
        <v>#N/A</v>
      </c>
      <c r="K494" s="10">
        <f t="shared" ca="1" si="15"/>
        <v>0</v>
      </c>
      <c r="L494" s="2"/>
      <c r="M494" s="85">
        <f ca="1">OFFSET(INDIRECT(ADDRESS($A494,3,3,1,"Gross")),0,Menus!$J$4)</f>
        <v>0</v>
      </c>
      <c r="N494" s="85">
        <f ca="1">OFFSET(INDIRECT(ADDRESS($A494,3,3,1,"Gross")),0,Menus!$J$3)</f>
        <v>0</v>
      </c>
    </row>
    <row r="495" spans="1:14" x14ac:dyDescent="0.25">
      <c r="A495">
        <v>41</v>
      </c>
      <c r="B495" s="2">
        <f ca="1">OFFSET(INDIRECT(ADDRESS($A495,3,3,1,Menus!$K$10)),0,Menus!$J$4)</f>
        <v>15703</v>
      </c>
      <c r="C495" s="2">
        <f ca="1">OFFSET(INDIRECT(ADDRESS($A495,3,3,1,Menus!$K$10)),0,Menus!$J$3)</f>
        <v>33263888</v>
      </c>
      <c r="D495" s="73">
        <f ca="1">IF(Menus!$J$9,C495/B495,C495)</f>
        <v>2118.3142074762786</v>
      </c>
      <c r="E495" s="74" t="e">
        <f t="shared" ca="1" si="17"/>
        <v>#N/A</v>
      </c>
      <c r="F495" s="75" t="str">
        <f ca="1">INDIRECT(ADDRESS($A495,1,3,1,Menus!$K$10))</f>
        <v>CEE - Total</v>
      </c>
      <c r="G495" s="2" t="e">
        <f ca="1">IF(INDIRECT(ADDRESS($A495,2,3,1,Menus!$K$10))=G$1,$D495,#N/A)</f>
        <v>#N/A</v>
      </c>
      <c r="H495" s="2" t="e">
        <f ca="1">IF(INDIRECT(ADDRESS($A495,2,3,1,Menus!$K$10))=H$1,$D495,#N/A)</f>
        <v>#N/A</v>
      </c>
      <c r="I495" s="2" t="e">
        <f ca="1">IF(INDIRECT(ADDRESS($A495,2,3,1,Menus!$K$10))=I$1,$D495,#N/A)</f>
        <v>#N/A</v>
      </c>
      <c r="J495" s="2" t="e">
        <f ca="1">IF(INDIRECT(ADDRESS($A495,1,3,1,Menus!$K$10))=T(J$1),$D495,#N/A)</f>
        <v>#N/A</v>
      </c>
      <c r="K495" s="10">
        <f t="shared" ca="1" si="15"/>
        <v>0</v>
      </c>
      <c r="L495" s="2"/>
      <c r="M495" s="85">
        <f ca="1">OFFSET(INDIRECT(ADDRESS($A495,3,3,1,"Gross")),0,Menus!$J$4)</f>
        <v>0</v>
      </c>
      <c r="N495" s="85">
        <f ca="1">OFFSET(INDIRECT(ADDRESS($A495,3,3,1,"Gross")),0,Menus!$J$3)</f>
        <v>0</v>
      </c>
    </row>
    <row r="496" spans="1:14" x14ac:dyDescent="0.25">
      <c r="A496">
        <v>34</v>
      </c>
      <c r="B496" s="2">
        <f ca="1">OFFSET(INDIRECT(ADDRESS($A496,3,3,1,Menus!$K$10)),0,Menus!$J$4)</f>
        <v>1518</v>
      </c>
      <c r="C496" s="2">
        <f ca="1">OFFSET(INDIRECT(ADDRESS($A496,3,3,1,Menus!$K$10)),0,Menus!$J$3)</f>
        <v>2938235</v>
      </c>
      <c r="D496" s="73">
        <f ca="1">IF(Menus!$J$9,C496/B496,C496)</f>
        <v>1935.5961791831357</v>
      </c>
      <c r="E496" s="74" t="e">
        <f t="shared" ca="1" si="17"/>
        <v>#N/A</v>
      </c>
      <c r="F496" s="75" t="str">
        <f ca="1">INDIRECT(ADDRESS($A496,1,3,1,Menus!$K$10))</f>
        <v>Turkey</v>
      </c>
      <c r="G496" s="2" t="e">
        <f ca="1">IF(INDIRECT(ADDRESS($A496,2,3,1,Menus!$K$10))=G$1,$D496,#N/A)</f>
        <v>#N/A</v>
      </c>
      <c r="H496" s="2" t="e">
        <f ca="1">IF(INDIRECT(ADDRESS($A496,2,3,1,Menus!$K$10))=H$1,$D496,#N/A)</f>
        <v>#N/A</v>
      </c>
      <c r="I496" s="2" t="e">
        <f ca="1">IF(INDIRECT(ADDRESS($A496,2,3,1,Menus!$K$10))=I$1,$D496,#N/A)</f>
        <v>#N/A</v>
      </c>
      <c r="J496" s="2" t="e">
        <f ca="1">IF(INDIRECT(ADDRESS($A496,1,3,1,Menus!$K$10))=T(J$1),$D496,#N/A)</f>
        <v>#N/A</v>
      </c>
      <c r="K496" s="10">
        <f t="shared" ca="1" si="15"/>
        <v>0</v>
      </c>
      <c r="L496" s="2"/>
      <c r="M496" s="85">
        <f ca="1">OFFSET(INDIRECT(ADDRESS($A496,3,3,1,"Gross")),0,Menus!$J$4)</f>
        <v>2</v>
      </c>
      <c r="N496" s="85">
        <f ca="1">OFFSET(INDIRECT(ADDRESS($A496,3,3,1,"Gross")),0,Menus!$J$3)</f>
        <v>2</v>
      </c>
    </row>
    <row r="497" spans="1:14" x14ac:dyDescent="0.25">
      <c r="A497">
        <v>45</v>
      </c>
      <c r="B497" s="2">
        <f ca="1">OFFSET(INDIRECT(ADDRESS($A497,3,3,1,Menus!$K$10)),0,Menus!$J$4)</f>
        <v>3740</v>
      </c>
      <c r="C497" s="2">
        <f ca="1">OFFSET(INDIRECT(ADDRESS($A497,3,3,1,Menus!$K$10)),0,Menus!$J$3)</f>
        <v>6618301</v>
      </c>
      <c r="D497" s="73">
        <f ca="1">IF(Menus!$J$9,C497/B497,C497)</f>
        <v>1769.5991978609625</v>
      </c>
      <c r="E497" s="74" t="e">
        <f t="shared" ca="1" si="17"/>
        <v>#N/A</v>
      </c>
      <c r="F497" s="75" t="str">
        <f ca="1">INDIRECT(ADDRESS($A497,1,3,1,Menus!$K$10))</f>
        <v>World B - Total</v>
      </c>
      <c r="G497" s="2" t="e">
        <f ca="1">IF(INDIRECT(ADDRESS($A497,2,3,1,Menus!$K$10))=G$1,$D497,#N/A)</f>
        <v>#N/A</v>
      </c>
      <c r="H497" s="2" t="e">
        <f ca="1">IF(INDIRECT(ADDRESS($A497,2,3,1,Menus!$K$10))=H$1,$D497,#N/A)</f>
        <v>#N/A</v>
      </c>
      <c r="I497" s="2" t="e">
        <f ca="1">IF(INDIRECT(ADDRESS($A497,2,3,1,Menus!$K$10))=I$1,$D497,#N/A)</f>
        <v>#N/A</v>
      </c>
      <c r="J497" s="2" t="e">
        <f ca="1">IF(INDIRECT(ADDRESS($A497,1,3,1,Menus!$K$10))=T(J$1),$D497,#N/A)</f>
        <v>#N/A</v>
      </c>
      <c r="K497" s="10">
        <f t="shared" ca="1" si="15"/>
        <v>0</v>
      </c>
      <c r="L497" s="2"/>
      <c r="M497" s="85">
        <f ca="1">OFFSET(INDIRECT(ADDRESS($A497,3,3,1,"Gross")),0,Menus!$J$4)</f>
        <v>0</v>
      </c>
      <c r="N497" s="85">
        <f ca="1">OFFSET(INDIRECT(ADDRESS($A497,3,3,1,"Gross")),0,Menus!$J$3)</f>
        <v>0</v>
      </c>
    </row>
    <row r="498" spans="1:14" x14ac:dyDescent="0.25">
      <c r="A498">
        <v>9</v>
      </c>
      <c r="B498" s="2">
        <f ca="1">OFFSET(INDIRECT(ADDRESS($A498,3,3,1,Menus!$K$10)),0,Menus!$J$4)</f>
        <v>3655</v>
      </c>
      <c r="C498" s="2">
        <f ca="1">OFFSET(INDIRECT(ADDRESS($A498,3,3,1,Menus!$K$10)),0,Menus!$J$3)</f>
        <v>6382567</v>
      </c>
      <c r="D498" s="73">
        <f ca="1">IF(Menus!$J$9,C498/B498,C498)</f>
        <v>1746.2563611491107</v>
      </c>
      <c r="E498" s="74" t="e">
        <f t="shared" ca="1" si="17"/>
        <v>#N/A</v>
      </c>
      <c r="F498" s="75" t="str">
        <f ca="1">INDIRECT(ADDRESS($A498,1,3,1,Menus!$K$10))</f>
        <v>Romania</v>
      </c>
      <c r="G498" s="2" t="e">
        <f ca="1">IF(INDIRECT(ADDRESS($A498,2,3,1,Menus!$K$10))=G$1,$D498,#N/A)</f>
        <v>#N/A</v>
      </c>
      <c r="H498" s="2" t="e">
        <f ca="1">IF(INDIRECT(ADDRESS($A498,2,3,1,Menus!$K$10))=H$1,$D498,#N/A)</f>
        <v>#N/A</v>
      </c>
      <c r="I498" s="2" t="e">
        <f ca="1">IF(INDIRECT(ADDRESS($A498,2,3,1,Menus!$K$10))=I$1,$D498,#N/A)</f>
        <v>#N/A</v>
      </c>
      <c r="J498" s="2" t="e">
        <f ca="1">IF(INDIRECT(ADDRESS($A498,1,3,1,Menus!$K$10))=T(J$1),$D498,#N/A)</f>
        <v>#N/A</v>
      </c>
      <c r="K498" s="10">
        <f t="shared" ca="1" si="15"/>
        <v>0</v>
      </c>
      <c r="L498" s="2"/>
      <c r="M498" s="85">
        <f ca="1">OFFSET(INDIRECT(ADDRESS($A498,3,3,1,"Gross")),0,Menus!$J$4)</f>
        <v>2</v>
      </c>
      <c r="N498" s="85">
        <f ca="1">OFFSET(INDIRECT(ADDRESS($A498,3,3,1,"Gross")),0,Menus!$J$3)</f>
        <v>2</v>
      </c>
    </row>
    <row r="499" spans="1:14" x14ac:dyDescent="0.25">
      <c r="A499">
        <v>8</v>
      </c>
      <c r="B499" s="2">
        <f ca="1">OFFSET(INDIRECT(ADDRESS($A499,3,3,1,Menus!$K$10)),0,Menus!$J$4)</f>
        <v>6549</v>
      </c>
      <c r="C499" s="2">
        <f ca="1">OFFSET(INDIRECT(ADDRESS($A499,3,3,1,Menus!$K$10)),0,Menus!$J$3)</f>
        <v>11210209</v>
      </c>
      <c r="D499" s="73">
        <f ca="1">IF(Menus!$J$9,C499/B499,C499)</f>
        <v>1711.7436249809132</v>
      </c>
      <c r="E499" s="74" t="e">
        <f t="shared" ca="1" si="17"/>
        <v>#N/A</v>
      </c>
      <c r="F499" s="75" t="str">
        <f ca="1">INDIRECT(ADDRESS($A499,1,3,1,Menus!$K$10))</f>
        <v>Poland</v>
      </c>
      <c r="G499" s="2" t="e">
        <f ca="1">IF(INDIRECT(ADDRESS($A499,2,3,1,Menus!$K$10))=G$1,$D499,#N/A)</f>
        <v>#N/A</v>
      </c>
      <c r="H499" s="2" t="e">
        <f ca="1">IF(INDIRECT(ADDRESS($A499,2,3,1,Menus!$K$10))=H$1,$D499,#N/A)</f>
        <v>#N/A</v>
      </c>
      <c r="I499" s="2" t="e">
        <f ca="1">IF(INDIRECT(ADDRESS($A499,2,3,1,Menus!$K$10))=I$1,$D499,#N/A)</f>
        <v>#N/A</v>
      </c>
      <c r="J499" s="2" t="e">
        <f ca="1">IF(INDIRECT(ADDRESS($A499,1,3,1,Menus!$K$10))=T(J$1),$D499,#N/A)</f>
        <v>#N/A</v>
      </c>
      <c r="K499" s="10">
        <f t="shared" ca="1" si="15"/>
        <v>0</v>
      </c>
      <c r="L499" s="2"/>
      <c r="M499" s="85">
        <f ca="1">OFFSET(INDIRECT(ADDRESS($A499,3,3,1,"Gross")),0,Menus!$J$4)</f>
        <v>2</v>
      </c>
      <c r="N499" s="85">
        <f ca="1">OFFSET(INDIRECT(ADDRESS($A499,3,3,1,"Gross")),0,Menus!$J$3)</f>
        <v>2</v>
      </c>
    </row>
    <row r="500" spans="1:14" x14ac:dyDescent="0.25">
      <c r="A500">
        <v>40</v>
      </c>
      <c r="B500" s="2">
        <f ca="1">OFFSET(INDIRECT(ADDRESS($A500,3,3,1,Menus!$K$10)),0,Menus!$J$4)</f>
        <v>2222</v>
      </c>
      <c r="C500" s="2">
        <f ca="1">OFFSET(INDIRECT(ADDRESS($A500,3,3,1,Menus!$K$10)),0,Menus!$J$3)</f>
        <v>3680066</v>
      </c>
      <c r="D500" s="73">
        <f ca="1">IF(Menus!$J$9,C500/B500,C500)</f>
        <v>1656.1953195319531</v>
      </c>
      <c r="E500" s="74" t="e">
        <f t="shared" ca="1" si="17"/>
        <v>#N/A</v>
      </c>
      <c r="F500" s="75" t="str">
        <f ca="1">INDIRECT(ADDRESS($A500,1,3,1,Menus!$K$10))</f>
        <v>Mexico</v>
      </c>
      <c r="G500" s="2" t="e">
        <f ca="1">IF(INDIRECT(ADDRESS($A500,2,3,1,Menus!$K$10))=G$1,$D500,#N/A)</f>
        <v>#N/A</v>
      </c>
      <c r="H500" s="2" t="e">
        <f ca="1">IF(INDIRECT(ADDRESS($A500,2,3,1,Menus!$K$10))=H$1,$D500,#N/A)</f>
        <v>#N/A</v>
      </c>
      <c r="I500" s="2" t="e">
        <f ca="1">IF(INDIRECT(ADDRESS($A500,2,3,1,Menus!$K$10))=I$1,$D500,#N/A)</f>
        <v>#N/A</v>
      </c>
      <c r="J500" s="2" t="e">
        <f ca="1">IF(INDIRECT(ADDRESS($A500,1,3,1,Menus!$K$10))=T(J$1),$D500,#N/A)</f>
        <v>#N/A</v>
      </c>
      <c r="K500" s="10">
        <f t="shared" ca="1" si="15"/>
        <v>0</v>
      </c>
      <c r="L500" s="2"/>
      <c r="M500" s="85">
        <f ca="1">OFFSET(INDIRECT(ADDRESS($A500,3,3,1,"Gross")),0,Menus!$J$4)</f>
        <v>2</v>
      </c>
      <c r="N500" s="85">
        <f ca="1">OFFSET(INDIRECT(ADDRESS($A500,3,3,1,"Gross")),0,Menus!$J$3)</f>
        <v>2</v>
      </c>
    </row>
    <row r="501" spans="1:14" ht="13" thickBot="1" x14ac:dyDescent="0.3">
      <c r="A501">
        <v>2</v>
      </c>
      <c r="B501" s="2">
        <f ca="1">OFFSET(INDIRECT(ADDRESS($A501,3,3,1,Menus!$K$10)),0,Menus!$J$4)</f>
        <v>808</v>
      </c>
      <c r="C501" s="2">
        <f ca="1">OFFSET(INDIRECT(ADDRESS($A501,3,3,1,Menus!$K$10)),0,Menus!$J$3)</f>
        <v>951033</v>
      </c>
      <c r="D501" s="76">
        <f ca="1">IF(Menus!$J$9,C501/B501,C501)</f>
        <v>1177.0210396039604</v>
      </c>
      <c r="E501" s="77" t="e">
        <f t="shared" ca="1" si="17"/>
        <v>#N/A</v>
      </c>
      <c r="F501" s="78" t="str">
        <f ca="1">INDIRECT(ADDRESS($A501,1,3,1,Menus!$K$10))</f>
        <v>Bulgaria</v>
      </c>
      <c r="G501" s="2" t="e">
        <f ca="1">IF(INDIRECT(ADDRESS($A501,2,3,1,Menus!$K$10))=G$1,$D501,#N/A)</f>
        <v>#N/A</v>
      </c>
      <c r="H501" s="2" t="e">
        <f ca="1">IF(INDIRECT(ADDRESS($A501,2,3,1,Menus!$K$10))=H$1,$D501,#N/A)</f>
        <v>#N/A</v>
      </c>
      <c r="I501" s="2" t="e">
        <f ca="1">IF(INDIRECT(ADDRESS($A501,2,3,1,Menus!$K$10))=I$1,$D501,#N/A)</f>
        <v>#N/A</v>
      </c>
      <c r="J501" s="2" t="e">
        <f ca="1">IF(INDIRECT(ADDRESS($A501,1,3,1,Menus!$K$10))=T(J$1),$D501,#N/A)</f>
        <v>#N/A</v>
      </c>
      <c r="K501" s="10">
        <f t="shared" ca="1" si="15"/>
        <v>0</v>
      </c>
      <c r="L501" s="2"/>
      <c r="M501" s="85">
        <f ca="1">OFFSET(INDIRECT(ADDRESS($A501,3,3,1,"Gross")),0,Menus!$J$4)</f>
        <v>1</v>
      </c>
      <c r="N501" s="85">
        <f ca="1">OFFSET(INDIRECT(ADDRESS($A501,3,3,1,"Gross")),0,Menus!$J$3)</f>
        <v>1</v>
      </c>
    </row>
  </sheetData>
  <sheetCalcPr fullCalcOnLoad="1"/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C5:J20"/>
  <sheetViews>
    <sheetView showGridLines="0" showRowColHeaders="0" showZeros="0" tabSelected="1" zoomScale="125" workbookViewId="0"/>
  </sheetViews>
  <sheetFormatPr defaultRowHeight="12.5" x14ac:dyDescent="0.25"/>
  <cols>
    <col min="4" max="4" width="9.26953125" bestFit="1" customWidth="1"/>
  </cols>
  <sheetData>
    <row r="5" spans="3:10" x14ac:dyDescent="0.25">
      <c r="C5" s="22"/>
      <c r="D5" s="22"/>
      <c r="E5" s="22"/>
      <c r="F5" s="22"/>
      <c r="G5" s="22"/>
      <c r="H5" s="22"/>
      <c r="I5" s="22"/>
      <c r="J5" s="22"/>
    </row>
    <row r="6" spans="3:10" ht="13.5" x14ac:dyDescent="0.3">
      <c r="C6" s="57"/>
      <c r="D6" s="58"/>
      <c r="E6" s="59"/>
      <c r="F6" s="58"/>
      <c r="G6" s="58"/>
      <c r="H6" s="58"/>
      <c r="I6" s="60"/>
      <c r="J6" s="22"/>
    </row>
    <row r="7" spans="3:10" ht="13.5" x14ac:dyDescent="0.3">
      <c r="C7" s="61"/>
      <c r="D7" s="70" t="s">
        <v>290</v>
      </c>
      <c r="E7" s="70"/>
      <c r="F7" s="70"/>
      <c r="G7" s="71"/>
      <c r="H7" s="62"/>
      <c r="I7" s="63"/>
      <c r="J7" s="22"/>
    </row>
    <row r="8" spans="3:10" ht="13.5" x14ac:dyDescent="0.3">
      <c r="C8" s="61"/>
      <c r="D8" s="62"/>
      <c r="E8" s="62"/>
      <c r="F8" s="62"/>
      <c r="G8" s="62"/>
      <c r="H8" s="62"/>
      <c r="I8" s="63"/>
      <c r="J8" s="22"/>
    </row>
    <row r="9" spans="3:10" ht="13.5" x14ac:dyDescent="0.3">
      <c r="C9" s="61"/>
      <c r="D9" s="62" t="s">
        <v>10</v>
      </c>
      <c r="E9" s="62"/>
      <c r="F9" s="62"/>
      <c r="G9" s="62"/>
      <c r="H9" s="62"/>
      <c r="I9" s="63"/>
      <c r="J9" s="22"/>
    </row>
    <row r="10" spans="3:10" ht="13.5" x14ac:dyDescent="0.3">
      <c r="C10" s="61"/>
      <c r="D10" s="62" t="s">
        <v>316</v>
      </c>
      <c r="E10" s="62"/>
      <c r="F10" s="62"/>
      <c r="G10" s="62"/>
      <c r="H10" s="62"/>
      <c r="I10" s="63"/>
      <c r="J10" s="22"/>
    </row>
    <row r="11" spans="3:10" ht="13.5" x14ac:dyDescent="0.3">
      <c r="C11" s="61"/>
      <c r="D11" s="62" t="s">
        <v>310</v>
      </c>
      <c r="E11" s="62"/>
      <c r="F11" s="62"/>
      <c r="G11" s="62"/>
      <c r="H11" s="62"/>
      <c r="I11" s="63"/>
      <c r="J11" s="22"/>
    </row>
    <row r="12" spans="3:10" ht="13.5" x14ac:dyDescent="0.3">
      <c r="C12" s="61"/>
      <c r="D12" s="62"/>
      <c r="E12" s="62"/>
      <c r="F12" s="62"/>
      <c r="G12" s="62"/>
      <c r="H12" s="62"/>
      <c r="I12" s="63"/>
      <c r="J12" s="22"/>
    </row>
    <row r="13" spans="3:10" ht="13.5" x14ac:dyDescent="0.3">
      <c r="C13" s="61"/>
      <c r="D13" s="62" t="s">
        <v>278</v>
      </c>
      <c r="E13" s="62"/>
      <c r="F13" s="62"/>
      <c r="G13" s="62"/>
      <c r="H13" s="62"/>
      <c r="I13" s="63"/>
      <c r="J13" s="22"/>
    </row>
    <row r="14" spans="3:10" ht="13.5" x14ac:dyDescent="0.3">
      <c r="C14" s="61"/>
      <c r="D14" s="62" t="s">
        <v>277</v>
      </c>
      <c r="E14" s="62"/>
      <c r="F14" s="62"/>
      <c r="G14" s="62"/>
      <c r="H14" s="62"/>
      <c r="I14" s="63"/>
      <c r="J14" s="22"/>
    </row>
    <row r="15" spans="3:10" ht="13.5" x14ac:dyDescent="0.3">
      <c r="C15" s="61"/>
      <c r="D15" s="62" t="s">
        <v>276</v>
      </c>
      <c r="E15" s="62"/>
      <c r="F15" s="62"/>
      <c r="G15" s="62"/>
      <c r="H15" s="62"/>
      <c r="I15" s="63"/>
      <c r="J15" s="22"/>
    </row>
    <row r="16" spans="3:10" ht="13.5" x14ac:dyDescent="0.3">
      <c r="C16" s="61"/>
      <c r="D16" s="62"/>
      <c r="E16" s="62"/>
      <c r="F16" s="62"/>
      <c r="G16" s="62"/>
      <c r="H16" s="62"/>
      <c r="I16" s="63"/>
      <c r="J16" s="22"/>
    </row>
    <row r="17" spans="3:10" ht="13.5" x14ac:dyDescent="0.3">
      <c r="C17" s="61"/>
      <c r="D17" s="62" t="s">
        <v>129</v>
      </c>
      <c r="E17" s="62"/>
      <c r="F17" s="62"/>
      <c r="G17" s="62"/>
      <c r="H17" s="62"/>
      <c r="I17" s="63"/>
      <c r="J17" s="22"/>
    </row>
    <row r="18" spans="3:10" ht="13.5" x14ac:dyDescent="0.3">
      <c r="C18" s="61"/>
      <c r="D18" s="69" t="s">
        <v>311</v>
      </c>
      <c r="E18" s="62"/>
      <c r="F18" s="62"/>
      <c r="G18" s="62"/>
      <c r="H18" s="62"/>
      <c r="I18" s="63"/>
      <c r="J18" s="22"/>
    </row>
    <row r="19" spans="3:10" ht="13.5" x14ac:dyDescent="0.3">
      <c r="C19" s="64"/>
      <c r="D19" s="65"/>
      <c r="E19" s="65"/>
      <c r="F19" s="65"/>
      <c r="G19" s="65"/>
      <c r="H19" s="66"/>
      <c r="I19" s="67"/>
      <c r="J19" s="22"/>
    </row>
    <row r="20" spans="3:10" x14ac:dyDescent="0.25">
      <c r="C20" s="22"/>
      <c r="D20" s="22"/>
      <c r="E20" s="22"/>
      <c r="F20" s="22"/>
      <c r="G20" s="22"/>
      <c r="H20" s="22"/>
      <c r="I20" s="22"/>
      <c r="J20" s="22"/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Button 4">
              <controlPr defaultSize="0" print="0" autoFill="0" autoPict="0" macro="[0]!ShowDialogBox">
                <anchor moveWithCells="1" sizeWithCells="1">
                  <from>
                    <xdr:col>7</xdr:col>
                    <xdr:colOff>266700</xdr:colOff>
                    <xdr:row>16</xdr:row>
                    <xdr:rowOff>101600</xdr:rowOff>
                  </from>
                  <to>
                    <xdr:col>8</xdr:col>
                    <xdr:colOff>476250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Button 6">
              <controlPr defaultSize="0" print="0" autoFill="0" autoPict="0" macro="[0]!Button54_Click">
                <anchor moveWithCells="1" sizeWithCells="1">
                  <from>
                    <xdr:col>7</xdr:col>
                    <xdr:colOff>374650</xdr:colOff>
                    <xdr:row>5</xdr:row>
                    <xdr:rowOff>114300</xdr:rowOff>
                  </from>
                  <to>
                    <xdr:col>8</xdr:col>
                    <xdr:colOff>514350</xdr:colOff>
                    <xdr:row>11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3:J70"/>
  <sheetViews>
    <sheetView showGridLines="0" showRowColHeaders="0" zoomScaleNormal="100" workbookViewId="0"/>
  </sheetViews>
  <sheetFormatPr defaultColWidth="9.7265625" defaultRowHeight="12.5" x14ac:dyDescent="0.25"/>
  <sheetData>
    <row r="3" spans="2:10" x14ac:dyDescent="0.25">
      <c r="B3" s="45"/>
      <c r="C3" s="46"/>
      <c r="D3" s="46"/>
      <c r="E3" s="46"/>
      <c r="F3" s="46"/>
      <c r="G3" s="46"/>
      <c r="H3" s="46"/>
      <c r="I3" s="46"/>
      <c r="J3" s="47"/>
    </row>
    <row r="4" spans="2:10" x14ac:dyDescent="0.25">
      <c r="B4" s="48"/>
      <c r="C4" s="49"/>
      <c r="D4" s="49"/>
      <c r="E4" s="49"/>
      <c r="F4" s="49"/>
      <c r="G4" s="49"/>
      <c r="H4" s="49"/>
      <c r="I4" s="49"/>
      <c r="J4" s="50"/>
    </row>
    <row r="5" spans="2:10" x14ac:dyDescent="0.25">
      <c r="B5" s="48"/>
      <c r="C5" s="49"/>
      <c r="D5" s="49"/>
      <c r="E5" s="49"/>
      <c r="F5" s="49"/>
      <c r="G5" s="49"/>
      <c r="H5" s="49"/>
      <c r="I5" s="49"/>
      <c r="J5" s="50"/>
    </row>
    <row r="6" spans="2:10" x14ac:dyDescent="0.25">
      <c r="B6" s="48"/>
      <c r="C6" s="49"/>
      <c r="D6" s="49"/>
      <c r="E6" s="49"/>
      <c r="F6" s="49"/>
      <c r="G6" s="49"/>
      <c r="H6" s="49"/>
      <c r="I6" s="49"/>
      <c r="J6" s="50"/>
    </row>
    <row r="7" spans="2:10" x14ac:dyDescent="0.25">
      <c r="B7" s="48"/>
      <c r="C7" s="49"/>
      <c r="D7" s="49"/>
      <c r="E7" s="49"/>
      <c r="F7" s="49"/>
      <c r="G7" s="49"/>
      <c r="H7" s="49"/>
      <c r="I7" s="49"/>
      <c r="J7" s="50"/>
    </row>
    <row r="8" spans="2:10" x14ac:dyDescent="0.25">
      <c r="B8" s="48"/>
      <c r="C8" s="49"/>
      <c r="D8" s="49"/>
      <c r="E8" s="49"/>
      <c r="F8" s="49"/>
      <c r="G8" s="49"/>
      <c r="H8" s="49"/>
      <c r="I8" s="49"/>
      <c r="J8" s="50"/>
    </row>
    <row r="9" spans="2:10" x14ac:dyDescent="0.25">
      <c r="B9" s="48"/>
      <c r="C9" s="49"/>
      <c r="D9" s="49"/>
      <c r="E9" s="49"/>
      <c r="F9" s="49"/>
      <c r="G9" s="49"/>
      <c r="H9" s="49"/>
      <c r="I9" s="49"/>
      <c r="J9" s="50"/>
    </row>
    <row r="10" spans="2:10" x14ac:dyDescent="0.25">
      <c r="B10" s="48"/>
      <c r="C10" s="49"/>
      <c r="D10" s="49"/>
      <c r="E10" s="49"/>
      <c r="F10" s="49"/>
      <c r="G10" s="49"/>
      <c r="H10" s="49"/>
      <c r="I10" s="49"/>
      <c r="J10" s="50"/>
    </row>
    <row r="11" spans="2:10" x14ac:dyDescent="0.25">
      <c r="B11" s="48"/>
      <c r="C11" s="49"/>
      <c r="D11" s="49"/>
      <c r="E11" s="49"/>
      <c r="F11" s="49"/>
      <c r="G11" s="49"/>
      <c r="H11" s="49"/>
      <c r="I11" s="49"/>
      <c r="J11" s="50"/>
    </row>
    <row r="12" spans="2:10" x14ac:dyDescent="0.25">
      <c r="B12" s="48"/>
      <c r="C12" s="49"/>
      <c r="D12" s="49"/>
      <c r="E12" s="49"/>
      <c r="F12" s="49"/>
      <c r="G12" s="49"/>
      <c r="H12" s="49"/>
      <c r="I12" s="49"/>
      <c r="J12" s="50"/>
    </row>
    <row r="13" spans="2:10" x14ac:dyDescent="0.25">
      <c r="B13" s="48"/>
      <c r="C13" s="49"/>
      <c r="D13" s="49"/>
      <c r="E13" s="49"/>
      <c r="F13" s="49"/>
      <c r="G13" s="49"/>
      <c r="H13" s="49"/>
      <c r="I13" s="49"/>
      <c r="J13" s="50"/>
    </row>
    <row r="14" spans="2:10" x14ac:dyDescent="0.25">
      <c r="B14" s="48"/>
      <c r="C14" s="49"/>
      <c r="D14" s="49"/>
      <c r="E14" s="49"/>
      <c r="F14" s="49"/>
      <c r="G14" s="49"/>
      <c r="H14" s="49"/>
      <c r="I14" s="49"/>
      <c r="J14" s="50"/>
    </row>
    <row r="15" spans="2:10" x14ac:dyDescent="0.25">
      <c r="B15" s="48"/>
      <c r="C15" s="49"/>
      <c r="D15" s="49"/>
      <c r="E15" s="49"/>
      <c r="F15" s="49"/>
      <c r="G15" s="49"/>
      <c r="H15" s="49"/>
      <c r="I15" s="49"/>
      <c r="J15" s="50"/>
    </row>
    <row r="16" spans="2:10" x14ac:dyDescent="0.25">
      <c r="B16" s="48"/>
      <c r="C16" s="49"/>
      <c r="D16" s="49"/>
      <c r="E16" s="49"/>
      <c r="F16" s="49"/>
      <c r="G16" s="49"/>
      <c r="H16" s="49"/>
      <c r="I16" s="49"/>
      <c r="J16" s="50"/>
    </row>
    <row r="17" spans="2:10" x14ac:dyDescent="0.25">
      <c r="B17" s="48"/>
      <c r="C17" s="49"/>
      <c r="D17" s="49"/>
      <c r="E17" s="49"/>
      <c r="F17" s="49"/>
      <c r="G17" s="49"/>
      <c r="H17" s="49"/>
      <c r="I17" s="49"/>
      <c r="J17" s="50"/>
    </row>
    <row r="18" spans="2:10" x14ac:dyDescent="0.25">
      <c r="B18" s="48"/>
      <c r="C18" s="49"/>
      <c r="D18" s="49"/>
      <c r="E18" s="49"/>
      <c r="F18" s="49"/>
      <c r="G18" s="49"/>
      <c r="H18" s="49"/>
      <c r="I18" s="49"/>
      <c r="J18" s="50"/>
    </row>
    <row r="19" spans="2:10" x14ac:dyDescent="0.25">
      <c r="B19" s="48"/>
      <c r="C19" s="49"/>
      <c r="D19" s="49"/>
      <c r="E19" s="49"/>
      <c r="F19" s="49"/>
      <c r="G19" s="49"/>
      <c r="H19" s="49"/>
      <c r="I19" s="49"/>
      <c r="J19" s="50"/>
    </row>
    <row r="20" spans="2:10" x14ac:dyDescent="0.25">
      <c r="B20" s="51"/>
      <c r="C20" s="52"/>
      <c r="D20" s="52"/>
      <c r="E20" s="52"/>
      <c r="F20" s="52"/>
      <c r="G20" s="52"/>
      <c r="H20" s="52"/>
      <c r="I20" s="52"/>
      <c r="J20" s="53"/>
    </row>
    <row r="21" spans="2:10" x14ac:dyDescent="0.25">
      <c r="B21" s="51"/>
      <c r="C21" s="52"/>
      <c r="D21" s="52"/>
      <c r="E21" s="52"/>
      <c r="F21" s="52"/>
      <c r="G21" s="52"/>
      <c r="H21" s="52"/>
      <c r="I21" s="52"/>
      <c r="J21" s="53"/>
    </row>
    <row r="22" spans="2:10" x14ac:dyDescent="0.25">
      <c r="B22" s="54"/>
      <c r="C22" s="55"/>
      <c r="D22" s="55"/>
      <c r="E22" s="55"/>
      <c r="F22" s="55"/>
      <c r="G22" s="55"/>
      <c r="H22" s="55"/>
      <c r="I22" s="55"/>
      <c r="J22" s="56"/>
    </row>
    <row r="24" spans="2:10" ht="13" x14ac:dyDescent="0.3">
      <c r="B24" s="4" t="s">
        <v>157</v>
      </c>
    </row>
    <row r="25" spans="2:10" x14ac:dyDescent="0.25">
      <c r="B25" t="s">
        <v>314</v>
      </c>
    </row>
    <row r="26" spans="2:10" x14ac:dyDescent="0.25">
      <c r="B26" t="s">
        <v>279</v>
      </c>
    </row>
    <row r="27" spans="2:10" x14ac:dyDescent="0.25">
      <c r="B27" t="s">
        <v>275</v>
      </c>
    </row>
    <row r="28" spans="2:10" x14ac:dyDescent="0.25">
      <c r="B28" t="s">
        <v>313</v>
      </c>
    </row>
    <row r="30" spans="2:10" ht="14" x14ac:dyDescent="0.3">
      <c r="B30" s="106" t="s">
        <v>323</v>
      </c>
      <c r="C30" s="103"/>
      <c r="D30" s="103"/>
      <c r="E30" s="103"/>
      <c r="F30" s="103"/>
      <c r="G30" s="103"/>
      <c r="H30" s="103"/>
      <c r="I30" s="103"/>
      <c r="J30" s="103"/>
    </row>
    <row r="31" spans="2:10" ht="14" x14ac:dyDescent="0.3">
      <c r="B31" s="106" t="s">
        <v>324</v>
      </c>
      <c r="C31" s="103"/>
      <c r="D31" s="103"/>
      <c r="E31" s="103"/>
      <c r="F31" s="103"/>
      <c r="G31" s="103"/>
      <c r="H31" s="103"/>
      <c r="I31" s="103"/>
      <c r="J31" s="103"/>
    </row>
    <row r="32" spans="2:10" ht="14" x14ac:dyDescent="0.3">
      <c r="B32" s="106" t="s">
        <v>325</v>
      </c>
      <c r="C32" s="103"/>
      <c r="D32" s="103"/>
      <c r="E32" s="103"/>
      <c r="F32" s="103"/>
      <c r="G32" s="103"/>
      <c r="H32" s="103"/>
      <c r="I32" s="103"/>
      <c r="J32" s="103"/>
    </row>
    <row r="33" spans="2:10" ht="14" x14ac:dyDescent="0.3">
      <c r="B33" s="107" t="s">
        <v>326</v>
      </c>
      <c r="C33" s="103"/>
      <c r="D33" s="103"/>
      <c r="E33" s="103"/>
      <c r="F33" s="103"/>
      <c r="G33" s="103"/>
      <c r="H33" s="103"/>
      <c r="I33" s="103"/>
      <c r="J33" s="103"/>
    </row>
    <row r="34" spans="2:10" ht="14" x14ac:dyDescent="0.3">
      <c r="B34" s="107" t="s">
        <v>327</v>
      </c>
      <c r="C34" s="103"/>
      <c r="D34" s="103"/>
      <c r="E34" s="103"/>
      <c r="F34" s="103"/>
      <c r="G34" s="103"/>
      <c r="H34" s="103"/>
      <c r="I34" s="103"/>
      <c r="J34" s="103"/>
    </row>
    <row r="35" spans="2:10" ht="14" x14ac:dyDescent="0.3">
      <c r="B35" s="107" t="s">
        <v>328</v>
      </c>
      <c r="C35" s="103"/>
      <c r="D35" s="103"/>
      <c r="E35" s="103"/>
      <c r="F35" s="103"/>
      <c r="G35" s="103"/>
      <c r="H35" s="103"/>
      <c r="I35" s="103"/>
      <c r="J35" s="103"/>
    </row>
    <row r="36" spans="2:10" ht="14" x14ac:dyDescent="0.3">
      <c r="B36" s="107" t="s">
        <v>329</v>
      </c>
      <c r="C36" s="103"/>
      <c r="D36" s="103"/>
      <c r="E36" s="103"/>
      <c r="F36" s="103"/>
      <c r="G36" s="103"/>
      <c r="H36" s="103"/>
      <c r="I36" s="103"/>
      <c r="J36" s="103"/>
    </row>
    <row r="37" spans="2:10" ht="14" x14ac:dyDescent="0.3">
      <c r="B37" s="107" t="s">
        <v>330</v>
      </c>
      <c r="C37" s="103"/>
      <c r="D37" s="103"/>
      <c r="E37" s="103"/>
      <c r="F37" s="103"/>
      <c r="G37" s="103"/>
      <c r="H37" s="103"/>
      <c r="I37" s="103"/>
      <c r="J37" s="103"/>
    </row>
    <row r="38" spans="2:10" ht="14" x14ac:dyDescent="0.3">
      <c r="B38" s="107" t="s">
        <v>331</v>
      </c>
      <c r="C38" s="103"/>
      <c r="D38" s="103"/>
      <c r="E38" s="103"/>
      <c r="F38" s="103"/>
      <c r="G38" s="103"/>
      <c r="H38" s="103"/>
      <c r="I38" s="103"/>
      <c r="J38" s="103"/>
    </row>
    <row r="39" spans="2:10" ht="14" x14ac:dyDescent="0.3">
      <c r="B39" s="107" t="s">
        <v>332</v>
      </c>
      <c r="C39" s="103"/>
      <c r="D39" s="103"/>
      <c r="E39" s="103"/>
      <c r="F39" s="103"/>
      <c r="G39" s="103"/>
      <c r="H39" s="103"/>
      <c r="I39" s="103"/>
      <c r="J39" s="103"/>
    </row>
    <row r="40" spans="2:10" ht="14" x14ac:dyDescent="0.3">
      <c r="B40" s="107" t="s">
        <v>333</v>
      </c>
      <c r="C40" s="103"/>
      <c r="D40" s="103"/>
      <c r="E40" s="103"/>
      <c r="F40" s="103"/>
      <c r="G40" s="103"/>
      <c r="H40" s="103"/>
      <c r="I40" s="103"/>
      <c r="J40" s="103"/>
    </row>
    <row r="41" spans="2:10" ht="15.5" x14ac:dyDescent="0.35">
      <c r="B41" s="108"/>
      <c r="C41" s="103"/>
      <c r="D41" s="103"/>
      <c r="E41" s="103"/>
      <c r="F41" s="103"/>
      <c r="G41" s="103"/>
      <c r="H41" s="103"/>
      <c r="I41" s="103"/>
      <c r="J41" s="103"/>
    </row>
    <row r="42" spans="2:10" ht="14" x14ac:dyDescent="0.3">
      <c r="B42" s="107" t="s">
        <v>334</v>
      </c>
      <c r="C42" s="103"/>
      <c r="D42" s="103"/>
      <c r="E42" s="103"/>
      <c r="F42" s="103"/>
      <c r="G42" s="103"/>
      <c r="H42" s="103"/>
      <c r="I42" s="103"/>
      <c r="J42" s="103"/>
    </row>
    <row r="43" spans="2:10" ht="14" x14ac:dyDescent="0.3">
      <c r="B43" s="107" t="s">
        <v>335</v>
      </c>
      <c r="C43" s="103"/>
      <c r="D43" s="103"/>
      <c r="E43" s="103"/>
      <c r="F43" s="103"/>
      <c r="G43" s="103"/>
      <c r="H43" s="103"/>
      <c r="I43" s="103"/>
      <c r="J43" s="103"/>
    </row>
    <row r="44" spans="2:10" ht="14" x14ac:dyDescent="0.3">
      <c r="B44" s="107" t="s">
        <v>336</v>
      </c>
      <c r="C44" s="103"/>
      <c r="D44" s="103"/>
      <c r="E44" s="103"/>
      <c r="F44" s="103"/>
      <c r="G44" s="103"/>
      <c r="H44" s="103"/>
      <c r="I44" s="103"/>
      <c r="J44" s="103"/>
    </row>
    <row r="45" spans="2:10" ht="15.5" x14ac:dyDescent="0.35">
      <c r="B45" s="108"/>
      <c r="C45" s="103"/>
      <c r="D45" s="103"/>
      <c r="E45" s="103"/>
      <c r="F45" s="103"/>
      <c r="G45" s="103"/>
      <c r="H45" s="103"/>
      <c r="I45" s="103"/>
      <c r="J45" s="103"/>
    </row>
    <row r="46" spans="2:10" ht="14" x14ac:dyDescent="0.3">
      <c r="B46" s="107" t="s">
        <v>337</v>
      </c>
      <c r="C46" s="103"/>
      <c r="D46" s="103"/>
      <c r="E46" s="103"/>
      <c r="F46" s="103"/>
      <c r="G46" s="103"/>
      <c r="H46" s="103"/>
      <c r="I46" s="103"/>
      <c r="J46" s="103"/>
    </row>
    <row r="47" spans="2:10" ht="14" x14ac:dyDescent="0.3">
      <c r="B47" s="107" t="s">
        <v>338</v>
      </c>
      <c r="C47" s="103"/>
      <c r="D47" s="103"/>
      <c r="E47" s="103"/>
      <c r="F47" s="103"/>
      <c r="G47" s="103"/>
      <c r="H47" s="103"/>
      <c r="I47" s="103"/>
      <c r="J47" s="103"/>
    </row>
    <row r="48" spans="2:10" ht="14" x14ac:dyDescent="0.3">
      <c r="B48" s="107" t="s">
        <v>339</v>
      </c>
      <c r="C48" s="103"/>
      <c r="D48" s="103"/>
      <c r="E48" s="103"/>
      <c r="F48" s="103"/>
      <c r="G48" s="103"/>
      <c r="H48" s="103"/>
      <c r="I48" s="103"/>
      <c r="J48" s="103"/>
    </row>
    <row r="49" spans="2:10" ht="14" x14ac:dyDescent="0.3">
      <c r="B49" s="107" t="s">
        <v>340</v>
      </c>
      <c r="C49" s="103"/>
      <c r="D49" s="103"/>
      <c r="E49" s="103"/>
      <c r="F49" s="103"/>
      <c r="G49" s="103"/>
      <c r="H49" s="103"/>
      <c r="I49" s="103"/>
      <c r="J49" s="103"/>
    </row>
    <row r="50" spans="2:10" ht="14" x14ac:dyDescent="0.3">
      <c r="B50" s="107" t="s">
        <v>341</v>
      </c>
      <c r="C50" s="103"/>
      <c r="D50" s="103"/>
      <c r="E50" s="103"/>
      <c r="F50" s="103"/>
      <c r="G50" s="103"/>
      <c r="H50" s="103"/>
      <c r="I50" s="103"/>
      <c r="J50" s="103"/>
    </row>
    <row r="51" spans="2:10" ht="14" x14ac:dyDescent="0.3">
      <c r="B51" s="107" t="s">
        <v>342</v>
      </c>
      <c r="C51" s="103"/>
      <c r="D51" s="103"/>
      <c r="E51" s="103"/>
      <c r="F51" s="103"/>
      <c r="G51" s="103"/>
      <c r="H51" s="103"/>
      <c r="I51" s="103"/>
      <c r="J51" s="103"/>
    </row>
    <row r="52" spans="2:10" ht="14" x14ac:dyDescent="0.3">
      <c r="B52" s="107" t="s">
        <v>343</v>
      </c>
      <c r="C52" s="103"/>
      <c r="D52" s="103"/>
      <c r="E52" s="103"/>
      <c r="F52" s="103"/>
      <c r="G52" s="103"/>
      <c r="H52" s="103"/>
      <c r="I52" s="103"/>
      <c r="J52" s="103"/>
    </row>
    <row r="53" spans="2:10" ht="14" x14ac:dyDescent="0.3">
      <c r="B53" s="107" t="s">
        <v>344</v>
      </c>
      <c r="C53" s="103"/>
      <c r="D53" s="103"/>
      <c r="E53" s="103"/>
      <c r="F53" s="103"/>
      <c r="G53" s="103"/>
      <c r="H53" s="103"/>
      <c r="I53" s="103"/>
      <c r="J53" s="103"/>
    </row>
    <row r="54" spans="2:10" ht="14" x14ac:dyDescent="0.3">
      <c r="B54" s="107" t="s">
        <v>345</v>
      </c>
      <c r="C54" s="103"/>
      <c r="D54" s="103"/>
      <c r="E54" s="103"/>
      <c r="F54" s="103"/>
      <c r="G54" s="103"/>
      <c r="H54" s="103"/>
      <c r="I54" s="103"/>
      <c r="J54" s="103"/>
    </row>
    <row r="55" spans="2:10" ht="14" x14ac:dyDescent="0.3">
      <c r="B55" s="107"/>
      <c r="C55" s="103"/>
      <c r="D55" s="103"/>
      <c r="E55" s="103"/>
      <c r="F55" s="103"/>
      <c r="G55" s="103"/>
      <c r="H55" s="103"/>
      <c r="I55" s="103"/>
      <c r="J55" s="103"/>
    </row>
    <row r="56" spans="2:10" ht="14" x14ac:dyDescent="0.3">
      <c r="B56" s="106" t="s">
        <v>322</v>
      </c>
      <c r="C56" s="103"/>
      <c r="D56" s="103"/>
      <c r="E56" s="103"/>
      <c r="F56" s="103"/>
      <c r="G56" s="103"/>
      <c r="H56" s="103"/>
      <c r="I56" s="103"/>
      <c r="J56" s="103"/>
    </row>
    <row r="57" spans="2:10" ht="14" x14ac:dyDescent="0.3">
      <c r="B57" s="109" t="s">
        <v>346</v>
      </c>
      <c r="C57" s="110"/>
      <c r="D57" s="110"/>
      <c r="E57" s="110"/>
      <c r="F57" s="110"/>
      <c r="G57" s="110"/>
      <c r="H57" s="110"/>
      <c r="I57" s="110"/>
      <c r="J57" s="103"/>
    </row>
    <row r="58" spans="2:10" ht="14" x14ac:dyDescent="0.3">
      <c r="B58" s="109" t="s">
        <v>347</v>
      </c>
      <c r="C58" s="110"/>
      <c r="D58" s="110"/>
      <c r="E58" s="110"/>
      <c r="F58" s="110"/>
      <c r="G58" s="110"/>
      <c r="H58" s="110"/>
      <c r="I58" s="110"/>
      <c r="J58" s="103"/>
    </row>
    <row r="59" spans="2:10" ht="14" x14ac:dyDescent="0.3">
      <c r="B59" s="109" t="s">
        <v>348</v>
      </c>
      <c r="C59" s="110"/>
      <c r="D59" s="110"/>
      <c r="E59" s="110"/>
      <c r="F59" s="110"/>
      <c r="G59" s="110"/>
      <c r="H59" s="110"/>
      <c r="I59" s="110"/>
      <c r="J59" s="103"/>
    </row>
    <row r="60" spans="2:10" ht="14" x14ac:dyDescent="0.3">
      <c r="B60" s="109" t="s">
        <v>349</v>
      </c>
      <c r="C60" s="110"/>
      <c r="D60" s="110"/>
      <c r="E60" s="110"/>
      <c r="F60" s="110"/>
      <c r="G60" s="110"/>
      <c r="H60" s="110"/>
      <c r="I60" s="110"/>
      <c r="J60" s="103"/>
    </row>
    <row r="61" spans="2:10" ht="14" x14ac:dyDescent="0.3">
      <c r="B61" s="109" t="s">
        <v>350</v>
      </c>
      <c r="C61" s="110"/>
      <c r="D61" s="110"/>
      <c r="E61" s="110"/>
      <c r="F61" s="110"/>
      <c r="G61" s="110"/>
      <c r="H61" s="110"/>
      <c r="I61" s="110"/>
      <c r="J61" s="103"/>
    </row>
    <row r="62" spans="2:10" ht="15.5" x14ac:dyDescent="0.35">
      <c r="B62" s="111"/>
      <c r="C62" s="110"/>
      <c r="D62" s="110"/>
      <c r="E62" s="110"/>
      <c r="F62" s="110"/>
      <c r="G62" s="110"/>
      <c r="H62" s="110"/>
      <c r="I62" s="110"/>
      <c r="J62" s="103"/>
    </row>
    <row r="63" spans="2:10" ht="14" x14ac:dyDescent="0.3">
      <c r="B63" s="109" t="s">
        <v>351</v>
      </c>
      <c r="C63" s="110"/>
      <c r="D63" s="110"/>
      <c r="E63" s="110"/>
      <c r="F63" s="110"/>
      <c r="G63" s="110"/>
      <c r="H63" s="110"/>
      <c r="I63" s="110"/>
      <c r="J63" s="103"/>
    </row>
    <row r="64" spans="2:10" ht="14" x14ac:dyDescent="0.3">
      <c r="B64" s="109" t="s">
        <v>352</v>
      </c>
      <c r="C64" s="110"/>
      <c r="D64" s="110"/>
      <c r="E64" s="110"/>
      <c r="F64" s="110"/>
      <c r="G64" s="110"/>
      <c r="H64" s="110"/>
      <c r="I64" s="110"/>
      <c r="J64" s="103"/>
    </row>
    <row r="65" spans="2:10" ht="14" x14ac:dyDescent="0.3">
      <c r="B65" s="109" t="s">
        <v>353</v>
      </c>
      <c r="C65" s="110"/>
      <c r="D65" s="110"/>
      <c r="E65" s="110"/>
      <c r="F65" s="110"/>
      <c r="G65" s="110"/>
      <c r="H65" s="110"/>
      <c r="I65" s="110"/>
      <c r="J65" s="103"/>
    </row>
    <row r="66" spans="2:10" ht="14" x14ac:dyDescent="0.3">
      <c r="B66" s="109" t="s">
        <v>354</v>
      </c>
      <c r="C66" s="110"/>
      <c r="D66" s="110"/>
      <c r="E66" s="110"/>
      <c r="F66" s="110"/>
      <c r="G66" s="110"/>
      <c r="H66" s="110"/>
      <c r="I66" s="110"/>
      <c r="J66" s="103"/>
    </row>
    <row r="67" spans="2:10" ht="15.5" x14ac:dyDescent="0.35">
      <c r="B67" s="112"/>
      <c r="C67" s="110"/>
      <c r="D67" s="110"/>
      <c r="E67" s="110"/>
      <c r="F67" s="110"/>
      <c r="G67" s="110"/>
      <c r="H67" s="110"/>
      <c r="I67" s="110"/>
      <c r="J67" s="103"/>
    </row>
    <row r="68" spans="2:10" ht="14" x14ac:dyDescent="0.3">
      <c r="B68" s="107" t="s">
        <v>355</v>
      </c>
      <c r="C68" s="103"/>
      <c r="D68" s="103"/>
      <c r="E68" s="103"/>
      <c r="F68" s="103"/>
      <c r="G68" s="103"/>
      <c r="H68" s="103"/>
      <c r="I68" s="103"/>
      <c r="J68" s="103"/>
    </row>
    <row r="69" spans="2:10" ht="14" x14ac:dyDescent="0.3">
      <c r="B69" s="107" t="s">
        <v>356</v>
      </c>
      <c r="C69" s="103"/>
      <c r="D69" s="103"/>
      <c r="E69" s="103"/>
      <c r="F69" s="103"/>
      <c r="G69" s="103"/>
      <c r="H69" s="103"/>
      <c r="I69" s="103"/>
      <c r="J69" s="103"/>
    </row>
    <row r="70" spans="2:10" ht="14" x14ac:dyDescent="0.3">
      <c r="B70" s="107" t="s">
        <v>357</v>
      </c>
      <c r="C70" s="103"/>
      <c r="D70" s="103"/>
      <c r="E70" s="103"/>
      <c r="F70" s="103"/>
      <c r="G70" s="103"/>
      <c r="H70" s="103"/>
      <c r="I70" s="103"/>
      <c r="J70" s="103"/>
    </row>
  </sheetData>
  <phoneticPr fontId="0" type="noConversion"/>
  <pageMargins left="0.75" right="0.75" top="1" bottom="1" header="0.5" footer="0.5"/>
  <pageSetup paperSize="9" scale="50" orientation="portrait" r:id="rId1"/>
  <headerFooter alignWithMargins="0"/>
  <colBreaks count="1" manualBreakCount="1">
    <brk id="18" max="26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83" r:id="rId4" name="Drop Down 23">
              <controlPr defaultSize="0" autoLine="0" autoPict="0">
                <anchor moveWithCells="1" sizeWithCells="1">
                  <from>
                    <xdr:col>1</xdr:col>
                    <xdr:colOff>361950</xdr:colOff>
                    <xdr:row>5</xdr:row>
                    <xdr:rowOff>114300</xdr:rowOff>
                  </from>
                  <to>
                    <xdr:col>7</xdr:col>
                    <xdr:colOff>222250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5" name="Drop Down 24">
              <controlPr defaultSize="0" autoLine="0" autoPict="0">
                <anchor moveWithCells="1" sizeWithCells="1">
                  <from>
                    <xdr:col>1</xdr:col>
                    <xdr:colOff>361950</xdr:colOff>
                    <xdr:row>9</xdr:row>
                    <xdr:rowOff>114300</xdr:rowOff>
                  </from>
                  <to>
                    <xdr:col>7</xdr:col>
                    <xdr:colOff>222250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6" name="Drop Down 25">
              <controlPr defaultSize="0" autoLine="0" autoPict="0">
                <anchor moveWithCells="1" sizeWithCells="1">
                  <from>
                    <xdr:col>1</xdr:col>
                    <xdr:colOff>361950</xdr:colOff>
                    <xdr:row>13</xdr:row>
                    <xdr:rowOff>82550</xdr:rowOff>
                  </from>
                  <to>
                    <xdr:col>7</xdr:col>
                    <xdr:colOff>222250</xdr:colOff>
                    <xdr:row>14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7" name="Drop Down 26">
              <controlPr defaultSize="0" autoLine="0" autoPict="0">
                <anchor moveWithCells="1" sizeWithCells="1">
                  <from>
                    <xdr:col>1</xdr:col>
                    <xdr:colOff>387350</xdr:colOff>
                    <xdr:row>17</xdr:row>
                    <xdr:rowOff>6350</xdr:rowOff>
                  </from>
                  <to>
                    <xdr:col>4</xdr:col>
                    <xdr:colOff>222250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8" name="Drop Down 27">
              <controlPr defaultSize="0" autoLine="0" autoPict="0">
                <anchor moveWithCells="1" sizeWithCells="1">
                  <from>
                    <xdr:col>4</xdr:col>
                    <xdr:colOff>292100</xdr:colOff>
                    <xdr:row>17</xdr:row>
                    <xdr:rowOff>6350</xdr:rowOff>
                  </from>
                  <to>
                    <xdr:col>7</xdr:col>
                    <xdr:colOff>127000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9" name="Drop Down 28">
              <controlPr defaultSize="0" autoLine="0" autoPict="0">
                <anchor moveWithCells="1" sizeWithCells="1">
                  <from>
                    <xdr:col>7</xdr:col>
                    <xdr:colOff>190500</xdr:colOff>
                    <xdr:row>17</xdr:row>
                    <xdr:rowOff>6350</xdr:rowOff>
                  </from>
                  <to>
                    <xdr:col>9</xdr:col>
                    <xdr:colOff>622300</xdr:colOff>
                    <xdr:row>18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10" name="Button 29">
              <controlPr defaultSize="0" print="0" autoFill="0" autoPict="0" macro="[0]!ShowScatter">
                <anchor moveWithCells="1" sizeWithCells="1">
                  <from>
                    <xdr:col>7</xdr:col>
                    <xdr:colOff>647700</xdr:colOff>
                    <xdr:row>7</xdr:row>
                    <xdr:rowOff>6350</xdr:rowOff>
                  </from>
                  <to>
                    <xdr:col>9</xdr:col>
                    <xdr:colOff>387350</xdr:colOff>
                    <xdr:row>10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11" name="Button 30">
              <controlPr defaultSize="0" print="0" autoFill="0" autoPict="0" macro="[0]!ShowHistogram">
                <anchor moveWithCells="1" sizeWithCells="1">
                  <from>
                    <xdr:col>7</xdr:col>
                    <xdr:colOff>660400</xdr:colOff>
                    <xdr:row>11</xdr:row>
                    <xdr:rowOff>38100</xdr:rowOff>
                  </from>
                  <to>
                    <xdr:col>9</xdr:col>
                    <xdr:colOff>400050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12" name="Label 34">
              <controlPr defaultSize="0" autoFill="0" autoLine="0" autoPict="0">
                <anchor moveWithCells="1" sizeWithCells="1">
                  <from>
                    <xdr:col>1</xdr:col>
                    <xdr:colOff>361950</xdr:colOff>
                    <xdr:row>4</xdr:row>
                    <xdr:rowOff>120650</xdr:rowOff>
                  </from>
                  <to>
                    <xdr:col>2</xdr:col>
                    <xdr:colOff>387350</xdr:colOff>
                    <xdr:row>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13" name="Label 35">
              <controlPr defaultSize="0" autoFill="0" autoLine="0" autoPict="0">
                <anchor moveWithCells="1" sizeWithCells="1">
                  <from>
                    <xdr:col>1</xdr:col>
                    <xdr:colOff>431800</xdr:colOff>
                    <xdr:row>15</xdr:row>
                    <xdr:rowOff>139700</xdr:rowOff>
                  </from>
                  <to>
                    <xdr:col>3</xdr:col>
                    <xdr:colOff>107950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14" name="Label 36">
              <controlPr defaultSize="0" autoFill="0" autoLine="0" autoPict="0">
                <anchor moveWithCells="1" sizeWithCells="1">
                  <from>
                    <xdr:col>1</xdr:col>
                    <xdr:colOff>361950</xdr:colOff>
                    <xdr:row>8</xdr:row>
                    <xdr:rowOff>101600</xdr:rowOff>
                  </from>
                  <to>
                    <xdr:col>5</xdr:col>
                    <xdr:colOff>57150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15" name="Label 37">
              <controlPr defaultSize="0" autoFill="0" autoLine="0" autoPict="0">
                <anchor moveWithCells="1" sizeWithCells="1">
                  <from>
                    <xdr:col>1</xdr:col>
                    <xdr:colOff>381000</xdr:colOff>
                    <xdr:row>12</xdr:row>
                    <xdr:rowOff>95250</xdr:rowOff>
                  </from>
                  <to>
                    <xdr:col>2</xdr:col>
                    <xdr:colOff>342900</xdr:colOff>
                    <xdr:row>13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16" name="Label 38">
              <controlPr defaultSize="0" autoFill="0" autoLine="0" autoPict="0">
                <anchor moveWithCells="1" sizeWithCells="1">
                  <from>
                    <xdr:col>4</xdr:col>
                    <xdr:colOff>311150</xdr:colOff>
                    <xdr:row>15</xdr:row>
                    <xdr:rowOff>152400</xdr:rowOff>
                  </from>
                  <to>
                    <xdr:col>6</xdr:col>
                    <xdr:colOff>419100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17" name="Label 39">
              <controlPr defaultSize="0" autoFill="0" autoLine="0" autoPict="0">
                <anchor moveWithCells="1" sizeWithCells="1">
                  <from>
                    <xdr:col>7</xdr:col>
                    <xdr:colOff>196850</xdr:colOff>
                    <xdr:row>15</xdr:row>
                    <xdr:rowOff>139700</xdr:rowOff>
                  </from>
                  <to>
                    <xdr:col>9</xdr:col>
                    <xdr:colOff>260350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18" name="Check Box 44">
              <controlPr defaultSize="0" autoFill="0" autoLine="0" autoPict="0">
                <anchor moveWithCells="1">
                  <from>
                    <xdr:col>7</xdr:col>
                    <xdr:colOff>622300</xdr:colOff>
                    <xdr:row>5</xdr:row>
                    <xdr:rowOff>38100</xdr:rowOff>
                  </from>
                  <to>
                    <xdr:col>9</xdr:col>
                    <xdr:colOff>330200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7" r:id="rId19" name="Drop Down 47">
              <controlPr defaultSize="0" autoLine="0" autoPict="0" macro="[0]!UpdateTypeList">
                <anchor moveWithCells="1">
                  <from>
                    <xdr:col>4</xdr:col>
                    <xdr:colOff>527050</xdr:colOff>
                    <xdr:row>3</xdr:row>
                    <xdr:rowOff>6350</xdr:rowOff>
                  </from>
                  <to>
                    <xdr:col>7</xdr:col>
                    <xdr:colOff>209550</xdr:colOff>
                    <xdr:row>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8" r:id="rId20" name="Label 48">
              <controlPr defaultSize="0" autoFill="0" autoLine="0" autoPict="0">
                <anchor moveWithCells="1">
                  <from>
                    <xdr:col>2</xdr:col>
                    <xdr:colOff>107950</xdr:colOff>
                    <xdr:row>3</xdr:row>
                    <xdr:rowOff>44450</xdr:rowOff>
                  </from>
                  <to>
                    <xdr:col>4</xdr:col>
                    <xdr:colOff>438150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2" r:id="rId21" name="Button 52">
              <controlPr defaultSize="0" print="0" autoFill="0" autoPict="0" macro="[0]!UpdateTypeList">
                <anchor moveWithCells="1" sizeWithCells="1">
                  <from>
                    <xdr:col>7</xdr:col>
                    <xdr:colOff>666750</xdr:colOff>
                    <xdr:row>19</xdr:row>
                    <xdr:rowOff>19050</xdr:rowOff>
                  </from>
                  <to>
                    <xdr:col>9</xdr:col>
                    <xdr:colOff>406400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3" r:id="rId22" name="Button 53">
              <controlPr defaultSize="0" print="0" autoFill="0" autoPict="0" macro="[0]!ShowHelp">
                <anchor moveWithCells="1" sizeWithCells="1">
                  <from>
                    <xdr:col>1</xdr:col>
                    <xdr:colOff>120650</xdr:colOff>
                    <xdr:row>19</xdr:row>
                    <xdr:rowOff>76200</xdr:rowOff>
                  </from>
                  <to>
                    <xdr:col>2</xdr:col>
                    <xdr:colOff>539750</xdr:colOff>
                    <xdr:row>21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B1:J131"/>
  <sheetViews>
    <sheetView showGridLines="0" zoomScaleNormal="100" workbookViewId="0"/>
  </sheetViews>
  <sheetFormatPr defaultRowHeight="12.5" x14ac:dyDescent="0.25"/>
  <cols>
    <col min="2" max="2" width="84.7265625" customWidth="1"/>
    <col min="3" max="3" width="10" customWidth="1"/>
    <col min="4" max="4" width="10.1796875" customWidth="1"/>
    <col min="9" max="9" width="2.453125" customWidth="1"/>
  </cols>
  <sheetData>
    <row r="1" spans="2:10" ht="13" x14ac:dyDescent="0.3">
      <c r="J1" s="93" t="s">
        <v>247</v>
      </c>
    </row>
    <row r="3" spans="2:10" ht="13" x14ac:dyDescent="0.3">
      <c r="B3" s="97" t="s">
        <v>17</v>
      </c>
      <c r="J3" s="7" t="s">
        <v>248</v>
      </c>
    </row>
    <row r="4" spans="2:10" x14ac:dyDescent="0.25">
      <c r="B4" s="24"/>
    </row>
    <row r="5" spans="2:10" ht="13" x14ac:dyDescent="0.3">
      <c r="B5" s="24" t="s">
        <v>158</v>
      </c>
      <c r="J5" t="s">
        <v>251</v>
      </c>
    </row>
    <row r="6" spans="2:10" x14ac:dyDescent="0.25">
      <c r="B6" s="24" t="s">
        <v>304</v>
      </c>
    </row>
    <row r="7" spans="2:10" ht="13" x14ac:dyDescent="0.3">
      <c r="B7" s="24" t="s">
        <v>252</v>
      </c>
      <c r="J7" s="93" t="s">
        <v>246</v>
      </c>
    </row>
    <row r="8" spans="2:10" ht="13" x14ac:dyDescent="0.3">
      <c r="B8" s="24" t="s">
        <v>261</v>
      </c>
    </row>
    <row r="9" spans="2:10" x14ac:dyDescent="0.25">
      <c r="B9" s="24" t="s">
        <v>177</v>
      </c>
      <c r="J9" s="7" t="s">
        <v>249</v>
      </c>
    </row>
    <row r="10" spans="2:10" x14ac:dyDescent="0.25">
      <c r="B10" s="24"/>
    </row>
    <row r="11" spans="2:10" x14ac:dyDescent="0.25">
      <c r="B11" s="24" t="s">
        <v>138</v>
      </c>
      <c r="I11" t="s">
        <v>243</v>
      </c>
    </row>
    <row r="12" spans="2:10" x14ac:dyDescent="0.25">
      <c r="B12" s="24" t="s">
        <v>184</v>
      </c>
      <c r="J12" t="s">
        <v>242</v>
      </c>
    </row>
    <row r="13" spans="2:10" ht="13" x14ac:dyDescent="0.3">
      <c r="B13" s="24" t="s">
        <v>253</v>
      </c>
      <c r="J13" t="s">
        <v>241</v>
      </c>
    </row>
    <row r="14" spans="2:10" x14ac:dyDescent="0.25">
      <c r="B14" s="24" t="s">
        <v>174</v>
      </c>
    </row>
    <row r="15" spans="2:10" ht="13" x14ac:dyDescent="0.3">
      <c r="B15" s="24" t="s">
        <v>280</v>
      </c>
      <c r="I15" t="s">
        <v>240</v>
      </c>
    </row>
    <row r="16" spans="2:10" x14ac:dyDescent="0.25">
      <c r="B16" s="24"/>
      <c r="J16" t="s">
        <v>233</v>
      </c>
    </row>
    <row r="17" spans="2:10" ht="13" x14ac:dyDescent="0.3">
      <c r="B17" s="24" t="s">
        <v>254</v>
      </c>
      <c r="J17" t="s">
        <v>239</v>
      </c>
    </row>
    <row r="18" spans="2:10" ht="13" x14ac:dyDescent="0.3">
      <c r="B18" s="24" t="s">
        <v>255</v>
      </c>
      <c r="J18" t="s">
        <v>238</v>
      </c>
    </row>
    <row r="19" spans="2:10" x14ac:dyDescent="0.25">
      <c r="B19" s="24" t="s">
        <v>139</v>
      </c>
      <c r="J19" t="s">
        <v>237</v>
      </c>
    </row>
    <row r="20" spans="2:10" ht="13" x14ac:dyDescent="0.3">
      <c r="B20" s="24" t="s">
        <v>256</v>
      </c>
      <c r="J20" t="s">
        <v>236</v>
      </c>
    </row>
    <row r="21" spans="2:10" x14ac:dyDescent="0.25">
      <c r="B21" s="24"/>
      <c r="J21" t="s">
        <v>232</v>
      </c>
    </row>
    <row r="22" spans="2:10" ht="13" x14ac:dyDescent="0.3">
      <c r="B22" s="24" t="s">
        <v>257</v>
      </c>
      <c r="J22" t="s">
        <v>235</v>
      </c>
    </row>
    <row r="23" spans="2:10" x14ac:dyDescent="0.25">
      <c r="B23" s="68" t="s">
        <v>258</v>
      </c>
    </row>
    <row r="24" spans="2:10" x14ac:dyDescent="0.25">
      <c r="B24" s="68"/>
      <c r="I24" t="s">
        <v>234</v>
      </c>
    </row>
    <row r="25" spans="2:10" ht="13" x14ac:dyDescent="0.3">
      <c r="B25" s="90" t="s">
        <v>259</v>
      </c>
      <c r="J25" t="s">
        <v>233</v>
      </c>
    </row>
    <row r="26" spans="2:10" x14ac:dyDescent="0.25">
      <c r="B26" s="24" t="s">
        <v>198</v>
      </c>
      <c r="J26" t="s">
        <v>232</v>
      </c>
    </row>
    <row r="27" spans="2:10" x14ac:dyDescent="0.25">
      <c r="B27" s="24"/>
    </row>
    <row r="28" spans="2:10" x14ac:dyDescent="0.25">
      <c r="B28" s="12"/>
      <c r="I28" t="s">
        <v>231</v>
      </c>
    </row>
    <row r="29" spans="2:10" x14ac:dyDescent="0.25">
      <c r="B29" s="91"/>
      <c r="J29" t="s">
        <v>230</v>
      </c>
    </row>
    <row r="30" spans="2:10" ht="13" x14ac:dyDescent="0.3">
      <c r="B30" s="90" t="s">
        <v>185</v>
      </c>
      <c r="J30" t="s">
        <v>229</v>
      </c>
    </row>
    <row r="31" spans="2:10" x14ac:dyDescent="0.25">
      <c r="B31" s="24"/>
      <c r="J31" t="s">
        <v>228</v>
      </c>
    </row>
    <row r="32" spans="2:10" ht="13" x14ac:dyDescent="0.3">
      <c r="B32" s="24" t="s">
        <v>305</v>
      </c>
      <c r="I32" s="88"/>
      <c r="J32" s="94" t="s">
        <v>227</v>
      </c>
    </row>
    <row r="33" spans="2:10" x14ac:dyDescent="0.25">
      <c r="B33" s="24" t="s">
        <v>186</v>
      </c>
    </row>
    <row r="34" spans="2:10" x14ac:dyDescent="0.25">
      <c r="B34" s="24" t="s">
        <v>161</v>
      </c>
      <c r="I34" t="s">
        <v>226</v>
      </c>
    </row>
    <row r="35" spans="2:10" x14ac:dyDescent="0.25">
      <c r="B35" s="24"/>
      <c r="J35" t="s">
        <v>225</v>
      </c>
    </row>
    <row r="36" spans="2:10" x14ac:dyDescent="0.25">
      <c r="B36" s="24" t="s">
        <v>187</v>
      </c>
      <c r="J36" t="s">
        <v>224</v>
      </c>
    </row>
    <row r="37" spans="2:10" x14ac:dyDescent="0.25">
      <c r="B37" s="24" t="s">
        <v>188</v>
      </c>
      <c r="J37" t="s">
        <v>223</v>
      </c>
    </row>
    <row r="38" spans="2:10" ht="13" x14ac:dyDescent="0.3">
      <c r="B38" s="24"/>
      <c r="J38" t="s">
        <v>222</v>
      </c>
    </row>
    <row r="39" spans="2:10" ht="13" x14ac:dyDescent="0.3">
      <c r="B39" s="24" t="s">
        <v>273</v>
      </c>
      <c r="J39" t="s">
        <v>221</v>
      </c>
    </row>
    <row r="40" spans="2:10" ht="13" x14ac:dyDescent="0.3">
      <c r="B40" s="24" t="s">
        <v>306</v>
      </c>
      <c r="J40" t="s">
        <v>220</v>
      </c>
    </row>
    <row r="41" spans="2:10" ht="13" x14ac:dyDescent="0.3">
      <c r="B41" s="24" t="s">
        <v>274</v>
      </c>
    </row>
    <row r="42" spans="2:10" ht="13" x14ac:dyDescent="0.3">
      <c r="B42" s="25"/>
      <c r="J42" s="93" t="s">
        <v>245</v>
      </c>
    </row>
    <row r="44" spans="2:10" x14ac:dyDescent="0.25">
      <c r="B44" s="91"/>
      <c r="I44" t="s">
        <v>219</v>
      </c>
    </row>
    <row r="45" spans="2:10" ht="13" x14ac:dyDescent="0.3">
      <c r="B45" s="98" t="s">
        <v>18</v>
      </c>
      <c r="J45" t="s">
        <v>218</v>
      </c>
    </row>
    <row r="46" spans="2:10" x14ac:dyDescent="0.25">
      <c r="B46" s="26"/>
      <c r="J46" t="s">
        <v>217</v>
      </c>
    </row>
    <row r="47" spans="2:10" ht="13" x14ac:dyDescent="0.3">
      <c r="B47" s="26" t="s">
        <v>260</v>
      </c>
      <c r="J47" t="s">
        <v>216</v>
      </c>
    </row>
    <row r="48" spans="2:10" ht="13" x14ac:dyDescent="0.3">
      <c r="B48" s="26" t="s">
        <v>285</v>
      </c>
    </row>
    <row r="49" spans="2:10" ht="13" x14ac:dyDescent="0.3">
      <c r="B49" s="26" t="s">
        <v>286</v>
      </c>
      <c r="I49" s="4"/>
      <c r="J49" s="93" t="s">
        <v>244</v>
      </c>
    </row>
    <row r="50" spans="2:10" ht="13" x14ac:dyDescent="0.3">
      <c r="B50" s="26" t="s">
        <v>288</v>
      </c>
      <c r="I50" s="4"/>
      <c r="J50" s="93"/>
    </row>
    <row r="51" spans="2:10" ht="13" x14ac:dyDescent="0.3">
      <c r="B51" s="26" t="s">
        <v>289</v>
      </c>
    </row>
    <row r="52" spans="2:10" ht="12.75" customHeight="1" x14ac:dyDescent="0.25">
      <c r="B52" s="26" t="s">
        <v>287</v>
      </c>
      <c r="I52" t="s">
        <v>215</v>
      </c>
    </row>
    <row r="53" spans="2:10" x14ac:dyDescent="0.25">
      <c r="B53" s="27"/>
      <c r="J53" t="s">
        <v>214</v>
      </c>
    </row>
    <row r="54" spans="2:10" x14ac:dyDescent="0.25">
      <c r="B54" s="28"/>
      <c r="J54" t="s">
        <v>202</v>
      </c>
    </row>
    <row r="55" spans="2:10" x14ac:dyDescent="0.25">
      <c r="J55" t="s">
        <v>213</v>
      </c>
    </row>
    <row r="56" spans="2:10" ht="13" x14ac:dyDescent="0.3">
      <c r="B56" s="99" t="s">
        <v>176</v>
      </c>
      <c r="J56" t="s">
        <v>201</v>
      </c>
    </row>
    <row r="57" spans="2:10" x14ac:dyDescent="0.25">
      <c r="B57" s="24"/>
      <c r="J57" t="s">
        <v>212</v>
      </c>
    </row>
    <row r="58" spans="2:10" x14ac:dyDescent="0.25">
      <c r="B58" s="24" t="s">
        <v>178</v>
      </c>
      <c r="J58" t="s">
        <v>203</v>
      </c>
    </row>
    <row r="59" spans="2:10" ht="13" x14ac:dyDescent="0.3">
      <c r="B59" s="24" t="s">
        <v>180</v>
      </c>
      <c r="J59" t="s">
        <v>211</v>
      </c>
    </row>
    <row r="60" spans="2:10" x14ac:dyDescent="0.25">
      <c r="B60" s="24" t="s">
        <v>307</v>
      </c>
      <c r="J60" t="s">
        <v>210</v>
      </c>
    </row>
    <row r="61" spans="2:10" x14ac:dyDescent="0.25">
      <c r="B61" s="24"/>
    </row>
    <row r="62" spans="2:10" x14ac:dyDescent="0.25">
      <c r="B62" s="24" t="s">
        <v>308</v>
      </c>
      <c r="I62" t="s">
        <v>209</v>
      </c>
    </row>
    <row r="63" spans="2:10" ht="13" x14ac:dyDescent="0.3">
      <c r="B63" s="90" t="s">
        <v>181</v>
      </c>
      <c r="J63" t="s">
        <v>208</v>
      </c>
    </row>
    <row r="64" spans="2:10" x14ac:dyDescent="0.25">
      <c r="B64" s="24" t="s">
        <v>179</v>
      </c>
      <c r="J64" t="s">
        <v>207</v>
      </c>
    </row>
    <row r="65" spans="2:10" x14ac:dyDescent="0.25">
      <c r="B65" s="24" t="s">
        <v>309</v>
      </c>
      <c r="J65" t="s">
        <v>206</v>
      </c>
    </row>
    <row r="66" spans="2:10" x14ac:dyDescent="0.25">
      <c r="B66" s="24" t="s">
        <v>283</v>
      </c>
      <c r="J66" t="s">
        <v>205</v>
      </c>
    </row>
    <row r="67" spans="2:10" ht="13" x14ac:dyDescent="0.3">
      <c r="B67" s="24" t="s">
        <v>182</v>
      </c>
    </row>
    <row r="68" spans="2:10" x14ac:dyDescent="0.25">
      <c r="B68" s="24" t="s">
        <v>183</v>
      </c>
      <c r="I68" t="s">
        <v>204</v>
      </c>
    </row>
    <row r="69" spans="2:10" x14ac:dyDescent="0.25">
      <c r="B69" s="24" t="s">
        <v>281</v>
      </c>
      <c r="J69" t="s">
        <v>203</v>
      </c>
    </row>
    <row r="70" spans="2:10" x14ac:dyDescent="0.25">
      <c r="B70" s="24" t="s">
        <v>282</v>
      </c>
    </row>
    <row r="71" spans="2:10" x14ac:dyDescent="0.25">
      <c r="B71" s="24"/>
      <c r="J71" t="s">
        <v>202</v>
      </c>
    </row>
    <row r="72" spans="2:10" ht="13" x14ac:dyDescent="0.3">
      <c r="B72" s="100" t="s">
        <v>262</v>
      </c>
      <c r="J72" t="s">
        <v>201</v>
      </c>
    </row>
    <row r="73" spans="2:10" ht="13" x14ac:dyDescent="0.3">
      <c r="B73" s="100" t="s">
        <v>263</v>
      </c>
      <c r="J73" t="s">
        <v>200</v>
      </c>
    </row>
    <row r="74" spans="2:10" ht="13" x14ac:dyDescent="0.3">
      <c r="B74" s="101" t="s">
        <v>264</v>
      </c>
      <c r="J74" t="s">
        <v>199</v>
      </c>
    </row>
    <row r="75" spans="2:10" x14ac:dyDescent="0.25">
      <c r="B75" s="25"/>
    </row>
    <row r="78" spans="2:10" ht="13" x14ac:dyDescent="0.3">
      <c r="B78" s="99" t="s">
        <v>272</v>
      </c>
    </row>
    <row r="79" spans="2:10" x14ac:dyDescent="0.25">
      <c r="B79" s="24"/>
    </row>
    <row r="80" spans="2:10" x14ac:dyDescent="0.25">
      <c r="B80" s="24" t="s">
        <v>265</v>
      </c>
    </row>
    <row r="81" spans="2:4" x14ac:dyDescent="0.25">
      <c r="B81" s="24"/>
    </row>
    <row r="82" spans="2:4" x14ac:dyDescent="0.25">
      <c r="B82" s="102" t="s">
        <v>266</v>
      </c>
    </row>
    <row r="83" spans="2:4" x14ac:dyDescent="0.25">
      <c r="B83" s="24"/>
    </row>
    <row r="84" spans="2:4" x14ac:dyDescent="0.25">
      <c r="B84" s="24" t="s">
        <v>267</v>
      </c>
    </row>
    <row r="85" spans="2:4" x14ac:dyDescent="0.25">
      <c r="B85" s="24" t="s">
        <v>268</v>
      </c>
    </row>
    <row r="86" spans="2:4" x14ac:dyDescent="0.25">
      <c r="B86" s="24" t="s">
        <v>269</v>
      </c>
    </row>
    <row r="87" spans="2:4" x14ac:dyDescent="0.25">
      <c r="B87" s="24" t="s">
        <v>270</v>
      </c>
    </row>
    <row r="88" spans="2:4" x14ac:dyDescent="0.25">
      <c r="B88" s="24" t="s">
        <v>271</v>
      </c>
    </row>
    <row r="89" spans="2:4" x14ac:dyDescent="0.25">
      <c r="B89" s="24" t="s">
        <v>59</v>
      </c>
    </row>
    <row r="90" spans="2:4" x14ac:dyDescent="0.25">
      <c r="B90" s="24"/>
    </row>
    <row r="91" spans="2:4" x14ac:dyDescent="0.25">
      <c r="B91" s="24" t="s">
        <v>284</v>
      </c>
    </row>
    <row r="92" spans="2:4" x14ac:dyDescent="0.25">
      <c r="B92" s="25"/>
    </row>
    <row r="94" spans="2:4" ht="26" x14ac:dyDescent="0.3">
      <c r="B94" s="89" t="s">
        <v>175</v>
      </c>
      <c r="C94" s="95" t="s">
        <v>0</v>
      </c>
      <c r="D94" s="86" t="s">
        <v>250</v>
      </c>
    </row>
    <row r="95" spans="2:4" x14ac:dyDescent="0.25">
      <c r="B95" s="88" t="s">
        <v>32</v>
      </c>
      <c r="C95" s="96" t="s">
        <v>147</v>
      </c>
      <c r="D95" s="103" t="s">
        <v>189</v>
      </c>
    </row>
    <row r="96" spans="2:4" x14ac:dyDescent="0.25">
      <c r="B96" s="88" t="s">
        <v>33</v>
      </c>
      <c r="C96" s="96" t="s">
        <v>147</v>
      </c>
      <c r="D96" s="103" t="s">
        <v>189</v>
      </c>
    </row>
    <row r="97" spans="2:4" x14ac:dyDescent="0.25">
      <c r="B97" s="88" t="s">
        <v>34</v>
      </c>
      <c r="C97" s="96" t="s">
        <v>147</v>
      </c>
      <c r="D97" s="103" t="s">
        <v>190</v>
      </c>
    </row>
    <row r="98" spans="2:4" x14ac:dyDescent="0.25">
      <c r="B98" s="88" t="s">
        <v>35</v>
      </c>
      <c r="C98" s="96" t="s">
        <v>147</v>
      </c>
      <c r="D98" s="103" t="s">
        <v>189</v>
      </c>
    </row>
    <row r="99" spans="2:4" x14ac:dyDescent="0.25">
      <c r="B99" s="88" t="s">
        <v>36</v>
      </c>
      <c r="C99" s="96" t="s">
        <v>147</v>
      </c>
      <c r="D99" s="103" t="s">
        <v>190</v>
      </c>
    </row>
    <row r="100" spans="2:4" x14ac:dyDescent="0.25">
      <c r="B100" s="88" t="s">
        <v>37</v>
      </c>
      <c r="C100" s="96" t="s">
        <v>147</v>
      </c>
      <c r="D100" s="103" t="s">
        <v>190</v>
      </c>
    </row>
    <row r="101" spans="2:4" x14ac:dyDescent="0.25">
      <c r="B101" s="88" t="s">
        <v>38</v>
      </c>
      <c r="C101" s="96" t="s">
        <v>147</v>
      </c>
      <c r="D101" s="103" t="s">
        <v>189</v>
      </c>
    </row>
    <row r="102" spans="2:4" x14ac:dyDescent="0.25">
      <c r="B102" s="88" t="s">
        <v>39</v>
      </c>
      <c r="C102" s="96" t="s">
        <v>147</v>
      </c>
      <c r="D102" s="103" t="s">
        <v>189</v>
      </c>
    </row>
    <row r="103" spans="2:4" x14ac:dyDescent="0.25">
      <c r="B103" s="88" t="s">
        <v>40</v>
      </c>
      <c r="C103" s="96" t="s">
        <v>147</v>
      </c>
      <c r="D103" s="103" t="s">
        <v>189</v>
      </c>
    </row>
    <row r="104" spans="2:4" x14ac:dyDescent="0.25">
      <c r="B104" s="88" t="s">
        <v>41</v>
      </c>
      <c r="C104" s="96" t="s">
        <v>147</v>
      </c>
      <c r="D104" s="103" t="s">
        <v>189</v>
      </c>
    </row>
    <row r="105" spans="2:4" x14ac:dyDescent="0.25">
      <c r="B105" s="88" t="s">
        <v>49</v>
      </c>
      <c r="C105" s="96" t="s">
        <v>149</v>
      </c>
      <c r="D105" s="103" t="s">
        <v>191</v>
      </c>
    </row>
    <row r="106" spans="2:4" x14ac:dyDescent="0.25">
      <c r="B106" s="88" t="s">
        <v>51</v>
      </c>
      <c r="C106" s="96" t="s">
        <v>149</v>
      </c>
      <c r="D106" s="103" t="s">
        <v>193</v>
      </c>
    </row>
    <row r="107" spans="2:4" x14ac:dyDescent="0.25">
      <c r="B107" s="88" t="s">
        <v>54</v>
      </c>
      <c r="C107" s="96" t="s">
        <v>149</v>
      </c>
      <c r="D107" s="103" t="s">
        <v>191</v>
      </c>
    </row>
    <row r="108" spans="2:4" x14ac:dyDescent="0.25">
      <c r="B108" s="88" t="s">
        <v>58</v>
      </c>
      <c r="C108" s="96" t="s">
        <v>149</v>
      </c>
      <c r="D108" s="103" t="s">
        <v>193</v>
      </c>
    </row>
    <row r="109" spans="2:4" x14ac:dyDescent="0.25">
      <c r="B109" s="88" t="s">
        <v>42</v>
      </c>
      <c r="C109" s="96" t="s">
        <v>148</v>
      </c>
      <c r="D109" s="103" t="s">
        <v>193</v>
      </c>
    </row>
    <row r="110" spans="2:4" x14ac:dyDescent="0.25">
      <c r="B110" s="88" t="s">
        <v>43</v>
      </c>
      <c r="C110" s="96" t="s">
        <v>148</v>
      </c>
      <c r="D110" s="103" t="s">
        <v>193</v>
      </c>
    </row>
    <row r="111" spans="2:4" x14ac:dyDescent="0.25">
      <c r="B111" s="88" t="s">
        <v>44</v>
      </c>
      <c r="C111" s="96" t="s">
        <v>148</v>
      </c>
      <c r="D111" s="103" t="s">
        <v>191</v>
      </c>
    </row>
    <row r="112" spans="2:4" x14ac:dyDescent="0.25">
      <c r="B112" s="88" t="s">
        <v>45</v>
      </c>
      <c r="C112" s="96" t="s">
        <v>148</v>
      </c>
      <c r="D112" s="103" t="s">
        <v>193</v>
      </c>
    </row>
    <row r="113" spans="2:4" x14ac:dyDescent="0.25">
      <c r="B113" s="88" t="s">
        <v>46</v>
      </c>
      <c r="C113" s="96" t="s">
        <v>148</v>
      </c>
      <c r="D113" s="103" t="s">
        <v>191</v>
      </c>
    </row>
    <row r="114" spans="2:4" x14ac:dyDescent="0.25">
      <c r="B114" s="88" t="s">
        <v>47</v>
      </c>
      <c r="C114" s="96" t="s">
        <v>148</v>
      </c>
      <c r="D114" s="103" t="s">
        <v>193</v>
      </c>
    </row>
    <row r="115" spans="2:4" x14ac:dyDescent="0.25">
      <c r="B115" s="88" t="s">
        <v>60</v>
      </c>
      <c r="C115" s="96" t="s">
        <v>148</v>
      </c>
      <c r="D115" s="103" t="s">
        <v>193</v>
      </c>
    </row>
    <row r="116" spans="2:4" x14ac:dyDescent="0.25">
      <c r="B116" s="88" t="s">
        <v>48</v>
      </c>
      <c r="C116" s="96" t="s">
        <v>148</v>
      </c>
      <c r="D116" s="103" t="s">
        <v>192</v>
      </c>
    </row>
    <row r="117" spans="2:4" x14ac:dyDescent="0.25">
      <c r="B117" s="88" t="s">
        <v>50</v>
      </c>
      <c r="C117" s="96" t="s">
        <v>148</v>
      </c>
      <c r="D117" s="103" t="s">
        <v>192</v>
      </c>
    </row>
    <row r="118" spans="2:4" x14ac:dyDescent="0.25">
      <c r="B118" s="88" t="s">
        <v>52</v>
      </c>
      <c r="C118" s="96" t="s">
        <v>148</v>
      </c>
      <c r="D118" s="103" t="s">
        <v>193</v>
      </c>
    </row>
    <row r="119" spans="2:4" x14ac:dyDescent="0.25">
      <c r="B119" s="88" t="s">
        <v>53</v>
      </c>
      <c r="C119" s="96" t="s">
        <v>148</v>
      </c>
      <c r="D119" s="103" t="s">
        <v>193</v>
      </c>
    </row>
    <row r="120" spans="2:4" x14ac:dyDescent="0.25">
      <c r="B120" s="88" t="s">
        <v>55</v>
      </c>
      <c r="C120" s="96" t="s">
        <v>148</v>
      </c>
      <c r="D120" s="103" t="s">
        <v>192</v>
      </c>
    </row>
    <row r="121" spans="2:4" x14ac:dyDescent="0.25">
      <c r="B121" s="88" t="s">
        <v>56</v>
      </c>
      <c r="C121" s="96" t="s">
        <v>148</v>
      </c>
      <c r="D121" s="103" t="s">
        <v>192</v>
      </c>
    </row>
    <row r="122" spans="2:4" x14ac:dyDescent="0.25">
      <c r="B122" s="88" t="s">
        <v>57</v>
      </c>
      <c r="C122" s="96" t="s">
        <v>148</v>
      </c>
      <c r="D122" s="103" t="s">
        <v>191</v>
      </c>
    </row>
    <row r="123" spans="2:4" x14ac:dyDescent="0.25">
      <c r="B123" s="88" t="s">
        <v>59</v>
      </c>
      <c r="C123" s="96" t="s">
        <v>148</v>
      </c>
      <c r="D123" s="103" t="s">
        <v>193</v>
      </c>
    </row>
    <row r="124" spans="2:4" x14ac:dyDescent="0.25">
      <c r="B124" s="88" t="s">
        <v>63</v>
      </c>
      <c r="C124" s="96" t="s">
        <v>159</v>
      </c>
      <c r="D124" s="103" t="s">
        <v>194</v>
      </c>
    </row>
    <row r="125" spans="2:4" x14ac:dyDescent="0.25">
      <c r="B125" s="88" t="s">
        <v>141</v>
      </c>
      <c r="C125" s="96" t="s">
        <v>159</v>
      </c>
      <c r="D125" s="103" t="s">
        <v>195</v>
      </c>
    </row>
    <row r="126" spans="2:4" x14ac:dyDescent="0.25">
      <c r="B126" s="88" t="s">
        <v>64</v>
      </c>
      <c r="C126" s="96" t="s">
        <v>159</v>
      </c>
      <c r="D126" s="103" t="s">
        <v>196</v>
      </c>
    </row>
    <row r="127" spans="2:4" x14ac:dyDescent="0.25">
      <c r="B127" s="88" t="s">
        <v>140</v>
      </c>
      <c r="C127" s="96" t="s">
        <v>159</v>
      </c>
      <c r="D127" s="103" t="s">
        <v>196</v>
      </c>
    </row>
    <row r="128" spans="2:4" x14ac:dyDescent="0.25">
      <c r="B128" s="88" t="s">
        <v>142</v>
      </c>
      <c r="C128" s="96" t="s">
        <v>159</v>
      </c>
      <c r="D128" s="103" t="s">
        <v>194</v>
      </c>
    </row>
    <row r="129" spans="2:4" x14ac:dyDescent="0.25">
      <c r="B129" s="88" t="s">
        <v>61</v>
      </c>
      <c r="C129" s="96" t="s">
        <v>159</v>
      </c>
      <c r="D129" s="103" t="s">
        <v>195</v>
      </c>
    </row>
    <row r="130" spans="2:4" x14ac:dyDescent="0.25">
      <c r="B130" s="88" t="s">
        <v>146</v>
      </c>
      <c r="C130" s="96" t="s">
        <v>160</v>
      </c>
      <c r="D130" s="103" t="s">
        <v>197</v>
      </c>
    </row>
    <row r="131" spans="2:4" x14ac:dyDescent="0.25">
      <c r="B131" s="88" t="s">
        <v>62</v>
      </c>
      <c r="C131" s="96" t="s">
        <v>160</v>
      </c>
      <c r="D131" s="103" t="s">
        <v>197</v>
      </c>
    </row>
  </sheetData>
  <phoneticPr fontId="0" type="noConversion"/>
  <hyperlinks>
    <hyperlink ref="B82" r:id="rId1" display="martin.jennings@ipf.co.uk"/>
  </hyperlinks>
  <pageMargins left="0.75" right="0.75" top="1" bottom="1" header="0.5" footer="0.5"/>
  <pageSetup paperSize="9" orientation="portrait" r:id="rId2"/>
  <headerFooter alignWithMargins="0"/>
  <rowBreaks count="1" manualBreakCount="1">
    <brk id="54" min="1" max="1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 macro="[0]!Button3_Click">
                <anchor moveWithCells="1" sizeWithCells="1">
                  <from>
                    <xdr:col>1</xdr:col>
                    <xdr:colOff>3200400</xdr:colOff>
                    <xdr:row>13</xdr:row>
                    <xdr:rowOff>0</xdr:rowOff>
                  </from>
                  <to>
                    <xdr:col>1</xdr:col>
                    <xdr:colOff>5708650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Button4_Click">
                <anchor moveWithCells="1" sizeWithCells="1">
                  <from>
                    <xdr:col>1</xdr:col>
                    <xdr:colOff>3771900</xdr:colOff>
                    <xdr:row>8</xdr:row>
                    <xdr:rowOff>6350</xdr:rowOff>
                  </from>
                  <to>
                    <xdr:col>1</xdr:col>
                    <xdr:colOff>5708650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ShowDialogBox">
                <anchor moveWithCells="1" sizeWithCells="1">
                  <from>
                    <xdr:col>2</xdr:col>
                    <xdr:colOff>330200</xdr:colOff>
                    <xdr:row>0</xdr:row>
                    <xdr:rowOff>31750</xdr:rowOff>
                  </from>
                  <to>
                    <xdr:col>3</xdr:col>
                    <xdr:colOff>590550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ShowStructure">
                <anchor moveWithCells="1" sizeWithCells="1">
                  <from>
                    <xdr:col>1</xdr:col>
                    <xdr:colOff>4102100</xdr:colOff>
                    <xdr:row>3</xdr:row>
                    <xdr:rowOff>101600</xdr:rowOff>
                  </from>
                  <to>
                    <xdr:col>1</xdr:col>
                    <xdr:colOff>5683250</xdr:colOff>
                    <xdr:row>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Button 7">
              <controlPr defaultSize="0" print="0" autoFill="0" autoPict="0" macro="[0]!ShowExample">
                <anchor moveWithCells="1" sizeWithCells="1">
                  <from>
                    <xdr:col>1</xdr:col>
                    <xdr:colOff>4591050</xdr:colOff>
                    <xdr:row>38</xdr:row>
                    <xdr:rowOff>31750</xdr:rowOff>
                  </from>
                  <to>
                    <xdr:col>1</xdr:col>
                    <xdr:colOff>5810250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Button 8">
              <controlPr defaultSize="0" print="0" autoFill="0" autoPict="0" macro="[0]!ShowChange">
                <anchor moveWithCells="1" sizeWithCells="1">
                  <from>
                    <xdr:col>4</xdr:col>
                    <xdr:colOff>381000</xdr:colOff>
                    <xdr:row>94</xdr:row>
                    <xdr:rowOff>0</xdr:rowOff>
                  </from>
                  <to>
                    <xdr:col>6</xdr:col>
                    <xdr:colOff>361950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Button 9">
              <controlPr defaultSize="0" print="0" autoFill="0" autoPict="0" macro="[0]!Button3_Click">
                <anchor moveWithCells="1" sizeWithCells="1">
                  <from>
                    <xdr:col>1</xdr:col>
                    <xdr:colOff>3200400</xdr:colOff>
                    <xdr:row>13</xdr:row>
                    <xdr:rowOff>0</xdr:rowOff>
                  </from>
                  <to>
                    <xdr:col>1</xdr:col>
                    <xdr:colOff>5708650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Button 10">
              <controlPr defaultSize="0" print="0" autoFill="0" autoPict="0" macro="[0]!Button4_Click">
                <anchor moveWithCells="1" sizeWithCells="1">
                  <from>
                    <xdr:col>1</xdr:col>
                    <xdr:colOff>3771900</xdr:colOff>
                    <xdr:row>8</xdr:row>
                    <xdr:rowOff>6350</xdr:rowOff>
                  </from>
                  <to>
                    <xdr:col>1</xdr:col>
                    <xdr:colOff>5708650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Button 11">
              <controlPr defaultSize="0" print="0" autoFill="0" autoPict="0" macro="[0]!ShowStructure">
                <anchor moveWithCells="1" sizeWithCells="1">
                  <from>
                    <xdr:col>1</xdr:col>
                    <xdr:colOff>4102100</xdr:colOff>
                    <xdr:row>3</xdr:row>
                    <xdr:rowOff>101600</xdr:rowOff>
                  </from>
                  <to>
                    <xdr:col>1</xdr:col>
                    <xdr:colOff>5683250</xdr:colOff>
                    <xdr:row>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Button 12">
              <controlPr defaultSize="0" print="0" autoFill="0" autoPict="0" macro="[0]!ShowExample">
                <anchor moveWithCells="1" sizeWithCells="1">
                  <from>
                    <xdr:col>1</xdr:col>
                    <xdr:colOff>4591050</xdr:colOff>
                    <xdr:row>38</xdr:row>
                    <xdr:rowOff>31750</xdr:rowOff>
                  </from>
                  <to>
                    <xdr:col>1</xdr:col>
                    <xdr:colOff>5810250</xdr:colOff>
                    <xdr:row>40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501"/>
  <sheetViews>
    <sheetView showZeros="0" topLeftCell="D1" workbookViewId="0">
      <selection activeCell="J4" sqref="J4"/>
    </sheetView>
  </sheetViews>
  <sheetFormatPr defaultRowHeight="12.5" x14ac:dyDescent="0.25"/>
  <cols>
    <col min="1" max="1" width="9.54296875" customWidth="1"/>
    <col min="2" max="2" width="4.1796875" customWidth="1"/>
    <col min="3" max="4" width="9.54296875" customWidth="1"/>
    <col min="5" max="5" width="3.26953125" customWidth="1"/>
    <col min="6" max="6" width="36.453125" customWidth="1"/>
    <col min="7" max="8" width="5" customWidth="1"/>
    <col min="11" max="11" width="9.1796875" style="7" customWidth="1"/>
    <col min="12" max="12" width="17.54296875" customWidth="1"/>
  </cols>
  <sheetData>
    <row r="1" spans="1:14" ht="13" x14ac:dyDescent="0.3">
      <c r="A1" s="3" t="s">
        <v>1</v>
      </c>
      <c r="B1" s="4" t="s">
        <v>23</v>
      </c>
      <c r="C1" s="4" t="s">
        <v>28</v>
      </c>
      <c r="D1" s="4" t="s">
        <v>29</v>
      </c>
      <c r="E1" s="4"/>
      <c r="F1" s="4" t="s">
        <v>31</v>
      </c>
      <c r="I1" s="4" t="s">
        <v>9</v>
      </c>
      <c r="N1" s="4" t="s">
        <v>25</v>
      </c>
    </row>
    <row r="2" spans="1:14" x14ac:dyDescent="0.25">
      <c r="A2" t="str">
        <f t="array" aca="1" ref="A2:A254" ca="1">TRANSPOSE(INDIRECT(ADDRESS(1,4,3,1,Menus!$K$10)):INDIRECT(ADDRESS(1,256,3,1,Menus!$K$10)))</f>
        <v>Staff &amp; Students '000s</v>
      </c>
      <c r="B2" s="7">
        <v>2</v>
      </c>
      <c r="C2" t="str">
        <f ca="1">INDIRECT(ADDRESS($B2,1,3,1,Menus!$K$10))</f>
        <v>Bulgaria</v>
      </c>
      <c r="D2" t="str">
        <f ca="1">INDIRECT(ADDRESS($B2,2,3,1,Menus!$K$10))</f>
        <v>CEE</v>
      </c>
      <c r="F2" s="34" t="s">
        <v>30</v>
      </c>
      <c r="G2" s="6"/>
      <c r="H2" s="32"/>
      <c r="I2" s="11" t="s">
        <v>4</v>
      </c>
      <c r="J2" s="12" t="s">
        <v>5</v>
      </c>
      <c r="K2" s="13"/>
      <c r="L2" s="14"/>
      <c r="N2" s="7">
        <v>2001</v>
      </c>
    </row>
    <row r="3" spans="1:14" s="4" customFormat="1" ht="13" x14ac:dyDescent="0.3">
      <c r="A3" t="str">
        <f ca="1"/>
        <v>Libraries - Total Administrative Units</v>
      </c>
      <c r="B3" s="7">
        <v>3</v>
      </c>
      <c r="C3" t="str">
        <f ca="1">INDIRECT(ADDRESS($B3,1,3,1,Menus!$K$10))</f>
        <v>Czech Republic</v>
      </c>
      <c r="D3" t="str">
        <f ca="1">INDIRECT(ADDRESS($B3,2,3,1,Menus!$K$10))</f>
        <v>CEE</v>
      </c>
      <c r="E3"/>
      <c r="F3" s="34" t="s">
        <v>29</v>
      </c>
      <c r="G3" s="6" t="s">
        <v>2</v>
      </c>
      <c r="H3" s="32"/>
      <c r="I3" s="15" t="s">
        <v>6</v>
      </c>
      <c r="J3" s="16">
        <v>24</v>
      </c>
      <c r="K3" s="17"/>
      <c r="L3" s="23" t="s">
        <v>8</v>
      </c>
      <c r="N3" s="7">
        <v>2000</v>
      </c>
    </row>
    <row r="4" spans="1:14" ht="13" x14ac:dyDescent="0.3">
      <c r="A4" t="str">
        <f ca="1"/>
        <v>Libraries - Service Points</v>
      </c>
      <c r="B4">
        <v>4</v>
      </c>
      <c r="C4" t="str">
        <f ca="1">INDIRECT(ADDRESS($B4,1,3,1,Menus!$K$10))</f>
        <v>Estonia</v>
      </c>
      <c r="D4" t="str">
        <f ca="1">INDIRECT(ADDRESS($B4,2,3,1,Menus!$K$10))</f>
        <v>CEE</v>
      </c>
      <c r="F4" s="5">
        <v>0</v>
      </c>
      <c r="G4" s="39">
        <v>455</v>
      </c>
      <c r="H4" s="33"/>
      <c r="I4" s="15" t="s">
        <v>7</v>
      </c>
      <c r="J4" s="16">
        <v>23</v>
      </c>
      <c r="K4" s="17"/>
      <c r="L4" s="18" t="s">
        <v>8</v>
      </c>
      <c r="N4" s="7">
        <v>1999</v>
      </c>
    </row>
    <row r="5" spans="1:14" ht="13" x14ac:dyDescent="0.3">
      <c r="A5" t="str">
        <f ca="1"/>
        <v>Collections - Books &amp; Bound Periodicals</v>
      </c>
      <c r="B5">
        <v>5</v>
      </c>
      <c r="C5" t="str">
        <f ca="1">INDIRECT(ADDRESS($B5,1,3,1,Menus!$K$10))</f>
        <v>Hungary</v>
      </c>
      <c r="D5" t="str">
        <f ca="1">INDIRECT(ADDRESS($B5,2,3,1,Menus!$K$10))</f>
        <v>CEE</v>
      </c>
      <c r="F5" s="40" t="s">
        <v>156</v>
      </c>
      <c r="G5" s="41">
        <v>6</v>
      </c>
      <c r="H5" s="33"/>
      <c r="I5" s="15" t="s">
        <v>11</v>
      </c>
      <c r="J5" s="16">
        <v>4</v>
      </c>
      <c r="K5" s="17" t="str">
        <f>INDEX(F4:F54,J5)</f>
        <v>EFTA</v>
      </c>
      <c r="L5" s="18" t="s">
        <v>15</v>
      </c>
      <c r="N5" s="7">
        <v>1998</v>
      </c>
    </row>
    <row r="6" spans="1:14" ht="13" x14ac:dyDescent="0.3">
      <c r="A6" t="str">
        <f ca="1"/>
        <v>Collections - Current Periodicals - Titles</v>
      </c>
      <c r="B6">
        <v>6</v>
      </c>
      <c r="C6" t="str">
        <f ca="1">INDIRECT(ADDRESS($B6,1,3,1,Menus!$K$10))</f>
        <v>Latvia</v>
      </c>
      <c r="D6" t="str">
        <f ca="1">INDIRECT(ADDRESS($B6,2,3,1,Menus!$K$10))</f>
        <v>CEE</v>
      </c>
      <c r="F6" s="40" t="s">
        <v>147</v>
      </c>
      <c r="G6" s="41">
        <v>10</v>
      </c>
      <c r="H6" s="33"/>
      <c r="I6" s="15" t="s">
        <v>12</v>
      </c>
      <c r="J6" s="16">
        <v>5</v>
      </c>
      <c r="K6" s="17" t="str">
        <f>INDEX(F4:F54,J6)</f>
        <v>EU</v>
      </c>
      <c r="L6" s="18" t="s">
        <v>15</v>
      </c>
      <c r="N6" s="7">
        <v>1997</v>
      </c>
    </row>
    <row r="7" spans="1:14" ht="13" x14ac:dyDescent="0.3">
      <c r="A7" t="str">
        <f ca="1"/>
        <v>Collections - Current Periodicals - Subscriptions</v>
      </c>
      <c r="B7" s="7">
        <v>7</v>
      </c>
      <c r="C7" t="str">
        <f ca="1">INDIRECT(ADDRESS($B7,1,3,1,Menus!$K$10))</f>
        <v>Lithuania</v>
      </c>
      <c r="D7" t="str">
        <f ca="1">INDIRECT(ADDRESS($B7,2,3,1,Menus!$K$10))</f>
        <v>CEE</v>
      </c>
      <c r="F7" s="40" t="s">
        <v>149</v>
      </c>
      <c r="G7" s="41">
        <v>4</v>
      </c>
      <c r="H7" s="33"/>
      <c r="I7" s="15" t="s">
        <v>13</v>
      </c>
      <c r="J7" s="16">
        <v>8</v>
      </c>
      <c r="K7" s="17" t="str">
        <f>INDEX(F4:F54,J7)</f>
        <v>België Nederlandstalige Universiteiten</v>
      </c>
      <c r="L7" s="18" t="s">
        <v>15</v>
      </c>
      <c r="N7" t="s">
        <v>302</v>
      </c>
    </row>
    <row r="8" spans="1:14" ht="13" x14ac:dyDescent="0.3">
      <c r="A8" t="str">
        <f ca="1"/>
        <v>Collections - Manuscripts</v>
      </c>
      <c r="B8">
        <v>8</v>
      </c>
      <c r="C8" t="str">
        <f ca="1">INDIRECT(ADDRESS($B8,1,3,1,Menus!$K$10))</f>
        <v>Poland</v>
      </c>
      <c r="D8" t="str">
        <f ca="1">INDIRECT(ADDRESS($B8,2,3,1,Menus!$K$10))</f>
        <v>CEE</v>
      </c>
      <c r="F8" s="40" t="s">
        <v>148</v>
      </c>
      <c r="G8" s="41">
        <v>15</v>
      </c>
      <c r="H8" s="33"/>
      <c r="I8" s="15" t="s">
        <v>14</v>
      </c>
      <c r="J8" s="16">
        <v>12</v>
      </c>
      <c r="K8" s="29" t="str">
        <f ca="1">INDEX(C2:C501,J8)</f>
        <v>België Nederlandstalige Universiteiten</v>
      </c>
      <c r="L8" s="18" t="s">
        <v>16</v>
      </c>
    </row>
    <row r="9" spans="1:14" ht="13" x14ac:dyDescent="0.3">
      <c r="A9" t="str">
        <f ca="1"/>
        <v>Collections - Microforms</v>
      </c>
      <c r="B9">
        <v>9</v>
      </c>
      <c r="C9" t="str">
        <f ca="1">INDIRECT(ADDRESS($B9,1,3,1,Menus!$K$10))</f>
        <v>Romania</v>
      </c>
      <c r="D9" t="str">
        <f ca="1">INDIRECT(ADDRESS($B9,2,3,1,Menus!$K$10))</f>
        <v>CEE</v>
      </c>
      <c r="F9" s="40" t="s">
        <v>159</v>
      </c>
      <c r="G9" s="41">
        <v>6</v>
      </c>
      <c r="H9" s="33"/>
      <c r="I9" s="15" t="s">
        <v>19</v>
      </c>
      <c r="J9" s="16" t="b">
        <v>1</v>
      </c>
      <c r="K9" s="17"/>
      <c r="L9" s="18"/>
    </row>
    <row r="10" spans="1:14" ht="13" x14ac:dyDescent="0.3">
      <c r="A10" t="str">
        <f ca="1"/>
        <v>Collections - Audio-visual Materials</v>
      </c>
      <c r="B10">
        <v>10</v>
      </c>
      <c r="C10" t="str">
        <f ca="1">INDIRECT(ADDRESS($B10,1,3,1,Menus!$K$10))</f>
        <v>Slovak Rep</v>
      </c>
      <c r="D10" t="str">
        <f ca="1">INDIRECT(ADDRESS($B10,2,3,1,Menus!$K$10))</f>
        <v>CEE</v>
      </c>
      <c r="F10" s="40" t="s">
        <v>160</v>
      </c>
      <c r="G10" s="41">
        <v>2</v>
      </c>
      <c r="H10" s="33"/>
      <c r="I10" s="19" t="s">
        <v>22</v>
      </c>
      <c r="J10" s="20">
        <v>6</v>
      </c>
      <c r="K10" s="30" t="str">
        <f>INDEX(N2:N51,J10)</f>
        <v>2001 Grossed</v>
      </c>
      <c r="L10" s="21" t="s">
        <v>26</v>
      </c>
    </row>
    <row r="11" spans="1:14" x14ac:dyDescent="0.25">
      <c r="A11" t="str">
        <f ca="1"/>
        <v>Collections - CD-ROMs</v>
      </c>
      <c r="B11" s="7">
        <v>11</v>
      </c>
      <c r="C11" t="str">
        <f ca="1">INDIRECT(ADDRESS($B11,1,3,1,Menus!$K$10))</f>
        <v>Slovenia</v>
      </c>
      <c r="D11" t="str">
        <f ca="1">INDIRECT(ADDRESS($B11,2,3,1,Menus!$K$10))</f>
        <v>CEE</v>
      </c>
      <c r="F11" s="40" t="s">
        <v>320</v>
      </c>
      <c r="G11" s="41">
        <v>1</v>
      </c>
      <c r="K11" s="7" t="str">
        <f>IF(K10="2000 Grossed","Gross","")</f>
        <v/>
      </c>
    </row>
    <row r="12" spans="1:14" x14ac:dyDescent="0.25">
      <c r="A12" t="str">
        <f ca="1"/>
        <v>Additions - Books &amp; Bound Periodicals</v>
      </c>
      <c r="B12">
        <v>12</v>
      </c>
      <c r="C12" t="str">
        <f ca="1">INDIRECT(ADDRESS($B12,1,3,1,Menus!$K$10))</f>
        <v>Austria</v>
      </c>
      <c r="D12" t="str">
        <f ca="1">INDIRECT(ADDRESS($B12,2,3,1,Menus!$K$10))</f>
        <v>EU</v>
      </c>
      <c r="F12" s="42" t="s">
        <v>321</v>
      </c>
      <c r="G12" s="43">
        <v>1</v>
      </c>
    </row>
    <row r="13" spans="1:14" x14ac:dyDescent="0.25">
      <c r="A13" t="str">
        <f ca="1"/>
        <v>Additions - Audio-visual Materials</v>
      </c>
      <c r="B13">
        <v>13</v>
      </c>
      <c r="C13" t="str">
        <f ca="1">INDIRECT(ADDRESS($B13,1,3,1,Menus!$K$10))</f>
        <v>België Nederlandstalige Universiteiten</v>
      </c>
      <c r="D13" t="str">
        <f ca="1">INDIRECT(ADDRESS($B13,2,3,1,Menus!$K$10))</f>
        <v>België Nederlandstalige Universiteiten</v>
      </c>
    </row>
    <row r="14" spans="1:14" x14ac:dyDescent="0.25">
      <c r="A14" t="str">
        <f ca="1"/>
        <v>Facilities &amp; Services - Percentage Stock on Open Access</v>
      </c>
      <c r="B14">
        <v>14</v>
      </c>
      <c r="C14" t="str">
        <f ca="1">INDIRECT(ADDRESS($B14,1,3,1,Menus!$K$10))</f>
        <v xml:space="preserve">Belgique universités francophones </v>
      </c>
      <c r="D14" t="str">
        <f ca="1">INDIRECT(ADDRESS($B14,2,3,1,Menus!$K$10))</f>
        <v xml:space="preserve">Belgique universités francophones </v>
      </c>
    </row>
    <row r="15" spans="1:14" x14ac:dyDescent="0.25">
      <c r="A15" t="str">
        <f ca="1"/>
        <v>Facilities &amp; Services - Percentage Catalogue Records Automated</v>
      </c>
      <c r="B15" s="7">
        <v>15</v>
      </c>
      <c r="C15" t="str">
        <f ca="1">INDIRECT(ADDRESS($B15,1,3,1,Menus!$K$10))</f>
        <v>Belgium</v>
      </c>
      <c r="D15" t="str">
        <f ca="1">INDIRECT(ADDRESS($B15,2,3,1,Menus!$K$10))</f>
        <v>EU</v>
      </c>
    </row>
    <row r="16" spans="1:14" x14ac:dyDescent="0.25">
      <c r="A16" t="str">
        <f ca="1"/>
        <v>Facilities &amp; Services - Number of Workstations for users</v>
      </c>
      <c r="B16">
        <v>16</v>
      </c>
      <c r="C16" t="str">
        <f ca="1">INDIRECT(ADDRESS($B16,1,3,1,Menus!$K$10))</f>
        <v>Denmark</v>
      </c>
      <c r="D16" t="str">
        <f ca="1">INDIRECT(ADDRESS($B16,2,3,1,Menus!$K$10))</f>
        <v>EU</v>
      </c>
    </row>
    <row r="17" spans="1:4" x14ac:dyDescent="0.25">
      <c r="A17" t="str">
        <f ca="1"/>
        <v>Facilities &amp; Services - Number connected to the internet</v>
      </c>
      <c r="B17">
        <v>17</v>
      </c>
      <c r="C17" t="str">
        <f ca="1">INDIRECT(ADDRESS($B17,1,3,1,Menus!$K$10))</f>
        <v>Eire</v>
      </c>
      <c r="D17" t="str">
        <f ca="1">INDIRECT(ADDRESS($B17,2,3,1,Menus!$K$10))</f>
        <v>EU</v>
      </c>
    </row>
    <row r="18" spans="1:4" x14ac:dyDescent="0.25">
      <c r="A18" t="str">
        <f ca="1"/>
        <v>Use &amp; Users - Registered Users</v>
      </c>
      <c r="B18">
        <v>18</v>
      </c>
      <c r="C18" t="str">
        <f ca="1">INDIRECT(ADDRESS($B18,1,3,1,Menus!$K$10))</f>
        <v>Finland</v>
      </c>
      <c r="D18" t="str">
        <f ca="1">INDIRECT(ADDRESS($B18,2,3,1,Menus!$K$10))</f>
        <v>EU</v>
      </c>
    </row>
    <row r="19" spans="1:4" x14ac:dyDescent="0.25">
      <c r="A19" t="str">
        <f ca="1"/>
        <v>Use &amp; Users - Consultations</v>
      </c>
      <c r="B19" s="7">
        <v>19</v>
      </c>
      <c r="C19" t="str">
        <f ca="1">INDIRECT(ADDRESS($B19,1,3,1,Menus!$K$10))</f>
        <v>France</v>
      </c>
      <c r="D19" t="str">
        <f ca="1">INDIRECT(ADDRESS($B19,2,3,1,Menus!$K$10))</f>
        <v>EU</v>
      </c>
    </row>
    <row r="20" spans="1:4" x14ac:dyDescent="0.25">
      <c r="A20" t="str">
        <f ca="1"/>
        <v>Use &amp; Users - Number of Visits</v>
      </c>
      <c r="B20">
        <v>20</v>
      </c>
      <c r="C20" t="str">
        <f ca="1">INDIRECT(ADDRESS($B20,1,3,1,Menus!$K$10))</f>
        <v>Greece</v>
      </c>
      <c r="D20" t="str">
        <f ca="1">INDIRECT(ADDRESS($B20,2,3,1,Menus!$K$10))</f>
        <v>EU</v>
      </c>
    </row>
    <row r="21" spans="1:4" x14ac:dyDescent="0.25">
      <c r="A21" t="str">
        <f ca="1"/>
        <v>Use &amp; Users - Staff &amp; Students</v>
      </c>
      <c r="B21">
        <v>21</v>
      </c>
      <c r="C21" t="str">
        <f ca="1">INDIRECT(ADDRESS($B21,1,3,1,Menus!$K$10))</f>
        <v>Iceland</v>
      </c>
      <c r="D21" t="str">
        <f ca="1">INDIRECT(ADDRESS($B21,2,3,1,Menus!$K$10))</f>
        <v>EFTA</v>
      </c>
    </row>
    <row r="22" spans="1:4" x14ac:dyDescent="0.25">
      <c r="A22" t="str">
        <f ca="1"/>
        <v>Library Staff FTE - Trained Librarians</v>
      </c>
      <c r="B22">
        <v>22</v>
      </c>
      <c r="C22" t="str">
        <f ca="1">INDIRECT(ADDRESS($B22,1,3,1,Menus!$K$10))</f>
        <v>Italy</v>
      </c>
      <c r="D22" t="str">
        <f ca="1">INDIRECT(ADDRESS($B22,2,3,1,Menus!$K$10))</f>
        <v>EU</v>
      </c>
    </row>
    <row r="23" spans="1:4" x14ac:dyDescent="0.25">
      <c r="A23" t="str">
        <f ca="1"/>
        <v>Library Staff FTE - Other Library Staff</v>
      </c>
      <c r="B23" s="7">
        <v>23</v>
      </c>
      <c r="C23" t="str">
        <f ca="1">INDIRECT(ADDRESS($B23,1,3,1,Menus!$K$10))</f>
        <v>Liechtenstein</v>
      </c>
      <c r="D23" t="str">
        <f ca="1">INDIRECT(ADDRESS($B23,2,3,1,Menus!$K$10))</f>
        <v>EFTA</v>
      </c>
    </row>
    <row r="24" spans="1:4" x14ac:dyDescent="0.25">
      <c r="A24" t="str">
        <f ca="1"/>
        <v>Library Staff FTE - Total Staff</v>
      </c>
      <c r="B24">
        <v>24</v>
      </c>
      <c r="C24" t="str">
        <f ca="1">INDIRECT(ADDRESS($B24,1,3,1,Menus!$K$10))</f>
        <v>Luxembourg</v>
      </c>
      <c r="D24" t="str">
        <f ca="1">INDIRECT(ADDRESS($B24,2,3,1,Menus!$K$10))</f>
        <v>EU</v>
      </c>
    </row>
    <row r="25" spans="1:4" x14ac:dyDescent="0.25">
      <c r="A25" t="str">
        <f ca="1"/>
        <v>Recurrent Expenditure (Euros) - Staff</v>
      </c>
      <c r="B25">
        <v>25</v>
      </c>
      <c r="C25" t="str">
        <f ca="1">INDIRECT(ADDRESS($B25,1,3,1,Menus!$K$10))</f>
        <v>Netherlands</v>
      </c>
      <c r="D25" t="str">
        <f ca="1">INDIRECT(ADDRESS($B25,2,3,1,Menus!$K$10))</f>
        <v>EU</v>
      </c>
    </row>
    <row r="26" spans="1:4" x14ac:dyDescent="0.25">
      <c r="A26" t="str">
        <f ca="1"/>
        <v>Recurrent Expenditure (Euros) - Acquisition of Stock</v>
      </c>
      <c r="B26">
        <v>26</v>
      </c>
      <c r="C26" t="str">
        <f ca="1">INDIRECT(ADDRESS($B26,1,3,1,Menus!$K$10))</f>
        <v>Norway</v>
      </c>
      <c r="D26" t="str">
        <f ca="1">INDIRECT(ADDRESS($B26,2,3,1,Menus!$K$10))</f>
        <v>EFTA</v>
      </c>
    </row>
    <row r="27" spans="1:4" x14ac:dyDescent="0.25">
      <c r="A27" t="str">
        <f ca="1"/>
        <v>Recurrent Expenditure (Euros) - Electronic Information</v>
      </c>
      <c r="B27" s="7">
        <v>27</v>
      </c>
      <c r="C27" t="str">
        <f ca="1">INDIRECT(ADDRESS($B27,1,3,1,Menus!$K$10))</f>
        <v>Portugal</v>
      </c>
      <c r="D27" t="str">
        <f ca="1">INDIRECT(ADDRESS($B27,2,3,1,Menus!$K$10))</f>
        <v>EU</v>
      </c>
    </row>
    <row r="28" spans="1:4" x14ac:dyDescent="0.25">
      <c r="A28" t="str">
        <f ca="1"/>
        <v>Recurrent Expenditure (Euros) - Automation</v>
      </c>
      <c r="B28">
        <v>28</v>
      </c>
      <c r="C28" t="str">
        <f ca="1">INDIRECT(ADDRESS($B28,1,3,1,Menus!$K$10))</f>
        <v>Spain</v>
      </c>
      <c r="D28" t="str">
        <f ca="1">INDIRECT(ADDRESS($B28,2,3,1,Menus!$K$10))</f>
        <v>EU</v>
      </c>
    </row>
    <row r="29" spans="1:4" x14ac:dyDescent="0.25">
      <c r="A29" t="str">
        <f ca="1"/>
        <v>Recurrent Expenditure (Euros) - Premises and Related Costs</v>
      </c>
      <c r="B29">
        <v>29</v>
      </c>
      <c r="C29" t="str">
        <f ca="1">INDIRECT(ADDRESS($B29,1,3,1,Menus!$K$10))</f>
        <v>Sweden</v>
      </c>
      <c r="D29" t="str">
        <f ca="1">INDIRECT(ADDRESS($B29,2,3,1,Menus!$K$10))</f>
        <v>EU</v>
      </c>
    </row>
    <row r="30" spans="1:4" x14ac:dyDescent="0.25">
      <c r="A30" t="str">
        <f ca="1"/>
        <v>Recurrent Expenditure (Euros) - New Buildings / Refurbishment</v>
      </c>
      <c r="B30">
        <v>30</v>
      </c>
      <c r="C30" t="str">
        <f ca="1">INDIRECT(ADDRESS($B30,1,3,1,Menus!$K$10))</f>
        <v>Switzerland</v>
      </c>
      <c r="D30" t="str">
        <f ca="1">INDIRECT(ADDRESS($B30,2,3,1,Menus!$K$10))</f>
        <v>EFTA</v>
      </c>
    </row>
    <row r="31" spans="1:4" x14ac:dyDescent="0.25">
      <c r="A31" t="str">
        <f ca="1"/>
        <v>Recurrent Expenditure (Euros) - Other Expenditure</v>
      </c>
      <c r="B31" s="7">
        <v>31</v>
      </c>
      <c r="C31" t="str">
        <f ca="1">INDIRECT(ADDRESS($B31,1,3,1,Menus!$K$10))</f>
        <v>UK</v>
      </c>
      <c r="D31" t="str">
        <f ca="1">INDIRECT(ADDRESS($B31,2,3,1,Menus!$K$10))</f>
        <v>EU</v>
      </c>
    </row>
    <row r="32" spans="1:4" x14ac:dyDescent="0.25">
      <c r="A32" t="str">
        <f ca="1"/>
        <v>Recurrent Expenditure (Euros) - TOTAL EXPENDITURE</v>
      </c>
      <c r="B32">
        <v>32</v>
      </c>
      <c r="C32" t="str">
        <f ca="1">INDIRECT(ADDRESS($B32,1,3,1,Menus!$K$10))</f>
        <v>Germany</v>
      </c>
      <c r="D32" t="str">
        <f ca="1">INDIRECT(ADDRESS($B32,2,3,1,Menus!$K$10))</f>
        <v>EU</v>
      </c>
    </row>
    <row r="33" spans="1:4" x14ac:dyDescent="0.25">
      <c r="A33" t="str">
        <f ca="1"/>
        <v>Income - Public Funding</v>
      </c>
      <c r="B33">
        <v>33</v>
      </c>
      <c r="C33" t="str">
        <f ca="1">INDIRECT(ADDRESS($B33,1,3,1,Menus!$K$10))</f>
        <v>USA</v>
      </c>
      <c r="D33" t="str">
        <f ca="1">INDIRECT(ADDRESS($B33,2,3,1,Menus!$K$10))</f>
        <v>World - A</v>
      </c>
    </row>
    <row r="34" spans="1:4" x14ac:dyDescent="0.25">
      <c r="A34" t="str">
        <f ca="1"/>
        <v>Income - Fees &amp; Charges</v>
      </c>
      <c r="B34">
        <v>34</v>
      </c>
      <c r="C34" t="str">
        <f ca="1">INDIRECT(ADDRESS($B34,1,3,1,Menus!$K$10))</f>
        <v>Turkey</v>
      </c>
      <c r="D34" t="str">
        <f ca="1">INDIRECT(ADDRESS($B34,2,3,1,Menus!$K$10))</f>
        <v>World - B</v>
      </c>
    </row>
    <row r="35" spans="1:4" x14ac:dyDescent="0.25">
      <c r="A35" t="str">
        <f ca="1"/>
        <v>Income - Other Income</v>
      </c>
      <c r="B35" s="7">
        <v>35</v>
      </c>
      <c r="C35" t="str">
        <f ca="1">INDIRECT(ADDRESS($B35,1,3,1,Menus!$K$10))</f>
        <v>Australia</v>
      </c>
      <c r="D35" t="str">
        <f ca="1">INDIRECT(ADDRESS($B35,2,3,1,Menus!$K$10))</f>
        <v>World - A</v>
      </c>
    </row>
    <row r="36" spans="1:4" x14ac:dyDescent="0.25">
      <c r="A36" t="str">
        <f ca="1"/>
        <v>Income - TOTAL INCOME</v>
      </c>
      <c r="B36">
        <v>36</v>
      </c>
      <c r="C36" t="str">
        <f ca="1">INDIRECT(ADDRESS($B36,1,3,1,Menus!$K$10))</f>
        <v>Japan</v>
      </c>
      <c r="D36" t="str">
        <f ca="1">INDIRECT(ADDRESS($B36,2,3,1,Menus!$K$10))</f>
        <v>World - A</v>
      </c>
    </row>
    <row r="37" spans="1:4" x14ac:dyDescent="0.25">
      <c r="A37" t="str">
        <f ca="1"/>
        <v>Capital Expenditure - New Buildings / Refurbishment</v>
      </c>
      <c r="B37">
        <v>37</v>
      </c>
      <c r="C37" t="str">
        <f ca="1">INDIRECT(ADDRESS($B37,1,3,1,Menus!$K$10))</f>
        <v>Korea</v>
      </c>
      <c r="D37" t="str">
        <f ca="1">INDIRECT(ADDRESS($B37,2,3,1,Menus!$K$10))</f>
        <v>World - A</v>
      </c>
    </row>
    <row r="38" spans="1:4" x14ac:dyDescent="0.25">
      <c r="A38" t="str">
        <f ca="1"/>
        <v>Capital Expenditure - Acquisition of Stock</v>
      </c>
      <c r="B38">
        <v>38</v>
      </c>
      <c r="C38" t="str">
        <f ca="1">INDIRECT(ADDRESS($B38,1,3,1,Menus!$K$10))</f>
        <v>Canada</v>
      </c>
      <c r="D38" t="str">
        <f ca="1">INDIRECT(ADDRESS($B38,2,3,1,Menus!$K$10))</f>
        <v>World - A</v>
      </c>
    </row>
    <row r="39" spans="1:4" x14ac:dyDescent="0.25">
      <c r="A39" t="str">
        <f ca="1"/>
        <v>Capital Expenditure - Automation</v>
      </c>
      <c r="B39" s="7">
        <v>39</v>
      </c>
      <c r="C39" t="str">
        <f ca="1">INDIRECT(ADDRESS($B39,1,3,1,Menus!$K$10))</f>
        <v>New Zealand</v>
      </c>
      <c r="D39" t="str">
        <f ca="1">INDIRECT(ADDRESS($B39,2,3,1,Menus!$K$10))</f>
        <v>World - A</v>
      </c>
    </row>
    <row r="40" spans="1:4" x14ac:dyDescent="0.25">
      <c r="A40" t="str">
        <f ca="1"/>
        <v>Capital Expenditure - Other Capital Expenditure</v>
      </c>
      <c r="B40">
        <v>40</v>
      </c>
      <c r="C40" t="str">
        <f ca="1">INDIRECT(ADDRESS($B40,1,3,1,Menus!$K$10))</f>
        <v>Mexico</v>
      </c>
      <c r="D40" t="str">
        <f ca="1">INDIRECT(ADDRESS($B40,2,3,1,Menus!$K$10))</f>
        <v>World - B</v>
      </c>
    </row>
    <row r="41" spans="1:4" x14ac:dyDescent="0.25">
      <c r="A41" t="str">
        <f ca="1"/>
        <v>Capital Expenditure - TOTAL CAPITAL   PAYMENTS</v>
      </c>
      <c r="B41">
        <v>41</v>
      </c>
      <c r="C41" t="str">
        <f ca="1">INDIRECT(ADDRESS($B41,1,3,1,Menus!$K$10))</f>
        <v>CEE - Total</v>
      </c>
      <c r="D41" t="str">
        <f ca="1">INDIRECT(ADDRESS($B41,2,3,1,Menus!$K$10))</f>
        <v>Totals</v>
      </c>
    </row>
    <row r="42" spans="1:4" x14ac:dyDescent="0.25">
      <c r="A42" t="str">
        <f ca="1"/>
        <v>Additions</v>
      </c>
      <c r="B42">
        <v>42</v>
      </c>
      <c r="C42" t="str">
        <f ca="1">INDIRECT(ADDRESS($B42,1,3,1,Menus!$K$10))</f>
        <v>EU - Total</v>
      </c>
      <c r="D42" t="str">
        <f ca="1">INDIRECT(ADDRESS($B42,2,3,1,Menus!$K$10))</f>
        <v>Totals</v>
      </c>
    </row>
    <row r="43" spans="1:4" x14ac:dyDescent="0.25">
      <c r="A43" t="str">
        <f ca="1"/>
        <v>Loans per visit</v>
      </c>
      <c r="B43" s="7">
        <v>43</v>
      </c>
      <c r="C43" t="str">
        <f ca="1">INDIRECT(ADDRESS($B43,1,3,1,Menus!$K$10))</f>
        <v>EFTA - Total</v>
      </c>
      <c r="D43" t="str">
        <f ca="1">INDIRECT(ADDRESS($B43,2,3,1,Menus!$K$10))</f>
        <v>Totals</v>
      </c>
    </row>
    <row r="44" spans="1:4" x14ac:dyDescent="0.25">
      <c r="A44" t="str">
        <f ca="1"/>
        <v>Cost per pop</v>
      </c>
      <c r="B44">
        <v>44</v>
      </c>
      <c r="C44" t="str">
        <f ca="1">INDIRECT(ADDRESS($B44,1,3,1,Menus!$K$10))</f>
        <v>World A - Total</v>
      </c>
      <c r="D44" t="str">
        <f ca="1">INDIRECT(ADDRESS($B44,2,3,1,Menus!$K$10))</f>
        <v>Totals</v>
      </c>
    </row>
    <row r="45" spans="1:4" x14ac:dyDescent="0.25">
      <c r="A45" t="str">
        <f ca="1"/>
        <v>Users per 1000 pop</v>
      </c>
      <c r="B45">
        <v>45</v>
      </c>
      <c r="C45" t="str">
        <f ca="1">INDIRECT(ADDRESS($B45,1,3,1,Menus!$K$10))</f>
        <v>World B - Total</v>
      </c>
      <c r="D45" t="str">
        <f ca="1">INDIRECT(ADDRESS($B45,2,3,1,Menus!$K$10))</f>
        <v>Totals</v>
      </c>
    </row>
    <row r="46" spans="1:4" x14ac:dyDescent="0.25">
      <c r="A46" t="str">
        <f ca="1"/>
        <v>visits per 1000 pop</v>
      </c>
      <c r="B46">
        <v>46</v>
      </c>
      <c r="C46" t="str">
        <f ca="1">INDIRECT(ADDRESS($B46,1,3,1,Menus!$K$10))</f>
        <v>EU Accession Countries - Totals</v>
      </c>
      <c r="D46" t="str">
        <f ca="1">INDIRECT(ADDRESS($B46,2,3,1,Menus!$K$10))</f>
        <v>Totals</v>
      </c>
    </row>
    <row r="47" spans="1:4" x14ac:dyDescent="0.25">
      <c r="A47" t="str">
        <f ca="1"/>
        <v>Bookstock per 1000 pop</v>
      </c>
      <c r="B47" s="7">
        <v>47</v>
      </c>
      <c r="C47">
        <f ca="1">INDIRECT(ADDRESS($B47,1,3,1,Menus!$K$10))</f>
        <v>0</v>
      </c>
      <c r="D47">
        <f ca="1">INDIRECT(ADDRESS($B47,2,3,1,Menus!$K$10))</f>
        <v>0</v>
      </c>
    </row>
    <row r="48" spans="1:4" x14ac:dyDescent="0.25">
      <c r="A48" t="str">
        <f ca="1"/>
        <v>Total stock per 1000 pop</v>
      </c>
      <c r="B48">
        <v>48</v>
      </c>
      <c r="C48">
        <f ca="1">INDIRECT(ADDRESS($B48,1,3,1,Menus!$K$10))</f>
        <v>0</v>
      </c>
      <c r="D48">
        <f ca="1">INDIRECT(ADDRESS($B48,2,3,1,Menus!$K$10))</f>
        <v>0</v>
      </c>
    </row>
    <row r="49" spans="1:4" x14ac:dyDescent="0.25">
      <c r="A49" t="str">
        <f ca="1"/>
        <v>AV materials per 1000 pop</v>
      </c>
      <c r="B49">
        <v>49</v>
      </c>
      <c r="C49">
        <f ca="1">INDIRECT(ADDRESS($B49,1,3,1,Menus!$K$10))</f>
        <v>0</v>
      </c>
      <c r="D49">
        <f ca="1">INDIRECT(ADDRESS($B49,2,3,1,Menus!$K$10))</f>
        <v>0</v>
      </c>
    </row>
    <row r="50" spans="1:4" x14ac:dyDescent="0.25">
      <c r="A50">
        <f ca="1"/>
        <v>0</v>
      </c>
      <c r="B50">
        <v>50</v>
      </c>
      <c r="C50">
        <f ca="1">INDIRECT(ADDRESS($B50,1,3,1,Menus!$K$10))</f>
        <v>0</v>
      </c>
      <c r="D50">
        <f ca="1">INDIRECT(ADDRESS($B50,2,3,1,Menus!$K$10))</f>
        <v>0</v>
      </c>
    </row>
    <row r="51" spans="1:4" x14ac:dyDescent="0.25">
      <c r="A51">
        <f ca="1"/>
        <v>0</v>
      </c>
      <c r="B51" s="7">
        <v>51</v>
      </c>
      <c r="C51">
        <f ca="1">INDIRECT(ADDRESS($B51,1,3,1,Menus!$K$10))</f>
        <v>0</v>
      </c>
      <c r="D51">
        <f ca="1">INDIRECT(ADDRESS($B51,2,3,1,Menus!$K$10))</f>
        <v>0</v>
      </c>
    </row>
    <row r="52" spans="1:4" x14ac:dyDescent="0.25">
      <c r="A52">
        <f ca="1"/>
        <v>0</v>
      </c>
      <c r="B52">
        <v>52</v>
      </c>
      <c r="C52">
        <f ca="1">INDIRECT(ADDRESS($B52,1,3,1,Menus!$K$10))</f>
        <v>0</v>
      </c>
      <c r="D52">
        <f ca="1">INDIRECT(ADDRESS($B52,2,3,1,Menus!$K$10))</f>
        <v>0</v>
      </c>
    </row>
    <row r="53" spans="1:4" x14ac:dyDescent="0.25">
      <c r="A53">
        <f ca="1"/>
        <v>0</v>
      </c>
      <c r="B53">
        <v>53</v>
      </c>
      <c r="C53">
        <f ca="1">INDIRECT(ADDRESS($B53,1,3,1,Menus!$K$10))</f>
        <v>0</v>
      </c>
      <c r="D53">
        <f ca="1">INDIRECT(ADDRESS($B53,2,3,1,Menus!$K$10))</f>
        <v>0</v>
      </c>
    </row>
    <row r="54" spans="1:4" x14ac:dyDescent="0.25">
      <c r="A54">
        <f ca="1"/>
        <v>0</v>
      </c>
      <c r="B54">
        <v>54</v>
      </c>
      <c r="C54">
        <f ca="1">INDIRECT(ADDRESS($B54,1,3,1,Menus!$K$10))</f>
        <v>0</v>
      </c>
      <c r="D54">
        <f ca="1">INDIRECT(ADDRESS($B54,2,3,1,Menus!$K$10))</f>
        <v>0</v>
      </c>
    </row>
    <row r="55" spans="1:4" x14ac:dyDescent="0.25">
      <c r="A55">
        <f ca="1"/>
        <v>0</v>
      </c>
      <c r="B55" s="7">
        <v>55</v>
      </c>
      <c r="C55">
        <f ca="1">INDIRECT(ADDRESS($B55,1,3,1,Menus!$K$10))</f>
        <v>0</v>
      </c>
      <c r="D55">
        <f ca="1">INDIRECT(ADDRESS($B55,2,3,1,Menus!$K$10))</f>
        <v>0</v>
      </c>
    </row>
    <row r="56" spans="1:4" x14ac:dyDescent="0.25">
      <c r="A56">
        <f ca="1"/>
        <v>0</v>
      </c>
      <c r="B56">
        <v>56</v>
      </c>
      <c r="C56">
        <f ca="1">INDIRECT(ADDRESS($B56,1,3,1,Menus!$K$10))</f>
        <v>0</v>
      </c>
      <c r="D56">
        <f ca="1">INDIRECT(ADDRESS($B56,2,3,1,Menus!$K$10))</f>
        <v>0</v>
      </c>
    </row>
    <row r="57" spans="1:4" x14ac:dyDescent="0.25">
      <c r="A57">
        <f ca="1"/>
        <v>0</v>
      </c>
      <c r="B57">
        <v>57</v>
      </c>
      <c r="C57">
        <f ca="1">INDIRECT(ADDRESS($B57,1,3,1,Menus!$K$10))</f>
        <v>0</v>
      </c>
      <c r="D57">
        <f ca="1">INDIRECT(ADDRESS($B57,2,3,1,Menus!$K$10))</f>
        <v>0</v>
      </c>
    </row>
    <row r="58" spans="1:4" x14ac:dyDescent="0.25">
      <c r="A58">
        <f ca="1"/>
        <v>0</v>
      </c>
      <c r="B58">
        <v>58</v>
      </c>
      <c r="C58">
        <f ca="1">INDIRECT(ADDRESS($B58,1,3,1,Menus!$K$10))</f>
        <v>0</v>
      </c>
      <c r="D58">
        <f ca="1">INDIRECT(ADDRESS($B58,2,3,1,Menus!$K$10))</f>
        <v>0</v>
      </c>
    </row>
    <row r="59" spans="1:4" x14ac:dyDescent="0.25">
      <c r="A59">
        <f ca="1"/>
        <v>0</v>
      </c>
      <c r="B59" s="7">
        <v>59</v>
      </c>
      <c r="C59">
        <f ca="1">INDIRECT(ADDRESS($B59,1,3,1,Menus!$K$10))</f>
        <v>0</v>
      </c>
      <c r="D59">
        <f ca="1">INDIRECT(ADDRESS($B59,2,3,1,Menus!$K$10))</f>
        <v>0</v>
      </c>
    </row>
    <row r="60" spans="1:4" x14ac:dyDescent="0.25">
      <c r="A60">
        <f ca="1"/>
        <v>0</v>
      </c>
      <c r="B60">
        <v>60</v>
      </c>
      <c r="C60">
        <f ca="1">INDIRECT(ADDRESS($B60,1,3,1,Menus!$K$10))</f>
        <v>0</v>
      </c>
      <c r="D60">
        <f ca="1">INDIRECT(ADDRESS($B60,2,3,1,Menus!$K$10))</f>
        <v>0</v>
      </c>
    </row>
    <row r="61" spans="1:4" x14ac:dyDescent="0.25">
      <c r="A61">
        <f ca="1"/>
        <v>0</v>
      </c>
      <c r="B61">
        <v>61</v>
      </c>
      <c r="C61">
        <f ca="1">INDIRECT(ADDRESS($B61,1,3,1,Menus!$K$10))</f>
        <v>0</v>
      </c>
      <c r="D61">
        <f ca="1">INDIRECT(ADDRESS($B61,2,3,1,Menus!$K$10))</f>
        <v>0</v>
      </c>
    </row>
    <row r="62" spans="1:4" x14ac:dyDescent="0.25">
      <c r="A62">
        <f ca="1"/>
        <v>0</v>
      </c>
      <c r="B62">
        <v>62</v>
      </c>
      <c r="C62">
        <f ca="1">INDIRECT(ADDRESS($B62,1,3,1,Menus!$K$10))</f>
        <v>0</v>
      </c>
      <c r="D62">
        <f ca="1">INDIRECT(ADDRESS($B62,2,3,1,Menus!$K$10))</f>
        <v>0</v>
      </c>
    </row>
    <row r="63" spans="1:4" x14ac:dyDescent="0.25">
      <c r="A63">
        <f ca="1"/>
        <v>0</v>
      </c>
      <c r="B63" s="7">
        <v>63</v>
      </c>
      <c r="C63">
        <f ca="1">INDIRECT(ADDRESS($B63,1,3,1,Menus!$K$10))</f>
        <v>0</v>
      </c>
      <c r="D63">
        <f ca="1">INDIRECT(ADDRESS($B63,2,3,1,Menus!$K$10))</f>
        <v>0</v>
      </c>
    </row>
    <row r="64" spans="1:4" x14ac:dyDescent="0.25">
      <c r="A64">
        <f ca="1"/>
        <v>0</v>
      </c>
      <c r="B64">
        <v>64</v>
      </c>
      <c r="C64">
        <f ca="1">INDIRECT(ADDRESS($B64,1,3,1,Menus!$K$10))</f>
        <v>0</v>
      </c>
      <c r="D64">
        <f ca="1">INDIRECT(ADDRESS($B64,2,3,1,Menus!$K$10))</f>
        <v>0</v>
      </c>
    </row>
    <row r="65" spans="1:4" x14ac:dyDescent="0.25">
      <c r="A65">
        <f ca="1"/>
        <v>0</v>
      </c>
      <c r="B65">
        <v>65</v>
      </c>
      <c r="C65">
        <f ca="1">INDIRECT(ADDRESS($B65,1,3,1,Menus!$K$10))</f>
        <v>0</v>
      </c>
      <c r="D65">
        <f ca="1">INDIRECT(ADDRESS($B65,2,3,1,Menus!$K$10))</f>
        <v>0</v>
      </c>
    </row>
    <row r="66" spans="1:4" x14ac:dyDescent="0.25">
      <c r="A66">
        <f ca="1"/>
        <v>0</v>
      </c>
      <c r="B66">
        <v>66</v>
      </c>
      <c r="C66">
        <f ca="1">INDIRECT(ADDRESS($B66,1,3,1,Menus!$K$10))</f>
        <v>0</v>
      </c>
      <c r="D66">
        <f ca="1">INDIRECT(ADDRESS($B66,2,3,1,Menus!$K$10))</f>
        <v>0</v>
      </c>
    </row>
    <row r="67" spans="1:4" x14ac:dyDescent="0.25">
      <c r="A67">
        <f ca="1"/>
        <v>0</v>
      </c>
      <c r="B67" s="7">
        <v>67</v>
      </c>
      <c r="C67">
        <f ca="1">INDIRECT(ADDRESS($B67,1,3,1,Menus!$K$10))</f>
        <v>0</v>
      </c>
      <c r="D67">
        <f ca="1">INDIRECT(ADDRESS($B67,2,3,1,Menus!$K$10))</f>
        <v>0</v>
      </c>
    </row>
    <row r="68" spans="1:4" x14ac:dyDescent="0.25">
      <c r="A68">
        <f ca="1"/>
        <v>0</v>
      </c>
      <c r="B68">
        <v>68</v>
      </c>
      <c r="C68">
        <f ca="1">INDIRECT(ADDRESS($B68,1,3,1,Menus!$K$10))</f>
        <v>0</v>
      </c>
      <c r="D68">
        <f ca="1">INDIRECT(ADDRESS($B68,2,3,1,Menus!$K$10))</f>
        <v>0</v>
      </c>
    </row>
    <row r="69" spans="1:4" x14ac:dyDescent="0.25">
      <c r="A69">
        <f ca="1"/>
        <v>0</v>
      </c>
      <c r="B69">
        <v>69</v>
      </c>
      <c r="C69">
        <f ca="1">INDIRECT(ADDRESS($B69,1,3,1,Menus!$K$10))</f>
        <v>0</v>
      </c>
      <c r="D69">
        <f ca="1">INDIRECT(ADDRESS($B69,2,3,1,Menus!$K$10))</f>
        <v>0</v>
      </c>
    </row>
    <row r="70" spans="1:4" x14ac:dyDescent="0.25">
      <c r="A70">
        <f ca="1"/>
        <v>0</v>
      </c>
      <c r="B70">
        <v>70</v>
      </c>
      <c r="C70">
        <f ca="1">INDIRECT(ADDRESS($B70,1,3,1,Menus!$K$10))</f>
        <v>0</v>
      </c>
      <c r="D70">
        <f ca="1">INDIRECT(ADDRESS($B70,2,3,1,Menus!$K$10))</f>
        <v>0</v>
      </c>
    </row>
    <row r="71" spans="1:4" x14ac:dyDescent="0.25">
      <c r="A71">
        <f ca="1"/>
        <v>0</v>
      </c>
      <c r="B71" s="7">
        <v>71</v>
      </c>
      <c r="C71">
        <f ca="1">INDIRECT(ADDRESS($B71,1,3,1,Menus!$K$10))</f>
        <v>0</v>
      </c>
      <c r="D71">
        <f ca="1">INDIRECT(ADDRESS($B71,2,3,1,Menus!$K$10))</f>
        <v>0</v>
      </c>
    </row>
    <row r="72" spans="1:4" x14ac:dyDescent="0.25">
      <c r="A72">
        <f ca="1"/>
        <v>0</v>
      </c>
      <c r="B72">
        <v>72</v>
      </c>
      <c r="C72">
        <f ca="1">INDIRECT(ADDRESS($B72,1,3,1,Menus!$K$10))</f>
        <v>0</v>
      </c>
      <c r="D72">
        <f ca="1">INDIRECT(ADDRESS($B72,2,3,1,Menus!$K$10))</f>
        <v>0</v>
      </c>
    </row>
    <row r="73" spans="1:4" x14ac:dyDescent="0.25">
      <c r="A73">
        <f ca="1"/>
        <v>0</v>
      </c>
      <c r="B73">
        <v>73</v>
      </c>
      <c r="C73">
        <f ca="1">INDIRECT(ADDRESS($B73,1,3,1,Menus!$K$10))</f>
        <v>0</v>
      </c>
      <c r="D73">
        <f ca="1">INDIRECT(ADDRESS($B73,2,3,1,Menus!$K$10))</f>
        <v>0</v>
      </c>
    </row>
    <row r="74" spans="1:4" x14ac:dyDescent="0.25">
      <c r="A74">
        <f ca="1"/>
        <v>0</v>
      </c>
      <c r="B74">
        <v>74</v>
      </c>
      <c r="C74">
        <f ca="1">INDIRECT(ADDRESS($B74,1,3,1,Menus!$K$10))</f>
        <v>0</v>
      </c>
      <c r="D74">
        <f ca="1">INDIRECT(ADDRESS($B74,2,3,1,Menus!$K$10))</f>
        <v>0</v>
      </c>
    </row>
    <row r="75" spans="1:4" x14ac:dyDescent="0.25">
      <c r="A75">
        <f ca="1"/>
        <v>0</v>
      </c>
      <c r="B75" s="7">
        <v>75</v>
      </c>
      <c r="C75">
        <f ca="1">INDIRECT(ADDRESS($B75,1,3,1,Menus!$K$10))</f>
        <v>0</v>
      </c>
      <c r="D75">
        <f ca="1">INDIRECT(ADDRESS($B75,2,3,1,Menus!$K$10))</f>
        <v>0</v>
      </c>
    </row>
    <row r="76" spans="1:4" x14ac:dyDescent="0.25">
      <c r="A76">
        <f ca="1"/>
        <v>0</v>
      </c>
      <c r="B76">
        <v>76</v>
      </c>
      <c r="C76">
        <f ca="1">INDIRECT(ADDRESS($B76,1,3,1,Menus!$K$10))</f>
        <v>0</v>
      </c>
      <c r="D76">
        <f ca="1">INDIRECT(ADDRESS($B76,2,3,1,Menus!$K$10))</f>
        <v>0</v>
      </c>
    </row>
    <row r="77" spans="1:4" x14ac:dyDescent="0.25">
      <c r="A77">
        <f ca="1"/>
        <v>0</v>
      </c>
      <c r="B77">
        <v>77</v>
      </c>
      <c r="C77">
        <f ca="1">INDIRECT(ADDRESS($B77,1,3,1,Menus!$K$10))</f>
        <v>0</v>
      </c>
      <c r="D77">
        <f ca="1">INDIRECT(ADDRESS($B77,2,3,1,Menus!$K$10))</f>
        <v>0</v>
      </c>
    </row>
    <row r="78" spans="1:4" x14ac:dyDescent="0.25">
      <c r="A78">
        <f ca="1"/>
        <v>0</v>
      </c>
      <c r="B78">
        <v>78</v>
      </c>
      <c r="C78">
        <f ca="1">INDIRECT(ADDRESS($B78,1,3,1,Menus!$K$10))</f>
        <v>0</v>
      </c>
      <c r="D78">
        <f ca="1">INDIRECT(ADDRESS($B78,2,3,1,Menus!$K$10))</f>
        <v>0</v>
      </c>
    </row>
    <row r="79" spans="1:4" x14ac:dyDescent="0.25">
      <c r="A79">
        <f ca="1"/>
        <v>0</v>
      </c>
      <c r="B79" s="7">
        <v>79</v>
      </c>
      <c r="C79">
        <f ca="1">INDIRECT(ADDRESS($B79,1,3,1,Menus!$K$10))</f>
        <v>0</v>
      </c>
      <c r="D79">
        <f ca="1">INDIRECT(ADDRESS($B79,2,3,1,Menus!$K$10))</f>
        <v>0</v>
      </c>
    </row>
    <row r="80" spans="1:4" x14ac:dyDescent="0.25">
      <c r="A80">
        <f ca="1"/>
        <v>0</v>
      </c>
      <c r="B80">
        <v>80</v>
      </c>
      <c r="C80">
        <f ca="1">INDIRECT(ADDRESS($B80,1,3,1,Menus!$K$10))</f>
        <v>0</v>
      </c>
      <c r="D80">
        <f ca="1">INDIRECT(ADDRESS($B80,2,3,1,Menus!$K$10))</f>
        <v>0</v>
      </c>
    </row>
    <row r="81" spans="1:4" x14ac:dyDescent="0.25">
      <c r="A81">
        <f ca="1"/>
        <v>0</v>
      </c>
      <c r="B81">
        <v>81</v>
      </c>
      <c r="C81">
        <f ca="1">INDIRECT(ADDRESS($B81,1,3,1,Menus!$K$10))</f>
        <v>0</v>
      </c>
      <c r="D81">
        <f ca="1">INDIRECT(ADDRESS($B81,2,3,1,Menus!$K$10))</f>
        <v>0</v>
      </c>
    </row>
    <row r="82" spans="1:4" x14ac:dyDescent="0.25">
      <c r="A82">
        <f ca="1"/>
        <v>0</v>
      </c>
      <c r="B82">
        <v>82</v>
      </c>
      <c r="C82">
        <f ca="1">INDIRECT(ADDRESS($B82,1,3,1,Menus!$K$10))</f>
        <v>0</v>
      </c>
      <c r="D82">
        <f ca="1">INDIRECT(ADDRESS($B82,2,3,1,Menus!$K$10))</f>
        <v>0</v>
      </c>
    </row>
    <row r="83" spans="1:4" x14ac:dyDescent="0.25">
      <c r="A83">
        <f ca="1"/>
        <v>0</v>
      </c>
      <c r="B83" s="7">
        <v>83</v>
      </c>
      <c r="C83">
        <f ca="1">INDIRECT(ADDRESS($B83,1,3,1,Menus!$K$10))</f>
        <v>0</v>
      </c>
      <c r="D83">
        <f ca="1">INDIRECT(ADDRESS($B83,2,3,1,Menus!$K$10))</f>
        <v>0</v>
      </c>
    </row>
    <row r="84" spans="1:4" x14ac:dyDescent="0.25">
      <c r="A84">
        <f ca="1"/>
        <v>0</v>
      </c>
      <c r="B84">
        <v>84</v>
      </c>
      <c r="C84">
        <f ca="1">INDIRECT(ADDRESS($B84,1,3,1,Menus!$K$10))</f>
        <v>0</v>
      </c>
      <c r="D84">
        <f ca="1">INDIRECT(ADDRESS($B84,2,3,1,Menus!$K$10))</f>
        <v>0</v>
      </c>
    </row>
    <row r="85" spans="1:4" x14ac:dyDescent="0.25">
      <c r="A85">
        <f ca="1"/>
        <v>0</v>
      </c>
      <c r="B85">
        <v>85</v>
      </c>
      <c r="C85">
        <f ca="1">INDIRECT(ADDRESS($B85,1,3,1,Menus!$K$10))</f>
        <v>0</v>
      </c>
      <c r="D85">
        <f ca="1">INDIRECT(ADDRESS($B85,2,3,1,Menus!$K$10))</f>
        <v>0</v>
      </c>
    </row>
    <row r="86" spans="1:4" x14ac:dyDescent="0.25">
      <c r="A86">
        <f ca="1"/>
        <v>0</v>
      </c>
      <c r="B86">
        <v>86</v>
      </c>
      <c r="C86">
        <f ca="1">INDIRECT(ADDRESS($B86,1,3,1,Menus!$K$10))</f>
        <v>0</v>
      </c>
      <c r="D86">
        <f ca="1">INDIRECT(ADDRESS($B86,2,3,1,Menus!$K$10))</f>
        <v>0</v>
      </c>
    </row>
    <row r="87" spans="1:4" x14ac:dyDescent="0.25">
      <c r="A87">
        <f ca="1"/>
        <v>0</v>
      </c>
      <c r="B87" s="7">
        <v>87</v>
      </c>
      <c r="C87">
        <f ca="1">INDIRECT(ADDRESS($B87,1,3,1,Menus!$K$10))</f>
        <v>0</v>
      </c>
      <c r="D87">
        <f ca="1">INDIRECT(ADDRESS($B87,2,3,1,Menus!$K$10))</f>
        <v>0</v>
      </c>
    </row>
    <row r="88" spans="1:4" x14ac:dyDescent="0.25">
      <c r="A88">
        <f ca="1"/>
        <v>0</v>
      </c>
      <c r="B88">
        <v>88</v>
      </c>
      <c r="C88">
        <f ca="1">INDIRECT(ADDRESS($B88,1,3,1,Menus!$K$10))</f>
        <v>0</v>
      </c>
      <c r="D88">
        <f ca="1">INDIRECT(ADDRESS($B88,2,3,1,Menus!$K$10))</f>
        <v>0</v>
      </c>
    </row>
    <row r="89" spans="1:4" x14ac:dyDescent="0.25">
      <c r="A89">
        <f ca="1"/>
        <v>0</v>
      </c>
      <c r="B89">
        <v>89</v>
      </c>
      <c r="C89">
        <f ca="1">INDIRECT(ADDRESS($B89,1,3,1,Menus!$K$10))</f>
        <v>0</v>
      </c>
      <c r="D89">
        <f ca="1">INDIRECT(ADDRESS($B89,2,3,1,Menus!$K$10))</f>
        <v>0</v>
      </c>
    </row>
    <row r="90" spans="1:4" x14ac:dyDescent="0.25">
      <c r="A90">
        <f ca="1"/>
        <v>0</v>
      </c>
      <c r="B90">
        <v>90</v>
      </c>
      <c r="C90">
        <f ca="1">INDIRECT(ADDRESS($B90,1,3,1,Menus!$K$10))</f>
        <v>0</v>
      </c>
      <c r="D90">
        <f ca="1">INDIRECT(ADDRESS($B90,2,3,1,Menus!$K$10))</f>
        <v>0</v>
      </c>
    </row>
    <row r="91" spans="1:4" x14ac:dyDescent="0.25">
      <c r="A91">
        <f ca="1"/>
        <v>0</v>
      </c>
      <c r="B91" s="7">
        <v>91</v>
      </c>
      <c r="C91">
        <f ca="1">INDIRECT(ADDRESS($B91,1,3,1,Menus!$K$10))</f>
        <v>0</v>
      </c>
      <c r="D91">
        <f ca="1">INDIRECT(ADDRESS($B91,2,3,1,Menus!$K$10))</f>
        <v>0</v>
      </c>
    </row>
    <row r="92" spans="1:4" x14ac:dyDescent="0.25">
      <c r="A92">
        <f ca="1"/>
        <v>0</v>
      </c>
      <c r="B92">
        <v>92</v>
      </c>
      <c r="C92">
        <f ca="1">INDIRECT(ADDRESS($B92,1,3,1,Menus!$K$10))</f>
        <v>0</v>
      </c>
      <c r="D92">
        <f ca="1">INDIRECT(ADDRESS($B92,2,3,1,Menus!$K$10))</f>
        <v>0</v>
      </c>
    </row>
    <row r="93" spans="1:4" x14ac:dyDescent="0.25">
      <c r="A93">
        <f ca="1"/>
        <v>0</v>
      </c>
      <c r="B93">
        <v>93</v>
      </c>
      <c r="C93">
        <f ca="1">INDIRECT(ADDRESS($B93,1,3,1,Menus!$K$10))</f>
        <v>0</v>
      </c>
      <c r="D93">
        <f ca="1">INDIRECT(ADDRESS($B93,2,3,1,Menus!$K$10))</f>
        <v>0</v>
      </c>
    </row>
    <row r="94" spans="1:4" x14ac:dyDescent="0.25">
      <c r="A94">
        <f ca="1"/>
        <v>0</v>
      </c>
      <c r="B94">
        <v>94</v>
      </c>
      <c r="C94">
        <f ca="1">INDIRECT(ADDRESS($B94,1,3,1,Menus!$K$10))</f>
        <v>0</v>
      </c>
      <c r="D94">
        <f ca="1">INDIRECT(ADDRESS($B94,2,3,1,Menus!$K$10))</f>
        <v>0</v>
      </c>
    </row>
    <row r="95" spans="1:4" x14ac:dyDescent="0.25">
      <c r="A95">
        <f ca="1"/>
        <v>0</v>
      </c>
      <c r="B95" s="7">
        <v>95</v>
      </c>
      <c r="C95">
        <f ca="1">INDIRECT(ADDRESS($B95,1,3,1,Menus!$K$10))</f>
        <v>0</v>
      </c>
      <c r="D95">
        <f ca="1">INDIRECT(ADDRESS($B95,2,3,1,Menus!$K$10))</f>
        <v>0</v>
      </c>
    </row>
    <row r="96" spans="1:4" x14ac:dyDescent="0.25">
      <c r="A96">
        <f ca="1"/>
        <v>0</v>
      </c>
      <c r="B96">
        <v>96</v>
      </c>
      <c r="C96">
        <f ca="1">INDIRECT(ADDRESS($B96,1,3,1,Menus!$K$10))</f>
        <v>0</v>
      </c>
      <c r="D96">
        <f ca="1">INDIRECT(ADDRESS($B96,2,3,1,Menus!$K$10))</f>
        <v>0</v>
      </c>
    </row>
    <row r="97" spans="1:4" x14ac:dyDescent="0.25">
      <c r="A97">
        <f ca="1"/>
        <v>0</v>
      </c>
      <c r="B97">
        <v>97</v>
      </c>
      <c r="C97">
        <f ca="1">INDIRECT(ADDRESS($B97,1,3,1,Menus!$K$10))</f>
        <v>0</v>
      </c>
      <c r="D97">
        <f ca="1">INDIRECT(ADDRESS($B97,2,3,1,Menus!$K$10))</f>
        <v>0</v>
      </c>
    </row>
    <row r="98" spans="1:4" x14ac:dyDescent="0.25">
      <c r="A98">
        <f ca="1"/>
        <v>0</v>
      </c>
      <c r="B98">
        <v>98</v>
      </c>
      <c r="C98">
        <f ca="1">INDIRECT(ADDRESS($B98,1,3,1,Menus!$K$10))</f>
        <v>0</v>
      </c>
      <c r="D98">
        <f ca="1">INDIRECT(ADDRESS($B98,2,3,1,Menus!$K$10))</f>
        <v>0</v>
      </c>
    </row>
    <row r="99" spans="1:4" x14ac:dyDescent="0.25">
      <c r="A99">
        <f ca="1"/>
        <v>0</v>
      </c>
      <c r="B99" s="7">
        <v>99</v>
      </c>
      <c r="C99">
        <f ca="1">INDIRECT(ADDRESS($B99,1,3,1,Menus!$K$10))</f>
        <v>0</v>
      </c>
      <c r="D99">
        <f ca="1">INDIRECT(ADDRESS($B99,2,3,1,Menus!$K$10))</f>
        <v>0</v>
      </c>
    </row>
    <row r="100" spans="1:4" x14ac:dyDescent="0.25">
      <c r="A100">
        <f ca="1"/>
        <v>0</v>
      </c>
      <c r="B100">
        <v>100</v>
      </c>
      <c r="C100">
        <f ca="1">INDIRECT(ADDRESS($B100,1,3,1,Menus!$K$10))</f>
        <v>0</v>
      </c>
      <c r="D100">
        <f ca="1">INDIRECT(ADDRESS($B100,2,3,1,Menus!$K$10))</f>
        <v>0</v>
      </c>
    </row>
    <row r="101" spans="1:4" x14ac:dyDescent="0.25">
      <c r="A101">
        <f ca="1"/>
        <v>0</v>
      </c>
      <c r="B101">
        <v>101</v>
      </c>
      <c r="C101">
        <f ca="1">INDIRECT(ADDRESS($B101,1,3,1,Menus!$K$10))</f>
        <v>0</v>
      </c>
      <c r="D101">
        <f ca="1">INDIRECT(ADDRESS($B101,2,3,1,Menus!$K$10))</f>
        <v>0</v>
      </c>
    </row>
    <row r="102" spans="1:4" x14ac:dyDescent="0.25">
      <c r="A102">
        <f ca="1"/>
        <v>0</v>
      </c>
      <c r="B102">
        <v>102</v>
      </c>
      <c r="C102">
        <f ca="1">INDIRECT(ADDRESS($B102,1,3,1,Menus!$K$10))</f>
        <v>0</v>
      </c>
      <c r="D102">
        <f ca="1">INDIRECT(ADDRESS($B102,2,3,1,Menus!$K$10))</f>
        <v>0</v>
      </c>
    </row>
    <row r="103" spans="1:4" x14ac:dyDescent="0.25">
      <c r="A103">
        <f ca="1"/>
        <v>0</v>
      </c>
      <c r="B103" s="7">
        <v>103</v>
      </c>
      <c r="C103">
        <f ca="1">INDIRECT(ADDRESS($B103,1,3,1,Menus!$K$10))</f>
        <v>0</v>
      </c>
      <c r="D103">
        <f ca="1">INDIRECT(ADDRESS($B103,2,3,1,Menus!$K$10))</f>
        <v>0</v>
      </c>
    </row>
    <row r="104" spans="1:4" x14ac:dyDescent="0.25">
      <c r="A104">
        <f ca="1"/>
        <v>0</v>
      </c>
      <c r="B104">
        <v>104</v>
      </c>
      <c r="C104">
        <f ca="1">INDIRECT(ADDRESS($B104,1,3,1,Menus!$K$10))</f>
        <v>0</v>
      </c>
      <c r="D104">
        <f ca="1">INDIRECT(ADDRESS($B104,2,3,1,Menus!$K$10))</f>
        <v>0</v>
      </c>
    </row>
    <row r="105" spans="1:4" x14ac:dyDescent="0.25">
      <c r="A105">
        <f ca="1"/>
        <v>0</v>
      </c>
      <c r="B105">
        <v>105</v>
      </c>
      <c r="C105">
        <f ca="1">INDIRECT(ADDRESS($B105,1,3,1,Menus!$K$10))</f>
        <v>0</v>
      </c>
      <c r="D105">
        <f ca="1">INDIRECT(ADDRESS($B105,2,3,1,Menus!$K$10))</f>
        <v>0</v>
      </c>
    </row>
    <row r="106" spans="1:4" x14ac:dyDescent="0.25">
      <c r="A106">
        <f ca="1"/>
        <v>0</v>
      </c>
      <c r="B106">
        <v>106</v>
      </c>
      <c r="C106">
        <f ca="1">INDIRECT(ADDRESS($B106,1,3,1,Menus!$K$10))</f>
        <v>0</v>
      </c>
      <c r="D106">
        <f ca="1">INDIRECT(ADDRESS($B106,2,3,1,Menus!$K$10))</f>
        <v>0</v>
      </c>
    </row>
    <row r="107" spans="1:4" x14ac:dyDescent="0.25">
      <c r="A107">
        <f ca="1"/>
        <v>0</v>
      </c>
      <c r="B107" s="7">
        <v>107</v>
      </c>
      <c r="C107">
        <f ca="1">INDIRECT(ADDRESS($B107,1,3,1,Menus!$K$10))</f>
        <v>0</v>
      </c>
      <c r="D107">
        <f ca="1">INDIRECT(ADDRESS($B107,2,3,1,Menus!$K$10))</f>
        <v>0</v>
      </c>
    </row>
    <row r="108" spans="1:4" x14ac:dyDescent="0.25">
      <c r="A108">
        <f ca="1"/>
        <v>0</v>
      </c>
      <c r="B108">
        <v>108</v>
      </c>
      <c r="C108">
        <f ca="1">INDIRECT(ADDRESS($B108,1,3,1,Menus!$K$10))</f>
        <v>0</v>
      </c>
      <c r="D108">
        <f ca="1">INDIRECT(ADDRESS($B108,2,3,1,Menus!$K$10))</f>
        <v>0</v>
      </c>
    </row>
    <row r="109" spans="1:4" x14ac:dyDescent="0.25">
      <c r="A109">
        <f ca="1"/>
        <v>0</v>
      </c>
      <c r="B109">
        <v>109</v>
      </c>
      <c r="C109">
        <f ca="1">INDIRECT(ADDRESS($B109,1,3,1,Menus!$K$10))</f>
        <v>0</v>
      </c>
      <c r="D109">
        <f ca="1">INDIRECT(ADDRESS($B109,2,3,1,Menus!$K$10))</f>
        <v>0</v>
      </c>
    </row>
    <row r="110" spans="1:4" x14ac:dyDescent="0.25">
      <c r="A110">
        <f ca="1"/>
        <v>0</v>
      </c>
      <c r="B110">
        <v>110</v>
      </c>
      <c r="C110">
        <f ca="1">INDIRECT(ADDRESS($B110,1,3,1,Menus!$K$10))</f>
        <v>0</v>
      </c>
      <c r="D110">
        <f ca="1">INDIRECT(ADDRESS($B110,2,3,1,Menus!$K$10))</f>
        <v>0</v>
      </c>
    </row>
    <row r="111" spans="1:4" x14ac:dyDescent="0.25">
      <c r="A111">
        <f ca="1"/>
        <v>0</v>
      </c>
      <c r="B111" s="7">
        <v>111</v>
      </c>
      <c r="C111">
        <f ca="1">INDIRECT(ADDRESS($B111,1,3,1,Menus!$K$10))</f>
        <v>0</v>
      </c>
      <c r="D111">
        <f ca="1">INDIRECT(ADDRESS($B111,2,3,1,Menus!$K$10))</f>
        <v>0</v>
      </c>
    </row>
    <row r="112" spans="1:4" x14ac:dyDescent="0.25">
      <c r="A112">
        <f ca="1"/>
        <v>0</v>
      </c>
      <c r="B112">
        <v>112</v>
      </c>
      <c r="C112">
        <f ca="1">INDIRECT(ADDRESS($B112,1,3,1,Menus!$K$10))</f>
        <v>0</v>
      </c>
      <c r="D112">
        <f ca="1">INDIRECT(ADDRESS($B112,2,3,1,Menus!$K$10))</f>
        <v>0</v>
      </c>
    </row>
    <row r="113" spans="1:4" x14ac:dyDescent="0.25">
      <c r="A113">
        <f ca="1"/>
        <v>0</v>
      </c>
      <c r="B113">
        <v>113</v>
      </c>
      <c r="C113">
        <f ca="1">INDIRECT(ADDRESS($B113,1,3,1,Menus!$K$10))</f>
        <v>0</v>
      </c>
      <c r="D113">
        <f ca="1">INDIRECT(ADDRESS($B113,2,3,1,Menus!$K$10))</f>
        <v>0</v>
      </c>
    </row>
    <row r="114" spans="1:4" x14ac:dyDescent="0.25">
      <c r="A114">
        <f ca="1"/>
        <v>0</v>
      </c>
      <c r="B114">
        <v>114</v>
      </c>
      <c r="C114">
        <f ca="1">INDIRECT(ADDRESS($B114,1,3,1,Menus!$K$10))</f>
        <v>0</v>
      </c>
      <c r="D114">
        <f ca="1">INDIRECT(ADDRESS($B114,2,3,1,Menus!$K$10))</f>
        <v>0</v>
      </c>
    </row>
    <row r="115" spans="1:4" x14ac:dyDescent="0.25">
      <c r="A115">
        <f ca="1"/>
        <v>0</v>
      </c>
      <c r="B115" s="7">
        <v>115</v>
      </c>
      <c r="C115">
        <f ca="1">INDIRECT(ADDRESS($B115,1,3,1,Menus!$K$10))</f>
        <v>0</v>
      </c>
      <c r="D115">
        <f ca="1">INDIRECT(ADDRESS($B115,2,3,1,Menus!$K$10))</f>
        <v>0</v>
      </c>
    </row>
    <row r="116" spans="1:4" x14ac:dyDescent="0.25">
      <c r="A116">
        <f ca="1"/>
        <v>0</v>
      </c>
      <c r="B116">
        <v>116</v>
      </c>
      <c r="C116">
        <f ca="1">INDIRECT(ADDRESS($B116,1,3,1,Menus!$K$10))</f>
        <v>0</v>
      </c>
      <c r="D116">
        <f ca="1">INDIRECT(ADDRESS($B116,2,3,1,Menus!$K$10))</f>
        <v>0</v>
      </c>
    </row>
    <row r="117" spans="1:4" x14ac:dyDescent="0.25">
      <c r="A117">
        <f ca="1"/>
        <v>0</v>
      </c>
      <c r="B117">
        <v>117</v>
      </c>
      <c r="C117">
        <f ca="1">INDIRECT(ADDRESS($B117,1,3,1,Menus!$K$10))</f>
        <v>0</v>
      </c>
      <c r="D117">
        <f ca="1">INDIRECT(ADDRESS($B117,2,3,1,Menus!$K$10))</f>
        <v>0</v>
      </c>
    </row>
    <row r="118" spans="1:4" x14ac:dyDescent="0.25">
      <c r="A118">
        <f ca="1"/>
        <v>0</v>
      </c>
      <c r="B118">
        <v>118</v>
      </c>
      <c r="C118">
        <f ca="1">INDIRECT(ADDRESS($B118,1,3,1,Menus!$K$10))</f>
        <v>0</v>
      </c>
      <c r="D118">
        <f ca="1">INDIRECT(ADDRESS($B118,2,3,1,Menus!$K$10))</f>
        <v>0</v>
      </c>
    </row>
    <row r="119" spans="1:4" x14ac:dyDescent="0.25">
      <c r="A119">
        <f ca="1"/>
        <v>0</v>
      </c>
      <c r="B119" s="7">
        <v>119</v>
      </c>
      <c r="C119">
        <f ca="1">INDIRECT(ADDRESS($B119,1,3,1,Menus!$K$10))</f>
        <v>0</v>
      </c>
      <c r="D119">
        <f ca="1">INDIRECT(ADDRESS($B119,2,3,1,Menus!$K$10))</f>
        <v>0</v>
      </c>
    </row>
    <row r="120" spans="1:4" x14ac:dyDescent="0.25">
      <c r="A120">
        <f ca="1"/>
        <v>0</v>
      </c>
      <c r="B120">
        <v>120</v>
      </c>
      <c r="C120">
        <f ca="1">INDIRECT(ADDRESS($B120,1,3,1,Menus!$K$10))</f>
        <v>0</v>
      </c>
      <c r="D120">
        <f ca="1">INDIRECT(ADDRESS($B120,2,3,1,Menus!$K$10))</f>
        <v>0</v>
      </c>
    </row>
    <row r="121" spans="1:4" x14ac:dyDescent="0.25">
      <c r="A121">
        <f ca="1"/>
        <v>0</v>
      </c>
      <c r="B121">
        <v>121</v>
      </c>
      <c r="C121">
        <f ca="1">INDIRECT(ADDRESS($B121,1,3,1,Menus!$K$10))</f>
        <v>0</v>
      </c>
      <c r="D121">
        <f ca="1">INDIRECT(ADDRESS($B121,2,3,1,Menus!$K$10))</f>
        <v>0</v>
      </c>
    </row>
    <row r="122" spans="1:4" x14ac:dyDescent="0.25">
      <c r="A122">
        <f ca="1"/>
        <v>0</v>
      </c>
      <c r="B122">
        <v>122</v>
      </c>
      <c r="C122">
        <f ca="1">INDIRECT(ADDRESS($B122,1,3,1,Menus!$K$10))</f>
        <v>0</v>
      </c>
      <c r="D122">
        <f ca="1">INDIRECT(ADDRESS($B122,2,3,1,Menus!$K$10))</f>
        <v>0</v>
      </c>
    </row>
    <row r="123" spans="1:4" x14ac:dyDescent="0.25">
      <c r="A123">
        <f ca="1"/>
        <v>0</v>
      </c>
      <c r="B123" s="7">
        <v>123</v>
      </c>
      <c r="C123">
        <f ca="1">INDIRECT(ADDRESS($B123,1,3,1,Menus!$K$10))</f>
        <v>0</v>
      </c>
      <c r="D123">
        <f ca="1">INDIRECT(ADDRESS($B123,2,3,1,Menus!$K$10))</f>
        <v>0</v>
      </c>
    </row>
    <row r="124" spans="1:4" x14ac:dyDescent="0.25">
      <c r="A124">
        <f ca="1"/>
        <v>0</v>
      </c>
      <c r="B124">
        <v>124</v>
      </c>
      <c r="C124">
        <f ca="1">INDIRECT(ADDRESS($B124,1,3,1,Menus!$K$10))</f>
        <v>0</v>
      </c>
      <c r="D124">
        <f ca="1">INDIRECT(ADDRESS($B124,2,3,1,Menus!$K$10))</f>
        <v>0</v>
      </c>
    </row>
    <row r="125" spans="1:4" x14ac:dyDescent="0.25">
      <c r="A125">
        <f ca="1"/>
        <v>0</v>
      </c>
      <c r="B125">
        <v>125</v>
      </c>
      <c r="C125">
        <f ca="1">INDIRECT(ADDRESS($B125,1,3,1,Menus!$K$10))</f>
        <v>0</v>
      </c>
      <c r="D125">
        <f ca="1">INDIRECT(ADDRESS($B125,2,3,1,Menus!$K$10))</f>
        <v>0</v>
      </c>
    </row>
    <row r="126" spans="1:4" x14ac:dyDescent="0.25">
      <c r="A126">
        <f ca="1"/>
        <v>0</v>
      </c>
      <c r="B126">
        <v>126</v>
      </c>
      <c r="C126">
        <f ca="1">INDIRECT(ADDRESS($B126,1,3,1,Menus!$K$10))</f>
        <v>0</v>
      </c>
      <c r="D126">
        <f ca="1">INDIRECT(ADDRESS($B126,2,3,1,Menus!$K$10))</f>
        <v>0</v>
      </c>
    </row>
    <row r="127" spans="1:4" x14ac:dyDescent="0.25">
      <c r="A127">
        <f ca="1"/>
        <v>0</v>
      </c>
      <c r="B127" s="7">
        <v>127</v>
      </c>
      <c r="C127">
        <f ca="1">INDIRECT(ADDRESS($B127,1,3,1,Menus!$K$10))</f>
        <v>0</v>
      </c>
      <c r="D127">
        <f ca="1">INDIRECT(ADDRESS($B127,2,3,1,Menus!$K$10))</f>
        <v>0</v>
      </c>
    </row>
    <row r="128" spans="1:4" x14ac:dyDescent="0.25">
      <c r="A128">
        <f ca="1"/>
        <v>0</v>
      </c>
      <c r="B128">
        <v>128</v>
      </c>
      <c r="C128">
        <f ca="1">INDIRECT(ADDRESS($B128,1,3,1,Menus!$K$10))</f>
        <v>0</v>
      </c>
      <c r="D128">
        <f ca="1">INDIRECT(ADDRESS($B128,2,3,1,Menus!$K$10))</f>
        <v>0</v>
      </c>
    </row>
    <row r="129" spans="1:4" x14ac:dyDescent="0.25">
      <c r="A129">
        <f ca="1"/>
        <v>0</v>
      </c>
      <c r="B129">
        <v>129</v>
      </c>
      <c r="C129">
        <f ca="1">INDIRECT(ADDRESS($B129,1,3,1,Menus!$K$10))</f>
        <v>0</v>
      </c>
      <c r="D129">
        <f ca="1">INDIRECT(ADDRESS($B129,2,3,1,Menus!$K$10))</f>
        <v>0</v>
      </c>
    </row>
    <row r="130" spans="1:4" x14ac:dyDescent="0.25">
      <c r="A130">
        <f ca="1"/>
        <v>0</v>
      </c>
      <c r="B130">
        <v>130</v>
      </c>
      <c r="C130">
        <f ca="1">INDIRECT(ADDRESS($B130,1,3,1,Menus!$K$10))</f>
        <v>0</v>
      </c>
      <c r="D130">
        <f ca="1">INDIRECT(ADDRESS($B130,2,3,1,Menus!$K$10))</f>
        <v>0</v>
      </c>
    </row>
    <row r="131" spans="1:4" x14ac:dyDescent="0.25">
      <c r="A131">
        <f ca="1"/>
        <v>0</v>
      </c>
      <c r="B131" s="7">
        <v>131</v>
      </c>
      <c r="C131">
        <f ca="1">INDIRECT(ADDRESS($B131,1,3,1,Menus!$K$10))</f>
        <v>0</v>
      </c>
      <c r="D131">
        <f ca="1">INDIRECT(ADDRESS($B131,2,3,1,Menus!$K$10))</f>
        <v>0</v>
      </c>
    </row>
    <row r="132" spans="1:4" x14ac:dyDescent="0.25">
      <c r="A132">
        <f ca="1"/>
        <v>0</v>
      </c>
      <c r="B132">
        <v>132</v>
      </c>
      <c r="C132">
        <f ca="1">INDIRECT(ADDRESS($B132,1,3,1,Menus!$K$10))</f>
        <v>0</v>
      </c>
      <c r="D132">
        <f ca="1">INDIRECT(ADDRESS($B132,2,3,1,Menus!$K$10))</f>
        <v>0</v>
      </c>
    </row>
    <row r="133" spans="1:4" x14ac:dyDescent="0.25">
      <c r="A133">
        <f ca="1"/>
        <v>0</v>
      </c>
      <c r="B133">
        <v>133</v>
      </c>
      <c r="C133">
        <f ca="1">INDIRECT(ADDRESS($B133,1,3,1,Menus!$K$10))</f>
        <v>0</v>
      </c>
      <c r="D133">
        <f ca="1">INDIRECT(ADDRESS($B133,2,3,1,Menus!$K$10))</f>
        <v>0</v>
      </c>
    </row>
    <row r="134" spans="1:4" x14ac:dyDescent="0.25">
      <c r="A134">
        <f ca="1"/>
        <v>0</v>
      </c>
      <c r="B134">
        <v>134</v>
      </c>
      <c r="C134">
        <f ca="1">INDIRECT(ADDRESS($B134,1,3,1,Menus!$K$10))</f>
        <v>0</v>
      </c>
      <c r="D134">
        <f ca="1">INDIRECT(ADDRESS($B134,2,3,1,Menus!$K$10))</f>
        <v>0</v>
      </c>
    </row>
    <row r="135" spans="1:4" x14ac:dyDescent="0.25">
      <c r="A135">
        <f ca="1"/>
        <v>0</v>
      </c>
      <c r="B135" s="7">
        <v>135</v>
      </c>
      <c r="C135">
        <f ca="1">INDIRECT(ADDRESS($B135,1,3,1,Menus!$K$10))</f>
        <v>0</v>
      </c>
      <c r="D135">
        <f ca="1">INDIRECT(ADDRESS($B135,2,3,1,Menus!$K$10))</f>
        <v>0</v>
      </c>
    </row>
    <row r="136" spans="1:4" x14ac:dyDescent="0.25">
      <c r="A136">
        <f ca="1"/>
        <v>0</v>
      </c>
      <c r="B136">
        <v>136</v>
      </c>
      <c r="C136">
        <f ca="1">INDIRECT(ADDRESS($B136,1,3,1,Menus!$K$10))</f>
        <v>0</v>
      </c>
      <c r="D136">
        <f ca="1">INDIRECT(ADDRESS($B136,2,3,1,Menus!$K$10))</f>
        <v>0</v>
      </c>
    </row>
    <row r="137" spans="1:4" x14ac:dyDescent="0.25">
      <c r="A137">
        <f ca="1"/>
        <v>0</v>
      </c>
      <c r="B137">
        <v>137</v>
      </c>
      <c r="C137">
        <f ca="1">INDIRECT(ADDRESS($B137,1,3,1,Menus!$K$10))</f>
        <v>0</v>
      </c>
      <c r="D137">
        <f ca="1">INDIRECT(ADDRESS($B137,2,3,1,Menus!$K$10))</f>
        <v>0</v>
      </c>
    </row>
    <row r="138" spans="1:4" x14ac:dyDescent="0.25">
      <c r="A138">
        <f ca="1"/>
        <v>0</v>
      </c>
      <c r="B138">
        <v>138</v>
      </c>
      <c r="C138">
        <f ca="1">INDIRECT(ADDRESS($B138,1,3,1,Menus!$K$10))</f>
        <v>0</v>
      </c>
      <c r="D138">
        <f ca="1">INDIRECT(ADDRESS($B138,2,3,1,Menus!$K$10))</f>
        <v>0</v>
      </c>
    </row>
    <row r="139" spans="1:4" x14ac:dyDescent="0.25">
      <c r="A139">
        <f ca="1"/>
        <v>0</v>
      </c>
      <c r="B139" s="7">
        <v>139</v>
      </c>
      <c r="C139">
        <f ca="1">INDIRECT(ADDRESS($B139,1,3,1,Menus!$K$10))</f>
        <v>0</v>
      </c>
      <c r="D139">
        <f ca="1">INDIRECT(ADDRESS($B139,2,3,1,Menus!$K$10))</f>
        <v>0</v>
      </c>
    </row>
    <row r="140" spans="1:4" x14ac:dyDescent="0.25">
      <c r="A140">
        <f ca="1"/>
        <v>0</v>
      </c>
      <c r="B140">
        <v>140</v>
      </c>
      <c r="C140">
        <f ca="1">INDIRECT(ADDRESS($B140,1,3,1,Menus!$K$10))</f>
        <v>0</v>
      </c>
      <c r="D140">
        <f ca="1">INDIRECT(ADDRESS($B140,2,3,1,Menus!$K$10))</f>
        <v>0</v>
      </c>
    </row>
    <row r="141" spans="1:4" x14ac:dyDescent="0.25">
      <c r="A141">
        <f ca="1"/>
        <v>0</v>
      </c>
      <c r="B141">
        <v>141</v>
      </c>
      <c r="C141">
        <f ca="1">INDIRECT(ADDRESS($B141,1,3,1,Menus!$K$10))</f>
        <v>0</v>
      </c>
      <c r="D141">
        <f ca="1">INDIRECT(ADDRESS($B141,2,3,1,Menus!$K$10))</f>
        <v>0</v>
      </c>
    </row>
    <row r="142" spans="1:4" x14ac:dyDescent="0.25">
      <c r="A142">
        <f ca="1"/>
        <v>0</v>
      </c>
      <c r="B142">
        <v>142</v>
      </c>
      <c r="C142">
        <f ca="1">INDIRECT(ADDRESS($B142,1,3,1,Menus!$K$10))</f>
        <v>0</v>
      </c>
      <c r="D142">
        <f ca="1">INDIRECT(ADDRESS($B142,2,3,1,Menus!$K$10))</f>
        <v>0</v>
      </c>
    </row>
    <row r="143" spans="1:4" x14ac:dyDescent="0.25">
      <c r="A143">
        <f ca="1"/>
        <v>0</v>
      </c>
      <c r="B143" s="7">
        <v>143</v>
      </c>
      <c r="C143">
        <f ca="1">INDIRECT(ADDRESS($B143,1,3,1,Menus!$K$10))</f>
        <v>0</v>
      </c>
      <c r="D143">
        <f ca="1">INDIRECT(ADDRESS($B143,2,3,1,Menus!$K$10))</f>
        <v>0</v>
      </c>
    </row>
    <row r="144" spans="1:4" x14ac:dyDescent="0.25">
      <c r="A144">
        <f ca="1"/>
        <v>0</v>
      </c>
      <c r="B144">
        <v>144</v>
      </c>
      <c r="C144">
        <f ca="1">INDIRECT(ADDRESS($B144,1,3,1,Menus!$K$10))</f>
        <v>0</v>
      </c>
      <c r="D144">
        <f ca="1">INDIRECT(ADDRESS($B144,2,3,1,Menus!$K$10))</f>
        <v>0</v>
      </c>
    </row>
    <row r="145" spans="1:4" x14ac:dyDescent="0.25">
      <c r="A145">
        <f ca="1"/>
        <v>0</v>
      </c>
      <c r="B145">
        <v>145</v>
      </c>
      <c r="C145">
        <f ca="1">INDIRECT(ADDRESS($B145,1,3,1,Menus!$K$10))</f>
        <v>0</v>
      </c>
      <c r="D145">
        <f ca="1">INDIRECT(ADDRESS($B145,2,3,1,Menus!$K$10))</f>
        <v>0</v>
      </c>
    </row>
    <row r="146" spans="1:4" x14ac:dyDescent="0.25">
      <c r="A146">
        <f ca="1"/>
        <v>0</v>
      </c>
      <c r="B146">
        <v>146</v>
      </c>
      <c r="C146">
        <f ca="1">INDIRECT(ADDRESS($B146,1,3,1,Menus!$K$10))</f>
        <v>0</v>
      </c>
      <c r="D146">
        <f ca="1">INDIRECT(ADDRESS($B146,2,3,1,Menus!$K$10))</f>
        <v>0</v>
      </c>
    </row>
    <row r="147" spans="1:4" x14ac:dyDescent="0.25">
      <c r="A147">
        <f ca="1"/>
        <v>0</v>
      </c>
      <c r="B147" s="7">
        <v>147</v>
      </c>
      <c r="C147">
        <f ca="1">INDIRECT(ADDRESS($B147,1,3,1,Menus!$K$10))</f>
        <v>0</v>
      </c>
      <c r="D147">
        <f ca="1">INDIRECT(ADDRESS($B147,2,3,1,Menus!$K$10))</f>
        <v>0</v>
      </c>
    </row>
    <row r="148" spans="1:4" x14ac:dyDescent="0.25">
      <c r="A148">
        <f ca="1"/>
        <v>0</v>
      </c>
      <c r="B148">
        <v>148</v>
      </c>
      <c r="C148">
        <f ca="1">INDIRECT(ADDRESS($B148,1,3,1,Menus!$K$10))</f>
        <v>0</v>
      </c>
      <c r="D148">
        <f ca="1">INDIRECT(ADDRESS($B148,2,3,1,Menus!$K$10))</f>
        <v>0</v>
      </c>
    </row>
    <row r="149" spans="1:4" x14ac:dyDescent="0.25">
      <c r="A149">
        <f ca="1"/>
        <v>0</v>
      </c>
      <c r="B149">
        <v>149</v>
      </c>
      <c r="C149">
        <f ca="1">INDIRECT(ADDRESS($B149,1,3,1,Menus!$K$10))</f>
        <v>0</v>
      </c>
      <c r="D149">
        <f ca="1">INDIRECT(ADDRESS($B149,2,3,1,Menus!$K$10))</f>
        <v>0</v>
      </c>
    </row>
    <row r="150" spans="1:4" x14ac:dyDescent="0.25">
      <c r="A150">
        <f ca="1"/>
        <v>0</v>
      </c>
      <c r="B150">
        <v>150</v>
      </c>
      <c r="C150">
        <f ca="1">INDIRECT(ADDRESS($B150,1,3,1,Menus!$K$10))</f>
        <v>0</v>
      </c>
      <c r="D150">
        <f ca="1">INDIRECT(ADDRESS($B150,2,3,1,Menus!$K$10))</f>
        <v>0</v>
      </c>
    </row>
    <row r="151" spans="1:4" x14ac:dyDescent="0.25">
      <c r="A151">
        <f ca="1"/>
        <v>0</v>
      </c>
      <c r="B151" s="7">
        <v>151</v>
      </c>
      <c r="C151">
        <f ca="1">INDIRECT(ADDRESS($B151,1,3,1,Menus!$K$10))</f>
        <v>0</v>
      </c>
      <c r="D151">
        <f ca="1">INDIRECT(ADDRESS($B151,2,3,1,Menus!$K$10))</f>
        <v>0</v>
      </c>
    </row>
    <row r="152" spans="1:4" x14ac:dyDescent="0.25">
      <c r="A152">
        <f ca="1"/>
        <v>0</v>
      </c>
      <c r="B152">
        <v>152</v>
      </c>
      <c r="C152">
        <f ca="1">INDIRECT(ADDRESS($B152,1,3,1,Menus!$K$10))</f>
        <v>0</v>
      </c>
      <c r="D152">
        <f ca="1">INDIRECT(ADDRESS($B152,2,3,1,Menus!$K$10))</f>
        <v>0</v>
      </c>
    </row>
    <row r="153" spans="1:4" x14ac:dyDescent="0.25">
      <c r="A153">
        <f ca="1"/>
        <v>0</v>
      </c>
      <c r="B153">
        <v>153</v>
      </c>
      <c r="C153">
        <f ca="1">INDIRECT(ADDRESS($B153,1,3,1,Menus!$K$10))</f>
        <v>0</v>
      </c>
      <c r="D153">
        <f ca="1">INDIRECT(ADDRESS($B153,2,3,1,Menus!$K$10))</f>
        <v>0</v>
      </c>
    </row>
    <row r="154" spans="1:4" x14ac:dyDescent="0.25">
      <c r="A154">
        <f ca="1"/>
        <v>0</v>
      </c>
      <c r="B154">
        <v>154</v>
      </c>
      <c r="C154">
        <f ca="1">INDIRECT(ADDRESS($B154,1,3,1,Menus!$K$10))</f>
        <v>0</v>
      </c>
      <c r="D154">
        <f ca="1">INDIRECT(ADDRESS($B154,2,3,1,Menus!$K$10))</f>
        <v>0</v>
      </c>
    </row>
    <row r="155" spans="1:4" x14ac:dyDescent="0.25">
      <c r="A155">
        <f ca="1"/>
        <v>0</v>
      </c>
      <c r="B155" s="7">
        <v>155</v>
      </c>
      <c r="C155">
        <f ca="1">INDIRECT(ADDRESS($B155,1,3,1,Menus!$K$10))</f>
        <v>0</v>
      </c>
      <c r="D155">
        <f ca="1">INDIRECT(ADDRESS($B155,2,3,1,Menus!$K$10))</f>
        <v>0</v>
      </c>
    </row>
    <row r="156" spans="1:4" x14ac:dyDescent="0.25">
      <c r="A156">
        <f ca="1"/>
        <v>0</v>
      </c>
      <c r="B156">
        <v>156</v>
      </c>
      <c r="C156">
        <f ca="1">INDIRECT(ADDRESS($B156,1,3,1,Menus!$K$10))</f>
        <v>0</v>
      </c>
      <c r="D156">
        <f ca="1">INDIRECT(ADDRESS($B156,2,3,1,Menus!$K$10))</f>
        <v>0</v>
      </c>
    </row>
    <row r="157" spans="1:4" x14ac:dyDescent="0.25">
      <c r="A157">
        <f ca="1"/>
        <v>0</v>
      </c>
      <c r="B157">
        <v>157</v>
      </c>
      <c r="C157">
        <f ca="1">INDIRECT(ADDRESS($B157,1,3,1,Menus!$K$10))</f>
        <v>0</v>
      </c>
      <c r="D157">
        <f ca="1">INDIRECT(ADDRESS($B157,2,3,1,Menus!$K$10))</f>
        <v>0</v>
      </c>
    </row>
    <row r="158" spans="1:4" x14ac:dyDescent="0.25">
      <c r="A158">
        <f ca="1"/>
        <v>0</v>
      </c>
      <c r="B158">
        <v>158</v>
      </c>
      <c r="C158">
        <f ca="1">INDIRECT(ADDRESS($B158,1,3,1,Menus!$K$10))</f>
        <v>0</v>
      </c>
      <c r="D158">
        <f ca="1">INDIRECT(ADDRESS($B158,2,3,1,Menus!$K$10))</f>
        <v>0</v>
      </c>
    </row>
    <row r="159" spans="1:4" x14ac:dyDescent="0.25">
      <c r="A159">
        <f ca="1"/>
        <v>0</v>
      </c>
      <c r="B159" s="7">
        <v>159</v>
      </c>
      <c r="C159">
        <f ca="1">INDIRECT(ADDRESS($B159,1,3,1,Menus!$K$10))</f>
        <v>0</v>
      </c>
      <c r="D159">
        <f ca="1">INDIRECT(ADDRESS($B159,2,3,1,Menus!$K$10))</f>
        <v>0</v>
      </c>
    </row>
    <row r="160" spans="1:4" x14ac:dyDescent="0.25">
      <c r="A160">
        <f ca="1"/>
        <v>0</v>
      </c>
      <c r="B160">
        <v>160</v>
      </c>
      <c r="C160">
        <f ca="1">INDIRECT(ADDRESS($B160,1,3,1,Menus!$K$10))</f>
        <v>0</v>
      </c>
      <c r="D160">
        <f ca="1">INDIRECT(ADDRESS($B160,2,3,1,Menus!$K$10))</f>
        <v>0</v>
      </c>
    </row>
    <row r="161" spans="1:4" x14ac:dyDescent="0.25">
      <c r="A161">
        <f ca="1"/>
        <v>0</v>
      </c>
      <c r="B161">
        <v>161</v>
      </c>
      <c r="C161">
        <f ca="1">INDIRECT(ADDRESS($B161,1,3,1,Menus!$K$10))</f>
        <v>0</v>
      </c>
      <c r="D161">
        <f ca="1">INDIRECT(ADDRESS($B161,2,3,1,Menus!$K$10))</f>
        <v>0</v>
      </c>
    </row>
    <row r="162" spans="1:4" x14ac:dyDescent="0.25">
      <c r="A162">
        <f ca="1"/>
        <v>0</v>
      </c>
      <c r="B162">
        <v>162</v>
      </c>
      <c r="C162">
        <f ca="1">INDIRECT(ADDRESS($B162,1,3,1,Menus!$K$10))</f>
        <v>0</v>
      </c>
      <c r="D162">
        <f ca="1">INDIRECT(ADDRESS($B162,2,3,1,Menus!$K$10))</f>
        <v>0</v>
      </c>
    </row>
    <row r="163" spans="1:4" x14ac:dyDescent="0.25">
      <c r="A163">
        <f ca="1"/>
        <v>0</v>
      </c>
      <c r="B163" s="7">
        <v>163</v>
      </c>
      <c r="C163">
        <f ca="1">INDIRECT(ADDRESS($B163,1,3,1,Menus!$K$10))</f>
        <v>0</v>
      </c>
      <c r="D163">
        <f ca="1">INDIRECT(ADDRESS($B163,2,3,1,Menus!$K$10))</f>
        <v>0</v>
      </c>
    </row>
    <row r="164" spans="1:4" x14ac:dyDescent="0.25">
      <c r="A164">
        <f ca="1"/>
        <v>0</v>
      </c>
      <c r="B164">
        <v>164</v>
      </c>
      <c r="C164">
        <f ca="1">INDIRECT(ADDRESS($B164,1,3,1,Menus!$K$10))</f>
        <v>0</v>
      </c>
      <c r="D164">
        <f ca="1">INDIRECT(ADDRESS($B164,2,3,1,Menus!$K$10))</f>
        <v>0</v>
      </c>
    </row>
    <row r="165" spans="1:4" x14ac:dyDescent="0.25">
      <c r="A165">
        <f ca="1"/>
        <v>0</v>
      </c>
      <c r="B165">
        <v>165</v>
      </c>
      <c r="C165">
        <f ca="1">INDIRECT(ADDRESS($B165,1,3,1,Menus!$K$10))</f>
        <v>0</v>
      </c>
      <c r="D165">
        <f ca="1">INDIRECT(ADDRESS($B165,2,3,1,Menus!$K$10))</f>
        <v>0</v>
      </c>
    </row>
    <row r="166" spans="1:4" x14ac:dyDescent="0.25">
      <c r="A166">
        <f ca="1"/>
        <v>0</v>
      </c>
      <c r="B166">
        <v>166</v>
      </c>
      <c r="C166">
        <f ca="1">INDIRECT(ADDRESS($B166,1,3,1,Menus!$K$10))</f>
        <v>0</v>
      </c>
      <c r="D166">
        <f ca="1">INDIRECT(ADDRESS($B166,2,3,1,Menus!$K$10))</f>
        <v>0</v>
      </c>
    </row>
    <row r="167" spans="1:4" x14ac:dyDescent="0.25">
      <c r="A167">
        <f ca="1"/>
        <v>0</v>
      </c>
      <c r="B167" s="7">
        <v>167</v>
      </c>
      <c r="C167">
        <f ca="1">INDIRECT(ADDRESS($B167,1,3,1,Menus!$K$10))</f>
        <v>0</v>
      </c>
      <c r="D167">
        <f ca="1">INDIRECT(ADDRESS($B167,2,3,1,Menus!$K$10))</f>
        <v>0</v>
      </c>
    </row>
    <row r="168" spans="1:4" x14ac:dyDescent="0.25">
      <c r="A168">
        <f ca="1"/>
        <v>0</v>
      </c>
      <c r="B168">
        <v>168</v>
      </c>
      <c r="C168">
        <f ca="1">INDIRECT(ADDRESS($B168,1,3,1,Menus!$K$10))</f>
        <v>0</v>
      </c>
      <c r="D168">
        <f ca="1">INDIRECT(ADDRESS($B168,2,3,1,Menus!$K$10))</f>
        <v>0</v>
      </c>
    </row>
    <row r="169" spans="1:4" x14ac:dyDescent="0.25">
      <c r="A169">
        <f ca="1"/>
        <v>0</v>
      </c>
      <c r="B169">
        <v>169</v>
      </c>
      <c r="C169">
        <f ca="1">INDIRECT(ADDRESS($B169,1,3,1,Menus!$K$10))</f>
        <v>0</v>
      </c>
      <c r="D169">
        <f ca="1">INDIRECT(ADDRESS($B169,2,3,1,Menus!$K$10))</f>
        <v>0</v>
      </c>
    </row>
    <row r="170" spans="1:4" x14ac:dyDescent="0.25">
      <c r="A170">
        <f ca="1"/>
        <v>0</v>
      </c>
      <c r="B170">
        <v>170</v>
      </c>
      <c r="C170">
        <f ca="1">INDIRECT(ADDRESS($B170,1,3,1,Menus!$K$10))</f>
        <v>0</v>
      </c>
      <c r="D170">
        <f ca="1">INDIRECT(ADDRESS($B170,2,3,1,Menus!$K$10))</f>
        <v>0</v>
      </c>
    </row>
    <row r="171" spans="1:4" x14ac:dyDescent="0.25">
      <c r="A171">
        <f ca="1"/>
        <v>0</v>
      </c>
      <c r="B171" s="7">
        <v>171</v>
      </c>
      <c r="C171">
        <f ca="1">INDIRECT(ADDRESS($B171,1,3,1,Menus!$K$10))</f>
        <v>0</v>
      </c>
      <c r="D171">
        <f ca="1">INDIRECT(ADDRESS($B171,2,3,1,Menus!$K$10))</f>
        <v>0</v>
      </c>
    </row>
    <row r="172" spans="1:4" x14ac:dyDescent="0.25">
      <c r="A172">
        <f ca="1"/>
        <v>0</v>
      </c>
      <c r="B172">
        <v>172</v>
      </c>
      <c r="C172">
        <f ca="1">INDIRECT(ADDRESS($B172,1,3,1,Menus!$K$10))</f>
        <v>0</v>
      </c>
      <c r="D172">
        <f ca="1">INDIRECT(ADDRESS($B172,2,3,1,Menus!$K$10))</f>
        <v>0</v>
      </c>
    </row>
    <row r="173" spans="1:4" x14ac:dyDescent="0.25">
      <c r="A173">
        <f ca="1"/>
        <v>0</v>
      </c>
      <c r="B173">
        <v>173</v>
      </c>
      <c r="C173">
        <f ca="1">INDIRECT(ADDRESS($B173,1,3,1,Menus!$K$10))</f>
        <v>0</v>
      </c>
      <c r="D173">
        <f ca="1">INDIRECT(ADDRESS($B173,2,3,1,Menus!$K$10))</f>
        <v>0</v>
      </c>
    </row>
    <row r="174" spans="1:4" x14ac:dyDescent="0.25">
      <c r="A174">
        <f ca="1"/>
        <v>0</v>
      </c>
      <c r="B174">
        <v>174</v>
      </c>
      <c r="C174">
        <f ca="1">INDIRECT(ADDRESS($B174,1,3,1,Menus!$K$10))</f>
        <v>0</v>
      </c>
      <c r="D174">
        <f ca="1">INDIRECT(ADDRESS($B174,2,3,1,Menus!$K$10))</f>
        <v>0</v>
      </c>
    </row>
    <row r="175" spans="1:4" x14ac:dyDescent="0.25">
      <c r="A175">
        <f ca="1"/>
        <v>0</v>
      </c>
      <c r="B175" s="7">
        <v>175</v>
      </c>
      <c r="C175">
        <f ca="1">INDIRECT(ADDRESS($B175,1,3,1,Menus!$K$10))</f>
        <v>0</v>
      </c>
      <c r="D175">
        <f ca="1">INDIRECT(ADDRESS($B175,2,3,1,Menus!$K$10))</f>
        <v>0</v>
      </c>
    </row>
    <row r="176" spans="1:4" x14ac:dyDescent="0.25">
      <c r="A176">
        <f ca="1"/>
        <v>0</v>
      </c>
      <c r="B176">
        <v>176</v>
      </c>
      <c r="C176">
        <f ca="1">INDIRECT(ADDRESS($B176,1,3,1,Menus!$K$10))</f>
        <v>0</v>
      </c>
      <c r="D176">
        <f ca="1">INDIRECT(ADDRESS($B176,2,3,1,Menus!$K$10))</f>
        <v>0</v>
      </c>
    </row>
    <row r="177" spans="1:4" x14ac:dyDescent="0.25">
      <c r="A177">
        <f ca="1"/>
        <v>0</v>
      </c>
      <c r="B177">
        <v>177</v>
      </c>
      <c r="C177">
        <f ca="1">INDIRECT(ADDRESS($B177,1,3,1,Menus!$K$10))</f>
        <v>0</v>
      </c>
      <c r="D177">
        <f ca="1">INDIRECT(ADDRESS($B177,2,3,1,Menus!$K$10))</f>
        <v>0</v>
      </c>
    </row>
    <row r="178" spans="1:4" x14ac:dyDescent="0.25">
      <c r="A178">
        <f ca="1"/>
        <v>0</v>
      </c>
      <c r="B178">
        <v>178</v>
      </c>
      <c r="C178">
        <f ca="1">INDIRECT(ADDRESS($B178,1,3,1,Menus!$K$10))</f>
        <v>0</v>
      </c>
      <c r="D178">
        <f ca="1">INDIRECT(ADDRESS($B178,2,3,1,Menus!$K$10))</f>
        <v>0</v>
      </c>
    </row>
    <row r="179" spans="1:4" x14ac:dyDescent="0.25">
      <c r="A179">
        <f ca="1"/>
        <v>0</v>
      </c>
      <c r="B179" s="7">
        <v>179</v>
      </c>
      <c r="C179">
        <f ca="1">INDIRECT(ADDRESS($B179,1,3,1,Menus!$K$10))</f>
        <v>0</v>
      </c>
      <c r="D179">
        <f ca="1">INDIRECT(ADDRESS($B179,2,3,1,Menus!$K$10))</f>
        <v>0</v>
      </c>
    </row>
    <row r="180" spans="1:4" x14ac:dyDescent="0.25">
      <c r="A180">
        <f ca="1"/>
        <v>0</v>
      </c>
      <c r="B180">
        <v>180</v>
      </c>
      <c r="C180">
        <f ca="1">INDIRECT(ADDRESS($B180,1,3,1,Menus!$K$10))</f>
        <v>0</v>
      </c>
      <c r="D180">
        <f ca="1">INDIRECT(ADDRESS($B180,2,3,1,Menus!$K$10))</f>
        <v>0</v>
      </c>
    </row>
    <row r="181" spans="1:4" x14ac:dyDescent="0.25">
      <c r="A181">
        <f ca="1"/>
        <v>0</v>
      </c>
      <c r="B181">
        <v>181</v>
      </c>
      <c r="C181">
        <f ca="1">INDIRECT(ADDRESS($B181,1,3,1,Menus!$K$10))</f>
        <v>0</v>
      </c>
      <c r="D181">
        <f ca="1">INDIRECT(ADDRESS($B181,2,3,1,Menus!$K$10))</f>
        <v>0</v>
      </c>
    </row>
    <row r="182" spans="1:4" x14ac:dyDescent="0.25">
      <c r="A182">
        <f ca="1"/>
        <v>0</v>
      </c>
      <c r="B182">
        <v>182</v>
      </c>
      <c r="C182">
        <f ca="1">INDIRECT(ADDRESS($B182,1,3,1,Menus!$K$10))</f>
        <v>0</v>
      </c>
      <c r="D182">
        <f ca="1">INDIRECT(ADDRESS($B182,2,3,1,Menus!$K$10))</f>
        <v>0</v>
      </c>
    </row>
    <row r="183" spans="1:4" x14ac:dyDescent="0.25">
      <c r="A183">
        <f ca="1"/>
        <v>0</v>
      </c>
      <c r="B183" s="7">
        <v>183</v>
      </c>
      <c r="C183">
        <f ca="1">INDIRECT(ADDRESS($B183,1,3,1,Menus!$K$10))</f>
        <v>0</v>
      </c>
      <c r="D183">
        <f ca="1">INDIRECT(ADDRESS($B183,2,3,1,Menus!$K$10))</f>
        <v>0</v>
      </c>
    </row>
    <row r="184" spans="1:4" x14ac:dyDescent="0.25">
      <c r="A184">
        <f ca="1"/>
        <v>0</v>
      </c>
      <c r="B184">
        <v>184</v>
      </c>
      <c r="C184">
        <f ca="1">INDIRECT(ADDRESS($B184,1,3,1,Menus!$K$10))</f>
        <v>0</v>
      </c>
      <c r="D184">
        <f ca="1">INDIRECT(ADDRESS($B184,2,3,1,Menus!$K$10))</f>
        <v>0</v>
      </c>
    </row>
    <row r="185" spans="1:4" x14ac:dyDescent="0.25">
      <c r="A185">
        <f ca="1"/>
        <v>0</v>
      </c>
      <c r="B185">
        <v>185</v>
      </c>
      <c r="C185">
        <f ca="1">INDIRECT(ADDRESS($B185,1,3,1,Menus!$K$10))</f>
        <v>0</v>
      </c>
      <c r="D185">
        <f ca="1">INDIRECT(ADDRESS($B185,2,3,1,Menus!$K$10))</f>
        <v>0</v>
      </c>
    </row>
    <row r="186" spans="1:4" x14ac:dyDescent="0.25">
      <c r="A186">
        <f ca="1"/>
        <v>0</v>
      </c>
      <c r="B186">
        <v>186</v>
      </c>
      <c r="C186">
        <f ca="1">INDIRECT(ADDRESS($B186,1,3,1,Menus!$K$10))</f>
        <v>0</v>
      </c>
      <c r="D186">
        <f ca="1">INDIRECT(ADDRESS($B186,2,3,1,Menus!$K$10))</f>
        <v>0</v>
      </c>
    </row>
    <row r="187" spans="1:4" x14ac:dyDescent="0.25">
      <c r="A187">
        <f ca="1"/>
        <v>0</v>
      </c>
      <c r="B187" s="7">
        <v>187</v>
      </c>
      <c r="C187">
        <f ca="1">INDIRECT(ADDRESS($B187,1,3,1,Menus!$K$10))</f>
        <v>0</v>
      </c>
      <c r="D187">
        <f ca="1">INDIRECT(ADDRESS($B187,2,3,1,Menus!$K$10))</f>
        <v>0</v>
      </c>
    </row>
    <row r="188" spans="1:4" x14ac:dyDescent="0.25">
      <c r="A188">
        <f ca="1"/>
        <v>0</v>
      </c>
      <c r="B188">
        <v>188</v>
      </c>
      <c r="C188">
        <f ca="1">INDIRECT(ADDRESS($B188,1,3,1,Menus!$K$10))</f>
        <v>0</v>
      </c>
      <c r="D188">
        <f ca="1">INDIRECT(ADDRESS($B188,2,3,1,Menus!$K$10))</f>
        <v>0</v>
      </c>
    </row>
    <row r="189" spans="1:4" x14ac:dyDescent="0.25">
      <c r="A189">
        <f ca="1"/>
        <v>0</v>
      </c>
      <c r="B189">
        <v>189</v>
      </c>
      <c r="C189">
        <f ca="1">INDIRECT(ADDRESS($B189,1,3,1,Menus!$K$10))</f>
        <v>0</v>
      </c>
      <c r="D189">
        <f ca="1">INDIRECT(ADDRESS($B189,2,3,1,Menus!$K$10))</f>
        <v>0</v>
      </c>
    </row>
    <row r="190" spans="1:4" x14ac:dyDescent="0.25">
      <c r="A190">
        <f ca="1"/>
        <v>0</v>
      </c>
      <c r="B190">
        <v>190</v>
      </c>
      <c r="C190">
        <f ca="1">INDIRECT(ADDRESS($B190,1,3,1,Menus!$K$10))</f>
        <v>0</v>
      </c>
      <c r="D190">
        <f ca="1">INDIRECT(ADDRESS($B190,2,3,1,Menus!$K$10))</f>
        <v>0</v>
      </c>
    </row>
    <row r="191" spans="1:4" x14ac:dyDescent="0.25">
      <c r="A191">
        <f ca="1"/>
        <v>0</v>
      </c>
      <c r="B191" s="7">
        <v>191</v>
      </c>
      <c r="C191">
        <f ca="1">INDIRECT(ADDRESS($B191,1,3,1,Menus!$K$10))</f>
        <v>0</v>
      </c>
      <c r="D191">
        <f ca="1">INDIRECT(ADDRESS($B191,2,3,1,Menus!$K$10))</f>
        <v>0</v>
      </c>
    </row>
    <row r="192" spans="1:4" x14ac:dyDescent="0.25">
      <c r="A192">
        <f ca="1"/>
        <v>0</v>
      </c>
      <c r="B192">
        <v>192</v>
      </c>
      <c r="C192">
        <f ca="1">INDIRECT(ADDRESS($B192,1,3,1,Menus!$K$10))</f>
        <v>0</v>
      </c>
      <c r="D192">
        <f ca="1">INDIRECT(ADDRESS($B192,2,3,1,Menus!$K$10))</f>
        <v>0</v>
      </c>
    </row>
    <row r="193" spans="1:4" x14ac:dyDescent="0.25">
      <c r="A193">
        <f ca="1"/>
        <v>0</v>
      </c>
      <c r="B193">
        <v>193</v>
      </c>
      <c r="C193">
        <f ca="1">INDIRECT(ADDRESS($B193,1,3,1,Menus!$K$10))</f>
        <v>0</v>
      </c>
      <c r="D193">
        <f ca="1">INDIRECT(ADDRESS($B193,2,3,1,Menus!$K$10))</f>
        <v>0</v>
      </c>
    </row>
    <row r="194" spans="1:4" x14ac:dyDescent="0.25">
      <c r="A194">
        <f ca="1"/>
        <v>0</v>
      </c>
      <c r="B194">
        <v>194</v>
      </c>
      <c r="C194">
        <f ca="1">INDIRECT(ADDRESS($B194,1,3,1,Menus!$K$10))</f>
        <v>0</v>
      </c>
      <c r="D194">
        <f ca="1">INDIRECT(ADDRESS($B194,2,3,1,Menus!$K$10))</f>
        <v>0</v>
      </c>
    </row>
    <row r="195" spans="1:4" x14ac:dyDescent="0.25">
      <c r="A195">
        <f ca="1"/>
        <v>0</v>
      </c>
      <c r="B195" s="7">
        <v>195</v>
      </c>
      <c r="C195">
        <f ca="1">INDIRECT(ADDRESS($B195,1,3,1,Menus!$K$10))</f>
        <v>0</v>
      </c>
      <c r="D195">
        <f ca="1">INDIRECT(ADDRESS($B195,2,3,1,Menus!$K$10))</f>
        <v>0</v>
      </c>
    </row>
    <row r="196" spans="1:4" x14ac:dyDescent="0.25">
      <c r="A196">
        <f ca="1"/>
        <v>0</v>
      </c>
      <c r="B196">
        <v>196</v>
      </c>
      <c r="C196">
        <f ca="1">INDIRECT(ADDRESS($B196,1,3,1,Menus!$K$10))</f>
        <v>0</v>
      </c>
      <c r="D196">
        <f ca="1">INDIRECT(ADDRESS($B196,2,3,1,Menus!$K$10))</f>
        <v>0</v>
      </c>
    </row>
    <row r="197" spans="1:4" x14ac:dyDescent="0.25">
      <c r="A197">
        <f ca="1"/>
        <v>0</v>
      </c>
      <c r="B197">
        <v>197</v>
      </c>
      <c r="C197">
        <f ca="1">INDIRECT(ADDRESS($B197,1,3,1,Menus!$K$10))</f>
        <v>0</v>
      </c>
      <c r="D197">
        <f ca="1">INDIRECT(ADDRESS($B197,2,3,1,Menus!$K$10))</f>
        <v>0</v>
      </c>
    </row>
    <row r="198" spans="1:4" x14ac:dyDescent="0.25">
      <c r="A198">
        <f ca="1"/>
        <v>0</v>
      </c>
      <c r="B198">
        <v>198</v>
      </c>
      <c r="C198">
        <f ca="1">INDIRECT(ADDRESS($B198,1,3,1,Menus!$K$10))</f>
        <v>0</v>
      </c>
      <c r="D198">
        <f ca="1">INDIRECT(ADDRESS($B198,2,3,1,Menus!$K$10))</f>
        <v>0</v>
      </c>
    </row>
    <row r="199" spans="1:4" x14ac:dyDescent="0.25">
      <c r="A199">
        <f ca="1"/>
        <v>0</v>
      </c>
      <c r="B199" s="7">
        <v>199</v>
      </c>
      <c r="C199">
        <f ca="1">INDIRECT(ADDRESS($B199,1,3,1,Menus!$K$10))</f>
        <v>0</v>
      </c>
      <c r="D199">
        <f ca="1">INDIRECT(ADDRESS($B199,2,3,1,Menus!$K$10))</f>
        <v>0</v>
      </c>
    </row>
    <row r="200" spans="1:4" x14ac:dyDescent="0.25">
      <c r="A200">
        <f ca="1"/>
        <v>0</v>
      </c>
      <c r="B200">
        <v>200</v>
      </c>
      <c r="C200">
        <f ca="1">INDIRECT(ADDRESS($B200,1,3,1,Menus!$K$10))</f>
        <v>0</v>
      </c>
      <c r="D200">
        <f ca="1">INDIRECT(ADDRESS($B200,2,3,1,Menus!$K$10))</f>
        <v>0</v>
      </c>
    </row>
    <row r="201" spans="1:4" x14ac:dyDescent="0.25">
      <c r="A201">
        <f ca="1"/>
        <v>0</v>
      </c>
      <c r="B201">
        <v>201</v>
      </c>
      <c r="C201">
        <f ca="1">INDIRECT(ADDRESS($B201,1,3,1,Menus!$K$10))</f>
        <v>0</v>
      </c>
      <c r="D201">
        <f ca="1">INDIRECT(ADDRESS($B201,2,3,1,Menus!$K$10))</f>
        <v>0</v>
      </c>
    </row>
    <row r="202" spans="1:4" x14ac:dyDescent="0.25">
      <c r="A202">
        <f ca="1"/>
        <v>0</v>
      </c>
      <c r="B202">
        <v>202</v>
      </c>
      <c r="C202">
        <f ca="1">INDIRECT(ADDRESS($B202,1,3,1,Menus!$K$10))</f>
        <v>0</v>
      </c>
      <c r="D202">
        <f ca="1">INDIRECT(ADDRESS($B202,2,3,1,Menus!$K$10))</f>
        <v>0</v>
      </c>
    </row>
    <row r="203" spans="1:4" x14ac:dyDescent="0.25">
      <c r="A203">
        <f ca="1"/>
        <v>0</v>
      </c>
      <c r="B203" s="7">
        <v>203</v>
      </c>
      <c r="C203">
        <f ca="1">INDIRECT(ADDRESS($B203,1,3,1,Menus!$K$10))</f>
        <v>0</v>
      </c>
      <c r="D203">
        <f ca="1">INDIRECT(ADDRESS($B203,2,3,1,Menus!$K$10))</f>
        <v>0</v>
      </c>
    </row>
    <row r="204" spans="1:4" x14ac:dyDescent="0.25">
      <c r="A204">
        <f ca="1"/>
        <v>0</v>
      </c>
      <c r="B204">
        <v>204</v>
      </c>
      <c r="C204">
        <f ca="1">INDIRECT(ADDRESS($B204,1,3,1,Menus!$K$10))</f>
        <v>0</v>
      </c>
      <c r="D204">
        <f ca="1">INDIRECT(ADDRESS($B204,2,3,1,Menus!$K$10))</f>
        <v>0</v>
      </c>
    </row>
    <row r="205" spans="1:4" x14ac:dyDescent="0.25">
      <c r="A205">
        <f ca="1"/>
        <v>0</v>
      </c>
      <c r="B205">
        <v>205</v>
      </c>
      <c r="C205">
        <f ca="1">INDIRECT(ADDRESS($B205,1,3,1,Menus!$K$10))</f>
        <v>0</v>
      </c>
      <c r="D205">
        <f ca="1">INDIRECT(ADDRESS($B205,2,3,1,Menus!$K$10))</f>
        <v>0</v>
      </c>
    </row>
    <row r="206" spans="1:4" x14ac:dyDescent="0.25">
      <c r="A206">
        <f ca="1"/>
        <v>0</v>
      </c>
      <c r="B206">
        <v>206</v>
      </c>
      <c r="C206">
        <f ca="1">INDIRECT(ADDRESS($B206,1,3,1,Menus!$K$10))</f>
        <v>0</v>
      </c>
      <c r="D206">
        <f ca="1">INDIRECT(ADDRESS($B206,2,3,1,Menus!$K$10))</f>
        <v>0</v>
      </c>
    </row>
    <row r="207" spans="1:4" x14ac:dyDescent="0.25">
      <c r="A207">
        <f ca="1"/>
        <v>0</v>
      </c>
      <c r="B207" s="7">
        <v>207</v>
      </c>
      <c r="C207">
        <f ca="1">INDIRECT(ADDRESS($B207,1,3,1,Menus!$K$10))</f>
        <v>0</v>
      </c>
      <c r="D207">
        <f ca="1">INDIRECT(ADDRESS($B207,2,3,1,Menus!$K$10))</f>
        <v>0</v>
      </c>
    </row>
    <row r="208" spans="1:4" x14ac:dyDescent="0.25">
      <c r="A208">
        <f ca="1"/>
        <v>0</v>
      </c>
      <c r="B208">
        <v>208</v>
      </c>
      <c r="C208">
        <f ca="1">INDIRECT(ADDRESS($B208,1,3,1,Menus!$K$10))</f>
        <v>0</v>
      </c>
      <c r="D208">
        <f ca="1">INDIRECT(ADDRESS($B208,2,3,1,Menus!$K$10))</f>
        <v>0</v>
      </c>
    </row>
    <row r="209" spans="1:4" x14ac:dyDescent="0.25">
      <c r="A209">
        <f ca="1"/>
        <v>0</v>
      </c>
      <c r="B209">
        <v>209</v>
      </c>
      <c r="C209">
        <f ca="1">INDIRECT(ADDRESS($B209,1,3,1,Menus!$K$10))</f>
        <v>0</v>
      </c>
      <c r="D209">
        <f ca="1">INDIRECT(ADDRESS($B209,2,3,1,Menus!$K$10))</f>
        <v>0</v>
      </c>
    </row>
    <row r="210" spans="1:4" x14ac:dyDescent="0.25">
      <c r="A210">
        <f ca="1"/>
        <v>0</v>
      </c>
      <c r="B210">
        <v>210</v>
      </c>
      <c r="C210">
        <f ca="1">INDIRECT(ADDRESS($B210,1,3,1,Menus!$K$10))</f>
        <v>0</v>
      </c>
      <c r="D210">
        <f ca="1">INDIRECT(ADDRESS($B210,2,3,1,Menus!$K$10))</f>
        <v>0</v>
      </c>
    </row>
    <row r="211" spans="1:4" x14ac:dyDescent="0.25">
      <c r="A211">
        <f ca="1"/>
        <v>0</v>
      </c>
      <c r="B211" s="7">
        <v>211</v>
      </c>
      <c r="C211">
        <f ca="1">INDIRECT(ADDRESS($B211,1,3,1,Menus!$K$10))</f>
        <v>0</v>
      </c>
      <c r="D211">
        <f ca="1">INDIRECT(ADDRESS($B211,2,3,1,Menus!$K$10))</f>
        <v>0</v>
      </c>
    </row>
    <row r="212" spans="1:4" x14ac:dyDescent="0.25">
      <c r="A212">
        <f ca="1"/>
        <v>0</v>
      </c>
      <c r="B212">
        <v>212</v>
      </c>
      <c r="C212">
        <f ca="1">INDIRECT(ADDRESS($B212,1,3,1,Menus!$K$10))</f>
        <v>0</v>
      </c>
      <c r="D212">
        <f ca="1">INDIRECT(ADDRESS($B212,2,3,1,Menus!$K$10))</f>
        <v>0</v>
      </c>
    </row>
    <row r="213" spans="1:4" x14ac:dyDescent="0.25">
      <c r="A213">
        <f ca="1"/>
        <v>0</v>
      </c>
      <c r="B213">
        <v>213</v>
      </c>
      <c r="C213">
        <f ca="1">INDIRECT(ADDRESS($B213,1,3,1,Menus!$K$10))</f>
        <v>0</v>
      </c>
      <c r="D213">
        <f ca="1">INDIRECT(ADDRESS($B213,2,3,1,Menus!$K$10))</f>
        <v>0</v>
      </c>
    </row>
    <row r="214" spans="1:4" x14ac:dyDescent="0.25">
      <c r="A214">
        <f ca="1"/>
        <v>0</v>
      </c>
      <c r="B214">
        <v>214</v>
      </c>
      <c r="C214">
        <f ca="1">INDIRECT(ADDRESS($B214,1,3,1,Menus!$K$10))</f>
        <v>0</v>
      </c>
      <c r="D214">
        <f ca="1">INDIRECT(ADDRESS($B214,2,3,1,Menus!$K$10))</f>
        <v>0</v>
      </c>
    </row>
    <row r="215" spans="1:4" x14ac:dyDescent="0.25">
      <c r="A215">
        <f ca="1"/>
        <v>0</v>
      </c>
      <c r="B215" s="7">
        <v>215</v>
      </c>
      <c r="C215">
        <f ca="1">INDIRECT(ADDRESS($B215,1,3,1,Menus!$K$10))</f>
        <v>0</v>
      </c>
      <c r="D215">
        <f ca="1">INDIRECT(ADDRESS($B215,2,3,1,Menus!$K$10))</f>
        <v>0</v>
      </c>
    </row>
    <row r="216" spans="1:4" x14ac:dyDescent="0.25">
      <c r="A216">
        <f ca="1"/>
        <v>0</v>
      </c>
      <c r="B216">
        <v>216</v>
      </c>
      <c r="C216">
        <f ca="1">INDIRECT(ADDRESS($B216,1,3,1,Menus!$K$10))</f>
        <v>0</v>
      </c>
      <c r="D216">
        <f ca="1">INDIRECT(ADDRESS($B216,2,3,1,Menus!$K$10))</f>
        <v>0</v>
      </c>
    </row>
    <row r="217" spans="1:4" x14ac:dyDescent="0.25">
      <c r="A217">
        <f ca="1"/>
        <v>0</v>
      </c>
      <c r="B217">
        <v>217</v>
      </c>
      <c r="C217">
        <f ca="1">INDIRECT(ADDRESS($B217,1,3,1,Menus!$K$10))</f>
        <v>0</v>
      </c>
      <c r="D217">
        <f ca="1">INDIRECT(ADDRESS($B217,2,3,1,Menus!$K$10))</f>
        <v>0</v>
      </c>
    </row>
    <row r="218" spans="1:4" x14ac:dyDescent="0.25">
      <c r="A218">
        <f ca="1"/>
        <v>0</v>
      </c>
      <c r="B218">
        <v>218</v>
      </c>
      <c r="C218">
        <f ca="1">INDIRECT(ADDRESS($B218,1,3,1,Menus!$K$10))</f>
        <v>0</v>
      </c>
      <c r="D218">
        <f ca="1">INDIRECT(ADDRESS($B218,2,3,1,Menus!$K$10))</f>
        <v>0</v>
      </c>
    </row>
    <row r="219" spans="1:4" x14ac:dyDescent="0.25">
      <c r="A219">
        <f ca="1"/>
        <v>0</v>
      </c>
      <c r="B219" s="7">
        <v>219</v>
      </c>
      <c r="C219">
        <f ca="1">INDIRECT(ADDRESS($B219,1,3,1,Menus!$K$10))</f>
        <v>0</v>
      </c>
      <c r="D219">
        <f ca="1">INDIRECT(ADDRESS($B219,2,3,1,Menus!$K$10))</f>
        <v>0</v>
      </c>
    </row>
    <row r="220" spans="1:4" x14ac:dyDescent="0.25">
      <c r="A220">
        <f ca="1"/>
        <v>0</v>
      </c>
      <c r="B220">
        <v>220</v>
      </c>
      <c r="C220">
        <f ca="1">INDIRECT(ADDRESS($B220,1,3,1,Menus!$K$10))</f>
        <v>0</v>
      </c>
      <c r="D220">
        <f ca="1">INDIRECT(ADDRESS($B220,2,3,1,Menus!$K$10))</f>
        <v>0</v>
      </c>
    </row>
    <row r="221" spans="1:4" x14ac:dyDescent="0.25">
      <c r="A221">
        <f ca="1"/>
        <v>0</v>
      </c>
      <c r="B221">
        <v>221</v>
      </c>
      <c r="C221">
        <f ca="1">INDIRECT(ADDRESS($B221,1,3,1,Menus!$K$10))</f>
        <v>0</v>
      </c>
      <c r="D221">
        <f ca="1">INDIRECT(ADDRESS($B221,2,3,1,Menus!$K$10))</f>
        <v>0</v>
      </c>
    </row>
    <row r="222" spans="1:4" x14ac:dyDescent="0.25">
      <c r="A222">
        <f ca="1"/>
        <v>0</v>
      </c>
      <c r="B222">
        <v>222</v>
      </c>
      <c r="C222">
        <f ca="1">INDIRECT(ADDRESS($B222,1,3,1,Menus!$K$10))</f>
        <v>0</v>
      </c>
      <c r="D222">
        <f ca="1">INDIRECT(ADDRESS($B222,2,3,1,Menus!$K$10))</f>
        <v>0</v>
      </c>
    </row>
    <row r="223" spans="1:4" x14ac:dyDescent="0.25">
      <c r="A223">
        <f ca="1"/>
        <v>0</v>
      </c>
      <c r="B223" s="7">
        <v>223</v>
      </c>
      <c r="C223">
        <f ca="1">INDIRECT(ADDRESS($B223,1,3,1,Menus!$K$10))</f>
        <v>0</v>
      </c>
      <c r="D223">
        <f ca="1">INDIRECT(ADDRESS($B223,2,3,1,Menus!$K$10))</f>
        <v>0</v>
      </c>
    </row>
    <row r="224" spans="1:4" x14ac:dyDescent="0.25">
      <c r="A224">
        <f ca="1"/>
        <v>0</v>
      </c>
      <c r="B224">
        <v>224</v>
      </c>
      <c r="C224">
        <f ca="1">INDIRECT(ADDRESS($B224,1,3,1,Menus!$K$10))</f>
        <v>0</v>
      </c>
      <c r="D224">
        <f ca="1">INDIRECT(ADDRESS($B224,2,3,1,Menus!$K$10))</f>
        <v>0</v>
      </c>
    </row>
    <row r="225" spans="1:4" x14ac:dyDescent="0.25">
      <c r="A225">
        <f ca="1"/>
        <v>0</v>
      </c>
      <c r="B225">
        <v>225</v>
      </c>
      <c r="C225">
        <f ca="1">INDIRECT(ADDRESS($B225,1,3,1,Menus!$K$10))</f>
        <v>0</v>
      </c>
      <c r="D225">
        <f ca="1">INDIRECT(ADDRESS($B225,2,3,1,Menus!$K$10))</f>
        <v>0</v>
      </c>
    </row>
    <row r="226" spans="1:4" x14ac:dyDescent="0.25">
      <c r="A226">
        <f ca="1"/>
        <v>0</v>
      </c>
      <c r="B226">
        <v>226</v>
      </c>
      <c r="C226">
        <f ca="1">INDIRECT(ADDRESS($B226,1,3,1,Menus!$K$10))</f>
        <v>0</v>
      </c>
      <c r="D226">
        <f ca="1">INDIRECT(ADDRESS($B226,2,3,1,Menus!$K$10))</f>
        <v>0</v>
      </c>
    </row>
    <row r="227" spans="1:4" x14ac:dyDescent="0.25">
      <c r="A227">
        <f ca="1"/>
        <v>0</v>
      </c>
      <c r="B227" s="7">
        <v>227</v>
      </c>
      <c r="C227">
        <f ca="1">INDIRECT(ADDRESS($B227,1,3,1,Menus!$K$10))</f>
        <v>0</v>
      </c>
      <c r="D227">
        <f ca="1">INDIRECT(ADDRESS($B227,2,3,1,Menus!$K$10))</f>
        <v>0</v>
      </c>
    </row>
    <row r="228" spans="1:4" x14ac:dyDescent="0.25">
      <c r="A228">
        <f ca="1"/>
        <v>0</v>
      </c>
      <c r="B228">
        <v>228</v>
      </c>
      <c r="C228">
        <f ca="1">INDIRECT(ADDRESS($B228,1,3,1,Menus!$K$10))</f>
        <v>0</v>
      </c>
      <c r="D228">
        <f ca="1">INDIRECT(ADDRESS($B228,2,3,1,Menus!$K$10))</f>
        <v>0</v>
      </c>
    </row>
    <row r="229" spans="1:4" x14ac:dyDescent="0.25">
      <c r="A229">
        <f ca="1"/>
        <v>0</v>
      </c>
      <c r="B229">
        <v>229</v>
      </c>
      <c r="C229">
        <f ca="1">INDIRECT(ADDRESS($B229,1,3,1,Menus!$K$10))</f>
        <v>0</v>
      </c>
      <c r="D229">
        <f ca="1">INDIRECT(ADDRESS($B229,2,3,1,Menus!$K$10))</f>
        <v>0</v>
      </c>
    </row>
    <row r="230" spans="1:4" x14ac:dyDescent="0.25">
      <c r="A230">
        <f ca="1"/>
        <v>0</v>
      </c>
      <c r="B230">
        <v>230</v>
      </c>
      <c r="C230">
        <f ca="1">INDIRECT(ADDRESS($B230,1,3,1,Menus!$K$10))</f>
        <v>0</v>
      </c>
      <c r="D230">
        <f ca="1">INDIRECT(ADDRESS($B230,2,3,1,Menus!$K$10))</f>
        <v>0</v>
      </c>
    </row>
    <row r="231" spans="1:4" x14ac:dyDescent="0.25">
      <c r="A231">
        <f ca="1"/>
        <v>0</v>
      </c>
      <c r="B231" s="7">
        <v>231</v>
      </c>
      <c r="C231">
        <f ca="1">INDIRECT(ADDRESS($B231,1,3,1,Menus!$K$10))</f>
        <v>0</v>
      </c>
      <c r="D231">
        <f ca="1">INDIRECT(ADDRESS($B231,2,3,1,Menus!$K$10))</f>
        <v>0</v>
      </c>
    </row>
    <row r="232" spans="1:4" x14ac:dyDescent="0.25">
      <c r="A232">
        <f ca="1"/>
        <v>0</v>
      </c>
      <c r="B232">
        <v>232</v>
      </c>
      <c r="C232">
        <f ca="1">INDIRECT(ADDRESS($B232,1,3,1,Menus!$K$10))</f>
        <v>0</v>
      </c>
      <c r="D232">
        <f ca="1">INDIRECT(ADDRESS($B232,2,3,1,Menus!$K$10))</f>
        <v>0</v>
      </c>
    </row>
    <row r="233" spans="1:4" x14ac:dyDescent="0.25">
      <c r="A233">
        <f ca="1"/>
        <v>0</v>
      </c>
      <c r="B233">
        <v>233</v>
      </c>
      <c r="C233">
        <f ca="1">INDIRECT(ADDRESS($B233,1,3,1,Menus!$K$10))</f>
        <v>0</v>
      </c>
      <c r="D233">
        <f ca="1">INDIRECT(ADDRESS($B233,2,3,1,Menus!$K$10))</f>
        <v>0</v>
      </c>
    </row>
    <row r="234" spans="1:4" x14ac:dyDescent="0.25">
      <c r="A234">
        <f ca="1"/>
        <v>0</v>
      </c>
      <c r="B234">
        <v>234</v>
      </c>
      <c r="C234">
        <f ca="1">INDIRECT(ADDRESS($B234,1,3,1,Menus!$K$10))</f>
        <v>0</v>
      </c>
      <c r="D234">
        <f ca="1">INDIRECT(ADDRESS($B234,2,3,1,Menus!$K$10))</f>
        <v>0</v>
      </c>
    </row>
    <row r="235" spans="1:4" x14ac:dyDescent="0.25">
      <c r="A235">
        <f ca="1"/>
        <v>0</v>
      </c>
      <c r="B235" s="7">
        <v>235</v>
      </c>
      <c r="C235">
        <f ca="1">INDIRECT(ADDRESS($B235,1,3,1,Menus!$K$10))</f>
        <v>0</v>
      </c>
      <c r="D235">
        <f ca="1">INDIRECT(ADDRESS($B235,2,3,1,Menus!$K$10))</f>
        <v>0</v>
      </c>
    </row>
    <row r="236" spans="1:4" x14ac:dyDescent="0.25">
      <c r="A236">
        <f ca="1"/>
        <v>0</v>
      </c>
      <c r="B236">
        <v>236</v>
      </c>
      <c r="C236">
        <f ca="1">INDIRECT(ADDRESS($B236,1,3,1,Menus!$K$10))</f>
        <v>0</v>
      </c>
      <c r="D236">
        <f ca="1">INDIRECT(ADDRESS($B236,2,3,1,Menus!$K$10))</f>
        <v>0</v>
      </c>
    </row>
    <row r="237" spans="1:4" x14ac:dyDescent="0.25">
      <c r="A237">
        <f ca="1"/>
        <v>0</v>
      </c>
      <c r="B237">
        <v>237</v>
      </c>
      <c r="C237">
        <f ca="1">INDIRECT(ADDRESS($B237,1,3,1,Menus!$K$10))</f>
        <v>0</v>
      </c>
      <c r="D237">
        <f ca="1">INDIRECT(ADDRESS($B237,2,3,1,Menus!$K$10))</f>
        <v>0</v>
      </c>
    </row>
    <row r="238" spans="1:4" x14ac:dyDescent="0.25">
      <c r="A238">
        <f ca="1"/>
        <v>0</v>
      </c>
      <c r="B238">
        <v>238</v>
      </c>
      <c r="C238">
        <f ca="1">INDIRECT(ADDRESS($B238,1,3,1,Menus!$K$10))</f>
        <v>0</v>
      </c>
      <c r="D238">
        <f ca="1">INDIRECT(ADDRESS($B238,2,3,1,Menus!$K$10))</f>
        <v>0</v>
      </c>
    </row>
    <row r="239" spans="1:4" x14ac:dyDescent="0.25">
      <c r="A239">
        <f ca="1"/>
        <v>0</v>
      </c>
      <c r="B239" s="7">
        <v>239</v>
      </c>
      <c r="C239">
        <f ca="1">INDIRECT(ADDRESS($B239,1,3,1,Menus!$K$10))</f>
        <v>0</v>
      </c>
      <c r="D239">
        <f ca="1">INDIRECT(ADDRESS($B239,2,3,1,Menus!$K$10))</f>
        <v>0</v>
      </c>
    </row>
    <row r="240" spans="1:4" x14ac:dyDescent="0.25">
      <c r="A240">
        <f ca="1"/>
        <v>0</v>
      </c>
      <c r="B240">
        <v>240</v>
      </c>
      <c r="C240">
        <f ca="1">INDIRECT(ADDRESS($B240,1,3,1,Menus!$K$10))</f>
        <v>0</v>
      </c>
      <c r="D240">
        <f ca="1">INDIRECT(ADDRESS($B240,2,3,1,Menus!$K$10))</f>
        <v>0</v>
      </c>
    </row>
    <row r="241" spans="1:4" x14ac:dyDescent="0.25">
      <c r="A241">
        <f ca="1"/>
        <v>0</v>
      </c>
      <c r="B241">
        <v>241</v>
      </c>
      <c r="C241">
        <f ca="1">INDIRECT(ADDRESS($B241,1,3,1,Menus!$K$10))</f>
        <v>0</v>
      </c>
      <c r="D241">
        <f ca="1">INDIRECT(ADDRESS($B241,2,3,1,Menus!$K$10))</f>
        <v>0</v>
      </c>
    </row>
    <row r="242" spans="1:4" x14ac:dyDescent="0.25">
      <c r="A242">
        <f ca="1"/>
        <v>0</v>
      </c>
      <c r="B242">
        <v>242</v>
      </c>
      <c r="C242">
        <f ca="1">INDIRECT(ADDRESS($B242,1,3,1,Menus!$K$10))</f>
        <v>0</v>
      </c>
      <c r="D242">
        <f ca="1">INDIRECT(ADDRESS($B242,2,3,1,Menus!$K$10))</f>
        <v>0</v>
      </c>
    </row>
    <row r="243" spans="1:4" x14ac:dyDescent="0.25">
      <c r="A243">
        <f ca="1"/>
        <v>0</v>
      </c>
      <c r="B243" s="7">
        <v>243</v>
      </c>
      <c r="C243">
        <f ca="1">INDIRECT(ADDRESS($B243,1,3,1,Menus!$K$10))</f>
        <v>0</v>
      </c>
      <c r="D243">
        <f ca="1">INDIRECT(ADDRESS($B243,2,3,1,Menus!$K$10))</f>
        <v>0</v>
      </c>
    </row>
    <row r="244" spans="1:4" x14ac:dyDescent="0.25">
      <c r="A244">
        <f ca="1"/>
        <v>0</v>
      </c>
      <c r="B244">
        <v>244</v>
      </c>
      <c r="C244">
        <f ca="1">INDIRECT(ADDRESS($B244,1,3,1,Menus!$K$10))</f>
        <v>0</v>
      </c>
      <c r="D244">
        <f ca="1">INDIRECT(ADDRESS($B244,2,3,1,Menus!$K$10))</f>
        <v>0</v>
      </c>
    </row>
    <row r="245" spans="1:4" x14ac:dyDescent="0.25">
      <c r="A245">
        <f ca="1"/>
        <v>0</v>
      </c>
      <c r="B245">
        <v>245</v>
      </c>
      <c r="C245">
        <f ca="1">INDIRECT(ADDRESS($B245,1,3,1,Menus!$K$10))</f>
        <v>0</v>
      </c>
      <c r="D245">
        <f ca="1">INDIRECT(ADDRESS($B245,2,3,1,Menus!$K$10))</f>
        <v>0</v>
      </c>
    </row>
    <row r="246" spans="1:4" x14ac:dyDescent="0.25">
      <c r="A246">
        <f ca="1"/>
        <v>0</v>
      </c>
      <c r="B246">
        <v>246</v>
      </c>
      <c r="C246">
        <f ca="1">INDIRECT(ADDRESS($B246,1,3,1,Menus!$K$10))</f>
        <v>0</v>
      </c>
      <c r="D246">
        <f ca="1">INDIRECT(ADDRESS($B246,2,3,1,Menus!$K$10))</f>
        <v>0</v>
      </c>
    </row>
    <row r="247" spans="1:4" x14ac:dyDescent="0.25">
      <c r="A247">
        <f ca="1"/>
        <v>0</v>
      </c>
      <c r="B247" s="7">
        <v>247</v>
      </c>
      <c r="C247">
        <f ca="1">INDIRECT(ADDRESS($B247,1,3,1,Menus!$K$10))</f>
        <v>0</v>
      </c>
      <c r="D247">
        <f ca="1">INDIRECT(ADDRESS($B247,2,3,1,Menus!$K$10))</f>
        <v>0</v>
      </c>
    </row>
    <row r="248" spans="1:4" x14ac:dyDescent="0.25">
      <c r="A248">
        <f ca="1"/>
        <v>0</v>
      </c>
      <c r="B248">
        <v>248</v>
      </c>
      <c r="C248">
        <f ca="1">INDIRECT(ADDRESS($B248,1,3,1,Menus!$K$10))</f>
        <v>0</v>
      </c>
      <c r="D248">
        <f ca="1">INDIRECT(ADDRESS($B248,2,3,1,Menus!$K$10))</f>
        <v>0</v>
      </c>
    </row>
    <row r="249" spans="1:4" x14ac:dyDescent="0.25">
      <c r="A249">
        <f ca="1"/>
        <v>0</v>
      </c>
      <c r="B249">
        <v>249</v>
      </c>
      <c r="C249">
        <f ca="1">INDIRECT(ADDRESS($B249,1,3,1,Menus!$K$10))</f>
        <v>0</v>
      </c>
      <c r="D249">
        <f ca="1">INDIRECT(ADDRESS($B249,2,3,1,Menus!$K$10))</f>
        <v>0</v>
      </c>
    </row>
    <row r="250" spans="1:4" x14ac:dyDescent="0.25">
      <c r="A250">
        <f ca="1"/>
        <v>0</v>
      </c>
      <c r="B250">
        <v>250</v>
      </c>
      <c r="C250">
        <f ca="1">INDIRECT(ADDRESS($B250,1,3,1,Menus!$K$10))</f>
        <v>0</v>
      </c>
      <c r="D250">
        <f ca="1">INDIRECT(ADDRESS($B250,2,3,1,Menus!$K$10))</f>
        <v>0</v>
      </c>
    </row>
    <row r="251" spans="1:4" x14ac:dyDescent="0.25">
      <c r="A251">
        <f ca="1"/>
        <v>0</v>
      </c>
      <c r="B251" s="7">
        <v>251</v>
      </c>
      <c r="C251">
        <f ca="1">INDIRECT(ADDRESS($B251,1,3,1,Menus!$K$10))</f>
        <v>0</v>
      </c>
      <c r="D251">
        <f ca="1">INDIRECT(ADDRESS($B251,2,3,1,Menus!$K$10))</f>
        <v>0</v>
      </c>
    </row>
    <row r="252" spans="1:4" x14ac:dyDescent="0.25">
      <c r="A252">
        <f ca="1"/>
        <v>0</v>
      </c>
      <c r="B252">
        <v>252</v>
      </c>
      <c r="C252">
        <f ca="1">INDIRECT(ADDRESS($B252,1,3,1,Menus!$K$10))</f>
        <v>0</v>
      </c>
      <c r="D252">
        <f ca="1">INDIRECT(ADDRESS($B252,2,3,1,Menus!$K$10))</f>
        <v>0</v>
      </c>
    </row>
    <row r="253" spans="1:4" x14ac:dyDescent="0.25">
      <c r="A253">
        <f ca="1"/>
        <v>0</v>
      </c>
      <c r="B253">
        <v>253</v>
      </c>
      <c r="C253">
        <f ca="1">INDIRECT(ADDRESS($B253,1,3,1,Menus!$K$10))</f>
        <v>0</v>
      </c>
      <c r="D253">
        <f ca="1">INDIRECT(ADDRESS($B253,2,3,1,Menus!$K$10))</f>
        <v>0</v>
      </c>
    </row>
    <row r="254" spans="1:4" x14ac:dyDescent="0.25">
      <c r="A254">
        <f ca="1"/>
        <v>0</v>
      </c>
      <c r="B254">
        <v>254</v>
      </c>
      <c r="C254">
        <f ca="1">INDIRECT(ADDRESS($B254,1,3,1,Menus!$K$10))</f>
        <v>0</v>
      </c>
      <c r="D254">
        <f ca="1">INDIRECT(ADDRESS($B254,2,3,1,Menus!$K$10))</f>
        <v>0</v>
      </c>
    </row>
    <row r="255" spans="1:4" x14ac:dyDescent="0.25">
      <c r="B255" s="7">
        <v>255</v>
      </c>
      <c r="C255">
        <f ca="1">INDIRECT(ADDRESS($B255,1,3,1,Menus!$K$10))</f>
        <v>0</v>
      </c>
      <c r="D255">
        <f ca="1">INDIRECT(ADDRESS($B255,2,3,1,Menus!$K$10))</f>
        <v>0</v>
      </c>
    </row>
    <row r="256" spans="1:4" x14ac:dyDescent="0.25">
      <c r="B256">
        <v>256</v>
      </c>
      <c r="C256">
        <f ca="1">INDIRECT(ADDRESS($B256,1,3,1,Menus!$K$10))</f>
        <v>0</v>
      </c>
      <c r="D256">
        <f ca="1">INDIRECT(ADDRESS($B256,2,3,1,Menus!$K$10))</f>
        <v>0</v>
      </c>
    </row>
    <row r="257" spans="2:4" x14ac:dyDescent="0.25">
      <c r="B257">
        <v>257</v>
      </c>
      <c r="C257">
        <f ca="1">INDIRECT(ADDRESS($B257,1,3,1,Menus!$K$10))</f>
        <v>0</v>
      </c>
      <c r="D257">
        <f ca="1">INDIRECT(ADDRESS($B257,2,3,1,Menus!$K$10))</f>
        <v>0</v>
      </c>
    </row>
    <row r="258" spans="2:4" x14ac:dyDescent="0.25">
      <c r="B258">
        <v>258</v>
      </c>
      <c r="C258">
        <f ca="1">INDIRECT(ADDRESS($B258,1,3,1,Menus!$K$10))</f>
        <v>0</v>
      </c>
      <c r="D258">
        <f ca="1">INDIRECT(ADDRESS($B258,2,3,1,Menus!$K$10))</f>
        <v>0</v>
      </c>
    </row>
    <row r="259" spans="2:4" x14ac:dyDescent="0.25">
      <c r="B259" s="7">
        <v>259</v>
      </c>
      <c r="C259">
        <f ca="1">INDIRECT(ADDRESS($B259,1,3,1,Menus!$K$10))</f>
        <v>0</v>
      </c>
      <c r="D259">
        <f ca="1">INDIRECT(ADDRESS($B259,2,3,1,Menus!$K$10))</f>
        <v>0</v>
      </c>
    </row>
    <row r="260" spans="2:4" x14ac:dyDescent="0.25">
      <c r="B260">
        <v>260</v>
      </c>
      <c r="C260">
        <f ca="1">INDIRECT(ADDRESS($B260,1,3,1,Menus!$K$10))</f>
        <v>0</v>
      </c>
      <c r="D260">
        <f ca="1">INDIRECT(ADDRESS($B260,2,3,1,Menus!$K$10))</f>
        <v>0</v>
      </c>
    </row>
    <row r="261" spans="2:4" x14ac:dyDescent="0.25">
      <c r="B261">
        <v>261</v>
      </c>
      <c r="C261">
        <f ca="1">INDIRECT(ADDRESS($B261,1,3,1,Menus!$K$10))</f>
        <v>0</v>
      </c>
      <c r="D261">
        <f ca="1">INDIRECT(ADDRESS($B261,2,3,1,Menus!$K$10))</f>
        <v>0</v>
      </c>
    </row>
    <row r="262" spans="2:4" x14ac:dyDescent="0.25">
      <c r="B262">
        <v>262</v>
      </c>
      <c r="C262">
        <f ca="1">INDIRECT(ADDRESS($B262,1,3,1,Menus!$K$10))</f>
        <v>0</v>
      </c>
      <c r="D262">
        <f ca="1">INDIRECT(ADDRESS($B262,2,3,1,Menus!$K$10))</f>
        <v>0</v>
      </c>
    </row>
    <row r="263" spans="2:4" x14ac:dyDescent="0.25">
      <c r="B263" s="7">
        <v>263</v>
      </c>
      <c r="C263">
        <f ca="1">INDIRECT(ADDRESS($B263,1,3,1,Menus!$K$10))</f>
        <v>0</v>
      </c>
      <c r="D263">
        <f ca="1">INDIRECT(ADDRESS($B263,2,3,1,Menus!$K$10))</f>
        <v>0</v>
      </c>
    </row>
    <row r="264" spans="2:4" x14ac:dyDescent="0.25">
      <c r="B264">
        <v>264</v>
      </c>
      <c r="C264">
        <f ca="1">INDIRECT(ADDRESS($B264,1,3,1,Menus!$K$10))</f>
        <v>0</v>
      </c>
      <c r="D264">
        <f ca="1">INDIRECT(ADDRESS($B264,2,3,1,Menus!$K$10))</f>
        <v>0</v>
      </c>
    </row>
    <row r="265" spans="2:4" x14ac:dyDescent="0.25">
      <c r="B265">
        <v>265</v>
      </c>
      <c r="C265">
        <f ca="1">INDIRECT(ADDRESS($B265,1,3,1,Menus!$K$10))</f>
        <v>0</v>
      </c>
      <c r="D265">
        <f ca="1">INDIRECT(ADDRESS($B265,2,3,1,Menus!$K$10))</f>
        <v>0</v>
      </c>
    </row>
    <row r="266" spans="2:4" x14ac:dyDescent="0.25">
      <c r="B266">
        <v>266</v>
      </c>
      <c r="C266">
        <f ca="1">INDIRECT(ADDRESS($B266,1,3,1,Menus!$K$10))</f>
        <v>0</v>
      </c>
      <c r="D266">
        <f ca="1">INDIRECT(ADDRESS($B266,2,3,1,Menus!$K$10))</f>
        <v>0</v>
      </c>
    </row>
    <row r="267" spans="2:4" x14ac:dyDescent="0.25">
      <c r="B267" s="7">
        <v>267</v>
      </c>
      <c r="C267">
        <f ca="1">INDIRECT(ADDRESS($B267,1,3,1,Menus!$K$10))</f>
        <v>0</v>
      </c>
      <c r="D267">
        <f ca="1">INDIRECT(ADDRESS($B267,2,3,1,Menus!$K$10))</f>
        <v>0</v>
      </c>
    </row>
    <row r="268" spans="2:4" x14ac:dyDescent="0.25">
      <c r="B268">
        <v>268</v>
      </c>
      <c r="C268">
        <f ca="1">INDIRECT(ADDRESS($B268,1,3,1,Menus!$K$10))</f>
        <v>0</v>
      </c>
      <c r="D268">
        <f ca="1">INDIRECT(ADDRESS($B268,2,3,1,Menus!$K$10))</f>
        <v>0</v>
      </c>
    </row>
    <row r="269" spans="2:4" x14ac:dyDescent="0.25">
      <c r="B269">
        <v>269</v>
      </c>
      <c r="C269">
        <f ca="1">INDIRECT(ADDRESS($B269,1,3,1,Menus!$K$10))</f>
        <v>0</v>
      </c>
      <c r="D269">
        <f ca="1">INDIRECT(ADDRESS($B269,2,3,1,Menus!$K$10))</f>
        <v>0</v>
      </c>
    </row>
    <row r="270" spans="2:4" x14ac:dyDescent="0.25">
      <c r="B270">
        <v>270</v>
      </c>
      <c r="C270">
        <f ca="1">INDIRECT(ADDRESS($B270,1,3,1,Menus!$K$10))</f>
        <v>0</v>
      </c>
      <c r="D270">
        <f ca="1">INDIRECT(ADDRESS($B270,2,3,1,Menus!$K$10))</f>
        <v>0</v>
      </c>
    </row>
    <row r="271" spans="2:4" x14ac:dyDescent="0.25">
      <c r="B271" s="7">
        <v>271</v>
      </c>
      <c r="C271">
        <f ca="1">INDIRECT(ADDRESS($B271,1,3,1,Menus!$K$10))</f>
        <v>0</v>
      </c>
      <c r="D271">
        <f ca="1">INDIRECT(ADDRESS($B271,2,3,1,Menus!$K$10))</f>
        <v>0</v>
      </c>
    </row>
    <row r="272" spans="2:4" x14ac:dyDescent="0.25">
      <c r="B272">
        <v>272</v>
      </c>
      <c r="C272">
        <f ca="1">INDIRECT(ADDRESS($B272,1,3,1,Menus!$K$10))</f>
        <v>0</v>
      </c>
      <c r="D272">
        <f ca="1">INDIRECT(ADDRESS($B272,2,3,1,Menus!$K$10))</f>
        <v>0</v>
      </c>
    </row>
    <row r="273" spans="2:4" x14ac:dyDescent="0.25">
      <c r="B273">
        <v>273</v>
      </c>
      <c r="C273">
        <f ca="1">INDIRECT(ADDRESS($B273,1,3,1,Menus!$K$10))</f>
        <v>0</v>
      </c>
      <c r="D273">
        <f ca="1">INDIRECT(ADDRESS($B273,2,3,1,Menus!$K$10))</f>
        <v>0</v>
      </c>
    </row>
    <row r="274" spans="2:4" x14ac:dyDescent="0.25">
      <c r="B274">
        <v>274</v>
      </c>
      <c r="C274">
        <f ca="1">INDIRECT(ADDRESS($B274,1,3,1,Menus!$K$10))</f>
        <v>0</v>
      </c>
      <c r="D274">
        <f ca="1">INDIRECT(ADDRESS($B274,2,3,1,Menus!$K$10))</f>
        <v>0</v>
      </c>
    </row>
    <row r="275" spans="2:4" x14ac:dyDescent="0.25">
      <c r="B275" s="7">
        <v>275</v>
      </c>
      <c r="C275">
        <f ca="1">INDIRECT(ADDRESS($B275,1,3,1,Menus!$K$10))</f>
        <v>0</v>
      </c>
      <c r="D275">
        <f ca="1">INDIRECT(ADDRESS($B275,2,3,1,Menus!$K$10))</f>
        <v>0</v>
      </c>
    </row>
    <row r="276" spans="2:4" x14ac:dyDescent="0.25">
      <c r="B276">
        <v>276</v>
      </c>
      <c r="C276">
        <f ca="1">INDIRECT(ADDRESS($B276,1,3,1,Menus!$K$10))</f>
        <v>0</v>
      </c>
      <c r="D276">
        <f ca="1">INDIRECT(ADDRESS($B276,2,3,1,Menus!$K$10))</f>
        <v>0</v>
      </c>
    </row>
    <row r="277" spans="2:4" x14ac:dyDescent="0.25">
      <c r="B277">
        <v>277</v>
      </c>
      <c r="C277">
        <f ca="1">INDIRECT(ADDRESS($B277,1,3,1,Menus!$K$10))</f>
        <v>0</v>
      </c>
      <c r="D277">
        <f ca="1">INDIRECT(ADDRESS($B277,2,3,1,Menus!$K$10))</f>
        <v>0</v>
      </c>
    </row>
    <row r="278" spans="2:4" x14ac:dyDescent="0.25">
      <c r="B278">
        <v>278</v>
      </c>
      <c r="C278">
        <f ca="1">INDIRECT(ADDRESS($B278,1,3,1,Menus!$K$10))</f>
        <v>0</v>
      </c>
      <c r="D278">
        <f ca="1">INDIRECT(ADDRESS($B278,2,3,1,Menus!$K$10))</f>
        <v>0</v>
      </c>
    </row>
    <row r="279" spans="2:4" x14ac:dyDescent="0.25">
      <c r="B279" s="7">
        <v>279</v>
      </c>
      <c r="C279">
        <f ca="1">INDIRECT(ADDRESS($B279,1,3,1,Menus!$K$10))</f>
        <v>0</v>
      </c>
      <c r="D279">
        <f ca="1">INDIRECT(ADDRESS($B279,2,3,1,Menus!$K$10))</f>
        <v>0</v>
      </c>
    </row>
    <row r="280" spans="2:4" x14ac:dyDescent="0.25">
      <c r="B280">
        <v>280</v>
      </c>
      <c r="C280">
        <f ca="1">INDIRECT(ADDRESS($B280,1,3,1,Menus!$K$10))</f>
        <v>0</v>
      </c>
      <c r="D280">
        <f ca="1">INDIRECT(ADDRESS($B280,2,3,1,Menus!$K$10))</f>
        <v>0</v>
      </c>
    </row>
    <row r="281" spans="2:4" x14ac:dyDescent="0.25">
      <c r="B281">
        <v>281</v>
      </c>
      <c r="C281">
        <f ca="1">INDIRECT(ADDRESS($B281,1,3,1,Menus!$K$10))</f>
        <v>0</v>
      </c>
      <c r="D281">
        <f ca="1">INDIRECT(ADDRESS($B281,2,3,1,Menus!$K$10))</f>
        <v>0</v>
      </c>
    </row>
    <row r="282" spans="2:4" x14ac:dyDescent="0.25">
      <c r="B282">
        <v>282</v>
      </c>
      <c r="C282">
        <f ca="1">INDIRECT(ADDRESS($B282,1,3,1,Menus!$K$10))</f>
        <v>0</v>
      </c>
      <c r="D282">
        <f ca="1">INDIRECT(ADDRESS($B282,2,3,1,Menus!$K$10))</f>
        <v>0</v>
      </c>
    </row>
    <row r="283" spans="2:4" x14ac:dyDescent="0.25">
      <c r="B283" s="7">
        <v>283</v>
      </c>
      <c r="C283">
        <f ca="1">INDIRECT(ADDRESS($B283,1,3,1,Menus!$K$10))</f>
        <v>0</v>
      </c>
      <c r="D283">
        <f ca="1">INDIRECT(ADDRESS($B283,2,3,1,Menus!$K$10))</f>
        <v>0</v>
      </c>
    </row>
    <row r="284" spans="2:4" x14ac:dyDescent="0.25">
      <c r="B284">
        <v>284</v>
      </c>
      <c r="C284">
        <f ca="1">INDIRECT(ADDRESS($B284,1,3,1,Menus!$K$10))</f>
        <v>0</v>
      </c>
      <c r="D284">
        <f ca="1">INDIRECT(ADDRESS($B284,2,3,1,Menus!$K$10))</f>
        <v>0</v>
      </c>
    </row>
    <row r="285" spans="2:4" x14ac:dyDescent="0.25">
      <c r="B285">
        <v>285</v>
      </c>
      <c r="C285">
        <f ca="1">INDIRECT(ADDRESS($B285,1,3,1,Menus!$K$10))</f>
        <v>0</v>
      </c>
      <c r="D285">
        <f ca="1">INDIRECT(ADDRESS($B285,2,3,1,Menus!$K$10))</f>
        <v>0</v>
      </c>
    </row>
    <row r="286" spans="2:4" x14ac:dyDescent="0.25">
      <c r="B286">
        <v>286</v>
      </c>
      <c r="C286">
        <f ca="1">INDIRECT(ADDRESS($B286,1,3,1,Menus!$K$10))</f>
        <v>0</v>
      </c>
      <c r="D286">
        <f ca="1">INDIRECT(ADDRESS($B286,2,3,1,Menus!$K$10))</f>
        <v>0</v>
      </c>
    </row>
    <row r="287" spans="2:4" x14ac:dyDescent="0.25">
      <c r="B287" s="7">
        <v>287</v>
      </c>
      <c r="C287">
        <f ca="1">INDIRECT(ADDRESS($B287,1,3,1,Menus!$K$10))</f>
        <v>0</v>
      </c>
      <c r="D287">
        <f ca="1">INDIRECT(ADDRESS($B287,2,3,1,Menus!$K$10))</f>
        <v>0</v>
      </c>
    </row>
    <row r="288" spans="2:4" x14ac:dyDescent="0.25">
      <c r="B288">
        <v>288</v>
      </c>
      <c r="C288">
        <f ca="1">INDIRECT(ADDRESS($B288,1,3,1,Menus!$K$10))</f>
        <v>0</v>
      </c>
      <c r="D288">
        <f ca="1">INDIRECT(ADDRESS($B288,2,3,1,Menus!$K$10))</f>
        <v>0</v>
      </c>
    </row>
    <row r="289" spans="2:4" x14ac:dyDescent="0.25">
      <c r="B289">
        <v>289</v>
      </c>
      <c r="C289">
        <f ca="1">INDIRECT(ADDRESS($B289,1,3,1,Menus!$K$10))</f>
        <v>0</v>
      </c>
      <c r="D289">
        <f ca="1">INDIRECT(ADDRESS($B289,2,3,1,Menus!$K$10))</f>
        <v>0</v>
      </c>
    </row>
    <row r="290" spans="2:4" x14ac:dyDescent="0.25">
      <c r="B290">
        <v>290</v>
      </c>
      <c r="C290">
        <f ca="1">INDIRECT(ADDRESS($B290,1,3,1,Menus!$K$10))</f>
        <v>0</v>
      </c>
      <c r="D290">
        <f ca="1">INDIRECT(ADDRESS($B290,2,3,1,Menus!$K$10))</f>
        <v>0</v>
      </c>
    </row>
    <row r="291" spans="2:4" x14ac:dyDescent="0.25">
      <c r="B291" s="7">
        <v>291</v>
      </c>
      <c r="C291">
        <f ca="1">INDIRECT(ADDRESS($B291,1,3,1,Menus!$K$10))</f>
        <v>0</v>
      </c>
      <c r="D291">
        <f ca="1">INDIRECT(ADDRESS($B291,2,3,1,Menus!$K$10))</f>
        <v>0</v>
      </c>
    </row>
    <row r="292" spans="2:4" x14ac:dyDescent="0.25">
      <c r="B292">
        <v>292</v>
      </c>
      <c r="C292">
        <f ca="1">INDIRECT(ADDRESS($B292,1,3,1,Menus!$K$10))</f>
        <v>0</v>
      </c>
      <c r="D292">
        <f ca="1">INDIRECT(ADDRESS($B292,2,3,1,Menus!$K$10))</f>
        <v>0</v>
      </c>
    </row>
    <row r="293" spans="2:4" x14ac:dyDescent="0.25">
      <c r="B293">
        <v>293</v>
      </c>
      <c r="C293">
        <f ca="1">INDIRECT(ADDRESS($B293,1,3,1,Menus!$K$10))</f>
        <v>0</v>
      </c>
      <c r="D293">
        <f ca="1">INDIRECT(ADDRESS($B293,2,3,1,Menus!$K$10))</f>
        <v>0</v>
      </c>
    </row>
    <row r="294" spans="2:4" x14ac:dyDescent="0.25">
      <c r="B294">
        <v>294</v>
      </c>
      <c r="C294">
        <f ca="1">INDIRECT(ADDRESS($B294,1,3,1,Menus!$K$10))</f>
        <v>0</v>
      </c>
      <c r="D294">
        <f ca="1">INDIRECT(ADDRESS($B294,2,3,1,Menus!$K$10))</f>
        <v>0</v>
      </c>
    </row>
    <row r="295" spans="2:4" x14ac:dyDescent="0.25">
      <c r="B295" s="7">
        <v>295</v>
      </c>
      <c r="C295">
        <f ca="1">INDIRECT(ADDRESS($B295,1,3,1,Menus!$K$10))</f>
        <v>0</v>
      </c>
      <c r="D295">
        <f ca="1">INDIRECT(ADDRESS($B295,2,3,1,Menus!$K$10))</f>
        <v>0</v>
      </c>
    </row>
    <row r="296" spans="2:4" x14ac:dyDescent="0.25">
      <c r="B296">
        <v>296</v>
      </c>
      <c r="C296">
        <f ca="1">INDIRECT(ADDRESS($B296,1,3,1,Menus!$K$10))</f>
        <v>0</v>
      </c>
      <c r="D296">
        <f ca="1">INDIRECT(ADDRESS($B296,2,3,1,Menus!$K$10))</f>
        <v>0</v>
      </c>
    </row>
    <row r="297" spans="2:4" x14ac:dyDescent="0.25">
      <c r="B297">
        <v>297</v>
      </c>
      <c r="C297">
        <f ca="1">INDIRECT(ADDRESS($B297,1,3,1,Menus!$K$10))</f>
        <v>0</v>
      </c>
      <c r="D297">
        <f ca="1">INDIRECT(ADDRESS($B297,2,3,1,Menus!$K$10))</f>
        <v>0</v>
      </c>
    </row>
    <row r="298" spans="2:4" x14ac:dyDescent="0.25">
      <c r="B298">
        <v>298</v>
      </c>
      <c r="C298">
        <f ca="1">INDIRECT(ADDRESS($B298,1,3,1,Menus!$K$10))</f>
        <v>0</v>
      </c>
      <c r="D298">
        <f ca="1">INDIRECT(ADDRESS($B298,2,3,1,Menus!$K$10))</f>
        <v>0</v>
      </c>
    </row>
    <row r="299" spans="2:4" x14ac:dyDescent="0.25">
      <c r="B299" s="7">
        <v>299</v>
      </c>
      <c r="C299">
        <f ca="1">INDIRECT(ADDRESS($B299,1,3,1,Menus!$K$10))</f>
        <v>0</v>
      </c>
      <c r="D299">
        <f ca="1">INDIRECT(ADDRESS($B299,2,3,1,Menus!$K$10))</f>
        <v>0</v>
      </c>
    </row>
    <row r="300" spans="2:4" x14ac:dyDescent="0.25">
      <c r="B300">
        <v>300</v>
      </c>
      <c r="C300">
        <f ca="1">INDIRECT(ADDRESS($B300,1,3,1,Menus!$K$10))</f>
        <v>0</v>
      </c>
      <c r="D300">
        <f ca="1">INDIRECT(ADDRESS($B300,2,3,1,Menus!$K$10))</f>
        <v>0</v>
      </c>
    </row>
    <row r="301" spans="2:4" x14ac:dyDescent="0.25">
      <c r="B301">
        <v>301</v>
      </c>
      <c r="C301">
        <f ca="1">INDIRECT(ADDRESS($B301,1,3,1,Menus!$K$10))</f>
        <v>0</v>
      </c>
      <c r="D301">
        <f ca="1">INDIRECT(ADDRESS($B301,2,3,1,Menus!$K$10))</f>
        <v>0</v>
      </c>
    </row>
    <row r="302" spans="2:4" x14ac:dyDescent="0.25">
      <c r="B302">
        <v>302</v>
      </c>
      <c r="C302">
        <f ca="1">INDIRECT(ADDRESS($B302,1,3,1,Menus!$K$10))</f>
        <v>0</v>
      </c>
      <c r="D302">
        <f ca="1">INDIRECT(ADDRESS($B302,2,3,1,Menus!$K$10))</f>
        <v>0</v>
      </c>
    </row>
    <row r="303" spans="2:4" x14ac:dyDescent="0.25">
      <c r="B303" s="7">
        <v>303</v>
      </c>
      <c r="C303">
        <f ca="1">INDIRECT(ADDRESS($B303,1,3,1,Menus!$K$10))</f>
        <v>0</v>
      </c>
      <c r="D303">
        <f ca="1">INDIRECT(ADDRESS($B303,2,3,1,Menus!$K$10))</f>
        <v>0</v>
      </c>
    </row>
    <row r="304" spans="2:4" x14ac:dyDescent="0.25">
      <c r="B304">
        <v>304</v>
      </c>
      <c r="C304">
        <f ca="1">INDIRECT(ADDRESS($B304,1,3,1,Menus!$K$10))</f>
        <v>0</v>
      </c>
      <c r="D304">
        <f ca="1">INDIRECT(ADDRESS($B304,2,3,1,Menus!$K$10))</f>
        <v>0</v>
      </c>
    </row>
    <row r="305" spans="2:4" x14ac:dyDescent="0.25">
      <c r="B305">
        <v>305</v>
      </c>
      <c r="C305">
        <f ca="1">INDIRECT(ADDRESS($B305,1,3,1,Menus!$K$10))</f>
        <v>0</v>
      </c>
      <c r="D305">
        <f ca="1">INDIRECT(ADDRESS($B305,2,3,1,Menus!$K$10))</f>
        <v>0</v>
      </c>
    </row>
    <row r="306" spans="2:4" x14ac:dyDescent="0.25">
      <c r="B306">
        <v>306</v>
      </c>
      <c r="C306">
        <f ca="1">INDIRECT(ADDRESS($B306,1,3,1,Menus!$K$10))</f>
        <v>0</v>
      </c>
      <c r="D306">
        <f ca="1">INDIRECT(ADDRESS($B306,2,3,1,Menus!$K$10))</f>
        <v>0</v>
      </c>
    </row>
    <row r="307" spans="2:4" x14ac:dyDescent="0.25">
      <c r="B307" s="7">
        <v>307</v>
      </c>
      <c r="C307">
        <f ca="1">INDIRECT(ADDRESS($B307,1,3,1,Menus!$K$10))</f>
        <v>0</v>
      </c>
      <c r="D307">
        <f ca="1">INDIRECT(ADDRESS($B307,2,3,1,Menus!$K$10))</f>
        <v>0</v>
      </c>
    </row>
    <row r="308" spans="2:4" x14ac:dyDescent="0.25">
      <c r="B308">
        <v>308</v>
      </c>
      <c r="C308">
        <f ca="1">INDIRECT(ADDRESS($B308,1,3,1,Menus!$K$10))</f>
        <v>0</v>
      </c>
      <c r="D308">
        <f ca="1">INDIRECT(ADDRESS($B308,2,3,1,Menus!$K$10))</f>
        <v>0</v>
      </c>
    </row>
    <row r="309" spans="2:4" x14ac:dyDescent="0.25">
      <c r="B309">
        <v>309</v>
      </c>
      <c r="C309">
        <f ca="1">INDIRECT(ADDRESS($B309,1,3,1,Menus!$K$10))</f>
        <v>0</v>
      </c>
      <c r="D309">
        <f ca="1">INDIRECT(ADDRESS($B309,2,3,1,Menus!$K$10))</f>
        <v>0</v>
      </c>
    </row>
    <row r="310" spans="2:4" x14ac:dyDescent="0.25">
      <c r="B310">
        <v>310</v>
      </c>
      <c r="C310">
        <f ca="1">INDIRECT(ADDRESS($B310,1,3,1,Menus!$K$10))</f>
        <v>0</v>
      </c>
      <c r="D310">
        <f ca="1">INDIRECT(ADDRESS($B310,2,3,1,Menus!$K$10))</f>
        <v>0</v>
      </c>
    </row>
    <row r="311" spans="2:4" x14ac:dyDescent="0.25">
      <c r="B311" s="7">
        <v>311</v>
      </c>
      <c r="C311">
        <f ca="1">INDIRECT(ADDRESS($B311,1,3,1,Menus!$K$10))</f>
        <v>0</v>
      </c>
      <c r="D311">
        <f ca="1">INDIRECT(ADDRESS($B311,2,3,1,Menus!$K$10))</f>
        <v>0</v>
      </c>
    </row>
    <row r="312" spans="2:4" x14ac:dyDescent="0.25">
      <c r="B312">
        <v>312</v>
      </c>
      <c r="C312">
        <f ca="1">INDIRECT(ADDRESS($B312,1,3,1,Menus!$K$10))</f>
        <v>0</v>
      </c>
      <c r="D312">
        <f ca="1">INDIRECT(ADDRESS($B312,2,3,1,Menus!$K$10))</f>
        <v>0</v>
      </c>
    </row>
    <row r="313" spans="2:4" x14ac:dyDescent="0.25">
      <c r="B313">
        <v>313</v>
      </c>
      <c r="C313">
        <f ca="1">INDIRECT(ADDRESS($B313,1,3,1,Menus!$K$10))</f>
        <v>0</v>
      </c>
      <c r="D313">
        <f ca="1">INDIRECT(ADDRESS($B313,2,3,1,Menus!$K$10))</f>
        <v>0</v>
      </c>
    </row>
    <row r="314" spans="2:4" x14ac:dyDescent="0.25">
      <c r="B314">
        <v>314</v>
      </c>
      <c r="C314">
        <f ca="1">INDIRECT(ADDRESS($B314,1,3,1,Menus!$K$10))</f>
        <v>0</v>
      </c>
      <c r="D314">
        <f ca="1">INDIRECT(ADDRESS($B314,2,3,1,Menus!$K$10))</f>
        <v>0</v>
      </c>
    </row>
    <row r="315" spans="2:4" x14ac:dyDescent="0.25">
      <c r="B315" s="7">
        <v>315</v>
      </c>
      <c r="C315">
        <f ca="1">INDIRECT(ADDRESS($B315,1,3,1,Menus!$K$10))</f>
        <v>0</v>
      </c>
      <c r="D315">
        <f ca="1">INDIRECT(ADDRESS($B315,2,3,1,Menus!$K$10))</f>
        <v>0</v>
      </c>
    </row>
    <row r="316" spans="2:4" x14ac:dyDescent="0.25">
      <c r="B316">
        <v>316</v>
      </c>
      <c r="C316">
        <f ca="1">INDIRECT(ADDRESS($B316,1,3,1,Menus!$K$10))</f>
        <v>0</v>
      </c>
      <c r="D316">
        <f ca="1">INDIRECT(ADDRESS($B316,2,3,1,Menus!$K$10))</f>
        <v>0</v>
      </c>
    </row>
    <row r="317" spans="2:4" x14ac:dyDescent="0.25">
      <c r="B317">
        <v>317</v>
      </c>
      <c r="C317">
        <f ca="1">INDIRECT(ADDRESS($B317,1,3,1,Menus!$K$10))</f>
        <v>0</v>
      </c>
      <c r="D317">
        <f ca="1">INDIRECT(ADDRESS($B317,2,3,1,Menus!$K$10))</f>
        <v>0</v>
      </c>
    </row>
    <row r="318" spans="2:4" x14ac:dyDescent="0.25">
      <c r="B318">
        <v>318</v>
      </c>
      <c r="C318">
        <f ca="1">INDIRECT(ADDRESS($B318,1,3,1,Menus!$K$10))</f>
        <v>0</v>
      </c>
      <c r="D318">
        <f ca="1">INDIRECT(ADDRESS($B318,2,3,1,Menus!$K$10))</f>
        <v>0</v>
      </c>
    </row>
    <row r="319" spans="2:4" x14ac:dyDescent="0.25">
      <c r="B319" s="7">
        <v>319</v>
      </c>
      <c r="C319">
        <f ca="1">INDIRECT(ADDRESS($B319,1,3,1,Menus!$K$10))</f>
        <v>0</v>
      </c>
      <c r="D319">
        <f ca="1">INDIRECT(ADDRESS($B319,2,3,1,Menus!$K$10))</f>
        <v>0</v>
      </c>
    </row>
    <row r="320" spans="2:4" x14ac:dyDescent="0.25">
      <c r="B320">
        <v>320</v>
      </c>
      <c r="C320">
        <f ca="1">INDIRECT(ADDRESS($B320,1,3,1,Menus!$K$10))</f>
        <v>0</v>
      </c>
      <c r="D320">
        <f ca="1">INDIRECT(ADDRESS($B320,2,3,1,Menus!$K$10))</f>
        <v>0</v>
      </c>
    </row>
    <row r="321" spans="2:4" x14ac:dyDescent="0.25">
      <c r="B321">
        <v>321</v>
      </c>
      <c r="C321">
        <f ca="1">INDIRECT(ADDRESS($B321,1,3,1,Menus!$K$10))</f>
        <v>0</v>
      </c>
      <c r="D321">
        <f ca="1">INDIRECT(ADDRESS($B321,2,3,1,Menus!$K$10))</f>
        <v>0</v>
      </c>
    </row>
    <row r="322" spans="2:4" x14ac:dyDescent="0.25">
      <c r="B322">
        <v>322</v>
      </c>
      <c r="C322">
        <f ca="1">INDIRECT(ADDRESS($B322,1,3,1,Menus!$K$10))</f>
        <v>0</v>
      </c>
      <c r="D322">
        <f ca="1">INDIRECT(ADDRESS($B322,2,3,1,Menus!$K$10))</f>
        <v>0</v>
      </c>
    </row>
    <row r="323" spans="2:4" x14ac:dyDescent="0.25">
      <c r="B323" s="7">
        <v>323</v>
      </c>
      <c r="C323">
        <f ca="1">INDIRECT(ADDRESS($B323,1,3,1,Menus!$K$10))</f>
        <v>0</v>
      </c>
      <c r="D323">
        <f ca="1">INDIRECT(ADDRESS($B323,2,3,1,Menus!$K$10))</f>
        <v>0</v>
      </c>
    </row>
    <row r="324" spans="2:4" x14ac:dyDescent="0.25">
      <c r="B324">
        <v>324</v>
      </c>
      <c r="C324">
        <f ca="1">INDIRECT(ADDRESS($B324,1,3,1,Menus!$K$10))</f>
        <v>0</v>
      </c>
      <c r="D324">
        <f ca="1">INDIRECT(ADDRESS($B324,2,3,1,Menus!$K$10))</f>
        <v>0</v>
      </c>
    </row>
    <row r="325" spans="2:4" x14ac:dyDescent="0.25">
      <c r="B325">
        <v>325</v>
      </c>
      <c r="C325">
        <f ca="1">INDIRECT(ADDRESS($B325,1,3,1,Menus!$K$10))</f>
        <v>0</v>
      </c>
      <c r="D325">
        <f ca="1">INDIRECT(ADDRESS($B325,2,3,1,Menus!$K$10))</f>
        <v>0</v>
      </c>
    </row>
    <row r="326" spans="2:4" x14ac:dyDescent="0.25">
      <c r="B326">
        <v>326</v>
      </c>
      <c r="C326">
        <f ca="1">INDIRECT(ADDRESS($B326,1,3,1,Menus!$K$10))</f>
        <v>0</v>
      </c>
      <c r="D326">
        <f ca="1">INDIRECT(ADDRESS($B326,2,3,1,Menus!$K$10))</f>
        <v>0</v>
      </c>
    </row>
    <row r="327" spans="2:4" x14ac:dyDescent="0.25">
      <c r="B327" s="7">
        <v>327</v>
      </c>
      <c r="C327">
        <f ca="1">INDIRECT(ADDRESS($B327,1,3,1,Menus!$K$10))</f>
        <v>0</v>
      </c>
      <c r="D327">
        <f ca="1">INDIRECT(ADDRESS($B327,2,3,1,Menus!$K$10))</f>
        <v>0</v>
      </c>
    </row>
    <row r="328" spans="2:4" x14ac:dyDescent="0.25">
      <c r="B328">
        <v>328</v>
      </c>
      <c r="C328">
        <f ca="1">INDIRECT(ADDRESS($B328,1,3,1,Menus!$K$10))</f>
        <v>0</v>
      </c>
      <c r="D328">
        <f ca="1">INDIRECT(ADDRESS($B328,2,3,1,Menus!$K$10))</f>
        <v>0</v>
      </c>
    </row>
    <row r="329" spans="2:4" x14ac:dyDescent="0.25">
      <c r="B329">
        <v>329</v>
      </c>
      <c r="C329">
        <f ca="1">INDIRECT(ADDRESS($B329,1,3,1,Menus!$K$10))</f>
        <v>0</v>
      </c>
      <c r="D329">
        <f ca="1">INDIRECT(ADDRESS($B329,2,3,1,Menus!$K$10))</f>
        <v>0</v>
      </c>
    </row>
    <row r="330" spans="2:4" x14ac:dyDescent="0.25">
      <c r="B330">
        <v>330</v>
      </c>
      <c r="C330">
        <f ca="1">INDIRECT(ADDRESS($B330,1,3,1,Menus!$K$10))</f>
        <v>0</v>
      </c>
      <c r="D330">
        <f ca="1">INDIRECT(ADDRESS($B330,2,3,1,Menus!$K$10))</f>
        <v>0</v>
      </c>
    </row>
    <row r="331" spans="2:4" x14ac:dyDescent="0.25">
      <c r="B331" s="7">
        <v>331</v>
      </c>
      <c r="C331">
        <f ca="1">INDIRECT(ADDRESS($B331,1,3,1,Menus!$K$10))</f>
        <v>0</v>
      </c>
      <c r="D331">
        <f ca="1">INDIRECT(ADDRESS($B331,2,3,1,Menus!$K$10))</f>
        <v>0</v>
      </c>
    </row>
    <row r="332" spans="2:4" x14ac:dyDescent="0.25">
      <c r="B332">
        <v>332</v>
      </c>
      <c r="C332">
        <f ca="1">INDIRECT(ADDRESS($B332,1,3,1,Menus!$K$10))</f>
        <v>0</v>
      </c>
      <c r="D332">
        <f ca="1">INDIRECT(ADDRESS($B332,2,3,1,Menus!$K$10))</f>
        <v>0</v>
      </c>
    </row>
    <row r="333" spans="2:4" x14ac:dyDescent="0.25">
      <c r="B333">
        <v>333</v>
      </c>
      <c r="C333">
        <f ca="1">INDIRECT(ADDRESS($B333,1,3,1,Menus!$K$10))</f>
        <v>0</v>
      </c>
      <c r="D333">
        <f ca="1">INDIRECT(ADDRESS($B333,2,3,1,Menus!$K$10))</f>
        <v>0</v>
      </c>
    </row>
    <row r="334" spans="2:4" x14ac:dyDescent="0.25">
      <c r="B334">
        <v>334</v>
      </c>
      <c r="C334">
        <f ca="1">INDIRECT(ADDRESS($B334,1,3,1,Menus!$K$10))</f>
        <v>0</v>
      </c>
      <c r="D334">
        <f ca="1">INDIRECT(ADDRESS($B334,2,3,1,Menus!$K$10))</f>
        <v>0</v>
      </c>
    </row>
    <row r="335" spans="2:4" x14ac:dyDescent="0.25">
      <c r="B335" s="7">
        <v>335</v>
      </c>
      <c r="C335">
        <f ca="1">INDIRECT(ADDRESS($B335,1,3,1,Menus!$K$10))</f>
        <v>0</v>
      </c>
      <c r="D335">
        <f ca="1">INDIRECT(ADDRESS($B335,2,3,1,Menus!$K$10))</f>
        <v>0</v>
      </c>
    </row>
    <row r="336" spans="2:4" x14ac:dyDescent="0.25">
      <c r="B336">
        <v>336</v>
      </c>
      <c r="C336">
        <f ca="1">INDIRECT(ADDRESS($B336,1,3,1,Menus!$K$10))</f>
        <v>0</v>
      </c>
      <c r="D336">
        <f ca="1">INDIRECT(ADDRESS($B336,2,3,1,Menus!$K$10))</f>
        <v>0</v>
      </c>
    </row>
    <row r="337" spans="2:4" x14ac:dyDescent="0.25">
      <c r="B337">
        <v>337</v>
      </c>
      <c r="C337">
        <f ca="1">INDIRECT(ADDRESS($B337,1,3,1,Menus!$K$10))</f>
        <v>0</v>
      </c>
      <c r="D337">
        <f ca="1">INDIRECT(ADDRESS($B337,2,3,1,Menus!$K$10))</f>
        <v>0</v>
      </c>
    </row>
    <row r="338" spans="2:4" x14ac:dyDescent="0.25">
      <c r="B338">
        <v>338</v>
      </c>
      <c r="C338">
        <f ca="1">INDIRECT(ADDRESS($B338,1,3,1,Menus!$K$10))</f>
        <v>0</v>
      </c>
      <c r="D338">
        <f ca="1">INDIRECT(ADDRESS($B338,2,3,1,Menus!$K$10))</f>
        <v>0</v>
      </c>
    </row>
    <row r="339" spans="2:4" x14ac:dyDescent="0.25">
      <c r="B339" s="7">
        <v>339</v>
      </c>
      <c r="C339">
        <f ca="1">INDIRECT(ADDRESS($B339,1,3,1,Menus!$K$10))</f>
        <v>0</v>
      </c>
      <c r="D339">
        <f ca="1">INDIRECT(ADDRESS($B339,2,3,1,Menus!$K$10))</f>
        <v>0</v>
      </c>
    </row>
    <row r="340" spans="2:4" x14ac:dyDescent="0.25">
      <c r="B340">
        <v>340</v>
      </c>
      <c r="C340">
        <f ca="1">INDIRECT(ADDRESS($B340,1,3,1,Menus!$K$10))</f>
        <v>0</v>
      </c>
      <c r="D340">
        <f ca="1">INDIRECT(ADDRESS($B340,2,3,1,Menus!$K$10))</f>
        <v>0</v>
      </c>
    </row>
    <row r="341" spans="2:4" x14ac:dyDescent="0.25">
      <c r="B341">
        <v>341</v>
      </c>
      <c r="C341">
        <f ca="1">INDIRECT(ADDRESS($B341,1,3,1,Menus!$K$10))</f>
        <v>0</v>
      </c>
      <c r="D341">
        <f ca="1">INDIRECT(ADDRESS($B341,2,3,1,Menus!$K$10))</f>
        <v>0</v>
      </c>
    </row>
    <row r="342" spans="2:4" x14ac:dyDescent="0.25">
      <c r="B342">
        <v>342</v>
      </c>
      <c r="C342">
        <f ca="1">INDIRECT(ADDRESS($B342,1,3,1,Menus!$K$10))</f>
        <v>0</v>
      </c>
      <c r="D342">
        <f ca="1">INDIRECT(ADDRESS($B342,2,3,1,Menus!$K$10))</f>
        <v>0</v>
      </c>
    </row>
    <row r="343" spans="2:4" x14ac:dyDescent="0.25">
      <c r="B343" s="7">
        <v>343</v>
      </c>
      <c r="C343">
        <f ca="1">INDIRECT(ADDRESS($B343,1,3,1,Menus!$K$10))</f>
        <v>0</v>
      </c>
      <c r="D343">
        <f ca="1">INDIRECT(ADDRESS($B343,2,3,1,Menus!$K$10))</f>
        <v>0</v>
      </c>
    </row>
    <row r="344" spans="2:4" x14ac:dyDescent="0.25">
      <c r="B344">
        <v>344</v>
      </c>
      <c r="C344">
        <f ca="1">INDIRECT(ADDRESS($B344,1,3,1,Menus!$K$10))</f>
        <v>0</v>
      </c>
      <c r="D344">
        <f ca="1">INDIRECT(ADDRESS($B344,2,3,1,Menus!$K$10))</f>
        <v>0</v>
      </c>
    </row>
    <row r="345" spans="2:4" x14ac:dyDescent="0.25">
      <c r="B345">
        <v>345</v>
      </c>
      <c r="C345">
        <f ca="1">INDIRECT(ADDRESS($B345,1,3,1,Menus!$K$10))</f>
        <v>0</v>
      </c>
      <c r="D345">
        <f ca="1">INDIRECT(ADDRESS($B345,2,3,1,Menus!$K$10))</f>
        <v>0</v>
      </c>
    </row>
    <row r="346" spans="2:4" x14ac:dyDescent="0.25">
      <c r="B346">
        <v>346</v>
      </c>
      <c r="C346">
        <f ca="1">INDIRECT(ADDRESS($B346,1,3,1,Menus!$K$10))</f>
        <v>0</v>
      </c>
      <c r="D346">
        <f ca="1">INDIRECT(ADDRESS($B346,2,3,1,Menus!$K$10))</f>
        <v>0</v>
      </c>
    </row>
    <row r="347" spans="2:4" x14ac:dyDescent="0.25">
      <c r="B347" s="7">
        <v>347</v>
      </c>
      <c r="C347">
        <f ca="1">INDIRECT(ADDRESS($B347,1,3,1,Menus!$K$10))</f>
        <v>0</v>
      </c>
      <c r="D347">
        <f ca="1">INDIRECT(ADDRESS($B347,2,3,1,Menus!$K$10))</f>
        <v>0</v>
      </c>
    </row>
    <row r="348" spans="2:4" x14ac:dyDescent="0.25">
      <c r="B348">
        <v>348</v>
      </c>
      <c r="C348">
        <f ca="1">INDIRECT(ADDRESS($B348,1,3,1,Menus!$K$10))</f>
        <v>0</v>
      </c>
      <c r="D348">
        <f ca="1">INDIRECT(ADDRESS($B348,2,3,1,Menus!$K$10))</f>
        <v>0</v>
      </c>
    </row>
    <row r="349" spans="2:4" x14ac:dyDescent="0.25">
      <c r="B349">
        <v>349</v>
      </c>
      <c r="C349">
        <f ca="1">INDIRECT(ADDRESS($B349,1,3,1,Menus!$K$10))</f>
        <v>0</v>
      </c>
      <c r="D349">
        <f ca="1">INDIRECT(ADDRESS($B349,2,3,1,Menus!$K$10))</f>
        <v>0</v>
      </c>
    </row>
    <row r="350" spans="2:4" x14ac:dyDescent="0.25">
      <c r="B350">
        <v>350</v>
      </c>
      <c r="C350">
        <f ca="1">INDIRECT(ADDRESS($B350,1,3,1,Menus!$K$10))</f>
        <v>0</v>
      </c>
      <c r="D350">
        <f ca="1">INDIRECT(ADDRESS($B350,2,3,1,Menus!$K$10))</f>
        <v>0</v>
      </c>
    </row>
    <row r="351" spans="2:4" x14ac:dyDescent="0.25">
      <c r="B351" s="7">
        <v>351</v>
      </c>
      <c r="C351">
        <f ca="1">INDIRECT(ADDRESS($B351,1,3,1,Menus!$K$10))</f>
        <v>0</v>
      </c>
      <c r="D351">
        <f ca="1">INDIRECT(ADDRESS($B351,2,3,1,Menus!$K$10))</f>
        <v>0</v>
      </c>
    </row>
    <row r="352" spans="2:4" x14ac:dyDescent="0.25">
      <c r="B352">
        <v>352</v>
      </c>
      <c r="C352">
        <f ca="1">INDIRECT(ADDRESS($B352,1,3,1,Menus!$K$10))</f>
        <v>0</v>
      </c>
      <c r="D352">
        <f ca="1">INDIRECT(ADDRESS($B352,2,3,1,Menus!$K$10))</f>
        <v>0</v>
      </c>
    </row>
    <row r="353" spans="2:4" x14ac:dyDescent="0.25">
      <c r="B353">
        <v>353</v>
      </c>
      <c r="C353">
        <f ca="1">INDIRECT(ADDRESS($B353,1,3,1,Menus!$K$10))</f>
        <v>0</v>
      </c>
      <c r="D353">
        <f ca="1">INDIRECT(ADDRESS($B353,2,3,1,Menus!$K$10))</f>
        <v>0</v>
      </c>
    </row>
    <row r="354" spans="2:4" x14ac:dyDescent="0.25">
      <c r="B354">
        <v>354</v>
      </c>
      <c r="C354">
        <f ca="1">INDIRECT(ADDRESS($B354,1,3,1,Menus!$K$10))</f>
        <v>0</v>
      </c>
      <c r="D354">
        <f ca="1">INDIRECT(ADDRESS($B354,2,3,1,Menus!$K$10))</f>
        <v>0</v>
      </c>
    </row>
    <row r="355" spans="2:4" x14ac:dyDescent="0.25">
      <c r="B355" s="7">
        <v>355</v>
      </c>
      <c r="C355">
        <f ca="1">INDIRECT(ADDRESS($B355,1,3,1,Menus!$K$10))</f>
        <v>0</v>
      </c>
      <c r="D355">
        <f ca="1">INDIRECT(ADDRESS($B355,2,3,1,Menus!$K$10))</f>
        <v>0</v>
      </c>
    </row>
    <row r="356" spans="2:4" x14ac:dyDescent="0.25">
      <c r="B356">
        <v>356</v>
      </c>
      <c r="C356">
        <f ca="1">INDIRECT(ADDRESS($B356,1,3,1,Menus!$K$10))</f>
        <v>0</v>
      </c>
      <c r="D356">
        <f ca="1">INDIRECT(ADDRESS($B356,2,3,1,Menus!$K$10))</f>
        <v>0</v>
      </c>
    </row>
    <row r="357" spans="2:4" x14ac:dyDescent="0.25">
      <c r="B357">
        <v>357</v>
      </c>
      <c r="C357">
        <f ca="1">INDIRECT(ADDRESS($B357,1,3,1,Menus!$K$10))</f>
        <v>0</v>
      </c>
      <c r="D357">
        <f ca="1">INDIRECT(ADDRESS($B357,2,3,1,Menus!$K$10))</f>
        <v>0</v>
      </c>
    </row>
    <row r="358" spans="2:4" x14ac:dyDescent="0.25">
      <c r="B358">
        <v>358</v>
      </c>
      <c r="C358">
        <f ca="1">INDIRECT(ADDRESS($B358,1,3,1,Menus!$K$10))</f>
        <v>0</v>
      </c>
      <c r="D358">
        <f ca="1">INDIRECT(ADDRESS($B358,2,3,1,Menus!$K$10))</f>
        <v>0</v>
      </c>
    </row>
    <row r="359" spans="2:4" x14ac:dyDescent="0.25">
      <c r="B359" s="7">
        <v>359</v>
      </c>
      <c r="C359">
        <f ca="1">INDIRECT(ADDRESS($B359,1,3,1,Menus!$K$10))</f>
        <v>0</v>
      </c>
      <c r="D359">
        <f ca="1">INDIRECT(ADDRESS($B359,2,3,1,Menus!$K$10))</f>
        <v>0</v>
      </c>
    </row>
    <row r="360" spans="2:4" x14ac:dyDescent="0.25">
      <c r="B360">
        <v>360</v>
      </c>
      <c r="C360">
        <f ca="1">INDIRECT(ADDRESS($B360,1,3,1,Menus!$K$10))</f>
        <v>0</v>
      </c>
      <c r="D360">
        <f ca="1">INDIRECT(ADDRESS($B360,2,3,1,Menus!$K$10))</f>
        <v>0</v>
      </c>
    </row>
    <row r="361" spans="2:4" x14ac:dyDescent="0.25">
      <c r="B361">
        <v>361</v>
      </c>
      <c r="C361">
        <f ca="1">INDIRECT(ADDRESS($B361,1,3,1,Menus!$K$10))</f>
        <v>0</v>
      </c>
      <c r="D361">
        <f ca="1">INDIRECT(ADDRESS($B361,2,3,1,Menus!$K$10))</f>
        <v>0</v>
      </c>
    </row>
    <row r="362" spans="2:4" x14ac:dyDescent="0.25">
      <c r="B362">
        <v>362</v>
      </c>
      <c r="C362">
        <f ca="1">INDIRECT(ADDRESS($B362,1,3,1,Menus!$K$10))</f>
        <v>0</v>
      </c>
      <c r="D362">
        <f ca="1">INDIRECT(ADDRESS($B362,2,3,1,Menus!$K$10))</f>
        <v>0</v>
      </c>
    </row>
    <row r="363" spans="2:4" x14ac:dyDescent="0.25">
      <c r="B363" s="7">
        <v>363</v>
      </c>
      <c r="C363">
        <f ca="1">INDIRECT(ADDRESS($B363,1,3,1,Menus!$K$10))</f>
        <v>0</v>
      </c>
      <c r="D363">
        <f ca="1">INDIRECT(ADDRESS($B363,2,3,1,Menus!$K$10))</f>
        <v>0</v>
      </c>
    </row>
    <row r="364" spans="2:4" x14ac:dyDescent="0.25">
      <c r="B364">
        <v>364</v>
      </c>
      <c r="C364">
        <f ca="1">INDIRECT(ADDRESS($B364,1,3,1,Menus!$K$10))</f>
        <v>0</v>
      </c>
      <c r="D364">
        <f ca="1">INDIRECT(ADDRESS($B364,2,3,1,Menus!$K$10))</f>
        <v>0</v>
      </c>
    </row>
    <row r="365" spans="2:4" x14ac:dyDescent="0.25">
      <c r="B365">
        <v>365</v>
      </c>
      <c r="C365">
        <f ca="1">INDIRECT(ADDRESS($B365,1,3,1,Menus!$K$10))</f>
        <v>0</v>
      </c>
      <c r="D365">
        <f ca="1">INDIRECT(ADDRESS($B365,2,3,1,Menus!$K$10))</f>
        <v>0</v>
      </c>
    </row>
    <row r="366" spans="2:4" x14ac:dyDescent="0.25">
      <c r="B366">
        <v>366</v>
      </c>
      <c r="C366">
        <f ca="1">INDIRECT(ADDRESS($B366,1,3,1,Menus!$K$10))</f>
        <v>0</v>
      </c>
      <c r="D366">
        <f ca="1">INDIRECT(ADDRESS($B366,2,3,1,Menus!$K$10))</f>
        <v>0</v>
      </c>
    </row>
    <row r="367" spans="2:4" x14ac:dyDescent="0.25">
      <c r="B367" s="7">
        <v>367</v>
      </c>
      <c r="C367">
        <f ca="1">INDIRECT(ADDRESS($B367,1,3,1,Menus!$K$10))</f>
        <v>0</v>
      </c>
      <c r="D367">
        <f ca="1">INDIRECT(ADDRESS($B367,2,3,1,Menus!$K$10))</f>
        <v>0</v>
      </c>
    </row>
    <row r="368" spans="2:4" x14ac:dyDescent="0.25">
      <c r="B368">
        <v>368</v>
      </c>
      <c r="C368">
        <f ca="1">INDIRECT(ADDRESS($B368,1,3,1,Menus!$K$10))</f>
        <v>0</v>
      </c>
      <c r="D368">
        <f ca="1">INDIRECT(ADDRESS($B368,2,3,1,Menus!$K$10))</f>
        <v>0</v>
      </c>
    </row>
    <row r="369" spans="2:4" x14ac:dyDescent="0.25">
      <c r="B369">
        <v>369</v>
      </c>
      <c r="C369">
        <f ca="1">INDIRECT(ADDRESS($B369,1,3,1,Menus!$K$10))</f>
        <v>0</v>
      </c>
      <c r="D369">
        <f ca="1">INDIRECT(ADDRESS($B369,2,3,1,Menus!$K$10))</f>
        <v>0</v>
      </c>
    </row>
    <row r="370" spans="2:4" x14ac:dyDescent="0.25">
      <c r="B370">
        <v>370</v>
      </c>
      <c r="C370">
        <f ca="1">INDIRECT(ADDRESS($B370,1,3,1,Menus!$K$10))</f>
        <v>0</v>
      </c>
      <c r="D370">
        <f ca="1">INDIRECT(ADDRESS($B370,2,3,1,Menus!$K$10))</f>
        <v>0</v>
      </c>
    </row>
    <row r="371" spans="2:4" x14ac:dyDescent="0.25">
      <c r="B371" s="7">
        <v>371</v>
      </c>
      <c r="C371">
        <f ca="1">INDIRECT(ADDRESS($B371,1,3,1,Menus!$K$10))</f>
        <v>0</v>
      </c>
      <c r="D371">
        <f ca="1">INDIRECT(ADDRESS($B371,2,3,1,Menus!$K$10))</f>
        <v>0</v>
      </c>
    </row>
    <row r="372" spans="2:4" x14ac:dyDescent="0.25">
      <c r="B372">
        <v>372</v>
      </c>
      <c r="C372">
        <f ca="1">INDIRECT(ADDRESS($B372,1,3,1,Menus!$K$10))</f>
        <v>0</v>
      </c>
      <c r="D372">
        <f ca="1">INDIRECT(ADDRESS($B372,2,3,1,Menus!$K$10))</f>
        <v>0</v>
      </c>
    </row>
    <row r="373" spans="2:4" x14ac:dyDescent="0.25">
      <c r="B373">
        <v>373</v>
      </c>
      <c r="C373">
        <f ca="1">INDIRECT(ADDRESS($B373,1,3,1,Menus!$K$10))</f>
        <v>0</v>
      </c>
      <c r="D373">
        <f ca="1">INDIRECT(ADDRESS($B373,2,3,1,Menus!$K$10))</f>
        <v>0</v>
      </c>
    </row>
    <row r="374" spans="2:4" x14ac:dyDescent="0.25">
      <c r="B374">
        <v>374</v>
      </c>
      <c r="C374">
        <f ca="1">INDIRECT(ADDRESS($B374,1,3,1,Menus!$K$10))</f>
        <v>0</v>
      </c>
      <c r="D374">
        <f ca="1">INDIRECT(ADDRESS($B374,2,3,1,Menus!$K$10))</f>
        <v>0</v>
      </c>
    </row>
    <row r="375" spans="2:4" x14ac:dyDescent="0.25">
      <c r="B375" s="7">
        <v>375</v>
      </c>
      <c r="C375">
        <f ca="1">INDIRECT(ADDRESS($B375,1,3,1,Menus!$K$10))</f>
        <v>0</v>
      </c>
      <c r="D375">
        <f ca="1">INDIRECT(ADDRESS($B375,2,3,1,Menus!$K$10))</f>
        <v>0</v>
      </c>
    </row>
    <row r="376" spans="2:4" x14ac:dyDescent="0.25">
      <c r="B376">
        <v>376</v>
      </c>
      <c r="C376">
        <f ca="1">INDIRECT(ADDRESS($B376,1,3,1,Menus!$K$10))</f>
        <v>0</v>
      </c>
      <c r="D376">
        <f ca="1">INDIRECT(ADDRESS($B376,2,3,1,Menus!$K$10))</f>
        <v>0</v>
      </c>
    </row>
    <row r="377" spans="2:4" x14ac:dyDescent="0.25">
      <c r="B377">
        <v>377</v>
      </c>
      <c r="C377">
        <f ca="1">INDIRECT(ADDRESS($B377,1,3,1,Menus!$K$10))</f>
        <v>0</v>
      </c>
      <c r="D377">
        <f ca="1">INDIRECT(ADDRESS($B377,2,3,1,Menus!$K$10))</f>
        <v>0</v>
      </c>
    </row>
    <row r="378" spans="2:4" x14ac:dyDescent="0.25">
      <c r="B378">
        <v>378</v>
      </c>
      <c r="C378">
        <f ca="1">INDIRECT(ADDRESS($B378,1,3,1,Menus!$K$10))</f>
        <v>0</v>
      </c>
      <c r="D378">
        <f ca="1">INDIRECT(ADDRESS($B378,2,3,1,Menus!$K$10))</f>
        <v>0</v>
      </c>
    </row>
    <row r="379" spans="2:4" x14ac:dyDescent="0.25">
      <c r="B379" s="7">
        <v>379</v>
      </c>
      <c r="C379">
        <f ca="1">INDIRECT(ADDRESS($B379,1,3,1,Menus!$K$10))</f>
        <v>0</v>
      </c>
      <c r="D379">
        <f ca="1">INDIRECT(ADDRESS($B379,2,3,1,Menus!$K$10))</f>
        <v>0</v>
      </c>
    </row>
    <row r="380" spans="2:4" x14ac:dyDescent="0.25">
      <c r="B380">
        <v>380</v>
      </c>
      <c r="C380">
        <f ca="1">INDIRECT(ADDRESS($B380,1,3,1,Menus!$K$10))</f>
        <v>0</v>
      </c>
      <c r="D380">
        <f ca="1">INDIRECT(ADDRESS($B380,2,3,1,Menus!$K$10))</f>
        <v>0</v>
      </c>
    </row>
    <row r="381" spans="2:4" x14ac:dyDescent="0.25">
      <c r="B381">
        <v>381</v>
      </c>
      <c r="C381">
        <f ca="1">INDIRECT(ADDRESS($B381,1,3,1,Menus!$K$10))</f>
        <v>0</v>
      </c>
      <c r="D381">
        <f ca="1">INDIRECT(ADDRESS($B381,2,3,1,Menus!$K$10))</f>
        <v>0</v>
      </c>
    </row>
    <row r="382" spans="2:4" x14ac:dyDescent="0.25">
      <c r="B382">
        <v>382</v>
      </c>
      <c r="C382">
        <f ca="1">INDIRECT(ADDRESS($B382,1,3,1,Menus!$K$10))</f>
        <v>0</v>
      </c>
      <c r="D382">
        <f ca="1">INDIRECT(ADDRESS($B382,2,3,1,Menus!$K$10))</f>
        <v>0</v>
      </c>
    </row>
    <row r="383" spans="2:4" x14ac:dyDescent="0.25">
      <c r="B383" s="7">
        <v>383</v>
      </c>
      <c r="C383">
        <f ca="1">INDIRECT(ADDRESS($B383,1,3,1,Menus!$K$10))</f>
        <v>0</v>
      </c>
      <c r="D383">
        <f ca="1">INDIRECT(ADDRESS($B383,2,3,1,Menus!$K$10))</f>
        <v>0</v>
      </c>
    </row>
    <row r="384" spans="2:4" x14ac:dyDescent="0.25">
      <c r="B384">
        <v>384</v>
      </c>
      <c r="C384">
        <f ca="1">INDIRECT(ADDRESS($B384,1,3,1,Menus!$K$10))</f>
        <v>0</v>
      </c>
      <c r="D384">
        <f ca="1">INDIRECT(ADDRESS($B384,2,3,1,Menus!$K$10))</f>
        <v>0</v>
      </c>
    </row>
    <row r="385" spans="2:4" x14ac:dyDescent="0.25">
      <c r="B385">
        <v>385</v>
      </c>
      <c r="C385">
        <f ca="1">INDIRECT(ADDRESS($B385,1,3,1,Menus!$K$10))</f>
        <v>0</v>
      </c>
      <c r="D385">
        <f ca="1">INDIRECT(ADDRESS($B385,2,3,1,Menus!$K$10))</f>
        <v>0</v>
      </c>
    </row>
    <row r="386" spans="2:4" x14ac:dyDescent="0.25">
      <c r="B386">
        <v>386</v>
      </c>
      <c r="C386">
        <f ca="1">INDIRECT(ADDRESS($B386,1,3,1,Menus!$K$10))</f>
        <v>0</v>
      </c>
      <c r="D386">
        <f ca="1">INDIRECT(ADDRESS($B386,2,3,1,Menus!$K$10))</f>
        <v>0</v>
      </c>
    </row>
    <row r="387" spans="2:4" x14ac:dyDescent="0.25">
      <c r="B387" s="7">
        <v>387</v>
      </c>
      <c r="C387">
        <f ca="1">INDIRECT(ADDRESS($B387,1,3,1,Menus!$K$10))</f>
        <v>0</v>
      </c>
      <c r="D387">
        <f ca="1">INDIRECT(ADDRESS($B387,2,3,1,Menus!$K$10))</f>
        <v>0</v>
      </c>
    </row>
    <row r="388" spans="2:4" x14ac:dyDescent="0.25">
      <c r="B388">
        <v>388</v>
      </c>
      <c r="C388">
        <f ca="1">INDIRECT(ADDRESS($B388,1,3,1,Menus!$K$10))</f>
        <v>0</v>
      </c>
      <c r="D388">
        <f ca="1">INDIRECT(ADDRESS($B388,2,3,1,Menus!$K$10))</f>
        <v>0</v>
      </c>
    </row>
    <row r="389" spans="2:4" x14ac:dyDescent="0.25">
      <c r="B389">
        <v>389</v>
      </c>
      <c r="C389">
        <f ca="1">INDIRECT(ADDRESS($B389,1,3,1,Menus!$K$10))</f>
        <v>0</v>
      </c>
      <c r="D389">
        <f ca="1">INDIRECT(ADDRESS($B389,2,3,1,Menus!$K$10))</f>
        <v>0</v>
      </c>
    </row>
    <row r="390" spans="2:4" x14ac:dyDescent="0.25">
      <c r="B390">
        <v>390</v>
      </c>
      <c r="C390">
        <f ca="1">INDIRECT(ADDRESS($B390,1,3,1,Menus!$K$10))</f>
        <v>0</v>
      </c>
      <c r="D390">
        <f ca="1">INDIRECT(ADDRESS($B390,2,3,1,Menus!$K$10))</f>
        <v>0</v>
      </c>
    </row>
    <row r="391" spans="2:4" x14ac:dyDescent="0.25">
      <c r="B391" s="7">
        <v>391</v>
      </c>
      <c r="C391">
        <f ca="1">INDIRECT(ADDRESS($B391,1,3,1,Menus!$K$10))</f>
        <v>0</v>
      </c>
      <c r="D391">
        <f ca="1">INDIRECT(ADDRESS($B391,2,3,1,Menus!$K$10))</f>
        <v>0</v>
      </c>
    </row>
    <row r="392" spans="2:4" x14ac:dyDescent="0.25">
      <c r="B392">
        <v>392</v>
      </c>
      <c r="C392">
        <f ca="1">INDIRECT(ADDRESS($B392,1,3,1,Menus!$K$10))</f>
        <v>0</v>
      </c>
      <c r="D392">
        <f ca="1">INDIRECT(ADDRESS($B392,2,3,1,Menus!$K$10))</f>
        <v>0</v>
      </c>
    </row>
    <row r="393" spans="2:4" x14ac:dyDescent="0.25">
      <c r="B393">
        <v>393</v>
      </c>
      <c r="C393">
        <f ca="1">INDIRECT(ADDRESS($B393,1,3,1,Menus!$K$10))</f>
        <v>0</v>
      </c>
      <c r="D393">
        <f ca="1">INDIRECT(ADDRESS($B393,2,3,1,Menus!$K$10))</f>
        <v>0</v>
      </c>
    </row>
    <row r="394" spans="2:4" x14ac:dyDescent="0.25">
      <c r="B394">
        <v>394</v>
      </c>
      <c r="C394">
        <f ca="1">INDIRECT(ADDRESS($B394,1,3,1,Menus!$K$10))</f>
        <v>0</v>
      </c>
      <c r="D394">
        <f ca="1">INDIRECT(ADDRESS($B394,2,3,1,Menus!$K$10))</f>
        <v>0</v>
      </c>
    </row>
    <row r="395" spans="2:4" x14ac:dyDescent="0.25">
      <c r="B395" s="7">
        <v>395</v>
      </c>
      <c r="C395">
        <f ca="1">INDIRECT(ADDRESS($B395,1,3,1,Menus!$K$10))</f>
        <v>0</v>
      </c>
      <c r="D395">
        <f ca="1">INDIRECT(ADDRESS($B395,2,3,1,Menus!$K$10))</f>
        <v>0</v>
      </c>
    </row>
    <row r="396" spans="2:4" x14ac:dyDescent="0.25">
      <c r="B396">
        <v>396</v>
      </c>
      <c r="C396">
        <f ca="1">INDIRECT(ADDRESS($B396,1,3,1,Menus!$K$10))</f>
        <v>0</v>
      </c>
      <c r="D396">
        <f ca="1">INDIRECT(ADDRESS($B396,2,3,1,Menus!$K$10))</f>
        <v>0</v>
      </c>
    </row>
    <row r="397" spans="2:4" x14ac:dyDescent="0.25">
      <c r="B397">
        <v>397</v>
      </c>
      <c r="C397">
        <f ca="1">INDIRECT(ADDRESS($B397,1,3,1,Menus!$K$10))</f>
        <v>0</v>
      </c>
      <c r="D397">
        <f ca="1">INDIRECT(ADDRESS($B397,2,3,1,Menus!$K$10))</f>
        <v>0</v>
      </c>
    </row>
    <row r="398" spans="2:4" x14ac:dyDescent="0.25">
      <c r="B398">
        <v>398</v>
      </c>
      <c r="C398">
        <f ca="1">INDIRECT(ADDRESS($B398,1,3,1,Menus!$K$10))</f>
        <v>0</v>
      </c>
      <c r="D398">
        <f ca="1">INDIRECT(ADDRESS($B398,2,3,1,Menus!$K$10))</f>
        <v>0</v>
      </c>
    </row>
    <row r="399" spans="2:4" x14ac:dyDescent="0.25">
      <c r="B399" s="7">
        <v>399</v>
      </c>
      <c r="C399">
        <f ca="1">INDIRECT(ADDRESS($B399,1,3,1,Menus!$K$10))</f>
        <v>0</v>
      </c>
      <c r="D399">
        <f ca="1">INDIRECT(ADDRESS($B399,2,3,1,Menus!$K$10))</f>
        <v>0</v>
      </c>
    </row>
    <row r="400" spans="2:4" x14ac:dyDescent="0.25">
      <c r="B400">
        <v>400</v>
      </c>
      <c r="C400">
        <f ca="1">INDIRECT(ADDRESS($B400,1,3,1,Menus!$K$10))</f>
        <v>0</v>
      </c>
      <c r="D400">
        <f ca="1">INDIRECT(ADDRESS($B400,2,3,1,Menus!$K$10))</f>
        <v>0</v>
      </c>
    </row>
    <row r="401" spans="2:4" x14ac:dyDescent="0.25">
      <c r="B401">
        <v>401</v>
      </c>
      <c r="C401">
        <f ca="1">INDIRECT(ADDRESS($B401,1,3,1,Menus!$K$10))</f>
        <v>0</v>
      </c>
      <c r="D401">
        <f ca="1">INDIRECT(ADDRESS($B401,2,3,1,Menus!$K$10))</f>
        <v>0</v>
      </c>
    </row>
    <row r="402" spans="2:4" x14ac:dyDescent="0.25">
      <c r="B402">
        <v>402</v>
      </c>
      <c r="C402">
        <f ca="1">INDIRECT(ADDRESS($B402,1,3,1,Menus!$K$10))</f>
        <v>0</v>
      </c>
      <c r="D402">
        <f ca="1">INDIRECT(ADDRESS($B402,2,3,1,Menus!$K$10))</f>
        <v>0</v>
      </c>
    </row>
    <row r="403" spans="2:4" x14ac:dyDescent="0.25">
      <c r="B403" s="7">
        <v>403</v>
      </c>
      <c r="C403">
        <f ca="1">INDIRECT(ADDRESS($B403,1,3,1,Menus!$K$10))</f>
        <v>0</v>
      </c>
      <c r="D403">
        <f ca="1">INDIRECT(ADDRESS($B403,2,3,1,Menus!$K$10))</f>
        <v>0</v>
      </c>
    </row>
    <row r="404" spans="2:4" x14ac:dyDescent="0.25">
      <c r="B404">
        <v>404</v>
      </c>
      <c r="C404">
        <f ca="1">INDIRECT(ADDRESS($B404,1,3,1,Menus!$K$10))</f>
        <v>0</v>
      </c>
      <c r="D404">
        <f ca="1">INDIRECT(ADDRESS($B404,2,3,1,Menus!$K$10))</f>
        <v>0</v>
      </c>
    </row>
    <row r="405" spans="2:4" x14ac:dyDescent="0.25">
      <c r="B405">
        <v>405</v>
      </c>
      <c r="C405">
        <f ca="1">INDIRECT(ADDRESS($B405,1,3,1,Menus!$K$10))</f>
        <v>0</v>
      </c>
      <c r="D405">
        <f ca="1">INDIRECT(ADDRESS($B405,2,3,1,Menus!$K$10))</f>
        <v>0</v>
      </c>
    </row>
    <row r="406" spans="2:4" x14ac:dyDescent="0.25">
      <c r="B406">
        <v>406</v>
      </c>
      <c r="C406">
        <f ca="1">INDIRECT(ADDRESS($B406,1,3,1,Menus!$K$10))</f>
        <v>0</v>
      </c>
      <c r="D406">
        <f ca="1">INDIRECT(ADDRESS($B406,2,3,1,Menus!$K$10))</f>
        <v>0</v>
      </c>
    </row>
    <row r="407" spans="2:4" x14ac:dyDescent="0.25">
      <c r="B407" s="7">
        <v>407</v>
      </c>
      <c r="C407">
        <f ca="1">INDIRECT(ADDRESS($B407,1,3,1,Menus!$K$10))</f>
        <v>0</v>
      </c>
      <c r="D407">
        <f ca="1">INDIRECT(ADDRESS($B407,2,3,1,Menus!$K$10))</f>
        <v>0</v>
      </c>
    </row>
    <row r="408" spans="2:4" x14ac:dyDescent="0.25">
      <c r="B408">
        <v>408</v>
      </c>
      <c r="C408">
        <f ca="1">INDIRECT(ADDRESS($B408,1,3,1,Menus!$K$10))</f>
        <v>0</v>
      </c>
      <c r="D408">
        <f ca="1">INDIRECT(ADDRESS($B408,2,3,1,Menus!$K$10))</f>
        <v>0</v>
      </c>
    </row>
    <row r="409" spans="2:4" x14ac:dyDescent="0.25">
      <c r="B409">
        <v>409</v>
      </c>
      <c r="C409">
        <f ca="1">INDIRECT(ADDRESS($B409,1,3,1,Menus!$K$10))</f>
        <v>0</v>
      </c>
      <c r="D409">
        <f ca="1">INDIRECT(ADDRESS($B409,2,3,1,Menus!$K$10))</f>
        <v>0</v>
      </c>
    </row>
    <row r="410" spans="2:4" x14ac:dyDescent="0.25">
      <c r="B410">
        <v>410</v>
      </c>
      <c r="C410">
        <f ca="1">INDIRECT(ADDRESS($B410,1,3,1,Menus!$K$10))</f>
        <v>0</v>
      </c>
      <c r="D410">
        <f ca="1">INDIRECT(ADDRESS($B410,2,3,1,Menus!$K$10))</f>
        <v>0</v>
      </c>
    </row>
    <row r="411" spans="2:4" x14ac:dyDescent="0.25">
      <c r="B411" s="7">
        <v>411</v>
      </c>
      <c r="C411">
        <f ca="1">INDIRECT(ADDRESS($B411,1,3,1,Menus!$K$10))</f>
        <v>0</v>
      </c>
      <c r="D411">
        <f ca="1">INDIRECT(ADDRESS($B411,2,3,1,Menus!$K$10))</f>
        <v>0</v>
      </c>
    </row>
    <row r="412" spans="2:4" x14ac:dyDescent="0.25">
      <c r="B412">
        <v>412</v>
      </c>
      <c r="C412">
        <f ca="1">INDIRECT(ADDRESS($B412,1,3,1,Menus!$K$10))</f>
        <v>0</v>
      </c>
      <c r="D412">
        <f ca="1">INDIRECT(ADDRESS($B412,2,3,1,Menus!$K$10))</f>
        <v>0</v>
      </c>
    </row>
    <row r="413" spans="2:4" x14ac:dyDescent="0.25">
      <c r="B413">
        <v>413</v>
      </c>
      <c r="C413">
        <f ca="1">INDIRECT(ADDRESS($B413,1,3,1,Menus!$K$10))</f>
        <v>0</v>
      </c>
      <c r="D413">
        <f ca="1">INDIRECT(ADDRESS($B413,2,3,1,Menus!$K$10))</f>
        <v>0</v>
      </c>
    </row>
    <row r="414" spans="2:4" x14ac:dyDescent="0.25">
      <c r="B414">
        <v>414</v>
      </c>
      <c r="C414">
        <f ca="1">INDIRECT(ADDRESS($B414,1,3,1,Menus!$K$10))</f>
        <v>0</v>
      </c>
      <c r="D414">
        <f ca="1">INDIRECT(ADDRESS($B414,2,3,1,Menus!$K$10))</f>
        <v>0</v>
      </c>
    </row>
    <row r="415" spans="2:4" x14ac:dyDescent="0.25">
      <c r="B415" s="7">
        <v>415</v>
      </c>
      <c r="C415">
        <f ca="1">INDIRECT(ADDRESS($B415,1,3,1,Menus!$K$10))</f>
        <v>0</v>
      </c>
      <c r="D415">
        <f ca="1">INDIRECT(ADDRESS($B415,2,3,1,Menus!$K$10))</f>
        <v>0</v>
      </c>
    </row>
    <row r="416" spans="2:4" x14ac:dyDescent="0.25">
      <c r="B416">
        <v>416</v>
      </c>
      <c r="C416">
        <f ca="1">INDIRECT(ADDRESS($B416,1,3,1,Menus!$K$10))</f>
        <v>0</v>
      </c>
      <c r="D416">
        <f ca="1">INDIRECT(ADDRESS($B416,2,3,1,Menus!$K$10))</f>
        <v>0</v>
      </c>
    </row>
    <row r="417" spans="2:4" x14ac:dyDescent="0.25">
      <c r="B417">
        <v>417</v>
      </c>
      <c r="C417">
        <f ca="1">INDIRECT(ADDRESS($B417,1,3,1,Menus!$K$10))</f>
        <v>0</v>
      </c>
      <c r="D417">
        <f ca="1">INDIRECT(ADDRESS($B417,2,3,1,Menus!$K$10))</f>
        <v>0</v>
      </c>
    </row>
    <row r="418" spans="2:4" x14ac:dyDescent="0.25">
      <c r="B418">
        <v>418</v>
      </c>
      <c r="C418">
        <f ca="1">INDIRECT(ADDRESS($B418,1,3,1,Menus!$K$10))</f>
        <v>0</v>
      </c>
      <c r="D418">
        <f ca="1">INDIRECT(ADDRESS($B418,2,3,1,Menus!$K$10))</f>
        <v>0</v>
      </c>
    </row>
    <row r="419" spans="2:4" x14ac:dyDescent="0.25">
      <c r="B419" s="7">
        <v>419</v>
      </c>
      <c r="C419">
        <f ca="1">INDIRECT(ADDRESS($B419,1,3,1,Menus!$K$10))</f>
        <v>0</v>
      </c>
      <c r="D419">
        <f ca="1">INDIRECT(ADDRESS($B419,2,3,1,Menus!$K$10))</f>
        <v>0</v>
      </c>
    </row>
    <row r="420" spans="2:4" x14ac:dyDescent="0.25">
      <c r="B420">
        <v>420</v>
      </c>
      <c r="C420">
        <f ca="1">INDIRECT(ADDRESS($B420,1,3,1,Menus!$K$10))</f>
        <v>0</v>
      </c>
      <c r="D420">
        <f ca="1">INDIRECT(ADDRESS($B420,2,3,1,Menus!$K$10))</f>
        <v>0</v>
      </c>
    </row>
    <row r="421" spans="2:4" x14ac:dyDescent="0.25">
      <c r="B421">
        <v>421</v>
      </c>
      <c r="C421">
        <f ca="1">INDIRECT(ADDRESS($B421,1,3,1,Menus!$K$10))</f>
        <v>0</v>
      </c>
      <c r="D421">
        <f ca="1">INDIRECT(ADDRESS($B421,2,3,1,Menus!$K$10))</f>
        <v>0</v>
      </c>
    </row>
    <row r="422" spans="2:4" x14ac:dyDescent="0.25">
      <c r="B422">
        <v>422</v>
      </c>
      <c r="C422">
        <f ca="1">INDIRECT(ADDRESS($B422,1,3,1,Menus!$K$10))</f>
        <v>0</v>
      </c>
      <c r="D422">
        <f ca="1">INDIRECT(ADDRESS($B422,2,3,1,Menus!$K$10))</f>
        <v>0</v>
      </c>
    </row>
    <row r="423" spans="2:4" x14ac:dyDescent="0.25">
      <c r="B423" s="7">
        <v>423</v>
      </c>
      <c r="C423">
        <f ca="1">INDIRECT(ADDRESS($B423,1,3,1,Menus!$K$10))</f>
        <v>0</v>
      </c>
      <c r="D423">
        <f ca="1">INDIRECT(ADDRESS($B423,2,3,1,Menus!$K$10))</f>
        <v>0</v>
      </c>
    </row>
    <row r="424" spans="2:4" x14ac:dyDescent="0.25">
      <c r="B424">
        <v>424</v>
      </c>
      <c r="C424">
        <f ca="1">INDIRECT(ADDRESS($B424,1,3,1,Menus!$K$10))</f>
        <v>0</v>
      </c>
      <c r="D424">
        <f ca="1">INDIRECT(ADDRESS($B424,2,3,1,Menus!$K$10))</f>
        <v>0</v>
      </c>
    </row>
    <row r="425" spans="2:4" x14ac:dyDescent="0.25">
      <c r="B425">
        <v>425</v>
      </c>
      <c r="C425">
        <f ca="1">INDIRECT(ADDRESS($B425,1,3,1,Menus!$K$10))</f>
        <v>0</v>
      </c>
      <c r="D425">
        <f ca="1">INDIRECT(ADDRESS($B425,2,3,1,Menus!$K$10))</f>
        <v>0</v>
      </c>
    </row>
    <row r="426" spans="2:4" x14ac:dyDescent="0.25">
      <c r="B426">
        <v>426</v>
      </c>
      <c r="C426">
        <f ca="1">INDIRECT(ADDRESS($B426,1,3,1,Menus!$K$10))</f>
        <v>0</v>
      </c>
      <c r="D426">
        <f ca="1">INDIRECT(ADDRESS($B426,2,3,1,Menus!$K$10))</f>
        <v>0</v>
      </c>
    </row>
    <row r="427" spans="2:4" x14ac:dyDescent="0.25">
      <c r="B427" s="7">
        <v>427</v>
      </c>
      <c r="C427">
        <f ca="1">INDIRECT(ADDRESS($B427,1,3,1,Menus!$K$10))</f>
        <v>0</v>
      </c>
      <c r="D427">
        <f ca="1">INDIRECT(ADDRESS($B427,2,3,1,Menus!$K$10))</f>
        <v>0</v>
      </c>
    </row>
    <row r="428" spans="2:4" x14ac:dyDescent="0.25">
      <c r="B428">
        <v>428</v>
      </c>
      <c r="C428">
        <f ca="1">INDIRECT(ADDRESS($B428,1,3,1,Menus!$K$10))</f>
        <v>0</v>
      </c>
      <c r="D428">
        <f ca="1">INDIRECT(ADDRESS($B428,2,3,1,Menus!$K$10))</f>
        <v>0</v>
      </c>
    </row>
    <row r="429" spans="2:4" x14ac:dyDescent="0.25">
      <c r="B429">
        <v>429</v>
      </c>
      <c r="C429">
        <f ca="1">INDIRECT(ADDRESS($B429,1,3,1,Menus!$K$10))</f>
        <v>0</v>
      </c>
      <c r="D429">
        <f ca="1">INDIRECT(ADDRESS($B429,2,3,1,Menus!$K$10))</f>
        <v>0</v>
      </c>
    </row>
    <row r="430" spans="2:4" x14ac:dyDescent="0.25">
      <c r="B430">
        <v>430</v>
      </c>
      <c r="C430">
        <f ca="1">INDIRECT(ADDRESS($B430,1,3,1,Menus!$K$10))</f>
        <v>0</v>
      </c>
      <c r="D430">
        <f ca="1">INDIRECT(ADDRESS($B430,2,3,1,Menus!$K$10))</f>
        <v>0</v>
      </c>
    </row>
    <row r="431" spans="2:4" x14ac:dyDescent="0.25">
      <c r="B431" s="7">
        <v>431</v>
      </c>
      <c r="C431">
        <f ca="1">INDIRECT(ADDRESS($B431,1,3,1,Menus!$K$10))</f>
        <v>0</v>
      </c>
      <c r="D431">
        <f ca="1">INDIRECT(ADDRESS($B431,2,3,1,Menus!$K$10))</f>
        <v>0</v>
      </c>
    </row>
    <row r="432" spans="2:4" x14ac:dyDescent="0.25">
      <c r="B432">
        <v>432</v>
      </c>
      <c r="C432">
        <f ca="1">INDIRECT(ADDRESS($B432,1,3,1,Menus!$K$10))</f>
        <v>0</v>
      </c>
      <c r="D432">
        <f ca="1">INDIRECT(ADDRESS($B432,2,3,1,Menus!$K$10))</f>
        <v>0</v>
      </c>
    </row>
    <row r="433" spans="2:4" x14ac:dyDescent="0.25">
      <c r="B433">
        <v>433</v>
      </c>
      <c r="C433">
        <f ca="1">INDIRECT(ADDRESS($B433,1,3,1,Menus!$K$10))</f>
        <v>0</v>
      </c>
      <c r="D433">
        <f ca="1">INDIRECT(ADDRESS($B433,2,3,1,Menus!$K$10))</f>
        <v>0</v>
      </c>
    </row>
    <row r="434" spans="2:4" x14ac:dyDescent="0.25">
      <c r="B434">
        <v>434</v>
      </c>
      <c r="C434">
        <f ca="1">INDIRECT(ADDRESS($B434,1,3,1,Menus!$K$10))</f>
        <v>0</v>
      </c>
      <c r="D434">
        <f ca="1">INDIRECT(ADDRESS($B434,2,3,1,Menus!$K$10))</f>
        <v>0</v>
      </c>
    </row>
    <row r="435" spans="2:4" x14ac:dyDescent="0.25">
      <c r="B435" s="7">
        <v>435</v>
      </c>
      <c r="C435">
        <f ca="1">INDIRECT(ADDRESS($B435,1,3,1,Menus!$K$10))</f>
        <v>0</v>
      </c>
      <c r="D435">
        <f ca="1">INDIRECT(ADDRESS($B435,2,3,1,Menus!$K$10))</f>
        <v>0</v>
      </c>
    </row>
    <row r="436" spans="2:4" x14ac:dyDescent="0.25">
      <c r="B436">
        <v>436</v>
      </c>
      <c r="C436">
        <f ca="1">INDIRECT(ADDRESS($B436,1,3,1,Menus!$K$10))</f>
        <v>0</v>
      </c>
      <c r="D436">
        <f ca="1">INDIRECT(ADDRESS($B436,2,3,1,Menus!$K$10))</f>
        <v>0</v>
      </c>
    </row>
    <row r="437" spans="2:4" x14ac:dyDescent="0.25">
      <c r="B437">
        <v>437</v>
      </c>
      <c r="C437">
        <f ca="1">INDIRECT(ADDRESS($B437,1,3,1,Menus!$K$10))</f>
        <v>0</v>
      </c>
      <c r="D437">
        <f ca="1">INDIRECT(ADDRESS($B437,2,3,1,Menus!$K$10))</f>
        <v>0</v>
      </c>
    </row>
    <row r="438" spans="2:4" x14ac:dyDescent="0.25">
      <c r="B438">
        <v>438</v>
      </c>
      <c r="C438">
        <f ca="1">INDIRECT(ADDRESS($B438,1,3,1,Menus!$K$10))</f>
        <v>0</v>
      </c>
      <c r="D438">
        <f ca="1">INDIRECT(ADDRESS($B438,2,3,1,Menus!$K$10))</f>
        <v>0</v>
      </c>
    </row>
    <row r="439" spans="2:4" x14ac:dyDescent="0.25">
      <c r="B439" s="7">
        <v>439</v>
      </c>
      <c r="C439">
        <f ca="1">INDIRECT(ADDRESS($B439,1,3,1,Menus!$K$10))</f>
        <v>0</v>
      </c>
      <c r="D439">
        <f ca="1">INDIRECT(ADDRESS($B439,2,3,1,Menus!$K$10))</f>
        <v>0</v>
      </c>
    </row>
    <row r="440" spans="2:4" x14ac:dyDescent="0.25">
      <c r="B440">
        <v>440</v>
      </c>
      <c r="C440">
        <f ca="1">INDIRECT(ADDRESS($B440,1,3,1,Menus!$K$10))</f>
        <v>0</v>
      </c>
      <c r="D440">
        <f ca="1">INDIRECT(ADDRESS($B440,2,3,1,Menus!$K$10))</f>
        <v>0</v>
      </c>
    </row>
    <row r="441" spans="2:4" x14ac:dyDescent="0.25">
      <c r="B441">
        <v>441</v>
      </c>
      <c r="C441">
        <f ca="1">INDIRECT(ADDRESS($B441,1,3,1,Menus!$K$10))</f>
        <v>0</v>
      </c>
      <c r="D441">
        <f ca="1">INDIRECT(ADDRESS($B441,2,3,1,Menus!$K$10))</f>
        <v>0</v>
      </c>
    </row>
    <row r="442" spans="2:4" x14ac:dyDescent="0.25">
      <c r="B442">
        <v>442</v>
      </c>
      <c r="C442">
        <f ca="1">INDIRECT(ADDRESS($B442,1,3,1,Menus!$K$10))</f>
        <v>0</v>
      </c>
      <c r="D442">
        <f ca="1">INDIRECT(ADDRESS($B442,2,3,1,Menus!$K$10))</f>
        <v>0</v>
      </c>
    </row>
    <row r="443" spans="2:4" x14ac:dyDescent="0.25">
      <c r="B443" s="7">
        <v>443</v>
      </c>
      <c r="C443">
        <f ca="1">INDIRECT(ADDRESS($B443,1,3,1,Menus!$K$10))</f>
        <v>0</v>
      </c>
      <c r="D443">
        <f ca="1">INDIRECT(ADDRESS($B443,2,3,1,Menus!$K$10))</f>
        <v>0</v>
      </c>
    </row>
    <row r="444" spans="2:4" x14ac:dyDescent="0.25">
      <c r="B444">
        <v>444</v>
      </c>
      <c r="C444">
        <f ca="1">INDIRECT(ADDRESS($B444,1,3,1,Menus!$K$10))</f>
        <v>0</v>
      </c>
      <c r="D444">
        <f ca="1">INDIRECT(ADDRESS($B444,2,3,1,Menus!$K$10))</f>
        <v>0</v>
      </c>
    </row>
    <row r="445" spans="2:4" x14ac:dyDescent="0.25">
      <c r="B445">
        <v>445</v>
      </c>
      <c r="C445">
        <f ca="1">INDIRECT(ADDRESS($B445,1,3,1,Menus!$K$10))</f>
        <v>0</v>
      </c>
      <c r="D445">
        <f ca="1">INDIRECT(ADDRESS($B445,2,3,1,Menus!$K$10))</f>
        <v>0</v>
      </c>
    </row>
    <row r="446" spans="2:4" x14ac:dyDescent="0.25">
      <c r="B446">
        <v>446</v>
      </c>
      <c r="C446">
        <f ca="1">INDIRECT(ADDRESS($B446,1,3,1,Menus!$K$10))</f>
        <v>0</v>
      </c>
      <c r="D446">
        <f ca="1">INDIRECT(ADDRESS($B446,2,3,1,Menus!$K$10))</f>
        <v>0</v>
      </c>
    </row>
    <row r="447" spans="2:4" x14ac:dyDescent="0.25">
      <c r="B447" s="7">
        <v>447</v>
      </c>
      <c r="C447">
        <f ca="1">INDIRECT(ADDRESS($B447,1,3,1,Menus!$K$10))</f>
        <v>0</v>
      </c>
      <c r="D447">
        <f ca="1">INDIRECT(ADDRESS($B447,2,3,1,Menus!$K$10))</f>
        <v>0</v>
      </c>
    </row>
    <row r="448" spans="2:4" x14ac:dyDescent="0.25">
      <c r="B448">
        <v>448</v>
      </c>
      <c r="C448">
        <f ca="1">INDIRECT(ADDRESS($B448,1,3,1,Menus!$K$10))</f>
        <v>0</v>
      </c>
      <c r="D448">
        <f ca="1">INDIRECT(ADDRESS($B448,2,3,1,Menus!$K$10))</f>
        <v>0</v>
      </c>
    </row>
    <row r="449" spans="2:4" x14ac:dyDescent="0.25">
      <c r="B449">
        <v>449</v>
      </c>
      <c r="C449">
        <f ca="1">INDIRECT(ADDRESS($B449,1,3,1,Menus!$K$10))</f>
        <v>0</v>
      </c>
      <c r="D449">
        <f ca="1">INDIRECT(ADDRESS($B449,2,3,1,Menus!$K$10))</f>
        <v>0</v>
      </c>
    </row>
    <row r="450" spans="2:4" x14ac:dyDescent="0.25">
      <c r="B450">
        <v>450</v>
      </c>
      <c r="C450">
        <f ca="1">INDIRECT(ADDRESS($B450,1,3,1,Menus!$K$10))</f>
        <v>0</v>
      </c>
      <c r="D450">
        <f ca="1">INDIRECT(ADDRESS($B450,2,3,1,Menus!$K$10))</f>
        <v>0</v>
      </c>
    </row>
    <row r="451" spans="2:4" x14ac:dyDescent="0.25">
      <c r="B451" s="7">
        <v>451</v>
      </c>
      <c r="C451">
        <f ca="1">INDIRECT(ADDRESS($B451,1,3,1,Menus!$K$10))</f>
        <v>0</v>
      </c>
      <c r="D451">
        <f ca="1">INDIRECT(ADDRESS($B451,2,3,1,Menus!$K$10))</f>
        <v>0</v>
      </c>
    </row>
    <row r="452" spans="2:4" x14ac:dyDescent="0.25">
      <c r="B452">
        <v>452</v>
      </c>
      <c r="C452">
        <f ca="1">INDIRECT(ADDRESS($B452,1,3,1,Menus!$K$10))</f>
        <v>0</v>
      </c>
      <c r="D452">
        <f ca="1">INDIRECT(ADDRESS($B452,2,3,1,Menus!$K$10))</f>
        <v>0</v>
      </c>
    </row>
    <row r="453" spans="2:4" x14ac:dyDescent="0.25">
      <c r="B453">
        <v>453</v>
      </c>
      <c r="C453">
        <f ca="1">INDIRECT(ADDRESS($B453,1,3,1,Menus!$K$10))</f>
        <v>0</v>
      </c>
      <c r="D453">
        <f ca="1">INDIRECT(ADDRESS($B453,2,3,1,Menus!$K$10))</f>
        <v>0</v>
      </c>
    </row>
    <row r="454" spans="2:4" x14ac:dyDescent="0.25">
      <c r="B454">
        <v>454</v>
      </c>
      <c r="C454">
        <f ca="1">INDIRECT(ADDRESS($B454,1,3,1,Menus!$K$10))</f>
        <v>0</v>
      </c>
      <c r="D454">
        <f ca="1">INDIRECT(ADDRESS($B454,2,3,1,Menus!$K$10))</f>
        <v>0</v>
      </c>
    </row>
    <row r="455" spans="2:4" x14ac:dyDescent="0.25">
      <c r="B455" s="7">
        <v>455</v>
      </c>
      <c r="C455">
        <f ca="1">INDIRECT(ADDRESS($B455,1,3,1,Menus!$K$10))</f>
        <v>0</v>
      </c>
      <c r="D455">
        <f ca="1">INDIRECT(ADDRESS($B455,2,3,1,Menus!$K$10))</f>
        <v>0</v>
      </c>
    </row>
    <row r="456" spans="2:4" x14ac:dyDescent="0.25">
      <c r="B456">
        <v>456</v>
      </c>
      <c r="C456">
        <f ca="1">INDIRECT(ADDRESS($B456,1,3,1,Menus!$K$10))</f>
        <v>0</v>
      </c>
      <c r="D456">
        <f ca="1">INDIRECT(ADDRESS($B456,2,3,1,Menus!$K$10))</f>
        <v>0</v>
      </c>
    </row>
    <row r="457" spans="2:4" x14ac:dyDescent="0.25">
      <c r="B457">
        <v>457</v>
      </c>
      <c r="C457">
        <f ca="1">INDIRECT(ADDRESS($B457,1,3,1,Menus!$K$10))</f>
        <v>0</v>
      </c>
      <c r="D457">
        <f ca="1">INDIRECT(ADDRESS($B457,2,3,1,Menus!$K$10))</f>
        <v>0</v>
      </c>
    </row>
    <row r="458" spans="2:4" x14ac:dyDescent="0.25">
      <c r="B458">
        <v>458</v>
      </c>
      <c r="C458">
        <f ca="1">INDIRECT(ADDRESS($B458,1,3,1,Menus!$K$10))</f>
        <v>0</v>
      </c>
      <c r="D458">
        <f ca="1">INDIRECT(ADDRESS($B458,2,3,1,Menus!$K$10))</f>
        <v>0</v>
      </c>
    </row>
    <row r="459" spans="2:4" x14ac:dyDescent="0.25">
      <c r="B459" s="7">
        <v>459</v>
      </c>
      <c r="C459">
        <f ca="1">INDIRECT(ADDRESS($B459,1,3,1,Menus!$K$10))</f>
        <v>0</v>
      </c>
      <c r="D459">
        <f ca="1">INDIRECT(ADDRESS($B459,2,3,1,Menus!$K$10))</f>
        <v>0</v>
      </c>
    </row>
    <row r="460" spans="2:4" x14ac:dyDescent="0.25">
      <c r="B460">
        <v>460</v>
      </c>
      <c r="C460">
        <f ca="1">INDIRECT(ADDRESS($B460,1,3,1,Menus!$K$10))</f>
        <v>0</v>
      </c>
      <c r="D460">
        <f ca="1">INDIRECT(ADDRESS($B460,2,3,1,Menus!$K$10))</f>
        <v>0</v>
      </c>
    </row>
    <row r="461" spans="2:4" x14ac:dyDescent="0.25">
      <c r="B461">
        <v>461</v>
      </c>
      <c r="C461">
        <f ca="1">INDIRECT(ADDRESS($B461,1,3,1,Menus!$K$10))</f>
        <v>0</v>
      </c>
      <c r="D461">
        <f ca="1">INDIRECT(ADDRESS($B461,2,3,1,Menus!$K$10))</f>
        <v>0</v>
      </c>
    </row>
    <row r="462" spans="2:4" x14ac:dyDescent="0.25">
      <c r="B462">
        <v>462</v>
      </c>
      <c r="C462">
        <f ca="1">INDIRECT(ADDRESS($B462,1,3,1,Menus!$K$10))</f>
        <v>0</v>
      </c>
      <c r="D462">
        <f ca="1">INDIRECT(ADDRESS($B462,2,3,1,Menus!$K$10))</f>
        <v>0</v>
      </c>
    </row>
    <row r="463" spans="2:4" x14ac:dyDescent="0.25">
      <c r="B463" s="7">
        <v>463</v>
      </c>
      <c r="C463">
        <f ca="1">INDIRECT(ADDRESS($B463,1,3,1,Menus!$K$10))</f>
        <v>0</v>
      </c>
      <c r="D463">
        <f ca="1">INDIRECT(ADDRESS($B463,2,3,1,Menus!$K$10))</f>
        <v>0</v>
      </c>
    </row>
    <row r="464" spans="2:4" x14ac:dyDescent="0.25">
      <c r="B464">
        <v>464</v>
      </c>
      <c r="C464">
        <f ca="1">INDIRECT(ADDRESS($B464,1,3,1,Menus!$K$10))</f>
        <v>0</v>
      </c>
      <c r="D464">
        <f ca="1">INDIRECT(ADDRESS($B464,2,3,1,Menus!$K$10))</f>
        <v>0</v>
      </c>
    </row>
    <row r="465" spans="2:4" x14ac:dyDescent="0.25">
      <c r="B465">
        <v>465</v>
      </c>
      <c r="C465">
        <f ca="1">INDIRECT(ADDRESS($B465,1,3,1,Menus!$K$10))</f>
        <v>0</v>
      </c>
      <c r="D465">
        <f ca="1">INDIRECT(ADDRESS($B465,2,3,1,Menus!$K$10))</f>
        <v>0</v>
      </c>
    </row>
    <row r="466" spans="2:4" x14ac:dyDescent="0.25">
      <c r="B466">
        <v>466</v>
      </c>
      <c r="C466">
        <f ca="1">INDIRECT(ADDRESS($B466,1,3,1,Menus!$K$10))</f>
        <v>0</v>
      </c>
      <c r="D466">
        <f ca="1">INDIRECT(ADDRESS($B466,2,3,1,Menus!$K$10))</f>
        <v>0</v>
      </c>
    </row>
    <row r="467" spans="2:4" x14ac:dyDescent="0.25">
      <c r="B467" s="7">
        <v>467</v>
      </c>
      <c r="C467">
        <f ca="1">INDIRECT(ADDRESS($B467,1,3,1,Menus!$K$10))</f>
        <v>0</v>
      </c>
      <c r="D467">
        <f ca="1">INDIRECT(ADDRESS($B467,2,3,1,Menus!$K$10))</f>
        <v>0</v>
      </c>
    </row>
    <row r="468" spans="2:4" x14ac:dyDescent="0.25">
      <c r="B468">
        <v>468</v>
      </c>
      <c r="C468">
        <f ca="1">INDIRECT(ADDRESS($B468,1,3,1,Menus!$K$10))</f>
        <v>0</v>
      </c>
      <c r="D468">
        <f ca="1">INDIRECT(ADDRESS($B468,2,3,1,Menus!$K$10))</f>
        <v>0</v>
      </c>
    </row>
    <row r="469" spans="2:4" x14ac:dyDescent="0.25">
      <c r="B469">
        <v>469</v>
      </c>
      <c r="C469">
        <f ca="1">INDIRECT(ADDRESS($B469,1,3,1,Menus!$K$10))</f>
        <v>0</v>
      </c>
      <c r="D469">
        <f ca="1">INDIRECT(ADDRESS($B469,2,3,1,Menus!$K$10))</f>
        <v>0</v>
      </c>
    </row>
    <row r="470" spans="2:4" x14ac:dyDescent="0.25">
      <c r="B470">
        <v>470</v>
      </c>
      <c r="C470">
        <f ca="1">INDIRECT(ADDRESS($B470,1,3,1,Menus!$K$10))</f>
        <v>0</v>
      </c>
      <c r="D470">
        <f ca="1">INDIRECT(ADDRESS($B470,2,3,1,Menus!$K$10))</f>
        <v>0</v>
      </c>
    </row>
    <row r="471" spans="2:4" x14ac:dyDescent="0.25">
      <c r="B471" s="7">
        <v>471</v>
      </c>
      <c r="C471">
        <f ca="1">INDIRECT(ADDRESS($B471,1,3,1,Menus!$K$10))</f>
        <v>0</v>
      </c>
      <c r="D471">
        <f ca="1">INDIRECT(ADDRESS($B471,2,3,1,Menus!$K$10))</f>
        <v>0</v>
      </c>
    </row>
    <row r="472" spans="2:4" x14ac:dyDescent="0.25">
      <c r="B472">
        <v>472</v>
      </c>
      <c r="C472">
        <f ca="1">INDIRECT(ADDRESS($B472,1,3,1,Menus!$K$10))</f>
        <v>0</v>
      </c>
      <c r="D472">
        <f ca="1">INDIRECT(ADDRESS($B472,2,3,1,Menus!$K$10))</f>
        <v>0</v>
      </c>
    </row>
    <row r="473" spans="2:4" x14ac:dyDescent="0.25">
      <c r="B473">
        <v>473</v>
      </c>
      <c r="C473">
        <f ca="1">INDIRECT(ADDRESS($B473,1,3,1,Menus!$K$10))</f>
        <v>0</v>
      </c>
      <c r="D473">
        <f ca="1">INDIRECT(ADDRESS($B473,2,3,1,Menus!$K$10))</f>
        <v>0</v>
      </c>
    </row>
    <row r="474" spans="2:4" x14ac:dyDescent="0.25">
      <c r="B474">
        <v>474</v>
      </c>
      <c r="C474">
        <f ca="1">INDIRECT(ADDRESS($B474,1,3,1,Menus!$K$10))</f>
        <v>0</v>
      </c>
      <c r="D474">
        <f ca="1">INDIRECT(ADDRESS($B474,2,3,1,Menus!$K$10))</f>
        <v>0</v>
      </c>
    </row>
    <row r="475" spans="2:4" x14ac:dyDescent="0.25">
      <c r="B475" s="7">
        <v>475</v>
      </c>
      <c r="C475">
        <f ca="1">INDIRECT(ADDRESS($B475,1,3,1,Menus!$K$10))</f>
        <v>0</v>
      </c>
      <c r="D475">
        <f ca="1">INDIRECT(ADDRESS($B475,2,3,1,Menus!$K$10))</f>
        <v>0</v>
      </c>
    </row>
    <row r="476" spans="2:4" x14ac:dyDescent="0.25">
      <c r="B476">
        <v>476</v>
      </c>
      <c r="C476">
        <f ca="1">INDIRECT(ADDRESS($B476,1,3,1,Menus!$K$10))</f>
        <v>0</v>
      </c>
      <c r="D476">
        <f ca="1">INDIRECT(ADDRESS($B476,2,3,1,Menus!$K$10))</f>
        <v>0</v>
      </c>
    </row>
    <row r="477" spans="2:4" x14ac:dyDescent="0.25">
      <c r="B477">
        <v>477</v>
      </c>
      <c r="C477">
        <f ca="1">INDIRECT(ADDRESS($B477,1,3,1,Menus!$K$10))</f>
        <v>0</v>
      </c>
      <c r="D477">
        <f ca="1">INDIRECT(ADDRESS($B477,2,3,1,Menus!$K$10))</f>
        <v>0</v>
      </c>
    </row>
    <row r="478" spans="2:4" x14ac:dyDescent="0.25">
      <c r="B478">
        <v>478</v>
      </c>
      <c r="C478">
        <f ca="1">INDIRECT(ADDRESS($B478,1,3,1,Menus!$K$10))</f>
        <v>0</v>
      </c>
      <c r="D478">
        <f ca="1">INDIRECT(ADDRESS($B478,2,3,1,Menus!$K$10))</f>
        <v>0</v>
      </c>
    </row>
    <row r="479" spans="2:4" x14ac:dyDescent="0.25">
      <c r="B479" s="7">
        <v>479</v>
      </c>
      <c r="C479">
        <f ca="1">INDIRECT(ADDRESS($B479,1,3,1,Menus!$K$10))</f>
        <v>0</v>
      </c>
      <c r="D479">
        <f ca="1">INDIRECT(ADDRESS($B479,2,3,1,Menus!$K$10))</f>
        <v>0</v>
      </c>
    </row>
    <row r="480" spans="2:4" x14ac:dyDescent="0.25">
      <c r="B480">
        <v>480</v>
      </c>
      <c r="C480">
        <f ca="1">INDIRECT(ADDRESS($B480,1,3,1,Menus!$K$10))</f>
        <v>0</v>
      </c>
      <c r="D480">
        <f ca="1">INDIRECT(ADDRESS($B480,2,3,1,Menus!$K$10))</f>
        <v>0</v>
      </c>
    </row>
    <row r="481" spans="2:4" x14ac:dyDescent="0.25">
      <c r="B481">
        <v>481</v>
      </c>
      <c r="C481">
        <f ca="1">INDIRECT(ADDRESS($B481,1,3,1,Menus!$K$10))</f>
        <v>0</v>
      </c>
      <c r="D481">
        <f ca="1">INDIRECT(ADDRESS($B481,2,3,1,Menus!$K$10))</f>
        <v>0</v>
      </c>
    </row>
    <row r="482" spans="2:4" x14ac:dyDescent="0.25">
      <c r="B482">
        <v>482</v>
      </c>
      <c r="C482">
        <f ca="1">INDIRECT(ADDRESS($B482,1,3,1,Menus!$K$10))</f>
        <v>0</v>
      </c>
      <c r="D482">
        <f ca="1">INDIRECT(ADDRESS($B482,2,3,1,Menus!$K$10))</f>
        <v>0</v>
      </c>
    </row>
    <row r="483" spans="2:4" x14ac:dyDescent="0.25">
      <c r="B483" s="7">
        <v>483</v>
      </c>
      <c r="C483">
        <f ca="1">INDIRECT(ADDRESS($B483,1,3,1,Menus!$K$10))</f>
        <v>0</v>
      </c>
      <c r="D483">
        <f ca="1">INDIRECT(ADDRESS($B483,2,3,1,Menus!$K$10))</f>
        <v>0</v>
      </c>
    </row>
    <row r="484" spans="2:4" x14ac:dyDescent="0.25">
      <c r="B484">
        <v>484</v>
      </c>
      <c r="C484">
        <f ca="1">INDIRECT(ADDRESS($B484,1,3,1,Menus!$K$10))</f>
        <v>0</v>
      </c>
      <c r="D484">
        <f ca="1">INDIRECT(ADDRESS($B484,2,3,1,Menus!$K$10))</f>
        <v>0</v>
      </c>
    </row>
    <row r="485" spans="2:4" x14ac:dyDescent="0.25">
      <c r="B485">
        <v>485</v>
      </c>
      <c r="C485">
        <f ca="1">INDIRECT(ADDRESS($B485,1,3,1,Menus!$K$10))</f>
        <v>0</v>
      </c>
      <c r="D485">
        <f ca="1">INDIRECT(ADDRESS($B485,2,3,1,Menus!$K$10))</f>
        <v>0</v>
      </c>
    </row>
    <row r="486" spans="2:4" x14ac:dyDescent="0.25">
      <c r="B486">
        <v>486</v>
      </c>
      <c r="C486">
        <f ca="1">INDIRECT(ADDRESS($B486,1,3,1,Menus!$K$10))</f>
        <v>0</v>
      </c>
      <c r="D486">
        <f ca="1">INDIRECT(ADDRESS($B486,2,3,1,Menus!$K$10))</f>
        <v>0</v>
      </c>
    </row>
    <row r="487" spans="2:4" x14ac:dyDescent="0.25">
      <c r="B487" s="7">
        <v>487</v>
      </c>
      <c r="C487">
        <f ca="1">INDIRECT(ADDRESS($B487,1,3,1,Menus!$K$10))</f>
        <v>0</v>
      </c>
      <c r="D487">
        <f ca="1">INDIRECT(ADDRESS($B487,2,3,1,Menus!$K$10))</f>
        <v>0</v>
      </c>
    </row>
    <row r="488" spans="2:4" x14ac:dyDescent="0.25">
      <c r="B488">
        <v>488</v>
      </c>
      <c r="C488">
        <f ca="1">INDIRECT(ADDRESS($B488,1,3,1,Menus!$K$10))</f>
        <v>0</v>
      </c>
      <c r="D488">
        <f ca="1">INDIRECT(ADDRESS($B488,2,3,1,Menus!$K$10))</f>
        <v>0</v>
      </c>
    </row>
    <row r="489" spans="2:4" x14ac:dyDescent="0.25">
      <c r="B489">
        <v>489</v>
      </c>
      <c r="C489">
        <f ca="1">INDIRECT(ADDRESS($B489,1,3,1,Menus!$K$10))</f>
        <v>0</v>
      </c>
      <c r="D489">
        <f ca="1">INDIRECT(ADDRESS($B489,2,3,1,Menus!$K$10))</f>
        <v>0</v>
      </c>
    </row>
    <row r="490" spans="2:4" x14ac:dyDescent="0.25">
      <c r="B490">
        <v>490</v>
      </c>
      <c r="C490">
        <f ca="1">INDIRECT(ADDRESS($B490,1,3,1,Menus!$K$10))</f>
        <v>0</v>
      </c>
      <c r="D490">
        <f ca="1">INDIRECT(ADDRESS($B490,2,3,1,Menus!$K$10))</f>
        <v>0</v>
      </c>
    </row>
    <row r="491" spans="2:4" x14ac:dyDescent="0.25">
      <c r="B491" s="7">
        <v>491</v>
      </c>
      <c r="C491">
        <f ca="1">INDIRECT(ADDRESS($B491,1,3,1,Menus!$K$10))</f>
        <v>0</v>
      </c>
      <c r="D491">
        <f ca="1">INDIRECT(ADDRESS($B491,2,3,1,Menus!$K$10))</f>
        <v>0</v>
      </c>
    </row>
    <row r="492" spans="2:4" x14ac:dyDescent="0.25">
      <c r="B492">
        <v>492</v>
      </c>
      <c r="C492">
        <f ca="1">INDIRECT(ADDRESS($B492,1,3,1,Menus!$K$10))</f>
        <v>0</v>
      </c>
      <c r="D492">
        <f ca="1">INDIRECT(ADDRESS($B492,2,3,1,Menus!$K$10))</f>
        <v>0</v>
      </c>
    </row>
    <row r="493" spans="2:4" x14ac:dyDescent="0.25">
      <c r="B493">
        <v>493</v>
      </c>
      <c r="C493">
        <f ca="1">INDIRECT(ADDRESS($B493,1,3,1,Menus!$K$10))</f>
        <v>0</v>
      </c>
      <c r="D493">
        <f ca="1">INDIRECT(ADDRESS($B493,2,3,1,Menus!$K$10))</f>
        <v>0</v>
      </c>
    </row>
    <row r="494" spans="2:4" x14ac:dyDescent="0.25">
      <c r="B494">
        <v>494</v>
      </c>
      <c r="C494">
        <f ca="1">INDIRECT(ADDRESS($B494,1,3,1,Menus!$K$10))</f>
        <v>0</v>
      </c>
      <c r="D494">
        <f ca="1">INDIRECT(ADDRESS($B494,2,3,1,Menus!$K$10))</f>
        <v>0</v>
      </c>
    </row>
    <row r="495" spans="2:4" x14ac:dyDescent="0.25">
      <c r="B495" s="7">
        <v>495</v>
      </c>
      <c r="C495">
        <f ca="1">INDIRECT(ADDRESS($B495,1,3,1,Menus!$K$10))</f>
        <v>0</v>
      </c>
      <c r="D495">
        <f ca="1">INDIRECT(ADDRESS($B495,2,3,1,Menus!$K$10))</f>
        <v>0</v>
      </c>
    </row>
    <row r="496" spans="2:4" x14ac:dyDescent="0.25">
      <c r="B496">
        <v>496</v>
      </c>
      <c r="C496">
        <f ca="1">INDIRECT(ADDRESS($B496,1,3,1,Menus!$K$10))</f>
        <v>0</v>
      </c>
      <c r="D496">
        <f ca="1">INDIRECT(ADDRESS($B496,2,3,1,Menus!$K$10))</f>
        <v>0</v>
      </c>
    </row>
    <row r="497" spans="2:4" x14ac:dyDescent="0.25">
      <c r="B497">
        <v>497</v>
      </c>
      <c r="C497">
        <f ca="1">INDIRECT(ADDRESS($B497,1,3,1,Menus!$K$10))</f>
        <v>0</v>
      </c>
      <c r="D497">
        <f ca="1">INDIRECT(ADDRESS($B497,2,3,1,Menus!$K$10))</f>
        <v>0</v>
      </c>
    </row>
    <row r="498" spans="2:4" x14ac:dyDescent="0.25">
      <c r="B498">
        <v>498</v>
      </c>
      <c r="C498">
        <f ca="1">INDIRECT(ADDRESS($B498,1,3,1,Menus!$K$10))</f>
        <v>0</v>
      </c>
      <c r="D498">
        <f ca="1">INDIRECT(ADDRESS($B498,2,3,1,Menus!$K$10))</f>
        <v>0</v>
      </c>
    </row>
    <row r="499" spans="2:4" x14ac:dyDescent="0.25">
      <c r="B499" s="7">
        <v>499</v>
      </c>
      <c r="C499">
        <f ca="1">INDIRECT(ADDRESS($B499,1,3,1,Menus!$K$10))</f>
        <v>0</v>
      </c>
      <c r="D499">
        <f ca="1">INDIRECT(ADDRESS($B499,2,3,1,Menus!$K$10))</f>
        <v>0</v>
      </c>
    </row>
    <row r="500" spans="2:4" x14ac:dyDescent="0.25">
      <c r="B500">
        <v>500</v>
      </c>
      <c r="C500">
        <f ca="1">INDIRECT(ADDRESS($B500,1,3,1,Menus!$K$10))</f>
        <v>0</v>
      </c>
      <c r="D500">
        <f ca="1">INDIRECT(ADDRESS($B500,2,3,1,Menus!$K$10))</f>
        <v>0</v>
      </c>
    </row>
    <row r="501" spans="2:4" x14ac:dyDescent="0.25">
      <c r="B501">
        <v>501</v>
      </c>
      <c r="C501">
        <f ca="1">INDIRECT(ADDRESS($B501,1,3,1,Menus!$K$10))</f>
        <v>0</v>
      </c>
      <c r="D501">
        <f ca="1">INDIRECT(ADDRESS($B501,2,3,1,Menus!$K$10))</f>
        <v>0</v>
      </c>
    </row>
  </sheetData>
  <sheetCalcPr fullCalcOnLoad="1"/>
  <phoneticPr fontId="0" type="noConversion"/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2001</vt:lpstr>
      <vt:lpstr>2000</vt:lpstr>
      <vt:lpstr>1999</vt:lpstr>
      <vt:lpstr>1998</vt:lpstr>
      <vt:lpstr>1997</vt:lpstr>
      <vt:lpstr>2001 Grossed</vt:lpstr>
      <vt:lpstr>Gross</vt:lpstr>
      <vt:lpstr>Ranking</vt:lpstr>
      <vt:lpstr>Selection</vt:lpstr>
      <vt:lpstr>Welcome</vt:lpstr>
      <vt:lpstr>Dialogbox</vt:lpstr>
      <vt:lpstr>Help</vt:lpstr>
      <vt:lpstr>Menus</vt:lpstr>
      <vt:lpstr>Scatter</vt:lpstr>
      <vt:lpstr>Histogram</vt:lpstr>
      <vt:lpstr>Belg</vt:lpstr>
      <vt:lpstr>Change_names</vt:lpstr>
      <vt:lpstr>Country_Name</vt:lpstr>
      <vt:lpstr>DATA_TYPES</vt:lpstr>
      <vt:lpstr>Example</vt:lpstr>
      <vt:lpstr>Help</vt:lpstr>
      <vt:lpstr>Dialogbox!Print_Area</vt:lpstr>
      <vt:lpstr>Help!Print_Area</vt:lpstr>
      <vt:lpstr>Structure</vt:lpstr>
    </vt:vector>
  </TitlesOfParts>
  <Company>Audit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Manager</dc:creator>
  <cp:lastModifiedBy>Carina Negreanu</cp:lastModifiedBy>
  <cp:lastPrinted>2002-09-26T09:23:41Z</cp:lastPrinted>
  <dcterms:created xsi:type="dcterms:W3CDTF">1998-08-25T09:41:16Z</dcterms:created>
  <dcterms:modified xsi:type="dcterms:W3CDTF">2020-01-27T11:41:32Z</dcterms:modified>
</cp:coreProperties>
</file>